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hidePivotFieldList="1"/>
  <mc:AlternateContent xmlns:mc="http://schemas.openxmlformats.org/markup-compatibility/2006">
    <mc:Choice Requires="x15">
      <x15ac:absPath xmlns:x15ac="http://schemas.microsoft.com/office/spreadsheetml/2010/11/ac" url="/Users/coch/Documents/"/>
    </mc:Choice>
  </mc:AlternateContent>
  <xr:revisionPtr revIDLastSave="0" documentId="8_{05E93FD4-6FFA-254D-9D4D-3C6F44D843EB}" xr6:coauthVersionLast="47" xr6:coauthVersionMax="47" xr10:uidLastSave="{00000000-0000-0000-0000-000000000000}"/>
  <bookViews>
    <workbookView xWindow="0" yWindow="0" windowWidth="28800" windowHeight="18000" xr2:uid="{76F2A9C1-C61A-46E8-A6EE-EEB1D27637CC}"/>
  </bookViews>
  <sheets>
    <sheet name="Raw Data" sheetId="10" r:id="rId1"/>
    <sheet name="Raw Data (Cleaned)" sheetId="9" r:id="rId2"/>
    <sheet name="Dataset" sheetId="6" r:id="rId3"/>
    <sheet name="Graph" sheetId="5" r:id="rId4"/>
    <sheet name="Questions" sheetId="7" r:id="rId5"/>
    <sheet name="Criteria" sheetId="11" r:id="rId6"/>
  </sheets>
  <definedNames>
    <definedName name="solver_eng" localSheetId="5" hidden="1">0</definedName>
  </definedNames>
  <calcPr calcId="191028"/>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412" i="9" l="1" a="1"/>
  <c r="AT412" i="9" s="1"/>
  <c r="AP412" i="9"/>
  <c r="AU2" i="9"/>
  <c r="AV2" i="9" s="1"/>
  <c r="AU3" i="9"/>
  <c r="AV3" i="9" s="1"/>
  <c r="AU4" i="9"/>
  <c r="AV4" i="9" s="1"/>
  <c r="AU5" i="9"/>
  <c r="AV5" i="9" s="1"/>
  <c r="AU6" i="9"/>
  <c r="AV6" i="9" s="1"/>
  <c r="AU7" i="9"/>
  <c r="AV7" i="9" s="1"/>
  <c r="AU8" i="9"/>
  <c r="AV8" i="9" s="1"/>
  <c r="AU9" i="9"/>
  <c r="AV9" i="9" s="1"/>
  <c r="AU10" i="9"/>
  <c r="AV10" i="9" s="1"/>
  <c r="AU11" i="9"/>
  <c r="AV11" i="9" s="1"/>
  <c r="AU12" i="9"/>
  <c r="AV12" i="9" s="1"/>
  <c r="AU13" i="9"/>
  <c r="AV13" i="9" s="1"/>
  <c r="AU14" i="9"/>
  <c r="AV14" i="9" s="1"/>
  <c r="AU15" i="9"/>
  <c r="AV15" i="9" s="1"/>
  <c r="AU16" i="9"/>
  <c r="AV16" i="9" s="1"/>
  <c r="AU17" i="9"/>
  <c r="AV17" i="9" s="1"/>
  <c r="AU18" i="9"/>
  <c r="AV18" i="9" s="1"/>
  <c r="AU19" i="9"/>
  <c r="AV19" i="9" s="1"/>
  <c r="AU20" i="9"/>
  <c r="AV20" i="9" s="1"/>
  <c r="AU21" i="9"/>
  <c r="AV21" i="9" s="1"/>
  <c r="AU22" i="9"/>
  <c r="AV22" i="9" s="1"/>
  <c r="AU23" i="9"/>
  <c r="AV23" i="9" s="1"/>
  <c r="AU24" i="9"/>
  <c r="AV24" i="9" s="1"/>
  <c r="AU25" i="9"/>
  <c r="AV25" i="9" s="1"/>
  <c r="AU26" i="9"/>
  <c r="AV26" i="9" s="1"/>
  <c r="AU27" i="9"/>
  <c r="AV27" i="9" s="1"/>
  <c r="AU28" i="9"/>
  <c r="AV28" i="9" s="1"/>
  <c r="AU29" i="9"/>
  <c r="AV29" i="9" s="1"/>
  <c r="AU30" i="9"/>
  <c r="AV30" i="9" s="1"/>
  <c r="AU31" i="9"/>
  <c r="AV31" i="9" s="1"/>
  <c r="AU32" i="9"/>
  <c r="AV32" i="9" s="1"/>
  <c r="AU33" i="9"/>
  <c r="AV33" i="9" s="1"/>
  <c r="AU34" i="9"/>
  <c r="AV34" i="9" s="1"/>
  <c r="AU35" i="9"/>
  <c r="AV35" i="9" s="1"/>
  <c r="AU36" i="9"/>
  <c r="AV36" i="9" s="1"/>
  <c r="AU37" i="9"/>
  <c r="AV37" i="9" s="1"/>
  <c r="AU38" i="9"/>
  <c r="AV38" i="9" s="1"/>
  <c r="AU39" i="9"/>
  <c r="AV39" i="9" s="1"/>
  <c r="AU40" i="9"/>
  <c r="AV40" i="9" s="1"/>
  <c r="AU41" i="9"/>
  <c r="AV41" i="9" s="1"/>
  <c r="AU42" i="9"/>
  <c r="AV42" i="9" s="1"/>
  <c r="AU43" i="9"/>
  <c r="AV43" i="9" s="1"/>
  <c r="AU44" i="9"/>
  <c r="AV44" i="9" s="1"/>
  <c r="AU45" i="9"/>
  <c r="AV45" i="9" s="1"/>
  <c r="AU46" i="9"/>
  <c r="AV46" i="9" s="1"/>
  <c r="AU47" i="9"/>
  <c r="AV47" i="9" s="1"/>
  <c r="AU48" i="9"/>
  <c r="AV48" i="9" s="1"/>
  <c r="AU49" i="9"/>
  <c r="AV49" i="9" s="1"/>
  <c r="AU50" i="9"/>
  <c r="AV50" i="9" s="1"/>
  <c r="AU51" i="9"/>
  <c r="AV51" i="9" s="1"/>
  <c r="AU52" i="9"/>
  <c r="AV52" i="9" s="1"/>
  <c r="AU53" i="9"/>
  <c r="AV53" i="9" s="1"/>
  <c r="AU54" i="9"/>
  <c r="AV54" i="9" s="1"/>
  <c r="AU55" i="9"/>
  <c r="AV55" i="9" s="1"/>
  <c r="AU56" i="9"/>
  <c r="AV56" i="9" s="1"/>
  <c r="AU57" i="9"/>
  <c r="AV57" i="9" s="1"/>
  <c r="AU58" i="9"/>
  <c r="AV58" i="9" s="1"/>
  <c r="AU59" i="9"/>
  <c r="AV59" i="9" s="1"/>
  <c r="AU60" i="9"/>
  <c r="AV60" i="9" s="1"/>
  <c r="AU61" i="9"/>
  <c r="AV61" i="9" s="1"/>
  <c r="AU62" i="9"/>
  <c r="AV62" i="9" s="1"/>
  <c r="AU63" i="9"/>
  <c r="AV63" i="9" s="1"/>
  <c r="AU64" i="9"/>
  <c r="AV64" i="9" s="1"/>
  <c r="AU65" i="9"/>
  <c r="AV65" i="9" s="1"/>
  <c r="AU66" i="9"/>
  <c r="AV66" i="9" s="1"/>
  <c r="AU67" i="9"/>
  <c r="AV67" i="9" s="1"/>
  <c r="AU68" i="9"/>
  <c r="AV68" i="9" s="1"/>
  <c r="AU69" i="9"/>
  <c r="AV69" i="9" s="1"/>
  <c r="AU70" i="9"/>
  <c r="AV70" i="9" s="1"/>
  <c r="AU71" i="9"/>
  <c r="AV71" i="9" s="1"/>
  <c r="AU72" i="9"/>
  <c r="AV72" i="9" s="1"/>
  <c r="AU73" i="9"/>
  <c r="AV73" i="9" s="1"/>
  <c r="AU74" i="9"/>
  <c r="AV74" i="9" s="1"/>
  <c r="AU75" i="9"/>
  <c r="AV75" i="9" s="1"/>
  <c r="AU76" i="9"/>
  <c r="AV76" i="9" s="1"/>
  <c r="AU77" i="9"/>
  <c r="AV77" i="9" s="1"/>
  <c r="AU78" i="9"/>
  <c r="AV78" i="9" s="1"/>
  <c r="AU79" i="9"/>
  <c r="AV79" i="9" s="1"/>
  <c r="AU80" i="9"/>
  <c r="AV80" i="9" s="1"/>
  <c r="AU81" i="9"/>
  <c r="AV81" i="9" s="1"/>
  <c r="AU82" i="9"/>
  <c r="AV82" i="9" s="1"/>
  <c r="AU83" i="9"/>
  <c r="AV83" i="9" s="1"/>
  <c r="AU84" i="9"/>
  <c r="AV84" i="9" s="1"/>
  <c r="AU85" i="9"/>
  <c r="AV85" i="9" s="1"/>
  <c r="AU86" i="9"/>
  <c r="AV86" i="9" s="1"/>
  <c r="AU87" i="9"/>
  <c r="AV87" i="9" s="1"/>
  <c r="AU88" i="9"/>
  <c r="AV88" i="9" s="1"/>
  <c r="AU89" i="9"/>
  <c r="AV89" i="9" s="1"/>
  <c r="AU90" i="9"/>
  <c r="AV90" i="9" s="1"/>
  <c r="AU91" i="9"/>
  <c r="AV91" i="9" s="1"/>
  <c r="AU92" i="9"/>
  <c r="AV92" i="9" s="1"/>
  <c r="AU93" i="9"/>
  <c r="AV93" i="9" s="1"/>
  <c r="AU94" i="9"/>
  <c r="AV94" i="9" s="1"/>
  <c r="AU95" i="9"/>
  <c r="AV95" i="9" s="1"/>
  <c r="AU96" i="9"/>
  <c r="AV96" i="9" s="1"/>
  <c r="AU97" i="9"/>
  <c r="AV97" i="9" s="1"/>
  <c r="AU98" i="9"/>
  <c r="AV98" i="9" s="1"/>
  <c r="AU99" i="9"/>
  <c r="AV99" i="9" s="1"/>
  <c r="AU100" i="9"/>
  <c r="AV100" i="9" s="1"/>
  <c r="AU101" i="9"/>
  <c r="AV101" i="9" s="1"/>
  <c r="AU102" i="9"/>
  <c r="AV102" i="9" s="1"/>
  <c r="AU103" i="9"/>
  <c r="AV103" i="9" s="1"/>
  <c r="AU104" i="9"/>
  <c r="AV104" i="9" s="1"/>
  <c r="AU105" i="9"/>
  <c r="AV105" i="9" s="1"/>
  <c r="AU106" i="9"/>
  <c r="AV106" i="9" s="1"/>
  <c r="AU107" i="9"/>
  <c r="AV107" i="9" s="1"/>
  <c r="AU108" i="9"/>
  <c r="AV108" i="9" s="1"/>
  <c r="AU109" i="9"/>
  <c r="AV109" i="9" s="1"/>
  <c r="AU110" i="9"/>
  <c r="AV110" i="9" s="1"/>
  <c r="AU111" i="9"/>
  <c r="AV111" i="9" s="1"/>
  <c r="AU112" i="9"/>
  <c r="AV112" i="9" s="1"/>
  <c r="AU113" i="9"/>
  <c r="AV113" i="9" s="1"/>
  <c r="AU114" i="9"/>
  <c r="AV114" i="9" s="1"/>
  <c r="AU115" i="9"/>
  <c r="AV115" i="9" s="1"/>
  <c r="AU116" i="9"/>
  <c r="AV116" i="9" s="1"/>
  <c r="AU117" i="9"/>
  <c r="AV117" i="9" s="1"/>
  <c r="AU118" i="9"/>
  <c r="AV118" i="9" s="1"/>
  <c r="AU119" i="9"/>
  <c r="AV119" i="9" s="1"/>
  <c r="AU120" i="9"/>
  <c r="AV120" i="9" s="1"/>
  <c r="AU121" i="9"/>
  <c r="AV121" i="9" s="1"/>
  <c r="AU122" i="9"/>
  <c r="AV122" i="9" s="1"/>
  <c r="AU123" i="9"/>
  <c r="AV123" i="9" s="1"/>
  <c r="AU124" i="9"/>
  <c r="AV124" i="9" s="1"/>
  <c r="AU125" i="9"/>
  <c r="AV125" i="9" s="1"/>
  <c r="AU126" i="9"/>
  <c r="AV126" i="9" s="1"/>
  <c r="AU127" i="9"/>
  <c r="AV127" i="9" s="1"/>
  <c r="AU128" i="9"/>
  <c r="AV128" i="9" s="1"/>
  <c r="AU129" i="9"/>
  <c r="AV129" i="9" s="1"/>
  <c r="AU130" i="9"/>
  <c r="AV130" i="9" s="1"/>
  <c r="AU131" i="9"/>
  <c r="AV131" i="9" s="1"/>
  <c r="AU132" i="9"/>
  <c r="AV132" i="9" s="1"/>
  <c r="AU133" i="9"/>
  <c r="AV133" i="9" s="1"/>
  <c r="AU134" i="9"/>
  <c r="AV134" i="9" s="1"/>
  <c r="AU135" i="9"/>
  <c r="AV135" i="9" s="1"/>
  <c r="AU136" i="9"/>
  <c r="AV136" i="9" s="1"/>
  <c r="AU137" i="9"/>
  <c r="AV137" i="9" s="1"/>
  <c r="AU138" i="9"/>
  <c r="AV138" i="9" s="1"/>
  <c r="AU139" i="9"/>
  <c r="AV139" i="9" s="1"/>
  <c r="AU140" i="9"/>
  <c r="AV140" i="9" s="1"/>
  <c r="AU141" i="9"/>
  <c r="AV141" i="9" s="1"/>
  <c r="AU142" i="9"/>
  <c r="AV142" i="9" s="1"/>
  <c r="AU143" i="9"/>
  <c r="AV143" i="9" s="1"/>
  <c r="AU144" i="9"/>
  <c r="AV144" i="9" s="1"/>
  <c r="AU145" i="9"/>
  <c r="AV145" i="9" s="1"/>
  <c r="AU146" i="9"/>
  <c r="AV146" i="9" s="1"/>
  <c r="AU147" i="9"/>
  <c r="AV147" i="9" s="1"/>
  <c r="AU148" i="9"/>
  <c r="AV148" i="9" s="1"/>
  <c r="AU149" i="9"/>
  <c r="AV149" i="9" s="1"/>
  <c r="AU150" i="9"/>
  <c r="AV150" i="9" s="1"/>
  <c r="AU151" i="9"/>
  <c r="AV151" i="9" s="1"/>
  <c r="AU152" i="9"/>
  <c r="AV152" i="9" s="1"/>
  <c r="AU153" i="9"/>
  <c r="AV153" i="9" s="1"/>
  <c r="AU154" i="9"/>
  <c r="AV154" i="9" s="1"/>
  <c r="AU155" i="9"/>
  <c r="AV155" i="9" s="1"/>
  <c r="AU156" i="9"/>
  <c r="AV156" i="9" s="1"/>
  <c r="AU157" i="9"/>
  <c r="AV157" i="9" s="1"/>
  <c r="AU158" i="9"/>
  <c r="AV158" i="9" s="1"/>
  <c r="AU159" i="9"/>
  <c r="AV159" i="9" s="1"/>
  <c r="AU160" i="9"/>
  <c r="AV160" i="9" s="1"/>
  <c r="AU161" i="9"/>
  <c r="AV161" i="9" s="1"/>
  <c r="AU162" i="9"/>
  <c r="AV162" i="9" s="1"/>
  <c r="AU163" i="9"/>
  <c r="AV163" i="9" s="1"/>
  <c r="AU164" i="9"/>
  <c r="AV164" i="9" s="1"/>
  <c r="AU165" i="9"/>
  <c r="AV165" i="9" s="1"/>
  <c r="AU166" i="9"/>
  <c r="AV166" i="9" s="1"/>
  <c r="AU167" i="9"/>
  <c r="AV167" i="9" s="1"/>
  <c r="AU168" i="9"/>
  <c r="AV168" i="9" s="1"/>
  <c r="AU169" i="9"/>
  <c r="AV169" i="9" s="1"/>
  <c r="AU170" i="9"/>
  <c r="AV170" i="9" s="1"/>
  <c r="AU171" i="9"/>
  <c r="AV171" i="9" s="1"/>
  <c r="AU172" i="9"/>
  <c r="AV172" i="9" s="1"/>
  <c r="AU173" i="9"/>
  <c r="AV173" i="9" s="1"/>
  <c r="AU174" i="9"/>
  <c r="AV174" i="9" s="1"/>
  <c r="AU175" i="9"/>
  <c r="AV175" i="9" s="1"/>
  <c r="AU176" i="9"/>
  <c r="AV176" i="9" s="1"/>
  <c r="AU177" i="9"/>
  <c r="AV177" i="9" s="1"/>
  <c r="AU178" i="9"/>
  <c r="AV178" i="9" s="1"/>
  <c r="AU179" i="9"/>
  <c r="AV179" i="9" s="1"/>
  <c r="AU180" i="9"/>
  <c r="AV180" i="9" s="1"/>
  <c r="AU181" i="9"/>
  <c r="AV181" i="9" s="1"/>
  <c r="AU182" i="9"/>
  <c r="AV182" i="9" s="1"/>
  <c r="AU183" i="9"/>
  <c r="AV183" i="9" s="1"/>
  <c r="AU184" i="9"/>
  <c r="AV184" i="9" s="1"/>
  <c r="AU185" i="9"/>
  <c r="AV185" i="9" s="1"/>
  <c r="AU186" i="9"/>
  <c r="AV186" i="9" s="1"/>
  <c r="AU187" i="9"/>
  <c r="AV187" i="9" s="1"/>
  <c r="AU188" i="9"/>
  <c r="AV188" i="9" s="1"/>
  <c r="AU189" i="9"/>
  <c r="AV189" i="9" s="1"/>
  <c r="AU190" i="9"/>
  <c r="AV190" i="9" s="1"/>
  <c r="AU191" i="9"/>
  <c r="AV191" i="9" s="1"/>
  <c r="AU192" i="9"/>
  <c r="AV192" i="9" s="1"/>
  <c r="AU193" i="9"/>
  <c r="AV193" i="9" s="1"/>
  <c r="AU194" i="9"/>
  <c r="AV194" i="9" s="1"/>
  <c r="AU195" i="9"/>
  <c r="AV195" i="9" s="1"/>
  <c r="AU196" i="9"/>
  <c r="AV196" i="9" s="1"/>
  <c r="AU197" i="9"/>
  <c r="AV197" i="9" s="1"/>
  <c r="AU198" i="9"/>
  <c r="AV198" i="9" s="1"/>
  <c r="AU199" i="9"/>
  <c r="AV199" i="9" s="1"/>
  <c r="AU200" i="9"/>
  <c r="AV200" i="9" s="1"/>
  <c r="AU201" i="9"/>
  <c r="AV201" i="9" s="1"/>
  <c r="AU202" i="9"/>
  <c r="AV202" i="9" s="1"/>
  <c r="AU203" i="9"/>
  <c r="AV203" i="9" s="1"/>
  <c r="AU204" i="9"/>
  <c r="AV204" i="9" s="1"/>
  <c r="AU205" i="9"/>
  <c r="AV205" i="9" s="1"/>
  <c r="AU206" i="9"/>
  <c r="AV206" i="9" s="1"/>
  <c r="AU207" i="9"/>
  <c r="AV207" i="9" s="1"/>
  <c r="AU208" i="9"/>
  <c r="AV208" i="9" s="1"/>
  <c r="AU209" i="9"/>
  <c r="AV209" i="9" s="1"/>
  <c r="AU210" i="9"/>
  <c r="AV210" i="9" s="1"/>
  <c r="AU211" i="9"/>
  <c r="AV211" i="9" s="1"/>
  <c r="AU212" i="9"/>
  <c r="AV212" i="9" s="1"/>
  <c r="AU213" i="9"/>
  <c r="AV213" i="9" s="1"/>
  <c r="AU214" i="9"/>
  <c r="AV214" i="9" s="1"/>
  <c r="AU215" i="9"/>
  <c r="AV215" i="9" s="1"/>
  <c r="AU216" i="9"/>
  <c r="AV216" i="9" s="1"/>
  <c r="AU217" i="9"/>
  <c r="AV217" i="9" s="1"/>
  <c r="AU218" i="9"/>
  <c r="AV218" i="9" s="1"/>
  <c r="AU219" i="9"/>
  <c r="AV219" i="9" s="1"/>
  <c r="AU220" i="9"/>
  <c r="AV220" i="9" s="1"/>
  <c r="AU221" i="9"/>
  <c r="AV221" i="9" s="1"/>
  <c r="AU222" i="9"/>
  <c r="AV222" i="9" s="1"/>
  <c r="AU223" i="9"/>
  <c r="AV223" i="9" s="1"/>
  <c r="AU224" i="9"/>
  <c r="AV224" i="9" s="1"/>
  <c r="AU225" i="9"/>
  <c r="AV225" i="9" s="1"/>
  <c r="AU226" i="9"/>
  <c r="AV226" i="9" s="1"/>
  <c r="AU227" i="9"/>
  <c r="AV227" i="9" s="1"/>
  <c r="AU228" i="9"/>
  <c r="AV228" i="9" s="1"/>
  <c r="AU229" i="9"/>
  <c r="AV229" i="9" s="1"/>
  <c r="AU230" i="9"/>
  <c r="AV230" i="9" s="1"/>
  <c r="AU231" i="9"/>
  <c r="AV231" i="9" s="1"/>
  <c r="AU232" i="9"/>
  <c r="AV232" i="9" s="1"/>
  <c r="AU233" i="9"/>
  <c r="AV233" i="9" s="1"/>
  <c r="AU234" i="9"/>
  <c r="AV234" i="9" s="1"/>
  <c r="AU235" i="9"/>
  <c r="AV235" i="9" s="1"/>
  <c r="AU236" i="9"/>
  <c r="AV236" i="9" s="1"/>
  <c r="AU237" i="9"/>
  <c r="AV237" i="9" s="1"/>
  <c r="AU238" i="9"/>
  <c r="AV238" i="9" s="1"/>
  <c r="AU239" i="9"/>
  <c r="AV239" i="9" s="1"/>
  <c r="AU240" i="9"/>
  <c r="AV240" i="9" s="1"/>
  <c r="AU241" i="9"/>
  <c r="AV241" i="9" s="1"/>
  <c r="AU242" i="9"/>
  <c r="AV242" i="9" s="1"/>
  <c r="AU243" i="9"/>
  <c r="AV243" i="9" s="1"/>
  <c r="AU244" i="9"/>
  <c r="AV244" i="9" s="1"/>
  <c r="AU245" i="9"/>
  <c r="AV245" i="9" s="1"/>
  <c r="AU246" i="9"/>
  <c r="AV246" i="9" s="1"/>
  <c r="AU247" i="9"/>
  <c r="AV247" i="9" s="1"/>
  <c r="AU248" i="9"/>
  <c r="AV248" i="9" s="1"/>
  <c r="AU249" i="9"/>
  <c r="AV249" i="9" s="1"/>
  <c r="AU250" i="9"/>
  <c r="AV250" i="9" s="1"/>
  <c r="AU251" i="9"/>
  <c r="AV251" i="9" s="1"/>
  <c r="AU252" i="9"/>
  <c r="AV252" i="9" s="1"/>
  <c r="AU253" i="9"/>
  <c r="AV253" i="9" s="1"/>
  <c r="AU254" i="9"/>
  <c r="AV254" i="9" s="1"/>
  <c r="AU255" i="9"/>
  <c r="AV255" i="9" s="1"/>
  <c r="AU256" i="9"/>
  <c r="AV256" i="9" s="1"/>
  <c r="AU257" i="9"/>
  <c r="AV257" i="9" s="1"/>
  <c r="AU258" i="9"/>
  <c r="AV258" i="9" s="1"/>
  <c r="AU259" i="9"/>
  <c r="AV259" i="9" s="1"/>
  <c r="AU260" i="9"/>
  <c r="AV260" i="9" s="1"/>
  <c r="AU261" i="9"/>
  <c r="AV261" i="9" s="1"/>
  <c r="AU262" i="9"/>
  <c r="AV262" i="9" s="1"/>
  <c r="AU263" i="9"/>
  <c r="AV263" i="9" s="1"/>
  <c r="AU264" i="9"/>
  <c r="AV264" i="9" s="1"/>
  <c r="AU265" i="9"/>
  <c r="AV265" i="9" s="1"/>
  <c r="AU266" i="9"/>
  <c r="AV266" i="9" s="1"/>
  <c r="AU267" i="9"/>
  <c r="AV267" i="9" s="1"/>
  <c r="AU268" i="9"/>
  <c r="AV268" i="9" s="1"/>
  <c r="AU269" i="9"/>
  <c r="AV269" i="9" s="1"/>
  <c r="AU270" i="9"/>
  <c r="AV270" i="9" s="1"/>
  <c r="AU271" i="9"/>
  <c r="AV271" i="9" s="1"/>
  <c r="AU272" i="9"/>
  <c r="AV272" i="9" s="1"/>
  <c r="AU273" i="9"/>
  <c r="AV273" i="9" s="1"/>
  <c r="AU274" i="9"/>
  <c r="AV274" i="9" s="1"/>
  <c r="AU275" i="9"/>
  <c r="AV275" i="9" s="1"/>
  <c r="AU276" i="9"/>
  <c r="AV276" i="9" s="1"/>
  <c r="AU277" i="9"/>
  <c r="AV277" i="9" s="1"/>
  <c r="AU278" i="9"/>
  <c r="AV278" i="9" s="1"/>
  <c r="AU279" i="9"/>
  <c r="AV279" i="9" s="1"/>
  <c r="AU280" i="9"/>
  <c r="AV280" i="9" s="1"/>
  <c r="AU281" i="9"/>
  <c r="AV281" i="9" s="1"/>
  <c r="AU282" i="9"/>
  <c r="AV282" i="9" s="1"/>
  <c r="AU283" i="9"/>
  <c r="AV283" i="9" s="1"/>
  <c r="AU284" i="9"/>
  <c r="AV284" i="9" s="1"/>
  <c r="AU285" i="9"/>
  <c r="AV285" i="9" s="1"/>
  <c r="AU286" i="9"/>
  <c r="AV286" i="9" s="1"/>
  <c r="AU287" i="9"/>
  <c r="AV287" i="9" s="1"/>
  <c r="AU288" i="9"/>
  <c r="AV288" i="9" s="1"/>
  <c r="AU289" i="9"/>
  <c r="AV289" i="9" s="1"/>
  <c r="AU290" i="9"/>
  <c r="AV290" i="9" s="1"/>
  <c r="AU291" i="9"/>
  <c r="AV291" i="9" s="1"/>
  <c r="AU292" i="9"/>
  <c r="AV292" i="9" s="1"/>
  <c r="AU293" i="9"/>
  <c r="AV293" i="9" s="1"/>
  <c r="AU294" i="9"/>
  <c r="AV294" i="9" s="1"/>
  <c r="AU295" i="9"/>
  <c r="AV295" i="9" s="1"/>
  <c r="AU296" i="9"/>
  <c r="AV296" i="9" s="1"/>
  <c r="AU297" i="9"/>
  <c r="AV297" i="9" s="1"/>
  <c r="AU298" i="9"/>
  <c r="AV298" i="9" s="1"/>
  <c r="AU299" i="9"/>
  <c r="AV299" i="9" s="1"/>
  <c r="AU300" i="9"/>
  <c r="AV300" i="9" s="1"/>
  <c r="AU301" i="9"/>
  <c r="AV301" i="9" s="1"/>
  <c r="AU302" i="9"/>
  <c r="AV302" i="9" s="1"/>
  <c r="AU303" i="9"/>
  <c r="AV303" i="9" s="1"/>
  <c r="AU304" i="9"/>
  <c r="AV304" i="9" s="1"/>
  <c r="AU305" i="9"/>
  <c r="AV305" i="9" s="1"/>
  <c r="AU306" i="9"/>
  <c r="AV306" i="9" s="1"/>
  <c r="AU307" i="9"/>
  <c r="AV307" i="9" s="1"/>
  <c r="AU308" i="9"/>
  <c r="AV308" i="9" s="1"/>
  <c r="AU309" i="9"/>
  <c r="AV309" i="9" s="1"/>
  <c r="AU310" i="9"/>
  <c r="AV310" i="9" s="1"/>
  <c r="AU311" i="9"/>
  <c r="AV311" i="9" s="1"/>
  <c r="AU312" i="9"/>
  <c r="AV312" i="9" s="1"/>
  <c r="AU313" i="9"/>
  <c r="AV313" i="9" s="1"/>
  <c r="AU314" i="9"/>
  <c r="AV314" i="9" s="1"/>
  <c r="AU315" i="9"/>
  <c r="AV315" i="9" s="1"/>
  <c r="AU316" i="9"/>
  <c r="AV316" i="9" s="1"/>
  <c r="AU317" i="9"/>
  <c r="AV317" i="9" s="1"/>
  <c r="AU318" i="9"/>
  <c r="AV318" i="9" s="1"/>
  <c r="AU319" i="9"/>
  <c r="AV319" i="9" s="1"/>
  <c r="AU320" i="9"/>
  <c r="AV320" i="9" s="1"/>
  <c r="AU321" i="9"/>
  <c r="AV321" i="9" s="1"/>
  <c r="AU322" i="9"/>
  <c r="AV322" i="9" s="1"/>
  <c r="AU323" i="9"/>
  <c r="AV323" i="9" s="1"/>
  <c r="AU324" i="9"/>
  <c r="AV324" i="9" s="1"/>
  <c r="AU325" i="9"/>
  <c r="AV325" i="9" s="1"/>
  <c r="AU326" i="9"/>
  <c r="AV326" i="9" s="1"/>
  <c r="AU327" i="9"/>
  <c r="AV327" i="9" s="1"/>
  <c r="AU328" i="9"/>
  <c r="AV328" i="9" s="1"/>
  <c r="AU329" i="9"/>
  <c r="AV329" i="9" s="1"/>
  <c r="AU330" i="9"/>
  <c r="AV330" i="9" s="1"/>
  <c r="AU331" i="9"/>
  <c r="AV331" i="9" s="1"/>
  <c r="AU332" i="9"/>
  <c r="AV332" i="9" s="1"/>
  <c r="AU333" i="9"/>
  <c r="AV333" i="9" s="1"/>
  <c r="AU334" i="9"/>
  <c r="AV334" i="9" s="1"/>
  <c r="AU335" i="9"/>
  <c r="AV335" i="9" s="1"/>
  <c r="AU336" i="9"/>
  <c r="AV336" i="9" s="1"/>
  <c r="AU337" i="9"/>
  <c r="AV337" i="9" s="1"/>
  <c r="AU338" i="9"/>
  <c r="AV338" i="9" s="1"/>
  <c r="AU339" i="9"/>
  <c r="AV339" i="9" s="1"/>
  <c r="AU340" i="9"/>
  <c r="AV340" i="9" s="1"/>
  <c r="AU341" i="9"/>
  <c r="AV341" i="9" s="1"/>
  <c r="AU342" i="9"/>
  <c r="AV342" i="9" s="1"/>
  <c r="AU343" i="9"/>
  <c r="AV343" i="9" s="1"/>
  <c r="AU344" i="9"/>
  <c r="AV344" i="9" s="1"/>
  <c r="AU345" i="9"/>
  <c r="AV345" i="9" s="1"/>
  <c r="AU346" i="9"/>
  <c r="AV346" i="9" s="1"/>
  <c r="AU347" i="9"/>
  <c r="AV347" i="9" s="1"/>
  <c r="AU348" i="9"/>
  <c r="AV348" i="9" s="1"/>
  <c r="AU349" i="9"/>
  <c r="AV349" i="9" s="1"/>
  <c r="AU350" i="9"/>
  <c r="AV350" i="9" s="1"/>
  <c r="AU351" i="9"/>
  <c r="AV351" i="9" s="1"/>
  <c r="AU352" i="9"/>
  <c r="AV352" i="9" s="1"/>
  <c r="AU353" i="9"/>
  <c r="AV353" i="9" s="1"/>
  <c r="AU354" i="9"/>
  <c r="AV354" i="9" s="1"/>
  <c r="AU355" i="9"/>
  <c r="AV355" i="9" s="1"/>
  <c r="AU356" i="9"/>
  <c r="AV356" i="9" s="1"/>
  <c r="AU357" i="9"/>
  <c r="AV357" i="9" s="1"/>
  <c r="AU358" i="9"/>
  <c r="AV358" i="9" s="1"/>
  <c r="AU359" i="9"/>
  <c r="AV359" i="9" s="1"/>
  <c r="AU360" i="9"/>
  <c r="AV360" i="9" s="1"/>
  <c r="AU361" i="9"/>
  <c r="AV361" i="9" s="1"/>
  <c r="AU362" i="9"/>
  <c r="AV362" i="9" s="1"/>
  <c r="AU363" i="9"/>
  <c r="AV363" i="9" s="1"/>
  <c r="AU364" i="9"/>
  <c r="AV364" i="9" s="1"/>
  <c r="AU365" i="9"/>
  <c r="AV365" i="9" s="1"/>
  <c r="AU366" i="9"/>
  <c r="AV366" i="9" s="1"/>
  <c r="AU367" i="9"/>
  <c r="AV367" i="9" s="1"/>
  <c r="AU368" i="9"/>
  <c r="AV368" i="9" s="1"/>
  <c r="AU369" i="9"/>
  <c r="AV369" i="9" s="1"/>
  <c r="AU370" i="9"/>
  <c r="AV370" i="9" s="1"/>
  <c r="AU371" i="9"/>
  <c r="AV371" i="9" s="1"/>
  <c r="AU372" i="9"/>
  <c r="AV372" i="9" s="1"/>
  <c r="AU373" i="9"/>
  <c r="AV373" i="9" s="1"/>
  <c r="AU374" i="9"/>
  <c r="AV374" i="9" s="1"/>
  <c r="AU375" i="9"/>
  <c r="AV375" i="9" s="1"/>
  <c r="AU376" i="9"/>
  <c r="AV376" i="9" s="1"/>
  <c r="AU377" i="9"/>
  <c r="AV377" i="9" s="1"/>
  <c r="AU378" i="9"/>
  <c r="AV378" i="9" s="1"/>
  <c r="AU379" i="9"/>
  <c r="AV379" i="9" s="1"/>
  <c r="AU380" i="9"/>
  <c r="AV380" i="9" s="1"/>
  <c r="AU381" i="9"/>
  <c r="AV381" i="9" s="1"/>
  <c r="AU382" i="9"/>
  <c r="AV382" i="9" s="1"/>
  <c r="AU383" i="9"/>
  <c r="AV383" i="9" s="1"/>
  <c r="AU384" i="9"/>
  <c r="AV384" i="9" s="1"/>
  <c r="AU385" i="9"/>
  <c r="AV385" i="9" s="1"/>
  <c r="AU386" i="9"/>
  <c r="AV386" i="9" s="1"/>
  <c r="AU387" i="9"/>
  <c r="AV387" i="9" s="1"/>
  <c r="AU388" i="9"/>
  <c r="AV388" i="9" s="1"/>
  <c r="AU389" i="9"/>
  <c r="AV389" i="9" s="1"/>
  <c r="AU390" i="9"/>
  <c r="AV390" i="9" s="1"/>
  <c r="AU391" i="9"/>
  <c r="AV391" i="9" s="1"/>
  <c r="AU392" i="9"/>
  <c r="AV392" i="9" s="1"/>
  <c r="AU393" i="9"/>
  <c r="AV393" i="9" s="1"/>
  <c r="AU394" i="9"/>
  <c r="AV394" i="9" s="1"/>
  <c r="AU395" i="9"/>
  <c r="AV395" i="9" s="1"/>
  <c r="AU396" i="9"/>
  <c r="AV396" i="9" s="1"/>
  <c r="AU397" i="9"/>
  <c r="AV397" i="9" s="1"/>
  <c r="AU398" i="9"/>
  <c r="AV398" i="9" s="1"/>
  <c r="AU399" i="9"/>
  <c r="AV399" i="9" s="1"/>
  <c r="AU400" i="9"/>
  <c r="AV400" i="9" s="1"/>
  <c r="AU401" i="9"/>
  <c r="AV401" i="9" s="1"/>
  <c r="AU402" i="9"/>
  <c r="AV402" i="9" s="1"/>
  <c r="AU403" i="9"/>
  <c r="AV403" i="9" s="1"/>
  <c r="AU404" i="9"/>
  <c r="AV404" i="9" s="1"/>
  <c r="AU405" i="9"/>
  <c r="AV405" i="9" s="1"/>
  <c r="AU406" i="9"/>
  <c r="AV406" i="9" s="1"/>
  <c r="AU407" i="9"/>
  <c r="AV407" i="9" s="1"/>
  <c r="AU408" i="9"/>
  <c r="AV408" i="9" s="1"/>
  <c r="AU409" i="9"/>
  <c r="AV409" i="9" s="1"/>
  <c r="AU410" i="9"/>
  <c r="AV410" i="9" s="1"/>
  <c r="AU411" i="9"/>
  <c r="AV411" i="9" s="1"/>
  <c r="AU412" i="9"/>
  <c r="AV412" i="9" s="1"/>
  <c r="AP2" i="10"/>
  <c r="AP3" i="10"/>
  <c r="AP4" i="10"/>
  <c r="AQ4" i="10" s="1"/>
  <c r="AP5" i="10"/>
  <c r="AQ5" i="10" s="1"/>
  <c r="AP6" i="10"/>
  <c r="AQ6" i="10" s="1"/>
  <c r="AP7" i="10"/>
  <c r="AQ7" i="10" s="1"/>
  <c r="AP8" i="10"/>
  <c r="AQ8" i="10" s="1"/>
  <c r="AP9" i="10"/>
  <c r="AQ9" i="10" s="1"/>
  <c r="AP10" i="10"/>
  <c r="AQ10" i="10" s="1"/>
  <c r="AP11" i="10"/>
  <c r="AQ11" i="10" s="1"/>
  <c r="AP12" i="10"/>
  <c r="AQ12" i="10" s="1"/>
  <c r="AP13" i="10"/>
  <c r="AQ13" i="10" s="1"/>
  <c r="AP14" i="10"/>
  <c r="AQ14" i="10" s="1"/>
  <c r="AP15" i="10"/>
  <c r="AQ15" i="10" s="1"/>
  <c r="AP16" i="10"/>
  <c r="AQ16" i="10" s="1"/>
  <c r="AP17" i="10"/>
  <c r="AQ17" i="10" s="1"/>
  <c r="AP18" i="10"/>
  <c r="AQ18" i="10" s="1"/>
  <c r="AP19" i="10"/>
  <c r="AQ19" i="10" s="1"/>
  <c r="AP20" i="10"/>
  <c r="AQ20" i="10" s="1"/>
  <c r="AP21" i="10"/>
  <c r="AQ21" i="10" s="1"/>
  <c r="AP22" i="10"/>
  <c r="AQ22" i="10" s="1"/>
  <c r="AP23" i="10"/>
  <c r="AQ23" i="10" s="1"/>
  <c r="AP24" i="10"/>
  <c r="AQ24" i="10" s="1"/>
  <c r="AP25" i="10"/>
  <c r="AQ25" i="10" s="1"/>
  <c r="AP26" i="10"/>
  <c r="AQ26" i="10" s="1"/>
  <c r="AP27" i="10"/>
  <c r="AQ27" i="10" s="1"/>
  <c r="AP28" i="10"/>
  <c r="AQ28" i="10" s="1"/>
  <c r="AP29" i="10"/>
  <c r="AQ29" i="10" s="1"/>
  <c r="AP30" i="10"/>
  <c r="AQ30" i="10" s="1"/>
  <c r="AP31" i="10"/>
  <c r="AQ31" i="10" s="1"/>
  <c r="AP32" i="10"/>
  <c r="AQ32" i="10" s="1"/>
  <c r="AP33" i="10"/>
  <c r="AQ33" i="10" s="1"/>
  <c r="AP34" i="10"/>
  <c r="AQ34" i="10" s="1"/>
  <c r="AP35" i="10"/>
  <c r="AQ35" i="10" s="1"/>
  <c r="AP36" i="10"/>
  <c r="AQ36" i="10" s="1"/>
  <c r="AP37" i="10"/>
  <c r="AQ37" i="10" s="1"/>
  <c r="AP38" i="10"/>
  <c r="AQ38" i="10" s="1"/>
  <c r="AP39" i="10"/>
  <c r="AQ39" i="10" s="1"/>
  <c r="AP40" i="10"/>
  <c r="AQ40" i="10" s="1"/>
  <c r="AP41" i="10"/>
  <c r="AQ41" i="10" s="1"/>
  <c r="AP42" i="10"/>
  <c r="AQ42" i="10" s="1"/>
  <c r="AP43" i="10"/>
  <c r="AQ43" i="10" s="1"/>
  <c r="AP44" i="10"/>
  <c r="AQ44" i="10" s="1"/>
  <c r="AP45" i="10"/>
  <c r="AQ45" i="10" s="1"/>
  <c r="AP46" i="10"/>
  <c r="AQ46" i="10" s="1"/>
  <c r="AP47" i="10"/>
  <c r="AQ47" i="10" s="1"/>
  <c r="AP48" i="10"/>
  <c r="AQ48" i="10" s="1"/>
  <c r="AP49" i="10"/>
  <c r="AQ49" i="10" s="1"/>
  <c r="AP50" i="10"/>
  <c r="AQ50" i="10" s="1"/>
  <c r="AP51" i="10"/>
  <c r="AQ51" i="10" s="1"/>
  <c r="AP52" i="10"/>
  <c r="AQ52" i="10" s="1"/>
  <c r="AP53" i="10"/>
  <c r="AQ53" i="10" s="1"/>
  <c r="AP54" i="10"/>
  <c r="AQ54" i="10" s="1"/>
  <c r="AP55" i="10"/>
  <c r="AQ55" i="10" s="1"/>
  <c r="AP56" i="10"/>
  <c r="AQ56" i="10" s="1"/>
  <c r="AP57" i="10"/>
  <c r="AQ57" i="10" s="1"/>
  <c r="AP58" i="10"/>
  <c r="AQ58" i="10" s="1"/>
  <c r="AP59" i="10"/>
  <c r="AQ59" i="10" s="1"/>
  <c r="AP60" i="10"/>
  <c r="AQ60" i="10" s="1"/>
  <c r="AP61" i="10"/>
  <c r="AQ61" i="10" s="1"/>
  <c r="AP62" i="10"/>
  <c r="AQ62" i="10" s="1"/>
  <c r="AP63" i="10"/>
  <c r="AQ63" i="10" s="1"/>
  <c r="AP64" i="10"/>
  <c r="AQ64" i="10" s="1"/>
  <c r="AP65" i="10"/>
  <c r="AQ65" i="10" s="1"/>
  <c r="AP66" i="10"/>
  <c r="AQ66" i="10" s="1"/>
  <c r="AP67" i="10"/>
  <c r="AQ67" i="10" s="1"/>
  <c r="AP68" i="10"/>
  <c r="AQ68" i="10" s="1"/>
  <c r="AP69" i="10"/>
  <c r="AQ69" i="10" s="1"/>
  <c r="AP70" i="10"/>
  <c r="AQ70" i="10" s="1"/>
  <c r="AP71" i="10"/>
  <c r="AQ71" i="10" s="1"/>
  <c r="AP72" i="10"/>
  <c r="AQ72" i="10" s="1"/>
  <c r="AP73" i="10"/>
  <c r="AQ73" i="10" s="1"/>
  <c r="AP74" i="10"/>
  <c r="AQ74" i="10" s="1"/>
  <c r="AP75" i="10"/>
  <c r="AQ75" i="10" s="1"/>
  <c r="AP76" i="10"/>
  <c r="AQ76" i="10" s="1"/>
  <c r="AP77" i="10"/>
  <c r="AQ77" i="10" s="1"/>
  <c r="AP78" i="10"/>
  <c r="AQ78" i="10" s="1"/>
  <c r="AP79" i="10"/>
  <c r="AQ79" i="10" s="1"/>
  <c r="AP80" i="10"/>
  <c r="AQ80" i="10" s="1"/>
  <c r="AP81" i="10"/>
  <c r="AQ81" i="10" s="1"/>
  <c r="AP82" i="10"/>
  <c r="AQ82" i="10" s="1"/>
  <c r="AP83" i="10"/>
  <c r="AQ83" i="10" s="1"/>
  <c r="AP84" i="10"/>
  <c r="AQ84" i="10" s="1"/>
  <c r="AP85" i="10"/>
  <c r="AQ85" i="10" s="1"/>
  <c r="AP86" i="10"/>
  <c r="AQ86" i="10" s="1"/>
  <c r="AP87" i="10"/>
  <c r="AQ87" i="10" s="1"/>
  <c r="AP88" i="10"/>
  <c r="AQ88" i="10" s="1"/>
  <c r="AP89" i="10"/>
  <c r="AQ89" i="10" s="1"/>
  <c r="AP90" i="10"/>
  <c r="AQ90" i="10" s="1"/>
  <c r="AP91" i="10"/>
  <c r="AQ91" i="10" s="1"/>
  <c r="AP92" i="10"/>
  <c r="AQ92" i="10" s="1"/>
  <c r="AP93" i="10"/>
  <c r="AQ93" i="10" s="1"/>
  <c r="AP94" i="10"/>
  <c r="AQ94" i="10" s="1"/>
  <c r="AP95" i="10"/>
  <c r="AQ95" i="10" s="1"/>
  <c r="AP96" i="10"/>
  <c r="AQ96" i="10" s="1"/>
  <c r="AP97" i="10"/>
  <c r="AQ97" i="10" s="1"/>
  <c r="AP98" i="10"/>
  <c r="AQ98" i="10" s="1"/>
  <c r="AP99" i="10"/>
  <c r="AQ99" i="10" s="1"/>
  <c r="AP100" i="10"/>
  <c r="AQ100" i="10" s="1"/>
  <c r="AP101" i="10"/>
  <c r="AQ101" i="10" s="1"/>
  <c r="AP102" i="10"/>
  <c r="AQ102" i="10" s="1"/>
  <c r="AP103" i="10"/>
  <c r="AQ103" i="10" s="1"/>
  <c r="AP104" i="10"/>
  <c r="AQ104" i="10" s="1"/>
  <c r="AP105" i="10"/>
  <c r="AQ105" i="10" s="1"/>
  <c r="AP106" i="10"/>
  <c r="AQ106" i="10" s="1"/>
  <c r="AP107" i="10"/>
  <c r="AQ107" i="10" s="1"/>
  <c r="AP108" i="10"/>
  <c r="AQ108" i="10" s="1"/>
  <c r="AP109" i="10"/>
  <c r="AQ109" i="10" s="1"/>
  <c r="AP110" i="10"/>
  <c r="AQ110" i="10" s="1"/>
  <c r="AP111" i="10"/>
  <c r="AQ111" i="10" s="1"/>
  <c r="AP112" i="10"/>
  <c r="AQ112" i="10" s="1"/>
  <c r="AP113" i="10"/>
  <c r="AQ113" i="10" s="1"/>
  <c r="AP114" i="10"/>
  <c r="AQ114" i="10" s="1"/>
  <c r="AP115" i="10"/>
  <c r="AQ115" i="10" s="1"/>
  <c r="AP116" i="10"/>
  <c r="AQ116" i="10" s="1"/>
  <c r="AP117" i="10"/>
  <c r="AQ117" i="10" s="1"/>
  <c r="AP118" i="10"/>
  <c r="AQ118" i="10" s="1"/>
  <c r="AP119" i="10"/>
  <c r="AQ119" i="10" s="1"/>
  <c r="AP120" i="10"/>
  <c r="AQ120" i="10" s="1"/>
  <c r="AP121" i="10"/>
  <c r="AQ121" i="10" s="1"/>
  <c r="AP122" i="10"/>
  <c r="AQ122" i="10" s="1"/>
  <c r="AP123" i="10"/>
  <c r="AQ123" i="10" s="1"/>
  <c r="AP124" i="10"/>
  <c r="AQ124" i="10" s="1"/>
  <c r="AP125" i="10"/>
  <c r="AQ125" i="10" s="1"/>
  <c r="AP126" i="10"/>
  <c r="AQ126" i="10" s="1"/>
  <c r="AP127" i="10"/>
  <c r="AQ127" i="10" s="1"/>
  <c r="AP128" i="10"/>
  <c r="AQ128" i="10" s="1"/>
  <c r="AP129" i="10"/>
  <c r="AQ129" i="10" s="1"/>
  <c r="AP130" i="10"/>
  <c r="AQ130" i="10" s="1"/>
  <c r="AP131" i="10"/>
  <c r="AQ131" i="10" s="1"/>
  <c r="AP132" i="10"/>
  <c r="AQ132" i="10" s="1"/>
  <c r="AP133" i="10"/>
  <c r="AQ133" i="10" s="1"/>
  <c r="AP134" i="10"/>
  <c r="AQ134" i="10" s="1"/>
  <c r="AP135" i="10"/>
  <c r="AQ135" i="10" s="1"/>
  <c r="AP136" i="10"/>
  <c r="AQ136" i="10" s="1"/>
  <c r="AP137" i="10"/>
  <c r="AQ137" i="10" s="1"/>
  <c r="AP138" i="10"/>
  <c r="AQ138" i="10" s="1"/>
  <c r="AP139" i="10"/>
  <c r="AQ139" i="10" s="1"/>
  <c r="AP140" i="10"/>
  <c r="AQ140" i="10" s="1"/>
  <c r="AP141" i="10"/>
  <c r="AQ141" i="10" s="1"/>
  <c r="AP142" i="10"/>
  <c r="AQ142" i="10" s="1"/>
  <c r="AP143" i="10"/>
  <c r="AQ143" i="10" s="1"/>
  <c r="AP144" i="10"/>
  <c r="AQ144" i="10" s="1"/>
  <c r="AP145" i="10"/>
  <c r="AQ145" i="10" s="1"/>
  <c r="AP146" i="10"/>
  <c r="AQ146" i="10" s="1"/>
  <c r="AP147" i="10"/>
  <c r="AQ147" i="10" s="1"/>
  <c r="AP148" i="10"/>
  <c r="AQ148" i="10" s="1"/>
  <c r="AP149" i="10"/>
  <c r="AQ149" i="10" s="1"/>
  <c r="AP150" i="10"/>
  <c r="AQ150" i="10" s="1"/>
  <c r="AP151" i="10"/>
  <c r="AQ151" i="10" s="1"/>
  <c r="AP152" i="10"/>
  <c r="AQ152" i="10" s="1"/>
  <c r="AP153" i="10"/>
  <c r="AQ153" i="10" s="1"/>
  <c r="AP154" i="10"/>
  <c r="AQ154" i="10" s="1"/>
  <c r="AP155" i="10"/>
  <c r="AQ155" i="10" s="1"/>
  <c r="AP156" i="10"/>
  <c r="AQ156" i="10" s="1"/>
  <c r="AP157" i="10"/>
  <c r="AQ157" i="10" s="1"/>
  <c r="AP158" i="10"/>
  <c r="AQ158" i="10" s="1"/>
  <c r="AP159" i="10"/>
  <c r="AQ159" i="10" s="1"/>
  <c r="AP160" i="10"/>
  <c r="AQ160" i="10" s="1"/>
  <c r="AP161" i="10"/>
  <c r="AQ161" i="10" s="1"/>
  <c r="AP162" i="10"/>
  <c r="AQ162" i="10" s="1"/>
  <c r="AP163" i="10"/>
  <c r="AQ163" i="10" s="1"/>
  <c r="AP164" i="10"/>
  <c r="AQ164" i="10" s="1"/>
  <c r="AP165" i="10"/>
  <c r="AQ165" i="10" s="1"/>
  <c r="AP166" i="10"/>
  <c r="AQ166" i="10" s="1"/>
  <c r="AP167" i="10"/>
  <c r="AQ167" i="10" s="1"/>
  <c r="AP168" i="10"/>
  <c r="AQ168" i="10" s="1"/>
  <c r="AP169" i="10"/>
  <c r="AQ169" i="10" s="1"/>
  <c r="AP170" i="10"/>
  <c r="AQ170" i="10" s="1"/>
  <c r="AP171" i="10"/>
  <c r="AQ171" i="10" s="1"/>
  <c r="AP172" i="10"/>
  <c r="AQ172" i="10" s="1"/>
  <c r="AP173" i="10"/>
  <c r="AQ173" i="10" s="1"/>
  <c r="AP174" i="10"/>
  <c r="AQ174" i="10" s="1"/>
  <c r="AP175" i="10"/>
  <c r="AQ175" i="10" s="1"/>
  <c r="AP176" i="10"/>
  <c r="AQ176" i="10" s="1"/>
  <c r="AP177" i="10"/>
  <c r="AQ177" i="10" s="1"/>
  <c r="AP178" i="10"/>
  <c r="AQ178" i="10" s="1"/>
  <c r="AP179" i="10"/>
  <c r="AQ179" i="10" s="1"/>
  <c r="AP180" i="10"/>
  <c r="AQ180" i="10" s="1"/>
  <c r="AP181" i="10"/>
  <c r="AQ181" i="10" s="1"/>
  <c r="AP182" i="10"/>
  <c r="AQ182" i="10" s="1"/>
  <c r="AP183" i="10"/>
  <c r="AQ183" i="10" s="1"/>
  <c r="AP184" i="10"/>
  <c r="AQ184" i="10" s="1"/>
  <c r="AP185" i="10"/>
  <c r="AQ185" i="10" s="1"/>
  <c r="AP186" i="10"/>
  <c r="AQ186" i="10" s="1"/>
  <c r="AP187" i="10"/>
  <c r="AQ187" i="10" s="1"/>
  <c r="AP188" i="10"/>
  <c r="AQ188" i="10" s="1"/>
  <c r="AP189" i="10"/>
  <c r="AQ189" i="10" s="1"/>
  <c r="AP190" i="10"/>
  <c r="AQ190" i="10" s="1"/>
  <c r="AP191" i="10"/>
  <c r="AQ191" i="10" s="1"/>
  <c r="AP192" i="10"/>
  <c r="AQ192" i="10" s="1"/>
  <c r="AP193" i="10"/>
  <c r="AQ193" i="10" s="1"/>
  <c r="AP194" i="10"/>
  <c r="AQ194" i="10" s="1"/>
  <c r="AP195" i="10"/>
  <c r="AQ195" i="10" s="1"/>
  <c r="AP196" i="10"/>
  <c r="AQ196" i="10" s="1"/>
  <c r="AP197" i="10"/>
  <c r="AQ197" i="10" s="1"/>
  <c r="AP198" i="10"/>
  <c r="AQ198" i="10" s="1"/>
  <c r="AP199" i="10"/>
  <c r="AQ199" i="10" s="1"/>
  <c r="AP200" i="10"/>
  <c r="AQ200" i="10" s="1"/>
  <c r="AP201" i="10"/>
  <c r="AQ201" i="10" s="1"/>
  <c r="AP202" i="10"/>
  <c r="AQ202" i="10" s="1"/>
  <c r="AP203" i="10"/>
  <c r="AQ203" i="10" s="1"/>
  <c r="AP204" i="10"/>
  <c r="AQ204" i="10" s="1"/>
  <c r="AP205" i="10"/>
  <c r="AQ205" i="10" s="1"/>
  <c r="AP206" i="10"/>
  <c r="AQ206" i="10" s="1"/>
  <c r="AP207" i="10"/>
  <c r="AQ207" i="10" s="1"/>
  <c r="AP208" i="10"/>
  <c r="AQ208" i="10" s="1"/>
  <c r="AP209" i="10"/>
  <c r="AQ209" i="10" s="1"/>
  <c r="AP210" i="10"/>
  <c r="AQ210" i="10" s="1"/>
  <c r="AP211" i="10"/>
  <c r="AQ211" i="10" s="1"/>
  <c r="AP212" i="10"/>
  <c r="AQ212" i="10" s="1"/>
  <c r="AP213" i="10"/>
  <c r="AQ213" i="10" s="1"/>
  <c r="AP214" i="10"/>
  <c r="AQ214" i="10" s="1"/>
  <c r="AP215" i="10"/>
  <c r="AQ215" i="10" s="1"/>
  <c r="AP216" i="10"/>
  <c r="AQ216" i="10" s="1"/>
  <c r="AP217" i="10"/>
  <c r="AQ217" i="10" s="1"/>
  <c r="AP218" i="10"/>
  <c r="AQ218" i="10" s="1"/>
  <c r="AP219" i="10"/>
  <c r="AQ219" i="10" s="1"/>
  <c r="AP220" i="10"/>
  <c r="AQ220" i="10" s="1"/>
  <c r="AP221" i="10"/>
  <c r="AQ221" i="10" s="1"/>
  <c r="AP222" i="10"/>
  <c r="AQ222" i="10" s="1"/>
  <c r="AP223" i="10"/>
  <c r="AQ223" i="10" s="1"/>
  <c r="AP224" i="10"/>
  <c r="AQ224" i="10" s="1"/>
  <c r="AP225" i="10"/>
  <c r="AQ225" i="10" s="1"/>
  <c r="AP226" i="10"/>
  <c r="AQ226" i="10" s="1"/>
  <c r="AP227" i="10"/>
  <c r="AQ227" i="10" s="1"/>
  <c r="AP228" i="10"/>
  <c r="AQ228" i="10" s="1"/>
  <c r="AP229" i="10"/>
  <c r="AQ229" i="10" s="1"/>
  <c r="AP230" i="10"/>
  <c r="AQ230" i="10" s="1"/>
  <c r="AP231" i="10"/>
  <c r="AQ231" i="10" s="1"/>
  <c r="AP232" i="10"/>
  <c r="AQ232" i="10" s="1"/>
  <c r="AP233" i="10"/>
  <c r="AQ233" i="10" s="1"/>
  <c r="AP234" i="10"/>
  <c r="AQ234" i="10" s="1"/>
  <c r="AP235" i="10"/>
  <c r="AQ235" i="10" s="1"/>
  <c r="AP236" i="10"/>
  <c r="AQ236" i="10" s="1"/>
  <c r="AP237" i="10"/>
  <c r="AQ237" i="10" s="1"/>
  <c r="AP238" i="10"/>
  <c r="AQ238" i="10" s="1"/>
  <c r="AP239" i="10"/>
  <c r="AQ239" i="10" s="1"/>
  <c r="AP240" i="10"/>
  <c r="AQ240" i="10" s="1"/>
  <c r="AP241" i="10"/>
  <c r="AQ241" i="10" s="1"/>
  <c r="AP242" i="10"/>
  <c r="AQ242" i="10" s="1"/>
  <c r="AP243" i="10"/>
  <c r="AQ243" i="10" s="1"/>
  <c r="AP244" i="10"/>
  <c r="AQ244" i="10" s="1"/>
  <c r="AP245" i="10"/>
  <c r="AQ245" i="10" s="1"/>
  <c r="AP246" i="10"/>
  <c r="AQ246" i="10" s="1"/>
  <c r="AP247" i="10"/>
  <c r="AQ247" i="10" s="1"/>
  <c r="AP248" i="10"/>
  <c r="AQ248" i="10" s="1"/>
  <c r="AP249" i="10"/>
  <c r="AQ249" i="10" s="1"/>
  <c r="AP250" i="10"/>
  <c r="AQ250" i="10" s="1"/>
  <c r="AP251" i="10"/>
  <c r="AQ251" i="10" s="1"/>
  <c r="AP252" i="10"/>
  <c r="AQ252" i="10" s="1"/>
  <c r="AP253" i="10"/>
  <c r="AQ253" i="10" s="1"/>
  <c r="AP254" i="10"/>
  <c r="AQ254" i="10" s="1"/>
  <c r="AP255" i="10"/>
  <c r="AQ255" i="10" s="1"/>
  <c r="AP256" i="10"/>
  <c r="AQ256" i="10" s="1"/>
  <c r="AP257" i="10"/>
  <c r="AQ257" i="10" s="1"/>
  <c r="AP258" i="10"/>
  <c r="AQ258" i="10" s="1"/>
  <c r="AP259" i="10"/>
  <c r="AQ259" i="10" s="1"/>
  <c r="AP260" i="10"/>
  <c r="AQ260" i="10" s="1"/>
  <c r="AP261" i="10"/>
  <c r="AQ261" i="10" s="1"/>
  <c r="AP262" i="10"/>
  <c r="AQ262" i="10" s="1"/>
  <c r="AP263" i="10"/>
  <c r="AQ263" i="10" s="1"/>
  <c r="AP264" i="10"/>
  <c r="AQ264" i="10" s="1"/>
  <c r="AP265" i="10"/>
  <c r="AQ265" i="10" s="1"/>
  <c r="AP266" i="10"/>
  <c r="AQ266" i="10" s="1"/>
  <c r="AP267" i="10"/>
  <c r="AQ267" i="10" s="1"/>
  <c r="AP268" i="10"/>
  <c r="AQ268" i="10" s="1"/>
  <c r="AP269" i="10"/>
  <c r="AQ269" i="10" s="1"/>
  <c r="AP270" i="10"/>
  <c r="AQ270" i="10" s="1"/>
  <c r="AP271" i="10"/>
  <c r="AQ271" i="10" s="1"/>
  <c r="AP272" i="10"/>
  <c r="AQ272" i="10" s="1"/>
  <c r="AP273" i="10"/>
  <c r="AQ273" i="10" s="1"/>
  <c r="AP274" i="10"/>
  <c r="AQ274" i="10" s="1"/>
  <c r="AP275" i="10"/>
  <c r="AQ275" i="10" s="1"/>
  <c r="AP276" i="10"/>
  <c r="AQ276" i="10" s="1"/>
  <c r="AP277" i="10"/>
  <c r="AQ277" i="10" s="1"/>
  <c r="AP278" i="10"/>
  <c r="AQ278" i="10" s="1"/>
  <c r="AP279" i="10"/>
  <c r="AQ279" i="10" s="1"/>
  <c r="AP280" i="10"/>
  <c r="AQ280" i="10" s="1"/>
  <c r="AP281" i="10"/>
  <c r="AQ281" i="10" s="1"/>
  <c r="AP282" i="10"/>
  <c r="AQ282" i="10" s="1"/>
  <c r="AP283" i="10"/>
  <c r="AQ283" i="10" s="1"/>
  <c r="AP284" i="10"/>
  <c r="AQ284" i="10" s="1"/>
  <c r="AP285" i="10"/>
  <c r="AQ285" i="10" s="1"/>
  <c r="AP286" i="10"/>
  <c r="AQ286" i="10" s="1"/>
  <c r="AP287" i="10"/>
  <c r="AQ287" i="10" s="1"/>
  <c r="AP288" i="10"/>
  <c r="AQ288" i="10" s="1"/>
  <c r="AP289" i="10"/>
  <c r="AQ289" i="10" s="1"/>
  <c r="AP290" i="10"/>
  <c r="AQ290" i="10" s="1"/>
  <c r="AP291" i="10"/>
  <c r="AQ291" i="10" s="1"/>
  <c r="AP292" i="10"/>
  <c r="AQ292" i="10" s="1"/>
  <c r="AP293" i="10"/>
  <c r="AQ293" i="10" s="1"/>
  <c r="AP294" i="10"/>
  <c r="AQ294" i="10" s="1"/>
  <c r="AP295" i="10"/>
  <c r="AQ295" i="10" s="1"/>
  <c r="AP296" i="10"/>
  <c r="AQ296" i="10" s="1"/>
  <c r="AP297" i="10"/>
  <c r="AQ297" i="10" s="1"/>
  <c r="AP298" i="10"/>
  <c r="AQ298" i="10" s="1"/>
  <c r="AP299" i="10"/>
  <c r="AQ299" i="10" s="1"/>
  <c r="AP300" i="10"/>
  <c r="AQ300" i="10" s="1"/>
  <c r="AP301" i="10"/>
  <c r="AQ301" i="10" s="1"/>
  <c r="AP302" i="10"/>
  <c r="AQ302" i="10" s="1"/>
  <c r="AP303" i="10"/>
  <c r="AQ303" i="10" s="1"/>
  <c r="AP304" i="10"/>
  <c r="AQ304" i="10" s="1"/>
  <c r="AP305" i="10"/>
  <c r="AQ305" i="10" s="1"/>
  <c r="AP306" i="10"/>
  <c r="AQ306" i="10" s="1"/>
  <c r="AP307" i="10"/>
  <c r="AQ307" i="10" s="1"/>
  <c r="AP308" i="10"/>
  <c r="AQ308" i="10" s="1"/>
  <c r="AP309" i="10"/>
  <c r="AQ309" i="10" s="1"/>
  <c r="AP310" i="10"/>
  <c r="AQ310" i="10" s="1"/>
  <c r="AP311" i="10"/>
  <c r="AQ311" i="10" s="1"/>
  <c r="AP312" i="10"/>
  <c r="AQ312" i="10" s="1"/>
  <c r="AP313" i="10"/>
  <c r="AQ313" i="10" s="1"/>
  <c r="AP314" i="10"/>
  <c r="AQ314" i="10" s="1"/>
  <c r="AP315" i="10"/>
  <c r="AQ315" i="10" s="1"/>
  <c r="AP316" i="10"/>
  <c r="AQ316" i="10" s="1"/>
  <c r="AP317" i="10"/>
  <c r="AQ317" i="10" s="1"/>
  <c r="AP318" i="10"/>
  <c r="AQ318" i="10" s="1"/>
  <c r="AP319" i="10"/>
  <c r="AQ319" i="10" s="1"/>
  <c r="AP320" i="10"/>
  <c r="AQ320" i="10" s="1"/>
  <c r="AP321" i="10"/>
  <c r="AQ321" i="10" s="1"/>
  <c r="AP322" i="10"/>
  <c r="AQ322" i="10" s="1"/>
  <c r="AP323" i="10"/>
  <c r="AQ323" i="10" s="1"/>
  <c r="AP324" i="10"/>
  <c r="AQ324" i="10" s="1"/>
  <c r="AP325" i="10"/>
  <c r="AQ325" i="10" s="1"/>
  <c r="AP326" i="10"/>
  <c r="AQ326" i="10" s="1"/>
  <c r="AP327" i="10"/>
  <c r="AQ327" i="10" s="1"/>
  <c r="AP328" i="10"/>
  <c r="AQ328" i="10" s="1"/>
  <c r="AP329" i="10"/>
  <c r="AQ329" i="10" s="1"/>
  <c r="AP330" i="10"/>
  <c r="AQ330" i="10" s="1"/>
  <c r="AP331" i="10"/>
  <c r="AQ331" i="10" s="1"/>
  <c r="AP332" i="10"/>
  <c r="AQ332" i="10" s="1"/>
  <c r="AP333" i="10"/>
  <c r="AQ333" i="10" s="1"/>
  <c r="AP334" i="10"/>
  <c r="AQ334" i="10" s="1"/>
  <c r="AP335" i="10"/>
  <c r="AQ335" i="10" s="1"/>
  <c r="AP336" i="10"/>
  <c r="AQ336" i="10" s="1"/>
  <c r="AP337" i="10"/>
  <c r="AQ337" i="10" s="1"/>
  <c r="AP338" i="10"/>
  <c r="AQ338" i="10" s="1"/>
  <c r="AP339" i="10"/>
  <c r="AQ339" i="10" s="1"/>
  <c r="AP340" i="10"/>
  <c r="AQ340" i="10" s="1"/>
  <c r="AP341" i="10"/>
  <c r="AQ341" i="10" s="1"/>
  <c r="AP342" i="10"/>
  <c r="AQ342" i="10" s="1"/>
  <c r="AP343" i="10"/>
  <c r="AQ343" i="10" s="1"/>
  <c r="AP344" i="10"/>
  <c r="AQ344" i="10" s="1"/>
  <c r="AP345" i="10"/>
  <c r="AQ345" i="10" s="1"/>
  <c r="AP346" i="10"/>
  <c r="AQ346" i="10" s="1"/>
  <c r="AP347" i="10"/>
  <c r="AQ347" i="10" s="1"/>
  <c r="AP348" i="10"/>
  <c r="AQ348" i="10" s="1"/>
  <c r="AP349" i="10"/>
  <c r="AQ349" i="10" s="1"/>
  <c r="AP350" i="10"/>
  <c r="AQ350" i="10" s="1"/>
  <c r="AP351" i="10"/>
  <c r="AQ351" i="10" s="1"/>
  <c r="AP352" i="10"/>
  <c r="AQ352" i="10" s="1"/>
  <c r="AP353" i="10"/>
  <c r="AQ353" i="10" s="1"/>
  <c r="AP354" i="10"/>
  <c r="AQ354" i="10" s="1"/>
  <c r="AP355" i="10"/>
  <c r="AQ355" i="10" s="1"/>
  <c r="AP356" i="10"/>
  <c r="AQ356" i="10" s="1"/>
  <c r="AP357" i="10"/>
  <c r="AQ357" i="10" s="1"/>
  <c r="AP358" i="10"/>
  <c r="AQ358" i="10" s="1"/>
  <c r="AP359" i="10"/>
  <c r="AQ359" i="10" s="1"/>
  <c r="AP360" i="10"/>
  <c r="AQ360" i="10" s="1"/>
  <c r="AP361" i="10"/>
  <c r="AQ361" i="10" s="1"/>
  <c r="AP362" i="10"/>
  <c r="AQ362" i="10" s="1"/>
  <c r="AP363" i="10"/>
  <c r="AQ363" i="10" s="1"/>
  <c r="AP364" i="10"/>
  <c r="AQ364" i="10" s="1"/>
  <c r="AP365" i="10"/>
  <c r="AQ365" i="10" s="1"/>
  <c r="AP366" i="10"/>
  <c r="AQ366" i="10" s="1"/>
  <c r="AP367" i="10"/>
  <c r="AQ367" i="10" s="1"/>
  <c r="AP368" i="10"/>
  <c r="AQ368" i="10" s="1"/>
  <c r="AP369" i="10"/>
  <c r="AQ369" i="10" s="1"/>
  <c r="AP370" i="10"/>
  <c r="AQ370" i="10" s="1"/>
  <c r="AP371" i="10"/>
  <c r="AQ371" i="10" s="1"/>
  <c r="AP372" i="10"/>
  <c r="AQ372" i="10" s="1"/>
  <c r="AP373" i="10"/>
  <c r="AQ373" i="10" s="1"/>
  <c r="AP374" i="10"/>
  <c r="AQ374" i="10" s="1"/>
  <c r="AP375" i="10"/>
  <c r="AQ375" i="10" s="1"/>
  <c r="AP376" i="10"/>
  <c r="AQ376" i="10" s="1"/>
  <c r="AP377" i="10"/>
  <c r="AQ377" i="10" s="1"/>
  <c r="AP378" i="10"/>
  <c r="AQ378" i="10" s="1"/>
  <c r="AP379" i="10"/>
  <c r="AQ379" i="10" s="1"/>
  <c r="AP380" i="10"/>
  <c r="AQ380" i="10" s="1"/>
  <c r="AP381" i="10"/>
  <c r="AQ381" i="10" s="1"/>
  <c r="AP382" i="10"/>
  <c r="AQ382" i="10" s="1"/>
  <c r="AP383" i="10"/>
  <c r="AQ383" i="10" s="1"/>
  <c r="AP384" i="10"/>
  <c r="AQ384" i="10" s="1"/>
  <c r="AP385" i="10"/>
  <c r="AQ385" i="10" s="1"/>
  <c r="AP386" i="10"/>
  <c r="AQ386" i="10" s="1"/>
  <c r="AP387" i="10"/>
  <c r="AQ387" i="10" s="1"/>
  <c r="AP388" i="10"/>
  <c r="AQ388" i="10" s="1"/>
  <c r="AP389" i="10"/>
  <c r="AQ389" i="10" s="1"/>
  <c r="AP390" i="10"/>
  <c r="AQ390" i="10" s="1"/>
  <c r="AP391" i="10"/>
  <c r="AQ391" i="10" s="1"/>
  <c r="AP392" i="10"/>
  <c r="AQ392" i="10" s="1"/>
  <c r="AP393" i="10"/>
  <c r="AQ393" i="10" s="1"/>
  <c r="AP394" i="10"/>
  <c r="AQ394" i="10" s="1"/>
  <c r="AP395" i="10"/>
  <c r="AQ395" i="10" s="1"/>
  <c r="AP396" i="10"/>
  <c r="AQ396" i="10" s="1"/>
  <c r="AP397" i="10"/>
  <c r="AQ397" i="10" s="1"/>
  <c r="AP398" i="10"/>
  <c r="AQ398" i="10" s="1"/>
  <c r="AP399" i="10"/>
  <c r="AQ399" i="10" s="1"/>
  <c r="AP400" i="10"/>
  <c r="AQ400" i="10" s="1"/>
  <c r="AP401" i="10"/>
  <c r="AQ401" i="10" s="1"/>
  <c r="AP402" i="10"/>
  <c r="AQ402" i="10" s="1"/>
  <c r="AP403" i="10"/>
  <c r="AQ403" i="10" s="1"/>
  <c r="AP404" i="10"/>
  <c r="AQ404" i="10" s="1"/>
  <c r="AP405" i="10"/>
  <c r="AQ405" i="10" s="1"/>
  <c r="AP406" i="10"/>
  <c r="AQ406" i="10" s="1"/>
  <c r="AP407" i="10"/>
  <c r="AQ407" i="10" s="1"/>
  <c r="AP408" i="10"/>
  <c r="AQ408" i="10" s="1"/>
  <c r="AP409" i="10"/>
  <c r="AQ409" i="10" s="1"/>
  <c r="AP410" i="10"/>
  <c r="AQ410" i="10" s="1"/>
  <c r="AP411" i="10"/>
  <c r="AQ411" i="10" s="1"/>
  <c r="AP412" i="10"/>
  <c r="AQ412" i="10" s="1"/>
  <c r="AP413" i="10"/>
  <c r="AQ413" i="10" s="1"/>
  <c r="AP414" i="10"/>
  <c r="AQ414" i="10" s="1"/>
  <c r="AP415" i="10"/>
  <c r="AQ415" i="10" s="1"/>
  <c r="AP416" i="10"/>
  <c r="AQ416" i="10" s="1"/>
  <c r="AP417" i="10"/>
  <c r="AQ417" i="10" s="1"/>
  <c r="AP418" i="10"/>
  <c r="AQ418" i="10" s="1"/>
  <c r="AP419" i="10"/>
  <c r="AQ419" i="10" s="1"/>
  <c r="AP420" i="10"/>
  <c r="AQ420" i="10" s="1"/>
  <c r="AP421" i="10"/>
  <c r="AQ421" i="10" s="1"/>
  <c r="AP422" i="10"/>
  <c r="AQ422" i="10" s="1"/>
  <c r="AP423" i="10"/>
  <c r="AQ423" i="10" s="1"/>
  <c r="AP424" i="10"/>
  <c r="AQ424" i="10" s="1"/>
  <c r="AP425" i="10"/>
  <c r="AQ425" i="10" s="1"/>
  <c r="AP426" i="10"/>
  <c r="AQ426" i="10" s="1"/>
  <c r="AP427" i="10"/>
  <c r="AQ427" i="10" s="1"/>
  <c r="AP428" i="10"/>
  <c r="AQ428" i="10" s="1"/>
  <c r="AP429" i="10"/>
  <c r="AQ429" i="10" s="1"/>
  <c r="AP430" i="10"/>
  <c r="AQ430" i="10" s="1"/>
  <c r="AP431" i="10"/>
  <c r="AQ431" i="10" s="1"/>
  <c r="AP432" i="10"/>
  <c r="AQ432" i="10" s="1"/>
  <c r="AP433" i="10"/>
  <c r="AQ433" i="10" s="1"/>
  <c r="AP434" i="10"/>
  <c r="AQ434" i="10" s="1"/>
  <c r="AP435" i="10"/>
  <c r="AQ435" i="10" s="1"/>
  <c r="AP436" i="10"/>
  <c r="AQ436" i="10" s="1"/>
  <c r="AP437" i="10"/>
  <c r="AQ437" i="10" s="1"/>
  <c r="AP438" i="10"/>
  <c r="AQ438" i="10" s="1"/>
  <c r="AP439" i="10"/>
  <c r="AQ439" i="10" s="1"/>
  <c r="AP440" i="10"/>
  <c r="AQ440" i="10" s="1"/>
  <c r="AP441" i="10"/>
  <c r="AQ441" i="10" s="1"/>
  <c r="AP442" i="10"/>
  <c r="AQ442" i="10" s="1"/>
  <c r="AP443" i="10"/>
  <c r="AQ443" i="10" s="1"/>
  <c r="AP444" i="10"/>
  <c r="AQ444" i="10" s="1"/>
  <c r="AP445" i="10"/>
  <c r="AQ445" i="10" s="1"/>
  <c r="AP446" i="10"/>
  <c r="AQ446" i="10" s="1"/>
  <c r="AP447" i="10"/>
  <c r="AQ447" i="10" s="1"/>
  <c r="AP448" i="10"/>
  <c r="AQ448" i="10" s="1"/>
  <c r="AP449" i="10"/>
  <c r="AQ449" i="10" s="1"/>
  <c r="AP450" i="10"/>
  <c r="AQ450" i="10" s="1"/>
  <c r="AP451" i="10"/>
  <c r="AQ451" i="10" s="1"/>
  <c r="AP452" i="10"/>
  <c r="AQ452" i="10" s="1"/>
  <c r="AP453" i="10"/>
  <c r="AQ453" i="10" s="1"/>
  <c r="AP454" i="10"/>
  <c r="AQ454" i="10" s="1"/>
  <c r="AP455" i="10"/>
  <c r="AQ455" i="10" s="1"/>
  <c r="AP456" i="10"/>
  <c r="AQ456" i="10" s="1"/>
  <c r="AP457" i="10"/>
  <c r="AQ457" i="10" s="1"/>
  <c r="AP458" i="10"/>
  <c r="AQ458" i="10" s="1"/>
  <c r="AP459" i="10"/>
  <c r="AQ459" i="10" s="1"/>
  <c r="AP460" i="10"/>
  <c r="AQ460" i="10" s="1"/>
  <c r="AP461" i="10"/>
  <c r="AQ461" i="10" s="1"/>
  <c r="AP462" i="10"/>
  <c r="AQ462" i="10" s="1"/>
  <c r="AP463" i="10"/>
  <c r="AQ463" i="10" s="1"/>
  <c r="AP464" i="10"/>
  <c r="AQ464" i="10" s="1"/>
  <c r="AP465" i="10"/>
  <c r="AQ465" i="10" s="1"/>
  <c r="AP466" i="10"/>
  <c r="AQ466" i="10" s="1"/>
  <c r="AP467" i="10"/>
  <c r="AQ467" i="10" s="1"/>
  <c r="AP468" i="10"/>
  <c r="AQ468" i="10" s="1"/>
  <c r="AP469" i="10"/>
  <c r="AQ469" i="10" s="1"/>
  <c r="AP470" i="10"/>
  <c r="AQ470" i="10" s="1"/>
  <c r="AP471" i="10"/>
  <c r="AQ471" i="10" s="1"/>
  <c r="AP472" i="10"/>
  <c r="AQ472" i="10" s="1"/>
  <c r="AP473" i="10"/>
  <c r="AQ473" i="10" s="1"/>
  <c r="AP474" i="10"/>
  <c r="AQ474" i="10" s="1"/>
  <c r="AP475" i="10"/>
  <c r="AQ475" i="10" s="1"/>
  <c r="AP476" i="10"/>
  <c r="AQ476" i="10" s="1"/>
  <c r="AP477" i="10"/>
  <c r="AQ477" i="10" s="1"/>
  <c r="AP478" i="10"/>
  <c r="AQ478" i="10" s="1"/>
  <c r="AP479" i="10"/>
  <c r="AQ479" i="10" s="1"/>
  <c r="AP480" i="10"/>
  <c r="AQ480" i="10" s="1"/>
  <c r="AP481" i="10"/>
  <c r="AQ481" i="10" s="1"/>
  <c r="AP482" i="10"/>
  <c r="AQ482" i="10" s="1"/>
  <c r="AP483" i="10"/>
  <c r="AQ483" i="10" s="1"/>
  <c r="AP484" i="10"/>
  <c r="AQ484" i="10" s="1"/>
  <c r="AP485" i="10"/>
  <c r="AQ485" i="10" s="1"/>
  <c r="AP486" i="10"/>
  <c r="AQ486" i="10" s="1"/>
  <c r="AP487" i="10"/>
  <c r="AQ487" i="10" s="1"/>
  <c r="AP488" i="10"/>
  <c r="AQ488" i="10" s="1"/>
  <c r="AP489" i="10"/>
  <c r="AQ489" i="10" s="1"/>
  <c r="AP490" i="10"/>
  <c r="AQ490" i="10" s="1"/>
  <c r="AP491" i="10"/>
  <c r="AQ491" i="10" s="1"/>
  <c r="AP492" i="10"/>
  <c r="AQ492" i="10" s="1"/>
  <c r="AP493" i="10"/>
  <c r="AQ493" i="10" s="1"/>
  <c r="AP494" i="10"/>
  <c r="AQ494" i="10" s="1"/>
  <c r="AP495" i="10"/>
  <c r="AQ495" i="10" s="1"/>
  <c r="AP496" i="10"/>
  <c r="AQ496" i="10" s="1"/>
  <c r="AP497" i="10"/>
  <c r="AQ497" i="10" s="1"/>
  <c r="AP498" i="10"/>
  <c r="AQ498" i="10" s="1"/>
  <c r="AP499" i="10"/>
  <c r="AQ499" i="10" s="1"/>
  <c r="AP500" i="10"/>
  <c r="AQ500" i="10" s="1"/>
  <c r="AP501" i="10"/>
  <c r="AQ501" i="10" s="1"/>
  <c r="AP502" i="10"/>
  <c r="AQ502" i="10" s="1"/>
  <c r="AP503" i="10"/>
  <c r="AQ503" i="10" s="1"/>
  <c r="AP504" i="10"/>
  <c r="AQ504" i="10" s="1"/>
  <c r="AP505" i="10"/>
  <c r="AQ505" i="10" s="1"/>
  <c r="AP506" i="10"/>
  <c r="AQ506" i="10" s="1"/>
  <c r="AP507" i="10"/>
  <c r="AQ507" i="10" s="1"/>
  <c r="AP508" i="10"/>
  <c r="AQ508" i="10" s="1"/>
  <c r="AP509" i="10"/>
  <c r="AQ509" i="10" s="1"/>
  <c r="AP510" i="10"/>
  <c r="AQ510" i="10" s="1"/>
  <c r="AP511" i="10"/>
  <c r="AQ511" i="10" s="1"/>
  <c r="AP512" i="10"/>
  <c r="AQ512" i="10" s="1"/>
  <c r="AP513" i="10"/>
  <c r="AQ513" i="10" s="1"/>
  <c r="AP514" i="10"/>
  <c r="AQ514" i="10" s="1"/>
  <c r="AP515" i="10"/>
  <c r="AQ515" i="10" s="1"/>
  <c r="AP516" i="10"/>
  <c r="AQ516" i="10" s="1"/>
  <c r="AP517" i="10"/>
  <c r="AQ517" i="10" s="1"/>
  <c r="AP518" i="10"/>
  <c r="AQ518" i="10" s="1"/>
  <c r="AP519" i="10"/>
  <c r="AQ519" i="10" s="1"/>
  <c r="AP520" i="10"/>
  <c r="AQ520" i="10" s="1"/>
  <c r="AP521" i="10"/>
  <c r="AQ521" i="10" s="1"/>
  <c r="AP522" i="10"/>
  <c r="AQ522" i="10" s="1"/>
  <c r="AP523" i="10"/>
  <c r="AQ523" i="10" s="1"/>
  <c r="AP524" i="10"/>
  <c r="AQ524" i="10" s="1"/>
  <c r="AP525" i="10"/>
  <c r="AQ525" i="10" s="1"/>
  <c r="AP526" i="10"/>
  <c r="AQ526" i="10" s="1"/>
  <c r="AP527" i="10"/>
  <c r="AQ527" i="10" s="1"/>
  <c r="AP528" i="10"/>
  <c r="AQ528" i="10" s="1"/>
  <c r="AP529" i="10"/>
  <c r="AQ529" i="10" s="1"/>
  <c r="AP530" i="10"/>
  <c r="AQ530" i="10" s="1"/>
  <c r="AP531" i="10"/>
  <c r="AQ531" i="10" s="1"/>
  <c r="AP532" i="10"/>
  <c r="AQ532" i="10" s="1"/>
  <c r="AP533" i="10"/>
  <c r="AQ533" i="10" s="1"/>
  <c r="AP534" i="10"/>
  <c r="AQ534" i="10" s="1"/>
  <c r="AP535" i="10"/>
  <c r="AQ535" i="10" s="1"/>
  <c r="AP536" i="10"/>
  <c r="AQ536" i="10" s="1"/>
  <c r="AP537" i="10"/>
  <c r="AQ537" i="10" s="1"/>
  <c r="AP538" i="10"/>
  <c r="AQ538" i="10" s="1"/>
  <c r="AP539" i="10"/>
  <c r="AQ539" i="10" s="1"/>
  <c r="AP540" i="10"/>
  <c r="AQ540" i="10" s="1"/>
  <c r="AP541" i="10"/>
  <c r="AQ541" i="10" s="1"/>
  <c r="AP542" i="10"/>
  <c r="AQ542" i="10" s="1"/>
  <c r="AP543" i="10"/>
  <c r="AQ543" i="10" s="1"/>
  <c r="AP544" i="10"/>
  <c r="AQ544" i="10" s="1"/>
  <c r="AP545" i="10"/>
  <c r="AQ545" i="10" s="1"/>
  <c r="AP546" i="10"/>
  <c r="AQ546" i="10" s="1"/>
  <c r="AP547" i="10"/>
  <c r="AQ547" i="10" s="1"/>
  <c r="AP548" i="10"/>
  <c r="AQ548" i="10" s="1"/>
  <c r="AP549" i="10"/>
  <c r="AQ549" i="10" s="1"/>
  <c r="AP550" i="10"/>
  <c r="AQ550" i="10" s="1"/>
  <c r="AP551" i="10"/>
  <c r="AQ551" i="10" s="1"/>
  <c r="AP552" i="10"/>
  <c r="AQ552" i="10" s="1"/>
  <c r="AP553" i="10"/>
  <c r="AQ553" i="10" s="1"/>
  <c r="AP554" i="10"/>
  <c r="AQ554" i="10" s="1"/>
  <c r="AP555" i="10"/>
  <c r="AQ555" i="10" s="1"/>
  <c r="AP556" i="10"/>
  <c r="AQ556" i="10" s="1"/>
  <c r="AP557" i="10"/>
  <c r="AQ557" i="10" s="1"/>
  <c r="AP558" i="10"/>
  <c r="AQ558" i="10" s="1"/>
  <c r="AP559" i="10"/>
  <c r="AQ559" i="10" s="1"/>
  <c r="AP560" i="10"/>
  <c r="AQ560" i="10" s="1"/>
  <c r="AP561" i="10"/>
  <c r="AQ561" i="10" s="1"/>
  <c r="AP562" i="10"/>
  <c r="AQ562" i="10" s="1"/>
  <c r="AP563" i="10"/>
  <c r="AQ563" i="10" s="1"/>
  <c r="AP564" i="10"/>
  <c r="AQ564" i="10" s="1"/>
  <c r="AP565" i="10"/>
  <c r="AQ565" i="10" s="1"/>
  <c r="AP566" i="10"/>
  <c r="AQ566" i="10" s="1"/>
  <c r="AP567" i="10"/>
  <c r="AQ567" i="10" s="1"/>
  <c r="AP568" i="10"/>
  <c r="AQ568" i="10" s="1"/>
  <c r="AP569" i="10"/>
  <c r="AQ569" i="10" s="1"/>
  <c r="AP570" i="10"/>
  <c r="AQ570" i="10" s="1"/>
  <c r="AP571" i="10"/>
  <c r="AQ571" i="10" s="1"/>
  <c r="AP572" i="10"/>
  <c r="AQ572" i="10" s="1"/>
  <c r="AP573" i="10"/>
  <c r="AQ573" i="10" s="1"/>
  <c r="AP574" i="10"/>
  <c r="AQ574" i="10" s="1"/>
  <c r="AP575" i="10"/>
  <c r="AQ575" i="10" s="1"/>
  <c r="AP576" i="10"/>
  <c r="AQ576" i="10" s="1"/>
  <c r="AP577" i="10"/>
  <c r="AQ577" i="10" s="1"/>
  <c r="AP578" i="10"/>
  <c r="AQ578" i="10" s="1"/>
  <c r="AP579" i="10"/>
  <c r="AQ579" i="10" s="1"/>
  <c r="AP580" i="10"/>
  <c r="AQ580" i="10" s="1"/>
  <c r="AP581" i="10"/>
  <c r="AQ581" i="10" s="1"/>
  <c r="AP582" i="10"/>
  <c r="AQ582" i="10" s="1"/>
  <c r="AP583" i="10"/>
  <c r="AQ583" i="10" s="1"/>
  <c r="AP584" i="10"/>
  <c r="AQ584" i="10" s="1"/>
  <c r="AP585" i="10"/>
  <c r="AQ585" i="10" s="1"/>
  <c r="AP586" i="10"/>
  <c r="AQ586" i="10" s="1"/>
  <c r="AP587" i="10"/>
  <c r="AQ587" i="10" s="1"/>
  <c r="AP588" i="10"/>
  <c r="AQ588" i="10" s="1"/>
  <c r="AP589" i="10"/>
  <c r="AQ589" i="10" s="1"/>
  <c r="AP590" i="10"/>
  <c r="AQ590" i="10" s="1"/>
  <c r="AP591" i="10"/>
  <c r="AQ591" i="10" s="1"/>
  <c r="AP592" i="10"/>
  <c r="AQ592" i="10" s="1"/>
  <c r="AP593" i="10"/>
  <c r="AQ593" i="10" s="1"/>
  <c r="AP594" i="10"/>
  <c r="AQ594" i="10" s="1"/>
  <c r="AP595" i="10"/>
  <c r="AQ595" i="10" s="1"/>
  <c r="AP596" i="10"/>
  <c r="AQ596" i="10" s="1"/>
  <c r="AP597" i="10"/>
  <c r="AQ597" i="10" s="1"/>
  <c r="AP598" i="10"/>
  <c r="AQ598" i="10" s="1"/>
  <c r="AP599" i="10"/>
  <c r="AQ599" i="10" s="1"/>
  <c r="AP600" i="10"/>
  <c r="AQ600" i="10" s="1"/>
  <c r="AP601" i="10"/>
  <c r="AQ601" i="10" s="1"/>
  <c r="AP602" i="10"/>
  <c r="AQ602" i="10" s="1"/>
  <c r="AP603" i="10"/>
  <c r="AQ603" i="10" s="1"/>
  <c r="AP604" i="10"/>
  <c r="AQ604" i="10" s="1"/>
  <c r="AP605" i="10"/>
  <c r="AQ605" i="10" s="1"/>
  <c r="AP606" i="10"/>
  <c r="AQ606" i="10" s="1"/>
  <c r="AP607" i="10"/>
  <c r="AQ607" i="10" s="1"/>
  <c r="AP608" i="10"/>
  <c r="AQ608" i="10" s="1"/>
  <c r="AP609" i="10"/>
  <c r="AQ609" i="10" s="1"/>
  <c r="AP610" i="10"/>
  <c r="AQ610" i="10" s="1"/>
  <c r="AP611" i="10"/>
  <c r="AQ611" i="10" s="1"/>
  <c r="AP612" i="10"/>
  <c r="AQ612" i="10" s="1"/>
  <c r="AP613" i="10"/>
  <c r="AQ613" i="10" s="1"/>
  <c r="AP614" i="10"/>
  <c r="AQ614" i="10" s="1"/>
  <c r="AP615" i="10"/>
  <c r="AQ615" i="10" s="1"/>
  <c r="AP616" i="10"/>
  <c r="AQ616" i="10" s="1"/>
  <c r="AP617" i="10"/>
  <c r="AQ617" i="10" s="1"/>
  <c r="AP618" i="10"/>
  <c r="AQ618" i="10" s="1"/>
  <c r="AP619" i="10"/>
  <c r="AQ619" i="10" s="1"/>
  <c r="AP620" i="10"/>
  <c r="AQ620" i="10" s="1"/>
  <c r="AP621" i="10"/>
  <c r="AQ621" i="10" s="1"/>
  <c r="AP622" i="10"/>
  <c r="AQ622" i="10" s="1"/>
  <c r="AP623" i="10"/>
  <c r="AQ623" i="10" s="1"/>
  <c r="AP624" i="10"/>
  <c r="AQ624" i="10" s="1"/>
  <c r="AP625" i="10"/>
  <c r="AQ625" i="10" s="1"/>
  <c r="AP626" i="10"/>
  <c r="AQ626" i="10" s="1"/>
  <c r="AP627" i="10"/>
  <c r="AQ627" i="10" s="1"/>
  <c r="AP628" i="10"/>
  <c r="AQ628" i="10" s="1"/>
  <c r="AP629" i="10"/>
  <c r="AQ629" i="10" s="1"/>
  <c r="AP630" i="10"/>
  <c r="AQ630" i="10" s="1"/>
  <c r="AP631" i="10"/>
  <c r="AQ631" i="10" s="1"/>
  <c r="AP632" i="10"/>
  <c r="AQ632" i="10" s="1"/>
  <c r="AP633" i="10"/>
  <c r="AQ633" i="10" s="1"/>
  <c r="AP634" i="10"/>
  <c r="AQ634" i="10" s="1"/>
  <c r="AP635" i="10"/>
  <c r="AQ635" i="10" s="1"/>
  <c r="AP636" i="10"/>
  <c r="AQ636" i="10" s="1"/>
  <c r="AP637" i="10"/>
  <c r="AQ637" i="10" s="1"/>
  <c r="AP638" i="10"/>
  <c r="AQ638" i="10" s="1"/>
  <c r="AP639" i="10"/>
  <c r="AQ639" i="10" s="1"/>
  <c r="AP640" i="10"/>
  <c r="AQ640" i="10" s="1"/>
  <c r="AP641" i="10"/>
  <c r="AQ641" i="10" s="1"/>
  <c r="AP642" i="10"/>
  <c r="AQ642" i="10" s="1"/>
  <c r="AP643" i="10"/>
  <c r="AQ643" i="10" s="1"/>
  <c r="AP644" i="10"/>
  <c r="AQ644" i="10" s="1"/>
  <c r="AP645" i="10"/>
  <c r="AQ645" i="10" s="1"/>
  <c r="AP646" i="10"/>
  <c r="AQ646" i="10" s="1"/>
  <c r="AP647" i="10"/>
  <c r="AQ647" i="10" s="1"/>
  <c r="AP648" i="10"/>
  <c r="AQ648" i="10" s="1"/>
  <c r="AP649" i="10"/>
  <c r="AQ649" i="10" s="1"/>
  <c r="AP650" i="10"/>
  <c r="AQ650" i="10" s="1"/>
  <c r="AP651" i="10"/>
  <c r="AQ651" i="10" s="1"/>
  <c r="AP652" i="10"/>
  <c r="AQ652" i="10" s="1"/>
  <c r="AP653" i="10"/>
  <c r="AQ653" i="10" s="1"/>
  <c r="AP654" i="10"/>
  <c r="AQ654" i="10" s="1"/>
  <c r="AP655" i="10"/>
  <c r="AQ655" i="10" s="1"/>
  <c r="AP656" i="10"/>
  <c r="AQ656" i="10" s="1"/>
  <c r="AP657" i="10"/>
  <c r="AQ657" i="10" s="1"/>
  <c r="AP658" i="10"/>
  <c r="AQ658" i="10" s="1"/>
  <c r="AP659" i="10"/>
  <c r="AQ659" i="10" s="1"/>
  <c r="AP660" i="10"/>
  <c r="AQ660" i="10" s="1"/>
  <c r="AP661" i="10"/>
  <c r="AQ661" i="10" s="1"/>
  <c r="AP662" i="10"/>
  <c r="AQ662" i="10" s="1"/>
  <c r="AP663" i="10"/>
  <c r="AQ663" i="10" s="1"/>
  <c r="AP664" i="10"/>
  <c r="AQ664" i="10" s="1"/>
  <c r="AP665" i="10"/>
  <c r="AQ665" i="10" s="1"/>
  <c r="AP666" i="10"/>
  <c r="AQ666" i="10" s="1"/>
  <c r="AP667" i="10"/>
  <c r="AQ667" i="10" s="1"/>
  <c r="AP668" i="10"/>
  <c r="AQ668" i="10" s="1"/>
  <c r="AP669" i="10"/>
  <c r="AQ669" i="10" s="1"/>
  <c r="AP670" i="10"/>
  <c r="AQ670" i="10" s="1"/>
  <c r="AP671" i="10"/>
  <c r="AQ671" i="10" s="1"/>
  <c r="AP672" i="10"/>
  <c r="AQ672" i="10" s="1"/>
  <c r="AP673" i="10"/>
  <c r="AQ673" i="10" s="1"/>
  <c r="AP674" i="10"/>
  <c r="AQ674" i="10" s="1"/>
  <c r="AP675" i="10"/>
  <c r="AQ675" i="10" s="1"/>
  <c r="AP676" i="10"/>
  <c r="AQ676" i="10" s="1"/>
  <c r="AP677" i="10"/>
  <c r="AQ677" i="10" s="1"/>
  <c r="AP678" i="10"/>
  <c r="AQ678" i="10" s="1"/>
  <c r="AP679" i="10"/>
  <c r="AQ679" i="10" s="1"/>
  <c r="AP680" i="10"/>
  <c r="AQ680" i="10" s="1"/>
  <c r="AP681" i="10"/>
  <c r="AQ681" i="10" s="1"/>
  <c r="AP682" i="10"/>
  <c r="AQ682" i="10" s="1"/>
  <c r="AP683" i="10"/>
  <c r="AQ683" i="10" s="1"/>
  <c r="AP684" i="10"/>
  <c r="AQ684" i="10" s="1"/>
  <c r="AP685" i="10"/>
  <c r="AQ685" i="10" s="1"/>
  <c r="AP686" i="10"/>
  <c r="AQ686" i="10" s="1"/>
  <c r="AP687" i="10"/>
  <c r="AQ687" i="10" s="1"/>
  <c r="AP688" i="10"/>
  <c r="AQ688" i="10" s="1"/>
  <c r="AP689" i="10"/>
  <c r="AQ689" i="10" s="1"/>
  <c r="AP690" i="10"/>
  <c r="AQ690" i="10" s="1"/>
  <c r="AP691" i="10"/>
  <c r="AQ691" i="10" s="1"/>
  <c r="AP692" i="10"/>
  <c r="AQ692" i="10" s="1"/>
  <c r="AP693" i="10"/>
  <c r="AQ693" i="10" s="1"/>
  <c r="AP694" i="10"/>
  <c r="AQ694" i="10" s="1"/>
  <c r="AP695" i="10"/>
  <c r="AQ695" i="10" s="1"/>
  <c r="AP696" i="10"/>
  <c r="AQ696" i="10" s="1"/>
  <c r="AP697" i="10"/>
  <c r="AQ697" i="10" s="1"/>
  <c r="AP698" i="10"/>
  <c r="AQ698" i="10" s="1"/>
  <c r="AP699" i="10"/>
  <c r="AQ699" i="10" s="1"/>
  <c r="AP700" i="10"/>
  <c r="AQ700" i="10" s="1"/>
  <c r="AP701" i="10"/>
  <c r="AQ701" i="10" s="1"/>
  <c r="AP702" i="10"/>
  <c r="AQ702" i="10" s="1"/>
  <c r="AP703" i="10"/>
  <c r="AQ703" i="10" s="1"/>
  <c r="AP704" i="10"/>
  <c r="AQ704" i="10" s="1"/>
  <c r="AP705" i="10"/>
  <c r="AQ705" i="10" s="1"/>
  <c r="AP706" i="10"/>
  <c r="AQ706" i="10" s="1"/>
  <c r="AP707" i="10"/>
  <c r="AQ707" i="10" s="1"/>
  <c r="AP708" i="10"/>
  <c r="AQ708" i="10" s="1"/>
  <c r="AP709" i="10"/>
  <c r="AQ709" i="10" s="1"/>
  <c r="AP710" i="10"/>
  <c r="AQ710" i="10" s="1"/>
  <c r="AP711" i="10"/>
  <c r="AQ711" i="10" s="1"/>
  <c r="AP712" i="10"/>
  <c r="AQ712" i="10" s="1"/>
  <c r="AP713" i="10"/>
  <c r="AQ713" i="10" s="1"/>
  <c r="AP714" i="10"/>
  <c r="AQ714" i="10" s="1"/>
  <c r="AP715" i="10"/>
  <c r="AQ715" i="10" s="1"/>
  <c r="AP716" i="10"/>
  <c r="AQ716" i="10" s="1"/>
  <c r="AP717" i="10"/>
  <c r="AQ717" i="10" s="1"/>
  <c r="AP718" i="10"/>
  <c r="AQ718" i="10" s="1"/>
  <c r="AP719" i="10"/>
  <c r="AQ719" i="10" s="1"/>
  <c r="AP720" i="10"/>
  <c r="AQ720" i="10" s="1"/>
  <c r="AP721" i="10"/>
  <c r="AQ721" i="10" s="1"/>
  <c r="AP722" i="10"/>
  <c r="AQ722" i="10" s="1"/>
  <c r="AP723" i="10"/>
  <c r="AQ723" i="10" s="1"/>
  <c r="AP724" i="10"/>
  <c r="AQ724" i="10" s="1"/>
  <c r="AP725" i="10"/>
  <c r="AQ725" i="10" s="1"/>
  <c r="AP726" i="10"/>
  <c r="AQ726" i="10" s="1"/>
  <c r="AP727" i="10"/>
  <c r="AQ727" i="10" s="1"/>
  <c r="AP728" i="10"/>
  <c r="AQ728" i="10" s="1"/>
  <c r="AP729" i="10"/>
  <c r="AQ729" i="10" s="1"/>
  <c r="AP730" i="10"/>
  <c r="AQ730" i="10" s="1"/>
  <c r="AP731" i="10"/>
  <c r="AQ731" i="10" s="1"/>
  <c r="AP732" i="10"/>
  <c r="AQ732" i="10" s="1"/>
  <c r="AP733" i="10"/>
  <c r="AQ733" i="10" s="1"/>
  <c r="AP734" i="10"/>
  <c r="AQ734" i="10" s="1"/>
  <c r="AP735" i="10"/>
  <c r="AQ735" i="10" s="1"/>
  <c r="AP736" i="10"/>
  <c r="AQ736" i="10" s="1"/>
  <c r="AP737" i="10"/>
  <c r="AQ737" i="10" s="1"/>
  <c r="AP738" i="10"/>
  <c r="AQ738" i="10" s="1"/>
  <c r="AP739" i="10"/>
  <c r="AQ739" i="10" s="1"/>
  <c r="AP740" i="10"/>
  <c r="AQ740" i="10" s="1"/>
  <c r="AP741" i="10"/>
  <c r="AQ741" i="10" s="1"/>
  <c r="AP742" i="10"/>
  <c r="AQ742" i="10" s="1"/>
  <c r="AP743" i="10"/>
  <c r="AQ743" i="10" s="1"/>
  <c r="AP744" i="10"/>
  <c r="AQ744" i="10" s="1"/>
  <c r="AP745" i="10"/>
  <c r="AQ745" i="10" s="1"/>
  <c r="AP746" i="10"/>
  <c r="AQ746" i="10" s="1"/>
  <c r="AP747" i="10"/>
  <c r="AQ747" i="10" s="1"/>
  <c r="AP748" i="10"/>
  <c r="AQ748" i="10" s="1"/>
  <c r="AP749" i="10"/>
  <c r="AQ749" i="10" s="1"/>
  <c r="AP750" i="10"/>
  <c r="AQ750" i="10" s="1"/>
  <c r="AP751" i="10"/>
  <c r="AQ751" i="10" s="1"/>
  <c r="AP752" i="10"/>
  <c r="AQ752" i="10" s="1"/>
  <c r="AP753" i="10"/>
  <c r="AQ753" i="10" s="1"/>
  <c r="AP754" i="10"/>
  <c r="AQ754" i="10" s="1"/>
  <c r="AP755" i="10"/>
  <c r="AQ755" i="10" s="1"/>
  <c r="AP756" i="10"/>
  <c r="AQ756" i="10" s="1"/>
  <c r="AP757" i="10"/>
  <c r="AQ757" i="10" s="1"/>
  <c r="AP758" i="10"/>
  <c r="AQ758" i="10" s="1"/>
  <c r="AP759" i="10"/>
  <c r="AQ759" i="10" s="1"/>
  <c r="AP760" i="10"/>
  <c r="AQ760" i="10" s="1"/>
  <c r="AP761" i="10"/>
  <c r="AQ761" i="10" s="1"/>
  <c r="AP762" i="10"/>
  <c r="AQ762" i="10" s="1"/>
  <c r="AP763" i="10"/>
  <c r="AQ763" i="10" s="1"/>
  <c r="AP764" i="10"/>
  <c r="AQ764" i="10" s="1"/>
  <c r="AP765" i="10"/>
  <c r="AQ765" i="10" s="1"/>
  <c r="AP766" i="10"/>
  <c r="AQ766" i="10" s="1"/>
  <c r="AP767" i="10"/>
  <c r="AQ767" i="10" s="1"/>
  <c r="AP768" i="10"/>
  <c r="AQ768" i="10" s="1"/>
  <c r="AP769" i="10"/>
  <c r="AQ769" i="10" s="1"/>
  <c r="AP770" i="10"/>
  <c r="AQ770" i="10" s="1"/>
  <c r="AP771" i="10"/>
  <c r="AQ771" i="10" s="1"/>
  <c r="AP772" i="10"/>
  <c r="AQ772" i="10" s="1"/>
  <c r="AP773" i="10"/>
  <c r="AQ773" i="10" s="1"/>
  <c r="AP774" i="10"/>
  <c r="AQ774" i="10" s="1"/>
  <c r="AP775" i="10"/>
  <c r="AQ775" i="10" s="1"/>
  <c r="AP776" i="10"/>
  <c r="AQ776" i="10" s="1"/>
  <c r="AP777" i="10"/>
  <c r="AQ777" i="10" s="1"/>
  <c r="AP778" i="10"/>
  <c r="AQ778" i="10" s="1"/>
  <c r="AP779" i="10"/>
  <c r="AQ779" i="10" s="1"/>
  <c r="AP780" i="10"/>
  <c r="AQ780" i="10" s="1"/>
  <c r="AP781" i="10"/>
  <c r="AQ781" i="10" s="1"/>
  <c r="AP782" i="10"/>
  <c r="AQ782" i="10" s="1"/>
  <c r="AP783" i="10"/>
  <c r="AQ783" i="10" s="1"/>
  <c r="AP784" i="10"/>
  <c r="AQ784" i="10" s="1"/>
  <c r="AP785" i="10"/>
  <c r="AQ785" i="10" s="1"/>
  <c r="AP786" i="10"/>
  <c r="AQ786" i="10" s="1"/>
  <c r="AP787" i="10"/>
  <c r="AQ787" i="10" s="1"/>
  <c r="AP788" i="10"/>
  <c r="AQ788" i="10" s="1"/>
  <c r="AP789" i="10"/>
  <c r="AQ789" i="10" s="1"/>
  <c r="AP790" i="10"/>
  <c r="AQ790" i="10" s="1"/>
  <c r="AP791" i="10"/>
  <c r="AQ791" i="10" s="1"/>
  <c r="AP792" i="10"/>
  <c r="AQ792" i="10" s="1"/>
  <c r="AP793" i="10"/>
  <c r="AQ793" i="10" s="1"/>
  <c r="AP794" i="10"/>
  <c r="AQ794" i="10" s="1"/>
  <c r="AP795" i="10"/>
  <c r="AQ795" i="10" s="1"/>
  <c r="AP796" i="10"/>
  <c r="AQ796" i="10" s="1"/>
  <c r="AP797" i="10"/>
  <c r="AQ797" i="10" s="1"/>
  <c r="AP798" i="10"/>
  <c r="AQ798" i="10" s="1"/>
  <c r="AP799" i="10"/>
  <c r="AQ799" i="10" s="1"/>
  <c r="AP800" i="10"/>
  <c r="AQ800" i="10" s="1"/>
  <c r="AP801" i="10"/>
  <c r="AQ801" i="10" s="1"/>
  <c r="AP802" i="10"/>
  <c r="AQ802" i="10" s="1"/>
  <c r="AP803" i="10"/>
  <c r="AQ803" i="10" s="1"/>
  <c r="AP804" i="10"/>
  <c r="AQ804" i="10" s="1"/>
  <c r="AP805" i="10"/>
  <c r="AQ805" i="10" s="1"/>
  <c r="AP806" i="10"/>
  <c r="AQ806" i="10" s="1"/>
  <c r="AP807" i="10"/>
  <c r="AQ807" i="10" s="1"/>
  <c r="AP808" i="10"/>
  <c r="AQ808" i="10" s="1"/>
  <c r="AP809" i="10"/>
  <c r="AQ809" i="10" s="1"/>
  <c r="AP810" i="10"/>
  <c r="AQ810" i="10" s="1"/>
  <c r="AP811" i="10"/>
  <c r="AQ811" i="10" s="1"/>
  <c r="AP812" i="10"/>
  <c r="AQ812" i="10" s="1"/>
  <c r="AP813" i="10"/>
  <c r="AQ813" i="10" s="1"/>
  <c r="AP814" i="10"/>
  <c r="AQ814" i="10" s="1"/>
  <c r="AP815" i="10"/>
  <c r="AQ815" i="10" s="1"/>
  <c r="AP816" i="10"/>
  <c r="AQ816" i="10" s="1"/>
  <c r="AP817" i="10"/>
  <c r="AQ817" i="10" s="1"/>
  <c r="AP818" i="10"/>
  <c r="AQ818" i="10" s="1"/>
  <c r="AP819" i="10"/>
  <c r="AQ819" i="10" s="1"/>
  <c r="AP820" i="10"/>
  <c r="AQ820" i="10" s="1"/>
  <c r="AP821" i="10"/>
  <c r="AQ821" i="10" s="1"/>
  <c r="AP822" i="10"/>
  <c r="AQ822" i="10" s="1"/>
  <c r="AP823" i="10"/>
  <c r="AQ823" i="10" s="1"/>
  <c r="AP824" i="10"/>
  <c r="AQ824" i="10" s="1"/>
  <c r="AP825" i="10"/>
  <c r="AQ825" i="10" s="1"/>
  <c r="AP826" i="10"/>
  <c r="AQ826" i="10" s="1"/>
  <c r="AP827" i="10"/>
  <c r="AQ827" i="10" s="1"/>
  <c r="AP828" i="10"/>
  <c r="AQ828" i="10" s="1"/>
  <c r="AP829" i="10"/>
  <c r="AQ829" i="10" s="1"/>
  <c r="AP830" i="10"/>
  <c r="AQ830" i="10" s="1"/>
  <c r="AP831" i="10"/>
  <c r="AQ831" i="10" s="1"/>
  <c r="AP832" i="10"/>
  <c r="AQ832" i="10" s="1"/>
  <c r="AP833" i="10"/>
  <c r="AQ833" i="10" s="1"/>
  <c r="AP834" i="10"/>
  <c r="AQ834" i="10" s="1"/>
  <c r="AP835" i="10"/>
  <c r="AQ835" i="10" s="1"/>
  <c r="AP836" i="10"/>
  <c r="AQ836" i="10" s="1"/>
  <c r="AP837" i="10"/>
  <c r="AQ837" i="10" s="1"/>
  <c r="AP838" i="10"/>
  <c r="AQ838" i="10" s="1"/>
  <c r="AP839" i="10"/>
  <c r="AQ839" i="10" s="1"/>
  <c r="AP840" i="10"/>
  <c r="AQ840" i="10" s="1"/>
  <c r="AP841" i="10"/>
  <c r="AQ841" i="10" s="1"/>
  <c r="AP842" i="10"/>
  <c r="AQ842" i="10" s="1"/>
  <c r="AP843" i="10"/>
  <c r="AQ843" i="10" s="1"/>
  <c r="AP844" i="10"/>
  <c r="AQ844" i="10" s="1"/>
  <c r="AP845" i="10"/>
  <c r="AQ845" i="10" s="1"/>
  <c r="AP846" i="10"/>
  <c r="AQ846" i="10" s="1"/>
  <c r="AP847" i="10"/>
  <c r="AQ847" i="10" s="1"/>
  <c r="AP848" i="10"/>
  <c r="AQ848" i="10" s="1"/>
  <c r="AP849" i="10"/>
  <c r="AQ849" i="10" s="1"/>
  <c r="AP850" i="10"/>
  <c r="AQ850" i="10" s="1"/>
  <c r="AP851" i="10"/>
  <c r="AQ851" i="10" s="1"/>
  <c r="AP852" i="10"/>
  <c r="AQ852" i="10" s="1"/>
  <c r="AP853" i="10"/>
  <c r="AQ853" i="10" s="1"/>
  <c r="AP854" i="10"/>
  <c r="AQ854" i="10" s="1"/>
  <c r="AP855" i="10"/>
  <c r="AQ855" i="10" s="1"/>
  <c r="AP856" i="10"/>
  <c r="AQ856" i="10" s="1"/>
  <c r="AP857" i="10"/>
  <c r="AQ857" i="10" s="1"/>
  <c r="AP858" i="10"/>
  <c r="AQ858" i="10" s="1"/>
  <c r="AP859" i="10"/>
  <c r="AQ859" i="10" s="1"/>
  <c r="AP860" i="10"/>
  <c r="AQ860" i="10" s="1"/>
  <c r="AP861" i="10"/>
  <c r="AQ861" i="10" s="1"/>
  <c r="AP862" i="10"/>
  <c r="AQ862" i="10" s="1"/>
  <c r="AP863" i="10"/>
  <c r="AQ863" i="10" s="1"/>
  <c r="AP864" i="10"/>
  <c r="AQ864" i="10" s="1"/>
  <c r="AP865" i="10"/>
  <c r="AQ865" i="10" s="1"/>
  <c r="AP866" i="10"/>
  <c r="AQ866" i="10" s="1"/>
  <c r="AP867" i="10"/>
  <c r="AQ867" i="10" s="1"/>
  <c r="AP868" i="10"/>
  <c r="AQ868" i="10" s="1"/>
  <c r="AP869" i="10"/>
  <c r="AQ869" i="10" s="1"/>
  <c r="AP870" i="10"/>
  <c r="AQ870" i="10" s="1"/>
  <c r="AP871" i="10"/>
  <c r="AQ871" i="10" s="1"/>
  <c r="AP872" i="10"/>
  <c r="AQ872" i="10" s="1"/>
  <c r="AP873" i="10"/>
  <c r="AQ873" i="10" s="1"/>
  <c r="AP874" i="10"/>
  <c r="AQ874" i="10" s="1"/>
  <c r="AP875" i="10"/>
  <c r="AQ875" i="10" s="1"/>
  <c r="AP876" i="10"/>
  <c r="AQ876" i="10" s="1"/>
  <c r="AP877" i="10"/>
  <c r="AQ877" i="10" s="1"/>
  <c r="AP878" i="10"/>
  <c r="AQ878" i="10" s="1"/>
  <c r="AP879" i="10"/>
  <c r="AQ879" i="10" s="1"/>
  <c r="AP880" i="10"/>
  <c r="AQ880" i="10" s="1"/>
  <c r="AP881" i="10"/>
  <c r="AQ881" i="10" s="1"/>
  <c r="AP882" i="10"/>
  <c r="AQ882" i="10" s="1"/>
  <c r="AP883" i="10"/>
  <c r="AQ883" i="10" s="1"/>
  <c r="AP884" i="10"/>
  <c r="AQ884" i="10" s="1"/>
  <c r="AP885" i="10"/>
  <c r="AQ885" i="10" s="1"/>
  <c r="AP886" i="10"/>
  <c r="AQ886" i="10" s="1"/>
  <c r="AP887" i="10"/>
  <c r="AQ887" i="10" s="1"/>
  <c r="AP888" i="10"/>
  <c r="AQ888" i="10" s="1"/>
  <c r="AP889" i="10"/>
  <c r="AQ889" i="10" s="1"/>
  <c r="AP890" i="10"/>
  <c r="AQ890" i="10" s="1"/>
  <c r="AP891" i="10"/>
  <c r="AQ891" i="10" s="1"/>
  <c r="AP892" i="10"/>
  <c r="AQ892" i="10" s="1"/>
  <c r="AP893" i="10"/>
  <c r="AQ893" i="10" s="1"/>
  <c r="AP894" i="10"/>
  <c r="AQ894" i="10" s="1"/>
  <c r="AP895" i="10"/>
  <c r="AQ895" i="10" s="1"/>
  <c r="AP896" i="10"/>
  <c r="AQ896" i="10" s="1"/>
  <c r="AP897" i="10"/>
  <c r="AQ897" i="10" s="1"/>
  <c r="AP898" i="10"/>
  <c r="AQ898" i="10" s="1"/>
  <c r="AP899" i="10"/>
  <c r="AQ899" i="10" s="1"/>
  <c r="AP900" i="10"/>
  <c r="AQ900" i="10" s="1"/>
  <c r="AP901" i="10"/>
  <c r="AQ901" i="10" s="1"/>
  <c r="AP902" i="10"/>
  <c r="AQ902" i="10" s="1"/>
  <c r="AP903" i="10"/>
  <c r="AQ903" i="10" s="1"/>
  <c r="AP904" i="10"/>
  <c r="AQ904" i="10" s="1"/>
  <c r="AP905" i="10"/>
  <c r="AQ905" i="10" s="1"/>
  <c r="AP906" i="10"/>
  <c r="AQ906" i="10" s="1"/>
  <c r="AP907" i="10"/>
  <c r="AQ907" i="10" s="1"/>
  <c r="AP908" i="10"/>
  <c r="AQ908" i="10" s="1"/>
  <c r="AP909" i="10"/>
  <c r="AQ909" i="10" s="1"/>
  <c r="AP910" i="10"/>
  <c r="AQ910" i="10" s="1"/>
  <c r="AP911" i="10"/>
  <c r="AQ911" i="10" s="1"/>
  <c r="AP912" i="10"/>
  <c r="AQ912" i="10" s="1"/>
  <c r="AP913" i="10"/>
  <c r="AQ913" i="10" s="1"/>
  <c r="AP914" i="10"/>
  <c r="AQ914" i="10" s="1"/>
  <c r="AP915" i="10"/>
  <c r="AQ915" i="10" s="1"/>
  <c r="AP916" i="10"/>
  <c r="AQ916" i="10" s="1"/>
  <c r="AP917" i="10"/>
  <c r="AQ917" i="10" s="1"/>
  <c r="AP918" i="10"/>
  <c r="AQ918" i="10" s="1"/>
  <c r="AP919" i="10"/>
  <c r="AQ919" i="10" s="1"/>
  <c r="AP920" i="10"/>
  <c r="AQ920" i="10" s="1"/>
  <c r="AP921" i="10"/>
  <c r="AQ921" i="10" s="1"/>
  <c r="AP922" i="10"/>
  <c r="AQ922" i="10" s="1"/>
  <c r="AP923" i="10"/>
  <c r="AQ923" i="10" s="1"/>
  <c r="AP924" i="10"/>
  <c r="AQ924" i="10" s="1"/>
  <c r="AP925" i="10"/>
  <c r="AQ925" i="10" s="1"/>
  <c r="AP926" i="10"/>
  <c r="AQ926" i="10" s="1"/>
  <c r="AP927" i="10"/>
  <c r="AQ927" i="10" s="1"/>
  <c r="AP928" i="10"/>
  <c r="AQ928" i="10" s="1"/>
  <c r="AP929" i="10"/>
  <c r="AQ929" i="10" s="1"/>
  <c r="AP930" i="10"/>
  <c r="AQ930" i="10" s="1"/>
  <c r="AP931" i="10"/>
  <c r="AQ931" i="10" s="1"/>
  <c r="AP932" i="10"/>
  <c r="AQ932" i="10" s="1"/>
  <c r="AP933" i="10"/>
  <c r="AQ933" i="10" s="1"/>
  <c r="AP934" i="10"/>
  <c r="AQ934" i="10" s="1"/>
  <c r="AP935" i="10"/>
  <c r="AQ935" i="10" s="1"/>
  <c r="AP936" i="10"/>
  <c r="AQ936" i="10" s="1"/>
  <c r="AP937" i="10"/>
  <c r="AQ937" i="10" s="1"/>
  <c r="AP938" i="10"/>
  <c r="AQ938" i="10" s="1"/>
  <c r="AP939" i="10"/>
  <c r="AQ939" i="10" s="1"/>
  <c r="AP940" i="10"/>
  <c r="AQ940" i="10" s="1"/>
  <c r="AP941" i="10"/>
  <c r="AQ941" i="10" s="1"/>
  <c r="AP942" i="10"/>
  <c r="AQ942" i="10" s="1"/>
  <c r="AP943" i="10"/>
  <c r="AQ943" i="10" s="1"/>
  <c r="AP944" i="10"/>
  <c r="AQ944" i="10" s="1"/>
  <c r="AP945" i="10"/>
  <c r="AQ945" i="10" s="1"/>
  <c r="AP946" i="10"/>
  <c r="AQ946" i="10" s="1"/>
  <c r="AP947" i="10"/>
  <c r="AQ947" i="10" s="1"/>
  <c r="AP948" i="10"/>
  <c r="AQ948" i="10" s="1"/>
  <c r="AP949" i="10"/>
  <c r="AQ949" i="10" s="1"/>
  <c r="AP950" i="10"/>
  <c r="AQ950" i="10" s="1"/>
  <c r="AP951" i="10"/>
  <c r="AQ951" i="10" s="1"/>
  <c r="AP952" i="10"/>
  <c r="AQ952" i="10" s="1"/>
  <c r="AP953" i="10"/>
  <c r="AQ953" i="10" s="1"/>
  <c r="AP954" i="10"/>
  <c r="AQ954" i="10" s="1"/>
  <c r="AP955" i="10"/>
  <c r="AQ955" i="10" s="1"/>
  <c r="AP956" i="10"/>
  <c r="AQ956" i="10" s="1"/>
  <c r="AP957" i="10"/>
  <c r="AQ957" i="10" s="1"/>
  <c r="AP958" i="10"/>
  <c r="AQ958" i="10" s="1"/>
  <c r="AP959" i="10"/>
  <c r="AQ959" i="10" s="1"/>
  <c r="AP960" i="10"/>
  <c r="AQ960" i="10" s="1"/>
  <c r="AP961" i="10"/>
  <c r="AQ961" i="10" s="1"/>
  <c r="AP962" i="10"/>
  <c r="AQ962" i="10" s="1"/>
  <c r="AP963" i="10"/>
  <c r="AQ963" i="10" s="1"/>
  <c r="AP964" i="10"/>
  <c r="AQ964" i="10" s="1"/>
  <c r="AP965" i="10"/>
  <c r="AQ965" i="10" s="1"/>
  <c r="AP966" i="10"/>
  <c r="AQ966" i="10" s="1"/>
  <c r="AP967" i="10"/>
  <c r="AQ967" i="10" s="1"/>
  <c r="AP968" i="10"/>
  <c r="AQ968" i="10" s="1"/>
  <c r="AP969" i="10"/>
  <c r="AQ969" i="10" s="1"/>
  <c r="AP970" i="10"/>
  <c r="AQ970" i="10" s="1"/>
  <c r="AP971" i="10"/>
  <c r="AQ971" i="10" s="1"/>
  <c r="AP972" i="10"/>
  <c r="AQ972" i="10" s="1"/>
  <c r="AP973" i="10"/>
  <c r="AQ973" i="10" s="1"/>
  <c r="AP974" i="10"/>
  <c r="AQ974" i="10" s="1"/>
  <c r="AP975" i="10"/>
  <c r="AQ975" i="10" s="1"/>
  <c r="AP976" i="10"/>
  <c r="AQ976" i="10" s="1"/>
  <c r="AP977" i="10"/>
  <c r="AQ977" i="10" s="1"/>
  <c r="AP978" i="10"/>
  <c r="AQ978" i="10" s="1"/>
  <c r="AP979" i="10"/>
  <c r="AQ979" i="10" s="1"/>
  <c r="AP980" i="10"/>
  <c r="AQ980" i="10" s="1"/>
  <c r="AP981" i="10"/>
  <c r="AQ981" i="10" s="1"/>
  <c r="AP982" i="10"/>
  <c r="AQ982" i="10" s="1"/>
  <c r="AP983" i="10"/>
  <c r="AQ983" i="10" s="1"/>
  <c r="AP984" i="10"/>
  <c r="AQ984" i="10" s="1"/>
  <c r="AP985" i="10"/>
  <c r="AQ985" i="10" s="1"/>
  <c r="AP986" i="10"/>
  <c r="AQ986" i="10" s="1"/>
  <c r="AP987" i="10"/>
  <c r="AQ987" i="10" s="1"/>
  <c r="AP988" i="10"/>
  <c r="AQ988" i="10" s="1"/>
  <c r="AP989" i="10"/>
  <c r="AQ989" i="10" s="1"/>
  <c r="AP990" i="10"/>
  <c r="AQ990" i="10" s="1"/>
  <c r="AP991" i="10"/>
  <c r="AQ991" i="10" s="1"/>
  <c r="AP992" i="10"/>
  <c r="AQ992" i="10" s="1"/>
  <c r="AP993" i="10"/>
  <c r="AQ993" i="10" s="1"/>
  <c r="AP994" i="10"/>
  <c r="AQ994" i="10" s="1"/>
  <c r="AP995" i="10"/>
  <c r="AQ995" i="10" s="1"/>
  <c r="AP996" i="10"/>
  <c r="AQ996" i="10" s="1"/>
  <c r="AP997" i="10"/>
  <c r="AQ997" i="10" s="1"/>
  <c r="AP998" i="10"/>
  <c r="AQ998" i="10" s="1"/>
  <c r="AP999" i="10"/>
  <c r="AQ999" i="10" s="1"/>
  <c r="AP1000" i="10"/>
  <c r="AQ1000" i="10" s="1"/>
  <c r="AP1001" i="10"/>
  <c r="AQ1001" i="10" s="1"/>
  <c r="AP1002" i="10"/>
  <c r="AQ1002" i="10" s="1"/>
  <c r="AP1003" i="10"/>
  <c r="AQ1003" i="10" s="1"/>
  <c r="AP1004" i="10"/>
  <c r="AQ1004" i="10" s="1"/>
  <c r="AP1005" i="10"/>
  <c r="AQ1005" i="10" s="1"/>
  <c r="AP1006" i="10"/>
  <c r="AQ1006" i="10" s="1"/>
  <c r="AP1007" i="10"/>
  <c r="AQ1007" i="10" s="1"/>
  <c r="AP1008" i="10"/>
  <c r="AQ1008" i="10" s="1"/>
  <c r="AP1009" i="10"/>
  <c r="AQ1009" i="10" s="1"/>
  <c r="AP1010" i="10"/>
  <c r="AQ1010" i="10" s="1"/>
  <c r="AP1011" i="10"/>
  <c r="AQ1011" i="10" s="1"/>
  <c r="AP1012" i="10"/>
  <c r="AQ1012" i="10" s="1"/>
  <c r="AP1013" i="10"/>
  <c r="AQ1013" i="10" s="1"/>
  <c r="AP1014" i="10"/>
  <c r="AQ1014" i="10" s="1"/>
  <c r="AP1015" i="10"/>
  <c r="AQ1015" i="10" s="1"/>
  <c r="AP1016" i="10"/>
  <c r="AQ1016" i="10" s="1"/>
  <c r="AP1017" i="10"/>
  <c r="AQ1017" i="10" s="1"/>
  <c r="AP1018" i="10"/>
  <c r="AQ1018" i="10" s="1"/>
  <c r="AP1019" i="10"/>
  <c r="AQ1019" i="10" s="1"/>
  <c r="AP1020" i="10"/>
  <c r="AQ1020" i="10" s="1"/>
  <c r="AP1021" i="10"/>
  <c r="AQ1021" i="10" s="1"/>
  <c r="AP1022" i="10"/>
  <c r="AQ1022" i="10" s="1"/>
  <c r="AP1023" i="10"/>
  <c r="AQ1023" i="10" s="1"/>
  <c r="AP1024" i="10"/>
  <c r="AQ1024" i="10" s="1"/>
  <c r="AP1025" i="10"/>
  <c r="AQ1025" i="10" s="1"/>
  <c r="AP1026" i="10"/>
  <c r="AQ1026" i="10" s="1"/>
  <c r="AP1027" i="10"/>
  <c r="AQ1027" i="10" s="1"/>
  <c r="AP1028" i="10"/>
  <c r="AQ1028" i="10" s="1"/>
  <c r="AP1029" i="10"/>
  <c r="AQ1029" i="10" s="1"/>
  <c r="AP1030" i="10"/>
  <c r="AQ1030" i="10" s="1"/>
  <c r="AP1031" i="10"/>
  <c r="AQ1031" i="10" s="1"/>
  <c r="AP1032" i="10"/>
  <c r="AQ1032" i="10" s="1"/>
  <c r="AP1033" i="10"/>
  <c r="AQ1033" i="10" s="1"/>
  <c r="AP1034" i="10"/>
  <c r="AQ1034" i="10" s="1"/>
  <c r="AP1035" i="10"/>
  <c r="AQ1035" i="10" s="1"/>
  <c r="AP1036" i="10"/>
  <c r="AQ1036" i="10" s="1"/>
  <c r="AP1037" i="10"/>
  <c r="AQ1037" i="10" s="1"/>
  <c r="AP1038" i="10"/>
  <c r="AQ1038" i="10" s="1"/>
  <c r="AP1039" i="10"/>
  <c r="AQ1039" i="10" s="1"/>
  <c r="AP1040" i="10"/>
  <c r="AQ1040" i="10" s="1"/>
  <c r="AP1041" i="10"/>
  <c r="AQ1041" i="10" s="1"/>
  <c r="AP1042" i="10"/>
  <c r="AQ1042" i="10" s="1"/>
  <c r="AP1043" i="10"/>
  <c r="AQ1043" i="10" s="1"/>
  <c r="AP1044" i="10"/>
  <c r="AQ1044" i="10" s="1"/>
  <c r="AP1045" i="10"/>
  <c r="AQ1045" i="10" s="1"/>
  <c r="AP1046" i="10"/>
  <c r="AQ1046" i="10" s="1"/>
  <c r="AP1047" i="10"/>
  <c r="AQ1047" i="10" s="1"/>
  <c r="AP1048" i="10"/>
  <c r="AQ1048" i="10" s="1"/>
  <c r="AP1049" i="10"/>
  <c r="AQ1049" i="10" s="1"/>
  <c r="AP1050" i="10"/>
  <c r="AQ1050" i="10" s="1"/>
  <c r="AP1051" i="10"/>
  <c r="AQ1051" i="10" s="1"/>
  <c r="AP1052" i="10"/>
  <c r="AQ1052" i="10" s="1"/>
  <c r="AP1053" i="10"/>
  <c r="AQ1053" i="10" s="1"/>
  <c r="AP1054" i="10"/>
  <c r="AQ1054" i="10" s="1"/>
  <c r="AP1055" i="10"/>
  <c r="AQ1055" i="10" s="1"/>
  <c r="AP1056" i="10"/>
  <c r="AQ1056" i="10" s="1"/>
  <c r="AP1057" i="10"/>
  <c r="AQ1057" i="10" s="1"/>
  <c r="AP1058" i="10"/>
  <c r="AQ1058" i="10" s="1"/>
  <c r="AP1059" i="10"/>
  <c r="AQ1059" i="10" s="1"/>
  <c r="AP1060" i="10"/>
  <c r="AQ1060" i="10" s="1"/>
  <c r="AP1061" i="10"/>
  <c r="AQ1061" i="10" s="1"/>
  <c r="AP1062" i="10"/>
  <c r="AQ1062" i="10" s="1"/>
  <c r="AP1063" i="10"/>
  <c r="AQ1063" i="10" s="1"/>
  <c r="AP1064" i="10"/>
  <c r="AQ1064" i="10" s="1"/>
  <c r="AP1065" i="10"/>
  <c r="AQ1065" i="10" s="1"/>
  <c r="AP1066" i="10"/>
  <c r="AQ1066" i="10" s="1"/>
  <c r="AP1067" i="10"/>
  <c r="AQ1067" i="10" s="1"/>
  <c r="AP1068" i="10"/>
  <c r="AQ1068" i="10" s="1"/>
  <c r="AP1069" i="10"/>
  <c r="AQ1069" i="10" s="1"/>
  <c r="AP1070" i="10"/>
  <c r="AQ1070" i="10" s="1"/>
  <c r="AP1071" i="10"/>
  <c r="AQ1071" i="10" s="1"/>
  <c r="AP1072" i="10"/>
  <c r="AQ1072" i="10" s="1"/>
  <c r="AP1073" i="10"/>
  <c r="AQ1073" i="10" s="1"/>
  <c r="AP1074" i="10"/>
  <c r="AQ1074" i="10" s="1"/>
  <c r="AP1075" i="10"/>
  <c r="AQ1075" i="10" s="1"/>
  <c r="AP1076" i="10"/>
  <c r="AQ1076" i="10" s="1"/>
  <c r="AP1077" i="10"/>
  <c r="AQ1077" i="10" s="1"/>
  <c r="AP1078" i="10"/>
  <c r="AQ1078" i="10" s="1"/>
  <c r="AP1079" i="10"/>
  <c r="AQ1079" i="10" s="1"/>
  <c r="AP1080" i="10"/>
  <c r="AQ1080" i="10" s="1"/>
  <c r="AP1081" i="10"/>
  <c r="AQ1081" i="10" s="1"/>
  <c r="AP1082" i="10"/>
  <c r="AQ1082" i="10" s="1"/>
  <c r="AP1083" i="10"/>
  <c r="AQ1083" i="10" s="1"/>
  <c r="AP1084" i="10"/>
  <c r="AQ1084" i="10" s="1"/>
  <c r="AP1085" i="10"/>
  <c r="AQ1085" i="10" s="1"/>
  <c r="AP1086" i="10"/>
  <c r="AQ1086" i="10" s="1"/>
  <c r="AP1087" i="10"/>
  <c r="AQ1087" i="10" s="1"/>
  <c r="AP1088" i="10"/>
  <c r="AQ1088" i="10" s="1"/>
  <c r="AP1089" i="10"/>
  <c r="AQ1089" i="10" s="1"/>
  <c r="AP1090" i="10"/>
  <c r="AQ1090" i="10" s="1"/>
  <c r="AP1091" i="10"/>
  <c r="AQ1091" i="10" s="1"/>
  <c r="AP1092" i="10"/>
  <c r="AQ1092" i="10" s="1"/>
  <c r="AP1093" i="10"/>
  <c r="AQ1093" i="10" s="1"/>
  <c r="AP1094" i="10"/>
  <c r="AQ1094" i="10" s="1"/>
  <c r="AP1095" i="10"/>
  <c r="AQ1095" i="10" s="1"/>
  <c r="AP1096" i="10"/>
  <c r="AQ1096" i="10" s="1"/>
  <c r="AP1097" i="10"/>
  <c r="AQ1097" i="10" s="1"/>
  <c r="AP1098" i="10"/>
  <c r="AQ1098" i="10" s="1"/>
  <c r="AP1099" i="10"/>
  <c r="AQ1099" i="10" s="1"/>
  <c r="AP1100" i="10"/>
  <c r="AQ1100" i="10" s="1"/>
  <c r="AP1101" i="10"/>
  <c r="AQ1101" i="10" s="1"/>
  <c r="AP1102" i="10"/>
  <c r="AQ1102" i="10" s="1"/>
  <c r="AP1103" i="10"/>
  <c r="AQ1103" i="10" s="1"/>
  <c r="AP1104" i="10"/>
  <c r="AQ1104" i="10" s="1"/>
  <c r="AP1105" i="10"/>
  <c r="AQ1105" i="10" s="1"/>
  <c r="AP1106" i="10"/>
  <c r="AQ1106" i="10" s="1"/>
  <c r="AP1107" i="10"/>
  <c r="AQ1107" i="10" s="1"/>
  <c r="AP1108" i="10"/>
  <c r="AQ1108" i="10" s="1"/>
  <c r="AP1109" i="10"/>
  <c r="AQ1109" i="10" s="1"/>
  <c r="AP1110" i="10"/>
  <c r="AQ1110" i="10" s="1"/>
  <c r="AP1111" i="10"/>
  <c r="AQ1111" i="10" s="1"/>
  <c r="AP1112" i="10"/>
  <c r="AQ1112" i="10" s="1"/>
  <c r="AP1113" i="10"/>
  <c r="AQ1113" i="10" s="1"/>
  <c r="AP1114" i="10"/>
  <c r="AQ1114" i="10" s="1"/>
  <c r="AP1115" i="10"/>
  <c r="AQ1115" i="10" s="1"/>
  <c r="AP1116" i="10"/>
  <c r="AQ1116" i="10" s="1"/>
  <c r="AP1117" i="10"/>
  <c r="AQ1117" i="10" s="1"/>
  <c r="AP1118" i="10"/>
  <c r="AQ1118" i="10" s="1"/>
  <c r="AP1119" i="10"/>
  <c r="AQ1119" i="10" s="1"/>
  <c r="AP1120" i="10"/>
  <c r="AQ1120" i="10" s="1"/>
  <c r="AP1121" i="10"/>
  <c r="AQ1121" i="10" s="1"/>
  <c r="AP1122" i="10"/>
  <c r="AQ1122" i="10" s="1"/>
  <c r="AP1123" i="10"/>
  <c r="AQ1123" i="10" s="1"/>
  <c r="AP1124" i="10"/>
  <c r="AQ1124" i="10" s="1"/>
  <c r="AP1125" i="10"/>
  <c r="AQ1125" i="10" s="1"/>
  <c r="AP1126" i="10"/>
  <c r="AQ1126" i="10" s="1"/>
  <c r="AP1127" i="10"/>
  <c r="AQ1127" i="10" s="1"/>
  <c r="AP1128" i="10"/>
  <c r="AQ1128" i="10" s="1"/>
  <c r="AP1129" i="10"/>
  <c r="AQ1129" i="10" s="1"/>
  <c r="AP1130" i="10"/>
  <c r="AQ1130" i="10" s="1"/>
  <c r="AP1131" i="10"/>
  <c r="AQ1131" i="10" s="1"/>
  <c r="AP1132" i="10"/>
  <c r="AQ1132" i="10" s="1"/>
  <c r="AP1133" i="10"/>
  <c r="AQ1133" i="10" s="1"/>
  <c r="AP1134" i="10"/>
  <c r="AQ1134" i="10" s="1"/>
  <c r="AP1135" i="10"/>
  <c r="AQ1135" i="10" s="1"/>
  <c r="AP1136" i="10"/>
  <c r="AQ1136" i="10" s="1"/>
  <c r="AP1137" i="10"/>
  <c r="AQ1137" i="10" s="1"/>
  <c r="AP1138" i="10"/>
  <c r="AQ1138" i="10" s="1"/>
  <c r="AP1139" i="10"/>
  <c r="AQ1139" i="10" s="1"/>
  <c r="AP1140" i="10"/>
  <c r="AQ1140" i="10" s="1"/>
  <c r="AP1141" i="10"/>
  <c r="AQ1141" i="10" s="1"/>
  <c r="AP1142" i="10"/>
  <c r="AQ1142" i="10" s="1"/>
  <c r="AP1143" i="10"/>
  <c r="AQ1143" i="10" s="1"/>
  <c r="AP1144" i="10"/>
  <c r="AQ1144" i="10" s="1"/>
  <c r="AP1145" i="10"/>
  <c r="AQ1145" i="10" s="1"/>
  <c r="AP1146" i="10"/>
  <c r="AQ1146" i="10" s="1"/>
  <c r="AP1147" i="10"/>
  <c r="AQ1147" i="10" s="1"/>
  <c r="AP1148" i="10"/>
  <c r="AQ1148" i="10" s="1"/>
  <c r="AP1149" i="10"/>
  <c r="AQ1149" i="10" s="1"/>
  <c r="AP1150" i="10"/>
  <c r="AQ1150" i="10" s="1"/>
  <c r="AP1151" i="10"/>
  <c r="AQ1151" i="10" s="1"/>
  <c r="AP1152" i="10"/>
  <c r="AQ1152" i="10" s="1"/>
  <c r="AP1153" i="10"/>
  <c r="AQ1153" i="10" s="1"/>
  <c r="AP1154" i="10"/>
  <c r="AQ1154" i="10" s="1"/>
  <c r="AP1155" i="10"/>
  <c r="AQ1155" i="10" s="1"/>
  <c r="AP1156" i="10"/>
  <c r="AQ1156" i="10" s="1"/>
  <c r="AP1157" i="10"/>
  <c r="AQ1157" i="10" s="1"/>
  <c r="AP1158" i="10"/>
  <c r="AQ1158" i="10" s="1"/>
  <c r="AP1159" i="10"/>
  <c r="AQ1159" i="10" s="1"/>
  <c r="AP1160" i="10"/>
  <c r="AQ1160" i="10" s="1"/>
  <c r="AP1161" i="10"/>
  <c r="AQ1161" i="10" s="1"/>
  <c r="AP1162" i="10"/>
  <c r="AQ1162" i="10" s="1"/>
  <c r="AP1163" i="10"/>
  <c r="AQ1163" i="10" s="1"/>
  <c r="AP1164" i="10"/>
  <c r="AQ1164" i="10" s="1"/>
  <c r="AP1165" i="10"/>
  <c r="AQ1165" i="10" s="1"/>
  <c r="AP1166" i="10"/>
  <c r="AQ1166" i="10" s="1"/>
  <c r="AP1167" i="10"/>
  <c r="AQ1167" i="10" s="1"/>
  <c r="AP1168" i="10"/>
  <c r="AQ1168" i="10" s="1"/>
  <c r="AP1169" i="10"/>
  <c r="AQ1169" i="10" s="1"/>
  <c r="AP1170" i="10"/>
  <c r="AQ1170" i="10" s="1"/>
  <c r="AP1171" i="10"/>
  <c r="AQ1171" i="10" s="1"/>
  <c r="AP1172" i="10"/>
  <c r="AQ1172" i="10" s="1"/>
  <c r="AP1173" i="10"/>
  <c r="AQ1173" i="10" s="1"/>
  <c r="AP1174" i="10"/>
  <c r="AQ1174" i="10" s="1"/>
  <c r="AP1175" i="10"/>
  <c r="AQ1175" i="10" s="1"/>
  <c r="AP1176" i="10"/>
  <c r="AQ1176" i="10" s="1"/>
  <c r="AP1177" i="10"/>
  <c r="AQ1177" i="10" s="1"/>
  <c r="AP1178" i="10"/>
  <c r="AQ1178" i="10" s="1"/>
  <c r="AP1179" i="10"/>
  <c r="AQ1179" i="10" s="1"/>
  <c r="AP1180" i="10"/>
  <c r="AQ1180" i="10" s="1"/>
  <c r="AP1181" i="10"/>
  <c r="AQ1181" i="10" s="1"/>
  <c r="AP1182" i="10"/>
  <c r="AQ1182" i="10" s="1"/>
  <c r="AP1183" i="10"/>
  <c r="AQ1183" i="10" s="1"/>
  <c r="AP1184" i="10"/>
  <c r="AQ1184" i="10" s="1"/>
  <c r="AP1185" i="10"/>
  <c r="AQ1185" i="10" s="1"/>
  <c r="AP1186" i="10"/>
  <c r="AQ1186" i="10" s="1"/>
  <c r="AP1187" i="10"/>
  <c r="AQ1187" i="10" s="1"/>
  <c r="AP1188" i="10"/>
  <c r="AQ1188" i="10" s="1"/>
  <c r="AP1189" i="10"/>
  <c r="AQ1189" i="10" s="1"/>
  <c r="AP1190" i="10"/>
  <c r="AQ1190" i="10" s="1"/>
  <c r="AP1191" i="10"/>
  <c r="AQ1191" i="10" s="1"/>
  <c r="AP1192" i="10"/>
  <c r="AQ1192" i="10" s="1"/>
  <c r="AP1193" i="10"/>
  <c r="AQ1193" i="10" s="1"/>
  <c r="AP1194" i="10"/>
  <c r="AQ1194" i="10" s="1"/>
  <c r="AP1195" i="10"/>
  <c r="AQ1195" i="10" s="1"/>
  <c r="AP1196" i="10"/>
  <c r="AQ1196" i="10" s="1"/>
  <c r="AP1197" i="10"/>
  <c r="AQ1197" i="10" s="1"/>
  <c r="AP1198" i="10"/>
  <c r="AQ1198" i="10" s="1"/>
  <c r="AP1199" i="10"/>
  <c r="AQ1199" i="10" s="1"/>
  <c r="AP1200" i="10"/>
  <c r="AQ1200" i="10" s="1"/>
  <c r="AP1201" i="10"/>
  <c r="AQ1201" i="10" s="1"/>
  <c r="AP1202" i="10"/>
  <c r="AQ1202" i="10" s="1"/>
  <c r="AP1203" i="10"/>
  <c r="AQ1203" i="10" s="1"/>
  <c r="AP1204" i="10"/>
  <c r="AQ1204" i="10" s="1"/>
  <c r="AP1205" i="10"/>
  <c r="AQ1205" i="10" s="1"/>
  <c r="AP1206" i="10"/>
  <c r="AQ1206" i="10" s="1"/>
  <c r="AP1207" i="10"/>
  <c r="AQ1207" i="10" s="1"/>
  <c r="AP1208" i="10"/>
  <c r="AQ1208" i="10" s="1"/>
  <c r="AP1209" i="10"/>
  <c r="AQ1209" i="10" s="1"/>
  <c r="AP1210" i="10"/>
  <c r="AQ1210" i="10" s="1"/>
  <c r="AP1211" i="10"/>
  <c r="AQ1211" i="10" s="1"/>
  <c r="AP1212" i="10"/>
  <c r="AQ1212" i="10" s="1"/>
  <c r="AP1213" i="10"/>
  <c r="AQ1213" i="10" s="1"/>
  <c r="AP1214" i="10"/>
  <c r="AQ1214" i="10" s="1"/>
  <c r="AP1215" i="10"/>
  <c r="AQ1215" i="10" s="1"/>
  <c r="AP1216" i="10"/>
  <c r="AQ1216" i="10" s="1"/>
  <c r="AP1217" i="10"/>
  <c r="AQ1217" i="10" s="1"/>
  <c r="AP1218" i="10"/>
  <c r="AQ1218" i="10" s="1"/>
  <c r="AP1219" i="10"/>
  <c r="AQ1219" i="10" s="1"/>
  <c r="AP1220" i="10"/>
  <c r="AQ1220" i="10" s="1"/>
  <c r="AP1221" i="10"/>
  <c r="AQ1221" i="10" s="1"/>
  <c r="AP1222" i="10"/>
  <c r="AQ1222" i="10" s="1"/>
  <c r="AP1223" i="10"/>
  <c r="AQ1223" i="10" s="1"/>
  <c r="AP1224" i="10"/>
  <c r="AQ1224" i="10" s="1"/>
  <c r="AP1225" i="10"/>
  <c r="AQ1225" i="10" s="1"/>
  <c r="AP1226" i="10"/>
  <c r="AQ1226" i="10" s="1"/>
  <c r="AP1227" i="10"/>
  <c r="AQ1227" i="10" s="1"/>
  <c r="AP1228" i="10"/>
  <c r="AQ1228" i="10" s="1"/>
  <c r="AP1229" i="10"/>
  <c r="AQ1229" i="10" s="1"/>
  <c r="AP1230" i="10"/>
  <c r="AQ1230" i="10" s="1"/>
  <c r="AP1231" i="10"/>
  <c r="AQ1231" i="10" s="1"/>
  <c r="AP1232" i="10"/>
  <c r="AQ1232" i="10" s="1"/>
  <c r="AP1233" i="10"/>
  <c r="AQ1233" i="10" s="1"/>
  <c r="AP1234" i="10"/>
  <c r="AQ1234" i="10" s="1"/>
  <c r="AP1235" i="10"/>
  <c r="AQ1235" i="10" s="1"/>
  <c r="AP1236" i="10"/>
  <c r="AQ1236" i="10" s="1"/>
  <c r="AP1237" i="10"/>
  <c r="AQ1237" i="10" s="1"/>
  <c r="AP1238" i="10"/>
  <c r="AQ1238" i="10" s="1"/>
  <c r="AP1239" i="10"/>
  <c r="AQ1239" i="10" s="1"/>
  <c r="AP1240" i="10"/>
  <c r="AQ1240" i="10" s="1"/>
  <c r="AP1241" i="10"/>
  <c r="AQ1241" i="10" s="1"/>
  <c r="AP1242" i="10"/>
  <c r="AQ1242" i="10" s="1"/>
  <c r="AP1243" i="10"/>
  <c r="AQ1243" i="10" s="1"/>
  <c r="AP1244" i="10"/>
  <c r="AQ1244" i="10" s="1"/>
  <c r="AP1245" i="10"/>
  <c r="AQ1245" i="10" s="1"/>
  <c r="AP1246" i="10"/>
  <c r="AQ1246" i="10" s="1"/>
  <c r="AP1247" i="10"/>
  <c r="AQ1247" i="10" s="1"/>
  <c r="AP1248" i="10"/>
  <c r="AQ1248" i="10" s="1"/>
  <c r="AP1249" i="10"/>
  <c r="AQ1249" i="10" s="1"/>
  <c r="AP1250" i="10"/>
  <c r="AQ1250" i="10" s="1"/>
  <c r="AP1251" i="10"/>
  <c r="AQ1251" i="10" s="1"/>
  <c r="AP1252" i="10"/>
  <c r="AQ1252" i="10" s="1"/>
  <c r="AP1253" i="10"/>
  <c r="AQ1253" i="10" s="1"/>
  <c r="AP1254" i="10"/>
  <c r="AQ1254" i="10" s="1"/>
  <c r="AP1255" i="10"/>
  <c r="AQ1255" i="10" s="1"/>
  <c r="AP1256" i="10"/>
  <c r="AQ1256" i="10" s="1"/>
  <c r="AP1257" i="10"/>
  <c r="AQ1257" i="10" s="1"/>
  <c r="AP1258" i="10"/>
  <c r="AQ1258" i="10" s="1"/>
  <c r="AP1259" i="10"/>
  <c r="AQ1259" i="10" s="1"/>
  <c r="AP1260" i="10"/>
  <c r="AQ1260" i="10" s="1"/>
  <c r="AP1261" i="10"/>
  <c r="AQ1261" i="10" s="1"/>
  <c r="AP1262" i="10"/>
  <c r="AQ1262" i="10" s="1"/>
  <c r="AP1263" i="10"/>
  <c r="AQ1263" i="10" s="1"/>
  <c r="AP1264" i="10"/>
  <c r="AQ1264" i="10" s="1"/>
  <c r="AP1265" i="10"/>
  <c r="AQ1265" i="10" s="1"/>
  <c r="AP1266" i="10"/>
  <c r="AQ1266" i="10" s="1"/>
  <c r="AP1267" i="10"/>
  <c r="AQ1267" i="10" s="1"/>
  <c r="AP1268" i="10"/>
  <c r="AQ1268" i="10" s="1"/>
  <c r="AP1269" i="10"/>
  <c r="AQ1269" i="10" s="1"/>
  <c r="AP1270" i="10"/>
  <c r="AQ1270" i="10" s="1"/>
  <c r="AP1271" i="10"/>
  <c r="AQ1271" i="10" s="1"/>
  <c r="AP1272" i="10"/>
  <c r="AQ1272" i="10" s="1"/>
  <c r="AP1273" i="10"/>
  <c r="AQ1273" i="10" s="1"/>
  <c r="AP1274" i="10"/>
  <c r="AQ1274" i="10" s="1"/>
  <c r="AP1275" i="10"/>
  <c r="AQ1275" i="10" s="1"/>
  <c r="AP1276" i="10"/>
  <c r="AQ1276" i="10" s="1"/>
  <c r="AP1277" i="10"/>
  <c r="AQ1277" i="10" s="1"/>
  <c r="AP1278" i="10"/>
  <c r="AQ1278" i="10" s="1"/>
  <c r="AP1279" i="10"/>
  <c r="AQ1279" i="10" s="1"/>
  <c r="AP1280" i="10"/>
  <c r="AQ1280" i="10" s="1"/>
  <c r="AP1281" i="10"/>
  <c r="AQ1281" i="10" s="1"/>
  <c r="AP1282" i="10"/>
  <c r="AQ1282" i="10" s="1"/>
  <c r="AP1283" i="10"/>
  <c r="AQ1283" i="10" s="1"/>
  <c r="AP1284" i="10"/>
  <c r="AQ1284" i="10" s="1"/>
  <c r="AP1285" i="10"/>
  <c r="AQ1285" i="10" s="1"/>
  <c r="AP1286" i="10"/>
  <c r="AQ1286" i="10" s="1"/>
  <c r="AP1287" i="10"/>
  <c r="AQ1287" i="10" s="1"/>
  <c r="AP1288" i="10"/>
  <c r="AQ1288" i="10" s="1"/>
  <c r="AP1289" i="10"/>
  <c r="AQ1289" i="10" s="1"/>
  <c r="AP1290" i="10"/>
  <c r="AQ1290" i="10" s="1"/>
  <c r="AP1291" i="10"/>
  <c r="AQ1291" i="10" s="1"/>
  <c r="AP1292" i="10"/>
  <c r="AQ1292" i="10" s="1"/>
  <c r="AP1293" i="10"/>
  <c r="AQ1293" i="10" s="1"/>
  <c r="AP1294" i="10"/>
  <c r="AQ1294" i="10" s="1"/>
  <c r="AP1295" i="10"/>
  <c r="AQ1295" i="10" s="1"/>
  <c r="AP1296" i="10"/>
  <c r="AQ1296" i="10" s="1"/>
  <c r="AP1297" i="10"/>
  <c r="AQ1297" i="10" s="1"/>
  <c r="AP1298" i="10"/>
  <c r="AQ1298" i="10" s="1"/>
  <c r="AP1299" i="10"/>
  <c r="AQ1299" i="10" s="1"/>
  <c r="AP1300" i="10"/>
  <c r="AQ1300" i="10" s="1"/>
  <c r="AP1301" i="10"/>
  <c r="AQ1301" i="10" s="1"/>
  <c r="AP1302" i="10"/>
  <c r="AQ1302" i="10" s="1"/>
  <c r="AP1303" i="10"/>
  <c r="AQ1303" i="10" s="1"/>
  <c r="AP1304" i="10"/>
  <c r="AQ1304" i="10" s="1"/>
  <c r="AP1305" i="10"/>
  <c r="AQ1305" i="10" s="1"/>
  <c r="AP1306" i="10"/>
  <c r="AQ1306" i="10" s="1"/>
  <c r="AP1307" i="10"/>
  <c r="AQ1307" i="10" s="1"/>
  <c r="AP1308" i="10"/>
  <c r="AQ1308" i="10" s="1"/>
  <c r="AP1309" i="10"/>
  <c r="AQ1309" i="10" s="1"/>
  <c r="AP1310" i="10"/>
  <c r="AQ1310" i="10" s="1"/>
  <c r="AP1311" i="10"/>
  <c r="AQ1311" i="10" s="1"/>
  <c r="AP1312" i="10"/>
  <c r="AQ1312" i="10" s="1"/>
  <c r="AP1313" i="10"/>
  <c r="AQ1313" i="10" s="1"/>
  <c r="AP1314" i="10"/>
  <c r="AQ1314" i="10" s="1"/>
  <c r="AP1315" i="10"/>
  <c r="AQ1315" i="10" s="1"/>
  <c r="AP1316" i="10"/>
  <c r="AQ1316" i="10" s="1"/>
  <c r="AP1317" i="10"/>
  <c r="AQ1317" i="10" s="1"/>
  <c r="AP1318" i="10"/>
  <c r="AQ1318" i="10" s="1"/>
  <c r="AP1319" i="10"/>
  <c r="AQ1319" i="10" s="1"/>
  <c r="AP1320" i="10"/>
  <c r="AQ1320" i="10" s="1"/>
  <c r="AP1321" i="10"/>
  <c r="AQ1321" i="10" s="1"/>
  <c r="AP1322" i="10"/>
  <c r="AQ1322" i="10" s="1"/>
  <c r="AP1323" i="10"/>
  <c r="AQ1323" i="10" s="1"/>
  <c r="AP1324" i="10"/>
  <c r="AQ1324" i="10" s="1"/>
  <c r="AP1325" i="10"/>
  <c r="AQ1325" i="10" s="1"/>
  <c r="AP1326" i="10"/>
  <c r="AQ1326" i="10" s="1"/>
  <c r="AP1327" i="10"/>
  <c r="AQ1327" i="10" s="1"/>
  <c r="AP1328" i="10"/>
  <c r="AQ1328" i="10" s="1"/>
  <c r="AP1329" i="10"/>
  <c r="AQ1329" i="10" s="1"/>
  <c r="AP1330" i="10"/>
  <c r="AQ1330" i="10" s="1"/>
  <c r="AP1331" i="10"/>
  <c r="AQ1331" i="10" s="1"/>
  <c r="AP1332" i="10"/>
  <c r="AQ1332" i="10" s="1"/>
  <c r="AP1333" i="10"/>
  <c r="AQ1333" i="10" s="1"/>
  <c r="AP1334" i="10"/>
  <c r="AQ1334" i="10" s="1"/>
  <c r="AP1335" i="10"/>
  <c r="AQ1335" i="10" s="1"/>
  <c r="AP1336" i="10"/>
  <c r="AQ1336" i="10" s="1"/>
  <c r="AP1337" i="10"/>
  <c r="AQ1337" i="10" s="1"/>
  <c r="AP1338" i="10"/>
  <c r="AQ1338" i="10" s="1"/>
  <c r="AP1339" i="10"/>
  <c r="AQ1339" i="10" s="1"/>
  <c r="AP1340" i="10"/>
  <c r="AQ1340" i="10" s="1"/>
  <c r="AP1341" i="10"/>
  <c r="AQ1341" i="10" s="1"/>
  <c r="AP1342" i="10"/>
  <c r="AQ1342" i="10" s="1"/>
  <c r="AP1343" i="10"/>
  <c r="AQ1343" i="10" s="1"/>
  <c r="AP1344" i="10"/>
  <c r="AQ1344" i="10" s="1"/>
  <c r="AP1345" i="10"/>
  <c r="AQ1345" i="10" s="1"/>
  <c r="AP1346" i="10"/>
  <c r="AQ1346" i="10" s="1"/>
  <c r="AP1347" i="10"/>
  <c r="AQ1347" i="10" s="1"/>
  <c r="AP1348" i="10"/>
  <c r="AQ1348" i="10" s="1"/>
  <c r="AP1349" i="10"/>
  <c r="AQ1349" i="10" s="1"/>
  <c r="AP1350" i="10"/>
  <c r="AQ1350" i="10" s="1"/>
  <c r="AP1351" i="10"/>
  <c r="AQ1351" i="10" s="1"/>
  <c r="AP1352" i="10"/>
  <c r="AQ1352" i="10" s="1"/>
  <c r="AP1353" i="10"/>
  <c r="AQ1353" i="10" s="1"/>
  <c r="AP1354" i="10"/>
  <c r="AQ1354" i="10" s="1"/>
  <c r="AP1355" i="10"/>
  <c r="AQ1355" i="10" s="1"/>
  <c r="AP1356" i="10"/>
  <c r="AQ1356" i="10" s="1"/>
  <c r="AP1357" i="10"/>
  <c r="AQ1357" i="10" s="1"/>
  <c r="AP1358" i="10"/>
  <c r="AQ1358" i="10" s="1"/>
  <c r="AP1359" i="10"/>
  <c r="AQ1359" i="10" s="1"/>
  <c r="AP1360" i="10"/>
  <c r="AQ1360" i="10" s="1"/>
  <c r="AP1361" i="10"/>
  <c r="AQ1361" i="10" s="1"/>
  <c r="AP1362" i="10"/>
  <c r="AQ1362" i="10" s="1"/>
  <c r="AP1363" i="10"/>
  <c r="AQ1363" i="10" s="1"/>
  <c r="AP1364" i="10"/>
  <c r="AQ1364" i="10" s="1"/>
  <c r="AP1365" i="10"/>
  <c r="AQ1365" i="10" s="1"/>
  <c r="AP1366" i="10"/>
  <c r="AQ1366" i="10" s="1"/>
  <c r="AP1367" i="10"/>
  <c r="AQ1367" i="10" s="1"/>
  <c r="AP1368" i="10"/>
  <c r="AQ1368" i="10" s="1"/>
  <c r="AP1369" i="10"/>
  <c r="AQ1369" i="10" s="1"/>
  <c r="AP1370" i="10"/>
  <c r="AQ1370" i="10" s="1"/>
  <c r="AP1371" i="10"/>
  <c r="AQ1371" i="10" s="1"/>
  <c r="AP1372" i="10"/>
  <c r="AQ1372" i="10" s="1"/>
  <c r="AP1373" i="10"/>
  <c r="AQ1373" i="10" s="1"/>
  <c r="AP1374" i="10"/>
  <c r="AQ1374" i="10" s="1"/>
  <c r="AP1375" i="10"/>
  <c r="AQ1375" i="10" s="1"/>
  <c r="AP1376" i="10"/>
  <c r="AQ1376" i="10" s="1"/>
  <c r="AP1377" i="10"/>
  <c r="AQ1377" i="10" s="1"/>
  <c r="AP1378" i="10"/>
  <c r="AQ1378" i="10" s="1"/>
  <c r="AP1379" i="10"/>
  <c r="AQ1379" i="10" s="1"/>
  <c r="AP1380" i="10"/>
  <c r="AQ1380" i="10" s="1"/>
  <c r="AP1381" i="10"/>
  <c r="AQ1381" i="10" s="1"/>
  <c r="AP1382" i="10"/>
  <c r="AQ1382" i="10" s="1"/>
  <c r="AP1383" i="10"/>
  <c r="AQ1383" i="10" s="1"/>
  <c r="AP1384" i="10"/>
  <c r="AQ1384" i="10" s="1"/>
  <c r="AP1385" i="10"/>
  <c r="AQ1385" i="10" s="1"/>
  <c r="AP1386" i="10"/>
  <c r="AQ1386" i="10" s="1"/>
  <c r="AP1387" i="10"/>
  <c r="AQ1387" i="10" s="1"/>
  <c r="AP1388" i="10"/>
  <c r="AQ1388" i="10" s="1"/>
  <c r="AP1389" i="10"/>
  <c r="AQ1389" i="10" s="1"/>
  <c r="AP1390" i="10"/>
  <c r="AQ1390" i="10" s="1"/>
  <c r="AP1391" i="10"/>
  <c r="AQ1391" i="10" s="1"/>
  <c r="AP1392" i="10"/>
  <c r="AQ1392" i="10" s="1"/>
  <c r="AP1393" i="10"/>
  <c r="AQ1393" i="10" s="1"/>
  <c r="AP1394" i="10"/>
  <c r="AQ1394" i="10" s="1"/>
  <c r="AP1395" i="10"/>
  <c r="AQ1395" i="10" s="1"/>
  <c r="AP1396" i="10"/>
  <c r="AQ1396" i="10" s="1"/>
  <c r="AP1397" i="10"/>
  <c r="AQ1397" i="10" s="1"/>
  <c r="AP1398" i="10"/>
  <c r="AQ1398" i="10" s="1"/>
  <c r="AP1399" i="10"/>
  <c r="AQ1399" i="10" s="1"/>
  <c r="AP1400" i="10"/>
  <c r="AQ1400" i="10" s="1"/>
  <c r="AP1401" i="10"/>
  <c r="AQ1401" i="10" s="1"/>
  <c r="AP1402" i="10"/>
  <c r="AQ1402" i="10" s="1"/>
  <c r="AP1403" i="10"/>
  <c r="AQ1403" i="10" s="1"/>
  <c r="AP1404" i="10"/>
  <c r="AQ1404" i="10" s="1"/>
  <c r="AP1405" i="10"/>
  <c r="AQ1405" i="10" s="1"/>
  <c r="AP1406" i="10"/>
  <c r="AQ1406" i="10" s="1"/>
  <c r="AP1407" i="10"/>
  <c r="AQ1407" i="10" s="1"/>
  <c r="AP1408" i="10"/>
  <c r="AQ1408" i="10" s="1"/>
  <c r="AP1409" i="10"/>
  <c r="AQ1409" i="10" s="1"/>
  <c r="AP1410" i="10"/>
  <c r="AQ1410" i="10" s="1"/>
  <c r="AP1411" i="10"/>
  <c r="AQ1411" i="10" s="1"/>
  <c r="AP1412" i="10"/>
  <c r="AQ1412" i="10" s="1"/>
  <c r="AP1413" i="10"/>
  <c r="AQ1413" i="10" s="1"/>
  <c r="AP1414" i="10"/>
  <c r="AQ1414" i="10" s="1"/>
  <c r="AP1415" i="10"/>
  <c r="AQ1415" i="10" s="1"/>
  <c r="AP1416" i="10"/>
  <c r="AQ1416" i="10" s="1"/>
  <c r="AP1417" i="10"/>
  <c r="AQ1417" i="10" s="1"/>
  <c r="AP1418" i="10"/>
  <c r="AQ1418" i="10" s="1"/>
  <c r="AP1419" i="10"/>
  <c r="AQ1419" i="10" s="1"/>
  <c r="AP1420" i="10"/>
  <c r="AQ1420" i="10" s="1"/>
  <c r="AP1421" i="10"/>
  <c r="AQ1421" i="10" s="1"/>
  <c r="AP1422" i="10"/>
  <c r="AQ1422" i="10" s="1"/>
  <c r="AP1423" i="10"/>
  <c r="AQ1423" i="10" s="1"/>
  <c r="AP1424" i="10"/>
  <c r="AQ1424" i="10" s="1"/>
  <c r="AP1425" i="10"/>
  <c r="AQ1425" i="10" s="1"/>
  <c r="AP1426" i="10"/>
  <c r="AQ1426" i="10" s="1"/>
  <c r="AP1427" i="10"/>
  <c r="AQ1427" i="10" s="1"/>
  <c r="AP1428" i="10"/>
  <c r="AQ1428" i="10" s="1"/>
  <c r="AP1429" i="10"/>
  <c r="AQ1429" i="10" s="1"/>
  <c r="AP1430" i="10"/>
  <c r="AQ1430" i="10" s="1"/>
  <c r="AP1431" i="10"/>
  <c r="AQ1431" i="10" s="1"/>
  <c r="AP1432" i="10"/>
  <c r="AQ1432" i="10" s="1"/>
  <c r="AP1433" i="10"/>
  <c r="AQ1433" i="10" s="1"/>
  <c r="AP1434" i="10"/>
  <c r="AQ1434" i="10" s="1"/>
  <c r="AP1435" i="10"/>
  <c r="AQ1435" i="10" s="1"/>
  <c r="AP1436" i="10"/>
  <c r="AQ1436" i="10" s="1"/>
  <c r="AP1437" i="10"/>
  <c r="AQ1437" i="10" s="1"/>
  <c r="AP1438" i="10"/>
  <c r="AQ1438" i="10" s="1"/>
  <c r="AP1439" i="10"/>
  <c r="AQ1439" i="10" s="1"/>
  <c r="AP1440" i="10"/>
  <c r="AQ1440" i="10" s="1"/>
  <c r="AP1441" i="10"/>
  <c r="AQ1441" i="10" s="1"/>
  <c r="AP1442" i="10"/>
  <c r="AQ1442" i="10" s="1"/>
  <c r="AP1443" i="10"/>
  <c r="AQ1443" i="10" s="1"/>
  <c r="AP1444" i="10"/>
  <c r="AQ1444" i="10" s="1"/>
  <c r="AP1445" i="10"/>
  <c r="AQ1445" i="10" s="1"/>
  <c r="AP1446" i="10"/>
  <c r="AQ1446" i="10" s="1"/>
  <c r="AP1447" i="10"/>
  <c r="AQ1447" i="10" s="1"/>
  <c r="AP1448" i="10"/>
  <c r="AQ1448" i="10" s="1"/>
  <c r="AP1449" i="10"/>
  <c r="AQ1449" i="10" s="1"/>
  <c r="AP1450" i="10"/>
  <c r="AQ1450" i="10" s="1"/>
  <c r="AP1451" i="10"/>
  <c r="AQ1451" i="10" s="1"/>
  <c r="AP1452" i="10"/>
  <c r="AQ1452" i="10" s="1"/>
  <c r="AP1453" i="10"/>
  <c r="AQ1453" i="10" s="1"/>
  <c r="AP1454" i="10"/>
  <c r="AQ1454" i="10" s="1"/>
  <c r="AP1455" i="10"/>
  <c r="AQ1455" i="10" s="1"/>
  <c r="AP1456" i="10"/>
  <c r="AQ1456" i="10" s="1"/>
  <c r="AP1457" i="10"/>
  <c r="AQ1457" i="10" s="1"/>
  <c r="AP1458" i="10"/>
  <c r="AQ1458" i="10" s="1"/>
  <c r="AP1459" i="10"/>
  <c r="AQ1459" i="10" s="1"/>
  <c r="AP1460" i="10"/>
  <c r="AQ1460" i="10" s="1"/>
  <c r="AP1461" i="10"/>
  <c r="AQ1461" i="10" s="1"/>
  <c r="AP1462" i="10"/>
  <c r="AQ1462" i="10" s="1"/>
  <c r="AP1463" i="10"/>
  <c r="AQ1463" i="10" s="1"/>
  <c r="AP1464" i="10"/>
  <c r="AQ1464" i="10" s="1"/>
  <c r="AP1465" i="10"/>
  <c r="AQ1465" i="10" s="1"/>
  <c r="AP1466" i="10"/>
  <c r="AQ1466" i="10" s="1"/>
  <c r="AP1467" i="10"/>
  <c r="AQ1467" i="10" s="1"/>
  <c r="AP1468" i="10"/>
  <c r="AQ1468" i="10" s="1"/>
  <c r="AP1469" i="10"/>
  <c r="AQ1469" i="10" s="1"/>
  <c r="AP1470" i="10"/>
  <c r="AQ1470" i="10" s="1"/>
  <c r="AP1471" i="10"/>
  <c r="AQ1471" i="10" s="1"/>
  <c r="AP1472" i="10"/>
  <c r="AQ1472" i="10" s="1"/>
  <c r="AP1473" i="10"/>
  <c r="AQ1473" i="10" s="1"/>
  <c r="AP1474" i="10"/>
  <c r="AQ1474" i="10" s="1"/>
  <c r="AP1475" i="10"/>
  <c r="AQ1475" i="10" s="1"/>
  <c r="AP1476" i="10"/>
  <c r="AQ1476" i="10" s="1"/>
  <c r="AP1477" i="10"/>
  <c r="AQ1477" i="10" s="1"/>
  <c r="AP1478" i="10"/>
  <c r="AQ1478" i="10" s="1"/>
  <c r="AP1479" i="10"/>
  <c r="AQ1479" i="10" s="1"/>
  <c r="AP1480" i="10"/>
  <c r="AQ1480" i="10" s="1"/>
  <c r="AP1481" i="10"/>
  <c r="AQ1481" i="10" s="1"/>
  <c r="AP1482" i="10"/>
  <c r="AQ1482" i="10" s="1"/>
  <c r="AP1483" i="10"/>
  <c r="AQ1483" i="10" s="1"/>
  <c r="AP1484" i="10"/>
  <c r="AQ1484" i="10" s="1"/>
  <c r="AP1485" i="10"/>
  <c r="AQ1485" i="10" s="1"/>
  <c r="AP1486" i="10"/>
  <c r="AQ1486" i="10" s="1"/>
  <c r="AP1487" i="10"/>
  <c r="AQ1487" i="10" s="1"/>
  <c r="AP1488" i="10"/>
  <c r="AQ1488" i="10" s="1"/>
  <c r="AP1489" i="10"/>
  <c r="AQ1489" i="10" s="1"/>
  <c r="AP1490" i="10"/>
  <c r="AQ1490" i="10" s="1"/>
  <c r="AP1491" i="10"/>
  <c r="AQ1491" i="10" s="1"/>
  <c r="AP1492" i="10"/>
  <c r="AQ1492" i="10" s="1"/>
  <c r="AP1493" i="10"/>
  <c r="AQ1493" i="10" s="1"/>
  <c r="AP1494" i="10"/>
  <c r="AQ1494" i="10" s="1"/>
  <c r="AP1495" i="10"/>
  <c r="AQ1495" i="10" s="1"/>
  <c r="AP1496" i="10"/>
  <c r="AQ1496" i="10" s="1"/>
  <c r="AP1497" i="10"/>
  <c r="AQ1497" i="10" s="1"/>
  <c r="AP1498" i="10"/>
  <c r="AQ1498" i="10" s="1"/>
  <c r="AP1499" i="10"/>
  <c r="AQ1499" i="10" s="1"/>
  <c r="AP1500" i="10"/>
  <c r="AQ1500" i="10" s="1"/>
  <c r="AP1501" i="10"/>
  <c r="AQ1501" i="10" s="1"/>
  <c r="AP1502" i="10"/>
  <c r="AQ1502" i="10" s="1"/>
  <c r="AP1503" i="10"/>
  <c r="AQ1503" i="10" s="1"/>
  <c r="AP1504" i="10"/>
  <c r="AQ1504" i="10" s="1"/>
  <c r="AP1505" i="10"/>
  <c r="AQ1505" i="10" s="1"/>
  <c r="AP1506" i="10"/>
  <c r="AQ1506" i="10" s="1"/>
  <c r="AP1507" i="10"/>
  <c r="AQ1507" i="10" s="1"/>
  <c r="AP1508" i="10"/>
  <c r="AQ1508" i="10" s="1"/>
  <c r="AP1509" i="10"/>
  <c r="AQ1509" i="10" s="1"/>
  <c r="AP1510" i="10"/>
  <c r="AQ1510" i="10" s="1"/>
  <c r="AP1511" i="10"/>
  <c r="AQ1511" i="10" s="1"/>
  <c r="AP1512" i="10"/>
  <c r="AQ1512" i="10" s="1"/>
  <c r="AP1513" i="10"/>
  <c r="AQ1513" i="10" s="1"/>
  <c r="AP1514" i="10"/>
  <c r="AQ1514" i="10" s="1"/>
  <c r="AP1515" i="10"/>
  <c r="AQ1515" i="10" s="1"/>
  <c r="AP1516" i="10"/>
  <c r="AQ1516" i="10" s="1"/>
  <c r="AP1517" i="10"/>
  <c r="AQ1517" i="10" s="1"/>
  <c r="AP1518" i="10"/>
  <c r="AQ1518" i="10" s="1"/>
  <c r="AP1519" i="10"/>
  <c r="AQ1519" i="10" s="1"/>
  <c r="AP1520" i="10"/>
  <c r="AQ1520" i="10" s="1"/>
  <c r="AP1521" i="10"/>
  <c r="AQ1521" i="10" s="1"/>
  <c r="AP1522" i="10"/>
  <c r="AQ1522" i="10" s="1"/>
  <c r="AP1523" i="10"/>
  <c r="AQ1523" i="10" s="1"/>
  <c r="AP1524" i="10"/>
  <c r="AQ1524" i="10" s="1"/>
  <c r="AP1525" i="10"/>
  <c r="AQ1525" i="10" s="1"/>
  <c r="AP1526" i="10"/>
  <c r="AQ1526" i="10" s="1"/>
  <c r="AP1527" i="10"/>
  <c r="AQ1527" i="10" s="1"/>
  <c r="AP1528" i="10"/>
  <c r="AQ1528" i="10" s="1"/>
  <c r="AP1529" i="10"/>
  <c r="AQ1529" i="10" s="1"/>
  <c r="AP1530" i="10"/>
  <c r="AQ1530" i="10" s="1"/>
  <c r="AP1531" i="10"/>
  <c r="AQ1531" i="10" s="1"/>
  <c r="AP1532" i="10"/>
  <c r="AQ1532" i="10" s="1"/>
  <c r="AP1533" i="10"/>
  <c r="AQ1533" i="10" s="1"/>
  <c r="AP1534" i="10"/>
  <c r="AQ1534" i="10" s="1"/>
  <c r="AP1535" i="10"/>
  <c r="AQ1535" i="10" s="1"/>
  <c r="AP1536" i="10"/>
  <c r="AQ1536" i="10" s="1"/>
  <c r="AP1537" i="10"/>
  <c r="AQ1537" i="10" s="1"/>
  <c r="AP1538" i="10"/>
  <c r="AQ1538" i="10" s="1"/>
  <c r="AP1539" i="10"/>
  <c r="AQ1539" i="10" s="1"/>
  <c r="AP1540" i="10"/>
  <c r="AQ1540" i="10" s="1"/>
  <c r="AP1541" i="10"/>
  <c r="AQ1541" i="10" s="1"/>
  <c r="AP1542" i="10"/>
  <c r="AQ1542" i="10" s="1"/>
  <c r="AP1543" i="10"/>
  <c r="AQ1543" i="10" s="1"/>
  <c r="AP1544" i="10"/>
  <c r="AQ1544" i="10" s="1"/>
  <c r="AP1545" i="10"/>
  <c r="AQ1545" i="10" s="1"/>
  <c r="AP1546" i="10"/>
  <c r="AQ1546" i="10" s="1"/>
  <c r="AP1547" i="10"/>
  <c r="AQ1547" i="10" s="1"/>
  <c r="AP1548" i="10"/>
  <c r="AQ1548" i="10" s="1"/>
  <c r="AP1549" i="10"/>
  <c r="AQ1549" i="10" s="1"/>
  <c r="AP1550" i="10"/>
  <c r="AQ1550" i="10" s="1"/>
  <c r="AP1551" i="10"/>
  <c r="AQ1551" i="10" s="1"/>
  <c r="AP1552" i="10"/>
  <c r="AQ1552" i="10" s="1"/>
  <c r="AP1553" i="10"/>
  <c r="AQ1553" i="10" s="1"/>
  <c r="AP1554" i="10"/>
  <c r="AQ1554" i="10" s="1"/>
  <c r="AP1555" i="10"/>
  <c r="AQ1555" i="10" s="1"/>
  <c r="AP1556" i="10"/>
  <c r="AQ1556" i="10" s="1"/>
  <c r="AP1557" i="10"/>
  <c r="AQ1557" i="10" s="1"/>
  <c r="AP1558" i="10"/>
  <c r="AQ1558" i="10" s="1"/>
  <c r="AP1559" i="10"/>
  <c r="AQ1559" i="10" s="1"/>
  <c r="AP1560" i="10"/>
  <c r="AQ1560" i="10" s="1"/>
  <c r="AP1561" i="10"/>
  <c r="AQ1561" i="10" s="1"/>
  <c r="AP1562" i="10"/>
  <c r="AQ1562" i="10" s="1"/>
  <c r="AP1563" i="10"/>
  <c r="AQ1563" i="10" s="1"/>
  <c r="AP1564" i="10"/>
  <c r="AQ1564" i="10" s="1"/>
  <c r="AP1565" i="10"/>
  <c r="AQ1565" i="10" s="1"/>
  <c r="AP1566" i="10"/>
  <c r="AQ1566" i="10" s="1"/>
  <c r="AP1567" i="10"/>
  <c r="AQ1567" i="10" s="1"/>
  <c r="AP1568" i="10"/>
  <c r="AQ1568" i="10" s="1"/>
  <c r="AP1569" i="10"/>
  <c r="AQ1569" i="10" s="1"/>
  <c r="AP1570" i="10"/>
  <c r="AQ1570" i="10" s="1"/>
  <c r="AP1571" i="10"/>
  <c r="AQ1571" i="10" s="1"/>
  <c r="AP1572" i="10"/>
  <c r="AQ1572" i="10" s="1"/>
  <c r="AP1573" i="10"/>
  <c r="AQ1573" i="10" s="1"/>
  <c r="AP1574" i="10"/>
  <c r="AQ1574" i="10" s="1"/>
  <c r="AP1575" i="10"/>
  <c r="AQ1575" i="10" s="1"/>
  <c r="AP1576" i="10"/>
  <c r="AQ1576" i="10" s="1"/>
  <c r="AP1577" i="10"/>
  <c r="AQ1577" i="10" s="1"/>
  <c r="AP1578" i="10"/>
  <c r="AQ1578" i="10" s="1"/>
  <c r="AP1579" i="10"/>
  <c r="AQ1579" i="10" s="1"/>
  <c r="AP1580" i="10"/>
  <c r="AQ1580" i="10" s="1"/>
  <c r="AP1581" i="10"/>
  <c r="AQ1581" i="10" s="1"/>
  <c r="AP1582" i="10"/>
  <c r="AQ1582" i="10" s="1"/>
  <c r="AP1583" i="10"/>
  <c r="AQ1583" i="10" s="1"/>
  <c r="AP1584" i="10"/>
  <c r="AQ1584" i="10" s="1"/>
  <c r="AP1585" i="10"/>
  <c r="AQ1585" i="10" s="1"/>
  <c r="AP1586" i="10"/>
  <c r="AQ1586" i="10" s="1"/>
  <c r="AP1587" i="10"/>
  <c r="AQ1587" i="10" s="1"/>
  <c r="AP1588" i="10"/>
  <c r="AQ1588" i="10" s="1"/>
  <c r="AP1589" i="10"/>
  <c r="AQ1589" i="10" s="1"/>
  <c r="AP1590" i="10"/>
  <c r="AQ1590" i="10" s="1"/>
  <c r="AP1591" i="10"/>
  <c r="AQ1591" i="10" s="1"/>
  <c r="AP1592" i="10"/>
  <c r="AQ1592" i="10" s="1"/>
  <c r="AP1593" i="10"/>
  <c r="AQ1593" i="10" s="1"/>
  <c r="AP1594" i="10"/>
  <c r="AQ1594" i="10" s="1"/>
  <c r="AP1595" i="10"/>
  <c r="AQ1595" i="10" s="1"/>
  <c r="AP1596" i="10"/>
  <c r="AQ1596" i="10" s="1"/>
  <c r="AP1597" i="10"/>
  <c r="AQ1597" i="10" s="1"/>
  <c r="AP1598" i="10"/>
  <c r="AQ1598" i="10" s="1"/>
  <c r="AP1599" i="10"/>
  <c r="AQ1599" i="10" s="1"/>
  <c r="AP1600" i="10"/>
  <c r="AQ1600" i="10" s="1"/>
  <c r="AP1601" i="10"/>
  <c r="AQ1601" i="10" s="1"/>
  <c r="AP1602" i="10"/>
  <c r="AQ1602" i="10" s="1"/>
  <c r="AP1603" i="10"/>
  <c r="AQ1603" i="10" s="1"/>
  <c r="AP1604" i="10"/>
  <c r="AQ1604" i="10" s="1"/>
  <c r="AP1605" i="10"/>
  <c r="AQ1605" i="10" s="1"/>
  <c r="AP1606" i="10"/>
  <c r="AQ1606" i="10" s="1"/>
  <c r="AP1607" i="10"/>
  <c r="AQ1607" i="10" s="1"/>
  <c r="AP1608" i="10"/>
  <c r="AQ1608" i="10" s="1"/>
  <c r="AP1609" i="10"/>
  <c r="AQ1609" i="10" s="1"/>
  <c r="AP1610" i="10"/>
  <c r="AQ1610" i="10" s="1"/>
  <c r="AP1611" i="10"/>
  <c r="AQ1611" i="10" s="1"/>
  <c r="AP1612" i="10"/>
  <c r="AQ1612" i="10" s="1"/>
  <c r="AP1613" i="10"/>
  <c r="AQ1613" i="10" s="1"/>
  <c r="AP1614" i="10"/>
  <c r="AQ1614" i="10" s="1"/>
  <c r="AP1615" i="10"/>
  <c r="AQ1615" i="10" s="1"/>
  <c r="AP1616" i="10"/>
  <c r="AQ1616" i="10" s="1"/>
  <c r="AP1617" i="10"/>
  <c r="AQ1617" i="10" s="1"/>
  <c r="AP1618" i="10"/>
  <c r="AQ1618" i="10" s="1"/>
  <c r="AP1619" i="10"/>
  <c r="AQ1619" i="10" s="1"/>
  <c r="AP1620" i="10"/>
  <c r="AQ1620" i="10" s="1"/>
  <c r="AP1621" i="10"/>
  <c r="AQ1621" i="10" s="1"/>
  <c r="AP1622" i="10"/>
  <c r="AQ1622" i="10" s="1"/>
  <c r="AP1623" i="10"/>
  <c r="AQ1623" i="10" s="1"/>
  <c r="AP1624" i="10"/>
  <c r="AQ1624" i="10" s="1"/>
  <c r="AP1625" i="10"/>
  <c r="AQ1625" i="10" s="1"/>
  <c r="AP1626" i="10"/>
  <c r="AQ1626" i="10" s="1"/>
  <c r="AP1627" i="10"/>
  <c r="AQ1627" i="10" s="1"/>
  <c r="AP1628" i="10"/>
  <c r="AQ1628" i="10" s="1"/>
  <c r="AP1629" i="10"/>
  <c r="AQ1629" i="10" s="1"/>
  <c r="AP1630" i="10"/>
  <c r="AQ1630" i="10" s="1"/>
  <c r="AP1631" i="10"/>
  <c r="AQ1631" i="10" s="1"/>
  <c r="AP1632" i="10"/>
  <c r="AQ1632" i="10" s="1"/>
  <c r="AP1633" i="10"/>
  <c r="AQ1633" i="10" s="1"/>
  <c r="AP1634" i="10"/>
  <c r="AQ1634" i="10" s="1"/>
  <c r="AP1635" i="10"/>
  <c r="AQ1635" i="10" s="1"/>
  <c r="AP1636" i="10"/>
  <c r="AQ1636" i="10" s="1"/>
  <c r="AP1637" i="10"/>
  <c r="AQ1637" i="10" s="1"/>
  <c r="AP1638" i="10"/>
  <c r="AQ1638" i="10" s="1"/>
  <c r="AP1639" i="10"/>
  <c r="AQ1639" i="10" s="1"/>
  <c r="AP1640" i="10"/>
  <c r="AQ1640" i="10" s="1"/>
  <c r="AP1641" i="10"/>
  <c r="AQ1641" i="10" s="1"/>
  <c r="AP1642" i="10"/>
  <c r="AQ1642" i="10" s="1"/>
  <c r="AP1643" i="10"/>
  <c r="AQ1643" i="10" s="1"/>
  <c r="AP1644" i="10"/>
  <c r="AQ1644" i="10" s="1"/>
  <c r="AP1645" i="10"/>
  <c r="AQ1645" i="10" s="1"/>
  <c r="AP1646" i="10"/>
  <c r="AQ1646" i="10" s="1"/>
  <c r="AP1647" i="10"/>
  <c r="AQ1647" i="10" s="1"/>
  <c r="AP1648" i="10"/>
  <c r="AQ1648" i="10" s="1"/>
  <c r="AP1649" i="10"/>
  <c r="AQ1649" i="10" s="1"/>
  <c r="AP1650" i="10"/>
  <c r="AQ1650" i="10" s="1"/>
  <c r="AP1651" i="10"/>
  <c r="AQ1651" i="10" s="1"/>
  <c r="AP1652" i="10"/>
  <c r="AQ1652" i="10" s="1"/>
  <c r="AP1653" i="10"/>
  <c r="AQ1653" i="10" s="1"/>
  <c r="AP1654" i="10"/>
  <c r="AQ1654" i="10" s="1"/>
  <c r="AP1655" i="10"/>
  <c r="AQ1655" i="10" s="1"/>
  <c r="AP1656" i="10"/>
  <c r="AQ1656" i="10" s="1"/>
  <c r="AP1657" i="10"/>
  <c r="AQ1657" i="10" s="1"/>
  <c r="AP1658" i="10"/>
  <c r="AQ1658" i="10" s="1"/>
  <c r="AP1659" i="10"/>
  <c r="AQ1659" i="10" s="1"/>
  <c r="AP1660" i="10"/>
  <c r="AQ1660" i="10" s="1"/>
  <c r="AP1661" i="10"/>
  <c r="AQ1661" i="10" s="1"/>
  <c r="AP1662" i="10"/>
  <c r="AQ1662" i="10" s="1"/>
  <c r="AP1663" i="10"/>
  <c r="AQ1663" i="10" s="1"/>
  <c r="AP1664" i="10"/>
  <c r="AQ1664" i="10" s="1"/>
  <c r="AP1665" i="10"/>
  <c r="AQ1665" i="10" s="1"/>
  <c r="AP1666" i="10"/>
  <c r="AQ1666" i="10" s="1"/>
  <c r="AP1667" i="10"/>
  <c r="AQ1667" i="10" s="1"/>
  <c r="AP1668" i="10"/>
  <c r="AQ1668" i="10" s="1"/>
  <c r="AP1669" i="10"/>
  <c r="AQ1669" i="10" s="1"/>
  <c r="AP1670" i="10"/>
  <c r="AQ1670" i="10" s="1"/>
  <c r="AP1671" i="10"/>
  <c r="AQ1671" i="10" s="1"/>
  <c r="AP1672" i="10"/>
  <c r="AQ1672" i="10" s="1"/>
  <c r="AP1673" i="10"/>
  <c r="AQ1673" i="10" s="1"/>
  <c r="AP1674" i="10"/>
  <c r="AQ1674" i="10" s="1"/>
  <c r="AP1675" i="10"/>
  <c r="AQ1675" i="10" s="1"/>
  <c r="AP1676" i="10"/>
  <c r="AQ1676" i="10" s="1"/>
  <c r="AP1677" i="10"/>
  <c r="AQ1677" i="10" s="1"/>
  <c r="AP1678" i="10"/>
  <c r="AQ1678" i="10" s="1"/>
  <c r="AP1679" i="10"/>
  <c r="AQ1679" i="10" s="1"/>
  <c r="AP1680" i="10"/>
  <c r="AQ1680" i="10" s="1"/>
  <c r="AP1681" i="10"/>
  <c r="AQ1681" i="10" s="1"/>
  <c r="AP1682" i="10"/>
  <c r="AQ1682" i="10" s="1"/>
  <c r="AP1683" i="10"/>
  <c r="AQ1683" i="10" s="1"/>
  <c r="AP1684" i="10"/>
  <c r="AQ1684" i="10" s="1"/>
  <c r="AP1685" i="10"/>
  <c r="AQ1685" i="10" s="1"/>
  <c r="AP1686" i="10"/>
  <c r="AQ1686" i="10" s="1"/>
  <c r="AP1687" i="10"/>
  <c r="AQ1687" i="10" s="1"/>
  <c r="AP1688" i="10"/>
  <c r="AQ1688" i="10" s="1"/>
  <c r="AP1689" i="10"/>
  <c r="AQ1689" i="10" s="1"/>
  <c r="AP1690" i="10"/>
  <c r="AQ1690" i="10" s="1"/>
  <c r="AT2" i="10"/>
  <c r="AU2" i="10" s="1"/>
  <c r="AT3" i="10"/>
  <c r="AU3" i="10" s="1"/>
  <c r="AT4" i="10"/>
  <c r="AU4" i="10" s="1"/>
  <c r="AT5" i="10"/>
  <c r="AU5" i="10" s="1"/>
  <c r="AT6" i="10"/>
  <c r="AU6" i="10" s="1"/>
  <c r="AT7" i="10"/>
  <c r="AU7" i="10" s="1"/>
  <c r="AT8" i="10"/>
  <c r="AU8" i="10" s="1"/>
  <c r="AT9" i="10"/>
  <c r="AU9" i="10" s="1"/>
  <c r="AT10" i="10"/>
  <c r="AU10" i="10" s="1"/>
  <c r="AT11" i="10"/>
  <c r="AU11" i="10" s="1"/>
  <c r="AT12" i="10"/>
  <c r="AU12" i="10" s="1"/>
  <c r="AT13" i="10"/>
  <c r="AU13" i="10" s="1"/>
  <c r="AT14" i="10"/>
  <c r="AU14" i="10" s="1"/>
  <c r="AT15" i="10"/>
  <c r="AU15" i="10" s="1"/>
  <c r="AT16" i="10"/>
  <c r="AU16" i="10" s="1"/>
  <c r="AT17" i="10"/>
  <c r="AU17" i="10" s="1"/>
  <c r="AT18" i="10"/>
  <c r="AU18" i="10" s="1"/>
  <c r="AT19" i="10"/>
  <c r="AU19" i="10" s="1"/>
  <c r="AT20" i="10"/>
  <c r="AU20" i="10" s="1"/>
  <c r="AT21" i="10"/>
  <c r="AU21" i="10" s="1"/>
  <c r="AT22" i="10"/>
  <c r="AU22" i="10" s="1"/>
  <c r="AT23" i="10"/>
  <c r="AU23" i="10" s="1"/>
  <c r="AT24" i="10"/>
  <c r="AU24" i="10" s="1"/>
  <c r="AT25" i="10"/>
  <c r="AU25" i="10" s="1"/>
  <c r="AT26" i="10"/>
  <c r="AU26" i="10" s="1"/>
  <c r="AT27" i="10"/>
  <c r="AU27" i="10" s="1"/>
  <c r="AT28" i="10"/>
  <c r="AU28" i="10" s="1"/>
  <c r="AT29" i="10"/>
  <c r="AU29" i="10" s="1"/>
  <c r="AT30" i="10"/>
  <c r="AU30" i="10" s="1"/>
  <c r="AT31" i="10"/>
  <c r="AU31" i="10" s="1"/>
  <c r="AT32" i="10"/>
  <c r="AU32" i="10" s="1"/>
  <c r="AT33" i="10"/>
  <c r="AU33" i="10" s="1"/>
  <c r="AT34" i="10"/>
  <c r="AU34" i="10" s="1"/>
  <c r="AT35" i="10"/>
  <c r="AU35" i="10" s="1"/>
  <c r="AT36" i="10"/>
  <c r="AU36" i="10" s="1"/>
  <c r="AT37" i="10"/>
  <c r="AU37" i="10" s="1"/>
  <c r="AT38" i="10"/>
  <c r="AU38" i="10" s="1"/>
  <c r="AT39" i="10"/>
  <c r="AU39" i="10" s="1"/>
  <c r="AT40" i="10"/>
  <c r="AU40" i="10" s="1"/>
  <c r="AT41" i="10"/>
  <c r="AU41" i="10" s="1"/>
  <c r="AT42" i="10"/>
  <c r="AU42" i="10" s="1"/>
  <c r="AT43" i="10"/>
  <c r="AU43" i="10" s="1"/>
  <c r="AT44" i="10"/>
  <c r="AU44" i="10" s="1"/>
  <c r="AT45" i="10"/>
  <c r="AU45" i="10" s="1"/>
  <c r="AT46" i="10"/>
  <c r="AU46" i="10" s="1"/>
  <c r="AT47" i="10"/>
  <c r="AU47" i="10" s="1"/>
  <c r="AT48" i="10"/>
  <c r="AU48" i="10" s="1"/>
  <c r="AT49" i="10"/>
  <c r="AU49" i="10" s="1"/>
  <c r="AT50" i="10"/>
  <c r="AU50" i="10" s="1"/>
  <c r="AT51" i="10"/>
  <c r="AU51" i="10" s="1"/>
  <c r="AT52" i="10"/>
  <c r="AU52" i="10" s="1"/>
  <c r="AT53" i="10"/>
  <c r="AU53" i="10" s="1"/>
  <c r="AT54" i="10"/>
  <c r="AU54" i="10" s="1"/>
  <c r="AT55" i="10"/>
  <c r="AU55" i="10" s="1"/>
  <c r="AT56" i="10"/>
  <c r="AU56" i="10" s="1"/>
  <c r="AT57" i="10"/>
  <c r="AU57" i="10" s="1"/>
  <c r="AT58" i="10"/>
  <c r="AU58" i="10" s="1"/>
  <c r="AT59" i="10"/>
  <c r="AU59" i="10" s="1"/>
  <c r="AT60" i="10"/>
  <c r="AU60" i="10" s="1"/>
  <c r="AT61" i="10"/>
  <c r="AU61" i="10" s="1"/>
  <c r="AT62" i="10"/>
  <c r="AU62" i="10" s="1"/>
  <c r="AT63" i="10"/>
  <c r="AU63" i="10" s="1"/>
  <c r="AT64" i="10"/>
  <c r="AU64" i="10" s="1"/>
  <c r="AT65" i="10"/>
  <c r="AU65" i="10" s="1"/>
  <c r="AT66" i="10"/>
  <c r="AU66" i="10" s="1"/>
  <c r="AT67" i="10"/>
  <c r="AU67" i="10" s="1"/>
  <c r="AT68" i="10"/>
  <c r="AU68" i="10" s="1"/>
  <c r="AT69" i="10"/>
  <c r="AU69" i="10" s="1"/>
  <c r="AT70" i="10"/>
  <c r="AU70" i="10" s="1"/>
  <c r="AT71" i="10"/>
  <c r="AU71" i="10" s="1"/>
  <c r="AT72" i="10"/>
  <c r="AU72" i="10" s="1"/>
  <c r="AT73" i="10"/>
  <c r="AU73" i="10" s="1"/>
  <c r="AT74" i="10"/>
  <c r="AU74" i="10" s="1"/>
  <c r="AT75" i="10"/>
  <c r="AU75" i="10" s="1"/>
  <c r="AT76" i="10"/>
  <c r="AU76" i="10" s="1"/>
  <c r="AT77" i="10"/>
  <c r="AU77" i="10" s="1"/>
  <c r="AT78" i="10"/>
  <c r="AU78" i="10" s="1"/>
  <c r="AT79" i="10"/>
  <c r="AU79" i="10" s="1"/>
  <c r="AT80" i="10"/>
  <c r="AU80" i="10" s="1"/>
  <c r="AT81" i="10"/>
  <c r="AU81" i="10" s="1"/>
  <c r="AT82" i="10"/>
  <c r="AU82" i="10" s="1"/>
  <c r="AT83" i="10"/>
  <c r="AU83" i="10" s="1"/>
  <c r="AT84" i="10"/>
  <c r="AU84" i="10" s="1"/>
  <c r="AT85" i="10"/>
  <c r="AU85" i="10" s="1"/>
  <c r="AT86" i="10"/>
  <c r="AU86" i="10" s="1"/>
  <c r="AT87" i="10"/>
  <c r="AU87" i="10" s="1"/>
  <c r="AT88" i="10"/>
  <c r="AU88" i="10" s="1"/>
  <c r="AT89" i="10"/>
  <c r="AU89" i="10" s="1"/>
  <c r="AT90" i="10"/>
  <c r="AU90" i="10" s="1"/>
  <c r="AT91" i="10"/>
  <c r="AU91" i="10" s="1"/>
  <c r="AT92" i="10"/>
  <c r="AU92" i="10" s="1"/>
  <c r="AT93" i="10"/>
  <c r="AU93" i="10" s="1"/>
  <c r="AT94" i="10"/>
  <c r="AU94" i="10" s="1"/>
  <c r="AT95" i="10"/>
  <c r="AU95" i="10" s="1"/>
  <c r="AT96" i="10"/>
  <c r="AU96" i="10" s="1"/>
  <c r="AT97" i="10"/>
  <c r="AU97" i="10" s="1"/>
  <c r="AT98" i="10"/>
  <c r="AU98" i="10" s="1"/>
  <c r="AT99" i="10"/>
  <c r="AU99" i="10" s="1"/>
  <c r="AT100" i="10"/>
  <c r="AU100" i="10" s="1"/>
  <c r="AT101" i="10"/>
  <c r="AU101" i="10" s="1"/>
  <c r="AT102" i="10"/>
  <c r="AU102" i="10" s="1"/>
  <c r="AT103" i="10"/>
  <c r="AU103" i="10" s="1"/>
  <c r="AT104" i="10"/>
  <c r="AU104" i="10" s="1"/>
  <c r="AT105" i="10"/>
  <c r="AU105" i="10" s="1"/>
  <c r="AT106" i="10"/>
  <c r="AU106" i="10" s="1"/>
  <c r="AT107" i="10"/>
  <c r="AU107" i="10" s="1"/>
  <c r="AT108" i="10"/>
  <c r="AU108" i="10" s="1"/>
  <c r="AT109" i="10"/>
  <c r="AU109" i="10" s="1"/>
  <c r="AT110" i="10"/>
  <c r="AU110" i="10" s="1"/>
  <c r="AT111" i="10"/>
  <c r="AU111" i="10" s="1"/>
  <c r="AT112" i="10"/>
  <c r="AU112" i="10" s="1"/>
  <c r="AT113" i="10"/>
  <c r="AU113" i="10" s="1"/>
  <c r="AT114" i="10"/>
  <c r="AU114" i="10" s="1"/>
  <c r="AT115" i="10"/>
  <c r="AU115" i="10" s="1"/>
  <c r="AT116" i="10"/>
  <c r="AU116" i="10" s="1"/>
  <c r="AT117" i="10"/>
  <c r="AU117" i="10" s="1"/>
  <c r="AT118" i="10"/>
  <c r="AU118" i="10" s="1"/>
  <c r="AT119" i="10"/>
  <c r="AU119" i="10" s="1"/>
  <c r="AT120" i="10"/>
  <c r="AU120" i="10" s="1"/>
  <c r="AT121" i="10"/>
  <c r="AU121" i="10" s="1"/>
  <c r="AT122" i="10"/>
  <c r="AU122" i="10" s="1"/>
  <c r="AT123" i="10"/>
  <c r="AU123" i="10" s="1"/>
  <c r="AT124" i="10"/>
  <c r="AU124" i="10" s="1"/>
  <c r="AT125" i="10"/>
  <c r="AU125" i="10" s="1"/>
  <c r="AT126" i="10"/>
  <c r="AU126" i="10" s="1"/>
  <c r="AT127" i="10"/>
  <c r="AU127" i="10" s="1"/>
  <c r="AT128" i="10"/>
  <c r="AU128" i="10" s="1"/>
  <c r="AT129" i="10"/>
  <c r="AU129" i="10" s="1"/>
  <c r="AT130" i="10"/>
  <c r="AU130" i="10" s="1"/>
  <c r="AT131" i="10"/>
  <c r="AU131" i="10" s="1"/>
  <c r="AT132" i="10"/>
  <c r="AU132" i="10" s="1"/>
  <c r="AT133" i="10"/>
  <c r="AU133" i="10" s="1"/>
  <c r="AT134" i="10"/>
  <c r="AU134" i="10" s="1"/>
  <c r="AT135" i="10"/>
  <c r="AU135" i="10" s="1"/>
  <c r="AT136" i="10"/>
  <c r="AU136" i="10" s="1"/>
  <c r="AT137" i="10"/>
  <c r="AU137" i="10" s="1"/>
  <c r="AT138" i="10"/>
  <c r="AU138" i="10" s="1"/>
  <c r="AT139" i="10"/>
  <c r="AU139" i="10" s="1"/>
  <c r="AT140" i="10"/>
  <c r="AU140" i="10" s="1"/>
  <c r="AT141" i="10"/>
  <c r="AU141" i="10" s="1"/>
  <c r="AT142" i="10"/>
  <c r="AU142" i="10" s="1"/>
  <c r="AT143" i="10"/>
  <c r="AU143" i="10" s="1"/>
  <c r="AT144" i="10"/>
  <c r="AU144" i="10" s="1"/>
  <c r="AT145" i="10"/>
  <c r="AU145" i="10" s="1"/>
  <c r="AT146" i="10"/>
  <c r="AU146" i="10" s="1"/>
  <c r="AT147" i="10"/>
  <c r="AU147" i="10" s="1"/>
  <c r="AT148" i="10"/>
  <c r="AU148" i="10" s="1"/>
  <c r="AT149" i="10"/>
  <c r="AU149" i="10" s="1"/>
  <c r="AT150" i="10"/>
  <c r="AU150" i="10" s="1"/>
  <c r="AT151" i="10"/>
  <c r="AU151" i="10" s="1"/>
  <c r="AT152" i="10"/>
  <c r="AU152" i="10" s="1"/>
  <c r="AT153" i="10"/>
  <c r="AU153" i="10" s="1"/>
  <c r="AT154" i="10"/>
  <c r="AU154" i="10" s="1"/>
  <c r="AT155" i="10"/>
  <c r="AU155" i="10" s="1"/>
  <c r="AT156" i="10"/>
  <c r="AU156" i="10" s="1"/>
  <c r="AT157" i="10"/>
  <c r="AU157" i="10" s="1"/>
  <c r="AT158" i="10"/>
  <c r="AU158" i="10" s="1"/>
  <c r="AT159" i="10"/>
  <c r="AU159" i="10" s="1"/>
  <c r="AT160" i="10"/>
  <c r="AU160" i="10" s="1"/>
  <c r="AT161" i="10"/>
  <c r="AU161" i="10" s="1"/>
  <c r="AT162" i="10"/>
  <c r="AU162" i="10" s="1"/>
  <c r="AT163" i="10"/>
  <c r="AU163" i="10" s="1"/>
  <c r="AT164" i="10"/>
  <c r="AU164" i="10" s="1"/>
  <c r="AT165" i="10"/>
  <c r="AU165" i="10" s="1"/>
  <c r="AT166" i="10"/>
  <c r="AU166" i="10" s="1"/>
  <c r="AT167" i="10"/>
  <c r="AU167" i="10" s="1"/>
  <c r="AT168" i="10"/>
  <c r="AU168" i="10" s="1"/>
  <c r="AT169" i="10"/>
  <c r="AU169" i="10" s="1"/>
  <c r="AT170" i="10"/>
  <c r="AU170" i="10" s="1"/>
  <c r="AT171" i="10"/>
  <c r="AU171" i="10" s="1"/>
  <c r="AT172" i="10"/>
  <c r="AU172" i="10" s="1"/>
  <c r="AT173" i="10"/>
  <c r="AU173" i="10" s="1"/>
  <c r="AT174" i="10"/>
  <c r="AU174" i="10" s="1"/>
  <c r="AT175" i="10"/>
  <c r="AU175" i="10" s="1"/>
  <c r="AT176" i="10"/>
  <c r="AU176" i="10" s="1"/>
  <c r="AT177" i="10"/>
  <c r="AU177" i="10" s="1"/>
  <c r="AT178" i="10"/>
  <c r="AU178" i="10" s="1"/>
  <c r="AT179" i="10"/>
  <c r="AU179" i="10" s="1"/>
  <c r="AT180" i="10"/>
  <c r="AU180" i="10" s="1"/>
  <c r="AT181" i="10"/>
  <c r="AU181" i="10" s="1"/>
  <c r="AT182" i="10"/>
  <c r="AU182" i="10" s="1"/>
  <c r="AT183" i="10"/>
  <c r="AU183" i="10" s="1"/>
  <c r="AT184" i="10"/>
  <c r="AU184" i="10" s="1"/>
  <c r="AT185" i="10"/>
  <c r="AU185" i="10" s="1"/>
  <c r="AT186" i="10"/>
  <c r="AU186" i="10" s="1"/>
  <c r="AT187" i="10"/>
  <c r="AU187" i="10" s="1"/>
  <c r="AT188" i="10"/>
  <c r="AU188" i="10" s="1"/>
  <c r="AT189" i="10"/>
  <c r="AU189" i="10" s="1"/>
  <c r="AT190" i="10"/>
  <c r="AU190" i="10" s="1"/>
  <c r="AT191" i="10"/>
  <c r="AU191" i="10" s="1"/>
  <c r="AT192" i="10"/>
  <c r="AU192" i="10" s="1"/>
  <c r="AT193" i="10"/>
  <c r="AU193" i="10" s="1"/>
  <c r="AT194" i="10"/>
  <c r="AU194" i="10" s="1"/>
  <c r="AT195" i="10"/>
  <c r="AU195" i="10" s="1"/>
  <c r="AT196" i="10"/>
  <c r="AU196" i="10" s="1"/>
  <c r="AT197" i="10"/>
  <c r="AU197" i="10" s="1"/>
  <c r="AT198" i="10"/>
  <c r="AU198" i="10" s="1"/>
  <c r="AT199" i="10"/>
  <c r="AU199" i="10" s="1"/>
  <c r="AT200" i="10"/>
  <c r="AU200" i="10" s="1"/>
  <c r="AT201" i="10"/>
  <c r="AU201" i="10" s="1"/>
  <c r="AT202" i="10"/>
  <c r="AU202" i="10" s="1"/>
  <c r="AT203" i="10"/>
  <c r="AU203" i="10" s="1"/>
  <c r="AT204" i="10"/>
  <c r="AU204" i="10" s="1"/>
  <c r="AT205" i="10"/>
  <c r="AU205" i="10" s="1"/>
  <c r="AT206" i="10"/>
  <c r="AU206" i="10" s="1"/>
  <c r="AT207" i="10"/>
  <c r="AU207" i="10" s="1"/>
  <c r="AT208" i="10"/>
  <c r="AU208" i="10" s="1"/>
  <c r="AT209" i="10"/>
  <c r="AU209" i="10" s="1"/>
  <c r="AT210" i="10"/>
  <c r="AU210" i="10" s="1"/>
  <c r="AT211" i="10"/>
  <c r="AU211" i="10" s="1"/>
  <c r="AT212" i="10"/>
  <c r="AU212" i="10" s="1"/>
  <c r="AT213" i="10"/>
  <c r="AU213" i="10" s="1"/>
  <c r="AT214" i="10"/>
  <c r="AU214" i="10" s="1"/>
  <c r="AT215" i="10"/>
  <c r="AU215" i="10" s="1"/>
  <c r="AT216" i="10"/>
  <c r="AU216" i="10" s="1"/>
  <c r="AT217" i="10"/>
  <c r="AU217" i="10" s="1"/>
  <c r="AT218" i="10"/>
  <c r="AU218" i="10" s="1"/>
  <c r="AT219" i="10"/>
  <c r="AU219" i="10" s="1"/>
  <c r="AT220" i="10"/>
  <c r="AU220" i="10" s="1"/>
  <c r="AT221" i="10"/>
  <c r="AU221" i="10" s="1"/>
  <c r="AT222" i="10"/>
  <c r="AU222" i="10" s="1"/>
  <c r="AT223" i="10"/>
  <c r="AU223" i="10" s="1"/>
  <c r="AT224" i="10"/>
  <c r="AU224" i="10" s="1"/>
  <c r="AT225" i="10"/>
  <c r="AU225" i="10" s="1"/>
  <c r="AT226" i="10"/>
  <c r="AU226" i="10" s="1"/>
  <c r="AT227" i="10"/>
  <c r="AU227" i="10" s="1"/>
  <c r="AT228" i="10"/>
  <c r="AU228" i="10" s="1"/>
  <c r="AT229" i="10"/>
  <c r="AU229" i="10" s="1"/>
  <c r="AT230" i="10"/>
  <c r="AU230" i="10" s="1"/>
  <c r="AT231" i="10"/>
  <c r="AU231" i="10" s="1"/>
  <c r="AT232" i="10"/>
  <c r="AU232" i="10" s="1"/>
  <c r="AT233" i="10"/>
  <c r="AU233" i="10" s="1"/>
  <c r="AT234" i="10"/>
  <c r="AU234" i="10" s="1"/>
  <c r="AT235" i="10"/>
  <c r="AU235" i="10" s="1"/>
  <c r="AT236" i="10"/>
  <c r="AU236" i="10" s="1"/>
  <c r="AT237" i="10"/>
  <c r="AU237" i="10" s="1"/>
  <c r="AT238" i="10"/>
  <c r="AU238" i="10" s="1"/>
  <c r="AT239" i="10"/>
  <c r="AU239" i="10" s="1"/>
  <c r="AT240" i="10"/>
  <c r="AU240" i="10" s="1"/>
  <c r="AT241" i="10"/>
  <c r="AU241" i="10" s="1"/>
  <c r="AT242" i="10"/>
  <c r="AU242" i="10" s="1"/>
  <c r="AT243" i="10"/>
  <c r="AU243" i="10" s="1"/>
  <c r="AT244" i="10"/>
  <c r="AU244" i="10" s="1"/>
  <c r="AT245" i="10"/>
  <c r="AU245" i="10" s="1"/>
  <c r="AT246" i="10"/>
  <c r="AU246" i="10" s="1"/>
  <c r="AT247" i="10"/>
  <c r="AU247" i="10" s="1"/>
  <c r="AT248" i="10"/>
  <c r="AU248" i="10" s="1"/>
  <c r="AT249" i="10"/>
  <c r="AU249" i="10" s="1"/>
  <c r="AT250" i="10"/>
  <c r="AU250" i="10" s="1"/>
  <c r="AT251" i="10"/>
  <c r="AU251" i="10" s="1"/>
  <c r="AT252" i="10"/>
  <c r="AU252" i="10" s="1"/>
  <c r="AT253" i="10"/>
  <c r="AU253" i="10" s="1"/>
  <c r="AT254" i="10"/>
  <c r="AU254" i="10" s="1"/>
  <c r="AT255" i="10"/>
  <c r="AU255" i="10" s="1"/>
  <c r="AT256" i="10"/>
  <c r="AU256" i="10" s="1"/>
  <c r="AT257" i="10"/>
  <c r="AU257" i="10" s="1"/>
  <c r="AT258" i="10"/>
  <c r="AU258" i="10" s="1"/>
  <c r="AT259" i="10"/>
  <c r="AU259" i="10" s="1"/>
  <c r="AT260" i="10"/>
  <c r="AU260" i="10" s="1"/>
  <c r="AT261" i="10"/>
  <c r="AU261" i="10" s="1"/>
  <c r="AT262" i="10"/>
  <c r="AU262" i="10" s="1"/>
  <c r="AT263" i="10"/>
  <c r="AU263" i="10" s="1"/>
  <c r="AT264" i="10"/>
  <c r="AU264" i="10" s="1"/>
  <c r="AT265" i="10"/>
  <c r="AU265" i="10" s="1"/>
  <c r="AT266" i="10"/>
  <c r="AU266" i="10" s="1"/>
  <c r="AT267" i="10"/>
  <c r="AU267" i="10" s="1"/>
  <c r="AT268" i="10"/>
  <c r="AU268" i="10" s="1"/>
  <c r="AT269" i="10"/>
  <c r="AU269" i="10" s="1"/>
  <c r="AT270" i="10"/>
  <c r="AU270" i="10" s="1"/>
  <c r="AT271" i="10"/>
  <c r="AU271" i="10" s="1"/>
  <c r="AT272" i="10"/>
  <c r="AU272" i="10" s="1"/>
  <c r="AT273" i="10"/>
  <c r="AU273" i="10" s="1"/>
  <c r="AT274" i="10"/>
  <c r="AU274" i="10" s="1"/>
  <c r="AT275" i="10"/>
  <c r="AU275" i="10" s="1"/>
  <c r="AT276" i="10"/>
  <c r="AU276" i="10" s="1"/>
  <c r="AT277" i="10"/>
  <c r="AU277" i="10" s="1"/>
  <c r="AT278" i="10"/>
  <c r="AU278" i="10" s="1"/>
  <c r="AT279" i="10"/>
  <c r="AU279" i="10" s="1"/>
  <c r="AT280" i="10"/>
  <c r="AU280" i="10" s="1"/>
  <c r="AT281" i="10"/>
  <c r="AU281" i="10" s="1"/>
  <c r="AT282" i="10"/>
  <c r="AU282" i="10" s="1"/>
  <c r="AT283" i="10"/>
  <c r="AU283" i="10" s="1"/>
  <c r="AT284" i="10"/>
  <c r="AU284" i="10" s="1"/>
  <c r="AT285" i="10"/>
  <c r="AU285" i="10" s="1"/>
  <c r="AT286" i="10"/>
  <c r="AU286" i="10" s="1"/>
  <c r="AT287" i="10"/>
  <c r="AU287" i="10" s="1"/>
  <c r="AT288" i="10"/>
  <c r="AU288" i="10" s="1"/>
  <c r="AT289" i="10"/>
  <c r="AU289" i="10" s="1"/>
  <c r="AT290" i="10"/>
  <c r="AU290" i="10" s="1"/>
  <c r="AT291" i="10"/>
  <c r="AU291" i="10" s="1"/>
  <c r="AT292" i="10"/>
  <c r="AU292" i="10" s="1"/>
  <c r="AT293" i="10"/>
  <c r="AU293" i="10" s="1"/>
  <c r="AT294" i="10"/>
  <c r="AU294" i="10" s="1"/>
  <c r="AT295" i="10"/>
  <c r="AU295" i="10" s="1"/>
  <c r="AT296" i="10"/>
  <c r="AU296" i="10" s="1"/>
  <c r="AT297" i="10"/>
  <c r="AU297" i="10" s="1"/>
  <c r="AT298" i="10"/>
  <c r="AU298" i="10" s="1"/>
  <c r="AT299" i="10"/>
  <c r="AU299" i="10" s="1"/>
  <c r="AT300" i="10"/>
  <c r="AU300" i="10" s="1"/>
  <c r="AT301" i="10"/>
  <c r="AU301" i="10" s="1"/>
  <c r="AT302" i="10"/>
  <c r="AU302" i="10" s="1"/>
  <c r="AT303" i="10"/>
  <c r="AU303" i="10" s="1"/>
  <c r="AT304" i="10"/>
  <c r="AU304" i="10" s="1"/>
  <c r="AT305" i="10"/>
  <c r="AU305" i="10" s="1"/>
  <c r="AT306" i="10"/>
  <c r="AU306" i="10" s="1"/>
  <c r="AT307" i="10"/>
  <c r="AU307" i="10" s="1"/>
  <c r="AT308" i="10"/>
  <c r="AU308" i="10" s="1"/>
  <c r="AT309" i="10"/>
  <c r="AU309" i="10" s="1"/>
  <c r="AT310" i="10"/>
  <c r="AU310" i="10" s="1"/>
  <c r="AT311" i="10"/>
  <c r="AU311" i="10" s="1"/>
  <c r="AT312" i="10"/>
  <c r="AU312" i="10" s="1"/>
  <c r="AT313" i="10"/>
  <c r="AU313" i="10" s="1"/>
  <c r="AT314" i="10"/>
  <c r="AU314" i="10" s="1"/>
  <c r="AT315" i="10"/>
  <c r="AU315" i="10" s="1"/>
  <c r="AT316" i="10"/>
  <c r="AU316" i="10" s="1"/>
  <c r="AT317" i="10"/>
  <c r="AU317" i="10" s="1"/>
  <c r="AT318" i="10"/>
  <c r="AU318" i="10" s="1"/>
  <c r="AT319" i="10"/>
  <c r="AU319" i="10" s="1"/>
  <c r="AT320" i="10"/>
  <c r="AU320" i="10" s="1"/>
  <c r="AT321" i="10"/>
  <c r="AU321" i="10" s="1"/>
  <c r="AT322" i="10"/>
  <c r="AU322" i="10" s="1"/>
  <c r="AT323" i="10"/>
  <c r="AU323" i="10" s="1"/>
  <c r="AT324" i="10"/>
  <c r="AU324" i="10" s="1"/>
  <c r="AT325" i="10"/>
  <c r="AU325" i="10" s="1"/>
  <c r="AT326" i="10"/>
  <c r="AU326" i="10" s="1"/>
  <c r="AT327" i="10"/>
  <c r="AU327" i="10" s="1"/>
  <c r="AT328" i="10"/>
  <c r="AU328" i="10" s="1"/>
  <c r="AT329" i="10"/>
  <c r="AU329" i="10" s="1"/>
  <c r="AT330" i="10"/>
  <c r="AU330" i="10" s="1"/>
  <c r="AT331" i="10"/>
  <c r="AU331" i="10" s="1"/>
  <c r="AT332" i="10"/>
  <c r="AU332" i="10" s="1"/>
  <c r="AT333" i="10"/>
  <c r="AU333" i="10" s="1"/>
  <c r="AT334" i="10"/>
  <c r="AU334" i="10" s="1"/>
  <c r="AT335" i="10"/>
  <c r="AU335" i="10" s="1"/>
  <c r="AT336" i="10"/>
  <c r="AU336" i="10" s="1"/>
  <c r="AT337" i="10"/>
  <c r="AU337" i="10" s="1"/>
  <c r="AT338" i="10"/>
  <c r="AU338" i="10" s="1"/>
  <c r="AT339" i="10"/>
  <c r="AU339" i="10" s="1"/>
  <c r="AT340" i="10"/>
  <c r="AU340" i="10" s="1"/>
  <c r="AT341" i="10"/>
  <c r="AU341" i="10" s="1"/>
  <c r="AT342" i="10"/>
  <c r="AU342" i="10" s="1"/>
  <c r="AT343" i="10"/>
  <c r="AU343" i="10" s="1"/>
  <c r="AT344" i="10"/>
  <c r="AU344" i="10" s="1"/>
  <c r="AT345" i="10"/>
  <c r="AU345" i="10" s="1"/>
  <c r="AT346" i="10"/>
  <c r="AU346" i="10" s="1"/>
  <c r="AT347" i="10"/>
  <c r="AU347" i="10" s="1"/>
  <c r="AT348" i="10"/>
  <c r="AU348" i="10" s="1"/>
  <c r="AT349" i="10"/>
  <c r="AU349" i="10" s="1"/>
  <c r="AT350" i="10"/>
  <c r="AU350" i="10" s="1"/>
  <c r="AT351" i="10"/>
  <c r="AU351" i="10" s="1"/>
  <c r="AT352" i="10"/>
  <c r="AU352" i="10" s="1"/>
  <c r="AT353" i="10"/>
  <c r="AU353" i="10" s="1"/>
  <c r="AT354" i="10"/>
  <c r="AU354" i="10" s="1"/>
  <c r="AT355" i="10"/>
  <c r="AU355" i="10" s="1"/>
  <c r="AT356" i="10"/>
  <c r="AU356" i="10" s="1"/>
  <c r="AT357" i="10"/>
  <c r="AU357" i="10" s="1"/>
  <c r="AT358" i="10"/>
  <c r="AU358" i="10" s="1"/>
  <c r="AT359" i="10"/>
  <c r="AU359" i="10" s="1"/>
  <c r="AT360" i="10"/>
  <c r="AU360" i="10" s="1"/>
  <c r="AT361" i="10"/>
  <c r="AU361" i="10" s="1"/>
  <c r="AT362" i="10"/>
  <c r="AU362" i="10" s="1"/>
  <c r="AT363" i="10"/>
  <c r="AU363" i="10" s="1"/>
  <c r="AT364" i="10"/>
  <c r="AU364" i="10" s="1"/>
  <c r="AT365" i="10"/>
  <c r="AU365" i="10" s="1"/>
  <c r="AT366" i="10"/>
  <c r="AU366" i="10" s="1"/>
  <c r="AT367" i="10"/>
  <c r="AU367" i="10" s="1"/>
  <c r="AT368" i="10"/>
  <c r="AU368" i="10" s="1"/>
  <c r="AT369" i="10"/>
  <c r="AU369" i="10" s="1"/>
  <c r="AT370" i="10"/>
  <c r="AU370" i="10" s="1"/>
  <c r="AT371" i="10"/>
  <c r="AU371" i="10" s="1"/>
  <c r="AT372" i="10"/>
  <c r="AU372" i="10" s="1"/>
  <c r="AT373" i="10"/>
  <c r="AU373" i="10" s="1"/>
  <c r="AT374" i="10"/>
  <c r="AU374" i="10" s="1"/>
  <c r="AT375" i="10"/>
  <c r="AU375" i="10" s="1"/>
  <c r="AT376" i="10"/>
  <c r="AU376" i="10" s="1"/>
  <c r="AT377" i="10"/>
  <c r="AU377" i="10" s="1"/>
  <c r="AT378" i="10"/>
  <c r="AU378" i="10" s="1"/>
  <c r="AT379" i="10"/>
  <c r="AU379" i="10" s="1"/>
  <c r="AT380" i="10"/>
  <c r="AU380" i="10" s="1"/>
  <c r="AT381" i="10"/>
  <c r="AU381" i="10" s="1"/>
  <c r="AT382" i="10"/>
  <c r="AU382" i="10" s="1"/>
  <c r="AT383" i="10"/>
  <c r="AU383" i="10" s="1"/>
  <c r="AT384" i="10"/>
  <c r="AU384" i="10" s="1"/>
  <c r="AT385" i="10"/>
  <c r="AU385" i="10" s="1"/>
  <c r="AT386" i="10"/>
  <c r="AU386" i="10" s="1"/>
  <c r="AT387" i="10"/>
  <c r="AU387" i="10" s="1"/>
  <c r="AT388" i="10"/>
  <c r="AU388" i="10" s="1"/>
  <c r="AT389" i="10"/>
  <c r="AU389" i="10" s="1"/>
  <c r="AT390" i="10"/>
  <c r="AU390" i="10" s="1"/>
  <c r="AT391" i="10"/>
  <c r="AU391" i="10" s="1"/>
  <c r="AT392" i="10"/>
  <c r="AU392" i="10" s="1"/>
  <c r="AT393" i="10"/>
  <c r="AU393" i="10" s="1"/>
  <c r="AT394" i="10"/>
  <c r="AU394" i="10" s="1"/>
  <c r="AT395" i="10"/>
  <c r="AU395" i="10" s="1"/>
  <c r="AT396" i="10"/>
  <c r="AU396" i="10" s="1"/>
  <c r="AT397" i="10"/>
  <c r="AU397" i="10" s="1"/>
  <c r="AT398" i="10"/>
  <c r="AU398" i="10" s="1"/>
  <c r="AT399" i="10"/>
  <c r="AU399" i="10" s="1"/>
  <c r="AT400" i="10"/>
  <c r="AU400" i="10" s="1"/>
  <c r="AT401" i="10"/>
  <c r="AU401" i="10" s="1"/>
  <c r="AT402" i="10"/>
  <c r="AU402" i="10" s="1"/>
  <c r="AT403" i="10"/>
  <c r="AU403" i="10" s="1"/>
  <c r="AT404" i="10"/>
  <c r="AU404" i="10" s="1"/>
  <c r="AT405" i="10"/>
  <c r="AU405" i="10" s="1"/>
  <c r="AT406" i="10"/>
  <c r="AU406" i="10" s="1"/>
  <c r="AT407" i="10"/>
  <c r="AU407" i="10" s="1"/>
  <c r="AT408" i="10"/>
  <c r="AU408" i="10" s="1"/>
  <c r="AT409" i="10"/>
  <c r="AU409" i="10" s="1"/>
  <c r="AT410" i="10"/>
  <c r="AU410" i="10" s="1"/>
  <c r="AT411" i="10"/>
  <c r="AU411" i="10" s="1"/>
  <c r="AT412" i="10"/>
  <c r="AU412" i="10" s="1"/>
  <c r="AT413" i="10"/>
  <c r="AU413" i="10" s="1"/>
  <c r="AT414" i="10"/>
  <c r="AU414" i="10" s="1"/>
  <c r="AT415" i="10"/>
  <c r="AU415" i="10" s="1"/>
  <c r="AT416" i="10"/>
  <c r="AU416" i="10" s="1"/>
  <c r="AT417" i="10"/>
  <c r="AU417" i="10" s="1"/>
  <c r="AT418" i="10"/>
  <c r="AU418" i="10" s="1"/>
  <c r="AT419" i="10"/>
  <c r="AU419" i="10" s="1"/>
  <c r="AT420" i="10"/>
  <c r="AU420" i="10" s="1"/>
  <c r="AT421" i="10"/>
  <c r="AU421" i="10" s="1"/>
  <c r="AT422" i="10"/>
  <c r="AU422" i="10" s="1"/>
  <c r="AT423" i="10"/>
  <c r="AU423" i="10" s="1"/>
  <c r="AT424" i="10"/>
  <c r="AU424" i="10" s="1"/>
  <c r="AT425" i="10"/>
  <c r="AU425" i="10" s="1"/>
  <c r="AT426" i="10"/>
  <c r="AU426" i="10" s="1"/>
  <c r="AT427" i="10"/>
  <c r="AU427" i="10" s="1"/>
  <c r="AT428" i="10"/>
  <c r="AU428" i="10" s="1"/>
  <c r="AT429" i="10"/>
  <c r="AU429" i="10" s="1"/>
  <c r="AT430" i="10"/>
  <c r="AU430" i="10" s="1"/>
  <c r="AT431" i="10"/>
  <c r="AU431" i="10" s="1"/>
  <c r="AT432" i="10"/>
  <c r="AU432" i="10" s="1"/>
  <c r="AT433" i="10"/>
  <c r="AU433" i="10" s="1"/>
  <c r="AT434" i="10"/>
  <c r="AU434" i="10" s="1"/>
  <c r="AT435" i="10"/>
  <c r="AU435" i="10" s="1"/>
  <c r="AT436" i="10"/>
  <c r="AU436" i="10" s="1"/>
  <c r="AT437" i="10"/>
  <c r="AU437" i="10" s="1"/>
  <c r="AT438" i="10"/>
  <c r="AU438" i="10" s="1"/>
  <c r="AT439" i="10"/>
  <c r="AU439" i="10" s="1"/>
  <c r="AT440" i="10"/>
  <c r="AU440" i="10" s="1"/>
  <c r="AT441" i="10"/>
  <c r="AU441" i="10" s="1"/>
  <c r="AT442" i="10"/>
  <c r="AU442" i="10" s="1"/>
  <c r="AT443" i="10"/>
  <c r="AU443" i="10" s="1"/>
  <c r="AT444" i="10"/>
  <c r="AU444" i="10" s="1"/>
  <c r="AT445" i="10"/>
  <c r="AU445" i="10" s="1"/>
  <c r="AT446" i="10"/>
  <c r="AU446" i="10" s="1"/>
  <c r="AT447" i="10"/>
  <c r="AU447" i="10" s="1"/>
  <c r="AT448" i="10"/>
  <c r="AU448" i="10" s="1"/>
  <c r="AT449" i="10"/>
  <c r="AU449" i="10" s="1"/>
  <c r="AT450" i="10"/>
  <c r="AU450" i="10" s="1"/>
  <c r="AT451" i="10"/>
  <c r="AU451" i="10" s="1"/>
  <c r="AT452" i="10"/>
  <c r="AU452" i="10" s="1"/>
  <c r="AT453" i="10"/>
  <c r="AU453" i="10" s="1"/>
  <c r="AT454" i="10"/>
  <c r="AU454" i="10" s="1"/>
  <c r="AT455" i="10"/>
  <c r="AU455" i="10" s="1"/>
  <c r="AT456" i="10"/>
  <c r="AU456" i="10" s="1"/>
  <c r="AT457" i="10"/>
  <c r="AU457" i="10" s="1"/>
  <c r="AT458" i="10"/>
  <c r="AU458" i="10" s="1"/>
  <c r="AT459" i="10"/>
  <c r="AU459" i="10" s="1"/>
  <c r="AT460" i="10"/>
  <c r="AU460" i="10" s="1"/>
  <c r="AT461" i="10"/>
  <c r="AU461" i="10" s="1"/>
  <c r="AT462" i="10"/>
  <c r="AU462" i="10" s="1"/>
  <c r="AT463" i="10"/>
  <c r="AU463" i="10" s="1"/>
  <c r="AT464" i="10"/>
  <c r="AU464" i="10" s="1"/>
  <c r="AT465" i="10"/>
  <c r="AU465" i="10" s="1"/>
  <c r="AT466" i="10"/>
  <c r="AU466" i="10" s="1"/>
  <c r="AT467" i="10"/>
  <c r="AU467" i="10" s="1"/>
  <c r="AT468" i="10"/>
  <c r="AU468" i="10" s="1"/>
  <c r="AT469" i="10"/>
  <c r="AU469" i="10" s="1"/>
  <c r="AT470" i="10"/>
  <c r="AU470" i="10" s="1"/>
  <c r="AT471" i="10"/>
  <c r="AU471" i="10" s="1"/>
  <c r="AT472" i="10"/>
  <c r="AU472" i="10" s="1"/>
  <c r="AT473" i="10"/>
  <c r="AU473" i="10" s="1"/>
  <c r="AT474" i="10"/>
  <c r="AU474" i="10" s="1"/>
  <c r="AT475" i="10"/>
  <c r="AU475" i="10" s="1"/>
  <c r="AT476" i="10"/>
  <c r="AU476" i="10" s="1"/>
  <c r="AT477" i="10"/>
  <c r="AU477" i="10" s="1"/>
  <c r="AT478" i="10"/>
  <c r="AU478" i="10" s="1"/>
  <c r="AT479" i="10"/>
  <c r="AU479" i="10" s="1"/>
  <c r="AT480" i="10"/>
  <c r="AU480" i="10" s="1"/>
  <c r="AT481" i="10"/>
  <c r="AU481" i="10" s="1"/>
  <c r="AT482" i="10"/>
  <c r="AU482" i="10" s="1"/>
  <c r="AT483" i="10"/>
  <c r="AU483" i="10" s="1"/>
  <c r="AT484" i="10"/>
  <c r="AU484" i="10" s="1"/>
  <c r="AT485" i="10"/>
  <c r="AU485" i="10" s="1"/>
  <c r="AT486" i="10"/>
  <c r="AU486" i="10" s="1"/>
  <c r="AT487" i="10"/>
  <c r="AU487" i="10" s="1"/>
  <c r="AT488" i="10"/>
  <c r="AU488" i="10" s="1"/>
  <c r="AT489" i="10"/>
  <c r="AU489" i="10" s="1"/>
  <c r="AT490" i="10"/>
  <c r="AU490" i="10" s="1"/>
  <c r="AT491" i="10"/>
  <c r="AU491" i="10" s="1"/>
  <c r="AT492" i="10"/>
  <c r="AU492" i="10" s="1"/>
  <c r="AT493" i="10"/>
  <c r="AU493" i="10" s="1"/>
  <c r="AT494" i="10"/>
  <c r="AU494" i="10" s="1"/>
  <c r="AT495" i="10"/>
  <c r="AU495" i="10" s="1"/>
  <c r="AT496" i="10"/>
  <c r="AU496" i="10" s="1"/>
  <c r="AT497" i="10"/>
  <c r="AU497" i="10" s="1"/>
  <c r="AT498" i="10"/>
  <c r="AU498" i="10" s="1"/>
  <c r="AT499" i="10"/>
  <c r="AU499" i="10" s="1"/>
  <c r="AT500" i="10"/>
  <c r="AU500" i="10" s="1"/>
  <c r="AT501" i="10"/>
  <c r="AU501" i="10" s="1"/>
  <c r="AT502" i="10"/>
  <c r="AU502" i="10" s="1"/>
  <c r="AT503" i="10"/>
  <c r="AU503" i="10" s="1"/>
  <c r="AT504" i="10"/>
  <c r="AU504" i="10" s="1"/>
  <c r="AT505" i="10"/>
  <c r="AU505" i="10" s="1"/>
  <c r="AT506" i="10"/>
  <c r="AU506" i="10" s="1"/>
  <c r="AT507" i="10"/>
  <c r="AU507" i="10" s="1"/>
  <c r="AT508" i="10"/>
  <c r="AU508" i="10" s="1"/>
  <c r="AT509" i="10"/>
  <c r="AU509" i="10" s="1"/>
  <c r="AT510" i="10"/>
  <c r="AU510" i="10" s="1"/>
  <c r="AT511" i="10"/>
  <c r="AU511" i="10" s="1"/>
  <c r="AT512" i="10"/>
  <c r="AU512" i="10" s="1"/>
  <c r="AT513" i="10"/>
  <c r="AU513" i="10" s="1"/>
  <c r="AT514" i="10"/>
  <c r="AU514" i="10" s="1"/>
  <c r="AT515" i="10"/>
  <c r="AU515" i="10" s="1"/>
  <c r="AT516" i="10"/>
  <c r="AU516" i="10" s="1"/>
  <c r="AT517" i="10"/>
  <c r="AU517" i="10" s="1"/>
  <c r="AT518" i="10"/>
  <c r="AU518" i="10" s="1"/>
  <c r="AT519" i="10"/>
  <c r="AU519" i="10" s="1"/>
  <c r="AT520" i="10"/>
  <c r="AU520" i="10" s="1"/>
  <c r="AT521" i="10"/>
  <c r="AU521" i="10" s="1"/>
  <c r="AT522" i="10"/>
  <c r="AU522" i="10" s="1"/>
  <c r="AT523" i="10"/>
  <c r="AU523" i="10" s="1"/>
  <c r="AT524" i="10"/>
  <c r="AU524" i="10" s="1"/>
  <c r="AT525" i="10"/>
  <c r="AU525" i="10" s="1"/>
  <c r="AT526" i="10"/>
  <c r="AU526" i="10" s="1"/>
  <c r="AT527" i="10"/>
  <c r="AU527" i="10" s="1"/>
  <c r="AT528" i="10"/>
  <c r="AU528" i="10" s="1"/>
  <c r="AT529" i="10"/>
  <c r="AU529" i="10" s="1"/>
  <c r="AT530" i="10"/>
  <c r="AU530" i="10" s="1"/>
  <c r="AT531" i="10"/>
  <c r="AU531" i="10" s="1"/>
  <c r="AT532" i="10"/>
  <c r="AU532" i="10" s="1"/>
  <c r="AT533" i="10"/>
  <c r="AU533" i="10" s="1"/>
  <c r="AT534" i="10"/>
  <c r="AU534" i="10" s="1"/>
  <c r="AT535" i="10"/>
  <c r="AU535" i="10" s="1"/>
  <c r="AT536" i="10"/>
  <c r="AU536" i="10" s="1"/>
  <c r="AT537" i="10"/>
  <c r="AU537" i="10" s="1"/>
  <c r="AT538" i="10"/>
  <c r="AU538" i="10" s="1"/>
  <c r="AT539" i="10"/>
  <c r="AU539" i="10" s="1"/>
  <c r="AT540" i="10"/>
  <c r="AU540" i="10" s="1"/>
  <c r="AT541" i="10"/>
  <c r="AU541" i="10" s="1"/>
  <c r="AT542" i="10"/>
  <c r="AU542" i="10" s="1"/>
  <c r="AT543" i="10"/>
  <c r="AU543" i="10" s="1"/>
  <c r="AT544" i="10"/>
  <c r="AU544" i="10" s="1"/>
  <c r="AT545" i="10"/>
  <c r="AU545" i="10" s="1"/>
  <c r="AT546" i="10"/>
  <c r="AU546" i="10" s="1"/>
  <c r="AT547" i="10"/>
  <c r="AU547" i="10" s="1"/>
  <c r="AT548" i="10"/>
  <c r="AU548" i="10" s="1"/>
  <c r="AT549" i="10"/>
  <c r="AU549" i="10" s="1"/>
  <c r="AT550" i="10"/>
  <c r="AU550" i="10" s="1"/>
  <c r="AT551" i="10"/>
  <c r="AU551" i="10" s="1"/>
  <c r="AT552" i="10"/>
  <c r="AU552" i="10" s="1"/>
  <c r="AT553" i="10"/>
  <c r="AU553" i="10" s="1"/>
  <c r="AT554" i="10"/>
  <c r="AU554" i="10" s="1"/>
  <c r="AT555" i="10"/>
  <c r="AU555" i="10" s="1"/>
  <c r="AT556" i="10"/>
  <c r="AU556" i="10" s="1"/>
  <c r="AT557" i="10"/>
  <c r="AU557" i="10" s="1"/>
  <c r="AT558" i="10"/>
  <c r="AU558" i="10" s="1"/>
  <c r="AT559" i="10"/>
  <c r="AU559" i="10" s="1"/>
  <c r="AT560" i="10"/>
  <c r="AU560" i="10" s="1"/>
  <c r="AT561" i="10"/>
  <c r="AU561" i="10" s="1"/>
  <c r="AT562" i="10"/>
  <c r="AU562" i="10" s="1"/>
  <c r="AT563" i="10"/>
  <c r="AU563" i="10" s="1"/>
  <c r="AT564" i="10"/>
  <c r="AU564" i="10" s="1"/>
  <c r="AT565" i="10"/>
  <c r="AU565" i="10" s="1"/>
  <c r="AT566" i="10"/>
  <c r="AU566" i="10" s="1"/>
  <c r="AT567" i="10"/>
  <c r="AU567" i="10" s="1"/>
  <c r="AT568" i="10"/>
  <c r="AU568" i="10" s="1"/>
  <c r="AT569" i="10"/>
  <c r="AU569" i="10" s="1"/>
  <c r="AT570" i="10"/>
  <c r="AU570" i="10" s="1"/>
  <c r="AT571" i="10"/>
  <c r="AU571" i="10" s="1"/>
  <c r="AT572" i="10"/>
  <c r="AU572" i="10" s="1"/>
  <c r="AT573" i="10"/>
  <c r="AU573" i="10" s="1"/>
  <c r="AT574" i="10"/>
  <c r="AU574" i="10" s="1"/>
  <c r="AT575" i="10"/>
  <c r="AU575" i="10" s="1"/>
  <c r="AT576" i="10"/>
  <c r="AU576" i="10" s="1"/>
  <c r="AT577" i="10"/>
  <c r="AU577" i="10" s="1"/>
  <c r="AT578" i="10"/>
  <c r="AU578" i="10" s="1"/>
  <c r="AT579" i="10"/>
  <c r="AU579" i="10" s="1"/>
  <c r="AT580" i="10"/>
  <c r="AU580" i="10" s="1"/>
  <c r="AT581" i="10"/>
  <c r="AU581" i="10" s="1"/>
  <c r="AT582" i="10"/>
  <c r="AU582" i="10" s="1"/>
  <c r="AT583" i="10"/>
  <c r="AU583" i="10" s="1"/>
  <c r="AT584" i="10"/>
  <c r="AU584" i="10" s="1"/>
  <c r="AT585" i="10"/>
  <c r="AU585" i="10" s="1"/>
  <c r="AT586" i="10"/>
  <c r="AU586" i="10" s="1"/>
  <c r="AT587" i="10"/>
  <c r="AU587" i="10" s="1"/>
  <c r="AT588" i="10"/>
  <c r="AU588" i="10" s="1"/>
  <c r="AT589" i="10"/>
  <c r="AU589" i="10" s="1"/>
  <c r="AT590" i="10"/>
  <c r="AU590" i="10" s="1"/>
  <c r="AT591" i="10"/>
  <c r="AU591" i="10" s="1"/>
  <c r="AT592" i="10"/>
  <c r="AU592" i="10" s="1"/>
  <c r="AT593" i="10"/>
  <c r="AU593" i="10" s="1"/>
  <c r="AT594" i="10"/>
  <c r="AU594" i="10" s="1"/>
  <c r="AT595" i="10"/>
  <c r="AU595" i="10" s="1"/>
  <c r="AT596" i="10"/>
  <c r="AU596" i="10" s="1"/>
  <c r="AT597" i="10"/>
  <c r="AU597" i="10" s="1"/>
  <c r="AT598" i="10"/>
  <c r="AU598" i="10" s="1"/>
  <c r="AT599" i="10"/>
  <c r="AU599" i="10" s="1"/>
  <c r="AT600" i="10"/>
  <c r="AU600" i="10" s="1"/>
  <c r="AT601" i="10"/>
  <c r="AU601" i="10" s="1"/>
  <c r="AT602" i="10"/>
  <c r="AU602" i="10" s="1"/>
  <c r="AT603" i="10"/>
  <c r="AU603" i="10" s="1"/>
  <c r="AT604" i="10"/>
  <c r="AU604" i="10" s="1"/>
  <c r="AT605" i="10"/>
  <c r="AU605" i="10" s="1"/>
  <c r="AT606" i="10"/>
  <c r="AU606" i="10" s="1"/>
  <c r="AT607" i="10"/>
  <c r="AU607" i="10" s="1"/>
  <c r="AT608" i="10"/>
  <c r="AU608" i="10" s="1"/>
  <c r="AT609" i="10"/>
  <c r="AU609" i="10" s="1"/>
  <c r="AT610" i="10"/>
  <c r="AU610" i="10" s="1"/>
  <c r="AT611" i="10"/>
  <c r="AU611" i="10" s="1"/>
  <c r="AT612" i="10"/>
  <c r="AU612" i="10" s="1"/>
  <c r="AT613" i="10"/>
  <c r="AU613" i="10" s="1"/>
  <c r="AT614" i="10"/>
  <c r="AU614" i="10" s="1"/>
  <c r="AT615" i="10"/>
  <c r="AU615" i="10" s="1"/>
  <c r="AT616" i="10"/>
  <c r="AU616" i="10" s="1"/>
  <c r="AT617" i="10"/>
  <c r="AU617" i="10" s="1"/>
  <c r="AT618" i="10"/>
  <c r="AU618" i="10" s="1"/>
  <c r="AT619" i="10"/>
  <c r="AU619" i="10" s="1"/>
  <c r="AT620" i="10"/>
  <c r="AU620" i="10" s="1"/>
  <c r="AT621" i="10"/>
  <c r="AU621" i="10" s="1"/>
  <c r="AT622" i="10"/>
  <c r="AU622" i="10" s="1"/>
  <c r="AT623" i="10"/>
  <c r="AU623" i="10" s="1"/>
  <c r="AT624" i="10"/>
  <c r="AU624" i="10" s="1"/>
  <c r="AT625" i="10"/>
  <c r="AU625" i="10" s="1"/>
  <c r="AT626" i="10"/>
  <c r="AU626" i="10" s="1"/>
  <c r="AT627" i="10"/>
  <c r="AU627" i="10" s="1"/>
  <c r="AT628" i="10"/>
  <c r="AU628" i="10" s="1"/>
  <c r="AT629" i="10"/>
  <c r="AU629" i="10" s="1"/>
  <c r="AT630" i="10"/>
  <c r="AU630" i="10" s="1"/>
  <c r="AT631" i="10"/>
  <c r="AU631" i="10" s="1"/>
  <c r="AT632" i="10"/>
  <c r="AU632" i="10" s="1"/>
  <c r="AT633" i="10"/>
  <c r="AU633" i="10" s="1"/>
  <c r="AT634" i="10"/>
  <c r="AU634" i="10" s="1"/>
  <c r="AT635" i="10"/>
  <c r="AU635" i="10" s="1"/>
  <c r="AT636" i="10"/>
  <c r="AU636" i="10" s="1"/>
  <c r="AT637" i="10"/>
  <c r="AU637" i="10" s="1"/>
  <c r="AT638" i="10"/>
  <c r="AU638" i="10" s="1"/>
  <c r="AT639" i="10"/>
  <c r="AU639" i="10" s="1"/>
  <c r="AT640" i="10"/>
  <c r="AU640" i="10" s="1"/>
  <c r="AT641" i="10"/>
  <c r="AU641" i="10" s="1"/>
  <c r="AT642" i="10"/>
  <c r="AU642" i="10" s="1"/>
  <c r="AT643" i="10"/>
  <c r="AU643" i="10" s="1"/>
  <c r="AT644" i="10"/>
  <c r="AU644" i="10" s="1"/>
  <c r="AT645" i="10"/>
  <c r="AU645" i="10" s="1"/>
  <c r="AT646" i="10"/>
  <c r="AU646" i="10" s="1"/>
  <c r="AT647" i="10"/>
  <c r="AU647" i="10" s="1"/>
  <c r="AT648" i="10"/>
  <c r="AU648" i="10" s="1"/>
  <c r="AT649" i="10"/>
  <c r="AU649" i="10" s="1"/>
  <c r="AT650" i="10"/>
  <c r="AU650" i="10" s="1"/>
  <c r="AT651" i="10"/>
  <c r="AU651" i="10" s="1"/>
  <c r="AT652" i="10"/>
  <c r="AU652" i="10" s="1"/>
  <c r="AT653" i="10"/>
  <c r="AU653" i="10" s="1"/>
  <c r="AT654" i="10"/>
  <c r="AU654" i="10" s="1"/>
  <c r="AT655" i="10"/>
  <c r="AU655" i="10" s="1"/>
  <c r="AT656" i="10"/>
  <c r="AU656" i="10" s="1"/>
  <c r="AT657" i="10"/>
  <c r="AU657" i="10" s="1"/>
  <c r="AT658" i="10"/>
  <c r="AU658" i="10" s="1"/>
  <c r="AT659" i="10"/>
  <c r="AU659" i="10" s="1"/>
  <c r="AT660" i="10"/>
  <c r="AU660" i="10" s="1"/>
  <c r="AT661" i="10"/>
  <c r="AU661" i="10" s="1"/>
  <c r="AT662" i="10"/>
  <c r="AU662" i="10" s="1"/>
  <c r="AT663" i="10"/>
  <c r="AU663" i="10" s="1"/>
  <c r="AT664" i="10"/>
  <c r="AU664" i="10" s="1"/>
  <c r="AT665" i="10"/>
  <c r="AU665" i="10" s="1"/>
  <c r="AT666" i="10"/>
  <c r="AU666" i="10" s="1"/>
  <c r="AT667" i="10"/>
  <c r="AU667" i="10" s="1"/>
  <c r="AT668" i="10"/>
  <c r="AU668" i="10" s="1"/>
  <c r="AT669" i="10"/>
  <c r="AU669" i="10" s="1"/>
  <c r="AT670" i="10"/>
  <c r="AU670" i="10" s="1"/>
  <c r="AT671" i="10"/>
  <c r="AU671" i="10" s="1"/>
  <c r="AT672" i="10"/>
  <c r="AU672" i="10" s="1"/>
  <c r="AT673" i="10"/>
  <c r="AU673" i="10" s="1"/>
  <c r="AT674" i="10"/>
  <c r="AU674" i="10" s="1"/>
  <c r="AT675" i="10"/>
  <c r="AU675" i="10" s="1"/>
  <c r="AT676" i="10"/>
  <c r="AU676" i="10" s="1"/>
  <c r="AT677" i="10"/>
  <c r="AU677" i="10" s="1"/>
  <c r="AT678" i="10"/>
  <c r="AU678" i="10" s="1"/>
  <c r="AT679" i="10"/>
  <c r="AU679" i="10" s="1"/>
  <c r="AT680" i="10"/>
  <c r="AU680" i="10" s="1"/>
  <c r="AT681" i="10"/>
  <c r="AU681" i="10" s="1"/>
  <c r="AT682" i="10"/>
  <c r="AU682" i="10" s="1"/>
  <c r="AT683" i="10"/>
  <c r="AU683" i="10" s="1"/>
  <c r="AT684" i="10"/>
  <c r="AU684" i="10" s="1"/>
  <c r="AT685" i="10"/>
  <c r="AU685" i="10" s="1"/>
  <c r="AT686" i="10"/>
  <c r="AU686" i="10" s="1"/>
  <c r="AT687" i="10"/>
  <c r="AU687" i="10" s="1"/>
  <c r="AT688" i="10"/>
  <c r="AU688" i="10" s="1"/>
  <c r="AT689" i="10"/>
  <c r="AU689" i="10" s="1"/>
  <c r="AT690" i="10"/>
  <c r="AU690" i="10" s="1"/>
  <c r="AT691" i="10"/>
  <c r="AU691" i="10" s="1"/>
  <c r="AT692" i="10"/>
  <c r="AU692" i="10" s="1"/>
  <c r="AT693" i="10"/>
  <c r="AU693" i="10" s="1"/>
  <c r="AT694" i="10"/>
  <c r="AU694" i="10" s="1"/>
  <c r="AT695" i="10"/>
  <c r="AU695" i="10" s="1"/>
  <c r="AT696" i="10"/>
  <c r="AU696" i="10" s="1"/>
  <c r="AT697" i="10"/>
  <c r="AU697" i="10" s="1"/>
  <c r="AT698" i="10"/>
  <c r="AU698" i="10" s="1"/>
  <c r="AT699" i="10"/>
  <c r="AU699" i="10" s="1"/>
  <c r="AT700" i="10"/>
  <c r="AU700" i="10" s="1"/>
  <c r="AT701" i="10"/>
  <c r="AU701" i="10" s="1"/>
  <c r="AT702" i="10"/>
  <c r="AU702" i="10" s="1"/>
  <c r="AT703" i="10"/>
  <c r="AU703" i="10" s="1"/>
  <c r="AT704" i="10"/>
  <c r="AU704" i="10" s="1"/>
  <c r="AT705" i="10"/>
  <c r="AU705" i="10" s="1"/>
  <c r="AT706" i="10"/>
  <c r="AU706" i="10" s="1"/>
  <c r="AT707" i="10"/>
  <c r="AU707" i="10" s="1"/>
  <c r="AT708" i="10"/>
  <c r="AU708" i="10" s="1"/>
  <c r="AT709" i="10"/>
  <c r="AU709" i="10" s="1"/>
  <c r="AT710" i="10"/>
  <c r="AU710" i="10" s="1"/>
  <c r="AT711" i="10"/>
  <c r="AU711" i="10" s="1"/>
  <c r="AT712" i="10"/>
  <c r="AU712" i="10" s="1"/>
  <c r="AT713" i="10"/>
  <c r="AU713" i="10" s="1"/>
  <c r="AT714" i="10"/>
  <c r="AU714" i="10" s="1"/>
  <c r="AT715" i="10"/>
  <c r="AU715" i="10" s="1"/>
  <c r="AT716" i="10"/>
  <c r="AU716" i="10" s="1"/>
  <c r="AT717" i="10"/>
  <c r="AU717" i="10" s="1"/>
  <c r="AT718" i="10"/>
  <c r="AU718" i="10" s="1"/>
  <c r="AT719" i="10"/>
  <c r="AU719" i="10" s="1"/>
  <c r="AT720" i="10"/>
  <c r="AU720" i="10" s="1"/>
  <c r="AT721" i="10"/>
  <c r="AU721" i="10" s="1"/>
  <c r="AT722" i="10"/>
  <c r="AU722" i="10" s="1"/>
  <c r="AT723" i="10"/>
  <c r="AU723" i="10" s="1"/>
  <c r="AT724" i="10"/>
  <c r="AU724" i="10" s="1"/>
  <c r="AT725" i="10"/>
  <c r="AU725" i="10" s="1"/>
  <c r="AT726" i="10"/>
  <c r="AU726" i="10" s="1"/>
  <c r="AT727" i="10"/>
  <c r="AU727" i="10" s="1"/>
  <c r="AT728" i="10"/>
  <c r="AU728" i="10" s="1"/>
  <c r="AT729" i="10"/>
  <c r="AU729" i="10" s="1"/>
  <c r="AT730" i="10"/>
  <c r="AU730" i="10" s="1"/>
  <c r="AT731" i="10"/>
  <c r="AU731" i="10" s="1"/>
  <c r="AT732" i="10"/>
  <c r="AU732" i="10" s="1"/>
  <c r="AT733" i="10"/>
  <c r="AU733" i="10" s="1"/>
  <c r="AT734" i="10"/>
  <c r="AU734" i="10" s="1"/>
  <c r="AT735" i="10"/>
  <c r="AU735" i="10" s="1"/>
  <c r="AT736" i="10"/>
  <c r="AU736" i="10" s="1"/>
  <c r="AT737" i="10"/>
  <c r="AU737" i="10" s="1"/>
  <c r="AT738" i="10"/>
  <c r="AU738" i="10" s="1"/>
  <c r="AT739" i="10"/>
  <c r="AU739" i="10" s="1"/>
  <c r="AT740" i="10"/>
  <c r="AU740" i="10" s="1"/>
  <c r="AT741" i="10"/>
  <c r="AU741" i="10" s="1"/>
  <c r="AT742" i="10"/>
  <c r="AU742" i="10" s="1"/>
  <c r="AT743" i="10"/>
  <c r="AU743" i="10" s="1"/>
  <c r="AT744" i="10"/>
  <c r="AU744" i="10" s="1"/>
  <c r="AT745" i="10"/>
  <c r="AU745" i="10" s="1"/>
  <c r="AT746" i="10"/>
  <c r="AU746" i="10" s="1"/>
  <c r="AT747" i="10"/>
  <c r="AU747" i="10" s="1"/>
  <c r="AT748" i="10"/>
  <c r="AU748" i="10" s="1"/>
  <c r="AT749" i="10"/>
  <c r="AU749" i="10" s="1"/>
  <c r="AT750" i="10"/>
  <c r="AU750" i="10" s="1"/>
  <c r="AT751" i="10"/>
  <c r="AU751" i="10" s="1"/>
  <c r="AT752" i="10"/>
  <c r="AU752" i="10" s="1"/>
  <c r="AT753" i="10"/>
  <c r="AU753" i="10" s="1"/>
  <c r="AT754" i="10"/>
  <c r="AU754" i="10" s="1"/>
  <c r="AT755" i="10"/>
  <c r="AU755" i="10" s="1"/>
  <c r="AT756" i="10"/>
  <c r="AU756" i="10" s="1"/>
  <c r="AT757" i="10"/>
  <c r="AU757" i="10" s="1"/>
  <c r="AT758" i="10"/>
  <c r="AU758" i="10" s="1"/>
  <c r="AT759" i="10"/>
  <c r="AU759" i="10" s="1"/>
  <c r="AT760" i="10"/>
  <c r="AU760" i="10" s="1"/>
  <c r="AT761" i="10"/>
  <c r="AU761" i="10" s="1"/>
  <c r="AT762" i="10"/>
  <c r="AU762" i="10" s="1"/>
  <c r="AT763" i="10"/>
  <c r="AU763" i="10" s="1"/>
  <c r="AT764" i="10"/>
  <c r="AU764" i="10" s="1"/>
  <c r="AT765" i="10"/>
  <c r="AU765" i="10" s="1"/>
  <c r="AT766" i="10"/>
  <c r="AU766" i="10" s="1"/>
  <c r="AT767" i="10"/>
  <c r="AU767" i="10" s="1"/>
  <c r="AT768" i="10"/>
  <c r="AU768" i="10" s="1"/>
  <c r="AT769" i="10"/>
  <c r="AU769" i="10" s="1"/>
  <c r="AT770" i="10"/>
  <c r="AU770" i="10" s="1"/>
  <c r="AT771" i="10"/>
  <c r="AU771" i="10" s="1"/>
  <c r="AT772" i="10"/>
  <c r="AU772" i="10" s="1"/>
  <c r="AT773" i="10"/>
  <c r="AU773" i="10" s="1"/>
  <c r="AT774" i="10"/>
  <c r="AU774" i="10" s="1"/>
  <c r="AT775" i="10"/>
  <c r="AU775" i="10" s="1"/>
  <c r="AT776" i="10"/>
  <c r="AU776" i="10" s="1"/>
  <c r="AT777" i="10"/>
  <c r="AU777" i="10" s="1"/>
  <c r="AT778" i="10"/>
  <c r="AU778" i="10" s="1"/>
  <c r="AT779" i="10"/>
  <c r="AU779" i="10" s="1"/>
  <c r="AT780" i="10"/>
  <c r="AU780" i="10" s="1"/>
  <c r="AT781" i="10"/>
  <c r="AU781" i="10" s="1"/>
  <c r="AT782" i="10"/>
  <c r="AU782" i="10" s="1"/>
  <c r="AT783" i="10"/>
  <c r="AU783" i="10" s="1"/>
  <c r="AT784" i="10"/>
  <c r="AU784" i="10" s="1"/>
  <c r="AT785" i="10"/>
  <c r="AU785" i="10" s="1"/>
  <c r="AT786" i="10"/>
  <c r="AU786" i="10" s="1"/>
  <c r="AT787" i="10"/>
  <c r="AU787" i="10" s="1"/>
  <c r="AT788" i="10"/>
  <c r="AU788" i="10" s="1"/>
  <c r="AT789" i="10"/>
  <c r="AU789" i="10" s="1"/>
  <c r="AT790" i="10"/>
  <c r="AU790" i="10" s="1"/>
  <c r="AT791" i="10"/>
  <c r="AU791" i="10" s="1"/>
  <c r="AT792" i="10"/>
  <c r="AU792" i="10" s="1"/>
  <c r="AT793" i="10"/>
  <c r="AU793" i="10" s="1"/>
  <c r="AT794" i="10"/>
  <c r="AU794" i="10" s="1"/>
  <c r="AT795" i="10"/>
  <c r="AU795" i="10" s="1"/>
  <c r="AT796" i="10"/>
  <c r="AU796" i="10" s="1"/>
  <c r="AT797" i="10"/>
  <c r="AU797" i="10" s="1"/>
  <c r="AT798" i="10"/>
  <c r="AU798" i="10" s="1"/>
  <c r="AT799" i="10"/>
  <c r="AU799" i="10" s="1"/>
  <c r="AT800" i="10"/>
  <c r="AU800" i="10" s="1"/>
  <c r="AT801" i="10"/>
  <c r="AU801" i="10" s="1"/>
  <c r="AT802" i="10"/>
  <c r="AU802" i="10" s="1"/>
  <c r="AT803" i="10"/>
  <c r="AU803" i="10" s="1"/>
  <c r="AT804" i="10"/>
  <c r="AU804" i="10" s="1"/>
  <c r="AT805" i="10"/>
  <c r="AU805" i="10" s="1"/>
  <c r="AT806" i="10"/>
  <c r="AU806" i="10" s="1"/>
  <c r="AT807" i="10"/>
  <c r="AU807" i="10" s="1"/>
  <c r="AT808" i="10"/>
  <c r="AU808" i="10" s="1"/>
  <c r="AT809" i="10"/>
  <c r="AU809" i="10" s="1"/>
  <c r="AT810" i="10"/>
  <c r="AU810" i="10" s="1"/>
  <c r="AT811" i="10"/>
  <c r="AU811" i="10" s="1"/>
  <c r="AT812" i="10"/>
  <c r="AU812" i="10" s="1"/>
  <c r="AT813" i="10"/>
  <c r="AU813" i="10" s="1"/>
  <c r="AT814" i="10"/>
  <c r="AU814" i="10" s="1"/>
  <c r="AT815" i="10"/>
  <c r="AU815" i="10" s="1"/>
  <c r="AT816" i="10"/>
  <c r="AU816" i="10" s="1"/>
  <c r="AT817" i="10"/>
  <c r="AU817" i="10" s="1"/>
  <c r="AT818" i="10"/>
  <c r="AU818" i="10" s="1"/>
  <c r="AT819" i="10"/>
  <c r="AU819" i="10" s="1"/>
  <c r="AT820" i="10"/>
  <c r="AU820" i="10" s="1"/>
  <c r="AT821" i="10"/>
  <c r="AU821" i="10" s="1"/>
  <c r="AT822" i="10"/>
  <c r="AU822" i="10" s="1"/>
  <c r="AT823" i="10"/>
  <c r="AU823" i="10" s="1"/>
  <c r="AT824" i="10"/>
  <c r="AU824" i="10" s="1"/>
  <c r="AT825" i="10"/>
  <c r="AU825" i="10" s="1"/>
  <c r="AT826" i="10"/>
  <c r="AU826" i="10" s="1"/>
  <c r="AT827" i="10"/>
  <c r="AU827" i="10" s="1"/>
  <c r="AT828" i="10"/>
  <c r="AU828" i="10" s="1"/>
  <c r="AT829" i="10"/>
  <c r="AU829" i="10" s="1"/>
  <c r="AT830" i="10"/>
  <c r="AU830" i="10" s="1"/>
  <c r="AT831" i="10"/>
  <c r="AU831" i="10" s="1"/>
  <c r="AT832" i="10"/>
  <c r="AU832" i="10" s="1"/>
  <c r="AT833" i="10"/>
  <c r="AU833" i="10" s="1"/>
  <c r="AT834" i="10"/>
  <c r="AU834" i="10" s="1"/>
  <c r="AT835" i="10"/>
  <c r="AU835" i="10" s="1"/>
  <c r="AT836" i="10"/>
  <c r="AU836" i="10" s="1"/>
  <c r="AT837" i="10"/>
  <c r="AU837" i="10" s="1"/>
  <c r="AT838" i="10"/>
  <c r="AU838" i="10" s="1"/>
  <c r="AT839" i="10"/>
  <c r="AU839" i="10" s="1"/>
  <c r="AT840" i="10"/>
  <c r="AU840" i="10" s="1"/>
  <c r="AT841" i="10"/>
  <c r="AU841" i="10" s="1"/>
  <c r="AT842" i="10"/>
  <c r="AU842" i="10" s="1"/>
  <c r="AT843" i="10"/>
  <c r="AU843" i="10" s="1"/>
  <c r="AT844" i="10"/>
  <c r="AU844" i="10" s="1"/>
  <c r="AT845" i="10"/>
  <c r="AU845" i="10" s="1"/>
  <c r="AT846" i="10"/>
  <c r="AU846" i="10" s="1"/>
  <c r="AT847" i="10"/>
  <c r="AU847" i="10" s="1"/>
  <c r="AT848" i="10"/>
  <c r="AU848" i="10" s="1"/>
  <c r="AT849" i="10"/>
  <c r="AU849" i="10" s="1"/>
  <c r="AT850" i="10"/>
  <c r="AU850" i="10" s="1"/>
  <c r="AT851" i="10"/>
  <c r="AU851" i="10" s="1"/>
  <c r="AT852" i="10"/>
  <c r="AU852" i="10" s="1"/>
  <c r="AT853" i="10"/>
  <c r="AU853" i="10" s="1"/>
  <c r="AT854" i="10"/>
  <c r="AU854" i="10" s="1"/>
  <c r="AT855" i="10"/>
  <c r="AU855" i="10" s="1"/>
  <c r="AT856" i="10"/>
  <c r="AU856" i="10" s="1"/>
  <c r="AT857" i="10"/>
  <c r="AU857" i="10" s="1"/>
  <c r="AT858" i="10"/>
  <c r="AU858" i="10" s="1"/>
  <c r="AT859" i="10"/>
  <c r="AU859" i="10" s="1"/>
  <c r="AT860" i="10"/>
  <c r="AU860" i="10" s="1"/>
  <c r="AT861" i="10"/>
  <c r="AU861" i="10" s="1"/>
  <c r="AT862" i="10"/>
  <c r="AU862" i="10" s="1"/>
  <c r="AT863" i="10"/>
  <c r="AU863" i="10" s="1"/>
  <c r="AT864" i="10"/>
  <c r="AU864" i="10" s="1"/>
  <c r="AT865" i="10"/>
  <c r="AU865" i="10" s="1"/>
  <c r="AT866" i="10"/>
  <c r="AU866" i="10" s="1"/>
  <c r="AT867" i="10"/>
  <c r="AU867" i="10" s="1"/>
  <c r="AT868" i="10"/>
  <c r="AU868" i="10" s="1"/>
  <c r="AT869" i="10"/>
  <c r="AU869" i="10" s="1"/>
  <c r="AT870" i="10"/>
  <c r="AU870" i="10" s="1"/>
  <c r="AT871" i="10"/>
  <c r="AU871" i="10" s="1"/>
  <c r="AT872" i="10"/>
  <c r="AU872" i="10" s="1"/>
  <c r="AT873" i="10"/>
  <c r="AU873" i="10" s="1"/>
  <c r="AT874" i="10"/>
  <c r="AU874" i="10" s="1"/>
  <c r="AT875" i="10"/>
  <c r="AU875" i="10" s="1"/>
  <c r="AT876" i="10"/>
  <c r="AU876" i="10" s="1"/>
  <c r="AT877" i="10"/>
  <c r="AU877" i="10" s="1"/>
  <c r="AT878" i="10"/>
  <c r="AU878" i="10" s="1"/>
  <c r="AT879" i="10"/>
  <c r="AU879" i="10" s="1"/>
  <c r="AT880" i="10"/>
  <c r="AU880" i="10" s="1"/>
  <c r="AT881" i="10"/>
  <c r="AU881" i="10" s="1"/>
  <c r="AT882" i="10"/>
  <c r="AU882" i="10" s="1"/>
  <c r="AT883" i="10"/>
  <c r="AU883" i="10" s="1"/>
  <c r="AT884" i="10"/>
  <c r="AU884" i="10" s="1"/>
  <c r="AT885" i="10"/>
  <c r="AU885" i="10" s="1"/>
  <c r="AT886" i="10"/>
  <c r="AU886" i="10" s="1"/>
  <c r="AT887" i="10"/>
  <c r="AU887" i="10" s="1"/>
  <c r="AT888" i="10"/>
  <c r="AU888" i="10" s="1"/>
  <c r="AT889" i="10"/>
  <c r="AU889" i="10" s="1"/>
  <c r="AT890" i="10"/>
  <c r="AU890" i="10" s="1"/>
  <c r="AT891" i="10"/>
  <c r="AU891" i="10" s="1"/>
  <c r="AT892" i="10"/>
  <c r="AU892" i="10" s="1"/>
  <c r="AT893" i="10"/>
  <c r="AU893" i="10" s="1"/>
  <c r="AT894" i="10"/>
  <c r="AU894" i="10" s="1"/>
  <c r="AT895" i="10"/>
  <c r="AU895" i="10" s="1"/>
  <c r="AT896" i="10"/>
  <c r="AU896" i="10" s="1"/>
  <c r="AT897" i="10"/>
  <c r="AU897" i="10" s="1"/>
  <c r="AT898" i="10"/>
  <c r="AU898" i="10" s="1"/>
  <c r="AT899" i="10"/>
  <c r="AU899" i="10" s="1"/>
  <c r="AT900" i="10"/>
  <c r="AU900" i="10" s="1"/>
  <c r="AT901" i="10"/>
  <c r="AU901" i="10" s="1"/>
  <c r="AT902" i="10"/>
  <c r="AU902" i="10" s="1"/>
  <c r="AT903" i="10"/>
  <c r="AU903" i="10" s="1"/>
  <c r="AT904" i="10"/>
  <c r="AU904" i="10" s="1"/>
  <c r="AT905" i="10"/>
  <c r="AU905" i="10" s="1"/>
  <c r="AT906" i="10"/>
  <c r="AU906" i="10" s="1"/>
  <c r="AT907" i="10"/>
  <c r="AU907" i="10" s="1"/>
  <c r="AT908" i="10"/>
  <c r="AU908" i="10" s="1"/>
  <c r="AT909" i="10"/>
  <c r="AU909" i="10" s="1"/>
  <c r="AT910" i="10"/>
  <c r="AU910" i="10" s="1"/>
  <c r="AT911" i="10"/>
  <c r="AU911" i="10" s="1"/>
  <c r="AT912" i="10"/>
  <c r="AU912" i="10" s="1"/>
  <c r="AT913" i="10"/>
  <c r="AU913" i="10" s="1"/>
  <c r="AT914" i="10"/>
  <c r="AU914" i="10" s="1"/>
  <c r="AT915" i="10"/>
  <c r="AU915" i="10" s="1"/>
  <c r="AT916" i="10"/>
  <c r="AU916" i="10" s="1"/>
  <c r="AT917" i="10"/>
  <c r="AU917" i="10" s="1"/>
  <c r="AT918" i="10"/>
  <c r="AU918" i="10" s="1"/>
  <c r="AT919" i="10"/>
  <c r="AU919" i="10" s="1"/>
  <c r="AT920" i="10"/>
  <c r="AU920" i="10" s="1"/>
  <c r="AT921" i="10"/>
  <c r="AU921" i="10" s="1"/>
  <c r="AT922" i="10"/>
  <c r="AU922" i="10" s="1"/>
  <c r="AT923" i="10"/>
  <c r="AU923" i="10" s="1"/>
  <c r="AT924" i="10"/>
  <c r="AU924" i="10" s="1"/>
  <c r="AT925" i="10"/>
  <c r="AU925" i="10" s="1"/>
  <c r="AT926" i="10"/>
  <c r="AU926" i="10" s="1"/>
  <c r="AT927" i="10"/>
  <c r="AU927" i="10" s="1"/>
  <c r="AT928" i="10"/>
  <c r="AU928" i="10" s="1"/>
  <c r="AT929" i="10"/>
  <c r="AU929" i="10" s="1"/>
  <c r="AT930" i="10"/>
  <c r="AU930" i="10" s="1"/>
  <c r="AT931" i="10"/>
  <c r="AU931" i="10" s="1"/>
  <c r="AT932" i="10"/>
  <c r="AU932" i="10" s="1"/>
  <c r="AT933" i="10"/>
  <c r="AU933" i="10" s="1"/>
  <c r="AT934" i="10"/>
  <c r="AU934" i="10" s="1"/>
  <c r="AT935" i="10"/>
  <c r="AU935" i="10" s="1"/>
  <c r="AT936" i="10"/>
  <c r="AU936" i="10" s="1"/>
  <c r="AT937" i="10"/>
  <c r="AU937" i="10" s="1"/>
  <c r="AT938" i="10"/>
  <c r="AU938" i="10" s="1"/>
  <c r="AT939" i="10"/>
  <c r="AU939" i="10" s="1"/>
  <c r="AT940" i="10"/>
  <c r="AU940" i="10" s="1"/>
  <c r="AT941" i="10"/>
  <c r="AU941" i="10" s="1"/>
  <c r="AT942" i="10"/>
  <c r="AU942" i="10" s="1"/>
  <c r="AT943" i="10"/>
  <c r="AU943" i="10" s="1"/>
  <c r="AT944" i="10"/>
  <c r="AU944" i="10" s="1"/>
  <c r="AT945" i="10"/>
  <c r="AU945" i="10" s="1"/>
  <c r="AT946" i="10"/>
  <c r="AU946" i="10" s="1"/>
  <c r="AT947" i="10"/>
  <c r="AU947" i="10" s="1"/>
  <c r="AT948" i="10"/>
  <c r="AU948" i="10" s="1"/>
  <c r="AT949" i="10"/>
  <c r="AU949" i="10" s="1"/>
  <c r="AT950" i="10"/>
  <c r="AU950" i="10" s="1"/>
  <c r="AT951" i="10"/>
  <c r="AU951" i="10" s="1"/>
  <c r="AT952" i="10"/>
  <c r="AU952" i="10" s="1"/>
  <c r="AT953" i="10"/>
  <c r="AU953" i="10" s="1"/>
  <c r="AT954" i="10"/>
  <c r="AU954" i="10" s="1"/>
  <c r="AT955" i="10"/>
  <c r="AU955" i="10" s="1"/>
  <c r="AT956" i="10"/>
  <c r="AU956" i="10" s="1"/>
  <c r="AT957" i="10"/>
  <c r="AU957" i="10" s="1"/>
  <c r="AT958" i="10"/>
  <c r="AU958" i="10" s="1"/>
  <c r="AT959" i="10"/>
  <c r="AU959" i="10" s="1"/>
  <c r="AT960" i="10"/>
  <c r="AU960" i="10" s="1"/>
  <c r="AT961" i="10"/>
  <c r="AU961" i="10" s="1"/>
  <c r="AT962" i="10"/>
  <c r="AU962" i="10" s="1"/>
  <c r="AT963" i="10"/>
  <c r="AU963" i="10" s="1"/>
  <c r="AT964" i="10"/>
  <c r="AU964" i="10" s="1"/>
  <c r="AT965" i="10"/>
  <c r="AU965" i="10" s="1"/>
  <c r="AT966" i="10"/>
  <c r="AU966" i="10" s="1"/>
  <c r="AT967" i="10"/>
  <c r="AU967" i="10" s="1"/>
  <c r="AT968" i="10"/>
  <c r="AU968" i="10" s="1"/>
  <c r="AT969" i="10"/>
  <c r="AU969" i="10" s="1"/>
  <c r="AT970" i="10"/>
  <c r="AU970" i="10" s="1"/>
  <c r="AT971" i="10"/>
  <c r="AU971" i="10" s="1"/>
  <c r="AT972" i="10"/>
  <c r="AU972" i="10" s="1"/>
  <c r="AT973" i="10"/>
  <c r="AU973" i="10" s="1"/>
  <c r="AT974" i="10"/>
  <c r="AU974" i="10" s="1"/>
  <c r="AT975" i="10"/>
  <c r="AU975" i="10" s="1"/>
  <c r="AT976" i="10"/>
  <c r="AU976" i="10" s="1"/>
  <c r="AT977" i="10"/>
  <c r="AU977" i="10" s="1"/>
  <c r="AT978" i="10"/>
  <c r="AU978" i="10" s="1"/>
  <c r="AT979" i="10"/>
  <c r="AU979" i="10" s="1"/>
  <c r="AT980" i="10"/>
  <c r="AU980" i="10" s="1"/>
  <c r="AT981" i="10"/>
  <c r="AU981" i="10" s="1"/>
  <c r="AT982" i="10"/>
  <c r="AU982" i="10" s="1"/>
  <c r="AT983" i="10"/>
  <c r="AU983" i="10" s="1"/>
  <c r="AT984" i="10"/>
  <c r="AU984" i="10" s="1"/>
  <c r="AT985" i="10"/>
  <c r="AU985" i="10" s="1"/>
  <c r="AT986" i="10"/>
  <c r="AU986" i="10" s="1"/>
  <c r="AT987" i="10"/>
  <c r="AU987" i="10" s="1"/>
  <c r="AT988" i="10"/>
  <c r="AU988" i="10" s="1"/>
  <c r="AT989" i="10"/>
  <c r="AU989" i="10" s="1"/>
  <c r="AT990" i="10"/>
  <c r="AU990" i="10" s="1"/>
  <c r="AT991" i="10"/>
  <c r="AU991" i="10" s="1"/>
  <c r="AT992" i="10"/>
  <c r="AU992" i="10" s="1"/>
  <c r="AT993" i="10"/>
  <c r="AU993" i="10" s="1"/>
  <c r="AT994" i="10"/>
  <c r="AU994" i="10" s="1"/>
  <c r="AT995" i="10"/>
  <c r="AU995" i="10" s="1"/>
  <c r="AT996" i="10"/>
  <c r="AU996" i="10" s="1"/>
  <c r="AT997" i="10"/>
  <c r="AU997" i="10" s="1"/>
  <c r="AT998" i="10"/>
  <c r="AU998" i="10" s="1"/>
  <c r="AT999" i="10"/>
  <c r="AU999" i="10" s="1"/>
  <c r="AT1000" i="10"/>
  <c r="AU1000" i="10" s="1"/>
  <c r="AT1001" i="10"/>
  <c r="AU1001" i="10" s="1"/>
  <c r="AT1002" i="10"/>
  <c r="AU1002" i="10" s="1"/>
  <c r="AT1003" i="10"/>
  <c r="AU1003" i="10" s="1"/>
  <c r="AT1004" i="10"/>
  <c r="AU1004" i="10" s="1"/>
  <c r="AT1005" i="10"/>
  <c r="AU1005" i="10" s="1"/>
  <c r="AT1006" i="10"/>
  <c r="AU1006" i="10" s="1"/>
  <c r="AT1007" i="10"/>
  <c r="AU1007" i="10" s="1"/>
  <c r="AT1008" i="10"/>
  <c r="AU1008" i="10" s="1"/>
  <c r="AT1009" i="10"/>
  <c r="AU1009" i="10" s="1"/>
  <c r="AT1010" i="10"/>
  <c r="AU1010" i="10" s="1"/>
  <c r="AT1011" i="10"/>
  <c r="AU1011" i="10" s="1"/>
  <c r="AT1012" i="10"/>
  <c r="AU1012" i="10" s="1"/>
  <c r="AT1013" i="10"/>
  <c r="AU1013" i="10" s="1"/>
  <c r="AT1014" i="10"/>
  <c r="AU1014" i="10" s="1"/>
  <c r="AT1015" i="10"/>
  <c r="AU1015" i="10" s="1"/>
  <c r="AT1016" i="10"/>
  <c r="AU1016" i="10" s="1"/>
  <c r="AT1017" i="10"/>
  <c r="AU1017" i="10" s="1"/>
  <c r="AT1018" i="10"/>
  <c r="AU1018" i="10" s="1"/>
  <c r="AT1019" i="10"/>
  <c r="AU1019" i="10" s="1"/>
  <c r="AT1020" i="10"/>
  <c r="AU1020" i="10" s="1"/>
  <c r="AT1021" i="10"/>
  <c r="AU1021" i="10" s="1"/>
  <c r="AT1022" i="10"/>
  <c r="AU1022" i="10" s="1"/>
  <c r="AT1023" i="10"/>
  <c r="AU1023" i="10" s="1"/>
  <c r="AT1024" i="10"/>
  <c r="AU1024" i="10" s="1"/>
  <c r="AT1025" i="10"/>
  <c r="AU1025" i="10" s="1"/>
  <c r="AT1026" i="10"/>
  <c r="AU1026" i="10" s="1"/>
  <c r="AT1027" i="10"/>
  <c r="AU1027" i="10" s="1"/>
  <c r="AT1028" i="10"/>
  <c r="AU1028" i="10" s="1"/>
  <c r="AT1029" i="10"/>
  <c r="AU1029" i="10" s="1"/>
  <c r="AT1030" i="10"/>
  <c r="AU1030" i="10" s="1"/>
  <c r="AT1031" i="10"/>
  <c r="AU1031" i="10" s="1"/>
  <c r="AT1032" i="10"/>
  <c r="AU1032" i="10" s="1"/>
  <c r="AT1033" i="10"/>
  <c r="AU1033" i="10" s="1"/>
  <c r="AT1034" i="10"/>
  <c r="AU1034" i="10" s="1"/>
  <c r="AT1035" i="10"/>
  <c r="AU1035" i="10" s="1"/>
  <c r="AT1036" i="10"/>
  <c r="AU1036" i="10" s="1"/>
  <c r="AT1037" i="10"/>
  <c r="AU1037" i="10" s="1"/>
  <c r="AT1038" i="10"/>
  <c r="AU1038" i="10" s="1"/>
  <c r="AT1039" i="10"/>
  <c r="AU1039" i="10" s="1"/>
  <c r="AT1040" i="10"/>
  <c r="AU1040" i="10" s="1"/>
  <c r="AT1041" i="10"/>
  <c r="AU1041" i="10" s="1"/>
  <c r="AT1042" i="10"/>
  <c r="AU1042" i="10" s="1"/>
  <c r="AT1043" i="10"/>
  <c r="AU1043" i="10" s="1"/>
  <c r="AT1044" i="10"/>
  <c r="AU1044" i="10" s="1"/>
  <c r="AT1045" i="10"/>
  <c r="AU1045" i="10" s="1"/>
  <c r="AT1046" i="10"/>
  <c r="AU1046" i="10" s="1"/>
  <c r="AT1047" i="10"/>
  <c r="AU1047" i="10" s="1"/>
  <c r="AT1048" i="10"/>
  <c r="AU1048" i="10" s="1"/>
  <c r="AT1049" i="10"/>
  <c r="AU1049" i="10" s="1"/>
  <c r="AT1050" i="10"/>
  <c r="AU1050" i="10" s="1"/>
  <c r="AT1051" i="10"/>
  <c r="AU1051" i="10" s="1"/>
  <c r="AT1052" i="10"/>
  <c r="AU1052" i="10" s="1"/>
  <c r="AT1053" i="10"/>
  <c r="AU1053" i="10" s="1"/>
  <c r="AT1054" i="10"/>
  <c r="AU1054" i="10" s="1"/>
  <c r="AT1055" i="10"/>
  <c r="AU1055" i="10" s="1"/>
  <c r="AT1056" i="10"/>
  <c r="AU1056" i="10" s="1"/>
  <c r="AT1057" i="10"/>
  <c r="AU1057" i="10" s="1"/>
  <c r="AT1058" i="10"/>
  <c r="AU1058" i="10" s="1"/>
  <c r="AT1059" i="10"/>
  <c r="AU1059" i="10" s="1"/>
  <c r="AT1060" i="10"/>
  <c r="AU1060" i="10" s="1"/>
  <c r="AT1061" i="10"/>
  <c r="AU1061" i="10" s="1"/>
  <c r="AT1062" i="10"/>
  <c r="AU1062" i="10" s="1"/>
  <c r="AT1063" i="10"/>
  <c r="AU1063" i="10" s="1"/>
  <c r="AT1064" i="10"/>
  <c r="AU1064" i="10" s="1"/>
  <c r="AT1065" i="10"/>
  <c r="AU1065" i="10" s="1"/>
  <c r="AT1066" i="10"/>
  <c r="AU1066" i="10" s="1"/>
  <c r="AT1067" i="10"/>
  <c r="AU1067" i="10" s="1"/>
  <c r="AT1068" i="10"/>
  <c r="AU1068" i="10" s="1"/>
  <c r="AT1069" i="10"/>
  <c r="AU1069" i="10" s="1"/>
  <c r="AT1070" i="10"/>
  <c r="AU1070" i="10" s="1"/>
  <c r="AT1071" i="10"/>
  <c r="AU1071" i="10" s="1"/>
  <c r="AT1072" i="10"/>
  <c r="AU1072" i="10" s="1"/>
  <c r="AT1073" i="10"/>
  <c r="AU1073" i="10" s="1"/>
  <c r="AT1074" i="10"/>
  <c r="AU1074" i="10" s="1"/>
  <c r="AT1075" i="10"/>
  <c r="AU1075" i="10" s="1"/>
  <c r="AT1076" i="10"/>
  <c r="AU1076" i="10" s="1"/>
  <c r="AT1077" i="10"/>
  <c r="AU1077" i="10" s="1"/>
  <c r="AT1078" i="10"/>
  <c r="AU1078" i="10" s="1"/>
  <c r="AT1079" i="10"/>
  <c r="AU1079" i="10" s="1"/>
  <c r="AT1080" i="10"/>
  <c r="AU1080" i="10" s="1"/>
  <c r="AT1081" i="10"/>
  <c r="AU1081" i="10" s="1"/>
  <c r="AT1082" i="10"/>
  <c r="AU1082" i="10" s="1"/>
  <c r="AT1083" i="10"/>
  <c r="AU1083" i="10" s="1"/>
  <c r="AT1084" i="10"/>
  <c r="AU1084" i="10" s="1"/>
  <c r="AT1085" i="10"/>
  <c r="AU1085" i="10" s="1"/>
  <c r="AT1086" i="10"/>
  <c r="AU1086" i="10" s="1"/>
  <c r="AT1087" i="10"/>
  <c r="AU1087" i="10" s="1"/>
  <c r="AT1088" i="10"/>
  <c r="AU1088" i="10" s="1"/>
  <c r="AT1089" i="10"/>
  <c r="AU1089" i="10" s="1"/>
  <c r="AT1090" i="10"/>
  <c r="AU1090" i="10" s="1"/>
  <c r="AT1091" i="10"/>
  <c r="AU1091" i="10" s="1"/>
  <c r="AT1092" i="10"/>
  <c r="AU1092" i="10" s="1"/>
  <c r="AT1093" i="10"/>
  <c r="AU1093" i="10" s="1"/>
  <c r="AT1094" i="10"/>
  <c r="AU1094" i="10" s="1"/>
  <c r="AT1095" i="10"/>
  <c r="AU1095" i="10" s="1"/>
  <c r="AT1096" i="10"/>
  <c r="AU1096" i="10" s="1"/>
  <c r="AT1097" i="10"/>
  <c r="AU1097" i="10" s="1"/>
  <c r="AT1098" i="10"/>
  <c r="AU1098" i="10" s="1"/>
  <c r="AT1099" i="10"/>
  <c r="AU1099" i="10" s="1"/>
  <c r="AT1100" i="10"/>
  <c r="AU1100" i="10" s="1"/>
  <c r="AT1101" i="10"/>
  <c r="AU1101" i="10" s="1"/>
  <c r="AT1102" i="10"/>
  <c r="AU1102" i="10" s="1"/>
  <c r="AT1103" i="10"/>
  <c r="AU1103" i="10" s="1"/>
  <c r="AT1104" i="10"/>
  <c r="AU1104" i="10" s="1"/>
  <c r="AT1105" i="10"/>
  <c r="AU1105" i="10" s="1"/>
  <c r="AT1106" i="10"/>
  <c r="AU1106" i="10" s="1"/>
  <c r="AT1107" i="10"/>
  <c r="AU1107" i="10" s="1"/>
  <c r="AT1108" i="10"/>
  <c r="AU1108" i="10" s="1"/>
  <c r="AT1109" i="10"/>
  <c r="AU1109" i="10" s="1"/>
  <c r="AT1110" i="10"/>
  <c r="AU1110" i="10" s="1"/>
  <c r="AT1111" i="10"/>
  <c r="AU1111" i="10" s="1"/>
  <c r="AT1112" i="10"/>
  <c r="AU1112" i="10" s="1"/>
  <c r="AT1113" i="10"/>
  <c r="AU1113" i="10" s="1"/>
  <c r="AT1114" i="10"/>
  <c r="AU1114" i="10" s="1"/>
  <c r="AT1115" i="10"/>
  <c r="AU1115" i="10" s="1"/>
  <c r="AT1116" i="10"/>
  <c r="AU1116" i="10" s="1"/>
  <c r="AT1117" i="10"/>
  <c r="AU1117" i="10" s="1"/>
  <c r="AT1118" i="10"/>
  <c r="AU1118" i="10" s="1"/>
  <c r="AT1119" i="10"/>
  <c r="AU1119" i="10" s="1"/>
  <c r="AT1120" i="10"/>
  <c r="AU1120" i="10" s="1"/>
  <c r="AT1121" i="10"/>
  <c r="AU1121" i="10" s="1"/>
  <c r="AT1122" i="10"/>
  <c r="AU1122" i="10" s="1"/>
  <c r="AT1123" i="10"/>
  <c r="AU1123" i="10" s="1"/>
  <c r="AT1124" i="10"/>
  <c r="AU1124" i="10" s="1"/>
  <c r="AT1125" i="10"/>
  <c r="AU1125" i="10" s="1"/>
  <c r="AT1126" i="10"/>
  <c r="AU1126" i="10" s="1"/>
  <c r="AT1127" i="10"/>
  <c r="AU1127" i="10" s="1"/>
  <c r="AT1128" i="10"/>
  <c r="AU1128" i="10" s="1"/>
  <c r="AT1129" i="10"/>
  <c r="AU1129" i="10" s="1"/>
  <c r="AT1130" i="10"/>
  <c r="AU1130" i="10" s="1"/>
  <c r="AT1131" i="10"/>
  <c r="AU1131" i="10" s="1"/>
  <c r="AT1132" i="10"/>
  <c r="AU1132" i="10" s="1"/>
  <c r="AT1133" i="10"/>
  <c r="AU1133" i="10" s="1"/>
  <c r="AT1134" i="10"/>
  <c r="AU1134" i="10" s="1"/>
  <c r="AT1135" i="10"/>
  <c r="AU1135" i="10" s="1"/>
  <c r="AT1136" i="10"/>
  <c r="AU1136" i="10" s="1"/>
  <c r="AT1137" i="10"/>
  <c r="AU1137" i="10" s="1"/>
  <c r="AT1138" i="10"/>
  <c r="AU1138" i="10" s="1"/>
  <c r="AT1139" i="10"/>
  <c r="AU1139" i="10" s="1"/>
  <c r="AT1140" i="10"/>
  <c r="AU1140" i="10" s="1"/>
  <c r="AT1141" i="10"/>
  <c r="AU1141" i="10" s="1"/>
  <c r="AT1142" i="10"/>
  <c r="AU1142" i="10" s="1"/>
  <c r="AT1143" i="10"/>
  <c r="AU1143" i="10" s="1"/>
  <c r="AT1144" i="10"/>
  <c r="AU1144" i="10" s="1"/>
  <c r="AT1145" i="10"/>
  <c r="AU1145" i="10" s="1"/>
  <c r="AT1146" i="10"/>
  <c r="AU1146" i="10" s="1"/>
  <c r="AT1147" i="10"/>
  <c r="AU1147" i="10" s="1"/>
  <c r="AT1148" i="10"/>
  <c r="AU1148" i="10" s="1"/>
  <c r="AT1149" i="10"/>
  <c r="AU1149" i="10" s="1"/>
  <c r="AT1150" i="10"/>
  <c r="AU1150" i="10" s="1"/>
  <c r="AT1151" i="10"/>
  <c r="AU1151" i="10" s="1"/>
  <c r="AT1152" i="10"/>
  <c r="AU1152" i="10" s="1"/>
  <c r="AT1153" i="10"/>
  <c r="AU1153" i="10" s="1"/>
  <c r="AT1154" i="10"/>
  <c r="AU1154" i="10" s="1"/>
  <c r="AT1155" i="10"/>
  <c r="AU1155" i="10" s="1"/>
  <c r="AT1156" i="10"/>
  <c r="AU1156" i="10" s="1"/>
  <c r="AT1157" i="10"/>
  <c r="AU1157" i="10" s="1"/>
  <c r="AT1158" i="10"/>
  <c r="AU1158" i="10" s="1"/>
  <c r="AT1159" i="10"/>
  <c r="AU1159" i="10" s="1"/>
  <c r="AT1160" i="10"/>
  <c r="AU1160" i="10" s="1"/>
  <c r="AT1161" i="10"/>
  <c r="AU1161" i="10" s="1"/>
  <c r="AT1162" i="10"/>
  <c r="AU1162" i="10" s="1"/>
  <c r="AT1163" i="10"/>
  <c r="AU1163" i="10" s="1"/>
  <c r="AT1164" i="10"/>
  <c r="AU1164" i="10" s="1"/>
  <c r="AT1165" i="10"/>
  <c r="AU1165" i="10" s="1"/>
  <c r="AT1166" i="10"/>
  <c r="AU1166" i="10" s="1"/>
  <c r="AT1167" i="10"/>
  <c r="AU1167" i="10" s="1"/>
  <c r="AT1168" i="10"/>
  <c r="AU1168" i="10" s="1"/>
  <c r="AT1169" i="10"/>
  <c r="AU1169" i="10" s="1"/>
  <c r="AT1170" i="10"/>
  <c r="AU1170" i="10" s="1"/>
  <c r="AT1171" i="10"/>
  <c r="AU1171" i="10" s="1"/>
  <c r="AT1172" i="10"/>
  <c r="AU1172" i="10" s="1"/>
  <c r="AT1173" i="10"/>
  <c r="AU1173" i="10" s="1"/>
  <c r="AT1174" i="10"/>
  <c r="AU1174" i="10" s="1"/>
  <c r="AT1175" i="10"/>
  <c r="AU1175" i="10" s="1"/>
  <c r="AT1176" i="10"/>
  <c r="AU1176" i="10" s="1"/>
  <c r="AT1177" i="10"/>
  <c r="AU1177" i="10" s="1"/>
  <c r="AT1178" i="10"/>
  <c r="AU1178" i="10" s="1"/>
  <c r="AT1179" i="10"/>
  <c r="AU1179" i="10" s="1"/>
  <c r="AT1180" i="10"/>
  <c r="AU1180" i="10" s="1"/>
  <c r="AT1181" i="10"/>
  <c r="AU1181" i="10" s="1"/>
  <c r="AT1182" i="10"/>
  <c r="AU1182" i="10" s="1"/>
  <c r="AT1183" i="10"/>
  <c r="AU1183" i="10" s="1"/>
  <c r="AT1184" i="10"/>
  <c r="AU1184" i="10" s="1"/>
  <c r="AT1185" i="10"/>
  <c r="AU1185" i="10" s="1"/>
  <c r="AT1186" i="10"/>
  <c r="AU1186" i="10" s="1"/>
  <c r="AT1187" i="10"/>
  <c r="AU1187" i="10" s="1"/>
  <c r="AT1188" i="10"/>
  <c r="AU1188" i="10" s="1"/>
  <c r="AT1189" i="10"/>
  <c r="AU1189" i="10" s="1"/>
  <c r="AT1190" i="10"/>
  <c r="AU1190" i="10" s="1"/>
  <c r="AT1191" i="10"/>
  <c r="AU1191" i="10" s="1"/>
  <c r="AT1192" i="10"/>
  <c r="AU1192" i="10" s="1"/>
  <c r="AT1193" i="10"/>
  <c r="AU1193" i="10" s="1"/>
  <c r="AT1194" i="10"/>
  <c r="AU1194" i="10" s="1"/>
  <c r="AT1195" i="10"/>
  <c r="AU1195" i="10" s="1"/>
  <c r="AT1196" i="10"/>
  <c r="AU1196" i="10" s="1"/>
  <c r="AT1197" i="10"/>
  <c r="AU1197" i="10" s="1"/>
  <c r="AT1198" i="10"/>
  <c r="AU1198" i="10" s="1"/>
  <c r="AT1199" i="10"/>
  <c r="AU1199" i="10" s="1"/>
  <c r="AT1200" i="10"/>
  <c r="AU1200" i="10" s="1"/>
  <c r="AT1201" i="10"/>
  <c r="AU1201" i="10" s="1"/>
  <c r="AT1202" i="10"/>
  <c r="AU1202" i="10" s="1"/>
  <c r="AT1203" i="10"/>
  <c r="AU1203" i="10" s="1"/>
  <c r="AT1204" i="10"/>
  <c r="AU1204" i="10" s="1"/>
  <c r="AT1205" i="10"/>
  <c r="AU1205" i="10" s="1"/>
  <c r="AT1206" i="10"/>
  <c r="AU1206" i="10" s="1"/>
  <c r="AT1207" i="10"/>
  <c r="AU1207" i="10" s="1"/>
  <c r="AT1208" i="10"/>
  <c r="AU1208" i="10" s="1"/>
  <c r="AT1209" i="10"/>
  <c r="AU1209" i="10" s="1"/>
  <c r="AT1210" i="10"/>
  <c r="AU1210" i="10" s="1"/>
  <c r="AT1211" i="10"/>
  <c r="AU1211" i="10" s="1"/>
  <c r="AT1212" i="10"/>
  <c r="AU1212" i="10" s="1"/>
  <c r="AT1213" i="10"/>
  <c r="AU1213" i="10" s="1"/>
  <c r="AT1214" i="10"/>
  <c r="AU1214" i="10" s="1"/>
  <c r="AT1215" i="10"/>
  <c r="AU1215" i="10" s="1"/>
  <c r="AT1216" i="10"/>
  <c r="AU1216" i="10" s="1"/>
  <c r="AT1217" i="10"/>
  <c r="AU1217" i="10" s="1"/>
  <c r="AT1218" i="10"/>
  <c r="AU1218" i="10" s="1"/>
  <c r="AT1219" i="10"/>
  <c r="AU1219" i="10" s="1"/>
  <c r="AT1220" i="10"/>
  <c r="AU1220" i="10" s="1"/>
  <c r="AT1221" i="10"/>
  <c r="AU1221" i="10" s="1"/>
  <c r="AT1222" i="10"/>
  <c r="AU1222" i="10" s="1"/>
  <c r="AT1223" i="10"/>
  <c r="AU1223" i="10" s="1"/>
  <c r="AT1224" i="10"/>
  <c r="AU1224" i="10" s="1"/>
  <c r="AT1225" i="10"/>
  <c r="AU1225" i="10" s="1"/>
  <c r="AT1226" i="10"/>
  <c r="AU1226" i="10" s="1"/>
  <c r="AT1227" i="10"/>
  <c r="AU1227" i="10" s="1"/>
  <c r="AT1228" i="10"/>
  <c r="AU1228" i="10" s="1"/>
  <c r="AT1229" i="10"/>
  <c r="AU1229" i="10" s="1"/>
  <c r="AT1230" i="10"/>
  <c r="AU1230" i="10" s="1"/>
  <c r="AT1231" i="10"/>
  <c r="AU1231" i="10" s="1"/>
  <c r="AT1232" i="10"/>
  <c r="AU1232" i="10" s="1"/>
  <c r="AT1233" i="10"/>
  <c r="AU1233" i="10" s="1"/>
  <c r="AT1234" i="10"/>
  <c r="AU1234" i="10" s="1"/>
  <c r="AT1235" i="10"/>
  <c r="AU1235" i="10" s="1"/>
  <c r="AT1236" i="10"/>
  <c r="AU1236" i="10" s="1"/>
  <c r="AT1237" i="10"/>
  <c r="AU1237" i="10" s="1"/>
  <c r="AT1238" i="10"/>
  <c r="AU1238" i="10" s="1"/>
  <c r="AT1239" i="10"/>
  <c r="AU1239" i="10" s="1"/>
  <c r="AT1240" i="10"/>
  <c r="AU1240" i="10" s="1"/>
  <c r="AT1241" i="10"/>
  <c r="AU1241" i="10" s="1"/>
  <c r="AT1242" i="10"/>
  <c r="AU1242" i="10" s="1"/>
  <c r="AT1243" i="10"/>
  <c r="AU1243" i="10" s="1"/>
  <c r="AT1244" i="10"/>
  <c r="AU1244" i="10" s="1"/>
  <c r="AT1245" i="10"/>
  <c r="AU1245" i="10" s="1"/>
  <c r="AT1246" i="10"/>
  <c r="AU1246" i="10" s="1"/>
  <c r="AT1247" i="10"/>
  <c r="AU1247" i="10" s="1"/>
  <c r="AT1248" i="10"/>
  <c r="AU1248" i="10" s="1"/>
  <c r="AT1249" i="10"/>
  <c r="AU1249" i="10" s="1"/>
  <c r="AT1250" i="10"/>
  <c r="AU1250" i="10" s="1"/>
  <c r="AT1251" i="10"/>
  <c r="AU1251" i="10" s="1"/>
  <c r="AT1252" i="10"/>
  <c r="AU1252" i="10" s="1"/>
  <c r="AT1253" i="10"/>
  <c r="AU1253" i="10" s="1"/>
  <c r="AT1254" i="10"/>
  <c r="AU1254" i="10" s="1"/>
  <c r="AT1255" i="10"/>
  <c r="AU1255" i="10" s="1"/>
  <c r="AT1256" i="10"/>
  <c r="AU1256" i="10" s="1"/>
  <c r="AT1257" i="10"/>
  <c r="AU1257" i="10" s="1"/>
  <c r="AT1258" i="10"/>
  <c r="AU1258" i="10" s="1"/>
  <c r="AT1259" i="10"/>
  <c r="AU1259" i="10" s="1"/>
  <c r="AT1260" i="10"/>
  <c r="AU1260" i="10" s="1"/>
  <c r="AT1261" i="10"/>
  <c r="AU1261" i="10" s="1"/>
  <c r="AT1262" i="10"/>
  <c r="AU1262" i="10" s="1"/>
  <c r="AT1263" i="10"/>
  <c r="AU1263" i="10" s="1"/>
  <c r="AT1264" i="10"/>
  <c r="AU1264" i="10" s="1"/>
  <c r="AT1265" i="10"/>
  <c r="AU1265" i="10" s="1"/>
  <c r="AT1266" i="10"/>
  <c r="AU1266" i="10" s="1"/>
  <c r="AT1267" i="10"/>
  <c r="AU1267" i="10" s="1"/>
  <c r="AT1268" i="10"/>
  <c r="AU1268" i="10" s="1"/>
  <c r="AT1269" i="10"/>
  <c r="AU1269" i="10" s="1"/>
  <c r="AT1270" i="10"/>
  <c r="AU1270" i="10" s="1"/>
  <c r="AT1271" i="10"/>
  <c r="AU1271" i="10" s="1"/>
  <c r="AT1272" i="10"/>
  <c r="AU1272" i="10" s="1"/>
  <c r="AT1273" i="10"/>
  <c r="AU1273" i="10" s="1"/>
  <c r="AT1274" i="10"/>
  <c r="AU1274" i="10" s="1"/>
  <c r="AT1275" i="10"/>
  <c r="AU1275" i="10" s="1"/>
  <c r="AT1276" i="10"/>
  <c r="AU1276" i="10" s="1"/>
  <c r="AT1277" i="10"/>
  <c r="AU1277" i="10" s="1"/>
  <c r="AT1278" i="10"/>
  <c r="AU1278" i="10" s="1"/>
  <c r="AT1279" i="10"/>
  <c r="AU1279" i="10" s="1"/>
  <c r="AT1280" i="10"/>
  <c r="AU1280" i="10" s="1"/>
  <c r="AT1281" i="10"/>
  <c r="AU1281" i="10" s="1"/>
  <c r="AT1282" i="10"/>
  <c r="AU1282" i="10" s="1"/>
  <c r="AT1283" i="10"/>
  <c r="AU1283" i="10" s="1"/>
  <c r="AT1284" i="10"/>
  <c r="AU1284" i="10" s="1"/>
  <c r="AT1285" i="10"/>
  <c r="AU1285" i="10" s="1"/>
  <c r="AT1286" i="10"/>
  <c r="AU1286" i="10" s="1"/>
  <c r="AT1287" i="10"/>
  <c r="AU1287" i="10" s="1"/>
  <c r="AT1288" i="10"/>
  <c r="AU1288" i="10" s="1"/>
  <c r="AT1289" i="10"/>
  <c r="AU1289" i="10" s="1"/>
  <c r="AT1290" i="10"/>
  <c r="AU1290" i="10" s="1"/>
  <c r="AT1291" i="10"/>
  <c r="AU1291" i="10" s="1"/>
  <c r="AT1292" i="10"/>
  <c r="AU1292" i="10" s="1"/>
  <c r="AT1293" i="10"/>
  <c r="AU1293" i="10" s="1"/>
  <c r="AT1294" i="10"/>
  <c r="AU1294" i="10" s="1"/>
  <c r="AT1295" i="10"/>
  <c r="AU1295" i="10" s="1"/>
  <c r="AT1296" i="10"/>
  <c r="AU1296" i="10" s="1"/>
  <c r="AT1297" i="10"/>
  <c r="AU1297" i="10" s="1"/>
  <c r="AT1298" i="10"/>
  <c r="AU1298" i="10" s="1"/>
  <c r="AT1299" i="10"/>
  <c r="AU1299" i="10" s="1"/>
  <c r="AT1300" i="10"/>
  <c r="AU1300" i="10" s="1"/>
  <c r="AT1301" i="10"/>
  <c r="AU1301" i="10" s="1"/>
  <c r="AT1302" i="10"/>
  <c r="AU1302" i="10" s="1"/>
  <c r="AT1303" i="10"/>
  <c r="AU1303" i="10" s="1"/>
  <c r="AT1304" i="10"/>
  <c r="AU1304" i="10" s="1"/>
  <c r="AT1305" i="10"/>
  <c r="AU1305" i="10" s="1"/>
  <c r="AT1306" i="10"/>
  <c r="AU1306" i="10" s="1"/>
  <c r="AT1307" i="10"/>
  <c r="AU1307" i="10" s="1"/>
  <c r="AT1308" i="10"/>
  <c r="AU1308" i="10" s="1"/>
  <c r="AT1309" i="10"/>
  <c r="AU1309" i="10" s="1"/>
  <c r="AT1310" i="10"/>
  <c r="AU1310" i="10" s="1"/>
  <c r="AT1311" i="10"/>
  <c r="AU1311" i="10" s="1"/>
  <c r="AT1312" i="10"/>
  <c r="AU1312" i="10" s="1"/>
  <c r="AT1313" i="10"/>
  <c r="AU1313" i="10" s="1"/>
  <c r="AT1314" i="10"/>
  <c r="AU1314" i="10" s="1"/>
  <c r="AT1315" i="10"/>
  <c r="AU1315" i="10" s="1"/>
  <c r="AT1316" i="10"/>
  <c r="AU1316" i="10" s="1"/>
  <c r="AT1317" i="10"/>
  <c r="AU1317" i="10" s="1"/>
  <c r="AT1318" i="10"/>
  <c r="AU1318" i="10" s="1"/>
  <c r="AT1319" i="10"/>
  <c r="AU1319" i="10" s="1"/>
  <c r="AT1320" i="10"/>
  <c r="AU1320" i="10" s="1"/>
  <c r="AT1321" i="10"/>
  <c r="AU1321" i="10" s="1"/>
  <c r="AT1322" i="10"/>
  <c r="AU1322" i="10" s="1"/>
  <c r="AT1323" i="10"/>
  <c r="AU1323" i="10" s="1"/>
  <c r="AT1324" i="10"/>
  <c r="AU1324" i="10" s="1"/>
  <c r="AT1325" i="10"/>
  <c r="AU1325" i="10" s="1"/>
  <c r="AT1326" i="10"/>
  <c r="AU1326" i="10" s="1"/>
  <c r="AT1327" i="10"/>
  <c r="AU1327" i="10" s="1"/>
  <c r="AT1328" i="10"/>
  <c r="AU1328" i="10" s="1"/>
  <c r="AT1329" i="10"/>
  <c r="AU1329" i="10" s="1"/>
  <c r="AT1330" i="10"/>
  <c r="AU1330" i="10" s="1"/>
  <c r="AT1331" i="10"/>
  <c r="AU1331" i="10" s="1"/>
  <c r="AT1332" i="10"/>
  <c r="AU1332" i="10" s="1"/>
  <c r="AT1333" i="10"/>
  <c r="AU1333" i="10" s="1"/>
  <c r="AT1334" i="10"/>
  <c r="AU1334" i="10" s="1"/>
  <c r="AT1335" i="10"/>
  <c r="AU1335" i="10" s="1"/>
  <c r="AT1336" i="10"/>
  <c r="AU1336" i="10" s="1"/>
  <c r="AT1337" i="10"/>
  <c r="AU1337" i="10" s="1"/>
  <c r="AT1338" i="10"/>
  <c r="AU1338" i="10" s="1"/>
  <c r="AT1339" i="10"/>
  <c r="AU1339" i="10" s="1"/>
  <c r="AT1340" i="10"/>
  <c r="AU1340" i="10" s="1"/>
  <c r="AT1341" i="10"/>
  <c r="AU1341" i="10" s="1"/>
  <c r="AT1342" i="10"/>
  <c r="AU1342" i="10" s="1"/>
  <c r="AT1343" i="10"/>
  <c r="AU1343" i="10" s="1"/>
  <c r="AT1344" i="10"/>
  <c r="AU1344" i="10" s="1"/>
  <c r="AT1345" i="10"/>
  <c r="AU1345" i="10" s="1"/>
  <c r="AT1346" i="10"/>
  <c r="AU1346" i="10" s="1"/>
  <c r="AT1347" i="10"/>
  <c r="AU1347" i="10" s="1"/>
  <c r="AT1348" i="10"/>
  <c r="AU1348" i="10" s="1"/>
  <c r="AT1349" i="10"/>
  <c r="AU1349" i="10" s="1"/>
  <c r="AT1350" i="10"/>
  <c r="AU1350" i="10" s="1"/>
  <c r="AT1351" i="10"/>
  <c r="AU1351" i="10" s="1"/>
  <c r="AT1352" i="10"/>
  <c r="AU1352" i="10" s="1"/>
  <c r="AT1353" i="10"/>
  <c r="AU1353" i="10" s="1"/>
  <c r="AT1354" i="10"/>
  <c r="AU1354" i="10" s="1"/>
  <c r="AT1355" i="10"/>
  <c r="AU1355" i="10" s="1"/>
  <c r="AT1356" i="10"/>
  <c r="AU1356" i="10" s="1"/>
  <c r="AT1357" i="10"/>
  <c r="AU1357" i="10" s="1"/>
  <c r="AT1358" i="10"/>
  <c r="AU1358" i="10" s="1"/>
  <c r="AT1359" i="10"/>
  <c r="AU1359" i="10" s="1"/>
  <c r="AT1360" i="10"/>
  <c r="AU1360" i="10" s="1"/>
  <c r="AT1361" i="10"/>
  <c r="AU1361" i="10" s="1"/>
  <c r="AT1362" i="10"/>
  <c r="AU1362" i="10" s="1"/>
  <c r="AT1363" i="10"/>
  <c r="AU1363" i="10" s="1"/>
  <c r="AT1364" i="10"/>
  <c r="AU1364" i="10" s="1"/>
  <c r="AT1365" i="10"/>
  <c r="AU1365" i="10" s="1"/>
  <c r="AT1366" i="10"/>
  <c r="AU1366" i="10" s="1"/>
  <c r="AT1367" i="10"/>
  <c r="AU1367" i="10" s="1"/>
  <c r="AT1368" i="10"/>
  <c r="AU1368" i="10" s="1"/>
  <c r="AT1369" i="10"/>
  <c r="AU1369" i="10" s="1"/>
  <c r="AT1370" i="10"/>
  <c r="AU1370" i="10" s="1"/>
  <c r="AT1371" i="10"/>
  <c r="AU1371" i="10" s="1"/>
  <c r="AT1372" i="10"/>
  <c r="AU1372" i="10" s="1"/>
  <c r="AT1373" i="10"/>
  <c r="AU1373" i="10" s="1"/>
  <c r="AT1374" i="10"/>
  <c r="AU1374" i="10" s="1"/>
  <c r="AT1375" i="10"/>
  <c r="AU1375" i="10" s="1"/>
  <c r="AT1376" i="10"/>
  <c r="AU1376" i="10" s="1"/>
  <c r="AT1377" i="10"/>
  <c r="AU1377" i="10" s="1"/>
  <c r="AT1378" i="10"/>
  <c r="AU1378" i="10" s="1"/>
  <c r="AT1379" i="10"/>
  <c r="AU1379" i="10" s="1"/>
  <c r="AT1380" i="10"/>
  <c r="AU1380" i="10" s="1"/>
  <c r="AT1381" i="10"/>
  <c r="AU1381" i="10" s="1"/>
  <c r="AT1382" i="10"/>
  <c r="AU1382" i="10" s="1"/>
  <c r="AT1383" i="10"/>
  <c r="AU1383" i="10" s="1"/>
  <c r="AT1384" i="10"/>
  <c r="AU1384" i="10" s="1"/>
  <c r="AT1385" i="10"/>
  <c r="AU1385" i="10" s="1"/>
  <c r="AT1386" i="10"/>
  <c r="AU1386" i="10" s="1"/>
  <c r="AT1387" i="10"/>
  <c r="AU1387" i="10" s="1"/>
  <c r="AT1388" i="10"/>
  <c r="AU1388" i="10" s="1"/>
  <c r="AT1389" i="10"/>
  <c r="AU1389" i="10" s="1"/>
  <c r="AT1390" i="10"/>
  <c r="AU1390" i="10" s="1"/>
  <c r="AT1391" i="10"/>
  <c r="AU1391" i="10" s="1"/>
  <c r="AT1392" i="10"/>
  <c r="AU1392" i="10" s="1"/>
  <c r="AT1393" i="10"/>
  <c r="AU1393" i="10" s="1"/>
  <c r="AT1394" i="10"/>
  <c r="AU1394" i="10" s="1"/>
  <c r="AT1395" i="10"/>
  <c r="AU1395" i="10" s="1"/>
  <c r="AT1396" i="10"/>
  <c r="AU1396" i="10" s="1"/>
  <c r="AT1397" i="10"/>
  <c r="AU1397" i="10" s="1"/>
  <c r="AT1398" i="10"/>
  <c r="AU1398" i="10" s="1"/>
  <c r="AT1399" i="10"/>
  <c r="AU1399" i="10" s="1"/>
  <c r="AT1400" i="10"/>
  <c r="AU1400" i="10" s="1"/>
  <c r="AT1401" i="10"/>
  <c r="AU1401" i="10" s="1"/>
  <c r="AT1402" i="10"/>
  <c r="AU1402" i="10" s="1"/>
  <c r="AT1403" i="10"/>
  <c r="AU1403" i="10" s="1"/>
  <c r="AT1404" i="10"/>
  <c r="AU1404" i="10" s="1"/>
  <c r="AT1405" i="10"/>
  <c r="AU1405" i="10" s="1"/>
  <c r="AT1406" i="10"/>
  <c r="AU1406" i="10" s="1"/>
  <c r="AT1407" i="10"/>
  <c r="AU1407" i="10" s="1"/>
  <c r="AT1408" i="10"/>
  <c r="AU1408" i="10" s="1"/>
  <c r="AT1409" i="10"/>
  <c r="AU1409" i="10" s="1"/>
  <c r="AT1410" i="10"/>
  <c r="AU1410" i="10" s="1"/>
  <c r="AT1411" i="10"/>
  <c r="AU1411" i="10" s="1"/>
  <c r="AT1412" i="10"/>
  <c r="AU1412" i="10" s="1"/>
  <c r="AT1413" i="10"/>
  <c r="AU1413" i="10" s="1"/>
  <c r="AT1414" i="10"/>
  <c r="AU1414" i="10" s="1"/>
  <c r="AT1415" i="10"/>
  <c r="AU1415" i="10" s="1"/>
  <c r="AT1416" i="10"/>
  <c r="AU1416" i="10" s="1"/>
  <c r="AT1417" i="10"/>
  <c r="AU1417" i="10" s="1"/>
  <c r="AT1418" i="10"/>
  <c r="AU1418" i="10" s="1"/>
  <c r="AT1419" i="10"/>
  <c r="AU1419" i="10" s="1"/>
  <c r="AT1420" i="10"/>
  <c r="AU1420" i="10" s="1"/>
  <c r="AT1421" i="10"/>
  <c r="AU1421" i="10" s="1"/>
  <c r="AT1422" i="10"/>
  <c r="AU1422" i="10" s="1"/>
  <c r="AT1423" i="10"/>
  <c r="AU1423" i="10" s="1"/>
  <c r="AT1424" i="10"/>
  <c r="AU1424" i="10" s="1"/>
  <c r="AT1425" i="10"/>
  <c r="AU1425" i="10" s="1"/>
  <c r="AT1426" i="10"/>
  <c r="AU1426" i="10" s="1"/>
  <c r="AT1427" i="10"/>
  <c r="AU1427" i="10" s="1"/>
  <c r="AT1428" i="10"/>
  <c r="AU1428" i="10" s="1"/>
  <c r="AT1429" i="10"/>
  <c r="AU1429" i="10" s="1"/>
  <c r="AT1430" i="10"/>
  <c r="AU1430" i="10" s="1"/>
  <c r="AT1431" i="10"/>
  <c r="AU1431" i="10" s="1"/>
  <c r="AT1432" i="10"/>
  <c r="AU1432" i="10" s="1"/>
  <c r="AT1433" i="10"/>
  <c r="AU1433" i="10" s="1"/>
  <c r="AT1434" i="10"/>
  <c r="AU1434" i="10" s="1"/>
  <c r="AT1435" i="10"/>
  <c r="AU1435" i="10" s="1"/>
  <c r="AT1436" i="10"/>
  <c r="AU1436" i="10" s="1"/>
  <c r="AT1437" i="10"/>
  <c r="AU1437" i="10" s="1"/>
  <c r="AT1438" i="10"/>
  <c r="AU1438" i="10" s="1"/>
  <c r="AT1439" i="10"/>
  <c r="AU1439" i="10" s="1"/>
  <c r="AT1440" i="10"/>
  <c r="AU1440" i="10" s="1"/>
  <c r="AT1441" i="10"/>
  <c r="AU1441" i="10" s="1"/>
  <c r="AT1442" i="10"/>
  <c r="AU1442" i="10" s="1"/>
  <c r="AT1443" i="10"/>
  <c r="AU1443" i="10" s="1"/>
  <c r="AT1444" i="10"/>
  <c r="AU1444" i="10" s="1"/>
  <c r="AT1445" i="10"/>
  <c r="AU1445" i="10" s="1"/>
  <c r="AT1446" i="10"/>
  <c r="AU1446" i="10" s="1"/>
  <c r="AT1447" i="10"/>
  <c r="AU1447" i="10" s="1"/>
  <c r="AT1448" i="10"/>
  <c r="AU1448" i="10" s="1"/>
  <c r="AT1449" i="10"/>
  <c r="AU1449" i="10" s="1"/>
  <c r="AT1450" i="10"/>
  <c r="AU1450" i="10" s="1"/>
  <c r="AT1451" i="10"/>
  <c r="AU1451" i="10" s="1"/>
  <c r="AT1452" i="10"/>
  <c r="AU1452" i="10" s="1"/>
  <c r="AT1453" i="10"/>
  <c r="AU1453" i="10" s="1"/>
  <c r="AT1454" i="10"/>
  <c r="AU1454" i="10" s="1"/>
  <c r="AT1455" i="10"/>
  <c r="AU1455" i="10" s="1"/>
  <c r="AT1456" i="10"/>
  <c r="AU1456" i="10" s="1"/>
  <c r="AT1457" i="10"/>
  <c r="AU1457" i="10" s="1"/>
  <c r="AT1458" i="10"/>
  <c r="AU1458" i="10" s="1"/>
  <c r="AT1459" i="10"/>
  <c r="AU1459" i="10" s="1"/>
  <c r="AT1460" i="10"/>
  <c r="AU1460" i="10" s="1"/>
  <c r="AT1461" i="10"/>
  <c r="AU1461" i="10" s="1"/>
  <c r="AT1462" i="10"/>
  <c r="AU1462" i="10" s="1"/>
  <c r="AT1463" i="10"/>
  <c r="AU1463" i="10" s="1"/>
  <c r="AT1464" i="10"/>
  <c r="AU1464" i="10" s="1"/>
  <c r="AT1465" i="10"/>
  <c r="AU1465" i="10" s="1"/>
  <c r="AT1466" i="10"/>
  <c r="AU1466" i="10" s="1"/>
  <c r="AT1467" i="10"/>
  <c r="AU1467" i="10" s="1"/>
  <c r="AT1468" i="10"/>
  <c r="AU1468" i="10" s="1"/>
  <c r="AT1469" i="10"/>
  <c r="AU1469" i="10" s="1"/>
  <c r="AT1470" i="10"/>
  <c r="AU1470" i="10" s="1"/>
  <c r="AT1471" i="10"/>
  <c r="AU1471" i="10" s="1"/>
  <c r="AT1472" i="10"/>
  <c r="AU1472" i="10" s="1"/>
  <c r="AT1473" i="10"/>
  <c r="AU1473" i="10" s="1"/>
  <c r="AT1474" i="10"/>
  <c r="AU1474" i="10" s="1"/>
  <c r="AT1475" i="10"/>
  <c r="AU1475" i="10" s="1"/>
  <c r="AT1476" i="10"/>
  <c r="AU1476" i="10" s="1"/>
  <c r="AT1477" i="10"/>
  <c r="AU1477" i="10" s="1"/>
  <c r="AT1478" i="10"/>
  <c r="AU1478" i="10" s="1"/>
  <c r="AT1479" i="10"/>
  <c r="AU1479" i="10" s="1"/>
  <c r="AT1480" i="10"/>
  <c r="AU1480" i="10" s="1"/>
  <c r="AT1481" i="10"/>
  <c r="AU1481" i="10" s="1"/>
  <c r="AT1482" i="10"/>
  <c r="AU1482" i="10" s="1"/>
  <c r="AT1483" i="10"/>
  <c r="AU1483" i="10" s="1"/>
  <c r="AT1484" i="10"/>
  <c r="AU1484" i="10" s="1"/>
  <c r="AT1485" i="10"/>
  <c r="AU1485" i="10" s="1"/>
  <c r="AT1486" i="10"/>
  <c r="AU1486" i="10" s="1"/>
  <c r="AT1487" i="10"/>
  <c r="AU1487" i="10" s="1"/>
  <c r="AT1488" i="10"/>
  <c r="AU1488" i="10" s="1"/>
  <c r="AT1489" i="10"/>
  <c r="AU1489" i="10" s="1"/>
  <c r="AT1490" i="10"/>
  <c r="AU1490" i="10" s="1"/>
  <c r="AT1491" i="10"/>
  <c r="AU1491" i="10" s="1"/>
  <c r="AT1492" i="10"/>
  <c r="AU1492" i="10" s="1"/>
  <c r="AT1493" i="10"/>
  <c r="AU1493" i="10" s="1"/>
  <c r="AT1494" i="10"/>
  <c r="AU1494" i="10" s="1"/>
  <c r="AT1495" i="10"/>
  <c r="AU1495" i="10" s="1"/>
  <c r="AT1496" i="10"/>
  <c r="AU1496" i="10" s="1"/>
  <c r="AT1497" i="10"/>
  <c r="AU1497" i="10" s="1"/>
  <c r="AT1498" i="10"/>
  <c r="AU1498" i="10" s="1"/>
  <c r="AT1499" i="10"/>
  <c r="AU1499" i="10" s="1"/>
  <c r="AT1500" i="10"/>
  <c r="AU1500" i="10" s="1"/>
  <c r="AT1501" i="10"/>
  <c r="AU1501" i="10" s="1"/>
  <c r="AT1502" i="10"/>
  <c r="AU1502" i="10" s="1"/>
  <c r="AT1503" i="10"/>
  <c r="AU1503" i="10" s="1"/>
  <c r="AT1504" i="10"/>
  <c r="AU1504" i="10" s="1"/>
  <c r="AT1505" i="10"/>
  <c r="AU1505" i="10" s="1"/>
  <c r="AT1506" i="10"/>
  <c r="AU1506" i="10" s="1"/>
  <c r="AT1507" i="10"/>
  <c r="AU1507" i="10" s="1"/>
  <c r="AT1508" i="10"/>
  <c r="AU1508" i="10" s="1"/>
  <c r="AT1509" i="10"/>
  <c r="AU1509" i="10" s="1"/>
  <c r="AT1510" i="10"/>
  <c r="AU1510" i="10" s="1"/>
  <c r="AT1511" i="10"/>
  <c r="AU1511" i="10" s="1"/>
  <c r="AT1512" i="10"/>
  <c r="AU1512" i="10" s="1"/>
  <c r="AT1513" i="10"/>
  <c r="AU1513" i="10" s="1"/>
  <c r="AT1514" i="10"/>
  <c r="AU1514" i="10" s="1"/>
  <c r="AT1515" i="10"/>
  <c r="AU1515" i="10" s="1"/>
  <c r="AT1516" i="10"/>
  <c r="AU1516" i="10" s="1"/>
  <c r="AT1517" i="10"/>
  <c r="AU1517" i="10" s="1"/>
  <c r="AT1518" i="10"/>
  <c r="AU1518" i="10" s="1"/>
  <c r="AT1519" i="10"/>
  <c r="AU1519" i="10" s="1"/>
  <c r="AT1520" i="10"/>
  <c r="AU1520" i="10" s="1"/>
  <c r="AT1521" i="10"/>
  <c r="AU1521" i="10" s="1"/>
  <c r="AT1522" i="10"/>
  <c r="AU1522" i="10" s="1"/>
  <c r="AT1523" i="10"/>
  <c r="AU1523" i="10" s="1"/>
  <c r="AT1524" i="10"/>
  <c r="AU1524" i="10" s="1"/>
  <c r="AT1525" i="10"/>
  <c r="AU1525" i="10" s="1"/>
  <c r="AT1526" i="10"/>
  <c r="AU1526" i="10" s="1"/>
  <c r="AT1527" i="10"/>
  <c r="AU1527" i="10" s="1"/>
  <c r="AT1528" i="10"/>
  <c r="AU1528" i="10" s="1"/>
  <c r="AT1529" i="10"/>
  <c r="AU1529" i="10" s="1"/>
  <c r="AT1530" i="10"/>
  <c r="AU1530" i="10" s="1"/>
  <c r="AT1531" i="10"/>
  <c r="AU1531" i="10" s="1"/>
  <c r="AT1532" i="10"/>
  <c r="AU1532" i="10" s="1"/>
  <c r="AT1533" i="10"/>
  <c r="AU1533" i="10" s="1"/>
  <c r="AT1534" i="10"/>
  <c r="AU1534" i="10" s="1"/>
  <c r="AT1535" i="10"/>
  <c r="AU1535" i="10" s="1"/>
  <c r="AT1536" i="10"/>
  <c r="AU1536" i="10" s="1"/>
  <c r="AT1537" i="10"/>
  <c r="AU1537" i="10" s="1"/>
  <c r="AT1538" i="10"/>
  <c r="AU1538" i="10" s="1"/>
  <c r="AT1539" i="10"/>
  <c r="AU1539" i="10" s="1"/>
  <c r="AT1540" i="10"/>
  <c r="AU1540" i="10" s="1"/>
  <c r="AT1541" i="10"/>
  <c r="AU1541" i="10" s="1"/>
  <c r="AT1542" i="10"/>
  <c r="AU1542" i="10" s="1"/>
  <c r="AT1543" i="10"/>
  <c r="AU1543" i="10" s="1"/>
  <c r="AT1544" i="10"/>
  <c r="AU1544" i="10" s="1"/>
  <c r="AT1545" i="10"/>
  <c r="AU1545" i="10" s="1"/>
  <c r="AT1546" i="10"/>
  <c r="AU1546" i="10" s="1"/>
  <c r="AT1547" i="10"/>
  <c r="AU1547" i="10" s="1"/>
  <c r="AT1548" i="10"/>
  <c r="AU1548" i="10" s="1"/>
  <c r="AT1549" i="10"/>
  <c r="AU1549" i="10" s="1"/>
  <c r="AT1550" i="10"/>
  <c r="AU1550" i="10" s="1"/>
  <c r="AT1551" i="10"/>
  <c r="AU1551" i="10" s="1"/>
  <c r="AT1552" i="10"/>
  <c r="AU1552" i="10" s="1"/>
  <c r="AT1553" i="10"/>
  <c r="AU1553" i="10" s="1"/>
  <c r="AT1554" i="10"/>
  <c r="AU1554" i="10" s="1"/>
  <c r="AT1555" i="10"/>
  <c r="AU1555" i="10" s="1"/>
  <c r="AT1556" i="10"/>
  <c r="AU1556" i="10" s="1"/>
  <c r="AT1557" i="10"/>
  <c r="AU1557" i="10" s="1"/>
  <c r="AT1558" i="10"/>
  <c r="AU1558" i="10" s="1"/>
  <c r="AT1559" i="10"/>
  <c r="AU1559" i="10" s="1"/>
  <c r="AT1560" i="10"/>
  <c r="AU1560" i="10" s="1"/>
  <c r="AT1561" i="10"/>
  <c r="AU1561" i="10" s="1"/>
  <c r="AT1562" i="10"/>
  <c r="AU1562" i="10" s="1"/>
  <c r="AT1563" i="10"/>
  <c r="AU1563" i="10" s="1"/>
  <c r="AT1564" i="10"/>
  <c r="AU1564" i="10" s="1"/>
  <c r="AT1565" i="10"/>
  <c r="AU1565" i="10" s="1"/>
  <c r="AT1566" i="10"/>
  <c r="AU1566" i="10" s="1"/>
  <c r="AT1567" i="10"/>
  <c r="AU1567" i="10" s="1"/>
  <c r="AT1568" i="10"/>
  <c r="AU1568" i="10" s="1"/>
  <c r="AT1569" i="10"/>
  <c r="AU1569" i="10" s="1"/>
  <c r="AT1570" i="10"/>
  <c r="AU1570" i="10" s="1"/>
  <c r="AT1571" i="10"/>
  <c r="AU1571" i="10" s="1"/>
  <c r="AT1572" i="10"/>
  <c r="AU1572" i="10" s="1"/>
  <c r="AT1573" i="10"/>
  <c r="AU1573" i="10" s="1"/>
  <c r="AT1574" i="10"/>
  <c r="AU1574" i="10" s="1"/>
  <c r="AT1575" i="10"/>
  <c r="AU1575" i="10" s="1"/>
  <c r="AT1576" i="10"/>
  <c r="AU1576" i="10" s="1"/>
  <c r="AT1577" i="10"/>
  <c r="AU1577" i="10" s="1"/>
  <c r="AT1578" i="10"/>
  <c r="AU1578" i="10" s="1"/>
  <c r="AT1579" i="10"/>
  <c r="AU1579" i="10" s="1"/>
  <c r="AT1580" i="10"/>
  <c r="AU1580" i="10" s="1"/>
  <c r="AT1581" i="10"/>
  <c r="AU1581" i="10" s="1"/>
  <c r="AT1582" i="10"/>
  <c r="AU1582" i="10" s="1"/>
  <c r="AT1583" i="10"/>
  <c r="AU1583" i="10" s="1"/>
  <c r="AT1584" i="10"/>
  <c r="AU1584" i="10" s="1"/>
  <c r="AT1585" i="10"/>
  <c r="AU1585" i="10" s="1"/>
  <c r="AT1586" i="10"/>
  <c r="AU1586" i="10" s="1"/>
  <c r="AT1587" i="10"/>
  <c r="AU1587" i="10" s="1"/>
  <c r="AT1588" i="10"/>
  <c r="AU1588" i="10" s="1"/>
  <c r="AT1589" i="10"/>
  <c r="AU1589" i="10" s="1"/>
  <c r="AT1590" i="10"/>
  <c r="AU1590" i="10" s="1"/>
  <c r="AT1591" i="10"/>
  <c r="AU1591" i="10" s="1"/>
  <c r="AT1592" i="10"/>
  <c r="AU1592" i="10" s="1"/>
  <c r="AT1593" i="10"/>
  <c r="AU1593" i="10" s="1"/>
  <c r="AT1594" i="10"/>
  <c r="AU1594" i="10" s="1"/>
  <c r="AT1595" i="10"/>
  <c r="AU1595" i="10" s="1"/>
  <c r="AT1596" i="10"/>
  <c r="AU1596" i="10" s="1"/>
  <c r="AT1597" i="10"/>
  <c r="AU1597" i="10" s="1"/>
  <c r="AT1598" i="10"/>
  <c r="AU1598" i="10" s="1"/>
  <c r="AT1599" i="10"/>
  <c r="AU1599" i="10" s="1"/>
  <c r="AT1600" i="10"/>
  <c r="AU1600" i="10" s="1"/>
  <c r="AT1601" i="10"/>
  <c r="AU1601" i="10" s="1"/>
  <c r="AT1602" i="10"/>
  <c r="AU1602" i="10" s="1"/>
  <c r="AT1603" i="10"/>
  <c r="AU1603" i="10" s="1"/>
  <c r="AT1604" i="10"/>
  <c r="AU1604" i="10" s="1"/>
  <c r="AT1605" i="10"/>
  <c r="AU1605" i="10" s="1"/>
  <c r="AT1606" i="10"/>
  <c r="AU1606" i="10" s="1"/>
  <c r="AT1607" i="10"/>
  <c r="AU1607" i="10" s="1"/>
  <c r="AT1608" i="10"/>
  <c r="AU1608" i="10" s="1"/>
  <c r="AT1609" i="10"/>
  <c r="AU1609" i="10" s="1"/>
  <c r="AT1610" i="10"/>
  <c r="AU1610" i="10" s="1"/>
  <c r="AT1611" i="10"/>
  <c r="AU1611" i="10" s="1"/>
  <c r="AT1612" i="10"/>
  <c r="AU1612" i="10" s="1"/>
  <c r="AT1613" i="10"/>
  <c r="AU1613" i="10" s="1"/>
  <c r="AT1614" i="10"/>
  <c r="AU1614" i="10" s="1"/>
  <c r="AT1615" i="10"/>
  <c r="AU1615" i="10" s="1"/>
  <c r="AT1616" i="10"/>
  <c r="AU1616" i="10" s="1"/>
  <c r="AT1617" i="10"/>
  <c r="AU1617" i="10" s="1"/>
  <c r="AT1618" i="10"/>
  <c r="AU1618" i="10" s="1"/>
  <c r="AT1619" i="10"/>
  <c r="AU1619" i="10" s="1"/>
  <c r="AT1620" i="10"/>
  <c r="AU1620" i="10" s="1"/>
  <c r="AT1621" i="10"/>
  <c r="AU1621" i="10" s="1"/>
  <c r="AT1622" i="10"/>
  <c r="AU1622" i="10" s="1"/>
  <c r="AT1623" i="10"/>
  <c r="AU1623" i="10" s="1"/>
  <c r="AT1624" i="10"/>
  <c r="AU1624" i="10" s="1"/>
  <c r="AT1625" i="10"/>
  <c r="AU1625" i="10" s="1"/>
  <c r="AT1626" i="10"/>
  <c r="AU1626" i="10" s="1"/>
  <c r="AT1627" i="10"/>
  <c r="AU1627" i="10" s="1"/>
  <c r="AT1628" i="10"/>
  <c r="AU1628" i="10" s="1"/>
  <c r="AT1629" i="10"/>
  <c r="AU1629" i="10" s="1"/>
  <c r="AT1630" i="10"/>
  <c r="AU1630" i="10" s="1"/>
  <c r="AT1631" i="10"/>
  <c r="AU1631" i="10" s="1"/>
  <c r="AT1632" i="10"/>
  <c r="AU1632" i="10" s="1"/>
  <c r="AT1633" i="10"/>
  <c r="AU1633" i="10" s="1"/>
  <c r="AT1634" i="10"/>
  <c r="AU1634" i="10" s="1"/>
  <c r="AT1635" i="10"/>
  <c r="AU1635" i="10" s="1"/>
  <c r="AT1636" i="10"/>
  <c r="AU1636" i="10" s="1"/>
  <c r="AT1637" i="10"/>
  <c r="AU1637" i="10" s="1"/>
  <c r="AT1638" i="10"/>
  <c r="AU1638" i="10" s="1"/>
  <c r="AT1639" i="10"/>
  <c r="AU1639" i="10" s="1"/>
  <c r="AT1640" i="10"/>
  <c r="AU1640" i="10" s="1"/>
  <c r="AT1641" i="10"/>
  <c r="AU1641" i="10" s="1"/>
  <c r="AT1642" i="10"/>
  <c r="AU1642" i="10" s="1"/>
  <c r="AT1643" i="10"/>
  <c r="AU1643" i="10" s="1"/>
  <c r="AT1644" i="10"/>
  <c r="AU1644" i="10" s="1"/>
  <c r="AT1645" i="10"/>
  <c r="AU1645" i="10" s="1"/>
  <c r="AT1646" i="10"/>
  <c r="AU1646" i="10" s="1"/>
  <c r="AT1647" i="10"/>
  <c r="AU1647" i="10" s="1"/>
  <c r="AT1648" i="10"/>
  <c r="AU1648" i="10" s="1"/>
  <c r="AT1649" i="10"/>
  <c r="AU1649" i="10" s="1"/>
  <c r="AT1650" i="10"/>
  <c r="AU1650" i="10" s="1"/>
  <c r="AT1651" i="10"/>
  <c r="AU1651" i="10" s="1"/>
  <c r="AT1652" i="10"/>
  <c r="AU1652" i="10" s="1"/>
  <c r="AT1653" i="10"/>
  <c r="AU1653" i="10" s="1"/>
  <c r="AT1654" i="10"/>
  <c r="AU1654" i="10" s="1"/>
  <c r="AT1655" i="10"/>
  <c r="AU1655" i="10" s="1"/>
  <c r="AT1656" i="10"/>
  <c r="AU1656" i="10" s="1"/>
  <c r="AT1657" i="10"/>
  <c r="AU1657" i="10" s="1"/>
  <c r="AT1658" i="10"/>
  <c r="AU1658" i="10" s="1"/>
  <c r="AT1659" i="10"/>
  <c r="AU1659" i="10" s="1"/>
  <c r="AT1660" i="10"/>
  <c r="AU1660" i="10" s="1"/>
  <c r="AT1661" i="10"/>
  <c r="AU1661" i="10" s="1"/>
  <c r="AT1662" i="10"/>
  <c r="AU1662" i="10" s="1"/>
  <c r="AT1663" i="10"/>
  <c r="AU1663" i="10" s="1"/>
  <c r="AT1664" i="10"/>
  <c r="AU1664" i="10" s="1"/>
  <c r="AT1665" i="10"/>
  <c r="AU1665" i="10" s="1"/>
  <c r="AT1666" i="10"/>
  <c r="AU1666" i="10" s="1"/>
  <c r="AT1667" i="10"/>
  <c r="AU1667" i="10" s="1"/>
  <c r="AT1668" i="10"/>
  <c r="AU1668" i="10" s="1"/>
  <c r="AT1669" i="10"/>
  <c r="AU1669" i="10" s="1"/>
  <c r="AT1670" i="10"/>
  <c r="AU1670" i="10" s="1"/>
  <c r="AT1671" i="10"/>
  <c r="AU1671" i="10" s="1"/>
  <c r="AT1672" i="10"/>
  <c r="AU1672" i="10" s="1"/>
  <c r="AT1673" i="10"/>
  <c r="AU1673" i="10" s="1"/>
  <c r="AT1674" i="10"/>
  <c r="AU1674" i="10" s="1"/>
  <c r="AT1675" i="10"/>
  <c r="AU1675" i="10" s="1"/>
  <c r="AT1676" i="10"/>
  <c r="AU1676" i="10" s="1"/>
  <c r="AT1677" i="10"/>
  <c r="AU1677" i="10" s="1"/>
  <c r="AT1678" i="10"/>
  <c r="AU1678" i="10" s="1"/>
  <c r="AT1679" i="10"/>
  <c r="AU1679" i="10" s="1"/>
  <c r="AT1680" i="10"/>
  <c r="AU1680" i="10" s="1"/>
  <c r="AT1681" i="10"/>
  <c r="AU1681" i="10" s="1"/>
  <c r="AT1682" i="10"/>
  <c r="AU1682" i="10" s="1"/>
  <c r="AT1683" i="10"/>
  <c r="AU1683" i="10" s="1"/>
  <c r="AT1684" i="10"/>
  <c r="AU1684" i="10" s="1"/>
  <c r="AT1685" i="10"/>
  <c r="AU1685" i="10" s="1"/>
  <c r="AT1686" i="10"/>
  <c r="AU1686" i="10" s="1"/>
  <c r="AT1687" i="10"/>
  <c r="AU1687" i="10" s="1"/>
  <c r="AT1688" i="10"/>
  <c r="AU1688" i="10" s="1"/>
  <c r="AT1689" i="10"/>
  <c r="AU1689" i="10" s="1"/>
  <c r="AT1690" i="10"/>
  <c r="AU1690" i="10" s="1"/>
  <c r="AT2" i="9" a="1"/>
  <c r="AT2" i="9" s="1"/>
  <c r="AT3" i="9" a="1"/>
  <c r="AT3" i="9" s="1"/>
  <c r="AT4" i="9" a="1"/>
  <c r="AT4" i="9" s="1"/>
  <c r="AT5" i="9" a="1"/>
  <c r="AT5" i="9" s="1"/>
  <c r="AT6" i="9" a="1"/>
  <c r="AT6" i="9" s="1"/>
  <c r="AT7" i="9" a="1"/>
  <c r="AT7" i="9" s="1"/>
  <c r="AT8" i="9" a="1"/>
  <c r="AT8" i="9" s="1"/>
  <c r="AT9" i="9" a="1"/>
  <c r="AT9" i="9" s="1"/>
  <c r="AT10" i="9" a="1"/>
  <c r="AT10" i="9" s="1"/>
  <c r="AT11" i="9" a="1"/>
  <c r="AT11" i="9" s="1"/>
  <c r="AT12" i="9" a="1"/>
  <c r="AT12" i="9" s="1"/>
  <c r="AT13" i="9" a="1"/>
  <c r="AT13" i="9" s="1"/>
  <c r="AT14" i="9" a="1"/>
  <c r="AT14" i="9" s="1"/>
  <c r="AT15" i="9" a="1"/>
  <c r="AT15" i="9" s="1"/>
  <c r="AT16" i="9" a="1"/>
  <c r="AT16" i="9" s="1"/>
  <c r="AT17" i="9" a="1"/>
  <c r="AT17" i="9" s="1"/>
  <c r="AT18" i="9" a="1"/>
  <c r="AT18" i="9" s="1"/>
  <c r="AT19" i="9" a="1"/>
  <c r="AT19" i="9" s="1"/>
  <c r="AT20" i="9" a="1"/>
  <c r="AT20" i="9" s="1"/>
  <c r="AT21" i="9" a="1"/>
  <c r="AT21" i="9" s="1"/>
  <c r="AT22" i="9" a="1"/>
  <c r="AT22" i="9" s="1"/>
  <c r="AT23" i="9" a="1"/>
  <c r="AT23" i="9" s="1"/>
  <c r="AT24" i="9" a="1"/>
  <c r="AT24" i="9" s="1"/>
  <c r="AT25" i="9" a="1"/>
  <c r="AT25" i="9" s="1"/>
  <c r="AT26" i="9" a="1"/>
  <c r="AT26" i="9" s="1"/>
  <c r="AT27" i="9" a="1"/>
  <c r="AT27" i="9" s="1"/>
  <c r="AT28" i="9" a="1"/>
  <c r="AT28" i="9" s="1"/>
  <c r="AT29" i="9" a="1"/>
  <c r="AT29" i="9" s="1"/>
  <c r="AT30" i="9" a="1"/>
  <c r="AT30" i="9" s="1"/>
  <c r="AT31" i="9" a="1"/>
  <c r="AT31" i="9" s="1"/>
  <c r="AT32" i="9" a="1"/>
  <c r="AT32" i="9" s="1"/>
  <c r="AT33" i="9" a="1"/>
  <c r="AT33" i="9" s="1"/>
  <c r="AT34" i="9" a="1"/>
  <c r="AT34" i="9" s="1"/>
  <c r="AT35" i="9" a="1"/>
  <c r="AT35" i="9" s="1"/>
  <c r="AT36" i="9" a="1"/>
  <c r="AT36" i="9" s="1"/>
  <c r="AT37" i="9" a="1"/>
  <c r="AT37" i="9" s="1"/>
  <c r="AT38" i="9" a="1"/>
  <c r="AT38" i="9" s="1"/>
  <c r="AT39" i="9" a="1"/>
  <c r="AT39" i="9" s="1"/>
  <c r="AT40" i="9" a="1"/>
  <c r="AT40" i="9" s="1"/>
  <c r="AT41" i="9" a="1"/>
  <c r="AT41" i="9" s="1"/>
  <c r="AT42" i="9" a="1"/>
  <c r="AT42" i="9" s="1"/>
  <c r="AT43" i="9" a="1"/>
  <c r="AT43" i="9" s="1"/>
  <c r="AT44" i="9" a="1"/>
  <c r="AT44" i="9" s="1"/>
  <c r="AT45" i="9" a="1"/>
  <c r="AT45" i="9" s="1"/>
  <c r="AT46" i="9" a="1"/>
  <c r="AT46" i="9" s="1"/>
  <c r="AT47" i="9" a="1"/>
  <c r="AT47" i="9" s="1"/>
  <c r="AT48" i="9" a="1"/>
  <c r="AT48" i="9" s="1"/>
  <c r="AT49" i="9" a="1"/>
  <c r="AT49" i="9" s="1"/>
  <c r="AT50" i="9" a="1"/>
  <c r="AT50" i="9" s="1"/>
  <c r="AT51" i="9" a="1"/>
  <c r="AT51" i="9" s="1"/>
  <c r="AT52" i="9" a="1"/>
  <c r="AT52" i="9" s="1"/>
  <c r="AT53" i="9" a="1"/>
  <c r="AT53" i="9" s="1"/>
  <c r="AT54" i="9" a="1"/>
  <c r="AT54" i="9" s="1"/>
  <c r="AT55" i="9" a="1"/>
  <c r="AT55" i="9" s="1"/>
  <c r="AT56" i="9" a="1"/>
  <c r="AT56" i="9" s="1"/>
  <c r="AT57" i="9" a="1"/>
  <c r="AT57" i="9" s="1"/>
  <c r="AT58" i="9" a="1"/>
  <c r="AT58" i="9" s="1"/>
  <c r="AT59" i="9" a="1"/>
  <c r="AT59" i="9" s="1"/>
  <c r="AT60" i="9" a="1"/>
  <c r="AT60" i="9" s="1"/>
  <c r="AT61" i="9" a="1"/>
  <c r="AT61" i="9" s="1"/>
  <c r="AT62" i="9" a="1"/>
  <c r="AT62" i="9" s="1"/>
  <c r="AT63" i="9" a="1"/>
  <c r="AT63" i="9" s="1"/>
  <c r="AT64" i="9" a="1"/>
  <c r="AT64" i="9" s="1"/>
  <c r="AT65" i="9" a="1"/>
  <c r="AT65" i="9" s="1"/>
  <c r="AT66" i="9" a="1"/>
  <c r="AT66" i="9" s="1"/>
  <c r="AT67" i="9" a="1"/>
  <c r="AT67" i="9" s="1"/>
  <c r="AT68" i="9" a="1"/>
  <c r="AT68" i="9" s="1"/>
  <c r="AT69" i="9" a="1"/>
  <c r="AT69" i="9" s="1"/>
  <c r="AT70" i="9" a="1"/>
  <c r="AT70" i="9" s="1"/>
  <c r="AT71" i="9" a="1"/>
  <c r="AT71" i="9" s="1"/>
  <c r="AT72" i="9" a="1"/>
  <c r="AT72" i="9" s="1"/>
  <c r="AT73" i="9" a="1"/>
  <c r="AT73" i="9" s="1"/>
  <c r="AT74" i="9" a="1"/>
  <c r="AT74" i="9" s="1"/>
  <c r="AT75" i="9" a="1"/>
  <c r="AT75" i="9" s="1"/>
  <c r="AT76" i="9" a="1"/>
  <c r="AT76" i="9" s="1"/>
  <c r="AT77" i="9" a="1"/>
  <c r="AT77" i="9" s="1"/>
  <c r="AT78" i="9" a="1"/>
  <c r="AT78" i="9" s="1"/>
  <c r="AT79" i="9" a="1"/>
  <c r="AT79" i="9" s="1"/>
  <c r="AT80" i="9" a="1"/>
  <c r="AT80" i="9" s="1"/>
  <c r="AT81" i="9" a="1"/>
  <c r="AT81" i="9" s="1"/>
  <c r="AT82" i="9" a="1"/>
  <c r="AT82" i="9" s="1"/>
  <c r="AT83" i="9" a="1"/>
  <c r="AT83" i="9" s="1"/>
  <c r="AT84" i="9" a="1"/>
  <c r="AT84" i="9" s="1"/>
  <c r="AT85" i="9" a="1"/>
  <c r="AT85" i="9" s="1"/>
  <c r="AT86" i="9" a="1"/>
  <c r="AT86" i="9" s="1"/>
  <c r="AT87" i="9" a="1"/>
  <c r="AT87" i="9" s="1"/>
  <c r="AT88" i="9" a="1"/>
  <c r="AT88" i="9" s="1"/>
  <c r="AT89" i="9" a="1"/>
  <c r="AT89" i="9" s="1"/>
  <c r="AT90" i="9" a="1"/>
  <c r="AT90" i="9" s="1"/>
  <c r="AT91" i="9" a="1"/>
  <c r="AT91" i="9" s="1"/>
  <c r="AT92" i="9" a="1"/>
  <c r="AT92" i="9" s="1"/>
  <c r="AT93" i="9" a="1"/>
  <c r="AT93" i="9" s="1"/>
  <c r="AT94" i="9" a="1"/>
  <c r="AT94" i="9" s="1"/>
  <c r="AT95" i="9" a="1"/>
  <c r="AT95" i="9" s="1"/>
  <c r="AT96" i="9" a="1"/>
  <c r="AT96" i="9" s="1"/>
  <c r="AT97" i="9" a="1"/>
  <c r="AT97" i="9" s="1"/>
  <c r="AT98" i="9" a="1"/>
  <c r="AT98" i="9" s="1"/>
  <c r="AT99" i="9" a="1"/>
  <c r="AT99" i="9" s="1"/>
  <c r="AT100" i="9" a="1"/>
  <c r="AT100" i="9" s="1"/>
  <c r="AT101" i="9" a="1"/>
  <c r="AT101" i="9" s="1"/>
  <c r="AT102" i="9" a="1"/>
  <c r="AT102" i="9" s="1"/>
  <c r="AT103" i="9" a="1"/>
  <c r="AT103" i="9" s="1"/>
  <c r="AT104" i="9" a="1"/>
  <c r="AT104" i="9" s="1"/>
  <c r="AT105" i="9" a="1"/>
  <c r="AT105" i="9" s="1"/>
  <c r="AT106" i="9" a="1"/>
  <c r="AT106" i="9" s="1"/>
  <c r="AT107" i="9" a="1"/>
  <c r="AT107" i="9" s="1"/>
  <c r="AT108" i="9" a="1"/>
  <c r="AT108" i="9" s="1"/>
  <c r="AT109" i="9" a="1"/>
  <c r="AT109" i="9" s="1"/>
  <c r="AT110" i="9" a="1"/>
  <c r="AT110" i="9" s="1"/>
  <c r="AT111" i="9" a="1"/>
  <c r="AT111" i="9" s="1"/>
  <c r="AT112" i="9" a="1"/>
  <c r="AT112" i="9" s="1"/>
  <c r="AT113" i="9" a="1"/>
  <c r="AT113" i="9" s="1"/>
  <c r="AT114" i="9" a="1"/>
  <c r="AT114" i="9" s="1"/>
  <c r="AT115" i="9" a="1"/>
  <c r="AT115" i="9" s="1"/>
  <c r="AT116" i="9" a="1"/>
  <c r="AT116" i="9" s="1"/>
  <c r="AT117" i="9" a="1"/>
  <c r="AT117" i="9" s="1"/>
  <c r="AT118" i="9" a="1"/>
  <c r="AT118" i="9" s="1"/>
  <c r="AT119" i="9" a="1"/>
  <c r="AT119" i="9" s="1"/>
  <c r="AT120" i="9" a="1"/>
  <c r="AT120" i="9" s="1"/>
  <c r="AT121" i="9" a="1"/>
  <c r="AT121" i="9" s="1"/>
  <c r="AT122" i="9" a="1"/>
  <c r="AT122" i="9" s="1"/>
  <c r="AT123" i="9" a="1"/>
  <c r="AT123" i="9" s="1"/>
  <c r="AT124" i="9" a="1"/>
  <c r="AT124" i="9" s="1"/>
  <c r="AT125" i="9" a="1"/>
  <c r="AT125" i="9" s="1"/>
  <c r="AT126" i="9" a="1"/>
  <c r="AT126" i="9" s="1"/>
  <c r="AT127" i="9" a="1"/>
  <c r="AT127" i="9" s="1"/>
  <c r="AT128" i="9" a="1"/>
  <c r="AT128" i="9" s="1"/>
  <c r="AT129" i="9" a="1"/>
  <c r="AT129" i="9" s="1"/>
  <c r="AT130" i="9" a="1"/>
  <c r="AT130" i="9" s="1"/>
  <c r="AT131" i="9" a="1"/>
  <c r="AT131" i="9" s="1"/>
  <c r="AT132" i="9" a="1"/>
  <c r="AT132" i="9" s="1"/>
  <c r="AT133" i="9" a="1"/>
  <c r="AT133" i="9" s="1"/>
  <c r="AT134" i="9" a="1"/>
  <c r="AT134" i="9" s="1"/>
  <c r="AT135" i="9" a="1"/>
  <c r="AT135" i="9" s="1"/>
  <c r="AT136" i="9" a="1"/>
  <c r="AT136" i="9" s="1"/>
  <c r="AT137" i="9" a="1"/>
  <c r="AT137" i="9" s="1"/>
  <c r="AT138" i="9" a="1"/>
  <c r="AT138" i="9" s="1"/>
  <c r="AT139" i="9" a="1"/>
  <c r="AT139" i="9" s="1"/>
  <c r="AT140" i="9" a="1"/>
  <c r="AT140" i="9" s="1"/>
  <c r="AT141" i="9" a="1"/>
  <c r="AT141" i="9" s="1"/>
  <c r="AT142" i="9" a="1"/>
  <c r="AT142" i="9" s="1"/>
  <c r="AT143" i="9" a="1"/>
  <c r="AT143" i="9" s="1"/>
  <c r="AT144" i="9" a="1"/>
  <c r="AT144" i="9" s="1"/>
  <c r="AT145" i="9" a="1"/>
  <c r="AT145" i="9" s="1"/>
  <c r="AT146" i="9" a="1"/>
  <c r="AT146" i="9" s="1"/>
  <c r="AT147" i="9" a="1"/>
  <c r="AT147" i="9" s="1"/>
  <c r="AT148" i="9" a="1"/>
  <c r="AT148" i="9" s="1"/>
  <c r="AT149" i="9" a="1"/>
  <c r="AT149" i="9" s="1"/>
  <c r="AT150" i="9" a="1"/>
  <c r="AT150" i="9" s="1"/>
  <c r="AT151" i="9" a="1"/>
  <c r="AT151" i="9" s="1"/>
  <c r="AT152" i="9" a="1"/>
  <c r="AT152" i="9" s="1"/>
  <c r="AT153" i="9" a="1"/>
  <c r="AT153" i="9" s="1"/>
  <c r="AT154" i="9" a="1"/>
  <c r="AT154" i="9" s="1"/>
  <c r="AT155" i="9" a="1"/>
  <c r="AT155" i="9" s="1"/>
  <c r="AT156" i="9" a="1"/>
  <c r="AT156" i="9" s="1"/>
  <c r="AT157" i="9" a="1"/>
  <c r="AT157" i="9" s="1"/>
  <c r="AT158" i="9" a="1"/>
  <c r="AT158" i="9" s="1"/>
  <c r="AT159" i="9" a="1"/>
  <c r="AT159" i="9" s="1"/>
  <c r="AT160" i="9" a="1"/>
  <c r="AT160" i="9" s="1"/>
  <c r="AT161" i="9" a="1"/>
  <c r="AT161" i="9" s="1"/>
  <c r="AT162" i="9" a="1"/>
  <c r="AT162" i="9" s="1"/>
  <c r="AT163" i="9" a="1"/>
  <c r="AT163" i="9" s="1"/>
  <c r="AT164" i="9" a="1"/>
  <c r="AT164" i="9" s="1"/>
  <c r="AT165" i="9" a="1"/>
  <c r="AT165" i="9" s="1"/>
  <c r="AT166" i="9" a="1"/>
  <c r="AT166" i="9" s="1"/>
  <c r="AT167" i="9" a="1"/>
  <c r="AT167" i="9" s="1"/>
  <c r="AT168" i="9" a="1"/>
  <c r="AT168" i="9" s="1"/>
  <c r="AT169" i="9" a="1"/>
  <c r="AT169" i="9" s="1"/>
  <c r="AT170" i="9" a="1"/>
  <c r="AT170" i="9" s="1"/>
  <c r="AT171" i="9" a="1"/>
  <c r="AT171" i="9" s="1"/>
  <c r="AT172" i="9" a="1"/>
  <c r="AT172" i="9" s="1"/>
  <c r="AT173" i="9" a="1"/>
  <c r="AT173" i="9" s="1"/>
  <c r="AT174" i="9" a="1"/>
  <c r="AT174" i="9" s="1"/>
  <c r="AT175" i="9" a="1"/>
  <c r="AT175" i="9" s="1"/>
  <c r="AT176" i="9" a="1"/>
  <c r="AT176" i="9" s="1"/>
  <c r="AT177" i="9" a="1"/>
  <c r="AT177" i="9" s="1"/>
  <c r="AT178" i="9" a="1"/>
  <c r="AT178" i="9" s="1"/>
  <c r="AT179" i="9" a="1"/>
  <c r="AT179" i="9" s="1"/>
  <c r="AT180" i="9" a="1"/>
  <c r="AT180" i="9" s="1"/>
  <c r="AT181" i="9" a="1"/>
  <c r="AT181" i="9" s="1"/>
  <c r="AT182" i="9" a="1"/>
  <c r="AT182" i="9" s="1"/>
  <c r="AT183" i="9" a="1"/>
  <c r="AT183" i="9" s="1"/>
  <c r="AT184" i="9" a="1"/>
  <c r="AT184" i="9" s="1"/>
  <c r="AT185" i="9" a="1"/>
  <c r="AT185" i="9" s="1"/>
  <c r="AT186" i="9" a="1"/>
  <c r="AT186" i="9" s="1"/>
  <c r="AT187" i="9" a="1"/>
  <c r="AT187" i="9" s="1"/>
  <c r="AT188" i="9" a="1"/>
  <c r="AT188" i="9" s="1"/>
  <c r="AT189" i="9" a="1"/>
  <c r="AT189" i="9" s="1"/>
  <c r="AT190" i="9" a="1"/>
  <c r="AT190" i="9" s="1"/>
  <c r="AT191" i="9" a="1"/>
  <c r="AT191" i="9" s="1"/>
  <c r="AT192" i="9" a="1"/>
  <c r="AT192" i="9" s="1"/>
  <c r="AT193" i="9" a="1"/>
  <c r="AT193" i="9" s="1"/>
  <c r="AT194" i="9" a="1"/>
  <c r="AT194" i="9" s="1"/>
  <c r="AT195" i="9" a="1"/>
  <c r="AT195" i="9" s="1"/>
  <c r="AT196" i="9" a="1"/>
  <c r="AT196" i="9" s="1"/>
  <c r="AT197" i="9" a="1"/>
  <c r="AT197" i="9" s="1"/>
  <c r="AT198" i="9" a="1"/>
  <c r="AT198" i="9" s="1"/>
  <c r="AT199" i="9" a="1"/>
  <c r="AT199" i="9" s="1"/>
  <c r="AT200" i="9" a="1"/>
  <c r="AT200" i="9" s="1"/>
  <c r="AT201" i="9" a="1"/>
  <c r="AT201" i="9" s="1"/>
  <c r="AT202" i="9" a="1"/>
  <c r="AT202" i="9" s="1"/>
  <c r="AT203" i="9" a="1"/>
  <c r="AT203" i="9" s="1"/>
  <c r="AT204" i="9" a="1"/>
  <c r="AT204" i="9" s="1"/>
  <c r="AT205" i="9" a="1"/>
  <c r="AT205" i="9" s="1"/>
  <c r="AT206" i="9" a="1"/>
  <c r="AT206" i="9" s="1"/>
  <c r="AT207" i="9" a="1"/>
  <c r="AT207" i="9" s="1"/>
  <c r="AT208" i="9" a="1"/>
  <c r="AT208" i="9" s="1"/>
  <c r="AT209" i="9" a="1"/>
  <c r="AT209" i="9" s="1"/>
  <c r="AT210" i="9" a="1"/>
  <c r="AT210" i="9" s="1"/>
  <c r="AT211" i="9" a="1"/>
  <c r="AT211" i="9" s="1"/>
  <c r="AT212" i="9" a="1"/>
  <c r="AT212" i="9" s="1"/>
  <c r="AT213" i="9" a="1"/>
  <c r="AT213" i="9" s="1"/>
  <c r="AT214" i="9" a="1"/>
  <c r="AT214" i="9" s="1"/>
  <c r="AT215" i="9" a="1"/>
  <c r="AT215" i="9" s="1"/>
  <c r="AT216" i="9" a="1"/>
  <c r="AT216" i="9" s="1"/>
  <c r="AT217" i="9" a="1"/>
  <c r="AT217" i="9" s="1"/>
  <c r="AT218" i="9" a="1"/>
  <c r="AT218" i="9" s="1"/>
  <c r="AT219" i="9" a="1"/>
  <c r="AT219" i="9" s="1"/>
  <c r="AT220" i="9" a="1"/>
  <c r="AT220" i="9" s="1"/>
  <c r="AT221" i="9" a="1"/>
  <c r="AT221" i="9" s="1"/>
  <c r="AT222" i="9" a="1"/>
  <c r="AT222" i="9" s="1"/>
  <c r="AT223" i="9" a="1"/>
  <c r="AT223" i="9" s="1"/>
  <c r="AT224" i="9" a="1"/>
  <c r="AT224" i="9" s="1"/>
  <c r="AT225" i="9" a="1"/>
  <c r="AT225" i="9" s="1"/>
  <c r="AT226" i="9" a="1"/>
  <c r="AT226" i="9" s="1"/>
  <c r="AT227" i="9" a="1"/>
  <c r="AT227" i="9" s="1"/>
  <c r="AT228" i="9" a="1"/>
  <c r="AT228" i="9" s="1"/>
  <c r="AT229" i="9" a="1"/>
  <c r="AT229" i="9" s="1"/>
  <c r="AT230" i="9" a="1"/>
  <c r="AT230" i="9" s="1"/>
  <c r="AT231" i="9" a="1"/>
  <c r="AT231" i="9" s="1"/>
  <c r="AT232" i="9" a="1"/>
  <c r="AT232" i="9" s="1"/>
  <c r="AT233" i="9" a="1"/>
  <c r="AT233" i="9" s="1"/>
  <c r="AT234" i="9" a="1"/>
  <c r="AT234" i="9" s="1"/>
  <c r="AT235" i="9" a="1"/>
  <c r="AT235" i="9" s="1"/>
  <c r="AT236" i="9" a="1"/>
  <c r="AT236" i="9" s="1"/>
  <c r="AT237" i="9" a="1"/>
  <c r="AT237" i="9" s="1"/>
  <c r="AT238" i="9" a="1"/>
  <c r="AT238" i="9" s="1"/>
  <c r="AT239" i="9" a="1"/>
  <c r="AT239" i="9" s="1"/>
  <c r="AT240" i="9" a="1"/>
  <c r="AT240" i="9" s="1"/>
  <c r="AT241" i="9" a="1"/>
  <c r="AT241" i="9" s="1"/>
  <c r="AT242" i="9" a="1"/>
  <c r="AT242" i="9" s="1"/>
  <c r="AT243" i="9" a="1"/>
  <c r="AT243" i="9" s="1"/>
  <c r="AT244" i="9" a="1"/>
  <c r="AT244" i="9" s="1"/>
  <c r="AT245" i="9" a="1"/>
  <c r="AT245" i="9" s="1"/>
  <c r="AT246" i="9" a="1"/>
  <c r="AT246" i="9" s="1"/>
  <c r="AT247" i="9" a="1"/>
  <c r="AT247" i="9" s="1"/>
  <c r="AT248" i="9" a="1"/>
  <c r="AT248" i="9" s="1"/>
  <c r="AT249" i="9" a="1"/>
  <c r="AT249" i="9" s="1"/>
  <c r="AT250" i="9" a="1"/>
  <c r="AT250" i="9" s="1"/>
  <c r="AT251" i="9" a="1"/>
  <c r="AT251" i="9" s="1"/>
  <c r="AT252" i="9" a="1"/>
  <c r="AT252" i="9" s="1"/>
  <c r="AT253" i="9" a="1"/>
  <c r="AT253" i="9" s="1"/>
  <c r="AT254" i="9" a="1"/>
  <c r="AT254" i="9" s="1"/>
  <c r="AT255" i="9" a="1"/>
  <c r="AT255" i="9" s="1"/>
  <c r="AT256" i="9" a="1"/>
  <c r="AT256" i="9" s="1"/>
  <c r="AT257" i="9" a="1"/>
  <c r="AT257" i="9" s="1"/>
  <c r="AT258" i="9" a="1"/>
  <c r="AT258" i="9" s="1"/>
  <c r="AT259" i="9" a="1"/>
  <c r="AT259" i="9" s="1"/>
  <c r="AT260" i="9" a="1"/>
  <c r="AT260" i="9" s="1"/>
  <c r="AT261" i="9" a="1"/>
  <c r="AT261" i="9" s="1"/>
  <c r="AT262" i="9" a="1"/>
  <c r="AT262" i="9" s="1"/>
  <c r="AT263" i="9" a="1"/>
  <c r="AT263" i="9" s="1"/>
  <c r="AT264" i="9" a="1"/>
  <c r="AT264" i="9" s="1"/>
  <c r="AT265" i="9" a="1"/>
  <c r="AT265" i="9" s="1"/>
  <c r="AT266" i="9" a="1"/>
  <c r="AT266" i="9" s="1"/>
  <c r="AT267" i="9" a="1"/>
  <c r="AT267" i="9" s="1"/>
  <c r="AT268" i="9" a="1"/>
  <c r="AT268" i="9" s="1"/>
  <c r="AT269" i="9" a="1"/>
  <c r="AT269" i="9" s="1"/>
  <c r="AT270" i="9" a="1"/>
  <c r="AT270" i="9" s="1"/>
  <c r="AT271" i="9" a="1"/>
  <c r="AT271" i="9" s="1"/>
  <c r="AT272" i="9" a="1"/>
  <c r="AT272" i="9" s="1"/>
  <c r="AT273" i="9" a="1"/>
  <c r="AT273" i="9" s="1"/>
  <c r="AT274" i="9" a="1"/>
  <c r="AT274" i="9" s="1"/>
  <c r="AT275" i="9" a="1"/>
  <c r="AT275" i="9" s="1"/>
  <c r="AT276" i="9" a="1"/>
  <c r="AT276" i="9" s="1"/>
  <c r="AT277" i="9" a="1"/>
  <c r="AT277" i="9" s="1"/>
  <c r="AT278" i="9" a="1"/>
  <c r="AT278" i="9" s="1"/>
  <c r="AT279" i="9" a="1"/>
  <c r="AT279" i="9" s="1"/>
  <c r="AT280" i="9" a="1"/>
  <c r="AT280" i="9" s="1"/>
  <c r="AT281" i="9" a="1"/>
  <c r="AT281" i="9" s="1"/>
  <c r="AT282" i="9" a="1"/>
  <c r="AT282" i="9" s="1"/>
  <c r="AT283" i="9" a="1"/>
  <c r="AT283" i="9" s="1"/>
  <c r="AT284" i="9" a="1"/>
  <c r="AT284" i="9" s="1"/>
  <c r="AT285" i="9" a="1"/>
  <c r="AT285" i="9" s="1"/>
  <c r="AT286" i="9" a="1"/>
  <c r="AT286" i="9" s="1"/>
  <c r="AT287" i="9" a="1"/>
  <c r="AT287" i="9" s="1"/>
  <c r="AT288" i="9" a="1"/>
  <c r="AT288" i="9" s="1"/>
  <c r="AT289" i="9" a="1"/>
  <c r="AT289" i="9" s="1"/>
  <c r="AT290" i="9" a="1"/>
  <c r="AT290" i="9" s="1"/>
  <c r="AT291" i="9" a="1"/>
  <c r="AT291" i="9" s="1"/>
  <c r="AT292" i="9" a="1"/>
  <c r="AT292" i="9" s="1"/>
  <c r="AT293" i="9" a="1"/>
  <c r="AT293" i="9" s="1"/>
  <c r="AT294" i="9" a="1"/>
  <c r="AT294" i="9" s="1"/>
  <c r="AT295" i="9" a="1"/>
  <c r="AT295" i="9" s="1"/>
  <c r="AT296" i="9" a="1"/>
  <c r="AT296" i="9" s="1"/>
  <c r="AT297" i="9" a="1"/>
  <c r="AT297" i="9" s="1"/>
  <c r="AT298" i="9" a="1"/>
  <c r="AT298" i="9" s="1"/>
  <c r="AT299" i="9" a="1"/>
  <c r="AT299" i="9" s="1"/>
  <c r="AT300" i="9" a="1"/>
  <c r="AT300" i="9" s="1"/>
  <c r="AT301" i="9" a="1"/>
  <c r="AT301" i="9" s="1"/>
  <c r="AT302" i="9" a="1"/>
  <c r="AT302" i="9" s="1"/>
  <c r="AT303" i="9" a="1"/>
  <c r="AT303" i="9" s="1"/>
  <c r="AT304" i="9" a="1"/>
  <c r="AT304" i="9" s="1"/>
  <c r="AT305" i="9" a="1"/>
  <c r="AT305" i="9" s="1"/>
  <c r="AT306" i="9" a="1"/>
  <c r="AT306" i="9" s="1"/>
  <c r="AT307" i="9" a="1"/>
  <c r="AT307" i="9" s="1"/>
  <c r="AT308" i="9" a="1"/>
  <c r="AT308" i="9" s="1"/>
  <c r="AT309" i="9" a="1"/>
  <c r="AT309" i="9" s="1"/>
  <c r="AT310" i="9" a="1"/>
  <c r="AT310" i="9" s="1"/>
  <c r="AT311" i="9" a="1"/>
  <c r="AT311" i="9" s="1"/>
  <c r="AT312" i="9" a="1"/>
  <c r="AT312" i="9" s="1"/>
  <c r="AT313" i="9" a="1"/>
  <c r="AT313" i="9" s="1"/>
  <c r="AT314" i="9" a="1"/>
  <c r="AT314" i="9" s="1"/>
  <c r="AT315" i="9" a="1"/>
  <c r="AT315" i="9" s="1"/>
  <c r="AT316" i="9" a="1"/>
  <c r="AT316" i="9" s="1"/>
  <c r="AT317" i="9" a="1"/>
  <c r="AT317" i="9" s="1"/>
  <c r="AT318" i="9" a="1"/>
  <c r="AT318" i="9" s="1"/>
  <c r="AT319" i="9" a="1"/>
  <c r="AT319" i="9" s="1"/>
  <c r="AT320" i="9" a="1"/>
  <c r="AT320" i="9" s="1"/>
  <c r="AT321" i="9" a="1"/>
  <c r="AT321" i="9" s="1"/>
  <c r="AT322" i="9" a="1"/>
  <c r="AT322" i="9" s="1"/>
  <c r="AT323" i="9" a="1"/>
  <c r="AT323" i="9" s="1"/>
  <c r="AT324" i="9" a="1"/>
  <c r="AT324" i="9" s="1"/>
  <c r="AT325" i="9" a="1"/>
  <c r="AT325" i="9" s="1"/>
  <c r="AT326" i="9" a="1"/>
  <c r="AT326" i="9" s="1"/>
  <c r="AT327" i="9" a="1"/>
  <c r="AT327" i="9" s="1"/>
  <c r="AT328" i="9" a="1"/>
  <c r="AT328" i="9" s="1"/>
  <c r="AT329" i="9" a="1"/>
  <c r="AT329" i="9" s="1"/>
  <c r="AT330" i="9" a="1"/>
  <c r="AT330" i="9" s="1"/>
  <c r="AT331" i="9" a="1"/>
  <c r="AT331" i="9" s="1"/>
  <c r="AT332" i="9" a="1"/>
  <c r="AT332" i="9" s="1"/>
  <c r="AT333" i="9" a="1"/>
  <c r="AT333" i="9" s="1"/>
  <c r="AT334" i="9" a="1"/>
  <c r="AT334" i="9" s="1"/>
  <c r="AT335" i="9" a="1"/>
  <c r="AT335" i="9" s="1"/>
  <c r="AT336" i="9" a="1"/>
  <c r="AT336" i="9" s="1"/>
  <c r="AT337" i="9" a="1"/>
  <c r="AT337" i="9" s="1"/>
  <c r="AT338" i="9" a="1"/>
  <c r="AT338" i="9" s="1"/>
  <c r="AT339" i="9" a="1"/>
  <c r="AT339" i="9" s="1"/>
  <c r="AT340" i="9" a="1"/>
  <c r="AT340" i="9" s="1"/>
  <c r="AT341" i="9" a="1"/>
  <c r="AT341" i="9" s="1"/>
  <c r="AT342" i="9" a="1"/>
  <c r="AT342" i="9" s="1"/>
  <c r="AT343" i="9" a="1"/>
  <c r="AT343" i="9" s="1"/>
  <c r="AT344" i="9" a="1"/>
  <c r="AT344" i="9" s="1"/>
  <c r="AT345" i="9" a="1"/>
  <c r="AT345" i="9" s="1"/>
  <c r="AT346" i="9" a="1"/>
  <c r="AT346" i="9" s="1"/>
  <c r="AT347" i="9" a="1"/>
  <c r="AT347" i="9" s="1"/>
  <c r="AT348" i="9" a="1"/>
  <c r="AT348" i="9" s="1"/>
  <c r="AT349" i="9" a="1"/>
  <c r="AT349" i="9" s="1"/>
  <c r="AT350" i="9" a="1"/>
  <c r="AT350" i="9" s="1"/>
  <c r="AT351" i="9" a="1"/>
  <c r="AT351" i="9" s="1"/>
  <c r="AT352" i="9" a="1"/>
  <c r="AT352" i="9" s="1"/>
  <c r="AT353" i="9" a="1"/>
  <c r="AT353" i="9" s="1"/>
  <c r="AT354" i="9" a="1"/>
  <c r="AT354" i="9" s="1"/>
  <c r="AT355" i="9" a="1"/>
  <c r="AT355" i="9" s="1"/>
  <c r="AT356" i="9" a="1"/>
  <c r="AT356" i="9" s="1"/>
  <c r="AT357" i="9" a="1"/>
  <c r="AT357" i="9" s="1"/>
  <c r="AT358" i="9" a="1"/>
  <c r="AT358" i="9" s="1"/>
  <c r="AT359" i="9" a="1"/>
  <c r="AT359" i="9" s="1"/>
  <c r="AT360" i="9" a="1"/>
  <c r="AT360" i="9" s="1"/>
  <c r="AT361" i="9" a="1"/>
  <c r="AT361" i="9" s="1"/>
  <c r="AT362" i="9" a="1"/>
  <c r="AT362" i="9" s="1"/>
  <c r="AT363" i="9" a="1"/>
  <c r="AT363" i="9" s="1"/>
  <c r="AT364" i="9" a="1"/>
  <c r="AT364" i="9" s="1"/>
  <c r="AT365" i="9" a="1"/>
  <c r="AT365" i="9" s="1"/>
  <c r="AT366" i="9" a="1"/>
  <c r="AT366" i="9" s="1"/>
  <c r="AT367" i="9" a="1"/>
  <c r="AT367" i="9" s="1"/>
  <c r="AT368" i="9" a="1"/>
  <c r="AT368" i="9" s="1"/>
  <c r="AT369" i="9" a="1"/>
  <c r="AT369" i="9" s="1"/>
  <c r="AT370" i="9" a="1"/>
  <c r="AT370" i="9" s="1"/>
  <c r="AT371" i="9" a="1"/>
  <c r="AT371" i="9" s="1"/>
  <c r="AT372" i="9" a="1"/>
  <c r="AT372" i="9" s="1"/>
  <c r="AT373" i="9" a="1"/>
  <c r="AT373" i="9" s="1"/>
  <c r="AT374" i="9" a="1"/>
  <c r="AT374" i="9" s="1"/>
  <c r="AT375" i="9" a="1"/>
  <c r="AT375" i="9" s="1"/>
  <c r="AT376" i="9" a="1"/>
  <c r="AT376" i="9" s="1"/>
  <c r="AT377" i="9" a="1"/>
  <c r="AT377" i="9" s="1"/>
  <c r="AT378" i="9" a="1"/>
  <c r="AT378" i="9" s="1"/>
  <c r="AT379" i="9" a="1"/>
  <c r="AT379" i="9" s="1"/>
  <c r="AT380" i="9" a="1"/>
  <c r="AT380" i="9" s="1"/>
  <c r="AT381" i="9" a="1"/>
  <c r="AT381" i="9" s="1"/>
  <c r="AT382" i="9" a="1"/>
  <c r="AT382" i="9" s="1"/>
  <c r="AT383" i="9" a="1"/>
  <c r="AT383" i="9" s="1"/>
  <c r="AT384" i="9" a="1"/>
  <c r="AT384" i="9" s="1"/>
  <c r="AT385" i="9" a="1"/>
  <c r="AT385" i="9" s="1"/>
  <c r="AT386" i="9" a="1"/>
  <c r="AT386" i="9" s="1"/>
  <c r="AT387" i="9" a="1"/>
  <c r="AT387" i="9" s="1"/>
  <c r="AT388" i="9" a="1"/>
  <c r="AT388" i="9" s="1"/>
  <c r="AT389" i="9" a="1"/>
  <c r="AT389" i="9" s="1"/>
  <c r="AT390" i="9" a="1"/>
  <c r="AT390" i="9" s="1"/>
  <c r="AT391" i="9" a="1"/>
  <c r="AT391" i="9" s="1"/>
  <c r="AT392" i="9" a="1"/>
  <c r="AT392" i="9" s="1"/>
  <c r="AT393" i="9" a="1"/>
  <c r="AT393" i="9" s="1"/>
  <c r="AT394" i="9" a="1"/>
  <c r="AT394" i="9" s="1"/>
  <c r="AT395" i="9" a="1"/>
  <c r="AT395" i="9" s="1"/>
  <c r="AT396" i="9" a="1"/>
  <c r="AT396" i="9" s="1"/>
  <c r="AT397" i="9" a="1"/>
  <c r="AT397" i="9" s="1"/>
  <c r="AT398" i="9" a="1"/>
  <c r="AT398" i="9" s="1"/>
  <c r="AT399" i="9" a="1"/>
  <c r="AT399" i="9" s="1"/>
  <c r="AT400" i="9" a="1"/>
  <c r="AT400" i="9" s="1"/>
  <c r="AT401" i="9" a="1"/>
  <c r="AT401" i="9" s="1"/>
  <c r="AT402" i="9" a="1"/>
  <c r="AT402" i="9" s="1"/>
  <c r="AT403" i="9" a="1"/>
  <c r="AT403" i="9" s="1"/>
  <c r="AT404" i="9" a="1"/>
  <c r="AT404" i="9" s="1"/>
  <c r="AT405" i="9" a="1"/>
  <c r="AT405" i="9" s="1"/>
  <c r="AT406" i="9" a="1"/>
  <c r="AT406" i="9" s="1"/>
  <c r="AT407" i="9" a="1"/>
  <c r="AT407" i="9" s="1"/>
  <c r="AT408" i="9" a="1"/>
  <c r="AT408" i="9" s="1"/>
  <c r="AT409" i="9" a="1"/>
  <c r="AT409" i="9" s="1"/>
  <c r="AT410" i="9" a="1"/>
  <c r="AT410" i="9" s="1"/>
  <c r="AT411" i="9" a="1"/>
  <c r="AT411" i="9" s="1"/>
  <c r="AP2" i="9"/>
  <c r="AQ2" i="9" s="1"/>
  <c r="AP3" i="9"/>
  <c r="AQ3" i="9" s="1"/>
  <c r="AP4" i="9"/>
  <c r="AQ4" i="9" s="1"/>
  <c r="AP5" i="9"/>
  <c r="AQ5" i="9" s="1"/>
  <c r="AP6" i="9"/>
  <c r="AQ6" i="9" s="1"/>
  <c r="AP7" i="9"/>
  <c r="AQ7" i="9" s="1"/>
  <c r="AP8" i="9"/>
  <c r="AQ8" i="9" s="1"/>
  <c r="AP9" i="9"/>
  <c r="AQ9" i="9" s="1"/>
  <c r="AP10" i="9"/>
  <c r="AQ10" i="9" s="1"/>
  <c r="AP11" i="9"/>
  <c r="AQ11" i="9" s="1"/>
  <c r="AP12" i="9"/>
  <c r="AQ12" i="9" s="1"/>
  <c r="AP13" i="9"/>
  <c r="AQ13" i="9" s="1"/>
  <c r="AP14" i="9"/>
  <c r="AQ14" i="9" s="1"/>
  <c r="AP15" i="9"/>
  <c r="AQ15" i="9" s="1"/>
  <c r="AP16" i="9"/>
  <c r="AQ16" i="9" s="1"/>
  <c r="AP17" i="9"/>
  <c r="AQ17" i="9" s="1"/>
  <c r="AP18" i="9"/>
  <c r="AQ18" i="9" s="1"/>
  <c r="AP19" i="9"/>
  <c r="AQ19" i="9" s="1"/>
  <c r="AP20" i="9"/>
  <c r="AQ20" i="9" s="1"/>
  <c r="AP21" i="9"/>
  <c r="AQ21" i="9" s="1"/>
  <c r="AP22" i="9"/>
  <c r="AQ22" i="9" s="1"/>
  <c r="AP23" i="9"/>
  <c r="AQ23" i="9" s="1"/>
  <c r="AP24" i="9"/>
  <c r="AQ24" i="9" s="1"/>
  <c r="AP25" i="9"/>
  <c r="AQ25" i="9" s="1"/>
  <c r="AP26" i="9"/>
  <c r="AQ26" i="9" s="1"/>
  <c r="AP27" i="9"/>
  <c r="AQ27" i="9" s="1"/>
  <c r="AP28" i="9"/>
  <c r="AQ28" i="9" s="1"/>
  <c r="AP29" i="9"/>
  <c r="AQ29" i="9" s="1"/>
  <c r="AP30" i="9"/>
  <c r="AQ30" i="9" s="1"/>
  <c r="AP31" i="9"/>
  <c r="AQ31" i="9" s="1"/>
  <c r="AP32" i="9"/>
  <c r="AQ32" i="9" s="1"/>
  <c r="AP33" i="9"/>
  <c r="AQ33" i="9" s="1"/>
  <c r="AP34" i="9"/>
  <c r="AQ34" i="9" s="1"/>
  <c r="AP35" i="9"/>
  <c r="AQ35" i="9" s="1"/>
  <c r="AP36" i="9"/>
  <c r="AQ36" i="9" s="1"/>
  <c r="AP37" i="9"/>
  <c r="AQ37" i="9" s="1"/>
  <c r="AP38" i="9"/>
  <c r="AQ38" i="9" s="1"/>
  <c r="AP39" i="9"/>
  <c r="AQ39" i="9" s="1"/>
  <c r="AP40" i="9"/>
  <c r="AQ40" i="9" s="1"/>
  <c r="AP41" i="9"/>
  <c r="AQ41" i="9" s="1"/>
  <c r="AP42" i="9"/>
  <c r="AQ42" i="9" s="1"/>
  <c r="AP43" i="9"/>
  <c r="AQ43" i="9" s="1"/>
  <c r="AP44" i="9"/>
  <c r="AQ44" i="9" s="1"/>
  <c r="AP45" i="9"/>
  <c r="AQ45" i="9" s="1"/>
  <c r="AP46" i="9"/>
  <c r="AQ46" i="9" s="1"/>
  <c r="AP47" i="9"/>
  <c r="AQ47" i="9" s="1"/>
  <c r="AP48" i="9"/>
  <c r="AQ48" i="9" s="1"/>
  <c r="AP49" i="9"/>
  <c r="AQ49" i="9" s="1"/>
  <c r="AP50" i="9"/>
  <c r="AQ50" i="9" s="1"/>
  <c r="AP51" i="9"/>
  <c r="AQ51" i="9" s="1"/>
  <c r="AP52" i="9"/>
  <c r="AQ52" i="9" s="1"/>
  <c r="AP53" i="9"/>
  <c r="AQ53" i="9" s="1"/>
  <c r="AP54" i="9"/>
  <c r="AQ54" i="9" s="1"/>
  <c r="AP55" i="9"/>
  <c r="AQ55" i="9" s="1"/>
  <c r="AP56" i="9"/>
  <c r="AQ56" i="9" s="1"/>
  <c r="AP57" i="9"/>
  <c r="AQ57" i="9" s="1"/>
  <c r="AP58" i="9"/>
  <c r="AQ58" i="9" s="1"/>
  <c r="AP59" i="9"/>
  <c r="AQ59" i="9" s="1"/>
  <c r="AP60" i="9"/>
  <c r="AQ60" i="9" s="1"/>
  <c r="AP61" i="9"/>
  <c r="AQ61" i="9" s="1"/>
  <c r="AP62" i="9"/>
  <c r="AQ62" i="9" s="1"/>
  <c r="AP63" i="9"/>
  <c r="AQ63" i="9" s="1"/>
  <c r="AP64" i="9"/>
  <c r="AQ64" i="9" s="1"/>
  <c r="AP65" i="9"/>
  <c r="AQ65" i="9" s="1"/>
  <c r="AP66" i="9"/>
  <c r="AQ66" i="9" s="1"/>
  <c r="AP67" i="9"/>
  <c r="AQ67" i="9" s="1"/>
  <c r="AP68" i="9"/>
  <c r="AQ68" i="9" s="1"/>
  <c r="AP69" i="9"/>
  <c r="AQ69" i="9" s="1"/>
  <c r="AP70" i="9"/>
  <c r="AQ70" i="9" s="1"/>
  <c r="AP71" i="9"/>
  <c r="AQ71" i="9" s="1"/>
  <c r="AP72" i="9"/>
  <c r="AQ72" i="9" s="1"/>
  <c r="AP73" i="9"/>
  <c r="AQ73" i="9" s="1"/>
  <c r="AP74" i="9"/>
  <c r="AQ74" i="9" s="1"/>
  <c r="AP75" i="9"/>
  <c r="AQ75" i="9" s="1"/>
  <c r="AP76" i="9"/>
  <c r="AQ76" i="9" s="1"/>
  <c r="AP77" i="9"/>
  <c r="AQ77" i="9" s="1"/>
  <c r="AP78" i="9"/>
  <c r="AQ78" i="9" s="1"/>
  <c r="AP79" i="9"/>
  <c r="AQ79" i="9" s="1"/>
  <c r="AP80" i="9"/>
  <c r="AQ80" i="9" s="1"/>
  <c r="AP81" i="9"/>
  <c r="AQ81" i="9" s="1"/>
  <c r="AP82" i="9"/>
  <c r="AQ82" i="9" s="1"/>
  <c r="AP83" i="9"/>
  <c r="AQ83" i="9" s="1"/>
  <c r="AP84" i="9"/>
  <c r="AQ84" i="9" s="1"/>
  <c r="AP85" i="9"/>
  <c r="AQ85" i="9" s="1"/>
  <c r="AP86" i="9"/>
  <c r="AQ86" i="9" s="1"/>
  <c r="AP87" i="9"/>
  <c r="AQ87" i="9" s="1"/>
  <c r="AP88" i="9"/>
  <c r="AQ88" i="9" s="1"/>
  <c r="AP89" i="9"/>
  <c r="AQ89" i="9" s="1"/>
  <c r="AP90" i="9"/>
  <c r="AQ90" i="9" s="1"/>
  <c r="AP91" i="9"/>
  <c r="AQ91" i="9" s="1"/>
  <c r="AP92" i="9"/>
  <c r="AQ92" i="9" s="1"/>
  <c r="AP93" i="9"/>
  <c r="AQ93" i="9" s="1"/>
  <c r="AP94" i="9"/>
  <c r="AQ94" i="9" s="1"/>
  <c r="AP95" i="9"/>
  <c r="AQ95" i="9" s="1"/>
  <c r="AP96" i="9"/>
  <c r="AQ96" i="9" s="1"/>
  <c r="AP97" i="9"/>
  <c r="AQ97" i="9" s="1"/>
  <c r="AP98" i="9"/>
  <c r="AQ98" i="9" s="1"/>
  <c r="AP99" i="9"/>
  <c r="AQ99" i="9" s="1"/>
  <c r="AP100" i="9"/>
  <c r="AQ100" i="9" s="1"/>
  <c r="AP101" i="9"/>
  <c r="AQ101" i="9" s="1"/>
  <c r="AP102" i="9"/>
  <c r="AQ102" i="9" s="1"/>
  <c r="AP103" i="9"/>
  <c r="AQ103" i="9" s="1"/>
  <c r="AP104" i="9"/>
  <c r="AQ104" i="9" s="1"/>
  <c r="AP105" i="9"/>
  <c r="AQ105" i="9" s="1"/>
  <c r="AP106" i="9"/>
  <c r="AQ106" i="9" s="1"/>
  <c r="AP107" i="9"/>
  <c r="AQ107" i="9" s="1"/>
  <c r="AP108" i="9"/>
  <c r="AQ108" i="9" s="1"/>
  <c r="AP109" i="9"/>
  <c r="AQ109" i="9" s="1"/>
  <c r="AP110" i="9"/>
  <c r="AQ110" i="9" s="1"/>
  <c r="AP111" i="9"/>
  <c r="AQ111" i="9" s="1"/>
  <c r="AP112" i="9"/>
  <c r="AQ112" i="9" s="1"/>
  <c r="AP113" i="9"/>
  <c r="AQ113" i="9" s="1"/>
  <c r="AP114" i="9"/>
  <c r="AQ114" i="9" s="1"/>
  <c r="AP115" i="9"/>
  <c r="AQ115" i="9" s="1"/>
  <c r="AP116" i="9"/>
  <c r="AQ116" i="9" s="1"/>
  <c r="AP117" i="9"/>
  <c r="AQ117" i="9" s="1"/>
  <c r="AP118" i="9"/>
  <c r="AQ118" i="9" s="1"/>
  <c r="AP119" i="9"/>
  <c r="AQ119" i="9" s="1"/>
  <c r="AP120" i="9"/>
  <c r="AQ120" i="9" s="1"/>
  <c r="AP121" i="9"/>
  <c r="AQ121" i="9" s="1"/>
  <c r="AP122" i="9"/>
  <c r="AQ122" i="9" s="1"/>
  <c r="AP123" i="9"/>
  <c r="AQ123" i="9" s="1"/>
  <c r="AP124" i="9"/>
  <c r="AQ124" i="9" s="1"/>
  <c r="AP125" i="9"/>
  <c r="AQ125" i="9" s="1"/>
  <c r="AP126" i="9"/>
  <c r="AQ126" i="9" s="1"/>
  <c r="AP127" i="9"/>
  <c r="AQ127" i="9" s="1"/>
  <c r="AP128" i="9"/>
  <c r="AQ128" i="9" s="1"/>
  <c r="AP129" i="9"/>
  <c r="AQ129" i="9" s="1"/>
  <c r="AP130" i="9"/>
  <c r="AQ130" i="9" s="1"/>
  <c r="AP131" i="9"/>
  <c r="AQ131" i="9" s="1"/>
  <c r="AP132" i="9"/>
  <c r="AQ132" i="9" s="1"/>
  <c r="AP133" i="9"/>
  <c r="AQ133" i="9" s="1"/>
  <c r="AP134" i="9"/>
  <c r="AQ134" i="9" s="1"/>
  <c r="AP135" i="9"/>
  <c r="AQ135" i="9" s="1"/>
  <c r="AP136" i="9"/>
  <c r="AQ136" i="9" s="1"/>
  <c r="AP137" i="9"/>
  <c r="AQ137" i="9" s="1"/>
  <c r="AP138" i="9"/>
  <c r="AQ138" i="9" s="1"/>
  <c r="AP139" i="9"/>
  <c r="AQ139" i="9" s="1"/>
  <c r="AP140" i="9"/>
  <c r="AQ140" i="9" s="1"/>
  <c r="AP141" i="9"/>
  <c r="AQ141" i="9" s="1"/>
  <c r="AP142" i="9"/>
  <c r="AQ142" i="9" s="1"/>
  <c r="AP143" i="9"/>
  <c r="AQ143" i="9" s="1"/>
  <c r="AP144" i="9"/>
  <c r="AQ144" i="9" s="1"/>
  <c r="AP145" i="9"/>
  <c r="AQ145" i="9" s="1"/>
  <c r="AP146" i="9"/>
  <c r="AQ146" i="9" s="1"/>
  <c r="AP147" i="9"/>
  <c r="AQ147" i="9" s="1"/>
  <c r="AP148" i="9"/>
  <c r="AQ148" i="9" s="1"/>
  <c r="AP149" i="9"/>
  <c r="AQ149" i="9" s="1"/>
  <c r="AP150" i="9"/>
  <c r="AQ150" i="9" s="1"/>
  <c r="AP151" i="9"/>
  <c r="AQ151" i="9" s="1"/>
  <c r="AP152" i="9"/>
  <c r="AQ152" i="9" s="1"/>
  <c r="AP153" i="9"/>
  <c r="AQ153" i="9" s="1"/>
  <c r="AP154" i="9"/>
  <c r="AQ154" i="9" s="1"/>
  <c r="AP155" i="9"/>
  <c r="AQ155" i="9" s="1"/>
  <c r="AP156" i="9"/>
  <c r="AQ156" i="9" s="1"/>
  <c r="AP157" i="9"/>
  <c r="AQ157" i="9" s="1"/>
  <c r="AP158" i="9"/>
  <c r="AQ158" i="9" s="1"/>
  <c r="AP159" i="9"/>
  <c r="AQ159" i="9" s="1"/>
  <c r="AP160" i="9"/>
  <c r="AQ160" i="9" s="1"/>
  <c r="AP161" i="9"/>
  <c r="AQ161" i="9" s="1"/>
  <c r="AP162" i="9"/>
  <c r="AQ162" i="9" s="1"/>
  <c r="AP163" i="9"/>
  <c r="AQ163" i="9" s="1"/>
  <c r="AP164" i="9"/>
  <c r="AQ164" i="9" s="1"/>
  <c r="AP165" i="9"/>
  <c r="AQ165" i="9" s="1"/>
  <c r="AP166" i="9"/>
  <c r="AQ166" i="9" s="1"/>
  <c r="AP167" i="9"/>
  <c r="AQ167" i="9" s="1"/>
  <c r="AP168" i="9"/>
  <c r="AQ168" i="9" s="1"/>
  <c r="AP169" i="9"/>
  <c r="AQ169" i="9" s="1"/>
  <c r="AP170" i="9"/>
  <c r="AQ170" i="9" s="1"/>
  <c r="AP171" i="9"/>
  <c r="AQ171" i="9" s="1"/>
  <c r="AP172" i="9"/>
  <c r="AQ172" i="9" s="1"/>
  <c r="AP173" i="9"/>
  <c r="AQ173" i="9" s="1"/>
  <c r="AP174" i="9"/>
  <c r="AQ174" i="9" s="1"/>
  <c r="AP175" i="9"/>
  <c r="AQ175" i="9" s="1"/>
  <c r="AP176" i="9"/>
  <c r="AQ176" i="9" s="1"/>
  <c r="AP177" i="9"/>
  <c r="AQ177" i="9" s="1"/>
  <c r="AP178" i="9"/>
  <c r="AQ178" i="9" s="1"/>
  <c r="AP179" i="9"/>
  <c r="AQ179" i="9" s="1"/>
  <c r="AP180" i="9"/>
  <c r="AQ180" i="9" s="1"/>
  <c r="AP181" i="9"/>
  <c r="AQ181" i="9" s="1"/>
  <c r="AP182" i="9"/>
  <c r="AQ182" i="9" s="1"/>
  <c r="AP183" i="9"/>
  <c r="AQ183" i="9" s="1"/>
  <c r="AP184" i="9"/>
  <c r="AQ184" i="9" s="1"/>
  <c r="AP185" i="9"/>
  <c r="AQ185" i="9" s="1"/>
  <c r="AP186" i="9"/>
  <c r="AQ186" i="9" s="1"/>
  <c r="AP187" i="9"/>
  <c r="AQ187" i="9" s="1"/>
  <c r="AP188" i="9"/>
  <c r="AQ188" i="9" s="1"/>
  <c r="AP189" i="9"/>
  <c r="AQ189" i="9" s="1"/>
  <c r="AP190" i="9"/>
  <c r="AQ190" i="9" s="1"/>
  <c r="AP191" i="9"/>
  <c r="AQ191" i="9" s="1"/>
  <c r="AP192" i="9"/>
  <c r="AQ192" i="9" s="1"/>
  <c r="AP193" i="9"/>
  <c r="AQ193" i="9" s="1"/>
  <c r="AP194" i="9"/>
  <c r="AQ194" i="9" s="1"/>
  <c r="AP195" i="9"/>
  <c r="AQ195" i="9" s="1"/>
  <c r="AP196" i="9"/>
  <c r="AQ196" i="9" s="1"/>
  <c r="AP197" i="9"/>
  <c r="AQ197" i="9" s="1"/>
  <c r="AP198" i="9"/>
  <c r="AQ198" i="9" s="1"/>
  <c r="AP199" i="9"/>
  <c r="AQ199" i="9" s="1"/>
  <c r="AP200" i="9"/>
  <c r="AQ200" i="9" s="1"/>
  <c r="AP201" i="9"/>
  <c r="AQ201" i="9" s="1"/>
  <c r="AP202" i="9"/>
  <c r="AQ202" i="9" s="1"/>
  <c r="AP203" i="9"/>
  <c r="AQ203" i="9" s="1"/>
  <c r="AP204" i="9"/>
  <c r="AQ204" i="9" s="1"/>
  <c r="AP205" i="9"/>
  <c r="AQ205" i="9" s="1"/>
  <c r="AP206" i="9"/>
  <c r="AQ206" i="9" s="1"/>
  <c r="AP207" i="9"/>
  <c r="AQ207" i="9" s="1"/>
  <c r="AP208" i="9"/>
  <c r="AQ208" i="9" s="1"/>
  <c r="AP209" i="9"/>
  <c r="AQ209" i="9" s="1"/>
  <c r="AP210" i="9"/>
  <c r="AQ210" i="9" s="1"/>
  <c r="AP211" i="9"/>
  <c r="AQ211" i="9" s="1"/>
  <c r="AP212" i="9"/>
  <c r="AQ212" i="9" s="1"/>
  <c r="AP213" i="9"/>
  <c r="AQ213" i="9" s="1"/>
  <c r="AP214" i="9"/>
  <c r="AQ214" i="9" s="1"/>
  <c r="AP215" i="9"/>
  <c r="AQ215" i="9" s="1"/>
  <c r="AP216" i="9"/>
  <c r="AQ216" i="9" s="1"/>
  <c r="AP217" i="9"/>
  <c r="AQ217" i="9" s="1"/>
  <c r="AP218" i="9"/>
  <c r="AQ218" i="9" s="1"/>
  <c r="AP219" i="9"/>
  <c r="AQ219" i="9" s="1"/>
  <c r="AP220" i="9"/>
  <c r="AQ220" i="9" s="1"/>
  <c r="AP221" i="9"/>
  <c r="AQ221" i="9" s="1"/>
  <c r="AP222" i="9"/>
  <c r="AQ222" i="9" s="1"/>
  <c r="AP223" i="9"/>
  <c r="AQ223" i="9" s="1"/>
  <c r="AP224" i="9"/>
  <c r="AQ224" i="9" s="1"/>
  <c r="AP225" i="9"/>
  <c r="AQ225" i="9" s="1"/>
  <c r="AP226" i="9"/>
  <c r="AQ226" i="9" s="1"/>
  <c r="AP227" i="9"/>
  <c r="AQ227" i="9" s="1"/>
  <c r="AP228" i="9"/>
  <c r="AQ228" i="9" s="1"/>
  <c r="AP229" i="9"/>
  <c r="AQ229" i="9" s="1"/>
  <c r="AP230" i="9"/>
  <c r="AQ230" i="9" s="1"/>
  <c r="AP231" i="9"/>
  <c r="AQ231" i="9" s="1"/>
  <c r="AP232" i="9"/>
  <c r="AQ232" i="9" s="1"/>
  <c r="AP233" i="9"/>
  <c r="AQ233" i="9" s="1"/>
  <c r="AP234" i="9"/>
  <c r="AQ234" i="9" s="1"/>
  <c r="AP235" i="9"/>
  <c r="AQ235" i="9" s="1"/>
  <c r="AP236" i="9"/>
  <c r="AQ236" i="9" s="1"/>
  <c r="AP237" i="9"/>
  <c r="AQ237" i="9" s="1"/>
  <c r="AP238" i="9"/>
  <c r="AQ238" i="9" s="1"/>
  <c r="AP239" i="9"/>
  <c r="AQ239" i="9" s="1"/>
  <c r="AP240" i="9"/>
  <c r="AQ240" i="9" s="1"/>
  <c r="AP241" i="9"/>
  <c r="AQ241" i="9" s="1"/>
  <c r="AP242" i="9"/>
  <c r="AQ242" i="9" s="1"/>
  <c r="AP243" i="9"/>
  <c r="AQ243" i="9" s="1"/>
  <c r="AP244" i="9"/>
  <c r="AQ244" i="9" s="1"/>
  <c r="AP245" i="9"/>
  <c r="AQ245" i="9" s="1"/>
  <c r="AP246" i="9"/>
  <c r="AQ246" i="9" s="1"/>
  <c r="AP247" i="9"/>
  <c r="AQ247" i="9" s="1"/>
  <c r="AP248" i="9"/>
  <c r="AQ248" i="9" s="1"/>
  <c r="AP249" i="9"/>
  <c r="AQ249" i="9" s="1"/>
  <c r="AP250" i="9"/>
  <c r="AQ250" i="9" s="1"/>
  <c r="AP251" i="9"/>
  <c r="AQ251" i="9" s="1"/>
  <c r="AP252" i="9"/>
  <c r="AQ252" i="9" s="1"/>
  <c r="AP253" i="9"/>
  <c r="AQ253" i="9" s="1"/>
  <c r="AP254" i="9"/>
  <c r="AQ254" i="9" s="1"/>
  <c r="AP255" i="9"/>
  <c r="AQ255" i="9" s="1"/>
  <c r="AP256" i="9"/>
  <c r="AQ256" i="9" s="1"/>
  <c r="AP257" i="9"/>
  <c r="AQ257" i="9" s="1"/>
  <c r="AP258" i="9"/>
  <c r="AQ258" i="9" s="1"/>
  <c r="AP259" i="9"/>
  <c r="AQ259" i="9" s="1"/>
  <c r="AP260" i="9"/>
  <c r="AQ260" i="9" s="1"/>
  <c r="AP261" i="9"/>
  <c r="AQ261" i="9" s="1"/>
  <c r="AP262" i="9"/>
  <c r="AQ262" i="9" s="1"/>
  <c r="AP263" i="9"/>
  <c r="AQ263" i="9" s="1"/>
  <c r="AP264" i="9"/>
  <c r="AQ264" i="9" s="1"/>
  <c r="AP265" i="9"/>
  <c r="AQ265" i="9" s="1"/>
  <c r="AP266" i="9"/>
  <c r="AQ266" i="9" s="1"/>
  <c r="AP267" i="9"/>
  <c r="AQ267" i="9" s="1"/>
  <c r="AP268" i="9"/>
  <c r="AQ268" i="9" s="1"/>
  <c r="AP269" i="9"/>
  <c r="AQ269" i="9" s="1"/>
  <c r="AP270" i="9"/>
  <c r="AQ270" i="9" s="1"/>
  <c r="AP271" i="9"/>
  <c r="AQ271" i="9" s="1"/>
  <c r="AP272" i="9"/>
  <c r="AQ272" i="9" s="1"/>
  <c r="AP273" i="9"/>
  <c r="AQ273" i="9" s="1"/>
  <c r="AP274" i="9"/>
  <c r="AQ274" i="9" s="1"/>
  <c r="AP275" i="9"/>
  <c r="AQ275" i="9" s="1"/>
  <c r="AP276" i="9"/>
  <c r="AQ276" i="9" s="1"/>
  <c r="AP277" i="9"/>
  <c r="AQ277" i="9" s="1"/>
  <c r="AP278" i="9"/>
  <c r="AQ278" i="9" s="1"/>
  <c r="AP279" i="9"/>
  <c r="AQ279" i="9" s="1"/>
  <c r="AP280" i="9"/>
  <c r="AQ280" i="9" s="1"/>
  <c r="AP281" i="9"/>
  <c r="AQ281" i="9" s="1"/>
  <c r="AP282" i="9"/>
  <c r="AQ282" i="9" s="1"/>
  <c r="AP283" i="9"/>
  <c r="AQ283" i="9" s="1"/>
  <c r="AP284" i="9"/>
  <c r="AQ284" i="9" s="1"/>
  <c r="AP285" i="9"/>
  <c r="AQ285" i="9" s="1"/>
  <c r="AP286" i="9"/>
  <c r="AQ286" i="9" s="1"/>
  <c r="AP287" i="9"/>
  <c r="AQ287" i="9" s="1"/>
  <c r="AP288" i="9"/>
  <c r="AQ288" i="9" s="1"/>
  <c r="AP289" i="9"/>
  <c r="AQ289" i="9" s="1"/>
  <c r="AP290" i="9"/>
  <c r="AQ290" i="9" s="1"/>
  <c r="AP291" i="9"/>
  <c r="AQ291" i="9" s="1"/>
  <c r="AP292" i="9"/>
  <c r="AQ292" i="9" s="1"/>
  <c r="AP293" i="9"/>
  <c r="AQ293" i="9" s="1"/>
  <c r="AP294" i="9"/>
  <c r="AQ294" i="9" s="1"/>
  <c r="AP295" i="9"/>
  <c r="AQ295" i="9" s="1"/>
  <c r="AP296" i="9"/>
  <c r="AQ296" i="9" s="1"/>
  <c r="AP297" i="9"/>
  <c r="AQ297" i="9" s="1"/>
  <c r="AP298" i="9"/>
  <c r="AQ298" i="9" s="1"/>
  <c r="AP299" i="9"/>
  <c r="AQ299" i="9" s="1"/>
  <c r="AP300" i="9"/>
  <c r="AQ300" i="9" s="1"/>
  <c r="AP301" i="9"/>
  <c r="AQ301" i="9" s="1"/>
  <c r="AP302" i="9"/>
  <c r="AQ302" i="9" s="1"/>
  <c r="AP303" i="9"/>
  <c r="AQ303" i="9" s="1"/>
  <c r="AP304" i="9"/>
  <c r="AQ304" i="9" s="1"/>
  <c r="AP305" i="9"/>
  <c r="AQ305" i="9" s="1"/>
  <c r="AP306" i="9"/>
  <c r="AQ306" i="9" s="1"/>
  <c r="AP307" i="9"/>
  <c r="AQ307" i="9" s="1"/>
  <c r="AP308" i="9"/>
  <c r="AQ308" i="9" s="1"/>
  <c r="AP309" i="9"/>
  <c r="AQ309" i="9" s="1"/>
  <c r="AP310" i="9"/>
  <c r="AQ310" i="9" s="1"/>
  <c r="AP311" i="9"/>
  <c r="AQ311" i="9" s="1"/>
  <c r="AP312" i="9"/>
  <c r="AQ312" i="9" s="1"/>
  <c r="AP313" i="9"/>
  <c r="AQ313" i="9" s="1"/>
  <c r="AP314" i="9"/>
  <c r="AQ314" i="9" s="1"/>
  <c r="AP315" i="9"/>
  <c r="AQ315" i="9" s="1"/>
  <c r="AP316" i="9"/>
  <c r="AQ316" i="9" s="1"/>
  <c r="AP317" i="9"/>
  <c r="AQ317" i="9" s="1"/>
  <c r="AP318" i="9"/>
  <c r="AQ318" i="9" s="1"/>
  <c r="AP319" i="9"/>
  <c r="AQ319" i="9" s="1"/>
  <c r="AP320" i="9"/>
  <c r="AQ320" i="9" s="1"/>
  <c r="AP321" i="9"/>
  <c r="AQ321" i="9" s="1"/>
  <c r="AP322" i="9"/>
  <c r="AQ322" i="9" s="1"/>
  <c r="AP323" i="9"/>
  <c r="AQ323" i="9" s="1"/>
  <c r="AP324" i="9"/>
  <c r="AQ324" i="9" s="1"/>
  <c r="AP325" i="9"/>
  <c r="AQ325" i="9" s="1"/>
  <c r="AP326" i="9"/>
  <c r="AQ326" i="9" s="1"/>
  <c r="AP327" i="9"/>
  <c r="AQ327" i="9" s="1"/>
  <c r="AP328" i="9"/>
  <c r="AQ328" i="9" s="1"/>
  <c r="AP329" i="9"/>
  <c r="AQ329" i="9" s="1"/>
  <c r="AP330" i="9"/>
  <c r="AQ330" i="9" s="1"/>
  <c r="AP331" i="9"/>
  <c r="AQ331" i="9" s="1"/>
  <c r="AP332" i="9"/>
  <c r="AQ332" i="9" s="1"/>
  <c r="AP333" i="9"/>
  <c r="AQ333" i="9" s="1"/>
  <c r="AP334" i="9"/>
  <c r="AQ334" i="9" s="1"/>
  <c r="AP335" i="9"/>
  <c r="AQ335" i="9" s="1"/>
  <c r="AP336" i="9"/>
  <c r="AQ336" i="9" s="1"/>
  <c r="AP337" i="9"/>
  <c r="AQ337" i="9" s="1"/>
  <c r="AP338" i="9"/>
  <c r="AQ338" i="9" s="1"/>
  <c r="AP339" i="9"/>
  <c r="AQ339" i="9" s="1"/>
  <c r="AP340" i="9"/>
  <c r="AQ340" i="9" s="1"/>
  <c r="AP341" i="9"/>
  <c r="AQ341" i="9" s="1"/>
  <c r="AP342" i="9"/>
  <c r="AQ342" i="9" s="1"/>
  <c r="AP343" i="9"/>
  <c r="AQ343" i="9" s="1"/>
  <c r="AP344" i="9"/>
  <c r="AQ344" i="9" s="1"/>
  <c r="AP345" i="9"/>
  <c r="AQ345" i="9" s="1"/>
  <c r="AP346" i="9"/>
  <c r="AQ346" i="9" s="1"/>
  <c r="AP347" i="9"/>
  <c r="AQ347" i="9" s="1"/>
  <c r="AP348" i="9"/>
  <c r="AQ348" i="9" s="1"/>
  <c r="AP349" i="9"/>
  <c r="AQ349" i="9" s="1"/>
  <c r="AP350" i="9"/>
  <c r="AQ350" i="9" s="1"/>
  <c r="AP351" i="9"/>
  <c r="AQ351" i="9" s="1"/>
  <c r="AP352" i="9"/>
  <c r="AQ352" i="9" s="1"/>
  <c r="AP353" i="9"/>
  <c r="AQ353" i="9" s="1"/>
  <c r="AP354" i="9"/>
  <c r="AQ354" i="9" s="1"/>
  <c r="AP355" i="9"/>
  <c r="AQ355" i="9" s="1"/>
  <c r="AP356" i="9"/>
  <c r="AQ356" i="9" s="1"/>
  <c r="AP357" i="9"/>
  <c r="AQ357" i="9" s="1"/>
  <c r="AP358" i="9"/>
  <c r="AQ358" i="9" s="1"/>
  <c r="AP359" i="9"/>
  <c r="AQ359" i="9" s="1"/>
  <c r="AP360" i="9"/>
  <c r="AQ360" i="9" s="1"/>
  <c r="AP361" i="9"/>
  <c r="AQ361" i="9" s="1"/>
  <c r="AP362" i="9"/>
  <c r="AQ362" i="9" s="1"/>
  <c r="AP363" i="9"/>
  <c r="AQ363" i="9" s="1"/>
  <c r="AP364" i="9"/>
  <c r="AQ364" i="9" s="1"/>
  <c r="AP365" i="9"/>
  <c r="AQ365" i="9" s="1"/>
  <c r="AP366" i="9"/>
  <c r="AQ366" i="9" s="1"/>
  <c r="AP367" i="9"/>
  <c r="AQ367" i="9" s="1"/>
  <c r="AP368" i="9"/>
  <c r="AQ368" i="9" s="1"/>
  <c r="AP369" i="9"/>
  <c r="AQ369" i="9" s="1"/>
  <c r="AP370" i="9"/>
  <c r="AQ370" i="9" s="1"/>
  <c r="AP371" i="9"/>
  <c r="AQ371" i="9" s="1"/>
  <c r="AP372" i="9"/>
  <c r="AQ372" i="9" s="1"/>
  <c r="AP373" i="9"/>
  <c r="AQ373" i="9" s="1"/>
  <c r="AP374" i="9"/>
  <c r="AQ374" i="9" s="1"/>
  <c r="AP375" i="9"/>
  <c r="AQ375" i="9" s="1"/>
  <c r="AP376" i="9"/>
  <c r="AQ376" i="9" s="1"/>
  <c r="AP377" i="9"/>
  <c r="AQ377" i="9" s="1"/>
  <c r="AP378" i="9"/>
  <c r="AQ378" i="9" s="1"/>
  <c r="AP379" i="9"/>
  <c r="AQ379" i="9" s="1"/>
  <c r="AP380" i="9"/>
  <c r="AQ380" i="9" s="1"/>
  <c r="AP381" i="9"/>
  <c r="AQ381" i="9" s="1"/>
  <c r="AP382" i="9"/>
  <c r="AQ382" i="9" s="1"/>
  <c r="AP383" i="9"/>
  <c r="AQ383" i="9" s="1"/>
  <c r="AP384" i="9"/>
  <c r="AQ384" i="9" s="1"/>
  <c r="AP385" i="9"/>
  <c r="AQ385" i="9" s="1"/>
  <c r="AP386" i="9"/>
  <c r="AQ386" i="9" s="1"/>
  <c r="AP387" i="9"/>
  <c r="AQ387" i="9" s="1"/>
  <c r="AP388" i="9"/>
  <c r="AQ388" i="9" s="1"/>
  <c r="AP389" i="9"/>
  <c r="AQ389" i="9" s="1"/>
  <c r="AP390" i="9"/>
  <c r="AQ390" i="9" s="1"/>
  <c r="AP391" i="9"/>
  <c r="AQ391" i="9" s="1"/>
  <c r="AP392" i="9"/>
  <c r="AQ392" i="9" s="1"/>
  <c r="AP393" i="9"/>
  <c r="AQ393" i="9" s="1"/>
  <c r="AP394" i="9"/>
  <c r="AQ394" i="9" s="1"/>
  <c r="AP395" i="9"/>
  <c r="AQ395" i="9" s="1"/>
  <c r="AP396" i="9"/>
  <c r="AQ396" i="9" s="1"/>
  <c r="AP397" i="9"/>
  <c r="AQ397" i="9" s="1"/>
  <c r="AP398" i="9"/>
  <c r="AQ398" i="9" s="1"/>
  <c r="AP399" i="9"/>
  <c r="AQ399" i="9" s="1"/>
  <c r="AP400" i="9"/>
  <c r="AQ400" i="9" s="1"/>
  <c r="AP401" i="9"/>
  <c r="AQ401" i="9" s="1"/>
  <c r="AP402" i="9"/>
  <c r="AQ402" i="9" s="1"/>
  <c r="AP403" i="9"/>
  <c r="AQ403" i="9" s="1"/>
  <c r="AP404" i="9"/>
  <c r="AQ404" i="9" s="1"/>
  <c r="AP405" i="9"/>
  <c r="AQ405" i="9" s="1"/>
  <c r="AP406" i="9"/>
  <c r="AQ406" i="9" s="1"/>
  <c r="AP407" i="9"/>
  <c r="AQ407" i="9" s="1"/>
  <c r="AP408" i="9"/>
  <c r="AQ408" i="9" s="1"/>
  <c r="AP409" i="9"/>
  <c r="AQ409" i="9" s="1"/>
  <c r="AP410" i="9"/>
  <c r="AQ410" i="9" s="1"/>
  <c r="AP411" i="9"/>
  <c r="AQ411" i="9" s="1"/>
  <c r="AQ412" i="9"/>
  <c r="AK2" i="9"/>
  <c r="AK3" i="9"/>
  <c r="AK4" i="9"/>
  <c r="AK5" i="9"/>
  <c r="AK6" i="9"/>
  <c r="AK7" i="9"/>
  <c r="AK8" i="9"/>
  <c r="AK9" i="9"/>
  <c r="AK10" i="9"/>
  <c r="AK11" i="9"/>
  <c r="AK12" i="9"/>
  <c r="AK13" i="9"/>
  <c r="AK14" i="9"/>
  <c r="AK15" i="9"/>
  <c r="AK16" i="9"/>
  <c r="AK17" i="9"/>
  <c r="AK18" i="9"/>
  <c r="AK19" i="9"/>
  <c r="AK20" i="9"/>
  <c r="AK21" i="9"/>
  <c r="AK22" i="9"/>
  <c r="AK23" i="9"/>
  <c r="AK24" i="9"/>
  <c r="AK25" i="9"/>
  <c r="AK26" i="9"/>
  <c r="AK27" i="9"/>
  <c r="AK28" i="9"/>
  <c r="AK29" i="9"/>
  <c r="AK30" i="9"/>
  <c r="AK31" i="9"/>
  <c r="AK32" i="9"/>
  <c r="AK33" i="9"/>
  <c r="AK34" i="9"/>
  <c r="AK35" i="9"/>
  <c r="AK36" i="9"/>
  <c r="AK37" i="9"/>
  <c r="AK38" i="9"/>
  <c r="AK39" i="9"/>
  <c r="AK40" i="9"/>
  <c r="AK41" i="9"/>
  <c r="AK42" i="9"/>
  <c r="AK43" i="9"/>
  <c r="AK44" i="9"/>
  <c r="AK45" i="9"/>
  <c r="AK46" i="9"/>
  <c r="AK47" i="9"/>
  <c r="AK48" i="9"/>
  <c r="AK49" i="9"/>
  <c r="AK50" i="9"/>
  <c r="AK51" i="9"/>
  <c r="AK52" i="9"/>
  <c r="AK53" i="9"/>
  <c r="AK54" i="9"/>
  <c r="AK55" i="9"/>
  <c r="AK56" i="9"/>
  <c r="AK57" i="9"/>
  <c r="AK58" i="9"/>
  <c r="AK59" i="9"/>
  <c r="AK60" i="9"/>
  <c r="AK61" i="9"/>
  <c r="AK62" i="9"/>
  <c r="AK63" i="9"/>
  <c r="AK64" i="9"/>
  <c r="AK65" i="9"/>
  <c r="AK66" i="9"/>
  <c r="AK67" i="9"/>
  <c r="AK68" i="9"/>
  <c r="AK69" i="9"/>
  <c r="AK70" i="9"/>
  <c r="AK71" i="9"/>
  <c r="AK72" i="9"/>
  <c r="AK73" i="9"/>
  <c r="AK74" i="9"/>
  <c r="AK75" i="9"/>
  <c r="AK76" i="9"/>
  <c r="AK77" i="9"/>
  <c r="AK78" i="9"/>
  <c r="AK79" i="9"/>
  <c r="AK80" i="9"/>
  <c r="AK81" i="9"/>
  <c r="AK82" i="9"/>
  <c r="AK83" i="9"/>
  <c r="AK84" i="9"/>
  <c r="AK85" i="9"/>
  <c r="AK86" i="9"/>
  <c r="AK87" i="9"/>
  <c r="AK88" i="9"/>
  <c r="AK89" i="9"/>
  <c r="AK90" i="9"/>
  <c r="AK91" i="9"/>
  <c r="AK92" i="9"/>
  <c r="AK93" i="9"/>
  <c r="AK94" i="9"/>
  <c r="AK95" i="9"/>
  <c r="AK96" i="9"/>
  <c r="AK97" i="9"/>
  <c r="AK98" i="9"/>
  <c r="AK99" i="9"/>
  <c r="AK100" i="9"/>
  <c r="AK101" i="9"/>
  <c r="AK102" i="9"/>
  <c r="AK103" i="9"/>
  <c r="AK104" i="9"/>
  <c r="AK105" i="9"/>
  <c r="AK106" i="9"/>
  <c r="AK107" i="9"/>
  <c r="AK108" i="9"/>
  <c r="AK109" i="9"/>
  <c r="AK110" i="9"/>
  <c r="AK111" i="9"/>
  <c r="AK112" i="9"/>
  <c r="AK113" i="9"/>
  <c r="AK114" i="9"/>
  <c r="AK115" i="9"/>
  <c r="AK116" i="9"/>
  <c r="AK117" i="9"/>
  <c r="AK118" i="9"/>
  <c r="AK119" i="9"/>
  <c r="AK120" i="9"/>
  <c r="AK121" i="9"/>
  <c r="AK122" i="9"/>
  <c r="AK123" i="9"/>
  <c r="AK124" i="9"/>
  <c r="AK125" i="9"/>
  <c r="AK126" i="9"/>
  <c r="AK127" i="9"/>
  <c r="AK128" i="9"/>
  <c r="AK129" i="9"/>
  <c r="AK130" i="9"/>
  <c r="AK131" i="9"/>
  <c r="AK132" i="9"/>
  <c r="AK133" i="9"/>
  <c r="AK134" i="9"/>
  <c r="AK135" i="9"/>
  <c r="AK136" i="9"/>
  <c r="AK137" i="9"/>
  <c r="AK138" i="9"/>
  <c r="AK139" i="9"/>
  <c r="AK140" i="9"/>
  <c r="AK141" i="9"/>
  <c r="AK142" i="9"/>
  <c r="AK143" i="9"/>
  <c r="AK144" i="9"/>
  <c r="AK145" i="9"/>
  <c r="AK146" i="9"/>
  <c r="AK147" i="9"/>
  <c r="AK148" i="9"/>
  <c r="AK149" i="9"/>
  <c r="AK150" i="9"/>
  <c r="AK151" i="9"/>
  <c r="AK152" i="9"/>
  <c r="AK153" i="9"/>
  <c r="AK154" i="9"/>
  <c r="AK155" i="9"/>
  <c r="AK156" i="9"/>
  <c r="AK157" i="9"/>
  <c r="AK158" i="9"/>
  <c r="AK159" i="9"/>
  <c r="AK160" i="9"/>
  <c r="AK161" i="9"/>
  <c r="AK162" i="9"/>
  <c r="AK163" i="9"/>
  <c r="AK164" i="9"/>
  <c r="AK165" i="9"/>
  <c r="AK166" i="9"/>
  <c r="AK167" i="9"/>
  <c r="AK168" i="9"/>
  <c r="AK169" i="9"/>
  <c r="AK170" i="9"/>
  <c r="AK171" i="9"/>
  <c r="AK172" i="9"/>
  <c r="AK173" i="9"/>
  <c r="AK174" i="9"/>
  <c r="AK175" i="9"/>
  <c r="AK176" i="9"/>
  <c r="AK177" i="9"/>
  <c r="AK178" i="9"/>
  <c r="AK179" i="9"/>
  <c r="AK180" i="9"/>
  <c r="AK181" i="9"/>
  <c r="AK182" i="9"/>
  <c r="AK183" i="9"/>
  <c r="AK184" i="9"/>
  <c r="AK185" i="9"/>
  <c r="AK186" i="9"/>
  <c r="AK187" i="9"/>
  <c r="AK188" i="9"/>
  <c r="AK189" i="9"/>
  <c r="AK190" i="9"/>
  <c r="AK191" i="9"/>
  <c r="AK192" i="9"/>
  <c r="AK193" i="9"/>
  <c r="AK194" i="9"/>
  <c r="AK195" i="9"/>
  <c r="AK196" i="9"/>
  <c r="AK197" i="9"/>
  <c r="AK198" i="9"/>
  <c r="AK199" i="9"/>
  <c r="AK200" i="9"/>
  <c r="AK201" i="9"/>
  <c r="AK202" i="9"/>
  <c r="AK203" i="9"/>
  <c r="AK204" i="9"/>
  <c r="AK205" i="9"/>
  <c r="AK206" i="9"/>
  <c r="AK207" i="9"/>
  <c r="AK208" i="9"/>
  <c r="AK209" i="9"/>
  <c r="AK210" i="9"/>
  <c r="AK211" i="9"/>
  <c r="AK212" i="9"/>
  <c r="AK213" i="9"/>
  <c r="AK214" i="9"/>
  <c r="AK215" i="9"/>
  <c r="AK216" i="9"/>
  <c r="AK217" i="9"/>
  <c r="AK218" i="9"/>
  <c r="AK219" i="9"/>
  <c r="AK220" i="9"/>
  <c r="AK221" i="9"/>
  <c r="AK222" i="9"/>
  <c r="AK223" i="9"/>
  <c r="AK224" i="9"/>
  <c r="AK225" i="9"/>
  <c r="AK226" i="9"/>
  <c r="AK227" i="9"/>
  <c r="AK228" i="9"/>
  <c r="AK229" i="9"/>
  <c r="AK230" i="9"/>
  <c r="AK231" i="9"/>
  <c r="AK232" i="9"/>
  <c r="AK233" i="9"/>
  <c r="AK234" i="9"/>
  <c r="AK235" i="9"/>
  <c r="AK236" i="9"/>
  <c r="AK237" i="9"/>
  <c r="AK238" i="9"/>
  <c r="AK239" i="9"/>
  <c r="AK240" i="9"/>
  <c r="AK241" i="9"/>
  <c r="AK242" i="9"/>
  <c r="AK243" i="9"/>
  <c r="AK244" i="9"/>
  <c r="AK245" i="9"/>
  <c r="AK246" i="9"/>
  <c r="AK247" i="9"/>
  <c r="AK248" i="9"/>
  <c r="AK249" i="9"/>
  <c r="AK250" i="9"/>
  <c r="AK251" i="9"/>
  <c r="AK252" i="9"/>
  <c r="AK253" i="9"/>
  <c r="AK254" i="9"/>
  <c r="AK255" i="9"/>
  <c r="AK256" i="9"/>
  <c r="AK257" i="9"/>
  <c r="AK258" i="9"/>
  <c r="AK259" i="9"/>
  <c r="AK260" i="9"/>
  <c r="AK261" i="9"/>
  <c r="AK262" i="9"/>
  <c r="AK263" i="9"/>
  <c r="AK264" i="9"/>
  <c r="AK265" i="9"/>
  <c r="AK266" i="9"/>
  <c r="AK267" i="9"/>
  <c r="AK268" i="9"/>
  <c r="AK269" i="9"/>
  <c r="AK270" i="9"/>
  <c r="AK271" i="9"/>
  <c r="AK272" i="9"/>
  <c r="AK273" i="9"/>
  <c r="AK274" i="9"/>
  <c r="AK275" i="9"/>
  <c r="AK276" i="9"/>
  <c r="AK277" i="9"/>
  <c r="AK278" i="9"/>
  <c r="AK279" i="9"/>
  <c r="AK280" i="9"/>
  <c r="AK281" i="9"/>
  <c r="AK282" i="9"/>
  <c r="AK283" i="9"/>
  <c r="AK284" i="9"/>
  <c r="AK285" i="9"/>
  <c r="AK286" i="9"/>
  <c r="AK287" i="9"/>
  <c r="AK288" i="9"/>
  <c r="AK289" i="9"/>
  <c r="AK290" i="9"/>
  <c r="AK291" i="9"/>
  <c r="AK292" i="9"/>
  <c r="AK293" i="9"/>
  <c r="AK294" i="9"/>
  <c r="AK295" i="9"/>
  <c r="AK296" i="9"/>
  <c r="AK297" i="9"/>
  <c r="AK298" i="9"/>
  <c r="AK299" i="9"/>
  <c r="AK300" i="9"/>
  <c r="AK301" i="9"/>
  <c r="AK302" i="9"/>
  <c r="AK303" i="9"/>
  <c r="AK304" i="9"/>
  <c r="AK305" i="9"/>
  <c r="AK306" i="9"/>
  <c r="AK307" i="9"/>
  <c r="AK308" i="9"/>
  <c r="AK309" i="9"/>
  <c r="AK310" i="9"/>
  <c r="AK311" i="9"/>
  <c r="AK312" i="9"/>
  <c r="AK313" i="9"/>
  <c r="AK314" i="9"/>
  <c r="AK315" i="9"/>
  <c r="AK316" i="9"/>
  <c r="AK317" i="9"/>
  <c r="AK318" i="9"/>
  <c r="AK319" i="9"/>
  <c r="AK320" i="9"/>
  <c r="AK321" i="9"/>
  <c r="AK322" i="9"/>
  <c r="AK323" i="9"/>
  <c r="AK324" i="9"/>
  <c r="AK325" i="9"/>
  <c r="AK326" i="9"/>
  <c r="AK327" i="9"/>
  <c r="AK328" i="9"/>
  <c r="AK329" i="9"/>
  <c r="AK330" i="9"/>
  <c r="AK331" i="9"/>
  <c r="AK332" i="9"/>
  <c r="AK333" i="9"/>
  <c r="AK334" i="9"/>
  <c r="AK335" i="9"/>
  <c r="AK336" i="9"/>
  <c r="AK337" i="9"/>
  <c r="AK338" i="9"/>
  <c r="AK339" i="9"/>
  <c r="AK340" i="9"/>
  <c r="AK341" i="9"/>
  <c r="AK342" i="9"/>
  <c r="AK343" i="9"/>
  <c r="AK344" i="9"/>
  <c r="AK345" i="9"/>
  <c r="AK346" i="9"/>
  <c r="AK347" i="9"/>
  <c r="AK348" i="9"/>
  <c r="AK349" i="9"/>
  <c r="AK350" i="9"/>
  <c r="AK351" i="9"/>
  <c r="AK352" i="9"/>
  <c r="AK353" i="9"/>
  <c r="AK354" i="9"/>
  <c r="AK355" i="9"/>
  <c r="AK356" i="9"/>
  <c r="AK357" i="9"/>
  <c r="AK358" i="9"/>
  <c r="AK359" i="9"/>
  <c r="AK360" i="9"/>
  <c r="AK361" i="9"/>
  <c r="AK362" i="9"/>
  <c r="AK363" i="9"/>
  <c r="AK364" i="9"/>
  <c r="AK365" i="9"/>
  <c r="AK366" i="9"/>
  <c r="AK367" i="9"/>
  <c r="AK368" i="9"/>
  <c r="AK369" i="9"/>
  <c r="AK370" i="9"/>
  <c r="AK371" i="9"/>
  <c r="AK372" i="9"/>
  <c r="AK373" i="9"/>
  <c r="AK374" i="9"/>
  <c r="AK375" i="9"/>
  <c r="AK376" i="9"/>
  <c r="AK377" i="9"/>
  <c r="AK378" i="9"/>
  <c r="AK379" i="9"/>
  <c r="AK380" i="9"/>
  <c r="AK381" i="9"/>
  <c r="AK382" i="9"/>
  <c r="AK383" i="9"/>
  <c r="AK384" i="9"/>
  <c r="AK385" i="9"/>
  <c r="AK386" i="9"/>
  <c r="AK387" i="9"/>
  <c r="AK388" i="9"/>
  <c r="AK389" i="9"/>
  <c r="AK390" i="9"/>
  <c r="AK391" i="9"/>
  <c r="AK392" i="9"/>
  <c r="AK393" i="9"/>
  <c r="AK394" i="9"/>
  <c r="AK395" i="9"/>
  <c r="AK396" i="9"/>
  <c r="AK397" i="9"/>
  <c r="AK398" i="9"/>
  <c r="AK399" i="9"/>
  <c r="AK400" i="9"/>
  <c r="AK401" i="9"/>
  <c r="AK402" i="9"/>
  <c r="AK403" i="9"/>
  <c r="AK404" i="9"/>
  <c r="AK405" i="9"/>
  <c r="AK406" i="9"/>
  <c r="AK407" i="9"/>
  <c r="AK408" i="9"/>
  <c r="AK409" i="9"/>
  <c r="AK410" i="9"/>
  <c r="AK411" i="9"/>
  <c r="AK412" i="9"/>
  <c r="AO412" i="9" s="1"/>
  <c r="AN412" i="9"/>
  <c r="AM412" i="9"/>
  <c r="AL412" i="9"/>
  <c r="AN411" i="9"/>
  <c r="AM411" i="9"/>
  <c r="AL411" i="9"/>
  <c r="AN410" i="9"/>
  <c r="AM410" i="9"/>
  <c r="AL410" i="9"/>
  <c r="AN409" i="9"/>
  <c r="AM409" i="9"/>
  <c r="AL409" i="9"/>
  <c r="AN408" i="9"/>
  <c r="AM408" i="9"/>
  <c r="AL408" i="9"/>
  <c r="AN407" i="9"/>
  <c r="AM407" i="9"/>
  <c r="AL407" i="9"/>
  <c r="AN406" i="9"/>
  <c r="AM406" i="9"/>
  <c r="AL406" i="9"/>
  <c r="AN405" i="9"/>
  <c r="AM405" i="9"/>
  <c r="AL405" i="9"/>
  <c r="AN404" i="9"/>
  <c r="AM404" i="9"/>
  <c r="AL404" i="9"/>
  <c r="AN403" i="9"/>
  <c r="AM403" i="9"/>
  <c r="AL403" i="9"/>
  <c r="AN402" i="9"/>
  <c r="AM402" i="9"/>
  <c r="AL402" i="9"/>
  <c r="AN401" i="9"/>
  <c r="AM401" i="9"/>
  <c r="AL401" i="9"/>
  <c r="AN400" i="9"/>
  <c r="AM400" i="9"/>
  <c r="AL400" i="9"/>
  <c r="AN399" i="9"/>
  <c r="AM399" i="9"/>
  <c r="AL399" i="9"/>
  <c r="AN398" i="9"/>
  <c r="AM398" i="9"/>
  <c r="AL398" i="9"/>
  <c r="AN397" i="9"/>
  <c r="AM397" i="9"/>
  <c r="AL397" i="9"/>
  <c r="AN396" i="9"/>
  <c r="AM396" i="9"/>
  <c r="AL396" i="9"/>
  <c r="AN395" i="9"/>
  <c r="AM395" i="9"/>
  <c r="AL395" i="9"/>
  <c r="AN394" i="9"/>
  <c r="AM394" i="9"/>
  <c r="AL394" i="9"/>
  <c r="AN393" i="9"/>
  <c r="AM393" i="9"/>
  <c r="AL393" i="9"/>
  <c r="AN392" i="9"/>
  <c r="AM392" i="9"/>
  <c r="AL392" i="9"/>
  <c r="AN391" i="9"/>
  <c r="AM391" i="9"/>
  <c r="AL391" i="9"/>
  <c r="AN390" i="9"/>
  <c r="AM390" i="9"/>
  <c r="AL390" i="9"/>
  <c r="AN389" i="9"/>
  <c r="AM389" i="9"/>
  <c r="AL389" i="9"/>
  <c r="AN388" i="9"/>
  <c r="AM388" i="9"/>
  <c r="AL388" i="9"/>
  <c r="AN387" i="9"/>
  <c r="AM387" i="9"/>
  <c r="AL387" i="9"/>
  <c r="AN386" i="9"/>
  <c r="AM386" i="9"/>
  <c r="AL386" i="9"/>
  <c r="AN385" i="9"/>
  <c r="AM385" i="9"/>
  <c r="AL385" i="9"/>
  <c r="AN384" i="9"/>
  <c r="AM384" i="9"/>
  <c r="AL384" i="9"/>
  <c r="AN383" i="9"/>
  <c r="AM383" i="9"/>
  <c r="AL383" i="9"/>
  <c r="AN382" i="9"/>
  <c r="AM382" i="9"/>
  <c r="AL382" i="9"/>
  <c r="AN381" i="9"/>
  <c r="AM381" i="9"/>
  <c r="AL381" i="9"/>
  <c r="AN380" i="9"/>
  <c r="AM380" i="9"/>
  <c r="AL380" i="9"/>
  <c r="AN379" i="9"/>
  <c r="AM379" i="9"/>
  <c r="AL379" i="9"/>
  <c r="AN378" i="9"/>
  <c r="AM378" i="9"/>
  <c r="AL378" i="9"/>
  <c r="AN377" i="9"/>
  <c r="AM377" i="9"/>
  <c r="AL377" i="9"/>
  <c r="AN376" i="9"/>
  <c r="AM376" i="9"/>
  <c r="AL376" i="9"/>
  <c r="AN375" i="9"/>
  <c r="AM375" i="9"/>
  <c r="AL375" i="9"/>
  <c r="AN374" i="9"/>
  <c r="AM374" i="9"/>
  <c r="AL374" i="9"/>
  <c r="AN373" i="9"/>
  <c r="AM373" i="9"/>
  <c r="AL373" i="9"/>
  <c r="AN372" i="9"/>
  <c r="AM372" i="9"/>
  <c r="AL372" i="9"/>
  <c r="AN371" i="9"/>
  <c r="AM371" i="9"/>
  <c r="AL371" i="9"/>
  <c r="AN370" i="9"/>
  <c r="AM370" i="9"/>
  <c r="AL370" i="9"/>
  <c r="AN369" i="9"/>
  <c r="AM369" i="9"/>
  <c r="AL369" i="9"/>
  <c r="AN368" i="9"/>
  <c r="AM368" i="9"/>
  <c r="AL368" i="9"/>
  <c r="AN367" i="9"/>
  <c r="AM367" i="9"/>
  <c r="AL367" i="9"/>
  <c r="AN366" i="9"/>
  <c r="AM366" i="9"/>
  <c r="AL366" i="9"/>
  <c r="AN365" i="9"/>
  <c r="AM365" i="9"/>
  <c r="AL365" i="9"/>
  <c r="AN364" i="9"/>
  <c r="AM364" i="9"/>
  <c r="AL364" i="9"/>
  <c r="AN363" i="9"/>
  <c r="AM363" i="9"/>
  <c r="AL363" i="9"/>
  <c r="AN362" i="9"/>
  <c r="AM362" i="9"/>
  <c r="AL362" i="9"/>
  <c r="AN361" i="9"/>
  <c r="AM361" i="9"/>
  <c r="AL361" i="9"/>
  <c r="AN360" i="9"/>
  <c r="AM360" i="9"/>
  <c r="AL360" i="9"/>
  <c r="AN359" i="9"/>
  <c r="AM359" i="9"/>
  <c r="AL359" i="9"/>
  <c r="AN358" i="9"/>
  <c r="AM358" i="9"/>
  <c r="AL358" i="9"/>
  <c r="AN357" i="9"/>
  <c r="AM357" i="9"/>
  <c r="AL357" i="9"/>
  <c r="AN356" i="9"/>
  <c r="AM356" i="9"/>
  <c r="AL356" i="9"/>
  <c r="AN355" i="9"/>
  <c r="AM355" i="9"/>
  <c r="AL355" i="9"/>
  <c r="AN354" i="9"/>
  <c r="AM354" i="9"/>
  <c r="AL354" i="9"/>
  <c r="AN353" i="9"/>
  <c r="AM353" i="9"/>
  <c r="AL353" i="9"/>
  <c r="AN352" i="9"/>
  <c r="AM352" i="9"/>
  <c r="AL352" i="9"/>
  <c r="AN351" i="9"/>
  <c r="AM351" i="9"/>
  <c r="AL351" i="9"/>
  <c r="AN350" i="9"/>
  <c r="AM350" i="9"/>
  <c r="AL350" i="9"/>
  <c r="AN349" i="9"/>
  <c r="AM349" i="9"/>
  <c r="AL349" i="9"/>
  <c r="AN348" i="9"/>
  <c r="AM348" i="9"/>
  <c r="AL348" i="9"/>
  <c r="AN347" i="9"/>
  <c r="AM347" i="9"/>
  <c r="AL347" i="9"/>
  <c r="AN346" i="9"/>
  <c r="AM346" i="9"/>
  <c r="AL346" i="9"/>
  <c r="AN345" i="9"/>
  <c r="AM345" i="9"/>
  <c r="AL345" i="9"/>
  <c r="AN344" i="9"/>
  <c r="AM344" i="9"/>
  <c r="AL344" i="9"/>
  <c r="AN343" i="9"/>
  <c r="AM343" i="9"/>
  <c r="AL343" i="9"/>
  <c r="AN342" i="9"/>
  <c r="AM342" i="9"/>
  <c r="AL342" i="9"/>
  <c r="AN341" i="9"/>
  <c r="AM341" i="9"/>
  <c r="AL341" i="9"/>
  <c r="AN340" i="9"/>
  <c r="AM340" i="9"/>
  <c r="AL340" i="9"/>
  <c r="AN339" i="9"/>
  <c r="AM339" i="9"/>
  <c r="AL339" i="9"/>
  <c r="AN338" i="9"/>
  <c r="AM338" i="9"/>
  <c r="AL338" i="9"/>
  <c r="AN337" i="9"/>
  <c r="AM337" i="9"/>
  <c r="AL337" i="9"/>
  <c r="AN336" i="9"/>
  <c r="AM336" i="9"/>
  <c r="AL336" i="9"/>
  <c r="AN335" i="9"/>
  <c r="AM335" i="9"/>
  <c r="AL335" i="9"/>
  <c r="AN334" i="9"/>
  <c r="AM334" i="9"/>
  <c r="AL334" i="9"/>
  <c r="AN333" i="9"/>
  <c r="AM333" i="9"/>
  <c r="AL333" i="9"/>
  <c r="AN332" i="9"/>
  <c r="AM332" i="9"/>
  <c r="AL332" i="9"/>
  <c r="AN331" i="9"/>
  <c r="AM331" i="9"/>
  <c r="AL331" i="9"/>
  <c r="AN330" i="9"/>
  <c r="AM330" i="9"/>
  <c r="AL330" i="9"/>
  <c r="AN329" i="9"/>
  <c r="AM329" i="9"/>
  <c r="AL329" i="9"/>
  <c r="AN328" i="9"/>
  <c r="AM328" i="9"/>
  <c r="AL328" i="9"/>
  <c r="AN327" i="9"/>
  <c r="AM327" i="9"/>
  <c r="AL327" i="9"/>
  <c r="AN326" i="9"/>
  <c r="AM326" i="9"/>
  <c r="AL326" i="9"/>
  <c r="AN325" i="9"/>
  <c r="AM325" i="9"/>
  <c r="AL325" i="9"/>
  <c r="AN324" i="9"/>
  <c r="AM324" i="9"/>
  <c r="AL324" i="9"/>
  <c r="AN323" i="9"/>
  <c r="AM323" i="9"/>
  <c r="AL323" i="9"/>
  <c r="AN322" i="9"/>
  <c r="AM322" i="9"/>
  <c r="AL322" i="9"/>
  <c r="AN321" i="9"/>
  <c r="AM321" i="9"/>
  <c r="AL321" i="9"/>
  <c r="AN320" i="9"/>
  <c r="AM320" i="9"/>
  <c r="AL320" i="9"/>
  <c r="AN319" i="9"/>
  <c r="AM319" i="9"/>
  <c r="AL319" i="9"/>
  <c r="AN318" i="9"/>
  <c r="AM318" i="9"/>
  <c r="AL318" i="9"/>
  <c r="AN317" i="9"/>
  <c r="AM317" i="9"/>
  <c r="AL317" i="9"/>
  <c r="AN316" i="9"/>
  <c r="AM316" i="9"/>
  <c r="AL316" i="9"/>
  <c r="AN315" i="9"/>
  <c r="AM315" i="9"/>
  <c r="AL315" i="9"/>
  <c r="AN314" i="9"/>
  <c r="AM314" i="9"/>
  <c r="AL314" i="9"/>
  <c r="AN313" i="9"/>
  <c r="AM313" i="9"/>
  <c r="AL313" i="9"/>
  <c r="AN312" i="9"/>
  <c r="AM312" i="9"/>
  <c r="AL312" i="9"/>
  <c r="AN311" i="9"/>
  <c r="AM311" i="9"/>
  <c r="AL311" i="9"/>
  <c r="AN310" i="9"/>
  <c r="AM310" i="9"/>
  <c r="AL310" i="9"/>
  <c r="AN309" i="9"/>
  <c r="AM309" i="9"/>
  <c r="AL309" i="9"/>
  <c r="AN308" i="9"/>
  <c r="AM308" i="9"/>
  <c r="AL308" i="9"/>
  <c r="AN307" i="9"/>
  <c r="AM307" i="9"/>
  <c r="AL307" i="9"/>
  <c r="AN306" i="9"/>
  <c r="AM306" i="9"/>
  <c r="AL306" i="9"/>
  <c r="AN305" i="9"/>
  <c r="AM305" i="9"/>
  <c r="AL305" i="9"/>
  <c r="AN304" i="9"/>
  <c r="AM304" i="9"/>
  <c r="AL304" i="9"/>
  <c r="AN303" i="9"/>
  <c r="AM303" i="9"/>
  <c r="AL303" i="9"/>
  <c r="AN302" i="9"/>
  <c r="AM302" i="9"/>
  <c r="AL302" i="9"/>
  <c r="AN301" i="9"/>
  <c r="AM301" i="9"/>
  <c r="AL301" i="9"/>
  <c r="AN300" i="9"/>
  <c r="AM300" i="9"/>
  <c r="AL300" i="9"/>
  <c r="AN299" i="9"/>
  <c r="AM299" i="9"/>
  <c r="AL299" i="9"/>
  <c r="AN298" i="9"/>
  <c r="AM298" i="9"/>
  <c r="AL298" i="9"/>
  <c r="AN297" i="9"/>
  <c r="AM297" i="9"/>
  <c r="AL297" i="9"/>
  <c r="AN296" i="9"/>
  <c r="AM296" i="9"/>
  <c r="AL296" i="9"/>
  <c r="AN295" i="9"/>
  <c r="AM295" i="9"/>
  <c r="AL295" i="9"/>
  <c r="AN294" i="9"/>
  <c r="AM294" i="9"/>
  <c r="AL294" i="9"/>
  <c r="AN293" i="9"/>
  <c r="AM293" i="9"/>
  <c r="AL293" i="9"/>
  <c r="AN292" i="9"/>
  <c r="AM292" i="9"/>
  <c r="AL292" i="9"/>
  <c r="AN291" i="9"/>
  <c r="AM291" i="9"/>
  <c r="AL291" i="9"/>
  <c r="AN290" i="9"/>
  <c r="AM290" i="9"/>
  <c r="AL290" i="9"/>
  <c r="AN289" i="9"/>
  <c r="AM289" i="9"/>
  <c r="AL289" i="9"/>
  <c r="AN288" i="9"/>
  <c r="AM288" i="9"/>
  <c r="AL288" i="9"/>
  <c r="AN287" i="9"/>
  <c r="AM287" i="9"/>
  <c r="AL287" i="9"/>
  <c r="AN286" i="9"/>
  <c r="AM286" i="9"/>
  <c r="AL286" i="9"/>
  <c r="AN285" i="9"/>
  <c r="AM285" i="9"/>
  <c r="AL285" i="9"/>
  <c r="AN284" i="9"/>
  <c r="AM284" i="9"/>
  <c r="AL284" i="9"/>
  <c r="AN283" i="9"/>
  <c r="AM283" i="9"/>
  <c r="AL283" i="9"/>
  <c r="AN282" i="9"/>
  <c r="AM282" i="9"/>
  <c r="AL282" i="9"/>
  <c r="AN281" i="9"/>
  <c r="AM281" i="9"/>
  <c r="AL281" i="9"/>
  <c r="AN280" i="9"/>
  <c r="AM280" i="9"/>
  <c r="AL280" i="9"/>
  <c r="AN279" i="9"/>
  <c r="AM279" i="9"/>
  <c r="AL279" i="9"/>
  <c r="AN278" i="9"/>
  <c r="AM278" i="9"/>
  <c r="AL278" i="9"/>
  <c r="AN277" i="9"/>
  <c r="AM277" i="9"/>
  <c r="AL277" i="9"/>
  <c r="AN276" i="9"/>
  <c r="AM276" i="9"/>
  <c r="AL276" i="9"/>
  <c r="AN275" i="9"/>
  <c r="AM275" i="9"/>
  <c r="AL275" i="9"/>
  <c r="AN274" i="9"/>
  <c r="AM274" i="9"/>
  <c r="AL274" i="9"/>
  <c r="AN273" i="9"/>
  <c r="AM273" i="9"/>
  <c r="AL273" i="9"/>
  <c r="AN272" i="9"/>
  <c r="AM272" i="9"/>
  <c r="AL272" i="9"/>
  <c r="AN271" i="9"/>
  <c r="AM271" i="9"/>
  <c r="AL271" i="9"/>
  <c r="AN270" i="9"/>
  <c r="AM270" i="9"/>
  <c r="AL270" i="9"/>
  <c r="AN269" i="9"/>
  <c r="AM269" i="9"/>
  <c r="AL269" i="9"/>
  <c r="AN268" i="9"/>
  <c r="AM268" i="9"/>
  <c r="AL268" i="9"/>
  <c r="AN267" i="9"/>
  <c r="AM267" i="9"/>
  <c r="AL267" i="9"/>
  <c r="AN266" i="9"/>
  <c r="AM266" i="9"/>
  <c r="AL266" i="9"/>
  <c r="AN265" i="9"/>
  <c r="AM265" i="9"/>
  <c r="AL265" i="9"/>
  <c r="AN264" i="9"/>
  <c r="AM264" i="9"/>
  <c r="AL264" i="9"/>
  <c r="AN263" i="9"/>
  <c r="AM263" i="9"/>
  <c r="AL263" i="9"/>
  <c r="AN262" i="9"/>
  <c r="AM262" i="9"/>
  <c r="AL262" i="9"/>
  <c r="AN261" i="9"/>
  <c r="AM261" i="9"/>
  <c r="AL261" i="9"/>
  <c r="AN260" i="9"/>
  <c r="AM260" i="9"/>
  <c r="AL260" i="9"/>
  <c r="AN259" i="9"/>
  <c r="AM259" i="9"/>
  <c r="AL259" i="9"/>
  <c r="AN258" i="9"/>
  <c r="AM258" i="9"/>
  <c r="AL258" i="9"/>
  <c r="AN257" i="9"/>
  <c r="AM257" i="9"/>
  <c r="AL257" i="9"/>
  <c r="AN256" i="9"/>
  <c r="AM256" i="9"/>
  <c r="AL256" i="9"/>
  <c r="AN255" i="9"/>
  <c r="AM255" i="9"/>
  <c r="AL255" i="9"/>
  <c r="AN254" i="9"/>
  <c r="AM254" i="9"/>
  <c r="AL254" i="9"/>
  <c r="AN253" i="9"/>
  <c r="AM253" i="9"/>
  <c r="AL253" i="9"/>
  <c r="AN252" i="9"/>
  <c r="AM252" i="9"/>
  <c r="AL252" i="9"/>
  <c r="AN251" i="9"/>
  <c r="AM251" i="9"/>
  <c r="AL251" i="9"/>
  <c r="AN250" i="9"/>
  <c r="AM250" i="9"/>
  <c r="AL250" i="9"/>
  <c r="AN249" i="9"/>
  <c r="AM249" i="9"/>
  <c r="AL249" i="9"/>
  <c r="AN248" i="9"/>
  <c r="AM248" i="9"/>
  <c r="AL248" i="9"/>
  <c r="AN247" i="9"/>
  <c r="AM247" i="9"/>
  <c r="AL247" i="9"/>
  <c r="AN246" i="9"/>
  <c r="AM246" i="9"/>
  <c r="AL246" i="9"/>
  <c r="AN245" i="9"/>
  <c r="AM245" i="9"/>
  <c r="AL245" i="9"/>
  <c r="AN244" i="9"/>
  <c r="AM244" i="9"/>
  <c r="AL244" i="9"/>
  <c r="AN243" i="9"/>
  <c r="AM243" i="9"/>
  <c r="AL243" i="9"/>
  <c r="AN242" i="9"/>
  <c r="AM242" i="9"/>
  <c r="AL242" i="9"/>
  <c r="AN241" i="9"/>
  <c r="AM241" i="9"/>
  <c r="AL241" i="9"/>
  <c r="AN240" i="9"/>
  <c r="AM240" i="9"/>
  <c r="AL240" i="9"/>
  <c r="AN239" i="9"/>
  <c r="AM239" i="9"/>
  <c r="AL239" i="9"/>
  <c r="AN238" i="9"/>
  <c r="AM238" i="9"/>
  <c r="AL238" i="9"/>
  <c r="AN237" i="9"/>
  <c r="AM237" i="9"/>
  <c r="AL237" i="9"/>
  <c r="AN236" i="9"/>
  <c r="AM236" i="9"/>
  <c r="AL236" i="9"/>
  <c r="AN235" i="9"/>
  <c r="AM235" i="9"/>
  <c r="AL235" i="9"/>
  <c r="AN234" i="9"/>
  <c r="AM234" i="9"/>
  <c r="AL234" i="9"/>
  <c r="AN233" i="9"/>
  <c r="AM233" i="9"/>
  <c r="AL233" i="9"/>
  <c r="AN232" i="9"/>
  <c r="AM232" i="9"/>
  <c r="AL232" i="9"/>
  <c r="AN231" i="9"/>
  <c r="AM231" i="9"/>
  <c r="AL231" i="9"/>
  <c r="AN230" i="9"/>
  <c r="AM230" i="9"/>
  <c r="AL230" i="9"/>
  <c r="AN229" i="9"/>
  <c r="AM229" i="9"/>
  <c r="AL229" i="9"/>
  <c r="AN228" i="9"/>
  <c r="AM228" i="9"/>
  <c r="AL228" i="9"/>
  <c r="AN227" i="9"/>
  <c r="AM227" i="9"/>
  <c r="AL227" i="9"/>
  <c r="AN226" i="9"/>
  <c r="AM226" i="9"/>
  <c r="AL226" i="9"/>
  <c r="AN225" i="9"/>
  <c r="AM225" i="9"/>
  <c r="AL225" i="9"/>
  <c r="AN224" i="9"/>
  <c r="AM224" i="9"/>
  <c r="AL224" i="9"/>
  <c r="AN223" i="9"/>
  <c r="AM223" i="9"/>
  <c r="AL223" i="9"/>
  <c r="AN222" i="9"/>
  <c r="AM222" i="9"/>
  <c r="AL222" i="9"/>
  <c r="AN221" i="9"/>
  <c r="AM221" i="9"/>
  <c r="AL221" i="9"/>
  <c r="AN220" i="9"/>
  <c r="AM220" i="9"/>
  <c r="AL220" i="9"/>
  <c r="AN219" i="9"/>
  <c r="AM219" i="9"/>
  <c r="AL219" i="9"/>
  <c r="AN218" i="9"/>
  <c r="AM218" i="9"/>
  <c r="AL218" i="9"/>
  <c r="AN217" i="9"/>
  <c r="AM217" i="9"/>
  <c r="AL217" i="9"/>
  <c r="AN216" i="9"/>
  <c r="AM216" i="9"/>
  <c r="AL216" i="9"/>
  <c r="AN215" i="9"/>
  <c r="AM215" i="9"/>
  <c r="AL215" i="9"/>
  <c r="AN214" i="9"/>
  <c r="AM214" i="9"/>
  <c r="AL214" i="9"/>
  <c r="AN213" i="9"/>
  <c r="AM213" i="9"/>
  <c r="AL213" i="9"/>
  <c r="AN212" i="9"/>
  <c r="AM212" i="9"/>
  <c r="AL212" i="9"/>
  <c r="AN211" i="9"/>
  <c r="AM211" i="9"/>
  <c r="AL211" i="9"/>
  <c r="AN210" i="9"/>
  <c r="AM210" i="9"/>
  <c r="AL210" i="9"/>
  <c r="AN209" i="9"/>
  <c r="AM209" i="9"/>
  <c r="AL209" i="9"/>
  <c r="AN208" i="9"/>
  <c r="AM208" i="9"/>
  <c r="AL208" i="9"/>
  <c r="AN207" i="9"/>
  <c r="AM207" i="9"/>
  <c r="AL207" i="9"/>
  <c r="AN206" i="9"/>
  <c r="AM206" i="9"/>
  <c r="AL206" i="9"/>
  <c r="AN205" i="9"/>
  <c r="AM205" i="9"/>
  <c r="AL205" i="9"/>
  <c r="AN204" i="9"/>
  <c r="AM204" i="9"/>
  <c r="AL204" i="9"/>
  <c r="AN203" i="9"/>
  <c r="AM203" i="9"/>
  <c r="AL203" i="9"/>
  <c r="AN202" i="9"/>
  <c r="AM202" i="9"/>
  <c r="AL202" i="9"/>
  <c r="AN201" i="9"/>
  <c r="AM201" i="9"/>
  <c r="AL201" i="9"/>
  <c r="AN200" i="9"/>
  <c r="AM200" i="9"/>
  <c r="AL200" i="9"/>
  <c r="AN199" i="9"/>
  <c r="AM199" i="9"/>
  <c r="AL199" i="9"/>
  <c r="AN198" i="9"/>
  <c r="AM198" i="9"/>
  <c r="AL198" i="9"/>
  <c r="AN197" i="9"/>
  <c r="AM197" i="9"/>
  <c r="AL197" i="9"/>
  <c r="AN196" i="9"/>
  <c r="AM196" i="9"/>
  <c r="AL196" i="9"/>
  <c r="AN195" i="9"/>
  <c r="AM195" i="9"/>
  <c r="AL195" i="9"/>
  <c r="AN194" i="9"/>
  <c r="AM194" i="9"/>
  <c r="AL194" i="9"/>
  <c r="AN193" i="9"/>
  <c r="AM193" i="9"/>
  <c r="AL193" i="9"/>
  <c r="AN192" i="9"/>
  <c r="AM192" i="9"/>
  <c r="AL192" i="9"/>
  <c r="AN191" i="9"/>
  <c r="AM191" i="9"/>
  <c r="AL191" i="9"/>
  <c r="AN190" i="9"/>
  <c r="AM190" i="9"/>
  <c r="AL190" i="9"/>
  <c r="AN189" i="9"/>
  <c r="AM189" i="9"/>
  <c r="AL189" i="9"/>
  <c r="AN188" i="9"/>
  <c r="AM188" i="9"/>
  <c r="AL188" i="9"/>
  <c r="AN187" i="9"/>
  <c r="AM187" i="9"/>
  <c r="AL187" i="9"/>
  <c r="AN186" i="9"/>
  <c r="AM186" i="9"/>
  <c r="AL186" i="9"/>
  <c r="AN185" i="9"/>
  <c r="AM185" i="9"/>
  <c r="AL185" i="9"/>
  <c r="AN184" i="9"/>
  <c r="AM184" i="9"/>
  <c r="AL184" i="9"/>
  <c r="AN183" i="9"/>
  <c r="AM183" i="9"/>
  <c r="AL183" i="9"/>
  <c r="AN182" i="9"/>
  <c r="AM182" i="9"/>
  <c r="AL182" i="9"/>
  <c r="AN181" i="9"/>
  <c r="AM181" i="9"/>
  <c r="AL181" i="9"/>
  <c r="AN180" i="9"/>
  <c r="AM180" i="9"/>
  <c r="AL180" i="9"/>
  <c r="AN179" i="9"/>
  <c r="AM179" i="9"/>
  <c r="AL179" i="9"/>
  <c r="AN178" i="9"/>
  <c r="AM178" i="9"/>
  <c r="AL178" i="9"/>
  <c r="AN177" i="9"/>
  <c r="AM177" i="9"/>
  <c r="AL177" i="9"/>
  <c r="AN176" i="9"/>
  <c r="AM176" i="9"/>
  <c r="AL176" i="9"/>
  <c r="AN175" i="9"/>
  <c r="AM175" i="9"/>
  <c r="AL175" i="9"/>
  <c r="AN174" i="9"/>
  <c r="AM174" i="9"/>
  <c r="AL174" i="9"/>
  <c r="AN173" i="9"/>
  <c r="AM173" i="9"/>
  <c r="AL173" i="9"/>
  <c r="AN172" i="9"/>
  <c r="AM172" i="9"/>
  <c r="AL172" i="9"/>
  <c r="AN171" i="9"/>
  <c r="AM171" i="9"/>
  <c r="AL171" i="9"/>
  <c r="AN170" i="9"/>
  <c r="AM170" i="9"/>
  <c r="AL170" i="9"/>
  <c r="AN169" i="9"/>
  <c r="AM169" i="9"/>
  <c r="AL169" i="9"/>
  <c r="AN168" i="9"/>
  <c r="AM168" i="9"/>
  <c r="AL168" i="9"/>
  <c r="AN167" i="9"/>
  <c r="AM167" i="9"/>
  <c r="AL167" i="9"/>
  <c r="AN166" i="9"/>
  <c r="AM166" i="9"/>
  <c r="AL166" i="9"/>
  <c r="AN165" i="9"/>
  <c r="AM165" i="9"/>
  <c r="AL165" i="9"/>
  <c r="AN164" i="9"/>
  <c r="AM164" i="9"/>
  <c r="AL164" i="9"/>
  <c r="AN163" i="9"/>
  <c r="AM163" i="9"/>
  <c r="AL163" i="9"/>
  <c r="AN162" i="9"/>
  <c r="AM162" i="9"/>
  <c r="AL162" i="9"/>
  <c r="AN161" i="9"/>
  <c r="AM161" i="9"/>
  <c r="AL161" i="9"/>
  <c r="AN160" i="9"/>
  <c r="AM160" i="9"/>
  <c r="AL160" i="9"/>
  <c r="AN159" i="9"/>
  <c r="AM159" i="9"/>
  <c r="AL159" i="9"/>
  <c r="AN158" i="9"/>
  <c r="AM158" i="9"/>
  <c r="AL158" i="9"/>
  <c r="AN157" i="9"/>
  <c r="AM157" i="9"/>
  <c r="AL157" i="9"/>
  <c r="AN156" i="9"/>
  <c r="AM156" i="9"/>
  <c r="AL156" i="9"/>
  <c r="AN155" i="9"/>
  <c r="AM155" i="9"/>
  <c r="AL155" i="9"/>
  <c r="AN154" i="9"/>
  <c r="AM154" i="9"/>
  <c r="AL154" i="9"/>
  <c r="AN153" i="9"/>
  <c r="AM153" i="9"/>
  <c r="AL153" i="9"/>
  <c r="AN152" i="9"/>
  <c r="AM152" i="9"/>
  <c r="AL152" i="9"/>
  <c r="AN151" i="9"/>
  <c r="AM151" i="9"/>
  <c r="AL151" i="9"/>
  <c r="AN150" i="9"/>
  <c r="AM150" i="9"/>
  <c r="AL150" i="9"/>
  <c r="AN149" i="9"/>
  <c r="AM149" i="9"/>
  <c r="AL149" i="9"/>
  <c r="AN148" i="9"/>
  <c r="AM148" i="9"/>
  <c r="AL148" i="9"/>
  <c r="AN147" i="9"/>
  <c r="AM147" i="9"/>
  <c r="AL147" i="9"/>
  <c r="AN146" i="9"/>
  <c r="AM146" i="9"/>
  <c r="AL146" i="9"/>
  <c r="AN145" i="9"/>
  <c r="AM145" i="9"/>
  <c r="AL145" i="9"/>
  <c r="AN144" i="9"/>
  <c r="AM144" i="9"/>
  <c r="AL144" i="9"/>
  <c r="AN143" i="9"/>
  <c r="AM143" i="9"/>
  <c r="AL143" i="9"/>
  <c r="AN142" i="9"/>
  <c r="AM142" i="9"/>
  <c r="AL142" i="9"/>
  <c r="AN141" i="9"/>
  <c r="AM141" i="9"/>
  <c r="AL141" i="9"/>
  <c r="AN140" i="9"/>
  <c r="AM140" i="9"/>
  <c r="AL140" i="9"/>
  <c r="AN139" i="9"/>
  <c r="AM139" i="9"/>
  <c r="AL139" i="9"/>
  <c r="AN138" i="9"/>
  <c r="AM138" i="9"/>
  <c r="AL138" i="9"/>
  <c r="AN137" i="9"/>
  <c r="AM137" i="9"/>
  <c r="AL137" i="9"/>
  <c r="AN136" i="9"/>
  <c r="AM136" i="9"/>
  <c r="AL136" i="9"/>
  <c r="AN135" i="9"/>
  <c r="AM135" i="9"/>
  <c r="AL135" i="9"/>
  <c r="AN134" i="9"/>
  <c r="AM134" i="9"/>
  <c r="AL134" i="9"/>
  <c r="AN133" i="9"/>
  <c r="AM133" i="9"/>
  <c r="AL133" i="9"/>
  <c r="AN132" i="9"/>
  <c r="AM132" i="9"/>
  <c r="AL132" i="9"/>
  <c r="AN131" i="9"/>
  <c r="AM131" i="9"/>
  <c r="AL131" i="9"/>
  <c r="AN130" i="9"/>
  <c r="AM130" i="9"/>
  <c r="AL130" i="9"/>
  <c r="AN129" i="9"/>
  <c r="AM129" i="9"/>
  <c r="AL129" i="9"/>
  <c r="AN128" i="9"/>
  <c r="AM128" i="9"/>
  <c r="AL128" i="9"/>
  <c r="AN127" i="9"/>
  <c r="AM127" i="9"/>
  <c r="AL127" i="9"/>
  <c r="AN126" i="9"/>
  <c r="AM126" i="9"/>
  <c r="AL126" i="9"/>
  <c r="AN125" i="9"/>
  <c r="AM125" i="9"/>
  <c r="AL125" i="9"/>
  <c r="AN124" i="9"/>
  <c r="AM124" i="9"/>
  <c r="AL124" i="9"/>
  <c r="AN123" i="9"/>
  <c r="AM123" i="9"/>
  <c r="AL123" i="9"/>
  <c r="AN122" i="9"/>
  <c r="AM122" i="9"/>
  <c r="AL122" i="9"/>
  <c r="AN121" i="9"/>
  <c r="AM121" i="9"/>
  <c r="AL121" i="9"/>
  <c r="AN120" i="9"/>
  <c r="AM120" i="9"/>
  <c r="AL120" i="9"/>
  <c r="AN119" i="9"/>
  <c r="AM119" i="9"/>
  <c r="AL119" i="9"/>
  <c r="AN118" i="9"/>
  <c r="AM118" i="9"/>
  <c r="AL118" i="9"/>
  <c r="AN117" i="9"/>
  <c r="AM117" i="9"/>
  <c r="AL117" i="9"/>
  <c r="AN116" i="9"/>
  <c r="AM116" i="9"/>
  <c r="AL116" i="9"/>
  <c r="AN115" i="9"/>
  <c r="AM115" i="9"/>
  <c r="AL115" i="9"/>
  <c r="AN114" i="9"/>
  <c r="AM114" i="9"/>
  <c r="AL114" i="9"/>
  <c r="AN113" i="9"/>
  <c r="AM113" i="9"/>
  <c r="AL113" i="9"/>
  <c r="AN112" i="9"/>
  <c r="AM112" i="9"/>
  <c r="AL112" i="9"/>
  <c r="AN111" i="9"/>
  <c r="AM111" i="9"/>
  <c r="AL111" i="9"/>
  <c r="AN110" i="9"/>
  <c r="AM110" i="9"/>
  <c r="AL110" i="9"/>
  <c r="AN109" i="9"/>
  <c r="AM109" i="9"/>
  <c r="AL109" i="9"/>
  <c r="AN108" i="9"/>
  <c r="AM108" i="9"/>
  <c r="AL108" i="9"/>
  <c r="AN107" i="9"/>
  <c r="AM107" i="9"/>
  <c r="AL107" i="9"/>
  <c r="AN106" i="9"/>
  <c r="AM106" i="9"/>
  <c r="AL106" i="9"/>
  <c r="AN105" i="9"/>
  <c r="AM105" i="9"/>
  <c r="AL105" i="9"/>
  <c r="AN104" i="9"/>
  <c r="AM104" i="9"/>
  <c r="AL104" i="9"/>
  <c r="AN103" i="9"/>
  <c r="AM103" i="9"/>
  <c r="AL103" i="9"/>
  <c r="AN102" i="9"/>
  <c r="AM102" i="9"/>
  <c r="AL102" i="9"/>
  <c r="AN101" i="9"/>
  <c r="AM101" i="9"/>
  <c r="AL101" i="9"/>
  <c r="AN100" i="9"/>
  <c r="AM100" i="9"/>
  <c r="AL100" i="9"/>
  <c r="AN99" i="9"/>
  <c r="AM99" i="9"/>
  <c r="AL99" i="9"/>
  <c r="AN98" i="9"/>
  <c r="AM98" i="9"/>
  <c r="AL98" i="9"/>
  <c r="AN97" i="9"/>
  <c r="AM97" i="9"/>
  <c r="AL97" i="9"/>
  <c r="AN96" i="9"/>
  <c r="AM96" i="9"/>
  <c r="AL96" i="9"/>
  <c r="AN95" i="9"/>
  <c r="AM95" i="9"/>
  <c r="AL95" i="9"/>
  <c r="AN94" i="9"/>
  <c r="AM94" i="9"/>
  <c r="AL94" i="9"/>
  <c r="AN93" i="9"/>
  <c r="AM93" i="9"/>
  <c r="AL93" i="9"/>
  <c r="AN92" i="9"/>
  <c r="AM92" i="9"/>
  <c r="AL92" i="9"/>
  <c r="AN91" i="9"/>
  <c r="AM91" i="9"/>
  <c r="AL91" i="9"/>
  <c r="AN90" i="9"/>
  <c r="AM90" i="9"/>
  <c r="AL90" i="9"/>
  <c r="AN89" i="9"/>
  <c r="AM89" i="9"/>
  <c r="AL89" i="9"/>
  <c r="AN88" i="9"/>
  <c r="AM88" i="9"/>
  <c r="AL88" i="9"/>
  <c r="AN87" i="9"/>
  <c r="AM87" i="9"/>
  <c r="AL87" i="9"/>
  <c r="AN86" i="9"/>
  <c r="AM86" i="9"/>
  <c r="AL86" i="9"/>
  <c r="AN85" i="9"/>
  <c r="AM85" i="9"/>
  <c r="AL85" i="9"/>
  <c r="AN84" i="9"/>
  <c r="AM84" i="9"/>
  <c r="AL84" i="9"/>
  <c r="AN83" i="9"/>
  <c r="AM83" i="9"/>
  <c r="AL83" i="9"/>
  <c r="AN82" i="9"/>
  <c r="AM82" i="9"/>
  <c r="AL82" i="9"/>
  <c r="AN81" i="9"/>
  <c r="AM81" i="9"/>
  <c r="AL81" i="9"/>
  <c r="AN80" i="9"/>
  <c r="AM80" i="9"/>
  <c r="AL80" i="9"/>
  <c r="AN79" i="9"/>
  <c r="AM79" i="9"/>
  <c r="AL79" i="9"/>
  <c r="AN78" i="9"/>
  <c r="AM78" i="9"/>
  <c r="AL78" i="9"/>
  <c r="AN77" i="9"/>
  <c r="AM77" i="9"/>
  <c r="AL77" i="9"/>
  <c r="AN76" i="9"/>
  <c r="AM76" i="9"/>
  <c r="AL76" i="9"/>
  <c r="AN75" i="9"/>
  <c r="AM75" i="9"/>
  <c r="AL75" i="9"/>
  <c r="AN74" i="9"/>
  <c r="AM74" i="9"/>
  <c r="AL74" i="9"/>
  <c r="AN73" i="9"/>
  <c r="AM73" i="9"/>
  <c r="AL73" i="9"/>
  <c r="AN72" i="9"/>
  <c r="AM72" i="9"/>
  <c r="AL72" i="9"/>
  <c r="AN71" i="9"/>
  <c r="AM71" i="9"/>
  <c r="AL71" i="9"/>
  <c r="AN70" i="9"/>
  <c r="AM70" i="9"/>
  <c r="AL70" i="9"/>
  <c r="AN69" i="9"/>
  <c r="AM69" i="9"/>
  <c r="AL69" i="9"/>
  <c r="AN68" i="9"/>
  <c r="AM68" i="9"/>
  <c r="AL68" i="9"/>
  <c r="AN67" i="9"/>
  <c r="AM67" i="9"/>
  <c r="AL67" i="9"/>
  <c r="AN66" i="9"/>
  <c r="AM66" i="9"/>
  <c r="AL66" i="9"/>
  <c r="AN65" i="9"/>
  <c r="AM65" i="9"/>
  <c r="AL65" i="9"/>
  <c r="AN64" i="9"/>
  <c r="AM64" i="9"/>
  <c r="AL64" i="9"/>
  <c r="AN63" i="9"/>
  <c r="AM63" i="9"/>
  <c r="AL63" i="9"/>
  <c r="AN62" i="9"/>
  <c r="AM62" i="9"/>
  <c r="AL62" i="9"/>
  <c r="AN61" i="9"/>
  <c r="AM61" i="9"/>
  <c r="AL61" i="9"/>
  <c r="AN60" i="9"/>
  <c r="AM60" i="9"/>
  <c r="AL60" i="9"/>
  <c r="AN59" i="9"/>
  <c r="AM59" i="9"/>
  <c r="AL59" i="9"/>
  <c r="AN58" i="9"/>
  <c r="AM58" i="9"/>
  <c r="AL58" i="9"/>
  <c r="AN57" i="9"/>
  <c r="AM57" i="9"/>
  <c r="AL57" i="9"/>
  <c r="AN56" i="9"/>
  <c r="AM56" i="9"/>
  <c r="AL56" i="9"/>
  <c r="AN55" i="9"/>
  <c r="AM55" i="9"/>
  <c r="AL55" i="9"/>
  <c r="AN54" i="9"/>
  <c r="AM54" i="9"/>
  <c r="AL54" i="9"/>
  <c r="AN53" i="9"/>
  <c r="AM53" i="9"/>
  <c r="AL53" i="9"/>
  <c r="AN52" i="9"/>
  <c r="AM52" i="9"/>
  <c r="AL52" i="9"/>
  <c r="AN51" i="9"/>
  <c r="AM51" i="9"/>
  <c r="AL51" i="9"/>
  <c r="AN50" i="9"/>
  <c r="AM50" i="9"/>
  <c r="AL50" i="9"/>
  <c r="AN49" i="9"/>
  <c r="AM49" i="9"/>
  <c r="AL49" i="9"/>
  <c r="AN48" i="9"/>
  <c r="AM48" i="9"/>
  <c r="AL48" i="9"/>
  <c r="AN47" i="9"/>
  <c r="AM47" i="9"/>
  <c r="AL47" i="9"/>
  <c r="AN46" i="9"/>
  <c r="AM46" i="9"/>
  <c r="AL46" i="9"/>
  <c r="AN45" i="9"/>
  <c r="AM45" i="9"/>
  <c r="AL45" i="9"/>
  <c r="AN44" i="9"/>
  <c r="AM44" i="9"/>
  <c r="AL44" i="9"/>
  <c r="AN43" i="9"/>
  <c r="AM43" i="9"/>
  <c r="AL43" i="9"/>
  <c r="AN42" i="9"/>
  <c r="AM42" i="9"/>
  <c r="AL42" i="9"/>
  <c r="AN41" i="9"/>
  <c r="AM41" i="9"/>
  <c r="AL41" i="9"/>
  <c r="AN40" i="9"/>
  <c r="AM40" i="9"/>
  <c r="AL40" i="9"/>
  <c r="AN39" i="9"/>
  <c r="AM39" i="9"/>
  <c r="AL39" i="9"/>
  <c r="AN38" i="9"/>
  <c r="AM38" i="9"/>
  <c r="AL38" i="9"/>
  <c r="AN37" i="9"/>
  <c r="AM37" i="9"/>
  <c r="AL37" i="9"/>
  <c r="AN36" i="9"/>
  <c r="AM36" i="9"/>
  <c r="AL36" i="9"/>
  <c r="AN35" i="9"/>
  <c r="AM35" i="9"/>
  <c r="AL35" i="9"/>
  <c r="AN34" i="9"/>
  <c r="AM34" i="9"/>
  <c r="AL34" i="9"/>
  <c r="AN33" i="9"/>
  <c r="AM33" i="9"/>
  <c r="AL33" i="9"/>
  <c r="AN32" i="9"/>
  <c r="AM32" i="9"/>
  <c r="AL32" i="9"/>
  <c r="AN31" i="9"/>
  <c r="AM31" i="9"/>
  <c r="AL31" i="9"/>
  <c r="AN30" i="9"/>
  <c r="AM30" i="9"/>
  <c r="AL30" i="9"/>
  <c r="AN29" i="9"/>
  <c r="AM29" i="9"/>
  <c r="AL29" i="9"/>
  <c r="AN28" i="9"/>
  <c r="AM28" i="9"/>
  <c r="AL28" i="9"/>
  <c r="AN27" i="9"/>
  <c r="AM27" i="9"/>
  <c r="AL27" i="9"/>
  <c r="AN26" i="9"/>
  <c r="AM26" i="9"/>
  <c r="AL26" i="9"/>
  <c r="AN25" i="9"/>
  <c r="AM25" i="9"/>
  <c r="AL25" i="9"/>
  <c r="AN24" i="9"/>
  <c r="AM24" i="9"/>
  <c r="AL24" i="9"/>
  <c r="AN23" i="9"/>
  <c r="AM23" i="9"/>
  <c r="AL23" i="9"/>
  <c r="AN22" i="9"/>
  <c r="AM22" i="9"/>
  <c r="AL22" i="9"/>
  <c r="AN21" i="9"/>
  <c r="AM21" i="9"/>
  <c r="AL21" i="9"/>
  <c r="AN20" i="9"/>
  <c r="AM20" i="9"/>
  <c r="AL20" i="9"/>
  <c r="AN19" i="9"/>
  <c r="AM19" i="9"/>
  <c r="AL19" i="9"/>
  <c r="AN18" i="9"/>
  <c r="AM18" i="9"/>
  <c r="AL18" i="9"/>
  <c r="AN17" i="9"/>
  <c r="AM17" i="9"/>
  <c r="AL17" i="9"/>
  <c r="AN16" i="9"/>
  <c r="AM16" i="9"/>
  <c r="AL16" i="9"/>
  <c r="AN15" i="9"/>
  <c r="AM15" i="9"/>
  <c r="AL15" i="9"/>
  <c r="AN14" i="9"/>
  <c r="AM14" i="9"/>
  <c r="AL14" i="9"/>
  <c r="AN13" i="9"/>
  <c r="AM13" i="9"/>
  <c r="AL13" i="9"/>
  <c r="AN12" i="9"/>
  <c r="AM12" i="9"/>
  <c r="AL12" i="9"/>
  <c r="AN11" i="9"/>
  <c r="AM11" i="9"/>
  <c r="AL11" i="9"/>
  <c r="AN10" i="9"/>
  <c r="AM10" i="9"/>
  <c r="AL10" i="9"/>
  <c r="AN9" i="9"/>
  <c r="AM9" i="9"/>
  <c r="AL9" i="9"/>
  <c r="AN8" i="9"/>
  <c r="AM8" i="9"/>
  <c r="AL8" i="9"/>
  <c r="AN7" i="9"/>
  <c r="AM7" i="9"/>
  <c r="AL7" i="9"/>
  <c r="AN6" i="9"/>
  <c r="AM6" i="9"/>
  <c r="AL6" i="9"/>
  <c r="AN5" i="9"/>
  <c r="AM5" i="9"/>
  <c r="AL5" i="9"/>
  <c r="AN4" i="9"/>
  <c r="AM4" i="9"/>
  <c r="AL4" i="9"/>
  <c r="AN3" i="9"/>
  <c r="AM3" i="9"/>
  <c r="AL3" i="9"/>
  <c r="AN2" i="9"/>
  <c r="AM2" i="9"/>
  <c r="AL2" i="9"/>
  <c r="A2" i="10"/>
  <c r="A3" i="10" s="1"/>
  <c r="A4" i="10" s="1"/>
  <c r="A5" i="10" s="1"/>
  <c r="A6" i="10" s="1"/>
  <c r="A7" i="10" s="1"/>
  <c r="A8" i="10" s="1"/>
  <c r="A9" i="10" s="1"/>
  <c r="A10" i="10" s="1"/>
  <c r="A11" i="10" s="1"/>
  <c r="A12"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A47" i="10" s="1"/>
  <c r="A48" i="10" s="1"/>
  <c r="A49" i="10" s="1"/>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73" i="10" s="1"/>
  <c r="A74" i="10" s="1"/>
  <c r="A75" i="10" s="1"/>
  <c r="A76" i="10" s="1"/>
  <c r="A77" i="10" s="1"/>
  <c r="A78" i="10" s="1"/>
  <c r="A79" i="10" s="1"/>
  <c r="A80" i="10" s="1"/>
  <c r="A81" i="10" s="1"/>
  <c r="A82" i="10" s="1"/>
  <c r="A83" i="10" s="1"/>
  <c r="A84" i="10" s="1"/>
  <c r="A85" i="10" s="1"/>
  <c r="A86" i="10" s="1"/>
  <c r="A87" i="10" s="1"/>
  <c r="A88" i="10" s="1"/>
  <c r="A89" i="10" s="1"/>
  <c r="A90" i="10" s="1"/>
  <c r="A91" i="10" s="1"/>
  <c r="A92" i="10" s="1"/>
  <c r="A93" i="10" s="1"/>
  <c r="A94" i="10" s="1"/>
  <c r="A95" i="10" s="1"/>
  <c r="A96" i="10" s="1"/>
  <c r="A97" i="10" s="1"/>
  <c r="A98" i="10" s="1"/>
  <c r="A99" i="10" s="1"/>
  <c r="A100" i="10" s="1"/>
  <c r="A101" i="10" s="1"/>
  <c r="A102" i="10" s="1"/>
  <c r="A103" i="10" s="1"/>
  <c r="A104" i="10" s="1"/>
  <c r="A105" i="10" s="1"/>
  <c r="A106" i="10" s="1"/>
  <c r="A107" i="10" s="1"/>
  <c r="A108" i="10" s="1"/>
  <c r="A109" i="10" s="1"/>
  <c r="A110" i="10" s="1"/>
  <c r="A111" i="10" s="1"/>
  <c r="A112" i="10" s="1"/>
  <c r="A113" i="10" s="1"/>
  <c r="A114" i="10" s="1"/>
  <c r="A115" i="10" s="1"/>
  <c r="A116" i="10" s="1"/>
  <c r="A117" i="10" s="1"/>
  <c r="A118" i="10" s="1"/>
  <c r="A119" i="10" s="1"/>
  <c r="A120" i="10" s="1"/>
  <c r="A121" i="10" s="1"/>
  <c r="A122" i="10" s="1"/>
  <c r="A123" i="10" s="1"/>
  <c r="A124" i="10" s="1"/>
  <c r="A125" i="10" s="1"/>
  <c r="A126" i="10" s="1"/>
  <c r="A127" i="10" s="1"/>
  <c r="A128" i="10" s="1"/>
  <c r="A129" i="10" s="1"/>
  <c r="A130" i="10" s="1"/>
  <c r="A131" i="10" s="1"/>
  <c r="A132" i="10" s="1"/>
  <c r="A133" i="10" s="1"/>
  <c r="A134" i="10" s="1"/>
  <c r="A135" i="10" s="1"/>
  <c r="A136" i="10" s="1"/>
  <c r="A137" i="10" s="1"/>
  <c r="A138" i="10" s="1"/>
  <c r="A139" i="10" s="1"/>
  <c r="A140" i="10" s="1"/>
  <c r="A141" i="10" s="1"/>
  <c r="A142" i="10" s="1"/>
  <c r="A143" i="10" s="1"/>
  <c r="A144" i="10" s="1"/>
  <c r="A145" i="10" s="1"/>
  <c r="A146" i="10" s="1"/>
  <c r="A147" i="10" s="1"/>
  <c r="A148" i="10" s="1"/>
  <c r="A149" i="10" s="1"/>
  <c r="A150" i="10" s="1"/>
  <c r="A151" i="10" s="1"/>
  <c r="A152" i="10" s="1"/>
  <c r="A153" i="10" s="1"/>
  <c r="A154" i="10" s="1"/>
  <c r="A155" i="10" s="1"/>
  <c r="A156" i="10" s="1"/>
  <c r="A157" i="10" s="1"/>
  <c r="A158" i="10" s="1"/>
  <c r="A159" i="10" s="1"/>
  <c r="A160" i="10" s="1"/>
  <c r="A161" i="10" s="1"/>
  <c r="A162" i="10" s="1"/>
  <c r="A163" i="10" s="1"/>
  <c r="A164" i="10" s="1"/>
  <c r="A165" i="10" s="1"/>
  <c r="A166" i="10" s="1"/>
  <c r="A167" i="10" s="1"/>
  <c r="A168" i="10" s="1"/>
  <c r="A169" i="10" s="1"/>
  <c r="A170" i="10" s="1"/>
  <c r="A171" i="10" s="1"/>
  <c r="A172" i="10" s="1"/>
  <c r="A173" i="10" s="1"/>
  <c r="A174" i="10" s="1"/>
  <c r="A175" i="10" s="1"/>
  <c r="A176" i="10" s="1"/>
  <c r="A177" i="10" s="1"/>
  <c r="A178" i="10" s="1"/>
  <c r="A179" i="10" s="1"/>
  <c r="A180" i="10" s="1"/>
  <c r="A181" i="10" s="1"/>
  <c r="A182" i="10" s="1"/>
  <c r="A183" i="10" s="1"/>
  <c r="A184" i="10" s="1"/>
  <c r="A185" i="10" s="1"/>
  <c r="A186" i="10" s="1"/>
  <c r="A187" i="10" s="1"/>
  <c r="A188" i="10" s="1"/>
  <c r="A189" i="10" s="1"/>
  <c r="A190" i="10" s="1"/>
  <c r="A191" i="10" s="1"/>
  <c r="A192" i="10" s="1"/>
  <c r="A193" i="10" s="1"/>
  <c r="A194" i="10" s="1"/>
  <c r="A195" i="10" s="1"/>
  <c r="A196" i="10" s="1"/>
  <c r="A197" i="10" s="1"/>
  <c r="A198" i="10" s="1"/>
  <c r="A199" i="10" s="1"/>
  <c r="A200" i="10" s="1"/>
  <c r="A201" i="10" s="1"/>
  <c r="A202" i="10" s="1"/>
  <c r="A203" i="10" s="1"/>
  <c r="A204" i="10" s="1"/>
  <c r="A205" i="10" s="1"/>
  <c r="A206" i="10" s="1"/>
  <c r="A207" i="10" s="1"/>
  <c r="A208" i="10" s="1"/>
  <c r="A209" i="10" s="1"/>
  <c r="A210" i="10" s="1"/>
  <c r="A211" i="10" s="1"/>
  <c r="A212" i="10" s="1"/>
  <c r="A213" i="10" s="1"/>
  <c r="A214" i="10" s="1"/>
  <c r="A215" i="10" s="1"/>
  <c r="A216" i="10" s="1"/>
  <c r="A217" i="10" s="1"/>
  <c r="A218" i="10" s="1"/>
  <c r="A219" i="10" s="1"/>
  <c r="A220" i="10" s="1"/>
  <c r="A221" i="10" s="1"/>
  <c r="A222" i="10" s="1"/>
  <c r="A223" i="10" s="1"/>
  <c r="A224" i="10" s="1"/>
  <c r="A225" i="10" s="1"/>
  <c r="A226" i="10" s="1"/>
  <c r="A227" i="10" s="1"/>
  <c r="A228" i="10" s="1"/>
  <c r="A229" i="10" s="1"/>
  <c r="A230" i="10" s="1"/>
  <c r="A231" i="10" s="1"/>
  <c r="A232" i="10" s="1"/>
  <c r="A233" i="10" s="1"/>
  <c r="A234" i="10" s="1"/>
  <c r="A235" i="10" s="1"/>
  <c r="A236" i="10" s="1"/>
  <c r="A237" i="10" s="1"/>
  <c r="A238" i="10" s="1"/>
  <c r="A239" i="10" s="1"/>
  <c r="A240" i="10" s="1"/>
  <c r="A241" i="10" s="1"/>
  <c r="A242" i="10" s="1"/>
  <c r="A243" i="10" s="1"/>
  <c r="A244" i="10" s="1"/>
  <c r="A245" i="10" s="1"/>
  <c r="A246" i="10" s="1"/>
  <c r="A247" i="10" s="1"/>
  <c r="A248" i="10" s="1"/>
  <c r="A249" i="10" s="1"/>
  <c r="A250" i="10" s="1"/>
  <c r="A251" i="10" s="1"/>
  <c r="A252" i="10" s="1"/>
  <c r="A253" i="10" s="1"/>
  <c r="A254" i="10" s="1"/>
  <c r="A255" i="10" s="1"/>
  <c r="A256" i="10" s="1"/>
  <c r="A257" i="10" s="1"/>
  <c r="A258" i="10" s="1"/>
  <c r="A259" i="10" s="1"/>
  <c r="A260" i="10" s="1"/>
  <c r="A261" i="10" s="1"/>
  <c r="A262" i="10" s="1"/>
  <c r="A263" i="10" s="1"/>
  <c r="A264" i="10" s="1"/>
  <c r="A265" i="10" s="1"/>
  <c r="A266" i="10" s="1"/>
  <c r="A267" i="10" s="1"/>
  <c r="A268" i="10" s="1"/>
  <c r="A269" i="10" s="1"/>
  <c r="A270" i="10" s="1"/>
  <c r="A271" i="10" s="1"/>
  <c r="A272" i="10" s="1"/>
  <c r="A273" i="10" s="1"/>
  <c r="A274" i="10" s="1"/>
  <c r="A275" i="10" s="1"/>
  <c r="A276" i="10" s="1"/>
  <c r="A277" i="10" s="1"/>
  <c r="A278" i="10" s="1"/>
  <c r="A279" i="10" s="1"/>
  <c r="A280" i="10" s="1"/>
  <c r="A281" i="10" s="1"/>
  <c r="A282" i="10" s="1"/>
  <c r="A283" i="10" s="1"/>
  <c r="A284" i="10" s="1"/>
  <c r="A285" i="10" s="1"/>
  <c r="A286" i="10" s="1"/>
  <c r="A287" i="10" s="1"/>
  <c r="A288" i="10" s="1"/>
  <c r="A289" i="10" s="1"/>
  <c r="A290" i="10" s="1"/>
  <c r="A291" i="10" s="1"/>
  <c r="A292" i="10" s="1"/>
  <c r="A293" i="10" s="1"/>
  <c r="A294" i="10" s="1"/>
  <c r="A295" i="10" s="1"/>
  <c r="A296" i="10" s="1"/>
  <c r="A297" i="10" s="1"/>
  <c r="A298" i="10" s="1"/>
  <c r="A299" i="10" s="1"/>
  <c r="A300" i="10" s="1"/>
  <c r="A301" i="10" s="1"/>
  <c r="A302" i="10" s="1"/>
  <c r="A303" i="10" s="1"/>
  <c r="A304" i="10" s="1"/>
  <c r="A305" i="10" s="1"/>
  <c r="A306" i="10" s="1"/>
  <c r="A307" i="10" s="1"/>
  <c r="A308" i="10" s="1"/>
  <c r="A309" i="10" s="1"/>
  <c r="A310" i="10" s="1"/>
  <c r="A311" i="10" s="1"/>
  <c r="A312" i="10" s="1"/>
  <c r="A313" i="10" s="1"/>
  <c r="A314" i="10" s="1"/>
  <c r="A315" i="10" s="1"/>
  <c r="A316" i="10" s="1"/>
  <c r="A317" i="10" s="1"/>
  <c r="A318" i="10" s="1"/>
  <c r="A319" i="10" s="1"/>
  <c r="A320" i="10" s="1"/>
  <c r="A321" i="10" s="1"/>
  <c r="A322" i="10" s="1"/>
  <c r="A323" i="10" s="1"/>
  <c r="A324" i="10" s="1"/>
  <c r="A325" i="10" s="1"/>
  <c r="A326" i="10" s="1"/>
  <c r="A327" i="10" s="1"/>
  <c r="A328" i="10" s="1"/>
  <c r="A329" i="10" s="1"/>
  <c r="A330" i="10" s="1"/>
  <c r="A331" i="10" s="1"/>
  <c r="A332" i="10" s="1"/>
  <c r="A333" i="10" s="1"/>
  <c r="A334" i="10" s="1"/>
  <c r="A335" i="10" s="1"/>
  <c r="A336" i="10" s="1"/>
  <c r="A337" i="10" s="1"/>
  <c r="A338" i="10" s="1"/>
  <c r="A339" i="10" s="1"/>
  <c r="A340" i="10" s="1"/>
  <c r="A341" i="10" s="1"/>
  <c r="A342" i="10" s="1"/>
  <c r="A343" i="10" s="1"/>
  <c r="A344" i="10" s="1"/>
  <c r="A345" i="10" s="1"/>
  <c r="A346" i="10" s="1"/>
  <c r="A347" i="10" s="1"/>
  <c r="A348" i="10" s="1"/>
  <c r="A349" i="10" s="1"/>
  <c r="A350" i="10" s="1"/>
  <c r="A351" i="10" s="1"/>
  <c r="A352" i="10" s="1"/>
  <c r="A353" i="10" s="1"/>
  <c r="A354" i="10" s="1"/>
  <c r="A355" i="10" s="1"/>
  <c r="A356" i="10" s="1"/>
  <c r="A357" i="10" s="1"/>
  <c r="A358" i="10" s="1"/>
  <c r="A359" i="10" s="1"/>
  <c r="A360" i="10" s="1"/>
  <c r="A361" i="10" s="1"/>
  <c r="A362" i="10" s="1"/>
  <c r="A363" i="10" s="1"/>
  <c r="A364" i="10" s="1"/>
  <c r="A365" i="10" s="1"/>
  <c r="A366" i="10" s="1"/>
  <c r="A367" i="10" s="1"/>
  <c r="A368" i="10" s="1"/>
  <c r="A369" i="10" s="1"/>
  <c r="A370" i="10" s="1"/>
  <c r="A371" i="10" s="1"/>
  <c r="A372" i="10" s="1"/>
  <c r="A373" i="10" s="1"/>
  <c r="A374" i="10" s="1"/>
  <c r="A375" i="10" s="1"/>
  <c r="A376" i="10" s="1"/>
  <c r="A377" i="10" s="1"/>
  <c r="A378" i="10" s="1"/>
  <c r="A379" i="10" s="1"/>
  <c r="A380" i="10" s="1"/>
  <c r="A381" i="10" s="1"/>
  <c r="A382" i="10" s="1"/>
  <c r="A383" i="10" s="1"/>
  <c r="A384" i="10" s="1"/>
  <c r="A385" i="10" s="1"/>
  <c r="A386" i="10" s="1"/>
  <c r="A387" i="10" s="1"/>
  <c r="A388" i="10" s="1"/>
  <c r="A389" i="10" s="1"/>
  <c r="A390" i="10" s="1"/>
  <c r="A391" i="10" s="1"/>
  <c r="A392" i="10" s="1"/>
  <c r="A393" i="10" s="1"/>
  <c r="A394" i="10" s="1"/>
  <c r="A395" i="10" s="1"/>
  <c r="A396" i="10" s="1"/>
  <c r="A397" i="10" s="1"/>
  <c r="A398" i="10" s="1"/>
  <c r="A399" i="10" s="1"/>
  <c r="A400" i="10" s="1"/>
  <c r="A401" i="10" s="1"/>
  <c r="A402" i="10" s="1"/>
  <c r="A403" i="10" s="1"/>
  <c r="A404" i="10" s="1"/>
  <c r="A405" i="10" s="1"/>
  <c r="A406" i="10" s="1"/>
  <c r="A407" i="10" s="1"/>
  <c r="A408" i="10" s="1"/>
  <c r="A409" i="10" s="1"/>
  <c r="A410" i="10" s="1"/>
  <c r="A411" i="10" s="1"/>
  <c r="A412" i="10" s="1"/>
  <c r="A413" i="10" s="1"/>
  <c r="A414" i="10" s="1"/>
  <c r="A415" i="10" s="1"/>
  <c r="A416" i="10" s="1"/>
  <c r="A417" i="10" s="1"/>
  <c r="A418" i="10" s="1"/>
  <c r="A419" i="10" s="1"/>
  <c r="A420" i="10" s="1"/>
  <c r="A421" i="10" s="1"/>
  <c r="A422" i="10" s="1"/>
  <c r="A423" i="10" s="1"/>
  <c r="A424" i="10" s="1"/>
  <c r="A425" i="10" s="1"/>
  <c r="A426" i="10" s="1"/>
  <c r="A427" i="10" s="1"/>
  <c r="A428" i="10" s="1"/>
  <c r="A429" i="10" s="1"/>
  <c r="A430" i="10" s="1"/>
  <c r="A431" i="10" s="1"/>
  <c r="A432" i="10" s="1"/>
  <c r="A433" i="10" s="1"/>
  <c r="A434" i="10" s="1"/>
  <c r="A435" i="10" s="1"/>
  <c r="A436" i="10" s="1"/>
  <c r="A437" i="10" s="1"/>
  <c r="A438" i="10" s="1"/>
  <c r="A439" i="10" s="1"/>
  <c r="A440" i="10" s="1"/>
  <c r="A441" i="10" s="1"/>
  <c r="A442" i="10" s="1"/>
  <c r="A443" i="10" s="1"/>
  <c r="A444" i="10" s="1"/>
  <c r="A445" i="10" s="1"/>
  <c r="A446" i="10" s="1"/>
  <c r="A447" i="10" s="1"/>
  <c r="A448" i="10" s="1"/>
  <c r="A449" i="10" s="1"/>
  <c r="A450" i="10" s="1"/>
  <c r="A451" i="10" s="1"/>
  <c r="A452" i="10" s="1"/>
  <c r="A453" i="10" s="1"/>
  <c r="A454" i="10" s="1"/>
  <c r="A455" i="10" s="1"/>
  <c r="A456" i="10" s="1"/>
  <c r="A457" i="10" s="1"/>
  <c r="A458" i="10" s="1"/>
  <c r="A459" i="10" s="1"/>
  <c r="A460" i="10" s="1"/>
  <c r="A461" i="10" s="1"/>
  <c r="A462" i="10" s="1"/>
  <c r="A463" i="10" s="1"/>
  <c r="A464" i="10" s="1"/>
  <c r="A465" i="10" s="1"/>
  <c r="A466" i="10" s="1"/>
  <c r="A467" i="10" s="1"/>
  <c r="A468" i="10" s="1"/>
  <c r="A469" i="10" s="1"/>
  <c r="A470" i="10" s="1"/>
  <c r="A471" i="10" s="1"/>
  <c r="A472" i="10" s="1"/>
  <c r="A473" i="10" s="1"/>
  <c r="A474" i="10" s="1"/>
  <c r="A475" i="10" s="1"/>
  <c r="A476" i="10" s="1"/>
  <c r="A477" i="10" s="1"/>
  <c r="A478" i="10" s="1"/>
  <c r="A479" i="10" s="1"/>
  <c r="A480" i="10" s="1"/>
  <c r="A481" i="10" s="1"/>
  <c r="A482" i="10" s="1"/>
  <c r="A483" i="10" s="1"/>
  <c r="A484" i="10" s="1"/>
  <c r="A485" i="10" s="1"/>
  <c r="A486" i="10" s="1"/>
  <c r="A487" i="10" s="1"/>
  <c r="A488" i="10" s="1"/>
  <c r="A489" i="10" s="1"/>
  <c r="A490" i="10" s="1"/>
  <c r="A491" i="10" s="1"/>
  <c r="A492" i="10" s="1"/>
  <c r="A493" i="10" s="1"/>
  <c r="A494" i="10" s="1"/>
  <c r="A495" i="10" s="1"/>
  <c r="A496" i="10" s="1"/>
  <c r="A497" i="10" s="1"/>
  <c r="A498" i="10" s="1"/>
  <c r="A499" i="10" s="1"/>
  <c r="A500" i="10" s="1"/>
  <c r="A501" i="10" s="1"/>
  <c r="A502" i="10" s="1"/>
  <c r="A503" i="10" s="1"/>
  <c r="A504" i="10" s="1"/>
  <c r="A505" i="10" s="1"/>
  <c r="A506" i="10" s="1"/>
  <c r="A507" i="10" s="1"/>
  <c r="A508" i="10" s="1"/>
  <c r="A509" i="10" s="1"/>
  <c r="A510" i="10" s="1"/>
  <c r="A511" i="10" s="1"/>
  <c r="A512" i="10" s="1"/>
  <c r="A513" i="10" s="1"/>
  <c r="A514" i="10" s="1"/>
  <c r="A515" i="10" s="1"/>
  <c r="A516" i="10" s="1"/>
  <c r="A517" i="10" s="1"/>
  <c r="A518" i="10" s="1"/>
  <c r="A519" i="10" s="1"/>
  <c r="A520" i="10" s="1"/>
  <c r="A521" i="10" s="1"/>
  <c r="A522" i="10" s="1"/>
  <c r="A523" i="10" s="1"/>
  <c r="A524" i="10" s="1"/>
  <c r="A525" i="10" s="1"/>
  <c r="A526" i="10" s="1"/>
  <c r="A527" i="10" s="1"/>
  <c r="A528" i="10" s="1"/>
  <c r="A529" i="10" s="1"/>
  <c r="A530" i="10" s="1"/>
  <c r="A531" i="10" s="1"/>
  <c r="A532" i="10" s="1"/>
  <c r="A533" i="10" s="1"/>
  <c r="A534" i="10" s="1"/>
  <c r="A535" i="10" s="1"/>
  <c r="A536" i="10" s="1"/>
  <c r="A537" i="10" s="1"/>
  <c r="A538" i="10" s="1"/>
  <c r="A539" i="10" s="1"/>
  <c r="A540" i="10" s="1"/>
  <c r="A541" i="10" s="1"/>
  <c r="A542" i="10" s="1"/>
  <c r="A543" i="10" s="1"/>
  <c r="A544" i="10" s="1"/>
  <c r="A545" i="10" s="1"/>
  <c r="A546" i="10" s="1"/>
  <c r="A547" i="10" s="1"/>
  <c r="A548" i="10" s="1"/>
  <c r="A549" i="10" s="1"/>
  <c r="A550" i="10" s="1"/>
  <c r="A551" i="10" s="1"/>
  <c r="A552" i="10" s="1"/>
  <c r="A553" i="10" s="1"/>
  <c r="A554" i="10" s="1"/>
  <c r="A555" i="10" s="1"/>
  <c r="A556" i="10" s="1"/>
  <c r="A557" i="10" s="1"/>
  <c r="A558" i="10" s="1"/>
  <c r="A559" i="10" s="1"/>
  <c r="A560" i="10" s="1"/>
  <c r="A561" i="10" s="1"/>
  <c r="A562" i="10" s="1"/>
  <c r="A563" i="10" s="1"/>
  <c r="A564" i="10" s="1"/>
  <c r="A565" i="10" s="1"/>
  <c r="A566" i="10" s="1"/>
  <c r="A567" i="10" s="1"/>
  <c r="A568" i="10" s="1"/>
  <c r="A569" i="10" s="1"/>
  <c r="A570" i="10" s="1"/>
  <c r="A571" i="10" s="1"/>
  <c r="A572" i="10" s="1"/>
  <c r="A573" i="10" s="1"/>
  <c r="A574" i="10" s="1"/>
  <c r="A575" i="10" s="1"/>
  <c r="A576" i="10" s="1"/>
  <c r="A577" i="10" s="1"/>
  <c r="A578" i="10" s="1"/>
  <c r="A579" i="10" s="1"/>
  <c r="A580" i="10" s="1"/>
  <c r="A581" i="10" s="1"/>
  <c r="A582" i="10" s="1"/>
  <c r="A583" i="10" s="1"/>
  <c r="A584" i="10" s="1"/>
  <c r="A585" i="10" s="1"/>
  <c r="A586" i="10" s="1"/>
  <c r="A587" i="10" s="1"/>
  <c r="A588" i="10" s="1"/>
  <c r="A589" i="10" s="1"/>
  <c r="A590" i="10" s="1"/>
  <c r="A591" i="10" s="1"/>
  <c r="A592" i="10" s="1"/>
  <c r="A593" i="10" s="1"/>
  <c r="A594" i="10" s="1"/>
  <c r="A595" i="10" s="1"/>
  <c r="A596" i="10" s="1"/>
  <c r="A597" i="10" s="1"/>
  <c r="A598" i="10" s="1"/>
  <c r="A599" i="10" s="1"/>
  <c r="A600" i="10" s="1"/>
  <c r="A601" i="10" s="1"/>
  <c r="A602" i="10" s="1"/>
  <c r="A603" i="10" s="1"/>
  <c r="A604" i="10" s="1"/>
  <c r="A605" i="10" s="1"/>
  <c r="A606" i="10" s="1"/>
  <c r="A607" i="10" s="1"/>
  <c r="A608" i="10" s="1"/>
  <c r="A609" i="10" s="1"/>
  <c r="A610" i="10" s="1"/>
  <c r="A611" i="10" s="1"/>
  <c r="A612" i="10" s="1"/>
  <c r="A613" i="10" s="1"/>
  <c r="A614" i="10" s="1"/>
  <c r="A615" i="10" s="1"/>
  <c r="A616" i="10" s="1"/>
  <c r="A617" i="10" s="1"/>
  <c r="A618" i="10" s="1"/>
  <c r="A619" i="10" s="1"/>
  <c r="A620" i="10" s="1"/>
  <c r="A621" i="10" s="1"/>
  <c r="A622" i="10" s="1"/>
  <c r="A623" i="10" s="1"/>
  <c r="A624" i="10" s="1"/>
  <c r="A625" i="10" s="1"/>
  <c r="A626" i="10" s="1"/>
  <c r="A627" i="10" s="1"/>
  <c r="A628" i="10" s="1"/>
  <c r="A629" i="10" s="1"/>
  <c r="A630" i="10" s="1"/>
  <c r="A631" i="10" s="1"/>
  <c r="A632" i="10" s="1"/>
  <c r="A633" i="10" s="1"/>
  <c r="A634" i="10" s="1"/>
  <c r="A635" i="10" s="1"/>
  <c r="A636" i="10" s="1"/>
  <c r="A637" i="10" s="1"/>
  <c r="A638" i="10" s="1"/>
  <c r="A639" i="10" s="1"/>
  <c r="A640" i="10" s="1"/>
  <c r="A641" i="10" s="1"/>
  <c r="A642" i="10" s="1"/>
  <c r="A643" i="10" s="1"/>
  <c r="A644" i="10" s="1"/>
  <c r="A645" i="10" s="1"/>
  <c r="A646" i="10" s="1"/>
  <c r="A647" i="10" s="1"/>
  <c r="A648" i="10" s="1"/>
  <c r="A649" i="10" s="1"/>
  <c r="A650" i="10" s="1"/>
  <c r="A651" i="10" s="1"/>
  <c r="A652" i="10" s="1"/>
  <c r="A653" i="10" s="1"/>
  <c r="A654" i="10" s="1"/>
  <c r="A655" i="10" s="1"/>
  <c r="A656" i="10" s="1"/>
  <c r="A657" i="10" s="1"/>
  <c r="A658" i="10" s="1"/>
  <c r="A659" i="10" s="1"/>
  <c r="A660" i="10" s="1"/>
  <c r="A661" i="10" s="1"/>
  <c r="A662" i="10" s="1"/>
  <c r="A663" i="10" s="1"/>
  <c r="A664" i="10" s="1"/>
  <c r="A665" i="10" s="1"/>
  <c r="A666" i="10" s="1"/>
  <c r="A667" i="10" s="1"/>
  <c r="A668" i="10" s="1"/>
  <c r="A669" i="10" s="1"/>
  <c r="A670" i="10" s="1"/>
  <c r="A671" i="10" s="1"/>
  <c r="A672" i="10" s="1"/>
  <c r="A673" i="10" s="1"/>
  <c r="A674" i="10" s="1"/>
  <c r="A675" i="10" s="1"/>
  <c r="A676" i="10" s="1"/>
  <c r="A677" i="10" s="1"/>
  <c r="A678" i="10" s="1"/>
  <c r="A679" i="10" s="1"/>
  <c r="A680" i="10" s="1"/>
  <c r="A681" i="10" s="1"/>
  <c r="A682" i="10" s="1"/>
  <c r="A683" i="10" s="1"/>
  <c r="A684" i="10" s="1"/>
  <c r="A685" i="10" s="1"/>
  <c r="A686" i="10" s="1"/>
  <c r="A687" i="10" s="1"/>
  <c r="A688" i="10" s="1"/>
  <c r="A689" i="10" s="1"/>
  <c r="A690" i="10" s="1"/>
  <c r="A691" i="10" s="1"/>
  <c r="A692" i="10" s="1"/>
  <c r="A693" i="10" s="1"/>
  <c r="A694" i="10" s="1"/>
  <c r="A695" i="10" s="1"/>
  <c r="A696" i="10" s="1"/>
  <c r="A697" i="10" s="1"/>
  <c r="A698" i="10" s="1"/>
  <c r="A699" i="10" s="1"/>
  <c r="A700" i="10" s="1"/>
  <c r="A701" i="10" s="1"/>
  <c r="A702" i="10" s="1"/>
  <c r="A703" i="10" s="1"/>
  <c r="A704" i="10" s="1"/>
  <c r="A705" i="10" s="1"/>
  <c r="A706" i="10" s="1"/>
  <c r="A707" i="10" s="1"/>
  <c r="A708" i="10" s="1"/>
  <c r="A709" i="10" s="1"/>
  <c r="A710" i="10" s="1"/>
  <c r="A711" i="10" s="1"/>
  <c r="A712" i="10" s="1"/>
  <c r="A713" i="10" s="1"/>
  <c r="A714" i="10" s="1"/>
  <c r="A715" i="10" s="1"/>
  <c r="A716" i="10" s="1"/>
  <c r="A717" i="10" s="1"/>
  <c r="A718" i="10" s="1"/>
  <c r="A719" i="10" s="1"/>
  <c r="A720" i="10" s="1"/>
  <c r="A721" i="10" s="1"/>
  <c r="A722" i="10" s="1"/>
  <c r="A723" i="10" s="1"/>
  <c r="A724" i="10" s="1"/>
  <c r="A725" i="10" s="1"/>
  <c r="A726" i="10" s="1"/>
  <c r="A727" i="10" s="1"/>
  <c r="A728" i="10" s="1"/>
  <c r="A729" i="10" s="1"/>
  <c r="A730" i="10" s="1"/>
  <c r="A731" i="10" s="1"/>
  <c r="A732" i="10" s="1"/>
  <c r="A733" i="10" s="1"/>
  <c r="A734" i="10" s="1"/>
  <c r="A735" i="10" s="1"/>
  <c r="A736" i="10" s="1"/>
  <c r="A737" i="10" s="1"/>
  <c r="A738" i="10" s="1"/>
  <c r="A739" i="10" s="1"/>
  <c r="A740" i="10" s="1"/>
  <c r="A741" i="10" s="1"/>
  <c r="A742" i="10" s="1"/>
  <c r="A743" i="10" s="1"/>
  <c r="A744" i="10" s="1"/>
  <c r="A745" i="10" s="1"/>
  <c r="A746" i="10" s="1"/>
  <c r="A747" i="10" s="1"/>
  <c r="A748" i="10" s="1"/>
  <c r="A749" i="10" s="1"/>
  <c r="A750" i="10" s="1"/>
  <c r="A751" i="10" s="1"/>
  <c r="A752" i="10" s="1"/>
  <c r="A753" i="10" s="1"/>
  <c r="A754" i="10" s="1"/>
  <c r="A755" i="10" s="1"/>
  <c r="A756" i="10" s="1"/>
  <c r="A757" i="10" s="1"/>
  <c r="A758" i="10" s="1"/>
  <c r="A759" i="10" s="1"/>
  <c r="A760" i="10" s="1"/>
  <c r="A761" i="10" s="1"/>
  <c r="A762" i="10" s="1"/>
  <c r="A763" i="10" s="1"/>
  <c r="A764" i="10" s="1"/>
  <c r="A765" i="10" s="1"/>
  <c r="A766" i="10" s="1"/>
  <c r="A767" i="10" s="1"/>
  <c r="A768" i="10" s="1"/>
  <c r="A769" i="10" s="1"/>
  <c r="A770" i="10" s="1"/>
  <c r="A771" i="10" s="1"/>
  <c r="A772" i="10" s="1"/>
  <c r="A773" i="10" s="1"/>
  <c r="A774" i="10" s="1"/>
  <c r="A775" i="10" s="1"/>
  <c r="A776" i="10" s="1"/>
  <c r="A777" i="10" s="1"/>
  <c r="A778" i="10" s="1"/>
  <c r="A779" i="10" s="1"/>
  <c r="A780" i="10" s="1"/>
  <c r="A781" i="10" s="1"/>
  <c r="A782" i="10" s="1"/>
  <c r="A783" i="10" s="1"/>
  <c r="A784" i="10" s="1"/>
  <c r="A785" i="10" s="1"/>
  <c r="A786" i="10" s="1"/>
  <c r="A787" i="10" s="1"/>
  <c r="A788" i="10" s="1"/>
  <c r="A789" i="10" s="1"/>
  <c r="A790" i="10" s="1"/>
  <c r="A791" i="10" s="1"/>
  <c r="A792" i="10" s="1"/>
  <c r="A793" i="10" s="1"/>
  <c r="A794" i="10" s="1"/>
  <c r="A795" i="10" s="1"/>
  <c r="A796" i="10" s="1"/>
  <c r="A797" i="10" s="1"/>
  <c r="A798" i="10" s="1"/>
  <c r="A799" i="10" s="1"/>
  <c r="A800" i="10" s="1"/>
  <c r="A801" i="10" s="1"/>
  <c r="A802" i="10" s="1"/>
  <c r="A803" i="10" s="1"/>
  <c r="A804" i="10" s="1"/>
  <c r="A805" i="10" s="1"/>
  <c r="A806" i="10" s="1"/>
  <c r="A807" i="10" s="1"/>
  <c r="A808" i="10" s="1"/>
  <c r="A809" i="10" s="1"/>
  <c r="A810" i="10" s="1"/>
  <c r="A811" i="10" s="1"/>
  <c r="A812" i="10" s="1"/>
  <c r="A813" i="10" s="1"/>
  <c r="A814" i="10" s="1"/>
  <c r="A815" i="10" s="1"/>
  <c r="A816" i="10" s="1"/>
  <c r="A817" i="10" s="1"/>
  <c r="A818" i="10" s="1"/>
  <c r="A819" i="10" s="1"/>
  <c r="A820" i="10" s="1"/>
  <c r="A821" i="10" s="1"/>
  <c r="A822" i="10" s="1"/>
  <c r="A823" i="10" s="1"/>
  <c r="A824" i="10" s="1"/>
  <c r="A825" i="10" s="1"/>
  <c r="A826" i="10" s="1"/>
  <c r="A827" i="10" s="1"/>
  <c r="A828" i="10" s="1"/>
  <c r="A829" i="10" s="1"/>
  <c r="A830" i="10" s="1"/>
  <c r="A831" i="10" s="1"/>
  <c r="A832" i="10" s="1"/>
  <c r="A833" i="10" s="1"/>
  <c r="A834" i="10" s="1"/>
  <c r="A835" i="10" s="1"/>
  <c r="A836" i="10" s="1"/>
  <c r="A837" i="10" s="1"/>
  <c r="A838" i="10" s="1"/>
  <c r="A839" i="10" s="1"/>
  <c r="A840" i="10" s="1"/>
  <c r="A841" i="10" s="1"/>
  <c r="A842" i="10" s="1"/>
  <c r="A843" i="10" s="1"/>
  <c r="A844" i="10" s="1"/>
  <c r="A845" i="10" s="1"/>
  <c r="A846" i="10" s="1"/>
  <c r="A847" i="10" s="1"/>
  <c r="A848" i="10" s="1"/>
  <c r="A849" i="10" s="1"/>
  <c r="A850" i="10" s="1"/>
  <c r="A851" i="10" s="1"/>
  <c r="A852" i="10" s="1"/>
  <c r="A853" i="10" s="1"/>
  <c r="A854" i="10" s="1"/>
  <c r="A855" i="10" s="1"/>
  <c r="A856" i="10" s="1"/>
  <c r="A857" i="10" s="1"/>
  <c r="A858" i="10" s="1"/>
  <c r="A859" i="10" s="1"/>
  <c r="A860" i="10" s="1"/>
  <c r="A861" i="10" s="1"/>
  <c r="A862" i="10" s="1"/>
  <c r="A863" i="10" s="1"/>
  <c r="A864" i="10" s="1"/>
  <c r="A865" i="10" s="1"/>
  <c r="A866" i="10" s="1"/>
  <c r="A867" i="10" s="1"/>
  <c r="A868" i="10" s="1"/>
  <c r="A869" i="10" s="1"/>
  <c r="A870" i="10" s="1"/>
  <c r="A871" i="10" s="1"/>
  <c r="A872" i="10" s="1"/>
  <c r="A873" i="10" s="1"/>
  <c r="A874" i="10" s="1"/>
  <c r="A875" i="10" s="1"/>
  <c r="A876" i="10" s="1"/>
  <c r="A877" i="10" s="1"/>
  <c r="A878" i="10" s="1"/>
  <c r="A879" i="10" s="1"/>
  <c r="A880" i="10" s="1"/>
  <c r="A881" i="10" s="1"/>
  <c r="A882" i="10" s="1"/>
  <c r="A883" i="10" s="1"/>
  <c r="A884" i="10" s="1"/>
  <c r="A885" i="10" s="1"/>
  <c r="A886" i="10" s="1"/>
  <c r="A887" i="10" s="1"/>
  <c r="A888" i="10" s="1"/>
  <c r="A889" i="10" s="1"/>
  <c r="A890" i="10" s="1"/>
  <c r="A891" i="10" s="1"/>
  <c r="A892" i="10" s="1"/>
  <c r="A893" i="10" s="1"/>
  <c r="A894" i="10" s="1"/>
  <c r="A895" i="10" s="1"/>
  <c r="A896" i="10" s="1"/>
  <c r="A897" i="10" s="1"/>
  <c r="A898" i="10" s="1"/>
  <c r="A899" i="10" s="1"/>
  <c r="A900" i="10" s="1"/>
  <c r="A901" i="10" s="1"/>
  <c r="A902" i="10" s="1"/>
  <c r="A903" i="10" s="1"/>
  <c r="A904" i="10" s="1"/>
  <c r="A905" i="10" s="1"/>
  <c r="A906" i="10" s="1"/>
  <c r="A907" i="10" s="1"/>
  <c r="A908" i="10" s="1"/>
  <c r="A909" i="10" s="1"/>
  <c r="A910" i="10" s="1"/>
  <c r="A911" i="10" s="1"/>
  <c r="A912" i="10" s="1"/>
  <c r="A913" i="10" s="1"/>
  <c r="A914" i="10" s="1"/>
  <c r="A915" i="10" s="1"/>
  <c r="A916" i="10" s="1"/>
  <c r="A917" i="10" s="1"/>
  <c r="A918" i="10" s="1"/>
  <c r="A919" i="10" s="1"/>
  <c r="A920" i="10" s="1"/>
  <c r="A921" i="10" s="1"/>
  <c r="A922" i="10" s="1"/>
  <c r="A923" i="10" s="1"/>
  <c r="A924" i="10" s="1"/>
  <c r="A925" i="10" s="1"/>
  <c r="A926" i="10" s="1"/>
  <c r="A927" i="10" s="1"/>
  <c r="A928" i="10" s="1"/>
  <c r="A929" i="10" s="1"/>
  <c r="A930" i="10" s="1"/>
  <c r="A931" i="10" s="1"/>
  <c r="A932" i="10" s="1"/>
  <c r="A933" i="10" s="1"/>
  <c r="A934" i="10" s="1"/>
  <c r="A935" i="10" s="1"/>
  <c r="A936" i="10" s="1"/>
  <c r="A937" i="10" s="1"/>
  <c r="A938" i="10" s="1"/>
  <c r="A939" i="10" s="1"/>
  <c r="A940" i="10" s="1"/>
  <c r="A941" i="10" s="1"/>
  <c r="A942" i="10" s="1"/>
  <c r="A943" i="10" s="1"/>
  <c r="A944" i="10" s="1"/>
  <c r="A945" i="10" s="1"/>
  <c r="A946" i="10" s="1"/>
  <c r="A947" i="10" s="1"/>
  <c r="A948" i="10" s="1"/>
  <c r="A949" i="10" s="1"/>
  <c r="A950" i="10" s="1"/>
  <c r="A951" i="10" s="1"/>
  <c r="A952" i="10" s="1"/>
  <c r="A953" i="10" s="1"/>
  <c r="A954" i="10" s="1"/>
  <c r="A955" i="10" s="1"/>
  <c r="A956" i="10" s="1"/>
  <c r="A957" i="10" s="1"/>
  <c r="A958" i="10" s="1"/>
  <c r="A959" i="10" s="1"/>
  <c r="A960" i="10" s="1"/>
  <c r="A961" i="10" s="1"/>
  <c r="A962" i="10" s="1"/>
  <c r="A963" i="10" s="1"/>
  <c r="A964" i="10" s="1"/>
  <c r="A965" i="10" s="1"/>
  <c r="A966" i="10" s="1"/>
  <c r="A967" i="10" s="1"/>
  <c r="A968" i="10" s="1"/>
  <c r="A969" i="10" s="1"/>
  <c r="A970" i="10" s="1"/>
  <c r="A971" i="10" s="1"/>
  <c r="A972" i="10" s="1"/>
  <c r="A973" i="10" s="1"/>
  <c r="A974" i="10" s="1"/>
  <c r="A975" i="10" s="1"/>
  <c r="A976" i="10" s="1"/>
  <c r="A977" i="10" s="1"/>
  <c r="A978" i="10" s="1"/>
  <c r="A979" i="10" s="1"/>
  <c r="A980" i="10" s="1"/>
  <c r="A981" i="10" s="1"/>
  <c r="A982" i="10" s="1"/>
  <c r="A983" i="10" s="1"/>
  <c r="A984" i="10" s="1"/>
  <c r="A985" i="10" s="1"/>
  <c r="A986" i="10" s="1"/>
  <c r="A987" i="10" s="1"/>
  <c r="A988" i="10" s="1"/>
  <c r="A989" i="10" s="1"/>
  <c r="A990" i="10" s="1"/>
  <c r="A991" i="10" s="1"/>
  <c r="A992" i="10" s="1"/>
  <c r="A993" i="10" s="1"/>
  <c r="A994" i="10" s="1"/>
  <c r="A995" i="10" s="1"/>
  <c r="A996" i="10" s="1"/>
  <c r="A997" i="10" s="1"/>
  <c r="A998" i="10" s="1"/>
  <c r="A999" i="10" s="1"/>
  <c r="A1000" i="10" s="1"/>
  <c r="A1001" i="10" s="1"/>
  <c r="A1002" i="10" s="1"/>
  <c r="A1003" i="10" s="1"/>
  <c r="A1004" i="10" s="1"/>
  <c r="A1005" i="10" s="1"/>
  <c r="A1006" i="10" s="1"/>
  <c r="A1007" i="10" s="1"/>
  <c r="A1008" i="10" s="1"/>
  <c r="A1009" i="10" s="1"/>
  <c r="A1010" i="10" s="1"/>
  <c r="A1011" i="10" s="1"/>
  <c r="A1012" i="10" s="1"/>
  <c r="A1013" i="10" s="1"/>
  <c r="A1014" i="10" s="1"/>
  <c r="A1015" i="10" s="1"/>
  <c r="A1016" i="10" s="1"/>
  <c r="A1017" i="10" s="1"/>
  <c r="A1018" i="10" s="1"/>
  <c r="A1019" i="10" s="1"/>
  <c r="A1020" i="10" s="1"/>
  <c r="A1021" i="10" s="1"/>
  <c r="A1022" i="10" s="1"/>
  <c r="A1023" i="10" s="1"/>
  <c r="A1024" i="10" s="1"/>
  <c r="A1025" i="10" s="1"/>
  <c r="A1026" i="10" s="1"/>
  <c r="A1027" i="10" s="1"/>
  <c r="A1028" i="10" s="1"/>
  <c r="A1029" i="10" s="1"/>
  <c r="A1030" i="10" s="1"/>
  <c r="A1031" i="10" s="1"/>
  <c r="A1032" i="10" s="1"/>
  <c r="A1033" i="10" s="1"/>
  <c r="A1034" i="10" s="1"/>
  <c r="A1035" i="10" s="1"/>
  <c r="A1036" i="10" s="1"/>
  <c r="A1037" i="10" s="1"/>
  <c r="A1038" i="10" s="1"/>
  <c r="A1039" i="10" s="1"/>
  <c r="A1040" i="10" s="1"/>
  <c r="A1041" i="10" s="1"/>
  <c r="A1042" i="10" s="1"/>
  <c r="A1043" i="10" s="1"/>
  <c r="A1044" i="10" s="1"/>
  <c r="A1045" i="10" s="1"/>
  <c r="A1046" i="10" s="1"/>
  <c r="A1047" i="10" s="1"/>
  <c r="A1048" i="10" s="1"/>
  <c r="A1049" i="10" s="1"/>
  <c r="A1050" i="10" s="1"/>
  <c r="A1051" i="10" s="1"/>
  <c r="A1052" i="10" s="1"/>
  <c r="A1053" i="10" s="1"/>
  <c r="A1054" i="10" s="1"/>
  <c r="A1055" i="10" s="1"/>
  <c r="A1056" i="10" s="1"/>
  <c r="A1057" i="10" s="1"/>
  <c r="A1058" i="10" s="1"/>
  <c r="A1059" i="10" s="1"/>
  <c r="A1060" i="10" s="1"/>
  <c r="A1061" i="10" s="1"/>
  <c r="A1062" i="10" s="1"/>
  <c r="A1063" i="10" s="1"/>
  <c r="A1064" i="10" s="1"/>
  <c r="A1065" i="10" s="1"/>
  <c r="A1066" i="10" s="1"/>
  <c r="A1067" i="10" s="1"/>
  <c r="A1068" i="10" s="1"/>
  <c r="A1069" i="10" s="1"/>
  <c r="A1070" i="10" s="1"/>
  <c r="A1071" i="10" s="1"/>
  <c r="A1072" i="10" s="1"/>
  <c r="A1073" i="10" s="1"/>
  <c r="A1074" i="10" s="1"/>
  <c r="A1075" i="10" s="1"/>
  <c r="A1076" i="10" s="1"/>
  <c r="A1077" i="10" s="1"/>
  <c r="A1078" i="10" s="1"/>
  <c r="A1079" i="10" s="1"/>
  <c r="A1080" i="10" s="1"/>
  <c r="A1081" i="10" s="1"/>
  <c r="A1082" i="10" s="1"/>
  <c r="A1083" i="10" s="1"/>
  <c r="A1084" i="10" s="1"/>
  <c r="A1085" i="10" s="1"/>
  <c r="A1086" i="10" s="1"/>
  <c r="A1087" i="10" s="1"/>
  <c r="A1088" i="10" s="1"/>
  <c r="A1089" i="10" s="1"/>
  <c r="A1090" i="10" s="1"/>
  <c r="A1091" i="10" s="1"/>
  <c r="A1092" i="10" s="1"/>
  <c r="A1093" i="10" s="1"/>
  <c r="A1094" i="10" s="1"/>
  <c r="A1095" i="10" s="1"/>
  <c r="A1096" i="10" s="1"/>
  <c r="A1097" i="10" s="1"/>
  <c r="A1098" i="10" s="1"/>
  <c r="A1099" i="10" s="1"/>
  <c r="A1100" i="10" s="1"/>
  <c r="A1101" i="10" s="1"/>
  <c r="A1102" i="10" s="1"/>
  <c r="A1103" i="10" s="1"/>
  <c r="A1104" i="10" s="1"/>
  <c r="A1105" i="10" s="1"/>
  <c r="A1106" i="10" s="1"/>
  <c r="A1107" i="10" s="1"/>
  <c r="A1108" i="10" s="1"/>
  <c r="A1109" i="10" s="1"/>
  <c r="A1110" i="10" s="1"/>
  <c r="A1111" i="10" s="1"/>
  <c r="A1112" i="10" s="1"/>
  <c r="A1113" i="10" s="1"/>
  <c r="A1114" i="10" s="1"/>
  <c r="A1115" i="10" s="1"/>
  <c r="A1116" i="10" s="1"/>
  <c r="A1117" i="10" s="1"/>
  <c r="A1118" i="10" s="1"/>
  <c r="A1119" i="10" s="1"/>
  <c r="A1120" i="10" s="1"/>
  <c r="A1121" i="10" s="1"/>
  <c r="A1122" i="10" s="1"/>
  <c r="A1123" i="10" s="1"/>
  <c r="A1124" i="10" s="1"/>
  <c r="A1125" i="10" s="1"/>
  <c r="A1126" i="10" s="1"/>
  <c r="A1127" i="10" s="1"/>
  <c r="A1128" i="10" s="1"/>
  <c r="A1129" i="10" s="1"/>
  <c r="A1130" i="10" s="1"/>
  <c r="A1131" i="10" s="1"/>
  <c r="A1132" i="10" s="1"/>
  <c r="A1133" i="10" s="1"/>
  <c r="A1134" i="10" s="1"/>
  <c r="A1135" i="10" s="1"/>
  <c r="A1136" i="10" s="1"/>
  <c r="A1137" i="10" s="1"/>
  <c r="A1138" i="10" s="1"/>
  <c r="A1139" i="10" s="1"/>
  <c r="A1140" i="10" s="1"/>
  <c r="A1141" i="10" s="1"/>
  <c r="A1142" i="10" s="1"/>
  <c r="A1143" i="10" s="1"/>
  <c r="A1144" i="10" s="1"/>
  <c r="A1145" i="10" s="1"/>
  <c r="A1146" i="10" s="1"/>
  <c r="A1147" i="10" s="1"/>
  <c r="A1148" i="10" s="1"/>
  <c r="A1149" i="10" s="1"/>
  <c r="A1150" i="10" s="1"/>
  <c r="A1151" i="10" s="1"/>
  <c r="A1152" i="10" s="1"/>
  <c r="A1153" i="10" s="1"/>
  <c r="A1154" i="10" s="1"/>
  <c r="A1155" i="10" s="1"/>
  <c r="A1156" i="10" s="1"/>
  <c r="A1157" i="10" s="1"/>
  <c r="A1158" i="10" s="1"/>
  <c r="A1159" i="10" s="1"/>
  <c r="A1160" i="10" s="1"/>
  <c r="A1161" i="10" s="1"/>
  <c r="A1162" i="10" s="1"/>
  <c r="A1163" i="10" s="1"/>
  <c r="A1164" i="10" s="1"/>
  <c r="A1165" i="10" s="1"/>
  <c r="A1166" i="10" s="1"/>
  <c r="A1167" i="10" s="1"/>
  <c r="A1168" i="10" s="1"/>
  <c r="A1169" i="10" s="1"/>
  <c r="A1170" i="10" s="1"/>
  <c r="A1171" i="10" s="1"/>
  <c r="A1172" i="10" s="1"/>
  <c r="A1173" i="10" s="1"/>
  <c r="A1174" i="10" s="1"/>
  <c r="A1175" i="10" s="1"/>
  <c r="A1176" i="10" s="1"/>
  <c r="A1177" i="10" s="1"/>
  <c r="A1178" i="10" s="1"/>
  <c r="A1179" i="10" s="1"/>
  <c r="A1180" i="10" s="1"/>
  <c r="A1181" i="10" s="1"/>
  <c r="A1182" i="10" s="1"/>
  <c r="A1183" i="10" s="1"/>
  <c r="A1184" i="10" s="1"/>
  <c r="A1185" i="10" s="1"/>
  <c r="A1186" i="10" s="1"/>
  <c r="A1187" i="10" s="1"/>
  <c r="A1188" i="10" s="1"/>
  <c r="A1189" i="10" s="1"/>
  <c r="A1190" i="10" s="1"/>
  <c r="A1191" i="10" s="1"/>
  <c r="A1192" i="10" s="1"/>
  <c r="A1193" i="10" s="1"/>
  <c r="A1194" i="10" s="1"/>
  <c r="A1195" i="10" s="1"/>
  <c r="A1196" i="10" s="1"/>
  <c r="A1197" i="10" s="1"/>
  <c r="A1198" i="10" s="1"/>
  <c r="A1199" i="10" s="1"/>
  <c r="A1200" i="10" s="1"/>
  <c r="A1201" i="10" s="1"/>
  <c r="A1202" i="10" s="1"/>
  <c r="A1203" i="10" s="1"/>
  <c r="A1204" i="10" s="1"/>
  <c r="A1205" i="10" s="1"/>
  <c r="A1206" i="10" s="1"/>
  <c r="A1207" i="10" s="1"/>
  <c r="A1208" i="10" s="1"/>
  <c r="A1209" i="10" s="1"/>
  <c r="A1210" i="10" s="1"/>
  <c r="A1211" i="10" s="1"/>
  <c r="A1212" i="10" s="1"/>
  <c r="A1213" i="10" s="1"/>
  <c r="A1214" i="10" s="1"/>
  <c r="A1215" i="10" s="1"/>
  <c r="A1216" i="10" s="1"/>
  <c r="A1217" i="10" s="1"/>
  <c r="A1218" i="10" s="1"/>
  <c r="A1219" i="10" s="1"/>
  <c r="A1220" i="10" s="1"/>
  <c r="A1221" i="10" s="1"/>
  <c r="A1222" i="10" s="1"/>
  <c r="A1223" i="10" s="1"/>
  <c r="A1224" i="10" s="1"/>
  <c r="A1225" i="10" s="1"/>
  <c r="A1226" i="10" s="1"/>
  <c r="A1227" i="10" s="1"/>
  <c r="A1228" i="10" s="1"/>
  <c r="A1229" i="10" s="1"/>
  <c r="A1230" i="10" s="1"/>
  <c r="A1231" i="10" s="1"/>
  <c r="A1232" i="10" s="1"/>
  <c r="A1233" i="10" s="1"/>
  <c r="A1234" i="10" s="1"/>
  <c r="A1235" i="10" s="1"/>
  <c r="A1236" i="10" s="1"/>
  <c r="A1237" i="10" s="1"/>
  <c r="A1238" i="10" s="1"/>
  <c r="A1239" i="10" s="1"/>
  <c r="A1240" i="10" s="1"/>
  <c r="A1241" i="10" s="1"/>
  <c r="A1242" i="10" s="1"/>
  <c r="A1243" i="10" s="1"/>
  <c r="A1244" i="10" s="1"/>
  <c r="A1245" i="10" s="1"/>
  <c r="A1246" i="10" s="1"/>
  <c r="A1247" i="10" s="1"/>
  <c r="A1248" i="10" s="1"/>
  <c r="A1249" i="10" s="1"/>
  <c r="A1250" i="10" s="1"/>
  <c r="A1251" i="10" s="1"/>
  <c r="A1252" i="10" s="1"/>
  <c r="A1253" i="10" s="1"/>
  <c r="A1254" i="10" s="1"/>
  <c r="A1255" i="10" s="1"/>
  <c r="A1256" i="10" s="1"/>
  <c r="A1257" i="10" s="1"/>
  <c r="A1258" i="10" s="1"/>
  <c r="A1259" i="10" s="1"/>
  <c r="A1260" i="10" s="1"/>
  <c r="A1261" i="10" s="1"/>
  <c r="A1262" i="10" s="1"/>
  <c r="A1263" i="10" s="1"/>
  <c r="A1264" i="10" s="1"/>
  <c r="A1265" i="10" s="1"/>
  <c r="A1266" i="10" s="1"/>
  <c r="A1267" i="10" s="1"/>
  <c r="A1268" i="10" s="1"/>
  <c r="A1269" i="10" s="1"/>
  <c r="A1270" i="10" s="1"/>
  <c r="A1271" i="10" s="1"/>
  <c r="A1272" i="10" s="1"/>
  <c r="A1273" i="10" s="1"/>
  <c r="A1274" i="10" s="1"/>
  <c r="A1275" i="10" s="1"/>
  <c r="A1276" i="10" s="1"/>
  <c r="A1277" i="10" s="1"/>
  <c r="A1278" i="10" s="1"/>
  <c r="A1279" i="10" s="1"/>
  <c r="A1280" i="10" s="1"/>
  <c r="A1281" i="10" s="1"/>
  <c r="A1282" i="10" s="1"/>
  <c r="A1283" i="10" s="1"/>
  <c r="A1284" i="10" s="1"/>
  <c r="A1285" i="10" s="1"/>
  <c r="A1286" i="10" s="1"/>
  <c r="A1287" i="10" s="1"/>
  <c r="A1288" i="10" s="1"/>
  <c r="A1289" i="10" s="1"/>
  <c r="A1290" i="10" s="1"/>
  <c r="A1291" i="10" s="1"/>
  <c r="A1292" i="10" s="1"/>
  <c r="A1293" i="10" s="1"/>
  <c r="A1294" i="10" s="1"/>
  <c r="A1295" i="10" s="1"/>
  <c r="A1296" i="10" s="1"/>
  <c r="A1297" i="10" s="1"/>
  <c r="A1298" i="10" s="1"/>
  <c r="A1299" i="10" s="1"/>
  <c r="A1300" i="10" s="1"/>
  <c r="A1301" i="10" s="1"/>
  <c r="A1302" i="10" s="1"/>
  <c r="A1303" i="10" s="1"/>
  <c r="A1304" i="10" s="1"/>
  <c r="A1305" i="10" s="1"/>
  <c r="A1306" i="10" s="1"/>
  <c r="A1307" i="10" s="1"/>
  <c r="A1308" i="10" s="1"/>
  <c r="A1309" i="10" s="1"/>
  <c r="A1310" i="10" s="1"/>
  <c r="A1311" i="10" s="1"/>
  <c r="A1312" i="10" s="1"/>
  <c r="A1313" i="10" s="1"/>
  <c r="A1314" i="10" s="1"/>
  <c r="A1315" i="10" s="1"/>
  <c r="A1316" i="10" s="1"/>
  <c r="A1317" i="10" s="1"/>
  <c r="A1318" i="10" s="1"/>
  <c r="A1319" i="10" s="1"/>
  <c r="A1320" i="10" s="1"/>
  <c r="A1321" i="10" s="1"/>
  <c r="A1322" i="10" s="1"/>
  <c r="A1323" i="10" s="1"/>
  <c r="A1324" i="10" s="1"/>
  <c r="A1325" i="10" s="1"/>
  <c r="A1326" i="10" s="1"/>
  <c r="A1327" i="10" s="1"/>
  <c r="A1328" i="10" s="1"/>
  <c r="A1329" i="10" s="1"/>
  <c r="A1330" i="10" s="1"/>
  <c r="A1331" i="10" s="1"/>
  <c r="A1332" i="10" s="1"/>
  <c r="A1333" i="10" s="1"/>
  <c r="A1334" i="10" s="1"/>
  <c r="A1335" i="10" s="1"/>
  <c r="A1336" i="10" s="1"/>
  <c r="A1337" i="10" s="1"/>
  <c r="A1338" i="10" s="1"/>
  <c r="A1339" i="10" s="1"/>
  <c r="A1340" i="10" s="1"/>
  <c r="A1341" i="10" s="1"/>
  <c r="A1342" i="10" s="1"/>
  <c r="A1343" i="10" s="1"/>
  <c r="A1344" i="10" s="1"/>
  <c r="A1345" i="10" s="1"/>
  <c r="A1346" i="10" s="1"/>
  <c r="A1347" i="10" s="1"/>
  <c r="A1348" i="10" s="1"/>
  <c r="A1349" i="10" s="1"/>
  <c r="A1350" i="10" s="1"/>
  <c r="A1351" i="10" s="1"/>
  <c r="A1352" i="10" s="1"/>
  <c r="A1353" i="10" s="1"/>
  <c r="A1354" i="10" s="1"/>
  <c r="A1355" i="10" s="1"/>
  <c r="A1356" i="10" s="1"/>
  <c r="A1357" i="10" s="1"/>
  <c r="A1358" i="10" s="1"/>
  <c r="A1359" i="10" s="1"/>
  <c r="A1360" i="10" s="1"/>
  <c r="A1361" i="10" s="1"/>
  <c r="A1362" i="10" s="1"/>
  <c r="A1363" i="10" s="1"/>
  <c r="A1364" i="10" s="1"/>
  <c r="A1365" i="10" s="1"/>
  <c r="A1366" i="10" s="1"/>
  <c r="A1367" i="10" s="1"/>
  <c r="A1368" i="10" s="1"/>
  <c r="A1369" i="10" s="1"/>
  <c r="A1370" i="10" s="1"/>
  <c r="A1371" i="10" s="1"/>
  <c r="A1372" i="10" s="1"/>
  <c r="A1373" i="10" s="1"/>
  <c r="A1374" i="10" s="1"/>
  <c r="A1375" i="10" s="1"/>
  <c r="A1376" i="10" s="1"/>
  <c r="A1377" i="10" s="1"/>
  <c r="A1378" i="10" s="1"/>
  <c r="A1379" i="10" s="1"/>
  <c r="A1380" i="10" s="1"/>
  <c r="A1381" i="10" s="1"/>
  <c r="A1382" i="10" s="1"/>
  <c r="A1383" i="10" s="1"/>
  <c r="A1384" i="10" s="1"/>
  <c r="A1385" i="10" s="1"/>
  <c r="A1386" i="10" s="1"/>
  <c r="A1387" i="10" s="1"/>
  <c r="A1388" i="10" s="1"/>
  <c r="A1389" i="10" s="1"/>
  <c r="A1390" i="10" s="1"/>
  <c r="A1391" i="10" s="1"/>
  <c r="A1392" i="10" s="1"/>
  <c r="A1393" i="10" s="1"/>
  <c r="A1394" i="10" s="1"/>
  <c r="A1395" i="10" s="1"/>
  <c r="A1396" i="10" s="1"/>
  <c r="A1397" i="10" s="1"/>
  <c r="A1398" i="10" s="1"/>
  <c r="A1399" i="10" s="1"/>
  <c r="A1400" i="10" s="1"/>
  <c r="A1401" i="10" s="1"/>
  <c r="A1402" i="10" s="1"/>
  <c r="A1403" i="10" s="1"/>
  <c r="A1404" i="10" s="1"/>
  <c r="A1405" i="10" s="1"/>
  <c r="A1406" i="10" s="1"/>
  <c r="A1407" i="10" s="1"/>
  <c r="A1408" i="10" s="1"/>
  <c r="A1409" i="10" s="1"/>
  <c r="A1410" i="10" s="1"/>
  <c r="A1411" i="10" s="1"/>
  <c r="A1412" i="10" s="1"/>
  <c r="A1413" i="10" s="1"/>
  <c r="A1414" i="10" s="1"/>
  <c r="A1415" i="10" s="1"/>
  <c r="A1416" i="10" s="1"/>
  <c r="A1417" i="10" s="1"/>
  <c r="A1418" i="10" s="1"/>
  <c r="A1419" i="10" s="1"/>
  <c r="A1420" i="10" s="1"/>
  <c r="A1421" i="10" s="1"/>
  <c r="A1422" i="10" s="1"/>
  <c r="A1423" i="10" s="1"/>
  <c r="A1424" i="10" s="1"/>
  <c r="A1425" i="10" s="1"/>
  <c r="A1426" i="10" s="1"/>
  <c r="A1427" i="10" s="1"/>
  <c r="A1428" i="10" s="1"/>
  <c r="A1429" i="10" s="1"/>
  <c r="A1430" i="10" s="1"/>
  <c r="A1431" i="10" s="1"/>
  <c r="A1432" i="10" s="1"/>
  <c r="A1433" i="10" s="1"/>
  <c r="A1434" i="10" s="1"/>
  <c r="A1435" i="10" s="1"/>
  <c r="A1436" i="10" s="1"/>
  <c r="A1437" i="10" s="1"/>
  <c r="A1438" i="10" s="1"/>
  <c r="A1439" i="10" s="1"/>
  <c r="A1440" i="10" s="1"/>
  <c r="A1441" i="10" s="1"/>
  <c r="A1442" i="10" s="1"/>
  <c r="A1443" i="10" s="1"/>
  <c r="A1444" i="10" s="1"/>
  <c r="A1445" i="10" s="1"/>
  <c r="A1446" i="10" s="1"/>
  <c r="A1447" i="10" s="1"/>
  <c r="A1448" i="10" s="1"/>
  <c r="A1449" i="10" s="1"/>
  <c r="A1450" i="10" s="1"/>
  <c r="A1451" i="10" s="1"/>
  <c r="A1452" i="10" s="1"/>
  <c r="A1453" i="10" s="1"/>
  <c r="A1454" i="10" s="1"/>
  <c r="A1455" i="10" s="1"/>
  <c r="A1456" i="10" s="1"/>
  <c r="A1457" i="10" s="1"/>
  <c r="A1458" i="10" s="1"/>
  <c r="A1459" i="10" s="1"/>
  <c r="A1460" i="10" s="1"/>
  <c r="A1461" i="10" s="1"/>
  <c r="A1462" i="10" s="1"/>
  <c r="A1463" i="10" s="1"/>
  <c r="A1464" i="10" s="1"/>
  <c r="A1465" i="10" s="1"/>
  <c r="A1466" i="10" s="1"/>
  <c r="A1467" i="10" s="1"/>
  <c r="A1468" i="10" s="1"/>
  <c r="A1469" i="10" s="1"/>
  <c r="A1470" i="10" s="1"/>
  <c r="A1471" i="10" s="1"/>
  <c r="A1472" i="10" s="1"/>
  <c r="A1473" i="10" s="1"/>
  <c r="A1474" i="10" s="1"/>
  <c r="A1475" i="10" s="1"/>
  <c r="A1476" i="10" s="1"/>
  <c r="A1477" i="10" s="1"/>
  <c r="A1478" i="10" s="1"/>
  <c r="A1479" i="10" s="1"/>
  <c r="A1480" i="10" s="1"/>
  <c r="A1481" i="10" s="1"/>
  <c r="A1482" i="10" s="1"/>
  <c r="A1483" i="10" s="1"/>
  <c r="A1484" i="10" s="1"/>
  <c r="A1485" i="10" s="1"/>
  <c r="A1486" i="10" s="1"/>
  <c r="A1487" i="10" s="1"/>
  <c r="A1488" i="10" s="1"/>
  <c r="A1489" i="10" s="1"/>
  <c r="A1490" i="10" s="1"/>
  <c r="A1491" i="10" s="1"/>
  <c r="A1492" i="10" s="1"/>
  <c r="A1493" i="10" s="1"/>
  <c r="A1494" i="10" s="1"/>
  <c r="A1495" i="10" s="1"/>
  <c r="A1496" i="10" s="1"/>
  <c r="A1497" i="10" s="1"/>
  <c r="A1498" i="10" s="1"/>
  <c r="A1499" i="10" s="1"/>
  <c r="A1500" i="10" s="1"/>
  <c r="A1501" i="10" s="1"/>
  <c r="A1502" i="10" s="1"/>
  <c r="A1503" i="10" s="1"/>
  <c r="A1504" i="10" s="1"/>
  <c r="A1505" i="10" s="1"/>
  <c r="A1506" i="10" s="1"/>
  <c r="A1507" i="10" s="1"/>
  <c r="A1508" i="10" s="1"/>
  <c r="A1509" i="10" s="1"/>
  <c r="A1510" i="10" s="1"/>
  <c r="A1511" i="10" s="1"/>
  <c r="A1512" i="10" s="1"/>
  <c r="A1513" i="10" s="1"/>
  <c r="A1514" i="10" s="1"/>
  <c r="A1515" i="10" s="1"/>
  <c r="A1516" i="10" s="1"/>
  <c r="A1517" i="10" s="1"/>
  <c r="A1518" i="10" s="1"/>
  <c r="A1519" i="10" s="1"/>
  <c r="A1520" i="10" s="1"/>
  <c r="A1521" i="10" s="1"/>
  <c r="A1522" i="10" s="1"/>
  <c r="A1523" i="10" s="1"/>
  <c r="A1524" i="10" s="1"/>
  <c r="A1525" i="10" s="1"/>
  <c r="A1526" i="10" s="1"/>
  <c r="A1527" i="10" s="1"/>
  <c r="A1528" i="10" s="1"/>
  <c r="A1529" i="10" s="1"/>
  <c r="A1530" i="10" s="1"/>
  <c r="A1531" i="10" s="1"/>
  <c r="A1532" i="10" s="1"/>
  <c r="A1533" i="10" s="1"/>
  <c r="A1534" i="10" s="1"/>
  <c r="A1535" i="10" s="1"/>
  <c r="A1536" i="10" s="1"/>
  <c r="A1537" i="10" s="1"/>
  <c r="A1538" i="10" s="1"/>
  <c r="A1539" i="10" s="1"/>
  <c r="A1540" i="10" s="1"/>
  <c r="A1541" i="10" s="1"/>
  <c r="A1542" i="10" s="1"/>
  <c r="A1543" i="10" s="1"/>
  <c r="A1544" i="10" s="1"/>
  <c r="A1545" i="10" s="1"/>
  <c r="A1546" i="10" s="1"/>
  <c r="A1547" i="10" s="1"/>
  <c r="A1548" i="10" s="1"/>
  <c r="A1549" i="10" s="1"/>
  <c r="A1550" i="10" s="1"/>
  <c r="A1551" i="10" s="1"/>
  <c r="A1552" i="10" s="1"/>
  <c r="A1553" i="10" s="1"/>
  <c r="A1554" i="10" s="1"/>
  <c r="A1555" i="10" s="1"/>
  <c r="A1556" i="10" s="1"/>
  <c r="A1557" i="10" s="1"/>
  <c r="A1558" i="10" s="1"/>
  <c r="A1559" i="10" s="1"/>
  <c r="A1560" i="10" s="1"/>
  <c r="A1561" i="10" s="1"/>
  <c r="A1562" i="10" s="1"/>
  <c r="A1563" i="10" s="1"/>
  <c r="A1564" i="10" s="1"/>
  <c r="A1565" i="10" s="1"/>
  <c r="A1566" i="10" s="1"/>
  <c r="A1567" i="10" s="1"/>
  <c r="A1568" i="10" s="1"/>
  <c r="A1569" i="10" s="1"/>
  <c r="A1570" i="10" s="1"/>
  <c r="A1571" i="10" s="1"/>
  <c r="A1572" i="10" s="1"/>
  <c r="A1573" i="10" s="1"/>
  <c r="A1574" i="10" s="1"/>
  <c r="A1575" i="10" s="1"/>
  <c r="A1576" i="10" s="1"/>
  <c r="A1577" i="10" s="1"/>
  <c r="A1578" i="10" s="1"/>
  <c r="A1579" i="10" s="1"/>
  <c r="A1580" i="10" s="1"/>
  <c r="A1581" i="10" s="1"/>
  <c r="A1582" i="10" s="1"/>
  <c r="A1583" i="10" s="1"/>
  <c r="A1584" i="10" s="1"/>
  <c r="A1585" i="10" s="1"/>
  <c r="A1586" i="10" s="1"/>
  <c r="A1587" i="10" s="1"/>
  <c r="A1588" i="10" s="1"/>
  <c r="A1589" i="10" s="1"/>
  <c r="A1590" i="10" s="1"/>
  <c r="A1591" i="10" s="1"/>
  <c r="A1592" i="10" s="1"/>
  <c r="A1593" i="10" s="1"/>
  <c r="A1594" i="10" s="1"/>
  <c r="A1595" i="10" s="1"/>
  <c r="A1596" i="10" s="1"/>
  <c r="A1597" i="10" s="1"/>
  <c r="A1598" i="10" s="1"/>
  <c r="A1599" i="10" s="1"/>
  <c r="A1600" i="10" s="1"/>
  <c r="A1601" i="10" s="1"/>
  <c r="A1602" i="10" s="1"/>
  <c r="A1603" i="10" s="1"/>
  <c r="A1604" i="10" s="1"/>
  <c r="A1605" i="10" s="1"/>
  <c r="A1606" i="10" s="1"/>
  <c r="A1607" i="10" s="1"/>
  <c r="A1608" i="10" s="1"/>
  <c r="A1609" i="10" s="1"/>
  <c r="A1610" i="10" s="1"/>
  <c r="A1611" i="10" s="1"/>
  <c r="A1612" i="10" s="1"/>
  <c r="A1613" i="10" s="1"/>
  <c r="A1614" i="10" s="1"/>
  <c r="A1615" i="10" s="1"/>
  <c r="A1616" i="10" s="1"/>
  <c r="A1617" i="10" s="1"/>
  <c r="A1618" i="10" s="1"/>
  <c r="A1619" i="10" s="1"/>
  <c r="A1620" i="10" s="1"/>
  <c r="A1621" i="10" s="1"/>
  <c r="A1622" i="10" s="1"/>
  <c r="A1623" i="10" s="1"/>
  <c r="A1624" i="10" s="1"/>
  <c r="A1625" i="10" s="1"/>
  <c r="A1626" i="10" s="1"/>
  <c r="A1627" i="10" s="1"/>
  <c r="A1628" i="10" s="1"/>
  <c r="A1629" i="10" s="1"/>
  <c r="A1630" i="10" s="1"/>
  <c r="A1631" i="10" s="1"/>
  <c r="A1632" i="10" s="1"/>
  <c r="A1633" i="10" s="1"/>
  <c r="A1634" i="10" s="1"/>
  <c r="A1635" i="10" s="1"/>
  <c r="A1636" i="10" s="1"/>
  <c r="A1637" i="10" s="1"/>
  <c r="A1638" i="10" s="1"/>
  <c r="A1639" i="10" s="1"/>
  <c r="A1640" i="10" s="1"/>
  <c r="A1641" i="10" s="1"/>
  <c r="A1642" i="10" s="1"/>
  <c r="A1643" i="10" s="1"/>
  <c r="A1644" i="10" s="1"/>
  <c r="A1645" i="10" s="1"/>
  <c r="A1646" i="10" s="1"/>
  <c r="A1647" i="10" s="1"/>
  <c r="A1648" i="10" s="1"/>
  <c r="A1649" i="10" s="1"/>
  <c r="A1650" i="10" s="1"/>
  <c r="A1651" i="10" s="1"/>
  <c r="A1652" i="10" s="1"/>
  <c r="A1653" i="10" s="1"/>
  <c r="A1654" i="10" s="1"/>
  <c r="A1655" i="10" s="1"/>
  <c r="A1656" i="10" s="1"/>
  <c r="A1657" i="10" s="1"/>
  <c r="A1658" i="10" s="1"/>
  <c r="A1659" i="10" s="1"/>
  <c r="A1660" i="10" s="1"/>
  <c r="A1661" i="10" s="1"/>
  <c r="A1662" i="10" s="1"/>
  <c r="A1663" i="10" s="1"/>
  <c r="A1664" i="10" s="1"/>
  <c r="A1665" i="10" s="1"/>
  <c r="A1666" i="10" s="1"/>
  <c r="A1667" i="10" s="1"/>
  <c r="A1668" i="10" s="1"/>
  <c r="A1669" i="10" s="1"/>
  <c r="A1670" i="10" s="1"/>
  <c r="A1671" i="10" s="1"/>
  <c r="A1672" i="10" s="1"/>
  <c r="A1673" i="10" s="1"/>
  <c r="A1674" i="10" s="1"/>
  <c r="A1675" i="10" s="1"/>
  <c r="A1676" i="10" s="1"/>
  <c r="A1677" i="10" s="1"/>
  <c r="A1678" i="10" s="1"/>
  <c r="A1679" i="10" s="1"/>
  <c r="A1680" i="10" s="1"/>
  <c r="A1681" i="10" s="1"/>
  <c r="A1682" i="10" s="1"/>
  <c r="A1683" i="10" s="1"/>
  <c r="A1684" i="10" s="1"/>
  <c r="A1685" i="10" s="1"/>
  <c r="A1686" i="10" s="1"/>
  <c r="A1687" i="10" s="1"/>
  <c r="A1688" i="10" s="1"/>
  <c r="A1689" i="10" s="1"/>
  <c r="A1690" i="10" s="1"/>
  <c r="AN1690" i="10"/>
  <c r="AM1690" i="10"/>
  <c r="AL1690" i="10"/>
  <c r="AK1690" i="10"/>
  <c r="AN1689" i="10"/>
  <c r="AM1689" i="10"/>
  <c r="AL1689" i="10"/>
  <c r="AK1689" i="10"/>
  <c r="AN1688" i="10"/>
  <c r="AM1688" i="10"/>
  <c r="AL1688" i="10"/>
  <c r="AK1688" i="10"/>
  <c r="AN1687" i="10"/>
  <c r="AM1687" i="10"/>
  <c r="AL1687" i="10"/>
  <c r="AK1687" i="10"/>
  <c r="AN1686" i="10"/>
  <c r="AM1686" i="10"/>
  <c r="AL1686" i="10"/>
  <c r="AK1686" i="10"/>
  <c r="AN1685" i="10"/>
  <c r="AM1685" i="10"/>
  <c r="AL1685" i="10"/>
  <c r="AK1685" i="10"/>
  <c r="AN1684" i="10"/>
  <c r="AM1684" i="10"/>
  <c r="AL1684" i="10"/>
  <c r="AK1684" i="10"/>
  <c r="AN1683" i="10"/>
  <c r="AM1683" i="10"/>
  <c r="AL1683" i="10"/>
  <c r="AK1683" i="10"/>
  <c r="AN1682" i="10"/>
  <c r="AM1682" i="10"/>
  <c r="AL1682" i="10"/>
  <c r="AK1682" i="10"/>
  <c r="AN1681" i="10"/>
  <c r="AM1681" i="10"/>
  <c r="AL1681" i="10"/>
  <c r="AK1681" i="10"/>
  <c r="AN1680" i="10"/>
  <c r="AM1680" i="10"/>
  <c r="AL1680" i="10"/>
  <c r="AK1680" i="10"/>
  <c r="AN1679" i="10"/>
  <c r="AM1679" i="10"/>
  <c r="AL1679" i="10"/>
  <c r="AK1679" i="10"/>
  <c r="AN1678" i="10"/>
  <c r="AM1678" i="10"/>
  <c r="AL1678" i="10"/>
  <c r="AK1678" i="10"/>
  <c r="AN1677" i="10"/>
  <c r="AM1677" i="10"/>
  <c r="AL1677" i="10"/>
  <c r="AK1677" i="10"/>
  <c r="AN1676" i="10"/>
  <c r="AM1676" i="10"/>
  <c r="AL1676" i="10"/>
  <c r="AK1676" i="10"/>
  <c r="AN1675" i="10"/>
  <c r="AM1675" i="10"/>
  <c r="AL1675" i="10"/>
  <c r="AK1675" i="10"/>
  <c r="AN1674" i="10"/>
  <c r="AM1674" i="10"/>
  <c r="AL1674" i="10"/>
  <c r="AK1674" i="10"/>
  <c r="AN1673" i="10"/>
  <c r="AM1673" i="10"/>
  <c r="AL1673" i="10"/>
  <c r="AK1673" i="10"/>
  <c r="AN1672" i="10"/>
  <c r="AM1672" i="10"/>
  <c r="AL1672" i="10"/>
  <c r="AK1672" i="10"/>
  <c r="AN1671" i="10"/>
  <c r="AM1671" i="10"/>
  <c r="AL1671" i="10"/>
  <c r="AK1671" i="10"/>
  <c r="AN1670" i="10"/>
  <c r="AM1670" i="10"/>
  <c r="AL1670" i="10"/>
  <c r="AK1670" i="10"/>
  <c r="AN1669" i="10"/>
  <c r="AM1669" i="10"/>
  <c r="AL1669" i="10"/>
  <c r="AK1669" i="10"/>
  <c r="AN1668" i="10"/>
  <c r="AM1668" i="10"/>
  <c r="AL1668" i="10"/>
  <c r="AK1668" i="10"/>
  <c r="AN1667" i="10"/>
  <c r="AM1667" i="10"/>
  <c r="AL1667" i="10"/>
  <c r="AK1667" i="10"/>
  <c r="AN1666" i="10"/>
  <c r="AM1666" i="10"/>
  <c r="AL1666" i="10"/>
  <c r="AK1666" i="10"/>
  <c r="AN1665" i="10"/>
  <c r="AM1665" i="10"/>
  <c r="AL1665" i="10"/>
  <c r="AK1665" i="10"/>
  <c r="AN1664" i="10"/>
  <c r="AM1664" i="10"/>
  <c r="AL1664" i="10"/>
  <c r="AK1664" i="10"/>
  <c r="AN1663" i="10"/>
  <c r="AM1663" i="10"/>
  <c r="AL1663" i="10"/>
  <c r="AK1663" i="10"/>
  <c r="AN1662" i="10"/>
  <c r="AM1662" i="10"/>
  <c r="AL1662" i="10"/>
  <c r="AK1662" i="10"/>
  <c r="AN1661" i="10"/>
  <c r="AM1661" i="10"/>
  <c r="AL1661" i="10"/>
  <c r="AK1661" i="10"/>
  <c r="AN1660" i="10"/>
  <c r="AM1660" i="10"/>
  <c r="AL1660" i="10"/>
  <c r="AK1660" i="10"/>
  <c r="AN1659" i="10"/>
  <c r="AM1659" i="10"/>
  <c r="AL1659" i="10"/>
  <c r="AK1659" i="10"/>
  <c r="AN1658" i="10"/>
  <c r="AM1658" i="10"/>
  <c r="AL1658" i="10"/>
  <c r="AK1658" i="10"/>
  <c r="AN1657" i="10"/>
  <c r="AM1657" i="10"/>
  <c r="AL1657" i="10"/>
  <c r="AK1657" i="10"/>
  <c r="AN1656" i="10"/>
  <c r="AM1656" i="10"/>
  <c r="AL1656" i="10"/>
  <c r="AK1656" i="10"/>
  <c r="AN1655" i="10"/>
  <c r="AM1655" i="10"/>
  <c r="AL1655" i="10"/>
  <c r="AK1655" i="10"/>
  <c r="AN1654" i="10"/>
  <c r="AM1654" i="10"/>
  <c r="AL1654" i="10"/>
  <c r="AK1654" i="10"/>
  <c r="AN1653" i="10"/>
  <c r="AM1653" i="10"/>
  <c r="AL1653" i="10"/>
  <c r="AK1653" i="10"/>
  <c r="AN1652" i="10"/>
  <c r="AM1652" i="10"/>
  <c r="AL1652" i="10"/>
  <c r="AK1652" i="10"/>
  <c r="AN1651" i="10"/>
  <c r="AM1651" i="10"/>
  <c r="AL1651" i="10"/>
  <c r="AK1651" i="10"/>
  <c r="AN1650" i="10"/>
  <c r="AM1650" i="10"/>
  <c r="AL1650" i="10"/>
  <c r="AK1650" i="10"/>
  <c r="AN1649" i="10"/>
  <c r="AM1649" i="10"/>
  <c r="AL1649" i="10"/>
  <c r="AK1649" i="10"/>
  <c r="AN1648" i="10"/>
  <c r="AM1648" i="10"/>
  <c r="AL1648" i="10"/>
  <c r="AK1648" i="10"/>
  <c r="AN1647" i="10"/>
  <c r="AM1647" i="10"/>
  <c r="AL1647" i="10"/>
  <c r="AK1647" i="10"/>
  <c r="AN1646" i="10"/>
  <c r="AM1646" i="10"/>
  <c r="AL1646" i="10"/>
  <c r="AK1646" i="10"/>
  <c r="AN1645" i="10"/>
  <c r="AM1645" i="10"/>
  <c r="AL1645" i="10"/>
  <c r="AK1645" i="10"/>
  <c r="AN1644" i="10"/>
  <c r="AM1644" i="10"/>
  <c r="AL1644" i="10"/>
  <c r="AK1644" i="10"/>
  <c r="AN1643" i="10"/>
  <c r="AM1643" i="10"/>
  <c r="AL1643" i="10"/>
  <c r="AK1643" i="10"/>
  <c r="AN1642" i="10"/>
  <c r="AM1642" i="10"/>
  <c r="AL1642" i="10"/>
  <c r="AK1642" i="10"/>
  <c r="AN1641" i="10"/>
  <c r="AM1641" i="10"/>
  <c r="AL1641" i="10"/>
  <c r="AK1641" i="10"/>
  <c r="AN1640" i="10"/>
  <c r="AM1640" i="10"/>
  <c r="AL1640" i="10"/>
  <c r="AK1640" i="10"/>
  <c r="AN1639" i="10"/>
  <c r="AM1639" i="10"/>
  <c r="AL1639" i="10"/>
  <c r="AK1639" i="10"/>
  <c r="AN1638" i="10"/>
  <c r="AM1638" i="10"/>
  <c r="AL1638" i="10"/>
  <c r="AK1638" i="10"/>
  <c r="AN1637" i="10"/>
  <c r="AM1637" i="10"/>
  <c r="AL1637" i="10"/>
  <c r="AK1637" i="10"/>
  <c r="AN1636" i="10"/>
  <c r="AM1636" i="10"/>
  <c r="AL1636" i="10"/>
  <c r="AK1636" i="10"/>
  <c r="AN1635" i="10"/>
  <c r="AM1635" i="10"/>
  <c r="AL1635" i="10"/>
  <c r="AK1635" i="10"/>
  <c r="AN1634" i="10"/>
  <c r="AM1634" i="10"/>
  <c r="AL1634" i="10"/>
  <c r="AK1634" i="10"/>
  <c r="AN1633" i="10"/>
  <c r="AM1633" i="10"/>
  <c r="AL1633" i="10"/>
  <c r="AK1633" i="10"/>
  <c r="AN1632" i="10"/>
  <c r="AM1632" i="10"/>
  <c r="AL1632" i="10"/>
  <c r="AK1632" i="10"/>
  <c r="AN1631" i="10"/>
  <c r="AM1631" i="10"/>
  <c r="AL1631" i="10"/>
  <c r="AK1631" i="10"/>
  <c r="AN1630" i="10"/>
  <c r="AM1630" i="10"/>
  <c r="AL1630" i="10"/>
  <c r="AK1630" i="10"/>
  <c r="AN1629" i="10"/>
  <c r="AM1629" i="10"/>
  <c r="AL1629" i="10"/>
  <c r="AK1629" i="10"/>
  <c r="AN1628" i="10"/>
  <c r="AM1628" i="10"/>
  <c r="AL1628" i="10"/>
  <c r="AK1628" i="10"/>
  <c r="AN1627" i="10"/>
  <c r="AM1627" i="10"/>
  <c r="AL1627" i="10"/>
  <c r="AK1627" i="10"/>
  <c r="AN1626" i="10"/>
  <c r="AM1626" i="10"/>
  <c r="AL1626" i="10"/>
  <c r="AK1626" i="10"/>
  <c r="AN1625" i="10"/>
  <c r="AM1625" i="10"/>
  <c r="AL1625" i="10"/>
  <c r="AK1625" i="10"/>
  <c r="AN1624" i="10"/>
  <c r="AM1624" i="10"/>
  <c r="AL1624" i="10"/>
  <c r="AK1624" i="10"/>
  <c r="AN1623" i="10"/>
  <c r="AM1623" i="10"/>
  <c r="AL1623" i="10"/>
  <c r="AK1623" i="10"/>
  <c r="AN1622" i="10"/>
  <c r="AM1622" i="10"/>
  <c r="AL1622" i="10"/>
  <c r="AK1622" i="10"/>
  <c r="AN1621" i="10"/>
  <c r="AM1621" i="10"/>
  <c r="AL1621" i="10"/>
  <c r="AK1621" i="10"/>
  <c r="AN1620" i="10"/>
  <c r="AM1620" i="10"/>
  <c r="AL1620" i="10"/>
  <c r="AK1620" i="10"/>
  <c r="AN1619" i="10"/>
  <c r="AM1619" i="10"/>
  <c r="AL1619" i="10"/>
  <c r="AK1619" i="10"/>
  <c r="AN1618" i="10"/>
  <c r="AM1618" i="10"/>
  <c r="AL1618" i="10"/>
  <c r="AK1618" i="10"/>
  <c r="AN1617" i="10"/>
  <c r="AM1617" i="10"/>
  <c r="AL1617" i="10"/>
  <c r="AK1617" i="10"/>
  <c r="AN1616" i="10"/>
  <c r="AM1616" i="10"/>
  <c r="AL1616" i="10"/>
  <c r="AK1616" i="10"/>
  <c r="AN1615" i="10"/>
  <c r="AM1615" i="10"/>
  <c r="AL1615" i="10"/>
  <c r="AK1615" i="10"/>
  <c r="AN1614" i="10"/>
  <c r="AM1614" i="10"/>
  <c r="AL1614" i="10"/>
  <c r="AK1614" i="10"/>
  <c r="AN1613" i="10"/>
  <c r="AM1613" i="10"/>
  <c r="AL1613" i="10"/>
  <c r="AK1613" i="10"/>
  <c r="AN1612" i="10"/>
  <c r="AM1612" i="10"/>
  <c r="AL1612" i="10"/>
  <c r="AK1612" i="10"/>
  <c r="AN1611" i="10"/>
  <c r="AM1611" i="10"/>
  <c r="AL1611" i="10"/>
  <c r="AK1611" i="10"/>
  <c r="AN1610" i="10"/>
  <c r="AM1610" i="10"/>
  <c r="AL1610" i="10"/>
  <c r="AK1610" i="10"/>
  <c r="AN1609" i="10"/>
  <c r="AM1609" i="10"/>
  <c r="AL1609" i="10"/>
  <c r="AK1609" i="10"/>
  <c r="AN1608" i="10"/>
  <c r="AM1608" i="10"/>
  <c r="AL1608" i="10"/>
  <c r="AK1608" i="10"/>
  <c r="AN1607" i="10"/>
  <c r="AM1607" i="10"/>
  <c r="AL1607" i="10"/>
  <c r="AK1607" i="10"/>
  <c r="AN1606" i="10"/>
  <c r="AM1606" i="10"/>
  <c r="AL1606" i="10"/>
  <c r="AK1606" i="10"/>
  <c r="AN1605" i="10"/>
  <c r="AM1605" i="10"/>
  <c r="AL1605" i="10"/>
  <c r="AK1605" i="10"/>
  <c r="AN1604" i="10"/>
  <c r="AM1604" i="10"/>
  <c r="AL1604" i="10"/>
  <c r="AK1604" i="10"/>
  <c r="AN1603" i="10"/>
  <c r="AM1603" i="10"/>
  <c r="AL1603" i="10"/>
  <c r="AK1603" i="10"/>
  <c r="AN1602" i="10"/>
  <c r="AM1602" i="10"/>
  <c r="AL1602" i="10"/>
  <c r="AK1602" i="10"/>
  <c r="AN1601" i="10"/>
  <c r="AM1601" i="10"/>
  <c r="AL1601" i="10"/>
  <c r="AK1601" i="10"/>
  <c r="AN1600" i="10"/>
  <c r="AM1600" i="10"/>
  <c r="AL1600" i="10"/>
  <c r="AK1600" i="10"/>
  <c r="AN1599" i="10"/>
  <c r="AM1599" i="10"/>
  <c r="AL1599" i="10"/>
  <c r="AK1599" i="10"/>
  <c r="AN1598" i="10"/>
  <c r="AM1598" i="10"/>
  <c r="AL1598" i="10"/>
  <c r="AK1598" i="10"/>
  <c r="AN1597" i="10"/>
  <c r="AM1597" i="10"/>
  <c r="AL1597" i="10"/>
  <c r="AK1597" i="10"/>
  <c r="AN1596" i="10"/>
  <c r="AM1596" i="10"/>
  <c r="AL1596" i="10"/>
  <c r="AK1596" i="10"/>
  <c r="AN1595" i="10"/>
  <c r="AM1595" i="10"/>
  <c r="AL1595" i="10"/>
  <c r="AK1595" i="10"/>
  <c r="AN1594" i="10"/>
  <c r="AM1594" i="10"/>
  <c r="AL1594" i="10"/>
  <c r="AK1594" i="10"/>
  <c r="AN1593" i="10"/>
  <c r="AM1593" i="10"/>
  <c r="AL1593" i="10"/>
  <c r="AK1593" i="10"/>
  <c r="AN1592" i="10"/>
  <c r="AM1592" i="10"/>
  <c r="AL1592" i="10"/>
  <c r="AK1592" i="10"/>
  <c r="AN1591" i="10"/>
  <c r="AM1591" i="10"/>
  <c r="AL1591" i="10"/>
  <c r="AK1591" i="10"/>
  <c r="AN1590" i="10"/>
  <c r="AM1590" i="10"/>
  <c r="AL1590" i="10"/>
  <c r="AK1590" i="10"/>
  <c r="AN1589" i="10"/>
  <c r="AM1589" i="10"/>
  <c r="AL1589" i="10"/>
  <c r="AK1589" i="10"/>
  <c r="AN1588" i="10"/>
  <c r="AM1588" i="10"/>
  <c r="AL1588" i="10"/>
  <c r="AK1588" i="10"/>
  <c r="AN1587" i="10"/>
  <c r="AM1587" i="10"/>
  <c r="AL1587" i="10"/>
  <c r="AK1587" i="10"/>
  <c r="AN1586" i="10"/>
  <c r="AM1586" i="10"/>
  <c r="AL1586" i="10"/>
  <c r="AK1586" i="10"/>
  <c r="AN1585" i="10"/>
  <c r="AM1585" i="10"/>
  <c r="AL1585" i="10"/>
  <c r="AK1585" i="10"/>
  <c r="AN1584" i="10"/>
  <c r="AM1584" i="10"/>
  <c r="AL1584" i="10"/>
  <c r="AK1584" i="10"/>
  <c r="AN1583" i="10"/>
  <c r="AM1583" i="10"/>
  <c r="AL1583" i="10"/>
  <c r="AK1583" i="10"/>
  <c r="AN1582" i="10"/>
  <c r="AM1582" i="10"/>
  <c r="AL1582" i="10"/>
  <c r="AK1582" i="10"/>
  <c r="AN1581" i="10"/>
  <c r="AM1581" i="10"/>
  <c r="AL1581" i="10"/>
  <c r="AK1581" i="10"/>
  <c r="AN1580" i="10"/>
  <c r="AM1580" i="10"/>
  <c r="AL1580" i="10"/>
  <c r="AK1580" i="10"/>
  <c r="AN1579" i="10"/>
  <c r="AM1579" i="10"/>
  <c r="AL1579" i="10"/>
  <c r="AK1579" i="10"/>
  <c r="AN1578" i="10"/>
  <c r="AM1578" i="10"/>
  <c r="AL1578" i="10"/>
  <c r="AK1578" i="10"/>
  <c r="AN1577" i="10"/>
  <c r="AM1577" i="10"/>
  <c r="AL1577" i="10"/>
  <c r="AK1577" i="10"/>
  <c r="AN1576" i="10"/>
  <c r="AM1576" i="10"/>
  <c r="AL1576" i="10"/>
  <c r="AK1576" i="10"/>
  <c r="AN1575" i="10"/>
  <c r="AM1575" i="10"/>
  <c r="AL1575" i="10"/>
  <c r="AK1575" i="10"/>
  <c r="AN1574" i="10"/>
  <c r="AM1574" i="10"/>
  <c r="AL1574" i="10"/>
  <c r="AK1574" i="10"/>
  <c r="AN1573" i="10"/>
  <c r="AM1573" i="10"/>
  <c r="AL1573" i="10"/>
  <c r="AK1573" i="10"/>
  <c r="AN1572" i="10"/>
  <c r="AM1572" i="10"/>
  <c r="AL1572" i="10"/>
  <c r="AK1572" i="10"/>
  <c r="AN1571" i="10"/>
  <c r="AM1571" i="10"/>
  <c r="AL1571" i="10"/>
  <c r="AK1571" i="10"/>
  <c r="AN1570" i="10"/>
  <c r="AM1570" i="10"/>
  <c r="AL1570" i="10"/>
  <c r="AK1570" i="10"/>
  <c r="AN1569" i="10"/>
  <c r="AM1569" i="10"/>
  <c r="AL1569" i="10"/>
  <c r="AK1569" i="10"/>
  <c r="AN1568" i="10"/>
  <c r="AM1568" i="10"/>
  <c r="AL1568" i="10"/>
  <c r="AK1568" i="10"/>
  <c r="AN1567" i="10"/>
  <c r="AM1567" i="10"/>
  <c r="AL1567" i="10"/>
  <c r="AK1567" i="10"/>
  <c r="AN1566" i="10"/>
  <c r="AM1566" i="10"/>
  <c r="AL1566" i="10"/>
  <c r="AK1566" i="10"/>
  <c r="AN1565" i="10"/>
  <c r="AM1565" i="10"/>
  <c r="AL1565" i="10"/>
  <c r="AK1565" i="10"/>
  <c r="AN1564" i="10"/>
  <c r="AM1564" i="10"/>
  <c r="AL1564" i="10"/>
  <c r="AK1564" i="10"/>
  <c r="AN1563" i="10"/>
  <c r="AM1563" i="10"/>
  <c r="AL1563" i="10"/>
  <c r="AK1563" i="10"/>
  <c r="AN1562" i="10"/>
  <c r="AM1562" i="10"/>
  <c r="AL1562" i="10"/>
  <c r="AK1562" i="10"/>
  <c r="AN1561" i="10"/>
  <c r="AM1561" i="10"/>
  <c r="AL1561" i="10"/>
  <c r="AK1561" i="10"/>
  <c r="AN1560" i="10"/>
  <c r="AM1560" i="10"/>
  <c r="AL1560" i="10"/>
  <c r="AK1560" i="10"/>
  <c r="AN1559" i="10"/>
  <c r="AM1559" i="10"/>
  <c r="AL1559" i="10"/>
  <c r="AK1559" i="10"/>
  <c r="AN1558" i="10"/>
  <c r="AM1558" i="10"/>
  <c r="AL1558" i="10"/>
  <c r="AK1558" i="10"/>
  <c r="AN1557" i="10"/>
  <c r="AM1557" i="10"/>
  <c r="AL1557" i="10"/>
  <c r="AK1557" i="10"/>
  <c r="AN1556" i="10"/>
  <c r="AM1556" i="10"/>
  <c r="AL1556" i="10"/>
  <c r="AK1556" i="10"/>
  <c r="AN1555" i="10"/>
  <c r="AM1555" i="10"/>
  <c r="AL1555" i="10"/>
  <c r="AK1555" i="10"/>
  <c r="AN1554" i="10"/>
  <c r="AM1554" i="10"/>
  <c r="AL1554" i="10"/>
  <c r="AK1554" i="10"/>
  <c r="AN1553" i="10"/>
  <c r="AM1553" i="10"/>
  <c r="AL1553" i="10"/>
  <c r="AK1553" i="10"/>
  <c r="AN1552" i="10"/>
  <c r="AM1552" i="10"/>
  <c r="AL1552" i="10"/>
  <c r="AK1552" i="10"/>
  <c r="AN1551" i="10"/>
  <c r="AM1551" i="10"/>
  <c r="AL1551" i="10"/>
  <c r="AK1551" i="10"/>
  <c r="AN1550" i="10"/>
  <c r="AM1550" i="10"/>
  <c r="AL1550" i="10"/>
  <c r="AK1550" i="10"/>
  <c r="AN1549" i="10"/>
  <c r="AM1549" i="10"/>
  <c r="AL1549" i="10"/>
  <c r="AK1549" i="10"/>
  <c r="AN1548" i="10"/>
  <c r="AM1548" i="10"/>
  <c r="AL1548" i="10"/>
  <c r="AK1548" i="10"/>
  <c r="AN1547" i="10"/>
  <c r="AM1547" i="10"/>
  <c r="AL1547" i="10"/>
  <c r="AK1547" i="10"/>
  <c r="AN1546" i="10"/>
  <c r="AM1546" i="10"/>
  <c r="AL1546" i="10"/>
  <c r="AK1546" i="10"/>
  <c r="AN1545" i="10"/>
  <c r="AM1545" i="10"/>
  <c r="AL1545" i="10"/>
  <c r="AK1545" i="10"/>
  <c r="AN1544" i="10"/>
  <c r="AM1544" i="10"/>
  <c r="AL1544" i="10"/>
  <c r="AK1544" i="10"/>
  <c r="AN1543" i="10"/>
  <c r="AM1543" i="10"/>
  <c r="AL1543" i="10"/>
  <c r="AK1543" i="10"/>
  <c r="AN1542" i="10"/>
  <c r="AM1542" i="10"/>
  <c r="AL1542" i="10"/>
  <c r="AK1542" i="10"/>
  <c r="AN1541" i="10"/>
  <c r="AM1541" i="10"/>
  <c r="AL1541" i="10"/>
  <c r="AK1541" i="10"/>
  <c r="AN1540" i="10"/>
  <c r="AM1540" i="10"/>
  <c r="AL1540" i="10"/>
  <c r="AK1540" i="10"/>
  <c r="AN1539" i="10"/>
  <c r="AM1539" i="10"/>
  <c r="AL1539" i="10"/>
  <c r="AK1539" i="10"/>
  <c r="AN1538" i="10"/>
  <c r="AM1538" i="10"/>
  <c r="AL1538" i="10"/>
  <c r="AK1538" i="10"/>
  <c r="AN1537" i="10"/>
  <c r="AM1537" i="10"/>
  <c r="AL1537" i="10"/>
  <c r="AK1537" i="10"/>
  <c r="AN1536" i="10"/>
  <c r="AM1536" i="10"/>
  <c r="AL1536" i="10"/>
  <c r="AK1536" i="10"/>
  <c r="AN1535" i="10"/>
  <c r="AM1535" i="10"/>
  <c r="AL1535" i="10"/>
  <c r="AK1535" i="10"/>
  <c r="AN1534" i="10"/>
  <c r="AM1534" i="10"/>
  <c r="AL1534" i="10"/>
  <c r="AK1534" i="10"/>
  <c r="AN1533" i="10"/>
  <c r="AM1533" i="10"/>
  <c r="AL1533" i="10"/>
  <c r="AK1533" i="10"/>
  <c r="AN1532" i="10"/>
  <c r="AM1532" i="10"/>
  <c r="AL1532" i="10"/>
  <c r="AK1532" i="10"/>
  <c r="AN1531" i="10"/>
  <c r="AM1531" i="10"/>
  <c r="AL1531" i="10"/>
  <c r="AK1531" i="10"/>
  <c r="AN1530" i="10"/>
  <c r="AM1530" i="10"/>
  <c r="AL1530" i="10"/>
  <c r="AK1530" i="10"/>
  <c r="AN1529" i="10"/>
  <c r="AM1529" i="10"/>
  <c r="AL1529" i="10"/>
  <c r="AK1529" i="10"/>
  <c r="AN1528" i="10"/>
  <c r="AM1528" i="10"/>
  <c r="AL1528" i="10"/>
  <c r="AK1528" i="10"/>
  <c r="AN1527" i="10"/>
  <c r="AM1527" i="10"/>
  <c r="AL1527" i="10"/>
  <c r="AK1527" i="10"/>
  <c r="AN1526" i="10"/>
  <c r="AM1526" i="10"/>
  <c r="AL1526" i="10"/>
  <c r="AK1526" i="10"/>
  <c r="AN1525" i="10"/>
  <c r="AM1525" i="10"/>
  <c r="AL1525" i="10"/>
  <c r="AK1525" i="10"/>
  <c r="AN1524" i="10"/>
  <c r="AM1524" i="10"/>
  <c r="AL1524" i="10"/>
  <c r="AK1524" i="10"/>
  <c r="AN1523" i="10"/>
  <c r="AM1523" i="10"/>
  <c r="AL1523" i="10"/>
  <c r="AK1523" i="10"/>
  <c r="AN1522" i="10"/>
  <c r="AM1522" i="10"/>
  <c r="AL1522" i="10"/>
  <c r="AK1522" i="10"/>
  <c r="AN1521" i="10"/>
  <c r="AM1521" i="10"/>
  <c r="AL1521" i="10"/>
  <c r="AK1521" i="10"/>
  <c r="AN1520" i="10"/>
  <c r="AM1520" i="10"/>
  <c r="AL1520" i="10"/>
  <c r="AK1520" i="10"/>
  <c r="AN1519" i="10"/>
  <c r="AM1519" i="10"/>
  <c r="AL1519" i="10"/>
  <c r="AK1519" i="10"/>
  <c r="AN1518" i="10"/>
  <c r="AM1518" i="10"/>
  <c r="AL1518" i="10"/>
  <c r="AK1518" i="10"/>
  <c r="AN1517" i="10"/>
  <c r="AM1517" i="10"/>
  <c r="AL1517" i="10"/>
  <c r="AK1517" i="10"/>
  <c r="AN1516" i="10"/>
  <c r="AM1516" i="10"/>
  <c r="AL1516" i="10"/>
  <c r="AK1516" i="10"/>
  <c r="AN1515" i="10"/>
  <c r="AM1515" i="10"/>
  <c r="AL1515" i="10"/>
  <c r="AK1515" i="10"/>
  <c r="AN1514" i="10"/>
  <c r="AM1514" i="10"/>
  <c r="AL1514" i="10"/>
  <c r="AK1514" i="10"/>
  <c r="AN1513" i="10"/>
  <c r="AM1513" i="10"/>
  <c r="AL1513" i="10"/>
  <c r="AK1513" i="10"/>
  <c r="AN1512" i="10"/>
  <c r="AM1512" i="10"/>
  <c r="AL1512" i="10"/>
  <c r="AK1512" i="10"/>
  <c r="AN1511" i="10"/>
  <c r="AM1511" i="10"/>
  <c r="AL1511" i="10"/>
  <c r="AK1511" i="10"/>
  <c r="AN1510" i="10"/>
  <c r="AM1510" i="10"/>
  <c r="AL1510" i="10"/>
  <c r="AK1510" i="10"/>
  <c r="AN1509" i="10"/>
  <c r="AM1509" i="10"/>
  <c r="AL1509" i="10"/>
  <c r="AK1509" i="10"/>
  <c r="AN1508" i="10"/>
  <c r="AM1508" i="10"/>
  <c r="AL1508" i="10"/>
  <c r="AK1508" i="10"/>
  <c r="AN1507" i="10"/>
  <c r="AM1507" i="10"/>
  <c r="AL1507" i="10"/>
  <c r="AK1507" i="10"/>
  <c r="AN1506" i="10"/>
  <c r="AM1506" i="10"/>
  <c r="AL1506" i="10"/>
  <c r="AK1506" i="10"/>
  <c r="AN1505" i="10"/>
  <c r="AM1505" i="10"/>
  <c r="AL1505" i="10"/>
  <c r="AK1505" i="10"/>
  <c r="AN1504" i="10"/>
  <c r="AM1504" i="10"/>
  <c r="AL1504" i="10"/>
  <c r="AK1504" i="10"/>
  <c r="AN1503" i="10"/>
  <c r="AM1503" i="10"/>
  <c r="AL1503" i="10"/>
  <c r="AK1503" i="10"/>
  <c r="AN1502" i="10"/>
  <c r="AM1502" i="10"/>
  <c r="AL1502" i="10"/>
  <c r="AK1502" i="10"/>
  <c r="AN1501" i="10"/>
  <c r="AM1501" i="10"/>
  <c r="AL1501" i="10"/>
  <c r="AK1501" i="10"/>
  <c r="AN1500" i="10"/>
  <c r="AM1500" i="10"/>
  <c r="AL1500" i="10"/>
  <c r="AK1500" i="10"/>
  <c r="AN1499" i="10"/>
  <c r="AM1499" i="10"/>
  <c r="AL1499" i="10"/>
  <c r="AK1499" i="10"/>
  <c r="AN1498" i="10"/>
  <c r="AM1498" i="10"/>
  <c r="AL1498" i="10"/>
  <c r="AK1498" i="10"/>
  <c r="AN1497" i="10"/>
  <c r="AM1497" i="10"/>
  <c r="AL1497" i="10"/>
  <c r="AK1497" i="10"/>
  <c r="AN1496" i="10"/>
  <c r="AM1496" i="10"/>
  <c r="AL1496" i="10"/>
  <c r="AK1496" i="10"/>
  <c r="AN1495" i="10"/>
  <c r="AM1495" i="10"/>
  <c r="AL1495" i="10"/>
  <c r="AK1495" i="10"/>
  <c r="AN1494" i="10"/>
  <c r="AM1494" i="10"/>
  <c r="AL1494" i="10"/>
  <c r="AK1494" i="10"/>
  <c r="AN1493" i="10"/>
  <c r="AM1493" i="10"/>
  <c r="AL1493" i="10"/>
  <c r="AK1493" i="10"/>
  <c r="AN1492" i="10"/>
  <c r="AM1492" i="10"/>
  <c r="AL1492" i="10"/>
  <c r="AK1492" i="10"/>
  <c r="AN1491" i="10"/>
  <c r="AM1491" i="10"/>
  <c r="AL1491" i="10"/>
  <c r="AK1491" i="10"/>
  <c r="AN1490" i="10"/>
  <c r="AM1490" i="10"/>
  <c r="AL1490" i="10"/>
  <c r="AK1490" i="10"/>
  <c r="AN1489" i="10"/>
  <c r="AM1489" i="10"/>
  <c r="AL1489" i="10"/>
  <c r="AK1489" i="10"/>
  <c r="AN1488" i="10"/>
  <c r="AM1488" i="10"/>
  <c r="AL1488" i="10"/>
  <c r="AK1488" i="10"/>
  <c r="AN1487" i="10"/>
  <c r="AM1487" i="10"/>
  <c r="AL1487" i="10"/>
  <c r="AK1487" i="10"/>
  <c r="AN1486" i="10"/>
  <c r="AM1486" i="10"/>
  <c r="AL1486" i="10"/>
  <c r="AK1486" i="10"/>
  <c r="AN1485" i="10"/>
  <c r="AM1485" i="10"/>
  <c r="AL1485" i="10"/>
  <c r="AK1485" i="10"/>
  <c r="AN1484" i="10"/>
  <c r="AM1484" i="10"/>
  <c r="AL1484" i="10"/>
  <c r="AK1484" i="10"/>
  <c r="AN1483" i="10"/>
  <c r="AM1483" i="10"/>
  <c r="AL1483" i="10"/>
  <c r="AK1483" i="10"/>
  <c r="AN1482" i="10"/>
  <c r="AM1482" i="10"/>
  <c r="AL1482" i="10"/>
  <c r="AK1482" i="10"/>
  <c r="AN1481" i="10"/>
  <c r="AM1481" i="10"/>
  <c r="AL1481" i="10"/>
  <c r="AK1481" i="10"/>
  <c r="AN1480" i="10"/>
  <c r="AM1480" i="10"/>
  <c r="AL1480" i="10"/>
  <c r="AK1480" i="10"/>
  <c r="AN1479" i="10"/>
  <c r="AM1479" i="10"/>
  <c r="AL1479" i="10"/>
  <c r="AK1479" i="10"/>
  <c r="AN1478" i="10"/>
  <c r="AM1478" i="10"/>
  <c r="AL1478" i="10"/>
  <c r="AK1478" i="10"/>
  <c r="AN1477" i="10"/>
  <c r="AM1477" i="10"/>
  <c r="AL1477" i="10"/>
  <c r="AK1477" i="10"/>
  <c r="AN1476" i="10"/>
  <c r="AM1476" i="10"/>
  <c r="AL1476" i="10"/>
  <c r="AK1476" i="10"/>
  <c r="AN1475" i="10"/>
  <c r="AM1475" i="10"/>
  <c r="AL1475" i="10"/>
  <c r="AK1475" i="10"/>
  <c r="AN1474" i="10"/>
  <c r="AM1474" i="10"/>
  <c r="AL1474" i="10"/>
  <c r="AK1474" i="10"/>
  <c r="AN1473" i="10"/>
  <c r="AM1473" i="10"/>
  <c r="AL1473" i="10"/>
  <c r="AK1473" i="10"/>
  <c r="AN1472" i="10"/>
  <c r="AM1472" i="10"/>
  <c r="AL1472" i="10"/>
  <c r="AK1472" i="10"/>
  <c r="AN1471" i="10"/>
  <c r="AM1471" i="10"/>
  <c r="AL1471" i="10"/>
  <c r="AK1471" i="10"/>
  <c r="AN1470" i="10"/>
  <c r="AM1470" i="10"/>
  <c r="AL1470" i="10"/>
  <c r="AK1470" i="10"/>
  <c r="AN1469" i="10"/>
  <c r="AM1469" i="10"/>
  <c r="AL1469" i="10"/>
  <c r="AK1469" i="10"/>
  <c r="AN1468" i="10"/>
  <c r="AM1468" i="10"/>
  <c r="AL1468" i="10"/>
  <c r="AK1468" i="10"/>
  <c r="AN1467" i="10"/>
  <c r="AM1467" i="10"/>
  <c r="AL1467" i="10"/>
  <c r="AK1467" i="10"/>
  <c r="AN1466" i="10"/>
  <c r="AM1466" i="10"/>
  <c r="AL1466" i="10"/>
  <c r="AK1466" i="10"/>
  <c r="AN1465" i="10"/>
  <c r="AM1465" i="10"/>
  <c r="AL1465" i="10"/>
  <c r="AK1465" i="10"/>
  <c r="AN1464" i="10"/>
  <c r="AM1464" i="10"/>
  <c r="AL1464" i="10"/>
  <c r="AK1464" i="10"/>
  <c r="AN1463" i="10"/>
  <c r="AM1463" i="10"/>
  <c r="AL1463" i="10"/>
  <c r="AK1463" i="10"/>
  <c r="AN1462" i="10"/>
  <c r="AM1462" i="10"/>
  <c r="AL1462" i="10"/>
  <c r="AK1462" i="10"/>
  <c r="AN1461" i="10"/>
  <c r="AM1461" i="10"/>
  <c r="AL1461" i="10"/>
  <c r="AK1461" i="10"/>
  <c r="AN1460" i="10"/>
  <c r="AM1460" i="10"/>
  <c r="AL1460" i="10"/>
  <c r="AK1460" i="10"/>
  <c r="AN1459" i="10"/>
  <c r="AM1459" i="10"/>
  <c r="AL1459" i="10"/>
  <c r="AK1459" i="10"/>
  <c r="AN1458" i="10"/>
  <c r="AM1458" i="10"/>
  <c r="AL1458" i="10"/>
  <c r="AK1458" i="10"/>
  <c r="AN1457" i="10"/>
  <c r="AM1457" i="10"/>
  <c r="AL1457" i="10"/>
  <c r="AK1457" i="10"/>
  <c r="AN1456" i="10"/>
  <c r="AM1456" i="10"/>
  <c r="AL1456" i="10"/>
  <c r="AK1456" i="10"/>
  <c r="AN1455" i="10"/>
  <c r="AM1455" i="10"/>
  <c r="AL1455" i="10"/>
  <c r="AK1455" i="10"/>
  <c r="AN1454" i="10"/>
  <c r="AM1454" i="10"/>
  <c r="AL1454" i="10"/>
  <c r="AK1454" i="10"/>
  <c r="AN1453" i="10"/>
  <c r="AM1453" i="10"/>
  <c r="AL1453" i="10"/>
  <c r="AK1453" i="10"/>
  <c r="AN1452" i="10"/>
  <c r="AM1452" i="10"/>
  <c r="AL1452" i="10"/>
  <c r="AK1452" i="10"/>
  <c r="AN1451" i="10"/>
  <c r="AM1451" i="10"/>
  <c r="AL1451" i="10"/>
  <c r="AK1451" i="10"/>
  <c r="AN1450" i="10"/>
  <c r="AM1450" i="10"/>
  <c r="AL1450" i="10"/>
  <c r="AK1450" i="10"/>
  <c r="AN1449" i="10"/>
  <c r="AM1449" i="10"/>
  <c r="AL1449" i="10"/>
  <c r="AK1449" i="10"/>
  <c r="AN1448" i="10"/>
  <c r="AM1448" i="10"/>
  <c r="AL1448" i="10"/>
  <c r="AK1448" i="10"/>
  <c r="AN1447" i="10"/>
  <c r="AM1447" i="10"/>
  <c r="AL1447" i="10"/>
  <c r="AK1447" i="10"/>
  <c r="AN1446" i="10"/>
  <c r="AM1446" i="10"/>
  <c r="AL1446" i="10"/>
  <c r="AK1446" i="10"/>
  <c r="AN1445" i="10"/>
  <c r="AM1445" i="10"/>
  <c r="AL1445" i="10"/>
  <c r="AK1445" i="10"/>
  <c r="AN1444" i="10"/>
  <c r="AM1444" i="10"/>
  <c r="AL1444" i="10"/>
  <c r="AK1444" i="10"/>
  <c r="AN1443" i="10"/>
  <c r="AM1443" i="10"/>
  <c r="AL1443" i="10"/>
  <c r="AK1443" i="10"/>
  <c r="AN1442" i="10"/>
  <c r="AM1442" i="10"/>
  <c r="AL1442" i="10"/>
  <c r="AK1442" i="10"/>
  <c r="AN1441" i="10"/>
  <c r="AM1441" i="10"/>
  <c r="AL1441" i="10"/>
  <c r="AK1441" i="10"/>
  <c r="AN1440" i="10"/>
  <c r="AM1440" i="10"/>
  <c r="AL1440" i="10"/>
  <c r="AK1440" i="10"/>
  <c r="AN1439" i="10"/>
  <c r="AM1439" i="10"/>
  <c r="AL1439" i="10"/>
  <c r="AK1439" i="10"/>
  <c r="AN1438" i="10"/>
  <c r="AM1438" i="10"/>
  <c r="AL1438" i="10"/>
  <c r="AK1438" i="10"/>
  <c r="AN1437" i="10"/>
  <c r="AM1437" i="10"/>
  <c r="AL1437" i="10"/>
  <c r="AK1437" i="10"/>
  <c r="AN1436" i="10"/>
  <c r="AM1436" i="10"/>
  <c r="AL1436" i="10"/>
  <c r="AK1436" i="10"/>
  <c r="AN1435" i="10"/>
  <c r="AM1435" i="10"/>
  <c r="AL1435" i="10"/>
  <c r="AK1435" i="10"/>
  <c r="AN1434" i="10"/>
  <c r="AM1434" i="10"/>
  <c r="AL1434" i="10"/>
  <c r="AK1434" i="10"/>
  <c r="AN1433" i="10"/>
  <c r="AM1433" i="10"/>
  <c r="AL1433" i="10"/>
  <c r="AK1433" i="10"/>
  <c r="AN1432" i="10"/>
  <c r="AM1432" i="10"/>
  <c r="AL1432" i="10"/>
  <c r="AK1432" i="10"/>
  <c r="AN1431" i="10"/>
  <c r="AM1431" i="10"/>
  <c r="AL1431" i="10"/>
  <c r="AK1431" i="10"/>
  <c r="AN1430" i="10"/>
  <c r="AM1430" i="10"/>
  <c r="AL1430" i="10"/>
  <c r="AK1430" i="10"/>
  <c r="AN1429" i="10"/>
  <c r="AM1429" i="10"/>
  <c r="AL1429" i="10"/>
  <c r="AK1429" i="10"/>
  <c r="AN1428" i="10"/>
  <c r="AM1428" i="10"/>
  <c r="AL1428" i="10"/>
  <c r="AK1428" i="10"/>
  <c r="AN1427" i="10"/>
  <c r="AM1427" i="10"/>
  <c r="AL1427" i="10"/>
  <c r="AK1427" i="10"/>
  <c r="AN1426" i="10"/>
  <c r="AM1426" i="10"/>
  <c r="AL1426" i="10"/>
  <c r="AK1426" i="10"/>
  <c r="AN1425" i="10"/>
  <c r="AM1425" i="10"/>
  <c r="AL1425" i="10"/>
  <c r="AK1425" i="10"/>
  <c r="AN1424" i="10"/>
  <c r="AM1424" i="10"/>
  <c r="AL1424" i="10"/>
  <c r="AK1424" i="10"/>
  <c r="AN1423" i="10"/>
  <c r="AM1423" i="10"/>
  <c r="AL1423" i="10"/>
  <c r="AK1423" i="10"/>
  <c r="AN1422" i="10"/>
  <c r="AM1422" i="10"/>
  <c r="AL1422" i="10"/>
  <c r="AK1422" i="10"/>
  <c r="AN1421" i="10"/>
  <c r="AM1421" i="10"/>
  <c r="AL1421" i="10"/>
  <c r="AK1421" i="10"/>
  <c r="AN1420" i="10"/>
  <c r="AM1420" i="10"/>
  <c r="AL1420" i="10"/>
  <c r="AK1420" i="10"/>
  <c r="AN1419" i="10"/>
  <c r="AM1419" i="10"/>
  <c r="AL1419" i="10"/>
  <c r="AK1419" i="10"/>
  <c r="AN1418" i="10"/>
  <c r="AM1418" i="10"/>
  <c r="AL1418" i="10"/>
  <c r="AK1418" i="10"/>
  <c r="AN1417" i="10"/>
  <c r="AM1417" i="10"/>
  <c r="AL1417" i="10"/>
  <c r="AK1417" i="10"/>
  <c r="AN1416" i="10"/>
  <c r="AM1416" i="10"/>
  <c r="AL1416" i="10"/>
  <c r="AK1416" i="10"/>
  <c r="AN1415" i="10"/>
  <c r="AM1415" i="10"/>
  <c r="AL1415" i="10"/>
  <c r="AK1415" i="10"/>
  <c r="AN1414" i="10"/>
  <c r="AM1414" i="10"/>
  <c r="AL1414" i="10"/>
  <c r="AK1414" i="10"/>
  <c r="AN1413" i="10"/>
  <c r="AM1413" i="10"/>
  <c r="AL1413" i="10"/>
  <c r="AK1413" i="10"/>
  <c r="AN1412" i="10"/>
  <c r="AM1412" i="10"/>
  <c r="AL1412" i="10"/>
  <c r="AK1412" i="10"/>
  <c r="AN1411" i="10"/>
  <c r="AM1411" i="10"/>
  <c r="AL1411" i="10"/>
  <c r="AK1411" i="10"/>
  <c r="AN1410" i="10"/>
  <c r="AM1410" i="10"/>
  <c r="AL1410" i="10"/>
  <c r="AK1410" i="10"/>
  <c r="AN1409" i="10"/>
  <c r="AM1409" i="10"/>
  <c r="AL1409" i="10"/>
  <c r="AK1409" i="10"/>
  <c r="AN1408" i="10"/>
  <c r="AM1408" i="10"/>
  <c r="AL1408" i="10"/>
  <c r="AK1408" i="10"/>
  <c r="AN1407" i="10"/>
  <c r="AM1407" i="10"/>
  <c r="AL1407" i="10"/>
  <c r="AK1407" i="10"/>
  <c r="AN1406" i="10"/>
  <c r="AM1406" i="10"/>
  <c r="AL1406" i="10"/>
  <c r="AK1406" i="10"/>
  <c r="AN1405" i="10"/>
  <c r="AM1405" i="10"/>
  <c r="AL1405" i="10"/>
  <c r="AK1405" i="10"/>
  <c r="AN1404" i="10"/>
  <c r="AM1404" i="10"/>
  <c r="AL1404" i="10"/>
  <c r="AK1404" i="10"/>
  <c r="AN1403" i="10"/>
  <c r="AM1403" i="10"/>
  <c r="AL1403" i="10"/>
  <c r="AK1403" i="10"/>
  <c r="AN1402" i="10"/>
  <c r="AM1402" i="10"/>
  <c r="AL1402" i="10"/>
  <c r="AK1402" i="10"/>
  <c r="AN1401" i="10"/>
  <c r="AM1401" i="10"/>
  <c r="AL1401" i="10"/>
  <c r="AK1401" i="10"/>
  <c r="AN1400" i="10"/>
  <c r="AM1400" i="10"/>
  <c r="AL1400" i="10"/>
  <c r="AK1400" i="10"/>
  <c r="AN1399" i="10"/>
  <c r="AM1399" i="10"/>
  <c r="AL1399" i="10"/>
  <c r="AK1399" i="10"/>
  <c r="AN1398" i="10"/>
  <c r="AM1398" i="10"/>
  <c r="AL1398" i="10"/>
  <c r="AK1398" i="10"/>
  <c r="AN1397" i="10"/>
  <c r="AM1397" i="10"/>
  <c r="AL1397" i="10"/>
  <c r="AK1397" i="10"/>
  <c r="AN1396" i="10"/>
  <c r="AM1396" i="10"/>
  <c r="AL1396" i="10"/>
  <c r="AK1396" i="10"/>
  <c r="AN1395" i="10"/>
  <c r="AM1395" i="10"/>
  <c r="AL1395" i="10"/>
  <c r="AK1395" i="10"/>
  <c r="AN1394" i="10"/>
  <c r="AM1394" i="10"/>
  <c r="AL1394" i="10"/>
  <c r="AK1394" i="10"/>
  <c r="AN1393" i="10"/>
  <c r="AM1393" i="10"/>
  <c r="AL1393" i="10"/>
  <c r="AK1393" i="10"/>
  <c r="AN1392" i="10"/>
  <c r="AM1392" i="10"/>
  <c r="AL1392" i="10"/>
  <c r="AK1392" i="10"/>
  <c r="AN1391" i="10"/>
  <c r="AM1391" i="10"/>
  <c r="AL1391" i="10"/>
  <c r="AK1391" i="10"/>
  <c r="AN1390" i="10"/>
  <c r="AM1390" i="10"/>
  <c r="AL1390" i="10"/>
  <c r="AK1390" i="10"/>
  <c r="AN1389" i="10"/>
  <c r="AM1389" i="10"/>
  <c r="AL1389" i="10"/>
  <c r="AK1389" i="10"/>
  <c r="AN1388" i="10"/>
  <c r="AM1388" i="10"/>
  <c r="AL1388" i="10"/>
  <c r="AK1388" i="10"/>
  <c r="AN1387" i="10"/>
  <c r="AM1387" i="10"/>
  <c r="AL1387" i="10"/>
  <c r="AK1387" i="10"/>
  <c r="AN1386" i="10"/>
  <c r="AM1386" i="10"/>
  <c r="AL1386" i="10"/>
  <c r="AK1386" i="10"/>
  <c r="AN1385" i="10"/>
  <c r="AM1385" i="10"/>
  <c r="AL1385" i="10"/>
  <c r="AK1385" i="10"/>
  <c r="AN1384" i="10"/>
  <c r="AM1384" i="10"/>
  <c r="AL1384" i="10"/>
  <c r="AK1384" i="10"/>
  <c r="AN1383" i="10"/>
  <c r="AM1383" i="10"/>
  <c r="AL1383" i="10"/>
  <c r="AK1383" i="10"/>
  <c r="AN1382" i="10"/>
  <c r="AM1382" i="10"/>
  <c r="AL1382" i="10"/>
  <c r="AK1382" i="10"/>
  <c r="AN1381" i="10"/>
  <c r="AM1381" i="10"/>
  <c r="AL1381" i="10"/>
  <c r="AK1381" i="10"/>
  <c r="AN1380" i="10"/>
  <c r="AM1380" i="10"/>
  <c r="AL1380" i="10"/>
  <c r="AK1380" i="10"/>
  <c r="AN1379" i="10"/>
  <c r="AM1379" i="10"/>
  <c r="AL1379" i="10"/>
  <c r="AK1379" i="10"/>
  <c r="AN1378" i="10"/>
  <c r="AM1378" i="10"/>
  <c r="AL1378" i="10"/>
  <c r="AK1378" i="10"/>
  <c r="AN1377" i="10"/>
  <c r="AM1377" i="10"/>
  <c r="AL1377" i="10"/>
  <c r="AK1377" i="10"/>
  <c r="AN1376" i="10"/>
  <c r="AM1376" i="10"/>
  <c r="AL1376" i="10"/>
  <c r="AK1376" i="10"/>
  <c r="AN1375" i="10"/>
  <c r="AM1375" i="10"/>
  <c r="AL1375" i="10"/>
  <c r="AK1375" i="10"/>
  <c r="AN1374" i="10"/>
  <c r="AM1374" i="10"/>
  <c r="AL1374" i="10"/>
  <c r="AK1374" i="10"/>
  <c r="AN1373" i="10"/>
  <c r="AM1373" i="10"/>
  <c r="AL1373" i="10"/>
  <c r="AK1373" i="10"/>
  <c r="AN1372" i="10"/>
  <c r="AM1372" i="10"/>
  <c r="AL1372" i="10"/>
  <c r="AK1372" i="10"/>
  <c r="AN1371" i="10"/>
  <c r="AM1371" i="10"/>
  <c r="AL1371" i="10"/>
  <c r="AK1371" i="10"/>
  <c r="AN1370" i="10"/>
  <c r="AM1370" i="10"/>
  <c r="AL1370" i="10"/>
  <c r="AK1370" i="10"/>
  <c r="AN1369" i="10"/>
  <c r="AM1369" i="10"/>
  <c r="AL1369" i="10"/>
  <c r="AK1369" i="10"/>
  <c r="AN1368" i="10"/>
  <c r="AM1368" i="10"/>
  <c r="AL1368" i="10"/>
  <c r="AK1368" i="10"/>
  <c r="AN1367" i="10"/>
  <c r="AM1367" i="10"/>
  <c r="AL1367" i="10"/>
  <c r="AK1367" i="10"/>
  <c r="AN1366" i="10"/>
  <c r="AM1366" i="10"/>
  <c r="AL1366" i="10"/>
  <c r="AK1366" i="10"/>
  <c r="AN1365" i="10"/>
  <c r="AM1365" i="10"/>
  <c r="AL1365" i="10"/>
  <c r="AK1365" i="10"/>
  <c r="AN1364" i="10"/>
  <c r="AM1364" i="10"/>
  <c r="AL1364" i="10"/>
  <c r="AK1364" i="10"/>
  <c r="AN1363" i="10"/>
  <c r="AM1363" i="10"/>
  <c r="AL1363" i="10"/>
  <c r="AK1363" i="10"/>
  <c r="AN1362" i="10"/>
  <c r="AM1362" i="10"/>
  <c r="AL1362" i="10"/>
  <c r="AK1362" i="10"/>
  <c r="AN1361" i="10"/>
  <c r="AM1361" i="10"/>
  <c r="AL1361" i="10"/>
  <c r="AK1361" i="10"/>
  <c r="AN1360" i="10"/>
  <c r="AM1360" i="10"/>
  <c r="AL1360" i="10"/>
  <c r="AK1360" i="10"/>
  <c r="AN1359" i="10"/>
  <c r="AM1359" i="10"/>
  <c r="AL1359" i="10"/>
  <c r="AK1359" i="10"/>
  <c r="AN1358" i="10"/>
  <c r="AM1358" i="10"/>
  <c r="AL1358" i="10"/>
  <c r="AK1358" i="10"/>
  <c r="AN1357" i="10"/>
  <c r="AM1357" i="10"/>
  <c r="AL1357" i="10"/>
  <c r="AK1357" i="10"/>
  <c r="AN1356" i="10"/>
  <c r="AM1356" i="10"/>
  <c r="AL1356" i="10"/>
  <c r="AK1356" i="10"/>
  <c r="AN1355" i="10"/>
  <c r="AM1355" i="10"/>
  <c r="AL1355" i="10"/>
  <c r="AK1355" i="10"/>
  <c r="AN1354" i="10"/>
  <c r="AM1354" i="10"/>
  <c r="AL1354" i="10"/>
  <c r="AK1354" i="10"/>
  <c r="AN1353" i="10"/>
  <c r="AM1353" i="10"/>
  <c r="AL1353" i="10"/>
  <c r="AK1353" i="10"/>
  <c r="AN1352" i="10"/>
  <c r="AM1352" i="10"/>
  <c r="AL1352" i="10"/>
  <c r="AK1352" i="10"/>
  <c r="AN1351" i="10"/>
  <c r="AM1351" i="10"/>
  <c r="AL1351" i="10"/>
  <c r="AK1351" i="10"/>
  <c r="AN1350" i="10"/>
  <c r="AM1350" i="10"/>
  <c r="AL1350" i="10"/>
  <c r="AK1350" i="10"/>
  <c r="AN1349" i="10"/>
  <c r="AM1349" i="10"/>
  <c r="AL1349" i="10"/>
  <c r="AK1349" i="10"/>
  <c r="AN1348" i="10"/>
  <c r="AM1348" i="10"/>
  <c r="AL1348" i="10"/>
  <c r="AK1348" i="10"/>
  <c r="AN1347" i="10"/>
  <c r="AM1347" i="10"/>
  <c r="AL1347" i="10"/>
  <c r="AK1347" i="10"/>
  <c r="AN1346" i="10"/>
  <c r="AM1346" i="10"/>
  <c r="AL1346" i="10"/>
  <c r="AK1346" i="10"/>
  <c r="AN1345" i="10"/>
  <c r="AM1345" i="10"/>
  <c r="AL1345" i="10"/>
  <c r="AK1345" i="10"/>
  <c r="AN1344" i="10"/>
  <c r="AM1344" i="10"/>
  <c r="AL1344" i="10"/>
  <c r="AK1344" i="10"/>
  <c r="AN1343" i="10"/>
  <c r="AM1343" i="10"/>
  <c r="AL1343" i="10"/>
  <c r="AK1343" i="10"/>
  <c r="AN1342" i="10"/>
  <c r="AM1342" i="10"/>
  <c r="AL1342" i="10"/>
  <c r="AK1342" i="10"/>
  <c r="AN1341" i="10"/>
  <c r="AM1341" i="10"/>
  <c r="AL1341" i="10"/>
  <c r="AK1341" i="10"/>
  <c r="AN1340" i="10"/>
  <c r="AM1340" i="10"/>
  <c r="AL1340" i="10"/>
  <c r="AK1340" i="10"/>
  <c r="AN1339" i="10"/>
  <c r="AM1339" i="10"/>
  <c r="AL1339" i="10"/>
  <c r="AK1339" i="10"/>
  <c r="AN1338" i="10"/>
  <c r="AM1338" i="10"/>
  <c r="AL1338" i="10"/>
  <c r="AK1338" i="10"/>
  <c r="AN1337" i="10"/>
  <c r="AM1337" i="10"/>
  <c r="AL1337" i="10"/>
  <c r="AK1337" i="10"/>
  <c r="AN1336" i="10"/>
  <c r="AM1336" i="10"/>
  <c r="AL1336" i="10"/>
  <c r="AK1336" i="10"/>
  <c r="AN1335" i="10"/>
  <c r="AM1335" i="10"/>
  <c r="AL1335" i="10"/>
  <c r="AK1335" i="10"/>
  <c r="AN1334" i="10"/>
  <c r="AM1334" i="10"/>
  <c r="AL1334" i="10"/>
  <c r="AK1334" i="10"/>
  <c r="AN1333" i="10"/>
  <c r="AM1333" i="10"/>
  <c r="AL1333" i="10"/>
  <c r="AK1333" i="10"/>
  <c r="AN1332" i="10"/>
  <c r="AM1332" i="10"/>
  <c r="AL1332" i="10"/>
  <c r="AK1332" i="10"/>
  <c r="AN1331" i="10"/>
  <c r="AM1331" i="10"/>
  <c r="AL1331" i="10"/>
  <c r="AK1331" i="10"/>
  <c r="AN1330" i="10"/>
  <c r="AM1330" i="10"/>
  <c r="AL1330" i="10"/>
  <c r="AK1330" i="10"/>
  <c r="AN1329" i="10"/>
  <c r="AM1329" i="10"/>
  <c r="AL1329" i="10"/>
  <c r="AK1329" i="10"/>
  <c r="AN1328" i="10"/>
  <c r="AM1328" i="10"/>
  <c r="AL1328" i="10"/>
  <c r="AK1328" i="10"/>
  <c r="AN1327" i="10"/>
  <c r="AM1327" i="10"/>
  <c r="AL1327" i="10"/>
  <c r="AK1327" i="10"/>
  <c r="AN1326" i="10"/>
  <c r="AM1326" i="10"/>
  <c r="AL1326" i="10"/>
  <c r="AK1326" i="10"/>
  <c r="AN1325" i="10"/>
  <c r="AM1325" i="10"/>
  <c r="AL1325" i="10"/>
  <c r="AK1325" i="10"/>
  <c r="AN1324" i="10"/>
  <c r="AM1324" i="10"/>
  <c r="AL1324" i="10"/>
  <c r="AK1324" i="10"/>
  <c r="AN1323" i="10"/>
  <c r="AM1323" i="10"/>
  <c r="AL1323" i="10"/>
  <c r="AK1323" i="10"/>
  <c r="AN1322" i="10"/>
  <c r="AM1322" i="10"/>
  <c r="AL1322" i="10"/>
  <c r="AK1322" i="10"/>
  <c r="AN1321" i="10"/>
  <c r="AM1321" i="10"/>
  <c r="AL1321" i="10"/>
  <c r="AK1321" i="10"/>
  <c r="AN1320" i="10"/>
  <c r="AM1320" i="10"/>
  <c r="AL1320" i="10"/>
  <c r="AK1320" i="10"/>
  <c r="AN1319" i="10"/>
  <c r="AM1319" i="10"/>
  <c r="AL1319" i="10"/>
  <c r="AK1319" i="10"/>
  <c r="AN1318" i="10"/>
  <c r="AM1318" i="10"/>
  <c r="AL1318" i="10"/>
  <c r="AK1318" i="10"/>
  <c r="AN1317" i="10"/>
  <c r="AM1317" i="10"/>
  <c r="AL1317" i="10"/>
  <c r="AK1317" i="10"/>
  <c r="AN1316" i="10"/>
  <c r="AM1316" i="10"/>
  <c r="AL1316" i="10"/>
  <c r="AK1316" i="10"/>
  <c r="AN1315" i="10"/>
  <c r="AM1315" i="10"/>
  <c r="AL1315" i="10"/>
  <c r="AK1315" i="10"/>
  <c r="AN1314" i="10"/>
  <c r="AM1314" i="10"/>
  <c r="AL1314" i="10"/>
  <c r="AK1314" i="10"/>
  <c r="AN1313" i="10"/>
  <c r="AM1313" i="10"/>
  <c r="AL1313" i="10"/>
  <c r="AK1313" i="10"/>
  <c r="AN1312" i="10"/>
  <c r="AM1312" i="10"/>
  <c r="AL1312" i="10"/>
  <c r="AK1312" i="10"/>
  <c r="AN1311" i="10"/>
  <c r="AM1311" i="10"/>
  <c r="AL1311" i="10"/>
  <c r="AK1311" i="10"/>
  <c r="AN1310" i="10"/>
  <c r="AM1310" i="10"/>
  <c r="AL1310" i="10"/>
  <c r="AK1310" i="10"/>
  <c r="AN1309" i="10"/>
  <c r="AM1309" i="10"/>
  <c r="AL1309" i="10"/>
  <c r="AK1309" i="10"/>
  <c r="AN1308" i="10"/>
  <c r="AM1308" i="10"/>
  <c r="AL1308" i="10"/>
  <c r="AK1308" i="10"/>
  <c r="AN1307" i="10"/>
  <c r="AM1307" i="10"/>
  <c r="AL1307" i="10"/>
  <c r="AK1307" i="10"/>
  <c r="AN1306" i="10"/>
  <c r="AM1306" i="10"/>
  <c r="AL1306" i="10"/>
  <c r="AK1306" i="10"/>
  <c r="AN1305" i="10"/>
  <c r="AM1305" i="10"/>
  <c r="AL1305" i="10"/>
  <c r="AK1305" i="10"/>
  <c r="AN1304" i="10"/>
  <c r="AM1304" i="10"/>
  <c r="AL1304" i="10"/>
  <c r="AK1304" i="10"/>
  <c r="AN1303" i="10"/>
  <c r="AM1303" i="10"/>
  <c r="AL1303" i="10"/>
  <c r="AK1303" i="10"/>
  <c r="AN1302" i="10"/>
  <c r="AM1302" i="10"/>
  <c r="AL1302" i="10"/>
  <c r="AK1302" i="10"/>
  <c r="AN1301" i="10"/>
  <c r="AM1301" i="10"/>
  <c r="AL1301" i="10"/>
  <c r="AK1301" i="10"/>
  <c r="AN1300" i="10"/>
  <c r="AM1300" i="10"/>
  <c r="AL1300" i="10"/>
  <c r="AK1300" i="10"/>
  <c r="AN1299" i="10"/>
  <c r="AM1299" i="10"/>
  <c r="AL1299" i="10"/>
  <c r="AK1299" i="10"/>
  <c r="AN1298" i="10"/>
  <c r="AM1298" i="10"/>
  <c r="AL1298" i="10"/>
  <c r="AK1298" i="10"/>
  <c r="AN1297" i="10"/>
  <c r="AM1297" i="10"/>
  <c r="AL1297" i="10"/>
  <c r="AK1297" i="10"/>
  <c r="AN1296" i="10"/>
  <c r="AM1296" i="10"/>
  <c r="AL1296" i="10"/>
  <c r="AK1296" i="10"/>
  <c r="AN1295" i="10"/>
  <c r="AM1295" i="10"/>
  <c r="AL1295" i="10"/>
  <c r="AK1295" i="10"/>
  <c r="AN1294" i="10"/>
  <c r="AM1294" i="10"/>
  <c r="AL1294" i="10"/>
  <c r="AK1294" i="10"/>
  <c r="AN1293" i="10"/>
  <c r="AM1293" i="10"/>
  <c r="AL1293" i="10"/>
  <c r="AK1293" i="10"/>
  <c r="AN1292" i="10"/>
  <c r="AM1292" i="10"/>
  <c r="AL1292" i="10"/>
  <c r="AK1292" i="10"/>
  <c r="AN1291" i="10"/>
  <c r="AM1291" i="10"/>
  <c r="AL1291" i="10"/>
  <c r="AK1291" i="10"/>
  <c r="AN1290" i="10"/>
  <c r="AM1290" i="10"/>
  <c r="AL1290" i="10"/>
  <c r="AK1290" i="10"/>
  <c r="AN1289" i="10"/>
  <c r="AM1289" i="10"/>
  <c r="AL1289" i="10"/>
  <c r="AK1289" i="10"/>
  <c r="AN1288" i="10"/>
  <c r="AM1288" i="10"/>
  <c r="AL1288" i="10"/>
  <c r="AK1288" i="10"/>
  <c r="AN1287" i="10"/>
  <c r="AM1287" i="10"/>
  <c r="AL1287" i="10"/>
  <c r="AK1287" i="10"/>
  <c r="AN1286" i="10"/>
  <c r="AM1286" i="10"/>
  <c r="AL1286" i="10"/>
  <c r="AK1286" i="10"/>
  <c r="AN1285" i="10"/>
  <c r="AM1285" i="10"/>
  <c r="AL1285" i="10"/>
  <c r="AK1285" i="10"/>
  <c r="AN1284" i="10"/>
  <c r="AM1284" i="10"/>
  <c r="AL1284" i="10"/>
  <c r="AK1284" i="10"/>
  <c r="AN1283" i="10"/>
  <c r="AM1283" i="10"/>
  <c r="AL1283" i="10"/>
  <c r="AK1283" i="10"/>
  <c r="AN1282" i="10"/>
  <c r="AM1282" i="10"/>
  <c r="AL1282" i="10"/>
  <c r="AK1282" i="10"/>
  <c r="AN1281" i="10"/>
  <c r="AM1281" i="10"/>
  <c r="AL1281" i="10"/>
  <c r="AK1281" i="10"/>
  <c r="AN1280" i="10"/>
  <c r="AM1280" i="10"/>
  <c r="AL1280" i="10"/>
  <c r="AK1280" i="10"/>
  <c r="AN1279" i="10"/>
  <c r="AM1279" i="10"/>
  <c r="AL1279" i="10"/>
  <c r="AK1279" i="10"/>
  <c r="AN1278" i="10"/>
  <c r="AM1278" i="10"/>
  <c r="AL1278" i="10"/>
  <c r="AK1278" i="10"/>
  <c r="AN1277" i="10"/>
  <c r="AM1277" i="10"/>
  <c r="AL1277" i="10"/>
  <c r="AK1277" i="10"/>
  <c r="AN1276" i="10"/>
  <c r="AM1276" i="10"/>
  <c r="AL1276" i="10"/>
  <c r="AK1276" i="10"/>
  <c r="AN1275" i="10"/>
  <c r="AM1275" i="10"/>
  <c r="AL1275" i="10"/>
  <c r="AK1275" i="10"/>
  <c r="AN1274" i="10"/>
  <c r="AM1274" i="10"/>
  <c r="AL1274" i="10"/>
  <c r="AK1274" i="10"/>
  <c r="AN1273" i="10"/>
  <c r="AM1273" i="10"/>
  <c r="AL1273" i="10"/>
  <c r="AK1273" i="10"/>
  <c r="AN1272" i="10"/>
  <c r="AM1272" i="10"/>
  <c r="AL1272" i="10"/>
  <c r="AK1272" i="10"/>
  <c r="AN1271" i="10"/>
  <c r="AM1271" i="10"/>
  <c r="AL1271" i="10"/>
  <c r="AK1271" i="10"/>
  <c r="AN1270" i="10"/>
  <c r="AM1270" i="10"/>
  <c r="AL1270" i="10"/>
  <c r="AK1270" i="10"/>
  <c r="AN1269" i="10"/>
  <c r="AM1269" i="10"/>
  <c r="AL1269" i="10"/>
  <c r="AK1269" i="10"/>
  <c r="AN1268" i="10"/>
  <c r="AM1268" i="10"/>
  <c r="AL1268" i="10"/>
  <c r="AK1268" i="10"/>
  <c r="AN1267" i="10"/>
  <c r="AM1267" i="10"/>
  <c r="AL1267" i="10"/>
  <c r="AK1267" i="10"/>
  <c r="AN1266" i="10"/>
  <c r="AM1266" i="10"/>
  <c r="AL1266" i="10"/>
  <c r="AK1266" i="10"/>
  <c r="AN1265" i="10"/>
  <c r="AM1265" i="10"/>
  <c r="AL1265" i="10"/>
  <c r="AK1265" i="10"/>
  <c r="AN1264" i="10"/>
  <c r="AM1264" i="10"/>
  <c r="AL1264" i="10"/>
  <c r="AK1264" i="10"/>
  <c r="AN1263" i="10"/>
  <c r="AM1263" i="10"/>
  <c r="AL1263" i="10"/>
  <c r="AK1263" i="10"/>
  <c r="AN1262" i="10"/>
  <c r="AM1262" i="10"/>
  <c r="AL1262" i="10"/>
  <c r="AK1262" i="10"/>
  <c r="AN1261" i="10"/>
  <c r="AM1261" i="10"/>
  <c r="AL1261" i="10"/>
  <c r="AK1261" i="10"/>
  <c r="AN1260" i="10"/>
  <c r="AM1260" i="10"/>
  <c r="AL1260" i="10"/>
  <c r="AK1260" i="10"/>
  <c r="AN1259" i="10"/>
  <c r="AM1259" i="10"/>
  <c r="AL1259" i="10"/>
  <c r="AK1259" i="10"/>
  <c r="AN1258" i="10"/>
  <c r="AM1258" i="10"/>
  <c r="AL1258" i="10"/>
  <c r="AK1258" i="10"/>
  <c r="AN1257" i="10"/>
  <c r="AM1257" i="10"/>
  <c r="AL1257" i="10"/>
  <c r="AK1257" i="10"/>
  <c r="AN1256" i="10"/>
  <c r="AM1256" i="10"/>
  <c r="AL1256" i="10"/>
  <c r="AK1256" i="10"/>
  <c r="AN1255" i="10"/>
  <c r="AM1255" i="10"/>
  <c r="AL1255" i="10"/>
  <c r="AK1255" i="10"/>
  <c r="AN1254" i="10"/>
  <c r="AM1254" i="10"/>
  <c r="AL1254" i="10"/>
  <c r="AK1254" i="10"/>
  <c r="AN1253" i="10"/>
  <c r="AM1253" i="10"/>
  <c r="AL1253" i="10"/>
  <c r="AK1253" i="10"/>
  <c r="AN1252" i="10"/>
  <c r="AM1252" i="10"/>
  <c r="AL1252" i="10"/>
  <c r="AK1252" i="10"/>
  <c r="AN1251" i="10"/>
  <c r="AM1251" i="10"/>
  <c r="AL1251" i="10"/>
  <c r="AK1251" i="10"/>
  <c r="AN1250" i="10"/>
  <c r="AM1250" i="10"/>
  <c r="AL1250" i="10"/>
  <c r="AK1250" i="10"/>
  <c r="AN1249" i="10"/>
  <c r="AM1249" i="10"/>
  <c r="AL1249" i="10"/>
  <c r="AK1249" i="10"/>
  <c r="AN1248" i="10"/>
  <c r="AM1248" i="10"/>
  <c r="AL1248" i="10"/>
  <c r="AK1248" i="10"/>
  <c r="AN1247" i="10"/>
  <c r="AM1247" i="10"/>
  <c r="AL1247" i="10"/>
  <c r="AK1247" i="10"/>
  <c r="AN1246" i="10"/>
  <c r="AM1246" i="10"/>
  <c r="AL1246" i="10"/>
  <c r="AK1246" i="10"/>
  <c r="AN1245" i="10"/>
  <c r="AM1245" i="10"/>
  <c r="AL1245" i="10"/>
  <c r="AK1245" i="10"/>
  <c r="AN1244" i="10"/>
  <c r="AM1244" i="10"/>
  <c r="AL1244" i="10"/>
  <c r="AK1244" i="10"/>
  <c r="AN1243" i="10"/>
  <c r="AM1243" i="10"/>
  <c r="AL1243" i="10"/>
  <c r="AK1243" i="10"/>
  <c r="AN1242" i="10"/>
  <c r="AM1242" i="10"/>
  <c r="AL1242" i="10"/>
  <c r="AK1242" i="10"/>
  <c r="AN1241" i="10"/>
  <c r="AM1241" i="10"/>
  <c r="AL1241" i="10"/>
  <c r="AK1241" i="10"/>
  <c r="AN1240" i="10"/>
  <c r="AM1240" i="10"/>
  <c r="AL1240" i="10"/>
  <c r="AK1240" i="10"/>
  <c r="AN1239" i="10"/>
  <c r="AM1239" i="10"/>
  <c r="AL1239" i="10"/>
  <c r="AK1239" i="10"/>
  <c r="AN1238" i="10"/>
  <c r="AM1238" i="10"/>
  <c r="AL1238" i="10"/>
  <c r="AK1238" i="10"/>
  <c r="AN1237" i="10"/>
  <c r="AM1237" i="10"/>
  <c r="AL1237" i="10"/>
  <c r="AK1237" i="10"/>
  <c r="AN1236" i="10"/>
  <c r="AM1236" i="10"/>
  <c r="AL1236" i="10"/>
  <c r="AK1236" i="10"/>
  <c r="AN1235" i="10"/>
  <c r="AM1235" i="10"/>
  <c r="AL1235" i="10"/>
  <c r="AK1235" i="10"/>
  <c r="AN1234" i="10"/>
  <c r="AM1234" i="10"/>
  <c r="AL1234" i="10"/>
  <c r="AK1234" i="10"/>
  <c r="AN1233" i="10"/>
  <c r="AM1233" i="10"/>
  <c r="AL1233" i="10"/>
  <c r="AK1233" i="10"/>
  <c r="AN1232" i="10"/>
  <c r="AM1232" i="10"/>
  <c r="AL1232" i="10"/>
  <c r="AK1232" i="10"/>
  <c r="AN1231" i="10"/>
  <c r="AM1231" i="10"/>
  <c r="AL1231" i="10"/>
  <c r="AK1231" i="10"/>
  <c r="AN1230" i="10"/>
  <c r="AM1230" i="10"/>
  <c r="AL1230" i="10"/>
  <c r="AK1230" i="10"/>
  <c r="AN1229" i="10"/>
  <c r="AM1229" i="10"/>
  <c r="AL1229" i="10"/>
  <c r="AK1229" i="10"/>
  <c r="AN1228" i="10"/>
  <c r="AM1228" i="10"/>
  <c r="AL1228" i="10"/>
  <c r="AK1228" i="10"/>
  <c r="AN1227" i="10"/>
  <c r="AM1227" i="10"/>
  <c r="AL1227" i="10"/>
  <c r="AK1227" i="10"/>
  <c r="AN1226" i="10"/>
  <c r="AM1226" i="10"/>
  <c r="AL1226" i="10"/>
  <c r="AK1226" i="10"/>
  <c r="AN1225" i="10"/>
  <c r="AM1225" i="10"/>
  <c r="AL1225" i="10"/>
  <c r="AK1225" i="10"/>
  <c r="AN1224" i="10"/>
  <c r="AM1224" i="10"/>
  <c r="AL1224" i="10"/>
  <c r="AK1224" i="10"/>
  <c r="AN1223" i="10"/>
  <c r="AM1223" i="10"/>
  <c r="AL1223" i="10"/>
  <c r="AK1223" i="10"/>
  <c r="AN1222" i="10"/>
  <c r="AM1222" i="10"/>
  <c r="AL1222" i="10"/>
  <c r="AK1222" i="10"/>
  <c r="AN1221" i="10"/>
  <c r="AM1221" i="10"/>
  <c r="AL1221" i="10"/>
  <c r="AK1221" i="10"/>
  <c r="AN1220" i="10"/>
  <c r="AM1220" i="10"/>
  <c r="AL1220" i="10"/>
  <c r="AK1220" i="10"/>
  <c r="AN1219" i="10"/>
  <c r="AM1219" i="10"/>
  <c r="AL1219" i="10"/>
  <c r="AK1219" i="10"/>
  <c r="AN1218" i="10"/>
  <c r="AM1218" i="10"/>
  <c r="AL1218" i="10"/>
  <c r="AK1218" i="10"/>
  <c r="AN1217" i="10"/>
  <c r="AM1217" i="10"/>
  <c r="AL1217" i="10"/>
  <c r="AK1217" i="10"/>
  <c r="AN1216" i="10"/>
  <c r="AM1216" i="10"/>
  <c r="AL1216" i="10"/>
  <c r="AK1216" i="10"/>
  <c r="AN1215" i="10"/>
  <c r="AM1215" i="10"/>
  <c r="AL1215" i="10"/>
  <c r="AK1215" i="10"/>
  <c r="AN1214" i="10"/>
  <c r="AM1214" i="10"/>
  <c r="AL1214" i="10"/>
  <c r="AK1214" i="10"/>
  <c r="AN1213" i="10"/>
  <c r="AM1213" i="10"/>
  <c r="AL1213" i="10"/>
  <c r="AK1213" i="10"/>
  <c r="AN1212" i="10"/>
  <c r="AM1212" i="10"/>
  <c r="AL1212" i="10"/>
  <c r="AK1212" i="10"/>
  <c r="AN1211" i="10"/>
  <c r="AM1211" i="10"/>
  <c r="AL1211" i="10"/>
  <c r="AK1211" i="10"/>
  <c r="AN1210" i="10"/>
  <c r="AM1210" i="10"/>
  <c r="AL1210" i="10"/>
  <c r="AK1210" i="10"/>
  <c r="AN1209" i="10"/>
  <c r="AM1209" i="10"/>
  <c r="AL1209" i="10"/>
  <c r="AK1209" i="10"/>
  <c r="AN1208" i="10"/>
  <c r="AM1208" i="10"/>
  <c r="AL1208" i="10"/>
  <c r="AK1208" i="10"/>
  <c r="AN1207" i="10"/>
  <c r="AM1207" i="10"/>
  <c r="AL1207" i="10"/>
  <c r="AK1207" i="10"/>
  <c r="AN1206" i="10"/>
  <c r="AM1206" i="10"/>
  <c r="AL1206" i="10"/>
  <c r="AK1206" i="10"/>
  <c r="AN1205" i="10"/>
  <c r="AM1205" i="10"/>
  <c r="AL1205" i="10"/>
  <c r="AK1205" i="10"/>
  <c r="AN1204" i="10"/>
  <c r="AM1204" i="10"/>
  <c r="AL1204" i="10"/>
  <c r="AK1204" i="10"/>
  <c r="AN1203" i="10"/>
  <c r="AM1203" i="10"/>
  <c r="AL1203" i="10"/>
  <c r="AK1203" i="10"/>
  <c r="AN1202" i="10"/>
  <c r="AM1202" i="10"/>
  <c r="AL1202" i="10"/>
  <c r="AK1202" i="10"/>
  <c r="AN1201" i="10"/>
  <c r="AM1201" i="10"/>
  <c r="AL1201" i="10"/>
  <c r="AK1201" i="10"/>
  <c r="AN1200" i="10"/>
  <c r="AM1200" i="10"/>
  <c r="AL1200" i="10"/>
  <c r="AK1200" i="10"/>
  <c r="AN1199" i="10"/>
  <c r="AM1199" i="10"/>
  <c r="AL1199" i="10"/>
  <c r="AK1199" i="10"/>
  <c r="AN1198" i="10"/>
  <c r="AM1198" i="10"/>
  <c r="AL1198" i="10"/>
  <c r="AK1198" i="10"/>
  <c r="AN1197" i="10"/>
  <c r="AM1197" i="10"/>
  <c r="AL1197" i="10"/>
  <c r="AK1197" i="10"/>
  <c r="AN1196" i="10"/>
  <c r="AM1196" i="10"/>
  <c r="AL1196" i="10"/>
  <c r="AK1196" i="10"/>
  <c r="AN1195" i="10"/>
  <c r="AM1195" i="10"/>
  <c r="AL1195" i="10"/>
  <c r="AK1195" i="10"/>
  <c r="AN1194" i="10"/>
  <c r="AM1194" i="10"/>
  <c r="AL1194" i="10"/>
  <c r="AK1194" i="10"/>
  <c r="AN1193" i="10"/>
  <c r="AM1193" i="10"/>
  <c r="AL1193" i="10"/>
  <c r="AK1193" i="10"/>
  <c r="AN1192" i="10"/>
  <c r="AM1192" i="10"/>
  <c r="AL1192" i="10"/>
  <c r="AK1192" i="10"/>
  <c r="AN1191" i="10"/>
  <c r="AM1191" i="10"/>
  <c r="AL1191" i="10"/>
  <c r="AK1191" i="10"/>
  <c r="AN1190" i="10"/>
  <c r="AM1190" i="10"/>
  <c r="AL1190" i="10"/>
  <c r="AK1190" i="10"/>
  <c r="AN1189" i="10"/>
  <c r="AM1189" i="10"/>
  <c r="AL1189" i="10"/>
  <c r="AK1189" i="10"/>
  <c r="AN1188" i="10"/>
  <c r="AM1188" i="10"/>
  <c r="AL1188" i="10"/>
  <c r="AK1188" i="10"/>
  <c r="AN1187" i="10"/>
  <c r="AM1187" i="10"/>
  <c r="AL1187" i="10"/>
  <c r="AK1187" i="10"/>
  <c r="AN1186" i="10"/>
  <c r="AM1186" i="10"/>
  <c r="AL1186" i="10"/>
  <c r="AK1186" i="10"/>
  <c r="AN1185" i="10"/>
  <c r="AM1185" i="10"/>
  <c r="AL1185" i="10"/>
  <c r="AK1185" i="10"/>
  <c r="AN1184" i="10"/>
  <c r="AM1184" i="10"/>
  <c r="AL1184" i="10"/>
  <c r="AK1184" i="10"/>
  <c r="AN1183" i="10"/>
  <c r="AM1183" i="10"/>
  <c r="AL1183" i="10"/>
  <c r="AK1183" i="10"/>
  <c r="AN1182" i="10"/>
  <c r="AM1182" i="10"/>
  <c r="AL1182" i="10"/>
  <c r="AK1182" i="10"/>
  <c r="AN1181" i="10"/>
  <c r="AM1181" i="10"/>
  <c r="AL1181" i="10"/>
  <c r="AK1181" i="10"/>
  <c r="AN1180" i="10"/>
  <c r="AM1180" i="10"/>
  <c r="AL1180" i="10"/>
  <c r="AK1180" i="10"/>
  <c r="AN1179" i="10"/>
  <c r="AM1179" i="10"/>
  <c r="AL1179" i="10"/>
  <c r="AK1179" i="10"/>
  <c r="AN1178" i="10"/>
  <c r="AM1178" i="10"/>
  <c r="AL1178" i="10"/>
  <c r="AK1178" i="10"/>
  <c r="AN1177" i="10"/>
  <c r="AM1177" i="10"/>
  <c r="AL1177" i="10"/>
  <c r="AK1177" i="10"/>
  <c r="AN1176" i="10"/>
  <c r="AM1176" i="10"/>
  <c r="AL1176" i="10"/>
  <c r="AK1176" i="10"/>
  <c r="AN1175" i="10"/>
  <c r="AM1175" i="10"/>
  <c r="AL1175" i="10"/>
  <c r="AK1175" i="10"/>
  <c r="AN1174" i="10"/>
  <c r="AM1174" i="10"/>
  <c r="AL1174" i="10"/>
  <c r="AK1174" i="10"/>
  <c r="AN1173" i="10"/>
  <c r="AM1173" i="10"/>
  <c r="AL1173" i="10"/>
  <c r="AK1173" i="10"/>
  <c r="AN1172" i="10"/>
  <c r="AM1172" i="10"/>
  <c r="AL1172" i="10"/>
  <c r="AK1172" i="10"/>
  <c r="AN1171" i="10"/>
  <c r="AM1171" i="10"/>
  <c r="AL1171" i="10"/>
  <c r="AK1171" i="10"/>
  <c r="AN1170" i="10"/>
  <c r="AM1170" i="10"/>
  <c r="AL1170" i="10"/>
  <c r="AK1170" i="10"/>
  <c r="AN1169" i="10"/>
  <c r="AM1169" i="10"/>
  <c r="AL1169" i="10"/>
  <c r="AK1169" i="10"/>
  <c r="AN1168" i="10"/>
  <c r="AM1168" i="10"/>
  <c r="AL1168" i="10"/>
  <c r="AK1168" i="10"/>
  <c r="AN1167" i="10"/>
  <c r="AM1167" i="10"/>
  <c r="AL1167" i="10"/>
  <c r="AK1167" i="10"/>
  <c r="AN1166" i="10"/>
  <c r="AM1166" i="10"/>
  <c r="AL1166" i="10"/>
  <c r="AK1166" i="10"/>
  <c r="AN1165" i="10"/>
  <c r="AM1165" i="10"/>
  <c r="AL1165" i="10"/>
  <c r="AK1165" i="10"/>
  <c r="AN1164" i="10"/>
  <c r="AM1164" i="10"/>
  <c r="AL1164" i="10"/>
  <c r="AK1164" i="10"/>
  <c r="AN1163" i="10"/>
  <c r="AM1163" i="10"/>
  <c r="AL1163" i="10"/>
  <c r="AK1163" i="10"/>
  <c r="AN1162" i="10"/>
  <c r="AM1162" i="10"/>
  <c r="AL1162" i="10"/>
  <c r="AK1162" i="10"/>
  <c r="AN1161" i="10"/>
  <c r="AM1161" i="10"/>
  <c r="AL1161" i="10"/>
  <c r="AK1161" i="10"/>
  <c r="AN1160" i="10"/>
  <c r="AM1160" i="10"/>
  <c r="AL1160" i="10"/>
  <c r="AK1160" i="10"/>
  <c r="AN1159" i="10"/>
  <c r="AM1159" i="10"/>
  <c r="AL1159" i="10"/>
  <c r="AK1159" i="10"/>
  <c r="AN1158" i="10"/>
  <c r="AM1158" i="10"/>
  <c r="AL1158" i="10"/>
  <c r="AK1158" i="10"/>
  <c r="AN1157" i="10"/>
  <c r="AM1157" i="10"/>
  <c r="AL1157" i="10"/>
  <c r="AK1157" i="10"/>
  <c r="AN1156" i="10"/>
  <c r="AM1156" i="10"/>
  <c r="AL1156" i="10"/>
  <c r="AK1156" i="10"/>
  <c r="AN1155" i="10"/>
  <c r="AM1155" i="10"/>
  <c r="AL1155" i="10"/>
  <c r="AK1155" i="10"/>
  <c r="AN1154" i="10"/>
  <c r="AM1154" i="10"/>
  <c r="AL1154" i="10"/>
  <c r="AK1154" i="10"/>
  <c r="AN1153" i="10"/>
  <c r="AM1153" i="10"/>
  <c r="AL1153" i="10"/>
  <c r="AK1153" i="10"/>
  <c r="AN1152" i="10"/>
  <c r="AM1152" i="10"/>
  <c r="AL1152" i="10"/>
  <c r="AK1152" i="10"/>
  <c r="AN1151" i="10"/>
  <c r="AM1151" i="10"/>
  <c r="AL1151" i="10"/>
  <c r="AK1151" i="10"/>
  <c r="AN1150" i="10"/>
  <c r="AM1150" i="10"/>
  <c r="AL1150" i="10"/>
  <c r="AK1150" i="10"/>
  <c r="AN1149" i="10"/>
  <c r="AM1149" i="10"/>
  <c r="AL1149" i="10"/>
  <c r="AK1149" i="10"/>
  <c r="AN1148" i="10"/>
  <c r="AM1148" i="10"/>
  <c r="AL1148" i="10"/>
  <c r="AK1148" i="10"/>
  <c r="AN1147" i="10"/>
  <c r="AM1147" i="10"/>
  <c r="AL1147" i="10"/>
  <c r="AK1147" i="10"/>
  <c r="AN1146" i="10"/>
  <c r="AM1146" i="10"/>
  <c r="AL1146" i="10"/>
  <c r="AK1146" i="10"/>
  <c r="AN1145" i="10"/>
  <c r="AM1145" i="10"/>
  <c r="AL1145" i="10"/>
  <c r="AK1145" i="10"/>
  <c r="AN1144" i="10"/>
  <c r="AM1144" i="10"/>
  <c r="AL1144" i="10"/>
  <c r="AK1144" i="10"/>
  <c r="AN1143" i="10"/>
  <c r="AM1143" i="10"/>
  <c r="AL1143" i="10"/>
  <c r="AK1143" i="10"/>
  <c r="AN1142" i="10"/>
  <c r="AM1142" i="10"/>
  <c r="AL1142" i="10"/>
  <c r="AK1142" i="10"/>
  <c r="AN1141" i="10"/>
  <c r="AM1141" i="10"/>
  <c r="AL1141" i="10"/>
  <c r="AK1141" i="10"/>
  <c r="AN1140" i="10"/>
  <c r="AM1140" i="10"/>
  <c r="AL1140" i="10"/>
  <c r="AK1140" i="10"/>
  <c r="AN1139" i="10"/>
  <c r="AM1139" i="10"/>
  <c r="AL1139" i="10"/>
  <c r="AK1139" i="10"/>
  <c r="AN1138" i="10"/>
  <c r="AM1138" i="10"/>
  <c r="AL1138" i="10"/>
  <c r="AK1138" i="10"/>
  <c r="AN1137" i="10"/>
  <c r="AM1137" i="10"/>
  <c r="AL1137" i="10"/>
  <c r="AK1137" i="10"/>
  <c r="AN1136" i="10"/>
  <c r="AM1136" i="10"/>
  <c r="AL1136" i="10"/>
  <c r="AK1136" i="10"/>
  <c r="AN1135" i="10"/>
  <c r="AM1135" i="10"/>
  <c r="AL1135" i="10"/>
  <c r="AK1135" i="10"/>
  <c r="AN1134" i="10"/>
  <c r="AM1134" i="10"/>
  <c r="AL1134" i="10"/>
  <c r="AK1134" i="10"/>
  <c r="AN1133" i="10"/>
  <c r="AM1133" i="10"/>
  <c r="AL1133" i="10"/>
  <c r="AK1133" i="10"/>
  <c r="AN1132" i="10"/>
  <c r="AM1132" i="10"/>
  <c r="AL1132" i="10"/>
  <c r="AK1132" i="10"/>
  <c r="AN1131" i="10"/>
  <c r="AM1131" i="10"/>
  <c r="AL1131" i="10"/>
  <c r="AK1131" i="10"/>
  <c r="AN1130" i="10"/>
  <c r="AM1130" i="10"/>
  <c r="AL1130" i="10"/>
  <c r="AK1130" i="10"/>
  <c r="AN1129" i="10"/>
  <c r="AM1129" i="10"/>
  <c r="AL1129" i="10"/>
  <c r="AK1129" i="10"/>
  <c r="AN1128" i="10"/>
  <c r="AM1128" i="10"/>
  <c r="AL1128" i="10"/>
  <c r="AK1128" i="10"/>
  <c r="AN1127" i="10"/>
  <c r="AM1127" i="10"/>
  <c r="AL1127" i="10"/>
  <c r="AK1127" i="10"/>
  <c r="AN1126" i="10"/>
  <c r="AM1126" i="10"/>
  <c r="AL1126" i="10"/>
  <c r="AK1126" i="10"/>
  <c r="AN1125" i="10"/>
  <c r="AM1125" i="10"/>
  <c r="AL1125" i="10"/>
  <c r="AK1125" i="10"/>
  <c r="AN1124" i="10"/>
  <c r="AM1124" i="10"/>
  <c r="AL1124" i="10"/>
  <c r="AK1124" i="10"/>
  <c r="AN1123" i="10"/>
  <c r="AM1123" i="10"/>
  <c r="AL1123" i="10"/>
  <c r="AK1123" i="10"/>
  <c r="AN1122" i="10"/>
  <c r="AM1122" i="10"/>
  <c r="AL1122" i="10"/>
  <c r="AK1122" i="10"/>
  <c r="AN1121" i="10"/>
  <c r="AM1121" i="10"/>
  <c r="AL1121" i="10"/>
  <c r="AK1121" i="10"/>
  <c r="AN1120" i="10"/>
  <c r="AM1120" i="10"/>
  <c r="AL1120" i="10"/>
  <c r="AK1120" i="10"/>
  <c r="AN1119" i="10"/>
  <c r="AM1119" i="10"/>
  <c r="AL1119" i="10"/>
  <c r="AK1119" i="10"/>
  <c r="AN1118" i="10"/>
  <c r="AM1118" i="10"/>
  <c r="AL1118" i="10"/>
  <c r="AK1118" i="10"/>
  <c r="AN1117" i="10"/>
  <c r="AM1117" i="10"/>
  <c r="AL1117" i="10"/>
  <c r="AK1117" i="10"/>
  <c r="AN1116" i="10"/>
  <c r="AM1116" i="10"/>
  <c r="AL1116" i="10"/>
  <c r="AK1116" i="10"/>
  <c r="AN1115" i="10"/>
  <c r="AM1115" i="10"/>
  <c r="AL1115" i="10"/>
  <c r="AK1115" i="10"/>
  <c r="AN1114" i="10"/>
  <c r="AM1114" i="10"/>
  <c r="AL1114" i="10"/>
  <c r="AK1114" i="10"/>
  <c r="AN1113" i="10"/>
  <c r="AM1113" i="10"/>
  <c r="AL1113" i="10"/>
  <c r="AK1113" i="10"/>
  <c r="AN1112" i="10"/>
  <c r="AM1112" i="10"/>
  <c r="AL1112" i="10"/>
  <c r="AK1112" i="10"/>
  <c r="AN1111" i="10"/>
  <c r="AM1111" i="10"/>
  <c r="AL1111" i="10"/>
  <c r="AK1111" i="10"/>
  <c r="AN1110" i="10"/>
  <c r="AM1110" i="10"/>
  <c r="AL1110" i="10"/>
  <c r="AK1110" i="10"/>
  <c r="AN1109" i="10"/>
  <c r="AM1109" i="10"/>
  <c r="AL1109" i="10"/>
  <c r="AK1109" i="10"/>
  <c r="AN1108" i="10"/>
  <c r="AM1108" i="10"/>
  <c r="AL1108" i="10"/>
  <c r="AK1108" i="10"/>
  <c r="AN1107" i="10"/>
  <c r="AM1107" i="10"/>
  <c r="AL1107" i="10"/>
  <c r="AK1107" i="10"/>
  <c r="AN1106" i="10"/>
  <c r="AM1106" i="10"/>
  <c r="AL1106" i="10"/>
  <c r="AK1106" i="10"/>
  <c r="AN1105" i="10"/>
  <c r="AM1105" i="10"/>
  <c r="AL1105" i="10"/>
  <c r="AK1105" i="10"/>
  <c r="AN1104" i="10"/>
  <c r="AM1104" i="10"/>
  <c r="AL1104" i="10"/>
  <c r="AK1104" i="10"/>
  <c r="AN1103" i="10"/>
  <c r="AM1103" i="10"/>
  <c r="AL1103" i="10"/>
  <c r="AK1103" i="10"/>
  <c r="AN1102" i="10"/>
  <c r="AM1102" i="10"/>
  <c r="AL1102" i="10"/>
  <c r="AK1102" i="10"/>
  <c r="AN1101" i="10"/>
  <c r="AM1101" i="10"/>
  <c r="AL1101" i="10"/>
  <c r="AK1101" i="10"/>
  <c r="AN1100" i="10"/>
  <c r="AM1100" i="10"/>
  <c r="AL1100" i="10"/>
  <c r="AK1100" i="10"/>
  <c r="AN1099" i="10"/>
  <c r="AM1099" i="10"/>
  <c r="AL1099" i="10"/>
  <c r="AK1099" i="10"/>
  <c r="AN1098" i="10"/>
  <c r="AM1098" i="10"/>
  <c r="AL1098" i="10"/>
  <c r="AK1098" i="10"/>
  <c r="AN1097" i="10"/>
  <c r="AM1097" i="10"/>
  <c r="AL1097" i="10"/>
  <c r="AK1097" i="10"/>
  <c r="AN1096" i="10"/>
  <c r="AM1096" i="10"/>
  <c r="AL1096" i="10"/>
  <c r="AK1096" i="10"/>
  <c r="AN1095" i="10"/>
  <c r="AM1095" i="10"/>
  <c r="AL1095" i="10"/>
  <c r="AK1095" i="10"/>
  <c r="AN1094" i="10"/>
  <c r="AM1094" i="10"/>
  <c r="AL1094" i="10"/>
  <c r="AK1094" i="10"/>
  <c r="AN1093" i="10"/>
  <c r="AM1093" i="10"/>
  <c r="AL1093" i="10"/>
  <c r="AK1093" i="10"/>
  <c r="AN1092" i="10"/>
  <c r="AM1092" i="10"/>
  <c r="AL1092" i="10"/>
  <c r="AK1092" i="10"/>
  <c r="AN1091" i="10"/>
  <c r="AM1091" i="10"/>
  <c r="AL1091" i="10"/>
  <c r="AK1091" i="10"/>
  <c r="AN1090" i="10"/>
  <c r="AM1090" i="10"/>
  <c r="AL1090" i="10"/>
  <c r="AK1090" i="10"/>
  <c r="AN1089" i="10"/>
  <c r="AM1089" i="10"/>
  <c r="AL1089" i="10"/>
  <c r="AK1089" i="10"/>
  <c r="AN1088" i="10"/>
  <c r="AM1088" i="10"/>
  <c r="AL1088" i="10"/>
  <c r="AK1088" i="10"/>
  <c r="AN1087" i="10"/>
  <c r="AM1087" i="10"/>
  <c r="AL1087" i="10"/>
  <c r="AK1087" i="10"/>
  <c r="AN1086" i="10"/>
  <c r="AM1086" i="10"/>
  <c r="AL1086" i="10"/>
  <c r="AK1086" i="10"/>
  <c r="AN1085" i="10"/>
  <c r="AM1085" i="10"/>
  <c r="AL1085" i="10"/>
  <c r="AK1085" i="10"/>
  <c r="AN1084" i="10"/>
  <c r="AM1084" i="10"/>
  <c r="AL1084" i="10"/>
  <c r="AK1084" i="10"/>
  <c r="AN1083" i="10"/>
  <c r="AM1083" i="10"/>
  <c r="AL1083" i="10"/>
  <c r="AK1083" i="10"/>
  <c r="AN1082" i="10"/>
  <c r="AM1082" i="10"/>
  <c r="AL1082" i="10"/>
  <c r="AK1082" i="10"/>
  <c r="AN1081" i="10"/>
  <c r="AM1081" i="10"/>
  <c r="AL1081" i="10"/>
  <c r="AK1081" i="10"/>
  <c r="AN1080" i="10"/>
  <c r="AM1080" i="10"/>
  <c r="AL1080" i="10"/>
  <c r="AK1080" i="10"/>
  <c r="AN1079" i="10"/>
  <c r="AM1079" i="10"/>
  <c r="AL1079" i="10"/>
  <c r="AK1079" i="10"/>
  <c r="AN1078" i="10"/>
  <c r="AM1078" i="10"/>
  <c r="AL1078" i="10"/>
  <c r="AK1078" i="10"/>
  <c r="AN1077" i="10"/>
  <c r="AM1077" i="10"/>
  <c r="AL1077" i="10"/>
  <c r="AK1077" i="10"/>
  <c r="AN1076" i="10"/>
  <c r="AM1076" i="10"/>
  <c r="AL1076" i="10"/>
  <c r="AK1076" i="10"/>
  <c r="AN1075" i="10"/>
  <c r="AM1075" i="10"/>
  <c r="AL1075" i="10"/>
  <c r="AK1075" i="10"/>
  <c r="AN1074" i="10"/>
  <c r="AM1074" i="10"/>
  <c r="AL1074" i="10"/>
  <c r="AK1074" i="10"/>
  <c r="AN1073" i="10"/>
  <c r="AM1073" i="10"/>
  <c r="AL1073" i="10"/>
  <c r="AK1073" i="10"/>
  <c r="AN1072" i="10"/>
  <c r="AM1072" i="10"/>
  <c r="AL1072" i="10"/>
  <c r="AK1072" i="10"/>
  <c r="AN1071" i="10"/>
  <c r="AM1071" i="10"/>
  <c r="AL1071" i="10"/>
  <c r="AK1071" i="10"/>
  <c r="AN1070" i="10"/>
  <c r="AM1070" i="10"/>
  <c r="AL1070" i="10"/>
  <c r="AK1070" i="10"/>
  <c r="AN1069" i="10"/>
  <c r="AM1069" i="10"/>
  <c r="AL1069" i="10"/>
  <c r="AK1069" i="10"/>
  <c r="AN1068" i="10"/>
  <c r="AM1068" i="10"/>
  <c r="AL1068" i="10"/>
  <c r="AK1068" i="10"/>
  <c r="AN1067" i="10"/>
  <c r="AM1067" i="10"/>
  <c r="AL1067" i="10"/>
  <c r="AK1067" i="10"/>
  <c r="AN1066" i="10"/>
  <c r="AM1066" i="10"/>
  <c r="AL1066" i="10"/>
  <c r="AK1066" i="10"/>
  <c r="AN1065" i="10"/>
  <c r="AM1065" i="10"/>
  <c r="AL1065" i="10"/>
  <c r="AK1065" i="10"/>
  <c r="AN1064" i="10"/>
  <c r="AM1064" i="10"/>
  <c r="AL1064" i="10"/>
  <c r="AK1064" i="10"/>
  <c r="AN1063" i="10"/>
  <c r="AM1063" i="10"/>
  <c r="AL1063" i="10"/>
  <c r="AK1063" i="10"/>
  <c r="AN1062" i="10"/>
  <c r="AM1062" i="10"/>
  <c r="AL1062" i="10"/>
  <c r="AK1062" i="10"/>
  <c r="AN1061" i="10"/>
  <c r="AM1061" i="10"/>
  <c r="AL1061" i="10"/>
  <c r="AK1061" i="10"/>
  <c r="AN1060" i="10"/>
  <c r="AM1060" i="10"/>
  <c r="AL1060" i="10"/>
  <c r="AK1060" i="10"/>
  <c r="AN1059" i="10"/>
  <c r="AM1059" i="10"/>
  <c r="AL1059" i="10"/>
  <c r="AK1059" i="10"/>
  <c r="AN1058" i="10"/>
  <c r="AM1058" i="10"/>
  <c r="AL1058" i="10"/>
  <c r="AK1058" i="10"/>
  <c r="AN1057" i="10"/>
  <c r="AM1057" i="10"/>
  <c r="AL1057" i="10"/>
  <c r="AK1057" i="10"/>
  <c r="AN1056" i="10"/>
  <c r="AM1056" i="10"/>
  <c r="AL1056" i="10"/>
  <c r="AK1056" i="10"/>
  <c r="AN1055" i="10"/>
  <c r="AM1055" i="10"/>
  <c r="AL1055" i="10"/>
  <c r="AK1055" i="10"/>
  <c r="AN1054" i="10"/>
  <c r="AM1054" i="10"/>
  <c r="AL1054" i="10"/>
  <c r="AK1054" i="10"/>
  <c r="AN1053" i="10"/>
  <c r="AM1053" i="10"/>
  <c r="AL1053" i="10"/>
  <c r="AK1053" i="10"/>
  <c r="AN1052" i="10"/>
  <c r="AM1052" i="10"/>
  <c r="AL1052" i="10"/>
  <c r="AK1052" i="10"/>
  <c r="AN1051" i="10"/>
  <c r="AM1051" i="10"/>
  <c r="AL1051" i="10"/>
  <c r="AK1051" i="10"/>
  <c r="AN1050" i="10"/>
  <c r="AM1050" i="10"/>
  <c r="AL1050" i="10"/>
  <c r="AK1050" i="10"/>
  <c r="AN1049" i="10"/>
  <c r="AM1049" i="10"/>
  <c r="AL1049" i="10"/>
  <c r="AK1049" i="10"/>
  <c r="AN1048" i="10"/>
  <c r="AM1048" i="10"/>
  <c r="AL1048" i="10"/>
  <c r="AK1048" i="10"/>
  <c r="AN1047" i="10"/>
  <c r="AM1047" i="10"/>
  <c r="AL1047" i="10"/>
  <c r="AK1047" i="10"/>
  <c r="AN1046" i="10"/>
  <c r="AM1046" i="10"/>
  <c r="AL1046" i="10"/>
  <c r="AK1046" i="10"/>
  <c r="AN1045" i="10"/>
  <c r="AM1045" i="10"/>
  <c r="AL1045" i="10"/>
  <c r="AK1045" i="10"/>
  <c r="AN1044" i="10"/>
  <c r="AM1044" i="10"/>
  <c r="AL1044" i="10"/>
  <c r="AK1044" i="10"/>
  <c r="AN1043" i="10"/>
  <c r="AM1043" i="10"/>
  <c r="AL1043" i="10"/>
  <c r="AK1043" i="10"/>
  <c r="AN1042" i="10"/>
  <c r="AM1042" i="10"/>
  <c r="AL1042" i="10"/>
  <c r="AK1042" i="10"/>
  <c r="AN1041" i="10"/>
  <c r="AM1041" i="10"/>
  <c r="AL1041" i="10"/>
  <c r="AK1041" i="10"/>
  <c r="AN1040" i="10"/>
  <c r="AM1040" i="10"/>
  <c r="AL1040" i="10"/>
  <c r="AK1040" i="10"/>
  <c r="AN1039" i="10"/>
  <c r="AM1039" i="10"/>
  <c r="AL1039" i="10"/>
  <c r="AK1039" i="10"/>
  <c r="AN1038" i="10"/>
  <c r="AM1038" i="10"/>
  <c r="AL1038" i="10"/>
  <c r="AK1038" i="10"/>
  <c r="AN1037" i="10"/>
  <c r="AM1037" i="10"/>
  <c r="AL1037" i="10"/>
  <c r="AK1037" i="10"/>
  <c r="AN1036" i="10"/>
  <c r="AM1036" i="10"/>
  <c r="AL1036" i="10"/>
  <c r="AK1036" i="10"/>
  <c r="AN1035" i="10"/>
  <c r="AM1035" i="10"/>
  <c r="AL1035" i="10"/>
  <c r="AK1035" i="10"/>
  <c r="AN1034" i="10"/>
  <c r="AM1034" i="10"/>
  <c r="AL1034" i="10"/>
  <c r="AK1034" i="10"/>
  <c r="AN1033" i="10"/>
  <c r="AM1033" i="10"/>
  <c r="AL1033" i="10"/>
  <c r="AK1033" i="10"/>
  <c r="AN1032" i="10"/>
  <c r="AM1032" i="10"/>
  <c r="AL1032" i="10"/>
  <c r="AK1032" i="10"/>
  <c r="AN1031" i="10"/>
  <c r="AM1031" i="10"/>
  <c r="AL1031" i="10"/>
  <c r="AK1031" i="10"/>
  <c r="AN1030" i="10"/>
  <c r="AM1030" i="10"/>
  <c r="AL1030" i="10"/>
  <c r="AK1030" i="10"/>
  <c r="AN1029" i="10"/>
  <c r="AM1029" i="10"/>
  <c r="AL1029" i="10"/>
  <c r="AK1029" i="10"/>
  <c r="AN1028" i="10"/>
  <c r="AM1028" i="10"/>
  <c r="AL1028" i="10"/>
  <c r="AK1028" i="10"/>
  <c r="AN1027" i="10"/>
  <c r="AM1027" i="10"/>
  <c r="AL1027" i="10"/>
  <c r="AK1027" i="10"/>
  <c r="AN1026" i="10"/>
  <c r="AM1026" i="10"/>
  <c r="AL1026" i="10"/>
  <c r="AK1026" i="10"/>
  <c r="AN1025" i="10"/>
  <c r="AM1025" i="10"/>
  <c r="AL1025" i="10"/>
  <c r="AK1025" i="10"/>
  <c r="AN1024" i="10"/>
  <c r="AM1024" i="10"/>
  <c r="AL1024" i="10"/>
  <c r="AK1024" i="10"/>
  <c r="AN1023" i="10"/>
  <c r="AM1023" i="10"/>
  <c r="AL1023" i="10"/>
  <c r="AK1023" i="10"/>
  <c r="AN1022" i="10"/>
  <c r="AM1022" i="10"/>
  <c r="AL1022" i="10"/>
  <c r="AK1022" i="10"/>
  <c r="AN1021" i="10"/>
  <c r="AM1021" i="10"/>
  <c r="AL1021" i="10"/>
  <c r="AK1021" i="10"/>
  <c r="AN1020" i="10"/>
  <c r="AM1020" i="10"/>
  <c r="AL1020" i="10"/>
  <c r="AK1020" i="10"/>
  <c r="AN1019" i="10"/>
  <c r="AM1019" i="10"/>
  <c r="AL1019" i="10"/>
  <c r="AK1019" i="10"/>
  <c r="AN1018" i="10"/>
  <c r="AM1018" i="10"/>
  <c r="AL1018" i="10"/>
  <c r="AK1018" i="10"/>
  <c r="AN1017" i="10"/>
  <c r="AM1017" i="10"/>
  <c r="AL1017" i="10"/>
  <c r="AK1017" i="10"/>
  <c r="AN1016" i="10"/>
  <c r="AM1016" i="10"/>
  <c r="AL1016" i="10"/>
  <c r="AK1016" i="10"/>
  <c r="AN1015" i="10"/>
  <c r="AM1015" i="10"/>
  <c r="AL1015" i="10"/>
  <c r="AK1015" i="10"/>
  <c r="AN1014" i="10"/>
  <c r="AM1014" i="10"/>
  <c r="AL1014" i="10"/>
  <c r="AK1014" i="10"/>
  <c r="AN1013" i="10"/>
  <c r="AM1013" i="10"/>
  <c r="AL1013" i="10"/>
  <c r="AK1013" i="10"/>
  <c r="AN1012" i="10"/>
  <c r="AM1012" i="10"/>
  <c r="AL1012" i="10"/>
  <c r="AK1012" i="10"/>
  <c r="AN1011" i="10"/>
  <c r="AM1011" i="10"/>
  <c r="AL1011" i="10"/>
  <c r="AK1011" i="10"/>
  <c r="AN1010" i="10"/>
  <c r="AM1010" i="10"/>
  <c r="AL1010" i="10"/>
  <c r="AK1010" i="10"/>
  <c r="AN1009" i="10"/>
  <c r="AM1009" i="10"/>
  <c r="AL1009" i="10"/>
  <c r="AK1009" i="10"/>
  <c r="AN1008" i="10"/>
  <c r="AM1008" i="10"/>
  <c r="AL1008" i="10"/>
  <c r="AK1008" i="10"/>
  <c r="AN1007" i="10"/>
  <c r="AM1007" i="10"/>
  <c r="AL1007" i="10"/>
  <c r="AK1007" i="10"/>
  <c r="AN1006" i="10"/>
  <c r="AM1006" i="10"/>
  <c r="AL1006" i="10"/>
  <c r="AK1006" i="10"/>
  <c r="AN1005" i="10"/>
  <c r="AM1005" i="10"/>
  <c r="AL1005" i="10"/>
  <c r="AK1005" i="10"/>
  <c r="AN1004" i="10"/>
  <c r="AM1004" i="10"/>
  <c r="AL1004" i="10"/>
  <c r="AK1004" i="10"/>
  <c r="AN1003" i="10"/>
  <c r="AM1003" i="10"/>
  <c r="AL1003" i="10"/>
  <c r="AK1003" i="10"/>
  <c r="AN1002" i="10"/>
  <c r="AM1002" i="10"/>
  <c r="AL1002" i="10"/>
  <c r="AK1002" i="10"/>
  <c r="AN1001" i="10"/>
  <c r="AM1001" i="10"/>
  <c r="AL1001" i="10"/>
  <c r="AK1001" i="10"/>
  <c r="AN1000" i="10"/>
  <c r="AM1000" i="10"/>
  <c r="AL1000" i="10"/>
  <c r="AK1000" i="10"/>
  <c r="AN999" i="10"/>
  <c r="AM999" i="10"/>
  <c r="AL999" i="10"/>
  <c r="AK999" i="10"/>
  <c r="AN998" i="10"/>
  <c r="AM998" i="10"/>
  <c r="AL998" i="10"/>
  <c r="AK998" i="10"/>
  <c r="AN997" i="10"/>
  <c r="AM997" i="10"/>
  <c r="AL997" i="10"/>
  <c r="AK997" i="10"/>
  <c r="AN996" i="10"/>
  <c r="AM996" i="10"/>
  <c r="AL996" i="10"/>
  <c r="AK996" i="10"/>
  <c r="AN995" i="10"/>
  <c r="AM995" i="10"/>
  <c r="AL995" i="10"/>
  <c r="AK995" i="10"/>
  <c r="AN994" i="10"/>
  <c r="AM994" i="10"/>
  <c r="AL994" i="10"/>
  <c r="AK994" i="10"/>
  <c r="AN993" i="10"/>
  <c r="AM993" i="10"/>
  <c r="AL993" i="10"/>
  <c r="AK993" i="10"/>
  <c r="AN992" i="10"/>
  <c r="AM992" i="10"/>
  <c r="AL992" i="10"/>
  <c r="AK992" i="10"/>
  <c r="AN991" i="10"/>
  <c r="AM991" i="10"/>
  <c r="AL991" i="10"/>
  <c r="AK991" i="10"/>
  <c r="AN990" i="10"/>
  <c r="AM990" i="10"/>
  <c r="AL990" i="10"/>
  <c r="AK990" i="10"/>
  <c r="AN989" i="10"/>
  <c r="AM989" i="10"/>
  <c r="AL989" i="10"/>
  <c r="AK989" i="10"/>
  <c r="AN988" i="10"/>
  <c r="AM988" i="10"/>
  <c r="AL988" i="10"/>
  <c r="AK988" i="10"/>
  <c r="AN987" i="10"/>
  <c r="AM987" i="10"/>
  <c r="AL987" i="10"/>
  <c r="AK987" i="10"/>
  <c r="AN986" i="10"/>
  <c r="AM986" i="10"/>
  <c r="AL986" i="10"/>
  <c r="AK986" i="10"/>
  <c r="AN985" i="10"/>
  <c r="AM985" i="10"/>
  <c r="AL985" i="10"/>
  <c r="AK985" i="10"/>
  <c r="AN984" i="10"/>
  <c r="AM984" i="10"/>
  <c r="AL984" i="10"/>
  <c r="AK984" i="10"/>
  <c r="AN983" i="10"/>
  <c r="AM983" i="10"/>
  <c r="AL983" i="10"/>
  <c r="AK983" i="10"/>
  <c r="AN982" i="10"/>
  <c r="AM982" i="10"/>
  <c r="AL982" i="10"/>
  <c r="AK982" i="10"/>
  <c r="AN981" i="10"/>
  <c r="AM981" i="10"/>
  <c r="AL981" i="10"/>
  <c r="AK981" i="10"/>
  <c r="AN980" i="10"/>
  <c r="AM980" i="10"/>
  <c r="AL980" i="10"/>
  <c r="AK980" i="10"/>
  <c r="AN979" i="10"/>
  <c r="AM979" i="10"/>
  <c r="AL979" i="10"/>
  <c r="AK979" i="10"/>
  <c r="AN978" i="10"/>
  <c r="AM978" i="10"/>
  <c r="AL978" i="10"/>
  <c r="AK978" i="10"/>
  <c r="AN977" i="10"/>
  <c r="AM977" i="10"/>
  <c r="AL977" i="10"/>
  <c r="AK977" i="10"/>
  <c r="AN976" i="10"/>
  <c r="AM976" i="10"/>
  <c r="AL976" i="10"/>
  <c r="AK976" i="10"/>
  <c r="AN975" i="10"/>
  <c r="AM975" i="10"/>
  <c r="AL975" i="10"/>
  <c r="AK975" i="10"/>
  <c r="AN974" i="10"/>
  <c r="AM974" i="10"/>
  <c r="AL974" i="10"/>
  <c r="AK974" i="10"/>
  <c r="AN973" i="10"/>
  <c r="AM973" i="10"/>
  <c r="AL973" i="10"/>
  <c r="AK973" i="10"/>
  <c r="AN972" i="10"/>
  <c r="AM972" i="10"/>
  <c r="AL972" i="10"/>
  <c r="AK972" i="10"/>
  <c r="AN971" i="10"/>
  <c r="AM971" i="10"/>
  <c r="AL971" i="10"/>
  <c r="AK971" i="10"/>
  <c r="AN970" i="10"/>
  <c r="AM970" i="10"/>
  <c r="AL970" i="10"/>
  <c r="AK970" i="10"/>
  <c r="AN969" i="10"/>
  <c r="AM969" i="10"/>
  <c r="AL969" i="10"/>
  <c r="AK969" i="10"/>
  <c r="AN968" i="10"/>
  <c r="AM968" i="10"/>
  <c r="AL968" i="10"/>
  <c r="AK968" i="10"/>
  <c r="AN967" i="10"/>
  <c r="AM967" i="10"/>
  <c r="AL967" i="10"/>
  <c r="AK967" i="10"/>
  <c r="AN966" i="10"/>
  <c r="AM966" i="10"/>
  <c r="AL966" i="10"/>
  <c r="AK966" i="10"/>
  <c r="AN965" i="10"/>
  <c r="AM965" i="10"/>
  <c r="AL965" i="10"/>
  <c r="AK965" i="10"/>
  <c r="AN964" i="10"/>
  <c r="AM964" i="10"/>
  <c r="AL964" i="10"/>
  <c r="AK964" i="10"/>
  <c r="AN963" i="10"/>
  <c r="AM963" i="10"/>
  <c r="AL963" i="10"/>
  <c r="AK963" i="10"/>
  <c r="AN962" i="10"/>
  <c r="AM962" i="10"/>
  <c r="AL962" i="10"/>
  <c r="AK962" i="10"/>
  <c r="AN961" i="10"/>
  <c r="AM961" i="10"/>
  <c r="AL961" i="10"/>
  <c r="AK961" i="10"/>
  <c r="AN960" i="10"/>
  <c r="AM960" i="10"/>
  <c r="AL960" i="10"/>
  <c r="AK960" i="10"/>
  <c r="AN959" i="10"/>
  <c r="AM959" i="10"/>
  <c r="AL959" i="10"/>
  <c r="AK959" i="10"/>
  <c r="AN958" i="10"/>
  <c r="AM958" i="10"/>
  <c r="AL958" i="10"/>
  <c r="AK958" i="10"/>
  <c r="AN957" i="10"/>
  <c r="AM957" i="10"/>
  <c r="AL957" i="10"/>
  <c r="AK957" i="10"/>
  <c r="AN956" i="10"/>
  <c r="AM956" i="10"/>
  <c r="AL956" i="10"/>
  <c r="AK956" i="10"/>
  <c r="AN955" i="10"/>
  <c r="AM955" i="10"/>
  <c r="AL955" i="10"/>
  <c r="AK955" i="10"/>
  <c r="AN954" i="10"/>
  <c r="AM954" i="10"/>
  <c r="AL954" i="10"/>
  <c r="AK954" i="10"/>
  <c r="AN953" i="10"/>
  <c r="AM953" i="10"/>
  <c r="AL953" i="10"/>
  <c r="AK953" i="10"/>
  <c r="AN952" i="10"/>
  <c r="AM952" i="10"/>
  <c r="AL952" i="10"/>
  <c r="AK952" i="10"/>
  <c r="AN951" i="10"/>
  <c r="AM951" i="10"/>
  <c r="AL951" i="10"/>
  <c r="AK951" i="10"/>
  <c r="AN950" i="10"/>
  <c r="AM950" i="10"/>
  <c r="AL950" i="10"/>
  <c r="AK950" i="10"/>
  <c r="AN949" i="10"/>
  <c r="AM949" i="10"/>
  <c r="AL949" i="10"/>
  <c r="AK949" i="10"/>
  <c r="AN948" i="10"/>
  <c r="AM948" i="10"/>
  <c r="AL948" i="10"/>
  <c r="AK948" i="10"/>
  <c r="AN947" i="10"/>
  <c r="AM947" i="10"/>
  <c r="AL947" i="10"/>
  <c r="AK947" i="10"/>
  <c r="AN946" i="10"/>
  <c r="AM946" i="10"/>
  <c r="AL946" i="10"/>
  <c r="AK946" i="10"/>
  <c r="AN945" i="10"/>
  <c r="AM945" i="10"/>
  <c r="AL945" i="10"/>
  <c r="AK945" i="10"/>
  <c r="AN944" i="10"/>
  <c r="AM944" i="10"/>
  <c r="AL944" i="10"/>
  <c r="AK944" i="10"/>
  <c r="AN943" i="10"/>
  <c r="AM943" i="10"/>
  <c r="AL943" i="10"/>
  <c r="AK943" i="10"/>
  <c r="AN942" i="10"/>
  <c r="AM942" i="10"/>
  <c r="AL942" i="10"/>
  <c r="AK942" i="10"/>
  <c r="AN941" i="10"/>
  <c r="AM941" i="10"/>
  <c r="AL941" i="10"/>
  <c r="AK941" i="10"/>
  <c r="AN940" i="10"/>
  <c r="AM940" i="10"/>
  <c r="AL940" i="10"/>
  <c r="AK940" i="10"/>
  <c r="AN939" i="10"/>
  <c r="AM939" i="10"/>
  <c r="AL939" i="10"/>
  <c r="AK939" i="10"/>
  <c r="AN938" i="10"/>
  <c r="AM938" i="10"/>
  <c r="AL938" i="10"/>
  <c r="AK938" i="10"/>
  <c r="AN937" i="10"/>
  <c r="AM937" i="10"/>
  <c r="AL937" i="10"/>
  <c r="AK937" i="10"/>
  <c r="AN936" i="10"/>
  <c r="AM936" i="10"/>
  <c r="AL936" i="10"/>
  <c r="AK936" i="10"/>
  <c r="AN935" i="10"/>
  <c r="AM935" i="10"/>
  <c r="AL935" i="10"/>
  <c r="AK935" i="10"/>
  <c r="AN934" i="10"/>
  <c r="AM934" i="10"/>
  <c r="AL934" i="10"/>
  <c r="AK934" i="10"/>
  <c r="AN933" i="10"/>
  <c r="AM933" i="10"/>
  <c r="AL933" i="10"/>
  <c r="AK933" i="10"/>
  <c r="AN932" i="10"/>
  <c r="AM932" i="10"/>
  <c r="AL932" i="10"/>
  <c r="AK932" i="10"/>
  <c r="AN931" i="10"/>
  <c r="AM931" i="10"/>
  <c r="AL931" i="10"/>
  <c r="AK931" i="10"/>
  <c r="AN930" i="10"/>
  <c r="AM930" i="10"/>
  <c r="AL930" i="10"/>
  <c r="AK930" i="10"/>
  <c r="AN929" i="10"/>
  <c r="AM929" i="10"/>
  <c r="AL929" i="10"/>
  <c r="AK929" i="10"/>
  <c r="AN928" i="10"/>
  <c r="AM928" i="10"/>
  <c r="AL928" i="10"/>
  <c r="AK928" i="10"/>
  <c r="AN927" i="10"/>
  <c r="AM927" i="10"/>
  <c r="AL927" i="10"/>
  <c r="AK927" i="10"/>
  <c r="AN926" i="10"/>
  <c r="AM926" i="10"/>
  <c r="AL926" i="10"/>
  <c r="AK926" i="10"/>
  <c r="AN925" i="10"/>
  <c r="AM925" i="10"/>
  <c r="AL925" i="10"/>
  <c r="AK925" i="10"/>
  <c r="AN924" i="10"/>
  <c r="AM924" i="10"/>
  <c r="AL924" i="10"/>
  <c r="AK924" i="10"/>
  <c r="AN923" i="10"/>
  <c r="AM923" i="10"/>
  <c r="AL923" i="10"/>
  <c r="AK923" i="10"/>
  <c r="AN922" i="10"/>
  <c r="AM922" i="10"/>
  <c r="AL922" i="10"/>
  <c r="AK922" i="10"/>
  <c r="AN921" i="10"/>
  <c r="AM921" i="10"/>
  <c r="AL921" i="10"/>
  <c r="AK921" i="10"/>
  <c r="AN920" i="10"/>
  <c r="AM920" i="10"/>
  <c r="AL920" i="10"/>
  <c r="AK920" i="10"/>
  <c r="AN919" i="10"/>
  <c r="AM919" i="10"/>
  <c r="AL919" i="10"/>
  <c r="AK919" i="10"/>
  <c r="AN918" i="10"/>
  <c r="AM918" i="10"/>
  <c r="AL918" i="10"/>
  <c r="AK918" i="10"/>
  <c r="AN917" i="10"/>
  <c r="AM917" i="10"/>
  <c r="AL917" i="10"/>
  <c r="AK917" i="10"/>
  <c r="AN916" i="10"/>
  <c r="AM916" i="10"/>
  <c r="AL916" i="10"/>
  <c r="AK916" i="10"/>
  <c r="AN915" i="10"/>
  <c r="AM915" i="10"/>
  <c r="AL915" i="10"/>
  <c r="AK915" i="10"/>
  <c r="AN914" i="10"/>
  <c r="AM914" i="10"/>
  <c r="AL914" i="10"/>
  <c r="AK914" i="10"/>
  <c r="AN913" i="10"/>
  <c r="AM913" i="10"/>
  <c r="AL913" i="10"/>
  <c r="AK913" i="10"/>
  <c r="AN912" i="10"/>
  <c r="AM912" i="10"/>
  <c r="AL912" i="10"/>
  <c r="AK912" i="10"/>
  <c r="AN911" i="10"/>
  <c r="AM911" i="10"/>
  <c r="AL911" i="10"/>
  <c r="AK911" i="10"/>
  <c r="AN910" i="10"/>
  <c r="AM910" i="10"/>
  <c r="AL910" i="10"/>
  <c r="AK910" i="10"/>
  <c r="AN909" i="10"/>
  <c r="AM909" i="10"/>
  <c r="AL909" i="10"/>
  <c r="AK909" i="10"/>
  <c r="AN908" i="10"/>
  <c r="AM908" i="10"/>
  <c r="AL908" i="10"/>
  <c r="AK908" i="10"/>
  <c r="AN907" i="10"/>
  <c r="AM907" i="10"/>
  <c r="AL907" i="10"/>
  <c r="AK907" i="10"/>
  <c r="AN906" i="10"/>
  <c r="AM906" i="10"/>
  <c r="AL906" i="10"/>
  <c r="AK906" i="10"/>
  <c r="AN905" i="10"/>
  <c r="AM905" i="10"/>
  <c r="AL905" i="10"/>
  <c r="AK905" i="10"/>
  <c r="AN904" i="10"/>
  <c r="AM904" i="10"/>
  <c r="AL904" i="10"/>
  <c r="AK904" i="10"/>
  <c r="AN903" i="10"/>
  <c r="AM903" i="10"/>
  <c r="AL903" i="10"/>
  <c r="AK903" i="10"/>
  <c r="AN902" i="10"/>
  <c r="AM902" i="10"/>
  <c r="AL902" i="10"/>
  <c r="AK902" i="10"/>
  <c r="AN901" i="10"/>
  <c r="AM901" i="10"/>
  <c r="AL901" i="10"/>
  <c r="AK901" i="10"/>
  <c r="AN900" i="10"/>
  <c r="AM900" i="10"/>
  <c r="AL900" i="10"/>
  <c r="AK900" i="10"/>
  <c r="AN899" i="10"/>
  <c r="AM899" i="10"/>
  <c r="AL899" i="10"/>
  <c r="AK899" i="10"/>
  <c r="AN898" i="10"/>
  <c r="AM898" i="10"/>
  <c r="AL898" i="10"/>
  <c r="AK898" i="10"/>
  <c r="AN897" i="10"/>
  <c r="AM897" i="10"/>
  <c r="AL897" i="10"/>
  <c r="AK897" i="10"/>
  <c r="AN896" i="10"/>
  <c r="AM896" i="10"/>
  <c r="AL896" i="10"/>
  <c r="AK896" i="10"/>
  <c r="AN895" i="10"/>
  <c r="AM895" i="10"/>
  <c r="AL895" i="10"/>
  <c r="AK895" i="10"/>
  <c r="AN894" i="10"/>
  <c r="AM894" i="10"/>
  <c r="AL894" i="10"/>
  <c r="AK894" i="10"/>
  <c r="AN893" i="10"/>
  <c r="AM893" i="10"/>
  <c r="AL893" i="10"/>
  <c r="AK893" i="10"/>
  <c r="AN892" i="10"/>
  <c r="AM892" i="10"/>
  <c r="AL892" i="10"/>
  <c r="AK892" i="10"/>
  <c r="AN891" i="10"/>
  <c r="AM891" i="10"/>
  <c r="AL891" i="10"/>
  <c r="AK891" i="10"/>
  <c r="AN890" i="10"/>
  <c r="AM890" i="10"/>
  <c r="AL890" i="10"/>
  <c r="AK890" i="10"/>
  <c r="AN889" i="10"/>
  <c r="AM889" i="10"/>
  <c r="AL889" i="10"/>
  <c r="AK889" i="10"/>
  <c r="AN888" i="10"/>
  <c r="AM888" i="10"/>
  <c r="AL888" i="10"/>
  <c r="AK888" i="10"/>
  <c r="AN887" i="10"/>
  <c r="AM887" i="10"/>
  <c r="AL887" i="10"/>
  <c r="AK887" i="10"/>
  <c r="AN886" i="10"/>
  <c r="AM886" i="10"/>
  <c r="AL886" i="10"/>
  <c r="AK886" i="10"/>
  <c r="AN885" i="10"/>
  <c r="AM885" i="10"/>
  <c r="AL885" i="10"/>
  <c r="AK885" i="10"/>
  <c r="AN884" i="10"/>
  <c r="AM884" i="10"/>
  <c r="AL884" i="10"/>
  <c r="AK884" i="10"/>
  <c r="AN883" i="10"/>
  <c r="AM883" i="10"/>
  <c r="AL883" i="10"/>
  <c r="AK883" i="10"/>
  <c r="AN882" i="10"/>
  <c r="AM882" i="10"/>
  <c r="AL882" i="10"/>
  <c r="AK882" i="10"/>
  <c r="AN881" i="10"/>
  <c r="AM881" i="10"/>
  <c r="AL881" i="10"/>
  <c r="AK881" i="10"/>
  <c r="AN880" i="10"/>
  <c r="AM880" i="10"/>
  <c r="AL880" i="10"/>
  <c r="AK880" i="10"/>
  <c r="AN879" i="10"/>
  <c r="AM879" i="10"/>
  <c r="AL879" i="10"/>
  <c r="AK879" i="10"/>
  <c r="AN878" i="10"/>
  <c r="AM878" i="10"/>
  <c r="AL878" i="10"/>
  <c r="AK878" i="10"/>
  <c r="AN877" i="10"/>
  <c r="AM877" i="10"/>
  <c r="AL877" i="10"/>
  <c r="AK877" i="10"/>
  <c r="AN876" i="10"/>
  <c r="AM876" i="10"/>
  <c r="AL876" i="10"/>
  <c r="AK876" i="10"/>
  <c r="AN875" i="10"/>
  <c r="AM875" i="10"/>
  <c r="AL875" i="10"/>
  <c r="AK875" i="10"/>
  <c r="AN874" i="10"/>
  <c r="AM874" i="10"/>
  <c r="AL874" i="10"/>
  <c r="AK874" i="10"/>
  <c r="AN873" i="10"/>
  <c r="AM873" i="10"/>
  <c r="AL873" i="10"/>
  <c r="AK873" i="10"/>
  <c r="AN872" i="10"/>
  <c r="AM872" i="10"/>
  <c r="AL872" i="10"/>
  <c r="AK872" i="10"/>
  <c r="AN871" i="10"/>
  <c r="AM871" i="10"/>
  <c r="AL871" i="10"/>
  <c r="AK871" i="10"/>
  <c r="AN870" i="10"/>
  <c r="AM870" i="10"/>
  <c r="AL870" i="10"/>
  <c r="AK870" i="10"/>
  <c r="AN869" i="10"/>
  <c r="AM869" i="10"/>
  <c r="AL869" i="10"/>
  <c r="AK869" i="10"/>
  <c r="AN868" i="10"/>
  <c r="AM868" i="10"/>
  <c r="AL868" i="10"/>
  <c r="AK868" i="10"/>
  <c r="AN867" i="10"/>
  <c r="AM867" i="10"/>
  <c r="AL867" i="10"/>
  <c r="AK867" i="10"/>
  <c r="AN866" i="10"/>
  <c r="AM866" i="10"/>
  <c r="AL866" i="10"/>
  <c r="AK866" i="10"/>
  <c r="AN865" i="10"/>
  <c r="AM865" i="10"/>
  <c r="AL865" i="10"/>
  <c r="AK865" i="10"/>
  <c r="AN864" i="10"/>
  <c r="AM864" i="10"/>
  <c r="AL864" i="10"/>
  <c r="AK864" i="10"/>
  <c r="AN863" i="10"/>
  <c r="AM863" i="10"/>
  <c r="AL863" i="10"/>
  <c r="AK863" i="10"/>
  <c r="AN862" i="10"/>
  <c r="AM862" i="10"/>
  <c r="AL862" i="10"/>
  <c r="AK862" i="10"/>
  <c r="AN861" i="10"/>
  <c r="AM861" i="10"/>
  <c r="AL861" i="10"/>
  <c r="AK861" i="10"/>
  <c r="AN860" i="10"/>
  <c r="AM860" i="10"/>
  <c r="AL860" i="10"/>
  <c r="AK860" i="10"/>
  <c r="AN859" i="10"/>
  <c r="AM859" i="10"/>
  <c r="AL859" i="10"/>
  <c r="AK859" i="10"/>
  <c r="AN858" i="10"/>
  <c r="AM858" i="10"/>
  <c r="AL858" i="10"/>
  <c r="AK858" i="10"/>
  <c r="AN857" i="10"/>
  <c r="AM857" i="10"/>
  <c r="AL857" i="10"/>
  <c r="AK857" i="10"/>
  <c r="AN856" i="10"/>
  <c r="AM856" i="10"/>
  <c r="AL856" i="10"/>
  <c r="AK856" i="10"/>
  <c r="AN855" i="10"/>
  <c r="AM855" i="10"/>
  <c r="AL855" i="10"/>
  <c r="AK855" i="10"/>
  <c r="AN854" i="10"/>
  <c r="AM854" i="10"/>
  <c r="AL854" i="10"/>
  <c r="AK854" i="10"/>
  <c r="AN853" i="10"/>
  <c r="AM853" i="10"/>
  <c r="AL853" i="10"/>
  <c r="AK853" i="10"/>
  <c r="AN852" i="10"/>
  <c r="AM852" i="10"/>
  <c r="AL852" i="10"/>
  <c r="AK852" i="10"/>
  <c r="AN851" i="10"/>
  <c r="AM851" i="10"/>
  <c r="AL851" i="10"/>
  <c r="AK851" i="10"/>
  <c r="AN850" i="10"/>
  <c r="AM850" i="10"/>
  <c r="AL850" i="10"/>
  <c r="AK850" i="10"/>
  <c r="AN849" i="10"/>
  <c r="AM849" i="10"/>
  <c r="AL849" i="10"/>
  <c r="AK849" i="10"/>
  <c r="AN848" i="10"/>
  <c r="AM848" i="10"/>
  <c r="AL848" i="10"/>
  <c r="AK848" i="10"/>
  <c r="AN847" i="10"/>
  <c r="AM847" i="10"/>
  <c r="AL847" i="10"/>
  <c r="AK847" i="10"/>
  <c r="AN846" i="10"/>
  <c r="AM846" i="10"/>
  <c r="AL846" i="10"/>
  <c r="AK846" i="10"/>
  <c r="AN845" i="10"/>
  <c r="AM845" i="10"/>
  <c r="AL845" i="10"/>
  <c r="AK845" i="10"/>
  <c r="AN844" i="10"/>
  <c r="AM844" i="10"/>
  <c r="AL844" i="10"/>
  <c r="AK844" i="10"/>
  <c r="AN843" i="10"/>
  <c r="AM843" i="10"/>
  <c r="AL843" i="10"/>
  <c r="AK843" i="10"/>
  <c r="AN842" i="10"/>
  <c r="AM842" i="10"/>
  <c r="AL842" i="10"/>
  <c r="AK842" i="10"/>
  <c r="AN841" i="10"/>
  <c r="AM841" i="10"/>
  <c r="AL841" i="10"/>
  <c r="AK841" i="10"/>
  <c r="AN840" i="10"/>
  <c r="AM840" i="10"/>
  <c r="AL840" i="10"/>
  <c r="AK840" i="10"/>
  <c r="AN839" i="10"/>
  <c r="AM839" i="10"/>
  <c r="AL839" i="10"/>
  <c r="AK839" i="10"/>
  <c r="AN838" i="10"/>
  <c r="AM838" i="10"/>
  <c r="AL838" i="10"/>
  <c r="AK838" i="10"/>
  <c r="AN837" i="10"/>
  <c r="AM837" i="10"/>
  <c r="AL837" i="10"/>
  <c r="AK837" i="10"/>
  <c r="AN836" i="10"/>
  <c r="AM836" i="10"/>
  <c r="AL836" i="10"/>
  <c r="AK836" i="10"/>
  <c r="AN835" i="10"/>
  <c r="AM835" i="10"/>
  <c r="AL835" i="10"/>
  <c r="AK835" i="10"/>
  <c r="AN834" i="10"/>
  <c r="AM834" i="10"/>
  <c r="AL834" i="10"/>
  <c r="AK834" i="10"/>
  <c r="AN833" i="10"/>
  <c r="AM833" i="10"/>
  <c r="AL833" i="10"/>
  <c r="AK833" i="10"/>
  <c r="AN832" i="10"/>
  <c r="AM832" i="10"/>
  <c r="AL832" i="10"/>
  <c r="AK832" i="10"/>
  <c r="AN831" i="10"/>
  <c r="AM831" i="10"/>
  <c r="AL831" i="10"/>
  <c r="AK831" i="10"/>
  <c r="AN830" i="10"/>
  <c r="AM830" i="10"/>
  <c r="AL830" i="10"/>
  <c r="AK830" i="10"/>
  <c r="AN829" i="10"/>
  <c r="AM829" i="10"/>
  <c r="AL829" i="10"/>
  <c r="AK829" i="10"/>
  <c r="AN828" i="10"/>
  <c r="AM828" i="10"/>
  <c r="AL828" i="10"/>
  <c r="AK828" i="10"/>
  <c r="AN827" i="10"/>
  <c r="AM827" i="10"/>
  <c r="AL827" i="10"/>
  <c r="AK827" i="10"/>
  <c r="AN826" i="10"/>
  <c r="AM826" i="10"/>
  <c r="AL826" i="10"/>
  <c r="AK826" i="10"/>
  <c r="AN825" i="10"/>
  <c r="AM825" i="10"/>
  <c r="AL825" i="10"/>
  <c r="AK825" i="10"/>
  <c r="AN824" i="10"/>
  <c r="AM824" i="10"/>
  <c r="AL824" i="10"/>
  <c r="AK824" i="10"/>
  <c r="AN823" i="10"/>
  <c r="AM823" i="10"/>
  <c r="AL823" i="10"/>
  <c r="AK823" i="10"/>
  <c r="AN822" i="10"/>
  <c r="AM822" i="10"/>
  <c r="AL822" i="10"/>
  <c r="AK822" i="10"/>
  <c r="AN821" i="10"/>
  <c r="AM821" i="10"/>
  <c r="AL821" i="10"/>
  <c r="AK821" i="10"/>
  <c r="AN820" i="10"/>
  <c r="AM820" i="10"/>
  <c r="AL820" i="10"/>
  <c r="AK820" i="10"/>
  <c r="AN819" i="10"/>
  <c r="AM819" i="10"/>
  <c r="AL819" i="10"/>
  <c r="AK819" i="10"/>
  <c r="AN818" i="10"/>
  <c r="AM818" i="10"/>
  <c r="AL818" i="10"/>
  <c r="AK818" i="10"/>
  <c r="AN817" i="10"/>
  <c r="AM817" i="10"/>
  <c r="AL817" i="10"/>
  <c r="AK817" i="10"/>
  <c r="AN816" i="10"/>
  <c r="AM816" i="10"/>
  <c r="AL816" i="10"/>
  <c r="AK816" i="10"/>
  <c r="AN815" i="10"/>
  <c r="AM815" i="10"/>
  <c r="AL815" i="10"/>
  <c r="AK815" i="10"/>
  <c r="AN814" i="10"/>
  <c r="AM814" i="10"/>
  <c r="AL814" i="10"/>
  <c r="AK814" i="10"/>
  <c r="AN813" i="10"/>
  <c r="AM813" i="10"/>
  <c r="AL813" i="10"/>
  <c r="AK813" i="10"/>
  <c r="AN812" i="10"/>
  <c r="AM812" i="10"/>
  <c r="AL812" i="10"/>
  <c r="AK812" i="10"/>
  <c r="AN811" i="10"/>
  <c r="AM811" i="10"/>
  <c r="AL811" i="10"/>
  <c r="AK811" i="10"/>
  <c r="AN810" i="10"/>
  <c r="AM810" i="10"/>
  <c r="AL810" i="10"/>
  <c r="AK810" i="10"/>
  <c r="AN809" i="10"/>
  <c r="AM809" i="10"/>
  <c r="AL809" i="10"/>
  <c r="AK809" i="10"/>
  <c r="AN808" i="10"/>
  <c r="AM808" i="10"/>
  <c r="AL808" i="10"/>
  <c r="AK808" i="10"/>
  <c r="AN807" i="10"/>
  <c r="AM807" i="10"/>
  <c r="AL807" i="10"/>
  <c r="AK807" i="10"/>
  <c r="AN806" i="10"/>
  <c r="AM806" i="10"/>
  <c r="AL806" i="10"/>
  <c r="AK806" i="10"/>
  <c r="AN805" i="10"/>
  <c r="AM805" i="10"/>
  <c r="AL805" i="10"/>
  <c r="AK805" i="10"/>
  <c r="AN804" i="10"/>
  <c r="AM804" i="10"/>
  <c r="AL804" i="10"/>
  <c r="AK804" i="10"/>
  <c r="AN803" i="10"/>
  <c r="AM803" i="10"/>
  <c r="AL803" i="10"/>
  <c r="AK803" i="10"/>
  <c r="AN802" i="10"/>
  <c r="AM802" i="10"/>
  <c r="AL802" i="10"/>
  <c r="AK802" i="10"/>
  <c r="AN801" i="10"/>
  <c r="AM801" i="10"/>
  <c r="AL801" i="10"/>
  <c r="AK801" i="10"/>
  <c r="AN800" i="10"/>
  <c r="AM800" i="10"/>
  <c r="AL800" i="10"/>
  <c r="AK800" i="10"/>
  <c r="AN799" i="10"/>
  <c r="AM799" i="10"/>
  <c r="AL799" i="10"/>
  <c r="AK799" i="10"/>
  <c r="AN798" i="10"/>
  <c r="AM798" i="10"/>
  <c r="AL798" i="10"/>
  <c r="AK798" i="10"/>
  <c r="AN797" i="10"/>
  <c r="AM797" i="10"/>
  <c r="AL797" i="10"/>
  <c r="AK797" i="10"/>
  <c r="AN796" i="10"/>
  <c r="AM796" i="10"/>
  <c r="AL796" i="10"/>
  <c r="AK796" i="10"/>
  <c r="AN795" i="10"/>
  <c r="AM795" i="10"/>
  <c r="AL795" i="10"/>
  <c r="AK795" i="10"/>
  <c r="AN794" i="10"/>
  <c r="AM794" i="10"/>
  <c r="AL794" i="10"/>
  <c r="AK794" i="10"/>
  <c r="AN793" i="10"/>
  <c r="AM793" i="10"/>
  <c r="AL793" i="10"/>
  <c r="AK793" i="10"/>
  <c r="AN792" i="10"/>
  <c r="AM792" i="10"/>
  <c r="AL792" i="10"/>
  <c r="AK792" i="10"/>
  <c r="AN791" i="10"/>
  <c r="AM791" i="10"/>
  <c r="AL791" i="10"/>
  <c r="AK791" i="10"/>
  <c r="AN790" i="10"/>
  <c r="AM790" i="10"/>
  <c r="AL790" i="10"/>
  <c r="AK790" i="10"/>
  <c r="AN789" i="10"/>
  <c r="AM789" i="10"/>
  <c r="AL789" i="10"/>
  <c r="AK789" i="10"/>
  <c r="AN788" i="10"/>
  <c r="AM788" i="10"/>
  <c r="AL788" i="10"/>
  <c r="AK788" i="10"/>
  <c r="AN787" i="10"/>
  <c r="AM787" i="10"/>
  <c r="AL787" i="10"/>
  <c r="AK787" i="10"/>
  <c r="AN786" i="10"/>
  <c r="AM786" i="10"/>
  <c r="AL786" i="10"/>
  <c r="AK786" i="10"/>
  <c r="AN785" i="10"/>
  <c r="AM785" i="10"/>
  <c r="AL785" i="10"/>
  <c r="AK785" i="10"/>
  <c r="AN784" i="10"/>
  <c r="AM784" i="10"/>
  <c r="AL784" i="10"/>
  <c r="AK784" i="10"/>
  <c r="AN783" i="10"/>
  <c r="AM783" i="10"/>
  <c r="AL783" i="10"/>
  <c r="AK783" i="10"/>
  <c r="AN782" i="10"/>
  <c r="AM782" i="10"/>
  <c r="AL782" i="10"/>
  <c r="AK782" i="10"/>
  <c r="AN781" i="10"/>
  <c r="AM781" i="10"/>
  <c r="AL781" i="10"/>
  <c r="AK781" i="10"/>
  <c r="AN780" i="10"/>
  <c r="AM780" i="10"/>
  <c r="AL780" i="10"/>
  <c r="AK780" i="10"/>
  <c r="AN779" i="10"/>
  <c r="AM779" i="10"/>
  <c r="AL779" i="10"/>
  <c r="AK779" i="10"/>
  <c r="AN778" i="10"/>
  <c r="AM778" i="10"/>
  <c r="AL778" i="10"/>
  <c r="AK778" i="10"/>
  <c r="AN777" i="10"/>
  <c r="AM777" i="10"/>
  <c r="AL777" i="10"/>
  <c r="AK777" i="10"/>
  <c r="AN776" i="10"/>
  <c r="AM776" i="10"/>
  <c r="AL776" i="10"/>
  <c r="AK776" i="10"/>
  <c r="AN775" i="10"/>
  <c r="AM775" i="10"/>
  <c r="AL775" i="10"/>
  <c r="AK775" i="10"/>
  <c r="AN774" i="10"/>
  <c r="AM774" i="10"/>
  <c r="AL774" i="10"/>
  <c r="AK774" i="10"/>
  <c r="AN773" i="10"/>
  <c r="AM773" i="10"/>
  <c r="AL773" i="10"/>
  <c r="AK773" i="10"/>
  <c r="AN772" i="10"/>
  <c r="AM772" i="10"/>
  <c r="AL772" i="10"/>
  <c r="AK772" i="10"/>
  <c r="AN771" i="10"/>
  <c r="AM771" i="10"/>
  <c r="AL771" i="10"/>
  <c r="AK771" i="10"/>
  <c r="AN770" i="10"/>
  <c r="AM770" i="10"/>
  <c r="AL770" i="10"/>
  <c r="AK770" i="10"/>
  <c r="AN769" i="10"/>
  <c r="AM769" i="10"/>
  <c r="AL769" i="10"/>
  <c r="AK769" i="10"/>
  <c r="AN768" i="10"/>
  <c r="AM768" i="10"/>
  <c r="AL768" i="10"/>
  <c r="AK768" i="10"/>
  <c r="AN767" i="10"/>
  <c r="AM767" i="10"/>
  <c r="AL767" i="10"/>
  <c r="AK767" i="10"/>
  <c r="AN766" i="10"/>
  <c r="AM766" i="10"/>
  <c r="AL766" i="10"/>
  <c r="AK766" i="10"/>
  <c r="AN765" i="10"/>
  <c r="AM765" i="10"/>
  <c r="AL765" i="10"/>
  <c r="AK765" i="10"/>
  <c r="AN764" i="10"/>
  <c r="AM764" i="10"/>
  <c r="AL764" i="10"/>
  <c r="AK764" i="10"/>
  <c r="AN763" i="10"/>
  <c r="AM763" i="10"/>
  <c r="AL763" i="10"/>
  <c r="AK763" i="10"/>
  <c r="AN762" i="10"/>
  <c r="AM762" i="10"/>
  <c r="AL762" i="10"/>
  <c r="AK762" i="10"/>
  <c r="AN761" i="10"/>
  <c r="AM761" i="10"/>
  <c r="AL761" i="10"/>
  <c r="AK761" i="10"/>
  <c r="AN760" i="10"/>
  <c r="AM760" i="10"/>
  <c r="AL760" i="10"/>
  <c r="AK760" i="10"/>
  <c r="AN759" i="10"/>
  <c r="AM759" i="10"/>
  <c r="AL759" i="10"/>
  <c r="AK759" i="10"/>
  <c r="AN758" i="10"/>
  <c r="AM758" i="10"/>
  <c r="AL758" i="10"/>
  <c r="AK758" i="10"/>
  <c r="AN757" i="10"/>
  <c r="AM757" i="10"/>
  <c r="AL757" i="10"/>
  <c r="AK757" i="10"/>
  <c r="AN756" i="10"/>
  <c r="AM756" i="10"/>
  <c r="AL756" i="10"/>
  <c r="AK756" i="10"/>
  <c r="AN755" i="10"/>
  <c r="AM755" i="10"/>
  <c r="AL755" i="10"/>
  <c r="AK755" i="10"/>
  <c r="AN754" i="10"/>
  <c r="AM754" i="10"/>
  <c r="AL754" i="10"/>
  <c r="AK754" i="10"/>
  <c r="AN753" i="10"/>
  <c r="AM753" i="10"/>
  <c r="AL753" i="10"/>
  <c r="AK753" i="10"/>
  <c r="AN752" i="10"/>
  <c r="AM752" i="10"/>
  <c r="AL752" i="10"/>
  <c r="AK752" i="10"/>
  <c r="AN751" i="10"/>
  <c r="AM751" i="10"/>
  <c r="AL751" i="10"/>
  <c r="AK751" i="10"/>
  <c r="AN750" i="10"/>
  <c r="AM750" i="10"/>
  <c r="AL750" i="10"/>
  <c r="AK750" i="10"/>
  <c r="AN749" i="10"/>
  <c r="AM749" i="10"/>
  <c r="AL749" i="10"/>
  <c r="AK749" i="10"/>
  <c r="AN748" i="10"/>
  <c r="AM748" i="10"/>
  <c r="AL748" i="10"/>
  <c r="AK748" i="10"/>
  <c r="AN747" i="10"/>
  <c r="AM747" i="10"/>
  <c r="AL747" i="10"/>
  <c r="AK747" i="10"/>
  <c r="AN746" i="10"/>
  <c r="AM746" i="10"/>
  <c r="AL746" i="10"/>
  <c r="AK746" i="10"/>
  <c r="AN745" i="10"/>
  <c r="AM745" i="10"/>
  <c r="AL745" i="10"/>
  <c r="AK745" i="10"/>
  <c r="AN744" i="10"/>
  <c r="AM744" i="10"/>
  <c r="AL744" i="10"/>
  <c r="AK744" i="10"/>
  <c r="AN743" i="10"/>
  <c r="AM743" i="10"/>
  <c r="AL743" i="10"/>
  <c r="AK743" i="10"/>
  <c r="AN742" i="10"/>
  <c r="AM742" i="10"/>
  <c r="AL742" i="10"/>
  <c r="AK742" i="10"/>
  <c r="AN741" i="10"/>
  <c r="AM741" i="10"/>
  <c r="AL741" i="10"/>
  <c r="AK741" i="10"/>
  <c r="AN740" i="10"/>
  <c r="AM740" i="10"/>
  <c r="AL740" i="10"/>
  <c r="AK740" i="10"/>
  <c r="AN739" i="10"/>
  <c r="AM739" i="10"/>
  <c r="AL739" i="10"/>
  <c r="AK739" i="10"/>
  <c r="AN738" i="10"/>
  <c r="AM738" i="10"/>
  <c r="AL738" i="10"/>
  <c r="AK738" i="10"/>
  <c r="AN737" i="10"/>
  <c r="AM737" i="10"/>
  <c r="AL737" i="10"/>
  <c r="AK737" i="10"/>
  <c r="AN736" i="10"/>
  <c r="AM736" i="10"/>
  <c r="AL736" i="10"/>
  <c r="AK736" i="10"/>
  <c r="AN735" i="10"/>
  <c r="AM735" i="10"/>
  <c r="AL735" i="10"/>
  <c r="AK735" i="10"/>
  <c r="AN734" i="10"/>
  <c r="AM734" i="10"/>
  <c r="AL734" i="10"/>
  <c r="AK734" i="10"/>
  <c r="AN733" i="10"/>
  <c r="AM733" i="10"/>
  <c r="AL733" i="10"/>
  <c r="AK733" i="10"/>
  <c r="AN732" i="10"/>
  <c r="AM732" i="10"/>
  <c r="AL732" i="10"/>
  <c r="AK732" i="10"/>
  <c r="AN731" i="10"/>
  <c r="AM731" i="10"/>
  <c r="AL731" i="10"/>
  <c r="AK731" i="10"/>
  <c r="AN730" i="10"/>
  <c r="AM730" i="10"/>
  <c r="AL730" i="10"/>
  <c r="AK730" i="10"/>
  <c r="AN729" i="10"/>
  <c r="AM729" i="10"/>
  <c r="AL729" i="10"/>
  <c r="AK729" i="10"/>
  <c r="AN728" i="10"/>
  <c r="AM728" i="10"/>
  <c r="AL728" i="10"/>
  <c r="AK728" i="10"/>
  <c r="AN727" i="10"/>
  <c r="AM727" i="10"/>
  <c r="AL727" i="10"/>
  <c r="AK727" i="10"/>
  <c r="AN726" i="10"/>
  <c r="AM726" i="10"/>
  <c r="AL726" i="10"/>
  <c r="AK726" i="10"/>
  <c r="AN725" i="10"/>
  <c r="AM725" i="10"/>
  <c r="AL725" i="10"/>
  <c r="AK725" i="10"/>
  <c r="AN724" i="10"/>
  <c r="AM724" i="10"/>
  <c r="AL724" i="10"/>
  <c r="AK724" i="10"/>
  <c r="AN723" i="10"/>
  <c r="AM723" i="10"/>
  <c r="AL723" i="10"/>
  <c r="AK723" i="10"/>
  <c r="AN722" i="10"/>
  <c r="AM722" i="10"/>
  <c r="AL722" i="10"/>
  <c r="AK722" i="10"/>
  <c r="AN721" i="10"/>
  <c r="AM721" i="10"/>
  <c r="AL721" i="10"/>
  <c r="AK721" i="10"/>
  <c r="AN720" i="10"/>
  <c r="AM720" i="10"/>
  <c r="AL720" i="10"/>
  <c r="AK720" i="10"/>
  <c r="AN719" i="10"/>
  <c r="AM719" i="10"/>
  <c r="AL719" i="10"/>
  <c r="AK719" i="10"/>
  <c r="AN718" i="10"/>
  <c r="AM718" i="10"/>
  <c r="AL718" i="10"/>
  <c r="AK718" i="10"/>
  <c r="AN717" i="10"/>
  <c r="AM717" i="10"/>
  <c r="AL717" i="10"/>
  <c r="AK717" i="10"/>
  <c r="AN716" i="10"/>
  <c r="AM716" i="10"/>
  <c r="AL716" i="10"/>
  <c r="AK716" i="10"/>
  <c r="AN715" i="10"/>
  <c r="AM715" i="10"/>
  <c r="AL715" i="10"/>
  <c r="AK715" i="10"/>
  <c r="AN714" i="10"/>
  <c r="AM714" i="10"/>
  <c r="AL714" i="10"/>
  <c r="AK714" i="10"/>
  <c r="AN713" i="10"/>
  <c r="AM713" i="10"/>
  <c r="AL713" i="10"/>
  <c r="AK713" i="10"/>
  <c r="AN712" i="10"/>
  <c r="AM712" i="10"/>
  <c r="AL712" i="10"/>
  <c r="AK712" i="10"/>
  <c r="AN711" i="10"/>
  <c r="AM711" i="10"/>
  <c r="AL711" i="10"/>
  <c r="AK711" i="10"/>
  <c r="AN710" i="10"/>
  <c r="AM710" i="10"/>
  <c r="AL710" i="10"/>
  <c r="AK710" i="10"/>
  <c r="AN709" i="10"/>
  <c r="AM709" i="10"/>
  <c r="AL709" i="10"/>
  <c r="AK709" i="10"/>
  <c r="AN708" i="10"/>
  <c r="AM708" i="10"/>
  <c r="AL708" i="10"/>
  <c r="AK708" i="10"/>
  <c r="AN707" i="10"/>
  <c r="AM707" i="10"/>
  <c r="AL707" i="10"/>
  <c r="AK707" i="10"/>
  <c r="AN706" i="10"/>
  <c r="AM706" i="10"/>
  <c r="AL706" i="10"/>
  <c r="AK706" i="10"/>
  <c r="AN705" i="10"/>
  <c r="AM705" i="10"/>
  <c r="AL705" i="10"/>
  <c r="AK705" i="10"/>
  <c r="AN704" i="10"/>
  <c r="AM704" i="10"/>
  <c r="AL704" i="10"/>
  <c r="AK704" i="10"/>
  <c r="AN703" i="10"/>
  <c r="AM703" i="10"/>
  <c r="AL703" i="10"/>
  <c r="AK703" i="10"/>
  <c r="AN702" i="10"/>
  <c r="AM702" i="10"/>
  <c r="AL702" i="10"/>
  <c r="AK702" i="10"/>
  <c r="AN701" i="10"/>
  <c r="AM701" i="10"/>
  <c r="AL701" i="10"/>
  <c r="AK701" i="10"/>
  <c r="AN700" i="10"/>
  <c r="AM700" i="10"/>
  <c r="AL700" i="10"/>
  <c r="AK700" i="10"/>
  <c r="AN699" i="10"/>
  <c r="AM699" i="10"/>
  <c r="AL699" i="10"/>
  <c r="AK699" i="10"/>
  <c r="AN698" i="10"/>
  <c r="AM698" i="10"/>
  <c r="AL698" i="10"/>
  <c r="AK698" i="10"/>
  <c r="AN697" i="10"/>
  <c r="AM697" i="10"/>
  <c r="AL697" i="10"/>
  <c r="AK697" i="10"/>
  <c r="AN696" i="10"/>
  <c r="AM696" i="10"/>
  <c r="AL696" i="10"/>
  <c r="AK696" i="10"/>
  <c r="AN695" i="10"/>
  <c r="AM695" i="10"/>
  <c r="AL695" i="10"/>
  <c r="AK695" i="10"/>
  <c r="AN694" i="10"/>
  <c r="AM694" i="10"/>
  <c r="AL694" i="10"/>
  <c r="AK694" i="10"/>
  <c r="AN693" i="10"/>
  <c r="AM693" i="10"/>
  <c r="AL693" i="10"/>
  <c r="AK693" i="10"/>
  <c r="AN692" i="10"/>
  <c r="AM692" i="10"/>
  <c r="AL692" i="10"/>
  <c r="AK692" i="10"/>
  <c r="AN691" i="10"/>
  <c r="AM691" i="10"/>
  <c r="AL691" i="10"/>
  <c r="AK691" i="10"/>
  <c r="AN690" i="10"/>
  <c r="AM690" i="10"/>
  <c r="AL690" i="10"/>
  <c r="AK690" i="10"/>
  <c r="AN689" i="10"/>
  <c r="AM689" i="10"/>
  <c r="AL689" i="10"/>
  <c r="AK689" i="10"/>
  <c r="AN688" i="10"/>
  <c r="AM688" i="10"/>
  <c r="AL688" i="10"/>
  <c r="AK688" i="10"/>
  <c r="AN687" i="10"/>
  <c r="AM687" i="10"/>
  <c r="AL687" i="10"/>
  <c r="AK687" i="10"/>
  <c r="AN686" i="10"/>
  <c r="AM686" i="10"/>
  <c r="AL686" i="10"/>
  <c r="AK686" i="10"/>
  <c r="AN685" i="10"/>
  <c r="AM685" i="10"/>
  <c r="AL685" i="10"/>
  <c r="AK685" i="10"/>
  <c r="AN684" i="10"/>
  <c r="AM684" i="10"/>
  <c r="AL684" i="10"/>
  <c r="AK684" i="10"/>
  <c r="AN683" i="10"/>
  <c r="AM683" i="10"/>
  <c r="AL683" i="10"/>
  <c r="AK683" i="10"/>
  <c r="AN682" i="10"/>
  <c r="AM682" i="10"/>
  <c r="AL682" i="10"/>
  <c r="AK682" i="10"/>
  <c r="AN681" i="10"/>
  <c r="AM681" i="10"/>
  <c r="AL681" i="10"/>
  <c r="AK681" i="10"/>
  <c r="AN680" i="10"/>
  <c r="AM680" i="10"/>
  <c r="AL680" i="10"/>
  <c r="AK680" i="10"/>
  <c r="AN679" i="10"/>
  <c r="AM679" i="10"/>
  <c r="AL679" i="10"/>
  <c r="AK679" i="10"/>
  <c r="AN678" i="10"/>
  <c r="AM678" i="10"/>
  <c r="AL678" i="10"/>
  <c r="AK678" i="10"/>
  <c r="AN677" i="10"/>
  <c r="AM677" i="10"/>
  <c r="AL677" i="10"/>
  <c r="AK677" i="10"/>
  <c r="AN676" i="10"/>
  <c r="AM676" i="10"/>
  <c r="AL676" i="10"/>
  <c r="AK676" i="10"/>
  <c r="AN675" i="10"/>
  <c r="AM675" i="10"/>
  <c r="AL675" i="10"/>
  <c r="AK675" i="10"/>
  <c r="AN674" i="10"/>
  <c r="AM674" i="10"/>
  <c r="AL674" i="10"/>
  <c r="AK674" i="10"/>
  <c r="AN673" i="10"/>
  <c r="AM673" i="10"/>
  <c r="AL673" i="10"/>
  <c r="AK673" i="10"/>
  <c r="AN672" i="10"/>
  <c r="AM672" i="10"/>
  <c r="AL672" i="10"/>
  <c r="AK672" i="10"/>
  <c r="AN671" i="10"/>
  <c r="AM671" i="10"/>
  <c r="AL671" i="10"/>
  <c r="AK671" i="10"/>
  <c r="AN670" i="10"/>
  <c r="AM670" i="10"/>
  <c r="AL670" i="10"/>
  <c r="AK670" i="10"/>
  <c r="AN669" i="10"/>
  <c r="AM669" i="10"/>
  <c r="AL669" i="10"/>
  <c r="AK669" i="10"/>
  <c r="AN668" i="10"/>
  <c r="AM668" i="10"/>
  <c r="AL668" i="10"/>
  <c r="AK668" i="10"/>
  <c r="AN667" i="10"/>
  <c r="AM667" i="10"/>
  <c r="AL667" i="10"/>
  <c r="AK667" i="10"/>
  <c r="AN666" i="10"/>
  <c r="AM666" i="10"/>
  <c r="AL666" i="10"/>
  <c r="AK666" i="10"/>
  <c r="AN665" i="10"/>
  <c r="AM665" i="10"/>
  <c r="AL665" i="10"/>
  <c r="AK665" i="10"/>
  <c r="AN664" i="10"/>
  <c r="AM664" i="10"/>
  <c r="AL664" i="10"/>
  <c r="AK664" i="10"/>
  <c r="AN663" i="10"/>
  <c r="AM663" i="10"/>
  <c r="AL663" i="10"/>
  <c r="AK663" i="10"/>
  <c r="AN662" i="10"/>
  <c r="AM662" i="10"/>
  <c r="AL662" i="10"/>
  <c r="AK662" i="10"/>
  <c r="AN661" i="10"/>
  <c r="AM661" i="10"/>
  <c r="AL661" i="10"/>
  <c r="AK661" i="10"/>
  <c r="AN660" i="10"/>
  <c r="AM660" i="10"/>
  <c r="AL660" i="10"/>
  <c r="AK660" i="10"/>
  <c r="AN659" i="10"/>
  <c r="AM659" i="10"/>
  <c r="AL659" i="10"/>
  <c r="AK659" i="10"/>
  <c r="AN658" i="10"/>
  <c r="AM658" i="10"/>
  <c r="AL658" i="10"/>
  <c r="AK658" i="10"/>
  <c r="AN657" i="10"/>
  <c r="AM657" i="10"/>
  <c r="AL657" i="10"/>
  <c r="AK657" i="10"/>
  <c r="AN656" i="10"/>
  <c r="AM656" i="10"/>
  <c r="AL656" i="10"/>
  <c r="AK656" i="10"/>
  <c r="AN655" i="10"/>
  <c r="AM655" i="10"/>
  <c r="AL655" i="10"/>
  <c r="AK655" i="10"/>
  <c r="AN654" i="10"/>
  <c r="AM654" i="10"/>
  <c r="AL654" i="10"/>
  <c r="AK654" i="10"/>
  <c r="AN653" i="10"/>
  <c r="AM653" i="10"/>
  <c r="AL653" i="10"/>
  <c r="AK653" i="10"/>
  <c r="AN652" i="10"/>
  <c r="AM652" i="10"/>
  <c r="AL652" i="10"/>
  <c r="AK652" i="10"/>
  <c r="AN651" i="10"/>
  <c r="AM651" i="10"/>
  <c r="AL651" i="10"/>
  <c r="AK651" i="10"/>
  <c r="AN650" i="10"/>
  <c r="AM650" i="10"/>
  <c r="AL650" i="10"/>
  <c r="AK650" i="10"/>
  <c r="AN649" i="10"/>
  <c r="AM649" i="10"/>
  <c r="AL649" i="10"/>
  <c r="AK649" i="10"/>
  <c r="AN648" i="10"/>
  <c r="AM648" i="10"/>
  <c r="AL648" i="10"/>
  <c r="AK648" i="10"/>
  <c r="AN647" i="10"/>
  <c r="AM647" i="10"/>
  <c r="AL647" i="10"/>
  <c r="AK647" i="10"/>
  <c r="AN646" i="10"/>
  <c r="AM646" i="10"/>
  <c r="AL646" i="10"/>
  <c r="AK646" i="10"/>
  <c r="AN645" i="10"/>
  <c r="AM645" i="10"/>
  <c r="AL645" i="10"/>
  <c r="AK645" i="10"/>
  <c r="AN644" i="10"/>
  <c r="AM644" i="10"/>
  <c r="AL644" i="10"/>
  <c r="AK644" i="10"/>
  <c r="AN643" i="10"/>
  <c r="AM643" i="10"/>
  <c r="AL643" i="10"/>
  <c r="AK643" i="10"/>
  <c r="AN642" i="10"/>
  <c r="AM642" i="10"/>
  <c r="AL642" i="10"/>
  <c r="AK642" i="10"/>
  <c r="AN641" i="10"/>
  <c r="AM641" i="10"/>
  <c r="AL641" i="10"/>
  <c r="AK641" i="10"/>
  <c r="AN640" i="10"/>
  <c r="AM640" i="10"/>
  <c r="AL640" i="10"/>
  <c r="AK640" i="10"/>
  <c r="AN639" i="10"/>
  <c r="AM639" i="10"/>
  <c r="AL639" i="10"/>
  <c r="AK639" i="10"/>
  <c r="AN638" i="10"/>
  <c r="AM638" i="10"/>
  <c r="AL638" i="10"/>
  <c r="AK638" i="10"/>
  <c r="AN637" i="10"/>
  <c r="AM637" i="10"/>
  <c r="AL637" i="10"/>
  <c r="AK637" i="10"/>
  <c r="AN636" i="10"/>
  <c r="AM636" i="10"/>
  <c r="AL636" i="10"/>
  <c r="AK636" i="10"/>
  <c r="AN635" i="10"/>
  <c r="AM635" i="10"/>
  <c r="AL635" i="10"/>
  <c r="AK635" i="10"/>
  <c r="AN634" i="10"/>
  <c r="AM634" i="10"/>
  <c r="AL634" i="10"/>
  <c r="AK634" i="10"/>
  <c r="AN633" i="10"/>
  <c r="AM633" i="10"/>
  <c r="AL633" i="10"/>
  <c r="AK633" i="10"/>
  <c r="AN632" i="10"/>
  <c r="AM632" i="10"/>
  <c r="AL632" i="10"/>
  <c r="AK632" i="10"/>
  <c r="AN631" i="10"/>
  <c r="AM631" i="10"/>
  <c r="AL631" i="10"/>
  <c r="AK631" i="10"/>
  <c r="AN630" i="10"/>
  <c r="AM630" i="10"/>
  <c r="AL630" i="10"/>
  <c r="AK630" i="10"/>
  <c r="AN629" i="10"/>
  <c r="AM629" i="10"/>
  <c r="AL629" i="10"/>
  <c r="AK629" i="10"/>
  <c r="AN628" i="10"/>
  <c r="AM628" i="10"/>
  <c r="AL628" i="10"/>
  <c r="AK628" i="10"/>
  <c r="AN627" i="10"/>
  <c r="AM627" i="10"/>
  <c r="AL627" i="10"/>
  <c r="AK627" i="10"/>
  <c r="AN626" i="10"/>
  <c r="AM626" i="10"/>
  <c r="AL626" i="10"/>
  <c r="AK626" i="10"/>
  <c r="AN625" i="10"/>
  <c r="AM625" i="10"/>
  <c r="AL625" i="10"/>
  <c r="AK625" i="10"/>
  <c r="AN624" i="10"/>
  <c r="AM624" i="10"/>
  <c r="AL624" i="10"/>
  <c r="AK624" i="10"/>
  <c r="AN623" i="10"/>
  <c r="AM623" i="10"/>
  <c r="AL623" i="10"/>
  <c r="AK623" i="10"/>
  <c r="AN622" i="10"/>
  <c r="AM622" i="10"/>
  <c r="AL622" i="10"/>
  <c r="AK622" i="10"/>
  <c r="AN621" i="10"/>
  <c r="AM621" i="10"/>
  <c r="AL621" i="10"/>
  <c r="AK621" i="10"/>
  <c r="AN620" i="10"/>
  <c r="AM620" i="10"/>
  <c r="AL620" i="10"/>
  <c r="AK620" i="10"/>
  <c r="AN619" i="10"/>
  <c r="AM619" i="10"/>
  <c r="AL619" i="10"/>
  <c r="AK619" i="10"/>
  <c r="AN618" i="10"/>
  <c r="AM618" i="10"/>
  <c r="AL618" i="10"/>
  <c r="AK618" i="10"/>
  <c r="AN617" i="10"/>
  <c r="AM617" i="10"/>
  <c r="AL617" i="10"/>
  <c r="AK617" i="10"/>
  <c r="AN616" i="10"/>
  <c r="AM616" i="10"/>
  <c r="AL616" i="10"/>
  <c r="AK616" i="10"/>
  <c r="AN615" i="10"/>
  <c r="AM615" i="10"/>
  <c r="AL615" i="10"/>
  <c r="AK615" i="10"/>
  <c r="AN614" i="10"/>
  <c r="AM614" i="10"/>
  <c r="AL614" i="10"/>
  <c r="AK614" i="10"/>
  <c r="AN613" i="10"/>
  <c r="AM613" i="10"/>
  <c r="AL613" i="10"/>
  <c r="AK613" i="10"/>
  <c r="AN612" i="10"/>
  <c r="AM612" i="10"/>
  <c r="AL612" i="10"/>
  <c r="AK612" i="10"/>
  <c r="AN611" i="10"/>
  <c r="AM611" i="10"/>
  <c r="AL611" i="10"/>
  <c r="AK611" i="10"/>
  <c r="AN610" i="10"/>
  <c r="AM610" i="10"/>
  <c r="AL610" i="10"/>
  <c r="AK610" i="10"/>
  <c r="AN609" i="10"/>
  <c r="AM609" i="10"/>
  <c r="AL609" i="10"/>
  <c r="AK609" i="10"/>
  <c r="AN608" i="10"/>
  <c r="AM608" i="10"/>
  <c r="AL608" i="10"/>
  <c r="AK608" i="10"/>
  <c r="AN607" i="10"/>
  <c r="AM607" i="10"/>
  <c r="AL607" i="10"/>
  <c r="AK607" i="10"/>
  <c r="AN606" i="10"/>
  <c r="AM606" i="10"/>
  <c r="AL606" i="10"/>
  <c r="AK606" i="10"/>
  <c r="AN605" i="10"/>
  <c r="AM605" i="10"/>
  <c r="AL605" i="10"/>
  <c r="AK605" i="10"/>
  <c r="AN604" i="10"/>
  <c r="AM604" i="10"/>
  <c r="AL604" i="10"/>
  <c r="AK604" i="10"/>
  <c r="AN603" i="10"/>
  <c r="AM603" i="10"/>
  <c r="AL603" i="10"/>
  <c r="AK603" i="10"/>
  <c r="AN602" i="10"/>
  <c r="AM602" i="10"/>
  <c r="AL602" i="10"/>
  <c r="AK602" i="10"/>
  <c r="AN601" i="10"/>
  <c r="AM601" i="10"/>
  <c r="AL601" i="10"/>
  <c r="AK601" i="10"/>
  <c r="AN600" i="10"/>
  <c r="AM600" i="10"/>
  <c r="AL600" i="10"/>
  <c r="AK600" i="10"/>
  <c r="AN599" i="10"/>
  <c r="AM599" i="10"/>
  <c r="AL599" i="10"/>
  <c r="AK599" i="10"/>
  <c r="AN598" i="10"/>
  <c r="AM598" i="10"/>
  <c r="AL598" i="10"/>
  <c r="AK598" i="10"/>
  <c r="AN597" i="10"/>
  <c r="AM597" i="10"/>
  <c r="AL597" i="10"/>
  <c r="AK597" i="10"/>
  <c r="AN596" i="10"/>
  <c r="AM596" i="10"/>
  <c r="AL596" i="10"/>
  <c r="AK596" i="10"/>
  <c r="AN595" i="10"/>
  <c r="AM595" i="10"/>
  <c r="AL595" i="10"/>
  <c r="AK595" i="10"/>
  <c r="AN594" i="10"/>
  <c r="AM594" i="10"/>
  <c r="AL594" i="10"/>
  <c r="AK594" i="10"/>
  <c r="AN593" i="10"/>
  <c r="AM593" i="10"/>
  <c r="AL593" i="10"/>
  <c r="AK593" i="10"/>
  <c r="AN592" i="10"/>
  <c r="AM592" i="10"/>
  <c r="AL592" i="10"/>
  <c r="AK592" i="10"/>
  <c r="AN591" i="10"/>
  <c r="AM591" i="10"/>
  <c r="AL591" i="10"/>
  <c r="AK591" i="10"/>
  <c r="AN590" i="10"/>
  <c r="AM590" i="10"/>
  <c r="AL590" i="10"/>
  <c r="AK590" i="10"/>
  <c r="AN589" i="10"/>
  <c r="AM589" i="10"/>
  <c r="AL589" i="10"/>
  <c r="AK589" i="10"/>
  <c r="AN588" i="10"/>
  <c r="AM588" i="10"/>
  <c r="AL588" i="10"/>
  <c r="AK588" i="10"/>
  <c r="AN587" i="10"/>
  <c r="AM587" i="10"/>
  <c r="AL587" i="10"/>
  <c r="AK587" i="10"/>
  <c r="AN586" i="10"/>
  <c r="AM586" i="10"/>
  <c r="AL586" i="10"/>
  <c r="AK586" i="10"/>
  <c r="AN585" i="10"/>
  <c r="AM585" i="10"/>
  <c r="AL585" i="10"/>
  <c r="AK585" i="10"/>
  <c r="AN584" i="10"/>
  <c r="AM584" i="10"/>
  <c r="AL584" i="10"/>
  <c r="AK584" i="10"/>
  <c r="AN583" i="10"/>
  <c r="AM583" i="10"/>
  <c r="AL583" i="10"/>
  <c r="AK583" i="10"/>
  <c r="AN582" i="10"/>
  <c r="AM582" i="10"/>
  <c r="AL582" i="10"/>
  <c r="AK582" i="10"/>
  <c r="AN581" i="10"/>
  <c r="AM581" i="10"/>
  <c r="AL581" i="10"/>
  <c r="AK581" i="10"/>
  <c r="AN580" i="10"/>
  <c r="AM580" i="10"/>
  <c r="AL580" i="10"/>
  <c r="AK580" i="10"/>
  <c r="AN579" i="10"/>
  <c r="AM579" i="10"/>
  <c r="AL579" i="10"/>
  <c r="AK579" i="10"/>
  <c r="AN578" i="10"/>
  <c r="AM578" i="10"/>
  <c r="AL578" i="10"/>
  <c r="AK578" i="10"/>
  <c r="AN577" i="10"/>
  <c r="AM577" i="10"/>
  <c r="AL577" i="10"/>
  <c r="AK577" i="10"/>
  <c r="AN576" i="10"/>
  <c r="AM576" i="10"/>
  <c r="AL576" i="10"/>
  <c r="AK576" i="10"/>
  <c r="AN575" i="10"/>
  <c r="AM575" i="10"/>
  <c r="AL575" i="10"/>
  <c r="AK575" i="10"/>
  <c r="AN574" i="10"/>
  <c r="AM574" i="10"/>
  <c r="AL574" i="10"/>
  <c r="AK574" i="10"/>
  <c r="AN573" i="10"/>
  <c r="AM573" i="10"/>
  <c r="AL573" i="10"/>
  <c r="AK573" i="10"/>
  <c r="AN572" i="10"/>
  <c r="AM572" i="10"/>
  <c r="AL572" i="10"/>
  <c r="AK572" i="10"/>
  <c r="AN571" i="10"/>
  <c r="AM571" i="10"/>
  <c r="AL571" i="10"/>
  <c r="AK571" i="10"/>
  <c r="AN570" i="10"/>
  <c r="AM570" i="10"/>
  <c r="AL570" i="10"/>
  <c r="AK570" i="10"/>
  <c r="AN569" i="10"/>
  <c r="AM569" i="10"/>
  <c r="AL569" i="10"/>
  <c r="AK569" i="10"/>
  <c r="AN568" i="10"/>
  <c r="AM568" i="10"/>
  <c r="AL568" i="10"/>
  <c r="AK568" i="10"/>
  <c r="AN567" i="10"/>
  <c r="AM567" i="10"/>
  <c r="AL567" i="10"/>
  <c r="AK567" i="10"/>
  <c r="AN566" i="10"/>
  <c r="AM566" i="10"/>
  <c r="AL566" i="10"/>
  <c r="AK566" i="10"/>
  <c r="AN565" i="10"/>
  <c r="AM565" i="10"/>
  <c r="AL565" i="10"/>
  <c r="AK565" i="10"/>
  <c r="AN564" i="10"/>
  <c r="AM564" i="10"/>
  <c r="AL564" i="10"/>
  <c r="AK564" i="10"/>
  <c r="AN563" i="10"/>
  <c r="AM563" i="10"/>
  <c r="AL563" i="10"/>
  <c r="AK563" i="10"/>
  <c r="AN562" i="10"/>
  <c r="AM562" i="10"/>
  <c r="AL562" i="10"/>
  <c r="AK562" i="10"/>
  <c r="AN561" i="10"/>
  <c r="AM561" i="10"/>
  <c r="AL561" i="10"/>
  <c r="AK561" i="10"/>
  <c r="AN560" i="10"/>
  <c r="AM560" i="10"/>
  <c r="AL560" i="10"/>
  <c r="AK560" i="10"/>
  <c r="AN559" i="10"/>
  <c r="AM559" i="10"/>
  <c r="AL559" i="10"/>
  <c r="AK559" i="10"/>
  <c r="AN558" i="10"/>
  <c r="AM558" i="10"/>
  <c r="AL558" i="10"/>
  <c r="AK558" i="10"/>
  <c r="AN557" i="10"/>
  <c r="AM557" i="10"/>
  <c r="AL557" i="10"/>
  <c r="AK557" i="10"/>
  <c r="AN556" i="10"/>
  <c r="AM556" i="10"/>
  <c r="AL556" i="10"/>
  <c r="AK556" i="10"/>
  <c r="AN555" i="10"/>
  <c r="AM555" i="10"/>
  <c r="AL555" i="10"/>
  <c r="AK555" i="10"/>
  <c r="AN554" i="10"/>
  <c r="AM554" i="10"/>
  <c r="AL554" i="10"/>
  <c r="AK554" i="10"/>
  <c r="AN553" i="10"/>
  <c r="AM553" i="10"/>
  <c r="AL553" i="10"/>
  <c r="AK553" i="10"/>
  <c r="AN552" i="10"/>
  <c r="AM552" i="10"/>
  <c r="AL552" i="10"/>
  <c r="AK552" i="10"/>
  <c r="AN551" i="10"/>
  <c r="AM551" i="10"/>
  <c r="AL551" i="10"/>
  <c r="AK551" i="10"/>
  <c r="AN550" i="10"/>
  <c r="AM550" i="10"/>
  <c r="AL550" i="10"/>
  <c r="AK550" i="10"/>
  <c r="AN549" i="10"/>
  <c r="AM549" i="10"/>
  <c r="AL549" i="10"/>
  <c r="AK549" i="10"/>
  <c r="AN548" i="10"/>
  <c r="AM548" i="10"/>
  <c r="AL548" i="10"/>
  <c r="AK548" i="10"/>
  <c r="AN547" i="10"/>
  <c r="AM547" i="10"/>
  <c r="AL547" i="10"/>
  <c r="AK547" i="10"/>
  <c r="AN546" i="10"/>
  <c r="AM546" i="10"/>
  <c r="AL546" i="10"/>
  <c r="AK546" i="10"/>
  <c r="AN545" i="10"/>
  <c r="AM545" i="10"/>
  <c r="AL545" i="10"/>
  <c r="AK545" i="10"/>
  <c r="AN544" i="10"/>
  <c r="AM544" i="10"/>
  <c r="AL544" i="10"/>
  <c r="AK544" i="10"/>
  <c r="AN543" i="10"/>
  <c r="AM543" i="10"/>
  <c r="AL543" i="10"/>
  <c r="AK543" i="10"/>
  <c r="AN542" i="10"/>
  <c r="AM542" i="10"/>
  <c r="AL542" i="10"/>
  <c r="AK542" i="10"/>
  <c r="AN541" i="10"/>
  <c r="AM541" i="10"/>
  <c r="AL541" i="10"/>
  <c r="AK541" i="10"/>
  <c r="AN540" i="10"/>
  <c r="AM540" i="10"/>
  <c r="AL540" i="10"/>
  <c r="AK540" i="10"/>
  <c r="AN539" i="10"/>
  <c r="AM539" i="10"/>
  <c r="AL539" i="10"/>
  <c r="AK539" i="10"/>
  <c r="AN538" i="10"/>
  <c r="AM538" i="10"/>
  <c r="AL538" i="10"/>
  <c r="AK538" i="10"/>
  <c r="AN537" i="10"/>
  <c r="AM537" i="10"/>
  <c r="AL537" i="10"/>
  <c r="AK537" i="10"/>
  <c r="AN536" i="10"/>
  <c r="AM536" i="10"/>
  <c r="AL536" i="10"/>
  <c r="AK536" i="10"/>
  <c r="AN535" i="10"/>
  <c r="AM535" i="10"/>
  <c r="AL535" i="10"/>
  <c r="AK535" i="10"/>
  <c r="AN534" i="10"/>
  <c r="AM534" i="10"/>
  <c r="AL534" i="10"/>
  <c r="AK534" i="10"/>
  <c r="AN533" i="10"/>
  <c r="AM533" i="10"/>
  <c r="AL533" i="10"/>
  <c r="AK533" i="10"/>
  <c r="AN532" i="10"/>
  <c r="AM532" i="10"/>
  <c r="AL532" i="10"/>
  <c r="AK532" i="10"/>
  <c r="AN531" i="10"/>
  <c r="AM531" i="10"/>
  <c r="AL531" i="10"/>
  <c r="AK531" i="10"/>
  <c r="AN530" i="10"/>
  <c r="AM530" i="10"/>
  <c r="AL530" i="10"/>
  <c r="AK530" i="10"/>
  <c r="AN529" i="10"/>
  <c r="AM529" i="10"/>
  <c r="AL529" i="10"/>
  <c r="AK529" i="10"/>
  <c r="AN528" i="10"/>
  <c r="AM528" i="10"/>
  <c r="AL528" i="10"/>
  <c r="AK528" i="10"/>
  <c r="AN527" i="10"/>
  <c r="AM527" i="10"/>
  <c r="AL527" i="10"/>
  <c r="AK527" i="10"/>
  <c r="AN526" i="10"/>
  <c r="AM526" i="10"/>
  <c r="AL526" i="10"/>
  <c r="AK526" i="10"/>
  <c r="AN525" i="10"/>
  <c r="AM525" i="10"/>
  <c r="AL525" i="10"/>
  <c r="AK525" i="10"/>
  <c r="AN524" i="10"/>
  <c r="AM524" i="10"/>
  <c r="AL524" i="10"/>
  <c r="AK524" i="10"/>
  <c r="AN523" i="10"/>
  <c r="AM523" i="10"/>
  <c r="AL523" i="10"/>
  <c r="AK523" i="10"/>
  <c r="AN522" i="10"/>
  <c r="AM522" i="10"/>
  <c r="AL522" i="10"/>
  <c r="AK522" i="10"/>
  <c r="AN521" i="10"/>
  <c r="AM521" i="10"/>
  <c r="AL521" i="10"/>
  <c r="AK521" i="10"/>
  <c r="AN520" i="10"/>
  <c r="AM520" i="10"/>
  <c r="AL520" i="10"/>
  <c r="AK520" i="10"/>
  <c r="AN519" i="10"/>
  <c r="AM519" i="10"/>
  <c r="AL519" i="10"/>
  <c r="AK519" i="10"/>
  <c r="AN518" i="10"/>
  <c r="AM518" i="10"/>
  <c r="AL518" i="10"/>
  <c r="AK518" i="10"/>
  <c r="AN517" i="10"/>
  <c r="AM517" i="10"/>
  <c r="AL517" i="10"/>
  <c r="AK517" i="10"/>
  <c r="AN516" i="10"/>
  <c r="AM516" i="10"/>
  <c r="AL516" i="10"/>
  <c r="AK516" i="10"/>
  <c r="AN515" i="10"/>
  <c r="AM515" i="10"/>
  <c r="AL515" i="10"/>
  <c r="AK515" i="10"/>
  <c r="AN514" i="10"/>
  <c r="AM514" i="10"/>
  <c r="AL514" i="10"/>
  <c r="AK514" i="10"/>
  <c r="AN513" i="10"/>
  <c r="AM513" i="10"/>
  <c r="AL513" i="10"/>
  <c r="AK513" i="10"/>
  <c r="AN512" i="10"/>
  <c r="AM512" i="10"/>
  <c r="AL512" i="10"/>
  <c r="AK512" i="10"/>
  <c r="AN511" i="10"/>
  <c r="AM511" i="10"/>
  <c r="AL511" i="10"/>
  <c r="AK511" i="10"/>
  <c r="AN510" i="10"/>
  <c r="AM510" i="10"/>
  <c r="AL510" i="10"/>
  <c r="AK510" i="10"/>
  <c r="AN509" i="10"/>
  <c r="AM509" i="10"/>
  <c r="AL509" i="10"/>
  <c r="AK509" i="10"/>
  <c r="AN508" i="10"/>
  <c r="AM508" i="10"/>
  <c r="AL508" i="10"/>
  <c r="AK508" i="10"/>
  <c r="AN507" i="10"/>
  <c r="AM507" i="10"/>
  <c r="AL507" i="10"/>
  <c r="AK507" i="10"/>
  <c r="AN506" i="10"/>
  <c r="AM506" i="10"/>
  <c r="AL506" i="10"/>
  <c r="AK506" i="10"/>
  <c r="AN505" i="10"/>
  <c r="AM505" i="10"/>
  <c r="AL505" i="10"/>
  <c r="AK505" i="10"/>
  <c r="AN504" i="10"/>
  <c r="AM504" i="10"/>
  <c r="AL504" i="10"/>
  <c r="AK504" i="10"/>
  <c r="AN503" i="10"/>
  <c r="AM503" i="10"/>
  <c r="AL503" i="10"/>
  <c r="AK503" i="10"/>
  <c r="AN502" i="10"/>
  <c r="AM502" i="10"/>
  <c r="AL502" i="10"/>
  <c r="AK502" i="10"/>
  <c r="AN501" i="10"/>
  <c r="AM501" i="10"/>
  <c r="AL501" i="10"/>
  <c r="AK501" i="10"/>
  <c r="AN500" i="10"/>
  <c r="AM500" i="10"/>
  <c r="AL500" i="10"/>
  <c r="AK500" i="10"/>
  <c r="AN499" i="10"/>
  <c r="AM499" i="10"/>
  <c r="AL499" i="10"/>
  <c r="AK499" i="10"/>
  <c r="AN498" i="10"/>
  <c r="AM498" i="10"/>
  <c r="AL498" i="10"/>
  <c r="AK498" i="10"/>
  <c r="AN497" i="10"/>
  <c r="AM497" i="10"/>
  <c r="AL497" i="10"/>
  <c r="AK497" i="10"/>
  <c r="AN496" i="10"/>
  <c r="AM496" i="10"/>
  <c r="AL496" i="10"/>
  <c r="AK496" i="10"/>
  <c r="AN495" i="10"/>
  <c r="AM495" i="10"/>
  <c r="AL495" i="10"/>
  <c r="AK495" i="10"/>
  <c r="AN494" i="10"/>
  <c r="AM494" i="10"/>
  <c r="AL494" i="10"/>
  <c r="AK494" i="10"/>
  <c r="AN493" i="10"/>
  <c r="AM493" i="10"/>
  <c r="AL493" i="10"/>
  <c r="AK493" i="10"/>
  <c r="AN492" i="10"/>
  <c r="AM492" i="10"/>
  <c r="AL492" i="10"/>
  <c r="AK492" i="10"/>
  <c r="AN491" i="10"/>
  <c r="AM491" i="10"/>
  <c r="AL491" i="10"/>
  <c r="AK491" i="10"/>
  <c r="AN490" i="10"/>
  <c r="AM490" i="10"/>
  <c r="AL490" i="10"/>
  <c r="AK490" i="10"/>
  <c r="AN489" i="10"/>
  <c r="AM489" i="10"/>
  <c r="AL489" i="10"/>
  <c r="AK489" i="10"/>
  <c r="AN488" i="10"/>
  <c r="AM488" i="10"/>
  <c r="AL488" i="10"/>
  <c r="AK488" i="10"/>
  <c r="AN487" i="10"/>
  <c r="AM487" i="10"/>
  <c r="AL487" i="10"/>
  <c r="AK487" i="10"/>
  <c r="AN486" i="10"/>
  <c r="AM486" i="10"/>
  <c r="AL486" i="10"/>
  <c r="AK486" i="10"/>
  <c r="AN485" i="10"/>
  <c r="AM485" i="10"/>
  <c r="AL485" i="10"/>
  <c r="AK485" i="10"/>
  <c r="AN484" i="10"/>
  <c r="AM484" i="10"/>
  <c r="AL484" i="10"/>
  <c r="AK484" i="10"/>
  <c r="AN483" i="10"/>
  <c r="AM483" i="10"/>
  <c r="AL483" i="10"/>
  <c r="AK483" i="10"/>
  <c r="AN482" i="10"/>
  <c r="AM482" i="10"/>
  <c r="AL482" i="10"/>
  <c r="AK482" i="10"/>
  <c r="AN481" i="10"/>
  <c r="AM481" i="10"/>
  <c r="AL481" i="10"/>
  <c r="AK481" i="10"/>
  <c r="AN480" i="10"/>
  <c r="AM480" i="10"/>
  <c r="AL480" i="10"/>
  <c r="AK480" i="10"/>
  <c r="AN479" i="10"/>
  <c r="AM479" i="10"/>
  <c r="AL479" i="10"/>
  <c r="AK479" i="10"/>
  <c r="AN478" i="10"/>
  <c r="AM478" i="10"/>
  <c r="AL478" i="10"/>
  <c r="AK478" i="10"/>
  <c r="AN477" i="10"/>
  <c r="AM477" i="10"/>
  <c r="AL477" i="10"/>
  <c r="AK477" i="10"/>
  <c r="AN476" i="10"/>
  <c r="AM476" i="10"/>
  <c r="AL476" i="10"/>
  <c r="AK476" i="10"/>
  <c r="AN475" i="10"/>
  <c r="AM475" i="10"/>
  <c r="AL475" i="10"/>
  <c r="AK475" i="10"/>
  <c r="AN474" i="10"/>
  <c r="AM474" i="10"/>
  <c r="AL474" i="10"/>
  <c r="AK474" i="10"/>
  <c r="AN473" i="10"/>
  <c r="AM473" i="10"/>
  <c r="AL473" i="10"/>
  <c r="AK473" i="10"/>
  <c r="AN472" i="10"/>
  <c r="AM472" i="10"/>
  <c r="AL472" i="10"/>
  <c r="AK472" i="10"/>
  <c r="AN471" i="10"/>
  <c r="AM471" i="10"/>
  <c r="AL471" i="10"/>
  <c r="AK471" i="10"/>
  <c r="AN470" i="10"/>
  <c r="AM470" i="10"/>
  <c r="AL470" i="10"/>
  <c r="AK470" i="10"/>
  <c r="AN469" i="10"/>
  <c r="AM469" i="10"/>
  <c r="AL469" i="10"/>
  <c r="AK469" i="10"/>
  <c r="AN468" i="10"/>
  <c r="AM468" i="10"/>
  <c r="AL468" i="10"/>
  <c r="AK468" i="10"/>
  <c r="AN467" i="10"/>
  <c r="AM467" i="10"/>
  <c r="AL467" i="10"/>
  <c r="AK467" i="10"/>
  <c r="AN466" i="10"/>
  <c r="AM466" i="10"/>
  <c r="AL466" i="10"/>
  <c r="AK466" i="10"/>
  <c r="AN465" i="10"/>
  <c r="AM465" i="10"/>
  <c r="AL465" i="10"/>
  <c r="AK465" i="10"/>
  <c r="AN464" i="10"/>
  <c r="AM464" i="10"/>
  <c r="AL464" i="10"/>
  <c r="AK464" i="10"/>
  <c r="AN463" i="10"/>
  <c r="AM463" i="10"/>
  <c r="AL463" i="10"/>
  <c r="AK463" i="10"/>
  <c r="AN462" i="10"/>
  <c r="AM462" i="10"/>
  <c r="AL462" i="10"/>
  <c r="AK462" i="10"/>
  <c r="AN461" i="10"/>
  <c r="AM461" i="10"/>
  <c r="AL461" i="10"/>
  <c r="AK461" i="10"/>
  <c r="AN460" i="10"/>
  <c r="AM460" i="10"/>
  <c r="AL460" i="10"/>
  <c r="AK460" i="10"/>
  <c r="AN459" i="10"/>
  <c r="AM459" i="10"/>
  <c r="AL459" i="10"/>
  <c r="AK459" i="10"/>
  <c r="AN458" i="10"/>
  <c r="AM458" i="10"/>
  <c r="AL458" i="10"/>
  <c r="AK458" i="10"/>
  <c r="AN457" i="10"/>
  <c r="AM457" i="10"/>
  <c r="AL457" i="10"/>
  <c r="AK457" i="10"/>
  <c r="AN456" i="10"/>
  <c r="AM456" i="10"/>
  <c r="AL456" i="10"/>
  <c r="AK456" i="10"/>
  <c r="AN455" i="10"/>
  <c r="AM455" i="10"/>
  <c r="AL455" i="10"/>
  <c r="AK455" i="10"/>
  <c r="AN454" i="10"/>
  <c r="AM454" i="10"/>
  <c r="AL454" i="10"/>
  <c r="AK454" i="10"/>
  <c r="AN453" i="10"/>
  <c r="AM453" i="10"/>
  <c r="AL453" i="10"/>
  <c r="AK453" i="10"/>
  <c r="AN452" i="10"/>
  <c r="AM452" i="10"/>
  <c r="AL452" i="10"/>
  <c r="AK452" i="10"/>
  <c r="AN451" i="10"/>
  <c r="AM451" i="10"/>
  <c r="AL451" i="10"/>
  <c r="AK451" i="10"/>
  <c r="AN450" i="10"/>
  <c r="AM450" i="10"/>
  <c r="AL450" i="10"/>
  <c r="AK450" i="10"/>
  <c r="AN449" i="10"/>
  <c r="AM449" i="10"/>
  <c r="AL449" i="10"/>
  <c r="AK449" i="10"/>
  <c r="AN448" i="10"/>
  <c r="AM448" i="10"/>
  <c r="AL448" i="10"/>
  <c r="AK448" i="10"/>
  <c r="AN447" i="10"/>
  <c r="AM447" i="10"/>
  <c r="AL447" i="10"/>
  <c r="AK447" i="10"/>
  <c r="AN446" i="10"/>
  <c r="AM446" i="10"/>
  <c r="AL446" i="10"/>
  <c r="AK446" i="10"/>
  <c r="AN445" i="10"/>
  <c r="AM445" i="10"/>
  <c r="AL445" i="10"/>
  <c r="AK445" i="10"/>
  <c r="AN444" i="10"/>
  <c r="AM444" i="10"/>
  <c r="AL444" i="10"/>
  <c r="AK444" i="10"/>
  <c r="AN443" i="10"/>
  <c r="AM443" i="10"/>
  <c r="AL443" i="10"/>
  <c r="AK443" i="10"/>
  <c r="AN442" i="10"/>
  <c r="AM442" i="10"/>
  <c r="AL442" i="10"/>
  <c r="AK442" i="10"/>
  <c r="AN441" i="10"/>
  <c r="AM441" i="10"/>
  <c r="AL441" i="10"/>
  <c r="AK441" i="10"/>
  <c r="AN440" i="10"/>
  <c r="AM440" i="10"/>
  <c r="AL440" i="10"/>
  <c r="AK440" i="10"/>
  <c r="AN439" i="10"/>
  <c r="AM439" i="10"/>
  <c r="AL439" i="10"/>
  <c r="AK439" i="10"/>
  <c r="AN438" i="10"/>
  <c r="AM438" i="10"/>
  <c r="AL438" i="10"/>
  <c r="AK438" i="10"/>
  <c r="AN437" i="10"/>
  <c r="AM437" i="10"/>
  <c r="AL437" i="10"/>
  <c r="AK437" i="10"/>
  <c r="AN436" i="10"/>
  <c r="AM436" i="10"/>
  <c r="AL436" i="10"/>
  <c r="AK436" i="10"/>
  <c r="AN435" i="10"/>
  <c r="AM435" i="10"/>
  <c r="AL435" i="10"/>
  <c r="AK435" i="10"/>
  <c r="AN434" i="10"/>
  <c r="AM434" i="10"/>
  <c r="AL434" i="10"/>
  <c r="AK434" i="10"/>
  <c r="AN433" i="10"/>
  <c r="AM433" i="10"/>
  <c r="AL433" i="10"/>
  <c r="AK433" i="10"/>
  <c r="AN432" i="10"/>
  <c r="AM432" i="10"/>
  <c r="AL432" i="10"/>
  <c r="AK432" i="10"/>
  <c r="AN431" i="10"/>
  <c r="AM431" i="10"/>
  <c r="AL431" i="10"/>
  <c r="AK431" i="10"/>
  <c r="AN430" i="10"/>
  <c r="AM430" i="10"/>
  <c r="AL430" i="10"/>
  <c r="AK430" i="10"/>
  <c r="AN429" i="10"/>
  <c r="AM429" i="10"/>
  <c r="AL429" i="10"/>
  <c r="AK429" i="10"/>
  <c r="AN428" i="10"/>
  <c r="AM428" i="10"/>
  <c r="AL428" i="10"/>
  <c r="AK428" i="10"/>
  <c r="AN427" i="10"/>
  <c r="AM427" i="10"/>
  <c r="AL427" i="10"/>
  <c r="AK427" i="10"/>
  <c r="AN426" i="10"/>
  <c r="AM426" i="10"/>
  <c r="AL426" i="10"/>
  <c r="AK426" i="10"/>
  <c r="AN425" i="10"/>
  <c r="AM425" i="10"/>
  <c r="AL425" i="10"/>
  <c r="AK425" i="10"/>
  <c r="AN424" i="10"/>
  <c r="AM424" i="10"/>
  <c r="AL424" i="10"/>
  <c r="AK424" i="10"/>
  <c r="AN423" i="10"/>
  <c r="AM423" i="10"/>
  <c r="AL423" i="10"/>
  <c r="AK423" i="10"/>
  <c r="AN422" i="10"/>
  <c r="AM422" i="10"/>
  <c r="AL422" i="10"/>
  <c r="AK422" i="10"/>
  <c r="AN421" i="10"/>
  <c r="AM421" i="10"/>
  <c r="AL421" i="10"/>
  <c r="AK421" i="10"/>
  <c r="AN420" i="10"/>
  <c r="AM420" i="10"/>
  <c r="AL420" i="10"/>
  <c r="AK420" i="10"/>
  <c r="AN419" i="10"/>
  <c r="AM419" i="10"/>
  <c r="AL419" i="10"/>
  <c r="AK419" i="10"/>
  <c r="AN418" i="10"/>
  <c r="AM418" i="10"/>
  <c r="AL418" i="10"/>
  <c r="AK418" i="10"/>
  <c r="AN417" i="10"/>
  <c r="AM417" i="10"/>
  <c r="AL417" i="10"/>
  <c r="AK417" i="10"/>
  <c r="AN416" i="10"/>
  <c r="AM416" i="10"/>
  <c r="AL416" i="10"/>
  <c r="AK416" i="10"/>
  <c r="AN415" i="10"/>
  <c r="AM415" i="10"/>
  <c r="AL415" i="10"/>
  <c r="AK415" i="10"/>
  <c r="AN414" i="10"/>
  <c r="AM414" i="10"/>
  <c r="AL414" i="10"/>
  <c r="AK414" i="10"/>
  <c r="AN413" i="10"/>
  <c r="AM413" i="10"/>
  <c r="AL413" i="10"/>
  <c r="AK413" i="10"/>
  <c r="AN412" i="10"/>
  <c r="AM412" i="10"/>
  <c r="AL412" i="10"/>
  <c r="AK412" i="10"/>
  <c r="AN411" i="10"/>
  <c r="AM411" i="10"/>
  <c r="AL411" i="10"/>
  <c r="AK411" i="10"/>
  <c r="AN410" i="10"/>
  <c r="AM410" i="10"/>
  <c r="AL410" i="10"/>
  <c r="AK410" i="10"/>
  <c r="AN409" i="10"/>
  <c r="AM409" i="10"/>
  <c r="AL409" i="10"/>
  <c r="AK409" i="10"/>
  <c r="AN408" i="10"/>
  <c r="AM408" i="10"/>
  <c r="AL408" i="10"/>
  <c r="AK408" i="10"/>
  <c r="AN407" i="10"/>
  <c r="AM407" i="10"/>
  <c r="AL407" i="10"/>
  <c r="AK407" i="10"/>
  <c r="AN406" i="10"/>
  <c r="AM406" i="10"/>
  <c r="AL406" i="10"/>
  <c r="AK406" i="10"/>
  <c r="AN405" i="10"/>
  <c r="AM405" i="10"/>
  <c r="AL405" i="10"/>
  <c r="AK405" i="10"/>
  <c r="AN404" i="10"/>
  <c r="AM404" i="10"/>
  <c r="AL404" i="10"/>
  <c r="AK404" i="10"/>
  <c r="AN403" i="10"/>
  <c r="AM403" i="10"/>
  <c r="AL403" i="10"/>
  <c r="AK403" i="10"/>
  <c r="AN402" i="10"/>
  <c r="AM402" i="10"/>
  <c r="AL402" i="10"/>
  <c r="AK402" i="10"/>
  <c r="AN401" i="10"/>
  <c r="AM401" i="10"/>
  <c r="AL401" i="10"/>
  <c r="AK401" i="10"/>
  <c r="AN400" i="10"/>
  <c r="AM400" i="10"/>
  <c r="AL400" i="10"/>
  <c r="AK400" i="10"/>
  <c r="AN399" i="10"/>
  <c r="AM399" i="10"/>
  <c r="AL399" i="10"/>
  <c r="AK399" i="10"/>
  <c r="AN398" i="10"/>
  <c r="AM398" i="10"/>
  <c r="AL398" i="10"/>
  <c r="AK398" i="10"/>
  <c r="AN397" i="10"/>
  <c r="AM397" i="10"/>
  <c r="AL397" i="10"/>
  <c r="AK397" i="10"/>
  <c r="AN396" i="10"/>
  <c r="AM396" i="10"/>
  <c r="AL396" i="10"/>
  <c r="AK396" i="10"/>
  <c r="AN395" i="10"/>
  <c r="AM395" i="10"/>
  <c r="AL395" i="10"/>
  <c r="AK395" i="10"/>
  <c r="AN394" i="10"/>
  <c r="AM394" i="10"/>
  <c r="AL394" i="10"/>
  <c r="AK394" i="10"/>
  <c r="AN393" i="10"/>
  <c r="AM393" i="10"/>
  <c r="AL393" i="10"/>
  <c r="AK393" i="10"/>
  <c r="AN392" i="10"/>
  <c r="AM392" i="10"/>
  <c r="AL392" i="10"/>
  <c r="AK392" i="10"/>
  <c r="AN391" i="10"/>
  <c r="AM391" i="10"/>
  <c r="AL391" i="10"/>
  <c r="AK391" i="10"/>
  <c r="AN390" i="10"/>
  <c r="AM390" i="10"/>
  <c r="AL390" i="10"/>
  <c r="AK390" i="10"/>
  <c r="AN389" i="10"/>
  <c r="AM389" i="10"/>
  <c r="AL389" i="10"/>
  <c r="AK389" i="10"/>
  <c r="AN388" i="10"/>
  <c r="AM388" i="10"/>
  <c r="AL388" i="10"/>
  <c r="AK388" i="10"/>
  <c r="AN387" i="10"/>
  <c r="AM387" i="10"/>
  <c r="AL387" i="10"/>
  <c r="AK387" i="10"/>
  <c r="AN386" i="10"/>
  <c r="AM386" i="10"/>
  <c r="AL386" i="10"/>
  <c r="AK386" i="10"/>
  <c r="AN385" i="10"/>
  <c r="AM385" i="10"/>
  <c r="AL385" i="10"/>
  <c r="AK385" i="10"/>
  <c r="AN384" i="10"/>
  <c r="AM384" i="10"/>
  <c r="AL384" i="10"/>
  <c r="AK384" i="10"/>
  <c r="AN383" i="10"/>
  <c r="AM383" i="10"/>
  <c r="AL383" i="10"/>
  <c r="AK383" i="10"/>
  <c r="AN382" i="10"/>
  <c r="AM382" i="10"/>
  <c r="AL382" i="10"/>
  <c r="AK382" i="10"/>
  <c r="AN381" i="10"/>
  <c r="AM381" i="10"/>
  <c r="AL381" i="10"/>
  <c r="AK381" i="10"/>
  <c r="AN380" i="10"/>
  <c r="AM380" i="10"/>
  <c r="AL380" i="10"/>
  <c r="AK380" i="10"/>
  <c r="AN379" i="10"/>
  <c r="AM379" i="10"/>
  <c r="AL379" i="10"/>
  <c r="AK379" i="10"/>
  <c r="AN378" i="10"/>
  <c r="AM378" i="10"/>
  <c r="AL378" i="10"/>
  <c r="AK378" i="10"/>
  <c r="AN377" i="10"/>
  <c r="AM377" i="10"/>
  <c r="AL377" i="10"/>
  <c r="AK377" i="10"/>
  <c r="AN376" i="10"/>
  <c r="AM376" i="10"/>
  <c r="AL376" i="10"/>
  <c r="AK376" i="10"/>
  <c r="AN375" i="10"/>
  <c r="AM375" i="10"/>
  <c r="AL375" i="10"/>
  <c r="AK375" i="10"/>
  <c r="AN374" i="10"/>
  <c r="AM374" i="10"/>
  <c r="AL374" i="10"/>
  <c r="AK374" i="10"/>
  <c r="AN373" i="10"/>
  <c r="AM373" i="10"/>
  <c r="AL373" i="10"/>
  <c r="AK373" i="10"/>
  <c r="AN372" i="10"/>
  <c r="AM372" i="10"/>
  <c r="AL372" i="10"/>
  <c r="AK372" i="10"/>
  <c r="AN371" i="10"/>
  <c r="AM371" i="10"/>
  <c r="AL371" i="10"/>
  <c r="AK371" i="10"/>
  <c r="AN370" i="10"/>
  <c r="AM370" i="10"/>
  <c r="AL370" i="10"/>
  <c r="AK370" i="10"/>
  <c r="AN369" i="10"/>
  <c r="AM369" i="10"/>
  <c r="AL369" i="10"/>
  <c r="AK369" i="10"/>
  <c r="AN368" i="10"/>
  <c r="AM368" i="10"/>
  <c r="AL368" i="10"/>
  <c r="AK368" i="10"/>
  <c r="AN367" i="10"/>
  <c r="AM367" i="10"/>
  <c r="AL367" i="10"/>
  <c r="AK367" i="10"/>
  <c r="AN366" i="10"/>
  <c r="AM366" i="10"/>
  <c r="AL366" i="10"/>
  <c r="AK366" i="10"/>
  <c r="AN365" i="10"/>
  <c r="AM365" i="10"/>
  <c r="AL365" i="10"/>
  <c r="AK365" i="10"/>
  <c r="AN364" i="10"/>
  <c r="AM364" i="10"/>
  <c r="AL364" i="10"/>
  <c r="AK364" i="10"/>
  <c r="AN363" i="10"/>
  <c r="AM363" i="10"/>
  <c r="AL363" i="10"/>
  <c r="AK363" i="10"/>
  <c r="AN362" i="10"/>
  <c r="AM362" i="10"/>
  <c r="AL362" i="10"/>
  <c r="AK362" i="10"/>
  <c r="AN361" i="10"/>
  <c r="AM361" i="10"/>
  <c r="AL361" i="10"/>
  <c r="AK361" i="10"/>
  <c r="AN360" i="10"/>
  <c r="AM360" i="10"/>
  <c r="AL360" i="10"/>
  <c r="AK360" i="10"/>
  <c r="AN359" i="10"/>
  <c r="AM359" i="10"/>
  <c r="AL359" i="10"/>
  <c r="AK359" i="10"/>
  <c r="AN358" i="10"/>
  <c r="AM358" i="10"/>
  <c r="AL358" i="10"/>
  <c r="AK358" i="10"/>
  <c r="AN357" i="10"/>
  <c r="AM357" i="10"/>
  <c r="AL357" i="10"/>
  <c r="AK357" i="10"/>
  <c r="AN356" i="10"/>
  <c r="AM356" i="10"/>
  <c r="AL356" i="10"/>
  <c r="AK356" i="10"/>
  <c r="AN355" i="10"/>
  <c r="AM355" i="10"/>
  <c r="AL355" i="10"/>
  <c r="AK355" i="10"/>
  <c r="AN354" i="10"/>
  <c r="AM354" i="10"/>
  <c r="AL354" i="10"/>
  <c r="AK354" i="10"/>
  <c r="AN353" i="10"/>
  <c r="AM353" i="10"/>
  <c r="AL353" i="10"/>
  <c r="AK353" i="10"/>
  <c r="AN352" i="10"/>
  <c r="AM352" i="10"/>
  <c r="AL352" i="10"/>
  <c r="AK352" i="10"/>
  <c r="AN351" i="10"/>
  <c r="AM351" i="10"/>
  <c r="AL351" i="10"/>
  <c r="AK351" i="10"/>
  <c r="AN350" i="10"/>
  <c r="AM350" i="10"/>
  <c r="AL350" i="10"/>
  <c r="AK350" i="10"/>
  <c r="AN349" i="10"/>
  <c r="AM349" i="10"/>
  <c r="AL349" i="10"/>
  <c r="AK349" i="10"/>
  <c r="AN348" i="10"/>
  <c r="AM348" i="10"/>
  <c r="AL348" i="10"/>
  <c r="AK348" i="10"/>
  <c r="AN347" i="10"/>
  <c r="AM347" i="10"/>
  <c r="AL347" i="10"/>
  <c r="AK347" i="10"/>
  <c r="AN346" i="10"/>
  <c r="AM346" i="10"/>
  <c r="AL346" i="10"/>
  <c r="AK346" i="10"/>
  <c r="AN345" i="10"/>
  <c r="AM345" i="10"/>
  <c r="AL345" i="10"/>
  <c r="AK345" i="10"/>
  <c r="AN344" i="10"/>
  <c r="AM344" i="10"/>
  <c r="AL344" i="10"/>
  <c r="AK344" i="10"/>
  <c r="AN343" i="10"/>
  <c r="AM343" i="10"/>
  <c r="AL343" i="10"/>
  <c r="AK343" i="10"/>
  <c r="AN342" i="10"/>
  <c r="AM342" i="10"/>
  <c r="AL342" i="10"/>
  <c r="AK342" i="10"/>
  <c r="AN341" i="10"/>
  <c r="AM341" i="10"/>
  <c r="AL341" i="10"/>
  <c r="AK341" i="10"/>
  <c r="AN340" i="10"/>
  <c r="AM340" i="10"/>
  <c r="AL340" i="10"/>
  <c r="AK340" i="10"/>
  <c r="AN339" i="10"/>
  <c r="AM339" i="10"/>
  <c r="AL339" i="10"/>
  <c r="AK339" i="10"/>
  <c r="AN338" i="10"/>
  <c r="AM338" i="10"/>
  <c r="AL338" i="10"/>
  <c r="AK338" i="10"/>
  <c r="AN337" i="10"/>
  <c r="AM337" i="10"/>
  <c r="AL337" i="10"/>
  <c r="AK337" i="10"/>
  <c r="AN336" i="10"/>
  <c r="AM336" i="10"/>
  <c r="AL336" i="10"/>
  <c r="AK336" i="10"/>
  <c r="AN335" i="10"/>
  <c r="AM335" i="10"/>
  <c r="AL335" i="10"/>
  <c r="AK335" i="10"/>
  <c r="AN334" i="10"/>
  <c r="AM334" i="10"/>
  <c r="AL334" i="10"/>
  <c r="AK334" i="10"/>
  <c r="AN333" i="10"/>
  <c r="AM333" i="10"/>
  <c r="AL333" i="10"/>
  <c r="AK333" i="10"/>
  <c r="AN332" i="10"/>
  <c r="AM332" i="10"/>
  <c r="AL332" i="10"/>
  <c r="AK332" i="10"/>
  <c r="AN331" i="10"/>
  <c r="AM331" i="10"/>
  <c r="AL331" i="10"/>
  <c r="AK331" i="10"/>
  <c r="AN330" i="10"/>
  <c r="AM330" i="10"/>
  <c r="AL330" i="10"/>
  <c r="AK330" i="10"/>
  <c r="AN329" i="10"/>
  <c r="AM329" i="10"/>
  <c r="AL329" i="10"/>
  <c r="AK329" i="10"/>
  <c r="AN328" i="10"/>
  <c r="AM328" i="10"/>
  <c r="AL328" i="10"/>
  <c r="AK328" i="10"/>
  <c r="AN327" i="10"/>
  <c r="AM327" i="10"/>
  <c r="AL327" i="10"/>
  <c r="AK327" i="10"/>
  <c r="AN326" i="10"/>
  <c r="AM326" i="10"/>
  <c r="AL326" i="10"/>
  <c r="AK326" i="10"/>
  <c r="AN325" i="10"/>
  <c r="AM325" i="10"/>
  <c r="AL325" i="10"/>
  <c r="AK325" i="10"/>
  <c r="AN324" i="10"/>
  <c r="AM324" i="10"/>
  <c r="AL324" i="10"/>
  <c r="AK324" i="10"/>
  <c r="AN323" i="10"/>
  <c r="AM323" i="10"/>
  <c r="AL323" i="10"/>
  <c r="AK323" i="10"/>
  <c r="AN322" i="10"/>
  <c r="AM322" i="10"/>
  <c r="AL322" i="10"/>
  <c r="AK322" i="10"/>
  <c r="AN321" i="10"/>
  <c r="AM321" i="10"/>
  <c r="AL321" i="10"/>
  <c r="AK321" i="10"/>
  <c r="AN320" i="10"/>
  <c r="AM320" i="10"/>
  <c r="AL320" i="10"/>
  <c r="AK320" i="10"/>
  <c r="AN319" i="10"/>
  <c r="AM319" i="10"/>
  <c r="AL319" i="10"/>
  <c r="AK319" i="10"/>
  <c r="AN318" i="10"/>
  <c r="AM318" i="10"/>
  <c r="AL318" i="10"/>
  <c r="AK318" i="10"/>
  <c r="AN317" i="10"/>
  <c r="AM317" i="10"/>
  <c r="AL317" i="10"/>
  <c r="AK317" i="10"/>
  <c r="AN316" i="10"/>
  <c r="AM316" i="10"/>
  <c r="AL316" i="10"/>
  <c r="AK316" i="10"/>
  <c r="AN315" i="10"/>
  <c r="AM315" i="10"/>
  <c r="AL315" i="10"/>
  <c r="AK315" i="10"/>
  <c r="AN314" i="10"/>
  <c r="AM314" i="10"/>
  <c r="AL314" i="10"/>
  <c r="AK314" i="10"/>
  <c r="AN313" i="10"/>
  <c r="AM313" i="10"/>
  <c r="AL313" i="10"/>
  <c r="AK313" i="10"/>
  <c r="AN312" i="10"/>
  <c r="AM312" i="10"/>
  <c r="AL312" i="10"/>
  <c r="AK312" i="10"/>
  <c r="AN311" i="10"/>
  <c r="AM311" i="10"/>
  <c r="AL311" i="10"/>
  <c r="AK311" i="10"/>
  <c r="AN310" i="10"/>
  <c r="AM310" i="10"/>
  <c r="AL310" i="10"/>
  <c r="AK310" i="10"/>
  <c r="AN309" i="10"/>
  <c r="AM309" i="10"/>
  <c r="AL309" i="10"/>
  <c r="AK309" i="10"/>
  <c r="AN308" i="10"/>
  <c r="AM308" i="10"/>
  <c r="AL308" i="10"/>
  <c r="AK308" i="10"/>
  <c r="AN307" i="10"/>
  <c r="AM307" i="10"/>
  <c r="AL307" i="10"/>
  <c r="AK307" i="10"/>
  <c r="AN306" i="10"/>
  <c r="AM306" i="10"/>
  <c r="AL306" i="10"/>
  <c r="AK306" i="10"/>
  <c r="AN305" i="10"/>
  <c r="AM305" i="10"/>
  <c r="AL305" i="10"/>
  <c r="AK305" i="10"/>
  <c r="AN304" i="10"/>
  <c r="AM304" i="10"/>
  <c r="AL304" i="10"/>
  <c r="AK304" i="10"/>
  <c r="AN303" i="10"/>
  <c r="AM303" i="10"/>
  <c r="AL303" i="10"/>
  <c r="AK303" i="10"/>
  <c r="AN302" i="10"/>
  <c r="AM302" i="10"/>
  <c r="AL302" i="10"/>
  <c r="AK302" i="10"/>
  <c r="AN301" i="10"/>
  <c r="AM301" i="10"/>
  <c r="AL301" i="10"/>
  <c r="AK301" i="10"/>
  <c r="AN300" i="10"/>
  <c r="AM300" i="10"/>
  <c r="AL300" i="10"/>
  <c r="AK300" i="10"/>
  <c r="AN299" i="10"/>
  <c r="AM299" i="10"/>
  <c r="AL299" i="10"/>
  <c r="AK299" i="10"/>
  <c r="AN298" i="10"/>
  <c r="AM298" i="10"/>
  <c r="AL298" i="10"/>
  <c r="AK298" i="10"/>
  <c r="AN297" i="10"/>
  <c r="AM297" i="10"/>
  <c r="AL297" i="10"/>
  <c r="AK297" i="10"/>
  <c r="AN296" i="10"/>
  <c r="AM296" i="10"/>
  <c r="AL296" i="10"/>
  <c r="AK296" i="10"/>
  <c r="AN295" i="10"/>
  <c r="AM295" i="10"/>
  <c r="AL295" i="10"/>
  <c r="AK295" i="10"/>
  <c r="AN294" i="10"/>
  <c r="AM294" i="10"/>
  <c r="AL294" i="10"/>
  <c r="AK294" i="10"/>
  <c r="AN293" i="10"/>
  <c r="AM293" i="10"/>
  <c r="AL293" i="10"/>
  <c r="AK293" i="10"/>
  <c r="AN292" i="10"/>
  <c r="AM292" i="10"/>
  <c r="AL292" i="10"/>
  <c r="AK292" i="10"/>
  <c r="AN291" i="10"/>
  <c r="AM291" i="10"/>
  <c r="AL291" i="10"/>
  <c r="AK291" i="10"/>
  <c r="AN290" i="10"/>
  <c r="AM290" i="10"/>
  <c r="AL290" i="10"/>
  <c r="AK290" i="10"/>
  <c r="AN289" i="10"/>
  <c r="AM289" i="10"/>
  <c r="AL289" i="10"/>
  <c r="AK289" i="10"/>
  <c r="AN288" i="10"/>
  <c r="AM288" i="10"/>
  <c r="AL288" i="10"/>
  <c r="AK288" i="10"/>
  <c r="AN287" i="10"/>
  <c r="AM287" i="10"/>
  <c r="AL287" i="10"/>
  <c r="AK287" i="10"/>
  <c r="AN286" i="10"/>
  <c r="AM286" i="10"/>
  <c r="AL286" i="10"/>
  <c r="AK286" i="10"/>
  <c r="AN285" i="10"/>
  <c r="AM285" i="10"/>
  <c r="AL285" i="10"/>
  <c r="AK285" i="10"/>
  <c r="AN284" i="10"/>
  <c r="AM284" i="10"/>
  <c r="AL284" i="10"/>
  <c r="AK284" i="10"/>
  <c r="AN283" i="10"/>
  <c r="AM283" i="10"/>
  <c r="AL283" i="10"/>
  <c r="AK283" i="10"/>
  <c r="AN282" i="10"/>
  <c r="AM282" i="10"/>
  <c r="AL282" i="10"/>
  <c r="AK282" i="10"/>
  <c r="AN281" i="10"/>
  <c r="AM281" i="10"/>
  <c r="AL281" i="10"/>
  <c r="AK281" i="10"/>
  <c r="AN280" i="10"/>
  <c r="AM280" i="10"/>
  <c r="AL280" i="10"/>
  <c r="AK280" i="10"/>
  <c r="AN279" i="10"/>
  <c r="AM279" i="10"/>
  <c r="AL279" i="10"/>
  <c r="AK279" i="10"/>
  <c r="AN278" i="10"/>
  <c r="AM278" i="10"/>
  <c r="AL278" i="10"/>
  <c r="AK278" i="10"/>
  <c r="AN277" i="10"/>
  <c r="AM277" i="10"/>
  <c r="AL277" i="10"/>
  <c r="AK277" i="10"/>
  <c r="AN276" i="10"/>
  <c r="AM276" i="10"/>
  <c r="AL276" i="10"/>
  <c r="AK276" i="10"/>
  <c r="AN275" i="10"/>
  <c r="AM275" i="10"/>
  <c r="AL275" i="10"/>
  <c r="AK275" i="10"/>
  <c r="AN274" i="10"/>
  <c r="AM274" i="10"/>
  <c r="AL274" i="10"/>
  <c r="AK274" i="10"/>
  <c r="AN273" i="10"/>
  <c r="AM273" i="10"/>
  <c r="AL273" i="10"/>
  <c r="AK273" i="10"/>
  <c r="AN272" i="10"/>
  <c r="AM272" i="10"/>
  <c r="AL272" i="10"/>
  <c r="AK272" i="10"/>
  <c r="AN271" i="10"/>
  <c r="AM271" i="10"/>
  <c r="AL271" i="10"/>
  <c r="AK271" i="10"/>
  <c r="AN270" i="10"/>
  <c r="AM270" i="10"/>
  <c r="AL270" i="10"/>
  <c r="AK270" i="10"/>
  <c r="AN269" i="10"/>
  <c r="AM269" i="10"/>
  <c r="AL269" i="10"/>
  <c r="AK269" i="10"/>
  <c r="AN268" i="10"/>
  <c r="AM268" i="10"/>
  <c r="AL268" i="10"/>
  <c r="AK268" i="10"/>
  <c r="AN267" i="10"/>
  <c r="AM267" i="10"/>
  <c r="AL267" i="10"/>
  <c r="AK267" i="10"/>
  <c r="AN266" i="10"/>
  <c r="AM266" i="10"/>
  <c r="AL266" i="10"/>
  <c r="AK266" i="10"/>
  <c r="AN265" i="10"/>
  <c r="AM265" i="10"/>
  <c r="AL265" i="10"/>
  <c r="AK265" i="10"/>
  <c r="AN264" i="10"/>
  <c r="AM264" i="10"/>
  <c r="AL264" i="10"/>
  <c r="AK264" i="10"/>
  <c r="AN263" i="10"/>
  <c r="AM263" i="10"/>
  <c r="AL263" i="10"/>
  <c r="AK263" i="10"/>
  <c r="AN262" i="10"/>
  <c r="AM262" i="10"/>
  <c r="AL262" i="10"/>
  <c r="AK262" i="10"/>
  <c r="AN261" i="10"/>
  <c r="AM261" i="10"/>
  <c r="AL261" i="10"/>
  <c r="AK261" i="10"/>
  <c r="AN260" i="10"/>
  <c r="AM260" i="10"/>
  <c r="AL260" i="10"/>
  <c r="AK260" i="10"/>
  <c r="AN259" i="10"/>
  <c r="AM259" i="10"/>
  <c r="AL259" i="10"/>
  <c r="AK259" i="10"/>
  <c r="AN258" i="10"/>
  <c r="AM258" i="10"/>
  <c r="AL258" i="10"/>
  <c r="AK258" i="10"/>
  <c r="AN257" i="10"/>
  <c r="AM257" i="10"/>
  <c r="AL257" i="10"/>
  <c r="AK257" i="10"/>
  <c r="AN256" i="10"/>
  <c r="AM256" i="10"/>
  <c r="AL256" i="10"/>
  <c r="AK256" i="10"/>
  <c r="AN255" i="10"/>
  <c r="AM255" i="10"/>
  <c r="AL255" i="10"/>
  <c r="AK255" i="10"/>
  <c r="AN254" i="10"/>
  <c r="AM254" i="10"/>
  <c r="AL254" i="10"/>
  <c r="AK254" i="10"/>
  <c r="AN253" i="10"/>
  <c r="AM253" i="10"/>
  <c r="AL253" i="10"/>
  <c r="AK253" i="10"/>
  <c r="AN252" i="10"/>
  <c r="AM252" i="10"/>
  <c r="AL252" i="10"/>
  <c r="AK252" i="10"/>
  <c r="AN251" i="10"/>
  <c r="AM251" i="10"/>
  <c r="AL251" i="10"/>
  <c r="AK251" i="10"/>
  <c r="AN250" i="10"/>
  <c r="AM250" i="10"/>
  <c r="AL250" i="10"/>
  <c r="AK250" i="10"/>
  <c r="AN249" i="10"/>
  <c r="AM249" i="10"/>
  <c r="AL249" i="10"/>
  <c r="AK249" i="10"/>
  <c r="AN248" i="10"/>
  <c r="AM248" i="10"/>
  <c r="AL248" i="10"/>
  <c r="AK248" i="10"/>
  <c r="AN247" i="10"/>
  <c r="AM247" i="10"/>
  <c r="AL247" i="10"/>
  <c r="AK247" i="10"/>
  <c r="AN246" i="10"/>
  <c r="AM246" i="10"/>
  <c r="AL246" i="10"/>
  <c r="AK246" i="10"/>
  <c r="AN245" i="10"/>
  <c r="AM245" i="10"/>
  <c r="AL245" i="10"/>
  <c r="AK245" i="10"/>
  <c r="AN244" i="10"/>
  <c r="AM244" i="10"/>
  <c r="AL244" i="10"/>
  <c r="AK244" i="10"/>
  <c r="AN243" i="10"/>
  <c r="AM243" i="10"/>
  <c r="AL243" i="10"/>
  <c r="AK243" i="10"/>
  <c r="AN242" i="10"/>
  <c r="AM242" i="10"/>
  <c r="AL242" i="10"/>
  <c r="AK242" i="10"/>
  <c r="AN241" i="10"/>
  <c r="AM241" i="10"/>
  <c r="AL241" i="10"/>
  <c r="AK241" i="10"/>
  <c r="AN240" i="10"/>
  <c r="AM240" i="10"/>
  <c r="AL240" i="10"/>
  <c r="AK240" i="10"/>
  <c r="AN239" i="10"/>
  <c r="AM239" i="10"/>
  <c r="AL239" i="10"/>
  <c r="AK239" i="10"/>
  <c r="AN238" i="10"/>
  <c r="AM238" i="10"/>
  <c r="AL238" i="10"/>
  <c r="AK238" i="10"/>
  <c r="AN237" i="10"/>
  <c r="AM237" i="10"/>
  <c r="AL237" i="10"/>
  <c r="AK237" i="10"/>
  <c r="AN236" i="10"/>
  <c r="AM236" i="10"/>
  <c r="AL236" i="10"/>
  <c r="AK236" i="10"/>
  <c r="AN235" i="10"/>
  <c r="AM235" i="10"/>
  <c r="AL235" i="10"/>
  <c r="AK235" i="10"/>
  <c r="AN234" i="10"/>
  <c r="AM234" i="10"/>
  <c r="AL234" i="10"/>
  <c r="AK234" i="10"/>
  <c r="AN233" i="10"/>
  <c r="AM233" i="10"/>
  <c r="AL233" i="10"/>
  <c r="AK233" i="10"/>
  <c r="AN232" i="10"/>
  <c r="AM232" i="10"/>
  <c r="AL232" i="10"/>
  <c r="AK232" i="10"/>
  <c r="AN231" i="10"/>
  <c r="AM231" i="10"/>
  <c r="AL231" i="10"/>
  <c r="AK231" i="10"/>
  <c r="AN230" i="10"/>
  <c r="AM230" i="10"/>
  <c r="AL230" i="10"/>
  <c r="AK230" i="10"/>
  <c r="AN229" i="10"/>
  <c r="AM229" i="10"/>
  <c r="AL229" i="10"/>
  <c r="AK229" i="10"/>
  <c r="AN228" i="10"/>
  <c r="AM228" i="10"/>
  <c r="AL228" i="10"/>
  <c r="AK228" i="10"/>
  <c r="AN227" i="10"/>
  <c r="AM227" i="10"/>
  <c r="AL227" i="10"/>
  <c r="AK227" i="10"/>
  <c r="AN226" i="10"/>
  <c r="AM226" i="10"/>
  <c r="AL226" i="10"/>
  <c r="AK226" i="10"/>
  <c r="AN225" i="10"/>
  <c r="AM225" i="10"/>
  <c r="AL225" i="10"/>
  <c r="AK225" i="10"/>
  <c r="AN224" i="10"/>
  <c r="AM224" i="10"/>
  <c r="AL224" i="10"/>
  <c r="AK224" i="10"/>
  <c r="AN223" i="10"/>
  <c r="AM223" i="10"/>
  <c r="AL223" i="10"/>
  <c r="AK223" i="10"/>
  <c r="AN222" i="10"/>
  <c r="AM222" i="10"/>
  <c r="AL222" i="10"/>
  <c r="AK222" i="10"/>
  <c r="AN221" i="10"/>
  <c r="AM221" i="10"/>
  <c r="AL221" i="10"/>
  <c r="AK221" i="10"/>
  <c r="AN220" i="10"/>
  <c r="AM220" i="10"/>
  <c r="AL220" i="10"/>
  <c r="AK220" i="10"/>
  <c r="AN219" i="10"/>
  <c r="AM219" i="10"/>
  <c r="AL219" i="10"/>
  <c r="AK219" i="10"/>
  <c r="AN218" i="10"/>
  <c r="AM218" i="10"/>
  <c r="AL218" i="10"/>
  <c r="AK218" i="10"/>
  <c r="AN217" i="10"/>
  <c r="AM217" i="10"/>
  <c r="AL217" i="10"/>
  <c r="AK217" i="10"/>
  <c r="AN216" i="10"/>
  <c r="AM216" i="10"/>
  <c r="AL216" i="10"/>
  <c r="AK216" i="10"/>
  <c r="AN215" i="10"/>
  <c r="AM215" i="10"/>
  <c r="AL215" i="10"/>
  <c r="AK215" i="10"/>
  <c r="AN214" i="10"/>
  <c r="AM214" i="10"/>
  <c r="AL214" i="10"/>
  <c r="AK214" i="10"/>
  <c r="AN213" i="10"/>
  <c r="AM213" i="10"/>
  <c r="AL213" i="10"/>
  <c r="AK213" i="10"/>
  <c r="AN212" i="10"/>
  <c r="AM212" i="10"/>
  <c r="AL212" i="10"/>
  <c r="AK212" i="10"/>
  <c r="AN211" i="10"/>
  <c r="AM211" i="10"/>
  <c r="AL211" i="10"/>
  <c r="AK211" i="10"/>
  <c r="AN210" i="10"/>
  <c r="AM210" i="10"/>
  <c r="AL210" i="10"/>
  <c r="AK210" i="10"/>
  <c r="AN209" i="10"/>
  <c r="AM209" i="10"/>
  <c r="AL209" i="10"/>
  <c r="AK209" i="10"/>
  <c r="AN208" i="10"/>
  <c r="AM208" i="10"/>
  <c r="AL208" i="10"/>
  <c r="AK208" i="10"/>
  <c r="AN207" i="10"/>
  <c r="AM207" i="10"/>
  <c r="AL207" i="10"/>
  <c r="AK207" i="10"/>
  <c r="AN206" i="10"/>
  <c r="AM206" i="10"/>
  <c r="AL206" i="10"/>
  <c r="AK206" i="10"/>
  <c r="AN205" i="10"/>
  <c r="AM205" i="10"/>
  <c r="AL205" i="10"/>
  <c r="AK205" i="10"/>
  <c r="AN204" i="10"/>
  <c r="AM204" i="10"/>
  <c r="AL204" i="10"/>
  <c r="AK204" i="10"/>
  <c r="AN203" i="10"/>
  <c r="AM203" i="10"/>
  <c r="AL203" i="10"/>
  <c r="AK203" i="10"/>
  <c r="AN202" i="10"/>
  <c r="AM202" i="10"/>
  <c r="AL202" i="10"/>
  <c r="AK202" i="10"/>
  <c r="AN201" i="10"/>
  <c r="AM201" i="10"/>
  <c r="AL201" i="10"/>
  <c r="AK201" i="10"/>
  <c r="AN200" i="10"/>
  <c r="AM200" i="10"/>
  <c r="AL200" i="10"/>
  <c r="AK200" i="10"/>
  <c r="AN199" i="10"/>
  <c r="AM199" i="10"/>
  <c r="AL199" i="10"/>
  <c r="AK199" i="10"/>
  <c r="AN198" i="10"/>
  <c r="AM198" i="10"/>
  <c r="AL198" i="10"/>
  <c r="AK198" i="10"/>
  <c r="AN197" i="10"/>
  <c r="AM197" i="10"/>
  <c r="AL197" i="10"/>
  <c r="AK197" i="10"/>
  <c r="AN196" i="10"/>
  <c r="AM196" i="10"/>
  <c r="AL196" i="10"/>
  <c r="AK196" i="10"/>
  <c r="AN195" i="10"/>
  <c r="AM195" i="10"/>
  <c r="AL195" i="10"/>
  <c r="AK195" i="10"/>
  <c r="AN194" i="10"/>
  <c r="AM194" i="10"/>
  <c r="AL194" i="10"/>
  <c r="AK194" i="10"/>
  <c r="AN193" i="10"/>
  <c r="AM193" i="10"/>
  <c r="AL193" i="10"/>
  <c r="AK193" i="10"/>
  <c r="AN192" i="10"/>
  <c r="AM192" i="10"/>
  <c r="AL192" i="10"/>
  <c r="AK192" i="10"/>
  <c r="AN191" i="10"/>
  <c r="AM191" i="10"/>
  <c r="AL191" i="10"/>
  <c r="AK191" i="10"/>
  <c r="AN190" i="10"/>
  <c r="AM190" i="10"/>
  <c r="AL190" i="10"/>
  <c r="AK190" i="10"/>
  <c r="AN189" i="10"/>
  <c r="AM189" i="10"/>
  <c r="AL189" i="10"/>
  <c r="AK189" i="10"/>
  <c r="AN188" i="10"/>
  <c r="AM188" i="10"/>
  <c r="AL188" i="10"/>
  <c r="AK188" i="10"/>
  <c r="AN187" i="10"/>
  <c r="AM187" i="10"/>
  <c r="AL187" i="10"/>
  <c r="AK187" i="10"/>
  <c r="AN186" i="10"/>
  <c r="AM186" i="10"/>
  <c r="AL186" i="10"/>
  <c r="AK186" i="10"/>
  <c r="AN185" i="10"/>
  <c r="AM185" i="10"/>
  <c r="AL185" i="10"/>
  <c r="AK185" i="10"/>
  <c r="AN184" i="10"/>
  <c r="AM184" i="10"/>
  <c r="AL184" i="10"/>
  <c r="AK184" i="10"/>
  <c r="AN183" i="10"/>
  <c r="AM183" i="10"/>
  <c r="AL183" i="10"/>
  <c r="AK183" i="10"/>
  <c r="AN182" i="10"/>
  <c r="AM182" i="10"/>
  <c r="AL182" i="10"/>
  <c r="AK182" i="10"/>
  <c r="AN181" i="10"/>
  <c r="AM181" i="10"/>
  <c r="AL181" i="10"/>
  <c r="AK181" i="10"/>
  <c r="AN180" i="10"/>
  <c r="AM180" i="10"/>
  <c r="AL180" i="10"/>
  <c r="AK180" i="10"/>
  <c r="AN179" i="10"/>
  <c r="AM179" i="10"/>
  <c r="AL179" i="10"/>
  <c r="AK179" i="10"/>
  <c r="AN178" i="10"/>
  <c r="AM178" i="10"/>
  <c r="AL178" i="10"/>
  <c r="AK178" i="10"/>
  <c r="AN177" i="10"/>
  <c r="AM177" i="10"/>
  <c r="AL177" i="10"/>
  <c r="AK177" i="10"/>
  <c r="AN176" i="10"/>
  <c r="AM176" i="10"/>
  <c r="AL176" i="10"/>
  <c r="AK176" i="10"/>
  <c r="AN175" i="10"/>
  <c r="AM175" i="10"/>
  <c r="AL175" i="10"/>
  <c r="AK175" i="10"/>
  <c r="AN174" i="10"/>
  <c r="AM174" i="10"/>
  <c r="AL174" i="10"/>
  <c r="AK174" i="10"/>
  <c r="AN173" i="10"/>
  <c r="AM173" i="10"/>
  <c r="AL173" i="10"/>
  <c r="AK173" i="10"/>
  <c r="AN172" i="10"/>
  <c r="AM172" i="10"/>
  <c r="AL172" i="10"/>
  <c r="AK172" i="10"/>
  <c r="AN171" i="10"/>
  <c r="AM171" i="10"/>
  <c r="AL171" i="10"/>
  <c r="AK171" i="10"/>
  <c r="AN170" i="10"/>
  <c r="AM170" i="10"/>
  <c r="AL170" i="10"/>
  <c r="AK170" i="10"/>
  <c r="AN169" i="10"/>
  <c r="AM169" i="10"/>
  <c r="AL169" i="10"/>
  <c r="AK169" i="10"/>
  <c r="AN168" i="10"/>
  <c r="AM168" i="10"/>
  <c r="AL168" i="10"/>
  <c r="AK168" i="10"/>
  <c r="AN167" i="10"/>
  <c r="AM167" i="10"/>
  <c r="AL167" i="10"/>
  <c r="AK167" i="10"/>
  <c r="AN166" i="10"/>
  <c r="AM166" i="10"/>
  <c r="AL166" i="10"/>
  <c r="AK166" i="10"/>
  <c r="AN165" i="10"/>
  <c r="AM165" i="10"/>
  <c r="AL165" i="10"/>
  <c r="AK165" i="10"/>
  <c r="AN164" i="10"/>
  <c r="AM164" i="10"/>
  <c r="AL164" i="10"/>
  <c r="AK164" i="10"/>
  <c r="AN163" i="10"/>
  <c r="AM163" i="10"/>
  <c r="AL163" i="10"/>
  <c r="AK163" i="10"/>
  <c r="AN162" i="10"/>
  <c r="AM162" i="10"/>
  <c r="AL162" i="10"/>
  <c r="AK162" i="10"/>
  <c r="AN161" i="10"/>
  <c r="AM161" i="10"/>
  <c r="AL161" i="10"/>
  <c r="AK161" i="10"/>
  <c r="AN160" i="10"/>
  <c r="AM160" i="10"/>
  <c r="AL160" i="10"/>
  <c r="AK160" i="10"/>
  <c r="AN159" i="10"/>
  <c r="AM159" i="10"/>
  <c r="AL159" i="10"/>
  <c r="AK159" i="10"/>
  <c r="AN158" i="10"/>
  <c r="AM158" i="10"/>
  <c r="AL158" i="10"/>
  <c r="AK158" i="10"/>
  <c r="AN157" i="10"/>
  <c r="AM157" i="10"/>
  <c r="AL157" i="10"/>
  <c r="AK157" i="10"/>
  <c r="AN156" i="10"/>
  <c r="AM156" i="10"/>
  <c r="AL156" i="10"/>
  <c r="AK156" i="10"/>
  <c r="AN155" i="10"/>
  <c r="AM155" i="10"/>
  <c r="AL155" i="10"/>
  <c r="AK155" i="10"/>
  <c r="AN154" i="10"/>
  <c r="AM154" i="10"/>
  <c r="AL154" i="10"/>
  <c r="AK154" i="10"/>
  <c r="AN153" i="10"/>
  <c r="AM153" i="10"/>
  <c r="AL153" i="10"/>
  <c r="AK153" i="10"/>
  <c r="AN152" i="10"/>
  <c r="AM152" i="10"/>
  <c r="AL152" i="10"/>
  <c r="AK152" i="10"/>
  <c r="AN151" i="10"/>
  <c r="AM151" i="10"/>
  <c r="AL151" i="10"/>
  <c r="AK151" i="10"/>
  <c r="AN150" i="10"/>
  <c r="AM150" i="10"/>
  <c r="AL150" i="10"/>
  <c r="AK150" i="10"/>
  <c r="AN149" i="10"/>
  <c r="AM149" i="10"/>
  <c r="AL149" i="10"/>
  <c r="AK149" i="10"/>
  <c r="AN148" i="10"/>
  <c r="AM148" i="10"/>
  <c r="AL148" i="10"/>
  <c r="AK148" i="10"/>
  <c r="AN147" i="10"/>
  <c r="AM147" i="10"/>
  <c r="AL147" i="10"/>
  <c r="AK147" i="10"/>
  <c r="AN146" i="10"/>
  <c r="AM146" i="10"/>
  <c r="AL146" i="10"/>
  <c r="AK146" i="10"/>
  <c r="AN145" i="10"/>
  <c r="AM145" i="10"/>
  <c r="AL145" i="10"/>
  <c r="AK145" i="10"/>
  <c r="AN144" i="10"/>
  <c r="AM144" i="10"/>
  <c r="AL144" i="10"/>
  <c r="AK144" i="10"/>
  <c r="AN143" i="10"/>
  <c r="AM143" i="10"/>
  <c r="AL143" i="10"/>
  <c r="AK143" i="10"/>
  <c r="AN142" i="10"/>
  <c r="AM142" i="10"/>
  <c r="AL142" i="10"/>
  <c r="AK142" i="10"/>
  <c r="AN141" i="10"/>
  <c r="AM141" i="10"/>
  <c r="AL141" i="10"/>
  <c r="AK141" i="10"/>
  <c r="AN140" i="10"/>
  <c r="AM140" i="10"/>
  <c r="AL140" i="10"/>
  <c r="AK140" i="10"/>
  <c r="AN139" i="10"/>
  <c r="AM139" i="10"/>
  <c r="AL139" i="10"/>
  <c r="AK139" i="10"/>
  <c r="AN138" i="10"/>
  <c r="AM138" i="10"/>
  <c r="AL138" i="10"/>
  <c r="AK138" i="10"/>
  <c r="AN137" i="10"/>
  <c r="AM137" i="10"/>
  <c r="AL137" i="10"/>
  <c r="AK137" i="10"/>
  <c r="AN136" i="10"/>
  <c r="AM136" i="10"/>
  <c r="AL136" i="10"/>
  <c r="AK136" i="10"/>
  <c r="AN135" i="10"/>
  <c r="AM135" i="10"/>
  <c r="AL135" i="10"/>
  <c r="AK135" i="10"/>
  <c r="AN134" i="10"/>
  <c r="AM134" i="10"/>
  <c r="AL134" i="10"/>
  <c r="AK134" i="10"/>
  <c r="AN133" i="10"/>
  <c r="AM133" i="10"/>
  <c r="AL133" i="10"/>
  <c r="AK133" i="10"/>
  <c r="AN132" i="10"/>
  <c r="AM132" i="10"/>
  <c r="AL132" i="10"/>
  <c r="AK132" i="10"/>
  <c r="AN131" i="10"/>
  <c r="AM131" i="10"/>
  <c r="AL131" i="10"/>
  <c r="AK131" i="10"/>
  <c r="AN130" i="10"/>
  <c r="AM130" i="10"/>
  <c r="AL130" i="10"/>
  <c r="AK130" i="10"/>
  <c r="AN129" i="10"/>
  <c r="AM129" i="10"/>
  <c r="AL129" i="10"/>
  <c r="AK129" i="10"/>
  <c r="AN128" i="10"/>
  <c r="AM128" i="10"/>
  <c r="AL128" i="10"/>
  <c r="AK128" i="10"/>
  <c r="AN127" i="10"/>
  <c r="AM127" i="10"/>
  <c r="AL127" i="10"/>
  <c r="AK127" i="10"/>
  <c r="AN126" i="10"/>
  <c r="AM126" i="10"/>
  <c r="AL126" i="10"/>
  <c r="AK126" i="10"/>
  <c r="AN125" i="10"/>
  <c r="AM125" i="10"/>
  <c r="AL125" i="10"/>
  <c r="AK125" i="10"/>
  <c r="AN124" i="10"/>
  <c r="AM124" i="10"/>
  <c r="AL124" i="10"/>
  <c r="AK124" i="10"/>
  <c r="AN123" i="10"/>
  <c r="AM123" i="10"/>
  <c r="AL123" i="10"/>
  <c r="AK123" i="10"/>
  <c r="AN122" i="10"/>
  <c r="AM122" i="10"/>
  <c r="AL122" i="10"/>
  <c r="AK122" i="10"/>
  <c r="AN121" i="10"/>
  <c r="AM121" i="10"/>
  <c r="AL121" i="10"/>
  <c r="AK121" i="10"/>
  <c r="AN120" i="10"/>
  <c r="AM120" i="10"/>
  <c r="AL120" i="10"/>
  <c r="AK120" i="10"/>
  <c r="AN119" i="10"/>
  <c r="AM119" i="10"/>
  <c r="AL119" i="10"/>
  <c r="AK119" i="10"/>
  <c r="AN118" i="10"/>
  <c r="AM118" i="10"/>
  <c r="AL118" i="10"/>
  <c r="AK118" i="10"/>
  <c r="AN117" i="10"/>
  <c r="AM117" i="10"/>
  <c r="AL117" i="10"/>
  <c r="AK117" i="10"/>
  <c r="AN116" i="10"/>
  <c r="AM116" i="10"/>
  <c r="AL116" i="10"/>
  <c r="AK116" i="10"/>
  <c r="AN115" i="10"/>
  <c r="AM115" i="10"/>
  <c r="AL115" i="10"/>
  <c r="AK115" i="10"/>
  <c r="AN114" i="10"/>
  <c r="AM114" i="10"/>
  <c r="AL114" i="10"/>
  <c r="AK114" i="10"/>
  <c r="AN113" i="10"/>
  <c r="AM113" i="10"/>
  <c r="AL113" i="10"/>
  <c r="AK113" i="10"/>
  <c r="AN112" i="10"/>
  <c r="AM112" i="10"/>
  <c r="AL112" i="10"/>
  <c r="AK112" i="10"/>
  <c r="AN111" i="10"/>
  <c r="AM111" i="10"/>
  <c r="AL111" i="10"/>
  <c r="AK111" i="10"/>
  <c r="AN110" i="10"/>
  <c r="AM110" i="10"/>
  <c r="AL110" i="10"/>
  <c r="AK110" i="10"/>
  <c r="AN109" i="10"/>
  <c r="AM109" i="10"/>
  <c r="AL109" i="10"/>
  <c r="AK109" i="10"/>
  <c r="AN108" i="10"/>
  <c r="AM108" i="10"/>
  <c r="AL108" i="10"/>
  <c r="AK108" i="10"/>
  <c r="AN107" i="10"/>
  <c r="AM107" i="10"/>
  <c r="AL107" i="10"/>
  <c r="AK107" i="10"/>
  <c r="AN106" i="10"/>
  <c r="AM106" i="10"/>
  <c r="AL106" i="10"/>
  <c r="AK106" i="10"/>
  <c r="AN105" i="10"/>
  <c r="AM105" i="10"/>
  <c r="AL105" i="10"/>
  <c r="AK105" i="10"/>
  <c r="AN104" i="10"/>
  <c r="AM104" i="10"/>
  <c r="AL104" i="10"/>
  <c r="AK104" i="10"/>
  <c r="AN103" i="10"/>
  <c r="AM103" i="10"/>
  <c r="AL103" i="10"/>
  <c r="AK103" i="10"/>
  <c r="AN102" i="10"/>
  <c r="AM102" i="10"/>
  <c r="AL102" i="10"/>
  <c r="AK102" i="10"/>
  <c r="AN101" i="10"/>
  <c r="AM101" i="10"/>
  <c r="AL101" i="10"/>
  <c r="AK101" i="10"/>
  <c r="AN100" i="10"/>
  <c r="AM100" i="10"/>
  <c r="AL100" i="10"/>
  <c r="AK100" i="10"/>
  <c r="AN99" i="10"/>
  <c r="AM99" i="10"/>
  <c r="AL99" i="10"/>
  <c r="AK99" i="10"/>
  <c r="AN98" i="10"/>
  <c r="AM98" i="10"/>
  <c r="AL98" i="10"/>
  <c r="AK98" i="10"/>
  <c r="AN97" i="10"/>
  <c r="AM97" i="10"/>
  <c r="AL97" i="10"/>
  <c r="AK97" i="10"/>
  <c r="AN96" i="10"/>
  <c r="AM96" i="10"/>
  <c r="AL96" i="10"/>
  <c r="AK96" i="10"/>
  <c r="AN95" i="10"/>
  <c r="AM95" i="10"/>
  <c r="AL95" i="10"/>
  <c r="AK95" i="10"/>
  <c r="AN94" i="10"/>
  <c r="AM94" i="10"/>
  <c r="AL94" i="10"/>
  <c r="AK94" i="10"/>
  <c r="AN93" i="10"/>
  <c r="AM93" i="10"/>
  <c r="AL93" i="10"/>
  <c r="AK93" i="10"/>
  <c r="AN92" i="10"/>
  <c r="AM92" i="10"/>
  <c r="AL92" i="10"/>
  <c r="AK92" i="10"/>
  <c r="AN91" i="10"/>
  <c r="AM91" i="10"/>
  <c r="AL91" i="10"/>
  <c r="AK91" i="10"/>
  <c r="AN90" i="10"/>
  <c r="AM90" i="10"/>
  <c r="AL90" i="10"/>
  <c r="AK90" i="10"/>
  <c r="AN89" i="10"/>
  <c r="AM89" i="10"/>
  <c r="AL89" i="10"/>
  <c r="AK89" i="10"/>
  <c r="AN88" i="10"/>
  <c r="AM88" i="10"/>
  <c r="AL88" i="10"/>
  <c r="AK88" i="10"/>
  <c r="AN87" i="10"/>
  <c r="AM87" i="10"/>
  <c r="AL87" i="10"/>
  <c r="AK87" i="10"/>
  <c r="AN86" i="10"/>
  <c r="AM86" i="10"/>
  <c r="AL86" i="10"/>
  <c r="AK86" i="10"/>
  <c r="AN85" i="10"/>
  <c r="AM85" i="10"/>
  <c r="AL85" i="10"/>
  <c r="AK85" i="10"/>
  <c r="AN84" i="10"/>
  <c r="AM84" i="10"/>
  <c r="AL84" i="10"/>
  <c r="AK84" i="10"/>
  <c r="AN83" i="10"/>
  <c r="AM83" i="10"/>
  <c r="AL83" i="10"/>
  <c r="AK83" i="10"/>
  <c r="AN82" i="10"/>
  <c r="AM82" i="10"/>
  <c r="AL82" i="10"/>
  <c r="AK82" i="10"/>
  <c r="AN81" i="10"/>
  <c r="AM81" i="10"/>
  <c r="AL81" i="10"/>
  <c r="AK81" i="10"/>
  <c r="AN80" i="10"/>
  <c r="AM80" i="10"/>
  <c r="AL80" i="10"/>
  <c r="AK80" i="10"/>
  <c r="AN79" i="10"/>
  <c r="AM79" i="10"/>
  <c r="AL79" i="10"/>
  <c r="AK79" i="10"/>
  <c r="AN78" i="10"/>
  <c r="AM78" i="10"/>
  <c r="AL78" i="10"/>
  <c r="AK78" i="10"/>
  <c r="AN77" i="10"/>
  <c r="AM77" i="10"/>
  <c r="AL77" i="10"/>
  <c r="AK77" i="10"/>
  <c r="AN76" i="10"/>
  <c r="AM76" i="10"/>
  <c r="AL76" i="10"/>
  <c r="AK76" i="10"/>
  <c r="AN75" i="10"/>
  <c r="AM75" i="10"/>
  <c r="AL75" i="10"/>
  <c r="AK75" i="10"/>
  <c r="AN74" i="10"/>
  <c r="AM74" i="10"/>
  <c r="AL74" i="10"/>
  <c r="AK74" i="10"/>
  <c r="AN73" i="10"/>
  <c r="AM73" i="10"/>
  <c r="AL73" i="10"/>
  <c r="AK73" i="10"/>
  <c r="AN72" i="10"/>
  <c r="AM72" i="10"/>
  <c r="AL72" i="10"/>
  <c r="AK72" i="10"/>
  <c r="AN71" i="10"/>
  <c r="AM71" i="10"/>
  <c r="AL71" i="10"/>
  <c r="AK71" i="10"/>
  <c r="AN70" i="10"/>
  <c r="AM70" i="10"/>
  <c r="AL70" i="10"/>
  <c r="AK70" i="10"/>
  <c r="AN69" i="10"/>
  <c r="AM69" i="10"/>
  <c r="AL69" i="10"/>
  <c r="AK69" i="10"/>
  <c r="AN68" i="10"/>
  <c r="AM68" i="10"/>
  <c r="AL68" i="10"/>
  <c r="AK68" i="10"/>
  <c r="AN67" i="10"/>
  <c r="AM67" i="10"/>
  <c r="AL67" i="10"/>
  <c r="AK67" i="10"/>
  <c r="AN66" i="10"/>
  <c r="AM66" i="10"/>
  <c r="AL66" i="10"/>
  <c r="AK66" i="10"/>
  <c r="AN65" i="10"/>
  <c r="AM65" i="10"/>
  <c r="AL65" i="10"/>
  <c r="AK65" i="10"/>
  <c r="AN64" i="10"/>
  <c r="AM64" i="10"/>
  <c r="AL64" i="10"/>
  <c r="AK64" i="10"/>
  <c r="AN63" i="10"/>
  <c r="AM63" i="10"/>
  <c r="AL63" i="10"/>
  <c r="AK63" i="10"/>
  <c r="AN62" i="10"/>
  <c r="AM62" i="10"/>
  <c r="AL62" i="10"/>
  <c r="AK62" i="10"/>
  <c r="AN61" i="10"/>
  <c r="AM61" i="10"/>
  <c r="AL61" i="10"/>
  <c r="AK61" i="10"/>
  <c r="AN60" i="10"/>
  <c r="AM60" i="10"/>
  <c r="AL60" i="10"/>
  <c r="AK60" i="10"/>
  <c r="AN59" i="10"/>
  <c r="AM59" i="10"/>
  <c r="AL59" i="10"/>
  <c r="AK59" i="10"/>
  <c r="AN58" i="10"/>
  <c r="AM58" i="10"/>
  <c r="AL58" i="10"/>
  <c r="AK58" i="10"/>
  <c r="AN57" i="10"/>
  <c r="AM57" i="10"/>
  <c r="AL57" i="10"/>
  <c r="AK57" i="10"/>
  <c r="AN56" i="10"/>
  <c r="AM56" i="10"/>
  <c r="AL56" i="10"/>
  <c r="AK56" i="10"/>
  <c r="AN55" i="10"/>
  <c r="AM55" i="10"/>
  <c r="AL55" i="10"/>
  <c r="AK55" i="10"/>
  <c r="AN54" i="10"/>
  <c r="AM54" i="10"/>
  <c r="AL54" i="10"/>
  <c r="AK54" i="10"/>
  <c r="AN53" i="10"/>
  <c r="AM53" i="10"/>
  <c r="AL53" i="10"/>
  <c r="AK53" i="10"/>
  <c r="AN52" i="10"/>
  <c r="AM52" i="10"/>
  <c r="AL52" i="10"/>
  <c r="AK52" i="10"/>
  <c r="AN51" i="10"/>
  <c r="AM51" i="10"/>
  <c r="AL51" i="10"/>
  <c r="AK51" i="10"/>
  <c r="AN50" i="10"/>
  <c r="AM50" i="10"/>
  <c r="AL50" i="10"/>
  <c r="AK50" i="10"/>
  <c r="AN49" i="10"/>
  <c r="AM49" i="10"/>
  <c r="AL49" i="10"/>
  <c r="AK49" i="10"/>
  <c r="AN48" i="10"/>
  <c r="AM48" i="10"/>
  <c r="AL48" i="10"/>
  <c r="AK48" i="10"/>
  <c r="AN47" i="10"/>
  <c r="AM47" i="10"/>
  <c r="AL47" i="10"/>
  <c r="AK47" i="10"/>
  <c r="AN46" i="10"/>
  <c r="AM46" i="10"/>
  <c r="AL46" i="10"/>
  <c r="AK46" i="10"/>
  <c r="AN45" i="10"/>
  <c r="AM45" i="10"/>
  <c r="AL45" i="10"/>
  <c r="AK45" i="10"/>
  <c r="AN44" i="10"/>
  <c r="AM44" i="10"/>
  <c r="AL44" i="10"/>
  <c r="AK44" i="10"/>
  <c r="AN43" i="10"/>
  <c r="AM43" i="10"/>
  <c r="AL43" i="10"/>
  <c r="AK43" i="10"/>
  <c r="AN42" i="10"/>
  <c r="AM42" i="10"/>
  <c r="AL42" i="10"/>
  <c r="AK42" i="10"/>
  <c r="AN41" i="10"/>
  <c r="AM41" i="10"/>
  <c r="AL41" i="10"/>
  <c r="AK41" i="10"/>
  <c r="AN40" i="10"/>
  <c r="AM40" i="10"/>
  <c r="AL40" i="10"/>
  <c r="AK40" i="10"/>
  <c r="AN39" i="10"/>
  <c r="AM39" i="10"/>
  <c r="AL39" i="10"/>
  <c r="AK39" i="10"/>
  <c r="AN38" i="10"/>
  <c r="AM38" i="10"/>
  <c r="AL38" i="10"/>
  <c r="AK38" i="10"/>
  <c r="AN37" i="10"/>
  <c r="AM37" i="10"/>
  <c r="AL37" i="10"/>
  <c r="AK37" i="10"/>
  <c r="AN36" i="10"/>
  <c r="AM36" i="10"/>
  <c r="AL36" i="10"/>
  <c r="AK36" i="10"/>
  <c r="AN35" i="10"/>
  <c r="AM35" i="10"/>
  <c r="AL35" i="10"/>
  <c r="AK35" i="10"/>
  <c r="AN34" i="10"/>
  <c r="AM34" i="10"/>
  <c r="AL34" i="10"/>
  <c r="AK34" i="10"/>
  <c r="AN33" i="10"/>
  <c r="AM33" i="10"/>
  <c r="AL33" i="10"/>
  <c r="AK33" i="10"/>
  <c r="AN32" i="10"/>
  <c r="AM32" i="10"/>
  <c r="AL32" i="10"/>
  <c r="AK32" i="10"/>
  <c r="AN31" i="10"/>
  <c r="AM31" i="10"/>
  <c r="AL31" i="10"/>
  <c r="AK31" i="10"/>
  <c r="AN30" i="10"/>
  <c r="AM30" i="10"/>
  <c r="AL30" i="10"/>
  <c r="AK30" i="10"/>
  <c r="AN29" i="10"/>
  <c r="AM29" i="10"/>
  <c r="AL29" i="10"/>
  <c r="AK29" i="10"/>
  <c r="AN28" i="10"/>
  <c r="AM28" i="10"/>
  <c r="AL28" i="10"/>
  <c r="AK28" i="10"/>
  <c r="AN27" i="10"/>
  <c r="AM27" i="10"/>
  <c r="AL27" i="10"/>
  <c r="AK27" i="10"/>
  <c r="AN26" i="10"/>
  <c r="AM26" i="10"/>
  <c r="AL26" i="10"/>
  <c r="AK26" i="10"/>
  <c r="AN25" i="10"/>
  <c r="AM25" i="10"/>
  <c r="AL25" i="10"/>
  <c r="AK25" i="10"/>
  <c r="AN24" i="10"/>
  <c r="AM24" i="10"/>
  <c r="AL24" i="10"/>
  <c r="AK24" i="10"/>
  <c r="AN23" i="10"/>
  <c r="AM23" i="10"/>
  <c r="AL23" i="10"/>
  <c r="AK23" i="10"/>
  <c r="AN22" i="10"/>
  <c r="AM22" i="10"/>
  <c r="AL22" i="10"/>
  <c r="AK22" i="10"/>
  <c r="AN21" i="10"/>
  <c r="AM21" i="10"/>
  <c r="AL21" i="10"/>
  <c r="AK21" i="10"/>
  <c r="AN20" i="10"/>
  <c r="AM20" i="10"/>
  <c r="AL20" i="10"/>
  <c r="AK20" i="10"/>
  <c r="AN19" i="10"/>
  <c r="AM19" i="10"/>
  <c r="AL19" i="10"/>
  <c r="AK19" i="10"/>
  <c r="AN18" i="10"/>
  <c r="AM18" i="10"/>
  <c r="AL18" i="10"/>
  <c r="AK18" i="10"/>
  <c r="AN17" i="10"/>
  <c r="AM17" i="10"/>
  <c r="AL17" i="10"/>
  <c r="AK17" i="10"/>
  <c r="AN16" i="10"/>
  <c r="AM16" i="10"/>
  <c r="AL16" i="10"/>
  <c r="AK16" i="10"/>
  <c r="AN15" i="10"/>
  <c r="AM15" i="10"/>
  <c r="AL15" i="10"/>
  <c r="AK15" i="10"/>
  <c r="AN14" i="10"/>
  <c r="AM14" i="10"/>
  <c r="AL14" i="10"/>
  <c r="AK14" i="10"/>
  <c r="AN13" i="10"/>
  <c r="AM13" i="10"/>
  <c r="AL13" i="10"/>
  <c r="AK13" i="10"/>
  <c r="AN12" i="10"/>
  <c r="AM12" i="10"/>
  <c r="AL12" i="10"/>
  <c r="AK12" i="10"/>
  <c r="AN11" i="10"/>
  <c r="AM11" i="10"/>
  <c r="AL11" i="10"/>
  <c r="AK11" i="10"/>
  <c r="AN10" i="10"/>
  <c r="AM10" i="10"/>
  <c r="AL10" i="10"/>
  <c r="AK10" i="10"/>
  <c r="AN9" i="10"/>
  <c r="AM9" i="10"/>
  <c r="AL9" i="10"/>
  <c r="AK9" i="10"/>
  <c r="AN8" i="10"/>
  <c r="AM8" i="10"/>
  <c r="AL8" i="10"/>
  <c r="AK8" i="10"/>
  <c r="AN7" i="10"/>
  <c r="AM7" i="10"/>
  <c r="AL7" i="10"/>
  <c r="AK7" i="10"/>
  <c r="AN6" i="10"/>
  <c r="AM6" i="10"/>
  <c r="AL6" i="10"/>
  <c r="AK6" i="10"/>
  <c r="AN5" i="10"/>
  <c r="AM5" i="10"/>
  <c r="AL5" i="10"/>
  <c r="AK5" i="10"/>
  <c r="AN4" i="10"/>
  <c r="AM4" i="10"/>
  <c r="AL4" i="10"/>
  <c r="AK4" i="10"/>
  <c r="AN3" i="10"/>
  <c r="AM3" i="10"/>
  <c r="AL3" i="10"/>
  <c r="AK3" i="10"/>
  <c r="AN2" i="10"/>
  <c r="AM2" i="10"/>
  <c r="AL2" i="10"/>
  <c r="AK2" i="10"/>
  <c r="AV351" i="10" l="1"/>
  <c r="AV81" i="10"/>
  <c r="AV80" i="10"/>
  <c r="AV861" i="10"/>
  <c r="AV816" i="10"/>
  <c r="AV1683" i="10"/>
  <c r="AV1667" i="10"/>
  <c r="AW1667" i="10" s="1"/>
  <c r="AV1651" i="10"/>
  <c r="AV1635" i="10"/>
  <c r="AW1635" i="10" s="1"/>
  <c r="AV1619" i="10"/>
  <c r="AV1603" i="10"/>
  <c r="AV1587" i="10"/>
  <c r="AV1571" i="10"/>
  <c r="AW1571" i="10" s="1"/>
  <c r="AV1555" i="10"/>
  <c r="AW1555" i="10" s="1"/>
  <c r="AV1539" i="10"/>
  <c r="AW1539" i="10" s="1"/>
  <c r="AV1523" i="10"/>
  <c r="AW1523" i="10" s="1"/>
  <c r="AV1507" i="10"/>
  <c r="AV1491" i="10"/>
  <c r="AW1491" i="10" s="1"/>
  <c r="AV1475" i="10"/>
  <c r="AV1459" i="10"/>
  <c r="AV1443" i="10"/>
  <c r="AW1443" i="10" s="1"/>
  <c r="AV1427" i="10"/>
  <c r="AV1411" i="10"/>
  <c r="AV1395" i="10"/>
  <c r="AV1379" i="10"/>
  <c r="AW1379" i="10" s="1"/>
  <c r="AV1363" i="10"/>
  <c r="AV1342" i="10"/>
  <c r="AV1320" i="10"/>
  <c r="AW1320" i="10" s="1"/>
  <c r="AV1293" i="10"/>
  <c r="AV1265" i="10"/>
  <c r="AW1265" i="10" s="1"/>
  <c r="AV1242" i="10"/>
  <c r="AW1242" i="10" s="1"/>
  <c r="AV1214" i="10"/>
  <c r="AW1214" i="10" s="1"/>
  <c r="AV1183" i="10"/>
  <c r="AV1151" i="10"/>
  <c r="AW1151" i="10" s="1"/>
  <c r="AV1119" i="10"/>
  <c r="AV1087" i="10"/>
  <c r="AV1055" i="10"/>
  <c r="AW1055" i="10" s="1"/>
  <c r="AV1023" i="10"/>
  <c r="AV991" i="10"/>
  <c r="AV959" i="10"/>
  <c r="AV927" i="10"/>
  <c r="AW927" i="10" s="1"/>
  <c r="AV895" i="10"/>
  <c r="AV860" i="10"/>
  <c r="AV815" i="10"/>
  <c r="AV769" i="10"/>
  <c r="AW769" i="10" s="1"/>
  <c r="AV721" i="10"/>
  <c r="AW721" i="10" s="1"/>
  <c r="AV672" i="10"/>
  <c r="AW672" i="10" s="1"/>
  <c r="AV623" i="10"/>
  <c r="AW623" i="10" s="1"/>
  <c r="AV573" i="10"/>
  <c r="AV512" i="10"/>
  <c r="AW512" i="10" s="1"/>
  <c r="AV431" i="10"/>
  <c r="AV337" i="10"/>
  <c r="AV256" i="10"/>
  <c r="AV175" i="10"/>
  <c r="AV1682" i="10"/>
  <c r="AW1682" i="10" s="1"/>
  <c r="AV1666" i="10"/>
  <c r="AV1650" i="10"/>
  <c r="AW1650" i="10" s="1"/>
  <c r="AV1634" i="10"/>
  <c r="AV1618" i="10"/>
  <c r="AV1602" i="10"/>
  <c r="AV1586" i="10"/>
  <c r="AW1586" i="10" s="1"/>
  <c r="AV1570" i="10"/>
  <c r="AV1554" i="10"/>
  <c r="AW1554" i="10" s="1"/>
  <c r="AV1538" i="10"/>
  <c r="AW1538" i="10" s="1"/>
  <c r="AV1522" i="10"/>
  <c r="AV1506" i="10"/>
  <c r="AV1490" i="10"/>
  <c r="AV1474" i="10"/>
  <c r="AV1458" i="10"/>
  <c r="AW1458" i="10" s="1"/>
  <c r="AV1442" i="10"/>
  <c r="AV1426" i="10"/>
  <c r="AV1410" i="10"/>
  <c r="AW1410" i="10" s="1"/>
  <c r="AV1394" i="10"/>
  <c r="AW1394" i="10" s="1"/>
  <c r="AV1378" i="10"/>
  <c r="AV1362" i="10"/>
  <c r="AV1341" i="10"/>
  <c r="AW1341" i="10" s="1"/>
  <c r="AV1317" i="10"/>
  <c r="AW1317" i="10" s="1"/>
  <c r="AV1292" i="10"/>
  <c r="AW1292" i="10" s="1"/>
  <c r="AV1264" i="10"/>
  <c r="AW1264" i="10" s="1"/>
  <c r="AV1241" i="10"/>
  <c r="AW1241" i="10" s="1"/>
  <c r="AV1213" i="10"/>
  <c r="AV1182" i="10"/>
  <c r="AW1182" i="10" s="1"/>
  <c r="AV1150" i="10"/>
  <c r="AV1118" i="10"/>
  <c r="AV1086" i="10"/>
  <c r="AW1086" i="10" s="1"/>
  <c r="AV1054" i="10"/>
  <c r="AV1022" i="10"/>
  <c r="AV990" i="10"/>
  <c r="AW990" i="10" s="1"/>
  <c r="AV958" i="10"/>
  <c r="AW958" i="10" s="1"/>
  <c r="AV926" i="10"/>
  <c r="AV894" i="10"/>
  <c r="AV858" i="10"/>
  <c r="AW858" i="10" s="1"/>
  <c r="AV813" i="10"/>
  <c r="AW813" i="10" s="1"/>
  <c r="AV768" i="10"/>
  <c r="AV720" i="10"/>
  <c r="AW720" i="10" s="1"/>
  <c r="AV671" i="10"/>
  <c r="AW671" i="10" s="1"/>
  <c r="AV621" i="10"/>
  <c r="AV572" i="10"/>
  <c r="AW572" i="10" s="1"/>
  <c r="AV511" i="10"/>
  <c r="AV417" i="10"/>
  <c r="AV336" i="10"/>
  <c r="AV255" i="10"/>
  <c r="AV161" i="10"/>
  <c r="AV673" i="10"/>
  <c r="AW673" i="10" s="1"/>
  <c r="AV2" i="10"/>
  <c r="AV18" i="10"/>
  <c r="AV34" i="10"/>
  <c r="AV50" i="10"/>
  <c r="AV66" i="10"/>
  <c r="AV82" i="10"/>
  <c r="AV98" i="10"/>
  <c r="AV114" i="10"/>
  <c r="AV130" i="10"/>
  <c r="AV146" i="10"/>
  <c r="AV162" i="10"/>
  <c r="AV178" i="10"/>
  <c r="AV194" i="10"/>
  <c r="AV210" i="10"/>
  <c r="AV226" i="10"/>
  <c r="AV242" i="10"/>
  <c r="AV258" i="10"/>
  <c r="AV274" i="10"/>
  <c r="AV290" i="10"/>
  <c r="AV306" i="10"/>
  <c r="AV322" i="10"/>
  <c r="AV338" i="10"/>
  <c r="AV354" i="10"/>
  <c r="AV370" i="10"/>
  <c r="AV386" i="10"/>
  <c r="AV402" i="10"/>
  <c r="AV418" i="10"/>
  <c r="AV434" i="10"/>
  <c r="AV450" i="10"/>
  <c r="AW450" i="10" s="1"/>
  <c r="AV466" i="10"/>
  <c r="AV482" i="10"/>
  <c r="AW482" i="10" s="1"/>
  <c r="AV498" i="10"/>
  <c r="AV514" i="10"/>
  <c r="AW514" i="10" s="1"/>
  <c r="AV530" i="10"/>
  <c r="AV546" i="10"/>
  <c r="AV562" i="10"/>
  <c r="AV578" i="10"/>
  <c r="AW578" i="10" s="1"/>
  <c r="AV594" i="10"/>
  <c r="AW594" i="10" s="1"/>
  <c r="AV610" i="10"/>
  <c r="AW610" i="10" s="1"/>
  <c r="AV626" i="10"/>
  <c r="AW626" i="10" s="1"/>
  <c r="AV642" i="10"/>
  <c r="AW642" i="10" s="1"/>
  <c r="AV658" i="10"/>
  <c r="AW658" i="10" s="1"/>
  <c r="AV674" i="10"/>
  <c r="AV690" i="10"/>
  <c r="AV706" i="10"/>
  <c r="AV722" i="10"/>
  <c r="AV738" i="10"/>
  <c r="AV754" i="10"/>
  <c r="AW754" i="10" s="1"/>
  <c r="AV770" i="10"/>
  <c r="AW770" i="10" s="1"/>
  <c r="AV786" i="10"/>
  <c r="AW786" i="10" s="1"/>
  <c r="AV802" i="10"/>
  <c r="AV818" i="10"/>
  <c r="AW818" i="10" s="1"/>
  <c r="AV834" i="10"/>
  <c r="AW834" i="10" s="1"/>
  <c r="AV850" i="10"/>
  <c r="AV866" i="10"/>
  <c r="AW866" i="10" s="1"/>
  <c r="AV882" i="10"/>
  <c r="AW882" i="10" s="1"/>
  <c r="AV898" i="10"/>
  <c r="AW898" i="10" s="1"/>
  <c r="AV914" i="10"/>
  <c r="AW914" i="10" s="1"/>
  <c r="AV930" i="10"/>
  <c r="AV946" i="10"/>
  <c r="AV962" i="10"/>
  <c r="AW962" i="10" s="1"/>
  <c r="AV978" i="10"/>
  <c r="AV994" i="10"/>
  <c r="AW994" i="10" s="1"/>
  <c r="AV1010" i="10"/>
  <c r="AW1010" i="10" s="1"/>
  <c r="AV1026" i="10"/>
  <c r="AW1026" i="10" s="1"/>
  <c r="AV1042" i="10"/>
  <c r="AV1058" i="10"/>
  <c r="AV1074" i="10"/>
  <c r="AW1074" i="10" s="1"/>
  <c r="AV1090" i="10"/>
  <c r="AW1090" i="10" s="1"/>
  <c r="AV1106" i="10"/>
  <c r="AW1106" i="10" s="1"/>
  <c r="AV1122" i="10"/>
  <c r="AW1122" i="10" s="1"/>
  <c r="AV1138" i="10"/>
  <c r="AW1138" i="10" s="1"/>
  <c r="AV1154" i="10"/>
  <c r="AW1154" i="10" s="1"/>
  <c r="AV1170" i="10"/>
  <c r="AW1170" i="10" s="1"/>
  <c r="AV1186" i="10"/>
  <c r="AV1202" i="10"/>
  <c r="AV1218" i="10"/>
  <c r="AW1218" i="10" s="1"/>
  <c r="AV1234" i="10"/>
  <c r="AV1250" i="10"/>
  <c r="AV1266" i="10"/>
  <c r="AW1266" i="10" s="1"/>
  <c r="AV1282" i="10"/>
  <c r="AW1282" i="10" s="1"/>
  <c r="AV1298" i="10"/>
  <c r="AV1314" i="10"/>
  <c r="AV1330" i="10"/>
  <c r="AW1330" i="10" s="1"/>
  <c r="AV1346" i="10"/>
  <c r="AW1346" i="10" s="1"/>
  <c r="AV3" i="10"/>
  <c r="AV19" i="10"/>
  <c r="AV35" i="10"/>
  <c r="AV51" i="10"/>
  <c r="AV67" i="10"/>
  <c r="AV83" i="10"/>
  <c r="AV99" i="10"/>
  <c r="AV115" i="10"/>
  <c r="AV131" i="10"/>
  <c r="AV147" i="10"/>
  <c r="AV163" i="10"/>
  <c r="AV179" i="10"/>
  <c r="AV195" i="10"/>
  <c r="AV211" i="10"/>
  <c r="AV227" i="10"/>
  <c r="AV243" i="10"/>
  <c r="AV259" i="10"/>
  <c r="AV275" i="10"/>
  <c r="AV291" i="10"/>
  <c r="AV307" i="10"/>
  <c r="AV323" i="10"/>
  <c r="AV339" i="10"/>
  <c r="AV355" i="10"/>
  <c r="AV371" i="10"/>
  <c r="AV387" i="10"/>
  <c r="AV403" i="10"/>
  <c r="AV419" i="10"/>
  <c r="AV435" i="10"/>
  <c r="AW435" i="10" s="1"/>
  <c r="AV451" i="10"/>
  <c r="AV467" i="10"/>
  <c r="AV483" i="10"/>
  <c r="AW483" i="10" s="1"/>
  <c r="AV499" i="10"/>
  <c r="AW499" i="10" s="1"/>
  <c r="AV515" i="10"/>
  <c r="AW515" i="10" s="1"/>
  <c r="AV531" i="10"/>
  <c r="AW531" i="10" s="1"/>
  <c r="AV547" i="10"/>
  <c r="AW547" i="10" s="1"/>
  <c r="AV563" i="10"/>
  <c r="AW563" i="10" s="1"/>
  <c r="AV579" i="10"/>
  <c r="AW579" i="10" s="1"/>
  <c r="AV595" i="10"/>
  <c r="AV611" i="10"/>
  <c r="AV627" i="10"/>
  <c r="AW627" i="10" s="1"/>
  <c r="AV643" i="10"/>
  <c r="AV659" i="10"/>
  <c r="AW659" i="10" s="1"/>
  <c r="AV675" i="10"/>
  <c r="AW675" i="10" s="1"/>
  <c r="AV691" i="10"/>
  <c r="AW691" i="10" s="1"/>
  <c r="AV707" i="10"/>
  <c r="AV723" i="10"/>
  <c r="AV739" i="10"/>
  <c r="AW739" i="10" s="1"/>
  <c r="AV755" i="10"/>
  <c r="AW755" i="10" s="1"/>
  <c r="AV771" i="10"/>
  <c r="AW771" i="10" s="1"/>
  <c r="AV787" i="10"/>
  <c r="AW787" i="10" s="1"/>
  <c r="AV803" i="10"/>
  <c r="AW803" i="10" s="1"/>
  <c r="AV819" i="10"/>
  <c r="AW819" i="10" s="1"/>
  <c r="AV835" i="10"/>
  <c r="AW835" i="10" s="1"/>
  <c r="AV851" i="10"/>
  <c r="AV867" i="10"/>
  <c r="AV883" i="10"/>
  <c r="AV899" i="10"/>
  <c r="AV915" i="10"/>
  <c r="AV931" i="10"/>
  <c r="AV947" i="10"/>
  <c r="AW947" i="10" s="1"/>
  <c r="AV963" i="10"/>
  <c r="AV979" i="10"/>
  <c r="AV995" i="10"/>
  <c r="AW995" i="10" s="1"/>
  <c r="AV1011" i="10"/>
  <c r="AV1027" i="10"/>
  <c r="AV1043" i="10"/>
  <c r="AW1043" i="10" s="1"/>
  <c r="AV1059" i="10"/>
  <c r="AW1059" i="10" s="1"/>
  <c r="AV1075" i="10"/>
  <c r="AW1075" i="10" s="1"/>
  <c r="AV1091" i="10"/>
  <c r="AW1091" i="10" s="1"/>
  <c r="AV1107" i="10"/>
  <c r="AV1123" i="10"/>
  <c r="AV1139" i="10"/>
  <c r="AV1155" i="10"/>
  <c r="AV1171" i="10"/>
  <c r="AW1171" i="10" s="1"/>
  <c r="AV1187" i="10"/>
  <c r="AV1203" i="10"/>
  <c r="AW1203" i="10" s="1"/>
  <c r="AV1219" i="10"/>
  <c r="AV1235" i="10"/>
  <c r="AV1251" i="10"/>
  <c r="AW1251" i="10" s="1"/>
  <c r="AV1267" i="10"/>
  <c r="AV1283" i="10"/>
  <c r="AW1283" i="10" s="1"/>
  <c r="AV1299" i="10"/>
  <c r="AW1299" i="10" s="1"/>
  <c r="AV1315" i="10"/>
  <c r="AW1315" i="10" s="1"/>
  <c r="AV1331" i="10"/>
  <c r="AW1331" i="10" s="1"/>
  <c r="AV1347" i="10"/>
  <c r="AW1347" i="10" s="1"/>
  <c r="AV4" i="10"/>
  <c r="AV20" i="10"/>
  <c r="AV36" i="10"/>
  <c r="AV52" i="10"/>
  <c r="AV68" i="10"/>
  <c r="AV84" i="10"/>
  <c r="AV100" i="10"/>
  <c r="AV116" i="10"/>
  <c r="AV132" i="10"/>
  <c r="AV148" i="10"/>
  <c r="AV164" i="10"/>
  <c r="AV180" i="10"/>
  <c r="AV196" i="10"/>
  <c r="AV212" i="10"/>
  <c r="AV228" i="10"/>
  <c r="AV244" i="10"/>
  <c r="AV260" i="10"/>
  <c r="AV276" i="10"/>
  <c r="AV292" i="10"/>
  <c r="AV308" i="10"/>
  <c r="AV324" i="10"/>
  <c r="AV340" i="10"/>
  <c r="AV356" i="10"/>
  <c r="AV372" i="10"/>
  <c r="AV388" i="10"/>
  <c r="AV404" i="10"/>
  <c r="AV420" i="10"/>
  <c r="AW420" i="10" s="1"/>
  <c r="AV436" i="10"/>
  <c r="AW436" i="10" s="1"/>
  <c r="AV452" i="10"/>
  <c r="AW452" i="10" s="1"/>
  <c r="AV468" i="10"/>
  <c r="AW468" i="10" s="1"/>
  <c r="AV484" i="10"/>
  <c r="AW484" i="10" s="1"/>
  <c r="AV500" i="10"/>
  <c r="AW500" i="10" s="1"/>
  <c r="AV516" i="10"/>
  <c r="AV532" i="10"/>
  <c r="AV548" i="10"/>
  <c r="AW548" i="10" s="1"/>
  <c r="AV564" i="10"/>
  <c r="AV580" i="10"/>
  <c r="AV596" i="10"/>
  <c r="AW596" i="10" s="1"/>
  <c r="AV612" i="10"/>
  <c r="AW612" i="10" s="1"/>
  <c r="AV628" i="10"/>
  <c r="AV644" i="10"/>
  <c r="AV660" i="10"/>
  <c r="AW660" i="10" s="1"/>
  <c r="AV676" i="10"/>
  <c r="AW676" i="10" s="1"/>
  <c r="AV692" i="10"/>
  <c r="AW692" i="10" s="1"/>
  <c r="AV708" i="10"/>
  <c r="AW708" i="10" s="1"/>
  <c r="AV724" i="10"/>
  <c r="AW724" i="10" s="1"/>
  <c r="AV740" i="10"/>
  <c r="AW740" i="10" s="1"/>
  <c r="AV756" i="10"/>
  <c r="AV772" i="10"/>
  <c r="AW772" i="10" s="1"/>
  <c r="AV788" i="10"/>
  <c r="AV804" i="10"/>
  <c r="AW804" i="10" s="1"/>
  <c r="AV820" i="10"/>
  <c r="AV836" i="10"/>
  <c r="AW836" i="10" s="1"/>
  <c r="AV852" i="10"/>
  <c r="AV868" i="10"/>
  <c r="AW868" i="10" s="1"/>
  <c r="AV884" i="10"/>
  <c r="AV900" i="10"/>
  <c r="AV916" i="10"/>
  <c r="AW916" i="10" s="1"/>
  <c r="AV932" i="10"/>
  <c r="AW932" i="10" s="1"/>
  <c r="AV948" i="10"/>
  <c r="AW948" i="10" s="1"/>
  <c r="AV964" i="10"/>
  <c r="AW964" i="10" s="1"/>
  <c r="AV980" i="10"/>
  <c r="AW980" i="10" s="1"/>
  <c r="AV996" i="10"/>
  <c r="AW996" i="10" s="1"/>
  <c r="AV1012" i="10"/>
  <c r="AW1012" i="10" s="1"/>
  <c r="AV1028" i="10"/>
  <c r="AV1044" i="10"/>
  <c r="AV1060" i="10"/>
  <c r="AW1060" i="10" s="1"/>
  <c r="AV1076" i="10"/>
  <c r="AV1092" i="10"/>
  <c r="AW1092" i="10" s="1"/>
  <c r="AV1108" i="10"/>
  <c r="AW1108" i="10" s="1"/>
  <c r="AV1124" i="10"/>
  <c r="AW1124" i="10" s="1"/>
  <c r="AV1140" i="10"/>
  <c r="AV1156" i="10"/>
  <c r="AV1172" i="10"/>
  <c r="AV1188" i="10"/>
  <c r="AW1188" i="10" s="1"/>
  <c r="AV1204" i="10"/>
  <c r="AW1204" i="10" s="1"/>
  <c r="AV1220" i="10"/>
  <c r="AW1220" i="10" s="1"/>
  <c r="AV1236" i="10"/>
  <c r="AW1236" i="10" s="1"/>
  <c r="AV1252" i="10"/>
  <c r="AW1252" i="10" s="1"/>
  <c r="AV1268" i="10"/>
  <c r="AW1268" i="10" s="1"/>
  <c r="AV1284" i="10"/>
  <c r="AW1284" i="10" s="1"/>
  <c r="AV1300" i="10"/>
  <c r="AV1316" i="10"/>
  <c r="AW1316" i="10" s="1"/>
  <c r="AV5" i="10"/>
  <c r="AV21" i="10"/>
  <c r="AV37" i="10"/>
  <c r="AV53" i="10"/>
  <c r="AV69" i="10"/>
  <c r="AV85" i="10"/>
  <c r="AV101" i="10"/>
  <c r="AV117" i="10"/>
  <c r="AV133" i="10"/>
  <c r="AV149" i="10"/>
  <c r="AV165" i="10"/>
  <c r="AV181" i="10"/>
  <c r="AV197" i="10"/>
  <c r="AV213" i="10"/>
  <c r="AV229" i="10"/>
  <c r="AV245" i="10"/>
  <c r="AV261" i="10"/>
  <c r="AV277" i="10"/>
  <c r="AV293" i="10"/>
  <c r="AV309" i="10"/>
  <c r="AV325" i="10"/>
  <c r="AV341" i="10"/>
  <c r="AV357" i="10"/>
  <c r="AV373" i="10"/>
  <c r="AV389" i="10"/>
  <c r="AV405" i="10"/>
  <c r="AV421" i="10"/>
  <c r="AW421" i="10" s="1"/>
  <c r="AV437" i="10"/>
  <c r="AW437" i="10" s="1"/>
  <c r="AV453" i="10"/>
  <c r="AW453" i="10" s="1"/>
  <c r="AV469" i="10"/>
  <c r="AV485" i="10"/>
  <c r="AV501" i="10"/>
  <c r="AW501" i="10" s="1"/>
  <c r="AV517" i="10"/>
  <c r="AW517" i="10" s="1"/>
  <c r="AV533" i="10"/>
  <c r="AW533" i="10" s="1"/>
  <c r="AV549" i="10"/>
  <c r="AW549" i="10" s="1"/>
  <c r="AV565" i="10"/>
  <c r="AW565" i="10" s="1"/>
  <c r="AV581" i="10"/>
  <c r="AV597" i="10"/>
  <c r="AV613" i="10"/>
  <c r="AV629" i="10"/>
  <c r="AV645" i="10"/>
  <c r="AW645" i="10" s="1"/>
  <c r="AV661" i="10"/>
  <c r="AW661" i="10" s="1"/>
  <c r="AV677" i="10"/>
  <c r="AW677" i="10" s="1"/>
  <c r="AV693" i="10"/>
  <c r="AW693" i="10" s="1"/>
  <c r="AV709" i="10"/>
  <c r="AV725" i="10"/>
  <c r="AW725" i="10" s="1"/>
  <c r="AV741" i="10"/>
  <c r="AV757" i="10"/>
  <c r="AW757" i="10" s="1"/>
  <c r="AV773" i="10"/>
  <c r="AV789" i="10"/>
  <c r="AW789" i="10" s="1"/>
  <c r="AV805" i="10"/>
  <c r="AW805" i="10" s="1"/>
  <c r="AV821" i="10"/>
  <c r="AW821" i="10" s="1"/>
  <c r="AV837" i="10"/>
  <c r="AV853" i="10"/>
  <c r="AV869" i="10"/>
  <c r="AW869" i="10" s="1"/>
  <c r="AV885" i="10"/>
  <c r="AW885" i="10" s="1"/>
  <c r="AV6" i="10"/>
  <c r="AV22" i="10"/>
  <c r="AV38" i="10"/>
  <c r="AV54" i="10"/>
  <c r="AV70" i="10"/>
  <c r="AV86" i="10"/>
  <c r="AV102" i="10"/>
  <c r="AV118" i="10"/>
  <c r="AV134" i="10"/>
  <c r="AV150" i="10"/>
  <c r="AV166" i="10"/>
  <c r="AV182" i="10"/>
  <c r="AV198" i="10"/>
  <c r="AV214" i="10"/>
  <c r="AV230" i="10"/>
  <c r="AV246" i="10"/>
  <c r="AV262" i="10"/>
  <c r="AV278" i="10"/>
  <c r="AV294" i="10"/>
  <c r="AV310" i="10"/>
  <c r="AV326" i="10"/>
  <c r="AV342" i="10"/>
  <c r="AV358" i="10"/>
  <c r="AV374" i="10"/>
  <c r="AV390" i="10"/>
  <c r="AV406" i="10"/>
  <c r="AV422" i="10"/>
  <c r="AW422" i="10" s="1"/>
  <c r="AV438" i="10"/>
  <c r="AW438" i="10" s="1"/>
  <c r="AV454" i="10"/>
  <c r="AV470" i="10"/>
  <c r="AV486" i="10"/>
  <c r="AV502" i="10"/>
  <c r="AW502" i="10" s="1"/>
  <c r="AV518" i="10"/>
  <c r="AW518" i="10" s="1"/>
  <c r="AV534" i="10"/>
  <c r="AW534" i="10" s="1"/>
  <c r="AV550" i="10"/>
  <c r="AW550" i="10" s="1"/>
  <c r="AV566" i="10"/>
  <c r="AW566" i="10" s="1"/>
  <c r="AV582" i="10"/>
  <c r="AW582" i="10" s="1"/>
  <c r="AV598" i="10"/>
  <c r="AV614" i="10"/>
  <c r="AV630" i="10"/>
  <c r="AW630" i="10" s="1"/>
  <c r="AV646" i="10"/>
  <c r="AW646" i="10" s="1"/>
  <c r="AV662" i="10"/>
  <c r="AW662" i="10" s="1"/>
  <c r="AV678" i="10"/>
  <c r="AV694" i="10"/>
  <c r="AW694" i="10" s="1"/>
  <c r="AV710" i="10"/>
  <c r="AV726" i="10"/>
  <c r="AV742" i="10"/>
  <c r="AW742" i="10" s="1"/>
  <c r="AV758" i="10"/>
  <c r="AW758" i="10" s="1"/>
  <c r="AV774" i="10"/>
  <c r="AW774" i="10" s="1"/>
  <c r="AV790" i="10"/>
  <c r="AW790" i="10" s="1"/>
  <c r="AV806" i="10"/>
  <c r="AW806" i="10" s="1"/>
  <c r="AV822" i="10"/>
  <c r="AW822" i="10" s="1"/>
  <c r="AV838" i="10"/>
  <c r="AW838" i="10" s="1"/>
  <c r="AV854" i="10"/>
  <c r="AW854" i="10" s="1"/>
  <c r="AV870" i="10"/>
  <c r="AV886" i="10"/>
  <c r="AW886" i="10" s="1"/>
  <c r="AV902" i="10"/>
  <c r="AV918" i="10"/>
  <c r="AW918" i="10" s="1"/>
  <c r="AV934" i="10"/>
  <c r="AW934" i="10" s="1"/>
  <c r="AV950" i="10"/>
  <c r="AW950" i="10" s="1"/>
  <c r="AV966" i="10"/>
  <c r="AV982" i="10"/>
  <c r="AV998" i="10"/>
  <c r="AW998" i="10" s="1"/>
  <c r="AV1014" i="10"/>
  <c r="AV1030" i="10"/>
  <c r="AW1030" i="10" s="1"/>
  <c r="AV1046" i="10"/>
  <c r="AW1046" i="10" s="1"/>
  <c r="AV1062" i="10"/>
  <c r="AW1062" i="10" s="1"/>
  <c r="AV1078" i="10"/>
  <c r="AW1078" i="10" s="1"/>
  <c r="AV1094" i="10"/>
  <c r="AW1094" i="10" s="1"/>
  <c r="AV1110" i="10"/>
  <c r="AW1110" i="10" s="1"/>
  <c r="AV1126" i="10"/>
  <c r="AV1142" i="10"/>
  <c r="AW1142" i="10" s="1"/>
  <c r="AV1158" i="10"/>
  <c r="AV1174" i="10"/>
  <c r="AV1190" i="10"/>
  <c r="AW1190" i="10" s="1"/>
  <c r="AV1206" i="10"/>
  <c r="AW1206" i="10" s="1"/>
  <c r="AV1222" i="10"/>
  <c r="AV1238" i="10"/>
  <c r="AV1254" i="10"/>
  <c r="AW1254" i="10" s="1"/>
  <c r="AV1270" i="10"/>
  <c r="AW1270" i="10" s="1"/>
  <c r="AV1286" i="10"/>
  <c r="AV1302" i="10"/>
  <c r="AW1302" i="10" s="1"/>
  <c r="AV1318" i="10"/>
  <c r="AW1318" i="10" s="1"/>
  <c r="AV1334" i="10"/>
  <c r="AW1334" i="10" s="1"/>
  <c r="AV1350" i="10"/>
  <c r="AW1350" i="10" s="1"/>
  <c r="AV7" i="10"/>
  <c r="AV23" i="10"/>
  <c r="AV39" i="10"/>
  <c r="AV55" i="10"/>
  <c r="AV71" i="10"/>
  <c r="AV87" i="10"/>
  <c r="AV103" i="10"/>
  <c r="AV119" i="10"/>
  <c r="AV135" i="10"/>
  <c r="AV151" i="10"/>
  <c r="AV167" i="10"/>
  <c r="AV183" i="10"/>
  <c r="AV199" i="10"/>
  <c r="AV215" i="10"/>
  <c r="AV231" i="10"/>
  <c r="AV247" i="10"/>
  <c r="AV263" i="10"/>
  <c r="AV279" i="10"/>
  <c r="AV295" i="10"/>
  <c r="AV311" i="10"/>
  <c r="AV327" i="10"/>
  <c r="AV343" i="10"/>
  <c r="AV359" i="10"/>
  <c r="AV375" i="10"/>
  <c r="AV391" i="10"/>
  <c r="AV407" i="10"/>
  <c r="AV423" i="10"/>
  <c r="AW423" i="10" s="1"/>
  <c r="AV439" i="10"/>
  <c r="AV455" i="10"/>
  <c r="AW455" i="10" s="1"/>
  <c r="AV471" i="10"/>
  <c r="AW471" i="10" s="1"/>
  <c r="AV487" i="10"/>
  <c r="AW487" i="10" s="1"/>
  <c r="AV503" i="10"/>
  <c r="AW503" i="10" s="1"/>
  <c r="AV519" i="10"/>
  <c r="AW519" i="10" s="1"/>
  <c r="AV535" i="10"/>
  <c r="AV551" i="10"/>
  <c r="AW551" i="10" s="1"/>
  <c r="AV567" i="10"/>
  <c r="AW567" i="10" s="1"/>
  <c r="AV583" i="10"/>
  <c r="AW583" i="10" s="1"/>
  <c r="AV599" i="10"/>
  <c r="AV615" i="10"/>
  <c r="AW615" i="10" s="1"/>
  <c r="AV631" i="10"/>
  <c r="AV647" i="10"/>
  <c r="AV663" i="10"/>
  <c r="AW663" i="10" s="1"/>
  <c r="AV679" i="10"/>
  <c r="AW679" i="10" s="1"/>
  <c r="AV695" i="10"/>
  <c r="AW695" i="10" s="1"/>
  <c r="AV711" i="10"/>
  <c r="AW711" i="10" s="1"/>
  <c r="AV727" i="10"/>
  <c r="AW727" i="10" s="1"/>
  <c r="AV743" i="10"/>
  <c r="AW743" i="10" s="1"/>
  <c r="AV759" i="10"/>
  <c r="AW759" i="10" s="1"/>
  <c r="AV775" i="10"/>
  <c r="AW775" i="10" s="1"/>
  <c r="AV791" i="10"/>
  <c r="AV807" i="10"/>
  <c r="AW807" i="10" s="1"/>
  <c r="AV823" i="10"/>
  <c r="AV839" i="10"/>
  <c r="AV855" i="10"/>
  <c r="AV871" i="10"/>
  <c r="AW871" i="10" s="1"/>
  <c r="AV887" i="10"/>
  <c r="AW887" i="10" s="1"/>
  <c r="AV903" i="10"/>
  <c r="AV919" i="10"/>
  <c r="AV935" i="10"/>
  <c r="AW935" i="10" s="1"/>
  <c r="AV951" i="10"/>
  <c r="AW951" i="10" s="1"/>
  <c r="AV967" i="10"/>
  <c r="AW967" i="10" s="1"/>
  <c r="AV983" i="10"/>
  <c r="AW983" i="10" s="1"/>
  <c r="AV999" i="10"/>
  <c r="AW999" i="10" s="1"/>
  <c r="AV1015" i="10"/>
  <c r="AW1015" i="10" s="1"/>
  <c r="AV1031" i="10"/>
  <c r="AW1031" i="10" s="1"/>
  <c r="AV1047" i="10"/>
  <c r="AV1063" i="10"/>
  <c r="AW1063" i="10" s="1"/>
  <c r="AV1079" i="10"/>
  <c r="AW1079" i="10" s="1"/>
  <c r="AV1095" i="10"/>
  <c r="AW1095" i="10" s="1"/>
  <c r="AV1111" i="10"/>
  <c r="AW1111" i="10" s="1"/>
  <c r="AV1127" i="10"/>
  <c r="AW1127" i="10" s="1"/>
  <c r="AV1143" i="10"/>
  <c r="AV1159" i="10"/>
  <c r="AV1175" i="10"/>
  <c r="AW1175" i="10" s="1"/>
  <c r="AV1191" i="10"/>
  <c r="AW1191" i="10" s="1"/>
  <c r="AV1207" i="10"/>
  <c r="AW1207" i="10" s="1"/>
  <c r="AV1223" i="10"/>
  <c r="AW1223" i="10" s="1"/>
  <c r="AV1239" i="10"/>
  <c r="AW1239" i="10" s="1"/>
  <c r="AV1255" i="10"/>
  <c r="AW1255" i="10" s="1"/>
  <c r="AV1271" i="10"/>
  <c r="AW1271" i="10" s="1"/>
  <c r="AV1287" i="10"/>
  <c r="AW1287" i="10" s="1"/>
  <c r="AV1303" i="10"/>
  <c r="AV1319" i="10"/>
  <c r="AW1319" i="10" s="1"/>
  <c r="AV1335" i="10"/>
  <c r="AW1335" i="10" s="1"/>
  <c r="AV1351" i="10"/>
  <c r="AW1351" i="10" s="1"/>
  <c r="AV8" i="10"/>
  <c r="AV24" i="10"/>
  <c r="AV40" i="10"/>
  <c r="AV56" i="10"/>
  <c r="AV72" i="10"/>
  <c r="AV88" i="10"/>
  <c r="AV104" i="10"/>
  <c r="AV120" i="10"/>
  <c r="AV136" i="10"/>
  <c r="AV152" i="10"/>
  <c r="AV168" i="10"/>
  <c r="AV184" i="10"/>
  <c r="AV200" i="10"/>
  <c r="AV216" i="10"/>
  <c r="AV232" i="10"/>
  <c r="AV248" i="10"/>
  <c r="AV264" i="10"/>
  <c r="AV280" i="10"/>
  <c r="AV296" i="10"/>
  <c r="AV312" i="10"/>
  <c r="AV328" i="10"/>
  <c r="AV344" i="10"/>
  <c r="AV360" i="10"/>
  <c r="AV376" i="10"/>
  <c r="AV392" i="10"/>
  <c r="AV408" i="10"/>
  <c r="AV424" i="10"/>
  <c r="AW424" i="10" s="1"/>
  <c r="AV440" i="10"/>
  <c r="AW440" i="10" s="1"/>
  <c r="AV456" i="10"/>
  <c r="AV472" i="10"/>
  <c r="AW472" i="10" s="1"/>
  <c r="AV488" i="10"/>
  <c r="AV504" i="10"/>
  <c r="AW504" i="10" s="1"/>
  <c r="AV520" i="10"/>
  <c r="AW520" i="10" s="1"/>
  <c r="AV536" i="10"/>
  <c r="AW536" i="10" s="1"/>
  <c r="AV552" i="10"/>
  <c r="AW552" i="10" s="1"/>
  <c r="AV568" i="10"/>
  <c r="AV584" i="10"/>
  <c r="AW584" i="10" s="1"/>
  <c r="AV600" i="10"/>
  <c r="AV616" i="10"/>
  <c r="AW616" i="10" s="1"/>
  <c r="AV632" i="10"/>
  <c r="AW632" i="10" s="1"/>
  <c r="AV648" i="10"/>
  <c r="AW648" i="10" s="1"/>
  <c r="AV664" i="10"/>
  <c r="AW664" i="10" s="1"/>
  <c r="AV680" i="10"/>
  <c r="AW680" i="10" s="1"/>
  <c r="AV696" i="10"/>
  <c r="AW696" i="10" s="1"/>
  <c r="AV712" i="10"/>
  <c r="AV728" i="10"/>
  <c r="AW728" i="10" s="1"/>
  <c r="AV744" i="10"/>
  <c r="AW744" i="10" s="1"/>
  <c r="AV760" i="10"/>
  <c r="AW760" i="10" s="1"/>
  <c r="AV776" i="10"/>
  <c r="AW776" i="10" s="1"/>
  <c r="AV792" i="10"/>
  <c r="AW792" i="10" s="1"/>
  <c r="AV808" i="10"/>
  <c r="AV824" i="10"/>
  <c r="AV840" i="10"/>
  <c r="AW840" i="10" s="1"/>
  <c r="AV856" i="10"/>
  <c r="AW856" i="10" s="1"/>
  <c r="AV872" i="10"/>
  <c r="AW872" i="10" s="1"/>
  <c r="AV888" i="10"/>
  <c r="AW888" i="10" s="1"/>
  <c r="AV904" i="10"/>
  <c r="AW904" i="10" s="1"/>
  <c r="AV920" i="10"/>
  <c r="AW920" i="10" s="1"/>
  <c r="AV936" i="10"/>
  <c r="AW936" i="10" s="1"/>
  <c r="AV952" i="10"/>
  <c r="AW952" i="10" s="1"/>
  <c r="AV968" i="10"/>
  <c r="AV984" i="10"/>
  <c r="AW984" i="10" s="1"/>
  <c r="AV1000" i="10"/>
  <c r="AV1016" i="10"/>
  <c r="AW1016" i="10" s="1"/>
  <c r="AV1032" i="10"/>
  <c r="AW1032" i="10" s="1"/>
  <c r="AV1048" i="10"/>
  <c r="AW1048" i="10" s="1"/>
  <c r="AV1064" i="10"/>
  <c r="AV1080" i="10"/>
  <c r="AV1096" i="10"/>
  <c r="AW1096" i="10" s="1"/>
  <c r="AV1112" i="10"/>
  <c r="AW1112" i="10" s="1"/>
  <c r="AV1128" i="10"/>
  <c r="AW1128" i="10" s="1"/>
  <c r="AV1144" i="10"/>
  <c r="AW1144" i="10" s="1"/>
  <c r="AV1160" i="10"/>
  <c r="AW1160" i="10" s="1"/>
  <c r="AV1176" i="10"/>
  <c r="AW1176" i="10" s="1"/>
  <c r="AV1192" i="10"/>
  <c r="AW1192" i="10" s="1"/>
  <c r="AV9" i="10"/>
  <c r="AV25" i="10"/>
  <c r="AV41" i="10"/>
  <c r="AV57" i="10"/>
  <c r="AV73" i="10"/>
  <c r="AV89" i="10"/>
  <c r="AV105" i="10"/>
  <c r="AV121" i="10"/>
  <c r="AV137" i="10"/>
  <c r="AV153" i="10"/>
  <c r="AV169" i="10"/>
  <c r="AV185" i="10"/>
  <c r="AV201" i="10"/>
  <c r="AV217" i="10"/>
  <c r="AV233" i="10"/>
  <c r="AV249" i="10"/>
  <c r="AV265" i="10"/>
  <c r="AV281" i="10"/>
  <c r="AV297" i="10"/>
  <c r="AV313" i="10"/>
  <c r="AV329" i="10"/>
  <c r="AV345" i="10"/>
  <c r="AV361" i="10"/>
  <c r="AV377" i="10"/>
  <c r="AV393" i="10"/>
  <c r="AV409" i="10"/>
  <c r="AV425" i="10"/>
  <c r="AW425" i="10" s="1"/>
  <c r="AV441" i="10"/>
  <c r="AW441" i="10" s="1"/>
  <c r="AV457" i="10"/>
  <c r="AW457" i="10" s="1"/>
  <c r="AV473" i="10"/>
  <c r="AW473" i="10" s="1"/>
  <c r="AV489" i="10"/>
  <c r="AW489" i="10" s="1"/>
  <c r="AV505" i="10"/>
  <c r="AW505" i="10" s="1"/>
  <c r="AV521" i="10"/>
  <c r="AW521" i="10" s="1"/>
  <c r="AV537" i="10"/>
  <c r="AV553" i="10"/>
  <c r="AW553" i="10" s="1"/>
  <c r="AV569" i="10"/>
  <c r="AW569" i="10" s="1"/>
  <c r="AV585" i="10"/>
  <c r="AW585" i="10" s="1"/>
  <c r="AV601" i="10"/>
  <c r="AW601" i="10" s="1"/>
  <c r="AV617" i="10"/>
  <c r="AW617" i="10" s="1"/>
  <c r="AV633" i="10"/>
  <c r="AV649" i="10"/>
  <c r="AV665" i="10"/>
  <c r="AW665" i="10" s="1"/>
  <c r="AV681" i="10"/>
  <c r="AV697" i="10"/>
  <c r="AW697" i="10" s="1"/>
  <c r="AV713" i="10"/>
  <c r="AW713" i="10" s="1"/>
  <c r="AV729" i="10"/>
  <c r="AW729" i="10" s="1"/>
  <c r="AV745" i="10"/>
  <c r="AW745" i="10" s="1"/>
  <c r="AV761" i="10"/>
  <c r="AW761" i="10" s="1"/>
  <c r="AV777" i="10"/>
  <c r="AW777" i="10" s="1"/>
  <c r="AV793" i="10"/>
  <c r="AV809" i="10"/>
  <c r="AW809" i="10" s="1"/>
  <c r="AV825" i="10"/>
  <c r="AW825" i="10" s="1"/>
  <c r="AV841" i="10"/>
  <c r="AW841" i="10" s="1"/>
  <c r="AV857" i="10"/>
  <c r="AW857" i="10" s="1"/>
  <c r="AV873" i="10"/>
  <c r="AW873" i="10" s="1"/>
  <c r="AV889" i="10"/>
  <c r="AV905" i="10"/>
  <c r="AV921" i="10"/>
  <c r="AW921" i="10" s="1"/>
  <c r="AV937" i="10"/>
  <c r="AW937" i="10" s="1"/>
  <c r="AV953" i="10"/>
  <c r="AW953" i="10" s="1"/>
  <c r="AV969" i="10"/>
  <c r="AW969" i="10" s="1"/>
  <c r="AV985" i="10"/>
  <c r="AW985" i="10" s="1"/>
  <c r="AV1001" i="10"/>
  <c r="AV1017" i="10"/>
  <c r="AW1017" i="10" s="1"/>
  <c r="AV1033" i="10"/>
  <c r="AW1033" i="10" s="1"/>
  <c r="AV1049" i="10"/>
  <c r="AV1065" i="10"/>
  <c r="AW1065" i="10" s="1"/>
  <c r="AV1081" i="10"/>
  <c r="AV1097" i="10"/>
  <c r="AW1097" i="10" s="1"/>
  <c r="AV1113" i="10"/>
  <c r="AW1113" i="10" s="1"/>
  <c r="AV1129" i="10"/>
  <c r="AW1129" i="10" s="1"/>
  <c r="AV1145" i="10"/>
  <c r="AV1161" i="10"/>
  <c r="AV1177" i="10"/>
  <c r="AV1193" i="10"/>
  <c r="AW1193" i="10" s="1"/>
  <c r="AV1209" i="10"/>
  <c r="AW1209" i="10" s="1"/>
  <c r="AV1225" i="10"/>
  <c r="AW1225" i="10" s="1"/>
  <c r="AV10" i="10"/>
  <c r="AV26" i="10"/>
  <c r="AV42" i="10"/>
  <c r="AV58" i="10"/>
  <c r="AV74" i="10"/>
  <c r="AV90" i="10"/>
  <c r="AV106" i="10"/>
  <c r="AV122" i="10"/>
  <c r="AV138" i="10"/>
  <c r="AV154" i="10"/>
  <c r="AV170" i="10"/>
  <c r="AV186" i="10"/>
  <c r="AV202" i="10"/>
  <c r="AV218" i="10"/>
  <c r="AV234" i="10"/>
  <c r="AV250" i="10"/>
  <c r="AV266" i="10"/>
  <c r="AV282" i="10"/>
  <c r="AV298" i="10"/>
  <c r="AV314" i="10"/>
  <c r="AV330" i="10"/>
  <c r="AV346" i="10"/>
  <c r="AV362" i="10"/>
  <c r="AV378" i="10"/>
  <c r="AV394" i="10"/>
  <c r="AV410" i="10"/>
  <c r="AV426" i="10"/>
  <c r="AV442" i="10"/>
  <c r="AV458" i="10"/>
  <c r="AW458" i="10" s="1"/>
  <c r="AV474" i="10"/>
  <c r="AW474" i="10" s="1"/>
  <c r="AV490" i="10"/>
  <c r="AW490" i="10" s="1"/>
  <c r="AV506" i="10"/>
  <c r="AW506" i="10" s="1"/>
  <c r="AV522" i="10"/>
  <c r="AW522" i="10" s="1"/>
  <c r="AV538" i="10"/>
  <c r="AW538" i="10" s="1"/>
  <c r="AV554" i="10"/>
  <c r="AW554" i="10" s="1"/>
  <c r="AV570" i="10"/>
  <c r="AW570" i="10" s="1"/>
  <c r="AV586" i="10"/>
  <c r="AV602" i="10"/>
  <c r="AW602" i="10" s="1"/>
  <c r="AV618" i="10"/>
  <c r="AW618" i="10" s="1"/>
  <c r="AV634" i="10"/>
  <c r="AW634" i="10" s="1"/>
  <c r="AV650" i="10"/>
  <c r="AW650" i="10" s="1"/>
  <c r="AV666" i="10"/>
  <c r="AW666" i="10" s="1"/>
  <c r="AV682" i="10"/>
  <c r="AW682" i="10" s="1"/>
  <c r="AV698" i="10"/>
  <c r="AV714" i="10"/>
  <c r="AW714" i="10" s="1"/>
  <c r="AV730" i="10"/>
  <c r="AW730" i="10" s="1"/>
  <c r="AV746" i="10"/>
  <c r="AW746" i="10" s="1"/>
  <c r="AV11" i="10"/>
  <c r="AV27" i="10"/>
  <c r="AV43" i="10"/>
  <c r="AV59" i="10"/>
  <c r="AV75" i="10"/>
  <c r="AV91" i="10"/>
  <c r="AV107" i="10"/>
  <c r="AV123" i="10"/>
  <c r="AV139" i="10"/>
  <c r="AV155" i="10"/>
  <c r="AV171" i="10"/>
  <c r="AV187" i="10"/>
  <c r="AV203" i="10"/>
  <c r="AV219" i="10"/>
  <c r="AV235" i="10"/>
  <c r="AV251" i="10"/>
  <c r="AV267" i="10"/>
  <c r="AV283" i="10"/>
  <c r="AV299" i="10"/>
  <c r="AV315" i="10"/>
  <c r="AV331" i="10"/>
  <c r="AV347" i="10"/>
  <c r="AV363" i="10"/>
  <c r="AV379" i="10"/>
  <c r="AV395" i="10"/>
  <c r="AV411" i="10"/>
  <c r="AV427" i="10"/>
  <c r="AW427" i="10" s="1"/>
  <c r="AV443" i="10"/>
  <c r="AW443" i="10" s="1"/>
  <c r="AV459" i="10"/>
  <c r="AV475" i="10"/>
  <c r="AW475" i="10" s="1"/>
  <c r="AV491" i="10"/>
  <c r="AW491" i="10" s="1"/>
  <c r="AV507" i="10"/>
  <c r="AW507" i="10" s="1"/>
  <c r="AV523" i="10"/>
  <c r="AW523" i="10" s="1"/>
  <c r="AV539" i="10"/>
  <c r="AW539" i="10" s="1"/>
  <c r="AV555" i="10"/>
  <c r="AW555" i="10" s="1"/>
  <c r="AV571" i="10"/>
  <c r="AW571" i="10" s="1"/>
  <c r="AV587" i="10"/>
  <c r="AW587" i="10" s="1"/>
  <c r="AV603" i="10"/>
  <c r="AV619" i="10"/>
  <c r="AW619" i="10" s="1"/>
  <c r="AV635" i="10"/>
  <c r="AW635" i="10" s="1"/>
  <c r="AV651" i="10"/>
  <c r="AW651" i="10" s="1"/>
  <c r="AV667" i="10"/>
  <c r="AW667" i="10" s="1"/>
  <c r="AV683" i="10"/>
  <c r="AW683" i="10" s="1"/>
  <c r="AV699" i="10"/>
  <c r="AV715" i="10"/>
  <c r="AV731" i="10"/>
  <c r="AW731" i="10" s="1"/>
  <c r="AV747" i="10"/>
  <c r="AW747" i="10" s="1"/>
  <c r="AV763" i="10"/>
  <c r="AW763" i="10" s="1"/>
  <c r="AV779" i="10"/>
  <c r="AW779" i="10" s="1"/>
  <c r="AV795" i="10"/>
  <c r="AW795" i="10" s="1"/>
  <c r="AV811" i="10"/>
  <c r="AW811" i="10" s="1"/>
  <c r="AV827" i="10"/>
  <c r="AW827" i="10" s="1"/>
  <c r="AV843" i="10"/>
  <c r="AW843" i="10" s="1"/>
  <c r="AV859" i="10"/>
  <c r="AV875" i="10"/>
  <c r="AW875" i="10" s="1"/>
  <c r="AV891" i="10"/>
  <c r="AW891" i="10" s="1"/>
  <c r="AV907" i="10"/>
  <c r="AW907" i="10" s="1"/>
  <c r="AV923" i="10"/>
  <c r="AV939" i="10"/>
  <c r="AW939" i="10" s="1"/>
  <c r="AV955" i="10"/>
  <c r="AV971" i="10"/>
  <c r="AV987" i="10"/>
  <c r="AW987" i="10" s="1"/>
  <c r="AV1003" i="10"/>
  <c r="AW1003" i="10" s="1"/>
  <c r="AV1019" i="10"/>
  <c r="AW1019" i="10" s="1"/>
  <c r="AV1035" i="10"/>
  <c r="AW1035" i="10" s="1"/>
  <c r="AV1051" i="10"/>
  <c r="AW1051" i="10" s="1"/>
  <c r="AV1067" i="10"/>
  <c r="AW1067" i="10" s="1"/>
  <c r="AV1083" i="10"/>
  <c r="AW1083" i="10" s="1"/>
  <c r="AV1099" i="10"/>
  <c r="AW1099" i="10" s="1"/>
  <c r="AV1115" i="10"/>
  <c r="AV1131" i="10"/>
  <c r="AW1131" i="10" s="1"/>
  <c r="AV1147" i="10"/>
  <c r="AW1147" i="10" s="1"/>
  <c r="AV1163" i="10"/>
  <c r="AW1163" i="10" s="1"/>
  <c r="AV1179" i="10"/>
  <c r="AW1179" i="10" s="1"/>
  <c r="AV1195" i="10"/>
  <c r="AW1195" i="10" s="1"/>
  <c r="AV1211" i="10"/>
  <c r="AW1211" i="10" s="1"/>
  <c r="AV1227" i="10"/>
  <c r="AW1227" i="10" s="1"/>
  <c r="AV1243" i="10"/>
  <c r="AV1259" i="10"/>
  <c r="AW1259" i="10" s="1"/>
  <c r="AV1275" i="10"/>
  <c r="AW1275" i="10" s="1"/>
  <c r="AV1291" i="10"/>
  <c r="AW1291" i="10" s="1"/>
  <c r="AV1307" i="10"/>
  <c r="AW1307" i="10" s="1"/>
  <c r="AV1323" i="10"/>
  <c r="AW1323" i="10" s="1"/>
  <c r="AV1339" i="10"/>
  <c r="AW1339" i="10" s="1"/>
  <c r="AV1355" i="10"/>
  <c r="AW1355" i="10" s="1"/>
  <c r="AV12" i="10"/>
  <c r="AV28" i="10"/>
  <c r="AV44" i="10"/>
  <c r="AV60" i="10"/>
  <c r="AV76" i="10"/>
  <c r="AV92" i="10"/>
  <c r="AV108" i="10"/>
  <c r="AV124" i="10"/>
  <c r="AV140" i="10"/>
  <c r="AV156" i="10"/>
  <c r="AV172" i="10"/>
  <c r="AV188" i="10"/>
  <c r="AV204" i="10"/>
  <c r="AV220" i="10"/>
  <c r="AV236" i="10"/>
  <c r="AV252" i="10"/>
  <c r="AV268" i="10"/>
  <c r="AV284" i="10"/>
  <c r="AV300" i="10"/>
  <c r="AV316" i="10"/>
  <c r="AV332" i="10"/>
  <c r="AV348" i="10"/>
  <c r="AV364" i="10"/>
  <c r="AV380" i="10"/>
  <c r="AV396" i="10"/>
  <c r="AV412" i="10"/>
  <c r="AV428" i="10"/>
  <c r="AW428" i="10" s="1"/>
  <c r="AV444" i="10"/>
  <c r="AW444" i="10" s="1"/>
  <c r="AV460" i="10"/>
  <c r="AW460" i="10" s="1"/>
  <c r="AV476" i="10"/>
  <c r="AW476" i="10" s="1"/>
  <c r="AV492" i="10"/>
  <c r="AW492" i="10" s="1"/>
  <c r="AV508" i="10"/>
  <c r="AW508" i="10" s="1"/>
  <c r="AV524" i="10"/>
  <c r="AV13" i="10"/>
  <c r="AV29" i="10"/>
  <c r="AV45" i="10"/>
  <c r="AV61" i="10"/>
  <c r="AV77" i="10"/>
  <c r="AV93" i="10"/>
  <c r="AV109" i="10"/>
  <c r="AV125" i="10"/>
  <c r="AV141" i="10"/>
  <c r="AV157" i="10"/>
  <c r="AV173" i="10"/>
  <c r="AV189" i="10"/>
  <c r="AV205" i="10"/>
  <c r="AV221" i="10"/>
  <c r="AV237" i="10"/>
  <c r="AV253" i="10"/>
  <c r="AV269" i="10"/>
  <c r="AV285" i="10"/>
  <c r="AV301" i="10"/>
  <c r="AV317" i="10"/>
  <c r="AV333" i="10"/>
  <c r="AV349" i="10"/>
  <c r="AV365" i="10"/>
  <c r="AV381" i="10"/>
  <c r="AV397" i="10"/>
  <c r="AV413" i="10"/>
  <c r="AW413" i="10" s="1"/>
  <c r="AV429" i="10"/>
  <c r="AW429" i="10" s="1"/>
  <c r="AV445" i="10"/>
  <c r="AW445" i="10" s="1"/>
  <c r="AV461" i="10"/>
  <c r="AW461" i="10" s="1"/>
  <c r="AV477" i="10"/>
  <c r="AW477" i="10" s="1"/>
  <c r="AV493" i="10"/>
  <c r="AW493" i="10" s="1"/>
  <c r="AV509" i="10"/>
  <c r="AV525" i="10"/>
  <c r="AW525" i="10" s="1"/>
  <c r="AV14" i="10"/>
  <c r="AV30" i="10"/>
  <c r="AV46" i="10"/>
  <c r="AV62" i="10"/>
  <c r="AV78" i="10"/>
  <c r="AV94" i="10"/>
  <c r="AV110" i="10"/>
  <c r="AV126" i="10"/>
  <c r="AV142" i="10"/>
  <c r="AV158" i="10"/>
  <c r="AV174" i="10"/>
  <c r="AV190" i="10"/>
  <c r="AV206" i="10"/>
  <c r="AV222" i="10"/>
  <c r="AV238" i="10"/>
  <c r="AV254" i="10"/>
  <c r="AV270" i="10"/>
  <c r="AV286" i="10"/>
  <c r="AV302" i="10"/>
  <c r="AV318" i="10"/>
  <c r="AV334" i="10"/>
  <c r="AV350" i="10"/>
  <c r="AV366" i="10"/>
  <c r="AV382" i="10"/>
  <c r="AV398" i="10"/>
  <c r="AV414" i="10"/>
  <c r="AW414" i="10" s="1"/>
  <c r="AV430" i="10"/>
  <c r="AW430" i="10" s="1"/>
  <c r="AV446" i="10"/>
  <c r="AW446" i="10" s="1"/>
  <c r="AV462" i="10"/>
  <c r="AW462" i="10" s="1"/>
  <c r="AV478" i="10"/>
  <c r="AW478" i="10" s="1"/>
  <c r="AV494" i="10"/>
  <c r="AV510" i="10"/>
  <c r="AW510" i="10" s="1"/>
  <c r="AV526" i="10"/>
  <c r="AW526" i="10" s="1"/>
  <c r="AV542" i="10"/>
  <c r="AW542" i="10" s="1"/>
  <c r="AV558" i="10"/>
  <c r="AW558" i="10" s="1"/>
  <c r="AV574" i="10"/>
  <c r="AW574" i="10" s="1"/>
  <c r="AV590" i="10"/>
  <c r="AW590" i="10" s="1"/>
  <c r="AV606" i="10"/>
  <c r="AW606" i="10" s="1"/>
  <c r="AV622" i="10"/>
  <c r="AW622" i="10" s="1"/>
  <c r="AV638" i="10"/>
  <c r="AW638" i="10" s="1"/>
  <c r="AV654" i="10"/>
  <c r="AW654" i="10" s="1"/>
  <c r="AV670" i="10"/>
  <c r="AW670" i="10" s="1"/>
  <c r="AV686" i="10"/>
  <c r="AW686" i="10" s="1"/>
  <c r="AV702" i="10"/>
  <c r="AW702" i="10" s="1"/>
  <c r="AV718" i="10"/>
  <c r="AW718" i="10" s="1"/>
  <c r="AV734" i="10"/>
  <c r="AW734" i="10" s="1"/>
  <c r="AV750" i="10"/>
  <c r="AV766" i="10"/>
  <c r="AW766" i="10" s="1"/>
  <c r="AV782" i="10"/>
  <c r="AW782" i="10" s="1"/>
  <c r="AV798" i="10"/>
  <c r="AW798" i="10" s="1"/>
  <c r="AV814" i="10"/>
  <c r="AW814" i="10" s="1"/>
  <c r="AV830" i="10"/>
  <c r="AW830" i="10" s="1"/>
  <c r="AV846" i="10"/>
  <c r="AW846" i="10" s="1"/>
  <c r="AV862" i="10"/>
  <c r="AW862" i="10" s="1"/>
  <c r="AV1681" i="10"/>
  <c r="AW1681" i="10" s="1"/>
  <c r="AV1665" i="10"/>
  <c r="AW1665" i="10" s="1"/>
  <c r="AV1649" i="10"/>
  <c r="AW1649" i="10" s="1"/>
  <c r="AV1633" i="10"/>
  <c r="AW1633" i="10" s="1"/>
  <c r="AV1617" i="10"/>
  <c r="AW1617" i="10" s="1"/>
  <c r="AV1601" i="10"/>
  <c r="AW1601" i="10" s="1"/>
  <c r="AV1585" i="10"/>
  <c r="AW1585" i="10" s="1"/>
  <c r="AV1569" i="10"/>
  <c r="AW1569" i="10" s="1"/>
  <c r="AV1553" i="10"/>
  <c r="AV1537" i="10"/>
  <c r="AW1537" i="10" s="1"/>
  <c r="AV1521" i="10"/>
  <c r="AW1521" i="10" s="1"/>
  <c r="AV1505" i="10"/>
  <c r="AW1505" i="10" s="1"/>
  <c r="AV1489" i="10"/>
  <c r="AW1489" i="10" s="1"/>
  <c r="AV1473" i="10"/>
  <c r="AW1473" i="10" s="1"/>
  <c r="AV1457" i="10"/>
  <c r="AW1457" i="10" s="1"/>
  <c r="AV1441" i="10"/>
  <c r="AW1441" i="10" s="1"/>
  <c r="AV1425" i="10"/>
  <c r="AW1425" i="10" s="1"/>
  <c r="AV1409" i="10"/>
  <c r="AW1409" i="10" s="1"/>
  <c r="AV1393" i="10"/>
  <c r="AW1393" i="10" s="1"/>
  <c r="AV1377" i="10"/>
  <c r="AW1377" i="10" s="1"/>
  <c r="AV1361" i="10"/>
  <c r="AW1361" i="10" s="1"/>
  <c r="AV1340" i="10"/>
  <c r="AW1340" i="10" s="1"/>
  <c r="AV1313" i="10"/>
  <c r="AW1313" i="10" s="1"/>
  <c r="AV1290" i="10"/>
  <c r="AW1290" i="10" s="1"/>
  <c r="AV1263" i="10"/>
  <c r="AW1263" i="10" s="1"/>
  <c r="AV1240" i="10"/>
  <c r="AW1240" i="10" s="1"/>
  <c r="AV1212" i="10"/>
  <c r="AW1212" i="10" s="1"/>
  <c r="AV1181" i="10"/>
  <c r="AW1181" i="10" s="1"/>
  <c r="AV1149" i="10"/>
  <c r="AW1149" i="10" s="1"/>
  <c r="AV1117" i="10"/>
  <c r="AW1117" i="10" s="1"/>
  <c r="AV1085" i="10"/>
  <c r="AW1085" i="10" s="1"/>
  <c r="AV1053" i="10"/>
  <c r="AV1021" i="10"/>
  <c r="AW1021" i="10" s="1"/>
  <c r="AV989" i="10"/>
  <c r="AW989" i="10" s="1"/>
  <c r="AV957" i="10"/>
  <c r="AW957" i="10" s="1"/>
  <c r="AV925" i="10"/>
  <c r="AW925" i="10" s="1"/>
  <c r="AV893" i="10"/>
  <c r="AW893" i="10" s="1"/>
  <c r="AV849" i="10"/>
  <c r="AW849" i="10" s="1"/>
  <c r="AV812" i="10"/>
  <c r="AW812" i="10" s="1"/>
  <c r="AV767" i="10"/>
  <c r="AW767" i="10" s="1"/>
  <c r="AV719" i="10"/>
  <c r="AV669" i="10"/>
  <c r="AW669" i="10" s="1"/>
  <c r="AV620" i="10"/>
  <c r="AW620" i="10" s="1"/>
  <c r="AV561" i="10"/>
  <c r="AW561" i="10" s="1"/>
  <c r="AV497" i="10"/>
  <c r="AW497" i="10" s="1"/>
  <c r="AV416" i="10"/>
  <c r="AW416" i="10" s="1"/>
  <c r="AV335" i="10"/>
  <c r="AV241" i="10"/>
  <c r="AV160" i="10"/>
  <c r="AV79" i="10"/>
  <c r="AV624" i="10"/>
  <c r="AW624" i="10" s="1"/>
  <c r="AV1680" i="10"/>
  <c r="AW1680" i="10" s="1"/>
  <c r="AV1664" i="10"/>
  <c r="AW1664" i="10" s="1"/>
  <c r="AV1648" i="10"/>
  <c r="AW1648" i="10" s="1"/>
  <c r="AV1632" i="10"/>
  <c r="AW1632" i="10" s="1"/>
  <c r="AV1616" i="10"/>
  <c r="AW1616" i="10" s="1"/>
  <c r="AV1600" i="10"/>
  <c r="AV1584" i="10"/>
  <c r="AW1584" i="10" s="1"/>
  <c r="AV1568" i="10"/>
  <c r="AW1568" i="10" s="1"/>
  <c r="AV1552" i="10"/>
  <c r="AW1552" i="10" s="1"/>
  <c r="AV1536" i="10"/>
  <c r="AW1536" i="10" s="1"/>
  <c r="AV1520" i="10"/>
  <c r="AW1520" i="10" s="1"/>
  <c r="AV1504" i="10"/>
  <c r="AW1504" i="10" s="1"/>
  <c r="AV1488" i="10"/>
  <c r="AW1488" i="10" s="1"/>
  <c r="AV1472" i="10"/>
  <c r="AW1472" i="10" s="1"/>
  <c r="AV1456" i="10"/>
  <c r="AW1456" i="10" s="1"/>
  <c r="AV1440" i="10"/>
  <c r="AW1440" i="10" s="1"/>
  <c r="AV1424" i="10"/>
  <c r="AW1424" i="10" s="1"/>
  <c r="AV1408" i="10"/>
  <c r="AW1408" i="10" s="1"/>
  <c r="AV1392" i="10"/>
  <c r="AW1392" i="10" s="1"/>
  <c r="AV1376" i="10"/>
  <c r="AW1376" i="10" s="1"/>
  <c r="AV1360" i="10"/>
  <c r="AW1360" i="10" s="1"/>
  <c r="AV1338" i="10"/>
  <c r="AV1312" i="10"/>
  <c r="AW1312" i="10" s="1"/>
  <c r="AV1289" i="10"/>
  <c r="AV1262" i="10"/>
  <c r="AW1262" i="10" s="1"/>
  <c r="AV1237" i="10"/>
  <c r="AW1237" i="10" s="1"/>
  <c r="AV1210" i="10"/>
  <c r="AW1210" i="10" s="1"/>
  <c r="AV1180" i="10"/>
  <c r="AW1180" i="10" s="1"/>
  <c r="AV1148" i="10"/>
  <c r="AW1148" i="10" s="1"/>
  <c r="AV1116" i="10"/>
  <c r="AW1116" i="10" s="1"/>
  <c r="AV1084" i="10"/>
  <c r="AW1084" i="10" s="1"/>
  <c r="AV1052" i="10"/>
  <c r="AW1052" i="10" s="1"/>
  <c r="AV1020" i="10"/>
  <c r="AW1020" i="10" s="1"/>
  <c r="AV988" i="10"/>
  <c r="AW988" i="10" s="1"/>
  <c r="AV956" i="10"/>
  <c r="AW956" i="10" s="1"/>
  <c r="AV924" i="10"/>
  <c r="AW924" i="10" s="1"/>
  <c r="AV892" i="10"/>
  <c r="AW892" i="10" s="1"/>
  <c r="AV848" i="10"/>
  <c r="AV810" i="10"/>
  <c r="AW810" i="10" s="1"/>
  <c r="AV765" i="10"/>
  <c r="AW765" i="10" s="1"/>
  <c r="AV717" i="10"/>
  <c r="AW717" i="10" s="1"/>
  <c r="AV668" i="10"/>
  <c r="AW668" i="10" s="1"/>
  <c r="AV609" i="10"/>
  <c r="AW609" i="10" s="1"/>
  <c r="AV560" i="10"/>
  <c r="AW560" i="10" s="1"/>
  <c r="AV496" i="10"/>
  <c r="AW496" i="10" s="1"/>
  <c r="AV415" i="10"/>
  <c r="AW415" i="10" s="1"/>
  <c r="AV321" i="10"/>
  <c r="AV240" i="10"/>
  <c r="AV159" i="10"/>
  <c r="AV65" i="10"/>
  <c r="AV732" i="10"/>
  <c r="AW732" i="10" s="1"/>
  <c r="AV1679" i="10"/>
  <c r="AW1679" i="10" s="1"/>
  <c r="AV1663" i="10"/>
  <c r="AW1663" i="10" s="1"/>
  <c r="AV1647" i="10"/>
  <c r="AV1631" i="10"/>
  <c r="AW1631" i="10" s="1"/>
  <c r="AV1615" i="10"/>
  <c r="AW1615" i="10" s="1"/>
  <c r="AV1599" i="10"/>
  <c r="AW1599" i="10" s="1"/>
  <c r="AV1583" i="10"/>
  <c r="AW1583" i="10" s="1"/>
  <c r="AV1567" i="10"/>
  <c r="AW1567" i="10" s="1"/>
  <c r="AV1551" i="10"/>
  <c r="AW1551" i="10" s="1"/>
  <c r="AV1535" i="10"/>
  <c r="AW1535" i="10" s="1"/>
  <c r="AV1519" i="10"/>
  <c r="AW1519" i="10" s="1"/>
  <c r="AV1503" i="10"/>
  <c r="AW1503" i="10" s="1"/>
  <c r="AV1487" i="10"/>
  <c r="AW1487" i="10" s="1"/>
  <c r="AV1471" i="10"/>
  <c r="AW1471" i="10" s="1"/>
  <c r="AV1455" i="10"/>
  <c r="AW1455" i="10" s="1"/>
  <c r="AV1439" i="10"/>
  <c r="AW1439" i="10" s="1"/>
  <c r="AV1423" i="10"/>
  <c r="AW1423" i="10" s="1"/>
  <c r="AV1407" i="10"/>
  <c r="AW1407" i="10" s="1"/>
  <c r="AV1391" i="10"/>
  <c r="AW1391" i="10" s="1"/>
  <c r="AV1375" i="10"/>
  <c r="AW1375" i="10" s="1"/>
  <c r="AV1359" i="10"/>
  <c r="AV1337" i="10"/>
  <c r="AW1337" i="10" s="1"/>
  <c r="AV1311" i="10"/>
  <c r="AW1311" i="10" s="1"/>
  <c r="AV1288" i="10"/>
  <c r="AW1288" i="10" s="1"/>
  <c r="AV1261" i="10"/>
  <c r="AW1261" i="10" s="1"/>
  <c r="AV1233" i="10"/>
  <c r="AW1233" i="10" s="1"/>
  <c r="AV1208" i="10"/>
  <c r="AW1208" i="10" s="1"/>
  <c r="AV1178" i="10"/>
  <c r="AW1178" i="10" s="1"/>
  <c r="AV1146" i="10"/>
  <c r="AW1146" i="10" s="1"/>
  <c r="AV1114" i="10"/>
  <c r="AW1114" i="10" s="1"/>
  <c r="AV1082" i="10"/>
  <c r="AW1082" i="10" s="1"/>
  <c r="AV1050" i="10"/>
  <c r="AW1050" i="10" s="1"/>
  <c r="AV1018" i="10"/>
  <c r="AW1018" i="10" s="1"/>
  <c r="AV986" i="10"/>
  <c r="AW986" i="10" s="1"/>
  <c r="AV954" i="10"/>
  <c r="AV922" i="10"/>
  <c r="AW922" i="10" s="1"/>
  <c r="AV890" i="10"/>
  <c r="AW890" i="10" s="1"/>
  <c r="AV847" i="10"/>
  <c r="AW847" i="10" s="1"/>
  <c r="AV801" i="10"/>
  <c r="AW801" i="10" s="1"/>
  <c r="AV764" i="10"/>
  <c r="AW764" i="10" s="1"/>
  <c r="AV716" i="10"/>
  <c r="AW716" i="10" s="1"/>
  <c r="AV657" i="10"/>
  <c r="AW657" i="10" s="1"/>
  <c r="AV608" i="10"/>
  <c r="AW608" i="10" s="1"/>
  <c r="AV559" i="10"/>
  <c r="AW559" i="10" s="1"/>
  <c r="AV495" i="10"/>
  <c r="AW495" i="10" s="1"/>
  <c r="AV401" i="10"/>
  <c r="AV320" i="10"/>
  <c r="AV239" i="10"/>
  <c r="AV145" i="10"/>
  <c r="AV64" i="10"/>
  <c r="AV1678" i="10"/>
  <c r="AV1662" i="10"/>
  <c r="AW1662" i="10" s="1"/>
  <c r="AV1646" i="10"/>
  <c r="AW1646" i="10" s="1"/>
  <c r="AV1630" i="10"/>
  <c r="AW1630" i="10" s="1"/>
  <c r="AV1614" i="10"/>
  <c r="AW1614" i="10" s="1"/>
  <c r="AV1598" i="10"/>
  <c r="AW1598" i="10" s="1"/>
  <c r="AV1582" i="10"/>
  <c r="AW1582" i="10" s="1"/>
  <c r="AV1566" i="10"/>
  <c r="AW1566" i="10" s="1"/>
  <c r="AV1550" i="10"/>
  <c r="AW1550" i="10" s="1"/>
  <c r="AV1534" i="10"/>
  <c r="AW1534" i="10" s="1"/>
  <c r="AV1518" i="10"/>
  <c r="AW1518" i="10" s="1"/>
  <c r="AV1502" i="10"/>
  <c r="AW1502" i="10" s="1"/>
  <c r="AV1486" i="10"/>
  <c r="AW1486" i="10" s="1"/>
  <c r="AV1470" i="10"/>
  <c r="AW1470" i="10" s="1"/>
  <c r="AV1454" i="10"/>
  <c r="AW1454" i="10" s="1"/>
  <c r="AV1438" i="10"/>
  <c r="AW1438" i="10" s="1"/>
  <c r="AV1422" i="10"/>
  <c r="AW1422" i="10" s="1"/>
  <c r="AV1406" i="10"/>
  <c r="AW1406" i="10" s="1"/>
  <c r="AV1390" i="10"/>
  <c r="AW1390" i="10" s="1"/>
  <c r="AV1374" i="10"/>
  <c r="AW1374" i="10" s="1"/>
  <c r="AV1358" i="10"/>
  <c r="AW1358" i="10" s="1"/>
  <c r="AV1336" i="10"/>
  <c r="AW1336" i="10" s="1"/>
  <c r="AV1310" i="10"/>
  <c r="AW1310" i="10" s="1"/>
  <c r="AV1285" i="10"/>
  <c r="AW1285" i="10" s="1"/>
  <c r="AV1260" i="10"/>
  <c r="AW1260" i="10" s="1"/>
  <c r="AV1232" i="10"/>
  <c r="AW1232" i="10" s="1"/>
  <c r="AV1205" i="10"/>
  <c r="AW1205" i="10" s="1"/>
  <c r="AV1173" i="10"/>
  <c r="AW1173" i="10" s="1"/>
  <c r="AV1141" i="10"/>
  <c r="AW1141" i="10" s="1"/>
  <c r="AV1109" i="10"/>
  <c r="AW1109" i="10" s="1"/>
  <c r="AV1077" i="10"/>
  <c r="AW1077" i="10" s="1"/>
  <c r="AV1045" i="10"/>
  <c r="AW1045" i="10" s="1"/>
  <c r="AV1013" i="10"/>
  <c r="AW1013" i="10" s="1"/>
  <c r="AV981" i="10"/>
  <c r="AW981" i="10" s="1"/>
  <c r="AV949" i="10"/>
  <c r="AW949" i="10" s="1"/>
  <c r="AV917" i="10"/>
  <c r="AW917" i="10" s="1"/>
  <c r="AV881" i="10"/>
  <c r="AW881" i="10" s="1"/>
  <c r="AV845" i="10"/>
  <c r="AW845" i="10" s="1"/>
  <c r="AV800" i="10"/>
  <c r="AW800" i="10" s="1"/>
  <c r="AV762" i="10"/>
  <c r="AW762" i="10" s="1"/>
  <c r="AV705" i="10"/>
  <c r="AW705" i="10" s="1"/>
  <c r="AV656" i="10"/>
  <c r="AW656" i="10" s="1"/>
  <c r="AV607" i="10"/>
  <c r="AW607" i="10" s="1"/>
  <c r="AV557" i="10"/>
  <c r="AW557" i="10" s="1"/>
  <c r="AV481" i="10"/>
  <c r="AW481" i="10" s="1"/>
  <c r="AV400" i="10"/>
  <c r="AV319" i="10"/>
  <c r="AV225" i="10"/>
  <c r="AV144" i="10"/>
  <c r="AV63" i="10"/>
  <c r="AV778" i="10"/>
  <c r="AW778" i="10" s="1"/>
  <c r="AV1677" i="10"/>
  <c r="AW1677" i="10" s="1"/>
  <c r="AV1661" i="10"/>
  <c r="AW1661" i="10" s="1"/>
  <c r="AV1645" i="10"/>
  <c r="AW1645" i="10" s="1"/>
  <c r="AV1629" i="10"/>
  <c r="AW1629" i="10" s="1"/>
  <c r="AV1613" i="10"/>
  <c r="AW1613" i="10" s="1"/>
  <c r="AV1597" i="10"/>
  <c r="AW1597" i="10" s="1"/>
  <c r="AV1581" i="10"/>
  <c r="AW1581" i="10" s="1"/>
  <c r="AV1565" i="10"/>
  <c r="AW1565" i="10" s="1"/>
  <c r="AV1549" i="10"/>
  <c r="AW1549" i="10" s="1"/>
  <c r="AV1533" i="10"/>
  <c r="AW1533" i="10" s="1"/>
  <c r="AV1517" i="10"/>
  <c r="AW1517" i="10" s="1"/>
  <c r="AV1501" i="10"/>
  <c r="AW1501" i="10" s="1"/>
  <c r="AV1485" i="10"/>
  <c r="AW1485" i="10" s="1"/>
  <c r="AV1469" i="10"/>
  <c r="AV1453" i="10"/>
  <c r="AW1453" i="10" s="1"/>
  <c r="AV1437" i="10"/>
  <c r="AW1437" i="10" s="1"/>
  <c r="AV1421" i="10"/>
  <c r="AW1421" i="10" s="1"/>
  <c r="AV1405" i="10"/>
  <c r="AW1405" i="10" s="1"/>
  <c r="AV1389" i="10"/>
  <c r="AW1389" i="10" s="1"/>
  <c r="AV1373" i="10"/>
  <c r="AW1373" i="10" s="1"/>
  <c r="AV1357" i="10"/>
  <c r="AW1357" i="10" s="1"/>
  <c r="AV1333" i="10"/>
  <c r="AW1333" i="10" s="1"/>
  <c r="AV1309" i="10"/>
  <c r="AW1309" i="10" s="1"/>
  <c r="AV1281" i="10"/>
  <c r="AW1281" i="10" s="1"/>
  <c r="AV1258" i="10"/>
  <c r="AW1258" i="10" s="1"/>
  <c r="AV1231" i="10"/>
  <c r="AW1231" i="10" s="1"/>
  <c r="AV1201" i="10"/>
  <c r="AW1201" i="10" s="1"/>
  <c r="AV1169" i="10"/>
  <c r="AW1169" i="10" s="1"/>
  <c r="AV1137" i="10"/>
  <c r="AW1137" i="10" s="1"/>
  <c r="AV1105" i="10"/>
  <c r="AW1105" i="10" s="1"/>
  <c r="AV1073" i="10"/>
  <c r="AW1073" i="10" s="1"/>
  <c r="AV1041" i="10"/>
  <c r="AW1041" i="10" s="1"/>
  <c r="AV1009" i="10"/>
  <c r="AW1009" i="10" s="1"/>
  <c r="AV977" i="10"/>
  <c r="AW977" i="10" s="1"/>
  <c r="AV945" i="10"/>
  <c r="AW945" i="10" s="1"/>
  <c r="AV913" i="10"/>
  <c r="AW913" i="10" s="1"/>
  <c r="AV880" i="10"/>
  <c r="AW880" i="10" s="1"/>
  <c r="AV844" i="10"/>
  <c r="AW844" i="10" s="1"/>
  <c r="AV799" i="10"/>
  <c r="AW799" i="10" s="1"/>
  <c r="AV753" i="10"/>
  <c r="AW753" i="10" s="1"/>
  <c r="AV704" i="10"/>
  <c r="AW704" i="10" s="1"/>
  <c r="AV655" i="10"/>
  <c r="AW655" i="10" s="1"/>
  <c r="AV605" i="10"/>
  <c r="AW605" i="10" s="1"/>
  <c r="AV556" i="10"/>
  <c r="AW556" i="10" s="1"/>
  <c r="AV480" i="10"/>
  <c r="AW480" i="10" s="1"/>
  <c r="AV399" i="10"/>
  <c r="AV305" i="10"/>
  <c r="AV224" i="10"/>
  <c r="AV143" i="10"/>
  <c r="AV49" i="10"/>
  <c r="AV1652" i="10"/>
  <c r="AW1652" i="10" s="1"/>
  <c r="AV1588" i="10"/>
  <c r="AW1588" i="10" s="1"/>
  <c r="AV1524" i="10"/>
  <c r="AW1524" i="10" s="1"/>
  <c r="AV1444" i="10"/>
  <c r="AW1444" i="10" s="1"/>
  <c r="AV1321" i="10"/>
  <c r="AW1321" i="10" s="1"/>
  <c r="AV1215" i="10"/>
  <c r="AW1215" i="10" s="1"/>
  <c r="AV1056" i="10"/>
  <c r="AW1056" i="10" s="1"/>
  <c r="AV928" i="10"/>
  <c r="AW928" i="10" s="1"/>
  <c r="AV176" i="10"/>
  <c r="AV1676" i="10"/>
  <c r="AW1676" i="10" s="1"/>
  <c r="AV1660" i="10"/>
  <c r="AW1660" i="10" s="1"/>
  <c r="AV1644" i="10"/>
  <c r="AW1644" i="10" s="1"/>
  <c r="AV1628" i="10"/>
  <c r="AW1628" i="10" s="1"/>
  <c r="AV1612" i="10"/>
  <c r="AW1612" i="10" s="1"/>
  <c r="AV1596" i="10"/>
  <c r="AW1596" i="10" s="1"/>
  <c r="AV1580" i="10"/>
  <c r="AW1580" i="10" s="1"/>
  <c r="AV1564" i="10"/>
  <c r="AW1564" i="10" s="1"/>
  <c r="AV1548" i="10"/>
  <c r="AW1548" i="10" s="1"/>
  <c r="AV1532" i="10"/>
  <c r="AW1532" i="10" s="1"/>
  <c r="AV1516" i="10"/>
  <c r="AW1516" i="10" s="1"/>
  <c r="AV1500" i="10"/>
  <c r="AW1500" i="10" s="1"/>
  <c r="AV1484" i="10"/>
  <c r="AW1484" i="10" s="1"/>
  <c r="AV1468" i="10"/>
  <c r="AW1468" i="10" s="1"/>
  <c r="AV1452" i="10"/>
  <c r="AW1452" i="10" s="1"/>
  <c r="AV1436" i="10"/>
  <c r="AW1436" i="10" s="1"/>
  <c r="AV1420" i="10"/>
  <c r="AW1420" i="10" s="1"/>
  <c r="AV1404" i="10"/>
  <c r="AW1404" i="10" s="1"/>
  <c r="AV1388" i="10"/>
  <c r="AW1388" i="10" s="1"/>
  <c r="AV1372" i="10"/>
  <c r="AW1372" i="10" s="1"/>
  <c r="AV1356" i="10"/>
  <c r="AW1356" i="10" s="1"/>
  <c r="AV1332" i="10"/>
  <c r="AW1332" i="10" s="1"/>
  <c r="AV1308" i="10"/>
  <c r="AW1308" i="10" s="1"/>
  <c r="AV1280" i="10"/>
  <c r="AW1280" i="10" s="1"/>
  <c r="AV1257" i="10"/>
  <c r="AW1257" i="10" s="1"/>
  <c r="AV1230" i="10"/>
  <c r="AW1230" i="10" s="1"/>
  <c r="AV1200" i="10"/>
  <c r="AW1200" i="10" s="1"/>
  <c r="AV1168" i="10"/>
  <c r="AW1168" i="10" s="1"/>
  <c r="AV1136" i="10"/>
  <c r="AW1136" i="10" s="1"/>
  <c r="AV1104" i="10"/>
  <c r="AW1104" i="10" s="1"/>
  <c r="AV1072" i="10"/>
  <c r="AW1072" i="10" s="1"/>
  <c r="AV1040" i="10"/>
  <c r="AW1040" i="10" s="1"/>
  <c r="AV1008" i="10"/>
  <c r="AW1008" i="10" s="1"/>
  <c r="AV976" i="10"/>
  <c r="AW976" i="10" s="1"/>
  <c r="AV944" i="10"/>
  <c r="AW944" i="10" s="1"/>
  <c r="AV912" i="10"/>
  <c r="AW912" i="10" s="1"/>
  <c r="AV879" i="10"/>
  <c r="AW879" i="10" s="1"/>
  <c r="AV842" i="10"/>
  <c r="AW842" i="10" s="1"/>
  <c r="AV797" i="10"/>
  <c r="AW797" i="10" s="1"/>
  <c r="AV752" i="10"/>
  <c r="AW752" i="10" s="1"/>
  <c r="AV703" i="10"/>
  <c r="AW703" i="10" s="1"/>
  <c r="AV653" i="10"/>
  <c r="AW653" i="10" s="1"/>
  <c r="AV604" i="10"/>
  <c r="AW604" i="10" s="1"/>
  <c r="AV545" i="10"/>
  <c r="AW545" i="10" s="1"/>
  <c r="AV479" i="10"/>
  <c r="AW479" i="10" s="1"/>
  <c r="AV385" i="10"/>
  <c r="AV304" i="10"/>
  <c r="AV223" i="10"/>
  <c r="AV129" i="10"/>
  <c r="AV48" i="10"/>
  <c r="AV1636" i="10"/>
  <c r="AW1636" i="10" s="1"/>
  <c r="AV1572" i="10"/>
  <c r="AW1572" i="10" s="1"/>
  <c r="AV1508" i="10"/>
  <c r="AW1508" i="10" s="1"/>
  <c r="AV1460" i="10"/>
  <c r="AW1460" i="10" s="1"/>
  <c r="AV1396" i="10"/>
  <c r="AW1396" i="10" s="1"/>
  <c r="AV1343" i="10"/>
  <c r="AW1343" i="10" s="1"/>
  <c r="AV1244" i="10"/>
  <c r="AW1244" i="10" s="1"/>
  <c r="AV1088" i="10"/>
  <c r="AW1088" i="10" s="1"/>
  <c r="AV960" i="10"/>
  <c r="AW960" i="10" s="1"/>
  <c r="AV95" i="10"/>
  <c r="AV1675" i="10"/>
  <c r="AW1675" i="10" s="1"/>
  <c r="AV1659" i="10"/>
  <c r="AW1659" i="10" s="1"/>
  <c r="AV1643" i="10"/>
  <c r="AW1643" i="10" s="1"/>
  <c r="AV1627" i="10"/>
  <c r="AW1627" i="10" s="1"/>
  <c r="AV1611" i="10"/>
  <c r="AW1611" i="10" s="1"/>
  <c r="AV1595" i="10"/>
  <c r="AW1595" i="10" s="1"/>
  <c r="AV1579" i="10"/>
  <c r="AW1579" i="10" s="1"/>
  <c r="AV1563" i="10"/>
  <c r="AW1563" i="10" s="1"/>
  <c r="AV1547" i="10"/>
  <c r="AW1547" i="10" s="1"/>
  <c r="AV1531" i="10"/>
  <c r="AW1531" i="10" s="1"/>
  <c r="AV1515" i="10"/>
  <c r="AW1515" i="10" s="1"/>
  <c r="AV1499" i="10"/>
  <c r="AW1499" i="10" s="1"/>
  <c r="AV1483" i="10"/>
  <c r="AW1483" i="10" s="1"/>
  <c r="AV1467" i="10"/>
  <c r="AW1467" i="10" s="1"/>
  <c r="AV1451" i="10"/>
  <c r="AW1451" i="10" s="1"/>
  <c r="AV1435" i="10"/>
  <c r="AW1435" i="10" s="1"/>
  <c r="AV1419" i="10"/>
  <c r="AW1419" i="10" s="1"/>
  <c r="AV1403" i="10"/>
  <c r="AW1403" i="10" s="1"/>
  <c r="AV1387" i="10"/>
  <c r="AW1387" i="10" s="1"/>
  <c r="AV1371" i="10"/>
  <c r="AW1371" i="10" s="1"/>
  <c r="AV1354" i="10"/>
  <c r="AW1354" i="10" s="1"/>
  <c r="AV1329" i="10"/>
  <c r="AW1329" i="10" s="1"/>
  <c r="AV1306" i="10"/>
  <c r="AW1306" i="10" s="1"/>
  <c r="AV1279" i="10"/>
  <c r="AW1279" i="10" s="1"/>
  <c r="AV1256" i="10"/>
  <c r="AW1256" i="10" s="1"/>
  <c r="AV1229" i="10"/>
  <c r="AW1229" i="10" s="1"/>
  <c r="AV1199" i="10"/>
  <c r="AW1199" i="10" s="1"/>
  <c r="AV1167" i="10"/>
  <c r="AW1167" i="10" s="1"/>
  <c r="AV1135" i="10"/>
  <c r="AW1135" i="10" s="1"/>
  <c r="AV1103" i="10"/>
  <c r="AW1103" i="10" s="1"/>
  <c r="AV1071" i="10"/>
  <c r="AW1071" i="10" s="1"/>
  <c r="AV1039" i="10"/>
  <c r="AW1039" i="10" s="1"/>
  <c r="AV1007" i="10"/>
  <c r="AW1007" i="10" s="1"/>
  <c r="AV975" i="10"/>
  <c r="AW975" i="10" s="1"/>
  <c r="AV943" i="10"/>
  <c r="AW943" i="10" s="1"/>
  <c r="AV911" i="10"/>
  <c r="AW911" i="10" s="1"/>
  <c r="AV878" i="10"/>
  <c r="AW878" i="10" s="1"/>
  <c r="AV833" i="10"/>
  <c r="AW833" i="10" s="1"/>
  <c r="AV796" i="10"/>
  <c r="AW796" i="10" s="1"/>
  <c r="AV751" i="10"/>
  <c r="AW751" i="10" s="1"/>
  <c r="AV701" i="10"/>
  <c r="AW701" i="10" s="1"/>
  <c r="AV652" i="10"/>
  <c r="AW652" i="10" s="1"/>
  <c r="AV593" i="10"/>
  <c r="AW593" i="10" s="1"/>
  <c r="AV544" i="10"/>
  <c r="AW544" i="10" s="1"/>
  <c r="AV465" i="10"/>
  <c r="AW465" i="10" s="1"/>
  <c r="AV384" i="10"/>
  <c r="AV303" i="10"/>
  <c r="AV209" i="10"/>
  <c r="AV128" i="10"/>
  <c r="AV47" i="10"/>
  <c r="AV1690" i="10"/>
  <c r="AW1690" i="10" s="1"/>
  <c r="AV1674" i="10"/>
  <c r="AW1674" i="10" s="1"/>
  <c r="AV1658" i="10"/>
  <c r="AW1658" i="10" s="1"/>
  <c r="AV1642" i="10"/>
  <c r="AW1642" i="10" s="1"/>
  <c r="AV1626" i="10"/>
  <c r="AW1626" i="10" s="1"/>
  <c r="AV1610" i="10"/>
  <c r="AW1610" i="10" s="1"/>
  <c r="AV1594" i="10"/>
  <c r="AW1594" i="10" s="1"/>
  <c r="AV1578" i="10"/>
  <c r="AW1578" i="10" s="1"/>
  <c r="AV1562" i="10"/>
  <c r="AW1562" i="10" s="1"/>
  <c r="AV1546" i="10"/>
  <c r="AW1546" i="10" s="1"/>
  <c r="AV1530" i="10"/>
  <c r="AW1530" i="10" s="1"/>
  <c r="AV1514" i="10"/>
  <c r="AW1514" i="10" s="1"/>
  <c r="AV1498" i="10"/>
  <c r="AW1498" i="10" s="1"/>
  <c r="AV1482" i="10"/>
  <c r="AW1482" i="10" s="1"/>
  <c r="AV1466" i="10"/>
  <c r="AW1466" i="10" s="1"/>
  <c r="AV1450" i="10"/>
  <c r="AW1450" i="10" s="1"/>
  <c r="AV1434" i="10"/>
  <c r="AW1434" i="10" s="1"/>
  <c r="AV1418" i="10"/>
  <c r="AW1418" i="10" s="1"/>
  <c r="AV1402" i="10"/>
  <c r="AW1402" i="10" s="1"/>
  <c r="AV1386" i="10"/>
  <c r="AW1386" i="10" s="1"/>
  <c r="AV1370" i="10"/>
  <c r="AW1370" i="10" s="1"/>
  <c r="AV1353" i="10"/>
  <c r="AW1353" i="10" s="1"/>
  <c r="AV1328" i="10"/>
  <c r="AW1328" i="10" s="1"/>
  <c r="AV1305" i="10"/>
  <c r="AW1305" i="10" s="1"/>
  <c r="AV1278" i="10"/>
  <c r="AW1278" i="10" s="1"/>
  <c r="AV1253" i="10"/>
  <c r="AW1253" i="10" s="1"/>
  <c r="AV1228" i="10"/>
  <c r="AW1228" i="10" s="1"/>
  <c r="AV1198" i="10"/>
  <c r="AW1198" i="10" s="1"/>
  <c r="AV1166" i="10"/>
  <c r="AW1166" i="10" s="1"/>
  <c r="AV1134" i="10"/>
  <c r="AW1134" i="10" s="1"/>
  <c r="AV1102" i="10"/>
  <c r="AW1102" i="10" s="1"/>
  <c r="AV1070" i="10"/>
  <c r="AW1070" i="10" s="1"/>
  <c r="AV1038" i="10"/>
  <c r="AW1038" i="10" s="1"/>
  <c r="AV1006" i="10"/>
  <c r="AW1006" i="10" s="1"/>
  <c r="AV974" i="10"/>
  <c r="AW974" i="10" s="1"/>
  <c r="AV942" i="10"/>
  <c r="AW942" i="10" s="1"/>
  <c r="AV910" i="10"/>
  <c r="AW910" i="10" s="1"/>
  <c r="AV877" i="10"/>
  <c r="AW877" i="10" s="1"/>
  <c r="AV832" i="10"/>
  <c r="AW832" i="10" s="1"/>
  <c r="AV794" i="10"/>
  <c r="AW794" i="10" s="1"/>
  <c r="AV749" i="10"/>
  <c r="AW749" i="10" s="1"/>
  <c r="AV700" i="10"/>
  <c r="AW700" i="10" s="1"/>
  <c r="AV641" i="10"/>
  <c r="AW641" i="10" s="1"/>
  <c r="AV592" i="10"/>
  <c r="AW592" i="10" s="1"/>
  <c r="AV543" i="10"/>
  <c r="AW543" i="10" s="1"/>
  <c r="AV464" i="10"/>
  <c r="AW464" i="10" s="1"/>
  <c r="AV383" i="10"/>
  <c r="AV289" i="10"/>
  <c r="AV208" i="10"/>
  <c r="AV127" i="10"/>
  <c r="AV33" i="10"/>
  <c r="AV1668" i="10"/>
  <c r="AW1668" i="10" s="1"/>
  <c r="AV1620" i="10"/>
  <c r="AW1620" i="10" s="1"/>
  <c r="AV1556" i="10"/>
  <c r="AW1556" i="10" s="1"/>
  <c r="AV1492" i="10"/>
  <c r="AW1492" i="10" s="1"/>
  <c r="AV1428" i="10"/>
  <c r="AW1428" i="10" s="1"/>
  <c r="AV1380" i="10"/>
  <c r="AW1380" i="10" s="1"/>
  <c r="AV1294" i="10"/>
  <c r="AW1294" i="10" s="1"/>
  <c r="AV1184" i="10"/>
  <c r="AW1184" i="10" s="1"/>
  <c r="AV1120" i="10"/>
  <c r="AW1120" i="10" s="1"/>
  <c r="AV1024" i="10"/>
  <c r="AW1024" i="10" s="1"/>
  <c r="AV896" i="10"/>
  <c r="AW896" i="10" s="1"/>
  <c r="AV257" i="10"/>
  <c r="AV1689" i="10"/>
  <c r="AW1689" i="10" s="1"/>
  <c r="AV1673" i="10"/>
  <c r="AW1673" i="10" s="1"/>
  <c r="AV1657" i="10"/>
  <c r="AW1657" i="10" s="1"/>
  <c r="AV1641" i="10"/>
  <c r="AW1641" i="10" s="1"/>
  <c r="AV1625" i="10"/>
  <c r="AW1625" i="10" s="1"/>
  <c r="AV1609" i="10"/>
  <c r="AW1609" i="10" s="1"/>
  <c r="AV1593" i="10"/>
  <c r="AW1593" i="10" s="1"/>
  <c r="AV1577" i="10"/>
  <c r="AW1577" i="10" s="1"/>
  <c r="AV1561" i="10"/>
  <c r="AW1561" i="10" s="1"/>
  <c r="AV1545" i="10"/>
  <c r="AW1545" i="10" s="1"/>
  <c r="AV1529" i="10"/>
  <c r="AW1529" i="10" s="1"/>
  <c r="AV1513" i="10"/>
  <c r="AW1513" i="10" s="1"/>
  <c r="AV1497" i="10"/>
  <c r="AW1497" i="10" s="1"/>
  <c r="AV1481" i="10"/>
  <c r="AW1481" i="10" s="1"/>
  <c r="AV1465" i="10"/>
  <c r="AW1465" i="10" s="1"/>
  <c r="AV1449" i="10"/>
  <c r="AW1449" i="10" s="1"/>
  <c r="AV1433" i="10"/>
  <c r="AW1433" i="10" s="1"/>
  <c r="AV1417" i="10"/>
  <c r="AW1417" i="10" s="1"/>
  <c r="AV1401" i="10"/>
  <c r="AW1401" i="10" s="1"/>
  <c r="AV1385" i="10"/>
  <c r="AW1385" i="10" s="1"/>
  <c r="AV1369" i="10"/>
  <c r="AW1369" i="10" s="1"/>
  <c r="AV1352" i="10"/>
  <c r="AW1352" i="10" s="1"/>
  <c r="AV1327" i="10"/>
  <c r="AW1327" i="10" s="1"/>
  <c r="AV1304" i="10"/>
  <c r="AW1304" i="10" s="1"/>
  <c r="AV1277" i="10"/>
  <c r="AW1277" i="10" s="1"/>
  <c r="AV1249" i="10"/>
  <c r="AW1249" i="10" s="1"/>
  <c r="AV1226" i="10"/>
  <c r="AW1226" i="10" s="1"/>
  <c r="AV1197" i="10"/>
  <c r="AW1197" i="10" s="1"/>
  <c r="AV1165" i="10"/>
  <c r="AW1165" i="10" s="1"/>
  <c r="AV1133" i="10"/>
  <c r="AW1133" i="10" s="1"/>
  <c r="AV1101" i="10"/>
  <c r="AW1101" i="10" s="1"/>
  <c r="AV1069" i="10"/>
  <c r="AW1069" i="10" s="1"/>
  <c r="AV1037" i="10"/>
  <c r="AW1037" i="10" s="1"/>
  <c r="AV1005" i="10"/>
  <c r="AW1005" i="10" s="1"/>
  <c r="AV973" i="10"/>
  <c r="AW973" i="10" s="1"/>
  <c r="AV941" i="10"/>
  <c r="AW941" i="10" s="1"/>
  <c r="AV909" i="10"/>
  <c r="AW909" i="10" s="1"/>
  <c r="AV876" i="10"/>
  <c r="AW876" i="10" s="1"/>
  <c r="AV831" i="10"/>
  <c r="AW831" i="10" s="1"/>
  <c r="AV785" i="10"/>
  <c r="AW785" i="10" s="1"/>
  <c r="AV748" i="10"/>
  <c r="AW748" i="10" s="1"/>
  <c r="AV689" i="10"/>
  <c r="AW689" i="10" s="1"/>
  <c r="AV640" i="10"/>
  <c r="AW640" i="10" s="1"/>
  <c r="AV591" i="10"/>
  <c r="AW591" i="10" s="1"/>
  <c r="AV541" i="10"/>
  <c r="AW541" i="10" s="1"/>
  <c r="AV463" i="10"/>
  <c r="AW463" i="10" s="1"/>
  <c r="AV369" i="10"/>
  <c r="AV288" i="10"/>
  <c r="AV207" i="10"/>
  <c r="AV113" i="10"/>
  <c r="AV32" i="10"/>
  <c r="AV513" i="10"/>
  <c r="AW513" i="10" s="1"/>
  <c r="AV1688" i="10"/>
  <c r="AW1688" i="10" s="1"/>
  <c r="AV1672" i="10"/>
  <c r="AW1672" i="10" s="1"/>
  <c r="AV1656" i="10"/>
  <c r="AW1656" i="10" s="1"/>
  <c r="AV1640" i="10"/>
  <c r="AW1640" i="10" s="1"/>
  <c r="AV1624" i="10"/>
  <c r="AW1624" i="10" s="1"/>
  <c r="AV1608" i="10"/>
  <c r="AW1608" i="10" s="1"/>
  <c r="AV1592" i="10"/>
  <c r="AW1592" i="10" s="1"/>
  <c r="AV1576" i="10"/>
  <c r="AW1576" i="10" s="1"/>
  <c r="AV1560" i="10"/>
  <c r="AW1560" i="10" s="1"/>
  <c r="AV1544" i="10"/>
  <c r="AW1544" i="10" s="1"/>
  <c r="AV1528" i="10"/>
  <c r="AW1528" i="10" s="1"/>
  <c r="AV1512" i="10"/>
  <c r="AW1512" i="10" s="1"/>
  <c r="AV1496" i="10"/>
  <c r="AW1496" i="10" s="1"/>
  <c r="AV1480" i="10"/>
  <c r="AW1480" i="10" s="1"/>
  <c r="AV1464" i="10"/>
  <c r="AW1464" i="10" s="1"/>
  <c r="AV1448" i="10"/>
  <c r="AW1448" i="10" s="1"/>
  <c r="AV1432" i="10"/>
  <c r="AW1432" i="10" s="1"/>
  <c r="AV1416" i="10"/>
  <c r="AW1416" i="10" s="1"/>
  <c r="AV1400" i="10"/>
  <c r="AW1400" i="10" s="1"/>
  <c r="AV1384" i="10"/>
  <c r="AW1384" i="10" s="1"/>
  <c r="AV1368" i="10"/>
  <c r="AW1368" i="10" s="1"/>
  <c r="AV1349" i="10"/>
  <c r="AW1349" i="10" s="1"/>
  <c r="AV1326" i="10"/>
  <c r="AW1326" i="10" s="1"/>
  <c r="AV1301" i="10"/>
  <c r="AW1301" i="10" s="1"/>
  <c r="AV1276" i="10"/>
  <c r="AW1276" i="10" s="1"/>
  <c r="AV1248" i="10"/>
  <c r="AW1248" i="10" s="1"/>
  <c r="AV1224" i="10"/>
  <c r="AW1224" i="10" s="1"/>
  <c r="AV1196" i="10"/>
  <c r="AW1196" i="10" s="1"/>
  <c r="AV1164" i="10"/>
  <c r="AW1164" i="10" s="1"/>
  <c r="AV1132" i="10"/>
  <c r="AW1132" i="10" s="1"/>
  <c r="AV1100" i="10"/>
  <c r="AW1100" i="10" s="1"/>
  <c r="AV1068" i="10"/>
  <c r="AW1068" i="10" s="1"/>
  <c r="AV1036" i="10"/>
  <c r="AW1036" i="10" s="1"/>
  <c r="AV1004" i="10"/>
  <c r="AW1004" i="10" s="1"/>
  <c r="AV972" i="10"/>
  <c r="AW972" i="10" s="1"/>
  <c r="AV940" i="10"/>
  <c r="AW940" i="10" s="1"/>
  <c r="AV908" i="10"/>
  <c r="AW908" i="10" s="1"/>
  <c r="AV874" i="10"/>
  <c r="AW874" i="10" s="1"/>
  <c r="AV829" i="10"/>
  <c r="AW829" i="10" s="1"/>
  <c r="AV784" i="10"/>
  <c r="AW784" i="10" s="1"/>
  <c r="AV737" i="10"/>
  <c r="AW737" i="10" s="1"/>
  <c r="AV688" i="10"/>
  <c r="AW688" i="10" s="1"/>
  <c r="AV639" i="10"/>
  <c r="AW639" i="10" s="1"/>
  <c r="AV589" i="10"/>
  <c r="AW589" i="10" s="1"/>
  <c r="AV540" i="10"/>
  <c r="AW540" i="10" s="1"/>
  <c r="AV449" i="10"/>
  <c r="AW449" i="10" s="1"/>
  <c r="AV368" i="10"/>
  <c r="AV287" i="10"/>
  <c r="AV193" i="10"/>
  <c r="AV112" i="10"/>
  <c r="AV31" i="10"/>
  <c r="AV432" i="10"/>
  <c r="AW432" i="10" s="1"/>
  <c r="AV1687" i="10"/>
  <c r="AW1687" i="10" s="1"/>
  <c r="AV1671" i="10"/>
  <c r="AW1671" i="10" s="1"/>
  <c r="AV1655" i="10"/>
  <c r="AW1655" i="10" s="1"/>
  <c r="AV1639" i="10"/>
  <c r="AW1639" i="10" s="1"/>
  <c r="AV1623" i="10"/>
  <c r="AW1623" i="10" s="1"/>
  <c r="AV1607" i="10"/>
  <c r="AW1607" i="10" s="1"/>
  <c r="AV1591" i="10"/>
  <c r="AW1591" i="10" s="1"/>
  <c r="AV1575" i="10"/>
  <c r="AW1575" i="10" s="1"/>
  <c r="AV1559" i="10"/>
  <c r="AW1559" i="10" s="1"/>
  <c r="AV1543" i="10"/>
  <c r="AW1543" i="10" s="1"/>
  <c r="AV1527" i="10"/>
  <c r="AW1527" i="10" s="1"/>
  <c r="AV1511" i="10"/>
  <c r="AW1511" i="10" s="1"/>
  <c r="AV1495" i="10"/>
  <c r="AW1495" i="10" s="1"/>
  <c r="AV1479" i="10"/>
  <c r="AW1479" i="10" s="1"/>
  <c r="AV1463" i="10"/>
  <c r="AW1463" i="10" s="1"/>
  <c r="AV1447" i="10"/>
  <c r="AW1447" i="10" s="1"/>
  <c r="AV1431" i="10"/>
  <c r="AW1431" i="10" s="1"/>
  <c r="AV1415" i="10"/>
  <c r="AW1415" i="10" s="1"/>
  <c r="AV1399" i="10"/>
  <c r="AW1399" i="10" s="1"/>
  <c r="AV1383" i="10"/>
  <c r="AW1383" i="10" s="1"/>
  <c r="AV1367" i="10"/>
  <c r="AW1367" i="10" s="1"/>
  <c r="AV1348" i="10"/>
  <c r="AW1348" i="10" s="1"/>
  <c r="AV1325" i="10"/>
  <c r="AW1325" i="10" s="1"/>
  <c r="AV1297" i="10"/>
  <c r="AW1297" i="10" s="1"/>
  <c r="AV1274" i="10"/>
  <c r="AW1274" i="10" s="1"/>
  <c r="AV1247" i="10"/>
  <c r="AW1247" i="10" s="1"/>
  <c r="AV1221" i="10"/>
  <c r="AW1221" i="10" s="1"/>
  <c r="AV1194" i="10"/>
  <c r="AW1194" i="10" s="1"/>
  <c r="AV1162" i="10"/>
  <c r="AW1162" i="10" s="1"/>
  <c r="AV1130" i="10"/>
  <c r="AW1130" i="10" s="1"/>
  <c r="AV1098" i="10"/>
  <c r="AW1098" i="10" s="1"/>
  <c r="AV1066" i="10"/>
  <c r="AW1066" i="10" s="1"/>
  <c r="AV1034" i="10"/>
  <c r="AW1034" i="10" s="1"/>
  <c r="AV1002" i="10"/>
  <c r="AW1002" i="10" s="1"/>
  <c r="AV970" i="10"/>
  <c r="AW970" i="10" s="1"/>
  <c r="AV938" i="10"/>
  <c r="AW938" i="10" s="1"/>
  <c r="AV906" i="10"/>
  <c r="AW906" i="10" s="1"/>
  <c r="AV865" i="10"/>
  <c r="AW865" i="10" s="1"/>
  <c r="AV828" i="10"/>
  <c r="AW828" i="10" s="1"/>
  <c r="AV783" i="10"/>
  <c r="AW783" i="10" s="1"/>
  <c r="AV736" i="10"/>
  <c r="AW736" i="10" s="1"/>
  <c r="AV687" i="10"/>
  <c r="AW687" i="10" s="1"/>
  <c r="AV637" i="10"/>
  <c r="AW637" i="10" s="1"/>
  <c r="AV588" i="10"/>
  <c r="AW588" i="10" s="1"/>
  <c r="AV529" i="10"/>
  <c r="AW529" i="10" s="1"/>
  <c r="AV448" i="10"/>
  <c r="AW448" i="10" s="1"/>
  <c r="AV367" i="10"/>
  <c r="AV273" i="10"/>
  <c r="AV192" i="10"/>
  <c r="AV111" i="10"/>
  <c r="AV17" i="10"/>
  <c r="AV575" i="10"/>
  <c r="AW575" i="10" s="1"/>
  <c r="AV1686" i="10"/>
  <c r="AW1686" i="10" s="1"/>
  <c r="AV1670" i="10"/>
  <c r="AW1670" i="10" s="1"/>
  <c r="AV1654" i="10"/>
  <c r="AW1654" i="10" s="1"/>
  <c r="AV1638" i="10"/>
  <c r="AW1638" i="10" s="1"/>
  <c r="AV1622" i="10"/>
  <c r="AW1622" i="10" s="1"/>
  <c r="AV1606" i="10"/>
  <c r="AW1606" i="10" s="1"/>
  <c r="AV1590" i="10"/>
  <c r="AW1590" i="10" s="1"/>
  <c r="AV1574" i="10"/>
  <c r="AW1574" i="10" s="1"/>
  <c r="AV1558" i="10"/>
  <c r="AW1558" i="10" s="1"/>
  <c r="AV1542" i="10"/>
  <c r="AW1542" i="10" s="1"/>
  <c r="AV1526" i="10"/>
  <c r="AW1526" i="10" s="1"/>
  <c r="AV1510" i="10"/>
  <c r="AW1510" i="10" s="1"/>
  <c r="AV1494" i="10"/>
  <c r="AW1494" i="10" s="1"/>
  <c r="AV1478" i="10"/>
  <c r="AW1478" i="10" s="1"/>
  <c r="AV1462" i="10"/>
  <c r="AW1462" i="10" s="1"/>
  <c r="AV1446" i="10"/>
  <c r="AW1446" i="10" s="1"/>
  <c r="AV1430" i="10"/>
  <c r="AW1430" i="10" s="1"/>
  <c r="AV1414" i="10"/>
  <c r="AW1414" i="10" s="1"/>
  <c r="AV1398" i="10"/>
  <c r="AW1398" i="10" s="1"/>
  <c r="AV1382" i="10"/>
  <c r="AW1382" i="10" s="1"/>
  <c r="AV1366" i="10"/>
  <c r="AW1366" i="10" s="1"/>
  <c r="AV1345" i="10"/>
  <c r="AW1345" i="10" s="1"/>
  <c r="AV1324" i="10"/>
  <c r="AW1324" i="10" s="1"/>
  <c r="AV1296" i="10"/>
  <c r="AW1296" i="10" s="1"/>
  <c r="AV1273" i="10"/>
  <c r="AW1273" i="10" s="1"/>
  <c r="AV1246" i="10"/>
  <c r="AW1246" i="10" s="1"/>
  <c r="AV1217" i="10"/>
  <c r="AW1217" i="10" s="1"/>
  <c r="AV1189" i="10"/>
  <c r="AW1189" i="10" s="1"/>
  <c r="AV1157" i="10"/>
  <c r="AW1157" i="10" s="1"/>
  <c r="AV1125" i="10"/>
  <c r="AW1125" i="10" s="1"/>
  <c r="AV1093" i="10"/>
  <c r="AW1093" i="10" s="1"/>
  <c r="AV1061" i="10"/>
  <c r="AW1061" i="10" s="1"/>
  <c r="AV1029" i="10"/>
  <c r="AW1029" i="10" s="1"/>
  <c r="AV997" i="10"/>
  <c r="AW997" i="10" s="1"/>
  <c r="AV965" i="10"/>
  <c r="AW965" i="10" s="1"/>
  <c r="AV933" i="10"/>
  <c r="AW933" i="10" s="1"/>
  <c r="AV901" i="10"/>
  <c r="AW901" i="10" s="1"/>
  <c r="AV864" i="10"/>
  <c r="AW864" i="10" s="1"/>
  <c r="AV826" i="10"/>
  <c r="AW826" i="10" s="1"/>
  <c r="AV781" i="10"/>
  <c r="AW781" i="10" s="1"/>
  <c r="AV735" i="10"/>
  <c r="AW735" i="10" s="1"/>
  <c r="AV685" i="10"/>
  <c r="AW685" i="10" s="1"/>
  <c r="AV636" i="10"/>
  <c r="AW636" i="10" s="1"/>
  <c r="AV577" i="10"/>
  <c r="AW577" i="10" s="1"/>
  <c r="AV528" i="10"/>
  <c r="AW528" i="10" s="1"/>
  <c r="AV447" i="10"/>
  <c r="AW447" i="10" s="1"/>
  <c r="AV353" i="10"/>
  <c r="AV272" i="10"/>
  <c r="AV191" i="10"/>
  <c r="AV97" i="10"/>
  <c r="AV16" i="10"/>
  <c r="AV1684" i="10"/>
  <c r="AW1684" i="10" s="1"/>
  <c r="AV1604" i="10"/>
  <c r="AW1604" i="10" s="1"/>
  <c r="AV1540" i="10"/>
  <c r="AW1540" i="10" s="1"/>
  <c r="AV1476" i="10"/>
  <c r="AW1476" i="10" s="1"/>
  <c r="AV1412" i="10"/>
  <c r="AW1412" i="10" s="1"/>
  <c r="AV1364" i="10"/>
  <c r="AW1364" i="10" s="1"/>
  <c r="AV1269" i="10"/>
  <c r="AW1269" i="10" s="1"/>
  <c r="AV1152" i="10"/>
  <c r="AW1152" i="10" s="1"/>
  <c r="AV992" i="10"/>
  <c r="AW992" i="10" s="1"/>
  <c r="AV1685" i="10"/>
  <c r="AW1685" i="10" s="1"/>
  <c r="AV1669" i="10"/>
  <c r="AW1669" i="10" s="1"/>
  <c r="AV1653" i="10"/>
  <c r="AW1653" i="10" s="1"/>
  <c r="AV1637" i="10"/>
  <c r="AW1637" i="10" s="1"/>
  <c r="AV1621" i="10"/>
  <c r="AW1621" i="10" s="1"/>
  <c r="AV1605" i="10"/>
  <c r="AW1605" i="10" s="1"/>
  <c r="AV1589" i="10"/>
  <c r="AW1589" i="10" s="1"/>
  <c r="AV1573" i="10"/>
  <c r="AW1573" i="10" s="1"/>
  <c r="AV1557" i="10"/>
  <c r="AW1557" i="10" s="1"/>
  <c r="AV1541" i="10"/>
  <c r="AW1541" i="10" s="1"/>
  <c r="AV1525" i="10"/>
  <c r="AW1525" i="10" s="1"/>
  <c r="AV1509" i="10"/>
  <c r="AW1509" i="10" s="1"/>
  <c r="AV1493" i="10"/>
  <c r="AW1493" i="10" s="1"/>
  <c r="AV1477" i="10"/>
  <c r="AW1477" i="10" s="1"/>
  <c r="AV1461" i="10"/>
  <c r="AW1461" i="10" s="1"/>
  <c r="AV1445" i="10"/>
  <c r="AW1445" i="10" s="1"/>
  <c r="AV1429" i="10"/>
  <c r="AW1429" i="10" s="1"/>
  <c r="AV1413" i="10"/>
  <c r="AW1413" i="10" s="1"/>
  <c r="AV1397" i="10"/>
  <c r="AW1397" i="10" s="1"/>
  <c r="AV1381" i="10"/>
  <c r="AW1381" i="10" s="1"/>
  <c r="AV1365" i="10"/>
  <c r="AW1365" i="10" s="1"/>
  <c r="AV1344" i="10"/>
  <c r="AW1344" i="10" s="1"/>
  <c r="AV1322" i="10"/>
  <c r="AW1322" i="10" s="1"/>
  <c r="AV1295" i="10"/>
  <c r="AW1295" i="10" s="1"/>
  <c r="AV1272" i="10"/>
  <c r="AW1272" i="10" s="1"/>
  <c r="AV1245" i="10"/>
  <c r="AW1245" i="10" s="1"/>
  <c r="AV1216" i="10"/>
  <c r="AW1216" i="10" s="1"/>
  <c r="AV1185" i="10"/>
  <c r="AW1185" i="10" s="1"/>
  <c r="AV1153" i="10"/>
  <c r="AW1153" i="10" s="1"/>
  <c r="AV1121" i="10"/>
  <c r="AW1121" i="10" s="1"/>
  <c r="AV1089" i="10"/>
  <c r="AW1089" i="10" s="1"/>
  <c r="AV1057" i="10"/>
  <c r="AW1057" i="10" s="1"/>
  <c r="AV1025" i="10"/>
  <c r="AW1025" i="10" s="1"/>
  <c r="AV993" i="10"/>
  <c r="AW993" i="10" s="1"/>
  <c r="AV961" i="10"/>
  <c r="AW961" i="10" s="1"/>
  <c r="AV929" i="10"/>
  <c r="AW929" i="10" s="1"/>
  <c r="AV897" i="10"/>
  <c r="AW897" i="10" s="1"/>
  <c r="AV863" i="10"/>
  <c r="AW863" i="10" s="1"/>
  <c r="AV817" i="10"/>
  <c r="AW817" i="10" s="1"/>
  <c r="AV780" i="10"/>
  <c r="AW780" i="10" s="1"/>
  <c r="AV733" i="10"/>
  <c r="AW733" i="10" s="1"/>
  <c r="AV684" i="10"/>
  <c r="AW684" i="10" s="1"/>
  <c r="AV625" i="10"/>
  <c r="AW625" i="10" s="1"/>
  <c r="AV576" i="10"/>
  <c r="AW576" i="10" s="1"/>
  <c r="AV527" i="10"/>
  <c r="AW527" i="10" s="1"/>
  <c r="AV433" i="10"/>
  <c r="AW433" i="10" s="1"/>
  <c r="AV352" i="10"/>
  <c r="AV271" i="10"/>
  <c r="AV177" i="10"/>
  <c r="AV96" i="10"/>
  <c r="AV15" i="10"/>
  <c r="AW1143" i="10"/>
  <c r="AW919" i="10"/>
  <c r="AW643" i="10"/>
  <c r="AW1213" i="10"/>
  <c r="AW889" i="10"/>
  <c r="AW1459" i="10"/>
  <c r="AW509" i="10"/>
  <c r="AW581" i="10"/>
  <c r="AW853" i="10"/>
  <c r="AW614" i="10"/>
  <c r="AW870" i="10"/>
  <c r="AW1126" i="10"/>
  <c r="AW1174" i="10"/>
  <c r="AW439" i="10"/>
  <c r="AW535" i="10"/>
  <c r="AW568" i="10"/>
  <c r="AW600" i="10"/>
  <c r="AW537" i="10"/>
  <c r="AW426" i="10"/>
  <c r="AW442" i="10"/>
  <c r="AW459" i="10"/>
  <c r="AW699" i="10"/>
  <c r="AW955" i="10"/>
  <c r="AW1602" i="10"/>
  <c r="AW1570" i="10"/>
  <c r="AW1522" i="10"/>
  <c r="AW1474" i="10"/>
  <c r="AW1426" i="10"/>
  <c r="AW1087" i="10"/>
  <c r="AW1028" i="10"/>
  <c r="AW417" i="10"/>
  <c r="AW1342" i="10"/>
  <c r="AW1047" i="10"/>
  <c r="AW709" i="10"/>
  <c r="AW1378" i="10"/>
  <c r="AW902" i="10"/>
  <c r="AW511" i="10"/>
  <c r="AW1000" i="10"/>
  <c r="AW1678" i="10"/>
  <c r="AW1177" i="10"/>
  <c r="AW1080" i="10"/>
  <c r="AW982" i="10"/>
  <c r="AW494" i="10"/>
  <c r="AW903" i="10"/>
  <c r="AW1359" i="10"/>
  <c r="AW971" i="10"/>
  <c r="AW586" i="10"/>
  <c r="AW1053" i="10"/>
  <c r="AW861" i="10"/>
  <c r="AW860" i="10"/>
  <c r="AW1338" i="10"/>
  <c r="AW1119" i="10"/>
  <c r="AW1022" i="10"/>
  <c r="AW1634" i="10"/>
  <c r="AW1118" i="10"/>
  <c r="AW633" i="10"/>
  <c r="AW1619" i="10"/>
  <c r="AW1600" i="10"/>
  <c r="AW1442" i="10"/>
  <c r="AW1363" i="10"/>
  <c r="AW1222" i="10"/>
  <c r="AW712" i="10"/>
  <c r="AW1618" i="10"/>
  <c r="AW1362" i="10"/>
  <c r="AW1293" i="10"/>
  <c r="AW1243" i="10"/>
  <c r="AW1049" i="10"/>
  <c r="AW905" i="10"/>
  <c r="AW855" i="10"/>
  <c r="AW808" i="10"/>
  <c r="AW470" i="10"/>
  <c r="AW1145" i="10"/>
  <c r="AW1023" i="10"/>
  <c r="AW1001" i="10"/>
  <c r="AW926" i="10"/>
  <c r="AW710" i="10"/>
  <c r="AW613" i="10"/>
  <c r="AW469" i="10"/>
  <c r="AW418" i="10"/>
  <c r="AW434" i="10"/>
  <c r="AW466" i="10"/>
  <c r="AW498" i="10"/>
  <c r="AW530" i="10"/>
  <c r="AW546" i="10"/>
  <c r="AW562" i="10"/>
  <c r="AW674" i="10"/>
  <c r="AW690" i="10"/>
  <c r="AW706" i="10"/>
  <c r="AW722" i="10"/>
  <c r="AW738" i="10"/>
  <c r="AW802" i="10"/>
  <c r="AW850" i="10"/>
  <c r="AW930" i="10"/>
  <c r="AW946" i="10"/>
  <c r="AW978" i="10"/>
  <c r="AW1042" i="10"/>
  <c r="AW1058" i="10"/>
  <c r="AW1186" i="10"/>
  <c r="AW1202" i="10"/>
  <c r="AW1234" i="10"/>
  <c r="AW1250" i="10"/>
  <c r="AW1298" i="10"/>
  <c r="AW1314" i="10"/>
  <c r="AW419" i="10"/>
  <c r="AW451" i="10"/>
  <c r="AW467" i="10"/>
  <c r="AW595" i="10"/>
  <c r="AW611" i="10"/>
  <c r="AW707" i="10"/>
  <c r="AW723" i="10"/>
  <c r="AW851" i="10"/>
  <c r="AW867" i="10"/>
  <c r="AW883" i="10"/>
  <c r="AW899" i="10"/>
  <c r="AW915" i="10"/>
  <c r="AW931" i="10"/>
  <c r="AW963" i="10"/>
  <c r="AW979" i="10"/>
  <c r="AW1011" i="10"/>
  <c r="AW1027" i="10"/>
  <c r="AW1107" i="10"/>
  <c r="AW1123" i="10"/>
  <c r="AW1139" i="10"/>
  <c r="AW1155" i="10"/>
  <c r="AW1187" i="10"/>
  <c r="AW1219" i="10"/>
  <c r="AW1235" i="10"/>
  <c r="AW1267" i="10"/>
  <c r="AW516" i="10"/>
  <c r="AW532" i="10"/>
  <c r="AW564" i="10"/>
  <c r="AW580" i="10"/>
  <c r="AW628" i="10"/>
  <c r="AW644" i="10"/>
  <c r="AW756" i="10"/>
  <c r="AW788" i="10"/>
  <c r="AW820" i="10"/>
  <c r="AW852" i="10"/>
  <c r="AW884" i="10"/>
  <c r="AW900" i="10"/>
  <c r="AW1044" i="10"/>
  <c r="AW1076" i="10"/>
  <c r="AW1140" i="10"/>
  <c r="AW1156" i="10"/>
  <c r="AW1172" i="10"/>
  <c r="AW1300" i="10"/>
  <c r="AW698" i="10"/>
  <c r="AW815" i="10"/>
  <c r="AW837" i="10"/>
  <c r="AW894" i="10"/>
  <c r="AW954" i="10"/>
  <c r="AW1014" i="10"/>
  <c r="AW1150" i="10"/>
  <c r="AW1289" i="10"/>
  <c r="AW485" i="10"/>
  <c r="AW621" i="10"/>
  <c r="AW681" i="10"/>
  <c r="AW719" i="10"/>
  <c r="AW741" i="10"/>
  <c r="AW839" i="10"/>
  <c r="AW1054" i="10"/>
  <c r="AW486" i="10"/>
  <c r="AW524" i="10"/>
  <c r="AW603" i="10"/>
  <c r="AW859" i="10"/>
  <c r="AW1115" i="10"/>
  <c r="AW1651" i="10"/>
  <c r="AW1475" i="10"/>
  <c r="AW1286" i="10"/>
  <c r="AW923" i="10"/>
  <c r="AW848" i="10"/>
  <c r="AW488" i="10"/>
  <c r="AW1553" i="10"/>
  <c r="AW1395" i="10"/>
  <c r="AW1238" i="10"/>
  <c r="AW991" i="10"/>
  <c r="AW895" i="10"/>
  <c r="AW750" i="10"/>
  <c r="AW678" i="10"/>
  <c r="AW631" i="10"/>
  <c r="AW968" i="10"/>
  <c r="AW824" i="10"/>
  <c r="AW1666" i="10"/>
  <c r="AW1183" i="10"/>
  <c r="AW1161" i="10"/>
  <c r="AW1064" i="10"/>
  <c r="AW823" i="10"/>
  <c r="AW773" i="10"/>
  <c r="AW726" i="10"/>
  <c r="AW629" i="10"/>
  <c r="AW1683" i="10"/>
  <c r="AW1647" i="10"/>
  <c r="AW1490" i="10"/>
  <c r="AW1411" i="10"/>
  <c r="AW966" i="10"/>
  <c r="AW456" i="10"/>
  <c r="AW431" i="10"/>
  <c r="AW1587" i="10"/>
  <c r="AW1303" i="10"/>
  <c r="AW1159" i="10"/>
  <c r="AW816" i="10"/>
  <c r="AW793" i="10"/>
  <c r="AW768" i="10"/>
  <c r="AW649" i="10"/>
  <c r="AW599" i="10"/>
  <c r="AW1507" i="10"/>
  <c r="AW1469" i="10"/>
  <c r="AW1158" i="10"/>
  <c r="AW598" i="10"/>
  <c r="AW573" i="10"/>
  <c r="AW454" i="10"/>
  <c r="AW1506" i="10"/>
  <c r="AW1427" i="10"/>
  <c r="AW791" i="10"/>
  <c r="AW647" i="10"/>
  <c r="AW597" i="10"/>
  <c r="AW1603" i="10"/>
  <c r="AW1081" i="10"/>
  <c r="AW959" i="10"/>
  <c r="AW715" i="10"/>
  <c r="AQ3" i="10"/>
  <c r="AQ2" i="10"/>
  <c r="AO409" i="9"/>
  <c r="AO401" i="9"/>
  <c r="AO855" i="10"/>
  <c r="AO871" i="10"/>
  <c r="AO386" i="10"/>
  <c r="AO895" i="10"/>
  <c r="AO927" i="10"/>
  <c r="AO385" i="9"/>
  <c r="AO377" i="9"/>
  <c r="AO397" i="9"/>
  <c r="AO381" i="9"/>
  <c r="AO365" i="9"/>
  <c r="AO349" i="9"/>
  <c r="AO333" i="9"/>
  <c r="AO317" i="9"/>
  <c r="AO301" i="9"/>
  <c r="AO285" i="9"/>
  <c r="AO269" i="9"/>
  <c r="AO253" i="9"/>
  <c r="AO237" i="9"/>
  <c r="AO361" i="9"/>
  <c r="AO369" i="9"/>
  <c r="AO353" i="9"/>
  <c r="AO337" i="9"/>
  <c r="AO321" i="9"/>
  <c r="AO305" i="9"/>
  <c r="AO289" i="9"/>
  <c r="AO122" i="9"/>
  <c r="AO345" i="9"/>
  <c r="AO313" i="9"/>
  <c r="AO297" i="9"/>
  <c r="AO281" i="9"/>
  <c r="AO249" i="9"/>
  <c r="AO233" i="9"/>
  <c r="AO217" i="9"/>
  <c r="AO201" i="9"/>
  <c r="AO185" i="9"/>
  <c r="AO169" i="9"/>
  <c r="AO153" i="9"/>
  <c r="AO137" i="9"/>
  <c r="AO121" i="9"/>
  <c r="AO105" i="9"/>
  <c r="AO73" i="9"/>
  <c r="AO57" i="9"/>
  <c r="AO41" i="9"/>
  <c r="AO25" i="9"/>
  <c r="AO10" i="9"/>
  <c r="AO26" i="9"/>
  <c r="AO58" i="9"/>
  <c r="AO90" i="9"/>
  <c r="AO202" i="9"/>
  <c r="AO266" i="9"/>
  <c r="AO330" i="9"/>
  <c r="AO394" i="9"/>
  <c r="AO74" i="9"/>
  <c r="AO106" i="9"/>
  <c r="AO138" i="9"/>
  <c r="AO170" i="9"/>
  <c r="AO186" i="9"/>
  <c r="AO282" i="9"/>
  <c r="AO346" i="9"/>
  <c r="AO410" i="9"/>
  <c r="AO8" i="9"/>
  <c r="AO24" i="9"/>
  <c r="AO40" i="9"/>
  <c r="AO56" i="9"/>
  <c r="AO72" i="9"/>
  <c r="AO88" i="9"/>
  <c r="AO104" i="9"/>
  <c r="AO120" i="9"/>
  <c r="AO136" i="9"/>
  <c r="AO152" i="9"/>
  <c r="AO168" i="9"/>
  <c r="AO184" i="9"/>
  <c r="AO200" i="9"/>
  <c r="AO216" i="9"/>
  <c r="AO232" i="9"/>
  <c r="AO248" i="9"/>
  <c r="AO264" i="9"/>
  <c r="AO280" i="9"/>
  <c r="AO296" i="9"/>
  <c r="AO312" i="9"/>
  <c r="AO328" i="9"/>
  <c r="AO344" i="9"/>
  <c r="AO360" i="9"/>
  <c r="AO376" i="9"/>
  <c r="AO392" i="9"/>
  <c r="AO408" i="9"/>
  <c r="AO331" i="9"/>
  <c r="AO221" i="9"/>
  <c r="AO205" i="9"/>
  <c r="AO189" i="9"/>
  <c r="AO173" i="9"/>
  <c r="AO157" i="9"/>
  <c r="AO141" i="9"/>
  <c r="AO125" i="9"/>
  <c r="AO109" i="9"/>
  <c r="AO93" i="9"/>
  <c r="AO77" i="9"/>
  <c r="AO61" i="9"/>
  <c r="AO45" i="9"/>
  <c r="AO29" i="9"/>
  <c r="AO13" i="9"/>
  <c r="AO9" i="9"/>
  <c r="AO89" i="9"/>
  <c r="AO265" i="9"/>
  <c r="AO329" i="9"/>
  <c r="AO393" i="9"/>
  <c r="AO268" i="9"/>
  <c r="AO252" i="9"/>
  <c r="AO236" i="9"/>
  <c r="AO220" i="9"/>
  <c r="AO204" i="9"/>
  <c r="AO188" i="9"/>
  <c r="AO172" i="9"/>
  <c r="AO156" i="9"/>
  <c r="AO140" i="9"/>
  <c r="AO124" i="9"/>
  <c r="AO108" i="9"/>
  <c r="AO92" i="9"/>
  <c r="AO76" i="9"/>
  <c r="AO60" i="9"/>
  <c r="AO44" i="9"/>
  <c r="AO28" i="9"/>
  <c r="AO12" i="9"/>
  <c r="AO27" i="9"/>
  <c r="AO171" i="9"/>
  <c r="AO411" i="9"/>
  <c r="AO379" i="9"/>
  <c r="AO363" i="9"/>
  <c r="AO315" i="9"/>
  <c r="AO299" i="9"/>
  <c r="AO267" i="9"/>
  <c r="AO251" i="9"/>
  <c r="AO235" i="9"/>
  <c r="AO219" i="9"/>
  <c r="AO187" i="9"/>
  <c r="AO155" i="9"/>
  <c r="AO139" i="9"/>
  <c r="AO123" i="9"/>
  <c r="AO107" i="9"/>
  <c r="AO75" i="9"/>
  <c r="AO59" i="9"/>
  <c r="AO43" i="9"/>
  <c r="AO11" i="9"/>
  <c r="AO91" i="9"/>
  <c r="AO203" i="9"/>
  <c r="AO283" i="9"/>
  <c r="AO347" i="9"/>
  <c r="AO395" i="9"/>
  <c r="AO378" i="9"/>
  <c r="AO362" i="9"/>
  <c r="AO314" i="9"/>
  <c r="AO298" i="9"/>
  <c r="AO250" i="9"/>
  <c r="AO234" i="9"/>
  <c r="AO218" i="9"/>
  <c r="AO154" i="9"/>
  <c r="AO42" i="9"/>
  <c r="AO143" i="10"/>
  <c r="AO191" i="10"/>
  <c r="AO1413" i="10"/>
  <c r="AO1152" i="10"/>
  <c r="AO1232" i="10"/>
  <c r="AO1264" i="10"/>
  <c r="AO1600" i="10"/>
  <c r="AO284" i="9"/>
  <c r="AO300" i="9"/>
  <c r="AO316" i="9"/>
  <c r="AO332" i="9"/>
  <c r="AO348" i="9"/>
  <c r="AO364" i="9"/>
  <c r="AO380" i="9"/>
  <c r="AO396" i="9"/>
  <c r="AO400" i="9"/>
  <c r="AO384" i="9"/>
  <c r="AO368" i="9"/>
  <c r="AO352" i="9"/>
  <c r="AO336" i="9"/>
  <c r="AO320" i="9"/>
  <c r="AO304" i="9"/>
  <c r="AO288" i="9"/>
  <c r="AO272" i="9"/>
  <c r="AO256" i="9"/>
  <c r="AO240" i="9"/>
  <c r="AO224" i="9"/>
  <c r="AO208" i="9"/>
  <c r="AO192" i="9"/>
  <c r="AO176" i="9"/>
  <c r="AO160" i="9"/>
  <c r="AO144" i="9"/>
  <c r="AO128" i="9"/>
  <c r="AO112" i="9"/>
  <c r="AO96" i="9"/>
  <c r="AO80" i="9"/>
  <c r="AO64" i="9"/>
  <c r="AO48" i="9"/>
  <c r="AO32" i="9"/>
  <c r="AO16" i="9"/>
  <c r="AO399" i="9"/>
  <c r="AO383" i="9"/>
  <c r="AO367" i="9"/>
  <c r="AO351" i="9"/>
  <c r="AO335" i="9"/>
  <c r="AO319" i="9"/>
  <c r="AO303" i="9"/>
  <c r="AO287" i="9"/>
  <c r="AO271" i="9"/>
  <c r="AO255" i="9"/>
  <c r="AO239" i="9"/>
  <c r="AO223" i="9"/>
  <c r="AO207" i="9"/>
  <c r="AO191" i="9"/>
  <c r="AO175" i="9"/>
  <c r="AO159" i="9"/>
  <c r="AO143" i="9"/>
  <c r="AO127" i="9"/>
  <c r="AO111" i="9"/>
  <c r="AO95" i="9"/>
  <c r="AO79" i="9"/>
  <c r="AO63" i="9"/>
  <c r="AO47" i="9"/>
  <c r="AO31" i="9"/>
  <c r="AO15" i="9"/>
  <c r="AO398" i="9"/>
  <c r="AO382" i="9"/>
  <c r="AO366" i="9"/>
  <c r="AO350" i="9"/>
  <c r="AO334" i="9"/>
  <c r="AO318" i="9"/>
  <c r="AO302" i="9"/>
  <c r="AO286" i="9"/>
  <c r="AO270" i="9"/>
  <c r="AO254" i="9"/>
  <c r="AO238" i="9"/>
  <c r="AO222" i="9"/>
  <c r="AO206" i="9"/>
  <c r="AO190" i="9"/>
  <c r="AO174" i="9"/>
  <c r="AO158" i="9"/>
  <c r="AO142" i="9"/>
  <c r="AO126" i="9"/>
  <c r="AO110" i="9"/>
  <c r="AO94" i="9"/>
  <c r="AO78" i="9"/>
  <c r="AO62" i="9"/>
  <c r="AO46" i="9"/>
  <c r="AO30" i="9"/>
  <c r="AO14" i="9"/>
  <c r="AO49" i="9"/>
  <c r="AO177" i="9"/>
  <c r="AO33" i="9"/>
  <c r="AO241" i="9"/>
  <c r="AO129" i="9"/>
  <c r="AO273" i="9"/>
  <c r="AO161" i="9"/>
  <c r="AO2" i="9"/>
  <c r="AO18" i="9"/>
  <c r="AO34" i="9"/>
  <c r="AO50" i="9"/>
  <c r="AO66" i="9"/>
  <c r="AO82" i="9"/>
  <c r="AO98" i="9"/>
  <c r="AO114" i="9"/>
  <c r="AO130" i="9"/>
  <c r="AO146" i="9"/>
  <c r="AO162" i="9"/>
  <c r="AO178" i="9"/>
  <c r="AO194" i="9"/>
  <c r="AO210" i="9"/>
  <c r="AO226" i="9"/>
  <c r="AO242" i="9"/>
  <c r="AO258" i="9"/>
  <c r="AO274" i="9"/>
  <c r="AO290" i="9"/>
  <c r="AO306" i="9"/>
  <c r="AO225" i="9"/>
  <c r="AO322" i="9"/>
  <c r="AO338" i="9"/>
  <c r="AO354" i="9"/>
  <c r="AO370" i="9"/>
  <c r="AO386" i="9"/>
  <c r="AO402" i="9"/>
  <c r="AO407" i="9"/>
  <c r="AO391" i="9"/>
  <c r="AO375" i="9"/>
  <c r="AO359" i="9"/>
  <c r="AO343" i="9"/>
  <c r="AO327" i="9"/>
  <c r="AO311" i="9"/>
  <c r="AO295" i="9"/>
  <c r="AO279" i="9"/>
  <c r="AO263" i="9"/>
  <c r="AO247" i="9"/>
  <c r="AO231" i="9"/>
  <c r="AO215" i="9"/>
  <c r="AO199" i="9"/>
  <c r="AO183" i="9"/>
  <c r="AO167" i="9"/>
  <c r="AO151" i="9"/>
  <c r="AO135" i="9"/>
  <c r="AO119" i="9"/>
  <c r="AO103" i="9"/>
  <c r="AO87" i="9"/>
  <c r="AO71" i="9"/>
  <c r="AO55" i="9"/>
  <c r="AO39" i="9"/>
  <c r="AO23" i="9"/>
  <c r="AO7" i="9"/>
  <c r="AO65" i="9"/>
  <c r="AO257" i="9"/>
  <c r="AO406" i="9"/>
  <c r="AO390" i="9"/>
  <c r="AO374" i="9"/>
  <c r="AO358" i="9"/>
  <c r="AO342" i="9"/>
  <c r="AO326" i="9"/>
  <c r="AO310" i="9"/>
  <c r="AO294" i="9"/>
  <c r="AO278" i="9"/>
  <c r="AO262" i="9"/>
  <c r="AO246" i="9"/>
  <c r="AO230" i="9"/>
  <c r="AO214" i="9"/>
  <c r="AO198" i="9"/>
  <c r="AO182" i="9"/>
  <c r="AO166" i="9"/>
  <c r="AO150" i="9"/>
  <c r="AO134" i="9"/>
  <c r="AO118" i="9"/>
  <c r="AO102" i="9"/>
  <c r="AO86" i="9"/>
  <c r="AO70" i="9"/>
  <c r="AO54" i="9"/>
  <c r="AO38" i="9"/>
  <c r="AO22" i="9"/>
  <c r="AO6" i="9"/>
  <c r="AO405" i="9"/>
  <c r="AO389" i="9"/>
  <c r="AO373" i="9"/>
  <c r="AO357" i="9"/>
  <c r="AO341" i="9"/>
  <c r="AO325" i="9"/>
  <c r="AO309" i="9"/>
  <c r="AO293" i="9"/>
  <c r="AO277" i="9"/>
  <c r="AO261" i="9"/>
  <c r="AO245" i="9"/>
  <c r="AO229" i="9"/>
  <c r="AO213" i="9"/>
  <c r="AO197" i="9"/>
  <c r="AO181" i="9"/>
  <c r="AO165" i="9"/>
  <c r="AO149" i="9"/>
  <c r="AO133" i="9"/>
  <c r="AO117" i="9"/>
  <c r="AO101" i="9"/>
  <c r="AO85" i="9"/>
  <c r="AO69" i="9"/>
  <c r="AO53" i="9"/>
  <c r="AO37" i="9"/>
  <c r="AO21" i="9"/>
  <c r="AO5" i="9"/>
  <c r="AO113" i="9"/>
  <c r="AO404" i="9"/>
  <c r="AO388" i="9"/>
  <c r="AO372" i="9"/>
  <c r="AO356" i="9"/>
  <c r="AO340" i="9"/>
  <c r="AO324" i="9"/>
  <c r="AO308" i="9"/>
  <c r="AO292" i="9"/>
  <c r="AO276" i="9"/>
  <c r="AO260" i="9"/>
  <c r="AO244" i="9"/>
  <c r="AO228" i="9"/>
  <c r="AO212" i="9"/>
  <c r="AO196" i="9"/>
  <c r="AO180" i="9"/>
  <c r="AO164" i="9"/>
  <c r="AO148" i="9"/>
  <c r="AO132" i="9"/>
  <c r="AO116" i="9"/>
  <c r="AO100" i="9"/>
  <c r="AO84" i="9"/>
  <c r="AO68" i="9"/>
  <c r="AO52" i="9"/>
  <c r="AO36" i="9"/>
  <c r="AO20" i="9"/>
  <c r="AO4" i="9"/>
  <c r="AO17" i="9"/>
  <c r="AO81" i="9"/>
  <c r="AO97" i="9"/>
  <c r="AO145" i="9"/>
  <c r="AO193" i="9"/>
  <c r="AO209" i="9"/>
  <c r="AO403" i="9"/>
  <c r="AO387" i="9"/>
  <c r="AO371" i="9"/>
  <c r="AO355" i="9"/>
  <c r="AO339" i="9"/>
  <c r="AO323" i="9"/>
  <c r="AO307" i="9"/>
  <c r="AO291" i="9"/>
  <c r="AO275" i="9"/>
  <c r="AO259" i="9"/>
  <c r="AO243" i="9"/>
  <c r="AO227" i="9"/>
  <c r="AO211" i="9"/>
  <c r="AO195" i="9"/>
  <c r="AO179" i="9"/>
  <c r="AO163" i="9"/>
  <c r="AO147" i="9"/>
  <c r="AO131" i="9"/>
  <c r="AO115" i="9"/>
  <c r="AO99" i="9"/>
  <c r="AO83" i="9"/>
  <c r="AO67" i="9"/>
  <c r="AO51" i="9"/>
  <c r="AO35" i="9"/>
  <c r="AO19" i="9"/>
  <c r="AO3" i="9"/>
  <c r="AO314" i="10"/>
  <c r="AO323" i="10"/>
  <c r="AO133" i="10"/>
  <c r="AO206" i="10"/>
  <c r="AO1155" i="10"/>
  <c r="AO1244" i="10"/>
  <c r="AO1644" i="10"/>
  <c r="AO1525" i="10"/>
  <c r="AO34" i="10"/>
  <c r="AO411" i="10"/>
  <c r="AO274" i="10"/>
  <c r="AO1300" i="10"/>
  <c r="AO1460" i="10"/>
  <c r="AO104" i="10"/>
  <c r="AO696" i="10"/>
  <c r="AO968" i="10"/>
  <c r="AO975" i="10"/>
  <c r="AO1009" i="10"/>
  <c r="AO1041" i="10"/>
  <c r="AO353" i="10"/>
  <c r="AO474" i="10"/>
  <c r="AO883" i="10"/>
  <c r="AO21" i="10"/>
  <c r="AO108" i="10"/>
  <c r="AO113" i="10"/>
  <c r="AO819" i="10"/>
  <c r="AO924" i="10"/>
  <c r="AO636" i="10"/>
  <c r="AO757" i="10"/>
  <c r="AO1523" i="10"/>
  <c r="AO1585" i="10"/>
  <c r="AO1068" i="10"/>
  <c r="AO1221" i="10"/>
  <c r="AO1150" i="10"/>
  <c r="AO1214" i="10"/>
  <c r="AO1310" i="10"/>
  <c r="AO1342" i="10"/>
  <c r="AO414" i="10"/>
  <c r="AO1191" i="10"/>
  <c r="AO1671" i="10"/>
  <c r="AO1687" i="10"/>
  <c r="AO263" i="10"/>
  <c r="AO946" i="10"/>
  <c r="AO1520" i="10"/>
  <c r="AO811" i="10"/>
  <c r="AO1625" i="10"/>
  <c r="AO1648" i="10"/>
  <c r="AO331" i="10"/>
  <c r="AO452" i="10"/>
  <c r="AO628" i="10"/>
  <c r="AO692" i="10"/>
  <c r="AO740" i="10"/>
  <c r="AO525" i="10"/>
  <c r="AO1211" i="10"/>
  <c r="AO342" i="10"/>
  <c r="AO422" i="10"/>
  <c r="AO1062" i="10"/>
  <c r="AO1668" i="10"/>
  <c r="AO1212" i="10"/>
  <c r="AO25" i="10"/>
  <c r="AO119" i="10"/>
  <c r="AO176" i="10"/>
  <c r="AO215" i="10"/>
  <c r="AO380" i="10"/>
  <c r="AO499" i="10"/>
  <c r="AO920" i="10"/>
  <c r="AO1121" i="10"/>
  <c r="AO1140" i="10"/>
  <c r="AO24" i="10"/>
  <c r="AO71" i="10"/>
  <c r="AO121" i="10"/>
  <c r="AO716" i="10"/>
  <c r="AO1574" i="10"/>
  <c r="AO1645" i="10"/>
  <c r="AO2" i="10"/>
  <c r="AO11" i="10"/>
  <c r="AO146" i="10"/>
  <c r="AO162" i="10"/>
  <c r="AO272" i="10"/>
  <c r="AO526" i="10"/>
  <c r="AO544" i="10"/>
  <c r="AO608" i="10"/>
  <c r="AO647" i="10"/>
  <c r="AO837" i="10"/>
  <c r="AO853" i="10"/>
  <c r="AO1059" i="10"/>
  <c r="AO1224" i="10"/>
  <c r="AO1382" i="10"/>
  <c r="AO1409" i="10"/>
  <c r="AO1670" i="10"/>
  <c r="AO370" i="10"/>
  <c r="AO672" i="10"/>
  <c r="AO114" i="10"/>
  <c r="AO258" i="10"/>
  <c r="AO265" i="10"/>
  <c r="AO462" i="10"/>
  <c r="AO997" i="10"/>
  <c r="AO1043" i="10"/>
  <c r="AO1169" i="10"/>
  <c r="AO1274" i="10"/>
  <c r="AO1290" i="10"/>
  <c r="AO1322" i="10"/>
  <c r="AO1354" i="10"/>
  <c r="AO91" i="10"/>
  <c r="AO171" i="10"/>
  <c r="AO194" i="10"/>
  <c r="AO219" i="10"/>
  <c r="AO329" i="10"/>
  <c r="AO933" i="10"/>
  <c r="AO1514" i="10"/>
  <c r="AO1665" i="10"/>
  <c r="AO379" i="10"/>
  <c r="AO857" i="10"/>
  <c r="AO399" i="10"/>
  <c r="AO447" i="10"/>
  <c r="AO731" i="10"/>
  <c r="AO937" i="10"/>
  <c r="AO969" i="10"/>
  <c r="AO1296" i="10"/>
  <c r="AO1351" i="10"/>
  <c r="AO1383" i="10"/>
  <c r="AO1495" i="10"/>
  <c r="AO345" i="10"/>
  <c r="AO3" i="10"/>
  <c r="AO10" i="10"/>
  <c r="AO42" i="10"/>
  <c r="AO74" i="10"/>
  <c r="AO122" i="10"/>
  <c r="AO257" i="10"/>
  <c r="AO1676" i="10"/>
  <c r="AO33" i="10"/>
  <c r="AO35" i="10"/>
  <c r="AO138" i="10"/>
  <c r="AO193" i="10"/>
  <c r="AO207" i="10"/>
  <c r="AO607" i="10"/>
  <c r="AO680" i="10"/>
  <c r="AO934" i="10"/>
  <c r="AO955" i="10"/>
  <c r="AO980" i="10"/>
  <c r="AO1076" i="10"/>
  <c r="AO1305" i="10"/>
  <c r="AO1321" i="10"/>
  <c r="AO1680" i="10"/>
  <c r="AO1546" i="10"/>
  <c r="AO1463" i="10"/>
  <c r="AO1623" i="10"/>
  <c r="AO1655" i="10"/>
  <c r="AO19" i="10"/>
  <c r="AO53" i="10"/>
  <c r="AO69" i="10"/>
  <c r="AO85" i="10"/>
  <c r="AO101" i="10"/>
  <c r="AO451" i="10"/>
  <c r="AO769" i="10"/>
  <c r="AO801" i="10"/>
  <c r="AO824" i="10"/>
  <c r="AO1060" i="10"/>
  <c r="AO1227" i="10"/>
  <c r="AO1259" i="10"/>
  <c r="AO1547" i="10"/>
  <c r="AO7" i="10"/>
  <c r="AO78" i="10"/>
  <c r="AO245" i="10"/>
  <c r="AO753" i="10"/>
  <c r="AO929" i="10"/>
  <c r="AO991" i="10"/>
  <c r="AO998" i="10"/>
  <c r="AO1219" i="10"/>
  <c r="AO39" i="10"/>
  <c r="AO124" i="10"/>
  <c r="AO135" i="10"/>
  <c r="AO1387" i="10"/>
  <c r="AO252" i="10"/>
  <c r="AO378" i="10"/>
  <c r="AO445" i="10"/>
  <c r="AO459" i="10"/>
  <c r="AO484" i="10"/>
  <c r="AO658" i="10"/>
  <c r="AO683" i="10"/>
  <c r="AO713" i="10"/>
  <c r="AO913" i="10"/>
  <c r="AO945" i="10"/>
  <c r="AO961" i="10"/>
  <c r="AO1175" i="10"/>
  <c r="AO1345" i="10"/>
  <c r="AO1375" i="10"/>
  <c r="AO30" i="10"/>
  <c r="AO37" i="10"/>
  <c r="AO44" i="10"/>
  <c r="AO90" i="10"/>
  <c r="AO106" i="10"/>
  <c r="AO155" i="10"/>
  <c r="AO192" i="10"/>
  <c r="AO199" i="10"/>
  <c r="AO222" i="10"/>
  <c r="AO231" i="10"/>
  <c r="AO268" i="10"/>
  <c r="AO424" i="10"/>
  <c r="AO440" i="10"/>
  <c r="AO500" i="10"/>
  <c r="AO516" i="10"/>
  <c r="AO587" i="10"/>
  <c r="AO598" i="10"/>
  <c r="AO612" i="10"/>
  <c r="AO743" i="10"/>
  <c r="AO773" i="10"/>
  <c r="AO789" i="10"/>
  <c r="AO821" i="10"/>
  <c r="AO979" i="10"/>
  <c r="AO1002" i="10"/>
  <c r="AO1016" i="10"/>
  <c r="AO1055" i="10"/>
  <c r="AO1064" i="10"/>
  <c r="AO1092" i="10"/>
  <c r="AO1124" i="10"/>
  <c r="AO1147" i="10"/>
  <c r="AO1159" i="10"/>
  <c r="AO1223" i="10"/>
  <c r="AO1230" i="10"/>
  <c r="AO1269" i="10"/>
  <c r="AO1299" i="10"/>
  <c r="AO1331" i="10"/>
  <c r="AO1352" i="10"/>
  <c r="AO1361" i="10"/>
  <c r="AO1425" i="10"/>
  <c r="AO1473" i="10"/>
  <c r="AO1643" i="10"/>
  <c r="AO1673" i="10"/>
  <c r="AO28" i="10"/>
  <c r="AO60" i="10"/>
  <c r="AO81" i="10"/>
  <c r="AO83" i="10"/>
  <c r="AO120" i="10"/>
  <c r="AO217" i="10"/>
  <c r="AO300" i="10"/>
  <c r="AO401" i="10"/>
  <c r="AO534" i="10"/>
  <c r="AO550" i="10"/>
  <c r="AO644" i="10"/>
  <c r="AO662" i="10"/>
  <c r="AO715" i="10"/>
  <c r="AO745" i="10"/>
  <c r="AO750" i="10"/>
  <c r="AO869" i="10"/>
  <c r="AO878" i="10"/>
  <c r="AO1085" i="10"/>
  <c r="AO1108" i="10"/>
  <c r="AO1163" i="10"/>
  <c r="AO1207" i="10"/>
  <c r="AO1216" i="10"/>
  <c r="AO1239" i="10"/>
  <c r="AO1285" i="10"/>
  <c r="AO1457" i="10"/>
  <c r="AO1636" i="10"/>
  <c r="AO1652" i="10"/>
  <c r="AO58" i="10"/>
  <c r="AO92" i="10"/>
  <c r="AO97" i="10"/>
  <c r="AO157" i="10"/>
  <c r="AO233" i="10"/>
  <c r="AO394" i="10"/>
  <c r="AO419" i="10"/>
  <c r="AO442" i="10"/>
  <c r="AO472" i="10"/>
  <c r="AO488" i="10"/>
  <c r="AO504" i="10"/>
  <c r="AO520" i="10"/>
  <c r="AO536" i="10"/>
  <c r="AO552" i="10"/>
  <c r="AO568" i="10"/>
  <c r="AO701" i="10"/>
  <c r="AO722" i="10"/>
  <c r="AO777" i="10"/>
  <c r="AO782" i="10"/>
  <c r="AO903" i="10"/>
  <c r="AO942" i="10"/>
  <c r="AO949" i="10"/>
  <c r="AO1004" i="10"/>
  <c r="AO1066" i="10"/>
  <c r="AO1126" i="10"/>
  <c r="AO1179" i="10"/>
  <c r="AO1218" i="10"/>
  <c r="AO1347" i="10"/>
  <c r="AO1372" i="10"/>
  <c r="AO1404" i="10"/>
  <c r="AO1420" i="10"/>
  <c r="AO1581" i="10"/>
  <c r="AO23" i="10"/>
  <c r="AO55" i="10"/>
  <c r="AO76" i="10"/>
  <c r="AO94" i="10"/>
  <c r="AO224" i="10"/>
  <c r="AO279" i="10"/>
  <c r="AO281" i="10"/>
  <c r="AO313" i="10"/>
  <c r="AO318" i="10"/>
  <c r="AO435" i="10"/>
  <c r="AO490" i="10"/>
  <c r="AO586" i="10"/>
  <c r="AO602" i="10"/>
  <c r="AO770" i="10"/>
  <c r="AO779" i="10"/>
  <c r="AO995" i="10"/>
  <c r="AO1073" i="10"/>
  <c r="AO1082" i="10"/>
  <c r="AO1096" i="10"/>
  <c r="AO1137" i="10"/>
  <c r="AO1335" i="10"/>
  <c r="AO1367" i="10"/>
  <c r="AO1390" i="10"/>
  <c r="AO1445" i="10"/>
  <c r="AO1454" i="10"/>
  <c r="AO1475" i="10"/>
  <c r="AO1507" i="10"/>
  <c r="AO1576" i="10"/>
  <c r="AO1661" i="10"/>
  <c r="AO18" i="10"/>
  <c r="AO20" i="10"/>
  <c r="AO64" i="10"/>
  <c r="AO87" i="10"/>
  <c r="AO103" i="10"/>
  <c r="AO110" i="10"/>
  <c r="AO117" i="10"/>
  <c r="AO251" i="10"/>
  <c r="AO306" i="10"/>
  <c r="AO361" i="10"/>
  <c r="AO368" i="10"/>
  <c r="AO391" i="10"/>
  <c r="AO506" i="10"/>
  <c r="AO529" i="10"/>
  <c r="AO570" i="10"/>
  <c r="AO577" i="10"/>
  <c r="AO648" i="10"/>
  <c r="AO726" i="10"/>
  <c r="AO818" i="10"/>
  <c r="AO827" i="10"/>
  <c r="AO841" i="10"/>
  <c r="AO1015" i="10"/>
  <c r="AO1167" i="10"/>
  <c r="AO1220" i="10"/>
  <c r="AO1243" i="10"/>
  <c r="AO1266" i="10"/>
  <c r="AO1360" i="10"/>
  <c r="AO1447" i="10"/>
  <c r="AO1553" i="10"/>
  <c r="AO1608" i="10"/>
  <c r="AO1615" i="10"/>
  <c r="AO1624" i="10"/>
  <c r="AO13" i="10"/>
  <c r="AO50" i="10"/>
  <c r="AO131" i="10"/>
  <c r="AO154" i="10"/>
  <c r="AO182" i="10"/>
  <c r="AO221" i="10"/>
  <c r="AO267" i="10"/>
  <c r="AO276" i="10"/>
  <c r="AO343" i="10"/>
  <c r="AO354" i="10"/>
  <c r="AO430" i="10"/>
  <c r="AO446" i="10"/>
  <c r="AO666" i="10"/>
  <c r="AO930" i="10"/>
  <c r="AO1132" i="10"/>
  <c r="AO1146" i="10"/>
  <c r="AO1181" i="10"/>
  <c r="AO1213" i="10"/>
  <c r="AO1236" i="10"/>
  <c r="AO1287" i="10"/>
  <c r="AO1422" i="10"/>
  <c r="AO82" i="10"/>
  <c r="AO89" i="10"/>
  <c r="AO184" i="10"/>
  <c r="AO198" i="10"/>
  <c r="AO269" i="10"/>
  <c r="AO299" i="10"/>
  <c r="AO322" i="10"/>
  <c r="AO377" i="10"/>
  <c r="AO460" i="10"/>
  <c r="AO478" i="10"/>
  <c r="AO492" i="10"/>
  <c r="AO524" i="10"/>
  <c r="AO604" i="10"/>
  <c r="AO627" i="10"/>
  <c r="AO820" i="10"/>
  <c r="AO889" i="10"/>
  <c r="AO907" i="10"/>
  <c r="AO916" i="10"/>
  <c r="AO960" i="10"/>
  <c r="AO1001" i="10"/>
  <c r="AO1008" i="10"/>
  <c r="AO1070" i="10"/>
  <c r="AO1215" i="10"/>
  <c r="AO1245" i="10"/>
  <c r="AO1268" i="10"/>
  <c r="AO1330" i="10"/>
  <c r="AO1344" i="10"/>
  <c r="AO1408" i="10"/>
  <c r="AO1479" i="10"/>
  <c r="AO1488" i="10"/>
  <c r="AO1509" i="10"/>
  <c r="AO1511" i="10"/>
  <c r="AO1569" i="10"/>
  <c r="AO1571" i="10"/>
  <c r="AO1594" i="10"/>
  <c r="AO98" i="10"/>
  <c r="AO156" i="10"/>
  <c r="AO363" i="10"/>
  <c r="AO416" i="10"/>
  <c r="AO494" i="10"/>
  <c r="AO510" i="10"/>
  <c r="AO574" i="10"/>
  <c r="AO629" i="10"/>
  <c r="AO698" i="10"/>
  <c r="AO714" i="10"/>
  <c r="AO737" i="10"/>
  <c r="AO751" i="10"/>
  <c r="AO767" i="10"/>
  <c r="AO799" i="10"/>
  <c r="AO925" i="10"/>
  <c r="AO1010" i="10"/>
  <c r="AO1086" i="10"/>
  <c r="AO1118" i="10"/>
  <c r="AO1284" i="10"/>
  <c r="AO1410" i="10"/>
  <c r="AO1530" i="10"/>
  <c r="AO1537" i="10"/>
  <c r="AO1548" i="10"/>
  <c r="AO1564" i="10"/>
  <c r="AO1578" i="10"/>
  <c r="AO1619" i="10"/>
  <c r="AO1633" i="10"/>
  <c r="AO22" i="10"/>
  <c r="AO66" i="10"/>
  <c r="AO75" i="10"/>
  <c r="AO140" i="10"/>
  <c r="AO149" i="10"/>
  <c r="AO165" i="10"/>
  <c r="AO177" i="10"/>
  <c r="AO186" i="10"/>
  <c r="AO271" i="10"/>
  <c r="AO338" i="10"/>
  <c r="AO455" i="10"/>
  <c r="AO487" i="10"/>
  <c r="AO503" i="10"/>
  <c r="AO508" i="10"/>
  <c r="AO551" i="10"/>
  <c r="AO558" i="10"/>
  <c r="AO590" i="10"/>
  <c r="AO615" i="10"/>
  <c r="AO677" i="10"/>
  <c r="AO808" i="10"/>
  <c r="AO815" i="10"/>
  <c r="AO829" i="10"/>
  <c r="AO831" i="10"/>
  <c r="AO861" i="10"/>
  <c r="AO918" i="10"/>
  <c r="AO1072" i="10"/>
  <c r="AO1134" i="10"/>
  <c r="AO1270" i="10"/>
  <c r="AO1435" i="10"/>
  <c r="AO1557" i="10"/>
  <c r="AO1610" i="10"/>
  <c r="AO1325" i="10"/>
  <c r="AO1339" i="10"/>
  <c r="AO1582" i="10"/>
  <c r="AO1637" i="10"/>
  <c r="AO1681" i="10"/>
  <c r="AO38" i="10"/>
  <c r="AO77" i="10"/>
  <c r="AO151" i="10"/>
  <c r="AO211" i="10"/>
  <c r="AO351" i="10"/>
  <c r="AO425" i="10"/>
  <c r="AO519" i="10"/>
  <c r="AO535" i="10"/>
  <c r="AO567" i="10"/>
  <c r="AO592" i="10"/>
  <c r="AO656" i="10"/>
  <c r="AO700" i="10"/>
  <c r="AO725" i="10"/>
  <c r="AO762" i="10"/>
  <c r="AO778" i="10"/>
  <c r="AO847" i="10"/>
  <c r="AO849" i="10"/>
  <c r="AO904" i="10"/>
  <c r="AO1097" i="10"/>
  <c r="AO1194" i="10"/>
  <c r="AO1196" i="10"/>
  <c r="AO1233" i="10"/>
  <c r="AO1247" i="10"/>
  <c r="AO1249" i="10"/>
  <c r="AO1316" i="10"/>
  <c r="AO1350" i="10"/>
  <c r="AO1492" i="10"/>
  <c r="AO1527" i="10"/>
  <c r="AO1532" i="10"/>
  <c r="AO1543" i="10"/>
  <c r="AO1559" i="10"/>
  <c r="AO1690" i="10"/>
  <c r="AO5" i="10"/>
  <c r="AO26" i="10"/>
  <c r="AO130" i="10"/>
  <c r="AO144" i="10"/>
  <c r="AO174" i="10"/>
  <c r="AO209" i="10"/>
  <c r="AO266" i="10"/>
  <c r="AO273" i="10"/>
  <c r="AO289" i="10"/>
  <c r="AO413" i="10"/>
  <c r="AO443" i="10"/>
  <c r="AO599" i="10"/>
  <c r="AO755" i="10"/>
  <c r="AO833" i="10"/>
  <c r="AO865" i="10"/>
  <c r="AO943" i="10"/>
  <c r="AO959" i="10"/>
  <c r="AO1003" i="10"/>
  <c r="AO1030" i="10"/>
  <c r="AO1051" i="10"/>
  <c r="AO1180" i="10"/>
  <c r="AO1231" i="10"/>
  <c r="AO1240" i="10"/>
  <c r="AO1334" i="10"/>
  <c r="AO1343" i="10"/>
  <c r="AO1357" i="10"/>
  <c r="AO1373" i="10"/>
  <c r="AO1389" i="10"/>
  <c r="AO1405" i="10"/>
  <c r="AO1412" i="10"/>
  <c r="AO1421" i="10"/>
  <c r="AO1522" i="10"/>
  <c r="AO1568" i="10"/>
  <c r="AO1575" i="10"/>
  <c r="AO1584" i="10"/>
  <c r="AO1612" i="10"/>
  <c r="AO1621" i="10"/>
  <c r="AO1653" i="10"/>
  <c r="AO1669" i="10"/>
  <c r="AO1685" i="10"/>
  <c r="AO12" i="10"/>
  <c r="AO72" i="10"/>
  <c r="AO167" i="10"/>
  <c r="AO188" i="10"/>
  <c r="AO197" i="10"/>
  <c r="AO213" i="10"/>
  <c r="AO282" i="10"/>
  <c r="AO305" i="10"/>
  <c r="AO390" i="10"/>
  <c r="AO429" i="10"/>
  <c r="AO475" i="10"/>
  <c r="AO585" i="10"/>
  <c r="AO594" i="10"/>
  <c r="AO603" i="10"/>
  <c r="AO649" i="10"/>
  <c r="AO771" i="10"/>
  <c r="AO785" i="10"/>
  <c r="AO817" i="10"/>
  <c r="AO858" i="10"/>
  <c r="AO897" i="10"/>
  <c r="AO922" i="10"/>
  <c r="AO982" i="10"/>
  <c r="AO1007" i="10"/>
  <c r="AO1120" i="10"/>
  <c r="AO1198" i="10"/>
  <c r="AO1226" i="10"/>
  <c r="AO1235" i="10"/>
  <c r="AO1288" i="10"/>
  <c r="AO1318" i="10"/>
  <c r="AO1336" i="10"/>
  <c r="AO1368" i="10"/>
  <c r="AO1552" i="10"/>
  <c r="AO1561" i="10"/>
  <c r="AO1577" i="10"/>
  <c r="AO1591" i="10"/>
  <c r="AO1607" i="10"/>
  <c r="AO1632" i="10"/>
  <c r="AO1639" i="10"/>
  <c r="AO27" i="10"/>
  <c r="AO111" i="10"/>
  <c r="AO116" i="10"/>
  <c r="AO126" i="10"/>
  <c r="AO136" i="10"/>
  <c r="AO141" i="10"/>
  <c r="AO196" i="10"/>
  <c r="AO203" i="10"/>
  <c r="AO208" i="10"/>
  <c r="AO230" i="10"/>
  <c r="AO237" i="10"/>
  <c r="AO542" i="10"/>
  <c r="AO17" i="10"/>
  <c r="AO128" i="10"/>
  <c r="AO148" i="10"/>
  <c r="AO210" i="10"/>
  <c r="AO239" i="10"/>
  <c r="AO253" i="10"/>
  <c r="AO310" i="10"/>
  <c r="AO315" i="10"/>
  <c r="AO54" i="10"/>
  <c r="AO59" i="10"/>
  <c r="AO86" i="10"/>
  <c r="AO153" i="10"/>
  <c r="AO158" i="10"/>
  <c r="AO161" i="10"/>
  <c r="AO232" i="10"/>
  <c r="AO277" i="10"/>
  <c r="AO298" i="10"/>
  <c r="AO9" i="10"/>
  <c r="AO14" i="10"/>
  <c r="AO29" i="10"/>
  <c r="AO49" i="10"/>
  <c r="AO168" i="10"/>
  <c r="AO181" i="10"/>
  <c r="AO270" i="10"/>
  <c r="AO406" i="10"/>
  <c r="AO4" i="10"/>
  <c r="AO41" i="10"/>
  <c r="AO46" i="10"/>
  <c r="AO51" i="10"/>
  <c r="AO56" i="10"/>
  <c r="AO95" i="10"/>
  <c r="AO105" i="10"/>
  <c r="AO123" i="10"/>
  <c r="AO173" i="10"/>
  <c r="AO185" i="10"/>
  <c r="AO212" i="10"/>
  <c r="AO255" i="10"/>
  <c r="AO357" i="10"/>
  <c r="AO16" i="10"/>
  <c r="AO31" i="10"/>
  <c r="AO36" i="10"/>
  <c r="AO118" i="10"/>
  <c r="AO160" i="10"/>
  <c r="AO178" i="10"/>
  <c r="AO190" i="10"/>
  <c r="AO195" i="10"/>
  <c r="AO202" i="10"/>
  <c r="AO241" i="10"/>
  <c r="AO243" i="10"/>
  <c r="AO364" i="10"/>
  <c r="AO48" i="10"/>
  <c r="AO61" i="10"/>
  <c r="AO63" i="10"/>
  <c r="AO68" i="10"/>
  <c r="AO73" i="10"/>
  <c r="AO80" i="10"/>
  <c r="AO115" i="10"/>
  <c r="AO125" i="10"/>
  <c r="AO142" i="10"/>
  <c r="AO145" i="10"/>
  <c r="AO150" i="10"/>
  <c r="AO170" i="10"/>
  <c r="AO180" i="10"/>
  <c r="AO214" i="10"/>
  <c r="AO283" i="10"/>
  <c r="AO333" i="10"/>
  <c r="AO340" i="10"/>
  <c r="AO347" i="10"/>
  <c r="AO6" i="10"/>
  <c r="AO43" i="10"/>
  <c r="AO112" i="10"/>
  <c r="AO127" i="10"/>
  <c r="AO132" i="10"/>
  <c r="AO137" i="10"/>
  <c r="AO147" i="10"/>
  <c r="AO152" i="10"/>
  <c r="AO187" i="10"/>
  <c r="AO238" i="10"/>
  <c r="AO264" i="10"/>
  <c r="AO297" i="10"/>
  <c r="AO522" i="10"/>
  <c r="AO102" i="10"/>
  <c r="AO107" i="10"/>
  <c r="AO175" i="10"/>
  <c r="AO226" i="10"/>
  <c r="AO290" i="10"/>
  <c r="AO321" i="10"/>
  <c r="AO335" i="10"/>
  <c r="AO382" i="10"/>
  <c r="AO610" i="10"/>
  <c r="AO8" i="10"/>
  <c r="AO99" i="10"/>
  <c r="AO204" i="10"/>
  <c r="AO330" i="10"/>
  <c r="AO15" i="10"/>
  <c r="AO40" i="10"/>
  <c r="AO45" i="10"/>
  <c r="AO70" i="10"/>
  <c r="AO139" i="10"/>
  <c r="AO159" i="10"/>
  <c r="AO164" i="10"/>
  <c r="AO201" i="10"/>
  <c r="AO242" i="10"/>
  <c r="AO249" i="10"/>
  <c r="AO316" i="10"/>
  <c r="AO52" i="10"/>
  <c r="AO65" i="10"/>
  <c r="AO84" i="10"/>
  <c r="AO96" i="10"/>
  <c r="AO109" i="10"/>
  <c r="AO134" i="10"/>
  <c r="AO169" i="10"/>
  <c r="AO218" i="10"/>
  <c r="AO235" i="10"/>
  <c r="AO247" i="10"/>
  <c r="AO254" i="10"/>
  <c r="AO294" i="10"/>
  <c r="AO311" i="10"/>
  <c r="AO32" i="10"/>
  <c r="AO47" i="10"/>
  <c r="AO57" i="10"/>
  <c r="AO62" i="10"/>
  <c r="AO67" i="10"/>
  <c r="AO79" i="10"/>
  <c r="AO129" i="10"/>
  <c r="AO172" i="10"/>
  <c r="AO179" i="10"/>
  <c r="AO223" i="10"/>
  <c r="AO261" i="10"/>
  <c r="AO301" i="10"/>
  <c r="AO308" i="10"/>
  <c r="AO286" i="10"/>
  <c r="AO288" i="10"/>
  <c r="AO293" i="10"/>
  <c r="AO317" i="10"/>
  <c r="AO332" i="10"/>
  <c r="AO339" i="10"/>
  <c r="AO358" i="10"/>
  <c r="AO404" i="10"/>
  <c r="AO409" i="10"/>
  <c r="AO438" i="10"/>
  <c r="AO561" i="10"/>
  <c r="AO573" i="10"/>
  <c r="AO578" i="10"/>
  <c r="AO642" i="10"/>
  <c r="AO710" i="10"/>
  <c r="AO720" i="10"/>
  <c r="AO742" i="10"/>
  <c r="AO795" i="10"/>
  <c r="AO914" i="10"/>
  <c r="AO921" i="10"/>
  <c r="AO938" i="10"/>
  <c r="AO965" i="10"/>
  <c r="AO1119" i="10"/>
  <c r="AO1293" i="10"/>
  <c r="AO1459" i="10"/>
  <c r="AO1464" i="10"/>
  <c r="AO1551" i="10"/>
  <c r="AO1635" i="10"/>
  <c r="AO88" i="10"/>
  <c r="AO93" i="10"/>
  <c r="AO100" i="10"/>
  <c r="AO163" i="10"/>
  <c r="AO166" i="10"/>
  <c r="AO183" i="10"/>
  <c r="AO225" i="10"/>
  <c r="AO256" i="10"/>
  <c r="AO278" i="10"/>
  <c r="AO327" i="10"/>
  <c r="AO346" i="10"/>
  <c r="AO365" i="10"/>
  <c r="AO375" i="10"/>
  <c r="AO418" i="10"/>
  <c r="AO428" i="10"/>
  <c r="AO465" i="10"/>
  <c r="AO477" i="10"/>
  <c r="AO509" i="10"/>
  <c r="AO514" i="10"/>
  <c r="AO546" i="10"/>
  <c r="AO632" i="10"/>
  <c r="AO761" i="10"/>
  <c r="AO826" i="10"/>
  <c r="AO836" i="10"/>
  <c r="AO843" i="10"/>
  <c r="AO850" i="10"/>
  <c r="AO862" i="10"/>
  <c r="AO984" i="10"/>
  <c r="AO996" i="10"/>
  <c r="AO1054" i="10"/>
  <c r="AO1061" i="10"/>
  <c r="AO1069" i="10"/>
  <c r="AO1074" i="10"/>
  <c r="AO1307" i="10"/>
  <c r="AO1377" i="10"/>
  <c r="AO1440" i="10"/>
  <c r="AO1539" i="10"/>
  <c r="AO1616" i="10"/>
  <c r="AO556" i="10"/>
  <c r="AO688" i="10"/>
  <c r="AO1630" i="10"/>
  <c r="AO280" i="10"/>
  <c r="AO285" i="10"/>
  <c r="AO295" i="10"/>
  <c r="AO324" i="10"/>
  <c r="AO360" i="10"/>
  <c r="AO372" i="10"/>
  <c r="AO403" i="10"/>
  <c r="AO408" i="10"/>
  <c r="AO423" i="10"/>
  <c r="AO479" i="10"/>
  <c r="AO541" i="10"/>
  <c r="AO563" i="10"/>
  <c r="AO617" i="10"/>
  <c r="AO634" i="10"/>
  <c r="AO695" i="10"/>
  <c r="AO802" i="10"/>
  <c r="AO845" i="10"/>
  <c r="AO852" i="10"/>
  <c r="AO890" i="10"/>
  <c r="AO892" i="10"/>
  <c r="AO899" i="10"/>
  <c r="AO902" i="10"/>
  <c r="AO1047" i="10"/>
  <c r="AO1088" i="10"/>
  <c r="AO1128" i="10"/>
  <c r="AO1208" i="10"/>
  <c r="AO1248" i="10"/>
  <c r="AO1302" i="10"/>
  <c r="AO1384" i="10"/>
  <c r="AO1494" i="10"/>
  <c r="AO1508" i="10"/>
  <c r="AO1618" i="10"/>
  <c r="AO1628" i="10"/>
  <c r="AO319" i="10"/>
  <c r="AO334" i="10"/>
  <c r="AO341" i="10"/>
  <c r="AO367" i="10"/>
  <c r="AO433" i="10"/>
  <c r="AO467" i="10"/>
  <c r="AO565" i="10"/>
  <c r="AO575" i="10"/>
  <c r="AO580" i="10"/>
  <c r="AO614" i="10"/>
  <c r="AO624" i="10"/>
  <c r="AO646" i="10"/>
  <c r="AO651" i="10"/>
  <c r="AO663" i="10"/>
  <c r="AO668" i="10"/>
  <c r="AO675" i="10"/>
  <c r="AO690" i="10"/>
  <c r="AO712" i="10"/>
  <c r="AO809" i="10"/>
  <c r="AO840" i="10"/>
  <c r="AO866" i="10"/>
  <c r="AO885" i="10"/>
  <c r="AO935" i="10"/>
  <c r="AO1042" i="10"/>
  <c r="AO1365" i="10"/>
  <c r="AO1534" i="10"/>
  <c r="AO1541" i="10"/>
  <c r="AO1674" i="10"/>
  <c r="AO229" i="10"/>
  <c r="AO292" i="10"/>
  <c r="AO309" i="10"/>
  <c r="AO326" i="10"/>
  <c r="AO348" i="10"/>
  <c r="AO374" i="10"/>
  <c r="AO398" i="10"/>
  <c r="AO457" i="10"/>
  <c r="AO486" i="10"/>
  <c r="AO489" i="10"/>
  <c r="AO511" i="10"/>
  <c r="AO521" i="10"/>
  <c r="AO531" i="10"/>
  <c r="AO533" i="10"/>
  <c r="AO548" i="10"/>
  <c r="AO553" i="10"/>
  <c r="AO560" i="10"/>
  <c r="AO589" i="10"/>
  <c r="AO609" i="10"/>
  <c r="AO619" i="10"/>
  <c r="AO697" i="10"/>
  <c r="AO717" i="10"/>
  <c r="AO794" i="10"/>
  <c r="AO804" i="10"/>
  <c r="AO814" i="10"/>
  <c r="AO873" i="10"/>
  <c r="AO911" i="10"/>
  <c r="AO993" i="10"/>
  <c r="AO1000" i="10"/>
  <c r="AO1025" i="10"/>
  <c r="AO1044" i="10"/>
  <c r="AO1597" i="10"/>
  <c r="AO1683" i="10"/>
  <c r="AO287" i="10"/>
  <c r="AO302" i="10"/>
  <c r="AO304" i="10"/>
  <c r="AO362" i="10"/>
  <c r="AO381" i="10"/>
  <c r="AO415" i="10"/>
  <c r="AO420" i="10"/>
  <c r="AO501" i="10"/>
  <c r="AO543" i="10"/>
  <c r="AO601" i="10"/>
  <c r="AO653" i="10"/>
  <c r="AO660" i="10"/>
  <c r="AO741" i="10"/>
  <c r="AO842" i="10"/>
  <c r="AO868" i="10"/>
  <c r="AO906" i="10"/>
  <c r="AO981" i="10"/>
  <c r="AO1020" i="10"/>
  <c r="AO1027" i="10"/>
  <c r="AO1032" i="10"/>
  <c r="AO1037" i="10"/>
  <c r="AO1111" i="10"/>
  <c r="AO1116" i="10"/>
  <c r="AO1182" i="10"/>
  <c r="AO1203" i="10"/>
  <c r="AO1271" i="10"/>
  <c r="AO1283" i="10"/>
  <c r="AO1510" i="10"/>
  <c r="AO1536" i="10"/>
  <c r="AO1592" i="10"/>
  <c r="AO1606" i="10"/>
  <c r="AO1613" i="10"/>
  <c r="AO410" i="10"/>
  <c r="AO444" i="10"/>
  <c r="AO481" i="10"/>
  <c r="AO496" i="10"/>
  <c r="AO528" i="10"/>
  <c r="AO562" i="10"/>
  <c r="AO596" i="10"/>
  <c r="AO611" i="10"/>
  <c r="AO616" i="10"/>
  <c r="AO704" i="10"/>
  <c r="AO765" i="10"/>
  <c r="AO856" i="10"/>
  <c r="AO882" i="10"/>
  <c r="AO894" i="10"/>
  <c r="AO954" i="10"/>
  <c r="AO990" i="10"/>
  <c r="AO1005" i="10"/>
  <c r="AO1017" i="10"/>
  <c r="AO1039" i="10"/>
  <c r="AO1327" i="10"/>
  <c r="AO1346" i="10"/>
  <c r="AO1599" i="10"/>
  <c r="AO350" i="10"/>
  <c r="AO369" i="10"/>
  <c r="AO376" i="10"/>
  <c r="AO388" i="10"/>
  <c r="AO393" i="10"/>
  <c r="AO400" i="10"/>
  <c r="AO427" i="10"/>
  <c r="AO454" i="10"/>
  <c r="AO476" i="10"/>
  <c r="AO523" i="10"/>
  <c r="AO538" i="10"/>
  <c r="AO557" i="10"/>
  <c r="AO606" i="10"/>
  <c r="AO631" i="10"/>
  <c r="AO638" i="10"/>
  <c r="AO643" i="10"/>
  <c r="AO665" i="10"/>
  <c r="AO667" i="10"/>
  <c r="AO684" i="10"/>
  <c r="AO760" i="10"/>
  <c r="AO835" i="10"/>
  <c r="AO877" i="10"/>
  <c r="AO944" i="10"/>
  <c r="AO966" i="10"/>
  <c r="AO971" i="10"/>
  <c r="AO976" i="10"/>
  <c r="AO1022" i="10"/>
  <c r="AO1078" i="10"/>
  <c r="AO1104" i="10"/>
  <c r="AO1165" i="10"/>
  <c r="AO1184" i="10"/>
  <c r="AO1278" i="10"/>
  <c r="AO1491" i="10"/>
  <c r="AO1678" i="10"/>
  <c r="AO383" i="10"/>
  <c r="AO395" i="10"/>
  <c r="AO412" i="10"/>
  <c r="AO439" i="10"/>
  <c r="AO449" i="10"/>
  <c r="AO471" i="10"/>
  <c r="AO530" i="10"/>
  <c r="AO402" i="10"/>
  <c r="AO483" i="10"/>
  <c r="AO485" i="10"/>
  <c r="AO498" i="10"/>
  <c r="AO545" i="10"/>
  <c r="AO572" i="10"/>
  <c r="AO584" i="10"/>
  <c r="AO613" i="10"/>
  <c r="AO721" i="10"/>
  <c r="AO884" i="10"/>
  <c r="AO910" i="10"/>
  <c r="AO978" i="10"/>
  <c r="AO1012" i="10"/>
  <c r="AO1019" i="10"/>
  <c r="AO1024" i="10"/>
  <c r="AO1087" i="10"/>
  <c r="AO1341" i="10"/>
  <c r="AO1498" i="10"/>
  <c r="AO1580" i="10"/>
  <c r="AO623" i="10"/>
  <c r="AO674" i="10"/>
  <c r="AO711" i="10"/>
  <c r="AO728" i="10"/>
  <c r="AO791" i="10"/>
  <c r="AO813" i="10"/>
  <c r="AO939" i="10"/>
  <c r="AO1329" i="10"/>
  <c r="AO1394" i="10"/>
  <c r="AO1401" i="10"/>
  <c r="AO1476" i="10"/>
  <c r="AO1493" i="10"/>
  <c r="AO1589" i="10"/>
  <c r="AO240" i="10"/>
  <c r="AO284" i="10"/>
  <c r="AO303" i="10"/>
  <c r="AO349" i="10"/>
  <c r="AO359" i="10"/>
  <c r="AO385" i="10"/>
  <c r="AO473" i="10"/>
  <c r="AO493" i="10"/>
  <c r="AO549" i="10"/>
  <c r="AO559" i="10"/>
  <c r="AO564" i="10"/>
  <c r="AO579" i="10"/>
  <c r="AO581" i="10"/>
  <c r="AO588" i="10"/>
  <c r="AO593" i="10"/>
  <c r="AO618" i="10"/>
  <c r="AO620" i="10"/>
  <c r="AO635" i="10"/>
  <c r="AO664" i="10"/>
  <c r="AO706" i="10"/>
  <c r="AO793" i="10"/>
  <c r="AO898" i="10"/>
  <c r="AO905" i="10"/>
  <c r="AO917" i="10"/>
  <c r="AO958" i="10"/>
  <c r="AO999" i="10"/>
  <c r="AO1026" i="10"/>
  <c r="AO1080" i="10"/>
  <c r="AO1148" i="10"/>
  <c r="AO1153" i="10"/>
  <c r="AO1160" i="10"/>
  <c r="AO1228" i="10"/>
  <c r="AO1324" i="10"/>
  <c r="AO1554" i="10"/>
  <c r="AO1570" i="10"/>
  <c r="AO337" i="10"/>
  <c r="AO397" i="10"/>
  <c r="AO421" i="10"/>
  <c r="AO456" i="10"/>
  <c r="AO461" i="10"/>
  <c r="AO463" i="10"/>
  <c r="AO468" i="10"/>
  <c r="AO505" i="10"/>
  <c r="AO515" i="10"/>
  <c r="AO532" i="10"/>
  <c r="AO540" i="10"/>
  <c r="AO547" i="10"/>
  <c r="AO569" i="10"/>
  <c r="AO576" i="10"/>
  <c r="AO600" i="10"/>
  <c r="AO625" i="10"/>
  <c r="AO630" i="10"/>
  <c r="AO633" i="10"/>
  <c r="AO640" i="10"/>
  <c r="AO652" i="10"/>
  <c r="AO681" i="10"/>
  <c r="AO703" i="10"/>
  <c r="AO723" i="10"/>
  <c r="AO735" i="10"/>
  <c r="AO781" i="10"/>
  <c r="AO786" i="10"/>
  <c r="AO805" i="10"/>
  <c r="AO846" i="10"/>
  <c r="AO867" i="10"/>
  <c r="AO992" i="10"/>
  <c r="AO994" i="10"/>
  <c r="AO1006" i="10"/>
  <c r="AO1136" i="10"/>
  <c r="AO1263" i="10"/>
  <c r="AO1450" i="10"/>
  <c r="AO1563" i="10"/>
  <c r="AO320" i="10"/>
  <c r="AO325" i="10"/>
  <c r="AO344" i="10"/>
  <c r="AO356" i="10"/>
  <c r="AO366" i="10"/>
  <c r="AO373" i="10"/>
  <c r="AO426" i="10"/>
  <c r="AO431" i="10"/>
  <c r="AO436" i="10"/>
  <c r="AO453" i="10"/>
  <c r="AO458" i="10"/>
  <c r="AO495" i="10"/>
  <c r="AO512" i="10"/>
  <c r="AO517" i="10"/>
  <c r="AO527" i="10"/>
  <c r="AO537" i="10"/>
  <c r="AO554" i="10"/>
  <c r="AO566" i="10"/>
  <c r="AO583" i="10"/>
  <c r="AO595" i="10"/>
  <c r="AO605" i="10"/>
  <c r="AO622" i="10"/>
  <c r="AO659" i="10"/>
  <c r="AO676" i="10"/>
  <c r="AO749" i="10"/>
  <c r="AO834" i="10"/>
  <c r="AO881" i="10"/>
  <c r="AO886" i="10"/>
  <c r="AO888" i="10"/>
  <c r="AO900" i="10"/>
  <c r="AO912" i="10"/>
  <c r="AO948" i="10"/>
  <c r="AO953" i="10"/>
  <c r="AO987" i="10"/>
  <c r="AO1319" i="10"/>
  <c r="AO1396" i="10"/>
  <c r="AO1403" i="10"/>
  <c r="AO1549" i="10"/>
  <c r="AO1556" i="10"/>
  <c r="AO1154" i="10"/>
  <c r="AO1176" i="10"/>
  <c r="AO1289" i="10"/>
  <c r="AO1313" i="10"/>
  <c r="AO1371" i="10"/>
  <c r="AO1419" i="10"/>
  <c r="AO1482" i="10"/>
  <c r="AO1521" i="10"/>
  <c r="AO1562" i="10"/>
  <c r="AO1617" i="10"/>
  <c r="AO1662" i="10"/>
  <c r="AO1679" i="10"/>
  <c r="AO1686" i="10"/>
  <c r="AO1168" i="10"/>
  <c r="AO1178" i="10"/>
  <c r="AO1204" i="10"/>
  <c r="AO1254" i="10"/>
  <c r="AO1279" i="10"/>
  <c r="AO1376" i="10"/>
  <c r="AO1385" i="10"/>
  <c r="AO1429" i="10"/>
  <c r="AO1441" i="10"/>
  <c r="AO1446" i="10"/>
  <c r="AO1453" i="10"/>
  <c r="AO1506" i="10"/>
  <c r="AO1518" i="10"/>
  <c r="AO1542" i="10"/>
  <c r="AO1583" i="10"/>
  <c r="AO1595" i="10"/>
  <c r="AO1602" i="10"/>
  <c r="AO1650" i="10"/>
  <c r="AO1660" i="10"/>
  <c r="AO1052" i="10"/>
  <c r="AO1057" i="10"/>
  <c r="AO1075" i="10"/>
  <c r="AO1100" i="10"/>
  <c r="AO1105" i="10"/>
  <c r="AO1117" i="10"/>
  <c r="AO1139" i="10"/>
  <c r="AO1144" i="10"/>
  <c r="AO1192" i="10"/>
  <c r="AO1229" i="10"/>
  <c r="AO1298" i="10"/>
  <c r="AO1308" i="10"/>
  <c r="AO1315" i="10"/>
  <c r="AO1392" i="10"/>
  <c r="AO1399" i="10"/>
  <c r="AO1414" i="10"/>
  <c r="AO1436" i="10"/>
  <c r="AO1448" i="10"/>
  <c r="AO1513" i="10"/>
  <c r="AO1516" i="10"/>
  <c r="AO1566" i="10"/>
  <c r="AO1590" i="10"/>
  <c r="AO1614" i="10"/>
  <c r="AO1112" i="10"/>
  <c r="AO1114" i="10"/>
  <c r="AO1129" i="10"/>
  <c r="AO1151" i="10"/>
  <c r="AO1156" i="10"/>
  <c r="AO1158" i="10"/>
  <c r="AO1197" i="10"/>
  <c r="AO1261" i="10"/>
  <c r="AO1320" i="10"/>
  <c r="AO1356" i="10"/>
  <c r="AO1411" i="10"/>
  <c r="AO1431" i="10"/>
  <c r="AO1443" i="10"/>
  <c r="AO1455" i="10"/>
  <c r="AO1477" i="10"/>
  <c r="AO1544" i="10"/>
  <c r="AO1604" i="10"/>
  <c r="AO1626" i="10"/>
  <c r="AO1657" i="10"/>
  <c r="AO1688" i="10"/>
  <c r="AO1102" i="10"/>
  <c r="AO1170" i="10"/>
  <c r="AO1246" i="10"/>
  <c r="AO1363" i="10"/>
  <c r="AO1380" i="10"/>
  <c r="AO1416" i="10"/>
  <c r="AO1433" i="10"/>
  <c r="AO1438" i="10"/>
  <c r="AO1462" i="10"/>
  <c r="AO1467" i="10"/>
  <c r="AO1469" i="10"/>
  <c r="AO1484" i="10"/>
  <c r="AO1489" i="10"/>
  <c r="AO1573" i="10"/>
  <c r="AO1587" i="10"/>
  <c r="AO1640" i="10"/>
  <c r="AO1666" i="10"/>
  <c r="AO682" i="10"/>
  <c r="AO729" i="10"/>
  <c r="AO744" i="10"/>
  <c r="AO754" i="10"/>
  <c r="AO776" i="10"/>
  <c r="AO783" i="10"/>
  <c r="AO798" i="10"/>
  <c r="AO810" i="10"/>
  <c r="AO825" i="10"/>
  <c r="AO830" i="10"/>
  <c r="AO880" i="10"/>
  <c r="AO887" i="10"/>
  <c r="AO928" i="10"/>
  <c r="AO977" i="10"/>
  <c r="AO1056" i="10"/>
  <c r="AO1071" i="10"/>
  <c r="AO1081" i="10"/>
  <c r="AO1084" i="10"/>
  <c r="AO1113" i="10"/>
  <c r="AO1143" i="10"/>
  <c r="AO1157" i="10"/>
  <c r="AO1172" i="10"/>
  <c r="AO1250" i="10"/>
  <c r="AO1255" i="10"/>
  <c r="AO1260" i="10"/>
  <c r="AO1355" i="10"/>
  <c r="AO1386" i="10"/>
  <c r="AO1442" i="10"/>
  <c r="AO1466" i="10"/>
  <c r="AO1505" i="10"/>
  <c r="AO1524" i="10"/>
  <c r="AO1565" i="10"/>
  <c r="AO1601" i="10"/>
  <c r="AO1603" i="10"/>
  <c r="AO1642" i="10"/>
  <c r="AO1649" i="10"/>
  <c r="AO1651" i="10"/>
  <c r="AO1656" i="10"/>
  <c r="AO1048" i="10"/>
  <c r="AO1089" i="10"/>
  <c r="AO1101" i="10"/>
  <c r="AO1130" i="10"/>
  <c r="AO1133" i="10"/>
  <c r="AO1164" i="10"/>
  <c r="AO1265" i="10"/>
  <c r="AO1292" i="10"/>
  <c r="AO1326" i="10"/>
  <c r="AO1338" i="10"/>
  <c r="AO1381" i="10"/>
  <c r="AO1393" i="10"/>
  <c r="AO1428" i="10"/>
  <c r="AO1430" i="10"/>
  <c r="AO1538" i="10"/>
  <c r="AO1560" i="10"/>
  <c r="AO1675" i="10"/>
  <c r="AO1682" i="10"/>
  <c r="AO1098" i="10"/>
  <c r="AO1138" i="10"/>
  <c r="AO1311" i="10"/>
  <c r="AO1333" i="10"/>
  <c r="AO1374" i="10"/>
  <c r="AO1379" i="10"/>
  <c r="AO1398" i="10"/>
  <c r="AO1483" i="10"/>
  <c r="AO1490" i="10"/>
  <c r="AO1502" i="10"/>
  <c r="AO1545" i="10"/>
  <c r="AO1550" i="10"/>
  <c r="AO1586" i="10"/>
  <c r="AO1598" i="10"/>
  <c r="AO1605" i="10"/>
  <c r="AO1646" i="10"/>
  <c r="AO694" i="10"/>
  <c r="AO699" i="10"/>
  <c r="AO719" i="10"/>
  <c r="AO734" i="10"/>
  <c r="AO739" i="10"/>
  <c r="AO756" i="10"/>
  <c r="AO766" i="10"/>
  <c r="AO797" i="10"/>
  <c r="AO947" i="10"/>
  <c r="AO950" i="10"/>
  <c r="AO974" i="10"/>
  <c r="AO986" i="10"/>
  <c r="AO1013" i="10"/>
  <c r="AO1021" i="10"/>
  <c r="AO1036" i="10"/>
  <c r="AO1058" i="10"/>
  <c r="AO1145" i="10"/>
  <c r="AO1186" i="10"/>
  <c r="AO1188" i="10"/>
  <c r="AO1200" i="10"/>
  <c r="AO1262" i="10"/>
  <c r="AO1275" i="10"/>
  <c r="AO1280" i="10"/>
  <c r="AO1282" i="10"/>
  <c r="AO1323" i="10"/>
  <c r="AO1395" i="10"/>
  <c r="AO1402" i="10"/>
  <c r="AO1470" i="10"/>
  <c r="AO1480" i="10"/>
  <c r="AO1485" i="10"/>
  <c r="AO1500" i="10"/>
  <c r="AO1555" i="10"/>
  <c r="AO1596" i="10"/>
  <c r="AO1634" i="10"/>
  <c r="AO1684" i="10"/>
  <c r="AO679" i="10"/>
  <c r="AO724" i="10"/>
  <c r="AO763" i="10"/>
  <c r="AO872" i="10"/>
  <c r="AO896" i="10"/>
  <c r="AO962" i="10"/>
  <c r="AO1011" i="10"/>
  <c r="AO1023" i="10"/>
  <c r="AO1028" i="10"/>
  <c r="AO1038" i="10"/>
  <c r="AO1093" i="10"/>
  <c r="AO1103" i="10"/>
  <c r="AO1166" i="10"/>
  <c r="AO1171" i="10"/>
  <c r="AO1195" i="10"/>
  <c r="AO1217" i="10"/>
  <c r="AO1252" i="10"/>
  <c r="AO1328" i="10"/>
  <c r="AO1340" i="10"/>
  <c r="AO1364" i="10"/>
  <c r="AO1388" i="10"/>
  <c r="AO1407" i="10"/>
  <c r="AO1437" i="10"/>
  <c r="AO1451" i="10"/>
  <c r="AO1487" i="10"/>
  <c r="AO1504" i="10"/>
  <c r="AO1526" i="10"/>
  <c r="AO1533" i="10"/>
  <c r="AO1629" i="10"/>
  <c r="AO1641" i="10"/>
  <c r="AO1658" i="10"/>
  <c r="AO1667" i="10"/>
  <c r="AO1672" i="10"/>
  <c r="AO1677" i="10"/>
  <c r="AO189" i="10"/>
  <c r="AO352" i="10"/>
  <c r="AO417" i="10"/>
  <c r="AO246" i="10"/>
  <c r="AO307" i="10"/>
  <c r="AO328" i="10"/>
  <c r="AO396" i="10"/>
  <c r="AO275" i="10"/>
  <c r="AO291" i="10"/>
  <c r="AO312" i="10"/>
  <c r="AO336" i="10"/>
  <c r="AO296" i="10"/>
  <c r="AO236" i="10"/>
  <c r="AO205" i="10"/>
  <c r="AO248" i="10"/>
  <c r="AO260" i="10"/>
  <c r="AO228" i="10"/>
  <c r="AO387" i="10"/>
  <c r="AO200" i="10"/>
  <c r="AO392" i="10"/>
  <c r="AO434" i="10"/>
  <c r="AO262" i="10"/>
  <c r="AO371" i="10"/>
  <c r="AO234" i="10"/>
  <c r="AO250" i="10"/>
  <c r="AO384" i="10"/>
  <c r="AO216" i="10"/>
  <c r="AO220" i="10"/>
  <c r="AO227" i="10"/>
  <c r="AO244" i="10"/>
  <c r="AO259" i="10"/>
  <c r="AO355" i="10"/>
  <c r="AO407" i="10"/>
  <c r="AO650" i="10"/>
  <c r="AO448" i="10"/>
  <c r="AO389" i="10"/>
  <c r="AO437" i="10"/>
  <c r="AO441" i="10"/>
  <c r="AO591" i="10"/>
  <c r="AO626" i="10"/>
  <c r="AO747" i="10"/>
  <c r="AO432" i="10"/>
  <c r="AO464" i="10"/>
  <c r="AO450" i="10"/>
  <c r="AO480" i="10"/>
  <c r="AO470" i="10"/>
  <c r="AO497" i="10"/>
  <c r="AO502" i="10"/>
  <c r="AO513" i="10"/>
  <c r="AO518" i="10"/>
  <c r="AO738" i="10"/>
  <c r="AO466" i="10"/>
  <c r="AO491" i="10"/>
  <c r="AO507" i="10"/>
  <c r="AO582" i="10"/>
  <c r="AO469" i="10"/>
  <c r="AO482" i="10"/>
  <c r="AO405" i="10"/>
  <c r="AO539" i="10"/>
  <c r="AO555" i="10"/>
  <c r="AO571" i="10"/>
  <c r="AO597" i="10"/>
  <c r="AO670" i="10"/>
  <c r="AO687" i="10"/>
  <c r="AO691" i="10"/>
  <c r="AO851" i="10"/>
  <c r="AO707" i="10"/>
  <c r="AO746" i="10"/>
  <c r="AO641" i="10"/>
  <c r="AO645" i="10"/>
  <c r="AO655" i="10"/>
  <c r="AO673" i="10"/>
  <c r="AO787" i="10"/>
  <c r="AO792" i="10"/>
  <c r="AO863" i="10"/>
  <c r="AO803" i="10"/>
  <c r="AO637" i="10"/>
  <c r="AO669" i="10"/>
  <c r="AO686" i="10"/>
  <c r="AO654" i="10"/>
  <c r="AO693" i="10"/>
  <c r="AO709" i="10"/>
  <c r="AO718" i="10"/>
  <c r="AO730" i="10"/>
  <c r="AO759" i="10"/>
  <c r="AO689" i="10"/>
  <c r="AO775" i="10"/>
  <c r="AO671" i="10"/>
  <c r="AO702" i="10"/>
  <c r="AO727" i="10"/>
  <c r="AO733" i="10"/>
  <c r="AO839" i="10"/>
  <c r="AO931" i="10"/>
  <c r="AO639" i="10"/>
  <c r="AO657" i="10"/>
  <c r="AO661" i="10"/>
  <c r="AO705" i="10"/>
  <c r="AO708" i="10"/>
  <c r="AO772" i="10"/>
  <c r="AO807" i="10"/>
  <c r="AO823" i="10"/>
  <c r="AO859" i="10"/>
  <c r="AO621" i="10"/>
  <c r="AO678" i="10"/>
  <c r="AO685" i="10"/>
  <c r="AO788" i="10"/>
  <c r="AO874" i="10"/>
  <c r="AO901" i="10"/>
  <c r="AO936" i="10"/>
  <c r="AO758" i="10"/>
  <c r="AO774" i="10"/>
  <c r="AO790" i="10"/>
  <c r="AO806" i="10"/>
  <c r="AO822" i="10"/>
  <c r="AO838" i="10"/>
  <c r="AO854" i="10"/>
  <c r="AO870" i="10"/>
  <c r="AO919" i="10"/>
  <c r="AO891" i="10"/>
  <c r="AO909" i="10"/>
  <c r="AO952" i="10"/>
  <c r="AO963" i="10"/>
  <c r="AO1014" i="10"/>
  <c r="AO732" i="10"/>
  <c r="AO876" i="10"/>
  <c r="AO970" i="10"/>
  <c r="AO736" i="10"/>
  <c r="AO926" i="10"/>
  <c r="AO879" i="10"/>
  <c r="AO932" i="10"/>
  <c r="AO748" i="10"/>
  <c r="AO764" i="10"/>
  <c r="AO780" i="10"/>
  <c r="AO796" i="10"/>
  <c r="AO812" i="10"/>
  <c r="AO828" i="10"/>
  <c r="AO844" i="10"/>
  <c r="AO860" i="10"/>
  <c r="AO893" i="10"/>
  <c r="AO915" i="10"/>
  <c r="AO752" i="10"/>
  <c r="AO768" i="10"/>
  <c r="AO784" i="10"/>
  <c r="AO800" i="10"/>
  <c r="AO816" i="10"/>
  <c r="AO832" i="10"/>
  <c r="AO848" i="10"/>
  <c r="AO864" i="10"/>
  <c r="AO983" i="10"/>
  <c r="AO1063" i="10"/>
  <c r="AO1046" i="10"/>
  <c r="AO875" i="10"/>
  <c r="AO964" i="10"/>
  <c r="AO985" i="10"/>
  <c r="AO1210" i="10"/>
  <c r="AO923" i="10"/>
  <c r="AO967" i="10"/>
  <c r="AO989" i="10"/>
  <c r="AO1094" i="10"/>
  <c r="AO1110" i="10"/>
  <c r="AO1127" i="10"/>
  <c r="AO951" i="10"/>
  <c r="AO1091" i="10"/>
  <c r="AO1107" i="10"/>
  <c r="AO1162" i="10"/>
  <c r="AO973" i="10"/>
  <c r="AO988" i="10"/>
  <c r="AO1035" i="10"/>
  <c r="AO1053" i="10"/>
  <c r="AO1123" i="10"/>
  <c r="AO908" i="10"/>
  <c r="AO941" i="10"/>
  <c r="AO957" i="10"/>
  <c r="AO972" i="10"/>
  <c r="AO1090" i="10"/>
  <c r="AO1106" i="10"/>
  <c r="AO1079" i="10"/>
  <c r="AO1095" i="10"/>
  <c r="AO940" i="10"/>
  <c r="AO956" i="10"/>
  <c r="AO1018" i="10"/>
  <c r="AO1031" i="10"/>
  <c r="AO1040" i="10"/>
  <c r="AO1122" i="10"/>
  <c r="AO1045" i="10"/>
  <c r="AO1201" i="10"/>
  <c r="AO1049" i="10"/>
  <c r="AO1183" i="10"/>
  <c r="AO1065" i="10"/>
  <c r="AO1258" i="10"/>
  <c r="AO1286" i="10"/>
  <c r="AO1077" i="10"/>
  <c r="AO1125" i="10"/>
  <c r="AO1312" i="10"/>
  <c r="AO1034" i="10"/>
  <c r="AO1109" i="10"/>
  <c r="AO1185" i="10"/>
  <c r="AO1309" i="10"/>
  <c r="AO1135" i="10"/>
  <c r="AO1202" i="10"/>
  <c r="AO1234" i="10"/>
  <c r="AO1067" i="10"/>
  <c r="AO1131" i="10"/>
  <c r="AO1029" i="10"/>
  <c r="AO1083" i="10"/>
  <c r="AO1149" i="10"/>
  <c r="AO1187" i="10"/>
  <c r="AO1193" i="10"/>
  <c r="AO1199" i="10"/>
  <c r="AO1295" i="10"/>
  <c r="AO1306" i="10"/>
  <c r="AO1033" i="10"/>
  <c r="AO1050" i="10"/>
  <c r="AO1099" i="10"/>
  <c r="AO1115" i="10"/>
  <c r="AO1141" i="10"/>
  <c r="AO1222" i="10"/>
  <c r="AO1303" i="10"/>
  <c r="AO1337" i="10"/>
  <c r="AO1205" i="10"/>
  <c r="AO1237" i="10"/>
  <c r="AO1241" i="10"/>
  <c r="AO1253" i="10"/>
  <c r="AO1272" i="10"/>
  <c r="AO1276" i="10"/>
  <c r="AO1317" i="10"/>
  <c r="AO1353" i="10"/>
  <c r="AO1366" i="10"/>
  <c r="AO1209" i="10"/>
  <c r="AO1257" i="10"/>
  <c r="AO1174" i="10"/>
  <c r="AO1225" i="10"/>
  <c r="AO1314" i="10"/>
  <c r="AO1358" i="10"/>
  <c r="AO1161" i="10"/>
  <c r="AO1256" i="10"/>
  <c r="AO1301" i="10"/>
  <c r="AO1190" i="10"/>
  <c r="AO1291" i="10"/>
  <c r="AO1370" i="10"/>
  <c r="AO1173" i="10"/>
  <c r="AO1294" i="10"/>
  <c r="AO1304" i="10"/>
  <c r="AO1434" i="10"/>
  <c r="AO1142" i="10"/>
  <c r="AO1177" i="10"/>
  <c r="AO1251" i="10"/>
  <c r="AO1267" i="10"/>
  <c r="AO1297" i="10"/>
  <c r="AO1332" i="10"/>
  <c r="AO1206" i="10"/>
  <c r="AO1238" i="10"/>
  <c r="AO1281" i="10"/>
  <c r="AO1348" i="10"/>
  <c r="AO1189" i="10"/>
  <c r="AO1242" i="10"/>
  <c r="AO1273" i="10"/>
  <c r="AO1277" i="10"/>
  <c r="AO1439" i="10"/>
  <c r="AO1444" i="10"/>
  <c r="AO1378" i="10"/>
  <c r="AO1397" i="10"/>
  <c r="AO1415" i="10"/>
  <c r="AO1474" i="10"/>
  <c r="AO1400" i="10"/>
  <c r="AO1418" i="10"/>
  <c r="AO1456" i="10"/>
  <c r="AO1468" i="10"/>
  <c r="AO1499" i="10"/>
  <c r="AO1369" i="10"/>
  <c r="AO1465" i="10"/>
  <c r="AO1424" i="10"/>
  <c r="AO1427" i="10"/>
  <c r="AO1664" i="10"/>
  <c r="AO1406" i="10"/>
  <c r="AO1472" i="10"/>
  <c r="AO1359" i="10"/>
  <c r="AO1461" i="10"/>
  <c r="AO1349" i="10"/>
  <c r="AO1423" i="10"/>
  <c r="AO1452" i="10"/>
  <c r="AO1362" i="10"/>
  <c r="AO1391" i="10"/>
  <c r="AO1478" i="10"/>
  <c r="AO1432" i="10"/>
  <c r="AO1572" i="10"/>
  <c r="AO1593" i="10"/>
  <c r="AO1611" i="10"/>
  <c r="AO1481" i="10"/>
  <c r="AO1517" i="10"/>
  <c r="AO1622" i="10"/>
  <c r="AO1631" i="10"/>
  <c r="AO1501" i="10"/>
  <c r="AO1529" i="10"/>
  <c r="AO1535" i="10"/>
  <c r="AO1654" i="10"/>
  <c r="AO1663" i="10"/>
  <c r="AO1627" i="10"/>
  <c r="AO1497" i="10"/>
  <c r="AO1519" i="10"/>
  <c r="AO1609" i="10"/>
  <c r="AO1689" i="10"/>
  <c r="AO1417" i="10"/>
  <c r="AO1426" i="10"/>
  <c r="AO1449" i="10"/>
  <c r="AO1458" i="10"/>
  <c r="AO1471" i="10"/>
  <c r="AO1503" i="10"/>
  <c r="AO1528" i="10"/>
  <c r="AO1588" i="10"/>
  <c r="AO1531" i="10"/>
  <c r="AO1540" i="10"/>
  <c r="AO1486" i="10"/>
  <c r="AO1512" i="10"/>
  <c r="AO1579" i="10"/>
  <c r="AO1659" i="10"/>
  <c r="AO1515" i="10"/>
  <c r="AO1558" i="10"/>
  <c r="AO1567" i="10"/>
  <c r="AO1620" i="10"/>
  <c r="AO1638" i="10"/>
  <c r="AO1647" i="10"/>
  <c r="AO1496" i="10"/>
  <c r="AR2" i="10" l="1"/>
  <c r="AR3" i="10"/>
  <c r="AR11" i="10"/>
  <c r="AR19" i="10"/>
  <c r="AR27" i="10"/>
  <c r="AR35" i="10"/>
  <c r="AR43" i="10"/>
  <c r="AR51" i="10"/>
  <c r="AR59" i="10"/>
  <c r="AR67" i="10"/>
  <c r="AR75" i="10"/>
  <c r="AR83" i="10"/>
  <c r="AR91" i="10"/>
  <c r="AR99" i="10"/>
  <c r="AR107" i="10"/>
  <c r="AR115" i="10"/>
  <c r="AR123" i="10"/>
  <c r="AR131" i="10"/>
  <c r="AR139" i="10"/>
  <c r="AR147" i="10"/>
  <c r="AR155" i="10"/>
  <c r="AR163" i="10"/>
  <c r="AR171" i="10"/>
  <c r="AR179" i="10"/>
  <c r="AR187" i="10"/>
  <c r="AR195" i="10"/>
  <c r="AR203" i="10"/>
  <c r="AR211" i="10"/>
  <c r="AR219" i="10"/>
  <c r="AR227" i="10"/>
  <c r="AR235" i="10"/>
  <c r="AR243" i="10"/>
  <c r="AR251" i="10"/>
  <c r="AR259" i="10"/>
  <c r="AR267" i="10"/>
  <c r="AR4" i="10"/>
  <c r="AR12" i="10"/>
  <c r="AR20" i="10"/>
  <c r="AR28" i="10"/>
  <c r="AR36" i="10"/>
  <c r="AR44" i="10"/>
  <c r="AR52" i="10"/>
  <c r="AR60" i="10"/>
  <c r="AR68" i="10"/>
  <c r="AR76" i="10"/>
  <c r="AR84" i="10"/>
  <c r="AR92" i="10"/>
  <c r="AR100" i="10"/>
  <c r="AR108" i="10"/>
  <c r="AR116" i="10"/>
  <c r="AR124" i="10"/>
  <c r="AR132" i="10"/>
  <c r="AR140" i="10"/>
  <c r="AR148" i="10"/>
  <c r="AR156" i="10"/>
  <c r="AR164" i="10"/>
  <c r="AR172" i="10"/>
  <c r="AR180" i="10"/>
  <c r="AR188" i="10"/>
  <c r="AR196" i="10"/>
  <c r="AR204" i="10"/>
  <c r="AR212" i="10"/>
  <c r="AR220" i="10"/>
  <c r="AR228" i="10"/>
  <c r="AR236" i="10"/>
  <c r="AR244" i="10"/>
  <c r="AR252" i="10"/>
  <c r="AR260" i="10"/>
  <c r="AR268" i="10"/>
  <c r="AR276" i="10"/>
  <c r="AR284" i="10"/>
  <c r="AR292" i="10"/>
  <c r="AR300" i="10"/>
  <c r="AR308" i="10"/>
  <c r="AR316" i="10"/>
  <c r="AR324" i="10"/>
  <c r="AR332" i="10"/>
  <c r="AR340" i="10"/>
  <c r="AR348" i="10"/>
  <c r="AR356" i="10"/>
  <c r="AR364" i="10"/>
  <c r="AR372" i="10"/>
  <c r="AR380" i="10"/>
  <c r="AR388" i="10"/>
  <c r="AR396" i="10"/>
  <c r="AR404" i="10"/>
  <c r="AR412" i="10"/>
  <c r="AR420" i="10"/>
  <c r="AR428" i="10"/>
  <c r="AR436" i="10"/>
  <c r="AR444" i="10"/>
  <c r="AR452" i="10"/>
  <c r="AR460" i="10"/>
  <c r="AR468" i="10"/>
  <c r="AR476" i="10"/>
  <c r="AS476" i="10" s="1"/>
  <c r="AX476" i="10" s="1"/>
  <c r="AY476" i="10" s="1"/>
  <c r="AR484" i="10"/>
  <c r="AS484" i="10" s="1"/>
  <c r="AX484" i="10" s="1"/>
  <c r="AY484" i="10" s="1"/>
  <c r="AR492" i="10"/>
  <c r="AR500" i="10"/>
  <c r="AR508" i="10"/>
  <c r="AR516" i="10"/>
  <c r="AR524" i="10"/>
  <c r="AR532" i="10"/>
  <c r="AR540" i="10"/>
  <c r="AR548" i="10"/>
  <c r="AR556" i="10"/>
  <c r="AR564" i="10"/>
  <c r="AR572" i="10"/>
  <c r="AR580" i="10"/>
  <c r="AR588" i="10"/>
  <c r="AR596" i="10"/>
  <c r="AR604" i="10"/>
  <c r="AS604" i="10" s="1"/>
  <c r="AX604" i="10" s="1"/>
  <c r="AY604" i="10" s="1"/>
  <c r="AR612" i="10"/>
  <c r="AS612" i="10" s="1"/>
  <c r="AX612" i="10" s="1"/>
  <c r="AY612" i="10" s="1"/>
  <c r="AR620" i="10"/>
  <c r="AR628" i="10"/>
  <c r="AR636" i="10"/>
  <c r="AR644" i="10"/>
  <c r="AR652" i="10"/>
  <c r="AR660" i="10"/>
  <c r="AR668" i="10"/>
  <c r="AR676" i="10"/>
  <c r="AR5" i="10"/>
  <c r="AR13" i="10"/>
  <c r="AR21" i="10"/>
  <c r="AR29" i="10"/>
  <c r="AR37" i="10"/>
  <c r="AR45" i="10"/>
  <c r="AR53" i="10"/>
  <c r="AR61" i="10"/>
  <c r="AR69" i="10"/>
  <c r="AR77" i="10"/>
  <c r="AR85" i="10"/>
  <c r="AR93" i="10"/>
  <c r="AR101" i="10"/>
  <c r="AR109" i="10"/>
  <c r="AR117" i="10"/>
  <c r="AR125" i="10"/>
  <c r="AR133" i="10"/>
  <c r="AR141" i="10"/>
  <c r="AR149" i="10"/>
  <c r="AR157" i="10"/>
  <c r="AR165" i="10"/>
  <c r="AR173" i="10"/>
  <c r="AR181" i="10"/>
  <c r="AR189" i="10"/>
  <c r="AR197" i="10"/>
  <c r="AR205" i="10"/>
  <c r="AR213" i="10"/>
  <c r="AR221" i="10"/>
  <c r="AR229" i="10"/>
  <c r="AR237" i="10"/>
  <c r="AR245" i="10"/>
  <c r="AR253" i="10"/>
  <c r="AR261" i="10"/>
  <c r="AR269" i="10"/>
  <c r="AR277" i="10"/>
  <c r="AR285" i="10"/>
  <c r="AR293" i="10"/>
  <c r="AR301" i="10"/>
  <c r="AR309" i="10"/>
  <c r="AR317" i="10"/>
  <c r="AR325" i="10"/>
  <c r="AR333" i="10"/>
  <c r="AR341" i="10"/>
  <c r="AR349" i="10"/>
  <c r="AR357" i="10"/>
  <c r="AR365" i="10"/>
  <c r="AR373" i="10"/>
  <c r="AR381" i="10"/>
  <c r="AR389" i="10"/>
  <c r="AR397" i="10"/>
  <c r="AR405" i="10"/>
  <c r="AR413" i="10"/>
  <c r="AR421" i="10"/>
  <c r="AR429" i="10"/>
  <c r="AR437" i="10"/>
  <c r="AS437" i="10" s="1"/>
  <c r="AX437" i="10" s="1"/>
  <c r="AY437" i="10" s="1"/>
  <c r="AR445" i="10"/>
  <c r="AS445" i="10" s="1"/>
  <c r="AX445" i="10" s="1"/>
  <c r="AY445" i="10" s="1"/>
  <c r="AR453" i="10"/>
  <c r="AR461" i="10"/>
  <c r="AR469" i="10"/>
  <c r="AR477" i="10"/>
  <c r="AR485" i="10"/>
  <c r="AR493" i="10"/>
  <c r="AR501" i="10"/>
  <c r="AR509" i="10"/>
  <c r="AR517" i="10"/>
  <c r="AR525" i="10"/>
  <c r="AR533" i="10"/>
  <c r="AR541" i="10"/>
  <c r="AR549" i="10"/>
  <c r="AR557" i="10"/>
  <c r="AR565" i="10"/>
  <c r="AS565" i="10" s="1"/>
  <c r="AX565" i="10" s="1"/>
  <c r="AY565" i="10" s="1"/>
  <c r="AR573" i="10"/>
  <c r="AS573" i="10" s="1"/>
  <c r="AR581" i="10"/>
  <c r="AR589" i="10"/>
  <c r="AR597" i="10"/>
  <c r="AR605" i="10"/>
  <c r="AR613" i="10"/>
  <c r="AR621" i="10"/>
  <c r="AR629" i="10"/>
  <c r="AR637" i="10"/>
  <c r="AS637" i="10" s="1"/>
  <c r="AR645" i="10"/>
  <c r="AR653" i="10"/>
  <c r="AR661" i="10"/>
  <c r="AR669" i="10"/>
  <c r="AR677" i="10"/>
  <c r="AR6" i="10"/>
  <c r="AR14" i="10"/>
  <c r="AR22" i="10"/>
  <c r="AR30" i="10"/>
  <c r="AR38" i="10"/>
  <c r="AR46" i="10"/>
  <c r="AR54" i="10"/>
  <c r="AR62" i="10"/>
  <c r="AR70" i="10"/>
  <c r="AR78" i="10"/>
  <c r="AR86" i="10"/>
  <c r="AR94" i="10"/>
  <c r="AR102" i="10"/>
  <c r="AR110" i="10"/>
  <c r="AR118" i="10"/>
  <c r="AR126" i="10"/>
  <c r="AR134" i="10"/>
  <c r="AR142" i="10"/>
  <c r="AR150" i="10"/>
  <c r="AR158" i="10"/>
  <c r="AR166" i="10"/>
  <c r="AR174" i="10"/>
  <c r="AR182" i="10"/>
  <c r="AR190" i="10"/>
  <c r="AR198" i="10"/>
  <c r="AR7" i="10"/>
  <c r="AR15" i="10"/>
  <c r="AR23" i="10"/>
  <c r="AR31" i="10"/>
  <c r="AR39" i="10"/>
  <c r="AR47" i="10"/>
  <c r="AR55" i="10"/>
  <c r="AR63" i="10"/>
  <c r="AR71" i="10"/>
  <c r="AR79" i="10"/>
  <c r="AR87" i="10"/>
  <c r="AR95" i="10"/>
  <c r="AR103" i="10"/>
  <c r="AR111" i="10"/>
  <c r="AR119" i="10"/>
  <c r="AR127" i="10"/>
  <c r="AR135" i="10"/>
  <c r="AR143" i="10"/>
  <c r="AR151" i="10"/>
  <c r="AR159" i="10"/>
  <c r="AR167" i="10"/>
  <c r="AR175" i="10"/>
  <c r="AR183" i="10"/>
  <c r="AR191" i="10"/>
  <c r="AR199" i="10"/>
  <c r="AR207" i="10"/>
  <c r="AR215" i="10"/>
  <c r="AR223" i="10"/>
  <c r="AR231" i="10"/>
  <c r="AR239" i="10"/>
  <c r="AR247" i="10"/>
  <c r="AR255" i="10"/>
  <c r="AR263" i="10"/>
  <c r="AR271" i="10"/>
  <c r="AR279" i="10"/>
  <c r="AR287" i="10"/>
  <c r="AR295" i="10"/>
  <c r="AR303" i="10"/>
  <c r="AR311" i="10"/>
  <c r="AR319" i="10"/>
  <c r="AR327" i="10"/>
  <c r="AR335" i="10"/>
  <c r="AR343" i="10"/>
  <c r="AR351" i="10"/>
  <c r="AR359" i="10"/>
  <c r="AR367" i="10"/>
  <c r="AR375" i="10"/>
  <c r="AR383" i="10"/>
  <c r="AR391" i="10"/>
  <c r="AR399" i="10"/>
  <c r="AR407" i="10"/>
  <c r="AR415" i="10"/>
  <c r="AR423" i="10"/>
  <c r="AR431" i="10"/>
  <c r="AR439" i="10"/>
  <c r="AR447" i="10"/>
  <c r="AR455" i="10"/>
  <c r="AR463" i="10"/>
  <c r="AS463" i="10" s="1"/>
  <c r="AR471" i="10"/>
  <c r="AR479" i="10"/>
  <c r="AR487" i="10"/>
  <c r="AR495" i="10"/>
  <c r="AR503" i="10"/>
  <c r="AR511" i="10"/>
  <c r="AR519" i="10"/>
  <c r="AR527" i="10"/>
  <c r="AR535" i="10"/>
  <c r="AR543" i="10"/>
  <c r="AR551" i="10"/>
  <c r="AR559" i="10"/>
  <c r="AR567" i="10"/>
  <c r="AR575" i="10"/>
  <c r="AR583" i="10"/>
  <c r="AS583" i="10" s="1"/>
  <c r="AX583" i="10" s="1"/>
  <c r="AY583" i="10" s="1"/>
  <c r="AR591" i="10"/>
  <c r="AS591" i="10" s="1"/>
  <c r="AX591" i="10" s="1"/>
  <c r="AY591" i="10" s="1"/>
  <c r="AR599" i="10"/>
  <c r="AR607" i="10"/>
  <c r="AR615" i="10"/>
  <c r="AR623" i="10"/>
  <c r="AR631" i="10"/>
  <c r="AR639" i="10"/>
  <c r="AR647" i="10"/>
  <c r="AR655" i="10"/>
  <c r="AR663" i="10"/>
  <c r="AS663" i="10" s="1"/>
  <c r="AX663" i="10" s="1"/>
  <c r="AY663" i="10" s="1"/>
  <c r="AR671" i="10"/>
  <c r="AR679" i="10"/>
  <c r="AR8" i="10"/>
  <c r="AR16" i="10"/>
  <c r="AR24" i="10"/>
  <c r="AR32" i="10"/>
  <c r="AR40" i="10"/>
  <c r="AR48" i="10"/>
  <c r="AR56" i="10"/>
  <c r="AR64" i="10"/>
  <c r="AR72" i="10"/>
  <c r="AR80" i="10"/>
  <c r="AR88" i="10"/>
  <c r="AR96" i="10"/>
  <c r="AR104" i="10"/>
  <c r="AR112" i="10"/>
  <c r="AR120" i="10"/>
  <c r="AR128" i="10"/>
  <c r="AR136" i="10"/>
  <c r="AR144" i="10"/>
  <c r="AR152" i="10"/>
  <c r="AR160" i="10"/>
  <c r="AR168" i="10"/>
  <c r="AR176" i="10"/>
  <c r="AR184" i="10"/>
  <c r="AR192" i="10"/>
  <c r="AR200" i="10"/>
  <c r="AR208" i="10"/>
  <c r="AR216" i="10"/>
  <c r="AR224" i="10"/>
  <c r="AR232" i="10"/>
  <c r="AR240" i="10"/>
  <c r="AR248" i="10"/>
  <c r="AR256" i="10"/>
  <c r="AR264" i="10"/>
  <c r="AR272" i="10"/>
  <c r="AR280" i="10"/>
  <c r="AR288" i="10"/>
  <c r="AR296" i="10"/>
  <c r="AR304" i="10"/>
  <c r="AR312" i="10"/>
  <c r="AR320" i="10"/>
  <c r="AR328" i="10"/>
  <c r="AR336" i="10"/>
  <c r="AR344" i="10"/>
  <c r="AR352" i="10"/>
  <c r="AR360" i="10"/>
  <c r="AR368" i="10"/>
  <c r="AR376" i="10"/>
  <c r="AR384" i="10"/>
  <c r="AR392" i="10"/>
  <c r="AR400" i="10"/>
  <c r="AR408" i="10"/>
  <c r="AR416" i="10"/>
  <c r="AS416" i="10" s="1"/>
  <c r="AX416" i="10" s="1"/>
  <c r="AY416" i="10" s="1"/>
  <c r="AR424" i="10"/>
  <c r="AS424" i="10" s="1"/>
  <c r="AX424" i="10" s="1"/>
  <c r="AY424" i="10" s="1"/>
  <c r="AR432" i="10"/>
  <c r="AR440" i="10"/>
  <c r="AR448" i="10"/>
  <c r="AR456" i="10"/>
  <c r="AR464" i="10"/>
  <c r="AR472" i="10"/>
  <c r="AR480" i="10"/>
  <c r="AR488" i="10"/>
  <c r="AR496" i="10"/>
  <c r="AS496" i="10" s="1"/>
  <c r="AR504" i="10"/>
  <c r="AR512" i="10"/>
  <c r="AR520" i="10"/>
  <c r="AR528" i="10"/>
  <c r="AR536" i="10"/>
  <c r="AR544" i="10"/>
  <c r="AS544" i="10" s="1"/>
  <c r="AR552" i="10"/>
  <c r="AS552" i="10" s="1"/>
  <c r="AR560" i="10"/>
  <c r="AR568" i="10"/>
  <c r="AR576" i="10"/>
  <c r="AR584" i="10"/>
  <c r="AR592" i="10"/>
  <c r="AR600" i="10"/>
  <c r="AR608" i="10"/>
  <c r="AR616" i="10"/>
  <c r="AS616" i="10" s="1"/>
  <c r="AX616" i="10" s="1"/>
  <c r="AY616" i="10" s="1"/>
  <c r="AR624" i="10"/>
  <c r="AR632" i="10"/>
  <c r="AR640" i="10"/>
  <c r="AR648" i="10"/>
  <c r="AR656" i="10"/>
  <c r="AR664" i="10"/>
  <c r="AR672" i="10"/>
  <c r="AS672" i="10" s="1"/>
  <c r="AR680" i="10"/>
  <c r="AS680" i="10" s="1"/>
  <c r="AR9" i="10"/>
  <c r="AR17" i="10"/>
  <c r="AR25" i="10"/>
  <c r="AR33" i="10"/>
  <c r="AR41" i="10"/>
  <c r="AR49" i="10"/>
  <c r="AR57" i="10"/>
  <c r="AR65" i="10"/>
  <c r="AR73" i="10"/>
  <c r="AR81" i="10"/>
  <c r="AR89" i="10"/>
  <c r="AR97" i="10"/>
  <c r="AR105" i="10"/>
  <c r="AR113" i="10"/>
  <c r="AR121" i="10"/>
  <c r="AR129" i="10"/>
  <c r="AR137" i="10"/>
  <c r="AR145" i="10"/>
  <c r="AR153" i="10"/>
  <c r="AR161" i="10"/>
  <c r="AR169" i="10"/>
  <c r="AR177" i="10"/>
  <c r="AR185" i="10"/>
  <c r="AR193" i="10"/>
  <c r="AR201" i="10"/>
  <c r="AR209" i="10"/>
  <c r="AR10" i="10"/>
  <c r="AR74" i="10"/>
  <c r="AR138" i="10"/>
  <c r="AR202" i="10"/>
  <c r="AR226" i="10"/>
  <c r="AR249" i="10"/>
  <c r="AR270" i="10"/>
  <c r="AR286" i="10"/>
  <c r="AR302" i="10"/>
  <c r="AR318" i="10"/>
  <c r="AR334" i="10"/>
  <c r="AR350" i="10"/>
  <c r="AR366" i="10"/>
  <c r="AR382" i="10"/>
  <c r="AR398" i="10"/>
  <c r="AR414" i="10"/>
  <c r="AR430" i="10"/>
  <c r="AR446" i="10"/>
  <c r="AR462" i="10"/>
  <c r="AR478" i="10"/>
  <c r="AR494" i="10"/>
  <c r="AS494" i="10" s="1"/>
  <c r="AX494" i="10" s="1"/>
  <c r="AY494" i="10" s="1"/>
  <c r="AR510" i="10"/>
  <c r="AS510" i="10" s="1"/>
  <c r="AR526" i="10"/>
  <c r="AR542" i="10"/>
  <c r="AR558" i="10"/>
  <c r="AR574" i="10"/>
  <c r="AR590" i="10"/>
  <c r="AR606" i="10"/>
  <c r="AR622" i="10"/>
  <c r="AR638" i="10"/>
  <c r="AS638" i="10" s="1"/>
  <c r="AR654" i="10"/>
  <c r="AR670" i="10"/>
  <c r="AR684" i="10"/>
  <c r="AR692" i="10"/>
  <c r="AR700" i="10"/>
  <c r="AR708" i="10"/>
  <c r="AR716" i="10"/>
  <c r="AS716" i="10" s="1"/>
  <c r="AX716" i="10" s="1"/>
  <c r="AY716" i="10" s="1"/>
  <c r="AR724" i="10"/>
  <c r="AS724" i="10" s="1"/>
  <c r="AX724" i="10" s="1"/>
  <c r="AY724" i="10" s="1"/>
  <c r="AR732" i="10"/>
  <c r="AR740" i="10"/>
  <c r="AR748" i="10"/>
  <c r="AR756" i="10"/>
  <c r="AR764" i="10"/>
  <c r="AR772" i="10"/>
  <c r="AR780" i="10"/>
  <c r="AR788" i="10"/>
  <c r="AR796" i="10"/>
  <c r="AR804" i="10"/>
  <c r="AR812" i="10"/>
  <c r="AR820" i="10"/>
  <c r="AR828" i="10"/>
  <c r="AR836" i="10"/>
  <c r="AR844" i="10"/>
  <c r="AS844" i="10" s="1"/>
  <c r="AX844" i="10" s="1"/>
  <c r="AY844" i="10" s="1"/>
  <c r="AR852" i="10"/>
  <c r="AS852" i="10" s="1"/>
  <c r="AX852" i="10" s="1"/>
  <c r="AY852" i="10" s="1"/>
  <c r="AR860" i="10"/>
  <c r="AR868" i="10"/>
  <c r="AR876" i="10"/>
  <c r="AR884" i="10"/>
  <c r="AR892" i="10"/>
  <c r="AR900" i="10"/>
  <c r="AR908" i="10"/>
  <c r="AR916" i="10"/>
  <c r="AS916" i="10" s="1"/>
  <c r="AX916" i="10" s="1"/>
  <c r="AY916" i="10" s="1"/>
  <c r="AR924" i="10"/>
  <c r="AR932" i="10"/>
  <c r="AR940" i="10"/>
  <c r="AR948" i="10"/>
  <c r="AR956" i="10"/>
  <c r="AR964" i="10"/>
  <c r="AR972" i="10"/>
  <c r="AS972" i="10" s="1"/>
  <c r="AX972" i="10" s="1"/>
  <c r="AY972" i="10" s="1"/>
  <c r="AR980" i="10"/>
  <c r="AS980" i="10" s="1"/>
  <c r="AR988" i="10"/>
  <c r="AR996" i="10"/>
  <c r="AR1004" i="10"/>
  <c r="AR1012" i="10"/>
  <c r="AR1020" i="10"/>
  <c r="AR1028" i="10"/>
  <c r="AR1036" i="10"/>
  <c r="AR1044" i="10"/>
  <c r="AR1052" i="10"/>
  <c r="AS1052" i="10" s="1"/>
  <c r="AX1052" i="10" s="1"/>
  <c r="AY1052" i="10" s="1"/>
  <c r="AR1060" i="10"/>
  <c r="AR1068" i="10"/>
  <c r="AR1076" i="10"/>
  <c r="AR1084" i="10"/>
  <c r="AR1092" i="10"/>
  <c r="AR1100" i="10"/>
  <c r="AS1100" i="10" s="1"/>
  <c r="AX1100" i="10" s="1"/>
  <c r="AY1100" i="10" s="1"/>
  <c r="AR18" i="10"/>
  <c r="AR82" i="10"/>
  <c r="AR146" i="10"/>
  <c r="AR206" i="10"/>
  <c r="AR230" i="10"/>
  <c r="AR250" i="10"/>
  <c r="AR273" i="10"/>
  <c r="AR289" i="10"/>
  <c r="AR305" i="10"/>
  <c r="AR321" i="10"/>
  <c r="AR337" i="10"/>
  <c r="AR353" i="10"/>
  <c r="AR369" i="10"/>
  <c r="AR385" i="10"/>
  <c r="AR401" i="10"/>
  <c r="AR417" i="10"/>
  <c r="AS417" i="10" s="1"/>
  <c r="AX417" i="10" s="1"/>
  <c r="AY417" i="10" s="1"/>
  <c r="AR433" i="10"/>
  <c r="AS433" i="10" s="1"/>
  <c r="AR449" i="10"/>
  <c r="AR465" i="10"/>
  <c r="AR481" i="10"/>
  <c r="AR497" i="10"/>
  <c r="AR513" i="10"/>
  <c r="AR529" i="10"/>
  <c r="AR545" i="10"/>
  <c r="AR561" i="10"/>
  <c r="AS561" i="10" s="1"/>
  <c r="AR577" i="10"/>
  <c r="AS577" i="10" s="1"/>
  <c r="AR593" i="10"/>
  <c r="AR609" i="10"/>
  <c r="AR625" i="10"/>
  <c r="AR641" i="10"/>
  <c r="AR657" i="10"/>
  <c r="AR673" i="10"/>
  <c r="AS673" i="10" s="1"/>
  <c r="AR685" i="10"/>
  <c r="AS685" i="10" s="1"/>
  <c r="AX685" i="10" s="1"/>
  <c r="AY685" i="10" s="1"/>
  <c r="AR693" i="10"/>
  <c r="AR701" i="10"/>
  <c r="AR709" i="10"/>
  <c r="AR717" i="10"/>
  <c r="AR725" i="10"/>
  <c r="AR733" i="10"/>
  <c r="AR741" i="10"/>
  <c r="AR749" i="10"/>
  <c r="AR757" i="10"/>
  <c r="AS757" i="10" s="1"/>
  <c r="AX757" i="10" s="1"/>
  <c r="AY757" i="10" s="1"/>
  <c r="AR765" i="10"/>
  <c r="AR773" i="10"/>
  <c r="AR781" i="10"/>
  <c r="AR789" i="10"/>
  <c r="AR797" i="10"/>
  <c r="AR805" i="10"/>
  <c r="AS805" i="10" s="1"/>
  <c r="AX805" i="10" s="1"/>
  <c r="AY805" i="10" s="1"/>
  <c r="AR813" i="10"/>
  <c r="AS813" i="10" s="1"/>
  <c r="AR821" i="10"/>
  <c r="AR829" i="10"/>
  <c r="AR837" i="10"/>
  <c r="AR845" i="10"/>
  <c r="AR853" i="10"/>
  <c r="AR861" i="10"/>
  <c r="AR869" i="10"/>
  <c r="AR877" i="10"/>
  <c r="AS877" i="10" s="1"/>
  <c r="AX877" i="10" s="1"/>
  <c r="AY877" i="10" s="1"/>
  <c r="AR885" i="10"/>
  <c r="AR893" i="10"/>
  <c r="AR901" i="10"/>
  <c r="AR909" i="10"/>
  <c r="AR917" i="10"/>
  <c r="AR925" i="10"/>
  <c r="AR933" i="10"/>
  <c r="AS933" i="10" s="1"/>
  <c r="AR941" i="10"/>
  <c r="AS941" i="10" s="1"/>
  <c r="AX941" i="10" s="1"/>
  <c r="AY941" i="10" s="1"/>
  <c r="AR26" i="10"/>
  <c r="AR90" i="10"/>
  <c r="AR154" i="10"/>
  <c r="AR210" i="10"/>
  <c r="AR233" i="10"/>
  <c r="AR254" i="10"/>
  <c r="AR274" i="10"/>
  <c r="AR290" i="10"/>
  <c r="AR306" i="10"/>
  <c r="AR322" i="10"/>
  <c r="AR338" i="10"/>
  <c r="AR354" i="10"/>
  <c r="AR370" i="10"/>
  <c r="AR386" i="10"/>
  <c r="AR402" i="10"/>
  <c r="AR418" i="10"/>
  <c r="AS418" i="10" s="1"/>
  <c r="AX418" i="10" s="1"/>
  <c r="AY418" i="10" s="1"/>
  <c r="AR434" i="10"/>
  <c r="AR450" i="10"/>
  <c r="AR466" i="10"/>
  <c r="AR482" i="10"/>
  <c r="AR498" i="10"/>
  <c r="AR514" i="10"/>
  <c r="AR530" i="10"/>
  <c r="AR546" i="10"/>
  <c r="AR562" i="10"/>
  <c r="AS562" i="10" s="1"/>
  <c r="AR578" i="10"/>
  <c r="AR594" i="10"/>
  <c r="AR610" i="10"/>
  <c r="AR626" i="10"/>
  <c r="AR642" i="10"/>
  <c r="AR658" i="10"/>
  <c r="AS658" i="10" s="1"/>
  <c r="AX658" i="10" s="1"/>
  <c r="AY658" i="10" s="1"/>
  <c r="AR674" i="10"/>
  <c r="AS674" i="10" s="1"/>
  <c r="AX674" i="10" s="1"/>
  <c r="AY674" i="10" s="1"/>
  <c r="AR686" i="10"/>
  <c r="AR694" i="10"/>
  <c r="AR702" i="10"/>
  <c r="AR710" i="10"/>
  <c r="AR718" i="10"/>
  <c r="AR726" i="10"/>
  <c r="AR734" i="10"/>
  <c r="AR742" i="10"/>
  <c r="AS742" i="10" s="1"/>
  <c r="AR750" i="10"/>
  <c r="AS750" i="10" s="1"/>
  <c r="AR758" i="10"/>
  <c r="AR766" i="10"/>
  <c r="AR774" i="10"/>
  <c r="AR782" i="10"/>
  <c r="AR790" i="10"/>
  <c r="AR798" i="10"/>
  <c r="AS798" i="10" s="1"/>
  <c r="AX798" i="10" s="1"/>
  <c r="AY798" i="10" s="1"/>
  <c r="AR806" i="10"/>
  <c r="AS806" i="10" s="1"/>
  <c r="AX806" i="10" s="1"/>
  <c r="AY806" i="10" s="1"/>
  <c r="AR814" i="10"/>
  <c r="AR822" i="10"/>
  <c r="AR830" i="10"/>
  <c r="AR838" i="10"/>
  <c r="AR846" i="10"/>
  <c r="AR854" i="10"/>
  <c r="AR862" i="10"/>
  <c r="AR870" i="10"/>
  <c r="AS870" i="10" s="1"/>
  <c r="AX870" i="10" s="1"/>
  <c r="AY870" i="10" s="1"/>
  <c r="AR878" i="10"/>
  <c r="AR886" i="10"/>
  <c r="AR894" i="10"/>
  <c r="AR902" i="10"/>
  <c r="AR910" i="10"/>
  <c r="AR918" i="10"/>
  <c r="AR926" i="10"/>
  <c r="AS926" i="10" s="1"/>
  <c r="AR934" i="10"/>
  <c r="AS934" i="10" s="1"/>
  <c r="AR942" i="10"/>
  <c r="AR58" i="10"/>
  <c r="AR122" i="10"/>
  <c r="AR186" i="10"/>
  <c r="AR222" i="10"/>
  <c r="AR242" i="10"/>
  <c r="AR265" i="10"/>
  <c r="AR282" i="10"/>
  <c r="AR298" i="10"/>
  <c r="AR314" i="10"/>
  <c r="AR330" i="10"/>
  <c r="AR346" i="10"/>
  <c r="AR362" i="10"/>
  <c r="AR378" i="10"/>
  <c r="AR394" i="10"/>
  <c r="AR410" i="10"/>
  <c r="AR426" i="10"/>
  <c r="AR442" i="10"/>
  <c r="AR458" i="10"/>
  <c r="AR474" i="10"/>
  <c r="AR490" i="10"/>
  <c r="AR506" i="10"/>
  <c r="AR522" i="10"/>
  <c r="AR538" i="10"/>
  <c r="AS538" i="10" s="1"/>
  <c r="AR554" i="10"/>
  <c r="AS554" i="10" s="1"/>
  <c r="AR570" i="10"/>
  <c r="AR586" i="10"/>
  <c r="AR602" i="10"/>
  <c r="AR618" i="10"/>
  <c r="AR634" i="10"/>
  <c r="AR650" i="10"/>
  <c r="AS650" i="10" s="1"/>
  <c r="AR666" i="10"/>
  <c r="AS666" i="10" s="1"/>
  <c r="AR682" i="10"/>
  <c r="AR690" i="10"/>
  <c r="AR698" i="10"/>
  <c r="AR706" i="10"/>
  <c r="AR714" i="10"/>
  <c r="AR722" i="10"/>
  <c r="AR730" i="10"/>
  <c r="AR738" i="10"/>
  <c r="AS738" i="10" s="1"/>
  <c r="AR746" i="10"/>
  <c r="AS746" i="10" s="1"/>
  <c r="AR754" i="10"/>
  <c r="AR762" i="10"/>
  <c r="AR770" i="10"/>
  <c r="AR778" i="10"/>
  <c r="AR786" i="10"/>
  <c r="AR794" i="10"/>
  <c r="AS794" i="10" s="1"/>
  <c r="AR802" i="10"/>
  <c r="AS802" i="10" s="1"/>
  <c r="AX802" i="10" s="1"/>
  <c r="AY802" i="10" s="1"/>
  <c r="AR810" i="10"/>
  <c r="AR818" i="10"/>
  <c r="AR826" i="10"/>
  <c r="AR834" i="10"/>
  <c r="AR842" i="10"/>
  <c r="AR850" i="10"/>
  <c r="AR858" i="10"/>
  <c r="AR866" i="10"/>
  <c r="AS866" i="10" s="1"/>
  <c r="AX866" i="10" s="1"/>
  <c r="AY866" i="10" s="1"/>
  <c r="AR874" i="10"/>
  <c r="AS874" i="10" s="1"/>
  <c r="AX874" i="10" s="1"/>
  <c r="AY874" i="10" s="1"/>
  <c r="AR882" i="10"/>
  <c r="AR890" i="10"/>
  <c r="AR898" i="10"/>
  <c r="AR906" i="10"/>
  <c r="AR914" i="10"/>
  <c r="AR922" i="10"/>
  <c r="AS922" i="10" s="1"/>
  <c r="AR930" i="10"/>
  <c r="AS930" i="10" s="1"/>
  <c r="AX930" i="10" s="1"/>
  <c r="AY930" i="10" s="1"/>
  <c r="AR938" i="10"/>
  <c r="AR34" i="10"/>
  <c r="AR162" i="10"/>
  <c r="AR234" i="10"/>
  <c r="AR275" i="10"/>
  <c r="AR307" i="10"/>
  <c r="AR339" i="10"/>
  <c r="AR371" i="10"/>
  <c r="AR403" i="10"/>
  <c r="AR435" i="10"/>
  <c r="AR467" i="10"/>
  <c r="AR499" i="10"/>
  <c r="AR531" i="10"/>
  <c r="AR563" i="10"/>
  <c r="AR595" i="10"/>
  <c r="AS595" i="10" s="1"/>
  <c r="AX595" i="10" s="1"/>
  <c r="AY595" i="10" s="1"/>
  <c r="AR627" i="10"/>
  <c r="AS627" i="10" s="1"/>
  <c r="AX627" i="10" s="1"/>
  <c r="AY627" i="10" s="1"/>
  <c r="AR659" i="10"/>
  <c r="AR687" i="10"/>
  <c r="AR703" i="10"/>
  <c r="AR719" i="10"/>
  <c r="AR735" i="10"/>
  <c r="AR751" i="10"/>
  <c r="AR767" i="10"/>
  <c r="AR783" i="10"/>
  <c r="AS783" i="10" s="1"/>
  <c r="AR799" i="10"/>
  <c r="AS799" i="10" s="1"/>
  <c r="AX799" i="10" s="1"/>
  <c r="AY799" i="10" s="1"/>
  <c r="AR815" i="10"/>
  <c r="AR831" i="10"/>
  <c r="AR847" i="10"/>
  <c r="AR863" i="10"/>
  <c r="AR879" i="10"/>
  <c r="AR895" i="10"/>
  <c r="AS895" i="10" s="1"/>
  <c r="AR911" i="10"/>
  <c r="AS911" i="10" s="1"/>
  <c r="AR927" i="10"/>
  <c r="AR943" i="10"/>
  <c r="AR952" i="10"/>
  <c r="AR961" i="10"/>
  <c r="AR970" i="10"/>
  <c r="AR979" i="10"/>
  <c r="AR989" i="10"/>
  <c r="AR998" i="10"/>
  <c r="AS998" i="10" s="1"/>
  <c r="AR1007" i="10"/>
  <c r="AS1007" i="10" s="1"/>
  <c r="AR1016" i="10"/>
  <c r="AR1025" i="10"/>
  <c r="AR1034" i="10"/>
  <c r="AR1043" i="10"/>
  <c r="AR1053" i="10"/>
  <c r="AR1062" i="10"/>
  <c r="AS1062" i="10" s="1"/>
  <c r="AR1071" i="10"/>
  <c r="AS1071" i="10" s="1"/>
  <c r="AX1071" i="10" s="1"/>
  <c r="AY1071" i="10" s="1"/>
  <c r="AR1080" i="10"/>
  <c r="AR1089" i="10"/>
  <c r="AR1098" i="10"/>
  <c r="AR1107" i="10"/>
  <c r="AR1115" i="10"/>
  <c r="AR1123" i="10"/>
  <c r="AR1131" i="10"/>
  <c r="AR1139" i="10"/>
  <c r="AS1139" i="10" s="1"/>
  <c r="AX1139" i="10" s="1"/>
  <c r="AY1139" i="10" s="1"/>
  <c r="AR1147" i="10"/>
  <c r="AS1147" i="10" s="1"/>
  <c r="AR1155" i="10"/>
  <c r="AR1163" i="10"/>
  <c r="AR1171" i="10"/>
  <c r="AR1179" i="10"/>
  <c r="AR1187" i="10"/>
  <c r="AR1195" i="10"/>
  <c r="AS1195" i="10" s="1"/>
  <c r="AX1195" i="10" s="1"/>
  <c r="AY1195" i="10" s="1"/>
  <c r="AR1203" i="10"/>
  <c r="AS1203" i="10" s="1"/>
  <c r="AX1203" i="10" s="1"/>
  <c r="AY1203" i="10" s="1"/>
  <c r="AR1211" i="10"/>
  <c r="AR1219" i="10"/>
  <c r="AR1227" i="10"/>
  <c r="AS1227" i="10" s="1"/>
  <c r="AR1235" i="10"/>
  <c r="AR1243" i="10"/>
  <c r="AR1251" i="10"/>
  <c r="AR1259" i="10"/>
  <c r="AR1267" i="10"/>
  <c r="AS1267" i="10" s="1"/>
  <c r="AX1267" i="10" s="1"/>
  <c r="AY1267" i="10" s="1"/>
  <c r="AR1275" i="10"/>
  <c r="AS1275" i="10" s="1"/>
  <c r="AX1275" i="10" s="1"/>
  <c r="AY1275" i="10" s="1"/>
  <c r="AR1283" i="10"/>
  <c r="AR1291" i="10"/>
  <c r="AR1299" i="10"/>
  <c r="AR1307" i="10"/>
  <c r="AR1315" i="10"/>
  <c r="AR1323" i="10"/>
  <c r="AS1323" i="10" s="1"/>
  <c r="AR1331" i="10"/>
  <c r="AS1331" i="10" s="1"/>
  <c r="AR1339" i="10"/>
  <c r="AR1347" i="10"/>
  <c r="AR1355" i="10"/>
  <c r="AS1355" i="10" s="1"/>
  <c r="AR1363" i="10"/>
  <c r="AR1371" i="10"/>
  <c r="AR1379" i="10"/>
  <c r="AR1387" i="10"/>
  <c r="AR1395" i="10"/>
  <c r="AS1395" i="10" s="1"/>
  <c r="AR1403" i="10"/>
  <c r="AR1411" i="10"/>
  <c r="AR1419" i="10"/>
  <c r="AR1427" i="10"/>
  <c r="AR1435" i="10"/>
  <c r="AR1443" i="10"/>
  <c r="AR1451" i="10"/>
  <c r="AS1451" i="10" s="1"/>
  <c r="AX1451" i="10" s="1"/>
  <c r="AY1451" i="10" s="1"/>
  <c r="AR1459" i="10"/>
  <c r="AS1459" i="10" s="1"/>
  <c r="AR1467" i="10"/>
  <c r="AR1475" i="10"/>
  <c r="AR42" i="10"/>
  <c r="AR170" i="10"/>
  <c r="AR238" i="10"/>
  <c r="AR278" i="10"/>
  <c r="AR310" i="10"/>
  <c r="AR342" i="10"/>
  <c r="AR374" i="10"/>
  <c r="AR406" i="10"/>
  <c r="AR438" i="10"/>
  <c r="AR470" i="10"/>
  <c r="AR502" i="10"/>
  <c r="AR534" i="10"/>
  <c r="AR566" i="10"/>
  <c r="AS566" i="10" s="1"/>
  <c r="AR598" i="10"/>
  <c r="AS598" i="10" s="1"/>
  <c r="AX598" i="10" s="1"/>
  <c r="AY598" i="10" s="1"/>
  <c r="AR630" i="10"/>
  <c r="AR662" i="10"/>
  <c r="AR688" i="10"/>
  <c r="AR704" i="10"/>
  <c r="AR720" i="10"/>
  <c r="AR736" i="10"/>
  <c r="AR752" i="10"/>
  <c r="AR768" i="10"/>
  <c r="AS768" i="10" s="1"/>
  <c r="AR784" i="10"/>
  <c r="AR800" i="10"/>
  <c r="AR816" i="10"/>
  <c r="AR832" i="10"/>
  <c r="AR848" i="10"/>
  <c r="AR864" i="10"/>
  <c r="AR880" i="10"/>
  <c r="AS880" i="10" s="1"/>
  <c r="AR896" i="10"/>
  <c r="AS896" i="10" s="1"/>
  <c r="AR912" i="10"/>
  <c r="AR928" i="10"/>
  <c r="AR944" i="10"/>
  <c r="AS944" i="10" s="1"/>
  <c r="AR953" i="10"/>
  <c r="AR962" i="10"/>
  <c r="AR971" i="10"/>
  <c r="AR981" i="10"/>
  <c r="AR990" i="10"/>
  <c r="AS990" i="10" s="1"/>
  <c r="AX990" i="10" s="1"/>
  <c r="AY990" i="10" s="1"/>
  <c r="AR999" i="10"/>
  <c r="AS999" i="10" s="1"/>
  <c r="AR1008" i="10"/>
  <c r="AR1017" i="10"/>
  <c r="AR1026" i="10"/>
  <c r="AR1035" i="10"/>
  <c r="AR1045" i="10"/>
  <c r="AR1054" i="10"/>
  <c r="AS1054" i="10" s="1"/>
  <c r="AR1063" i="10"/>
  <c r="AS1063" i="10" s="1"/>
  <c r="AR1072" i="10"/>
  <c r="AR1081" i="10"/>
  <c r="AR1090" i="10"/>
  <c r="AR1099" i="10"/>
  <c r="AR1108" i="10"/>
  <c r="AR1116" i="10"/>
  <c r="AS1116" i="10" s="1"/>
  <c r="AX1116" i="10" s="1"/>
  <c r="AY1116" i="10" s="1"/>
  <c r="AR1124" i="10"/>
  <c r="AR1132" i="10"/>
  <c r="AS1132" i="10" s="1"/>
  <c r="AR1140" i="10"/>
  <c r="AS1140" i="10" s="1"/>
  <c r="AR1148" i="10"/>
  <c r="AR1156" i="10"/>
  <c r="AR1164" i="10"/>
  <c r="AR1172" i="10"/>
  <c r="AR1180" i="10"/>
  <c r="AS1180" i="10" s="1"/>
  <c r="AR1188" i="10"/>
  <c r="AS1188" i="10" s="1"/>
  <c r="AR1196" i="10"/>
  <c r="AS1196" i="10" s="1"/>
  <c r="AR1204" i="10"/>
  <c r="AR1212" i="10"/>
  <c r="AR1220" i="10"/>
  <c r="AS1220" i="10" s="1"/>
  <c r="AR1228" i="10"/>
  <c r="AS1228" i="10" s="1"/>
  <c r="AR1236" i="10"/>
  <c r="AR1244" i="10"/>
  <c r="AR1252" i="10"/>
  <c r="AR1260" i="10"/>
  <c r="AS1260" i="10" s="1"/>
  <c r="AR1268" i="10"/>
  <c r="AS1268" i="10" s="1"/>
  <c r="AR1276" i="10"/>
  <c r="AR1284" i="10"/>
  <c r="AR1292" i="10"/>
  <c r="AS1292" i="10" s="1"/>
  <c r="AX1292" i="10" s="1"/>
  <c r="AY1292" i="10" s="1"/>
  <c r="AR1300" i="10"/>
  <c r="AR1308" i="10"/>
  <c r="AR1316" i="10"/>
  <c r="AS1316" i="10" s="1"/>
  <c r="AR1324" i="10"/>
  <c r="AS1324" i="10" s="1"/>
  <c r="AX1324" i="10" s="1"/>
  <c r="AY1324" i="10" s="1"/>
  <c r="AR1332" i="10"/>
  <c r="AR1340" i="10"/>
  <c r="AR1348" i="10"/>
  <c r="AS1348" i="10" s="1"/>
  <c r="AR1356" i="10"/>
  <c r="AS1356" i="10" s="1"/>
  <c r="AX1356" i="10" s="1"/>
  <c r="AY1356" i="10" s="1"/>
  <c r="AR1364" i="10"/>
  <c r="AR1372" i="10"/>
  <c r="AR1380" i="10"/>
  <c r="AR50" i="10"/>
  <c r="AR178" i="10"/>
  <c r="AR241" i="10"/>
  <c r="AR281" i="10"/>
  <c r="AR313" i="10"/>
  <c r="AR345" i="10"/>
  <c r="AR377" i="10"/>
  <c r="AR409" i="10"/>
  <c r="AR441" i="10"/>
  <c r="AS441" i="10" s="1"/>
  <c r="AX441" i="10" s="1"/>
  <c r="AY441" i="10" s="1"/>
  <c r="AR473" i="10"/>
  <c r="AR505" i="10"/>
  <c r="AR537" i="10"/>
  <c r="AS537" i="10" s="1"/>
  <c r="AR569" i="10"/>
  <c r="AS569" i="10" s="1"/>
  <c r="AX569" i="10" s="1"/>
  <c r="AY569" i="10" s="1"/>
  <c r="AR601" i="10"/>
  <c r="AS601" i="10" s="1"/>
  <c r="AR633" i="10"/>
  <c r="AS633" i="10" s="1"/>
  <c r="AR665" i="10"/>
  <c r="AR689" i="10"/>
  <c r="AS689" i="10" s="1"/>
  <c r="AR705" i="10"/>
  <c r="AS705" i="10" s="1"/>
  <c r="AX705" i="10" s="1"/>
  <c r="AY705" i="10" s="1"/>
  <c r="AR721" i="10"/>
  <c r="AR737" i="10"/>
  <c r="AR753" i="10"/>
  <c r="AS753" i="10" s="1"/>
  <c r="AX753" i="10" s="1"/>
  <c r="AY753" i="10" s="1"/>
  <c r="AR769" i="10"/>
  <c r="AS769" i="10" s="1"/>
  <c r="AR785" i="10"/>
  <c r="AS785" i="10" s="1"/>
  <c r="AR801" i="10"/>
  <c r="AS801" i="10" s="1"/>
  <c r="AX801" i="10" s="1"/>
  <c r="AY801" i="10" s="1"/>
  <c r="AR817" i="10"/>
  <c r="AS817" i="10" s="1"/>
  <c r="AR833" i="10"/>
  <c r="AR849" i="10"/>
  <c r="AR865" i="10"/>
  <c r="AS865" i="10" s="1"/>
  <c r="AR881" i="10"/>
  <c r="AR897" i="10"/>
  <c r="AS897" i="10" s="1"/>
  <c r="AR913" i="10"/>
  <c r="AR929" i="10"/>
  <c r="AR945" i="10"/>
  <c r="AS945" i="10" s="1"/>
  <c r="AR954" i="10"/>
  <c r="AS954" i="10" s="1"/>
  <c r="AR963" i="10"/>
  <c r="AR973" i="10"/>
  <c r="AR982" i="10"/>
  <c r="AS982" i="10" s="1"/>
  <c r="AR991" i="10"/>
  <c r="AR1000" i="10"/>
  <c r="AS1000" i="10" s="1"/>
  <c r="AR1009" i="10"/>
  <c r="AS1009" i="10" s="1"/>
  <c r="AX1009" i="10" s="1"/>
  <c r="AY1009" i="10" s="1"/>
  <c r="AR1018" i="10"/>
  <c r="AS1018" i="10" s="1"/>
  <c r="AX1018" i="10" s="1"/>
  <c r="AY1018" i="10" s="1"/>
  <c r="AR1027" i="10"/>
  <c r="AR1037" i="10"/>
  <c r="AR1046" i="10"/>
  <c r="AS1046" i="10" s="1"/>
  <c r="AR1055" i="10"/>
  <c r="AS1055" i="10" s="1"/>
  <c r="AR1064" i="10"/>
  <c r="AR1073" i="10"/>
  <c r="AS1073" i="10" s="1"/>
  <c r="AX1073" i="10" s="1"/>
  <c r="AY1073" i="10" s="1"/>
  <c r="AR1082" i="10"/>
  <c r="AR1091" i="10"/>
  <c r="AS1091" i="10" s="1"/>
  <c r="AX1091" i="10" s="1"/>
  <c r="AY1091" i="10" s="1"/>
  <c r="AR1101" i="10"/>
  <c r="AS1101" i="10" s="1"/>
  <c r="AR1109" i="10"/>
  <c r="AR1117" i="10"/>
  <c r="AR1125" i="10"/>
  <c r="AR1133" i="10"/>
  <c r="AR1141" i="10"/>
  <c r="AS1141" i="10" s="1"/>
  <c r="AX1141" i="10" s="1"/>
  <c r="AY1141" i="10" s="1"/>
  <c r="AR1149" i="10"/>
  <c r="AS1149" i="10" s="1"/>
  <c r="AR1157" i="10"/>
  <c r="AS1157" i="10" s="1"/>
  <c r="AX1157" i="10" s="1"/>
  <c r="AY1157" i="10" s="1"/>
  <c r="AR1165" i="10"/>
  <c r="AR1173" i="10"/>
  <c r="AR1181" i="10"/>
  <c r="AR1189" i="10"/>
  <c r="AS1189" i="10" s="1"/>
  <c r="AX1189" i="10" s="1"/>
  <c r="AY1189" i="10" s="1"/>
  <c r="AR1197" i="10"/>
  <c r="AS1197" i="10" s="1"/>
  <c r="AX1197" i="10" s="1"/>
  <c r="AY1197" i="10" s="1"/>
  <c r="AR1205" i="10"/>
  <c r="AS1205" i="10" s="1"/>
  <c r="AX1205" i="10" s="1"/>
  <c r="AY1205" i="10" s="1"/>
  <c r="AR1213" i="10"/>
  <c r="AR1221" i="10"/>
  <c r="AS1221" i="10" s="1"/>
  <c r="AX1221" i="10" s="1"/>
  <c r="AY1221" i="10" s="1"/>
  <c r="AR1229" i="10"/>
  <c r="AS1229" i="10" s="1"/>
  <c r="AR1237" i="10"/>
  <c r="AR1245" i="10"/>
  <c r="AR1253" i="10"/>
  <c r="AR1261" i="10"/>
  <c r="AS1261" i="10" s="1"/>
  <c r="AR1269" i="10"/>
  <c r="AR1277" i="10"/>
  <c r="AS1277" i="10" s="1"/>
  <c r="AR1285" i="10"/>
  <c r="AS1285" i="10" s="1"/>
  <c r="AX1285" i="10" s="1"/>
  <c r="AY1285" i="10" s="1"/>
  <c r="AR1293" i="10"/>
  <c r="AR1301" i="10"/>
  <c r="AR1309" i="10"/>
  <c r="AS1309" i="10" s="1"/>
  <c r="AR1317" i="10"/>
  <c r="AS1317" i="10" s="1"/>
  <c r="AX1317" i="10" s="1"/>
  <c r="AY1317" i="10" s="1"/>
  <c r="AR1325" i="10"/>
  <c r="AS1325" i="10" s="1"/>
  <c r="AR1333" i="10"/>
  <c r="AS1333" i="10" s="1"/>
  <c r="AX1333" i="10" s="1"/>
  <c r="AY1333" i="10" s="1"/>
  <c r="AR1341" i="10"/>
  <c r="AR1349" i="10"/>
  <c r="AS1349" i="10" s="1"/>
  <c r="AX1349" i="10" s="1"/>
  <c r="AY1349" i="10" s="1"/>
  <c r="AR1357" i="10"/>
  <c r="AS1357" i="10" s="1"/>
  <c r="AR1365" i="10"/>
  <c r="AR1373" i="10"/>
  <c r="AR1381" i="10"/>
  <c r="AR1389" i="10"/>
  <c r="AR130" i="10"/>
  <c r="AR225" i="10"/>
  <c r="AR266" i="10"/>
  <c r="AR299" i="10"/>
  <c r="AR331" i="10"/>
  <c r="AR363" i="10"/>
  <c r="AR395" i="10"/>
  <c r="AR427" i="10"/>
  <c r="AR459" i="10"/>
  <c r="AS459" i="10" s="1"/>
  <c r="AX459" i="10" s="1"/>
  <c r="AY459" i="10" s="1"/>
  <c r="AR491" i="10"/>
  <c r="AR523" i="10"/>
  <c r="AS523" i="10" s="1"/>
  <c r="AR555" i="10"/>
  <c r="AS555" i="10" s="1"/>
  <c r="AR587" i="10"/>
  <c r="AR619" i="10"/>
  <c r="AR651" i="10"/>
  <c r="AS651" i="10" s="1"/>
  <c r="AX651" i="10" s="1"/>
  <c r="AY651" i="10" s="1"/>
  <c r="AR683" i="10"/>
  <c r="AS683" i="10" s="1"/>
  <c r="AX683" i="10" s="1"/>
  <c r="AY683" i="10" s="1"/>
  <c r="AR699" i="10"/>
  <c r="AS699" i="10" s="1"/>
  <c r="AR715" i="10"/>
  <c r="AS715" i="10" s="1"/>
  <c r="AR731" i="10"/>
  <c r="AS731" i="10" s="1"/>
  <c r="AX731" i="10" s="1"/>
  <c r="AY731" i="10" s="1"/>
  <c r="AR747" i="10"/>
  <c r="AR763" i="10"/>
  <c r="AR779" i="10"/>
  <c r="AS779" i="10" s="1"/>
  <c r="AR795" i="10"/>
  <c r="AR811" i="10"/>
  <c r="AS811" i="10" s="1"/>
  <c r="AR827" i="10"/>
  <c r="AR843" i="10"/>
  <c r="AR859" i="10"/>
  <c r="AS859" i="10" s="1"/>
  <c r="AR875" i="10"/>
  <c r="AS875" i="10" s="1"/>
  <c r="AX875" i="10" s="1"/>
  <c r="AY875" i="10" s="1"/>
  <c r="AR891" i="10"/>
  <c r="AR907" i="10"/>
  <c r="AR923" i="10"/>
  <c r="AS923" i="10" s="1"/>
  <c r="AR939" i="10"/>
  <c r="AS939" i="10" s="1"/>
  <c r="AX939" i="10" s="1"/>
  <c r="AY939" i="10" s="1"/>
  <c r="AR951" i="10"/>
  <c r="AS951" i="10" s="1"/>
  <c r="AR960" i="10"/>
  <c r="AS960" i="10" s="1"/>
  <c r="AX960" i="10" s="1"/>
  <c r="AY960" i="10" s="1"/>
  <c r="AR969" i="10"/>
  <c r="AS969" i="10" s="1"/>
  <c r="AR978" i="10"/>
  <c r="AR987" i="10"/>
  <c r="AR997" i="10"/>
  <c r="AS997" i="10" s="1"/>
  <c r="AX997" i="10" s="1"/>
  <c r="AY997" i="10" s="1"/>
  <c r="AR1006" i="10"/>
  <c r="AR1015" i="10"/>
  <c r="AS1015" i="10" s="1"/>
  <c r="AR1024" i="10"/>
  <c r="AS1024" i="10" s="1"/>
  <c r="AX1024" i="10" s="1"/>
  <c r="AY1024" i="10" s="1"/>
  <c r="AR1033" i="10"/>
  <c r="AR1042" i="10"/>
  <c r="AS1042" i="10" s="1"/>
  <c r="AX1042" i="10" s="1"/>
  <c r="AY1042" i="10" s="1"/>
  <c r="AR1051" i="10"/>
  <c r="AS1051" i="10" s="1"/>
  <c r="AX1051" i="10" s="1"/>
  <c r="AY1051" i="10" s="1"/>
  <c r="AR1061" i="10"/>
  <c r="AR1070" i="10"/>
  <c r="AR1079" i="10"/>
  <c r="AS1079" i="10" s="1"/>
  <c r="AR1088" i="10"/>
  <c r="AS1088" i="10" s="1"/>
  <c r="AX1088" i="10" s="1"/>
  <c r="AY1088" i="10" s="1"/>
  <c r="AR1097" i="10"/>
  <c r="AS1097" i="10" s="1"/>
  <c r="AX1097" i="10" s="1"/>
  <c r="AY1097" i="10" s="1"/>
  <c r="AR1106" i="10"/>
  <c r="AS1106" i="10" s="1"/>
  <c r="AX1106" i="10" s="1"/>
  <c r="AY1106" i="10" s="1"/>
  <c r="AR1114" i="10"/>
  <c r="AS1114" i="10" s="1"/>
  <c r="AX1114" i="10" s="1"/>
  <c r="AY1114" i="10" s="1"/>
  <c r="AR1122" i="10"/>
  <c r="AR1130" i="10"/>
  <c r="AR1138" i="10"/>
  <c r="AS1138" i="10" s="1"/>
  <c r="AX1138" i="10" s="1"/>
  <c r="AY1138" i="10" s="1"/>
  <c r="AR1146" i="10"/>
  <c r="AS1146" i="10" s="1"/>
  <c r="AR1154" i="10"/>
  <c r="AS1154" i="10" s="1"/>
  <c r="AX1154" i="10" s="1"/>
  <c r="AY1154" i="10" s="1"/>
  <c r="AR1162" i="10"/>
  <c r="AS1162" i="10" s="1"/>
  <c r="AR1170" i="10"/>
  <c r="AR1178" i="10"/>
  <c r="AS1178" i="10" s="1"/>
  <c r="AX1178" i="10" s="1"/>
  <c r="AY1178" i="10" s="1"/>
  <c r="AR1186" i="10"/>
  <c r="AS1186" i="10" s="1"/>
  <c r="AX1186" i="10" s="1"/>
  <c r="AY1186" i="10" s="1"/>
  <c r="AR1194" i="10"/>
  <c r="AR1202" i="10"/>
  <c r="AR1210" i="10"/>
  <c r="AS1210" i="10" s="1"/>
  <c r="AR1218" i="10"/>
  <c r="AR1226" i="10"/>
  <c r="AS1226" i="10" s="1"/>
  <c r="AR1234" i="10"/>
  <c r="AS1234" i="10" s="1"/>
  <c r="AR1242" i="10"/>
  <c r="AS1242" i="10" s="1"/>
  <c r="AR1250" i="10"/>
  <c r="AR1258" i="10"/>
  <c r="AR1266" i="10"/>
  <c r="AS1266" i="10" s="1"/>
  <c r="AR1274" i="10"/>
  <c r="AS1274" i="10" s="1"/>
  <c r="AX1274" i="10" s="1"/>
  <c r="AY1274" i="10" s="1"/>
  <c r="AR1282" i="10"/>
  <c r="AR1290" i="10"/>
  <c r="AS1290" i="10" s="1"/>
  <c r="AR1298" i="10"/>
  <c r="AR1306" i="10"/>
  <c r="AS1306" i="10" s="1"/>
  <c r="AR1314" i="10"/>
  <c r="AS1314" i="10" s="1"/>
  <c r="AX1314" i="10" s="1"/>
  <c r="AY1314" i="10" s="1"/>
  <c r="AR1322" i="10"/>
  <c r="AR1330" i="10"/>
  <c r="AR66" i="10"/>
  <c r="AR246" i="10"/>
  <c r="AR315" i="10"/>
  <c r="AR379" i="10"/>
  <c r="AR443" i="10"/>
  <c r="AS443" i="10" s="1"/>
  <c r="AX443" i="10" s="1"/>
  <c r="AY443" i="10" s="1"/>
  <c r="AR507" i="10"/>
  <c r="AR571" i="10"/>
  <c r="AR635" i="10"/>
  <c r="AS635" i="10" s="1"/>
  <c r="AR691" i="10"/>
  <c r="AS691" i="10" s="1"/>
  <c r="AX691" i="10" s="1"/>
  <c r="AY691" i="10" s="1"/>
  <c r="AR723" i="10"/>
  <c r="AS723" i="10" s="1"/>
  <c r="AX723" i="10" s="1"/>
  <c r="AY723" i="10" s="1"/>
  <c r="AR755" i="10"/>
  <c r="AR787" i="10"/>
  <c r="AR819" i="10"/>
  <c r="AS819" i="10" s="1"/>
  <c r="AX819" i="10" s="1"/>
  <c r="AY819" i="10" s="1"/>
  <c r="AR851" i="10"/>
  <c r="AS851" i="10" s="1"/>
  <c r="AX851" i="10" s="1"/>
  <c r="AY851" i="10" s="1"/>
  <c r="AR883" i="10"/>
  <c r="AR915" i="10"/>
  <c r="AR946" i="10"/>
  <c r="AS946" i="10" s="1"/>
  <c r="AX946" i="10" s="1"/>
  <c r="AY946" i="10" s="1"/>
  <c r="AR965" i="10"/>
  <c r="AS965" i="10" s="1"/>
  <c r="AX965" i="10" s="1"/>
  <c r="AY965" i="10" s="1"/>
  <c r="AR983" i="10"/>
  <c r="AR1001" i="10"/>
  <c r="AS1001" i="10" s="1"/>
  <c r="AR1019" i="10"/>
  <c r="AS1019" i="10" s="1"/>
  <c r="AR1038" i="10"/>
  <c r="AR1056" i="10"/>
  <c r="AR1074" i="10"/>
  <c r="AS1074" i="10" s="1"/>
  <c r="AR1093" i="10"/>
  <c r="AS1093" i="10" s="1"/>
  <c r="AX1093" i="10" s="1"/>
  <c r="AY1093" i="10" s="1"/>
  <c r="AR1110" i="10"/>
  <c r="AS1110" i="10" s="1"/>
  <c r="AR1126" i="10"/>
  <c r="AR1142" i="10"/>
  <c r="AR1158" i="10"/>
  <c r="AS1158" i="10" s="1"/>
  <c r="AX1158" i="10" s="1"/>
  <c r="AY1158" i="10" s="1"/>
  <c r="AR1174" i="10"/>
  <c r="AS1174" i="10" s="1"/>
  <c r="AX1174" i="10" s="1"/>
  <c r="AY1174" i="10" s="1"/>
  <c r="AR1190" i="10"/>
  <c r="AR1206" i="10"/>
  <c r="AS1206" i="10" s="1"/>
  <c r="AR1222" i="10"/>
  <c r="AS1222" i="10" s="1"/>
  <c r="AR1238" i="10"/>
  <c r="AS1238" i="10" s="1"/>
  <c r="AR1254" i="10"/>
  <c r="AS1254" i="10" s="1"/>
  <c r="AR1270" i="10"/>
  <c r="AS1270" i="10" s="1"/>
  <c r="AR1286" i="10"/>
  <c r="AS1286" i="10" s="1"/>
  <c r="AR1302" i="10"/>
  <c r="AR1318" i="10"/>
  <c r="AR1334" i="10"/>
  <c r="AS1334" i="10" s="1"/>
  <c r="AR1345" i="10"/>
  <c r="AR1359" i="10"/>
  <c r="AS1359" i="10" s="1"/>
  <c r="AR1370" i="10"/>
  <c r="AS1370" i="10" s="1"/>
  <c r="AX1370" i="10" s="1"/>
  <c r="AY1370" i="10" s="1"/>
  <c r="AR1384" i="10"/>
  <c r="AR1394" i="10"/>
  <c r="AS1394" i="10" s="1"/>
  <c r="AR1404" i="10"/>
  <c r="AS1404" i="10" s="1"/>
  <c r="AR1413" i="10"/>
  <c r="AS1413" i="10" s="1"/>
  <c r="AR1422" i="10"/>
  <c r="AR1431" i="10"/>
  <c r="AS1431" i="10" s="1"/>
  <c r="AX1431" i="10" s="1"/>
  <c r="AY1431" i="10" s="1"/>
  <c r="AR1440" i="10"/>
  <c r="AS1440" i="10" s="1"/>
  <c r="AR1449" i="10"/>
  <c r="AS1449" i="10" s="1"/>
  <c r="AX1449" i="10" s="1"/>
  <c r="AY1449" i="10" s="1"/>
  <c r="AR1458" i="10"/>
  <c r="AS1458" i="10" s="1"/>
  <c r="AR1468" i="10"/>
  <c r="AS1468" i="10" s="1"/>
  <c r="AX1468" i="10" s="1"/>
  <c r="AY1468" i="10" s="1"/>
  <c r="AR1477" i="10"/>
  <c r="AR1485" i="10"/>
  <c r="AR1493" i="10"/>
  <c r="AS1493" i="10" s="1"/>
  <c r="AR1501" i="10"/>
  <c r="AS1501" i="10" s="1"/>
  <c r="AR1509" i="10"/>
  <c r="AS1509" i="10" s="1"/>
  <c r="AR1517" i="10"/>
  <c r="AS1517" i="10" s="1"/>
  <c r="AX1517" i="10" s="1"/>
  <c r="AY1517" i="10" s="1"/>
  <c r="AR1525" i="10"/>
  <c r="AR1533" i="10"/>
  <c r="AS1533" i="10" s="1"/>
  <c r="AR1541" i="10"/>
  <c r="AS1541" i="10" s="1"/>
  <c r="AR1549" i="10"/>
  <c r="AR1557" i="10"/>
  <c r="AR1565" i="10"/>
  <c r="AS1565" i="10" s="1"/>
  <c r="AR1573" i="10"/>
  <c r="AS1573" i="10" s="1"/>
  <c r="AR1581" i="10"/>
  <c r="AS1581" i="10" s="1"/>
  <c r="AX1581" i="10" s="1"/>
  <c r="AY1581" i="10" s="1"/>
  <c r="AR1589" i="10"/>
  <c r="AS1589" i="10" s="1"/>
  <c r="AR1597" i="10"/>
  <c r="AS1597" i="10" s="1"/>
  <c r="AR1605" i="10"/>
  <c r="AR1613" i="10"/>
  <c r="AR1621" i="10"/>
  <c r="AS1621" i="10" s="1"/>
  <c r="AR1629" i="10"/>
  <c r="AS1629" i="10" s="1"/>
  <c r="AR1637" i="10"/>
  <c r="AS1637" i="10" s="1"/>
  <c r="AR1645" i="10"/>
  <c r="AS1645" i="10" s="1"/>
  <c r="AX1645" i="10" s="1"/>
  <c r="AY1645" i="10" s="1"/>
  <c r="AR1653" i="10"/>
  <c r="AR1661" i="10"/>
  <c r="AS1661" i="10" s="1"/>
  <c r="AR1669" i="10"/>
  <c r="AS1669" i="10" s="1"/>
  <c r="AR1677" i="10"/>
  <c r="AR1685" i="10"/>
  <c r="AR98" i="10"/>
  <c r="AR257" i="10"/>
  <c r="AR323" i="10"/>
  <c r="AR387" i="10"/>
  <c r="AR451" i="10"/>
  <c r="AS451" i="10" s="1"/>
  <c r="AX451" i="10" s="1"/>
  <c r="AY451" i="10" s="1"/>
  <c r="AR515" i="10"/>
  <c r="AS515" i="10" s="1"/>
  <c r="AX515" i="10" s="1"/>
  <c r="AY515" i="10" s="1"/>
  <c r="AR579" i="10"/>
  <c r="AR643" i="10"/>
  <c r="AS643" i="10" s="1"/>
  <c r="AX643" i="10" s="1"/>
  <c r="AY643" i="10" s="1"/>
  <c r="AR695" i="10"/>
  <c r="AS695" i="10" s="1"/>
  <c r="AR727" i="10"/>
  <c r="AS727" i="10" s="1"/>
  <c r="AR759" i="10"/>
  <c r="AS759" i="10" s="1"/>
  <c r="AX759" i="10" s="1"/>
  <c r="AY759" i="10" s="1"/>
  <c r="AR791" i="10"/>
  <c r="AR823" i="10"/>
  <c r="AS823" i="10" s="1"/>
  <c r="AX823" i="10" s="1"/>
  <c r="AY823" i="10" s="1"/>
  <c r="AR855" i="10"/>
  <c r="AS855" i="10" s="1"/>
  <c r="AR887" i="10"/>
  <c r="AS887" i="10" s="1"/>
  <c r="AR919" i="10"/>
  <c r="AS919" i="10" s="1"/>
  <c r="AR947" i="10"/>
  <c r="AS947" i="10" s="1"/>
  <c r="AR966" i="10"/>
  <c r="AS966" i="10" s="1"/>
  <c r="AX966" i="10" s="1"/>
  <c r="AY966" i="10" s="1"/>
  <c r="AR984" i="10"/>
  <c r="AS984" i="10" s="1"/>
  <c r="AX984" i="10" s="1"/>
  <c r="AY984" i="10" s="1"/>
  <c r="AR1002" i="10"/>
  <c r="AS1002" i="10" s="1"/>
  <c r="AR1021" i="10"/>
  <c r="AS1021" i="10" s="1"/>
  <c r="AR1039" i="10"/>
  <c r="AS1039" i="10" s="1"/>
  <c r="AR1057" i="10"/>
  <c r="AR1075" i="10"/>
  <c r="AS1075" i="10" s="1"/>
  <c r="AX1075" i="10" s="1"/>
  <c r="AY1075" i="10" s="1"/>
  <c r="AR1094" i="10"/>
  <c r="AS1094" i="10" s="1"/>
  <c r="AX1094" i="10" s="1"/>
  <c r="AY1094" i="10" s="1"/>
  <c r="AR1111" i="10"/>
  <c r="AS1111" i="10" s="1"/>
  <c r="AR1127" i="10"/>
  <c r="AS1127" i="10" s="1"/>
  <c r="AR1143" i="10"/>
  <c r="AR1159" i="10"/>
  <c r="AS1159" i="10" s="1"/>
  <c r="AR1175" i="10"/>
  <c r="AS1175" i="10" s="1"/>
  <c r="AX1175" i="10" s="1"/>
  <c r="AY1175" i="10" s="1"/>
  <c r="AR1191" i="10"/>
  <c r="AR1207" i="10"/>
  <c r="AS1207" i="10" s="1"/>
  <c r="AR1223" i="10"/>
  <c r="AS1223" i="10" s="1"/>
  <c r="AR1239" i="10"/>
  <c r="AR1255" i="10"/>
  <c r="AS1255" i="10" s="1"/>
  <c r="AR1271" i="10"/>
  <c r="AS1271" i="10" s="1"/>
  <c r="AX1271" i="10" s="1"/>
  <c r="AY1271" i="10" s="1"/>
  <c r="AR1287" i="10"/>
  <c r="AS1287" i="10" s="1"/>
  <c r="AR1303" i="10"/>
  <c r="AS1303" i="10" s="1"/>
  <c r="AR1319" i="10"/>
  <c r="AS1319" i="10" s="1"/>
  <c r="AR1335" i="10"/>
  <c r="AS1335" i="10" s="1"/>
  <c r="AR1346" i="10"/>
  <c r="AS1346" i="10" s="1"/>
  <c r="AR1360" i="10"/>
  <c r="AR1374" i="10"/>
  <c r="AS1374" i="10" s="1"/>
  <c r="AR1385" i="10"/>
  <c r="AS1385" i="10" s="1"/>
  <c r="AX1385" i="10" s="1"/>
  <c r="AY1385" i="10" s="1"/>
  <c r="AR1396" i="10"/>
  <c r="AS1396" i="10" s="1"/>
  <c r="AR1405" i="10"/>
  <c r="AS1405" i="10" s="1"/>
  <c r="AX1405" i="10" s="1"/>
  <c r="AY1405" i="10" s="1"/>
  <c r="AR1414" i="10"/>
  <c r="AR1423" i="10"/>
  <c r="AR1432" i="10"/>
  <c r="AS1432" i="10" s="1"/>
  <c r="AX1432" i="10" s="1"/>
  <c r="AY1432" i="10" s="1"/>
  <c r="AR1441" i="10"/>
  <c r="AS1441" i="10" s="1"/>
  <c r="AR1450" i="10"/>
  <c r="AS1450" i="10" s="1"/>
  <c r="AX1450" i="10" s="1"/>
  <c r="AY1450" i="10" s="1"/>
  <c r="AR1460" i="10"/>
  <c r="AS1460" i="10" s="1"/>
  <c r="AR1469" i="10"/>
  <c r="AS1469" i="10" s="1"/>
  <c r="AX1469" i="10" s="1"/>
  <c r="AY1469" i="10" s="1"/>
  <c r="AR1478" i="10"/>
  <c r="AR1486" i="10"/>
  <c r="AR1494" i="10"/>
  <c r="AS1494" i="10" s="1"/>
  <c r="AR1502" i="10"/>
  <c r="AS1502" i="10" s="1"/>
  <c r="AR1510" i="10"/>
  <c r="AS1510" i="10" s="1"/>
  <c r="AR1518" i="10"/>
  <c r="AR1526" i="10"/>
  <c r="AS1526" i="10" s="1"/>
  <c r="AR1534" i="10"/>
  <c r="AS1534" i="10" s="1"/>
  <c r="AX1534" i="10" s="1"/>
  <c r="AY1534" i="10" s="1"/>
  <c r="AR1542" i="10"/>
  <c r="AS1542" i="10" s="1"/>
  <c r="AR1550" i="10"/>
  <c r="AR1558" i="10"/>
  <c r="AS1558" i="10" s="1"/>
  <c r="AR1566" i="10"/>
  <c r="AS1566" i="10" s="1"/>
  <c r="AR1574" i="10"/>
  <c r="AS1574" i="10" s="1"/>
  <c r="AR1582" i="10"/>
  <c r="AS1582" i="10" s="1"/>
  <c r="AR1590" i="10"/>
  <c r="AS1590" i="10" s="1"/>
  <c r="AR1598" i="10"/>
  <c r="AS1598" i="10" s="1"/>
  <c r="AR1606" i="10"/>
  <c r="AS1606" i="10" s="1"/>
  <c r="AR1614" i="10"/>
  <c r="AR1622" i="10"/>
  <c r="AS1622" i="10" s="1"/>
  <c r="AR1630" i="10"/>
  <c r="AS1630" i="10" s="1"/>
  <c r="AR1638" i="10"/>
  <c r="AS1638" i="10" s="1"/>
  <c r="AR1646" i="10"/>
  <c r="AS1646" i="10" s="1"/>
  <c r="AR1654" i="10"/>
  <c r="AR1662" i="10"/>
  <c r="AS1662" i="10" s="1"/>
  <c r="AR1670" i="10"/>
  <c r="AS1670" i="10" s="1"/>
  <c r="AR1678" i="10"/>
  <c r="AS1678" i="10" s="1"/>
  <c r="AX1678" i="10" s="1"/>
  <c r="AY1678" i="10" s="1"/>
  <c r="AR1686" i="10"/>
  <c r="AS1686" i="10" s="1"/>
  <c r="AR106" i="10"/>
  <c r="AR258" i="10"/>
  <c r="AR326" i="10"/>
  <c r="AR390" i="10"/>
  <c r="AR454" i="10"/>
  <c r="AS454" i="10" s="1"/>
  <c r="AR518" i="10"/>
  <c r="AS518" i="10" s="1"/>
  <c r="AR582" i="10"/>
  <c r="AR646" i="10"/>
  <c r="AS646" i="10" s="1"/>
  <c r="AR696" i="10"/>
  <c r="AS696" i="10" s="1"/>
  <c r="AR728" i="10"/>
  <c r="AS728" i="10" s="1"/>
  <c r="AR760" i="10"/>
  <c r="AS760" i="10" s="1"/>
  <c r="AX760" i="10" s="1"/>
  <c r="AY760" i="10" s="1"/>
  <c r="AR792" i="10"/>
  <c r="AR824" i="10"/>
  <c r="AS824" i="10" s="1"/>
  <c r="AX824" i="10" s="1"/>
  <c r="AY824" i="10" s="1"/>
  <c r="AR856" i="10"/>
  <c r="AS856" i="10" s="1"/>
  <c r="AR888" i="10"/>
  <c r="AS888" i="10" s="1"/>
  <c r="AR920" i="10"/>
  <c r="AS920" i="10" s="1"/>
  <c r="AR949" i="10"/>
  <c r="AS949" i="10" s="1"/>
  <c r="AX949" i="10" s="1"/>
  <c r="AY949" i="10" s="1"/>
  <c r="AR967" i="10"/>
  <c r="AS967" i="10" s="1"/>
  <c r="AR985" i="10"/>
  <c r="AS985" i="10" s="1"/>
  <c r="AX985" i="10" s="1"/>
  <c r="AY985" i="10" s="1"/>
  <c r="AR1003" i="10"/>
  <c r="AS1003" i="10" s="1"/>
  <c r="AR1022" i="10"/>
  <c r="AS1022" i="10" s="1"/>
  <c r="AR1040" i="10"/>
  <c r="AS1040" i="10" s="1"/>
  <c r="AR1058" i="10"/>
  <c r="AR1077" i="10"/>
  <c r="AS1077" i="10" s="1"/>
  <c r="AX1077" i="10" s="1"/>
  <c r="AY1077" i="10" s="1"/>
  <c r="AR1095" i="10"/>
  <c r="AS1095" i="10" s="1"/>
  <c r="AX1095" i="10" s="1"/>
  <c r="AY1095" i="10" s="1"/>
  <c r="AR1112" i="10"/>
  <c r="AS1112" i="10" s="1"/>
  <c r="AX1112" i="10" s="1"/>
  <c r="AY1112" i="10" s="1"/>
  <c r="AR1128" i="10"/>
  <c r="AS1128" i="10" s="1"/>
  <c r="AR1144" i="10"/>
  <c r="AR1160" i="10"/>
  <c r="AS1160" i="10" s="1"/>
  <c r="AR1176" i="10"/>
  <c r="AS1176" i="10" s="1"/>
  <c r="AX1176" i="10" s="1"/>
  <c r="AY1176" i="10" s="1"/>
  <c r="AR1192" i="10"/>
  <c r="AS1192" i="10" s="1"/>
  <c r="AX1192" i="10" s="1"/>
  <c r="AY1192" i="10" s="1"/>
  <c r="AR1208" i="10"/>
  <c r="AS1208" i="10" s="1"/>
  <c r="AX1208" i="10" s="1"/>
  <c r="AY1208" i="10" s="1"/>
  <c r="AR1224" i="10"/>
  <c r="AS1224" i="10" s="1"/>
  <c r="AR1240" i="10"/>
  <c r="AS1240" i="10" s="1"/>
  <c r="AR1256" i="10"/>
  <c r="AS1256" i="10" s="1"/>
  <c r="AR1272" i="10"/>
  <c r="AS1272" i="10" s="1"/>
  <c r="AX1272" i="10" s="1"/>
  <c r="AY1272" i="10" s="1"/>
  <c r="AR1288" i="10"/>
  <c r="AS1288" i="10" s="1"/>
  <c r="AR1304" i="10"/>
  <c r="AS1304" i="10" s="1"/>
  <c r="AR1320" i="10"/>
  <c r="AS1320" i="10" s="1"/>
  <c r="AR1336" i="10"/>
  <c r="AS1336" i="10" s="1"/>
  <c r="AR1350" i="10"/>
  <c r="AS1350" i="10" s="1"/>
  <c r="AX1350" i="10" s="1"/>
  <c r="AY1350" i="10" s="1"/>
  <c r="AR1361" i="10"/>
  <c r="AS1361" i="10" s="1"/>
  <c r="AR1375" i="10"/>
  <c r="AR1386" i="10"/>
  <c r="AS1386" i="10" s="1"/>
  <c r="AX1386" i="10" s="1"/>
  <c r="AY1386" i="10" s="1"/>
  <c r="AR1397" i="10"/>
  <c r="AS1397" i="10" s="1"/>
  <c r="AR1406" i="10"/>
  <c r="AS1406" i="10" s="1"/>
  <c r="AX1406" i="10" s="1"/>
  <c r="AY1406" i="10" s="1"/>
  <c r="AR1415" i="10"/>
  <c r="AS1415" i="10" s="1"/>
  <c r="AR1424" i="10"/>
  <c r="AS1424" i="10" s="1"/>
  <c r="AR1433" i="10"/>
  <c r="AS1433" i="10" s="1"/>
  <c r="AX1433" i="10" s="1"/>
  <c r="AY1433" i="10" s="1"/>
  <c r="AR1442" i="10"/>
  <c r="AS1442" i="10" s="1"/>
  <c r="AR1452" i="10"/>
  <c r="AS1452" i="10" s="1"/>
  <c r="AX1452" i="10" s="1"/>
  <c r="AY1452" i="10" s="1"/>
  <c r="AR1461" i="10"/>
  <c r="AS1461" i="10" s="1"/>
  <c r="AR1470" i="10"/>
  <c r="AS1470" i="10" s="1"/>
  <c r="AR1479" i="10"/>
  <c r="AS1479" i="10" s="1"/>
  <c r="AR1487" i="10"/>
  <c r="AS1487" i="10" s="1"/>
  <c r="AR1495" i="10"/>
  <c r="AS1495" i="10" s="1"/>
  <c r="AX1495" i="10" s="1"/>
  <c r="AY1495" i="10" s="1"/>
  <c r="AR1503" i="10"/>
  <c r="AS1503" i="10" s="1"/>
  <c r="AR1511" i="10"/>
  <c r="AS1511" i="10" s="1"/>
  <c r="AR1519" i="10"/>
  <c r="AS1519" i="10" s="1"/>
  <c r="AR1527" i="10"/>
  <c r="AR1535" i="10"/>
  <c r="AS1535" i="10" s="1"/>
  <c r="AR1543" i="10"/>
  <c r="AS1543" i="10" s="1"/>
  <c r="AX1543" i="10" s="1"/>
  <c r="AY1543" i="10" s="1"/>
  <c r="AR1551" i="10"/>
  <c r="AS1551" i="10" s="1"/>
  <c r="AR1559" i="10"/>
  <c r="AS1559" i="10" s="1"/>
  <c r="AR1567" i="10"/>
  <c r="AS1567" i="10" s="1"/>
  <c r="AR1575" i="10"/>
  <c r="AS1575" i="10" s="1"/>
  <c r="AX1575" i="10" s="1"/>
  <c r="AY1575" i="10" s="1"/>
  <c r="AR1583" i="10"/>
  <c r="AS1583" i="10" s="1"/>
  <c r="AR1591" i="10"/>
  <c r="AS1591" i="10" s="1"/>
  <c r="AR1599" i="10"/>
  <c r="AS1599" i="10" s="1"/>
  <c r="AR1607" i="10"/>
  <c r="AS1607" i="10" s="1"/>
  <c r="AR1615" i="10"/>
  <c r="AS1615" i="10" s="1"/>
  <c r="AR1623" i="10"/>
  <c r="AS1623" i="10" s="1"/>
  <c r="AX1623" i="10" s="1"/>
  <c r="AY1623" i="10" s="1"/>
  <c r="AR1631" i="10"/>
  <c r="AS1631" i="10" s="1"/>
  <c r="AR1639" i="10"/>
  <c r="AS1639" i="10" s="1"/>
  <c r="AX1639" i="10" s="1"/>
  <c r="AY1639" i="10" s="1"/>
  <c r="AR1647" i="10"/>
  <c r="AS1647" i="10" s="1"/>
  <c r="AR1655" i="10"/>
  <c r="AS1655" i="10" s="1"/>
  <c r="AX1655" i="10" s="1"/>
  <c r="AY1655" i="10" s="1"/>
  <c r="AR1663" i="10"/>
  <c r="AS1663" i="10" s="1"/>
  <c r="AR1671" i="10"/>
  <c r="AS1671" i="10" s="1"/>
  <c r="AR1679" i="10"/>
  <c r="AS1679" i="10" s="1"/>
  <c r="AR1687" i="10"/>
  <c r="AS1687" i="10" s="1"/>
  <c r="AX1687" i="10" s="1"/>
  <c r="AY1687" i="10" s="1"/>
  <c r="AR114" i="10"/>
  <c r="AR262" i="10"/>
  <c r="AR329" i="10"/>
  <c r="AR393" i="10"/>
  <c r="AR457" i="10"/>
  <c r="AS457" i="10" s="1"/>
  <c r="AR521" i="10"/>
  <c r="AS521" i="10" s="1"/>
  <c r="AX521" i="10" s="1"/>
  <c r="AY521" i="10" s="1"/>
  <c r="AR585" i="10"/>
  <c r="AS585" i="10" s="1"/>
  <c r="AR649" i="10"/>
  <c r="AS649" i="10" s="1"/>
  <c r="AR697" i="10"/>
  <c r="AS697" i="10" s="1"/>
  <c r="AR729" i="10"/>
  <c r="AR761" i="10"/>
  <c r="AS761" i="10" s="1"/>
  <c r="AR793" i="10"/>
  <c r="AR825" i="10"/>
  <c r="AS825" i="10" s="1"/>
  <c r="AX825" i="10" s="1"/>
  <c r="AY825" i="10" s="1"/>
  <c r="AR857" i="10"/>
  <c r="AS857" i="10" s="1"/>
  <c r="AR889" i="10"/>
  <c r="AS889" i="10" s="1"/>
  <c r="AR921" i="10"/>
  <c r="AS921" i="10" s="1"/>
  <c r="AR950" i="10"/>
  <c r="AS950" i="10" s="1"/>
  <c r="AR968" i="10"/>
  <c r="AS968" i="10" s="1"/>
  <c r="AR986" i="10"/>
  <c r="AS986" i="10" s="1"/>
  <c r="AX986" i="10" s="1"/>
  <c r="AY986" i="10" s="1"/>
  <c r="AR1005" i="10"/>
  <c r="AS1005" i="10" s="1"/>
  <c r="AR1023" i="10"/>
  <c r="AS1023" i="10" s="1"/>
  <c r="AR1041" i="10"/>
  <c r="AS1041" i="10" s="1"/>
  <c r="AR1059" i="10"/>
  <c r="AS1059" i="10" s="1"/>
  <c r="AX1059" i="10" s="1"/>
  <c r="AY1059" i="10" s="1"/>
  <c r="AR1078" i="10"/>
  <c r="AS1078" i="10" s="1"/>
  <c r="AR1096" i="10"/>
  <c r="AS1096" i="10" s="1"/>
  <c r="AR1113" i="10"/>
  <c r="AS1113" i="10" s="1"/>
  <c r="AX1113" i="10" s="1"/>
  <c r="AY1113" i="10" s="1"/>
  <c r="AR1129" i="10"/>
  <c r="AS1129" i="10" s="1"/>
  <c r="AR1145" i="10"/>
  <c r="AS1145" i="10" s="1"/>
  <c r="AR1161" i="10"/>
  <c r="AS1161" i="10" s="1"/>
  <c r="AR1177" i="10"/>
  <c r="AS1177" i="10" s="1"/>
  <c r="AX1177" i="10" s="1"/>
  <c r="AY1177" i="10" s="1"/>
  <c r="AR1193" i="10"/>
  <c r="AS1193" i="10" s="1"/>
  <c r="AX1193" i="10" s="1"/>
  <c r="AY1193" i="10" s="1"/>
  <c r="AR1209" i="10"/>
  <c r="AS1209" i="10" s="1"/>
  <c r="AR1225" i="10"/>
  <c r="AS1225" i="10" s="1"/>
  <c r="AR1241" i="10"/>
  <c r="AS1241" i="10" s="1"/>
  <c r="AR1257" i="10"/>
  <c r="AS1257" i="10" s="1"/>
  <c r="AR1273" i="10"/>
  <c r="AS1273" i="10" s="1"/>
  <c r="AR1289" i="10"/>
  <c r="AS1289" i="10" s="1"/>
  <c r="AR1305" i="10"/>
  <c r="AS1305" i="10" s="1"/>
  <c r="AR1321" i="10"/>
  <c r="AS1321" i="10" s="1"/>
  <c r="AR1337" i="10"/>
  <c r="AS1337" i="10" s="1"/>
  <c r="AX1337" i="10" s="1"/>
  <c r="AY1337" i="10" s="1"/>
  <c r="AR1351" i="10"/>
  <c r="AS1351" i="10" s="1"/>
  <c r="AX1351" i="10" s="1"/>
  <c r="AY1351" i="10" s="1"/>
  <c r="AR1362" i="10"/>
  <c r="AS1362" i="10" s="1"/>
  <c r="AR1376" i="10"/>
  <c r="AS1376" i="10" s="1"/>
  <c r="AR1388" i="10"/>
  <c r="AS1388" i="10" s="1"/>
  <c r="AX1388" i="10" s="1"/>
  <c r="AY1388" i="10" s="1"/>
  <c r="AR1398" i="10"/>
  <c r="AS1398" i="10" s="1"/>
  <c r="AR1407" i="10"/>
  <c r="AS1407" i="10" s="1"/>
  <c r="AR1416" i="10"/>
  <c r="AS1416" i="10" s="1"/>
  <c r="AR1425" i="10"/>
  <c r="AS1425" i="10" s="1"/>
  <c r="AR1434" i="10"/>
  <c r="AS1434" i="10" s="1"/>
  <c r="AX1434" i="10" s="1"/>
  <c r="AY1434" i="10" s="1"/>
  <c r="AR1444" i="10"/>
  <c r="AS1444" i="10" s="1"/>
  <c r="AR1453" i="10"/>
  <c r="AS1453" i="10" s="1"/>
  <c r="AR1462" i="10"/>
  <c r="AS1462" i="10" s="1"/>
  <c r="AR1471" i="10"/>
  <c r="AS1471" i="10" s="1"/>
  <c r="AR1480" i="10"/>
  <c r="AS1480" i="10" s="1"/>
  <c r="AX1480" i="10" s="1"/>
  <c r="AY1480" i="10" s="1"/>
  <c r="AR1488" i="10"/>
  <c r="AS1488" i="10" s="1"/>
  <c r="AR1496" i="10"/>
  <c r="AS1496" i="10" s="1"/>
  <c r="AX1496" i="10" s="1"/>
  <c r="AY1496" i="10" s="1"/>
  <c r="AR1504" i="10"/>
  <c r="AS1504" i="10" s="1"/>
  <c r="AR1512" i="10"/>
  <c r="AS1512" i="10" s="1"/>
  <c r="AR1520" i="10"/>
  <c r="AS1520" i="10" s="1"/>
  <c r="AR1528" i="10"/>
  <c r="AS1528" i="10" s="1"/>
  <c r="AR1536" i="10"/>
  <c r="AS1536" i="10" s="1"/>
  <c r="AR1544" i="10"/>
  <c r="AS1544" i="10" s="1"/>
  <c r="AX1544" i="10" s="1"/>
  <c r="AY1544" i="10" s="1"/>
  <c r="AR1552" i="10"/>
  <c r="AS1552" i="10" s="1"/>
  <c r="AR1560" i="10"/>
  <c r="AS1560" i="10" s="1"/>
  <c r="AR1568" i="10"/>
  <c r="AS1568" i="10" s="1"/>
  <c r="AR1576" i="10"/>
  <c r="AS1576" i="10" s="1"/>
  <c r="AR1584" i="10"/>
  <c r="AS1584" i="10" s="1"/>
  <c r="AR1592" i="10"/>
  <c r="AS1592" i="10" s="1"/>
  <c r="AR1600" i="10"/>
  <c r="AS1600" i="10" s="1"/>
  <c r="AR1608" i="10"/>
  <c r="AS1608" i="10" s="1"/>
  <c r="AX1608" i="10" s="1"/>
  <c r="AY1608" i="10" s="1"/>
  <c r="AR1616" i="10"/>
  <c r="AS1616" i="10" s="1"/>
  <c r="AR1624" i="10"/>
  <c r="AS1624" i="10" s="1"/>
  <c r="AX1624" i="10" s="1"/>
  <c r="AY1624" i="10" s="1"/>
  <c r="AR1632" i="10"/>
  <c r="AS1632" i="10" s="1"/>
  <c r="AR1640" i="10"/>
  <c r="AS1640" i="10" s="1"/>
  <c r="AX1640" i="10" s="1"/>
  <c r="AY1640" i="10" s="1"/>
  <c r="AR1648" i="10"/>
  <c r="AS1648" i="10" s="1"/>
  <c r="AR1656" i="10"/>
  <c r="AS1656" i="10" s="1"/>
  <c r="AX1656" i="10" s="1"/>
  <c r="AY1656" i="10" s="1"/>
  <c r="AR1664" i="10"/>
  <c r="AS1664" i="10" s="1"/>
  <c r="AR1672" i="10"/>
  <c r="AS1672" i="10" s="1"/>
  <c r="AX1672" i="10" s="1"/>
  <c r="AY1672" i="10" s="1"/>
  <c r="AR1680" i="10"/>
  <c r="AS1680" i="10" s="1"/>
  <c r="AR1688" i="10"/>
  <c r="AS1688" i="10" s="1"/>
  <c r="AX1688" i="10" s="1"/>
  <c r="AY1688" i="10" s="1"/>
  <c r="AR194" i="10"/>
  <c r="AR283" i="10"/>
  <c r="AR347" i="10"/>
  <c r="AR411" i="10"/>
  <c r="AR475" i="10"/>
  <c r="AS475" i="10" s="1"/>
  <c r="AR539" i="10"/>
  <c r="AS539" i="10" s="1"/>
  <c r="AR603" i="10"/>
  <c r="AR667" i="10"/>
  <c r="AS667" i="10" s="1"/>
  <c r="AR707" i="10"/>
  <c r="AS707" i="10" s="1"/>
  <c r="AX707" i="10" s="1"/>
  <c r="AY707" i="10" s="1"/>
  <c r="AR739" i="10"/>
  <c r="AS739" i="10" s="1"/>
  <c r="AX739" i="10" s="1"/>
  <c r="AY739" i="10" s="1"/>
  <c r="AR771" i="10"/>
  <c r="AS771" i="10" s="1"/>
  <c r="AR803" i="10"/>
  <c r="AS803" i="10" s="1"/>
  <c r="AX803" i="10" s="1"/>
  <c r="AY803" i="10" s="1"/>
  <c r="AR835" i="10"/>
  <c r="AS835" i="10" s="1"/>
  <c r="AX835" i="10" s="1"/>
  <c r="AY835" i="10" s="1"/>
  <c r="AR867" i="10"/>
  <c r="AS867" i="10" s="1"/>
  <c r="AR899" i="10"/>
  <c r="AS899" i="10" s="1"/>
  <c r="AX899" i="10" s="1"/>
  <c r="AY899" i="10" s="1"/>
  <c r="AR931" i="10"/>
  <c r="AS931" i="10" s="1"/>
  <c r="AX931" i="10" s="1"/>
  <c r="AY931" i="10" s="1"/>
  <c r="AR955" i="10"/>
  <c r="AS955" i="10" s="1"/>
  <c r="AR974" i="10"/>
  <c r="AS974" i="10" s="1"/>
  <c r="AR992" i="10"/>
  <c r="AS992" i="10" s="1"/>
  <c r="AR1010" i="10"/>
  <c r="AS1010" i="10" s="1"/>
  <c r="AX1010" i="10" s="1"/>
  <c r="AY1010" i="10" s="1"/>
  <c r="AR1029" i="10"/>
  <c r="AS1029" i="10" s="1"/>
  <c r="AX1029" i="10" s="1"/>
  <c r="AY1029" i="10" s="1"/>
  <c r="AR1047" i="10"/>
  <c r="AS1047" i="10" s="1"/>
  <c r="AX1047" i="10" s="1"/>
  <c r="AY1047" i="10" s="1"/>
  <c r="AR1065" i="10"/>
  <c r="AS1065" i="10" s="1"/>
  <c r="AR1083" i="10"/>
  <c r="AS1083" i="10" s="1"/>
  <c r="AR1102" i="10"/>
  <c r="AS1102" i="10" s="1"/>
  <c r="AR1118" i="10"/>
  <c r="AS1118" i="10" s="1"/>
  <c r="AR1134" i="10"/>
  <c r="AS1134" i="10" s="1"/>
  <c r="AX1134" i="10" s="1"/>
  <c r="AY1134" i="10" s="1"/>
  <c r="AR1150" i="10"/>
  <c r="AS1150" i="10" s="1"/>
  <c r="AR1166" i="10"/>
  <c r="AS1166" i="10" s="1"/>
  <c r="AX1166" i="10" s="1"/>
  <c r="AY1166" i="10" s="1"/>
  <c r="AR1182" i="10"/>
  <c r="AS1182" i="10" s="1"/>
  <c r="AR1198" i="10"/>
  <c r="AS1198" i="10" s="1"/>
  <c r="AX1198" i="10" s="1"/>
  <c r="AY1198" i="10" s="1"/>
  <c r="AR1214" i="10"/>
  <c r="AS1214" i="10" s="1"/>
  <c r="AX1214" i="10" s="1"/>
  <c r="AY1214" i="10" s="1"/>
  <c r="AR1230" i="10"/>
  <c r="AS1230" i="10" s="1"/>
  <c r="AR1246" i="10"/>
  <c r="AS1246" i="10" s="1"/>
  <c r="AR1262" i="10"/>
  <c r="AS1262" i="10" s="1"/>
  <c r="AR1278" i="10"/>
  <c r="AS1278" i="10" s="1"/>
  <c r="AR1294" i="10"/>
  <c r="AS1294" i="10" s="1"/>
  <c r="AR1310" i="10"/>
  <c r="AS1310" i="10" s="1"/>
  <c r="AR1326" i="10"/>
  <c r="AS1326" i="10" s="1"/>
  <c r="AR1338" i="10"/>
  <c r="AS1338" i="10" s="1"/>
  <c r="AR1352" i="10"/>
  <c r="AS1352" i="10" s="1"/>
  <c r="AR1366" i="10"/>
  <c r="AS1366" i="10" s="1"/>
  <c r="AR1377" i="10"/>
  <c r="AS1377" i="10" s="1"/>
  <c r="AR1390" i="10"/>
  <c r="AS1390" i="10" s="1"/>
  <c r="AR1399" i="10"/>
  <c r="AS1399" i="10" s="1"/>
  <c r="AX1399" i="10" s="1"/>
  <c r="AY1399" i="10" s="1"/>
  <c r="AR1408" i="10"/>
  <c r="AS1408" i="10" s="1"/>
  <c r="AR1417" i="10"/>
  <c r="AS1417" i="10" s="1"/>
  <c r="AX1417" i="10" s="1"/>
  <c r="AY1417" i="10" s="1"/>
  <c r="AR1426" i="10"/>
  <c r="AS1426" i="10" s="1"/>
  <c r="AR1436" i="10"/>
  <c r="AS1436" i="10" s="1"/>
  <c r="AR1445" i="10"/>
  <c r="AS1445" i="10" s="1"/>
  <c r="AX1445" i="10" s="1"/>
  <c r="AY1445" i="10" s="1"/>
  <c r="AR1454" i="10"/>
  <c r="AS1454" i="10" s="1"/>
  <c r="AR1463" i="10"/>
  <c r="AS1463" i="10" s="1"/>
  <c r="AR1472" i="10"/>
  <c r="AS1472" i="10" s="1"/>
  <c r="AR1481" i="10"/>
  <c r="AS1481" i="10" s="1"/>
  <c r="AX1481" i="10" s="1"/>
  <c r="AY1481" i="10" s="1"/>
  <c r="AR1489" i="10"/>
  <c r="AS1489" i="10" s="1"/>
  <c r="AR1497" i="10"/>
  <c r="AS1497" i="10" s="1"/>
  <c r="AX1497" i="10" s="1"/>
  <c r="AY1497" i="10" s="1"/>
  <c r="AR1505" i="10"/>
  <c r="AS1505" i="10" s="1"/>
  <c r="AR1513" i="10"/>
  <c r="AS1513" i="10" s="1"/>
  <c r="AR1521" i="10"/>
  <c r="AS1521" i="10" s="1"/>
  <c r="AR1529" i="10"/>
  <c r="AS1529" i="10" s="1"/>
  <c r="AR1537" i="10"/>
  <c r="AS1537" i="10" s="1"/>
  <c r="AR1545" i="10"/>
  <c r="AS1545" i="10" s="1"/>
  <c r="AX1545" i="10" s="1"/>
  <c r="AY1545" i="10" s="1"/>
  <c r="AR1553" i="10"/>
  <c r="AS1553" i="10" s="1"/>
  <c r="AR1561" i="10"/>
  <c r="AS1561" i="10" s="1"/>
  <c r="AR1569" i="10"/>
  <c r="AS1569" i="10" s="1"/>
  <c r="AR1577" i="10"/>
  <c r="AS1577" i="10" s="1"/>
  <c r="AX1577" i="10" s="1"/>
  <c r="AY1577" i="10" s="1"/>
  <c r="AR1585" i="10"/>
  <c r="AS1585" i="10" s="1"/>
  <c r="AR1593" i="10"/>
  <c r="AS1593" i="10" s="1"/>
  <c r="AR1601" i="10"/>
  <c r="AS1601" i="10" s="1"/>
  <c r="AR1609" i="10"/>
  <c r="AS1609" i="10" s="1"/>
  <c r="AX1609" i="10" s="1"/>
  <c r="AY1609" i="10" s="1"/>
  <c r="AR1617" i="10"/>
  <c r="AS1617" i="10" s="1"/>
  <c r="AR1625" i="10"/>
  <c r="AS1625" i="10" s="1"/>
  <c r="AX1625" i="10" s="1"/>
  <c r="AY1625" i="10" s="1"/>
  <c r="AR1633" i="10"/>
  <c r="AS1633" i="10" s="1"/>
  <c r="AR1641" i="10"/>
  <c r="AS1641" i="10" s="1"/>
  <c r="AX1641" i="10" s="1"/>
  <c r="AY1641" i="10" s="1"/>
  <c r="AR1649" i="10"/>
  <c r="AS1649" i="10" s="1"/>
  <c r="AR1657" i="10"/>
  <c r="AS1657" i="10" s="1"/>
  <c r="AX1657" i="10" s="1"/>
  <c r="AY1657" i="10" s="1"/>
  <c r="AR1665" i="10"/>
  <c r="AS1665" i="10" s="1"/>
  <c r="AR1673" i="10"/>
  <c r="AS1673" i="10" s="1"/>
  <c r="AX1673" i="10" s="1"/>
  <c r="AY1673" i="10" s="1"/>
  <c r="AR1681" i="10"/>
  <c r="AS1681" i="10" s="1"/>
  <c r="AR1689" i="10"/>
  <c r="AS1689" i="10" s="1"/>
  <c r="AX1689" i="10" s="1"/>
  <c r="AY1689" i="10" s="1"/>
  <c r="AR214" i="10"/>
  <c r="AR291" i="10"/>
  <c r="AR355" i="10"/>
  <c r="AR419" i="10"/>
  <c r="AS419" i="10" s="1"/>
  <c r="AX419" i="10" s="1"/>
  <c r="AY419" i="10" s="1"/>
  <c r="AR483" i="10"/>
  <c r="AS483" i="10" s="1"/>
  <c r="AX483" i="10" s="1"/>
  <c r="AY483" i="10" s="1"/>
  <c r="AR547" i="10"/>
  <c r="AS547" i="10" s="1"/>
  <c r="AX547" i="10" s="1"/>
  <c r="AY547" i="10" s="1"/>
  <c r="AR611" i="10"/>
  <c r="AS611" i="10" s="1"/>
  <c r="AR675" i="10"/>
  <c r="AS675" i="10" s="1"/>
  <c r="AX675" i="10" s="1"/>
  <c r="AY675" i="10" s="1"/>
  <c r="AR711" i="10"/>
  <c r="AS711" i="10" s="1"/>
  <c r="AX711" i="10" s="1"/>
  <c r="AY711" i="10" s="1"/>
  <c r="AR743" i="10"/>
  <c r="AS743" i="10" s="1"/>
  <c r="AR775" i="10"/>
  <c r="AS775" i="10" s="1"/>
  <c r="AR807" i="10"/>
  <c r="AS807" i="10" s="1"/>
  <c r="AR839" i="10"/>
  <c r="AS839" i="10" s="1"/>
  <c r="AR871" i="10"/>
  <c r="AS871" i="10" s="1"/>
  <c r="AR903" i="10"/>
  <c r="AS903" i="10" s="1"/>
  <c r="AR935" i="10"/>
  <c r="AS935" i="10" s="1"/>
  <c r="AR957" i="10"/>
  <c r="AS957" i="10" s="1"/>
  <c r="AR975" i="10"/>
  <c r="AS975" i="10" s="1"/>
  <c r="AR993" i="10"/>
  <c r="AS993" i="10" s="1"/>
  <c r="AR1011" i="10"/>
  <c r="AS1011" i="10" s="1"/>
  <c r="AX1011" i="10" s="1"/>
  <c r="AY1011" i="10" s="1"/>
  <c r="AR1030" i="10"/>
  <c r="AS1030" i="10" s="1"/>
  <c r="AX1030" i="10" s="1"/>
  <c r="AY1030" i="10" s="1"/>
  <c r="AR1048" i="10"/>
  <c r="AS1048" i="10" s="1"/>
  <c r="AX1048" i="10" s="1"/>
  <c r="AY1048" i="10" s="1"/>
  <c r="AR1066" i="10"/>
  <c r="AS1066" i="10" s="1"/>
  <c r="AR1085" i="10"/>
  <c r="AS1085" i="10" s="1"/>
  <c r="AR1103" i="10"/>
  <c r="AS1103" i="10" s="1"/>
  <c r="AX1103" i="10" s="1"/>
  <c r="AY1103" i="10" s="1"/>
  <c r="AR1119" i="10"/>
  <c r="AS1119" i="10" s="1"/>
  <c r="AR1135" i="10"/>
  <c r="AS1135" i="10" s="1"/>
  <c r="AX1135" i="10" s="1"/>
  <c r="AY1135" i="10" s="1"/>
  <c r="AR1151" i="10"/>
  <c r="AS1151" i="10" s="1"/>
  <c r="AR1167" i="10"/>
  <c r="AS1167" i="10" s="1"/>
  <c r="AR1183" i="10"/>
  <c r="AS1183" i="10" s="1"/>
  <c r="AR1199" i="10"/>
  <c r="AS1199" i="10" s="1"/>
  <c r="AR1215" i="10"/>
  <c r="AS1215" i="10" s="1"/>
  <c r="AX1215" i="10" s="1"/>
  <c r="AY1215" i="10" s="1"/>
  <c r="AR1231" i="10"/>
  <c r="AS1231" i="10" s="1"/>
  <c r="AR1247" i="10"/>
  <c r="AS1247" i="10" s="1"/>
  <c r="AR1263" i="10"/>
  <c r="AS1263" i="10" s="1"/>
  <c r="AR1279" i="10"/>
  <c r="AS1279" i="10" s="1"/>
  <c r="AR1295" i="10"/>
  <c r="AS1295" i="10" s="1"/>
  <c r="AR1311" i="10"/>
  <c r="AS1311" i="10" s="1"/>
  <c r="AX1311" i="10" s="1"/>
  <c r="AY1311" i="10" s="1"/>
  <c r="AR1327" i="10"/>
  <c r="AS1327" i="10" s="1"/>
  <c r="AR1342" i="10"/>
  <c r="AS1342" i="10" s="1"/>
  <c r="AR1353" i="10"/>
  <c r="AS1353" i="10" s="1"/>
  <c r="AX1353" i="10" s="1"/>
  <c r="AY1353" i="10" s="1"/>
  <c r="AR1367" i="10"/>
  <c r="AS1367" i="10" s="1"/>
  <c r="AX1367" i="10" s="1"/>
  <c r="AY1367" i="10" s="1"/>
  <c r="AR1378" i="10"/>
  <c r="AS1378" i="10" s="1"/>
  <c r="AR1391" i="10"/>
  <c r="AS1391" i="10" s="1"/>
  <c r="AR1400" i="10"/>
  <c r="AS1400" i="10" s="1"/>
  <c r="AX1400" i="10" s="1"/>
  <c r="AY1400" i="10" s="1"/>
  <c r="AR1409" i="10"/>
  <c r="AS1409" i="10" s="1"/>
  <c r="AR1418" i="10"/>
  <c r="AS1418" i="10" s="1"/>
  <c r="AX1418" i="10" s="1"/>
  <c r="AY1418" i="10" s="1"/>
  <c r="AR1428" i="10"/>
  <c r="AS1428" i="10" s="1"/>
  <c r="AR1437" i="10"/>
  <c r="AS1437" i="10" s="1"/>
  <c r="AR1446" i="10"/>
  <c r="AS1446" i="10" s="1"/>
  <c r="AR1455" i="10"/>
  <c r="AS1455" i="10" s="1"/>
  <c r="AR1464" i="10"/>
  <c r="AS1464" i="10" s="1"/>
  <c r="AX1464" i="10" s="1"/>
  <c r="AY1464" i="10" s="1"/>
  <c r="AR1473" i="10"/>
  <c r="AS1473" i="10" s="1"/>
  <c r="AR1482" i="10"/>
  <c r="AS1482" i="10" s="1"/>
  <c r="AX1482" i="10" s="1"/>
  <c r="AY1482" i="10" s="1"/>
  <c r="AR1490" i="10"/>
  <c r="AS1490" i="10" s="1"/>
  <c r="AR1498" i="10"/>
  <c r="AS1498" i="10" s="1"/>
  <c r="AX1498" i="10" s="1"/>
  <c r="AY1498" i="10" s="1"/>
  <c r="AR1506" i="10"/>
  <c r="AS1506" i="10" s="1"/>
  <c r="AR1514" i="10"/>
  <c r="AS1514" i="10" s="1"/>
  <c r="AR1522" i="10"/>
  <c r="AS1522" i="10" s="1"/>
  <c r="AR1530" i="10"/>
  <c r="AS1530" i="10" s="1"/>
  <c r="AR1538" i="10"/>
  <c r="AS1538" i="10" s="1"/>
  <c r="AR1546" i="10"/>
  <c r="AS1546" i="10" s="1"/>
  <c r="AR1554" i="10"/>
  <c r="AS1554" i="10" s="1"/>
  <c r="AR1562" i="10"/>
  <c r="AS1562" i="10" s="1"/>
  <c r="AR1570" i="10"/>
  <c r="AS1570" i="10" s="1"/>
  <c r="AR1578" i="10"/>
  <c r="AS1578" i="10" s="1"/>
  <c r="AR1586" i="10"/>
  <c r="AS1586" i="10" s="1"/>
  <c r="AR1594" i="10"/>
  <c r="AS1594" i="10" s="1"/>
  <c r="AR1602" i="10"/>
  <c r="AS1602" i="10" s="1"/>
  <c r="AR1610" i="10"/>
  <c r="AS1610" i="10" s="1"/>
  <c r="AX1610" i="10" s="1"/>
  <c r="AY1610" i="10" s="1"/>
  <c r="AR1618" i="10"/>
  <c r="AS1618" i="10" s="1"/>
  <c r="AR1626" i="10"/>
  <c r="AS1626" i="10" s="1"/>
  <c r="AX1626" i="10" s="1"/>
  <c r="AY1626" i="10" s="1"/>
  <c r="AR1634" i="10"/>
  <c r="AS1634" i="10" s="1"/>
  <c r="AR1642" i="10"/>
  <c r="AS1642" i="10" s="1"/>
  <c r="AX1642" i="10" s="1"/>
  <c r="AY1642" i="10" s="1"/>
  <c r="AR1650" i="10"/>
  <c r="AS1650" i="10" s="1"/>
  <c r="AX1650" i="10" s="1"/>
  <c r="AY1650" i="10" s="1"/>
  <c r="AR1658" i="10"/>
  <c r="AS1658" i="10" s="1"/>
  <c r="AX1658" i="10" s="1"/>
  <c r="AY1658" i="10" s="1"/>
  <c r="AR1666" i="10"/>
  <c r="AS1666" i="10" s="1"/>
  <c r="AX1666" i="10" s="1"/>
  <c r="AY1666" i="10" s="1"/>
  <c r="AR1674" i="10"/>
  <c r="AS1674" i="10" s="1"/>
  <c r="AX1674" i="10" s="1"/>
  <c r="AY1674" i="10" s="1"/>
  <c r="AR1682" i="10"/>
  <c r="AS1682" i="10" s="1"/>
  <c r="AR1690" i="10"/>
  <c r="AS1690" i="10" s="1"/>
  <c r="AX1690" i="10" s="1"/>
  <c r="AY1690" i="10" s="1"/>
  <c r="AR217" i="10"/>
  <c r="AR294" i="10"/>
  <c r="AR358" i="10"/>
  <c r="AR422" i="10"/>
  <c r="AS422" i="10" s="1"/>
  <c r="AX422" i="10" s="1"/>
  <c r="AY422" i="10" s="1"/>
  <c r="AR486" i="10"/>
  <c r="AS486" i="10" s="1"/>
  <c r="AR550" i="10"/>
  <c r="AS550" i="10" s="1"/>
  <c r="AR614" i="10"/>
  <c r="AS614" i="10" s="1"/>
  <c r="AX614" i="10" s="1"/>
  <c r="AY614" i="10" s="1"/>
  <c r="AR678" i="10"/>
  <c r="AS678" i="10" s="1"/>
  <c r="AR712" i="10"/>
  <c r="AS712" i="10" s="1"/>
  <c r="AR744" i="10"/>
  <c r="AS744" i="10" s="1"/>
  <c r="AR776" i="10"/>
  <c r="AS776" i="10" s="1"/>
  <c r="AX776" i="10" s="1"/>
  <c r="AY776" i="10" s="1"/>
  <c r="AR808" i="10"/>
  <c r="AS808" i="10" s="1"/>
  <c r="AR840" i="10"/>
  <c r="AS840" i="10" s="1"/>
  <c r="AR872" i="10"/>
  <c r="AS872" i="10" s="1"/>
  <c r="AX872" i="10" s="1"/>
  <c r="AY872" i="10" s="1"/>
  <c r="AR904" i="10"/>
  <c r="AS904" i="10" s="1"/>
  <c r="AR936" i="10"/>
  <c r="AS936" i="10" s="1"/>
  <c r="AR958" i="10"/>
  <c r="AS958" i="10" s="1"/>
  <c r="AR976" i="10"/>
  <c r="AS976" i="10" s="1"/>
  <c r="AR994" i="10"/>
  <c r="AS994" i="10" s="1"/>
  <c r="AX994" i="10" s="1"/>
  <c r="AY994" i="10" s="1"/>
  <c r="AR1013" i="10"/>
  <c r="AS1013" i="10" s="1"/>
  <c r="AX1013" i="10" s="1"/>
  <c r="AY1013" i="10" s="1"/>
  <c r="AR1031" i="10"/>
  <c r="AS1031" i="10" s="1"/>
  <c r="AR1049" i="10"/>
  <c r="AS1049" i="10" s="1"/>
  <c r="AX1049" i="10" s="1"/>
  <c r="AY1049" i="10" s="1"/>
  <c r="AR1067" i="10"/>
  <c r="AS1067" i="10" s="1"/>
  <c r="AX1067" i="10" s="1"/>
  <c r="AY1067" i="10" s="1"/>
  <c r="AR1086" i="10"/>
  <c r="AS1086" i="10" s="1"/>
  <c r="AR1104" i="10"/>
  <c r="AS1104" i="10" s="1"/>
  <c r="AX1104" i="10" s="1"/>
  <c r="AY1104" i="10" s="1"/>
  <c r="AR1120" i="10"/>
  <c r="AS1120" i="10" s="1"/>
  <c r="AR1136" i="10"/>
  <c r="AS1136" i="10" s="1"/>
  <c r="AX1136" i="10" s="1"/>
  <c r="AY1136" i="10" s="1"/>
  <c r="AR1152" i="10"/>
  <c r="AS1152" i="10" s="1"/>
  <c r="AX1152" i="10" s="1"/>
  <c r="AY1152" i="10" s="1"/>
  <c r="AR1168" i="10"/>
  <c r="AS1168" i="10" s="1"/>
  <c r="AR1184" i="10"/>
  <c r="AS1184" i="10" s="1"/>
  <c r="AR1200" i="10"/>
  <c r="AS1200" i="10" s="1"/>
  <c r="AR1216" i="10"/>
  <c r="AS1216" i="10" s="1"/>
  <c r="AR1232" i="10"/>
  <c r="AS1232" i="10" s="1"/>
  <c r="AR1248" i="10"/>
  <c r="AS1248" i="10" s="1"/>
  <c r="AR1264" i="10"/>
  <c r="AS1264" i="10" s="1"/>
  <c r="AR1280" i="10"/>
  <c r="AS1280" i="10" s="1"/>
  <c r="AR1296" i="10"/>
  <c r="AS1296" i="10" s="1"/>
  <c r="AR1312" i="10"/>
  <c r="AS1312" i="10" s="1"/>
  <c r="AX1312" i="10" s="1"/>
  <c r="AY1312" i="10" s="1"/>
  <c r="AR1328" i="10"/>
  <c r="AS1328" i="10" s="1"/>
  <c r="AR1343" i="10"/>
  <c r="AS1343" i="10" s="1"/>
  <c r="AX1343" i="10" s="1"/>
  <c r="AY1343" i="10" s="1"/>
  <c r="AR1354" i="10"/>
  <c r="AS1354" i="10" s="1"/>
  <c r="AX1354" i="10" s="1"/>
  <c r="AY1354" i="10" s="1"/>
  <c r="AR1368" i="10"/>
  <c r="AS1368" i="10" s="1"/>
  <c r="AX1368" i="10" s="1"/>
  <c r="AY1368" i="10" s="1"/>
  <c r="AR1382" i="10"/>
  <c r="AS1382" i="10" s="1"/>
  <c r="AR1392" i="10"/>
  <c r="AS1392" i="10" s="1"/>
  <c r="AR1401" i="10"/>
  <c r="AS1401" i="10" s="1"/>
  <c r="AX1401" i="10" s="1"/>
  <c r="AY1401" i="10" s="1"/>
  <c r="AR1410" i="10"/>
  <c r="AS1410" i="10" s="1"/>
  <c r="AR1420" i="10"/>
  <c r="AS1420" i="10" s="1"/>
  <c r="AR1429" i="10"/>
  <c r="AS1429" i="10" s="1"/>
  <c r="AR1438" i="10"/>
  <c r="AS1438" i="10" s="1"/>
  <c r="AR1447" i="10"/>
  <c r="AS1447" i="10" s="1"/>
  <c r="AX1447" i="10" s="1"/>
  <c r="AY1447" i="10" s="1"/>
  <c r="AR1456" i="10"/>
  <c r="AS1456" i="10" s="1"/>
  <c r="AR1465" i="10"/>
  <c r="AS1465" i="10" s="1"/>
  <c r="AX1465" i="10" s="1"/>
  <c r="AY1465" i="10" s="1"/>
  <c r="AR1474" i="10"/>
  <c r="AS1474" i="10" s="1"/>
  <c r="AR1483" i="10"/>
  <c r="AS1483" i="10" s="1"/>
  <c r="AX1483" i="10" s="1"/>
  <c r="AY1483" i="10" s="1"/>
  <c r="AR1491" i="10"/>
  <c r="AS1491" i="10" s="1"/>
  <c r="AR1499" i="10"/>
  <c r="AS1499" i="10" s="1"/>
  <c r="AR1507" i="10"/>
  <c r="AS1507" i="10" s="1"/>
  <c r="AR1515" i="10"/>
  <c r="AS1515" i="10" s="1"/>
  <c r="AR1523" i="10"/>
  <c r="AS1523" i="10" s="1"/>
  <c r="AR1531" i="10"/>
  <c r="AS1531" i="10" s="1"/>
  <c r="AR1539" i="10"/>
  <c r="AS1539" i="10" s="1"/>
  <c r="AR1547" i="10"/>
  <c r="AS1547" i="10" s="1"/>
  <c r="AX1547" i="10" s="1"/>
  <c r="AY1547" i="10" s="1"/>
  <c r="AR1555" i="10"/>
  <c r="AS1555" i="10" s="1"/>
  <c r="AR1563" i="10"/>
  <c r="AS1563" i="10" s="1"/>
  <c r="AR1571" i="10"/>
  <c r="AS1571" i="10" s="1"/>
  <c r="AR1579" i="10"/>
  <c r="AS1579" i="10" s="1"/>
  <c r="AR1587" i="10"/>
  <c r="AS1587" i="10" s="1"/>
  <c r="AR1595" i="10"/>
  <c r="AS1595" i="10" s="1"/>
  <c r="AR1603" i="10"/>
  <c r="AS1603" i="10" s="1"/>
  <c r="AR1611" i="10"/>
  <c r="AS1611" i="10" s="1"/>
  <c r="AX1611" i="10" s="1"/>
  <c r="AY1611" i="10" s="1"/>
  <c r="AR1619" i="10"/>
  <c r="AS1619" i="10" s="1"/>
  <c r="AR1627" i="10"/>
  <c r="AS1627" i="10" s="1"/>
  <c r="AX1627" i="10" s="1"/>
  <c r="AY1627" i="10" s="1"/>
  <c r="AR1635" i="10"/>
  <c r="AS1635" i="10" s="1"/>
  <c r="AR1643" i="10"/>
  <c r="AS1643" i="10" s="1"/>
  <c r="AR1651" i="10"/>
  <c r="AS1651" i="10" s="1"/>
  <c r="AR1659" i="10"/>
  <c r="AS1659" i="10" s="1"/>
  <c r="AX1659" i="10" s="1"/>
  <c r="AY1659" i="10" s="1"/>
  <c r="AR1667" i="10"/>
  <c r="AS1667" i="10" s="1"/>
  <c r="AX1667" i="10" s="1"/>
  <c r="AY1667" i="10" s="1"/>
  <c r="AR1675" i="10"/>
  <c r="AS1675" i="10" s="1"/>
  <c r="AR1683" i="10"/>
  <c r="AS1683" i="10" s="1"/>
  <c r="AR218" i="10"/>
  <c r="AR297" i="10"/>
  <c r="AR361" i="10"/>
  <c r="AR425" i="10"/>
  <c r="AS425" i="10" s="1"/>
  <c r="AR489" i="10"/>
  <c r="AS489" i="10" s="1"/>
  <c r="AR553" i="10"/>
  <c r="AS553" i="10" s="1"/>
  <c r="AR617" i="10"/>
  <c r="AS617" i="10" s="1"/>
  <c r="AX617" i="10" s="1"/>
  <c r="AY617" i="10" s="1"/>
  <c r="AR681" i="10"/>
  <c r="AS681" i="10" s="1"/>
  <c r="AR713" i="10"/>
  <c r="AS713" i="10" s="1"/>
  <c r="AX713" i="10" s="1"/>
  <c r="AY713" i="10" s="1"/>
  <c r="AR745" i="10"/>
  <c r="AS745" i="10" s="1"/>
  <c r="AR777" i="10"/>
  <c r="AS777" i="10" s="1"/>
  <c r="AX777" i="10" s="1"/>
  <c r="AY777" i="10" s="1"/>
  <c r="AR809" i="10"/>
  <c r="AS809" i="10" s="1"/>
  <c r="AR841" i="10"/>
  <c r="AS841" i="10" s="1"/>
  <c r="AR873" i="10"/>
  <c r="AS873" i="10" s="1"/>
  <c r="AX873" i="10" s="1"/>
  <c r="AY873" i="10" s="1"/>
  <c r="AR905" i="10"/>
  <c r="AS905" i="10" s="1"/>
  <c r="AR937" i="10"/>
  <c r="AS937" i="10" s="1"/>
  <c r="AR959" i="10"/>
  <c r="AS959" i="10" s="1"/>
  <c r="AR977" i="10"/>
  <c r="AS977" i="10" s="1"/>
  <c r="AR995" i="10"/>
  <c r="AS995" i="10" s="1"/>
  <c r="AX995" i="10" s="1"/>
  <c r="AY995" i="10" s="1"/>
  <c r="AR1014" i="10"/>
  <c r="AS1014" i="10" s="1"/>
  <c r="AX1014" i="10" s="1"/>
  <c r="AY1014" i="10" s="1"/>
  <c r="AR1032" i="10"/>
  <c r="AS1032" i="10" s="1"/>
  <c r="AR1050" i="10"/>
  <c r="AS1050" i="10" s="1"/>
  <c r="AX1050" i="10" s="1"/>
  <c r="AY1050" i="10" s="1"/>
  <c r="AR1069" i="10"/>
  <c r="AS1069" i="10" s="1"/>
  <c r="AX1069" i="10" s="1"/>
  <c r="AY1069" i="10" s="1"/>
  <c r="AR1087" i="10"/>
  <c r="AS1087" i="10" s="1"/>
  <c r="AR1105" i="10"/>
  <c r="AS1105" i="10" s="1"/>
  <c r="AR1121" i="10"/>
  <c r="AS1121" i="10" s="1"/>
  <c r="AR1137" i="10"/>
  <c r="AS1137" i="10" s="1"/>
  <c r="AR1153" i="10"/>
  <c r="AS1153" i="10" s="1"/>
  <c r="AX1153" i="10" s="1"/>
  <c r="AY1153" i="10" s="1"/>
  <c r="AR1169" i="10"/>
  <c r="AS1169" i="10" s="1"/>
  <c r="AR1185" i="10"/>
  <c r="AS1185" i="10" s="1"/>
  <c r="AR1201" i="10"/>
  <c r="AS1201" i="10" s="1"/>
  <c r="AR1217" i="10"/>
  <c r="AS1217" i="10" s="1"/>
  <c r="AX1217" i="10" s="1"/>
  <c r="AY1217" i="10" s="1"/>
  <c r="AR1233" i="10"/>
  <c r="AS1233" i="10" s="1"/>
  <c r="AR1249" i="10"/>
  <c r="AS1249" i="10" s="1"/>
  <c r="AR1265" i="10"/>
  <c r="AS1265" i="10" s="1"/>
  <c r="AR1281" i="10"/>
  <c r="AS1281" i="10" s="1"/>
  <c r="AR1297" i="10"/>
  <c r="AS1297" i="10" s="1"/>
  <c r="AR1313" i="10"/>
  <c r="AS1313" i="10" s="1"/>
  <c r="AX1313" i="10" s="1"/>
  <c r="AY1313" i="10" s="1"/>
  <c r="AR1329" i="10"/>
  <c r="AS1329" i="10" s="1"/>
  <c r="AR1344" i="10"/>
  <c r="AS1344" i="10" s="1"/>
  <c r="AR1358" i="10"/>
  <c r="AS1358" i="10" s="1"/>
  <c r="AR1369" i="10"/>
  <c r="AS1369" i="10" s="1"/>
  <c r="AX1369" i="10" s="1"/>
  <c r="AY1369" i="10" s="1"/>
  <c r="AR1383" i="10"/>
  <c r="AS1383" i="10" s="1"/>
  <c r="AX1383" i="10" s="1"/>
  <c r="AY1383" i="10" s="1"/>
  <c r="AR1393" i="10"/>
  <c r="AS1393" i="10" s="1"/>
  <c r="AR1402" i="10"/>
  <c r="AS1402" i="10" s="1"/>
  <c r="AX1402" i="10" s="1"/>
  <c r="AY1402" i="10" s="1"/>
  <c r="AR1412" i="10"/>
  <c r="AS1412" i="10" s="1"/>
  <c r="AR1421" i="10"/>
  <c r="AS1421" i="10" s="1"/>
  <c r="AX1421" i="10" s="1"/>
  <c r="AY1421" i="10" s="1"/>
  <c r="AR1430" i="10"/>
  <c r="AS1430" i="10" s="1"/>
  <c r="AR1439" i="10"/>
  <c r="AS1439" i="10" s="1"/>
  <c r="AR1448" i="10"/>
  <c r="AS1448" i="10" s="1"/>
  <c r="AX1448" i="10" s="1"/>
  <c r="AY1448" i="10" s="1"/>
  <c r="AR1457" i="10"/>
  <c r="AS1457" i="10" s="1"/>
  <c r="AR1466" i="10"/>
  <c r="AS1466" i="10" s="1"/>
  <c r="AX1466" i="10" s="1"/>
  <c r="AY1466" i="10" s="1"/>
  <c r="AR1476" i="10"/>
  <c r="AS1476" i="10" s="1"/>
  <c r="AR1484" i="10"/>
  <c r="AS1484" i="10" s="1"/>
  <c r="AX1484" i="10" s="1"/>
  <c r="AY1484" i="10" s="1"/>
  <c r="AR1492" i="10"/>
  <c r="AS1492" i="10" s="1"/>
  <c r="AX1492" i="10" s="1"/>
  <c r="AY1492" i="10" s="1"/>
  <c r="AR1500" i="10"/>
  <c r="AS1500" i="10" s="1"/>
  <c r="AX1500" i="10" s="1"/>
  <c r="AY1500" i="10" s="1"/>
  <c r="AR1508" i="10"/>
  <c r="AS1508" i="10" s="1"/>
  <c r="AR1516" i="10"/>
  <c r="AS1516" i="10" s="1"/>
  <c r="AR1524" i="10"/>
  <c r="AS1524" i="10" s="1"/>
  <c r="AR1532" i="10"/>
  <c r="AS1532" i="10" s="1"/>
  <c r="AR1540" i="10"/>
  <c r="AS1540" i="10" s="1"/>
  <c r="AR1548" i="10"/>
  <c r="AS1548" i="10" s="1"/>
  <c r="AR1556" i="10"/>
  <c r="AS1556" i="10" s="1"/>
  <c r="AR1564" i="10"/>
  <c r="AS1564" i="10" s="1"/>
  <c r="AX1564" i="10" s="1"/>
  <c r="AY1564" i="10" s="1"/>
  <c r="AR1572" i="10"/>
  <c r="AS1572" i="10" s="1"/>
  <c r="AR1580" i="10"/>
  <c r="AS1580" i="10" s="1"/>
  <c r="AR1588" i="10"/>
  <c r="AS1588" i="10" s="1"/>
  <c r="AX1588" i="10" s="1"/>
  <c r="AY1588" i="10" s="1"/>
  <c r="AR1596" i="10"/>
  <c r="AS1596" i="10" s="1"/>
  <c r="AR1604" i="10"/>
  <c r="AS1604" i="10" s="1"/>
  <c r="AR1612" i="10"/>
  <c r="AS1612" i="10" s="1"/>
  <c r="AR1620" i="10"/>
  <c r="AS1620" i="10" s="1"/>
  <c r="AR1628" i="10"/>
  <c r="AS1628" i="10" s="1"/>
  <c r="AX1628" i="10" s="1"/>
  <c r="AY1628" i="10" s="1"/>
  <c r="AR1636" i="10"/>
  <c r="AS1636" i="10" s="1"/>
  <c r="AR1644" i="10"/>
  <c r="AS1644" i="10" s="1"/>
  <c r="AX1644" i="10" s="1"/>
  <c r="AY1644" i="10" s="1"/>
  <c r="AR1652" i="10"/>
  <c r="AS1652" i="10" s="1"/>
  <c r="AR1660" i="10"/>
  <c r="AS1660" i="10" s="1"/>
  <c r="AX1660" i="10" s="1"/>
  <c r="AY1660" i="10" s="1"/>
  <c r="AR1668" i="10"/>
  <c r="AS1668" i="10" s="1"/>
  <c r="AR1676" i="10"/>
  <c r="AS1676" i="10" s="1"/>
  <c r="AR1684" i="10"/>
  <c r="AS1684" i="10" s="1"/>
  <c r="AS597" i="10"/>
  <c r="AS639" i="10"/>
  <c r="AS432" i="10"/>
  <c r="AS560" i="10"/>
  <c r="AS812" i="10"/>
  <c r="AX812" i="10" s="1"/>
  <c r="AY812" i="10" s="1"/>
  <c r="AS1006" i="10"/>
  <c r="AS1070" i="10"/>
  <c r="AX1070" i="10" s="1"/>
  <c r="AY1070" i="10" s="1"/>
  <c r="AS915" i="10"/>
  <c r="AX915" i="10" s="1"/>
  <c r="AY915" i="10" s="1"/>
  <c r="AS1068" i="10"/>
  <c r="AX1068" i="10" s="1"/>
  <c r="AY1068" i="10" s="1"/>
  <c r="AS1084" i="10"/>
  <c r="AS917" i="10"/>
  <c r="AX917" i="10" s="1"/>
  <c r="AY917" i="10" s="1"/>
  <c r="AS1053" i="10"/>
  <c r="AX1053" i="10" s="1"/>
  <c r="AY1053" i="10" s="1"/>
  <c r="AS1190" i="10"/>
  <c r="AS1204" i="10"/>
  <c r="AS1218" i="10"/>
  <c r="AX1218" i="10" s="1"/>
  <c r="AY1218" i="10" s="1"/>
  <c r="AS1293" i="10"/>
  <c r="AS1307" i="10"/>
  <c r="AS1379" i="10"/>
  <c r="AS1435" i="10"/>
  <c r="AS1443" i="10"/>
  <c r="AX1443" i="10" s="1"/>
  <c r="AY1443" i="10" s="1"/>
  <c r="AS1467" i="10"/>
  <c r="AX1467" i="10" s="1"/>
  <c r="AY1467" i="10" s="1"/>
  <c r="AS868" i="10"/>
  <c r="AX868" i="10" s="1"/>
  <c r="AY868" i="10" s="1"/>
  <c r="AS1026" i="10"/>
  <c r="AX1026" i="10" s="1"/>
  <c r="AY1026" i="10" s="1"/>
  <c r="AS1130" i="10"/>
  <c r="AS1155" i="10"/>
  <c r="AX1155" i="10" s="1"/>
  <c r="AY1155" i="10" s="1"/>
  <c r="AS1219" i="10"/>
  <c r="AX1219" i="10" s="1"/>
  <c r="AY1219" i="10" s="1"/>
  <c r="AS1244" i="10"/>
  <c r="AX1244" i="10" s="1"/>
  <c r="AY1244" i="10" s="1"/>
  <c r="AS1258" i="10"/>
  <c r="AS1269" i="10"/>
  <c r="AX1269" i="10" s="1"/>
  <c r="AY1269" i="10" s="1"/>
  <c r="AS1332" i="10"/>
  <c r="AS1340" i="10"/>
  <c r="AS1372" i="10"/>
  <c r="AX1372" i="10" s="1"/>
  <c r="AY1372" i="10" s="1"/>
  <c r="AS822" i="10"/>
  <c r="AS906" i="10"/>
  <c r="AS942" i="10"/>
  <c r="AX942" i="10" s="1"/>
  <c r="AY942" i="10" s="1"/>
  <c r="AS1043" i="10"/>
  <c r="AS1117" i="10"/>
  <c r="AS1142" i="10"/>
  <c r="AS1156" i="10"/>
  <c r="AX1156" i="10" s="1"/>
  <c r="AY1156" i="10" s="1"/>
  <c r="AS1170" i="10"/>
  <c r="AS1245" i="10"/>
  <c r="AS1259" i="10"/>
  <c r="AX1259" i="10" s="1"/>
  <c r="AY1259" i="10" s="1"/>
  <c r="AS1284" i="10"/>
  <c r="AS1373" i="10"/>
  <c r="AS1381" i="10"/>
  <c r="AS1389" i="10"/>
  <c r="AX1389" i="10" s="1"/>
  <c r="AY1389" i="10" s="1"/>
  <c r="AS1477" i="10"/>
  <c r="AS1525" i="10"/>
  <c r="AS1549" i="10"/>
  <c r="AS1557" i="10"/>
  <c r="AS1605" i="10"/>
  <c r="AS1613" i="10"/>
  <c r="AS1653" i="10"/>
  <c r="AS1685" i="10"/>
  <c r="AS925" i="10"/>
  <c r="AX925" i="10" s="1"/>
  <c r="AY925" i="10" s="1"/>
  <c r="AS943" i="10"/>
  <c r="AS962" i="10"/>
  <c r="AX962" i="10" s="1"/>
  <c r="AY962" i="10" s="1"/>
  <c r="AS996" i="10"/>
  <c r="AS1028" i="10"/>
  <c r="AX1028" i="10" s="1"/>
  <c r="AY1028" i="10" s="1"/>
  <c r="AS1044" i="10"/>
  <c r="AS1060" i="10"/>
  <c r="AS1076" i="10"/>
  <c r="AX1076" i="10" s="1"/>
  <c r="AY1076" i="10" s="1"/>
  <c r="AS1092" i="10"/>
  <c r="AX1092" i="10" s="1"/>
  <c r="AY1092" i="10" s="1"/>
  <c r="AS1107" i="10"/>
  <c r="AX1107" i="10" s="1"/>
  <c r="AY1107" i="10" s="1"/>
  <c r="AS1171" i="10"/>
  <c r="AX1171" i="10" s="1"/>
  <c r="AY1171" i="10" s="1"/>
  <c r="AS1422" i="10"/>
  <c r="AS1478" i="10"/>
  <c r="AS1486" i="10"/>
  <c r="AX1486" i="10" s="1"/>
  <c r="AY1486" i="10" s="1"/>
  <c r="AS1518" i="10"/>
  <c r="AX1518" i="10" s="1"/>
  <c r="AY1518" i="10" s="1"/>
  <c r="AS890" i="10"/>
  <c r="AS981" i="10"/>
  <c r="AX981" i="10" s="1"/>
  <c r="AY981" i="10" s="1"/>
  <c r="AS1045" i="10"/>
  <c r="AX1045" i="10" s="1"/>
  <c r="AY1045" i="10" s="1"/>
  <c r="AS1061" i="10"/>
  <c r="AX1061" i="10" s="1"/>
  <c r="AY1061" i="10" s="1"/>
  <c r="AS1108" i="10"/>
  <c r="AS1122" i="10"/>
  <c r="AX1122" i="10" s="1"/>
  <c r="AY1122" i="10" s="1"/>
  <c r="AS1133" i="10"/>
  <c r="AX1133" i="10" s="1"/>
  <c r="AY1133" i="10" s="1"/>
  <c r="AS1172" i="10"/>
  <c r="AX1172" i="10" s="1"/>
  <c r="AY1172" i="10" s="1"/>
  <c r="AS1211" i="10"/>
  <c r="AX1211" i="10" s="1"/>
  <c r="AY1211" i="10" s="1"/>
  <c r="AS1236" i="10"/>
  <c r="AS1250" i="10"/>
  <c r="AS1423" i="10"/>
  <c r="AS1527" i="10"/>
  <c r="AS847" i="10"/>
  <c r="AX847" i="10" s="1"/>
  <c r="AY847" i="10" s="1"/>
  <c r="AS914" i="10"/>
  <c r="AX914" i="10" s="1"/>
  <c r="AY914" i="10" s="1"/>
  <c r="AS932" i="10"/>
  <c r="AX932" i="10" s="1"/>
  <c r="AY932" i="10" s="1"/>
  <c r="AS1034" i="10"/>
  <c r="AS1098" i="10"/>
  <c r="AX1098" i="10" s="1"/>
  <c r="AY1098" i="10" s="1"/>
  <c r="AS1109" i="10"/>
  <c r="AS1123" i="10"/>
  <c r="AS1148" i="10"/>
  <c r="AX1148" i="10" s="1"/>
  <c r="AY1148" i="10" s="1"/>
  <c r="AS1173" i="10"/>
  <c r="AX1173" i="10" s="1"/>
  <c r="AY1173" i="10" s="1"/>
  <c r="AS1187" i="10"/>
  <c r="AX1187" i="10" s="1"/>
  <c r="AY1187" i="10" s="1"/>
  <c r="AS1212" i="10"/>
  <c r="AX1212" i="10" s="1"/>
  <c r="AY1212" i="10" s="1"/>
  <c r="AS1237" i="10"/>
  <c r="AX1237" i="10" s="1"/>
  <c r="AY1237" i="10" s="1"/>
  <c r="AS1251" i="10"/>
  <c r="AX1251" i="10" s="1"/>
  <c r="AY1251" i="10" s="1"/>
  <c r="AS1276" i="10"/>
  <c r="AX1276" i="10" s="1"/>
  <c r="AY1276" i="10" s="1"/>
  <c r="AS1301" i="10"/>
  <c r="AX1301" i="10" s="1"/>
  <c r="AY1301" i="10" s="1"/>
  <c r="AS1360" i="10"/>
  <c r="AS1384" i="10"/>
  <c r="AX1384" i="10" s="1"/>
  <c r="AY1384" i="10" s="1"/>
  <c r="AS1291" i="10"/>
  <c r="AS1144" i="10"/>
  <c r="AS556" i="10"/>
  <c r="AX556" i="10" s="1"/>
  <c r="AY556" i="10" s="1"/>
  <c r="AS1654" i="10"/>
  <c r="AS464" i="10"/>
  <c r="AX464" i="10" s="1"/>
  <c r="AY464" i="10" s="1"/>
  <c r="AS1298" i="10"/>
  <c r="AS574" i="10"/>
  <c r="AS669" i="10"/>
  <c r="AS535" i="10"/>
  <c r="AS810" i="10"/>
  <c r="AS843" i="10"/>
  <c r="AS1475" i="10"/>
  <c r="AS493" i="10"/>
  <c r="AX493" i="10" s="1"/>
  <c r="AY493" i="10" s="1"/>
  <c r="AS541" i="10"/>
  <c r="AS778" i="10"/>
  <c r="AX778" i="10" s="1"/>
  <c r="AY778" i="10" s="1"/>
  <c r="AS845" i="10"/>
  <c r="AX845" i="10" s="1"/>
  <c r="AY845" i="10" s="1"/>
  <c r="AS978" i="10"/>
  <c r="AX978" i="10" s="1"/>
  <c r="AY978" i="10" s="1"/>
  <c r="AS1322" i="10"/>
  <c r="AS509" i="10"/>
  <c r="AS755" i="10"/>
  <c r="AX755" i="10" s="1"/>
  <c r="AY755" i="10" s="1"/>
  <c r="AS789" i="10"/>
  <c r="AX789" i="10" s="1"/>
  <c r="AY789" i="10" s="1"/>
  <c r="AS1016" i="10"/>
  <c r="AS1375" i="10"/>
  <c r="AS1318" i="10"/>
  <c r="AX1318" i="10" s="1"/>
  <c r="AY1318" i="10" s="1"/>
  <c r="AS1253" i="10"/>
  <c r="AX1253" i="10" s="1"/>
  <c r="AY1253" i="10" s="1"/>
  <c r="AS499" i="10"/>
  <c r="AX499" i="10" s="1"/>
  <c r="AY499" i="10" s="1"/>
  <c r="AS700" i="10"/>
  <c r="AX700" i="10" s="1"/>
  <c r="AY700" i="10" s="1"/>
  <c r="AS828" i="10"/>
  <c r="AX828" i="10" s="1"/>
  <c r="AY828" i="10" s="1"/>
  <c r="AS956" i="10"/>
  <c r="AX956" i="10" s="1"/>
  <c r="AY956" i="10" s="1"/>
  <c r="AS788" i="10"/>
  <c r="AS758" i="10"/>
  <c r="AX758" i="10" s="1"/>
  <c r="AY758" i="10" s="1"/>
  <c r="AS730" i="10"/>
  <c r="AX730" i="10" s="1"/>
  <c r="AY730" i="10" s="1"/>
  <c r="AS1419" i="10"/>
  <c r="AX1419" i="10" s="1"/>
  <c r="AY1419" i="10" s="1"/>
  <c r="AS795" i="10"/>
  <c r="AS1283" i="10"/>
  <c r="AX1283" i="10" s="1"/>
  <c r="AY1283" i="10" s="1"/>
  <c r="AS571" i="10"/>
  <c r="AX571" i="10" s="1"/>
  <c r="AY571" i="10" s="1"/>
  <c r="AS621" i="10"/>
  <c r="AX621" i="10" s="1"/>
  <c r="AY621" i="10" s="1"/>
  <c r="AS772" i="10"/>
  <c r="AX772" i="10" s="1"/>
  <c r="AY772" i="10" s="1"/>
  <c r="AS836" i="10"/>
  <c r="AX836" i="10" s="1"/>
  <c r="AY836" i="10" s="1"/>
  <c r="AS900" i="10"/>
  <c r="AX900" i="10" s="1"/>
  <c r="AY900" i="10" s="1"/>
  <c r="AS1181" i="10"/>
  <c r="AS625" i="10"/>
  <c r="AS1164" i="10"/>
  <c r="AX1164" i="10" s="1"/>
  <c r="AY1164" i="10" s="1"/>
  <c r="AS1411" i="10"/>
  <c r="AX1411" i="10" s="1"/>
  <c r="AY1411" i="10" s="1"/>
  <c r="AS632" i="10"/>
  <c r="AS528" i="10"/>
  <c r="AS581" i="10"/>
  <c r="AX581" i="10" s="1"/>
  <c r="AY581" i="10" s="1"/>
  <c r="AS747" i="10"/>
  <c r="AS1035" i="10"/>
  <c r="AS1363" i="10"/>
  <c r="AW352" i="10"/>
  <c r="AW352" i="9"/>
  <c r="AX352" i="9" s="1"/>
  <c r="AW405" i="10"/>
  <c r="AW405" i="9"/>
  <c r="AX405" i="9" s="1"/>
  <c r="AW337" i="10"/>
  <c r="AW337" i="9"/>
  <c r="AX337" i="9" s="1"/>
  <c r="AW311" i="10"/>
  <c r="AW311" i="9"/>
  <c r="AX311" i="9" s="1"/>
  <c r="AW167" i="10"/>
  <c r="AW167" i="9"/>
  <c r="AX167" i="9" s="1"/>
  <c r="AW230" i="10"/>
  <c r="AW230" i="9"/>
  <c r="AX230" i="9" s="1"/>
  <c r="AW81" i="10"/>
  <c r="AW81" i="9"/>
  <c r="AX81" i="9" s="1"/>
  <c r="AW377" i="10"/>
  <c r="AW377" i="9"/>
  <c r="AX377" i="9" s="1"/>
  <c r="AW193" i="10"/>
  <c r="AW193" i="9"/>
  <c r="AX193" i="9" s="1"/>
  <c r="AW255" i="10"/>
  <c r="AW255" i="9"/>
  <c r="AX255" i="9" s="1"/>
  <c r="AW44" i="10"/>
  <c r="AW44" i="9"/>
  <c r="AX44" i="9" s="1"/>
  <c r="AW313" i="10"/>
  <c r="AW313" i="9"/>
  <c r="AX313" i="9" s="1"/>
  <c r="AW16" i="10"/>
  <c r="AW16" i="9"/>
  <c r="AX16" i="9" s="1"/>
  <c r="AW287" i="10"/>
  <c r="AW287" i="9"/>
  <c r="AX287" i="9" s="1"/>
  <c r="AW399" i="10"/>
  <c r="AW399" i="9"/>
  <c r="AX399" i="9" s="1"/>
  <c r="AW225" i="10"/>
  <c r="AW225" i="9"/>
  <c r="AX225" i="9" s="1"/>
  <c r="AW14" i="10"/>
  <c r="AW14" i="9"/>
  <c r="AX14" i="9" s="1"/>
  <c r="AW281" i="10"/>
  <c r="AW281" i="9"/>
  <c r="AX281" i="9" s="1"/>
  <c r="AW79" i="10"/>
  <c r="AW79" i="9"/>
  <c r="AX79" i="9" s="1"/>
  <c r="AW335" i="10"/>
  <c r="AW335" i="9"/>
  <c r="AX335" i="9" s="1"/>
  <c r="AW144" i="10"/>
  <c r="AW144" i="9"/>
  <c r="AX144" i="9" s="1"/>
  <c r="AW390" i="10"/>
  <c r="AW390" i="9"/>
  <c r="AX390" i="9" s="1"/>
  <c r="AW182" i="10"/>
  <c r="AW182" i="9"/>
  <c r="AX182" i="9" s="1"/>
  <c r="AW324" i="10"/>
  <c r="AW324" i="9"/>
  <c r="AX324" i="9" s="1"/>
  <c r="AW147" i="10"/>
  <c r="AW147" i="9"/>
  <c r="AX147" i="9" s="1"/>
  <c r="AW226" i="10"/>
  <c r="AW226" i="9"/>
  <c r="AX226" i="9" s="1"/>
  <c r="AW89" i="10"/>
  <c r="AW89" i="9"/>
  <c r="AX89" i="9" s="1"/>
  <c r="AW373" i="10"/>
  <c r="AW373" i="9"/>
  <c r="AX373" i="9" s="1"/>
  <c r="AW216" i="10"/>
  <c r="AW216" i="9"/>
  <c r="AX216" i="9" s="1"/>
  <c r="AW24" i="10"/>
  <c r="AW24" i="9"/>
  <c r="AX24" i="9" s="1"/>
  <c r="AW343" i="10"/>
  <c r="AW343" i="9"/>
  <c r="AX343" i="9" s="1"/>
  <c r="AW213" i="10"/>
  <c r="AW213" i="9"/>
  <c r="AX213" i="9" s="1"/>
  <c r="AW65" i="10"/>
  <c r="AW65" i="9"/>
  <c r="AX65" i="9" s="1"/>
  <c r="AW360" i="10"/>
  <c r="AW360" i="9"/>
  <c r="AX360" i="9" s="1"/>
  <c r="AW68" i="10"/>
  <c r="AW68" i="9"/>
  <c r="AX68" i="9" s="1"/>
  <c r="AW403" i="10"/>
  <c r="AW403" i="9"/>
  <c r="AX403" i="9" s="1"/>
  <c r="AW11" i="10"/>
  <c r="AW11" i="9"/>
  <c r="AX11" i="9" s="1"/>
  <c r="AW279" i="10"/>
  <c r="AW279" i="9"/>
  <c r="AX279" i="9" s="1"/>
  <c r="AW76" i="10"/>
  <c r="AW76" i="9"/>
  <c r="AX76" i="9" s="1"/>
  <c r="AW333" i="10"/>
  <c r="AW333" i="9"/>
  <c r="AX333" i="9" s="1"/>
  <c r="AW142" i="10"/>
  <c r="AW142" i="9"/>
  <c r="AX142" i="9" s="1"/>
  <c r="AW383" i="10"/>
  <c r="AW383" i="9"/>
  <c r="AX383" i="9" s="1"/>
  <c r="AW206" i="10"/>
  <c r="AW206" i="9"/>
  <c r="AX206" i="9" s="1"/>
  <c r="AW358" i="10"/>
  <c r="AW358" i="9"/>
  <c r="AX358" i="9" s="1"/>
  <c r="AW331" i="10"/>
  <c r="AW331" i="9"/>
  <c r="AX331" i="9" s="1"/>
  <c r="AW139" i="10"/>
  <c r="AW139" i="9"/>
  <c r="AX139" i="9" s="1"/>
  <c r="AW380" i="10"/>
  <c r="AW380" i="9"/>
  <c r="AX380" i="9" s="1"/>
  <c r="AW203" i="10"/>
  <c r="AW203" i="9"/>
  <c r="AX203" i="9" s="1"/>
  <c r="AW261" i="10"/>
  <c r="AW261" i="9"/>
  <c r="AX261" i="9" s="1"/>
  <c r="AW56" i="10"/>
  <c r="AW56" i="9"/>
  <c r="AX56" i="9" s="1"/>
  <c r="AW412" i="10"/>
  <c r="AW412" i="9"/>
  <c r="AX412" i="9" s="1"/>
  <c r="AW286" i="10"/>
  <c r="AW286" i="9"/>
  <c r="AX286" i="9" s="1"/>
  <c r="AW239" i="10"/>
  <c r="AW239" i="9"/>
  <c r="AX239" i="9" s="1"/>
  <c r="AW293" i="10"/>
  <c r="AW293" i="9"/>
  <c r="AX293" i="9" s="1"/>
  <c r="AW69" i="10"/>
  <c r="AW69" i="9"/>
  <c r="AX69" i="9" s="1"/>
  <c r="AW103" i="10"/>
  <c r="AW103" i="9"/>
  <c r="AX103" i="9" s="1"/>
  <c r="AW353" i="10"/>
  <c r="AW353" i="9"/>
  <c r="AX353" i="9" s="1"/>
  <c r="AW168" i="10"/>
  <c r="AW168" i="9"/>
  <c r="AX168" i="9" s="1"/>
  <c r="AW408" i="10"/>
  <c r="AW408" i="9"/>
  <c r="AX408" i="9" s="1"/>
  <c r="AW231" i="10"/>
  <c r="AW231" i="9"/>
  <c r="AX231" i="9" s="1"/>
  <c r="AW17" i="10"/>
  <c r="AW17" i="9"/>
  <c r="AX17" i="9" s="1"/>
  <c r="AW288" i="10"/>
  <c r="AW288" i="9"/>
  <c r="AX288" i="9" s="1"/>
  <c r="AW85" i="10"/>
  <c r="AW85" i="9"/>
  <c r="AX85" i="9" s="1"/>
  <c r="AW42" i="10"/>
  <c r="AW42" i="9"/>
  <c r="AX42" i="9" s="1"/>
  <c r="AW48" i="10"/>
  <c r="AW48" i="9"/>
  <c r="AX48" i="9" s="1"/>
  <c r="AW105" i="10"/>
  <c r="AW105" i="9"/>
  <c r="AX105" i="9" s="1"/>
  <c r="AW22" i="10"/>
  <c r="AW22" i="9"/>
  <c r="AX22" i="9" s="1"/>
  <c r="AW378" i="10"/>
  <c r="AW378" i="9"/>
  <c r="AX378" i="9" s="1"/>
  <c r="AW197" i="10"/>
  <c r="AW197" i="9"/>
  <c r="AX197" i="9" s="1"/>
  <c r="AW256" i="10"/>
  <c r="AW256" i="9"/>
  <c r="AX256" i="9" s="1"/>
  <c r="AW46" i="10"/>
  <c r="AW46" i="9"/>
  <c r="AX46" i="9" s="1"/>
  <c r="AW314" i="10"/>
  <c r="AW314" i="9"/>
  <c r="AX314" i="9" s="1"/>
  <c r="AW119" i="10"/>
  <c r="AW119" i="9"/>
  <c r="AX119" i="9" s="1"/>
  <c r="AW364" i="10"/>
  <c r="AW364" i="9"/>
  <c r="AX364" i="9" s="1"/>
  <c r="AW74" i="10"/>
  <c r="AW74" i="9"/>
  <c r="AX74" i="9" s="1"/>
  <c r="AW136" i="10"/>
  <c r="AW136" i="9"/>
  <c r="AX136" i="9" s="1"/>
  <c r="AW40" i="10"/>
  <c r="AW40" i="9"/>
  <c r="AX40" i="9" s="1"/>
  <c r="AW80" i="10"/>
  <c r="AW80" i="9"/>
  <c r="AX80" i="9" s="1"/>
  <c r="AW336" i="10"/>
  <c r="AW336" i="9"/>
  <c r="AX336" i="9" s="1"/>
  <c r="AW145" i="10"/>
  <c r="AW145" i="9"/>
  <c r="AX145" i="9" s="1"/>
  <c r="AW307" i="10"/>
  <c r="AW307" i="9"/>
  <c r="AX307" i="9" s="1"/>
  <c r="AW96" i="10"/>
  <c r="AW96" i="9"/>
  <c r="AX96" i="9" s="1"/>
  <c r="AW374" i="10"/>
  <c r="AW374" i="9"/>
  <c r="AX374" i="9" s="1"/>
  <c r="AW249" i="10"/>
  <c r="AW249" i="9"/>
  <c r="AX249" i="9" s="1"/>
  <c r="AW393" i="10"/>
  <c r="AW393" i="9"/>
  <c r="AX393" i="9" s="1"/>
  <c r="AW172" i="10"/>
  <c r="AW172" i="9"/>
  <c r="AX172" i="9" s="1"/>
  <c r="AW235" i="10"/>
  <c r="AW235" i="9"/>
  <c r="AX235" i="9" s="1"/>
  <c r="AW237" i="10"/>
  <c r="AW237" i="9"/>
  <c r="AX237" i="9" s="1"/>
  <c r="AW229" i="10"/>
  <c r="AW229" i="9"/>
  <c r="AX229" i="9" s="1"/>
  <c r="AW7" i="10"/>
  <c r="AW7" i="9"/>
  <c r="AX7" i="9" s="1"/>
  <c r="AW228" i="10"/>
  <c r="AW228" i="9"/>
  <c r="AX228" i="9" s="1"/>
  <c r="AW386" i="10"/>
  <c r="AW386" i="9"/>
  <c r="AX386" i="9" s="1"/>
  <c r="AW304" i="10"/>
  <c r="AW304" i="9"/>
  <c r="AX304" i="9" s="1"/>
  <c r="AW400" i="10"/>
  <c r="AW400" i="9"/>
  <c r="AX400" i="9" s="1"/>
  <c r="AW54" i="10"/>
  <c r="AW54" i="9"/>
  <c r="AX54" i="9" s="1"/>
  <c r="AW346" i="10"/>
  <c r="AW346" i="9"/>
  <c r="AX346" i="9" s="1"/>
  <c r="AW111" i="10"/>
  <c r="AW111" i="9"/>
  <c r="AX111" i="9" s="1"/>
  <c r="AW130" i="10"/>
  <c r="AW130" i="9"/>
  <c r="AX130" i="9" s="1"/>
  <c r="AW224" i="10"/>
  <c r="AW224" i="9"/>
  <c r="AX224" i="9" s="1"/>
  <c r="AW12" i="10"/>
  <c r="AW12" i="9"/>
  <c r="AX12" i="9" s="1"/>
  <c r="AW280" i="10"/>
  <c r="AW280" i="9"/>
  <c r="AX280" i="9" s="1"/>
  <c r="AW78" i="10"/>
  <c r="AW78" i="9"/>
  <c r="AX78" i="9" s="1"/>
  <c r="AW252" i="10"/>
  <c r="AW252" i="9"/>
  <c r="AX252" i="9" s="1"/>
  <c r="AW170" i="10"/>
  <c r="AW170" i="9"/>
  <c r="AX170" i="9" s="1"/>
  <c r="AW410" i="10"/>
  <c r="AW410" i="9"/>
  <c r="AX410" i="9" s="1"/>
  <c r="AW166" i="10"/>
  <c r="AW166" i="9"/>
  <c r="AX166" i="9" s="1"/>
  <c r="AW391" i="10"/>
  <c r="AW391" i="9"/>
  <c r="AX391" i="9" s="1"/>
  <c r="AW158" i="10"/>
  <c r="AW158" i="9"/>
  <c r="AX158" i="9" s="1"/>
  <c r="AW141" i="10"/>
  <c r="AW141" i="9"/>
  <c r="AX141" i="9" s="1"/>
  <c r="AW51" i="10"/>
  <c r="AW51" i="9"/>
  <c r="AX51" i="9" s="1"/>
  <c r="AW270" i="10"/>
  <c r="AW270" i="9"/>
  <c r="AX270" i="9" s="1"/>
  <c r="AW251" i="10"/>
  <c r="AW251" i="9"/>
  <c r="AX251" i="9" s="1"/>
  <c r="AW41" i="10"/>
  <c r="AW41" i="9"/>
  <c r="AX41" i="9" s="1"/>
  <c r="AW310" i="10"/>
  <c r="AW310" i="9"/>
  <c r="AX310" i="9" s="1"/>
  <c r="AW106" i="10"/>
  <c r="AW106" i="9"/>
  <c r="AX106" i="9" s="1"/>
  <c r="AW233" i="10"/>
  <c r="AW233" i="9"/>
  <c r="AX233" i="9" s="1"/>
  <c r="AW129" i="10"/>
  <c r="AW129" i="9"/>
  <c r="AX129" i="9" s="1"/>
  <c r="AW15" i="10"/>
  <c r="AW15" i="9"/>
  <c r="AX15" i="9" s="1"/>
  <c r="AW283" i="10"/>
  <c r="AW283" i="9"/>
  <c r="AX283" i="9" s="1"/>
  <c r="AW278" i="10"/>
  <c r="AW278" i="9"/>
  <c r="AX278" i="9" s="1"/>
  <c r="AW75" i="10"/>
  <c r="AW75" i="9"/>
  <c r="AX75" i="9" s="1"/>
  <c r="AW332" i="10"/>
  <c r="AW332" i="9"/>
  <c r="AX332" i="9" s="1"/>
  <c r="AW140" i="10"/>
  <c r="AW140" i="9"/>
  <c r="AX140" i="9" s="1"/>
  <c r="AW381" i="10"/>
  <c r="AW381" i="9"/>
  <c r="AX381" i="9" s="1"/>
  <c r="AW204" i="10"/>
  <c r="AW204" i="9"/>
  <c r="AX204" i="9" s="1"/>
  <c r="AW302" i="10"/>
  <c r="AW302" i="9"/>
  <c r="AX302" i="9" s="1"/>
  <c r="AW104" i="10"/>
  <c r="AW104" i="9"/>
  <c r="AX104" i="9" s="1"/>
  <c r="AW357" i="10"/>
  <c r="AW357" i="9"/>
  <c r="AX357" i="9" s="1"/>
  <c r="AW169" i="10"/>
  <c r="AW169" i="9"/>
  <c r="AX169" i="9" s="1"/>
  <c r="AW409" i="10"/>
  <c r="AW409" i="9"/>
  <c r="AX409" i="9" s="1"/>
  <c r="AW232" i="10"/>
  <c r="AW232" i="9"/>
  <c r="AX232" i="9" s="1"/>
  <c r="AW21" i="10"/>
  <c r="AW21" i="9"/>
  <c r="AX21" i="9" s="1"/>
  <c r="AW107" i="10"/>
  <c r="AW107" i="9"/>
  <c r="AX107" i="9" s="1"/>
  <c r="AW330" i="10"/>
  <c r="AW330" i="9"/>
  <c r="AX330" i="9" s="1"/>
  <c r="AW133" i="10"/>
  <c r="AW133" i="9"/>
  <c r="AX133" i="9" s="1"/>
  <c r="AW379" i="10"/>
  <c r="AW379" i="9"/>
  <c r="AX379" i="9" s="1"/>
  <c r="AW202" i="10"/>
  <c r="AW202" i="9"/>
  <c r="AX202" i="9" s="1"/>
  <c r="AW257" i="10"/>
  <c r="AW257" i="9"/>
  <c r="AX257" i="9" s="1"/>
  <c r="AW55" i="10"/>
  <c r="AW55" i="9"/>
  <c r="AX55" i="9" s="1"/>
  <c r="AW315" i="10"/>
  <c r="AW315" i="9"/>
  <c r="AX315" i="9" s="1"/>
  <c r="AW266" i="10"/>
  <c r="AW266" i="9"/>
  <c r="AX266" i="9" s="1"/>
  <c r="AW159" i="10"/>
  <c r="AW159" i="9"/>
  <c r="AX159" i="9" s="1"/>
  <c r="AW265" i="10"/>
  <c r="AW265" i="9"/>
  <c r="AX265" i="9" s="1"/>
  <c r="AW113" i="10"/>
  <c r="AW113" i="9"/>
  <c r="AX113" i="9" s="1"/>
  <c r="AW27" i="10"/>
  <c r="AW27" i="9"/>
  <c r="AX27" i="9" s="1"/>
  <c r="AW218" i="10"/>
  <c r="AW218" i="9"/>
  <c r="AX218" i="9" s="1"/>
  <c r="AW221" i="10"/>
  <c r="AW221" i="9"/>
  <c r="AX221" i="9" s="1"/>
  <c r="AW308" i="10"/>
  <c r="AW308" i="9"/>
  <c r="AX308" i="9" s="1"/>
  <c r="AW52" i="10"/>
  <c r="AW52" i="9"/>
  <c r="AX52" i="9" s="1"/>
  <c r="AW387" i="10"/>
  <c r="AW387" i="9"/>
  <c r="AX387" i="9" s="1"/>
  <c r="AW131" i="10"/>
  <c r="AW131" i="9"/>
  <c r="AX131" i="9" s="1"/>
  <c r="AW210" i="10"/>
  <c r="AW210" i="9"/>
  <c r="AX210" i="9" s="1"/>
  <c r="AW123" i="10"/>
  <c r="AW123" i="9"/>
  <c r="AX123" i="9" s="1"/>
  <c r="AW395" i="10"/>
  <c r="AW395" i="9"/>
  <c r="AX395" i="9" s="1"/>
  <c r="AW248" i="10"/>
  <c r="AW248" i="9"/>
  <c r="AX248" i="9" s="1"/>
  <c r="AW165" i="10"/>
  <c r="AW165" i="9"/>
  <c r="AX165" i="9" s="1"/>
  <c r="AW375" i="10"/>
  <c r="AW375" i="9"/>
  <c r="AX375" i="9" s="1"/>
  <c r="AW351" i="10"/>
  <c r="AW351" i="9"/>
  <c r="AX351" i="9" s="1"/>
  <c r="AW223" i="10"/>
  <c r="AW223" i="9"/>
  <c r="AX223" i="9" s="1"/>
  <c r="AW87" i="10"/>
  <c r="AW87" i="9"/>
  <c r="AX87" i="9" s="1"/>
  <c r="AW138" i="10"/>
  <c r="AW138" i="9"/>
  <c r="AX138" i="9" s="1"/>
  <c r="AW245" i="10"/>
  <c r="AW245" i="9"/>
  <c r="AX245" i="9" s="1"/>
  <c r="AW92" i="10"/>
  <c r="AW92" i="9"/>
  <c r="AX92" i="9" s="1"/>
  <c r="AW6" i="10"/>
  <c r="AW6" i="9"/>
  <c r="AX6" i="9" s="1"/>
  <c r="AW198" i="10"/>
  <c r="AW198" i="9"/>
  <c r="AX198" i="9" s="1"/>
  <c r="AW205" i="10"/>
  <c r="AW205" i="9"/>
  <c r="AX205" i="9" s="1"/>
  <c r="AW292" i="10"/>
  <c r="AW292" i="9"/>
  <c r="AX292" i="9" s="1"/>
  <c r="AW36" i="10"/>
  <c r="AW36" i="9"/>
  <c r="AX36" i="9" s="1"/>
  <c r="AW371" i="10"/>
  <c r="AW371" i="9"/>
  <c r="AX371" i="9" s="1"/>
  <c r="AW115" i="10"/>
  <c r="AW115" i="9"/>
  <c r="AX115" i="9" s="1"/>
  <c r="AW194" i="10"/>
  <c r="AW194" i="9"/>
  <c r="AX194" i="9" s="1"/>
  <c r="AW152" i="10"/>
  <c r="AW152" i="9"/>
  <c r="AX152" i="9" s="1"/>
  <c r="AW272" i="10"/>
  <c r="AW272" i="9"/>
  <c r="AX272" i="9" s="1"/>
  <c r="AW317" i="10"/>
  <c r="AW317" i="9"/>
  <c r="AX317" i="9" s="1"/>
  <c r="AW350" i="10"/>
  <c r="AW350" i="9"/>
  <c r="AX350" i="9" s="1"/>
  <c r="AW367" i="10"/>
  <c r="AW367" i="9"/>
  <c r="AX367" i="9" s="1"/>
  <c r="AW236" i="10"/>
  <c r="AW236" i="9"/>
  <c r="AX236" i="9" s="1"/>
  <c r="AW88" i="10"/>
  <c r="AW88" i="9"/>
  <c r="AX88" i="9" s="1"/>
  <c r="AW128" i="10"/>
  <c r="AW128" i="9"/>
  <c r="AX128" i="9" s="1"/>
  <c r="AW316" i="10"/>
  <c r="AW316" i="9"/>
  <c r="AX316" i="9" s="1"/>
  <c r="AW118" i="10"/>
  <c r="AW118" i="9"/>
  <c r="AX118" i="9" s="1"/>
  <c r="AW222" i="10"/>
  <c r="AW222" i="9"/>
  <c r="AX222" i="9" s="1"/>
  <c r="AW406" i="10"/>
  <c r="AW406" i="9"/>
  <c r="AX406" i="9" s="1"/>
  <c r="AW72" i="10"/>
  <c r="AW72" i="9"/>
  <c r="AX72" i="9" s="1"/>
  <c r="AW175" i="10"/>
  <c r="AW175" i="9"/>
  <c r="AX175" i="9" s="1"/>
  <c r="AW189" i="10"/>
  <c r="AW189" i="9"/>
  <c r="AX189" i="9" s="1"/>
  <c r="AW276" i="10"/>
  <c r="AW276" i="9"/>
  <c r="AX276" i="9" s="1"/>
  <c r="AW20" i="10"/>
  <c r="AW20" i="9"/>
  <c r="AX20" i="9" s="1"/>
  <c r="AW355" i="10"/>
  <c r="AW355" i="9"/>
  <c r="AX355" i="9" s="1"/>
  <c r="AW99" i="10"/>
  <c r="AW99" i="9"/>
  <c r="AX99" i="9" s="1"/>
  <c r="AW178" i="10"/>
  <c r="AW178" i="9"/>
  <c r="AX178" i="9" s="1"/>
  <c r="AW186" i="10"/>
  <c r="AW186" i="9"/>
  <c r="AX186" i="9" s="1"/>
  <c r="AW298" i="10"/>
  <c r="AW298" i="9"/>
  <c r="AX298" i="9" s="1"/>
  <c r="AW326" i="10"/>
  <c r="AW326" i="9"/>
  <c r="AX326" i="9" s="1"/>
  <c r="AW368" i="10"/>
  <c r="AW368" i="9"/>
  <c r="AX368" i="9" s="1"/>
  <c r="AW238" i="10"/>
  <c r="AW238" i="9"/>
  <c r="AX238" i="9" s="1"/>
  <c r="AW101" i="10"/>
  <c r="AW101" i="9"/>
  <c r="AX101" i="9" s="1"/>
  <c r="AW294" i="10"/>
  <c r="AW294" i="9"/>
  <c r="AX294" i="9" s="1"/>
  <c r="AW151" i="10"/>
  <c r="AW151" i="9"/>
  <c r="AX151" i="9" s="1"/>
  <c r="AW32" i="10"/>
  <c r="AW32" i="9"/>
  <c r="AX32" i="9" s="1"/>
  <c r="AW341" i="10"/>
  <c r="AW341" i="9"/>
  <c r="AX341" i="9" s="1"/>
  <c r="AW95" i="10"/>
  <c r="AW95" i="9"/>
  <c r="AX95" i="9" s="1"/>
  <c r="AW201" i="10"/>
  <c r="AW201" i="9"/>
  <c r="AX201" i="9" s="1"/>
  <c r="AW384" i="10"/>
  <c r="AW384" i="9"/>
  <c r="AX384" i="9" s="1"/>
  <c r="AW49" i="10"/>
  <c r="AW49" i="9"/>
  <c r="AX49" i="9" s="1"/>
  <c r="AW154" i="10"/>
  <c r="AW154" i="9"/>
  <c r="AX154" i="9" s="1"/>
  <c r="AW173" i="10"/>
  <c r="AW173" i="9"/>
  <c r="AX173" i="9" s="1"/>
  <c r="AW260" i="10"/>
  <c r="AW260" i="9"/>
  <c r="AX260" i="9" s="1"/>
  <c r="AW4" i="10"/>
  <c r="AW4" i="9"/>
  <c r="AX4" i="9" s="1"/>
  <c r="AW339" i="10"/>
  <c r="AW339" i="9"/>
  <c r="AX339" i="9" s="1"/>
  <c r="AW83" i="10"/>
  <c r="AW83" i="9"/>
  <c r="AX83" i="9" s="1"/>
  <c r="AW162" i="10"/>
  <c r="AW162" i="9"/>
  <c r="AX162" i="9" s="1"/>
  <c r="AW214" i="10"/>
  <c r="AW214" i="9"/>
  <c r="AX214" i="9" s="1"/>
  <c r="AW33" i="10"/>
  <c r="AW33" i="9"/>
  <c r="AX33" i="9" s="1"/>
  <c r="AW321" i="10"/>
  <c r="AW321" i="9"/>
  <c r="AX321" i="9" s="1"/>
  <c r="AW299" i="10"/>
  <c r="AW299" i="9"/>
  <c r="AX299" i="9" s="1"/>
  <c r="AW376" i="10"/>
  <c r="AW376" i="9"/>
  <c r="AX376" i="9" s="1"/>
  <c r="AW250" i="10"/>
  <c r="AW250" i="9"/>
  <c r="AX250" i="9" s="1"/>
  <c r="AW102" i="10"/>
  <c r="AW102" i="9"/>
  <c r="AX102" i="9" s="1"/>
  <c r="AW300" i="10"/>
  <c r="AW300" i="9"/>
  <c r="AX300" i="9" s="1"/>
  <c r="AW181" i="10"/>
  <c r="AW181" i="9"/>
  <c r="AX181" i="9" s="1"/>
  <c r="AW365" i="10"/>
  <c r="AW365" i="9"/>
  <c r="AX365" i="9" s="1"/>
  <c r="AW28" i="10"/>
  <c r="AW28" i="9"/>
  <c r="AX28" i="9" s="1"/>
  <c r="AW134" i="10"/>
  <c r="AW134" i="9"/>
  <c r="AX134" i="9" s="1"/>
  <c r="AW157" i="10"/>
  <c r="AW157" i="9"/>
  <c r="AX157" i="9" s="1"/>
  <c r="AW244" i="10"/>
  <c r="AW244" i="9"/>
  <c r="AX244" i="9" s="1"/>
  <c r="AW323" i="10"/>
  <c r="AW323" i="9"/>
  <c r="AX323" i="9" s="1"/>
  <c r="AW67" i="10"/>
  <c r="AW67" i="9"/>
  <c r="AX67" i="9" s="1"/>
  <c r="AW402" i="10"/>
  <c r="AW402" i="9"/>
  <c r="AX402" i="9" s="1"/>
  <c r="AW146" i="10"/>
  <c r="AW146" i="9"/>
  <c r="AX146" i="9" s="1"/>
  <c r="AW246" i="10"/>
  <c r="AW246" i="9"/>
  <c r="AX246" i="9" s="1"/>
  <c r="AW62" i="10"/>
  <c r="AW62" i="9"/>
  <c r="AX62" i="9" s="1"/>
  <c r="AW349" i="10"/>
  <c r="AW349" i="9"/>
  <c r="AX349" i="9" s="1"/>
  <c r="AW273" i="10"/>
  <c r="AW273" i="9"/>
  <c r="AX273" i="9" s="1"/>
  <c r="AW392" i="10"/>
  <c r="AW392" i="9"/>
  <c r="AX392" i="9" s="1"/>
  <c r="AW267" i="10"/>
  <c r="AW267" i="9"/>
  <c r="AX267" i="9" s="1"/>
  <c r="AW150" i="10"/>
  <c r="AW150" i="9"/>
  <c r="AX150" i="9" s="1"/>
  <c r="AW25" i="10"/>
  <c r="AW25" i="9"/>
  <c r="AX25" i="9" s="1"/>
  <c r="AW192" i="10"/>
  <c r="AW192" i="9"/>
  <c r="AX192" i="9" s="1"/>
  <c r="AW254" i="10"/>
  <c r="AW254" i="9"/>
  <c r="AX254" i="9" s="1"/>
  <c r="AW43" i="10"/>
  <c r="AW43" i="9"/>
  <c r="AX43" i="9" s="1"/>
  <c r="AW312" i="10"/>
  <c r="AW312" i="9"/>
  <c r="AX312" i="9" s="1"/>
  <c r="AW108" i="10"/>
  <c r="AW108" i="9"/>
  <c r="AX108" i="9" s="1"/>
  <c r="AW361" i="10"/>
  <c r="AW361" i="9"/>
  <c r="AX361" i="9" s="1"/>
  <c r="AW174" i="10"/>
  <c r="AW174" i="9"/>
  <c r="AX174" i="9" s="1"/>
  <c r="AW31" i="10"/>
  <c r="AW31" i="9"/>
  <c r="AX31" i="9" s="1"/>
  <c r="AW137" i="10"/>
  <c r="AW137" i="9"/>
  <c r="AX137" i="9" s="1"/>
  <c r="AW327" i="10"/>
  <c r="AW327" i="9"/>
  <c r="AX327" i="9" s="1"/>
  <c r="AW240" i="10"/>
  <c r="AW240" i="9"/>
  <c r="AX240" i="9" s="1"/>
  <c r="AW90" i="10"/>
  <c r="AW90" i="9"/>
  <c r="AX90" i="9" s="1"/>
  <c r="AW125" i="10"/>
  <c r="AW125" i="9"/>
  <c r="AX125" i="9" s="1"/>
  <c r="AW212" i="10"/>
  <c r="AW212" i="9"/>
  <c r="AX212" i="9" s="1"/>
  <c r="AW291" i="10"/>
  <c r="AW291" i="9"/>
  <c r="AX291" i="9" s="1"/>
  <c r="AW35" i="10"/>
  <c r="AW35" i="9"/>
  <c r="AX35" i="9" s="1"/>
  <c r="AW370" i="10"/>
  <c r="AW370" i="9"/>
  <c r="AX370" i="9" s="1"/>
  <c r="AW114" i="10"/>
  <c r="AW114" i="9"/>
  <c r="AX114" i="9" s="1"/>
  <c r="AW296" i="10"/>
  <c r="AW296" i="9"/>
  <c r="AX296" i="9" s="1"/>
  <c r="AW124" i="10"/>
  <c r="AW124" i="9"/>
  <c r="AX124" i="9" s="1"/>
  <c r="AW396" i="10"/>
  <c r="AW396" i="9"/>
  <c r="AX396" i="9" s="1"/>
  <c r="AW217" i="10"/>
  <c r="AW217" i="9"/>
  <c r="AX217" i="9" s="1"/>
  <c r="AW334" i="10"/>
  <c r="AW334" i="9"/>
  <c r="AX334" i="9" s="1"/>
  <c r="AW143" i="10"/>
  <c r="AW143" i="9"/>
  <c r="AX143" i="9" s="1"/>
  <c r="AW389" i="10"/>
  <c r="AW389" i="9"/>
  <c r="AX389" i="9" s="1"/>
  <c r="AW207" i="10"/>
  <c r="AW207" i="9"/>
  <c r="AX207" i="9" s="1"/>
  <c r="AW10" i="10"/>
  <c r="AW10" i="9"/>
  <c r="AX10" i="9" s="1"/>
  <c r="AW117" i="10"/>
  <c r="AW117" i="9"/>
  <c r="AX117" i="9" s="1"/>
  <c r="AW305" i="10"/>
  <c r="AW305" i="9"/>
  <c r="AX305" i="9" s="1"/>
  <c r="AW219" i="10"/>
  <c r="AW219" i="9"/>
  <c r="AX219" i="9" s="1"/>
  <c r="AW401" i="10"/>
  <c r="AW401" i="9"/>
  <c r="AX401" i="9" s="1"/>
  <c r="AW70" i="10"/>
  <c r="AW70" i="9"/>
  <c r="AX70" i="9" s="1"/>
  <c r="AW109" i="10"/>
  <c r="AW109" i="9"/>
  <c r="AX109" i="9" s="1"/>
  <c r="AW196" i="10"/>
  <c r="AW196" i="9"/>
  <c r="AX196" i="9" s="1"/>
  <c r="AW275" i="10"/>
  <c r="AW275" i="9"/>
  <c r="AX275" i="9" s="1"/>
  <c r="AW19" i="10"/>
  <c r="AW19" i="9"/>
  <c r="AX19" i="9" s="1"/>
  <c r="AW354" i="10"/>
  <c r="AW354" i="9"/>
  <c r="AX354" i="9" s="1"/>
  <c r="AW98" i="10"/>
  <c r="AW98" i="9"/>
  <c r="AX98" i="9" s="1"/>
  <c r="AW319" i="10"/>
  <c r="AW319" i="9"/>
  <c r="AX319" i="9" s="1"/>
  <c r="AW153" i="10"/>
  <c r="AW153" i="9"/>
  <c r="AX153" i="9" s="1"/>
  <c r="AW190" i="10"/>
  <c r="AW190" i="9"/>
  <c r="AX190" i="9" s="1"/>
  <c r="AW359" i="10"/>
  <c r="AW359" i="9"/>
  <c r="AX359" i="9" s="1"/>
  <c r="AW171" i="10"/>
  <c r="AW171" i="9"/>
  <c r="AX171" i="9" s="1"/>
  <c r="AW411" i="10"/>
  <c r="AW411" i="9"/>
  <c r="AX411" i="9" s="1"/>
  <c r="AW234" i="10"/>
  <c r="AW234" i="9"/>
  <c r="AX234" i="9" s="1"/>
  <c r="AW23" i="10"/>
  <c r="AW23" i="9"/>
  <c r="AX23" i="9" s="1"/>
  <c r="AW94" i="10"/>
  <c r="AW94" i="9"/>
  <c r="AX94" i="9" s="1"/>
  <c r="AW284" i="10"/>
  <c r="AW284" i="9"/>
  <c r="AX284" i="9" s="1"/>
  <c r="AW199" i="10"/>
  <c r="AW199" i="9"/>
  <c r="AX199" i="9" s="1"/>
  <c r="AW382" i="10"/>
  <c r="AW382" i="9"/>
  <c r="AX382" i="9" s="1"/>
  <c r="AW47" i="10"/>
  <c r="AW47" i="9"/>
  <c r="AX47" i="9" s="1"/>
  <c r="AW93" i="10"/>
  <c r="AW93" i="9"/>
  <c r="AX93" i="9" s="1"/>
  <c r="AW180" i="10"/>
  <c r="AW180" i="9"/>
  <c r="AX180" i="9" s="1"/>
  <c r="AW259" i="10"/>
  <c r="AW259" i="9"/>
  <c r="AX259" i="9" s="1"/>
  <c r="AW3" i="10"/>
  <c r="AW3" i="9"/>
  <c r="AX3" i="9" s="1"/>
  <c r="AW338" i="10"/>
  <c r="AW338" i="9"/>
  <c r="AX338" i="9" s="1"/>
  <c r="AW82" i="10"/>
  <c r="AW82" i="9"/>
  <c r="AX82" i="9" s="1"/>
  <c r="AW345" i="10"/>
  <c r="AW345" i="9"/>
  <c r="AX345" i="9" s="1"/>
  <c r="AW187" i="10"/>
  <c r="AW187" i="9"/>
  <c r="AX187" i="9" s="1"/>
  <c r="AW161" i="10"/>
  <c r="AW161" i="9"/>
  <c r="AX161" i="9" s="1"/>
  <c r="AW263" i="10"/>
  <c r="AW263" i="9"/>
  <c r="AX263" i="9" s="1"/>
  <c r="AW57" i="10"/>
  <c r="AW57" i="9"/>
  <c r="AX57" i="9" s="1"/>
  <c r="AW407" i="10"/>
  <c r="AW407" i="9"/>
  <c r="AX407" i="9" s="1"/>
  <c r="AW73" i="10"/>
  <c r="AW73" i="9"/>
  <c r="AX73" i="9" s="1"/>
  <c r="AW264" i="10"/>
  <c r="AW264" i="9"/>
  <c r="AX264" i="9" s="1"/>
  <c r="AW176" i="10"/>
  <c r="AW176" i="9"/>
  <c r="AX176" i="9" s="1"/>
  <c r="AW363" i="10"/>
  <c r="AW363" i="9"/>
  <c r="AX363" i="9" s="1"/>
  <c r="AW26" i="10"/>
  <c r="AW26" i="9"/>
  <c r="AX26" i="9" s="1"/>
  <c r="AW77" i="10"/>
  <c r="AW77" i="9"/>
  <c r="AX77" i="9" s="1"/>
  <c r="AW164" i="10"/>
  <c r="AW164" i="9"/>
  <c r="AX164" i="9" s="1"/>
  <c r="AW243" i="10"/>
  <c r="AW243" i="9"/>
  <c r="AX243" i="9" s="1"/>
  <c r="AW322" i="10"/>
  <c r="AW322" i="9"/>
  <c r="AX322" i="9" s="1"/>
  <c r="AW66" i="10"/>
  <c r="AW66" i="9"/>
  <c r="AX66" i="9" s="1"/>
  <c r="AW369" i="10"/>
  <c r="AW369" i="9"/>
  <c r="AX369" i="9" s="1"/>
  <c r="AW215" i="10"/>
  <c r="AW215" i="9"/>
  <c r="AX215" i="9" s="1"/>
  <c r="AW37" i="10"/>
  <c r="AW37" i="9"/>
  <c r="AX37" i="9" s="1"/>
  <c r="AW127" i="10"/>
  <c r="AW127" i="9"/>
  <c r="AX127" i="9" s="1"/>
  <c r="AW121" i="10"/>
  <c r="AW121" i="9"/>
  <c r="AX121" i="9" s="1"/>
  <c r="AW289" i="10"/>
  <c r="AW289" i="9"/>
  <c r="AX289" i="9" s="1"/>
  <c r="AW86" i="10"/>
  <c r="AW86" i="9"/>
  <c r="AX86" i="9" s="1"/>
  <c r="AW385" i="10"/>
  <c r="AW385" i="9"/>
  <c r="AX385" i="9" s="1"/>
  <c r="AW53" i="10"/>
  <c r="AW53" i="9"/>
  <c r="AX53" i="9" s="1"/>
  <c r="AW241" i="10"/>
  <c r="AW241" i="9"/>
  <c r="AX241" i="9" s="1"/>
  <c r="AW155" i="10"/>
  <c r="AW155" i="9"/>
  <c r="AX155" i="9" s="1"/>
  <c r="AW344" i="10"/>
  <c r="AW344" i="9"/>
  <c r="AX344" i="9" s="1"/>
  <c r="AW5" i="10"/>
  <c r="AW5" i="9"/>
  <c r="AX5" i="9" s="1"/>
  <c r="AW61" i="10"/>
  <c r="AW61" i="9"/>
  <c r="AX61" i="9" s="1"/>
  <c r="AW404" i="10"/>
  <c r="AW404" i="9"/>
  <c r="AX404" i="9" s="1"/>
  <c r="AW148" i="10"/>
  <c r="AW148" i="9"/>
  <c r="AX148" i="9" s="1"/>
  <c r="AW227" i="10"/>
  <c r="AW227" i="9"/>
  <c r="AX227" i="9" s="1"/>
  <c r="AW306" i="10"/>
  <c r="AW306" i="9"/>
  <c r="AX306" i="9" s="1"/>
  <c r="AW50" i="10"/>
  <c r="AW50" i="9"/>
  <c r="AX50" i="9" s="1"/>
  <c r="AW394" i="10"/>
  <c r="AW394" i="9"/>
  <c r="AX394" i="9" s="1"/>
  <c r="AW247" i="10"/>
  <c r="AW247" i="9"/>
  <c r="AX247" i="9" s="1"/>
  <c r="AW63" i="10"/>
  <c r="AW63" i="9"/>
  <c r="AX63" i="9" s="1"/>
  <c r="AW38" i="10"/>
  <c r="AW38" i="9"/>
  <c r="AX38" i="9" s="1"/>
  <c r="AW268" i="10"/>
  <c r="AW268" i="9"/>
  <c r="AX268" i="9" s="1"/>
  <c r="AW122" i="10"/>
  <c r="AW122" i="9"/>
  <c r="AX122" i="9" s="1"/>
  <c r="AW120" i="10"/>
  <c r="AW120" i="9"/>
  <c r="AX120" i="9" s="1"/>
  <c r="AW366" i="10"/>
  <c r="AW366" i="9"/>
  <c r="AX366" i="9" s="1"/>
  <c r="AW30" i="10"/>
  <c r="AW30" i="9"/>
  <c r="AX30" i="9" s="1"/>
  <c r="AW220" i="10"/>
  <c r="AW220" i="9"/>
  <c r="AX220" i="9" s="1"/>
  <c r="AW135" i="10"/>
  <c r="AW135" i="9"/>
  <c r="AX135" i="9" s="1"/>
  <c r="AW325" i="10"/>
  <c r="AW325" i="9"/>
  <c r="AX325" i="9" s="1"/>
  <c r="AW301" i="10"/>
  <c r="AW301" i="9"/>
  <c r="AX301" i="9" s="1"/>
  <c r="AW45" i="10"/>
  <c r="AW45" i="9"/>
  <c r="AX45" i="9" s="1"/>
  <c r="AW388" i="10"/>
  <c r="AW388" i="9"/>
  <c r="AX388" i="9" s="1"/>
  <c r="AW132" i="10"/>
  <c r="AW132" i="9"/>
  <c r="AX132" i="9" s="1"/>
  <c r="AW211" i="10"/>
  <c r="AW211" i="9"/>
  <c r="AX211" i="9" s="1"/>
  <c r="AW290" i="10"/>
  <c r="AW290" i="9"/>
  <c r="AX290" i="9" s="1"/>
  <c r="AW34" i="10"/>
  <c r="AW34" i="9"/>
  <c r="AX34" i="9" s="1"/>
  <c r="AW271" i="10"/>
  <c r="AW271" i="9"/>
  <c r="AX271" i="9" s="1"/>
  <c r="AW97" i="10"/>
  <c r="AW97" i="9"/>
  <c r="AX97" i="9" s="1"/>
  <c r="AW184" i="10"/>
  <c r="AW184" i="9"/>
  <c r="AX184" i="9" s="1"/>
  <c r="AW39" i="10"/>
  <c r="AW39" i="9"/>
  <c r="AX39" i="9" s="1"/>
  <c r="AW397" i="10"/>
  <c r="AW397" i="9"/>
  <c r="AX397" i="9" s="1"/>
  <c r="AW277" i="10"/>
  <c r="AW277" i="9"/>
  <c r="AX277" i="9" s="1"/>
  <c r="AW295" i="10"/>
  <c r="AW295" i="9"/>
  <c r="AX295" i="9" s="1"/>
  <c r="AW149" i="10"/>
  <c r="AW149" i="9"/>
  <c r="AX149" i="9" s="1"/>
  <c r="AW347" i="10"/>
  <c r="AW347" i="9"/>
  <c r="AX347" i="9" s="1"/>
  <c r="AW9" i="10"/>
  <c r="AW9" i="9"/>
  <c r="AX9" i="9" s="1"/>
  <c r="AW200" i="10"/>
  <c r="AW200" i="9"/>
  <c r="AX200" i="9" s="1"/>
  <c r="AW112" i="10"/>
  <c r="AW112" i="9"/>
  <c r="AX112" i="9" s="1"/>
  <c r="AW303" i="10"/>
  <c r="AW303" i="9"/>
  <c r="AX303" i="9" s="1"/>
  <c r="AW285" i="10"/>
  <c r="AW285" i="9"/>
  <c r="AX285" i="9" s="1"/>
  <c r="AW29" i="10"/>
  <c r="AW29" i="9"/>
  <c r="AX29" i="9" s="1"/>
  <c r="AW372" i="10"/>
  <c r="AW372" i="9"/>
  <c r="AX372" i="9" s="1"/>
  <c r="AW116" i="10"/>
  <c r="AW116" i="9"/>
  <c r="AX116" i="9" s="1"/>
  <c r="AW195" i="10"/>
  <c r="AW195" i="9"/>
  <c r="AX195" i="9" s="1"/>
  <c r="AW274" i="10"/>
  <c r="AW274" i="9"/>
  <c r="AX274" i="9" s="1"/>
  <c r="AW18" i="10"/>
  <c r="AW18" i="9"/>
  <c r="AX18" i="9" s="1"/>
  <c r="AW297" i="10"/>
  <c r="AW297" i="9"/>
  <c r="AX297" i="9" s="1"/>
  <c r="AW126" i="10"/>
  <c r="AW126" i="9"/>
  <c r="AX126" i="9" s="1"/>
  <c r="AW318" i="10"/>
  <c r="AW318" i="9"/>
  <c r="AX318" i="9" s="1"/>
  <c r="AW185" i="10"/>
  <c r="AW185" i="9"/>
  <c r="AX185" i="9" s="1"/>
  <c r="AW58" i="10"/>
  <c r="AW58" i="9"/>
  <c r="AX58" i="9" s="1"/>
  <c r="AW398" i="10"/>
  <c r="AW398" i="9"/>
  <c r="AX398" i="9" s="1"/>
  <c r="AW110" i="10"/>
  <c r="AW110" i="9"/>
  <c r="AX110" i="9" s="1"/>
  <c r="AW362" i="10"/>
  <c r="AW362" i="9"/>
  <c r="AX362" i="9" s="1"/>
  <c r="AW183" i="10"/>
  <c r="AW183" i="9"/>
  <c r="AX183" i="9" s="1"/>
  <c r="AW328" i="10"/>
  <c r="AW328" i="9"/>
  <c r="AX328" i="9" s="1"/>
  <c r="AW177" i="10"/>
  <c r="AW177" i="9"/>
  <c r="AX177" i="9" s="1"/>
  <c r="AW91" i="10"/>
  <c r="AW91" i="9"/>
  <c r="AX91" i="9" s="1"/>
  <c r="AW282" i="10"/>
  <c r="AW282" i="9"/>
  <c r="AX282" i="9" s="1"/>
  <c r="AW269" i="10"/>
  <c r="AW269" i="9"/>
  <c r="AX269" i="9" s="1"/>
  <c r="AW13" i="10"/>
  <c r="AW13" i="9"/>
  <c r="AX13" i="9" s="1"/>
  <c r="AW356" i="10"/>
  <c r="AW356" i="9"/>
  <c r="AX356" i="9" s="1"/>
  <c r="AW100" i="10"/>
  <c r="AW100" i="9"/>
  <c r="AX100" i="9" s="1"/>
  <c r="AW179" i="10"/>
  <c r="AW179" i="9"/>
  <c r="AX179" i="9" s="1"/>
  <c r="AW258" i="10"/>
  <c r="AW258" i="9"/>
  <c r="AX258" i="9" s="1"/>
  <c r="AW2" i="10"/>
  <c r="AW2" i="9"/>
  <c r="AX2" i="9" s="1"/>
  <c r="AW320" i="10"/>
  <c r="AW320" i="9"/>
  <c r="AX320" i="9" s="1"/>
  <c r="AW160" i="10"/>
  <c r="AW160" i="9"/>
  <c r="AX160" i="9" s="1"/>
  <c r="AW329" i="10"/>
  <c r="AW329" i="9"/>
  <c r="AX329" i="9" s="1"/>
  <c r="AW191" i="10"/>
  <c r="AW191" i="9"/>
  <c r="AX191" i="9" s="1"/>
  <c r="AW59" i="10"/>
  <c r="AW59" i="9"/>
  <c r="AX59" i="9" s="1"/>
  <c r="AW208" i="10"/>
  <c r="AW208" i="9"/>
  <c r="AX208" i="9" s="1"/>
  <c r="AW309" i="10"/>
  <c r="AW309" i="9"/>
  <c r="AX309" i="9" s="1"/>
  <c r="AW156" i="10"/>
  <c r="AW156" i="9"/>
  <c r="AX156" i="9" s="1"/>
  <c r="AW71" i="10"/>
  <c r="AW71" i="9"/>
  <c r="AX71" i="9" s="1"/>
  <c r="AW262" i="10"/>
  <c r="AW262" i="9"/>
  <c r="AX262" i="9" s="1"/>
  <c r="AW253" i="10"/>
  <c r="AW253" i="9"/>
  <c r="AX253" i="9" s="1"/>
  <c r="AW8" i="10"/>
  <c r="AW8" i="9"/>
  <c r="AX8" i="9" s="1"/>
  <c r="AW340" i="10"/>
  <c r="AW340" i="9"/>
  <c r="AX340" i="9" s="1"/>
  <c r="AW84" i="10"/>
  <c r="AW84" i="9"/>
  <c r="AX84" i="9" s="1"/>
  <c r="AW163" i="10"/>
  <c r="AW163" i="9"/>
  <c r="AX163" i="9" s="1"/>
  <c r="AW242" i="10"/>
  <c r="AW242" i="9"/>
  <c r="AX242" i="9" s="1"/>
  <c r="AW60" i="10"/>
  <c r="AW60" i="9"/>
  <c r="AX60" i="9" s="1"/>
  <c r="AW348" i="10"/>
  <c r="AW348" i="9"/>
  <c r="AX348" i="9" s="1"/>
  <c r="AW188" i="10"/>
  <c r="AW188" i="9"/>
  <c r="AX188" i="9" s="1"/>
  <c r="AW342" i="10"/>
  <c r="AW342" i="9"/>
  <c r="AX342" i="9" s="1"/>
  <c r="AW209" i="10"/>
  <c r="AW209" i="9"/>
  <c r="AX209" i="9" s="1"/>
  <c r="AW64" i="10"/>
  <c r="AW64" i="9"/>
  <c r="AX64" i="9" s="1"/>
  <c r="AS434" i="10"/>
  <c r="AX434" i="10" s="1"/>
  <c r="AY434" i="10" s="1"/>
  <c r="AS450" i="10"/>
  <c r="AX450" i="10" s="1"/>
  <c r="AY450" i="10" s="1"/>
  <c r="AS466" i="10"/>
  <c r="AX466" i="10" s="1"/>
  <c r="AY466" i="10" s="1"/>
  <c r="AS482" i="10"/>
  <c r="AS498" i="10"/>
  <c r="AX498" i="10" s="1"/>
  <c r="AY498" i="10" s="1"/>
  <c r="AS514" i="10"/>
  <c r="AX514" i="10" s="1"/>
  <c r="AY514" i="10" s="1"/>
  <c r="AS530" i="10"/>
  <c r="AX530" i="10" s="1"/>
  <c r="AY530" i="10" s="1"/>
  <c r="AS546" i="10"/>
  <c r="AX546" i="10" s="1"/>
  <c r="AY546" i="10" s="1"/>
  <c r="AS578" i="10"/>
  <c r="AX578" i="10" s="1"/>
  <c r="AY578" i="10" s="1"/>
  <c r="AS594" i="10"/>
  <c r="AX594" i="10" s="1"/>
  <c r="AY594" i="10" s="1"/>
  <c r="AS610" i="10"/>
  <c r="AX610" i="10" s="1"/>
  <c r="AY610" i="10" s="1"/>
  <c r="AS626" i="10"/>
  <c r="AX626" i="10" s="1"/>
  <c r="AY626" i="10" s="1"/>
  <c r="AS642" i="10"/>
  <c r="AX642" i="10" s="1"/>
  <c r="AY642" i="10" s="1"/>
  <c r="AS690" i="10"/>
  <c r="AX690" i="10" s="1"/>
  <c r="AY690" i="10" s="1"/>
  <c r="AS706" i="10"/>
  <c r="AX706" i="10" s="1"/>
  <c r="AY706" i="10" s="1"/>
  <c r="AS722" i="10"/>
  <c r="AX722" i="10" s="1"/>
  <c r="AY722" i="10" s="1"/>
  <c r="AS754" i="10"/>
  <c r="AX754" i="10" s="1"/>
  <c r="AY754" i="10" s="1"/>
  <c r="AS770" i="10"/>
  <c r="AX770" i="10" s="1"/>
  <c r="AY770" i="10" s="1"/>
  <c r="AS786" i="10"/>
  <c r="AX786" i="10" s="1"/>
  <c r="AY786" i="10" s="1"/>
  <c r="AS818" i="10"/>
  <c r="AS834" i="10"/>
  <c r="AX834" i="10" s="1"/>
  <c r="AY834" i="10" s="1"/>
  <c r="AS850" i="10"/>
  <c r="AX850" i="10" s="1"/>
  <c r="AY850" i="10" s="1"/>
  <c r="AS882" i="10"/>
  <c r="AX882" i="10" s="1"/>
  <c r="AY882" i="10" s="1"/>
  <c r="AS898" i="10"/>
  <c r="AX898" i="10" s="1"/>
  <c r="AY898" i="10" s="1"/>
  <c r="AS1058" i="10"/>
  <c r="AX1058" i="10" s="1"/>
  <c r="AY1058" i="10" s="1"/>
  <c r="AS1090" i="10"/>
  <c r="AX1090" i="10" s="1"/>
  <c r="AY1090" i="10" s="1"/>
  <c r="AS435" i="10"/>
  <c r="AX435" i="10" s="1"/>
  <c r="AY435" i="10" s="1"/>
  <c r="AS467" i="10"/>
  <c r="AX467" i="10" s="1"/>
  <c r="AY467" i="10" s="1"/>
  <c r="AS531" i="10"/>
  <c r="AX531" i="10" s="1"/>
  <c r="AY531" i="10" s="1"/>
  <c r="AS563" i="10"/>
  <c r="AX563" i="10" s="1"/>
  <c r="AY563" i="10" s="1"/>
  <c r="AS579" i="10"/>
  <c r="AX579" i="10" s="1"/>
  <c r="AY579" i="10" s="1"/>
  <c r="AS659" i="10"/>
  <c r="AX659" i="10" s="1"/>
  <c r="AY659" i="10" s="1"/>
  <c r="AS787" i="10"/>
  <c r="AX787" i="10" s="1"/>
  <c r="AY787" i="10" s="1"/>
  <c r="AS883" i="10"/>
  <c r="AS963" i="10"/>
  <c r="AX963" i="10" s="1"/>
  <c r="AY963" i="10" s="1"/>
  <c r="AS979" i="10"/>
  <c r="AX979" i="10" s="1"/>
  <c r="AY979" i="10" s="1"/>
  <c r="AS1027" i="10"/>
  <c r="AX1027" i="10" s="1"/>
  <c r="AY1027" i="10" s="1"/>
  <c r="AS1235" i="10"/>
  <c r="AX1235" i="10" s="1"/>
  <c r="AY1235" i="10" s="1"/>
  <c r="AS1299" i="10"/>
  <c r="AX1299" i="10" s="1"/>
  <c r="AY1299" i="10" s="1"/>
  <c r="AS1315" i="10"/>
  <c r="AX1315" i="10" s="1"/>
  <c r="AY1315" i="10" s="1"/>
  <c r="AS1347" i="10"/>
  <c r="AS420" i="10"/>
  <c r="AX420" i="10" s="1"/>
  <c r="AY420" i="10" s="1"/>
  <c r="AS436" i="10"/>
  <c r="AX436" i="10" s="1"/>
  <c r="AY436" i="10" s="1"/>
  <c r="AS452" i="10"/>
  <c r="AX452" i="10" s="1"/>
  <c r="AY452" i="10" s="1"/>
  <c r="AS468" i="10"/>
  <c r="AX468" i="10" s="1"/>
  <c r="AY468" i="10" s="1"/>
  <c r="AS500" i="10"/>
  <c r="AX500" i="10" s="1"/>
  <c r="AY500" i="10" s="1"/>
  <c r="AS516" i="10"/>
  <c r="AX516" i="10" s="1"/>
  <c r="AY516" i="10" s="1"/>
  <c r="AS532" i="10"/>
  <c r="AS548" i="10"/>
  <c r="AX548" i="10" s="1"/>
  <c r="AY548" i="10" s="1"/>
  <c r="AS564" i="10"/>
  <c r="AX564" i="10" s="1"/>
  <c r="AY564" i="10" s="1"/>
  <c r="AS580" i="10"/>
  <c r="AX580" i="10" s="1"/>
  <c r="AY580" i="10" s="1"/>
  <c r="AS596" i="10"/>
  <c r="AX596" i="10" s="1"/>
  <c r="AY596" i="10" s="1"/>
  <c r="AS628" i="10"/>
  <c r="AX628" i="10" s="1"/>
  <c r="AY628" i="10" s="1"/>
  <c r="AS644" i="10"/>
  <c r="AX644" i="10" s="1"/>
  <c r="AY644" i="10" s="1"/>
  <c r="AS660" i="10"/>
  <c r="AX660" i="10" s="1"/>
  <c r="AY660" i="10" s="1"/>
  <c r="AS676" i="10"/>
  <c r="AX676" i="10" s="1"/>
  <c r="AY676" i="10" s="1"/>
  <c r="AS692" i="10"/>
  <c r="AX692" i="10" s="1"/>
  <c r="AY692" i="10" s="1"/>
  <c r="AS708" i="10"/>
  <c r="AX708" i="10" s="1"/>
  <c r="AY708" i="10" s="1"/>
  <c r="AS740" i="10"/>
  <c r="AS756" i="10"/>
  <c r="AX756" i="10" s="1"/>
  <c r="AY756" i="10" s="1"/>
  <c r="AS804" i="10"/>
  <c r="AX804" i="10" s="1"/>
  <c r="AY804" i="10" s="1"/>
  <c r="AS820" i="10"/>
  <c r="AX820" i="10" s="1"/>
  <c r="AY820" i="10" s="1"/>
  <c r="AS884" i="10"/>
  <c r="AX884" i="10" s="1"/>
  <c r="AY884" i="10" s="1"/>
  <c r="AS948" i="10"/>
  <c r="AX948" i="10" s="1"/>
  <c r="AY948" i="10" s="1"/>
  <c r="AS421" i="10"/>
  <c r="AX421" i="10" s="1"/>
  <c r="AY421" i="10" s="1"/>
  <c r="AS453" i="10"/>
  <c r="AX453" i="10" s="1"/>
  <c r="AY453" i="10" s="1"/>
  <c r="AS469" i="10"/>
  <c r="AX469" i="10" s="1"/>
  <c r="AY469" i="10" s="1"/>
  <c r="AS485" i="10"/>
  <c r="AX485" i="10" s="1"/>
  <c r="AY485" i="10" s="1"/>
  <c r="AS501" i="10"/>
  <c r="AX501" i="10" s="1"/>
  <c r="AY501" i="10" s="1"/>
  <c r="AS517" i="10"/>
  <c r="AS533" i="10"/>
  <c r="AX533" i="10" s="1"/>
  <c r="AY533" i="10" s="1"/>
  <c r="AS549" i="10"/>
  <c r="AX549" i="10" s="1"/>
  <c r="AY549" i="10" s="1"/>
  <c r="AS613" i="10"/>
  <c r="AX613" i="10" s="1"/>
  <c r="AY613" i="10" s="1"/>
  <c r="AS629" i="10"/>
  <c r="AX629" i="10" s="1"/>
  <c r="AY629" i="10" s="1"/>
  <c r="AS645" i="10"/>
  <c r="AX645" i="10" s="1"/>
  <c r="AY645" i="10" s="1"/>
  <c r="AS661" i="10"/>
  <c r="AX661" i="10" s="1"/>
  <c r="AY661" i="10" s="1"/>
  <c r="AS677" i="10"/>
  <c r="AS693" i="10"/>
  <c r="AX693" i="10" s="1"/>
  <c r="AY693" i="10" s="1"/>
  <c r="AS709" i="10"/>
  <c r="AX709" i="10" s="1"/>
  <c r="AY709" i="10" s="1"/>
  <c r="AS725" i="10"/>
  <c r="AX725" i="10" s="1"/>
  <c r="AY725" i="10" s="1"/>
  <c r="AS741" i="10"/>
  <c r="AX741" i="10" s="1"/>
  <c r="AY741" i="10" s="1"/>
  <c r="AS773" i="10"/>
  <c r="AX773" i="10" s="1"/>
  <c r="AY773" i="10" s="1"/>
  <c r="AS821" i="10"/>
  <c r="AX821" i="10" s="1"/>
  <c r="AY821" i="10" s="1"/>
  <c r="AS837" i="10"/>
  <c r="AX837" i="10" s="1"/>
  <c r="AY837" i="10" s="1"/>
  <c r="AS853" i="10"/>
  <c r="AS869" i="10"/>
  <c r="AX869" i="10" s="1"/>
  <c r="AY869" i="10" s="1"/>
  <c r="AS885" i="10"/>
  <c r="AX885" i="10" s="1"/>
  <c r="AY885" i="10" s="1"/>
  <c r="AS901" i="10"/>
  <c r="AX901" i="10" s="1"/>
  <c r="AY901" i="10" s="1"/>
  <c r="AS1125" i="10"/>
  <c r="AX1125" i="10" s="1"/>
  <c r="AY1125" i="10" s="1"/>
  <c r="AS440" i="10"/>
  <c r="AS456" i="10"/>
  <c r="AS472" i="10"/>
  <c r="AX472" i="10" s="1"/>
  <c r="AY472" i="10" s="1"/>
  <c r="AS488" i="10"/>
  <c r="AX488" i="10" s="1"/>
  <c r="AY488" i="10" s="1"/>
  <c r="AS504" i="10"/>
  <c r="AX504" i="10" s="1"/>
  <c r="AY504" i="10" s="1"/>
  <c r="AS520" i="10"/>
  <c r="AS536" i="10"/>
  <c r="AX536" i="10" s="1"/>
  <c r="AY536" i="10" s="1"/>
  <c r="AS428" i="10"/>
  <c r="AS444" i="10"/>
  <c r="AX444" i="10" s="1"/>
  <c r="AY444" i="10" s="1"/>
  <c r="AS460" i="10"/>
  <c r="AX460" i="10" s="1"/>
  <c r="AY460" i="10" s="1"/>
  <c r="AS492" i="10"/>
  <c r="AS508" i="10"/>
  <c r="AX508" i="10" s="1"/>
  <c r="AY508" i="10" s="1"/>
  <c r="AS524" i="10"/>
  <c r="AX524" i="10" s="1"/>
  <c r="AY524" i="10" s="1"/>
  <c r="AS540" i="10"/>
  <c r="AX540" i="10" s="1"/>
  <c r="AY540" i="10" s="1"/>
  <c r="AS572" i="10"/>
  <c r="AS588" i="10"/>
  <c r="AX588" i="10" s="1"/>
  <c r="AY588" i="10" s="1"/>
  <c r="AS620" i="10"/>
  <c r="AX620" i="10" s="1"/>
  <c r="AY620" i="10" s="1"/>
  <c r="AS636" i="10"/>
  <c r="AX636" i="10" s="1"/>
  <c r="AY636" i="10" s="1"/>
  <c r="AS652" i="10"/>
  <c r="AX652" i="10" s="1"/>
  <c r="AY652" i="10" s="1"/>
  <c r="AS668" i="10"/>
  <c r="AS684" i="10"/>
  <c r="AX684" i="10" s="1"/>
  <c r="AY684" i="10" s="1"/>
  <c r="AS732" i="10"/>
  <c r="AX732" i="10" s="1"/>
  <c r="AY732" i="10" s="1"/>
  <c r="AS748" i="10"/>
  <c r="AS764" i="10"/>
  <c r="AX764" i="10" s="1"/>
  <c r="AY764" i="10" s="1"/>
  <c r="AS780" i="10"/>
  <c r="AX780" i="10" s="1"/>
  <c r="AY780" i="10" s="1"/>
  <c r="AS796" i="10"/>
  <c r="AX796" i="10" s="1"/>
  <c r="AY796" i="10" s="1"/>
  <c r="AS860" i="10"/>
  <c r="AS876" i="10"/>
  <c r="AX876" i="10" s="1"/>
  <c r="AY876" i="10" s="1"/>
  <c r="AS892" i="10"/>
  <c r="AX892" i="10" s="1"/>
  <c r="AY892" i="10" s="1"/>
  <c r="AS908" i="10"/>
  <c r="AX908" i="10" s="1"/>
  <c r="AY908" i="10" s="1"/>
  <c r="AS924" i="10"/>
  <c r="AS940" i="10"/>
  <c r="AX940" i="10" s="1"/>
  <c r="AY940" i="10" s="1"/>
  <c r="AS988" i="10"/>
  <c r="AX988" i="10" s="1"/>
  <c r="AY988" i="10" s="1"/>
  <c r="AS1004" i="10"/>
  <c r="AS1020" i="10"/>
  <c r="AX1020" i="10" s="1"/>
  <c r="AY1020" i="10" s="1"/>
  <c r="AS1036" i="10"/>
  <c r="AX1036" i="10" s="1"/>
  <c r="AY1036" i="10" s="1"/>
  <c r="AS1308" i="10"/>
  <c r="AX1308" i="10" s="1"/>
  <c r="AY1308" i="10" s="1"/>
  <c r="AS414" i="10"/>
  <c r="AX414" i="10" s="1"/>
  <c r="AY414" i="10" s="1"/>
  <c r="AS491" i="10"/>
  <c r="AX491" i="10" s="1"/>
  <c r="AY491" i="10" s="1"/>
  <c r="AS542" i="10"/>
  <c r="AX542" i="10" s="1"/>
  <c r="AY542" i="10" s="1"/>
  <c r="AS567" i="10"/>
  <c r="AS589" i="10"/>
  <c r="AS657" i="10"/>
  <c r="AX657" i="10" s="1"/>
  <c r="AY657" i="10" s="1"/>
  <c r="AS682" i="10"/>
  <c r="AX682" i="10" s="1"/>
  <c r="AY682" i="10" s="1"/>
  <c r="AS704" i="10"/>
  <c r="AX704" i="10" s="1"/>
  <c r="AY704" i="10" s="1"/>
  <c r="AS729" i="10"/>
  <c r="AX729" i="10" s="1"/>
  <c r="AY729" i="10" s="1"/>
  <c r="AS751" i="10"/>
  <c r="AX751" i="10" s="1"/>
  <c r="AY751" i="10" s="1"/>
  <c r="AS891" i="10"/>
  <c r="AS913" i="10"/>
  <c r="AS938" i="10"/>
  <c r="AX938" i="10" s="1"/>
  <c r="AY938" i="10" s="1"/>
  <c r="AS983" i="10"/>
  <c r="AX983" i="10" s="1"/>
  <c r="AY983" i="10" s="1"/>
  <c r="AS1131" i="10"/>
  <c r="AX1131" i="10" s="1"/>
  <c r="AY1131" i="10" s="1"/>
  <c r="AS415" i="10"/>
  <c r="AX415" i="10" s="1"/>
  <c r="AY415" i="10" s="1"/>
  <c r="AS442" i="10"/>
  <c r="AX442" i="10" s="1"/>
  <c r="AY442" i="10" s="1"/>
  <c r="AS465" i="10"/>
  <c r="AX465" i="10" s="1"/>
  <c r="AY465" i="10" s="1"/>
  <c r="AS519" i="10"/>
  <c r="AS543" i="10"/>
  <c r="AS568" i="10"/>
  <c r="AX568" i="10" s="1"/>
  <c r="AY568" i="10" s="1"/>
  <c r="AS590" i="10"/>
  <c r="AX590" i="10" s="1"/>
  <c r="AY590" i="10" s="1"/>
  <c r="AS615" i="10"/>
  <c r="AX615" i="10" s="1"/>
  <c r="AY615" i="10" s="1"/>
  <c r="AS662" i="10"/>
  <c r="AX662" i="10" s="1"/>
  <c r="AY662" i="10" s="1"/>
  <c r="AS752" i="10"/>
  <c r="AX752" i="10" s="1"/>
  <c r="AY752" i="10" s="1"/>
  <c r="AS846" i="10"/>
  <c r="AX846" i="10" s="1"/>
  <c r="AY846" i="10" s="1"/>
  <c r="AS893" i="10"/>
  <c r="AS918" i="10"/>
  <c r="AS961" i="10"/>
  <c r="AS1025" i="10"/>
  <c r="AX1025" i="10" s="1"/>
  <c r="AY1025" i="10" s="1"/>
  <c r="AS1089" i="10"/>
  <c r="AX1089" i="10" s="1"/>
  <c r="AY1089" i="10" s="1"/>
  <c r="AS1213" i="10"/>
  <c r="AS1252" i="10"/>
  <c r="AS1330" i="10"/>
  <c r="AS470" i="10"/>
  <c r="AX470" i="10" s="1"/>
  <c r="AY470" i="10" s="1"/>
  <c r="AS710" i="10"/>
  <c r="AX710" i="10" s="1"/>
  <c r="AY710" i="10" s="1"/>
  <c r="AS800" i="10"/>
  <c r="AX800" i="10" s="1"/>
  <c r="AY800" i="10" s="1"/>
  <c r="AS894" i="10"/>
  <c r="AS964" i="10"/>
  <c r="AS1194" i="10"/>
  <c r="AX1194" i="10" s="1"/>
  <c r="AY1194" i="10" s="1"/>
  <c r="AS471" i="10"/>
  <c r="AX471" i="10" s="1"/>
  <c r="AY471" i="10" s="1"/>
  <c r="AS495" i="10"/>
  <c r="AX495" i="10" s="1"/>
  <c r="AY495" i="10" s="1"/>
  <c r="AS522" i="10"/>
  <c r="AS545" i="10"/>
  <c r="AS570" i="10"/>
  <c r="AX570" i="10" s="1"/>
  <c r="AY570" i="10" s="1"/>
  <c r="AS592" i="10"/>
  <c r="AS664" i="10"/>
  <c r="AX664" i="10" s="1"/>
  <c r="AY664" i="10" s="1"/>
  <c r="AS686" i="10"/>
  <c r="AX686" i="10" s="1"/>
  <c r="AY686" i="10" s="1"/>
  <c r="AS733" i="10"/>
  <c r="AX733" i="10" s="1"/>
  <c r="AY733" i="10" s="1"/>
  <c r="AS826" i="10"/>
  <c r="AX826" i="10" s="1"/>
  <c r="AY826" i="10" s="1"/>
  <c r="AS848" i="10"/>
  <c r="AX848" i="10" s="1"/>
  <c r="AY848" i="10" s="1"/>
  <c r="AS446" i="10"/>
  <c r="AX446" i="10" s="1"/>
  <c r="AY446" i="10" s="1"/>
  <c r="AS473" i="10"/>
  <c r="AX473" i="10" s="1"/>
  <c r="AY473" i="10" s="1"/>
  <c r="AS593" i="10"/>
  <c r="AS618" i="10"/>
  <c r="AX618" i="10" s="1"/>
  <c r="AY618" i="10" s="1"/>
  <c r="AS640" i="10"/>
  <c r="AS665" i="10"/>
  <c r="AX665" i="10" s="1"/>
  <c r="AY665" i="10" s="1"/>
  <c r="AS687" i="10"/>
  <c r="AX687" i="10" s="1"/>
  <c r="AY687" i="10" s="1"/>
  <c r="AS734" i="10"/>
  <c r="AX734" i="10" s="1"/>
  <c r="AY734" i="10" s="1"/>
  <c r="AS781" i="10"/>
  <c r="AX781" i="10" s="1"/>
  <c r="AY781" i="10" s="1"/>
  <c r="AS827" i="10"/>
  <c r="AX827" i="10" s="1"/>
  <c r="AY827" i="10" s="1"/>
  <c r="AS849" i="10"/>
  <c r="AX849" i="10" s="1"/>
  <c r="AY849" i="10" s="1"/>
  <c r="AS987" i="10"/>
  <c r="AX987" i="10" s="1"/>
  <c r="AY987" i="10" s="1"/>
  <c r="AS1008" i="10"/>
  <c r="AS1072" i="10"/>
  <c r="AX1072" i="10" s="1"/>
  <c r="AY1072" i="10" s="1"/>
  <c r="AS1115" i="10"/>
  <c r="AS1371" i="10"/>
  <c r="AX1371" i="10" s="1"/>
  <c r="AY1371" i="10" s="1"/>
  <c r="AS1387" i="10"/>
  <c r="AS1403" i="10"/>
  <c r="AX1403" i="10" s="1"/>
  <c r="AY1403" i="10" s="1"/>
  <c r="AS423" i="10"/>
  <c r="AX423" i="10" s="1"/>
  <c r="AY423" i="10" s="1"/>
  <c r="AS447" i="10"/>
  <c r="AS474" i="10"/>
  <c r="AS497" i="10"/>
  <c r="AX497" i="10" s="1"/>
  <c r="AY497" i="10" s="1"/>
  <c r="AS525" i="10"/>
  <c r="AS551" i="10"/>
  <c r="AS619" i="10"/>
  <c r="AX619" i="10" s="1"/>
  <c r="AY619" i="10" s="1"/>
  <c r="AS641" i="10"/>
  <c r="AS688" i="10"/>
  <c r="AS735" i="10"/>
  <c r="AS782" i="10"/>
  <c r="AS829" i="10"/>
  <c r="AS854" i="10"/>
  <c r="AX854" i="10" s="1"/>
  <c r="AY854" i="10" s="1"/>
  <c r="AS989" i="10"/>
  <c r="AS448" i="10"/>
  <c r="AX448" i="10" s="1"/>
  <c r="AY448" i="10" s="1"/>
  <c r="AS502" i="10"/>
  <c r="AX502" i="10" s="1"/>
  <c r="AY502" i="10" s="1"/>
  <c r="AS526" i="10"/>
  <c r="AS599" i="10"/>
  <c r="AS714" i="10"/>
  <c r="AS736" i="10"/>
  <c r="AX736" i="10" s="1"/>
  <c r="AY736" i="10" s="1"/>
  <c r="AS830" i="10"/>
  <c r="AS902" i="10"/>
  <c r="AX902" i="10" s="1"/>
  <c r="AY902" i="10" s="1"/>
  <c r="AS1012" i="10"/>
  <c r="AS1033" i="10"/>
  <c r="AX1033" i="10" s="1"/>
  <c r="AY1033" i="10" s="1"/>
  <c r="AS1179" i="10"/>
  <c r="AX1179" i="10" s="1"/>
  <c r="AY1179" i="10" s="1"/>
  <c r="AS1239" i="10"/>
  <c r="AS1485" i="10"/>
  <c r="AS1677" i="10"/>
  <c r="AS426" i="10"/>
  <c r="AS449" i="10"/>
  <c r="AX449" i="10" s="1"/>
  <c r="AY449" i="10" s="1"/>
  <c r="AS477" i="10"/>
  <c r="AX477" i="10" s="1"/>
  <c r="AY477" i="10" s="1"/>
  <c r="AS503" i="10"/>
  <c r="AS527" i="10"/>
  <c r="AS575" i="10"/>
  <c r="AS600" i="10"/>
  <c r="AS622" i="10"/>
  <c r="AS647" i="10"/>
  <c r="AS694" i="10"/>
  <c r="AX694" i="10" s="1"/>
  <c r="AY694" i="10" s="1"/>
  <c r="AS737" i="10"/>
  <c r="AX737" i="10" s="1"/>
  <c r="AY737" i="10" s="1"/>
  <c r="AS762" i="10"/>
  <c r="AX762" i="10" s="1"/>
  <c r="AY762" i="10" s="1"/>
  <c r="AS784" i="10"/>
  <c r="AS831" i="10"/>
  <c r="AS878" i="10"/>
  <c r="AS970" i="10"/>
  <c r="AS991" i="10"/>
  <c r="AS1550" i="10"/>
  <c r="AS1614" i="10"/>
  <c r="AX1614" i="10" s="1"/>
  <c r="AY1614" i="10" s="1"/>
  <c r="AS431" i="10"/>
  <c r="AX431" i="10" s="1"/>
  <c r="AY431" i="10" s="1"/>
  <c r="AS458" i="10"/>
  <c r="AS481" i="10"/>
  <c r="AS558" i="10"/>
  <c r="AS605" i="10"/>
  <c r="AS630" i="10"/>
  <c r="AS698" i="10"/>
  <c r="AS720" i="10"/>
  <c r="AS767" i="10"/>
  <c r="AS792" i="10"/>
  <c r="AS814" i="10"/>
  <c r="AX814" i="10" s="1"/>
  <c r="AY814" i="10" s="1"/>
  <c r="AS861" i="10"/>
  <c r="AS886" i="10"/>
  <c r="AS907" i="10"/>
  <c r="AS929" i="10"/>
  <c r="AS1082" i="10"/>
  <c r="AS1126" i="10"/>
  <c r="AS559" i="10"/>
  <c r="AS584" i="10"/>
  <c r="AS606" i="10"/>
  <c r="AX606" i="10" s="1"/>
  <c r="AY606" i="10" s="1"/>
  <c r="AS631" i="10"/>
  <c r="AS653" i="10"/>
  <c r="AS721" i="10"/>
  <c r="AS793" i="10"/>
  <c r="AS815" i="10"/>
  <c r="AX815" i="10" s="1"/>
  <c r="AY815" i="10" s="1"/>
  <c r="AS862" i="10"/>
  <c r="AS909" i="10"/>
  <c r="AS1427" i="10"/>
  <c r="AS461" i="10"/>
  <c r="AS487" i="10"/>
  <c r="AS511" i="10"/>
  <c r="AS607" i="10"/>
  <c r="AS654" i="10"/>
  <c r="AS679" i="10"/>
  <c r="AS701" i="10"/>
  <c r="AS726" i="10"/>
  <c r="AS816" i="10"/>
  <c r="AS863" i="10"/>
  <c r="AS910" i="10"/>
  <c r="AS1064" i="10"/>
  <c r="AX1064" i="10" s="1"/>
  <c r="AY1064" i="10" s="1"/>
  <c r="AS1345" i="10"/>
  <c r="AS1364" i="10"/>
  <c r="AS1380" i="10"/>
  <c r="AS438" i="10"/>
  <c r="AS462" i="10"/>
  <c r="AS512" i="10"/>
  <c r="AS586" i="10"/>
  <c r="AS608" i="10"/>
  <c r="AS655" i="10"/>
  <c r="AS702" i="10"/>
  <c r="AS749" i="10"/>
  <c r="AS774" i="10"/>
  <c r="AS842" i="10"/>
  <c r="AS864" i="10"/>
  <c r="AS1365" i="10"/>
  <c r="AS557" i="10"/>
  <c r="AS838" i="10"/>
  <c r="AS928" i="10"/>
  <c r="AS1017" i="10"/>
  <c r="AS881" i="10"/>
  <c r="AS656" i="10"/>
  <c r="AS1191" i="10"/>
  <c r="AS1414" i="10"/>
  <c r="AS791" i="10"/>
  <c r="AS478" i="10"/>
  <c r="AS576" i="10"/>
  <c r="AS670" i="10"/>
  <c r="AS763" i="10"/>
  <c r="AS479" i="10"/>
  <c r="AS671" i="10"/>
  <c r="AS765" i="10"/>
  <c r="AS858" i="10"/>
  <c r="AS952" i="10"/>
  <c r="AS1037" i="10"/>
  <c r="AS1202" i="10"/>
  <c r="AS480" i="10"/>
  <c r="AS582" i="10"/>
  <c r="AS766" i="10"/>
  <c r="AS953" i="10"/>
  <c r="AS1038" i="10"/>
  <c r="AS1124" i="10"/>
  <c r="AS1282" i="10"/>
  <c r="AS490" i="10"/>
  <c r="AS587" i="10"/>
  <c r="AS505" i="10"/>
  <c r="AS879" i="10"/>
  <c r="AS971" i="10"/>
  <c r="AS1056" i="10"/>
  <c r="AS1143" i="10"/>
  <c r="AS1300" i="10"/>
  <c r="AS507" i="10"/>
  <c r="AS506" i="10"/>
  <c r="AS602" i="10"/>
  <c r="AS790" i="10"/>
  <c r="AS973" i="10"/>
  <c r="AS1057" i="10"/>
  <c r="AS1302" i="10"/>
  <c r="AS603" i="10"/>
  <c r="AS413" i="10"/>
  <c r="AS513" i="10"/>
  <c r="AS609" i="10"/>
  <c r="AS703" i="10"/>
  <c r="AS797" i="10"/>
  <c r="AS427" i="10"/>
  <c r="AS623" i="10"/>
  <c r="AS717" i="10"/>
  <c r="AS833" i="10"/>
  <c r="AS927" i="10"/>
  <c r="AS1341" i="10"/>
  <c r="AS429" i="10"/>
  <c r="AS529" i="10"/>
  <c r="AS624" i="10"/>
  <c r="AS718" i="10"/>
  <c r="AS1080" i="10"/>
  <c r="AS1163" i="10"/>
  <c r="AS430" i="10"/>
  <c r="AS534" i="10"/>
  <c r="AS719" i="10"/>
  <c r="AS1081" i="10"/>
  <c r="AS1165" i="10"/>
  <c r="AS1243" i="10"/>
  <c r="AS439" i="10"/>
  <c r="AS634" i="10"/>
  <c r="AS912" i="10"/>
  <c r="AS648" i="10"/>
  <c r="AS832" i="10"/>
  <c r="AS1099" i="10"/>
  <c r="AS1339" i="10"/>
  <c r="AS455" i="10"/>
  <c r="AX672" i="10" l="1"/>
  <c r="AY672" i="10" s="1"/>
  <c r="AX1339" i="10"/>
  <c r="AY1339" i="10" s="1"/>
  <c r="AX554" i="10"/>
  <c r="AY554" i="10" s="1"/>
  <c r="AX822" i="10"/>
  <c r="AY822" i="10" s="1"/>
  <c r="AX1165" i="10"/>
  <c r="AY1165" i="10" s="1"/>
  <c r="AX1456" i="10"/>
  <c r="AY1456" i="10" s="1"/>
  <c r="AX1664" i="10"/>
  <c r="AY1664" i="10" s="1"/>
  <c r="AX1647" i="10"/>
  <c r="AY1647" i="10" s="1"/>
  <c r="AX609" i="10"/>
  <c r="AY609" i="10" s="1"/>
  <c r="AX973" i="10"/>
  <c r="AY973" i="10" s="1"/>
  <c r="AX1300" i="10"/>
  <c r="AY1300" i="10" s="1"/>
  <c r="AX1622" i="10"/>
  <c r="AY1622" i="10" s="1"/>
  <c r="AX766" i="10"/>
  <c r="AY766" i="10" s="1"/>
  <c r="AX1202" i="10"/>
  <c r="AY1202" i="10" s="1"/>
  <c r="AX1551" i="10"/>
  <c r="AY1551" i="10" s="1"/>
  <c r="AX656" i="10"/>
  <c r="AY656" i="10" s="1"/>
  <c r="AX974" i="10"/>
  <c r="AY974" i="10" s="1"/>
  <c r="AX650" i="10"/>
  <c r="AY650" i="10" s="1"/>
  <c r="AX1541" i="10"/>
  <c r="AY1541" i="10" s="1"/>
  <c r="AX1268" i="10"/>
  <c r="AY1268" i="10" s="1"/>
  <c r="AX936" i="10"/>
  <c r="AY936" i="10" s="1"/>
  <c r="AX561" i="10"/>
  <c r="AY561" i="10" s="1"/>
  <c r="AX1524" i="10"/>
  <c r="AY1524" i="10" s="1"/>
  <c r="AX1247" i="10"/>
  <c r="AY1247" i="10" s="1"/>
  <c r="AX910" i="10"/>
  <c r="AY910" i="10" s="1"/>
  <c r="AX538" i="10"/>
  <c r="AY538" i="10" s="1"/>
  <c r="AX1507" i="10"/>
  <c r="AY1507" i="10" s="1"/>
  <c r="AX1226" i="10"/>
  <c r="AY1226" i="10" s="1"/>
  <c r="AX887" i="10"/>
  <c r="AY887" i="10" s="1"/>
  <c r="AX510" i="10"/>
  <c r="AY510" i="10" s="1"/>
  <c r="AX1490" i="10"/>
  <c r="AY1490" i="10" s="1"/>
  <c r="AX1206" i="10"/>
  <c r="AY1206" i="10" s="1"/>
  <c r="AX861" i="10"/>
  <c r="AY861" i="10" s="1"/>
  <c r="AX481" i="10"/>
  <c r="AY481" i="10" s="1"/>
  <c r="AX1566" i="10"/>
  <c r="AY1566" i="10" s="1"/>
  <c r="AX1298" i="10"/>
  <c r="AY1298" i="10" s="1"/>
  <c r="AX970" i="10"/>
  <c r="AY970" i="10" s="1"/>
  <c r="AX600" i="10"/>
  <c r="AY600" i="10" s="1"/>
  <c r="AX1549" i="10"/>
  <c r="AY1549" i="10" s="1"/>
  <c r="AX1278" i="10"/>
  <c r="AY1278" i="10" s="1"/>
  <c r="AX945" i="10"/>
  <c r="AY945" i="10" s="1"/>
  <c r="AX574" i="10"/>
  <c r="AY574" i="10" s="1"/>
  <c r="AX1532" i="10"/>
  <c r="AY1532" i="10" s="1"/>
  <c r="AX1257" i="10"/>
  <c r="AY1257" i="10" s="1"/>
  <c r="AX922" i="10"/>
  <c r="AY922" i="10" s="1"/>
  <c r="AX551" i="10"/>
  <c r="AY551" i="10" s="1"/>
  <c r="AX1515" i="10"/>
  <c r="AY1515" i="10" s="1"/>
  <c r="AX1236" i="10"/>
  <c r="AY1236" i="10" s="1"/>
  <c r="AX896" i="10"/>
  <c r="AY896" i="10" s="1"/>
  <c r="AX523" i="10"/>
  <c r="AY523" i="10" s="1"/>
  <c r="AX1514" i="10"/>
  <c r="AY1514" i="10" s="1"/>
  <c r="AX1234" i="10"/>
  <c r="AY1234" i="10" s="1"/>
  <c r="AX895" i="10"/>
  <c r="AY895" i="10" s="1"/>
  <c r="AX522" i="10"/>
  <c r="AY522" i="10" s="1"/>
  <c r="AX1513" i="10"/>
  <c r="AY1513" i="10" s="1"/>
  <c r="AX1233" i="10"/>
  <c r="AY1233" i="10" s="1"/>
  <c r="AX894" i="10"/>
  <c r="AY894" i="10" s="1"/>
  <c r="AX1512" i="10"/>
  <c r="AY1512" i="10" s="1"/>
  <c r="AX1232" i="10"/>
  <c r="AY1232" i="10" s="1"/>
  <c r="AX893" i="10"/>
  <c r="AY893" i="10" s="1"/>
  <c r="AX519" i="10"/>
  <c r="AY519" i="10" s="1"/>
  <c r="AX1511" i="10"/>
  <c r="AY1511" i="10" s="1"/>
  <c r="AX1231" i="10"/>
  <c r="AY1231" i="10" s="1"/>
  <c r="AX891" i="10"/>
  <c r="AY891" i="10" s="1"/>
  <c r="AX518" i="10"/>
  <c r="AY518" i="10" s="1"/>
  <c r="AX1180" i="10"/>
  <c r="AY1180" i="10" s="1"/>
  <c r="AX924" i="10"/>
  <c r="AY924" i="10" s="1"/>
  <c r="AX668" i="10"/>
  <c r="AY668" i="10" s="1"/>
  <c r="AX440" i="10"/>
  <c r="AY440" i="10" s="1"/>
  <c r="AX517" i="10"/>
  <c r="AY517" i="10" s="1"/>
  <c r="AX1043" i="10"/>
  <c r="AY1043" i="10" s="1"/>
  <c r="AX454" i="10"/>
  <c r="AY454" i="10" s="1"/>
  <c r="AX566" i="10"/>
  <c r="AY566" i="10" s="1"/>
  <c r="AX881" i="10"/>
  <c r="AY881" i="10" s="1"/>
  <c r="AX557" i="10"/>
  <c r="AY557" i="10" s="1"/>
  <c r="AX1525" i="10"/>
  <c r="AY1525" i="10" s="1"/>
  <c r="AX1248" i="10"/>
  <c r="AY1248" i="10" s="1"/>
  <c r="AX911" i="10"/>
  <c r="AY911" i="10" s="1"/>
  <c r="AX539" i="10"/>
  <c r="AY539" i="10" s="1"/>
  <c r="AX1508" i="10"/>
  <c r="AY1508" i="10" s="1"/>
  <c r="AX1227" i="10"/>
  <c r="AY1227" i="10" s="1"/>
  <c r="AX888" i="10"/>
  <c r="AY888" i="10" s="1"/>
  <c r="AX511" i="10"/>
  <c r="AY511" i="10" s="1"/>
  <c r="AX1491" i="10"/>
  <c r="AY1491" i="10" s="1"/>
  <c r="AX1207" i="10"/>
  <c r="AY1207" i="10" s="1"/>
  <c r="AX862" i="10"/>
  <c r="AY862" i="10" s="1"/>
  <c r="AX486" i="10"/>
  <c r="AY486" i="10" s="1"/>
  <c r="AX1474" i="10"/>
  <c r="AY1474" i="10" s="1"/>
  <c r="AX1185" i="10"/>
  <c r="AY1185" i="10" s="1"/>
  <c r="AX839" i="10"/>
  <c r="AY839" i="10" s="1"/>
  <c r="AX458" i="10"/>
  <c r="AY458" i="10" s="1"/>
  <c r="AX1550" i="10"/>
  <c r="AY1550" i="10" s="1"/>
  <c r="AX1279" i="10"/>
  <c r="AY1279" i="10" s="1"/>
  <c r="AX950" i="10"/>
  <c r="AY950" i="10" s="1"/>
  <c r="AX575" i="10"/>
  <c r="AY575" i="10" s="1"/>
  <c r="AX1533" i="10"/>
  <c r="AY1533" i="10" s="1"/>
  <c r="AX1258" i="10"/>
  <c r="AY1258" i="10" s="1"/>
  <c r="AX923" i="10"/>
  <c r="AY923" i="10" s="1"/>
  <c r="AX552" i="10"/>
  <c r="AY552" i="10" s="1"/>
  <c r="AX1516" i="10"/>
  <c r="AY1516" i="10" s="1"/>
  <c r="AX1238" i="10"/>
  <c r="AY1238" i="10" s="1"/>
  <c r="AX897" i="10"/>
  <c r="AY897" i="10" s="1"/>
  <c r="AX525" i="10"/>
  <c r="AY525" i="10" s="1"/>
  <c r="AX1499" i="10"/>
  <c r="AY1499" i="10" s="1"/>
  <c r="AX1216" i="10"/>
  <c r="AY1216" i="10" s="1"/>
  <c r="AX496" i="10"/>
  <c r="AY496" i="10" s="1"/>
  <c r="AX1213" i="10"/>
  <c r="AY1213" i="10" s="1"/>
  <c r="AX871" i="10"/>
  <c r="AY871" i="10" s="1"/>
  <c r="AX771" i="10"/>
  <c r="AY771" i="10" s="1"/>
  <c r="AX1121" i="10"/>
  <c r="AY1121" i="10" s="1"/>
  <c r="AX1536" i="10"/>
  <c r="AY1536" i="10" s="1"/>
  <c r="AX1519" i="10"/>
  <c r="AY1519" i="10" s="1"/>
  <c r="AX413" i="10"/>
  <c r="AY413" i="10" s="1"/>
  <c r="AX790" i="10"/>
  <c r="AY790" i="10" s="1"/>
  <c r="AX1143" i="10"/>
  <c r="AY1143" i="10" s="1"/>
  <c r="AX1494" i="10"/>
  <c r="AY1494" i="10" s="1"/>
  <c r="AX582" i="10"/>
  <c r="AY582" i="10" s="1"/>
  <c r="AX1037" i="10"/>
  <c r="AY1037" i="10" s="1"/>
  <c r="AX1423" i="10"/>
  <c r="AY1423" i="10" s="1"/>
  <c r="AX791" i="10"/>
  <c r="AY791" i="10" s="1"/>
  <c r="AX463" i="10"/>
  <c r="AY463" i="10" s="1"/>
  <c r="AX457" i="10"/>
  <c r="AY457" i="10" s="1"/>
  <c r="AX1509" i="10"/>
  <c r="AY1509" i="10" s="1"/>
  <c r="AX1229" i="10"/>
  <c r="AY1229" i="10" s="1"/>
  <c r="AX889" i="10"/>
  <c r="AY889" i="10" s="1"/>
  <c r="AX512" i="10"/>
  <c r="AY512" i="10" s="1"/>
  <c r="AX863" i="10"/>
  <c r="AY863" i="10" s="1"/>
  <c r="AX487" i="10"/>
  <c r="AY487" i="10" s="1"/>
  <c r="AX1475" i="10"/>
  <c r="AY1475" i="10" s="1"/>
  <c r="AX840" i="10"/>
  <c r="AY840" i="10" s="1"/>
  <c r="AX1458" i="10"/>
  <c r="AY1458" i="10" s="1"/>
  <c r="AX553" i="10"/>
  <c r="AY553" i="10" s="1"/>
  <c r="AX1239" i="10"/>
  <c r="AY1239" i="10" s="1"/>
  <c r="AX526" i="10"/>
  <c r="AY526" i="10" s="1"/>
  <c r="AX1479" i="10"/>
  <c r="AY1479" i="10" s="1"/>
  <c r="AX1392" i="10"/>
  <c r="AY1392" i="10" s="1"/>
  <c r="AX1663" i="10"/>
  <c r="AY1663" i="10" s="1"/>
  <c r="AX906" i="10"/>
  <c r="AY906" i="10" s="1"/>
  <c r="AX1242" i="10"/>
  <c r="AY1242" i="10" s="1"/>
  <c r="AX1472" i="10"/>
  <c r="AY1472" i="10" s="1"/>
  <c r="AX1455" i="10"/>
  <c r="AY1455" i="10" s="1"/>
  <c r="AX1638" i="10"/>
  <c r="AY1638" i="10" s="1"/>
  <c r="AX696" i="10"/>
  <c r="AY696" i="10" s="1"/>
  <c r="AX1056" i="10"/>
  <c r="AY1056" i="10" s="1"/>
  <c r="AX1430" i="10"/>
  <c r="AY1430" i="10" s="1"/>
  <c r="AX697" i="10"/>
  <c r="AY697" i="10" s="1"/>
  <c r="AX480" i="10"/>
  <c r="AY480" i="10" s="1"/>
  <c r="AX952" i="10"/>
  <c r="AY952" i="10" s="1"/>
  <c r="AX1359" i="10"/>
  <c r="AY1359" i="10" s="1"/>
  <c r="AX1670" i="10"/>
  <c r="AY1670" i="10" s="1"/>
  <c r="AX1665" i="10"/>
  <c r="AY1665" i="10" s="1"/>
  <c r="AX1493" i="10"/>
  <c r="AY1493" i="10" s="1"/>
  <c r="AX1209" i="10"/>
  <c r="AY1209" i="10" s="1"/>
  <c r="AX864" i="10"/>
  <c r="AY864" i="10" s="1"/>
  <c r="AX489" i="10"/>
  <c r="AY489" i="10" s="1"/>
  <c r="AX1476" i="10"/>
  <c r="AY1476" i="10" s="1"/>
  <c r="AX1188" i="10"/>
  <c r="AY1188" i="10" s="1"/>
  <c r="AX841" i="10"/>
  <c r="AY841" i="10" s="1"/>
  <c r="AX461" i="10"/>
  <c r="AY461" i="10" s="1"/>
  <c r="AX1459" i="10"/>
  <c r="AY1459" i="10" s="1"/>
  <c r="AX1167" i="10"/>
  <c r="AY1167" i="10" s="1"/>
  <c r="AX432" i="10"/>
  <c r="AY432" i="10" s="1"/>
  <c r="AX1442" i="10"/>
  <c r="AY1442" i="10" s="1"/>
  <c r="AX1146" i="10"/>
  <c r="AY1146" i="10" s="1"/>
  <c r="AX792" i="10"/>
  <c r="AY792" i="10" s="1"/>
  <c r="AX1240" i="10"/>
  <c r="AY1240" i="10" s="1"/>
  <c r="AX903" i="10"/>
  <c r="AY903" i="10" s="1"/>
  <c r="AX527" i="10"/>
  <c r="AY527" i="10" s="1"/>
  <c r="AX1501" i="10"/>
  <c r="AY1501" i="10" s="1"/>
  <c r="AX474" i="10"/>
  <c r="AY474" i="10" s="1"/>
  <c r="AX1463" i="10"/>
  <c r="AY1463" i="10" s="1"/>
  <c r="AX1132" i="10"/>
  <c r="AY1132" i="10" s="1"/>
  <c r="AX1081" i="10"/>
  <c r="AY1081" i="10" s="1"/>
  <c r="AX634" i="10"/>
  <c r="AY634" i="10" s="1"/>
  <c r="AX541" i="10"/>
  <c r="AY541" i="10" s="1"/>
  <c r="AX439" i="10"/>
  <c r="AY439" i="10" s="1"/>
  <c r="AX813" i="10"/>
  <c r="AY813" i="10" s="1"/>
  <c r="AX1163" i="10"/>
  <c r="AY1163" i="10" s="1"/>
  <c r="AX1408" i="10"/>
  <c r="AY1408" i="10" s="1"/>
  <c r="AX1391" i="10"/>
  <c r="AY1391" i="10" s="1"/>
  <c r="AX1574" i="10"/>
  <c r="AY1574" i="10" s="1"/>
  <c r="AX602" i="10"/>
  <c r="AY602" i="10" s="1"/>
  <c r="AX971" i="10"/>
  <c r="AY971" i="10" s="1"/>
  <c r="AX1366" i="10"/>
  <c r="AY1366" i="10" s="1"/>
  <c r="AX1681" i="10"/>
  <c r="AY1681" i="10" s="1"/>
  <c r="AX858" i="10"/>
  <c r="AY858" i="10" s="1"/>
  <c r="AX1280" i="10"/>
  <c r="AY1280" i="10" s="1"/>
  <c r="AX1606" i="10"/>
  <c r="AY1606" i="10" s="1"/>
  <c r="AX1601" i="10"/>
  <c r="AY1601" i="10" s="1"/>
  <c r="AX1477" i="10"/>
  <c r="AY1477" i="10" s="1"/>
  <c r="AX1190" i="10"/>
  <c r="AY1190" i="10" s="1"/>
  <c r="AX842" i="10"/>
  <c r="AY842" i="10" s="1"/>
  <c r="AX462" i="10"/>
  <c r="AY462" i="10" s="1"/>
  <c r="AX1460" i="10"/>
  <c r="AY1460" i="10" s="1"/>
  <c r="AX1168" i="10"/>
  <c r="AY1168" i="10" s="1"/>
  <c r="AX816" i="10"/>
  <c r="AY816" i="10" s="1"/>
  <c r="AX433" i="10"/>
  <c r="AY433" i="10" s="1"/>
  <c r="AX1147" i="10"/>
  <c r="AY1147" i="10" s="1"/>
  <c r="AX793" i="10"/>
  <c r="AY793" i="10" s="1"/>
  <c r="AX1682" i="10"/>
  <c r="AY1682" i="10" s="1"/>
  <c r="AX1426" i="10"/>
  <c r="AY1426" i="10" s="1"/>
  <c r="AX1126" i="10"/>
  <c r="AY1126" i="10" s="1"/>
  <c r="AX767" i="10"/>
  <c r="AY767" i="10" s="1"/>
  <c r="AX1502" i="10"/>
  <c r="AY1502" i="10" s="1"/>
  <c r="AX1220" i="10"/>
  <c r="AY1220" i="10" s="1"/>
  <c r="AX878" i="10"/>
  <c r="AY878" i="10" s="1"/>
  <c r="AX503" i="10"/>
  <c r="AY503" i="10" s="1"/>
  <c r="AX1485" i="10"/>
  <c r="AY1485" i="10" s="1"/>
  <c r="AX1199" i="10"/>
  <c r="AY1199" i="10" s="1"/>
  <c r="AX855" i="10"/>
  <c r="AY855" i="10" s="1"/>
  <c r="AX475" i="10"/>
  <c r="AY475" i="10" s="1"/>
  <c r="AX829" i="10"/>
  <c r="AY829" i="10" s="1"/>
  <c r="AX447" i="10"/>
  <c r="AY447" i="10" s="1"/>
  <c r="AX860" i="10"/>
  <c r="AY860" i="10" s="1"/>
  <c r="AX1599" i="10"/>
  <c r="AY1599" i="10" s="1"/>
  <c r="AX1535" i="10"/>
  <c r="AY1535" i="10" s="1"/>
  <c r="AX1471" i="10"/>
  <c r="AY1471" i="10" s="1"/>
  <c r="AX1654" i="10"/>
  <c r="AY1654" i="10" s="1"/>
  <c r="AX719" i="10"/>
  <c r="AY719" i="10" s="1"/>
  <c r="AX1080" i="10"/>
  <c r="AY1080" i="10" s="1"/>
  <c r="AX1341" i="10"/>
  <c r="AY1341" i="10" s="1"/>
  <c r="AX1320" i="10"/>
  <c r="AY1320" i="10" s="1"/>
  <c r="AX1510" i="10"/>
  <c r="AY1510" i="10" s="1"/>
  <c r="AX506" i="10"/>
  <c r="AY506" i="10" s="1"/>
  <c r="AX879" i="10"/>
  <c r="AY879" i="10" s="1"/>
  <c r="AX1289" i="10"/>
  <c r="AY1289" i="10" s="1"/>
  <c r="AX1617" i="10"/>
  <c r="AY1617" i="10" s="1"/>
  <c r="AX765" i="10"/>
  <c r="AY765" i="10" s="1"/>
  <c r="AX1201" i="10"/>
  <c r="AY1201" i="10" s="1"/>
  <c r="AX1542" i="10"/>
  <c r="AY1542" i="10" s="1"/>
  <c r="AX1537" i="10"/>
  <c r="AY1537" i="10" s="1"/>
  <c r="AX1461" i="10"/>
  <c r="AY1461" i="10" s="1"/>
  <c r="AX1169" i="10"/>
  <c r="AY1169" i="10" s="1"/>
  <c r="AX817" i="10"/>
  <c r="AY817" i="10" s="1"/>
  <c r="AX438" i="10"/>
  <c r="AY438" i="10" s="1"/>
  <c r="AX1444" i="10"/>
  <c r="AY1444" i="10" s="1"/>
  <c r="AX1149" i="10"/>
  <c r="AY1149" i="10" s="1"/>
  <c r="AX794" i="10"/>
  <c r="AY794" i="10" s="1"/>
  <c r="AX1683" i="10"/>
  <c r="AY1683" i="10" s="1"/>
  <c r="AX1427" i="10"/>
  <c r="AY1427" i="10" s="1"/>
  <c r="AX1127" i="10"/>
  <c r="AY1127" i="10" s="1"/>
  <c r="AX768" i="10"/>
  <c r="AY768" i="10" s="1"/>
  <c r="AX1410" i="10"/>
  <c r="AY1410" i="10" s="1"/>
  <c r="AX745" i="10"/>
  <c r="AY745" i="10" s="1"/>
  <c r="AX1200" i="10"/>
  <c r="AY1200" i="10" s="1"/>
  <c r="AX856" i="10"/>
  <c r="AY856" i="10" s="1"/>
  <c r="AX830" i="10"/>
  <c r="AY830" i="10" s="1"/>
  <c r="AX1159" i="10"/>
  <c r="AY1159" i="10" s="1"/>
  <c r="AX807" i="10"/>
  <c r="AY807" i="10" s="1"/>
  <c r="AX1435" i="10"/>
  <c r="AY1435" i="10" s="1"/>
  <c r="AX779" i="10"/>
  <c r="AY779" i="10" s="1"/>
  <c r="AX1487" i="10"/>
  <c r="AY1487" i="10" s="1"/>
  <c r="AX625" i="10"/>
  <c r="AY625" i="10" s="1"/>
  <c r="AX993" i="10"/>
  <c r="AY993" i="10" s="1"/>
  <c r="AX1262" i="10"/>
  <c r="AY1262" i="10" s="1"/>
  <c r="AX1241" i="10"/>
  <c r="AY1241" i="10" s="1"/>
  <c r="AX1446" i="10"/>
  <c r="AY1446" i="10" s="1"/>
  <c r="AX603" i="10"/>
  <c r="AY603" i="10" s="1"/>
  <c r="AX785" i="10"/>
  <c r="AY785" i="10" s="1"/>
  <c r="AX1210" i="10"/>
  <c r="AY1210" i="10" s="1"/>
  <c r="AX1553" i="10"/>
  <c r="AY1553" i="10" s="1"/>
  <c r="AX671" i="10"/>
  <c r="AY671" i="10" s="1"/>
  <c r="AX1120" i="10"/>
  <c r="AY1120" i="10" s="1"/>
  <c r="AX1478" i="10"/>
  <c r="AY1478" i="10" s="1"/>
  <c r="AX1473" i="10"/>
  <c r="AY1473" i="10" s="1"/>
  <c r="AX1150" i="10"/>
  <c r="AY1150" i="10" s="1"/>
  <c r="AX795" i="10"/>
  <c r="AY795" i="10" s="1"/>
  <c r="AX1684" i="10"/>
  <c r="AY1684" i="10" s="1"/>
  <c r="AX1428" i="10"/>
  <c r="AY1428" i="10" s="1"/>
  <c r="AX1128" i="10"/>
  <c r="AY1128" i="10" s="1"/>
  <c r="AX769" i="10"/>
  <c r="AY769" i="10" s="1"/>
  <c r="AX746" i="10"/>
  <c r="AY746" i="10" s="1"/>
  <c r="AX1394" i="10"/>
  <c r="AY1394" i="10" s="1"/>
  <c r="AX1082" i="10"/>
  <c r="AY1082" i="10" s="1"/>
  <c r="AX720" i="10"/>
  <c r="AY720" i="10" s="1"/>
  <c r="AX1470" i="10"/>
  <c r="AY1470" i="10" s="1"/>
  <c r="AX1181" i="10"/>
  <c r="AY1181" i="10" s="1"/>
  <c r="AX831" i="10"/>
  <c r="AY831" i="10" s="1"/>
  <c r="AX1453" i="10"/>
  <c r="AY1453" i="10" s="1"/>
  <c r="AX1160" i="10"/>
  <c r="AY1160" i="10" s="1"/>
  <c r="AX808" i="10"/>
  <c r="AY808" i="10" s="1"/>
  <c r="AX425" i="10"/>
  <c r="AY425" i="10" s="1"/>
  <c r="AX1436" i="10"/>
  <c r="AY1436" i="10" s="1"/>
  <c r="AX1137" i="10"/>
  <c r="AY1137" i="10" s="1"/>
  <c r="AX782" i="10"/>
  <c r="AY782" i="10" s="1"/>
  <c r="AX1675" i="10"/>
  <c r="AY1675" i="10" s="1"/>
  <c r="AX1115" i="10"/>
  <c r="AY1115" i="10" s="1"/>
  <c r="AX1416" i="10"/>
  <c r="AY1416" i="10" s="1"/>
  <c r="AX1671" i="10"/>
  <c r="AY1671" i="10" s="1"/>
  <c r="AX1415" i="10"/>
  <c r="AY1415" i="10" s="1"/>
  <c r="AX1111" i="10"/>
  <c r="AY1111" i="10" s="1"/>
  <c r="AX1340" i="10"/>
  <c r="AY1340" i="10" s="1"/>
  <c r="AX1084" i="10"/>
  <c r="AY1084" i="10" s="1"/>
  <c r="AX572" i="10"/>
  <c r="AY572" i="10" s="1"/>
  <c r="AX933" i="10"/>
  <c r="AY933" i="10" s="1"/>
  <c r="AX677" i="10"/>
  <c r="AY677" i="10" s="1"/>
  <c r="AX947" i="10"/>
  <c r="AY947" i="10" s="1"/>
  <c r="AX1074" i="10"/>
  <c r="AY1074" i="10" s="1"/>
  <c r="AX818" i="10"/>
  <c r="AY818" i="10" s="1"/>
  <c r="AX562" i="10"/>
  <c r="AY562" i="10" s="1"/>
  <c r="AX1558" i="10"/>
  <c r="AY1558" i="10" s="1"/>
  <c r="AX1382" i="10"/>
  <c r="AY1382" i="10" s="1"/>
  <c r="AX1489" i="10"/>
  <c r="AY1489" i="10" s="1"/>
  <c r="AX1429" i="10"/>
  <c r="AY1429" i="10" s="1"/>
  <c r="AX747" i="10"/>
  <c r="AY747" i="10" s="1"/>
  <c r="AX1634" i="10"/>
  <c r="AY1634" i="10" s="1"/>
  <c r="AX1161" i="10"/>
  <c r="AY1161" i="10" s="1"/>
  <c r="AX783" i="10"/>
  <c r="AY783" i="10" s="1"/>
  <c r="AX1583" i="10"/>
  <c r="AY1583" i="10" s="1"/>
  <c r="AX1414" i="10"/>
  <c r="AY1414" i="10" s="1"/>
  <c r="AX811" i="10"/>
  <c r="AY811" i="10" s="1"/>
  <c r="AX1101" i="10"/>
  <c r="AY1101" i="10" s="1"/>
  <c r="AX1079" i="10"/>
  <c r="AY1079" i="10" s="1"/>
  <c r="AX1309" i="10"/>
  <c r="AY1309" i="10" s="1"/>
  <c r="AX1568" i="10"/>
  <c r="AY1568" i="10" s="1"/>
  <c r="AX601" i="10"/>
  <c r="AY601" i="10" s="1"/>
  <c r="AX1046" i="10"/>
  <c r="AY1046" i="10" s="1"/>
  <c r="AX1425" i="10"/>
  <c r="AY1425" i="10" s="1"/>
  <c r="AX479" i="10"/>
  <c r="AY479" i="10" s="1"/>
  <c r="AX951" i="10"/>
  <c r="AY951" i="10" s="1"/>
  <c r="AX1348" i="10"/>
  <c r="AY1348" i="10" s="1"/>
  <c r="AX1569" i="10"/>
  <c r="AY1569" i="10" s="1"/>
  <c r="AX1342" i="10"/>
  <c r="AY1342" i="10" s="1"/>
  <c r="AX1669" i="10"/>
  <c r="AY1669" i="10" s="1"/>
  <c r="AX1413" i="10"/>
  <c r="AY1413" i="10" s="1"/>
  <c r="AX1108" i="10"/>
  <c r="AY1108" i="10" s="1"/>
  <c r="AX749" i="10"/>
  <c r="AY749" i="10" s="1"/>
  <c r="AX1652" i="10"/>
  <c r="AY1652" i="10" s="1"/>
  <c r="AX1396" i="10"/>
  <c r="AY1396" i="10" s="1"/>
  <c r="AX1085" i="10"/>
  <c r="AY1085" i="10" s="1"/>
  <c r="AX726" i="10"/>
  <c r="AY726" i="10" s="1"/>
  <c r="AX1635" i="10"/>
  <c r="AY1635" i="10" s="1"/>
  <c r="AX1379" i="10"/>
  <c r="AY1379" i="10" s="1"/>
  <c r="AX1063" i="10"/>
  <c r="AY1063" i="10" s="1"/>
  <c r="AX699" i="10"/>
  <c r="AY699" i="10" s="1"/>
  <c r="AX1618" i="10"/>
  <c r="AY1618" i="10" s="1"/>
  <c r="AX1362" i="10"/>
  <c r="AY1362" i="10" s="1"/>
  <c r="AX1039" i="10"/>
  <c r="AY1039" i="10" s="1"/>
  <c r="AX673" i="10"/>
  <c r="AY673" i="10" s="1"/>
  <c r="AX1438" i="10"/>
  <c r="AY1438" i="10" s="1"/>
  <c r="AX1142" i="10"/>
  <c r="AY1142" i="10" s="1"/>
  <c r="AX784" i="10"/>
  <c r="AY784" i="10" s="1"/>
  <c r="AX1677" i="10"/>
  <c r="AY1677" i="10" s="1"/>
  <c r="AX1118" i="10"/>
  <c r="AY1118" i="10" s="1"/>
  <c r="AX761" i="10"/>
  <c r="AY761" i="10" s="1"/>
  <c r="AX1404" i="10"/>
  <c r="AY1404" i="10" s="1"/>
  <c r="AX1096" i="10"/>
  <c r="AY1096" i="10" s="1"/>
  <c r="AX735" i="10"/>
  <c r="AY735" i="10" s="1"/>
  <c r="AX1643" i="10"/>
  <c r="AY1643" i="10" s="1"/>
  <c r="AX1387" i="10"/>
  <c r="AY1387" i="10" s="1"/>
  <c r="AX712" i="10"/>
  <c r="AY712" i="10" s="1"/>
  <c r="AX1600" i="10"/>
  <c r="AY1600" i="10" s="1"/>
  <c r="AX1321" i="10"/>
  <c r="AY1321" i="10" s="1"/>
  <c r="AX905" i="10"/>
  <c r="AY905" i="10" s="1"/>
  <c r="AX1395" i="10"/>
  <c r="AY1395" i="10" s="1"/>
  <c r="AX1454" i="10"/>
  <c r="AY1454" i="10" s="1"/>
  <c r="AX959" i="10"/>
  <c r="AY959" i="10" s="1"/>
  <c r="AX1361" i="10"/>
  <c r="AY1361" i="10" s="1"/>
  <c r="AX1680" i="10"/>
  <c r="AY1680" i="10" s="1"/>
  <c r="AX857" i="10"/>
  <c r="AY857" i="10" s="1"/>
  <c r="AX1270" i="10"/>
  <c r="AY1270" i="10" s="1"/>
  <c r="AX1505" i="10"/>
  <c r="AY1505" i="10" s="1"/>
  <c r="AX1263" i="10"/>
  <c r="AY1263" i="10" s="1"/>
  <c r="AX1653" i="10"/>
  <c r="AY1653" i="10" s="1"/>
  <c r="AX1397" i="10"/>
  <c r="AY1397" i="10" s="1"/>
  <c r="AX1086" i="10"/>
  <c r="AY1086" i="10" s="1"/>
  <c r="AX727" i="10"/>
  <c r="AY727" i="10" s="1"/>
  <c r="AX1636" i="10"/>
  <c r="AY1636" i="10" s="1"/>
  <c r="AX1380" i="10"/>
  <c r="AY1380" i="10" s="1"/>
  <c r="AX701" i="10"/>
  <c r="AY701" i="10" s="1"/>
  <c r="AX1619" i="10"/>
  <c r="AY1619" i="10" s="1"/>
  <c r="AX1363" i="10"/>
  <c r="AY1363" i="10" s="1"/>
  <c r="AX1040" i="10"/>
  <c r="AY1040" i="10" s="1"/>
  <c r="AX678" i="10"/>
  <c r="AY678" i="10" s="1"/>
  <c r="AX1602" i="10"/>
  <c r="AY1602" i="10" s="1"/>
  <c r="AX1422" i="10"/>
  <c r="AY1422" i="10" s="1"/>
  <c r="AX1119" i="10"/>
  <c r="AY1119" i="10" s="1"/>
  <c r="AX1661" i="10"/>
  <c r="AY1661" i="10" s="1"/>
  <c r="AX1282" i="10"/>
  <c r="AY1282" i="10" s="1"/>
  <c r="AX1616" i="10"/>
  <c r="AY1616" i="10" s="1"/>
  <c r="AX763" i="10"/>
  <c r="AY763" i="10" s="1"/>
  <c r="AX1191" i="10"/>
  <c r="AY1191" i="10" s="1"/>
  <c r="AX1441" i="10"/>
  <c r="AY1441" i="10" s="1"/>
  <c r="AX1184" i="10"/>
  <c r="AY1184" i="10" s="1"/>
  <c r="AX1637" i="10"/>
  <c r="AY1637" i="10" s="1"/>
  <c r="AX1381" i="10"/>
  <c r="AY1381" i="10" s="1"/>
  <c r="AX1065" i="10"/>
  <c r="AY1065" i="10" s="1"/>
  <c r="AX702" i="10"/>
  <c r="AY702" i="10" s="1"/>
  <c r="AX1620" i="10"/>
  <c r="AY1620" i="10" s="1"/>
  <c r="AX1364" i="10"/>
  <c r="AY1364" i="10" s="1"/>
  <c r="AX1041" i="10"/>
  <c r="AY1041" i="10" s="1"/>
  <c r="AX679" i="10"/>
  <c r="AY679" i="10" s="1"/>
  <c r="AX1603" i="10"/>
  <c r="AY1603" i="10" s="1"/>
  <c r="AX1344" i="10"/>
  <c r="AY1344" i="10" s="1"/>
  <c r="AX1019" i="10"/>
  <c r="AY1019" i="10" s="1"/>
  <c r="AX653" i="10"/>
  <c r="AY653" i="10" s="1"/>
  <c r="AX1586" i="10"/>
  <c r="AY1586" i="10" s="1"/>
  <c r="AX1323" i="10"/>
  <c r="AY1323" i="10" s="1"/>
  <c r="AX998" i="10"/>
  <c r="AY998" i="10" s="1"/>
  <c r="AX630" i="10"/>
  <c r="AY630" i="10" s="1"/>
  <c r="AX1662" i="10"/>
  <c r="AY1662" i="10" s="1"/>
  <c r="AX714" i="10"/>
  <c r="AY714" i="10" s="1"/>
  <c r="AX688" i="10"/>
  <c r="AY688" i="10" s="1"/>
  <c r="AX1031" i="10"/>
  <c r="AY1031" i="10" s="1"/>
  <c r="AX1352" i="10"/>
  <c r="AY1352" i="10" s="1"/>
  <c r="AX1607" i="10"/>
  <c r="AY1607" i="10" s="1"/>
  <c r="AX883" i="10"/>
  <c r="AY883" i="10" s="1"/>
  <c r="AX455" i="10"/>
  <c r="AY455" i="10" s="1"/>
  <c r="AX1222" i="10"/>
  <c r="AY1222" i="10" s="1"/>
  <c r="AX1590" i="10"/>
  <c r="AY1590" i="10" s="1"/>
  <c r="AX534" i="10"/>
  <c r="AY534" i="10" s="1"/>
  <c r="AX695" i="10"/>
  <c r="AY695" i="10" s="1"/>
  <c r="AX1409" i="10"/>
  <c r="AY1409" i="10" s="1"/>
  <c r="AX1412" i="10"/>
  <c r="AY1412" i="10" s="1"/>
  <c r="AX721" i="10"/>
  <c r="AY721" i="10" s="1"/>
  <c r="AX426" i="10"/>
  <c r="AY426" i="10" s="1"/>
  <c r="AX1420" i="10"/>
  <c r="AY1420" i="10" s="1"/>
  <c r="AX1261" i="10"/>
  <c r="AY1261" i="10" s="1"/>
  <c r="AX1398" i="10"/>
  <c r="AY1398" i="10" s="1"/>
  <c r="AX1230" i="10"/>
  <c r="AY1230" i="10" s="1"/>
  <c r="AX1328" i="10"/>
  <c r="AY1328" i="10" s="1"/>
  <c r="AX904" i="10"/>
  <c r="AY904" i="10" s="1"/>
  <c r="AX1440" i="10"/>
  <c r="AY1440" i="10" s="1"/>
  <c r="AX1249" i="10"/>
  <c r="AY1249" i="10" s="1"/>
  <c r="AX833" i="10"/>
  <c r="AY833" i="10" s="1"/>
  <c r="AX1110" i="10"/>
  <c r="AY1110" i="10" s="1"/>
  <c r="AX1377" i="10"/>
  <c r="AY1377" i="10" s="1"/>
  <c r="AX1102" i="10"/>
  <c r="AY1102" i="10" s="1"/>
  <c r="AX1621" i="10"/>
  <c r="AY1621" i="10" s="1"/>
  <c r="AX1365" i="10"/>
  <c r="AY1365" i="10" s="1"/>
  <c r="AX1044" i="10"/>
  <c r="AY1044" i="10" s="1"/>
  <c r="AX680" i="10"/>
  <c r="AY680" i="10" s="1"/>
  <c r="AX1604" i="10"/>
  <c r="AY1604" i="10" s="1"/>
  <c r="AX1345" i="10"/>
  <c r="AY1345" i="10" s="1"/>
  <c r="AX1021" i="10"/>
  <c r="AY1021" i="10" s="1"/>
  <c r="AX654" i="10"/>
  <c r="AY654" i="10" s="1"/>
  <c r="AX1587" i="10"/>
  <c r="AY1587" i="10" s="1"/>
  <c r="AX1325" i="10"/>
  <c r="AY1325" i="10" s="1"/>
  <c r="AX999" i="10"/>
  <c r="AY999" i="10" s="1"/>
  <c r="AX631" i="10"/>
  <c r="AY631" i="10" s="1"/>
  <c r="AX1570" i="10"/>
  <c r="AY1570" i="10" s="1"/>
  <c r="AX1304" i="10"/>
  <c r="AY1304" i="10" s="1"/>
  <c r="AX975" i="10"/>
  <c r="AY975" i="10" s="1"/>
  <c r="AX605" i="10"/>
  <c r="AY605" i="10" s="1"/>
  <c r="AX1646" i="10"/>
  <c r="AY1646" i="10" s="1"/>
  <c r="AX1390" i="10"/>
  <c r="AY1390" i="10" s="1"/>
  <c r="AX1078" i="10"/>
  <c r="AY1078" i="10" s="1"/>
  <c r="AX715" i="10"/>
  <c r="AY715" i="10" s="1"/>
  <c r="AX1629" i="10"/>
  <c r="AY1629" i="10" s="1"/>
  <c r="AX1373" i="10"/>
  <c r="AY1373" i="10" s="1"/>
  <c r="AX1054" i="10"/>
  <c r="AY1054" i="10" s="1"/>
  <c r="AX689" i="10"/>
  <c r="AY689" i="10" s="1"/>
  <c r="AX1612" i="10"/>
  <c r="AY1612" i="10" s="1"/>
  <c r="AX1355" i="10"/>
  <c r="AY1355" i="10" s="1"/>
  <c r="AX1032" i="10"/>
  <c r="AY1032" i="10" s="1"/>
  <c r="AX666" i="10"/>
  <c r="AY666" i="10" s="1"/>
  <c r="AX1595" i="10"/>
  <c r="AY1595" i="10" s="1"/>
  <c r="AX1335" i="10"/>
  <c r="AY1335" i="10" s="1"/>
  <c r="AX1008" i="10"/>
  <c r="AY1008" i="10" s="1"/>
  <c r="AX640" i="10"/>
  <c r="AY640" i="10" s="1"/>
  <c r="AX1594" i="10"/>
  <c r="AY1594" i="10" s="1"/>
  <c r="AX1334" i="10"/>
  <c r="AY1334" i="10" s="1"/>
  <c r="AX1007" i="10"/>
  <c r="AY1007" i="10" s="1"/>
  <c r="AX639" i="10"/>
  <c r="AY639" i="10" s="1"/>
  <c r="AX1593" i="10"/>
  <c r="AY1593" i="10" s="1"/>
  <c r="AX1332" i="10"/>
  <c r="AY1332" i="10" s="1"/>
  <c r="AX1006" i="10"/>
  <c r="AY1006" i="10" s="1"/>
  <c r="AX638" i="10"/>
  <c r="AY638" i="10" s="1"/>
  <c r="AX1592" i="10"/>
  <c r="AY1592" i="10" s="1"/>
  <c r="AX1330" i="10"/>
  <c r="AY1330" i="10" s="1"/>
  <c r="AX1005" i="10"/>
  <c r="AY1005" i="10" s="1"/>
  <c r="AX637" i="10"/>
  <c r="AY637" i="10" s="1"/>
  <c r="AX1591" i="10"/>
  <c r="AY1591" i="10" s="1"/>
  <c r="AX1329" i="10"/>
  <c r="AY1329" i="10" s="1"/>
  <c r="AX1003" i="10"/>
  <c r="AY1003" i="10" s="1"/>
  <c r="AX635" i="10"/>
  <c r="AY635" i="10" s="1"/>
  <c r="AX1260" i="10"/>
  <c r="AY1260" i="10" s="1"/>
  <c r="AX1004" i="10"/>
  <c r="AY1004" i="10" s="1"/>
  <c r="AX748" i="10"/>
  <c r="AY748" i="10" s="1"/>
  <c r="AX492" i="10"/>
  <c r="AY492" i="10" s="1"/>
  <c r="AX520" i="10"/>
  <c r="AY520" i="10" s="1"/>
  <c r="AX1109" i="10"/>
  <c r="AY1109" i="10" s="1"/>
  <c r="AX853" i="10"/>
  <c r="AY853" i="10" s="1"/>
  <c r="AX597" i="10"/>
  <c r="AY597" i="10" s="1"/>
  <c r="AX788" i="10"/>
  <c r="AY788" i="10" s="1"/>
  <c r="AX532" i="10"/>
  <c r="AY532" i="10" s="1"/>
  <c r="AX1123" i="10"/>
  <c r="AY1123" i="10" s="1"/>
  <c r="AX867" i="10"/>
  <c r="AY867" i="10" s="1"/>
  <c r="AX611" i="10"/>
  <c r="AY611" i="10" s="1"/>
  <c r="AX738" i="10"/>
  <c r="AY738" i="10" s="1"/>
  <c r="AX482" i="10"/>
  <c r="AY482" i="10" s="1"/>
  <c r="AX728" i="10"/>
  <c r="AY728" i="10" s="1"/>
  <c r="AX1526" i="10"/>
  <c r="AY1526" i="10" s="1"/>
  <c r="AX1632" i="10"/>
  <c r="AY1632" i="10" s="1"/>
  <c r="AX1633" i="10"/>
  <c r="AY1633" i="10" s="1"/>
  <c r="AX1668" i="10"/>
  <c r="AY1668" i="10" s="1"/>
  <c r="AX1083" i="10"/>
  <c r="AY1083" i="10" s="1"/>
  <c r="AX1140" i="10"/>
  <c r="AY1140" i="10" s="1"/>
  <c r="AX718" i="10"/>
  <c r="AY718" i="10" s="1"/>
  <c r="AX505" i="10"/>
  <c r="AY505" i="10" s="1"/>
  <c r="AX507" i="10"/>
  <c r="AY507" i="10" s="1"/>
  <c r="AX1521" i="10"/>
  <c r="AY1521" i="10" s="1"/>
  <c r="AX1066" i="10"/>
  <c r="AY1066" i="10" s="1"/>
  <c r="AX1204" i="10"/>
  <c r="AY1204" i="10" s="1"/>
  <c r="AX1170" i="10"/>
  <c r="AY1170" i="10" s="1"/>
  <c r="AX743" i="10"/>
  <c r="AY743" i="10" s="1"/>
  <c r="AX717" i="10"/>
  <c r="AY717" i="10" s="1"/>
  <c r="AX982" i="10"/>
  <c r="AY982" i="10" s="1"/>
  <c r="AX1302" i="10"/>
  <c r="AY1302" i="10" s="1"/>
  <c r="AX1567" i="10"/>
  <c r="AY1567" i="10" s="1"/>
  <c r="AX681" i="10"/>
  <c r="AY681" i="10" s="1"/>
  <c r="AX1124" i="10"/>
  <c r="AY1124" i="10" s="1"/>
  <c r="AX1488" i="10"/>
  <c r="AY1488" i="10" s="1"/>
  <c r="AX576" i="10"/>
  <c r="AY576" i="10" s="1"/>
  <c r="AX1023" i="10"/>
  <c r="AY1023" i="10" s="1"/>
  <c r="AX1303" i="10"/>
  <c r="AY1303" i="10" s="1"/>
  <c r="AX1017" i="10"/>
  <c r="AY1017" i="10" s="1"/>
  <c r="AX1605" i="10"/>
  <c r="AY1605" i="10" s="1"/>
  <c r="AX1346" i="10"/>
  <c r="AY1346" i="10" s="1"/>
  <c r="AX1022" i="10"/>
  <c r="AY1022" i="10" s="1"/>
  <c r="AX655" i="10"/>
  <c r="AY655" i="10" s="1"/>
  <c r="AX1326" i="10"/>
  <c r="AY1326" i="10" s="1"/>
  <c r="AX1000" i="10"/>
  <c r="AY1000" i="10" s="1"/>
  <c r="AX632" i="10"/>
  <c r="AY632" i="10" s="1"/>
  <c r="AX1571" i="10"/>
  <c r="AY1571" i="10" s="1"/>
  <c r="AX1305" i="10"/>
  <c r="AY1305" i="10" s="1"/>
  <c r="AX976" i="10"/>
  <c r="AY976" i="10" s="1"/>
  <c r="AX1554" i="10"/>
  <c r="AY1554" i="10" s="1"/>
  <c r="AX1284" i="10"/>
  <c r="AY1284" i="10" s="1"/>
  <c r="AX954" i="10"/>
  <c r="AY954" i="10" s="1"/>
  <c r="AX1630" i="10"/>
  <c r="AY1630" i="10" s="1"/>
  <c r="AX1374" i="10"/>
  <c r="AY1374" i="10" s="1"/>
  <c r="AX1055" i="10"/>
  <c r="AY1055" i="10" s="1"/>
  <c r="AX1613" i="10"/>
  <c r="AY1613" i="10" s="1"/>
  <c r="AX1357" i="10"/>
  <c r="AY1357" i="10" s="1"/>
  <c r="AX667" i="10"/>
  <c r="AY667" i="10" s="1"/>
  <c r="AX1596" i="10"/>
  <c r="AY1596" i="10" s="1"/>
  <c r="AX1336" i="10"/>
  <c r="AY1336" i="10" s="1"/>
  <c r="AX641" i="10"/>
  <c r="AY641" i="10" s="1"/>
  <c r="AX1579" i="10"/>
  <c r="AY1579" i="10" s="1"/>
  <c r="AX1578" i="10"/>
  <c r="AY1578" i="10" s="1"/>
  <c r="AX1576" i="10"/>
  <c r="AY1576" i="10" s="1"/>
  <c r="AX1310" i="10"/>
  <c r="AY1310" i="10" s="1"/>
  <c r="AX880" i="10"/>
  <c r="AY880" i="10" s="1"/>
  <c r="AX1407" i="10"/>
  <c r="AY1407" i="10" s="1"/>
  <c r="AX1162" i="10"/>
  <c r="AY1162" i="10" s="1"/>
  <c r="AX1035" i="10"/>
  <c r="AY1035" i="10" s="1"/>
  <c r="AX1129" i="10"/>
  <c r="AY1129" i="10" s="1"/>
  <c r="AX1651" i="10"/>
  <c r="AY1651" i="10" s="1"/>
  <c r="AX1062" i="10"/>
  <c r="AY1062" i="10" s="1"/>
  <c r="AX1437" i="10"/>
  <c r="AY1437" i="10" s="1"/>
  <c r="AX1117" i="10"/>
  <c r="AY1117" i="10" s="1"/>
  <c r="AX1462" i="10"/>
  <c r="AY1462" i="10" s="1"/>
  <c r="AX1649" i="10"/>
  <c r="AY1649" i="10" s="1"/>
  <c r="AX1504" i="10"/>
  <c r="AY1504" i="10" s="1"/>
  <c r="AX1585" i="10"/>
  <c r="AY1585" i="10" s="1"/>
  <c r="AX1151" i="10"/>
  <c r="AY1151" i="10" s="1"/>
  <c r="AX1015" i="10"/>
  <c r="AY1015" i="10" s="1"/>
  <c r="AX810" i="10"/>
  <c r="AY810" i="10" s="1"/>
  <c r="AX775" i="10"/>
  <c r="AY775" i="10" s="1"/>
  <c r="AX926" i="10"/>
  <c r="AY926" i="10" s="1"/>
  <c r="AX429" i="10"/>
  <c r="AY429" i="10" s="1"/>
  <c r="AX1393" i="10"/>
  <c r="AY1393" i="10" s="1"/>
  <c r="AX890" i="10"/>
  <c r="AY890" i="10" s="1"/>
  <c r="AX1224" i="10"/>
  <c r="AY1224" i="10" s="1"/>
  <c r="AX928" i="10"/>
  <c r="AY928" i="10" s="1"/>
  <c r="AX1589" i="10"/>
  <c r="AY1589" i="10" s="1"/>
  <c r="AX1327" i="10"/>
  <c r="AY1327" i="10" s="1"/>
  <c r="AX1001" i="10"/>
  <c r="AY1001" i="10" s="1"/>
  <c r="AX633" i="10"/>
  <c r="AY633" i="10" s="1"/>
  <c r="AX1572" i="10"/>
  <c r="AY1572" i="10" s="1"/>
  <c r="AX1306" i="10"/>
  <c r="AY1306" i="10" s="1"/>
  <c r="AX977" i="10"/>
  <c r="AY977" i="10" s="1"/>
  <c r="AX607" i="10"/>
  <c r="AY607" i="10" s="1"/>
  <c r="AX1555" i="10"/>
  <c r="AY1555" i="10" s="1"/>
  <c r="AX1286" i="10"/>
  <c r="AY1286" i="10" s="1"/>
  <c r="AX955" i="10"/>
  <c r="AY955" i="10" s="1"/>
  <c r="AX584" i="10"/>
  <c r="AY584" i="10" s="1"/>
  <c r="AX1538" i="10"/>
  <c r="AY1538" i="10" s="1"/>
  <c r="AX1264" i="10"/>
  <c r="AY1264" i="10" s="1"/>
  <c r="AX929" i="10"/>
  <c r="AY929" i="10" s="1"/>
  <c r="AX558" i="10"/>
  <c r="AY558" i="10" s="1"/>
  <c r="AX1358" i="10"/>
  <c r="AY1358" i="10" s="1"/>
  <c r="AX1034" i="10"/>
  <c r="AY1034" i="10" s="1"/>
  <c r="AX669" i="10"/>
  <c r="AY669" i="10" s="1"/>
  <c r="AX1597" i="10"/>
  <c r="AY1597" i="10" s="1"/>
  <c r="AX1012" i="10"/>
  <c r="AY1012" i="10" s="1"/>
  <c r="AX646" i="10"/>
  <c r="AY646" i="10" s="1"/>
  <c r="AX1580" i="10"/>
  <c r="AY1580" i="10" s="1"/>
  <c r="AX1316" i="10"/>
  <c r="AY1316" i="10" s="1"/>
  <c r="AX989" i="10"/>
  <c r="AY989" i="10" s="1"/>
  <c r="AX1563" i="10"/>
  <c r="AY1563" i="10" s="1"/>
  <c r="AX1295" i="10"/>
  <c r="AY1295" i="10" s="1"/>
  <c r="AX967" i="10"/>
  <c r="AY967" i="10" s="1"/>
  <c r="AX593" i="10"/>
  <c r="AY593" i="10" s="1"/>
  <c r="AX1562" i="10"/>
  <c r="AY1562" i="10" s="1"/>
  <c r="AX1294" i="10"/>
  <c r="AY1294" i="10" s="1"/>
  <c r="AX592" i="10"/>
  <c r="AY592" i="10" s="1"/>
  <c r="AX1561" i="10"/>
  <c r="AY1561" i="10" s="1"/>
  <c r="AX1293" i="10"/>
  <c r="AY1293" i="10" s="1"/>
  <c r="AX964" i="10"/>
  <c r="AY964" i="10" s="1"/>
  <c r="AX1560" i="10"/>
  <c r="AY1560" i="10" s="1"/>
  <c r="AX1291" i="10"/>
  <c r="AY1291" i="10" s="1"/>
  <c r="AX961" i="10"/>
  <c r="AY961" i="10" s="1"/>
  <c r="AX1559" i="10"/>
  <c r="AY1559" i="10" s="1"/>
  <c r="AX1290" i="10"/>
  <c r="AY1290" i="10" s="1"/>
  <c r="AX589" i="10"/>
  <c r="AY589" i="10" s="1"/>
  <c r="AX1228" i="10"/>
  <c r="AY1228" i="10" s="1"/>
  <c r="AX1347" i="10"/>
  <c r="AY1347" i="10" s="1"/>
  <c r="AX513" i="10"/>
  <c r="AY513" i="10" s="1"/>
  <c r="AX996" i="10"/>
  <c r="AY996" i="10" s="1"/>
  <c r="AX1130" i="10"/>
  <c r="AY1130" i="10" s="1"/>
  <c r="AX1685" i="10"/>
  <c r="AY1685" i="10" s="1"/>
  <c r="AX1105" i="10"/>
  <c r="AY1105" i="10" s="1"/>
  <c r="AX1378" i="10"/>
  <c r="AY1378" i="10" s="1"/>
  <c r="AX809" i="10"/>
  <c r="AY809" i="10" s="1"/>
  <c r="AX1676" i="10"/>
  <c r="AY1676" i="10" s="1"/>
  <c r="AX1182" i="10"/>
  <c r="AY1182" i="10" s="1"/>
  <c r="AX992" i="10"/>
  <c r="AY992" i="10" s="1"/>
  <c r="AX1099" i="10"/>
  <c r="AY1099" i="10" s="1"/>
  <c r="AX927" i="10"/>
  <c r="AY927" i="10" s="1"/>
  <c r="AX865" i="10"/>
  <c r="AY865" i="10" s="1"/>
  <c r="AX529" i="10"/>
  <c r="AY529" i="10" s="1"/>
  <c r="AX1631" i="10"/>
  <c r="AY1631" i="10" s="1"/>
  <c r="AX670" i="10"/>
  <c r="AY670" i="10" s="1"/>
  <c r="AX1087" i="10"/>
  <c r="AY1087" i="10" s="1"/>
  <c r="AX1648" i="10"/>
  <c r="AY1648" i="10" s="1"/>
  <c r="AX623" i="10"/>
  <c r="AY623" i="10" s="1"/>
  <c r="AX1503" i="10"/>
  <c r="AY1503" i="10" s="1"/>
  <c r="AX587" i="10"/>
  <c r="AY587" i="10" s="1"/>
  <c r="AX937" i="10"/>
  <c r="AY937" i="10" s="1"/>
  <c r="AX1322" i="10"/>
  <c r="AY1322" i="10" s="1"/>
  <c r="AX555" i="10"/>
  <c r="AY555" i="10" s="1"/>
  <c r="AX797" i="10"/>
  <c r="AY797" i="10" s="1"/>
  <c r="AX1144" i="10"/>
  <c r="AY1144" i="10" s="1"/>
  <c r="AX953" i="10"/>
  <c r="AY953" i="10" s="1"/>
  <c r="AX1360" i="10"/>
  <c r="AY1360" i="10" s="1"/>
  <c r="AX838" i="10"/>
  <c r="AY838" i="10" s="1"/>
  <c r="AX1307" i="10"/>
  <c r="AY1307" i="10" s="1"/>
  <c r="AX608" i="10"/>
  <c r="AY608" i="10" s="1"/>
  <c r="AX1287" i="10"/>
  <c r="AY1287" i="10" s="1"/>
  <c r="AX585" i="10"/>
  <c r="AY585" i="10" s="1"/>
  <c r="AX1539" i="10"/>
  <c r="AY1539" i="10" s="1"/>
  <c r="AX1265" i="10"/>
  <c r="AY1265" i="10" s="1"/>
  <c r="AX934" i="10"/>
  <c r="AY934" i="10" s="1"/>
  <c r="AX559" i="10"/>
  <c r="AY559" i="10" s="1"/>
  <c r="AX1522" i="10"/>
  <c r="AY1522" i="10" s="1"/>
  <c r="AX1245" i="10"/>
  <c r="AY1245" i="10" s="1"/>
  <c r="AX907" i="10"/>
  <c r="AY907" i="10" s="1"/>
  <c r="AX535" i="10"/>
  <c r="AY535" i="10" s="1"/>
  <c r="AX1598" i="10"/>
  <c r="AY1598" i="10" s="1"/>
  <c r="AX1338" i="10"/>
  <c r="AY1338" i="10" s="1"/>
  <c r="AX647" i="10"/>
  <c r="AY647" i="10" s="1"/>
  <c r="AX1296" i="10"/>
  <c r="AY1296" i="10" s="1"/>
  <c r="AX968" i="10"/>
  <c r="AY968" i="10" s="1"/>
  <c r="AX943" i="10"/>
  <c r="AY943" i="10" s="1"/>
  <c r="AX1546" i="10"/>
  <c r="AY1546" i="10" s="1"/>
  <c r="AX1273" i="10"/>
  <c r="AY1273" i="10" s="1"/>
  <c r="AX567" i="10"/>
  <c r="AY567" i="10" s="1"/>
  <c r="AX740" i="10"/>
  <c r="AY740" i="10" s="1"/>
  <c r="AX1331" i="10"/>
  <c r="AY1331" i="10" s="1"/>
  <c r="AX1183" i="10"/>
  <c r="AY1183" i="10" s="1"/>
  <c r="AX577" i="10"/>
  <c r="AY577" i="10" s="1"/>
  <c r="AX774" i="10"/>
  <c r="AY774" i="10" s="1"/>
  <c r="AX698" i="10"/>
  <c r="AY698" i="10" s="1"/>
  <c r="AX430" i="10"/>
  <c r="AY430" i="10" s="1"/>
  <c r="AX1016" i="10"/>
  <c r="AY1016" i="10" s="1"/>
  <c r="AX624" i="10"/>
  <c r="AY624" i="10" s="1"/>
  <c r="AX1376" i="10"/>
  <c r="AY1376" i="10" s="1"/>
  <c r="AX1552" i="10"/>
  <c r="AY1552" i="10" s="1"/>
  <c r="AX1457" i="10"/>
  <c r="AY1457" i="10" s="1"/>
  <c r="AX832" i="10"/>
  <c r="AY832" i="10" s="1"/>
  <c r="AX649" i="10"/>
  <c r="AY649" i="10" s="1"/>
  <c r="AX1223" i="10"/>
  <c r="AY1223" i="10" s="1"/>
  <c r="AX1038" i="10"/>
  <c r="AY1038" i="10" s="1"/>
  <c r="AX1424" i="10"/>
  <c r="AY1424" i="10" s="1"/>
  <c r="AX478" i="10"/>
  <c r="AY478" i="10" s="1"/>
  <c r="AX742" i="10"/>
  <c r="AY742" i="10" s="1"/>
  <c r="AX1002" i="10"/>
  <c r="AY1002" i="10" s="1"/>
  <c r="AX1584" i="10"/>
  <c r="AY1584" i="10" s="1"/>
  <c r="AX528" i="10"/>
  <c r="AY528" i="10" s="1"/>
  <c r="AX1439" i="10"/>
  <c r="AY1439" i="10" s="1"/>
  <c r="AX490" i="10"/>
  <c r="AY490" i="10" s="1"/>
  <c r="AX1679" i="10"/>
  <c r="AY1679" i="10" s="1"/>
  <c r="AX843" i="10"/>
  <c r="AY843" i="10" s="1"/>
  <c r="AX1145" i="10"/>
  <c r="AY1145" i="10" s="1"/>
  <c r="AX1573" i="10"/>
  <c r="AY1573" i="10" s="1"/>
  <c r="AX980" i="10"/>
  <c r="AY980" i="10" s="1"/>
  <c r="AX1556" i="10"/>
  <c r="AY1556" i="10" s="1"/>
  <c r="AX957" i="10"/>
  <c r="AY957" i="10" s="1"/>
  <c r="AX648" i="10"/>
  <c r="AY648" i="10" s="1"/>
  <c r="AX912" i="10"/>
  <c r="AY912" i="10" s="1"/>
  <c r="AX1243" i="10"/>
  <c r="AY1243" i="10" s="1"/>
  <c r="AX1520" i="10"/>
  <c r="AY1520" i="10" s="1"/>
  <c r="AX427" i="10"/>
  <c r="AY427" i="10" s="1"/>
  <c r="AX703" i="10"/>
  <c r="AY703" i="10" s="1"/>
  <c r="AX1057" i="10"/>
  <c r="AY1057" i="10" s="1"/>
  <c r="AX1375" i="10"/>
  <c r="AY1375" i="10" s="1"/>
  <c r="AX1686" i="10"/>
  <c r="AY1686" i="10" s="1"/>
  <c r="AX859" i="10"/>
  <c r="AY859" i="10" s="1"/>
  <c r="AX1281" i="10"/>
  <c r="AY1281" i="10" s="1"/>
  <c r="AX1615" i="10"/>
  <c r="AY1615" i="10" s="1"/>
  <c r="AX750" i="10"/>
  <c r="AY750" i="10" s="1"/>
  <c r="AX1060" i="10"/>
  <c r="AY1060" i="10" s="1"/>
  <c r="AX744" i="10"/>
  <c r="AY744" i="10" s="1"/>
  <c r="AX1557" i="10"/>
  <c r="AY1557" i="10" s="1"/>
  <c r="AX1288" i="10"/>
  <c r="AY1288" i="10" s="1"/>
  <c r="AX958" i="10"/>
  <c r="AY958" i="10" s="1"/>
  <c r="AX586" i="10"/>
  <c r="AY586" i="10" s="1"/>
  <c r="AX1540" i="10"/>
  <c r="AY1540" i="10" s="1"/>
  <c r="AX1266" i="10"/>
  <c r="AY1266" i="10" s="1"/>
  <c r="AX935" i="10"/>
  <c r="AY935" i="10" s="1"/>
  <c r="AX560" i="10"/>
  <c r="AY560" i="10" s="1"/>
  <c r="AX1523" i="10"/>
  <c r="AY1523" i="10" s="1"/>
  <c r="AX1246" i="10"/>
  <c r="AY1246" i="10" s="1"/>
  <c r="AX909" i="10"/>
  <c r="AY909" i="10" s="1"/>
  <c r="AX537" i="10"/>
  <c r="AY537" i="10" s="1"/>
  <c r="AX1506" i="10"/>
  <c r="AY1506" i="10" s="1"/>
  <c r="AX1225" i="10"/>
  <c r="AY1225" i="10" s="1"/>
  <c r="AX886" i="10"/>
  <c r="AY886" i="10" s="1"/>
  <c r="AX509" i="10"/>
  <c r="AY509" i="10" s="1"/>
  <c r="AX1582" i="10"/>
  <c r="AY1582" i="10" s="1"/>
  <c r="AX1319" i="10"/>
  <c r="AY1319" i="10" s="1"/>
  <c r="AX991" i="10"/>
  <c r="AY991" i="10" s="1"/>
  <c r="AX622" i="10"/>
  <c r="AY622" i="10" s="1"/>
  <c r="AX1565" i="10"/>
  <c r="AY1565" i="10" s="1"/>
  <c r="AX1297" i="10"/>
  <c r="AY1297" i="10" s="1"/>
  <c r="AX969" i="10"/>
  <c r="AY969" i="10" s="1"/>
  <c r="AX599" i="10"/>
  <c r="AY599" i="10" s="1"/>
  <c r="AX1548" i="10"/>
  <c r="AY1548" i="10" s="1"/>
  <c r="AX1277" i="10"/>
  <c r="AY1277" i="10" s="1"/>
  <c r="AX944" i="10"/>
  <c r="AY944" i="10" s="1"/>
  <c r="AX573" i="10"/>
  <c r="AY573" i="10" s="1"/>
  <c r="AX1531" i="10"/>
  <c r="AY1531" i="10" s="1"/>
  <c r="AX1256" i="10"/>
  <c r="AY1256" i="10" s="1"/>
  <c r="AX921" i="10"/>
  <c r="AY921" i="10" s="1"/>
  <c r="AX550" i="10"/>
  <c r="AY550" i="10" s="1"/>
  <c r="AX1530" i="10"/>
  <c r="AY1530" i="10" s="1"/>
  <c r="AX1255" i="10"/>
  <c r="AY1255" i="10" s="1"/>
  <c r="AX920" i="10"/>
  <c r="AY920" i="10" s="1"/>
  <c r="AX545" i="10"/>
  <c r="AY545" i="10" s="1"/>
  <c r="AX1529" i="10"/>
  <c r="AY1529" i="10" s="1"/>
  <c r="AX1254" i="10"/>
  <c r="AY1254" i="10" s="1"/>
  <c r="AX919" i="10"/>
  <c r="AY919" i="10" s="1"/>
  <c r="AX544" i="10"/>
  <c r="AY544" i="10" s="1"/>
  <c r="AX1528" i="10"/>
  <c r="AY1528" i="10" s="1"/>
  <c r="AX1252" i="10"/>
  <c r="AY1252" i="10" s="1"/>
  <c r="AX918" i="10"/>
  <c r="AY918" i="10" s="1"/>
  <c r="AX543" i="10"/>
  <c r="AY543" i="10" s="1"/>
  <c r="AX1527" i="10"/>
  <c r="AY1527" i="10" s="1"/>
  <c r="AX1250" i="10"/>
  <c r="AY1250" i="10" s="1"/>
  <c r="AX913" i="10"/>
  <c r="AY913" i="10" s="1"/>
  <c r="AX1196" i="10"/>
  <c r="AY1196" i="10" s="1"/>
  <c r="AX428" i="10"/>
  <c r="AY428" i="10" s="1"/>
  <c r="AX456" i="10"/>
  <c r="AY456" i="10" s="1"/>
  <c r="AS29" i="10"/>
  <c r="AR29" i="9"/>
  <c r="AS29" i="9" s="1"/>
  <c r="AY29" i="9" s="1"/>
  <c r="AZ29" i="9" s="1"/>
  <c r="AS127" i="10"/>
  <c r="AR127" i="9"/>
  <c r="AS127" i="9" s="1"/>
  <c r="AY127" i="9" s="1"/>
  <c r="AZ127" i="9" s="1"/>
  <c r="AS75" i="10"/>
  <c r="AR75" i="9"/>
  <c r="AS75" i="9" s="1"/>
  <c r="AY75" i="9" s="1"/>
  <c r="AZ75" i="9" s="1"/>
  <c r="AS157" i="10"/>
  <c r="AR157" i="9"/>
  <c r="AS157" i="9" s="1"/>
  <c r="AY157" i="9" s="1"/>
  <c r="AZ157" i="9" s="1"/>
  <c r="AS155" i="10"/>
  <c r="AR155" i="9"/>
  <c r="AS155" i="9" s="1"/>
  <c r="AY155" i="9" s="1"/>
  <c r="AZ155" i="9" s="1"/>
  <c r="AS183" i="10"/>
  <c r="AR183" i="9"/>
  <c r="AS183" i="9" s="1"/>
  <c r="AY183" i="9" s="1"/>
  <c r="AZ183" i="9" s="1"/>
  <c r="AS128" i="10"/>
  <c r="AR128" i="9"/>
  <c r="AS128" i="9" s="1"/>
  <c r="AY128" i="9" s="1"/>
  <c r="AZ128" i="9" s="1"/>
  <c r="AS222" i="10"/>
  <c r="AR222" i="9"/>
  <c r="AS222" i="9" s="1"/>
  <c r="AY222" i="9" s="1"/>
  <c r="AZ222" i="9" s="1"/>
  <c r="AS326" i="10"/>
  <c r="AR326" i="9"/>
  <c r="AS326" i="9" s="1"/>
  <c r="AY326" i="9" s="1"/>
  <c r="AZ326" i="9" s="1"/>
  <c r="AS285" i="10"/>
  <c r="AR285" i="9"/>
  <c r="AS285" i="9" s="1"/>
  <c r="AY285" i="9" s="1"/>
  <c r="AZ285" i="9" s="1"/>
  <c r="AS103" i="10"/>
  <c r="AR103" i="9"/>
  <c r="AS103" i="9" s="1"/>
  <c r="AY103" i="9" s="1"/>
  <c r="AZ103" i="9" s="1"/>
  <c r="AS224" i="10"/>
  <c r="AR224" i="9"/>
  <c r="AS224" i="9" s="1"/>
  <c r="AY224" i="9" s="1"/>
  <c r="AZ224" i="9" s="1"/>
  <c r="AS400" i="10"/>
  <c r="AR400" i="9"/>
  <c r="AS400" i="9" s="1"/>
  <c r="AY400" i="9" s="1"/>
  <c r="AZ400" i="9" s="1"/>
  <c r="AS273" i="10"/>
  <c r="AR273" i="9"/>
  <c r="AS273" i="9" s="1"/>
  <c r="AY273" i="9" s="1"/>
  <c r="AZ273" i="9" s="1"/>
  <c r="AS310" i="10"/>
  <c r="AR310" i="9"/>
  <c r="AS310" i="9" s="1"/>
  <c r="AY310" i="9" s="1"/>
  <c r="AZ310" i="9" s="1"/>
  <c r="AS282" i="10"/>
  <c r="AR282" i="9"/>
  <c r="AS282" i="9" s="1"/>
  <c r="AY282" i="9" s="1"/>
  <c r="AZ282" i="9" s="1"/>
  <c r="AS254" i="10"/>
  <c r="AR254" i="9"/>
  <c r="AS254" i="9" s="1"/>
  <c r="AY254" i="9" s="1"/>
  <c r="AZ254" i="9" s="1"/>
  <c r="AS225" i="10"/>
  <c r="AR225" i="9"/>
  <c r="AS225" i="9" s="1"/>
  <c r="AY225" i="9" s="1"/>
  <c r="AZ225" i="9" s="1"/>
  <c r="AS349" i="10"/>
  <c r="AR349" i="9"/>
  <c r="AS349" i="9" s="1"/>
  <c r="AY349" i="9" s="1"/>
  <c r="AZ349" i="9" s="1"/>
  <c r="AS320" i="10"/>
  <c r="AR320" i="9"/>
  <c r="AS320" i="9" s="1"/>
  <c r="AY320" i="9" s="1"/>
  <c r="AZ320" i="9" s="1"/>
  <c r="AS295" i="10"/>
  <c r="AR295" i="9"/>
  <c r="AS295" i="9" s="1"/>
  <c r="AY295" i="9" s="1"/>
  <c r="AZ295" i="9" s="1"/>
  <c r="AS267" i="10"/>
  <c r="AR267" i="9"/>
  <c r="AS267" i="9" s="1"/>
  <c r="AY267" i="9" s="1"/>
  <c r="AZ267" i="9" s="1"/>
  <c r="AS266" i="10"/>
  <c r="AR266" i="9"/>
  <c r="AS266" i="9" s="1"/>
  <c r="AY266" i="9" s="1"/>
  <c r="AZ266" i="9" s="1"/>
  <c r="AS265" i="10"/>
  <c r="AR265" i="9"/>
  <c r="AS265" i="9" s="1"/>
  <c r="AY265" i="9" s="1"/>
  <c r="AZ265" i="9" s="1"/>
  <c r="AS263" i="10"/>
  <c r="AR263" i="9"/>
  <c r="AS263" i="9" s="1"/>
  <c r="AY263" i="9" s="1"/>
  <c r="AZ263" i="9" s="1"/>
  <c r="AS262" i="10"/>
  <c r="AR262" i="9"/>
  <c r="AS262" i="9" s="1"/>
  <c r="AY262" i="9" s="1"/>
  <c r="AZ262" i="9" s="1"/>
  <c r="AS252" i="10"/>
  <c r="AR252" i="9"/>
  <c r="AS252" i="9" s="1"/>
  <c r="AY252" i="9" s="1"/>
  <c r="AZ252" i="9" s="1"/>
  <c r="AS280" i="10"/>
  <c r="AR280" i="9"/>
  <c r="AS280" i="9" s="1"/>
  <c r="AY280" i="9" s="1"/>
  <c r="AZ280" i="9" s="1"/>
  <c r="AS24" i="10"/>
  <c r="AR24" i="9"/>
  <c r="AS24" i="9" s="1"/>
  <c r="AY24" i="9" s="1"/>
  <c r="AZ24" i="9" s="1"/>
  <c r="AS357" i="10"/>
  <c r="AR357" i="9"/>
  <c r="AS357" i="9" s="1"/>
  <c r="AY357" i="9" s="1"/>
  <c r="AZ357" i="9" s="1"/>
  <c r="AS101" i="10"/>
  <c r="AR101" i="9"/>
  <c r="AS101" i="9" s="1"/>
  <c r="AY101" i="9" s="1"/>
  <c r="AZ101" i="9" s="1"/>
  <c r="AS292" i="10"/>
  <c r="AR292" i="9"/>
  <c r="AS292" i="9" s="1"/>
  <c r="AY292" i="9" s="1"/>
  <c r="AZ292" i="9" s="1"/>
  <c r="AS36" i="10"/>
  <c r="AR36" i="9"/>
  <c r="AS36" i="9" s="1"/>
  <c r="AY36" i="9" s="1"/>
  <c r="AZ36" i="9" s="1"/>
  <c r="AS371" i="10"/>
  <c r="AR371" i="9"/>
  <c r="AS371" i="9" s="1"/>
  <c r="AY371" i="9" s="1"/>
  <c r="AZ371" i="9" s="1"/>
  <c r="AS115" i="10"/>
  <c r="AR115" i="9"/>
  <c r="AS115" i="9" s="1"/>
  <c r="AY115" i="9" s="1"/>
  <c r="AZ115" i="9" s="1"/>
  <c r="AS242" i="10"/>
  <c r="AR242" i="9"/>
  <c r="AS242" i="9" s="1"/>
  <c r="AY242" i="9" s="1"/>
  <c r="AZ242" i="9" s="1"/>
  <c r="AS173" i="10"/>
  <c r="AR173" i="9"/>
  <c r="AS173" i="9" s="1"/>
  <c r="AY173" i="9" s="1"/>
  <c r="AZ173" i="9" s="1"/>
  <c r="AS283" i="10"/>
  <c r="AR283" i="9"/>
  <c r="AS283" i="9" s="1"/>
  <c r="AY283" i="9" s="1"/>
  <c r="AZ283" i="9" s="1"/>
  <c r="AS255" i="10"/>
  <c r="AR255" i="9"/>
  <c r="AS255" i="9" s="1"/>
  <c r="AY255" i="9" s="1"/>
  <c r="AZ255" i="9" s="1"/>
  <c r="AS230" i="10"/>
  <c r="AR230" i="9"/>
  <c r="AS230" i="9" s="1"/>
  <c r="AY230" i="9" s="1"/>
  <c r="AZ230" i="9" s="1"/>
  <c r="AS202" i="10"/>
  <c r="AR202" i="9"/>
  <c r="AS202" i="9" s="1"/>
  <c r="AY202" i="9" s="1"/>
  <c r="AZ202" i="9" s="1"/>
  <c r="AS321" i="10"/>
  <c r="AR321" i="9"/>
  <c r="AS321" i="9" s="1"/>
  <c r="AY321" i="9" s="1"/>
  <c r="AZ321" i="9" s="1"/>
  <c r="AS297" i="10"/>
  <c r="AR297" i="9"/>
  <c r="AS297" i="9" s="1"/>
  <c r="AY297" i="9" s="1"/>
  <c r="AZ297" i="9" s="1"/>
  <c r="AS269" i="10"/>
  <c r="AR269" i="9"/>
  <c r="AS269" i="9" s="1"/>
  <c r="AY269" i="9" s="1"/>
  <c r="AZ269" i="9" s="1"/>
  <c r="AS240" i="10"/>
  <c r="AR240" i="9"/>
  <c r="AS240" i="9" s="1"/>
  <c r="AY240" i="9" s="1"/>
  <c r="AZ240" i="9" s="1"/>
  <c r="AS239" i="10"/>
  <c r="AR239" i="9"/>
  <c r="AS239" i="9" s="1"/>
  <c r="AY239" i="9" s="1"/>
  <c r="AZ239" i="9" s="1"/>
  <c r="AS238" i="10"/>
  <c r="AR238" i="9"/>
  <c r="AS238" i="9" s="1"/>
  <c r="AY238" i="9" s="1"/>
  <c r="AZ238" i="9" s="1"/>
  <c r="AS237" i="10"/>
  <c r="AR237" i="9"/>
  <c r="AS237" i="9" s="1"/>
  <c r="AY237" i="9" s="1"/>
  <c r="AZ237" i="9" s="1"/>
  <c r="AS235" i="10"/>
  <c r="AR235" i="9"/>
  <c r="AS235" i="9" s="1"/>
  <c r="AY235" i="9" s="1"/>
  <c r="AZ235" i="9" s="1"/>
  <c r="AS236" i="10"/>
  <c r="AR236" i="9"/>
  <c r="AS236" i="9" s="1"/>
  <c r="AY236" i="9" s="1"/>
  <c r="AZ236" i="9" s="1"/>
  <c r="AS264" i="10"/>
  <c r="AR264" i="9"/>
  <c r="AS264" i="9" s="1"/>
  <c r="AY264" i="9" s="1"/>
  <c r="AZ264" i="9" s="1"/>
  <c r="AS8" i="10"/>
  <c r="AR8" i="9"/>
  <c r="AS8" i="9" s="1"/>
  <c r="AY8" i="9" s="1"/>
  <c r="AZ8" i="9" s="1"/>
  <c r="AS341" i="10"/>
  <c r="AR341" i="9"/>
  <c r="AS341" i="9" s="1"/>
  <c r="AY341" i="9" s="1"/>
  <c r="AZ341" i="9" s="1"/>
  <c r="AS85" i="10"/>
  <c r="AR85" i="9"/>
  <c r="AS85" i="9" s="1"/>
  <c r="AY85" i="9" s="1"/>
  <c r="AZ85" i="9" s="1"/>
  <c r="AS276" i="10"/>
  <c r="AR276" i="9"/>
  <c r="AS276" i="9" s="1"/>
  <c r="AY276" i="9" s="1"/>
  <c r="AZ276" i="9" s="1"/>
  <c r="AS20" i="10"/>
  <c r="AR20" i="9"/>
  <c r="AS20" i="9" s="1"/>
  <c r="AY20" i="9" s="1"/>
  <c r="AZ20" i="9" s="1"/>
  <c r="AS355" i="10"/>
  <c r="AR355" i="9"/>
  <c r="AS355" i="9" s="1"/>
  <c r="AY355" i="9" s="1"/>
  <c r="AZ355" i="9" s="1"/>
  <c r="AS99" i="10"/>
  <c r="AR99" i="9"/>
  <c r="AS99" i="9" s="1"/>
  <c r="AY99" i="9" s="1"/>
  <c r="AZ99" i="9" s="1"/>
  <c r="AS226" i="10"/>
  <c r="AR226" i="9"/>
  <c r="AS226" i="9" s="1"/>
  <c r="AY226" i="9" s="1"/>
  <c r="AZ226" i="9" s="1"/>
  <c r="AS299" i="10"/>
  <c r="AR299" i="9"/>
  <c r="AS299" i="9" s="1"/>
  <c r="AY299" i="9" s="1"/>
  <c r="AZ299" i="9" s="1"/>
  <c r="AS250" i="10"/>
  <c r="AR250" i="9"/>
  <c r="AS250" i="9" s="1"/>
  <c r="AY250" i="9" s="1"/>
  <c r="AZ250" i="9" s="1"/>
  <c r="AS198" i="10"/>
  <c r="AR198" i="9"/>
  <c r="AS198" i="9" s="1"/>
  <c r="AY198" i="9" s="1"/>
  <c r="AZ198" i="9" s="1"/>
  <c r="AS43" i="10"/>
  <c r="AR43" i="9"/>
  <c r="AS43" i="9" s="1"/>
  <c r="AY43" i="9" s="1"/>
  <c r="AZ43" i="9" s="1"/>
  <c r="AS256" i="10"/>
  <c r="AR256" i="9"/>
  <c r="AS256" i="9" s="1"/>
  <c r="AY256" i="9" s="1"/>
  <c r="AZ256" i="9" s="1"/>
  <c r="AS231" i="10"/>
  <c r="AR231" i="9"/>
  <c r="AS231" i="9" s="1"/>
  <c r="AY231" i="9" s="1"/>
  <c r="AZ231" i="9" s="1"/>
  <c r="AS203" i="10"/>
  <c r="AR203" i="9"/>
  <c r="AS203" i="9" s="1"/>
  <c r="AY203" i="9" s="1"/>
  <c r="AZ203" i="9" s="1"/>
  <c r="AS175" i="10"/>
  <c r="AR175" i="9"/>
  <c r="AS175" i="9" s="1"/>
  <c r="AY175" i="9" s="1"/>
  <c r="AZ175" i="9" s="1"/>
  <c r="AS298" i="10"/>
  <c r="AR298" i="9"/>
  <c r="AS298" i="9" s="1"/>
  <c r="AY298" i="9" s="1"/>
  <c r="AZ298" i="9" s="1"/>
  <c r="AS270" i="10"/>
  <c r="AR270" i="9"/>
  <c r="AS270" i="9" s="1"/>
  <c r="AY270" i="9" s="1"/>
  <c r="AZ270" i="9" s="1"/>
  <c r="AS241" i="10"/>
  <c r="AR241" i="9"/>
  <c r="AS241" i="9" s="1"/>
  <c r="AY241" i="9" s="1"/>
  <c r="AZ241" i="9" s="1"/>
  <c r="AS217" i="10"/>
  <c r="AR217" i="9"/>
  <c r="AS217" i="9" s="1"/>
  <c r="AY217" i="9" s="1"/>
  <c r="AZ217" i="9" s="1"/>
  <c r="AS215" i="10"/>
  <c r="AR215" i="9"/>
  <c r="AS215" i="9" s="1"/>
  <c r="AY215" i="9" s="1"/>
  <c r="AZ215" i="9" s="1"/>
  <c r="AS214" i="10"/>
  <c r="AR214" i="9"/>
  <c r="AS214" i="9" s="1"/>
  <c r="AY214" i="9" s="1"/>
  <c r="AZ214" i="9" s="1"/>
  <c r="AS209" i="10"/>
  <c r="AR209" i="9"/>
  <c r="AS209" i="9" s="1"/>
  <c r="AY209" i="9" s="1"/>
  <c r="AZ209" i="9" s="1"/>
  <c r="AS208" i="10"/>
  <c r="AR208" i="9"/>
  <c r="AS208" i="9" s="1"/>
  <c r="AY208" i="9" s="1"/>
  <c r="AZ208" i="9" s="1"/>
  <c r="AS220" i="10"/>
  <c r="AR220" i="9"/>
  <c r="AS220" i="9" s="1"/>
  <c r="AY220" i="9" s="1"/>
  <c r="AZ220" i="9" s="1"/>
  <c r="AS248" i="10"/>
  <c r="AR248" i="9"/>
  <c r="AS248" i="9" s="1"/>
  <c r="AY248" i="9" s="1"/>
  <c r="AZ248" i="9" s="1"/>
  <c r="AS325" i="10"/>
  <c r="AR325" i="9"/>
  <c r="AS325" i="9" s="1"/>
  <c r="AY325" i="9" s="1"/>
  <c r="AZ325" i="9" s="1"/>
  <c r="AS69" i="10"/>
  <c r="AR69" i="9"/>
  <c r="AS69" i="9" s="1"/>
  <c r="AY69" i="9" s="1"/>
  <c r="AZ69" i="9" s="1"/>
  <c r="AS260" i="10"/>
  <c r="AR260" i="9"/>
  <c r="AS260" i="9" s="1"/>
  <c r="AY260" i="9" s="1"/>
  <c r="AZ260" i="9" s="1"/>
  <c r="AS4" i="10"/>
  <c r="AR4" i="9"/>
  <c r="AS4" i="9" s="1"/>
  <c r="AY4" i="9" s="1"/>
  <c r="AZ4" i="9" s="1"/>
  <c r="AS339" i="10"/>
  <c r="AR339" i="9"/>
  <c r="AS339" i="9" s="1"/>
  <c r="AY339" i="9" s="1"/>
  <c r="AZ339" i="9" s="1"/>
  <c r="AS83" i="10"/>
  <c r="AR83" i="9"/>
  <c r="AS83" i="9" s="1"/>
  <c r="AY83" i="9" s="1"/>
  <c r="AZ83" i="9" s="1"/>
  <c r="AS210" i="10"/>
  <c r="AR210" i="9"/>
  <c r="AS210" i="9" s="1"/>
  <c r="AY210" i="9" s="1"/>
  <c r="AZ210" i="9" s="1"/>
  <c r="AS106" i="10"/>
  <c r="AR106" i="9"/>
  <c r="AS106" i="9" s="1"/>
  <c r="AY106" i="9" s="1"/>
  <c r="AZ106" i="9" s="1"/>
  <c r="AS327" i="10"/>
  <c r="AR327" i="9"/>
  <c r="AS327" i="9" s="1"/>
  <c r="AY327" i="9" s="1"/>
  <c r="AZ327" i="9" s="1"/>
  <c r="AS55" i="10"/>
  <c r="AR55" i="9"/>
  <c r="AS55" i="9" s="1"/>
  <c r="AY55" i="9" s="1"/>
  <c r="AZ55" i="9" s="1"/>
  <c r="AS406" i="10"/>
  <c r="AR406" i="9"/>
  <c r="AS406" i="9" s="1"/>
  <c r="AY406" i="9" s="1"/>
  <c r="AZ406" i="9" s="1"/>
  <c r="AS233" i="10"/>
  <c r="AR233" i="9"/>
  <c r="AS233" i="9" s="1"/>
  <c r="AY233" i="9" s="1"/>
  <c r="AZ233" i="9" s="1"/>
  <c r="AS205" i="10"/>
  <c r="AR205" i="9"/>
  <c r="AS205" i="9" s="1"/>
  <c r="AY205" i="9" s="1"/>
  <c r="AZ205" i="9" s="1"/>
  <c r="AS176" i="10"/>
  <c r="AR176" i="9"/>
  <c r="AS176" i="9" s="1"/>
  <c r="AY176" i="9" s="1"/>
  <c r="AZ176" i="9" s="1"/>
  <c r="AS151" i="10"/>
  <c r="AR151" i="9"/>
  <c r="AS151" i="9" s="1"/>
  <c r="AY151" i="9" s="1"/>
  <c r="AZ151" i="9" s="1"/>
  <c r="AS271" i="10"/>
  <c r="AR271" i="9"/>
  <c r="AS271" i="9" s="1"/>
  <c r="AY271" i="9" s="1"/>
  <c r="AZ271" i="9" s="1"/>
  <c r="AS246" i="10"/>
  <c r="AR246" i="9"/>
  <c r="AS246" i="9" s="1"/>
  <c r="AY246" i="9" s="1"/>
  <c r="AZ246" i="9" s="1"/>
  <c r="AS218" i="10"/>
  <c r="AR218" i="9"/>
  <c r="AS218" i="9" s="1"/>
  <c r="AY218" i="9" s="1"/>
  <c r="AZ218" i="9" s="1"/>
  <c r="AS190" i="10"/>
  <c r="AR190" i="9"/>
  <c r="AS190" i="9" s="1"/>
  <c r="AY190" i="9" s="1"/>
  <c r="AZ190" i="9" s="1"/>
  <c r="AS189" i="10"/>
  <c r="AR189" i="9"/>
  <c r="AS189" i="9" s="1"/>
  <c r="AY189" i="9" s="1"/>
  <c r="AZ189" i="9" s="1"/>
  <c r="AS187" i="10"/>
  <c r="AR187" i="9"/>
  <c r="AS187" i="9" s="1"/>
  <c r="AY187" i="9" s="1"/>
  <c r="AZ187" i="9" s="1"/>
  <c r="AS186" i="10"/>
  <c r="AR186" i="9"/>
  <c r="AS186" i="9" s="1"/>
  <c r="AY186" i="9" s="1"/>
  <c r="AZ186" i="9" s="1"/>
  <c r="AS185" i="10"/>
  <c r="AR185" i="9"/>
  <c r="AS185" i="9" s="1"/>
  <c r="AY185" i="9" s="1"/>
  <c r="AZ185" i="9" s="1"/>
  <c r="AS204" i="10"/>
  <c r="AR204" i="9"/>
  <c r="AS204" i="9" s="1"/>
  <c r="AY204" i="9" s="1"/>
  <c r="AZ204" i="9" s="1"/>
  <c r="AS232" i="10"/>
  <c r="AR232" i="9"/>
  <c r="AS232" i="9" s="1"/>
  <c r="AY232" i="9" s="1"/>
  <c r="AZ232" i="9" s="1"/>
  <c r="AS309" i="10"/>
  <c r="AR309" i="9"/>
  <c r="AS309" i="9" s="1"/>
  <c r="AY309" i="9" s="1"/>
  <c r="AZ309" i="9" s="1"/>
  <c r="AS53" i="10"/>
  <c r="AR53" i="9"/>
  <c r="AS53" i="9" s="1"/>
  <c r="AY53" i="9" s="1"/>
  <c r="AZ53" i="9" s="1"/>
  <c r="AS244" i="10"/>
  <c r="AR244" i="9"/>
  <c r="AS244" i="9" s="1"/>
  <c r="AY244" i="9" s="1"/>
  <c r="AZ244" i="9" s="1"/>
  <c r="AS323" i="10"/>
  <c r="AR323" i="9"/>
  <c r="AS323" i="9" s="1"/>
  <c r="AY323" i="9" s="1"/>
  <c r="AZ323" i="9" s="1"/>
  <c r="AS67" i="10"/>
  <c r="AR67" i="9"/>
  <c r="AS67" i="9" s="1"/>
  <c r="AY67" i="9" s="1"/>
  <c r="AZ67" i="9" s="1"/>
  <c r="AS194" i="10"/>
  <c r="AR194" i="9"/>
  <c r="AS194" i="9" s="1"/>
  <c r="AY194" i="9" s="1"/>
  <c r="AZ194" i="9" s="1"/>
  <c r="AS223" i="10"/>
  <c r="AR223" i="9"/>
  <c r="AS223" i="9" s="1"/>
  <c r="AY223" i="9" s="1"/>
  <c r="AZ223" i="9" s="1"/>
  <c r="AS302" i="10"/>
  <c r="AR302" i="9"/>
  <c r="AS302" i="9" s="1"/>
  <c r="AY302" i="9" s="1"/>
  <c r="AZ302" i="9" s="1"/>
  <c r="AS377" i="10"/>
  <c r="AR377" i="9"/>
  <c r="AS377" i="9" s="1"/>
  <c r="AY377" i="9" s="1"/>
  <c r="AZ377" i="9" s="1"/>
  <c r="AS206" i="10"/>
  <c r="AR206" i="9"/>
  <c r="AS206" i="9" s="1"/>
  <c r="AY206" i="9" s="1"/>
  <c r="AZ206" i="9" s="1"/>
  <c r="AS177" i="10"/>
  <c r="AR177" i="9"/>
  <c r="AS177" i="9" s="1"/>
  <c r="AY177" i="9" s="1"/>
  <c r="AZ177" i="9" s="1"/>
  <c r="AS153" i="10"/>
  <c r="AR153" i="9"/>
  <c r="AS153" i="9" s="1"/>
  <c r="AY153" i="9" s="1"/>
  <c r="AZ153" i="9" s="1"/>
  <c r="AS125" i="10"/>
  <c r="AR125" i="9"/>
  <c r="AS125" i="9" s="1"/>
  <c r="AY125" i="9" s="1"/>
  <c r="AZ125" i="9" s="1"/>
  <c r="AS247" i="10"/>
  <c r="AR247" i="9"/>
  <c r="AS247" i="9" s="1"/>
  <c r="AY247" i="9" s="1"/>
  <c r="AZ247" i="9" s="1"/>
  <c r="AS219" i="10"/>
  <c r="AR219" i="9"/>
  <c r="AS219" i="9" s="1"/>
  <c r="AY219" i="9" s="1"/>
  <c r="AZ219" i="9" s="1"/>
  <c r="AS191" i="10"/>
  <c r="AR191" i="9"/>
  <c r="AS191" i="9" s="1"/>
  <c r="AY191" i="9" s="1"/>
  <c r="AZ191" i="9" s="1"/>
  <c r="AS166" i="10"/>
  <c r="AR166" i="9"/>
  <c r="AS166" i="9" s="1"/>
  <c r="AY166" i="9" s="1"/>
  <c r="AZ166" i="9" s="1"/>
  <c r="AS161" i="10"/>
  <c r="AR161" i="9"/>
  <c r="AS161" i="9" s="1"/>
  <c r="AY161" i="9" s="1"/>
  <c r="AZ161" i="9" s="1"/>
  <c r="AS160" i="10"/>
  <c r="AR160" i="9"/>
  <c r="AS160" i="9" s="1"/>
  <c r="AY160" i="9" s="1"/>
  <c r="AZ160" i="9" s="1"/>
  <c r="AS159" i="10"/>
  <c r="AR159" i="9"/>
  <c r="AS159" i="9" s="1"/>
  <c r="AY159" i="9" s="1"/>
  <c r="AZ159" i="9" s="1"/>
  <c r="AS158" i="10"/>
  <c r="AR158" i="9"/>
  <c r="AS158" i="9" s="1"/>
  <c r="AY158" i="9" s="1"/>
  <c r="AZ158" i="9" s="1"/>
  <c r="AS188" i="10"/>
  <c r="AR188" i="9"/>
  <c r="AS188" i="9" s="1"/>
  <c r="AY188" i="9" s="1"/>
  <c r="AZ188" i="9" s="1"/>
  <c r="AS216" i="10"/>
  <c r="AR216" i="9"/>
  <c r="AS216" i="9" s="1"/>
  <c r="AY216" i="9" s="1"/>
  <c r="AZ216" i="9" s="1"/>
  <c r="AS293" i="10"/>
  <c r="AR293" i="9"/>
  <c r="AS293" i="9" s="1"/>
  <c r="AY293" i="9" s="1"/>
  <c r="AZ293" i="9" s="1"/>
  <c r="AS37" i="10"/>
  <c r="AR37" i="9"/>
  <c r="AS37" i="9" s="1"/>
  <c r="AY37" i="9" s="1"/>
  <c r="AZ37" i="9" s="1"/>
  <c r="AS228" i="10"/>
  <c r="AR228" i="9"/>
  <c r="AS228" i="9" s="1"/>
  <c r="AY228" i="9" s="1"/>
  <c r="AZ228" i="9" s="1"/>
  <c r="AS307" i="10"/>
  <c r="AR307" i="9"/>
  <c r="AS307" i="9" s="1"/>
  <c r="AY307" i="9" s="1"/>
  <c r="AZ307" i="9" s="1"/>
  <c r="AS51" i="10"/>
  <c r="AR51" i="9"/>
  <c r="AS51" i="9" s="1"/>
  <c r="AY51" i="9" s="1"/>
  <c r="AZ51" i="9" s="1"/>
  <c r="AS178" i="10"/>
  <c r="AR178" i="9"/>
  <c r="AS178" i="9" s="1"/>
  <c r="AY178" i="9" s="1"/>
  <c r="AZ178" i="9" s="1"/>
  <c r="AS96" i="10"/>
  <c r="AR96" i="9"/>
  <c r="AS96" i="9" s="1"/>
  <c r="AY96" i="9" s="1"/>
  <c r="AZ96" i="9" s="1"/>
  <c r="AS129" i="10"/>
  <c r="AR129" i="9"/>
  <c r="AS129" i="9" s="1"/>
  <c r="AY129" i="9" s="1"/>
  <c r="AZ129" i="9" s="1"/>
  <c r="AS385" i="10"/>
  <c r="AR385" i="9"/>
  <c r="AS385" i="9" s="1"/>
  <c r="AY385" i="9" s="1"/>
  <c r="AZ385" i="9" s="1"/>
  <c r="AS272" i="10"/>
  <c r="AR272" i="9"/>
  <c r="AS272" i="9" s="1"/>
  <c r="AY272" i="9" s="1"/>
  <c r="AZ272" i="9" s="1"/>
  <c r="AS182" i="10"/>
  <c r="AR182" i="9"/>
  <c r="AS182" i="9" s="1"/>
  <c r="AY182" i="9" s="1"/>
  <c r="AZ182" i="9" s="1"/>
  <c r="AS154" i="10"/>
  <c r="AR154" i="9"/>
  <c r="AS154" i="9" s="1"/>
  <c r="AY154" i="9" s="1"/>
  <c r="AZ154" i="9" s="1"/>
  <c r="AS126" i="10"/>
  <c r="AR126" i="9"/>
  <c r="AS126" i="9" s="1"/>
  <c r="AY126" i="9" s="1"/>
  <c r="AZ126" i="9" s="1"/>
  <c r="AS97" i="10"/>
  <c r="AR97" i="9"/>
  <c r="AS97" i="9" s="1"/>
  <c r="AY97" i="9" s="1"/>
  <c r="AZ97" i="9" s="1"/>
  <c r="AS221" i="10"/>
  <c r="AR221" i="9"/>
  <c r="AS221" i="9" s="1"/>
  <c r="AY221" i="9" s="1"/>
  <c r="AZ221" i="9" s="1"/>
  <c r="AS192" i="10"/>
  <c r="AR192" i="9"/>
  <c r="AS192" i="9" s="1"/>
  <c r="AY192" i="9" s="1"/>
  <c r="AZ192" i="9" s="1"/>
  <c r="AS167" i="10"/>
  <c r="AR167" i="9"/>
  <c r="AS167" i="9" s="1"/>
  <c r="AY167" i="9" s="1"/>
  <c r="AZ167" i="9" s="1"/>
  <c r="AS139" i="10"/>
  <c r="AR139" i="9"/>
  <c r="AS139" i="9" s="1"/>
  <c r="AY139" i="9" s="1"/>
  <c r="AZ139" i="9" s="1"/>
  <c r="AS138" i="10"/>
  <c r="AR138" i="9"/>
  <c r="AS138" i="9" s="1"/>
  <c r="AY138" i="9" s="1"/>
  <c r="AZ138" i="9" s="1"/>
  <c r="AS137" i="10"/>
  <c r="AR137" i="9"/>
  <c r="AS137" i="9" s="1"/>
  <c r="AY137" i="9" s="1"/>
  <c r="AZ137" i="9" s="1"/>
  <c r="AS135" i="10"/>
  <c r="AR135" i="9"/>
  <c r="AS135" i="9" s="1"/>
  <c r="AY135" i="9" s="1"/>
  <c r="AZ135" i="9" s="1"/>
  <c r="AS134" i="10"/>
  <c r="AR134" i="9"/>
  <c r="AS134" i="9" s="1"/>
  <c r="AY134" i="9" s="1"/>
  <c r="AZ134" i="9" s="1"/>
  <c r="AS172" i="10"/>
  <c r="AR172" i="9"/>
  <c r="AS172" i="9" s="1"/>
  <c r="AY172" i="9" s="1"/>
  <c r="AZ172" i="9" s="1"/>
  <c r="AS200" i="10"/>
  <c r="AR200" i="9"/>
  <c r="AS200" i="9" s="1"/>
  <c r="AY200" i="9" s="1"/>
  <c r="AZ200" i="9" s="1"/>
  <c r="AS277" i="10"/>
  <c r="AR277" i="9"/>
  <c r="AS277" i="9" s="1"/>
  <c r="AY277" i="9" s="1"/>
  <c r="AZ277" i="9" s="1"/>
  <c r="AS21" i="10"/>
  <c r="AR21" i="9"/>
  <c r="AS21" i="9" s="1"/>
  <c r="AY21" i="9" s="1"/>
  <c r="AZ21" i="9" s="1"/>
  <c r="AS212" i="10"/>
  <c r="AR212" i="9"/>
  <c r="AS212" i="9" s="1"/>
  <c r="AY212" i="9" s="1"/>
  <c r="AZ212" i="9" s="1"/>
  <c r="AS291" i="10"/>
  <c r="AR291" i="9"/>
  <c r="AS291" i="9" s="1"/>
  <c r="AY291" i="9" s="1"/>
  <c r="AZ291" i="9" s="1"/>
  <c r="AS35" i="10"/>
  <c r="AR35" i="9"/>
  <c r="AS35" i="9" s="1"/>
  <c r="AY35" i="9" s="1"/>
  <c r="AZ35" i="9" s="1"/>
  <c r="AS162" i="10"/>
  <c r="AR162" i="9"/>
  <c r="AS162" i="9" s="1"/>
  <c r="AY162" i="9" s="1"/>
  <c r="AZ162" i="9" s="1"/>
  <c r="AS102" i="10"/>
  <c r="AR102" i="9"/>
  <c r="AS102" i="9" s="1"/>
  <c r="AY102" i="9" s="1"/>
  <c r="AZ102" i="9" s="1"/>
  <c r="AS74" i="10"/>
  <c r="AR74" i="9"/>
  <c r="AS74" i="9" s="1"/>
  <c r="AY74" i="9" s="1"/>
  <c r="AZ74" i="9" s="1"/>
  <c r="AS193" i="10"/>
  <c r="AR193" i="9"/>
  <c r="AS193" i="9" s="1"/>
  <c r="AY193" i="9" s="1"/>
  <c r="AZ193" i="9" s="1"/>
  <c r="AS169" i="10"/>
  <c r="AR169" i="9"/>
  <c r="AS169" i="9" s="1"/>
  <c r="AY169" i="9" s="1"/>
  <c r="AZ169" i="9" s="1"/>
  <c r="AS141" i="10"/>
  <c r="AR141" i="9"/>
  <c r="AS141" i="9" s="1"/>
  <c r="AY141" i="9" s="1"/>
  <c r="AZ141" i="9" s="1"/>
  <c r="AS112" i="10"/>
  <c r="AR112" i="9"/>
  <c r="AS112" i="9" s="1"/>
  <c r="AY112" i="9" s="1"/>
  <c r="AZ112" i="9" s="1"/>
  <c r="AS111" i="10"/>
  <c r="AR111" i="9"/>
  <c r="AS111" i="9" s="1"/>
  <c r="AY111" i="9" s="1"/>
  <c r="AZ111" i="9" s="1"/>
  <c r="AS110" i="10"/>
  <c r="AR110" i="9"/>
  <c r="AS110" i="9" s="1"/>
  <c r="AY110" i="9" s="1"/>
  <c r="AZ110" i="9" s="1"/>
  <c r="AS109" i="10"/>
  <c r="AR109" i="9"/>
  <c r="AS109" i="9" s="1"/>
  <c r="AY109" i="9" s="1"/>
  <c r="AZ109" i="9" s="1"/>
  <c r="AS107" i="10"/>
  <c r="AR107" i="9"/>
  <c r="AS107" i="9" s="1"/>
  <c r="AY107" i="9" s="1"/>
  <c r="AZ107" i="9" s="1"/>
  <c r="AS412" i="10"/>
  <c r="AR412" i="9"/>
  <c r="AS412" i="9" s="1"/>
  <c r="AY412" i="9" s="1"/>
  <c r="AZ412" i="9" s="1"/>
  <c r="AS156" i="10"/>
  <c r="AR156" i="9"/>
  <c r="AS156" i="9" s="1"/>
  <c r="AY156" i="9" s="1"/>
  <c r="AZ156" i="9" s="1"/>
  <c r="AS184" i="10"/>
  <c r="AR184" i="9"/>
  <c r="AS184" i="9" s="1"/>
  <c r="AY184" i="9" s="1"/>
  <c r="AZ184" i="9" s="1"/>
  <c r="AS261" i="10"/>
  <c r="AR261" i="9"/>
  <c r="AS261" i="9" s="1"/>
  <c r="AY261" i="9" s="1"/>
  <c r="AZ261" i="9" s="1"/>
  <c r="AS5" i="10"/>
  <c r="AR5" i="9"/>
  <c r="AS5" i="9" s="1"/>
  <c r="AY5" i="9" s="1"/>
  <c r="AZ5" i="9" s="1"/>
  <c r="AS196" i="10"/>
  <c r="AR196" i="9"/>
  <c r="AS196" i="9" s="1"/>
  <c r="AY196" i="9" s="1"/>
  <c r="AZ196" i="9" s="1"/>
  <c r="AS275" i="10"/>
  <c r="AR275" i="9"/>
  <c r="AS275" i="9" s="1"/>
  <c r="AY275" i="9" s="1"/>
  <c r="AZ275" i="9" s="1"/>
  <c r="AS19" i="10"/>
  <c r="AR19" i="9"/>
  <c r="AS19" i="9" s="1"/>
  <c r="AY19" i="9" s="1"/>
  <c r="AZ19" i="9" s="1"/>
  <c r="AS402" i="10"/>
  <c r="AR402" i="9"/>
  <c r="AS402" i="9" s="1"/>
  <c r="AY402" i="9" s="1"/>
  <c r="AZ402" i="9" s="1"/>
  <c r="AS146" i="10"/>
  <c r="AR146" i="9"/>
  <c r="AS146" i="9" s="1"/>
  <c r="AY146" i="9" s="1"/>
  <c r="AZ146" i="9" s="1"/>
  <c r="AS47" i="10"/>
  <c r="AR47" i="9"/>
  <c r="AS47" i="9" s="1"/>
  <c r="AY47" i="9" s="1"/>
  <c r="AZ47" i="9" s="1"/>
  <c r="AS170" i="10"/>
  <c r="AR170" i="9"/>
  <c r="AS170" i="9" s="1"/>
  <c r="AY170" i="9" s="1"/>
  <c r="AZ170" i="9" s="1"/>
  <c r="AS142" i="10"/>
  <c r="AR142" i="9"/>
  <c r="AS142" i="9" s="1"/>
  <c r="AY142" i="9" s="1"/>
  <c r="AZ142" i="9" s="1"/>
  <c r="AS113" i="10"/>
  <c r="AR113" i="9"/>
  <c r="AS113" i="9" s="1"/>
  <c r="AY113" i="9" s="1"/>
  <c r="AZ113" i="9" s="1"/>
  <c r="AS89" i="10"/>
  <c r="AR89" i="9"/>
  <c r="AS89" i="9" s="1"/>
  <c r="AY89" i="9" s="1"/>
  <c r="AZ89" i="9" s="1"/>
  <c r="AS87" i="10"/>
  <c r="AR87" i="9"/>
  <c r="AS87" i="9" s="1"/>
  <c r="AY87" i="9" s="1"/>
  <c r="AZ87" i="9" s="1"/>
  <c r="AS86" i="10"/>
  <c r="AR86" i="9"/>
  <c r="AS86" i="9" s="1"/>
  <c r="AY86" i="9" s="1"/>
  <c r="AZ86" i="9" s="1"/>
  <c r="AS81" i="10"/>
  <c r="AR81" i="9"/>
  <c r="AS81" i="9" s="1"/>
  <c r="AY81" i="9" s="1"/>
  <c r="AZ81" i="9" s="1"/>
  <c r="AS80" i="10"/>
  <c r="AR80" i="9"/>
  <c r="AS80" i="9" s="1"/>
  <c r="AY80" i="9" s="1"/>
  <c r="AZ80" i="9" s="1"/>
  <c r="AS396" i="10"/>
  <c r="AR396" i="9"/>
  <c r="AS396" i="9" s="1"/>
  <c r="AY396" i="9" s="1"/>
  <c r="AZ396" i="9" s="1"/>
  <c r="AS140" i="10"/>
  <c r="AR140" i="9"/>
  <c r="AS140" i="9" s="1"/>
  <c r="AY140" i="9" s="1"/>
  <c r="AZ140" i="9" s="1"/>
  <c r="AS168" i="10"/>
  <c r="AR168" i="9"/>
  <c r="AS168" i="9" s="1"/>
  <c r="AY168" i="9" s="1"/>
  <c r="AZ168" i="9" s="1"/>
  <c r="AS245" i="10"/>
  <c r="AR245" i="9"/>
  <c r="AS245" i="9" s="1"/>
  <c r="AY245" i="9" s="1"/>
  <c r="AZ245" i="9" s="1"/>
  <c r="AS180" i="10"/>
  <c r="AR180" i="9"/>
  <c r="AS180" i="9" s="1"/>
  <c r="AY180" i="9" s="1"/>
  <c r="AZ180" i="9" s="1"/>
  <c r="AS259" i="10"/>
  <c r="AR259" i="9"/>
  <c r="AS259" i="9" s="1"/>
  <c r="AY259" i="9" s="1"/>
  <c r="AZ259" i="9" s="1"/>
  <c r="AS3" i="10"/>
  <c r="AR3" i="9"/>
  <c r="AS3" i="9" s="1"/>
  <c r="AY3" i="9" s="1"/>
  <c r="AZ3" i="9" s="1"/>
  <c r="AS386" i="10"/>
  <c r="AR386" i="9"/>
  <c r="AS386" i="9" s="1"/>
  <c r="AY386" i="9" s="1"/>
  <c r="AZ386" i="9" s="1"/>
  <c r="AS130" i="10"/>
  <c r="AR130" i="9"/>
  <c r="AS130" i="9" s="1"/>
  <c r="AY130" i="9" s="1"/>
  <c r="AZ130" i="9" s="1"/>
  <c r="AS350" i="10"/>
  <c r="AR350" i="9"/>
  <c r="AS350" i="9" s="1"/>
  <c r="AY350" i="9" s="1"/>
  <c r="AZ350" i="9" s="1"/>
  <c r="AS46" i="10"/>
  <c r="AR46" i="9"/>
  <c r="AS46" i="9" s="1"/>
  <c r="AY46" i="9" s="1"/>
  <c r="AZ46" i="9" s="1"/>
  <c r="AS73" i="10"/>
  <c r="AR73" i="9"/>
  <c r="AS73" i="9" s="1"/>
  <c r="AY73" i="9" s="1"/>
  <c r="AZ73" i="9" s="1"/>
  <c r="AS105" i="10"/>
  <c r="AR105" i="9"/>
  <c r="AS105" i="9" s="1"/>
  <c r="AY105" i="9" s="1"/>
  <c r="AZ105" i="9" s="1"/>
  <c r="AS77" i="10"/>
  <c r="AR77" i="9"/>
  <c r="AS77" i="9" s="1"/>
  <c r="AY77" i="9" s="1"/>
  <c r="AZ77" i="9" s="1"/>
  <c r="AS48" i="10"/>
  <c r="AR48" i="9"/>
  <c r="AS48" i="9" s="1"/>
  <c r="AY48" i="9" s="1"/>
  <c r="AZ48" i="9" s="1"/>
  <c r="AS23" i="10"/>
  <c r="AR23" i="9"/>
  <c r="AS23" i="9" s="1"/>
  <c r="AY23" i="9" s="1"/>
  <c r="AZ23" i="9" s="1"/>
  <c r="AS143" i="10"/>
  <c r="AR143" i="9"/>
  <c r="AS143" i="9" s="1"/>
  <c r="AY143" i="9" s="1"/>
  <c r="AZ143" i="9" s="1"/>
  <c r="AS118" i="10"/>
  <c r="AR118" i="9"/>
  <c r="AS118" i="9" s="1"/>
  <c r="AY118" i="9" s="1"/>
  <c r="AZ118" i="9" s="1"/>
  <c r="AS90" i="10"/>
  <c r="AR90" i="9"/>
  <c r="AS90" i="9" s="1"/>
  <c r="AY90" i="9" s="1"/>
  <c r="AZ90" i="9" s="1"/>
  <c r="AS62" i="10"/>
  <c r="AR62" i="9"/>
  <c r="AS62" i="9" s="1"/>
  <c r="AY62" i="9" s="1"/>
  <c r="AZ62" i="9" s="1"/>
  <c r="AS61" i="10"/>
  <c r="AR61" i="9"/>
  <c r="AS61" i="9" s="1"/>
  <c r="AY61" i="9" s="1"/>
  <c r="AZ61" i="9" s="1"/>
  <c r="AS59" i="10"/>
  <c r="AR59" i="9"/>
  <c r="AS59" i="9" s="1"/>
  <c r="AY59" i="9" s="1"/>
  <c r="AZ59" i="9" s="1"/>
  <c r="AS58" i="10"/>
  <c r="AR58" i="9"/>
  <c r="AS58" i="9" s="1"/>
  <c r="AY58" i="9" s="1"/>
  <c r="AZ58" i="9" s="1"/>
  <c r="AS57" i="10"/>
  <c r="AR57" i="9"/>
  <c r="AS57" i="9" s="1"/>
  <c r="AY57" i="9" s="1"/>
  <c r="AZ57" i="9" s="1"/>
  <c r="AS380" i="10"/>
  <c r="AR380" i="9"/>
  <c r="AS380" i="9" s="1"/>
  <c r="AY380" i="9" s="1"/>
  <c r="AZ380" i="9" s="1"/>
  <c r="AS124" i="10"/>
  <c r="AR124" i="9"/>
  <c r="AS124" i="9" s="1"/>
  <c r="AY124" i="9" s="1"/>
  <c r="AZ124" i="9" s="1"/>
  <c r="AS408" i="10"/>
  <c r="AR408" i="9"/>
  <c r="AS408" i="9" s="1"/>
  <c r="AY408" i="9" s="1"/>
  <c r="AZ408" i="9" s="1"/>
  <c r="AS152" i="10"/>
  <c r="AR152" i="9"/>
  <c r="AS152" i="9" s="1"/>
  <c r="AY152" i="9" s="1"/>
  <c r="AZ152" i="9" s="1"/>
  <c r="AS229" i="10"/>
  <c r="AR229" i="9"/>
  <c r="AS229" i="9" s="1"/>
  <c r="AY229" i="9" s="1"/>
  <c r="AZ229" i="9" s="1"/>
  <c r="AS164" i="10"/>
  <c r="AR164" i="9"/>
  <c r="AS164" i="9" s="1"/>
  <c r="AY164" i="9" s="1"/>
  <c r="AZ164" i="9" s="1"/>
  <c r="AS243" i="10"/>
  <c r="AR243" i="9"/>
  <c r="AS243" i="9" s="1"/>
  <c r="AY243" i="9" s="1"/>
  <c r="AZ243" i="9" s="1"/>
  <c r="AS370" i="10"/>
  <c r="AR370" i="9"/>
  <c r="AS370" i="9" s="1"/>
  <c r="AY370" i="9" s="1"/>
  <c r="AZ370" i="9" s="1"/>
  <c r="AS114" i="10"/>
  <c r="AR114" i="9"/>
  <c r="AS114" i="9" s="1"/>
  <c r="AY114" i="9" s="1"/>
  <c r="AZ114" i="9" s="1"/>
  <c r="AS95" i="10"/>
  <c r="AR95" i="9"/>
  <c r="AS95" i="9" s="1"/>
  <c r="AY95" i="9" s="1"/>
  <c r="AZ95" i="9" s="1"/>
  <c r="AS249" i="10"/>
  <c r="AR249" i="9"/>
  <c r="AS249" i="9" s="1"/>
  <c r="AY249" i="9" s="1"/>
  <c r="AZ249" i="9" s="1"/>
  <c r="AS311" i="10"/>
  <c r="AR311" i="9"/>
  <c r="AS311" i="9" s="1"/>
  <c r="AY311" i="9" s="1"/>
  <c r="AZ311" i="9" s="1"/>
  <c r="AS362" i="10"/>
  <c r="AR362" i="9"/>
  <c r="AS362" i="9" s="1"/>
  <c r="AY362" i="9" s="1"/>
  <c r="AZ362" i="9" s="1"/>
  <c r="AS352" i="10"/>
  <c r="AR352" i="9"/>
  <c r="AS352" i="9" s="1"/>
  <c r="AY352" i="9" s="1"/>
  <c r="AZ352" i="9" s="1"/>
  <c r="AS78" i="10"/>
  <c r="AR78" i="9"/>
  <c r="AS78" i="9" s="1"/>
  <c r="AY78" i="9" s="1"/>
  <c r="AZ78" i="9" s="1"/>
  <c r="AS49" i="10"/>
  <c r="AR49" i="9"/>
  <c r="AS49" i="9" s="1"/>
  <c r="AY49" i="9" s="1"/>
  <c r="AZ49" i="9" s="1"/>
  <c r="AS25" i="10"/>
  <c r="AR25" i="9"/>
  <c r="AS25" i="9" s="1"/>
  <c r="AY25" i="9" s="1"/>
  <c r="AZ25" i="9" s="1"/>
  <c r="AS407" i="10"/>
  <c r="AR407" i="9"/>
  <c r="AS407" i="9" s="1"/>
  <c r="AY407" i="9" s="1"/>
  <c r="AZ407" i="9" s="1"/>
  <c r="AS171" i="10"/>
  <c r="AR171" i="9"/>
  <c r="AS171" i="9" s="1"/>
  <c r="AY171" i="9" s="1"/>
  <c r="AZ171" i="9" s="1"/>
  <c r="AS119" i="10"/>
  <c r="AR119" i="9"/>
  <c r="AS119" i="9" s="1"/>
  <c r="AY119" i="9" s="1"/>
  <c r="AZ119" i="9" s="1"/>
  <c r="AS91" i="10"/>
  <c r="AR91" i="9"/>
  <c r="AS91" i="9" s="1"/>
  <c r="AY91" i="9" s="1"/>
  <c r="AZ91" i="9" s="1"/>
  <c r="AS63" i="10"/>
  <c r="AR63" i="9"/>
  <c r="AS63" i="9" s="1"/>
  <c r="AY63" i="9" s="1"/>
  <c r="AZ63" i="9" s="1"/>
  <c r="AS38" i="10"/>
  <c r="AR38" i="9"/>
  <c r="AS38" i="9" s="1"/>
  <c r="AY38" i="9" s="1"/>
  <c r="AZ38" i="9" s="1"/>
  <c r="AS33" i="10"/>
  <c r="AR33" i="9"/>
  <c r="AS33" i="9" s="1"/>
  <c r="AY33" i="9" s="1"/>
  <c r="AZ33" i="9" s="1"/>
  <c r="AS32" i="10"/>
  <c r="AR32" i="9"/>
  <c r="AS32" i="9" s="1"/>
  <c r="AY32" i="9" s="1"/>
  <c r="AZ32" i="9" s="1"/>
  <c r="AS31" i="10"/>
  <c r="AR31" i="9"/>
  <c r="AS31" i="9" s="1"/>
  <c r="AY31" i="9" s="1"/>
  <c r="AZ31" i="9" s="1"/>
  <c r="AS30" i="10"/>
  <c r="AR30" i="9"/>
  <c r="AS30" i="9" s="1"/>
  <c r="AY30" i="9" s="1"/>
  <c r="AZ30" i="9" s="1"/>
  <c r="AS364" i="10"/>
  <c r="AR364" i="9"/>
  <c r="AS364" i="9" s="1"/>
  <c r="AY364" i="9" s="1"/>
  <c r="AZ364" i="9" s="1"/>
  <c r="AS108" i="10"/>
  <c r="AR108" i="9"/>
  <c r="AS108" i="9" s="1"/>
  <c r="AY108" i="9" s="1"/>
  <c r="AZ108" i="9" s="1"/>
  <c r="AS392" i="10"/>
  <c r="AR392" i="9"/>
  <c r="AS392" i="9" s="1"/>
  <c r="AY392" i="9" s="1"/>
  <c r="AZ392" i="9" s="1"/>
  <c r="AS136" i="10"/>
  <c r="AR136" i="9"/>
  <c r="AS136" i="9" s="1"/>
  <c r="AY136" i="9" s="1"/>
  <c r="AZ136" i="9" s="1"/>
  <c r="AS213" i="10"/>
  <c r="AR213" i="9"/>
  <c r="AS213" i="9" s="1"/>
  <c r="AY213" i="9" s="1"/>
  <c r="AZ213" i="9" s="1"/>
  <c r="AS404" i="10"/>
  <c r="AR404" i="9"/>
  <c r="AS404" i="9" s="1"/>
  <c r="AY404" i="9" s="1"/>
  <c r="AZ404" i="9" s="1"/>
  <c r="AS148" i="10"/>
  <c r="AR148" i="9"/>
  <c r="AS148" i="9" s="1"/>
  <c r="AY148" i="9" s="1"/>
  <c r="AZ148" i="9" s="1"/>
  <c r="AS227" i="10"/>
  <c r="AR227" i="9"/>
  <c r="AS227" i="9" s="1"/>
  <c r="AY227" i="9" s="1"/>
  <c r="AZ227" i="9" s="1"/>
  <c r="AS354" i="10"/>
  <c r="AR354" i="9"/>
  <c r="AS354" i="9" s="1"/>
  <c r="AY354" i="9" s="1"/>
  <c r="AZ354" i="9" s="1"/>
  <c r="AS98" i="10"/>
  <c r="AR98" i="9"/>
  <c r="AS98" i="9" s="1"/>
  <c r="AY98" i="9" s="1"/>
  <c r="AZ98" i="9" s="1"/>
  <c r="AS123" i="10"/>
  <c r="AR123" i="9"/>
  <c r="AS123" i="9" s="1"/>
  <c r="AY123" i="9" s="1"/>
  <c r="AZ123" i="9" s="1"/>
  <c r="AS207" i="10"/>
  <c r="AR207" i="9"/>
  <c r="AS207" i="9" s="1"/>
  <c r="AY207" i="9" s="1"/>
  <c r="AZ207" i="9" s="1"/>
  <c r="AS379" i="10"/>
  <c r="AR379" i="9"/>
  <c r="AS379" i="9" s="1"/>
  <c r="AY379" i="9" s="1"/>
  <c r="AZ379" i="9" s="1"/>
  <c r="AS257" i="10"/>
  <c r="AR257" i="9"/>
  <c r="AS257" i="9" s="1"/>
  <c r="AY257" i="9" s="1"/>
  <c r="AZ257" i="9" s="1"/>
  <c r="AS251" i="10"/>
  <c r="AR251" i="9"/>
  <c r="AS251" i="9" s="1"/>
  <c r="AY251" i="9" s="1"/>
  <c r="AZ251" i="9" s="1"/>
  <c r="AS54" i="10"/>
  <c r="AR54" i="9"/>
  <c r="AS54" i="9" s="1"/>
  <c r="AY54" i="9" s="1"/>
  <c r="AZ54" i="9" s="1"/>
  <c r="AS26" i="10"/>
  <c r="AR26" i="9"/>
  <c r="AS26" i="9" s="1"/>
  <c r="AY26" i="9" s="1"/>
  <c r="AZ26" i="9" s="1"/>
  <c r="AS409" i="10"/>
  <c r="AR409" i="9"/>
  <c r="AS409" i="9" s="1"/>
  <c r="AY409" i="9" s="1"/>
  <c r="AZ409" i="9" s="1"/>
  <c r="AS381" i="10"/>
  <c r="AR381" i="9"/>
  <c r="AS381" i="9" s="1"/>
  <c r="AY381" i="9" s="1"/>
  <c r="AZ381" i="9" s="1"/>
  <c r="AS144" i="10"/>
  <c r="AR144" i="9"/>
  <c r="AS144" i="9" s="1"/>
  <c r="AY144" i="9" s="1"/>
  <c r="AZ144" i="9" s="1"/>
  <c r="AS93" i="10"/>
  <c r="AR93" i="9"/>
  <c r="AS93" i="9" s="1"/>
  <c r="AY93" i="9" s="1"/>
  <c r="AZ93" i="9" s="1"/>
  <c r="AS64" i="10"/>
  <c r="AR64" i="9"/>
  <c r="AS64" i="9" s="1"/>
  <c r="AY64" i="9" s="1"/>
  <c r="AZ64" i="9" s="1"/>
  <c r="AS39" i="10"/>
  <c r="AR39" i="9"/>
  <c r="AS39" i="9" s="1"/>
  <c r="AY39" i="9" s="1"/>
  <c r="AZ39" i="9" s="1"/>
  <c r="AS11" i="10"/>
  <c r="AR11" i="9"/>
  <c r="AS11" i="9" s="1"/>
  <c r="AY11" i="9" s="1"/>
  <c r="AZ11" i="9" s="1"/>
  <c r="AS10" i="10"/>
  <c r="AR10" i="9"/>
  <c r="AS10" i="9" s="1"/>
  <c r="AY10" i="9" s="1"/>
  <c r="AZ10" i="9" s="1"/>
  <c r="AS9" i="10"/>
  <c r="AR9" i="9"/>
  <c r="AS9" i="9" s="1"/>
  <c r="AY9" i="9" s="1"/>
  <c r="AZ9" i="9" s="1"/>
  <c r="AS7" i="10"/>
  <c r="AR7" i="9"/>
  <c r="AS7" i="9" s="1"/>
  <c r="AY7" i="9" s="1"/>
  <c r="AZ7" i="9" s="1"/>
  <c r="AS6" i="10"/>
  <c r="AR6" i="9"/>
  <c r="AS6" i="9" s="1"/>
  <c r="AY6" i="9" s="1"/>
  <c r="AZ6" i="9" s="1"/>
  <c r="AS348" i="10"/>
  <c r="AR348" i="9"/>
  <c r="AS348" i="9" s="1"/>
  <c r="AY348" i="9" s="1"/>
  <c r="AZ348" i="9" s="1"/>
  <c r="AS92" i="10"/>
  <c r="AR92" i="9"/>
  <c r="AS92" i="9" s="1"/>
  <c r="AY92" i="9" s="1"/>
  <c r="AZ92" i="9" s="1"/>
  <c r="AS376" i="10"/>
  <c r="AR376" i="9"/>
  <c r="AS376" i="9" s="1"/>
  <c r="AY376" i="9" s="1"/>
  <c r="AZ376" i="9" s="1"/>
  <c r="AS120" i="10"/>
  <c r="AR120" i="9"/>
  <c r="AS120" i="9" s="1"/>
  <c r="AY120" i="9" s="1"/>
  <c r="AZ120" i="9" s="1"/>
  <c r="AS197" i="10"/>
  <c r="AR197" i="9"/>
  <c r="AS197" i="9" s="1"/>
  <c r="AY197" i="9" s="1"/>
  <c r="AZ197" i="9" s="1"/>
  <c r="AS388" i="10"/>
  <c r="AR388" i="9"/>
  <c r="AS388" i="9" s="1"/>
  <c r="AY388" i="9" s="1"/>
  <c r="AZ388" i="9" s="1"/>
  <c r="AS132" i="10"/>
  <c r="AR132" i="9"/>
  <c r="AS132" i="9" s="1"/>
  <c r="AY132" i="9" s="1"/>
  <c r="AZ132" i="9" s="1"/>
  <c r="AS211" i="10"/>
  <c r="AR211" i="9"/>
  <c r="AS211" i="9" s="1"/>
  <c r="AY211" i="9" s="1"/>
  <c r="AZ211" i="9" s="1"/>
  <c r="AS338" i="10"/>
  <c r="AR338" i="9"/>
  <c r="AS338" i="9" s="1"/>
  <c r="AY338" i="9" s="1"/>
  <c r="AZ338" i="9" s="1"/>
  <c r="AS82" i="10"/>
  <c r="AR82" i="9"/>
  <c r="AS82" i="9" s="1"/>
  <c r="AY82" i="9" s="1"/>
  <c r="AZ82" i="9" s="1"/>
  <c r="AS335" i="10"/>
  <c r="AR335" i="9"/>
  <c r="AS335" i="9" s="1"/>
  <c r="AY335" i="9" s="1"/>
  <c r="AZ335" i="9" s="1"/>
  <c r="AS79" i="10"/>
  <c r="AR79" i="9"/>
  <c r="AS79" i="9" s="1"/>
  <c r="AY79" i="9" s="1"/>
  <c r="AZ79" i="9" s="1"/>
  <c r="AS278" i="10"/>
  <c r="AR278" i="9"/>
  <c r="AS278" i="9" s="1"/>
  <c r="AY278" i="9" s="1"/>
  <c r="AZ278" i="9" s="1"/>
  <c r="AS150" i="10"/>
  <c r="AR150" i="9"/>
  <c r="AS150" i="9" s="1"/>
  <c r="AY150" i="9" s="1"/>
  <c r="AZ150" i="9" s="1"/>
  <c r="AS145" i="10"/>
  <c r="AR145" i="9"/>
  <c r="AS145" i="9" s="1"/>
  <c r="AY145" i="9" s="1"/>
  <c r="AZ145" i="9" s="1"/>
  <c r="AS27" i="10"/>
  <c r="AR27" i="9"/>
  <c r="AS27" i="9" s="1"/>
  <c r="AY27" i="9" s="1"/>
  <c r="AZ27" i="9" s="1"/>
  <c r="AS410" i="10"/>
  <c r="AR410" i="9"/>
  <c r="AS410" i="9" s="1"/>
  <c r="AY410" i="9" s="1"/>
  <c r="AZ410" i="9" s="1"/>
  <c r="AS382" i="10"/>
  <c r="AR382" i="9"/>
  <c r="AS382" i="9" s="1"/>
  <c r="AY382" i="9" s="1"/>
  <c r="AZ382" i="9" s="1"/>
  <c r="AS353" i="10"/>
  <c r="AR353" i="9"/>
  <c r="AS353" i="9" s="1"/>
  <c r="AY353" i="9" s="1"/>
  <c r="AZ353" i="9" s="1"/>
  <c r="AS121" i="10"/>
  <c r="AR121" i="9"/>
  <c r="AS121" i="9" s="1"/>
  <c r="AY121" i="9" s="1"/>
  <c r="AZ121" i="9" s="1"/>
  <c r="AS65" i="10"/>
  <c r="AR65" i="9"/>
  <c r="AS65" i="9" s="1"/>
  <c r="AY65" i="9" s="1"/>
  <c r="AZ65" i="9" s="1"/>
  <c r="AS41" i="10"/>
  <c r="AR41" i="9"/>
  <c r="AS41" i="9" s="1"/>
  <c r="AY41" i="9" s="1"/>
  <c r="AZ41" i="9" s="1"/>
  <c r="AS13" i="10"/>
  <c r="AR13" i="9"/>
  <c r="AS13" i="9" s="1"/>
  <c r="AY13" i="9" s="1"/>
  <c r="AZ13" i="9" s="1"/>
  <c r="AS395" i="10"/>
  <c r="AR395" i="9"/>
  <c r="AS395" i="9" s="1"/>
  <c r="AY395" i="9" s="1"/>
  <c r="AZ395" i="9" s="1"/>
  <c r="AS394" i="10"/>
  <c r="AR394" i="9"/>
  <c r="AS394" i="9" s="1"/>
  <c r="AY394" i="9" s="1"/>
  <c r="AZ394" i="9" s="1"/>
  <c r="AS393" i="10"/>
  <c r="AR393" i="9"/>
  <c r="AS393" i="9" s="1"/>
  <c r="AY393" i="9" s="1"/>
  <c r="AZ393" i="9" s="1"/>
  <c r="AS391" i="10"/>
  <c r="AR391" i="9"/>
  <c r="AS391" i="9" s="1"/>
  <c r="AY391" i="9" s="1"/>
  <c r="AZ391" i="9" s="1"/>
  <c r="AS390" i="10"/>
  <c r="AR390" i="9"/>
  <c r="AS390" i="9" s="1"/>
  <c r="AY390" i="9" s="1"/>
  <c r="AZ390" i="9" s="1"/>
  <c r="AS332" i="10"/>
  <c r="AR332" i="9"/>
  <c r="AS332" i="9" s="1"/>
  <c r="AY332" i="9" s="1"/>
  <c r="AZ332" i="9" s="1"/>
  <c r="AS76" i="10"/>
  <c r="AR76" i="9"/>
  <c r="AS76" i="9" s="1"/>
  <c r="AY76" i="9" s="1"/>
  <c r="AZ76" i="9" s="1"/>
  <c r="AS360" i="10"/>
  <c r="AR360" i="9"/>
  <c r="AS360" i="9" s="1"/>
  <c r="AY360" i="9" s="1"/>
  <c r="AZ360" i="9" s="1"/>
  <c r="AS104" i="10"/>
  <c r="AR104" i="9"/>
  <c r="AS104" i="9" s="1"/>
  <c r="AY104" i="9" s="1"/>
  <c r="AZ104" i="9" s="1"/>
  <c r="AS181" i="10"/>
  <c r="AR181" i="9"/>
  <c r="AS181" i="9" s="1"/>
  <c r="AY181" i="9" s="1"/>
  <c r="AZ181" i="9" s="1"/>
  <c r="AS372" i="10"/>
  <c r="AR372" i="9"/>
  <c r="AS372" i="9" s="1"/>
  <c r="AY372" i="9" s="1"/>
  <c r="AZ372" i="9" s="1"/>
  <c r="AS116" i="10"/>
  <c r="AR116" i="9"/>
  <c r="AS116" i="9" s="1"/>
  <c r="AY116" i="9" s="1"/>
  <c r="AZ116" i="9" s="1"/>
  <c r="AS195" i="10"/>
  <c r="AR195" i="9"/>
  <c r="AS195" i="9" s="1"/>
  <c r="AY195" i="9" s="1"/>
  <c r="AZ195" i="9" s="1"/>
  <c r="AS322" i="10"/>
  <c r="AR322" i="9"/>
  <c r="AS322" i="9" s="1"/>
  <c r="AY322" i="9" s="1"/>
  <c r="AZ322" i="9" s="1"/>
  <c r="AS66" i="10"/>
  <c r="AR66" i="9"/>
  <c r="AS66" i="9" s="1"/>
  <c r="AY66" i="9" s="1"/>
  <c r="AZ66" i="9" s="1"/>
  <c r="AS234" i="10"/>
  <c r="AR234" i="9"/>
  <c r="AS234" i="9" s="1"/>
  <c r="AY234" i="9" s="1"/>
  <c r="AZ234" i="9" s="1"/>
  <c r="AS401" i="10"/>
  <c r="AR401" i="9"/>
  <c r="AS401" i="9" s="1"/>
  <c r="AY401" i="9" s="1"/>
  <c r="AZ401" i="9" s="1"/>
  <c r="AS174" i="10"/>
  <c r="AR174" i="9"/>
  <c r="AS174" i="9" s="1"/>
  <c r="AY174" i="9" s="1"/>
  <c r="AZ174" i="9" s="1"/>
  <c r="AS22" i="10"/>
  <c r="AR22" i="9"/>
  <c r="AS22" i="9" s="1"/>
  <c r="AY22" i="9" s="1"/>
  <c r="AZ22" i="9" s="1"/>
  <c r="AS17" i="10"/>
  <c r="AR17" i="9"/>
  <c r="AS17" i="9" s="1"/>
  <c r="AY17" i="9" s="1"/>
  <c r="AZ17" i="9" s="1"/>
  <c r="AS411" i="10"/>
  <c r="AR411" i="9"/>
  <c r="AS411" i="9" s="1"/>
  <c r="AY411" i="9" s="1"/>
  <c r="AZ411" i="9" s="1"/>
  <c r="AS383" i="10"/>
  <c r="AR383" i="9"/>
  <c r="AS383" i="9" s="1"/>
  <c r="AY383" i="9" s="1"/>
  <c r="AZ383" i="9" s="1"/>
  <c r="AS358" i="10"/>
  <c r="AR358" i="9"/>
  <c r="AS358" i="9" s="1"/>
  <c r="AY358" i="9" s="1"/>
  <c r="AZ358" i="9" s="1"/>
  <c r="AS330" i="10"/>
  <c r="AR330" i="9"/>
  <c r="AS330" i="9" s="1"/>
  <c r="AY330" i="9" s="1"/>
  <c r="AZ330" i="9" s="1"/>
  <c r="AS94" i="10"/>
  <c r="AR94" i="9"/>
  <c r="AS94" i="9" s="1"/>
  <c r="AY94" i="9" s="1"/>
  <c r="AZ94" i="9" s="1"/>
  <c r="AS42" i="10"/>
  <c r="AR42" i="9"/>
  <c r="AS42" i="9" s="1"/>
  <c r="AY42" i="9" s="1"/>
  <c r="AZ42" i="9" s="1"/>
  <c r="AS14" i="10"/>
  <c r="AR14" i="9"/>
  <c r="AS14" i="9" s="1"/>
  <c r="AY14" i="9" s="1"/>
  <c r="AZ14" i="9" s="1"/>
  <c r="AS397" i="10"/>
  <c r="AR397" i="9"/>
  <c r="AS397" i="9" s="1"/>
  <c r="AY397" i="9" s="1"/>
  <c r="AZ397" i="9" s="1"/>
  <c r="AS368" i="10"/>
  <c r="AR368" i="9"/>
  <c r="AS368" i="9" s="1"/>
  <c r="AY368" i="9" s="1"/>
  <c r="AZ368" i="9" s="1"/>
  <c r="AS367" i="10"/>
  <c r="AR367" i="9"/>
  <c r="AS367" i="9" s="1"/>
  <c r="AY367" i="9" s="1"/>
  <c r="AZ367" i="9" s="1"/>
  <c r="AS366" i="10"/>
  <c r="AR366" i="9"/>
  <c r="AS366" i="9" s="1"/>
  <c r="AY366" i="9" s="1"/>
  <c r="AZ366" i="9" s="1"/>
  <c r="AS365" i="10"/>
  <c r="AR365" i="9"/>
  <c r="AS365" i="9" s="1"/>
  <c r="AY365" i="9" s="1"/>
  <c r="AZ365" i="9" s="1"/>
  <c r="AS363" i="10"/>
  <c r="AR363" i="9"/>
  <c r="AS363" i="9" s="1"/>
  <c r="AY363" i="9" s="1"/>
  <c r="AZ363" i="9" s="1"/>
  <c r="AS316" i="10"/>
  <c r="AR316" i="9"/>
  <c r="AS316" i="9" s="1"/>
  <c r="AY316" i="9" s="1"/>
  <c r="AZ316" i="9" s="1"/>
  <c r="AS60" i="10"/>
  <c r="AR60" i="9"/>
  <c r="AS60" i="9" s="1"/>
  <c r="AY60" i="9" s="1"/>
  <c r="AZ60" i="9" s="1"/>
  <c r="AS344" i="10"/>
  <c r="AR344" i="9"/>
  <c r="AS344" i="9" s="1"/>
  <c r="AY344" i="9" s="1"/>
  <c r="AZ344" i="9" s="1"/>
  <c r="AS88" i="10"/>
  <c r="AR88" i="9"/>
  <c r="AS88" i="9" s="1"/>
  <c r="AY88" i="9" s="1"/>
  <c r="AZ88" i="9" s="1"/>
  <c r="AS165" i="10"/>
  <c r="AR165" i="9"/>
  <c r="AS165" i="9" s="1"/>
  <c r="AY165" i="9" s="1"/>
  <c r="AZ165" i="9" s="1"/>
  <c r="AS356" i="10"/>
  <c r="AR356" i="9"/>
  <c r="AS356" i="9" s="1"/>
  <c r="AY356" i="9" s="1"/>
  <c r="AZ356" i="9" s="1"/>
  <c r="AS100" i="10"/>
  <c r="AR100" i="9"/>
  <c r="AS100" i="9" s="1"/>
  <c r="AY100" i="9" s="1"/>
  <c r="AZ100" i="9" s="1"/>
  <c r="AS179" i="10"/>
  <c r="AR179" i="9"/>
  <c r="AS179" i="9" s="1"/>
  <c r="AY179" i="9" s="1"/>
  <c r="AZ179" i="9" s="1"/>
  <c r="AS306" i="10"/>
  <c r="AR306" i="9"/>
  <c r="AS306" i="9" s="1"/>
  <c r="AY306" i="9" s="1"/>
  <c r="AZ306" i="9" s="1"/>
  <c r="AS50" i="10"/>
  <c r="AR50" i="9"/>
  <c r="AS50" i="9" s="1"/>
  <c r="AY50" i="9" s="1"/>
  <c r="AZ50" i="9" s="1"/>
  <c r="AS301" i="10"/>
  <c r="AR301" i="9"/>
  <c r="AS301" i="9" s="1"/>
  <c r="AY301" i="9" s="1"/>
  <c r="AZ301" i="9" s="1"/>
  <c r="AS45" i="10"/>
  <c r="AR45" i="9"/>
  <c r="AS45" i="9" s="1"/>
  <c r="AY45" i="9" s="1"/>
  <c r="AZ45" i="9" s="1"/>
  <c r="AS384" i="10"/>
  <c r="AR384" i="9"/>
  <c r="AS384" i="9" s="1"/>
  <c r="AY384" i="9" s="1"/>
  <c r="AZ384" i="9" s="1"/>
  <c r="AS359" i="10"/>
  <c r="AR359" i="9"/>
  <c r="AS359" i="9" s="1"/>
  <c r="AY359" i="9" s="1"/>
  <c r="AZ359" i="9" s="1"/>
  <c r="AS331" i="10"/>
  <c r="AR331" i="9"/>
  <c r="AS331" i="9" s="1"/>
  <c r="AY331" i="9" s="1"/>
  <c r="AZ331" i="9" s="1"/>
  <c r="AS303" i="10"/>
  <c r="AR303" i="9"/>
  <c r="AS303" i="9" s="1"/>
  <c r="AY303" i="9" s="1"/>
  <c r="AZ303" i="9" s="1"/>
  <c r="AS70" i="10"/>
  <c r="AR70" i="9"/>
  <c r="AS70" i="9" s="1"/>
  <c r="AY70" i="9" s="1"/>
  <c r="AZ70" i="9" s="1"/>
  <c r="AS15" i="10"/>
  <c r="AR15" i="9"/>
  <c r="AS15" i="9" s="1"/>
  <c r="AY15" i="9" s="1"/>
  <c r="AZ15" i="9" s="1"/>
  <c r="AS398" i="10"/>
  <c r="AR398" i="9"/>
  <c r="AS398" i="9" s="1"/>
  <c r="AY398" i="9" s="1"/>
  <c r="AZ398" i="9" s="1"/>
  <c r="AS369" i="10"/>
  <c r="AR369" i="9"/>
  <c r="AS369" i="9" s="1"/>
  <c r="AY369" i="9" s="1"/>
  <c r="AZ369" i="9" s="1"/>
  <c r="AS345" i="10"/>
  <c r="AR345" i="9"/>
  <c r="AS345" i="9" s="1"/>
  <c r="AY345" i="9" s="1"/>
  <c r="AZ345" i="9" s="1"/>
  <c r="AS343" i="10"/>
  <c r="AR343" i="9"/>
  <c r="AS343" i="9" s="1"/>
  <c r="AY343" i="9" s="1"/>
  <c r="AZ343" i="9" s="1"/>
  <c r="AS342" i="10"/>
  <c r="AR342" i="9"/>
  <c r="AS342" i="9" s="1"/>
  <c r="AY342" i="9" s="1"/>
  <c r="AZ342" i="9" s="1"/>
  <c r="AS337" i="10"/>
  <c r="AR337" i="9"/>
  <c r="AS337" i="9" s="1"/>
  <c r="AY337" i="9" s="1"/>
  <c r="AZ337" i="9" s="1"/>
  <c r="AS336" i="10"/>
  <c r="AR336" i="9"/>
  <c r="AS336" i="9" s="1"/>
  <c r="AY336" i="9" s="1"/>
  <c r="AZ336" i="9" s="1"/>
  <c r="AS300" i="10"/>
  <c r="AR300" i="9"/>
  <c r="AS300" i="9" s="1"/>
  <c r="AY300" i="9" s="1"/>
  <c r="AZ300" i="9" s="1"/>
  <c r="AS44" i="10"/>
  <c r="AR44" i="9"/>
  <c r="AS44" i="9" s="1"/>
  <c r="AY44" i="9" s="1"/>
  <c r="AZ44" i="9" s="1"/>
  <c r="AS328" i="10"/>
  <c r="AR328" i="9"/>
  <c r="AS328" i="9" s="1"/>
  <c r="AY328" i="9" s="1"/>
  <c r="AZ328" i="9" s="1"/>
  <c r="AS72" i="10"/>
  <c r="AR72" i="9"/>
  <c r="AS72" i="9" s="1"/>
  <c r="AY72" i="9" s="1"/>
  <c r="AZ72" i="9" s="1"/>
  <c r="AS405" i="10"/>
  <c r="AR405" i="9"/>
  <c r="AS405" i="9" s="1"/>
  <c r="AY405" i="9" s="1"/>
  <c r="AZ405" i="9" s="1"/>
  <c r="AS149" i="10"/>
  <c r="AR149" i="9"/>
  <c r="AS149" i="9" s="1"/>
  <c r="AY149" i="9" s="1"/>
  <c r="AZ149" i="9" s="1"/>
  <c r="AS340" i="10"/>
  <c r="AR340" i="9"/>
  <c r="AS340" i="9" s="1"/>
  <c r="AY340" i="9" s="1"/>
  <c r="AZ340" i="9" s="1"/>
  <c r="AS84" i="10"/>
  <c r="AR84" i="9"/>
  <c r="AS84" i="9" s="1"/>
  <c r="AY84" i="9" s="1"/>
  <c r="AZ84" i="9" s="1"/>
  <c r="AS163" i="10"/>
  <c r="AR163" i="9"/>
  <c r="AS163" i="9" s="1"/>
  <c r="AY163" i="9" s="1"/>
  <c r="AZ163" i="9" s="1"/>
  <c r="AS290" i="10"/>
  <c r="AR290" i="9"/>
  <c r="AS290" i="9" s="1"/>
  <c r="AY290" i="9" s="1"/>
  <c r="AZ290" i="9" s="1"/>
  <c r="AS34" i="10"/>
  <c r="AR34" i="9"/>
  <c r="AS34" i="9" s="1"/>
  <c r="AY34" i="9" s="1"/>
  <c r="AZ34" i="9" s="1"/>
  <c r="AS122" i="10"/>
  <c r="AR122" i="9"/>
  <c r="AS122" i="9" s="1"/>
  <c r="AY122" i="9" s="1"/>
  <c r="AZ122" i="9" s="1"/>
  <c r="AS351" i="10"/>
  <c r="AR351" i="9"/>
  <c r="AS351" i="9" s="1"/>
  <c r="AY351" i="9" s="1"/>
  <c r="AZ351" i="9" s="1"/>
  <c r="AS199" i="10"/>
  <c r="AR199" i="9"/>
  <c r="AS199" i="9" s="1"/>
  <c r="AY199" i="9" s="1"/>
  <c r="AZ199" i="9" s="1"/>
  <c r="AS201" i="10"/>
  <c r="AR201" i="9"/>
  <c r="AS201" i="9" s="1"/>
  <c r="AY201" i="9" s="1"/>
  <c r="AZ201" i="9" s="1"/>
  <c r="AS361" i="10"/>
  <c r="AR361" i="9"/>
  <c r="AS361" i="9" s="1"/>
  <c r="AY361" i="9" s="1"/>
  <c r="AZ361" i="9" s="1"/>
  <c r="AS333" i="10"/>
  <c r="AR333" i="9"/>
  <c r="AS333" i="9" s="1"/>
  <c r="AY333" i="9" s="1"/>
  <c r="AZ333" i="9" s="1"/>
  <c r="AS304" i="10"/>
  <c r="AR304" i="9"/>
  <c r="AS304" i="9" s="1"/>
  <c r="AY304" i="9" s="1"/>
  <c r="AZ304" i="9" s="1"/>
  <c r="AS279" i="10"/>
  <c r="AR279" i="9"/>
  <c r="AS279" i="9" s="1"/>
  <c r="AY279" i="9" s="1"/>
  <c r="AZ279" i="9" s="1"/>
  <c r="AS16" i="10"/>
  <c r="AR16" i="9"/>
  <c r="AS16" i="9" s="1"/>
  <c r="AY16" i="9" s="1"/>
  <c r="AZ16" i="9" s="1"/>
  <c r="AS399" i="10"/>
  <c r="AR399" i="9"/>
  <c r="AS399" i="9" s="1"/>
  <c r="AY399" i="9" s="1"/>
  <c r="AZ399" i="9" s="1"/>
  <c r="AS374" i="10"/>
  <c r="AR374" i="9"/>
  <c r="AS374" i="9" s="1"/>
  <c r="AY374" i="9" s="1"/>
  <c r="AZ374" i="9" s="1"/>
  <c r="AS346" i="10"/>
  <c r="AR346" i="9"/>
  <c r="AS346" i="9" s="1"/>
  <c r="AY346" i="9" s="1"/>
  <c r="AZ346" i="9" s="1"/>
  <c r="AS318" i="10"/>
  <c r="AR318" i="9"/>
  <c r="AS318" i="9" s="1"/>
  <c r="AY318" i="9" s="1"/>
  <c r="AZ318" i="9" s="1"/>
  <c r="AS317" i="10"/>
  <c r="AR317" i="9"/>
  <c r="AS317" i="9" s="1"/>
  <c r="AY317" i="9" s="1"/>
  <c r="AZ317" i="9" s="1"/>
  <c r="AS315" i="10"/>
  <c r="AR315" i="9"/>
  <c r="AS315" i="9" s="1"/>
  <c r="AY315" i="9" s="1"/>
  <c r="AZ315" i="9" s="1"/>
  <c r="AS314" i="10"/>
  <c r="AR314" i="9"/>
  <c r="AS314" i="9" s="1"/>
  <c r="AY314" i="9" s="1"/>
  <c r="AZ314" i="9" s="1"/>
  <c r="AS313" i="10"/>
  <c r="AR313" i="9"/>
  <c r="AS313" i="9" s="1"/>
  <c r="AY313" i="9" s="1"/>
  <c r="AZ313" i="9" s="1"/>
  <c r="AS284" i="10"/>
  <c r="AR284" i="9"/>
  <c r="AS284" i="9" s="1"/>
  <c r="AY284" i="9" s="1"/>
  <c r="AZ284" i="9" s="1"/>
  <c r="AS28" i="10"/>
  <c r="AR28" i="9"/>
  <c r="AS28" i="9" s="1"/>
  <c r="AY28" i="9" s="1"/>
  <c r="AZ28" i="9" s="1"/>
  <c r="AS312" i="10"/>
  <c r="AR312" i="9"/>
  <c r="AS312" i="9" s="1"/>
  <c r="AY312" i="9" s="1"/>
  <c r="AZ312" i="9" s="1"/>
  <c r="AS56" i="10"/>
  <c r="AR56" i="9"/>
  <c r="AS56" i="9" s="1"/>
  <c r="AY56" i="9" s="1"/>
  <c r="AZ56" i="9" s="1"/>
  <c r="AS389" i="10"/>
  <c r="AR389" i="9"/>
  <c r="AS389" i="9" s="1"/>
  <c r="AY389" i="9" s="1"/>
  <c r="AZ389" i="9" s="1"/>
  <c r="AS133" i="10"/>
  <c r="AR133" i="9"/>
  <c r="AS133" i="9" s="1"/>
  <c r="AY133" i="9" s="1"/>
  <c r="AZ133" i="9" s="1"/>
  <c r="AS324" i="10"/>
  <c r="AR324" i="9"/>
  <c r="AS324" i="9" s="1"/>
  <c r="AY324" i="9" s="1"/>
  <c r="AZ324" i="9" s="1"/>
  <c r="AS68" i="10"/>
  <c r="AR68" i="9"/>
  <c r="AS68" i="9" s="1"/>
  <c r="AY68" i="9" s="1"/>
  <c r="AZ68" i="9" s="1"/>
  <c r="AS403" i="10"/>
  <c r="AR403" i="9"/>
  <c r="AS403" i="9" s="1"/>
  <c r="AY403" i="9" s="1"/>
  <c r="AZ403" i="9" s="1"/>
  <c r="AS147" i="10"/>
  <c r="AR147" i="9"/>
  <c r="AS147" i="9" s="1"/>
  <c r="AY147" i="9" s="1"/>
  <c r="AZ147" i="9" s="1"/>
  <c r="AS274" i="10"/>
  <c r="AR274" i="9"/>
  <c r="AS274" i="9" s="1"/>
  <c r="AY274" i="9" s="1"/>
  <c r="AZ274" i="9" s="1"/>
  <c r="AS18" i="10"/>
  <c r="AR18" i="9"/>
  <c r="AS18" i="9" s="1"/>
  <c r="AY18" i="9" s="1"/>
  <c r="AZ18" i="9" s="1"/>
  <c r="AS329" i="10"/>
  <c r="AR329" i="9"/>
  <c r="AS329" i="9" s="1"/>
  <c r="AY329" i="9" s="1"/>
  <c r="AZ329" i="9" s="1"/>
  <c r="AS71" i="10"/>
  <c r="AR71" i="9"/>
  <c r="AS71" i="9" s="1"/>
  <c r="AY71" i="9" s="1"/>
  <c r="AZ71" i="9" s="1"/>
  <c r="AS378" i="10"/>
  <c r="AR378" i="9"/>
  <c r="AS378" i="9" s="1"/>
  <c r="AY378" i="9" s="1"/>
  <c r="AZ378" i="9" s="1"/>
  <c r="AS334" i="10"/>
  <c r="AR334" i="9"/>
  <c r="AS334" i="9" s="1"/>
  <c r="AY334" i="9" s="1"/>
  <c r="AZ334" i="9" s="1"/>
  <c r="AS305" i="10"/>
  <c r="AR305" i="9"/>
  <c r="AS305" i="9" s="1"/>
  <c r="AY305" i="9" s="1"/>
  <c r="AZ305" i="9" s="1"/>
  <c r="AS281" i="10"/>
  <c r="AR281" i="9"/>
  <c r="AS281" i="9" s="1"/>
  <c r="AY281" i="9" s="1"/>
  <c r="AZ281" i="9" s="1"/>
  <c r="AS253" i="10"/>
  <c r="AR253" i="9"/>
  <c r="AS253" i="9" s="1"/>
  <c r="AY253" i="9" s="1"/>
  <c r="AZ253" i="9" s="1"/>
  <c r="AS375" i="10"/>
  <c r="AR375" i="9"/>
  <c r="AS375" i="9" s="1"/>
  <c r="AY375" i="9" s="1"/>
  <c r="AZ375" i="9" s="1"/>
  <c r="AS347" i="10"/>
  <c r="AR347" i="9"/>
  <c r="AS347" i="9" s="1"/>
  <c r="AY347" i="9" s="1"/>
  <c r="AZ347" i="9" s="1"/>
  <c r="AS319" i="10"/>
  <c r="AR319" i="9"/>
  <c r="AS319" i="9" s="1"/>
  <c r="AY319" i="9" s="1"/>
  <c r="AZ319" i="9" s="1"/>
  <c r="AS294" i="10"/>
  <c r="AR294" i="9"/>
  <c r="AS294" i="9" s="1"/>
  <c r="AY294" i="9" s="1"/>
  <c r="AZ294" i="9" s="1"/>
  <c r="AS289" i="10"/>
  <c r="AR289" i="9"/>
  <c r="AS289" i="9" s="1"/>
  <c r="AY289" i="9" s="1"/>
  <c r="AZ289" i="9" s="1"/>
  <c r="AS288" i="10"/>
  <c r="AR288" i="9"/>
  <c r="AS288" i="9" s="1"/>
  <c r="AY288" i="9" s="1"/>
  <c r="AZ288" i="9" s="1"/>
  <c r="AS287" i="10"/>
  <c r="AR287" i="9"/>
  <c r="AS287" i="9" s="1"/>
  <c r="AY287" i="9" s="1"/>
  <c r="AZ287" i="9" s="1"/>
  <c r="AS286" i="10"/>
  <c r="AR286" i="9"/>
  <c r="AS286" i="9" s="1"/>
  <c r="AY286" i="9" s="1"/>
  <c r="AZ286" i="9" s="1"/>
  <c r="AS268" i="10"/>
  <c r="AR268" i="9"/>
  <c r="AS268" i="9" s="1"/>
  <c r="AY268" i="9" s="1"/>
  <c r="AZ268" i="9" s="1"/>
  <c r="AS12" i="10"/>
  <c r="AR12" i="9"/>
  <c r="AS12" i="9" s="1"/>
  <c r="AY12" i="9" s="1"/>
  <c r="AZ12" i="9" s="1"/>
  <c r="AS296" i="10"/>
  <c r="AR296" i="9"/>
  <c r="AS296" i="9" s="1"/>
  <c r="AY296" i="9" s="1"/>
  <c r="AZ296" i="9" s="1"/>
  <c r="AS40" i="10"/>
  <c r="AR40" i="9"/>
  <c r="AS40" i="9" s="1"/>
  <c r="AY40" i="9" s="1"/>
  <c r="AZ40" i="9" s="1"/>
  <c r="AS373" i="10"/>
  <c r="AR373" i="9"/>
  <c r="AS373" i="9" s="1"/>
  <c r="AY373" i="9" s="1"/>
  <c r="AZ373" i="9" s="1"/>
  <c r="AS117" i="10"/>
  <c r="AR117" i="9"/>
  <c r="AS117" i="9" s="1"/>
  <c r="AY117" i="9" s="1"/>
  <c r="AZ117" i="9" s="1"/>
  <c r="AS308" i="10"/>
  <c r="AR308" i="9"/>
  <c r="AS308" i="9" s="1"/>
  <c r="AY308" i="9" s="1"/>
  <c r="AZ308" i="9" s="1"/>
  <c r="AS52" i="10"/>
  <c r="AR52" i="9"/>
  <c r="AS52" i="9" s="1"/>
  <c r="AY52" i="9" s="1"/>
  <c r="AZ52" i="9" s="1"/>
  <c r="AS387" i="10"/>
  <c r="AR387" i="9"/>
  <c r="AS387" i="9" s="1"/>
  <c r="AY387" i="9" s="1"/>
  <c r="AZ387" i="9" s="1"/>
  <c r="AS131" i="10"/>
  <c r="AR131" i="9"/>
  <c r="AS131" i="9" s="1"/>
  <c r="AY131" i="9" s="1"/>
  <c r="AZ131" i="9" s="1"/>
  <c r="AS258" i="10"/>
  <c r="AR258" i="9"/>
  <c r="AS258" i="9" s="1"/>
  <c r="AY258" i="9" s="1"/>
  <c r="AZ258" i="9" s="1"/>
  <c r="AS2" i="10"/>
  <c r="AX2" i="10" s="1"/>
  <c r="AR2" i="9"/>
  <c r="AS2" i="9" s="1"/>
  <c r="AY2" i="9" s="1"/>
  <c r="AZ2" i="9" s="1"/>
  <c r="AX399" i="10" l="1"/>
  <c r="AY399" i="10" s="1"/>
  <c r="AX359" i="10"/>
  <c r="AY359" i="10" s="1"/>
  <c r="AX41" i="10"/>
  <c r="AY41" i="10" s="1"/>
  <c r="AX409" i="10"/>
  <c r="AY409" i="10" s="1"/>
  <c r="AX61" i="10"/>
  <c r="AY61" i="10" s="1"/>
  <c r="AX19" i="10"/>
  <c r="AY19" i="10" s="1"/>
  <c r="AX216" i="10"/>
  <c r="AY216" i="10" s="1"/>
  <c r="AX271" i="10"/>
  <c r="AY271" i="10" s="1"/>
  <c r="AX341" i="10"/>
  <c r="AY341" i="10" s="1"/>
  <c r="AX400" i="10"/>
  <c r="AY400" i="10" s="1"/>
  <c r="AX117" i="10"/>
  <c r="AY117" i="10" s="1"/>
  <c r="AX351" i="10"/>
  <c r="AY351" i="10" s="1"/>
  <c r="AX356" i="10"/>
  <c r="AY356" i="10" s="1"/>
  <c r="AX150" i="10"/>
  <c r="AY150" i="10" s="1"/>
  <c r="AX98" i="10"/>
  <c r="AY98" i="10" s="1"/>
  <c r="AX105" i="10"/>
  <c r="AY105" i="10" s="1"/>
  <c r="AX107" i="10"/>
  <c r="AY107" i="10" s="1"/>
  <c r="AX219" i="10"/>
  <c r="AY219" i="10" s="1"/>
  <c r="AX106" i="10"/>
  <c r="AY106" i="10" s="1"/>
  <c r="AX240" i="10"/>
  <c r="AY240" i="10" s="1"/>
  <c r="AX155" i="10"/>
  <c r="AY155" i="10" s="1"/>
  <c r="AX373" i="10"/>
  <c r="AY373" i="10" s="1"/>
  <c r="AX289" i="10"/>
  <c r="AY289" i="10" s="1"/>
  <c r="AX334" i="10"/>
  <c r="AY334" i="10" s="1"/>
  <c r="AX68" i="10"/>
  <c r="AY68" i="10" s="1"/>
  <c r="AX313" i="10"/>
  <c r="AY313" i="10" s="1"/>
  <c r="AX16" i="10"/>
  <c r="AY16" i="10" s="1"/>
  <c r="AX122" i="10"/>
  <c r="AY122" i="10" s="1"/>
  <c r="AX72" i="10"/>
  <c r="AY72" i="10" s="1"/>
  <c r="AX345" i="10"/>
  <c r="AY345" i="10" s="1"/>
  <c r="AX384" i="10"/>
  <c r="AY384" i="10" s="1"/>
  <c r="AX165" i="10"/>
  <c r="AY165" i="10" s="1"/>
  <c r="AX367" i="10"/>
  <c r="AY367" i="10" s="1"/>
  <c r="AX383" i="10"/>
  <c r="AY383" i="10" s="1"/>
  <c r="AX322" i="10"/>
  <c r="AY322" i="10" s="1"/>
  <c r="AX332" i="10"/>
  <c r="AY332" i="10" s="1"/>
  <c r="AX65" i="10"/>
  <c r="AY65" i="10" s="1"/>
  <c r="AX278" i="10"/>
  <c r="AY278" i="10" s="1"/>
  <c r="AX197" i="10"/>
  <c r="AY197" i="10" s="1"/>
  <c r="AX10" i="10"/>
  <c r="AY10" i="10" s="1"/>
  <c r="AX26" i="10"/>
  <c r="AY26" i="10" s="1"/>
  <c r="AX354" i="10"/>
  <c r="AY354" i="10" s="1"/>
  <c r="AX364" i="10"/>
  <c r="AY364" i="10" s="1"/>
  <c r="AX119" i="10"/>
  <c r="AY119" i="10" s="1"/>
  <c r="AX311" i="10"/>
  <c r="AY311" i="10" s="1"/>
  <c r="AX152" i="10"/>
  <c r="AY152" i="10" s="1"/>
  <c r="AX62" i="10"/>
  <c r="AY62" i="10" s="1"/>
  <c r="AX73" i="10"/>
  <c r="AY73" i="10" s="1"/>
  <c r="AX245" i="10"/>
  <c r="AY245" i="10" s="1"/>
  <c r="AX89" i="10"/>
  <c r="AY89" i="10" s="1"/>
  <c r="AX275" i="10"/>
  <c r="AY275" i="10" s="1"/>
  <c r="AX109" i="10"/>
  <c r="AY109" i="10" s="1"/>
  <c r="AX102" i="10"/>
  <c r="AY102" i="10" s="1"/>
  <c r="AX172" i="10"/>
  <c r="AY172" i="10" s="1"/>
  <c r="AX221" i="10"/>
  <c r="AY221" i="10" s="1"/>
  <c r="AX96" i="10"/>
  <c r="AY96" i="10" s="1"/>
  <c r="AX188" i="10"/>
  <c r="AY188" i="10" s="1"/>
  <c r="AX247" i="10"/>
  <c r="AY247" i="10" s="1"/>
  <c r="AX194" i="10"/>
  <c r="AY194" i="10" s="1"/>
  <c r="AX185" i="10"/>
  <c r="AY185" i="10" s="1"/>
  <c r="AX151" i="10"/>
  <c r="AY151" i="10" s="1"/>
  <c r="AX210" i="10"/>
  <c r="AY210" i="10" s="1"/>
  <c r="AX220" i="10"/>
  <c r="AY220" i="10" s="1"/>
  <c r="AX298" i="10"/>
  <c r="AY298" i="10" s="1"/>
  <c r="AX299" i="10"/>
  <c r="AY299" i="10" s="1"/>
  <c r="AX8" i="10"/>
  <c r="AY8" i="10" s="1"/>
  <c r="AX269" i="10"/>
  <c r="AY269" i="10" s="1"/>
  <c r="AX242" i="10"/>
  <c r="AY242" i="10" s="1"/>
  <c r="AX280" i="10"/>
  <c r="AY280" i="10" s="1"/>
  <c r="AX320" i="10"/>
  <c r="AY320" i="10" s="1"/>
  <c r="AX224" i="10"/>
  <c r="AY224" i="10" s="1"/>
  <c r="AX157" i="10"/>
  <c r="AY157" i="10" s="1"/>
  <c r="AX284" i="10"/>
  <c r="AY284" i="10" s="1"/>
  <c r="AX66" i="10"/>
  <c r="AY66" i="10" s="1"/>
  <c r="AX91" i="10"/>
  <c r="AY91" i="10" s="1"/>
  <c r="AX74" i="10"/>
  <c r="AY74" i="10" s="1"/>
  <c r="AX248" i="10"/>
  <c r="AY248" i="10" s="1"/>
  <c r="AX288" i="10"/>
  <c r="AY288" i="10" s="1"/>
  <c r="AX405" i="10"/>
  <c r="AY405" i="10" s="1"/>
  <c r="AX358" i="10"/>
  <c r="AY358" i="10" s="1"/>
  <c r="AX9" i="10"/>
  <c r="AY9" i="10" s="1"/>
  <c r="AX229" i="10"/>
  <c r="AY229" i="10" s="1"/>
  <c r="AX87" i="10"/>
  <c r="AY87" i="10" s="1"/>
  <c r="AX129" i="10"/>
  <c r="AY129" i="10" s="1"/>
  <c r="AX204" i="10"/>
  <c r="AY204" i="10" s="1"/>
  <c r="AX270" i="10"/>
  <c r="AY270" i="10" s="1"/>
  <c r="AX173" i="10"/>
  <c r="AY173" i="10" s="1"/>
  <c r="AX295" i="10"/>
  <c r="AY295" i="10" s="1"/>
  <c r="AY2" i="10"/>
  <c r="AX40" i="10"/>
  <c r="AY40" i="10" s="1"/>
  <c r="AX294" i="10"/>
  <c r="AY294" i="10" s="1"/>
  <c r="AX378" i="10"/>
  <c r="AY378" i="10" s="1"/>
  <c r="AX324" i="10"/>
  <c r="AY324" i="10" s="1"/>
  <c r="AX314" i="10"/>
  <c r="AY314" i="10" s="1"/>
  <c r="AX279" i="10"/>
  <c r="AY279" i="10" s="1"/>
  <c r="AX34" i="10"/>
  <c r="AY34" i="10" s="1"/>
  <c r="AX328" i="10"/>
  <c r="AY328" i="10" s="1"/>
  <c r="AX369" i="10"/>
  <c r="AY369" i="10" s="1"/>
  <c r="AX45" i="10"/>
  <c r="AY45" i="10" s="1"/>
  <c r="AX88" i="10"/>
  <c r="AY88" i="10" s="1"/>
  <c r="AX368" i="10"/>
  <c r="AY368" i="10" s="1"/>
  <c r="AX411" i="10"/>
  <c r="AY411" i="10" s="1"/>
  <c r="AX195" i="10"/>
  <c r="AY195" i="10" s="1"/>
  <c r="AX390" i="10"/>
  <c r="AY390" i="10" s="1"/>
  <c r="AX121" i="10"/>
  <c r="AY121" i="10" s="1"/>
  <c r="AX79" i="10"/>
  <c r="AY79" i="10" s="1"/>
  <c r="AX120" i="10"/>
  <c r="AY120" i="10" s="1"/>
  <c r="AX11" i="10"/>
  <c r="AY11" i="10" s="1"/>
  <c r="AX54" i="10"/>
  <c r="AY54" i="10" s="1"/>
  <c r="AX227" i="10"/>
  <c r="AY227" i="10" s="1"/>
  <c r="AX30" i="10"/>
  <c r="AY30" i="10" s="1"/>
  <c r="AX171" i="10"/>
  <c r="AY171" i="10" s="1"/>
  <c r="AX249" i="10"/>
  <c r="AY249" i="10" s="1"/>
  <c r="AX408" i="10"/>
  <c r="AY408" i="10" s="1"/>
  <c r="AX90" i="10"/>
  <c r="AY90" i="10" s="1"/>
  <c r="AX46" i="10"/>
  <c r="AY46" i="10" s="1"/>
  <c r="AX168" i="10"/>
  <c r="AY168" i="10" s="1"/>
  <c r="AX113" i="10"/>
  <c r="AY113" i="10" s="1"/>
  <c r="AX196" i="10"/>
  <c r="AY196" i="10" s="1"/>
  <c r="AX110" i="10"/>
  <c r="AY110" i="10" s="1"/>
  <c r="AX162" i="10"/>
  <c r="AY162" i="10" s="1"/>
  <c r="AX134" i="10"/>
  <c r="AY134" i="10" s="1"/>
  <c r="AX97" i="10"/>
  <c r="AY97" i="10" s="1"/>
  <c r="AX178" i="10"/>
  <c r="AY178" i="10" s="1"/>
  <c r="AX158" i="10"/>
  <c r="AY158" i="10" s="1"/>
  <c r="AX125" i="10"/>
  <c r="AY125" i="10" s="1"/>
  <c r="AX67" i="10"/>
  <c r="AY67" i="10" s="1"/>
  <c r="AX186" i="10"/>
  <c r="AY186" i="10" s="1"/>
  <c r="AX176" i="10"/>
  <c r="AY176" i="10" s="1"/>
  <c r="AX83" i="10"/>
  <c r="AY83" i="10" s="1"/>
  <c r="AX208" i="10"/>
  <c r="AY208" i="10" s="1"/>
  <c r="AX175" i="10"/>
  <c r="AY175" i="10" s="1"/>
  <c r="AX226" i="10"/>
  <c r="AY226" i="10" s="1"/>
  <c r="AX264" i="10"/>
  <c r="AY264" i="10" s="1"/>
  <c r="AX297" i="10"/>
  <c r="AY297" i="10" s="1"/>
  <c r="AX115" i="10"/>
  <c r="AY115" i="10" s="1"/>
  <c r="AX252" i="10"/>
  <c r="AY252" i="10" s="1"/>
  <c r="AX349" i="10"/>
  <c r="AY349" i="10" s="1"/>
  <c r="AX103" i="10"/>
  <c r="AY103" i="10" s="1"/>
  <c r="AX75" i="10"/>
  <c r="AY75" i="10" s="1"/>
  <c r="AX403" i="10"/>
  <c r="AY403" i="10" s="1"/>
  <c r="AX343" i="10"/>
  <c r="AY343" i="10" s="1"/>
  <c r="AX76" i="10"/>
  <c r="AY76" i="10" s="1"/>
  <c r="AX388" i="10"/>
  <c r="AY388" i="10" s="1"/>
  <c r="AX362" i="10"/>
  <c r="AY362" i="10" s="1"/>
  <c r="AX180" i="10"/>
  <c r="AY180" i="10" s="1"/>
  <c r="AX192" i="10"/>
  <c r="AY192" i="10" s="1"/>
  <c r="AX223" i="10"/>
  <c r="AY223" i="10" s="1"/>
  <c r="AX250" i="10"/>
  <c r="AY250" i="10" s="1"/>
  <c r="AX305" i="10"/>
  <c r="AY305" i="10" s="1"/>
  <c r="AX366" i="10"/>
  <c r="AY366" i="10" s="1"/>
  <c r="AX108" i="10"/>
  <c r="AY108" i="10" s="1"/>
  <c r="AX200" i="10"/>
  <c r="AY200" i="10" s="1"/>
  <c r="AX24" i="10"/>
  <c r="AY24" i="10" s="1"/>
  <c r="AX258" i="10"/>
  <c r="AY258" i="10" s="1"/>
  <c r="AX296" i="10"/>
  <c r="AY296" i="10" s="1"/>
  <c r="AX319" i="10"/>
  <c r="AY319" i="10" s="1"/>
  <c r="AX71" i="10"/>
  <c r="AY71" i="10" s="1"/>
  <c r="AX133" i="10"/>
  <c r="AY133" i="10" s="1"/>
  <c r="AX315" i="10"/>
  <c r="AY315" i="10" s="1"/>
  <c r="AX304" i="10"/>
  <c r="AY304" i="10" s="1"/>
  <c r="AX290" i="10"/>
  <c r="AY290" i="10" s="1"/>
  <c r="AX44" i="10"/>
  <c r="AY44" i="10" s="1"/>
  <c r="AX398" i="10"/>
  <c r="AY398" i="10" s="1"/>
  <c r="AX301" i="10"/>
  <c r="AY301" i="10" s="1"/>
  <c r="AX344" i="10"/>
  <c r="AY344" i="10" s="1"/>
  <c r="AX397" i="10"/>
  <c r="AY397" i="10" s="1"/>
  <c r="AX17" i="10"/>
  <c r="AY17" i="10" s="1"/>
  <c r="AX116" i="10"/>
  <c r="AY116" i="10" s="1"/>
  <c r="AX391" i="10"/>
  <c r="AY391" i="10" s="1"/>
  <c r="AX353" i="10"/>
  <c r="AY353" i="10" s="1"/>
  <c r="AX335" i="10"/>
  <c r="AY335" i="10" s="1"/>
  <c r="AX376" i="10"/>
  <c r="AY376" i="10" s="1"/>
  <c r="AX39" i="10"/>
  <c r="AY39" i="10" s="1"/>
  <c r="AX251" i="10"/>
  <c r="AY251" i="10" s="1"/>
  <c r="AX148" i="10"/>
  <c r="AY148" i="10" s="1"/>
  <c r="AX31" i="10"/>
  <c r="AY31" i="10" s="1"/>
  <c r="AX407" i="10"/>
  <c r="AY407" i="10" s="1"/>
  <c r="AX95" i="10"/>
  <c r="AY95" i="10" s="1"/>
  <c r="AX124" i="10"/>
  <c r="AY124" i="10" s="1"/>
  <c r="AX118" i="10"/>
  <c r="AY118" i="10" s="1"/>
  <c r="AX350" i="10"/>
  <c r="AY350" i="10" s="1"/>
  <c r="AX140" i="10"/>
  <c r="AY140" i="10" s="1"/>
  <c r="AX142" i="10"/>
  <c r="AY142" i="10" s="1"/>
  <c r="AX5" i="10"/>
  <c r="AY5" i="10" s="1"/>
  <c r="AX111" i="10"/>
  <c r="AY111" i="10" s="1"/>
  <c r="AX35" i="10"/>
  <c r="AY35" i="10" s="1"/>
  <c r="AX135" i="10"/>
  <c r="AY135" i="10" s="1"/>
  <c r="AX126" i="10"/>
  <c r="AY126" i="10" s="1"/>
  <c r="AX51" i="10"/>
  <c r="AY51" i="10" s="1"/>
  <c r="AX159" i="10"/>
  <c r="AY159" i="10" s="1"/>
  <c r="AX153" i="10"/>
  <c r="AY153" i="10" s="1"/>
  <c r="AX323" i="10"/>
  <c r="AY323" i="10" s="1"/>
  <c r="AX187" i="10"/>
  <c r="AY187" i="10" s="1"/>
  <c r="AX205" i="10"/>
  <c r="AY205" i="10" s="1"/>
  <c r="AX339" i="10"/>
  <c r="AY339" i="10" s="1"/>
  <c r="AX209" i="10"/>
  <c r="AY209" i="10" s="1"/>
  <c r="AX203" i="10"/>
  <c r="AY203" i="10" s="1"/>
  <c r="AX99" i="10"/>
  <c r="AY99" i="10" s="1"/>
  <c r="AX236" i="10"/>
  <c r="AY236" i="10" s="1"/>
  <c r="AX321" i="10"/>
  <c r="AY321" i="10" s="1"/>
  <c r="AX371" i="10"/>
  <c r="AY371" i="10" s="1"/>
  <c r="AX262" i="10"/>
  <c r="AY262" i="10" s="1"/>
  <c r="AX225" i="10"/>
  <c r="AY225" i="10" s="1"/>
  <c r="AX285" i="10"/>
  <c r="AY285" i="10" s="1"/>
  <c r="AX127" i="10"/>
  <c r="AY127" i="10" s="1"/>
  <c r="AX389" i="10"/>
  <c r="AY389" i="10" s="1"/>
  <c r="AX60" i="10"/>
  <c r="AY60" i="10" s="1"/>
  <c r="AX92" i="10"/>
  <c r="AY92" i="10" s="1"/>
  <c r="AX32" i="10"/>
  <c r="AY32" i="10" s="1"/>
  <c r="AX380" i="10"/>
  <c r="AY380" i="10" s="1"/>
  <c r="AX261" i="10"/>
  <c r="AY261" i="10" s="1"/>
  <c r="AX154" i="10"/>
  <c r="AY154" i="10" s="1"/>
  <c r="AX244" i="10"/>
  <c r="AY244" i="10" s="1"/>
  <c r="AX4" i="10"/>
  <c r="AY4" i="10" s="1"/>
  <c r="AX235" i="10"/>
  <c r="AY235" i="10" s="1"/>
  <c r="AX202" i="10"/>
  <c r="AY202" i="10" s="1"/>
  <c r="AX131" i="10"/>
  <c r="AY131" i="10" s="1"/>
  <c r="AX329" i="10"/>
  <c r="AY329" i="10" s="1"/>
  <c r="AX163" i="10"/>
  <c r="AY163" i="10" s="1"/>
  <c r="AX50" i="10"/>
  <c r="AY50" i="10" s="1"/>
  <c r="AX372" i="10"/>
  <c r="AY372" i="10" s="1"/>
  <c r="AX382" i="10"/>
  <c r="AY382" i="10" s="1"/>
  <c r="AX257" i="10"/>
  <c r="AY257" i="10" s="1"/>
  <c r="AX25" i="10"/>
  <c r="AY25" i="10" s="1"/>
  <c r="AX114" i="10"/>
  <c r="AY114" i="10" s="1"/>
  <c r="AX396" i="10"/>
  <c r="AY396" i="10" s="1"/>
  <c r="AX137" i="10"/>
  <c r="AY137" i="10" s="1"/>
  <c r="AX177" i="10"/>
  <c r="AY177" i="10" s="1"/>
  <c r="AX189" i="10"/>
  <c r="AY189" i="10" s="1"/>
  <c r="AX214" i="10"/>
  <c r="AY214" i="10" s="1"/>
  <c r="AX36" i="10"/>
  <c r="AY36" i="10" s="1"/>
  <c r="AX387" i="10"/>
  <c r="AY387" i="10" s="1"/>
  <c r="AX268" i="10"/>
  <c r="AY268" i="10" s="1"/>
  <c r="AX375" i="10"/>
  <c r="AY375" i="10" s="1"/>
  <c r="AX18" i="10"/>
  <c r="AY18" i="10" s="1"/>
  <c r="AX56" i="10"/>
  <c r="AY56" i="10" s="1"/>
  <c r="AX318" i="10"/>
  <c r="AY318" i="10" s="1"/>
  <c r="AX361" i="10"/>
  <c r="AY361" i="10" s="1"/>
  <c r="AX84" i="10"/>
  <c r="AY84" i="10" s="1"/>
  <c r="AX336" i="10"/>
  <c r="AY336" i="10" s="1"/>
  <c r="AX70" i="10"/>
  <c r="AY70" i="10" s="1"/>
  <c r="AX306" i="10"/>
  <c r="AY306" i="10" s="1"/>
  <c r="AX316" i="10"/>
  <c r="AY316" i="10" s="1"/>
  <c r="AX42" i="10"/>
  <c r="AY42" i="10" s="1"/>
  <c r="AX174" i="10"/>
  <c r="AY174" i="10" s="1"/>
  <c r="AX181" i="10"/>
  <c r="AY181" i="10" s="1"/>
  <c r="AX394" i="10"/>
  <c r="AY394" i="10" s="1"/>
  <c r="AX410" i="10"/>
  <c r="AY410" i="10" s="1"/>
  <c r="AX338" i="10"/>
  <c r="AY338" i="10" s="1"/>
  <c r="AX348" i="10"/>
  <c r="AY348" i="10" s="1"/>
  <c r="AX93" i="10"/>
  <c r="AY93" i="10" s="1"/>
  <c r="AX379" i="10"/>
  <c r="AY379" i="10" s="1"/>
  <c r="AX213" i="10"/>
  <c r="AY213" i="10" s="1"/>
  <c r="AX33" i="10"/>
  <c r="AY33" i="10" s="1"/>
  <c r="AX49" i="10"/>
  <c r="AY49" i="10" s="1"/>
  <c r="AX370" i="10"/>
  <c r="AY370" i="10" s="1"/>
  <c r="AX57" i="10"/>
  <c r="AY57" i="10" s="1"/>
  <c r="AX23" i="10"/>
  <c r="AY23" i="10" s="1"/>
  <c r="AX386" i="10"/>
  <c r="AY386" i="10" s="1"/>
  <c r="AX80" i="10"/>
  <c r="AY80" i="10" s="1"/>
  <c r="AX47" i="10"/>
  <c r="AY47" i="10" s="1"/>
  <c r="AX184" i="10"/>
  <c r="AY184" i="10" s="1"/>
  <c r="AX141" i="10"/>
  <c r="AY141" i="10" s="1"/>
  <c r="AX212" i="10"/>
  <c r="AY212" i="10" s="1"/>
  <c r="AX138" i="10"/>
  <c r="AY138" i="10" s="1"/>
  <c r="AX182" i="10"/>
  <c r="AY182" i="10" s="1"/>
  <c r="AX228" i="10"/>
  <c r="AY228" i="10" s="1"/>
  <c r="AX161" i="10"/>
  <c r="AY161" i="10" s="1"/>
  <c r="AX206" i="10"/>
  <c r="AY206" i="10" s="1"/>
  <c r="AX53" i="10"/>
  <c r="AY53" i="10" s="1"/>
  <c r="AX190" i="10"/>
  <c r="AY190" i="10" s="1"/>
  <c r="AX406" i="10"/>
  <c r="AY406" i="10" s="1"/>
  <c r="AX260" i="10"/>
  <c r="AY260" i="10" s="1"/>
  <c r="AX215" i="10"/>
  <c r="AY215" i="10" s="1"/>
  <c r="AX256" i="10"/>
  <c r="AY256" i="10" s="1"/>
  <c r="AX20" i="10"/>
  <c r="AY20" i="10" s="1"/>
  <c r="AX237" i="10"/>
  <c r="AY237" i="10" s="1"/>
  <c r="AX230" i="10"/>
  <c r="AY230" i="10" s="1"/>
  <c r="AX333" i="10"/>
  <c r="AY333" i="10" s="1"/>
  <c r="AX393" i="10"/>
  <c r="AY393" i="10" s="1"/>
  <c r="AX143" i="10"/>
  <c r="AY143" i="10" s="1"/>
  <c r="AX355" i="10"/>
  <c r="AY355" i="10" s="1"/>
  <c r="AX347" i="10"/>
  <c r="AY347" i="10" s="1"/>
  <c r="AX317" i="10"/>
  <c r="AY317" i="10" s="1"/>
  <c r="AX300" i="10"/>
  <c r="AY300" i="10" s="1"/>
  <c r="AX14" i="10"/>
  <c r="AY14" i="10" s="1"/>
  <c r="AX82" i="10"/>
  <c r="AY82" i="10" s="1"/>
  <c r="AX404" i="10"/>
  <c r="AY404" i="10" s="1"/>
  <c r="AX130" i="10"/>
  <c r="AY130" i="10" s="1"/>
  <c r="AX112" i="10"/>
  <c r="AY112" i="10" s="1"/>
  <c r="AX291" i="10"/>
  <c r="AY291" i="10" s="1"/>
  <c r="AX307" i="10"/>
  <c r="AY307" i="10" s="1"/>
  <c r="AX233" i="10"/>
  <c r="AY233" i="10" s="1"/>
  <c r="AX52" i="10"/>
  <c r="AY52" i="10" s="1"/>
  <c r="AX286" i="10"/>
  <c r="AY286" i="10" s="1"/>
  <c r="AX253" i="10"/>
  <c r="AY253" i="10" s="1"/>
  <c r="AX274" i="10"/>
  <c r="AY274" i="10" s="1"/>
  <c r="AX312" i="10"/>
  <c r="AY312" i="10" s="1"/>
  <c r="AX346" i="10"/>
  <c r="AY346" i="10" s="1"/>
  <c r="AX201" i="10"/>
  <c r="AY201" i="10" s="1"/>
  <c r="AX340" i="10"/>
  <c r="AY340" i="10" s="1"/>
  <c r="AX337" i="10"/>
  <c r="AY337" i="10" s="1"/>
  <c r="AX303" i="10"/>
  <c r="AY303" i="10" s="1"/>
  <c r="AX179" i="10"/>
  <c r="AY179" i="10" s="1"/>
  <c r="AX363" i="10"/>
  <c r="AY363" i="10" s="1"/>
  <c r="AX94" i="10"/>
  <c r="AY94" i="10" s="1"/>
  <c r="AX401" i="10"/>
  <c r="AY401" i="10" s="1"/>
  <c r="AX104" i="10"/>
  <c r="AY104" i="10" s="1"/>
  <c r="AX395" i="10"/>
  <c r="AY395" i="10" s="1"/>
  <c r="AX27" i="10"/>
  <c r="AY27" i="10" s="1"/>
  <c r="AX211" i="10"/>
  <c r="AY211" i="10" s="1"/>
  <c r="AX6" i="10"/>
  <c r="AY6" i="10" s="1"/>
  <c r="AX144" i="10"/>
  <c r="AY144" i="10" s="1"/>
  <c r="AX207" i="10"/>
  <c r="AY207" i="10" s="1"/>
  <c r="AX136" i="10"/>
  <c r="AY136" i="10" s="1"/>
  <c r="AX38" i="10"/>
  <c r="AY38" i="10" s="1"/>
  <c r="AX78" i="10"/>
  <c r="AY78" i="10" s="1"/>
  <c r="AX243" i="10"/>
  <c r="AY243" i="10" s="1"/>
  <c r="AX58" i="10"/>
  <c r="AY58" i="10" s="1"/>
  <c r="AX48" i="10"/>
  <c r="AY48" i="10" s="1"/>
  <c r="AX3" i="10"/>
  <c r="AY3" i="10" s="1"/>
  <c r="AX81" i="10"/>
  <c r="AY81" i="10" s="1"/>
  <c r="AX146" i="10"/>
  <c r="AY146" i="10" s="1"/>
  <c r="AX156" i="10"/>
  <c r="AY156" i="10" s="1"/>
  <c r="AX169" i="10"/>
  <c r="AY169" i="10" s="1"/>
  <c r="AX21" i="10"/>
  <c r="AY21" i="10" s="1"/>
  <c r="AX139" i="10"/>
  <c r="AY139" i="10" s="1"/>
  <c r="AX272" i="10"/>
  <c r="AY272" i="10" s="1"/>
  <c r="AX37" i="10"/>
  <c r="AY37" i="10" s="1"/>
  <c r="AX166" i="10"/>
  <c r="AY166" i="10" s="1"/>
  <c r="AX377" i="10"/>
  <c r="AY377" i="10" s="1"/>
  <c r="AX309" i="10"/>
  <c r="AY309" i="10" s="1"/>
  <c r="AX218" i="10"/>
  <c r="AY218" i="10" s="1"/>
  <c r="AX55" i="10"/>
  <c r="AY55" i="10" s="1"/>
  <c r="AX69" i="10"/>
  <c r="AY69" i="10" s="1"/>
  <c r="AX217" i="10"/>
  <c r="AY217" i="10" s="1"/>
  <c r="AX43" i="10"/>
  <c r="AY43" i="10" s="1"/>
  <c r="AX276" i="10"/>
  <c r="AY276" i="10" s="1"/>
  <c r="AX238" i="10"/>
  <c r="AY238" i="10" s="1"/>
  <c r="AX255" i="10"/>
  <c r="AY255" i="10" s="1"/>
  <c r="AX22" i="10"/>
  <c r="AY22" i="10" s="1"/>
  <c r="AX160" i="10"/>
  <c r="AY160" i="10" s="1"/>
  <c r="AX12" i="10"/>
  <c r="AY12" i="10" s="1"/>
  <c r="AX15" i="10"/>
  <c r="AY15" i="10" s="1"/>
  <c r="AX64" i="10"/>
  <c r="AY64" i="10" s="1"/>
  <c r="AX170" i="10"/>
  <c r="AY170" i="10" s="1"/>
  <c r="AX231" i="10"/>
  <c r="AY231" i="10" s="1"/>
  <c r="AX308" i="10"/>
  <c r="AY308" i="10" s="1"/>
  <c r="AX287" i="10"/>
  <c r="AY287" i="10" s="1"/>
  <c r="AX281" i="10"/>
  <c r="AY281" i="10" s="1"/>
  <c r="AX147" i="10"/>
  <c r="AY147" i="10" s="1"/>
  <c r="AX28" i="10"/>
  <c r="AY28" i="10" s="1"/>
  <c r="AX374" i="10"/>
  <c r="AY374" i="10" s="1"/>
  <c r="AX199" i="10"/>
  <c r="AY199" i="10" s="1"/>
  <c r="AX149" i="10"/>
  <c r="AY149" i="10" s="1"/>
  <c r="AX342" i="10"/>
  <c r="AY342" i="10" s="1"/>
  <c r="AX331" i="10"/>
  <c r="AY331" i="10" s="1"/>
  <c r="AX100" i="10"/>
  <c r="AY100" i="10" s="1"/>
  <c r="AX365" i="10"/>
  <c r="AY365" i="10" s="1"/>
  <c r="AX330" i="10"/>
  <c r="AY330" i="10" s="1"/>
  <c r="AX234" i="10"/>
  <c r="AY234" i="10" s="1"/>
  <c r="AX360" i="10"/>
  <c r="AY360" i="10" s="1"/>
  <c r="AX13" i="10"/>
  <c r="AY13" i="10" s="1"/>
  <c r="AX145" i="10"/>
  <c r="AY145" i="10" s="1"/>
  <c r="AX132" i="10"/>
  <c r="AY132" i="10" s="1"/>
  <c r="AX7" i="10"/>
  <c r="AY7" i="10" s="1"/>
  <c r="AX381" i="10"/>
  <c r="AY381" i="10" s="1"/>
  <c r="AX123" i="10"/>
  <c r="AY123" i="10" s="1"/>
  <c r="AX392" i="10"/>
  <c r="AY392" i="10" s="1"/>
  <c r="AX63" i="10"/>
  <c r="AY63" i="10" s="1"/>
  <c r="AX352" i="10"/>
  <c r="AY352" i="10" s="1"/>
  <c r="AX164" i="10"/>
  <c r="AY164" i="10" s="1"/>
  <c r="AX59" i="10"/>
  <c r="AY59" i="10" s="1"/>
  <c r="AX77" i="10"/>
  <c r="AY77" i="10" s="1"/>
  <c r="AX259" i="10"/>
  <c r="AY259" i="10" s="1"/>
  <c r="AX86" i="10"/>
  <c r="AY86" i="10" s="1"/>
  <c r="AX402" i="10"/>
  <c r="AY402" i="10" s="1"/>
  <c r="AX412" i="10"/>
  <c r="AY412" i="10" s="1"/>
  <c r="AX193" i="10"/>
  <c r="AY193" i="10" s="1"/>
  <c r="AX277" i="10"/>
  <c r="AY277" i="10" s="1"/>
  <c r="AX167" i="10"/>
  <c r="AY167" i="10" s="1"/>
  <c r="AX385" i="10"/>
  <c r="AY385" i="10" s="1"/>
  <c r="AX293" i="10"/>
  <c r="AY293" i="10" s="1"/>
  <c r="AX191" i="10"/>
  <c r="AY191" i="10" s="1"/>
  <c r="AX302" i="10"/>
  <c r="AY302" i="10" s="1"/>
  <c r="AX232" i="10"/>
  <c r="AY232" i="10" s="1"/>
  <c r="AX246" i="10"/>
  <c r="AY246" i="10" s="1"/>
  <c r="AX327" i="10"/>
  <c r="AY327" i="10" s="1"/>
  <c r="AX325" i="10"/>
  <c r="AY325" i="10" s="1"/>
  <c r="AX241" i="10"/>
  <c r="AY241" i="10" s="1"/>
  <c r="AX198" i="10"/>
  <c r="AY198" i="10" s="1"/>
  <c r="AX85" i="10"/>
  <c r="AY85" i="10" s="1"/>
  <c r="AX239" i="10"/>
  <c r="AY239" i="10" s="1"/>
  <c r="AX283" i="10"/>
  <c r="AY283" i="10" s="1"/>
  <c r="AX357" i="10"/>
  <c r="AY357" i="10" s="1"/>
  <c r="AX267" i="10"/>
  <c r="AY267" i="10" s="1"/>
  <c r="AX273" i="10"/>
  <c r="AY273" i="10" s="1"/>
  <c r="AX183" i="10"/>
  <c r="AY183" i="10" s="1"/>
  <c r="AX263" i="10"/>
  <c r="AY263" i="10" s="1"/>
  <c r="AX254" i="10"/>
  <c r="AY254" i="10" s="1"/>
  <c r="AX326" i="10"/>
  <c r="AY326" i="10" s="1"/>
  <c r="AX29" i="10"/>
  <c r="AY29" i="10" s="1"/>
  <c r="AX292" i="10"/>
  <c r="AY292" i="10" s="1"/>
  <c r="AX265" i="10"/>
  <c r="AY265" i="10" s="1"/>
  <c r="AX282" i="10"/>
  <c r="AY282" i="10" s="1"/>
  <c r="AX222" i="10"/>
  <c r="AY222" i="10" s="1"/>
  <c r="AX101" i="10"/>
  <c r="AY101" i="10" s="1"/>
  <c r="AX266" i="10"/>
  <c r="AY266" i="10" s="1"/>
  <c r="AX310" i="10"/>
  <c r="AY310" i="10" s="1"/>
  <c r="AX128" i="10"/>
  <c r="AY128" i="1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<sst xmlns="http://schemas.openxmlformats.org/spreadsheetml/2006/main" count="19164" uniqueCount="147">
  <si>
    <t>ID</t>
  </si>
  <si>
    <t>開始時間</t>
  </si>
  <si>
    <t>完成時間</t>
  </si>
  <si>
    <t>電子郵件</t>
  </si>
  <si>
    <t>名稱</t>
  </si>
  <si>
    <t>上次修改時間</t>
  </si>
  <si>
    <t>What is your age?</t>
  </si>
  <si>
    <t>What is your gender?</t>
  </si>
  <si>
    <t xml:space="preserve">Please select the highest level of education you have completed or are currently pursuing
</t>
  </si>
  <si>
    <t>What is your monthly income (in HKD)?</t>
  </si>
  <si>
    <t>How much do you currently invest in financial products? (E.g., stock, bond)</t>
  </si>
  <si>
    <t>Do you know about the passage of the Stablecoins Bill by the Legislative Council?</t>
  </si>
  <si>
    <t>Have you heard the news about JPEX?</t>
  </si>
  <si>
    <t>The mechanism of digital assets is difficult to understand, which discourages me from exploring it (E.g, Tokenization, Blockchain)</t>
  </si>
  <si>
    <t>The reason I don’t explore digital assets is that I can’t find a mobile application to purchase digital assets.</t>
  </si>
  <si>
    <t>Compared to traditional payment methods like Visa, Mastercard, Alipay, or PayMe, the use of digital assets for transactions is currently limited.</t>
  </si>
  <si>
    <t>Although digital assets are decentralized, using centralized platforms (e.g., cryptocurrency exchanges) for transactions makes me question the concept of decentralization. This discourages me from...</t>
  </si>
  <si>
    <t>I am concerned about the lengthy duration of a complete transaction involving digital assets.</t>
  </si>
  <si>
    <t>Digital asset transactions take longer than traditional payments (e.g., Mastercard, Visa), which makes buying things less convenient for me.</t>
  </si>
  <si>
    <t>I believe that exploring digital assets would not improve my daily life (such as improving financial services).</t>
  </si>
  <si>
    <t>I prefer managing my money with traditional bank accounts and cash rather than trying new digital asset applications.</t>
  </si>
  <si>
    <t>If the digital asset application (E.g., crypto wallet) suddenly doesn't work, I fear that I will lose all my digital assets.</t>
  </si>
  <si>
    <t>I am worried about accidentally sending digital assets to the wrong person and not being able to recover them.</t>
  </si>
  <si>
    <t>I believe that digital asset apps are often linked to scams (e.g., JPEX).</t>
  </si>
  <si>
    <t>I fear that my digital assets could be accessed and stolen by unauthorized parties.</t>
  </si>
  <si>
    <t>I believe that purchasing digital assets must involve high investment risks.</t>
  </si>
  <si>
    <t>Since many investors use leverage, digital assets may carry high systematic risks and operate in a relatively bad market environment compared to other financial markets. This discourages me from p...</t>
  </si>
  <si>
    <t>I believe that investing in digital assets will yield lower monetary returns compared to traditional investment products (e.g., stocks, gold, and bonds).</t>
  </si>
  <si>
    <t>The current investment products (e.g., stocks and bonds) are already sufficient for me; it is not necessary to explore digital assets.</t>
  </si>
  <si>
    <t>I believe digital assets feel like a fad—trendy for a short time but quickly fading away as people's interest diminishes (E.g., NFT, $Melania).</t>
  </si>
  <si>
    <t>I believe that people who explore digital assets are often viewed negatively (e.g., "nerds", “gamblers”).</t>
  </si>
  <si>
    <t>I am interested in exploring digital assets.</t>
  </si>
  <si>
    <t>I would not try to explore digital assets when considering investments.</t>
  </si>
  <si>
    <t>If I want to try different ways to invest, I will explore digital assets.</t>
  </si>
  <si>
    <t>If I want to try different ways to invest, I will explore digital assets.(Flipped)</t>
  </si>
  <si>
    <t>I am interested in exploring digital assets.(Flipped)</t>
  </si>
  <si>
    <t>Ineligible respondents</t>
  </si>
  <si>
    <t>Same answer in all question (Straight lining)</t>
  </si>
  <si>
    <t>Inconsistent response on opposite question (1,2,4,5)</t>
  </si>
  <si>
    <t>Inconsistent response on opposite question (3)</t>
  </si>
  <si>
    <t>Delete? (Stage 1)</t>
  </si>
  <si>
    <t>Extreme Response</t>
    <phoneticPr fontId="2" type="noConversion"/>
  </si>
  <si>
    <t>Extrem Response Ratio (ERS)</t>
    <phoneticPr fontId="2" type="noConversion"/>
  </si>
  <si>
    <t>Threshold of ERS</t>
    <phoneticPr fontId="2" type="noConversion"/>
  </si>
  <si>
    <t>Extreme Response Style</t>
    <phoneticPr fontId="2" type="noConversion"/>
  </si>
  <si>
    <t>Straight-lining with 1 deviation</t>
    <phoneticPr fontId="2" type="noConversion"/>
  </si>
  <si>
    <t>Midpoint</t>
    <phoneticPr fontId="2" type="noConversion"/>
  </si>
  <si>
    <t>Midpoint ratio</t>
    <phoneticPr fontId="2" type="noConversion"/>
  </si>
  <si>
    <t>Threshold of Midpoint ratio</t>
    <phoneticPr fontId="2" type="noConversion"/>
  </si>
  <si>
    <t>Mid-point Response Style</t>
    <phoneticPr fontId="2" type="noConversion"/>
  </si>
  <si>
    <t>Delete? (Stage 2)</t>
  </si>
  <si>
    <t>Delete? (Final)</t>
  </si>
  <si>
    <t>Distribution channel</t>
  </si>
  <si>
    <t>anonymous</t>
  </si>
  <si>
    <t>18 - 25</t>
  </si>
  <si>
    <t>Male</t>
  </si>
  <si>
    <t>Bachelor's degree</t>
  </si>
  <si>
    <t>$0</t>
  </si>
  <si>
    <t>No</t>
  </si>
  <si>
    <t>IG, WhatsApp</t>
  </si>
  <si>
    <t>$5,000 - $9,999</t>
  </si>
  <si>
    <t>Yes</t>
  </si>
  <si>
    <t>$1 - $4,999</t>
  </si>
  <si>
    <t>Female</t>
  </si>
  <si>
    <t>$10,000 - $14,999</t>
  </si>
  <si>
    <t>$15,000 - $19,999</t>
  </si>
  <si>
    <t>≥ $35,000</t>
  </si>
  <si>
    <t>$20,000 - $24,999</t>
  </si>
  <si>
    <t>$25,000 - $29,999</t>
  </si>
  <si>
    <t>Associate degree / Higher diploma</t>
  </si>
  <si>
    <t>Non-binary gender / Third gender</t>
  </si>
  <si>
    <t>Secondary school diploma</t>
  </si>
  <si>
    <t>$30,000 - $34,999</t>
  </si>
  <si>
    <t>26 - 35</t>
  </si>
  <si>
    <t>36 - 45</t>
  </si>
  <si>
    <t>Master's degree</t>
  </si>
  <si>
    <t>46 - 55</t>
  </si>
  <si>
    <t>55 - 65</t>
  </si>
  <si>
    <t>IG, WhatsApp, Graduation Day</t>
  </si>
  <si>
    <t>&lt; 18</t>
  </si>
  <si>
    <t>&gt; 65</t>
  </si>
  <si>
    <t>HSU Campus</t>
  </si>
  <si>
    <t>Doctoral degree</t>
  </si>
  <si>
    <t>Primary school or below</t>
  </si>
  <si>
    <t>Prolific</t>
  </si>
  <si>
    <t>UB1</t>
  </si>
  <si>
    <t>UB2</t>
  </si>
  <si>
    <t>UB3</t>
  </si>
  <si>
    <t>RB1</t>
  </si>
  <si>
    <t>RB2</t>
  </si>
  <si>
    <t>RB3</t>
  </si>
  <si>
    <t>VB1</t>
  </si>
  <si>
    <t>VB2</t>
  </si>
  <si>
    <t>VB3</t>
  </si>
  <si>
    <t>VB4</t>
  </si>
  <si>
    <t>TB1</t>
  </si>
  <si>
    <t>TB2</t>
  </si>
  <si>
    <t>TB3</t>
  </si>
  <si>
    <t>TB4</t>
  </si>
  <si>
    <t>IB1</t>
  </si>
  <si>
    <t>IB2</t>
  </si>
  <si>
    <t>IB3</t>
  </si>
  <si>
    <t>IB4</t>
  </si>
  <si>
    <t>RTE1</t>
  </si>
  <si>
    <t>RTE2</t>
  </si>
  <si>
    <t>RTE3</t>
  </si>
  <si>
    <t>Count of What is your gender?</t>
  </si>
  <si>
    <t xml:space="preserve">Count of Please select the highest level of education you have completed or are currently pursuing
</t>
  </si>
  <si>
    <t>Count of What is your monthly income (in HKD)?</t>
  </si>
  <si>
    <t>Count of How much do you currently invest in financial products? (E.g., stock, bond)</t>
  </si>
  <si>
    <t>Count of Do you know about the passage of the Stablecoins Bill by the Legislative Council?</t>
  </si>
  <si>
    <t>Count of Have you heard the news about JPEX?</t>
  </si>
  <si>
    <t>Row Labels</t>
  </si>
  <si>
    <t>Count of The mechanism of digital assets is difficult to understand, which discourages me from exploring it (E.g, Tokenization, Blockchain)</t>
  </si>
  <si>
    <t>Count of The reason I don’t explore digital assets is that I can’t find a mobile application to purchase digital assets.</t>
  </si>
  <si>
    <t>Count of Compared to traditional payment methods like Visa, Mastercard, Alipay, or PayMe, the use of digital assets for transactions is currently limited.</t>
  </si>
  <si>
    <t>Count of Although digital assets are decentralized, using centralized platforms (e.g., cryptocurrency exchanges) for transactions makes me question the concept of decentralization. This discourages me from...</t>
  </si>
  <si>
    <t>Count of I am concerned about the lengthy duration of a complete transaction involving digital assets.</t>
  </si>
  <si>
    <t>Count of Digital asset transactions take longer than traditional payments (e.g., Mastercard, Visa), which makes buying things less convenient for me.</t>
  </si>
  <si>
    <t>Count of I believe that exploring digital assets would not improve my daily life (such as improving financial services).</t>
  </si>
  <si>
    <t>Count of I prefer managing my money with traditional bank accounts and cash rather than trying new digital asset applications.</t>
  </si>
  <si>
    <t>Count of If the digital asset application (E.g., crypto wallet) suddenly doesn't work, I fear that I will lose all my digital assets.</t>
  </si>
  <si>
    <t>Count of I am worried about accidentally sending digital assets to the wrong person and not being able to recover them.</t>
  </si>
  <si>
    <t>Count of I believe that digital asset apps are often linked to scams (e.g., JPEX).</t>
  </si>
  <si>
    <t>Count of I fear that my digital assets could be accessed and stolen by unauthorized parties.</t>
  </si>
  <si>
    <t>Count of I believe that purchasing digital assets must involve high investment risks.</t>
  </si>
  <si>
    <t>Count of Since many investors use leverage, digital assets may carry high systematic risks and operate in a relatively bad market environment compared to other financial markets. This discourages me from p...</t>
  </si>
  <si>
    <t>Count of I believe that investing in digital assets will yield lower monetary returns compared to traditional investment products (e.g., stocks, gold, and bonds).</t>
  </si>
  <si>
    <t>Count of The current investment products (e.g., stocks and bonds) are already sufficient for me; it is not necessary to explore digital assets.</t>
  </si>
  <si>
    <t>Count of I believe digital assets feel like a fad—trendy for a short time but quickly fading away as people's interest diminishes (E.g., NFT, $Melania).</t>
  </si>
  <si>
    <t>Count of I believe that people who explore digital assets are often viewed negatively (e.g., "nerds", “gamblers”).</t>
  </si>
  <si>
    <t>Count of I am interested in exploring digital assets.</t>
  </si>
  <si>
    <t>Count of I would not try to explore digital assets when considering investments.</t>
  </si>
  <si>
    <t>Count of If I want to try different ways to invest, I will explore digital assets.</t>
  </si>
  <si>
    <t>Variable</t>
  </si>
  <si>
    <t>Question</t>
  </si>
  <si>
    <t xml:space="preserve">Criteria </t>
  </si>
  <si>
    <t>Effect</t>
  </si>
  <si>
    <t>Inconsistent responding (mixed-worded)</t>
  </si>
  <si>
    <t xml:space="preserve">Straightlining </t>
  </si>
  <si>
    <t>Extreme response style</t>
  </si>
  <si>
    <t>Mid-point Responding</t>
  </si>
  <si>
    <r>
      <t xml:space="preserve">The mixed wording can be generated by negatively worded and positive worded statements, which require the respondent to switch their sides of the response scale according to the wording </t>
    </r>
    <r>
      <rPr>
        <sz val="12"/>
        <color rgb="FF000000"/>
        <rFont val="Aptos"/>
        <family val="2"/>
      </rPr>
      <t>(Chen et al., 2024)</t>
    </r>
    <r>
      <rPr>
        <sz val="12"/>
        <color theme="1"/>
        <rFont val="Times New Roman"/>
        <family val="1"/>
      </rPr>
      <t xml:space="preserve">. Mixed-wording scales allow researchers to perform a logical check on respondents’ consistency and reduce acquiescence response bias. </t>
    </r>
  </si>
  <si>
    <r>
      <t xml:space="preserve">Straightlining is the tendency to answer questions with the same response, which is often treated as meaningless </t>
    </r>
    <r>
      <rPr>
        <sz val="12"/>
        <color rgb="FF000000"/>
        <rFont val="Aptos"/>
        <family val="2"/>
      </rPr>
      <t>(Reuning &amp; Plutzer, 2020)</t>
    </r>
    <r>
      <rPr>
        <sz val="12"/>
        <color theme="1"/>
        <rFont val="Times New Roman"/>
        <family val="1"/>
      </rPr>
      <t>. As straightlining can result from thoughtless responses, skinning quickly, and selecting a reasonable answer that applies to all answers, removing straightlining responses, which are unreliable, will reduce measurement error.</t>
    </r>
  </si>
  <si>
    <r>
      <t xml:space="preserve">Extreme response style means the respondent tends to respond with the most extreme answer regardless of content </t>
    </r>
    <r>
      <rPr>
        <sz val="12"/>
        <color rgb="FF000000"/>
        <rFont val="Aptos"/>
        <family val="2"/>
      </rPr>
      <t>(Baumgartner &amp; Jan-Benedict E. M. Steenkamp, 2001)</t>
    </r>
    <r>
      <rPr>
        <sz val="12"/>
        <color theme="1"/>
        <rFont val="Times New Roman"/>
        <family val="1"/>
      </rPr>
      <t xml:space="preserve">. Extreme responding will inflate or deflate the observed means and variance of survey responses, distort the correlation coefficient, and reduce the strength of multivariate relationships </t>
    </r>
    <r>
      <rPr>
        <sz val="12"/>
        <color rgb="FF000000"/>
        <rFont val="Aptos"/>
        <family val="2"/>
      </rPr>
      <t>(Peterson et al., 2014; Schoenmakers et al., 2024; Van Vaerenbergh &amp; Thomas, 2013)</t>
    </r>
    <r>
      <rPr>
        <sz val="12"/>
        <color rgb="FF000000"/>
        <rFont val="Times New Roman"/>
        <family val="1"/>
      </rPr>
      <t xml:space="preserve">. Costa and Duarte (2019) described one detection method as follows: “Another similar technique consists of calculating the general proportion of extreme responses (e.g., 1 or 5) relative to the total number of responses given to the items of the study questionnaire (Harzing, 2006)” (Costa and Hauck Filho, 2019, p,313). Some researchers stated that the use of percentiles is “Another use of percentiles is for the classification of data.” </t>
    </r>
    <r>
      <rPr>
        <sz val="12"/>
        <color rgb="FF000000"/>
        <rFont val="Aptos"/>
        <family val="2"/>
      </rPr>
      <t>(McGill et al., 2022)</t>
    </r>
    <r>
      <rPr>
        <sz val="12"/>
        <color rgb="FF000000"/>
        <rFont val="Times New Roman"/>
        <family val="1"/>
      </rPr>
      <t xml:space="preserve">. Moreover, using a higher </t>
    </r>
    <r>
      <rPr>
        <sz val="12"/>
        <color rgb="FF000000"/>
        <rFont val="新細明體"/>
        <family val="1"/>
        <charset val="136"/>
      </rPr>
      <t>α</t>
    </r>
    <r>
      <rPr>
        <sz val="12"/>
        <color rgb="FF000000"/>
        <rFont val="Times New Roman"/>
        <family val="1"/>
      </rPr>
      <t xml:space="preserve">(lower percentile) results in a higher detection rate for the outlier </t>
    </r>
    <r>
      <rPr>
        <sz val="12"/>
        <color rgb="FF000000"/>
        <rFont val="Aptos"/>
        <family val="2"/>
      </rPr>
      <t>(Dallah et al., 2025)</t>
    </r>
    <r>
      <rPr>
        <sz val="12"/>
        <color rgb="FF000000"/>
        <rFont val="Times New Roman"/>
        <family val="1"/>
      </rPr>
      <t>. In our study, we excluded the 90th percentile of the extreme response ratio, which will be classified as an outlier; the influence of the extreme responding will be reduced.</t>
    </r>
  </si>
  <si>
    <r>
      <t xml:space="preserve">Some papers have stated that mid-point responding is “The tendency to use the middle scale category regardless of content” (Baumgartner and Jan-Benedict E. M. Steenkamp, 2001, p.141). Mid-point responding makes observed means closer to the mid-point, reduces the variance of survey responses, and increases the strength of multivariate relationships </t>
    </r>
    <r>
      <rPr>
        <sz val="12"/>
        <color rgb="FF000000"/>
        <rFont val="Aptos"/>
        <family val="2"/>
      </rPr>
      <t>(Van Vaerenbergh &amp; Thomas, 2013)</t>
    </r>
    <r>
      <rPr>
        <sz val="12"/>
        <color rgb="FF000000"/>
        <rFont val="Times New Roman"/>
        <family val="1"/>
      </rPr>
      <t xml:space="preserve">. As the mid-point is supposed to indicate the respondent’s fall exactly between “agree” and “disagree”, but some respondents will use the mid-point when they lack knowledge, feel indecision, doubt on the question, or have no information on the problem </t>
    </r>
    <r>
      <rPr>
        <sz val="12"/>
        <color rgb="FF000000"/>
        <rFont val="Aptos"/>
        <family val="2"/>
      </rPr>
      <t>(Nadler et al., 2015)</t>
    </r>
    <r>
      <rPr>
        <sz val="12"/>
        <color rgb="FF000000"/>
        <rFont val="Times New Roman"/>
        <family val="1"/>
      </rPr>
      <t xml:space="preserve">. To prevent the misuse of mid-point, frequent use of mid-point responses should be omitted. Some of the research suggests the detection of response style is “Count the number of agreements, disagreements, extreme responses, and/or mid-point responses on substantive measures across an entire questionnaire.” (Van Vaerenbergh and Thomas 2013, p.206). Some researchers stated that the use of percentiles is “Another use of percentiles is for the classification of data” </t>
    </r>
    <r>
      <rPr>
        <sz val="12"/>
        <color rgb="FF000000"/>
        <rFont val="Aptos"/>
        <family val="2"/>
      </rPr>
      <t>(McGill et al., 2022)</t>
    </r>
    <r>
      <rPr>
        <sz val="12"/>
        <color rgb="FF000000"/>
        <rFont val="Times New Roman"/>
        <family val="1"/>
      </rPr>
      <t xml:space="preserve">. In addition, using a greater </t>
    </r>
    <r>
      <rPr>
        <sz val="12"/>
        <color rgb="FF000000"/>
        <rFont val="新細明體"/>
        <family val="1"/>
        <charset val="136"/>
      </rPr>
      <t>α</t>
    </r>
    <r>
      <rPr>
        <sz val="12"/>
        <color rgb="FF000000"/>
        <rFont val="Times New Roman"/>
        <family val="1"/>
      </rPr>
      <t xml:space="preserve">(lower percentile) has a higher performance on detecting outliers </t>
    </r>
    <r>
      <rPr>
        <sz val="12"/>
        <color rgb="FF000000"/>
        <rFont val="Aptos"/>
        <family val="2"/>
      </rPr>
      <t>(Dallah et al., 2025)</t>
    </r>
    <r>
      <rPr>
        <sz val="12"/>
        <color rgb="FF000000"/>
        <rFont val="Times New Roman"/>
        <family val="1"/>
      </rPr>
      <t>. The impact of mid-point responding will decrease when the outliers are removed.</t>
    </r>
  </si>
  <si>
    <t>Ineligible respondents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</si>
</sst>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charset val="136"/>
      <scheme val="minor"/>
    </font>
    <font>
      <sz val="11"/>
      <color theme="1"/>
      <name val="Aptos Narrow"/>
      <family val="2"/>
      <scheme val="minor"/>
    </font>
    <font>
      <sz val="9"/>
      <name val="Aptos Narrow"/>
      <family val="2"/>
      <charset val="136"/>
      <scheme val="minor"/>
    </font>
    <font>
      <sz val="12"/>
      <color theme="1"/>
      <name val="Aptos"/>
      <family val="2"/>
    </font>
    <font>
      <sz val="12"/>
      <color theme="1"/>
      <name val="Times New Roman"/>
      <family val="1"/>
    </font>
    <font>
      <sz val="12"/>
      <color rgb="FF000000"/>
      <name val="Times New Roman"/>
      <family val="1"/>
    </font>
    <font>
      <sz val="12"/>
      <color rgb="FF000000"/>
      <name val="Aptos"/>
      <family val="2"/>
    </font>
    <font>
      <sz val="12"/>
      <color rgb="FF000000"/>
      <name val="新細明體"/>
      <family val="1"/>
      <charset val="136"/>
    </font>
  </fonts>
  <fills count="2">
    <fill>
      <patternFill patternType="none"/>
    </fill>
    <fill>
      <patternFill patternType="gray125"/>
    </fill>
  </fills>
  <borders count="4">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2">
    <xf numFmtId="0" fontId="0" fillId="0" borderId="0">
      <alignment vertical="center"/>
    </xf>
    <xf numFmtId="0" fontId="1" fillId="0" borderId="0"/>
  </cellStyleXfs>
  <cellXfs count="9">
    <xf numFmtId="0" fontId="0" fillId="0" borderId="0" xfId="0">
      <alignment vertical="center"/>
    </xf>
    <xf numFmtId="0" fontId="0" fillId="0" borderId="0" xfId="0" applyAlignment="1">
      <alignment horizontal="left" vertical="center"/>
    </xf>
    <xf numFmtId="0" fontId="0" fillId="0" borderId="0" xfId="0" pivotButton="1">
      <alignment vertical="center"/>
    </xf>
    <xf numFmtId="22" fontId="0" fillId="0" borderId="0" xfId="0" applyNumberFormat="1">
      <alignment vertical="center"/>
    </xf>
    <xf numFmtId="0" fontId="4" fillId="0" borderId="1" xfId="0" applyFont="1" applyBorder="1" applyAlignment="1">
      <alignment vertical="center" wrapText="1"/>
    </xf>
    <xf numFmtId="0" fontId="4" fillId="0" borderId="2" xfId="0" applyFont="1" applyBorder="1" applyAlignment="1">
      <alignment vertical="center" wrapText="1"/>
    </xf>
    <xf numFmtId="0" fontId="4" fillId="0" borderId="3" xfId="0" applyFont="1" applyBorder="1" applyAlignment="1">
      <alignment horizontal="justify" vertical="center" wrapText="1"/>
    </xf>
    <xf numFmtId="0" fontId="3" fillId="0" borderId="0" xfId="0" applyFont="1" applyAlignment="1">
      <alignment horizontal="justify" vertical="center"/>
    </xf>
    <xf numFmtId="0" fontId="4" fillId="0" borderId="1" xfId="0" applyFont="1" applyBorder="1" applyAlignment="1">
      <alignment horizontal="justify" vertical="center" wrapText="1"/>
    </xf>
  </cellXfs>
  <cellStyles count="2">
    <cellStyle name="Normal" xfId="0" builtinId="0"/>
    <cellStyle name="Normal 2" xfId="1" xr:uid="{4A70F6BB-10F0-4518-AA1B-65E641B15B98}"/>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m/yyyy\ h:mm"/>
    </dxf>
    <dxf>
      <numFmt numFmtId="27" formatCode="d/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m/yyyy\ h:mm"/>
    </dxf>
    <dxf>
      <numFmt numFmtId="27" formatCode="d/m/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[IRT(DS&amp;BS).xlsx]Graph!PivotTable40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is your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Graph!$B$1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DA-4D60-A7A4-E1A801DF2D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DA-4D60-A7A4-E1A801DF2D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DA-4D60-A7A4-E1A801DF2D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Graph!$A$2:$A$4</c:f>
              <c:strCache>
                <c:ptCount val="3"/>
                <c:pt idx="0">
                  <c:v>Female</c:v>
                </c:pt>
                <c:pt idx="1">
                  <c:v>Male</c:v>
                </c:pt>
                <c:pt idx="2">
                  <c:v>Non-binary gender / Third gender</c:v>
                </c:pt>
              </c:strCache>
            </c:strRef>
          </c:cat>
          <c:val>
            <c:numRef>
              <c:f>Graph!$B$2:$B$4</c:f>
              <c:numCache>
                <c:formatCode>General</c:formatCode>
                <c:ptCount val="3"/>
                <c:pt idx="0">
                  <c:v>198</c:v>
                </c:pt>
                <c:pt idx="1">
                  <c:v>208</c:v>
                </c:pt>
                <c:pt idx="2">
                  <c:v>5</c:v>
                </c:pt>
              </c:numCache>
            </c:numRef>
          </c:val>
          <c:extLst>
            <c:ext xmlns:c16="http://schemas.microsoft.com/office/drawing/2014/chart" uri="{C3380CC4-5D6E-409C-BE32-E72D297353CC}">
              <c16:uniqueId val="{00000006-BCDA-4D60-A7A4-E1A801DF2DE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[IRT(DS&amp;BS).xlsx]Graph!PivotTable57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Please select the highest level of education you have completed or are currently pursuing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Graph!$B$23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75-4A3E-9C73-715A91396A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75-4A3E-9C73-715A91396A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75-4A3E-9C73-715A91396A3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375-4A3E-9C73-715A91396A3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375-4A3E-9C73-715A91396A3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375-4A3E-9C73-715A91396A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Graph!$A$24:$A$29</c:f>
              <c:strCache>
                <c:ptCount val="6"/>
                <c:pt idx="0">
                  <c:v>Associate degree / Higher diploma</c:v>
                </c:pt>
                <c:pt idx="1">
                  <c:v>Bachelor's degree</c:v>
                </c:pt>
                <c:pt idx="2">
                  <c:v>Doctoral degree</c:v>
                </c:pt>
                <c:pt idx="3">
                  <c:v>Master's degree</c:v>
                </c:pt>
                <c:pt idx="4">
                  <c:v>Primary school or below</c:v>
                </c:pt>
                <c:pt idx="5">
                  <c:v>Secondary school diploma</c:v>
                </c:pt>
              </c:strCache>
            </c:strRef>
          </c:cat>
          <c:val>
            <c:numRef>
              <c:f>Graph!$B$24:$B$29</c:f>
              <c:numCache>
                <c:formatCode>General</c:formatCode>
                <c:ptCount val="6"/>
                <c:pt idx="0">
                  <c:v>22</c:v>
                </c:pt>
                <c:pt idx="1">
                  <c:v>270</c:v>
                </c:pt>
                <c:pt idx="2">
                  <c:v>8</c:v>
                </c:pt>
                <c:pt idx="3">
                  <c:v>59</c:v>
                </c:pt>
                <c:pt idx="4">
                  <c:v>1</c:v>
                </c:pt>
                <c:pt idx="5">
                  <c:v>51</c:v>
                </c:pt>
              </c:numCache>
            </c:numRef>
          </c:val>
          <c:extLst>
            <c:ext xmlns:c16="http://schemas.microsoft.com/office/drawing/2014/chart" uri="{C3380CC4-5D6E-409C-BE32-E72D297353CC}">
              <c16:uniqueId val="{0000000C-4375-4A3E-9C73-715A91396A3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[IRT(DS&amp;BS).xlsx]Graph!PivotTable5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What is your monthly income (in HKD)?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Graph!$B$46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Graph!$A$47:$A$55</c:f>
              <c:strCache>
                <c:ptCount val="9"/>
                <c:pt idx="0">
                  <c:v>$0</c:v>
                </c:pt>
                <c:pt idx="1">
                  <c:v>$1 - $4,999</c:v>
                </c:pt>
                <c:pt idx="2">
                  <c:v>$10,000 - $14,999</c:v>
                </c:pt>
                <c:pt idx="3">
                  <c:v>$15,000 - $19,999</c:v>
                </c:pt>
                <c:pt idx="4">
                  <c:v>$20,000 - $24,999</c:v>
                </c:pt>
                <c:pt idx="5">
                  <c:v>$25,000 - $29,999</c:v>
                </c:pt>
                <c:pt idx="6">
                  <c:v>$30,000 - $34,999</c:v>
                </c:pt>
                <c:pt idx="7">
                  <c:v>$5,000 - $9,999</c:v>
                </c:pt>
                <c:pt idx="8">
                  <c:v>≥ $35,000</c:v>
                </c:pt>
              </c:strCache>
            </c:strRef>
          </c:cat>
          <c:val>
            <c:numRef>
              <c:f>Graph!$B$47:$B$55</c:f>
              <c:numCache>
                <c:formatCode>General</c:formatCode>
                <c:ptCount val="9"/>
                <c:pt idx="0">
                  <c:v>73</c:v>
                </c:pt>
                <c:pt idx="1">
                  <c:v>174</c:v>
                </c:pt>
                <c:pt idx="2">
                  <c:v>31</c:v>
                </c:pt>
                <c:pt idx="3">
                  <c:v>25</c:v>
                </c:pt>
                <c:pt idx="4">
                  <c:v>27</c:v>
                </c:pt>
                <c:pt idx="5">
                  <c:v>7</c:v>
                </c:pt>
                <c:pt idx="6">
                  <c:v>6</c:v>
                </c:pt>
                <c:pt idx="7">
                  <c:v>58</c:v>
                </c:pt>
                <c:pt idx="8">
                  <c:v>10</c:v>
                </c:pt>
              </c:numCache>
            </c:numRef>
          </c:val>
          <c:extLst>
            <c:ext xmlns:c16="http://schemas.microsoft.com/office/drawing/2014/chart" uri="{C3380CC4-5D6E-409C-BE32-E72D297353CC}">
              <c16:uniqueId val="{00000000-4B3E-47BB-82B5-EA482753668E}"/>
            </c:ext>
          </c:extLst>
        </c:ser>
        <c:dLbls>
          <c:dLblPos val="outEnd"/>
          <c:showLegendKey val="0"/>
          <c:showVal val="1"/>
          <c:showCatName val="0"/>
          <c:showSerName val="0"/>
          <c:showPercent val="0"/>
          <c:showBubbleSize val="0"/>
        </c:dLbls>
        <c:gapWidth val="182"/>
        <c:axId val="272325696"/>
        <c:axId val="272331936"/>
      </c:barChart>
      <c:catAx>
        <c:axId val="272325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272331936"/>
        <c:crosses val="autoZero"/>
        <c:auto val="1"/>
        <c:lblAlgn val="ctr"/>
        <c:lblOffset val="100"/>
        <c:noMultiLvlLbl val="0"/>
      </c:catAx>
      <c:valAx>
        <c:axId val="272331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272325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How much do you currently invest in financial products? (E.g., stock, bond)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1"/>
              <c:pt idx="0">
                <c:v>0</c:v>
              </c:pt>
              <c:pt idx="1">
                <c:v>​≥ $35,000</c:v>
              </c:pt>
              <c:pt idx="2">
                <c:v>$0</c:v>
              </c:pt>
              <c:pt idx="3">
                <c:v>$1 - $4,999</c:v>
              </c:pt>
              <c:pt idx="4">
                <c:v>$10,000 - $14,999</c:v>
              </c:pt>
              <c:pt idx="5">
                <c:v>$15,000 - $19,999</c:v>
              </c:pt>
              <c:pt idx="6">
                <c:v>$20,000 - $24,999</c:v>
              </c:pt>
              <c:pt idx="7">
                <c:v>$25,000 - $29,999</c:v>
              </c:pt>
              <c:pt idx="8">
                <c:v>$30,000 - $34,999</c:v>
              </c:pt>
              <c:pt idx="9">
                <c:v>$5,000 - $9,999</c:v>
              </c:pt>
              <c:pt idx="10">
                <c:v>≥ $35,000</c:v>
              </c:pt>
            </c:strLit>
          </c:cat>
          <c:val>
            <c:numLit>
              <c:formatCode>General</c:formatCode>
              <c:ptCount val="11"/>
              <c:pt idx="0">
                <c:v>75</c:v>
              </c:pt>
              <c:pt idx="1">
                <c:v>10</c:v>
              </c:pt>
              <c:pt idx="2">
                <c:v>146</c:v>
              </c:pt>
              <c:pt idx="3">
                <c:v>187</c:v>
              </c:pt>
              <c:pt idx="4">
                <c:v>21</c:v>
              </c:pt>
              <c:pt idx="5">
                <c:v>9</c:v>
              </c:pt>
              <c:pt idx="6">
                <c:v>6</c:v>
              </c:pt>
              <c:pt idx="7">
                <c:v>2</c:v>
              </c:pt>
              <c:pt idx="8">
                <c:v>2</c:v>
              </c:pt>
              <c:pt idx="9">
                <c:v>36</c:v>
              </c:pt>
              <c:pt idx="10">
                <c:v>11</c:v>
              </c:pt>
            </c:numLit>
          </c:val>
          <c:extLst>
            <c:ext xmlns:c16="http://schemas.microsoft.com/office/drawing/2014/chart" uri="{C3380CC4-5D6E-409C-BE32-E72D297353CC}">
              <c16:uniqueId val="{00000000-92C7-4A46-BBD6-24116AB7817A}"/>
            </c:ext>
          </c:extLst>
        </c:ser>
        <c:dLbls>
          <c:dLblPos val="outEnd"/>
          <c:showLegendKey val="0"/>
          <c:showVal val="1"/>
          <c:showCatName val="0"/>
          <c:showSerName val="0"/>
          <c:showPercent val="0"/>
          <c:showBubbleSize val="0"/>
        </c:dLbls>
        <c:gapWidth val="182"/>
        <c:axId val="291339648"/>
        <c:axId val="291336768"/>
      </c:barChart>
      <c:catAx>
        <c:axId val="291339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291336768"/>
        <c:crosses val="autoZero"/>
        <c:auto val="1"/>
        <c:lblAlgn val="ctr"/>
        <c:lblOffset val="100"/>
        <c:noMultiLvlLbl val="0"/>
      </c:catAx>
      <c:valAx>
        <c:axId val="2913367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291339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Do you know about the passage of the Stablecoins Bill by the Legislative Council?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384</c:v>
              </c:pt>
              <c:pt idx="1">
                <c:v>121</c:v>
              </c:pt>
            </c:numLit>
          </c:val>
          <c:extLst>
            <c:ext xmlns:c16="http://schemas.microsoft.com/office/drawing/2014/chart" uri="{C3380CC4-5D6E-409C-BE32-E72D297353CC}">
              <c16:uniqueId val="{00000000-DCEB-4E1B-AEEE-E2CE3094697A}"/>
            </c:ext>
          </c:extLst>
        </c:ser>
        <c:dLbls>
          <c:dLblPos val="outEnd"/>
          <c:showLegendKey val="0"/>
          <c:showVal val="1"/>
          <c:showCatName val="0"/>
          <c:showSerName val="0"/>
          <c:showPercent val="0"/>
          <c:showBubbleSize val="0"/>
        </c:dLbls>
        <c:gapWidth val="219"/>
        <c:overlap val="-27"/>
        <c:axId val="344048880"/>
        <c:axId val="344040720"/>
      </c:barChart>
      <c:catAx>
        <c:axId val="34404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344040720"/>
        <c:crosses val="autoZero"/>
        <c:auto val="1"/>
        <c:lblAlgn val="ctr"/>
        <c:lblOffset val="100"/>
        <c:noMultiLvlLbl val="0"/>
      </c:catAx>
      <c:valAx>
        <c:axId val="344040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3440488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[IRT(DS&amp;BS).xlsx]Graph!PivotTable22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Count of Have you heard the news about JPEX?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Graph!$B$98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Graph!$A$99:$A$100</c:f>
              <c:strCache>
                <c:ptCount val="2"/>
                <c:pt idx="0">
                  <c:v>No</c:v>
                </c:pt>
                <c:pt idx="1">
                  <c:v>Yes</c:v>
                </c:pt>
              </c:strCache>
            </c:strRef>
          </c:cat>
          <c:val>
            <c:numRef>
              <c:f>Graph!$B$99:$B$100</c:f>
              <c:numCache>
                <c:formatCode>General</c:formatCode>
                <c:ptCount val="2"/>
                <c:pt idx="0">
                  <c:v>273</c:v>
                </c:pt>
                <c:pt idx="1">
                  <c:v>138</c:v>
                </c:pt>
              </c:numCache>
            </c:numRef>
          </c:val>
          <c:extLst>
            <c:ext xmlns:c16="http://schemas.microsoft.com/office/drawing/2014/chart" uri="{C3380CC4-5D6E-409C-BE32-E72D297353CC}">
              <c16:uniqueId val="{00000000-85D7-44CB-8B9D-35B04BCF7C7F}"/>
            </c:ext>
          </c:extLst>
        </c:ser>
        <c:dLbls>
          <c:dLblPos val="outEnd"/>
          <c:showLegendKey val="0"/>
          <c:showVal val="1"/>
          <c:showCatName val="0"/>
          <c:showSerName val="0"/>
          <c:showPercent val="0"/>
          <c:showBubbleSize val="0"/>
        </c:dLbls>
        <c:gapWidth val="219"/>
        <c:overlap val="-27"/>
        <c:axId val="35078560"/>
        <c:axId val="35081440"/>
      </c:barChart>
      <c:catAx>
        <c:axId val="3507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35081440"/>
        <c:crosses val="autoZero"/>
        <c:auto val="1"/>
        <c:lblAlgn val="ctr"/>
        <c:lblOffset val="100"/>
        <c:noMultiLvlLbl val="0"/>
      </c:catAx>
      <c:valAx>
        <c:axId val="35081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350785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[IRT(DS&amp;BS).xlsx]Graph!PivotTable25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The mechanism of digital assets is difficult to understand, which discourages me from exploring it (E.g, Tokenization, Blockchain)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Graph!$B$113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Graph!$A$114:$A$118</c:f>
              <c:strCache>
                <c:ptCount val="5"/>
                <c:pt idx="0">
                  <c:v>1</c:v>
                </c:pt>
                <c:pt idx="1">
                  <c:v>2</c:v>
                </c:pt>
                <c:pt idx="2">
                  <c:v>3</c:v>
                </c:pt>
                <c:pt idx="3">
                  <c:v>4</c:v>
                </c:pt>
                <c:pt idx="4">
                  <c:v>5</c:v>
                </c:pt>
              </c:strCache>
            </c:strRef>
          </c:cat>
          <c:val>
            <c:numRef>
              <c:f>Graph!$B$114:$B$118</c:f>
              <c:numCache>
                <c:formatCode>General</c:formatCode>
                <c:ptCount val="5"/>
                <c:pt idx="0">
                  <c:v>28</c:v>
                </c:pt>
                <c:pt idx="1">
                  <c:v>94</c:v>
                </c:pt>
                <c:pt idx="2">
                  <c:v>118</c:v>
                </c:pt>
                <c:pt idx="3">
                  <c:v>150</c:v>
                </c:pt>
                <c:pt idx="4">
                  <c:v>21</c:v>
                </c:pt>
              </c:numCache>
            </c:numRef>
          </c:val>
          <c:extLst>
            <c:ext xmlns:c16="http://schemas.microsoft.com/office/drawing/2014/chart" uri="{C3380CC4-5D6E-409C-BE32-E72D297353CC}">
              <c16:uniqueId val="{00000001-03EA-4AD5-9739-A52A86D792A1}"/>
            </c:ext>
          </c:extLst>
        </c:ser>
        <c:dLbls>
          <c:dLblPos val="outEnd"/>
          <c:showLegendKey val="0"/>
          <c:showVal val="1"/>
          <c:showCatName val="0"/>
          <c:showSerName val="0"/>
          <c:showPercent val="0"/>
          <c:showBubbleSize val="0"/>
        </c:dLbls>
        <c:gapWidth val="219"/>
        <c:overlap val="-27"/>
        <c:axId val="258721120"/>
        <c:axId val="258716800"/>
      </c:barChart>
      <c:catAx>
        <c:axId val="25872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258716800"/>
        <c:crosses val="autoZero"/>
        <c:auto val="1"/>
        <c:lblAlgn val="ctr"/>
        <c:lblOffset val="100"/>
        <c:noMultiLvlLbl val="0"/>
      </c:catAx>
      <c:valAx>
        <c:axId val="258716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258721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[IRT(DS&amp;BS).xlsx]Graph!PivotTable27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The reason I don’t explore digital assets is that I can’t find a mobile application to purchase digital assets.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Graph!$B$128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Graph!$A$129:$A$133</c:f>
              <c:strCache>
                <c:ptCount val="5"/>
                <c:pt idx="0">
                  <c:v>1</c:v>
                </c:pt>
                <c:pt idx="1">
                  <c:v>2</c:v>
                </c:pt>
                <c:pt idx="2">
                  <c:v>3</c:v>
                </c:pt>
                <c:pt idx="3">
                  <c:v>4</c:v>
                </c:pt>
                <c:pt idx="4">
                  <c:v>5</c:v>
                </c:pt>
              </c:strCache>
            </c:strRef>
          </c:cat>
          <c:val>
            <c:numRef>
              <c:f>Graph!$B$129:$B$133</c:f>
              <c:numCache>
                <c:formatCode>General</c:formatCode>
                <c:ptCount val="5"/>
                <c:pt idx="0">
                  <c:v>44</c:v>
                </c:pt>
                <c:pt idx="1">
                  <c:v>139</c:v>
                </c:pt>
                <c:pt idx="2">
                  <c:v>129</c:v>
                </c:pt>
                <c:pt idx="3">
                  <c:v>79</c:v>
                </c:pt>
                <c:pt idx="4">
                  <c:v>20</c:v>
                </c:pt>
              </c:numCache>
            </c:numRef>
          </c:val>
          <c:extLst>
            <c:ext xmlns:c16="http://schemas.microsoft.com/office/drawing/2014/chart" uri="{C3380CC4-5D6E-409C-BE32-E72D297353CC}">
              <c16:uniqueId val="{00000000-C83F-4D2F-822E-5B0654B51BAF}"/>
            </c:ext>
          </c:extLst>
        </c:ser>
        <c:dLbls>
          <c:dLblPos val="outEnd"/>
          <c:showLegendKey val="0"/>
          <c:showVal val="1"/>
          <c:showCatName val="0"/>
          <c:showSerName val="0"/>
          <c:showPercent val="0"/>
          <c:showBubbleSize val="0"/>
        </c:dLbls>
        <c:gapWidth val="219"/>
        <c:overlap val="-27"/>
        <c:axId val="436198976"/>
        <c:axId val="436201856"/>
      </c:barChart>
      <c:catAx>
        <c:axId val="43619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436201856"/>
        <c:crosses val="autoZero"/>
        <c:auto val="1"/>
        <c:lblAlgn val="ctr"/>
        <c:lblOffset val="100"/>
        <c:noMultiLvlLbl val="0"/>
      </c:catAx>
      <c:valAx>
        <c:axId val="436201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43619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[IRT(DS&amp;BS).xlsx]Graph!PivotTable28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Compared to traditional payment methods like Visa, Mastercard, Alipay, or PayMe, the use of digital assets for transactions is currently limited.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Graph!$B$143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Graph!$A$144:$A$148</c:f>
              <c:strCache>
                <c:ptCount val="5"/>
                <c:pt idx="0">
                  <c:v>1</c:v>
                </c:pt>
                <c:pt idx="1">
                  <c:v>2</c:v>
                </c:pt>
                <c:pt idx="2">
                  <c:v>3</c:v>
                </c:pt>
                <c:pt idx="3">
                  <c:v>4</c:v>
                </c:pt>
                <c:pt idx="4">
                  <c:v>5</c:v>
                </c:pt>
              </c:strCache>
            </c:strRef>
          </c:cat>
          <c:val>
            <c:numRef>
              <c:f>Graph!$B$144:$B$148</c:f>
              <c:numCache>
                <c:formatCode>General</c:formatCode>
                <c:ptCount val="5"/>
                <c:pt idx="0">
                  <c:v>4</c:v>
                </c:pt>
                <c:pt idx="1">
                  <c:v>57</c:v>
                </c:pt>
                <c:pt idx="2">
                  <c:v>111</c:v>
                </c:pt>
                <c:pt idx="3">
                  <c:v>191</c:v>
                </c:pt>
                <c:pt idx="4">
                  <c:v>48</c:v>
                </c:pt>
              </c:numCache>
            </c:numRef>
          </c:val>
          <c:extLst>
            <c:ext xmlns:c16="http://schemas.microsoft.com/office/drawing/2014/chart" uri="{C3380CC4-5D6E-409C-BE32-E72D297353CC}">
              <c16:uniqueId val="{00000000-1483-4FBC-99F3-BE8B6AC5F2BD}"/>
            </c:ext>
          </c:extLst>
        </c:ser>
        <c:dLbls>
          <c:dLblPos val="outEnd"/>
          <c:showLegendKey val="0"/>
          <c:showVal val="1"/>
          <c:showCatName val="0"/>
          <c:showSerName val="0"/>
          <c:showPercent val="0"/>
          <c:showBubbleSize val="0"/>
        </c:dLbls>
        <c:gapWidth val="219"/>
        <c:overlap val="-27"/>
        <c:axId val="409821392"/>
        <c:axId val="409821872"/>
      </c:barChart>
      <c:catAx>
        <c:axId val="40982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409821872"/>
        <c:crosses val="autoZero"/>
        <c:auto val="1"/>
        <c:lblAlgn val="ctr"/>
        <c:lblOffset val="100"/>
        <c:noMultiLvlLbl val="0"/>
      </c:catAx>
      <c:valAx>
        <c:axId val="409821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409821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[IRT(DS&amp;BS).xlsx]Graph!PivotTable29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HK" sz="1400" b="0" i="0" u="none" strike="noStrike" baseline="0">
                <a:effectLst/>
              </a:rPr>
              <a:t>Although digital assets are decentralized, using centralized platforms (e.g., cryptocurrency exchanges) for transactions makes me question the concept of decentralization. This discourages me from exploring digital assets.</a:t>
            </a:r>
            <a:endParaRPr lang="en-US" altLang="zh-TW"/>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Graph!$B$158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Graph!$A$159:$A$163</c:f>
              <c:strCache>
                <c:ptCount val="5"/>
                <c:pt idx="0">
                  <c:v>1</c:v>
                </c:pt>
                <c:pt idx="1">
                  <c:v>2</c:v>
                </c:pt>
                <c:pt idx="2">
                  <c:v>3</c:v>
                </c:pt>
                <c:pt idx="3">
                  <c:v>4</c:v>
                </c:pt>
                <c:pt idx="4">
                  <c:v>5</c:v>
                </c:pt>
              </c:strCache>
            </c:strRef>
          </c:cat>
          <c:val>
            <c:numRef>
              <c:f>Graph!$B$159:$B$163</c:f>
              <c:numCache>
                <c:formatCode>General</c:formatCode>
                <c:ptCount val="5"/>
                <c:pt idx="0">
                  <c:v>15</c:v>
                </c:pt>
                <c:pt idx="1">
                  <c:v>70</c:v>
                </c:pt>
                <c:pt idx="2">
                  <c:v>161</c:v>
                </c:pt>
                <c:pt idx="3">
                  <c:v>156</c:v>
                </c:pt>
                <c:pt idx="4">
                  <c:v>9</c:v>
                </c:pt>
              </c:numCache>
            </c:numRef>
          </c:val>
          <c:extLst>
            <c:ext xmlns:c16="http://schemas.microsoft.com/office/drawing/2014/chart" uri="{C3380CC4-5D6E-409C-BE32-E72D297353CC}">
              <c16:uniqueId val="{00000000-D7A5-4742-9A69-1E366FFDB127}"/>
            </c:ext>
          </c:extLst>
        </c:ser>
        <c:dLbls>
          <c:dLblPos val="outEnd"/>
          <c:showLegendKey val="0"/>
          <c:showVal val="1"/>
          <c:showCatName val="0"/>
          <c:showSerName val="0"/>
          <c:showPercent val="0"/>
          <c:showBubbleSize val="0"/>
        </c:dLbls>
        <c:gapWidth val="219"/>
        <c:overlap val="-27"/>
        <c:axId val="296684688"/>
        <c:axId val="296687088"/>
      </c:barChart>
      <c:catAx>
        <c:axId val="29668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296687088"/>
        <c:crosses val="autoZero"/>
        <c:auto val="1"/>
        <c:lblAlgn val="ctr"/>
        <c:lblOffset val="100"/>
        <c:noMultiLvlLbl val="0"/>
      </c:catAx>
      <c:valAx>
        <c:axId val="296687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29668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[IRT(DS&amp;BS).xlsx]Graph!PivotTable30</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I am concerned about the lengthy duration of a complete transaction involving digital assets.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Graph!$B$174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Graph!$A$175:$A$179</c:f>
              <c:strCache>
                <c:ptCount val="5"/>
                <c:pt idx="0">
                  <c:v>1</c:v>
                </c:pt>
                <c:pt idx="1">
                  <c:v>2</c:v>
                </c:pt>
                <c:pt idx="2">
                  <c:v>3</c:v>
                </c:pt>
                <c:pt idx="3">
                  <c:v>4</c:v>
                </c:pt>
                <c:pt idx="4">
                  <c:v>5</c:v>
                </c:pt>
              </c:strCache>
            </c:strRef>
          </c:cat>
          <c:val>
            <c:numRef>
              <c:f>Graph!$B$175:$B$179</c:f>
              <c:numCache>
                <c:formatCode>General</c:formatCode>
                <c:ptCount val="5"/>
                <c:pt idx="0">
                  <c:v>32</c:v>
                </c:pt>
                <c:pt idx="1">
                  <c:v>114</c:v>
                </c:pt>
                <c:pt idx="2">
                  <c:v>107</c:v>
                </c:pt>
                <c:pt idx="3">
                  <c:v>138</c:v>
                </c:pt>
                <c:pt idx="4">
                  <c:v>20</c:v>
                </c:pt>
              </c:numCache>
            </c:numRef>
          </c:val>
          <c:extLst>
            <c:ext xmlns:c16="http://schemas.microsoft.com/office/drawing/2014/chart" uri="{C3380CC4-5D6E-409C-BE32-E72D297353CC}">
              <c16:uniqueId val="{00000000-EC01-44B7-ABC9-F2FF0390B154}"/>
            </c:ext>
          </c:extLst>
        </c:ser>
        <c:dLbls>
          <c:dLblPos val="outEnd"/>
          <c:showLegendKey val="0"/>
          <c:showVal val="1"/>
          <c:showCatName val="0"/>
          <c:showSerName val="0"/>
          <c:showPercent val="0"/>
          <c:showBubbleSize val="0"/>
        </c:dLbls>
        <c:gapWidth val="219"/>
        <c:overlap val="-27"/>
        <c:axId val="420180240"/>
        <c:axId val="420182640"/>
      </c:barChart>
      <c:catAx>
        <c:axId val="42018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420182640"/>
        <c:crosses val="autoZero"/>
        <c:auto val="1"/>
        <c:lblAlgn val="ctr"/>
        <c:lblOffset val="100"/>
        <c:noMultiLvlLbl val="0"/>
      </c:catAx>
      <c:valAx>
        <c:axId val="420182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420180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[IRT(DS&amp;BS).xlsx]Graph!PivotTable31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Digital asset transactions take longer than traditional payments (e.g., Mastercard, Visa), which makes buying things less convenient for 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Graph!$B$190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Graph!$A$191:$A$195</c:f>
              <c:strCache>
                <c:ptCount val="5"/>
                <c:pt idx="0">
                  <c:v>1</c:v>
                </c:pt>
                <c:pt idx="1">
                  <c:v>2</c:v>
                </c:pt>
                <c:pt idx="2">
                  <c:v>3</c:v>
                </c:pt>
                <c:pt idx="3">
                  <c:v>4</c:v>
                </c:pt>
                <c:pt idx="4">
                  <c:v>5</c:v>
                </c:pt>
              </c:strCache>
            </c:strRef>
          </c:cat>
          <c:val>
            <c:numRef>
              <c:f>Graph!$B$191:$B$195</c:f>
              <c:numCache>
                <c:formatCode>General</c:formatCode>
                <c:ptCount val="5"/>
                <c:pt idx="0">
                  <c:v>18</c:v>
                </c:pt>
                <c:pt idx="1">
                  <c:v>81</c:v>
                </c:pt>
                <c:pt idx="2">
                  <c:v>106</c:v>
                </c:pt>
                <c:pt idx="3">
                  <c:v>169</c:v>
                </c:pt>
                <c:pt idx="4">
                  <c:v>37</c:v>
                </c:pt>
              </c:numCache>
            </c:numRef>
          </c:val>
          <c:extLst>
            <c:ext xmlns:c16="http://schemas.microsoft.com/office/drawing/2014/chart" uri="{C3380CC4-5D6E-409C-BE32-E72D297353CC}">
              <c16:uniqueId val="{00000000-A96C-4D0F-9BD7-DFDD464D5DA6}"/>
            </c:ext>
          </c:extLst>
        </c:ser>
        <c:dLbls>
          <c:dLblPos val="outEnd"/>
          <c:showLegendKey val="0"/>
          <c:showVal val="1"/>
          <c:showCatName val="0"/>
          <c:showSerName val="0"/>
          <c:showPercent val="0"/>
          <c:showBubbleSize val="0"/>
        </c:dLbls>
        <c:gapWidth val="219"/>
        <c:overlap val="-27"/>
        <c:axId val="326700336"/>
        <c:axId val="326700816"/>
      </c:barChart>
      <c:catAx>
        <c:axId val="32670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326700816"/>
        <c:crosses val="autoZero"/>
        <c:auto val="1"/>
        <c:lblAlgn val="ctr"/>
        <c:lblOffset val="100"/>
        <c:noMultiLvlLbl val="0"/>
      </c:catAx>
      <c:valAx>
        <c:axId val="32670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326700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[IRT(DS&amp;BS).xlsx]Graph!PivotTable32</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I believe that exploring digital assets would not improve my daily life (such as improving financial services).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Graph!$B$204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Graph!$A$205:$A$209</c:f>
              <c:strCache>
                <c:ptCount val="5"/>
                <c:pt idx="0">
                  <c:v>1</c:v>
                </c:pt>
                <c:pt idx="1">
                  <c:v>2</c:v>
                </c:pt>
                <c:pt idx="2">
                  <c:v>3</c:v>
                </c:pt>
                <c:pt idx="3">
                  <c:v>4</c:v>
                </c:pt>
                <c:pt idx="4">
                  <c:v>5</c:v>
                </c:pt>
              </c:strCache>
            </c:strRef>
          </c:cat>
          <c:val>
            <c:numRef>
              <c:f>Graph!$B$205:$B$209</c:f>
              <c:numCache>
                <c:formatCode>General</c:formatCode>
                <c:ptCount val="5"/>
                <c:pt idx="0">
                  <c:v>20</c:v>
                </c:pt>
                <c:pt idx="1">
                  <c:v>108</c:v>
                </c:pt>
                <c:pt idx="2">
                  <c:v>117</c:v>
                </c:pt>
                <c:pt idx="3">
                  <c:v>140</c:v>
                </c:pt>
                <c:pt idx="4">
                  <c:v>26</c:v>
                </c:pt>
              </c:numCache>
            </c:numRef>
          </c:val>
          <c:extLst>
            <c:ext xmlns:c16="http://schemas.microsoft.com/office/drawing/2014/chart" uri="{C3380CC4-5D6E-409C-BE32-E72D297353CC}">
              <c16:uniqueId val="{00000000-5DC1-440E-896A-8E8D7B022010}"/>
            </c:ext>
          </c:extLst>
        </c:ser>
        <c:dLbls>
          <c:dLblPos val="outEnd"/>
          <c:showLegendKey val="0"/>
          <c:showVal val="1"/>
          <c:showCatName val="0"/>
          <c:showSerName val="0"/>
          <c:showPercent val="0"/>
          <c:showBubbleSize val="0"/>
        </c:dLbls>
        <c:gapWidth val="219"/>
        <c:overlap val="-27"/>
        <c:axId val="492213824"/>
        <c:axId val="492209504"/>
      </c:barChart>
      <c:catAx>
        <c:axId val="49221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492209504"/>
        <c:crosses val="autoZero"/>
        <c:auto val="1"/>
        <c:lblAlgn val="ctr"/>
        <c:lblOffset val="100"/>
        <c:noMultiLvlLbl val="0"/>
      </c:catAx>
      <c:valAx>
        <c:axId val="492209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492213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[IRT(DS&amp;BS).xlsx]Graph!PivotTable33</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I prefer managing my money with traditional bank accounts and cash rather than trying new digital asset applications.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Graph!$B$219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Graph!$A$220:$A$224</c:f>
              <c:strCache>
                <c:ptCount val="5"/>
                <c:pt idx="0">
                  <c:v>1</c:v>
                </c:pt>
                <c:pt idx="1">
                  <c:v>2</c:v>
                </c:pt>
                <c:pt idx="2">
                  <c:v>3</c:v>
                </c:pt>
                <c:pt idx="3">
                  <c:v>4</c:v>
                </c:pt>
                <c:pt idx="4">
                  <c:v>5</c:v>
                </c:pt>
              </c:strCache>
            </c:strRef>
          </c:cat>
          <c:val>
            <c:numRef>
              <c:f>Graph!$B$220:$B$224</c:f>
              <c:numCache>
                <c:formatCode>General</c:formatCode>
                <c:ptCount val="5"/>
                <c:pt idx="0">
                  <c:v>12</c:v>
                </c:pt>
                <c:pt idx="1">
                  <c:v>62</c:v>
                </c:pt>
                <c:pt idx="2">
                  <c:v>102</c:v>
                </c:pt>
                <c:pt idx="3">
                  <c:v>185</c:v>
                </c:pt>
                <c:pt idx="4">
                  <c:v>50</c:v>
                </c:pt>
              </c:numCache>
            </c:numRef>
          </c:val>
          <c:extLst>
            <c:ext xmlns:c16="http://schemas.microsoft.com/office/drawing/2014/chart" uri="{C3380CC4-5D6E-409C-BE32-E72D297353CC}">
              <c16:uniqueId val="{00000000-F1C8-403B-8E35-17A731BB5A9A}"/>
            </c:ext>
          </c:extLst>
        </c:ser>
        <c:dLbls>
          <c:dLblPos val="outEnd"/>
          <c:showLegendKey val="0"/>
          <c:showVal val="1"/>
          <c:showCatName val="0"/>
          <c:showSerName val="0"/>
          <c:showPercent val="0"/>
          <c:showBubbleSize val="0"/>
        </c:dLbls>
        <c:gapWidth val="219"/>
        <c:overlap val="-27"/>
        <c:axId val="619610368"/>
        <c:axId val="619610848"/>
      </c:barChart>
      <c:catAx>
        <c:axId val="61961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619610848"/>
        <c:crosses val="autoZero"/>
        <c:auto val="1"/>
        <c:lblAlgn val="ctr"/>
        <c:lblOffset val="100"/>
        <c:noMultiLvlLbl val="0"/>
      </c:catAx>
      <c:valAx>
        <c:axId val="61961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619610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[IRT(DS&amp;BS).xlsx]Graph!PivotTable34</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If the digital asset application (E.g., crypto wallet) suddenly doesn't work, I fear that I will lose all my digital assets.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Graph!$B$235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Graph!$A$236:$A$240</c:f>
              <c:strCache>
                <c:ptCount val="5"/>
                <c:pt idx="0">
                  <c:v>1</c:v>
                </c:pt>
                <c:pt idx="1">
                  <c:v>2</c:v>
                </c:pt>
                <c:pt idx="2">
                  <c:v>3</c:v>
                </c:pt>
                <c:pt idx="3">
                  <c:v>4</c:v>
                </c:pt>
                <c:pt idx="4">
                  <c:v>5</c:v>
                </c:pt>
              </c:strCache>
            </c:strRef>
          </c:cat>
          <c:val>
            <c:numRef>
              <c:f>Graph!$B$236:$B$240</c:f>
              <c:numCache>
                <c:formatCode>General</c:formatCode>
                <c:ptCount val="5"/>
                <c:pt idx="0">
                  <c:v>9</c:v>
                </c:pt>
                <c:pt idx="1">
                  <c:v>48</c:v>
                </c:pt>
                <c:pt idx="2">
                  <c:v>71</c:v>
                </c:pt>
                <c:pt idx="3">
                  <c:v>183</c:v>
                </c:pt>
                <c:pt idx="4">
                  <c:v>100</c:v>
                </c:pt>
              </c:numCache>
            </c:numRef>
          </c:val>
          <c:extLst>
            <c:ext xmlns:c16="http://schemas.microsoft.com/office/drawing/2014/chart" uri="{C3380CC4-5D6E-409C-BE32-E72D297353CC}">
              <c16:uniqueId val="{00000000-9257-478D-A981-35B52C4C1C1C}"/>
            </c:ext>
          </c:extLst>
        </c:ser>
        <c:dLbls>
          <c:dLblPos val="outEnd"/>
          <c:showLegendKey val="0"/>
          <c:showVal val="1"/>
          <c:showCatName val="0"/>
          <c:showSerName val="0"/>
          <c:showPercent val="0"/>
          <c:showBubbleSize val="0"/>
        </c:dLbls>
        <c:gapWidth val="219"/>
        <c:overlap val="-27"/>
        <c:axId val="649513616"/>
        <c:axId val="649501616"/>
      </c:barChart>
      <c:catAx>
        <c:axId val="64951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649501616"/>
        <c:crosses val="autoZero"/>
        <c:auto val="1"/>
        <c:lblAlgn val="ctr"/>
        <c:lblOffset val="100"/>
        <c:noMultiLvlLbl val="0"/>
      </c:catAx>
      <c:valAx>
        <c:axId val="649501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649513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[IRT(DS&amp;BS).xlsx]Graph!PivotTable35</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 I am worried about accidentally sending digital assets to the wrong person and not being able to recover them.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Graph!$B$250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Graph!$A$251:$A$255</c:f>
              <c:strCache>
                <c:ptCount val="5"/>
                <c:pt idx="0">
                  <c:v>1</c:v>
                </c:pt>
                <c:pt idx="1">
                  <c:v>2</c:v>
                </c:pt>
                <c:pt idx="2">
                  <c:v>3</c:v>
                </c:pt>
                <c:pt idx="3">
                  <c:v>4</c:v>
                </c:pt>
                <c:pt idx="4">
                  <c:v>5</c:v>
                </c:pt>
              </c:strCache>
            </c:strRef>
          </c:cat>
          <c:val>
            <c:numRef>
              <c:f>Graph!$B$251:$B$255</c:f>
              <c:numCache>
                <c:formatCode>General</c:formatCode>
                <c:ptCount val="5"/>
                <c:pt idx="0">
                  <c:v>8</c:v>
                </c:pt>
                <c:pt idx="1">
                  <c:v>43</c:v>
                </c:pt>
                <c:pt idx="2">
                  <c:v>78</c:v>
                </c:pt>
                <c:pt idx="3">
                  <c:v>196</c:v>
                </c:pt>
                <c:pt idx="4">
                  <c:v>86</c:v>
                </c:pt>
              </c:numCache>
            </c:numRef>
          </c:val>
          <c:extLst>
            <c:ext xmlns:c16="http://schemas.microsoft.com/office/drawing/2014/chart" uri="{C3380CC4-5D6E-409C-BE32-E72D297353CC}">
              <c16:uniqueId val="{00000000-3835-430A-9B20-3117EDCC2BCD}"/>
            </c:ext>
          </c:extLst>
        </c:ser>
        <c:dLbls>
          <c:dLblPos val="outEnd"/>
          <c:showLegendKey val="0"/>
          <c:showVal val="1"/>
          <c:showCatName val="0"/>
          <c:showSerName val="0"/>
          <c:showPercent val="0"/>
          <c:showBubbleSize val="0"/>
        </c:dLbls>
        <c:gapWidth val="219"/>
        <c:overlap val="-27"/>
        <c:axId val="436589024"/>
        <c:axId val="643352400"/>
      </c:barChart>
      <c:catAx>
        <c:axId val="43658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643352400"/>
        <c:crosses val="autoZero"/>
        <c:auto val="1"/>
        <c:lblAlgn val="ctr"/>
        <c:lblOffset val="100"/>
        <c:noMultiLvlLbl val="0"/>
      </c:catAx>
      <c:valAx>
        <c:axId val="643352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43658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[IRT(DS&amp;BS).xlsx]Graph!PivotTable36</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I believe that digital asset apps are often linked to scams (e.g., JPEX).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Graph!$B$265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Graph!$A$266:$A$270</c:f>
              <c:strCache>
                <c:ptCount val="5"/>
                <c:pt idx="0">
                  <c:v>1</c:v>
                </c:pt>
                <c:pt idx="1">
                  <c:v>2</c:v>
                </c:pt>
                <c:pt idx="2">
                  <c:v>3</c:v>
                </c:pt>
                <c:pt idx="3">
                  <c:v>4</c:v>
                </c:pt>
                <c:pt idx="4">
                  <c:v>5</c:v>
                </c:pt>
              </c:strCache>
            </c:strRef>
          </c:cat>
          <c:val>
            <c:numRef>
              <c:f>Graph!$B$266:$B$270</c:f>
              <c:numCache>
                <c:formatCode>General</c:formatCode>
                <c:ptCount val="5"/>
                <c:pt idx="0">
                  <c:v>7</c:v>
                </c:pt>
                <c:pt idx="1">
                  <c:v>67</c:v>
                </c:pt>
                <c:pt idx="2">
                  <c:v>132</c:v>
                </c:pt>
                <c:pt idx="3">
                  <c:v>158</c:v>
                </c:pt>
                <c:pt idx="4">
                  <c:v>47</c:v>
                </c:pt>
              </c:numCache>
            </c:numRef>
          </c:val>
          <c:extLst>
            <c:ext xmlns:c16="http://schemas.microsoft.com/office/drawing/2014/chart" uri="{C3380CC4-5D6E-409C-BE32-E72D297353CC}">
              <c16:uniqueId val="{00000000-421E-43FB-AEF7-230B027E20E7}"/>
            </c:ext>
          </c:extLst>
        </c:ser>
        <c:dLbls>
          <c:dLblPos val="outEnd"/>
          <c:showLegendKey val="0"/>
          <c:showVal val="1"/>
          <c:showCatName val="0"/>
          <c:showSerName val="0"/>
          <c:showPercent val="0"/>
          <c:showBubbleSize val="0"/>
        </c:dLbls>
        <c:gapWidth val="219"/>
        <c:overlap val="-27"/>
        <c:axId val="619623328"/>
        <c:axId val="619623808"/>
      </c:barChart>
      <c:catAx>
        <c:axId val="61962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619623808"/>
        <c:crosses val="autoZero"/>
        <c:auto val="1"/>
        <c:lblAlgn val="ctr"/>
        <c:lblOffset val="100"/>
        <c:noMultiLvlLbl val="0"/>
      </c:catAx>
      <c:valAx>
        <c:axId val="61962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619623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[IRT(DS&amp;BS).xlsx]Graph!PivotTable37</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I fear that my digital assets could be accessed and stolen by unauthorized parties.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Graph!$B$280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Graph!$A$281:$A$285</c:f>
              <c:strCache>
                <c:ptCount val="5"/>
                <c:pt idx="0">
                  <c:v>1</c:v>
                </c:pt>
                <c:pt idx="1">
                  <c:v>2</c:v>
                </c:pt>
                <c:pt idx="2">
                  <c:v>3</c:v>
                </c:pt>
                <c:pt idx="3">
                  <c:v>4</c:v>
                </c:pt>
                <c:pt idx="4">
                  <c:v>5</c:v>
                </c:pt>
              </c:strCache>
            </c:strRef>
          </c:cat>
          <c:val>
            <c:numRef>
              <c:f>Graph!$B$281:$B$285</c:f>
              <c:numCache>
                <c:formatCode>General</c:formatCode>
                <c:ptCount val="5"/>
                <c:pt idx="0">
                  <c:v>8</c:v>
                </c:pt>
                <c:pt idx="1">
                  <c:v>45</c:v>
                </c:pt>
                <c:pt idx="2">
                  <c:v>89</c:v>
                </c:pt>
                <c:pt idx="3">
                  <c:v>190</c:v>
                </c:pt>
                <c:pt idx="4">
                  <c:v>79</c:v>
                </c:pt>
              </c:numCache>
            </c:numRef>
          </c:val>
          <c:extLst>
            <c:ext xmlns:c16="http://schemas.microsoft.com/office/drawing/2014/chart" uri="{C3380CC4-5D6E-409C-BE32-E72D297353CC}">
              <c16:uniqueId val="{00000000-2722-43C4-804A-5399CCD364B3}"/>
            </c:ext>
          </c:extLst>
        </c:ser>
        <c:dLbls>
          <c:dLblPos val="outEnd"/>
          <c:showLegendKey val="0"/>
          <c:showVal val="1"/>
          <c:showCatName val="0"/>
          <c:showSerName val="0"/>
          <c:showPercent val="0"/>
          <c:showBubbleSize val="0"/>
        </c:dLbls>
        <c:gapWidth val="219"/>
        <c:overlap val="-27"/>
        <c:axId val="554100160"/>
        <c:axId val="419716896"/>
      </c:barChart>
      <c:catAx>
        <c:axId val="55410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419716896"/>
        <c:crosses val="autoZero"/>
        <c:auto val="1"/>
        <c:lblAlgn val="ctr"/>
        <c:lblOffset val="100"/>
        <c:noMultiLvlLbl val="0"/>
      </c:catAx>
      <c:valAx>
        <c:axId val="41971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554100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[IRT(DS&amp;BS).xlsx]Graph!PivotTable38</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I believe that purchasing digital assets must involve high investment risks.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Graph!$B$295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Graph!$A$296:$A$300</c:f>
              <c:strCache>
                <c:ptCount val="5"/>
                <c:pt idx="0">
                  <c:v>1</c:v>
                </c:pt>
                <c:pt idx="1">
                  <c:v>2</c:v>
                </c:pt>
                <c:pt idx="2">
                  <c:v>3</c:v>
                </c:pt>
                <c:pt idx="3">
                  <c:v>4</c:v>
                </c:pt>
                <c:pt idx="4">
                  <c:v>5</c:v>
                </c:pt>
              </c:strCache>
            </c:strRef>
          </c:cat>
          <c:val>
            <c:numRef>
              <c:f>Graph!$B$296:$B$300</c:f>
              <c:numCache>
                <c:formatCode>General</c:formatCode>
                <c:ptCount val="5"/>
                <c:pt idx="0">
                  <c:v>4</c:v>
                </c:pt>
                <c:pt idx="1">
                  <c:v>42</c:v>
                </c:pt>
                <c:pt idx="2">
                  <c:v>113</c:v>
                </c:pt>
                <c:pt idx="3">
                  <c:v>179</c:v>
                </c:pt>
                <c:pt idx="4">
                  <c:v>73</c:v>
                </c:pt>
              </c:numCache>
            </c:numRef>
          </c:val>
          <c:extLst>
            <c:ext xmlns:c16="http://schemas.microsoft.com/office/drawing/2014/chart" uri="{C3380CC4-5D6E-409C-BE32-E72D297353CC}">
              <c16:uniqueId val="{00000000-409D-4F4C-8E97-3C3C7342BF5F}"/>
            </c:ext>
          </c:extLst>
        </c:ser>
        <c:dLbls>
          <c:dLblPos val="outEnd"/>
          <c:showLegendKey val="0"/>
          <c:showVal val="1"/>
          <c:showCatName val="0"/>
          <c:showSerName val="0"/>
          <c:showPercent val="0"/>
          <c:showBubbleSize val="0"/>
        </c:dLbls>
        <c:gapWidth val="219"/>
        <c:overlap val="-27"/>
        <c:axId val="502106912"/>
        <c:axId val="502099712"/>
      </c:barChart>
      <c:catAx>
        <c:axId val="5021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502099712"/>
        <c:crosses val="autoZero"/>
        <c:auto val="1"/>
        <c:lblAlgn val="ctr"/>
        <c:lblOffset val="100"/>
        <c:noMultiLvlLbl val="0"/>
      </c:catAx>
      <c:valAx>
        <c:axId val="502099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50210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[IRT(DS&amp;BS).xlsx]Graph!PivotTable39</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HK" sz="1400" b="0" i="0" u="none" strike="noStrike" baseline="0">
                <a:effectLst/>
              </a:rPr>
              <a:t>Since many investors use leverage, digital assets may carry high systematic risks and operate in a relatively bad market environment compared to other financial markets. This discourages me from participating in the digital assets market.</a:t>
            </a:r>
            <a:endParaRPr lang="en-US" altLang="zh-TW"/>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Graph!$B$310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Graph!$A$311:$A$315</c:f>
              <c:strCache>
                <c:ptCount val="5"/>
                <c:pt idx="0">
                  <c:v>1</c:v>
                </c:pt>
                <c:pt idx="1">
                  <c:v>2</c:v>
                </c:pt>
                <c:pt idx="2">
                  <c:v>3</c:v>
                </c:pt>
                <c:pt idx="3">
                  <c:v>4</c:v>
                </c:pt>
                <c:pt idx="4">
                  <c:v>5</c:v>
                </c:pt>
              </c:strCache>
            </c:strRef>
          </c:cat>
          <c:val>
            <c:numRef>
              <c:f>Graph!$B$311:$B$315</c:f>
              <c:numCache>
                <c:formatCode>General</c:formatCode>
                <c:ptCount val="5"/>
                <c:pt idx="0">
                  <c:v>10</c:v>
                </c:pt>
                <c:pt idx="1">
                  <c:v>87</c:v>
                </c:pt>
                <c:pt idx="2">
                  <c:v>112</c:v>
                </c:pt>
                <c:pt idx="3">
                  <c:v>161</c:v>
                </c:pt>
                <c:pt idx="4">
                  <c:v>41</c:v>
                </c:pt>
              </c:numCache>
            </c:numRef>
          </c:val>
          <c:extLst>
            <c:ext xmlns:c16="http://schemas.microsoft.com/office/drawing/2014/chart" uri="{C3380CC4-5D6E-409C-BE32-E72D297353CC}">
              <c16:uniqueId val="{00000000-6275-45F9-9176-E61AB29DB767}"/>
            </c:ext>
          </c:extLst>
        </c:ser>
        <c:dLbls>
          <c:dLblPos val="outEnd"/>
          <c:showLegendKey val="0"/>
          <c:showVal val="1"/>
          <c:showCatName val="0"/>
          <c:showSerName val="0"/>
          <c:showPercent val="0"/>
          <c:showBubbleSize val="0"/>
        </c:dLbls>
        <c:gapWidth val="219"/>
        <c:overlap val="-27"/>
        <c:axId val="291480608"/>
        <c:axId val="291483008"/>
      </c:barChart>
      <c:catAx>
        <c:axId val="29148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291483008"/>
        <c:crosses val="autoZero"/>
        <c:auto val="1"/>
        <c:lblAlgn val="ctr"/>
        <c:lblOffset val="100"/>
        <c:noMultiLvlLbl val="0"/>
      </c:catAx>
      <c:valAx>
        <c:axId val="291483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29148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[IRT(DS&amp;BS).xlsx]Graph!PivotTable41</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I believe that investing in digital assets will yield lower monetary returns compared to traditional investment products (e.g., stocks, gold, and bonds).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Graph!$B$325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Graph!$A$326:$A$330</c:f>
              <c:strCache>
                <c:ptCount val="5"/>
                <c:pt idx="0">
                  <c:v>1</c:v>
                </c:pt>
                <c:pt idx="1">
                  <c:v>2</c:v>
                </c:pt>
                <c:pt idx="2">
                  <c:v>3</c:v>
                </c:pt>
                <c:pt idx="3">
                  <c:v>4</c:v>
                </c:pt>
                <c:pt idx="4">
                  <c:v>5</c:v>
                </c:pt>
              </c:strCache>
            </c:strRef>
          </c:cat>
          <c:val>
            <c:numRef>
              <c:f>Graph!$B$326:$B$330</c:f>
              <c:numCache>
                <c:formatCode>General</c:formatCode>
                <c:ptCount val="5"/>
                <c:pt idx="0">
                  <c:v>22</c:v>
                </c:pt>
                <c:pt idx="1">
                  <c:v>129</c:v>
                </c:pt>
                <c:pt idx="2">
                  <c:v>145</c:v>
                </c:pt>
                <c:pt idx="3">
                  <c:v>100</c:v>
                </c:pt>
                <c:pt idx="4">
                  <c:v>15</c:v>
                </c:pt>
              </c:numCache>
            </c:numRef>
          </c:val>
          <c:extLst>
            <c:ext xmlns:c16="http://schemas.microsoft.com/office/drawing/2014/chart" uri="{C3380CC4-5D6E-409C-BE32-E72D297353CC}">
              <c16:uniqueId val="{00000000-D64B-40C6-B27D-86B5F4B1BF91}"/>
            </c:ext>
          </c:extLst>
        </c:ser>
        <c:dLbls>
          <c:dLblPos val="outEnd"/>
          <c:showLegendKey val="0"/>
          <c:showVal val="1"/>
          <c:showCatName val="0"/>
          <c:showSerName val="0"/>
          <c:showPercent val="0"/>
          <c:showBubbleSize val="0"/>
        </c:dLbls>
        <c:gapWidth val="219"/>
        <c:overlap val="-27"/>
        <c:axId val="670377904"/>
        <c:axId val="670372144"/>
      </c:barChart>
      <c:catAx>
        <c:axId val="67037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670372144"/>
        <c:crosses val="autoZero"/>
        <c:auto val="1"/>
        <c:lblAlgn val="ctr"/>
        <c:lblOffset val="100"/>
        <c:noMultiLvlLbl val="0"/>
      </c:catAx>
      <c:valAx>
        <c:axId val="670372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67037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[IRT(DS&amp;BS).xlsx]Graph!PivotTable42</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The current investment products (e.g., stocks and bonds) are already sufficient for me; it is not necessary to explore digital assets.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Graph!$B$341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Graph!$A$342:$A$346</c:f>
              <c:strCache>
                <c:ptCount val="5"/>
                <c:pt idx="0">
                  <c:v>1</c:v>
                </c:pt>
                <c:pt idx="1">
                  <c:v>2</c:v>
                </c:pt>
                <c:pt idx="2">
                  <c:v>3</c:v>
                </c:pt>
                <c:pt idx="3">
                  <c:v>4</c:v>
                </c:pt>
                <c:pt idx="4">
                  <c:v>5</c:v>
                </c:pt>
              </c:strCache>
            </c:strRef>
          </c:cat>
          <c:val>
            <c:numRef>
              <c:f>Graph!$B$342:$B$346</c:f>
              <c:numCache>
                <c:formatCode>General</c:formatCode>
                <c:ptCount val="5"/>
                <c:pt idx="0">
                  <c:v>14</c:v>
                </c:pt>
                <c:pt idx="1">
                  <c:v>88</c:v>
                </c:pt>
                <c:pt idx="2">
                  <c:v>136</c:v>
                </c:pt>
                <c:pt idx="3">
                  <c:v>144</c:v>
                </c:pt>
                <c:pt idx="4">
                  <c:v>29</c:v>
                </c:pt>
              </c:numCache>
            </c:numRef>
          </c:val>
          <c:extLst>
            <c:ext xmlns:c16="http://schemas.microsoft.com/office/drawing/2014/chart" uri="{C3380CC4-5D6E-409C-BE32-E72D297353CC}">
              <c16:uniqueId val="{00000000-BC5E-4C34-A631-14D2D668BE01}"/>
            </c:ext>
          </c:extLst>
        </c:ser>
        <c:dLbls>
          <c:dLblPos val="outEnd"/>
          <c:showLegendKey val="0"/>
          <c:showVal val="1"/>
          <c:showCatName val="0"/>
          <c:showSerName val="0"/>
          <c:showPercent val="0"/>
          <c:showBubbleSize val="0"/>
        </c:dLbls>
        <c:gapWidth val="219"/>
        <c:overlap val="-27"/>
        <c:axId val="488307648"/>
        <c:axId val="488307168"/>
      </c:barChart>
      <c:catAx>
        <c:axId val="488307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488307168"/>
        <c:crosses val="autoZero"/>
        <c:auto val="1"/>
        <c:lblAlgn val="ctr"/>
        <c:lblOffset val="100"/>
        <c:noMultiLvlLbl val="0"/>
      </c:catAx>
      <c:valAx>
        <c:axId val="488307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48830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[IRT(DS&amp;BS).xlsx]Graph!PivotTable43</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I believe digital assets feel like a fad—trendy for a short time but quickly fading away as people's interest diminishes (E.g., NFT, $Melania).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Graph!$B$356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Graph!$A$357:$A$361</c:f>
              <c:strCache>
                <c:ptCount val="5"/>
                <c:pt idx="0">
                  <c:v>1</c:v>
                </c:pt>
                <c:pt idx="1">
                  <c:v>2</c:v>
                </c:pt>
                <c:pt idx="2">
                  <c:v>3</c:v>
                </c:pt>
                <c:pt idx="3">
                  <c:v>4</c:v>
                </c:pt>
                <c:pt idx="4">
                  <c:v>5</c:v>
                </c:pt>
              </c:strCache>
            </c:strRef>
          </c:cat>
          <c:val>
            <c:numRef>
              <c:f>Graph!$B$357:$B$361</c:f>
              <c:numCache>
                <c:formatCode>General</c:formatCode>
                <c:ptCount val="5"/>
                <c:pt idx="0">
                  <c:v>6</c:v>
                </c:pt>
                <c:pt idx="1">
                  <c:v>62</c:v>
                </c:pt>
                <c:pt idx="2">
                  <c:v>103</c:v>
                </c:pt>
                <c:pt idx="3">
                  <c:v>172</c:v>
                </c:pt>
                <c:pt idx="4">
                  <c:v>68</c:v>
                </c:pt>
              </c:numCache>
            </c:numRef>
          </c:val>
          <c:extLst>
            <c:ext xmlns:c16="http://schemas.microsoft.com/office/drawing/2014/chart" uri="{C3380CC4-5D6E-409C-BE32-E72D297353CC}">
              <c16:uniqueId val="{00000000-8579-4630-98C3-F902EC1AC50A}"/>
            </c:ext>
          </c:extLst>
        </c:ser>
        <c:dLbls>
          <c:dLblPos val="outEnd"/>
          <c:showLegendKey val="0"/>
          <c:showVal val="1"/>
          <c:showCatName val="0"/>
          <c:showSerName val="0"/>
          <c:showPercent val="0"/>
          <c:showBubbleSize val="0"/>
        </c:dLbls>
        <c:gapWidth val="219"/>
        <c:overlap val="-27"/>
        <c:axId val="726597024"/>
        <c:axId val="726598464"/>
      </c:barChart>
      <c:catAx>
        <c:axId val="72659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726598464"/>
        <c:crosses val="autoZero"/>
        <c:auto val="1"/>
        <c:lblAlgn val="ctr"/>
        <c:lblOffset val="100"/>
        <c:noMultiLvlLbl val="0"/>
      </c:catAx>
      <c:valAx>
        <c:axId val="726598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72659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[IRT(DS&amp;BS).xlsx]Graph!PivotTable44</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 I believe that people who explore digital assets are often viewed negatively (e.g., "nerds", “gamblers”).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Graph!$B$371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Graph!$A$372:$A$376</c:f>
              <c:strCache>
                <c:ptCount val="5"/>
                <c:pt idx="0">
                  <c:v>1</c:v>
                </c:pt>
                <c:pt idx="1">
                  <c:v>2</c:v>
                </c:pt>
                <c:pt idx="2">
                  <c:v>3</c:v>
                </c:pt>
                <c:pt idx="3">
                  <c:v>4</c:v>
                </c:pt>
                <c:pt idx="4">
                  <c:v>5</c:v>
                </c:pt>
              </c:strCache>
            </c:strRef>
          </c:cat>
          <c:val>
            <c:numRef>
              <c:f>Graph!$B$372:$B$376</c:f>
              <c:numCache>
                <c:formatCode>General</c:formatCode>
                <c:ptCount val="5"/>
                <c:pt idx="0">
                  <c:v>21</c:v>
                </c:pt>
                <c:pt idx="1">
                  <c:v>94</c:v>
                </c:pt>
                <c:pt idx="2">
                  <c:v>119</c:v>
                </c:pt>
                <c:pt idx="3">
                  <c:v>147</c:v>
                </c:pt>
                <c:pt idx="4">
                  <c:v>30</c:v>
                </c:pt>
              </c:numCache>
            </c:numRef>
          </c:val>
          <c:extLst>
            <c:ext xmlns:c16="http://schemas.microsoft.com/office/drawing/2014/chart" uri="{C3380CC4-5D6E-409C-BE32-E72D297353CC}">
              <c16:uniqueId val="{00000000-9178-4DCC-A8CA-B24164D1C7B3}"/>
            </c:ext>
          </c:extLst>
        </c:ser>
        <c:dLbls>
          <c:dLblPos val="outEnd"/>
          <c:showLegendKey val="0"/>
          <c:showVal val="1"/>
          <c:showCatName val="0"/>
          <c:showSerName val="0"/>
          <c:showPercent val="0"/>
          <c:showBubbleSize val="0"/>
        </c:dLbls>
        <c:gapWidth val="219"/>
        <c:overlap val="-27"/>
        <c:axId val="619602688"/>
        <c:axId val="619617088"/>
      </c:barChart>
      <c:catAx>
        <c:axId val="61960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619617088"/>
        <c:crosses val="autoZero"/>
        <c:auto val="1"/>
        <c:lblAlgn val="ctr"/>
        <c:lblOffset val="100"/>
        <c:noMultiLvlLbl val="0"/>
      </c:catAx>
      <c:valAx>
        <c:axId val="619617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61960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[IRT(DS&amp;BS).xlsx]Graph!PivotTable45</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I am interested in exploring digital assets.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Graph!$B$386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Graph!$A$387:$A$391</c:f>
              <c:strCache>
                <c:ptCount val="5"/>
                <c:pt idx="0">
                  <c:v>1</c:v>
                </c:pt>
                <c:pt idx="1">
                  <c:v>2</c:v>
                </c:pt>
                <c:pt idx="2">
                  <c:v>3</c:v>
                </c:pt>
                <c:pt idx="3">
                  <c:v>4</c:v>
                </c:pt>
                <c:pt idx="4">
                  <c:v>5</c:v>
                </c:pt>
              </c:strCache>
            </c:strRef>
          </c:cat>
          <c:val>
            <c:numRef>
              <c:f>Graph!$B$387:$B$391</c:f>
              <c:numCache>
                <c:formatCode>General</c:formatCode>
                <c:ptCount val="5"/>
                <c:pt idx="0">
                  <c:v>18</c:v>
                </c:pt>
                <c:pt idx="1">
                  <c:v>94</c:v>
                </c:pt>
                <c:pt idx="2">
                  <c:v>120</c:v>
                </c:pt>
                <c:pt idx="3">
                  <c:v>125</c:v>
                </c:pt>
                <c:pt idx="4">
                  <c:v>54</c:v>
                </c:pt>
              </c:numCache>
            </c:numRef>
          </c:val>
          <c:extLst>
            <c:ext xmlns:c16="http://schemas.microsoft.com/office/drawing/2014/chart" uri="{C3380CC4-5D6E-409C-BE32-E72D297353CC}">
              <c16:uniqueId val="{00000000-5F38-4BE9-B6F8-C34F2A70C183}"/>
            </c:ext>
          </c:extLst>
        </c:ser>
        <c:dLbls>
          <c:dLblPos val="outEnd"/>
          <c:showLegendKey val="0"/>
          <c:showVal val="1"/>
          <c:showCatName val="0"/>
          <c:showSerName val="0"/>
          <c:showPercent val="0"/>
          <c:showBubbleSize val="0"/>
        </c:dLbls>
        <c:gapWidth val="219"/>
        <c:overlap val="-27"/>
        <c:axId val="492430736"/>
        <c:axId val="492433616"/>
      </c:barChart>
      <c:catAx>
        <c:axId val="49243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492433616"/>
        <c:crosses val="autoZero"/>
        <c:auto val="1"/>
        <c:lblAlgn val="ctr"/>
        <c:lblOffset val="100"/>
        <c:noMultiLvlLbl val="0"/>
      </c:catAx>
      <c:valAx>
        <c:axId val="49243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49243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[IRT(DS&amp;BS).xlsx]Graph!PivotTable46</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 I would not try to explore digital assets when considering investments.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Graph!$B$402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Graph!$A$403:$A$407</c:f>
              <c:strCache>
                <c:ptCount val="5"/>
                <c:pt idx="0">
                  <c:v>1</c:v>
                </c:pt>
                <c:pt idx="1">
                  <c:v>2</c:v>
                </c:pt>
                <c:pt idx="2">
                  <c:v>3</c:v>
                </c:pt>
                <c:pt idx="3">
                  <c:v>4</c:v>
                </c:pt>
                <c:pt idx="4">
                  <c:v>5</c:v>
                </c:pt>
              </c:strCache>
            </c:strRef>
          </c:cat>
          <c:val>
            <c:numRef>
              <c:f>Graph!$B$403:$B$407</c:f>
              <c:numCache>
                <c:formatCode>General</c:formatCode>
                <c:ptCount val="5"/>
                <c:pt idx="0">
                  <c:v>43</c:v>
                </c:pt>
                <c:pt idx="1">
                  <c:v>163</c:v>
                </c:pt>
                <c:pt idx="2">
                  <c:v>120</c:v>
                </c:pt>
                <c:pt idx="3">
                  <c:v>65</c:v>
                </c:pt>
                <c:pt idx="4">
                  <c:v>20</c:v>
                </c:pt>
              </c:numCache>
            </c:numRef>
          </c:val>
          <c:extLst>
            <c:ext xmlns:c16="http://schemas.microsoft.com/office/drawing/2014/chart" uri="{C3380CC4-5D6E-409C-BE32-E72D297353CC}">
              <c16:uniqueId val="{00000000-A883-451D-BC08-8BFBAF1C3795}"/>
            </c:ext>
          </c:extLst>
        </c:ser>
        <c:dLbls>
          <c:dLblPos val="outEnd"/>
          <c:showLegendKey val="0"/>
          <c:showVal val="1"/>
          <c:showCatName val="0"/>
          <c:showSerName val="0"/>
          <c:showPercent val="0"/>
          <c:showBubbleSize val="0"/>
        </c:dLbls>
        <c:gapWidth val="219"/>
        <c:overlap val="-27"/>
        <c:axId val="349708608"/>
        <c:axId val="437981424"/>
      </c:barChart>
      <c:catAx>
        <c:axId val="34970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437981424"/>
        <c:crosses val="autoZero"/>
        <c:auto val="1"/>
        <c:lblAlgn val="ctr"/>
        <c:lblOffset val="100"/>
        <c:noMultiLvlLbl val="0"/>
      </c:catAx>
      <c:valAx>
        <c:axId val="43798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34970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[IRT(DS&amp;BS).xlsx]Graph!PivotTable47</c:name>
    <c:fmtId val="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If I want to try different ways to invest, I will explore digital assets.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Graph!$B$418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H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Graph!$A$419:$A$423</c:f>
              <c:strCache>
                <c:ptCount val="5"/>
                <c:pt idx="0">
                  <c:v>1</c:v>
                </c:pt>
                <c:pt idx="1">
                  <c:v>2</c:v>
                </c:pt>
                <c:pt idx="2">
                  <c:v>3</c:v>
                </c:pt>
                <c:pt idx="3">
                  <c:v>4</c:v>
                </c:pt>
                <c:pt idx="4">
                  <c:v>5</c:v>
                </c:pt>
              </c:strCache>
            </c:strRef>
          </c:cat>
          <c:val>
            <c:numRef>
              <c:f>Graph!$B$419:$B$423</c:f>
              <c:numCache>
                <c:formatCode>General</c:formatCode>
                <c:ptCount val="5"/>
                <c:pt idx="0">
                  <c:v>16</c:v>
                </c:pt>
                <c:pt idx="1">
                  <c:v>69</c:v>
                </c:pt>
                <c:pt idx="2">
                  <c:v>120</c:v>
                </c:pt>
                <c:pt idx="3">
                  <c:v>143</c:v>
                </c:pt>
                <c:pt idx="4">
                  <c:v>63</c:v>
                </c:pt>
              </c:numCache>
            </c:numRef>
          </c:val>
          <c:extLst>
            <c:ext xmlns:c16="http://schemas.microsoft.com/office/drawing/2014/chart" uri="{C3380CC4-5D6E-409C-BE32-E72D297353CC}">
              <c16:uniqueId val="{00000000-C769-46BD-80A6-5DE4E24E41CF}"/>
            </c:ext>
          </c:extLst>
        </c:ser>
        <c:dLbls>
          <c:dLblPos val="outEnd"/>
          <c:showLegendKey val="0"/>
          <c:showVal val="1"/>
          <c:showCatName val="0"/>
          <c:showSerName val="0"/>
          <c:showPercent val="0"/>
          <c:showBubbleSize val="0"/>
        </c:dLbls>
        <c:gapWidth val="219"/>
        <c:overlap val="-27"/>
        <c:axId val="248517680"/>
        <c:axId val="297915392"/>
      </c:barChart>
      <c:catAx>
        <c:axId val="24851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297915392"/>
        <c:crosses val="autoZero"/>
        <c:auto val="1"/>
        <c:lblAlgn val="ctr"/>
        <c:lblOffset val="100"/>
        <c:noMultiLvlLbl val="0"/>
      </c:catAx>
      <c:valAx>
        <c:axId val="297915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248517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xdr:from>
      <xdr:col>6</xdr:col>
      <xdr:colOff>15240</xdr:colOff>
      <xdr:row>0</xdr:row>
      <xdr:rowOff>38100</xdr:rowOff>
    </xdr:from>
    <xdr:to>
      <xdr:col>12</xdr:col>
      <xdr:colOff>518160</xdr:colOff>
      <xdr:row>14</xdr:row>
      <xdr:rowOff>114300</xdr:rowOff>
    </xdr:to>
    <xdr:graphicFrame macro="">
      <xdr:nvGraphicFramePr>
        <xdr:cNvPr id="2" name="Chart 1">
          <a:extLst>
            <a:ext uri="{FF2B5EF4-FFF2-40B4-BE49-F238E27FC236}">
              <a16:creationId xmlns:a16="http://schemas.microsoft.com/office/drawing/2014/main" id="{5FFC8696-C26A-44D0-8C56-B98997C8D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26670</xdr:colOff>
      <xdr:row>23</xdr:row>
      <xdr:rowOff>0</xdr:rowOff>
    </xdr:from>
    <xdr:to>
      <xdr:col>12</xdr:col>
      <xdr:colOff>476250</xdr:colOff>
      <xdr:row>37</xdr:row>
      <xdr:rowOff>76200</xdr:rowOff>
    </xdr:to>
    <xdr:graphicFrame macro="">
      <xdr:nvGraphicFramePr>
        <xdr:cNvPr id="3" name="Chart 2">
          <a:extLst>
            <a:ext uri="{FF2B5EF4-FFF2-40B4-BE49-F238E27FC236}">
              <a16:creationId xmlns:a16="http://schemas.microsoft.com/office/drawing/2014/main" id="{A2F807B0-7E15-4D2E-B739-F93088675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30480</xdr:colOff>
      <xdr:row>44</xdr:row>
      <xdr:rowOff>175260</xdr:rowOff>
    </xdr:from>
    <xdr:to>
      <xdr:col>12</xdr:col>
      <xdr:colOff>533400</xdr:colOff>
      <xdr:row>59</xdr:row>
      <xdr:rowOff>60960</xdr:rowOff>
    </xdr:to>
    <xdr:graphicFrame macro="">
      <xdr:nvGraphicFramePr>
        <xdr:cNvPr id="4" name="Chart 3">
          <a:extLst>
            <a:ext uri="{FF2B5EF4-FFF2-40B4-BE49-F238E27FC236}">
              <a16:creationId xmlns:a16="http://schemas.microsoft.com/office/drawing/2014/main" id="{2CB91775-CA08-401B-95E9-DB2EC6FCF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22860</xdr:colOff>
      <xdr:row>64</xdr:row>
      <xdr:rowOff>45720</xdr:rowOff>
    </xdr:from>
    <xdr:to>
      <xdr:col>12</xdr:col>
      <xdr:colOff>525780</xdr:colOff>
      <xdr:row>78</xdr:row>
      <xdr:rowOff>121920</xdr:rowOff>
    </xdr:to>
    <xdr:graphicFrame macro="">
      <xdr:nvGraphicFramePr>
        <xdr:cNvPr id="5" name="Chart 4">
          <a:extLst>
            <a:ext uri="{FF2B5EF4-FFF2-40B4-BE49-F238E27FC236}">
              <a16:creationId xmlns:a16="http://schemas.microsoft.com/office/drawing/2014/main" id="{7A783A91-B331-45BD-8F1C-1C001A05F1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22860</xdr:colOff>
      <xdr:row>81</xdr:row>
      <xdr:rowOff>30480</xdr:rowOff>
    </xdr:from>
    <xdr:to>
      <xdr:col>12</xdr:col>
      <xdr:colOff>525780</xdr:colOff>
      <xdr:row>95</xdr:row>
      <xdr:rowOff>106680</xdr:rowOff>
    </xdr:to>
    <xdr:graphicFrame macro="">
      <xdr:nvGraphicFramePr>
        <xdr:cNvPr id="6" name="Chart 5">
          <a:extLst>
            <a:ext uri="{FF2B5EF4-FFF2-40B4-BE49-F238E27FC236}">
              <a16:creationId xmlns:a16="http://schemas.microsoft.com/office/drawing/2014/main" id="{81226037-8672-45F5-A7CE-1298E03A4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198120</xdr:colOff>
      <xdr:row>96</xdr:row>
      <xdr:rowOff>167640</xdr:rowOff>
    </xdr:from>
    <xdr:to>
      <xdr:col>12</xdr:col>
      <xdr:colOff>487680</xdr:colOff>
      <xdr:row>111</xdr:row>
      <xdr:rowOff>53340</xdr:rowOff>
    </xdr:to>
    <xdr:graphicFrame macro="">
      <xdr:nvGraphicFramePr>
        <xdr:cNvPr id="7" name="Chart 6">
          <a:extLst>
            <a:ext uri="{FF2B5EF4-FFF2-40B4-BE49-F238E27FC236}">
              <a16:creationId xmlns:a16="http://schemas.microsoft.com/office/drawing/2014/main" id="{123F635D-95AF-4BC5-BAAF-4A1E011BB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0</xdr:colOff>
      <xdr:row>111</xdr:row>
      <xdr:rowOff>175260</xdr:rowOff>
    </xdr:from>
    <xdr:to>
      <xdr:col>13</xdr:col>
      <xdr:colOff>434340</xdr:colOff>
      <xdr:row>126</xdr:row>
      <xdr:rowOff>60960</xdr:rowOff>
    </xdr:to>
    <xdr:graphicFrame macro="">
      <xdr:nvGraphicFramePr>
        <xdr:cNvPr id="8" name="Chart 7">
          <a:extLst>
            <a:ext uri="{FF2B5EF4-FFF2-40B4-BE49-F238E27FC236}">
              <a16:creationId xmlns:a16="http://schemas.microsoft.com/office/drawing/2014/main" id="{563D9396-A0E3-4B5C-B858-618A28380D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11430</xdr:colOff>
      <xdr:row>127</xdr:row>
      <xdr:rowOff>30480</xdr:rowOff>
    </xdr:from>
    <xdr:to>
      <xdr:col>13</xdr:col>
      <xdr:colOff>445770</xdr:colOff>
      <xdr:row>141</xdr:row>
      <xdr:rowOff>106680</xdr:rowOff>
    </xdr:to>
    <xdr:graphicFrame macro="">
      <xdr:nvGraphicFramePr>
        <xdr:cNvPr id="9" name="Chart 8">
          <a:extLst>
            <a:ext uri="{FF2B5EF4-FFF2-40B4-BE49-F238E27FC236}">
              <a16:creationId xmlns:a16="http://schemas.microsoft.com/office/drawing/2014/main" id="{1058E881-8FD2-4012-90DC-1169ADA0CD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201930</xdr:colOff>
      <xdr:row>141</xdr:row>
      <xdr:rowOff>182880</xdr:rowOff>
    </xdr:from>
    <xdr:to>
      <xdr:col>13</xdr:col>
      <xdr:colOff>422910</xdr:colOff>
      <xdr:row>156</xdr:row>
      <xdr:rowOff>68580</xdr:rowOff>
    </xdr:to>
    <xdr:graphicFrame macro="">
      <xdr:nvGraphicFramePr>
        <xdr:cNvPr id="10" name="Chart 9">
          <a:extLst>
            <a:ext uri="{FF2B5EF4-FFF2-40B4-BE49-F238E27FC236}">
              <a16:creationId xmlns:a16="http://schemas.microsoft.com/office/drawing/2014/main" id="{72350D4D-35B8-410A-ADD5-67647C307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209550</xdr:colOff>
      <xdr:row>157</xdr:row>
      <xdr:rowOff>175260</xdr:rowOff>
    </xdr:from>
    <xdr:to>
      <xdr:col>13</xdr:col>
      <xdr:colOff>430530</xdr:colOff>
      <xdr:row>172</xdr:row>
      <xdr:rowOff>60960</xdr:rowOff>
    </xdr:to>
    <xdr:graphicFrame macro="">
      <xdr:nvGraphicFramePr>
        <xdr:cNvPr id="11" name="Chart 10">
          <a:extLst>
            <a:ext uri="{FF2B5EF4-FFF2-40B4-BE49-F238E27FC236}">
              <a16:creationId xmlns:a16="http://schemas.microsoft.com/office/drawing/2014/main" id="{5709EB6E-9905-48CA-A49D-59EC252AC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34290</xdr:colOff>
      <xdr:row>173</xdr:row>
      <xdr:rowOff>76200</xdr:rowOff>
    </xdr:from>
    <xdr:to>
      <xdr:col>13</xdr:col>
      <xdr:colOff>468630</xdr:colOff>
      <xdr:row>187</xdr:row>
      <xdr:rowOff>152400</xdr:rowOff>
    </xdr:to>
    <xdr:graphicFrame macro="">
      <xdr:nvGraphicFramePr>
        <xdr:cNvPr id="12" name="Chart 11">
          <a:extLst>
            <a:ext uri="{FF2B5EF4-FFF2-40B4-BE49-F238E27FC236}">
              <a16:creationId xmlns:a16="http://schemas.microsoft.com/office/drawing/2014/main" id="{6E107B73-F002-49D7-9A69-B2E093D0B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209550</xdr:colOff>
      <xdr:row>188</xdr:row>
      <xdr:rowOff>15240</xdr:rowOff>
    </xdr:from>
    <xdr:to>
      <xdr:col>13</xdr:col>
      <xdr:colOff>430530</xdr:colOff>
      <xdr:row>202</xdr:row>
      <xdr:rowOff>91440</xdr:rowOff>
    </xdr:to>
    <xdr:graphicFrame macro="">
      <xdr:nvGraphicFramePr>
        <xdr:cNvPr id="13" name="Chart 12">
          <a:extLst>
            <a:ext uri="{FF2B5EF4-FFF2-40B4-BE49-F238E27FC236}">
              <a16:creationId xmlns:a16="http://schemas.microsoft.com/office/drawing/2014/main" id="{26E51230-2E18-42BA-81B6-4B3F4722E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194310</xdr:colOff>
      <xdr:row>203</xdr:row>
      <xdr:rowOff>53340</xdr:rowOff>
    </xdr:from>
    <xdr:to>
      <xdr:col>13</xdr:col>
      <xdr:colOff>415290</xdr:colOff>
      <xdr:row>217</xdr:row>
      <xdr:rowOff>129540</xdr:rowOff>
    </xdr:to>
    <xdr:graphicFrame macro="">
      <xdr:nvGraphicFramePr>
        <xdr:cNvPr id="14" name="Chart 13">
          <a:extLst>
            <a:ext uri="{FF2B5EF4-FFF2-40B4-BE49-F238E27FC236}">
              <a16:creationId xmlns:a16="http://schemas.microsoft.com/office/drawing/2014/main" id="{9BE118D9-04E5-40EB-B54E-5D47E7C8C8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186690</xdr:colOff>
      <xdr:row>218</xdr:row>
      <xdr:rowOff>68580</xdr:rowOff>
    </xdr:from>
    <xdr:to>
      <xdr:col>13</xdr:col>
      <xdr:colOff>407670</xdr:colOff>
      <xdr:row>232</xdr:row>
      <xdr:rowOff>144780</xdr:rowOff>
    </xdr:to>
    <xdr:graphicFrame macro="">
      <xdr:nvGraphicFramePr>
        <xdr:cNvPr id="15" name="Chart 14">
          <a:extLst>
            <a:ext uri="{FF2B5EF4-FFF2-40B4-BE49-F238E27FC236}">
              <a16:creationId xmlns:a16="http://schemas.microsoft.com/office/drawing/2014/main" id="{37B36C25-CCE0-4278-91E9-AFDB7AA42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201930</xdr:colOff>
      <xdr:row>233</xdr:row>
      <xdr:rowOff>175260</xdr:rowOff>
    </xdr:from>
    <xdr:to>
      <xdr:col>13</xdr:col>
      <xdr:colOff>422910</xdr:colOff>
      <xdr:row>248</xdr:row>
      <xdr:rowOff>60960</xdr:rowOff>
    </xdr:to>
    <xdr:graphicFrame macro="">
      <xdr:nvGraphicFramePr>
        <xdr:cNvPr id="16" name="Chart 15">
          <a:extLst>
            <a:ext uri="{FF2B5EF4-FFF2-40B4-BE49-F238E27FC236}">
              <a16:creationId xmlns:a16="http://schemas.microsoft.com/office/drawing/2014/main" id="{358A83AF-CA02-428F-B598-F81B9F2318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26670</xdr:colOff>
      <xdr:row>249</xdr:row>
      <xdr:rowOff>0</xdr:rowOff>
    </xdr:from>
    <xdr:to>
      <xdr:col>13</xdr:col>
      <xdr:colOff>461010</xdr:colOff>
      <xdr:row>263</xdr:row>
      <xdr:rowOff>76200</xdr:rowOff>
    </xdr:to>
    <xdr:graphicFrame macro="">
      <xdr:nvGraphicFramePr>
        <xdr:cNvPr id="17" name="Chart 16">
          <a:extLst>
            <a:ext uri="{FF2B5EF4-FFF2-40B4-BE49-F238E27FC236}">
              <a16:creationId xmlns:a16="http://schemas.microsoft.com/office/drawing/2014/main" id="{4E06D6EA-08B1-401F-926C-33D7878DB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209550</xdr:colOff>
      <xdr:row>263</xdr:row>
      <xdr:rowOff>152400</xdr:rowOff>
    </xdr:from>
    <xdr:to>
      <xdr:col>13</xdr:col>
      <xdr:colOff>430530</xdr:colOff>
      <xdr:row>278</xdr:row>
      <xdr:rowOff>38100</xdr:rowOff>
    </xdr:to>
    <xdr:graphicFrame macro="">
      <xdr:nvGraphicFramePr>
        <xdr:cNvPr id="18" name="Chart 17">
          <a:extLst>
            <a:ext uri="{FF2B5EF4-FFF2-40B4-BE49-F238E27FC236}">
              <a16:creationId xmlns:a16="http://schemas.microsoft.com/office/drawing/2014/main" id="{8092A53A-943E-4615-B817-D8F9FFB508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11430</xdr:colOff>
      <xdr:row>279</xdr:row>
      <xdr:rowOff>7620</xdr:rowOff>
    </xdr:from>
    <xdr:to>
      <xdr:col>13</xdr:col>
      <xdr:colOff>445770</xdr:colOff>
      <xdr:row>293</xdr:row>
      <xdr:rowOff>83820</xdr:rowOff>
    </xdr:to>
    <xdr:graphicFrame macro="">
      <xdr:nvGraphicFramePr>
        <xdr:cNvPr id="19" name="Chart 18">
          <a:extLst>
            <a:ext uri="{FF2B5EF4-FFF2-40B4-BE49-F238E27FC236}">
              <a16:creationId xmlns:a16="http://schemas.microsoft.com/office/drawing/2014/main" id="{A0E98CCF-45CA-468B-BB38-ECBE44844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3810</xdr:colOff>
      <xdr:row>293</xdr:row>
      <xdr:rowOff>175260</xdr:rowOff>
    </xdr:from>
    <xdr:to>
      <xdr:col>13</xdr:col>
      <xdr:colOff>438150</xdr:colOff>
      <xdr:row>308</xdr:row>
      <xdr:rowOff>60960</xdr:rowOff>
    </xdr:to>
    <xdr:graphicFrame macro="">
      <xdr:nvGraphicFramePr>
        <xdr:cNvPr id="20" name="Chart 19">
          <a:extLst>
            <a:ext uri="{FF2B5EF4-FFF2-40B4-BE49-F238E27FC236}">
              <a16:creationId xmlns:a16="http://schemas.microsoft.com/office/drawing/2014/main" id="{D10CC66A-7ACA-439C-8A1D-44968218CD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xdr:col>
      <xdr:colOff>19050</xdr:colOff>
      <xdr:row>309</xdr:row>
      <xdr:rowOff>15240</xdr:rowOff>
    </xdr:from>
    <xdr:to>
      <xdr:col>13</xdr:col>
      <xdr:colOff>453390</xdr:colOff>
      <xdr:row>323</xdr:row>
      <xdr:rowOff>91440</xdr:rowOff>
    </xdr:to>
    <xdr:graphicFrame macro="">
      <xdr:nvGraphicFramePr>
        <xdr:cNvPr id="21" name="Chart 20">
          <a:extLst>
            <a:ext uri="{FF2B5EF4-FFF2-40B4-BE49-F238E27FC236}">
              <a16:creationId xmlns:a16="http://schemas.microsoft.com/office/drawing/2014/main" id="{FD72B358-A1A6-4D41-BEA8-6E5CCC97A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xdr:col>
      <xdr:colOff>186690</xdr:colOff>
      <xdr:row>324</xdr:row>
      <xdr:rowOff>0</xdr:rowOff>
    </xdr:from>
    <xdr:to>
      <xdr:col>13</xdr:col>
      <xdr:colOff>407670</xdr:colOff>
      <xdr:row>338</xdr:row>
      <xdr:rowOff>76200</xdr:rowOff>
    </xdr:to>
    <xdr:graphicFrame macro="">
      <xdr:nvGraphicFramePr>
        <xdr:cNvPr id="22" name="Chart 21">
          <a:extLst>
            <a:ext uri="{FF2B5EF4-FFF2-40B4-BE49-F238E27FC236}">
              <a16:creationId xmlns:a16="http://schemas.microsoft.com/office/drawing/2014/main" id="{6251B7EB-E3AC-4DC3-BDF1-B4EEAF17F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6</xdr:col>
      <xdr:colOff>34290</xdr:colOff>
      <xdr:row>339</xdr:row>
      <xdr:rowOff>152400</xdr:rowOff>
    </xdr:from>
    <xdr:to>
      <xdr:col>13</xdr:col>
      <xdr:colOff>468630</xdr:colOff>
      <xdr:row>354</xdr:row>
      <xdr:rowOff>38100</xdr:rowOff>
    </xdr:to>
    <xdr:graphicFrame macro="">
      <xdr:nvGraphicFramePr>
        <xdr:cNvPr id="23" name="Chart 22">
          <a:extLst>
            <a:ext uri="{FF2B5EF4-FFF2-40B4-BE49-F238E27FC236}">
              <a16:creationId xmlns:a16="http://schemas.microsoft.com/office/drawing/2014/main" id="{F933A5A8-BFC8-4719-B9A4-2B0F4FE3CD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5</xdr:col>
      <xdr:colOff>209550</xdr:colOff>
      <xdr:row>355</xdr:row>
      <xdr:rowOff>22860</xdr:rowOff>
    </xdr:from>
    <xdr:to>
      <xdr:col>13</xdr:col>
      <xdr:colOff>430530</xdr:colOff>
      <xdr:row>369</xdr:row>
      <xdr:rowOff>99060</xdr:rowOff>
    </xdr:to>
    <xdr:graphicFrame macro="">
      <xdr:nvGraphicFramePr>
        <xdr:cNvPr id="24" name="Chart 23">
          <a:extLst>
            <a:ext uri="{FF2B5EF4-FFF2-40B4-BE49-F238E27FC236}">
              <a16:creationId xmlns:a16="http://schemas.microsoft.com/office/drawing/2014/main" id="{E8D90281-922E-4D86-9ECA-59549D65C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5</xdr:col>
      <xdr:colOff>201930</xdr:colOff>
      <xdr:row>370</xdr:row>
      <xdr:rowOff>22860</xdr:rowOff>
    </xdr:from>
    <xdr:to>
      <xdr:col>13</xdr:col>
      <xdr:colOff>422910</xdr:colOff>
      <xdr:row>384</xdr:row>
      <xdr:rowOff>99060</xdr:rowOff>
    </xdr:to>
    <xdr:graphicFrame macro="">
      <xdr:nvGraphicFramePr>
        <xdr:cNvPr id="25" name="Chart 24">
          <a:extLst>
            <a:ext uri="{FF2B5EF4-FFF2-40B4-BE49-F238E27FC236}">
              <a16:creationId xmlns:a16="http://schemas.microsoft.com/office/drawing/2014/main" id="{103A3AEE-3B6E-4723-A5AF-2773A19D5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5</xdr:col>
      <xdr:colOff>171450</xdr:colOff>
      <xdr:row>385</xdr:row>
      <xdr:rowOff>91440</xdr:rowOff>
    </xdr:from>
    <xdr:to>
      <xdr:col>13</xdr:col>
      <xdr:colOff>392430</xdr:colOff>
      <xdr:row>399</xdr:row>
      <xdr:rowOff>167640</xdr:rowOff>
    </xdr:to>
    <xdr:graphicFrame macro="">
      <xdr:nvGraphicFramePr>
        <xdr:cNvPr id="26" name="Chart 25">
          <a:extLst>
            <a:ext uri="{FF2B5EF4-FFF2-40B4-BE49-F238E27FC236}">
              <a16:creationId xmlns:a16="http://schemas.microsoft.com/office/drawing/2014/main" id="{40601592-B869-4041-AC9C-450F4F8060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5</xdr:col>
      <xdr:colOff>179070</xdr:colOff>
      <xdr:row>401</xdr:row>
      <xdr:rowOff>15240</xdr:rowOff>
    </xdr:from>
    <xdr:to>
      <xdr:col>13</xdr:col>
      <xdr:colOff>400050</xdr:colOff>
      <xdr:row>415</xdr:row>
      <xdr:rowOff>91440</xdr:rowOff>
    </xdr:to>
    <xdr:graphicFrame macro="">
      <xdr:nvGraphicFramePr>
        <xdr:cNvPr id="27" name="Chart 26">
          <a:extLst>
            <a:ext uri="{FF2B5EF4-FFF2-40B4-BE49-F238E27FC236}">
              <a16:creationId xmlns:a16="http://schemas.microsoft.com/office/drawing/2014/main" id="{5BDE23DB-9F5C-43F8-A49F-5965FE5C2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5</xdr:col>
      <xdr:colOff>186690</xdr:colOff>
      <xdr:row>416</xdr:row>
      <xdr:rowOff>129540</xdr:rowOff>
    </xdr:from>
    <xdr:to>
      <xdr:col>13</xdr:col>
      <xdr:colOff>415290</xdr:colOff>
      <xdr:row>431</xdr:row>
      <xdr:rowOff>15240</xdr:rowOff>
    </xdr:to>
    <xdr:graphicFrame macro="">
      <xdr:nvGraphicFramePr>
        <xdr:cNvPr id="28" name="Chart 27">
          <a:extLst>
            <a:ext uri="{FF2B5EF4-FFF2-40B4-BE49-F238E27FC236}">
              <a16:creationId xmlns:a16="http://schemas.microsoft.com/office/drawing/2014/main" id="{CF8EC763-7ACF-452A-A28D-0275252B0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yrus Ong" refreshedDate="46104.642083333332" createdVersion="8" refreshedVersion="8" minRefreshableVersion="3" recordCount="411" xr:uid="{730AE8A2-B2A8-42AB-AF93-BC2ADBE54F3B}">
  <cacheSource type="worksheet">
    <worksheetSource name="Table7"/>
  </cacheSource>
  <cacheFields count="49">
    <cacheField name="ID" numFmtId="0">
      <sharedItems containsSemiMixedTypes="0" containsString="0" containsNumber="1" containsInteger="1" minValue="5" maxValue="1686"/>
    </cacheField>
    <cacheField name="開始時間" numFmtId="22">
      <sharedItems containsSemiMixedTypes="0" containsNonDate="0" containsDate="1" containsString="0" minDate="2025-11-26T13:38:55" maxDate="2026-02-12T21:22:50"/>
    </cacheField>
    <cacheField name="完成時間" numFmtId="22">
      <sharedItems containsSemiMixedTypes="0" containsNonDate="0" containsDate="1" containsString="0" minDate="2025-11-26T13:40:59" maxDate="2026-02-12T21:29:19"/>
    </cacheField>
    <cacheField name="電子郵件" numFmtId="0">
      <sharedItems/>
    </cacheField>
    <cacheField name="名稱" numFmtId="0">
      <sharedItems containsNonDate="0" containsString="0" containsBlank="1"/>
    </cacheField>
    <cacheField name="上次修改時間" numFmtId="0">
      <sharedItems containsNonDate="0" containsString="0" containsBlank="1"/>
    </cacheField>
    <cacheField name="What is your age?" numFmtId="0">
      <sharedItems/>
    </cacheField>
    <cacheField name="What is your gender?" numFmtId="0">
      <sharedItems count="3">
        <s v="Female"/>
        <s v="Male"/>
        <s v="Non-binary gender / Third gender"/>
      </sharedItems>
    </cacheField>
    <cacheField name="Please select the highest level of education you have completed or are currently pursuing_x000a_" numFmtId="0">
      <sharedItems count="6">
        <s v="Bachelor's degree"/>
        <s v="Master's degree"/>
        <s v="Secondary school diploma"/>
        <s v="Associate degree / Higher diploma"/>
        <s v="Doctoral degree"/>
        <s v="Primary school or below"/>
      </sharedItems>
    </cacheField>
    <cacheField name="What is your monthly income (in HKD)?" numFmtId="0">
      <sharedItems count="9">
        <s v="$5,000 - $9,999"/>
        <s v="$10,000 - $14,999"/>
        <s v="$0"/>
        <s v="$1 - $4,999"/>
        <s v="$15,000 - $19,999"/>
        <s v="$20,000 - $24,999"/>
        <s v="≥ $35,000"/>
        <s v="$25,000 - $29,999"/>
        <s v="$30,000 - $34,999"/>
      </sharedItems>
    </cacheField>
    <cacheField name="How much do you currently invest in financial products? (E.g., stock, bond)" numFmtId="0">
      <sharedItems containsMixedTypes="1" containsNumber="1" containsInteger="1" minValue="0" maxValue="0" count="10">
        <s v="$0"/>
        <s v="≥ $35,000"/>
        <s v="$30,000 - $34,999"/>
        <s v="$10,000 - $14,999"/>
        <s v="$1 - $4,999"/>
        <s v="$5,000 - $9,999"/>
        <s v="$15,000 - $19,999"/>
        <s v="$20,000 - $24,999"/>
        <s v="$25,000 - $29,999"/>
        <n v="0" u="1"/>
      </sharedItems>
    </cacheField>
    <cacheField name="Do you know about the passage of the Stablecoins Bill by the Legislative Council?" numFmtId="0">
      <sharedItems count="2">
        <s v="No"/>
        <s v="Yes"/>
      </sharedItems>
    </cacheField>
    <cacheField name="Have you heard the news about JPEX?" numFmtId="0">
      <sharedItems count="2">
        <s v="No"/>
        <s v="Yes"/>
      </sharedItems>
    </cacheField>
    <cacheField name="The mechanism of digital assets is difficult to understand, which discourages me from exploring it (E.g, Tokenization, Blockchain)" numFmtId="0">
      <sharedItems containsSemiMixedTypes="0" containsString="0" containsNumber="1" containsInteger="1" minValue="1" maxValue="5" count="5">
        <n v="4"/>
        <n v="3"/>
        <n v="2"/>
        <n v="1"/>
        <n v="5"/>
      </sharedItems>
    </cacheField>
    <cacheField name="The reason I don’t explore digital assets is that I can’t find a mobile application to purchase digital assets." numFmtId="0">
      <sharedItems containsSemiMixedTypes="0" containsString="0" containsNumber="1" containsInteger="1" minValue="1" maxValue="5" count="5">
        <n v="3"/>
        <n v="4"/>
        <n v="2"/>
        <n v="1"/>
        <n v="5"/>
      </sharedItems>
    </cacheField>
    <cacheField name="Compared to traditional payment methods like Visa, Mastercard, Alipay, or PayMe, the use of digital assets for transactions is currently limited." numFmtId="0">
      <sharedItems containsSemiMixedTypes="0" containsString="0" containsNumber="1" containsInteger="1" minValue="1" maxValue="5" count="5">
        <n v="3"/>
        <n v="4"/>
        <n v="5"/>
        <n v="2"/>
        <n v="1"/>
      </sharedItems>
    </cacheField>
    <cacheField name="Although digital assets are decentralized, using centralized platforms (e.g., cryptocurrency exchanges) for transactions makes me question the concept of decentralization. This discourages me from..." numFmtId="0">
      <sharedItems containsSemiMixedTypes="0" containsString="0" containsNumber="1" containsInteger="1" minValue="1" maxValue="5" count="5">
        <n v="3"/>
        <n v="4"/>
        <n v="2"/>
        <n v="5"/>
        <n v="1"/>
      </sharedItems>
    </cacheField>
    <cacheField name="I am concerned about the lengthy duration of a complete transaction involving digital assets." numFmtId="0">
      <sharedItems containsSemiMixedTypes="0" containsString="0" containsNumber="1" containsInteger="1" minValue="1" maxValue="5" count="5">
        <n v="4"/>
        <n v="3"/>
        <n v="2"/>
        <n v="5"/>
        <n v="1"/>
      </sharedItems>
    </cacheField>
    <cacheField name="Digital asset transactions take longer than traditional payments (e.g., Mastercard, Visa), which makes buying things less convenient for me." numFmtId="0">
      <sharedItems containsSemiMixedTypes="0" containsString="0" containsNumber="1" containsInteger="1" minValue="1" maxValue="5" count="5">
        <n v="4"/>
        <n v="3"/>
        <n v="2"/>
        <n v="5"/>
        <n v="1"/>
      </sharedItems>
    </cacheField>
    <cacheField name="I believe that exploring digital assets would not improve my daily life (such as improving financial services)." numFmtId="0">
      <sharedItems containsSemiMixedTypes="0" containsString="0" containsNumber="1" containsInteger="1" minValue="1" maxValue="5" count="5">
        <n v="4"/>
        <n v="2"/>
        <n v="3"/>
        <n v="5"/>
        <n v="1"/>
      </sharedItems>
    </cacheField>
    <cacheField name="I prefer managing my money with traditional bank accounts and cash rather than trying new digital asset applications." numFmtId="0">
      <sharedItems containsSemiMixedTypes="0" containsString="0" containsNumber="1" containsInteger="1" minValue="1" maxValue="5" count="5">
        <n v="5"/>
        <n v="4"/>
        <n v="3"/>
        <n v="1"/>
        <n v="2"/>
      </sharedItems>
    </cacheField>
    <cacheField name="If the digital asset application (E.g., crypto wallet) suddenly doesn't work, I fear that I will lose all my digital assets." numFmtId="0">
      <sharedItems containsSemiMixedTypes="0" containsString="0" containsNumber="1" containsInteger="1" minValue="1" maxValue="5" count="5">
        <n v="5"/>
        <n v="4"/>
        <n v="3"/>
        <n v="2"/>
        <n v="1"/>
      </sharedItems>
    </cacheField>
    <cacheField name="I am worried about accidentally sending digital assets to the wrong person and not being able to recover them." numFmtId="0">
      <sharedItems containsSemiMixedTypes="0" containsString="0" containsNumber="1" containsInteger="1" minValue="1" maxValue="5" count="5">
        <n v="5"/>
        <n v="4"/>
        <n v="3"/>
        <n v="2"/>
        <n v="1"/>
      </sharedItems>
    </cacheField>
    <cacheField name="I believe that digital asset apps are often linked to scams (e.g., JPEX)." numFmtId="0">
      <sharedItems containsSemiMixedTypes="0" containsString="0" containsNumber="1" containsInteger="1" minValue="1" maxValue="5" count="5">
        <n v="3"/>
        <n v="4"/>
        <n v="5"/>
        <n v="2"/>
        <n v="1"/>
      </sharedItems>
    </cacheField>
    <cacheField name="I fear that my digital assets could be accessed and stolen by unauthorized parties." numFmtId="0">
      <sharedItems containsSemiMixedTypes="0" containsString="0" containsNumber="1" containsInteger="1" minValue="1" maxValue="5" count="5">
        <n v="5"/>
        <n v="4"/>
        <n v="3"/>
        <n v="2"/>
        <n v="1"/>
      </sharedItems>
    </cacheField>
    <cacheField name="I believe that purchasing digital assets must involve high investment risks." numFmtId="0">
      <sharedItems containsSemiMixedTypes="0" containsString="0" containsNumber="1" containsInteger="1" minValue="1" maxValue="5" count="5">
        <n v="4"/>
        <n v="3"/>
        <n v="5"/>
        <n v="2"/>
        <n v="1"/>
      </sharedItems>
    </cacheField>
    <cacheField name="Since many investors use leverage, digital assets may carry high systematic risks and operate in a relatively bad market environment compared to other financial markets. This discourages me from p..." numFmtId="0">
      <sharedItems containsSemiMixedTypes="0" containsString="0" containsNumber="1" containsInteger="1" minValue="1" maxValue="5" count="5">
        <n v="4"/>
        <n v="3"/>
        <n v="2"/>
        <n v="5"/>
        <n v="1"/>
      </sharedItems>
    </cacheField>
    <cacheField name="I believe that investing in digital assets will yield lower monetary returns compared to traditional investment products (e.g., stocks, gold, and bonds)." numFmtId="0">
      <sharedItems containsSemiMixedTypes="0" containsString="0" containsNumber="1" containsInteger="1" minValue="1" maxValue="5" count="5">
        <n v="2"/>
        <n v="4"/>
        <n v="3"/>
        <n v="1"/>
        <n v="5"/>
      </sharedItems>
    </cacheField>
    <cacheField name="The current investment products (e.g., stocks and bonds) are already sufficient for me; it is not necessary to explore digital assets." numFmtId="0">
      <sharedItems containsSemiMixedTypes="0" containsString="0" containsNumber="1" containsInteger="1" minValue="1" maxValue="5" count="5">
        <n v="5"/>
        <n v="4"/>
        <n v="3"/>
        <n v="2"/>
        <n v="1"/>
      </sharedItems>
    </cacheField>
    <cacheField name="I believe digital assets feel like a fad—trendy for a short time but quickly fading away as people's interest diminishes (E.g., NFT, $Melania)." numFmtId="0">
      <sharedItems containsSemiMixedTypes="0" containsString="0" containsNumber="1" containsInteger="1" minValue="1" maxValue="5" count="5">
        <n v="4"/>
        <n v="3"/>
        <n v="2"/>
        <n v="5"/>
        <n v="1"/>
      </sharedItems>
    </cacheField>
    <cacheField name="I believe that people who explore digital assets are often viewed negatively (e.g., &quot;nerds&quot;, “gamblers”)." numFmtId="0">
      <sharedItems containsSemiMixedTypes="0" containsString="0" containsNumber="1" containsInteger="1" minValue="1" maxValue="5" count="5">
        <n v="3"/>
        <n v="4"/>
        <n v="2"/>
        <n v="1"/>
        <n v="5"/>
      </sharedItems>
    </cacheField>
    <cacheField name="I am interested in exploring digital assets." numFmtId="0">
      <sharedItems containsSemiMixedTypes="0" containsString="0" containsNumber="1" containsInteger="1" minValue="1" maxValue="5" count="5">
        <n v="3"/>
        <n v="2"/>
        <n v="4"/>
        <n v="1"/>
        <n v="5"/>
      </sharedItems>
    </cacheField>
    <cacheField name="I would not try to explore digital assets when considering investments." numFmtId="0">
      <sharedItems containsSemiMixedTypes="0" containsString="0" containsNumber="1" containsInteger="1" minValue="1" maxValue="5" count="5">
        <n v="3"/>
        <n v="4"/>
        <n v="2"/>
        <n v="1"/>
        <n v="5"/>
      </sharedItems>
    </cacheField>
    <cacheField name="If I want to try different ways to invest, I will explore digital assets." numFmtId="0">
      <sharedItems containsSemiMixedTypes="0" containsString="0" containsNumber="1" containsInteger="1" minValue="1" maxValue="5" count="5">
        <n v="3"/>
        <n v="2"/>
        <n v="4"/>
        <n v="5"/>
        <n v="1"/>
      </sharedItems>
    </cacheField>
    <cacheField name="If I want to try different ways to invest, I will explore digital assets.(Flipped)" numFmtId="0">
      <sharedItems containsSemiMixedTypes="0" containsString="0" containsNumber="1" containsInteger="1" minValue="1" maxValue="5"/>
    </cacheField>
    <cacheField name="I am interested in exploring digital assets.(Flipped)" numFmtId="0">
      <sharedItems containsSemiMixedTypes="0" containsString="0" containsNumber="1" containsInteger="1" minValue="1" maxValue="5"/>
    </cacheField>
    <cacheField name="Ineligible respondents" numFmtId="0">
      <sharedItems/>
    </cacheField>
    <cacheField name="Same answer in all question (Straight lining)" numFmtId="0">
      <sharedItems/>
    </cacheField>
    <cacheField name="Inconsistent response on opposite question (1,2,4,5)" numFmtId="0">
      <sharedItems/>
    </cacheField>
    <cacheField name="Inconsistent response on opposite question (3)" numFmtId="0">
      <sharedItems/>
    </cacheField>
    <cacheField name="Delete? (Stage 1)" numFmtId="0">
      <sharedItems/>
    </cacheField>
    <cacheField name="Extreme Response Ratio" numFmtId="0">
      <sharedItems containsSemiMixedTypes="0" containsString="0" containsNumber="1" containsInteger="1" minValue="0" maxValue="12"/>
    </cacheField>
    <cacheField name="Extreme Response Ratio (Boolean)" numFmtId="0">
      <sharedItems/>
    </cacheField>
    <cacheField name="Consistancy (&gt;=95%)" numFmtId="0">
      <sharedItems/>
    </cacheField>
    <cacheField name="Mid-point" numFmtId="0">
      <sharedItems containsSemiMixedTypes="0" containsString="0" containsNumber="1" containsInteger="1" minValue="0" maxValue="21"/>
    </cacheField>
    <cacheField name="Mid-point (Boolean)" numFmtId="0">
      <sharedItems/>
    </cacheField>
    <cacheField name="Delete? (Stage 2)" numFmtId="0">
      <sharedItems/>
    </cacheField>
    <cacheField name="Delete? (Final)" numFmtId="0">
      <sharedItems/>
    </cacheField>
    <cacheField name="Distribution channel"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1">
  <r>
    <n v="5"/>
    <d v="2025-11-26T13:38:55"/>
    <d v="2025-11-26T13:43:02"/>
    <s v="anonymous"/>
    <m/>
    <m/>
    <s v="18 - 25"/>
    <x v="0"/>
    <x v="0"/>
    <x v="0"/>
    <x v="0"/>
    <x v="0"/>
    <x v="0"/>
    <x v="0"/>
    <x v="0"/>
    <x v="0"/>
    <x v="0"/>
    <x v="0"/>
    <x v="0"/>
    <x v="0"/>
    <x v="0"/>
    <x v="0"/>
    <x v="0"/>
    <x v="0"/>
    <x v="0"/>
    <x v="0"/>
    <x v="0"/>
    <x v="0"/>
    <x v="0"/>
    <x v="0"/>
    <x v="0"/>
    <x v="0"/>
    <x v="0"/>
    <x v="0"/>
    <n v="3"/>
    <n v="3"/>
    <b v="0"/>
    <b v="0"/>
    <b v="0"/>
    <b v="0"/>
    <b v="0"/>
    <n v="5"/>
    <b v="0"/>
    <b v="0"/>
    <n v="4"/>
    <b v="0"/>
    <b v="0"/>
    <b v="0"/>
    <s v="IG, WhatsApp"/>
  </r>
  <r>
    <n v="8"/>
    <d v="2025-11-26T13:39:04"/>
    <d v="2025-11-26T13:45:35"/>
    <s v="anonymous"/>
    <m/>
    <m/>
    <s v="18 - 25"/>
    <x v="1"/>
    <x v="0"/>
    <x v="1"/>
    <x v="0"/>
    <x v="1"/>
    <x v="1"/>
    <x v="1"/>
    <x v="0"/>
    <x v="0"/>
    <x v="0"/>
    <x v="1"/>
    <x v="1"/>
    <x v="0"/>
    <x v="1"/>
    <x v="1"/>
    <x v="1"/>
    <x v="1"/>
    <x v="1"/>
    <x v="0"/>
    <x v="0"/>
    <x v="1"/>
    <x v="1"/>
    <x v="0"/>
    <x v="1"/>
    <x v="1"/>
    <x v="1"/>
    <x v="1"/>
    <n v="4"/>
    <n v="4"/>
    <b v="0"/>
    <b v="0"/>
    <b v="0"/>
    <b v="0"/>
    <b v="0"/>
    <n v="0"/>
    <b v="0"/>
    <b v="0"/>
    <n v="2"/>
    <b v="0"/>
    <b v="0"/>
    <b v="0"/>
    <s v="IG, WhatsApp"/>
  </r>
  <r>
    <n v="12"/>
    <d v="2025-11-26T13:39:08"/>
    <d v="2025-11-26T13:40:59"/>
    <s v="anonymous"/>
    <m/>
    <m/>
    <s v="18 - 25"/>
    <x v="0"/>
    <x v="0"/>
    <x v="0"/>
    <x v="0"/>
    <x v="0"/>
    <x v="1"/>
    <x v="0"/>
    <x v="1"/>
    <x v="1"/>
    <x v="1"/>
    <x v="0"/>
    <x v="0"/>
    <x v="0"/>
    <x v="1"/>
    <x v="1"/>
    <x v="1"/>
    <x v="0"/>
    <x v="2"/>
    <x v="1"/>
    <x v="1"/>
    <x v="2"/>
    <x v="2"/>
    <x v="1"/>
    <x v="0"/>
    <x v="0"/>
    <x v="0"/>
    <x v="0"/>
    <n v="3"/>
    <n v="3"/>
    <b v="0"/>
    <b v="0"/>
    <b v="0"/>
    <b v="0"/>
    <b v="0"/>
    <n v="0"/>
    <b v="0"/>
    <b v="0"/>
    <n v="3"/>
    <b v="0"/>
    <b v="0"/>
    <b v="0"/>
    <s v="IG, WhatsApp"/>
  </r>
  <r>
    <n v="14"/>
    <d v="2025-11-27T01:24:51"/>
    <d v="2025-11-27T01:32:10"/>
    <s v="anonymous"/>
    <m/>
    <m/>
    <s v="18 - 25"/>
    <x v="0"/>
    <x v="0"/>
    <x v="0"/>
    <x v="0"/>
    <x v="0"/>
    <x v="0"/>
    <x v="0"/>
    <x v="2"/>
    <x v="1"/>
    <x v="1"/>
    <x v="0"/>
    <x v="0"/>
    <x v="1"/>
    <x v="1"/>
    <x v="1"/>
    <x v="1"/>
    <x v="0"/>
    <x v="1"/>
    <x v="0"/>
    <x v="0"/>
    <x v="0"/>
    <x v="1"/>
    <x v="0"/>
    <x v="2"/>
    <x v="1"/>
    <x v="1"/>
    <x v="1"/>
    <n v="4"/>
    <n v="4"/>
    <b v="0"/>
    <b v="0"/>
    <b v="0"/>
    <b v="0"/>
    <b v="0"/>
    <n v="0"/>
    <b v="0"/>
    <b v="0"/>
    <n v="5"/>
    <b v="0"/>
    <b v="0"/>
    <b v="0"/>
    <s v="IG, WhatsApp"/>
  </r>
  <r>
    <n v="15"/>
    <d v="2025-11-27T01:25:34"/>
    <d v="2025-11-27T01:27:29"/>
    <s v="anonymous"/>
    <m/>
    <m/>
    <s v="18 - 25"/>
    <x v="0"/>
    <x v="0"/>
    <x v="2"/>
    <x v="0"/>
    <x v="0"/>
    <x v="0"/>
    <x v="0"/>
    <x v="2"/>
    <x v="1"/>
    <x v="1"/>
    <x v="1"/>
    <x v="1"/>
    <x v="0"/>
    <x v="1"/>
    <x v="1"/>
    <x v="1"/>
    <x v="1"/>
    <x v="1"/>
    <x v="0"/>
    <x v="0"/>
    <x v="1"/>
    <x v="1"/>
    <x v="0"/>
    <x v="2"/>
    <x v="1"/>
    <x v="1"/>
    <x v="1"/>
    <n v="4"/>
    <n v="4"/>
    <b v="0"/>
    <b v="0"/>
    <b v="0"/>
    <b v="0"/>
    <b v="0"/>
    <n v="0"/>
    <b v="0"/>
    <b v="0"/>
    <n v="8"/>
    <b v="0"/>
    <b v="0"/>
    <b v="0"/>
    <s v="IG, WhatsApp"/>
  </r>
  <r>
    <n v="18"/>
    <d v="2025-11-27T09:59:11"/>
    <d v="2025-11-27T10:05:29"/>
    <s v="anonymous"/>
    <m/>
    <m/>
    <s v="18 - 25"/>
    <x v="0"/>
    <x v="0"/>
    <x v="3"/>
    <x v="0"/>
    <x v="0"/>
    <x v="1"/>
    <x v="0"/>
    <x v="0"/>
    <x v="1"/>
    <x v="0"/>
    <x v="0"/>
    <x v="0"/>
    <x v="0"/>
    <x v="1"/>
    <x v="0"/>
    <x v="1"/>
    <x v="1"/>
    <x v="1"/>
    <x v="0"/>
    <x v="0"/>
    <x v="1"/>
    <x v="1"/>
    <x v="0"/>
    <x v="1"/>
    <x v="0"/>
    <x v="0"/>
    <x v="0"/>
    <n v="3"/>
    <n v="3"/>
    <b v="0"/>
    <b v="0"/>
    <b v="0"/>
    <b v="0"/>
    <b v="0"/>
    <n v="1"/>
    <b v="0"/>
    <b v="0"/>
    <n v="4"/>
    <b v="0"/>
    <b v="0"/>
    <b v="0"/>
    <s v="IG, WhatsApp"/>
  </r>
  <r>
    <n v="40"/>
    <d v="2025-11-27T13:00:15"/>
    <d v="2025-11-27T13:03:07"/>
    <s v="anonymous"/>
    <m/>
    <m/>
    <s v="18 - 25"/>
    <x v="0"/>
    <x v="0"/>
    <x v="4"/>
    <x v="0"/>
    <x v="0"/>
    <x v="1"/>
    <x v="0"/>
    <x v="0"/>
    <x v="1"/>
    <x v="2"/>
    <x v="2"/>
    <x v="1"/>
    <x v="0"/>
    <x v="1"/>
    <x v="0"/>
    <x v="0"/>
    <x v="2"/>
    <x v="0"/>
    <x v="0"/>
    <x v="0"/>
    <x v="2"/>
    <x v="3"/>
    <x v="0"/>
    <x v="2"/>
    <x v="1"/>
    <x v="0"/>
    <x v="0"/>
    <n v="3"/>
    <n v="4"/>
    <b v="0"/>
    <b v="0"/>
    <b v="0"/>
    <b v="0"/>
    <b v="0"/>
    <n v="4"/>
    <b v="0"/>
    <b v="0"/>
    <n v="4"/>
    <b v="0"/>
    <b v="0"/>
    <b v="0"/>
    <s v="IG, WhatsApp"/>
  </r>
  <r>
    <n v="41"/>
    <d v="2025-11-27T13:08:37"/>
    <d v="2025-11-27T13:11:55"/>
    <s v="anonymous"/>
    <m/>
    <m/>
    <s v="18 - 25"/>
    <x v="1"/>
    <x v="0"/>
    <x v="0"/>
    <x v="1"/>
    <x v="1"/>
    <x v="1"/>
    <x v="2"/>
    <x v="2"/>
    <x v="1"/>
    <x v="2"/>
    <x v="2"/>
    <x v="1"/>
    <x v="1"/>
    <x v="2"/>
    <x v="1"/>
    <x v="1"/>
    <x v="0"/>
    <x v="1"/>
    <x v="0"/>
    <x v="2"/>
    <x v="0"/>
    <x v="2"/>
    <x v="1"/>
    <x v="1"/>
    <x v="2"/>
    <x v="2"/>
    <x v="2"/>
    <n v="2"/>
    <n v="2"/>
    <b v="0"/>
    <b v="0"/>
    <b v="0"/>
    <b v="0"/>
    <b v="0"/>
    <n v="0"/>
    <b v="0"/>
    <b v="0"/>
    <n v="6"/>
    <b v="0"/>
    <b v="0"/>
    <b v="0"/>
    <s v="IG, WhatsApp"/>
  </r>
  <r>
    <n v="43"/>
    <d v="2025-11-27T13:44:08"/>
    <d v="2025-11-27T13:56:53"/>
    <s v="anonymous"/>
    <m/>
    <m/>
    <s v="18 - 25"/>
    <x v="0"/>
    <x v="0"/>
    <x v="3"/>
    <x v="0"/>
    <x v="1"/>
    <x v="0"/>
    <x v="1"/>
    <x v="2"/>
    <x v="2"/>
    <x v="0"/>
    <x v="0"/>
    <x v="0"/>
    <x v="0"/>
    <x v="1"/>
    <x v="1"/>
    <x v="0"/>
    <x v="1"/>
    <x v="0"/>
    <x v="2"/>
    <x v="1"/>
    <x v="2"/>
    <x v="2"/>
    <x v="0"/>
    <x v="0"/>
    <x v="3"/>
    <x v="0"/>
    <x v="0"/>
    <n v="3"/>
    <n v="5"/>
    <b v="0"/>
    <b v="0"/>
    <b v="0"/>
    <b v="0"/>
    <b v="0"/>
    <n v="5"/>
    <b v="0"/>
    <b v="0"/>
    <n v="2"/>
    <b v="0"/>
    <b v="0"/>
    <b v="0"/>
    <s v="IG, WhatsApp"/>
  </r>
  <r>
    <n v="46"/>
    <d v="2025-11-27T16:10:02"/>
    <d v="2025-11-27T16:16:41"/>
    <s v="anonymous"/>
    <m/>
    <m/>
    <s v="18 - 25"/>
    <x v="1"/>
    <x v="0"/>
    <x v="1"/>
    <x v="2"/>
    <x v="1"/>
    <x v="1"/>
    <x v="2"/>
    <x v="3"/>
    <x v="1"/>
    <x v="2"/>
    <x v="2"/>
    <x v="2"/>
    <x v="1"/>
    <x v="3"/>
    <x v="1"/>
    <x v="1"/>
    <x v="1"/>
    <x v="1"/>
    <x v="3"/>
    <x v="1"/>
    <x v="3"/>
    <x v="2"/>
    <x v="2"/>
    <x v="3"/>
    <x v="2"/>
    <x v="2"/>
    <x v="2"/>
    <n v="2"/>
    <n v="2"/>
    <b v="0"/>
    <b v="0"/>
    <b v="0"/>
    <b v="0"/>
    <b v="0"/>
    <n v="4"/>
    <b v="0"/>
    <b v="0"/>
    <n v="4"/>
    <b v="0"/>
    <b v="0"/>
    <b v="0"/>
    <s v="IG, WhatsApp"/>
  </r>
  <r>
    <n v="53"/>
    <d v="2025-11-27T19:25:10"/>
    <d v="2025-11-27T19:28:29"/>
    <s v="anonymous"/>
    <m/>
    <m/>
    <s v="18 - 25"/>
    <x v="1"/>
    <x v="0"/>
    <x v="5"/>
    <x v="3"/>
    <x v="1"/>
    <x v="1"/>
    <x v="2"/>
    <x v="3"/>
    <x v="1"/>
    <x v="2"/>
    <x v="2"/>
    <x v="1"/>
    <x v="0"/>
    <x v="2"/>
    <x v="2"/>
    <x v="2"/>
    <x v="1"/>
    <x v="2"/>
    <x v="2"/>
    <x v="2"/>
    <x v="3"/>
    <x v="3"/>
    <x v="2"/>
    <x v="1"/>
    <x v="2"/>
    <x v="2"/>
    <x v="2"/>
    <n v="2"/>
    <n v="2"/>
    <b v="0"/>
    <b v="0"/>
    <b v="0"/>
    <b v="0"/>
    <b v="0"/>
    <n v="3"/>
    <b v="0"/>
    <b v="0"/>
    <n v="18"/>
    <b v="0"/>
    <b v="0"/>
    <b v="0"/>
    <s v="IG, WhatsApp"/>
  </r>
  <r>
    <n v="57"/>
    <d v="2025-11-27T21:36:50"/>
    <d v="2025-11-27T21:39:14"/>
    <s v="anonymous"/>
    <m/>
    <m/>
    <s v="18 - 25"/>
    <x v="0"/>
    <x v="0"/>
    <x v="3"/>
    <x v="0"/>
    <x v="0"/>
    <x v="1"/>
    <x v="0"/>
    <x v="0"/>
    <x v="1"/>
    <x v="0"/>
    <x v="0"/>
    <x v="0"/>
    <x v="0"/>
    <x v="1"/>
    <x v="1"/>
    <x v="0"/>
    <x v="2"/>
    <x v="0"/>
    <x v="0"/>
    <x v="0"/>
    <x v="1"/>
    <x v="1"/>
    <x v="0"/>
    <x v="0"/>
    <x v="0"/>
    <x v="0"/>
    <x v="0"/>
    <n v="3"/>
    <n v="3"/>
    <b v="0"/>
    <b v="0"/>
    <b v="0"/>
    <b v="0"/>
    <b v="0"/>
    <n v="3"/>
    <b v="0"/>
    <b v="0"/>
    <n v="11"/>
    <b v="0"/>
    <b v="0"/>
    <b v="0"/>
    <s v="IG, WhatsApp"/>
  </r>
  <r>
    <n v="58"/>
    <d v="2025-11-27T22:12:38"/>
    <d v="2025-11-27T22:15:55"/>
    <s v="anonymous"/>
    <m/>
    <m/>
    <s v="18 - 25"/>
    <x v="1"/>
    <x v="0"/>
    <x v="5"/>
    <x v="4"/>
    <x v="1"/>
    <x v="1"/>
    <x v="3"/>
    <x v="3"/>
    <x v="3"/>
    <x v="1"/>
    <x v="2"/>
    <x v="2"/>
    <x v="1"/>
    <x v="3"/>
    <x v="3"/>
    <x v="3"/>
    <x v="3"/>
    <x v="3"/>
    <x v="3"/>
    <x v="2"/>
    <x v="2"/>
    <x v="3"/>
    <x v="1"/>
    <x v="0"/>
    <x v="0"/>
    <x v="2"/>
    <x v="2"/>
    <n v="2"/>
    <n v="3"/>
    <b v="0"/>
    <b v="0"/>
    <b v="0"/>
    <b v="0"/>
    <b v="0"/>
    <n v="3"/>
    <b v="0"/>
    <b v="0"/>
    <n v="9"/>
    <b v="0"/>
    <b v="0"/>
    <b v="0"/>
    <s v="IG, WhatsApp"/>
  </r>
  <r>
    <n v="60"/>
    <d v="2025-11-27T23:08:54"/>
    <d v="2025-11-27T23:10:49"/>
    <s v="anonymous"/>
    <m/>
    <m/>
    <s v="18 - 25"/>
    <x v="1"/>
    <x v="0"/>
    <x v="3"/>
    <x v="0"/>
    <x v="0"/>
    <x v="0"/>
    <x v="0"/>
    <x v="0"/>
    <x v="1"/>
    <x v="2"/>
    <x v="1"/>
    <x v="0"/>
    <x v="0"/>
    <x v="1"/>
    <x v="1"/>
    <x v="2"/>
    <x v="0"/>
    <x v="2"/>
    <x v="1"/>
    <x v="0"/>
    <x v="1"/>
    <x v="1"/>
    <x v="1"/>
    <x v="3"/>
    <x v="1"/>
    <x v="2"/>
    <x v="2"/>
    <n v="2"/>
    <n v="4"/>
    <b v="0"/>
    <b v="0"/>
    <b v="0"/>
    <b v="0"/>
    <b v="0"/>
    <n v="1"/>
    <b v="0"/>
    <b v="0"/>
    <n v="1"/>
    <b v="0"/>
    <b v="0"/>
    <b v="0"/>
    <s v="IG, WhatsApp"/>
  </r>
  <r>
    <n v="64"/>
    <d v="2025-11-28T21:36:49"/>
    <d v="2025-11-28T21:40:15"/>
    <s v="anonymous"/>
    <m/>
    <m/>
    <s v="18 - 25"/>
    <x v="1"/>
    <x v="0"/>
    <x v="3"/>
    <x v="0"/>
    <x v="0"/>
    <x v="1"/>
    <x v="1"/>
    <x v="4"/>
    <x v="1"/>
    <x v="0"/>
    <x v="0"/>
    <x v="1"/>
    <x v="2"/>
    <x v="1"/>
    <x v="2"/>
    <x v="2"/>
    <x v="1"/>
    <x v="1"/>
    <x v="0"/>
    <x v="0"/>
    <x v="1"/>
    <x v="2"/>
    <x v="1"/>
    <x v="1"/>
    <x v="0"/>
    <x v="1"/>
    <x v="1"/>
    <n v="4"/>
    <n v="3"/>
    <b v="0"/>
    <b v="0"/>
    <b v="0"/>
    <b v="0"/>
    <b v="0"/>
    <n v="1"/>
    <b v="0"/>
    <b v="0"/>
    <n v="2"/>
    <b v="0"/>
    <b v="0"/>
    <b v="0"/>
    <s v="IG, WhatsApp"/>
  </r>
  <r>
    <n v="76"/>
    <d v="2025-11-29T17:02:21"/>
    <d v="2025-11-29T17:12:06"/>
    <s v="anonymous"/>
    <m/>
    <m/>
    <s v="18 - 25"/>
    <x v="0"/>
    <x v="0"/>
    <x v="2"/>
    <x v="0"/>
    <x v="0"/>
    <x v="0"/>
    <x v="0"/>
    <x v="0"/>
    <x v="2"/>
    <x v="1"/>
    <x v="0"/>
    <x v="0"/>
    <x v="2"/>
    <x v="1"/>
    <x v="0"/>
    <x v="0"/>
    <x v="2"/>
    <x v="0"/>
    <x v="2"/>
    <x v="0"/>
    <x v="1"/>
    <x v="0"/>
    <x v="0"/>
    <x v="0"/>
    <x v="0"/>
    <x v="0"/>
    <x v="0"/>
    <n v="3"/>
    <n v="3"/>
    <b v="0"/>
    <b v="0"/>
    <b v="0"/>
    <b v="0"/>
    <b v="0"/>
    <n v="7"/>
    <b v="0"/>
    <b v="0"/>
    <n v="4"/>
    <b v="0"/>
    <b v="0"/>
    <b v="0"/>
    <s v="IG, WhatsApp"/>
  </r>
  <r>
    <n v="79"/>
    <d v="2025-11-30T13:26:10"/>
    <d v="2025-11-30T13:28:53"/>
    <s v="anonymous"/>
    <m/>
    <m/>
    <s v="18 - 25"/>
    <x v="0"/>
    <x v="0"/>
    <x v="5"/>
    <x v="3"/>
    <x v="0"/>
    <x v="0"/>
    <x v="4"/>
    <x v="0"/>
    <x v="0"/>
    <x v="0"/>
    <x v="3"/>
    <x v="0"/>
    <x v="0"/>
    <x v="1"/>
    <x v="0"/>
    <x v="0"/>
    <x v="2"/>
    <x v="0"/>
    <x v="1"/>
    <x v="0"/>
    <x v="1"/>
    <x v="1"/>
    <x v="0"/>
    <x v="1"/>
    <x v="0"/>
    <x v="0"/>
    <x v="0"/>
    <n v="3"/>
    <n v="3"/>
    <b v="0"/>
    <b v="0"/>
    <b v="0"/>
    <b v="0"/>
    <b v="0"/>
    <n v="6"/>
    <b v="0"/>
    <b v="0"/>
    <n v="10"/>
    <b v="0"/>
    <b v="0"/>
    <b v="0"/>
    <s v="IG, WhatsApp"/>
  </r>
  <r>
    <n v="80"/>
    <d v="2025-11-30T13:32:03"/>
    <d v="2025-11-30T13:33:31"/>
    <s v="anonymous"/>
    <m/>
    <m/>
    <s v="18 - 25"/>
    <x v="1"/>
    <x v="0"/>
    <x v="6"/>
    <x v="0"/>
    <x v="0"/>
    <x v="0"/>
    <x v="0"/>
    <x v="0"/>
    <x v="1"/>
    <x v="0"/>
    <x v="0"/>
    <x v="0"/>
    <x v="2"/>
    <x v="1"/>
    <x v="1"/>
    <x v="2"/>
    <x v="1"/>
    <x v="2"/>
    <x v="0"/>
    <x v="1"/>
    <x v="1"/>
    <x v="1"/>
    <x v="3"/>
    <x v="1"/>
    <x v="0"/>
    <x v="0"/>
    <x v="0"/>
    <n v="3"/>
    <n v="3"/>
    <b v="0"/>
    <b v="0"/>
    <b v="0"/>
    <b v="0"/>
    <b v="0"/>
    <n v="1"/>
    <b v="0"/>
    <b v="0"/>
    <n v="5"/>
    <b v="0"/>
    <b v="0"/>
    <b v="0"/>
    <s v="IG, WhatsApp"/>
  </r>
  <r>
    <n v="85"/>
    <d v="2025-11-30T14:20:34"/>
    <d v="2025-11-30T14:28:45"/>
    <s v="anonymous"/>
    <m/>
    <m/>
    <s v="18 - 25"/>
    <x v="0"/>
    <x v="0"/>
    <x v="5"/>
    <x v="0"/>
    <x v="0"/>
    <x v="1"/>
    <x v="0"/>
    <x v="2"/>
    <x v="1"/>
    <x v="0"/>
    <x v="0"/>
    <x v="0"/>
    <x v="0"/>
    <x v="1"/>
    <x v="1"/>
    <x v="1"/>
    <x v="0"/>
    <x v="1"/>
    <x v="0"/>
    <x v="0"/>
    <x v="2"/>
    <x v="2"/>
    <x v="1"/>
    <x v="2"/>
    <x v="1"/>
    <x v="1"/>
    <x v="1"/>
    <n v="4"/>
    <n v="4"/>
    <b v="0"/>
    <b v="0"/>
    <b v="0"/>
    <b v="0"/>
    <b v="0"/>
    <n v="0"/>
    <b v="0"/>
    <b v="0"/>
    <n v="4"/>
    <b v="0"/>
    <b v="0"/>
    <b v="0"/>
    <s v="IG, WhatsApp"/>
  </r>
  <r>
    <n v="86"/>
    <d v="2025-11-30T14:36:06"/>
    <d v="2025-11-30T14:39:05"/>
    <s v="anonymous"/>
    <m/>
    <m/>
    <s v="18 - 25"/>
    <x v="0"/>
    <x v="0"/>
    <x v="0"/>
    <x v="5"/>
    <x v="1"/>
    <x v="0"/>
    <x v="0"/>
    <x v="4"/>
    <x v="1"/>
    <x v="1"/>
    <x v="0"/>
    <x v="0"/>
    <x v="2"/>
    <x v="1"/>
    <x v="2"/>
    <x v="3"/>
    <x v="3"/>
    <x v="2"/>
    <x v="0"/>
    <x v="0"/>
    <x v="1"/>
    <x v="1"/>
    <x v="0"/>
    <x v="3"/>
    <x v="4"/>
    <x v="3"/>
    <x v="3"/>
    <n v="1"/>
    <n v="1"/>
    <b v="0"/>
    <b v="0"/>
    <b v="0"/>
    <b v="0"/>
    <b v="0"/>
    <n v="5"/>
    <b v="0"/>
    <b v="0"/>
    <n v="12"/>
    <b v="0"/>
    <b v="0"/>
    <b v="0"/>
    <s v="IG, WhatsApp"/>
  </r>
  <r>
    <n v="88"/>
    <d v="2025-11-30T18:50:37"/>
    <d v="2025-11-30T18:52:25"/>
    <s v="anonymous"/>
    <m/>
    <m/>
    <s v="18 - 25"/>
    <x v="0"/>
    <x v="0"/>
    <x v="3"/>
    <x v="0"/>
    <x v="1"/>
    <x v="1"/>
    <x v="0"/>
    <x v="0"/>
    <x v="0"/>
    <x v="1"/>
    <x v="1"/>
    <x v="0"/>
    <x v="1"/>
    <x v="2"/>
    <x v="1"/>
    <x v="1"/>
    <x v="0"/>
    <x v="2"/>
    <x v="0"/>
    <x v="1"/>
    <x v="0"/>
    <x v="3"/>
    <x v="2"/>
    <x v="2"/>
    <x v="2"/>
    <x v="2"/>
    <x v="2"/>
    <n v="2"/>
    <n v="2"/>
    <b v="0"/>
    <b v="0"/>
    <b v="0"/>
    <b v="0"/>
    <b v="0"/>
    <n v="0"/>
    <b v="0"/>
    <b v="0"/>
    <n v="5"/>
    <b v="0"/>
    <b v="0"/>
    <b v="0"/>
    <s v="IG, WhatsApp"/>
  </r>
  <r>
    <n v="93"/>
    <d v="2025-12-01T18:22:57"/>
    <d v="2025-12-01T18:27:27"/>
    <s v="anonymous"/>
    <m/>
    <m/>
    <s v="18 - 25"/>
    <x v="0"/>
    <x v="1"/>
    <x v="5"/>
    <x v="1"/>
    <x v="0"/>
    <x v="0"/>
    <x v="0"/>
    <x v="0"/>
    <x v="2"/>
    <x v="0"/>
    <x v="1"/>
    <x v="2"/>
    <x v="0"/>
    <x v="1"/>
    <x v="0"/>
    <x v="0"/>
    <x v="2"/>
    <x v="0"/>
    <x v="0"/>
    <x v="0"/>
    <x v="0"/>
    <x v="1"/>
    <x v="0"/>
    <x v="2"/>
    <x v="1"/>
    <x v="1"/>
    <x v="1"/>
    <n v="4"/>
    <n v="4"/>
    <b v="0"/>
    <b v="0"/>
    <b v="0"/>
    <b v="0"/>
    <b v="0"/>
    <n v="5"/>
    <b v="0"/>
    <b v="0"/>
    <n v="8"/>
    <b v="0"/>
    <b v="0"/>
    <b v="0"/>
    <s v="IG, WhatsApp"/>
  </r>
  <r>
    <n v="97"/>
    <d v="2025-12-02T10:49:00"/>
    <d v="2025-12-02T10:52:35"/>
    <s v="anonymous"/>
    <m/>
    <m/>
    <s v="18 - 25"/>
    <x v="0"/>
    <x v="0"/>
    <x v="2"/>
    <x v="1"/>
    <x v="1"/>
    <x v="0"/>
    <x v="4"/>
    <x v="0"/>
    <x v="3"/>
    <x v="2"/>
    <x v="0"/>
    <x v="2"/>
    <x v="1"/>
    <x v="4"/>
    <x v="1"/>
    <x v="1"/>
    <x v="1"/>
    <x v="1"/>
    <x v="3"/>
    <x v="2"/>
    <x v="0"/>
    <x v="3"/>
    <x v="2"/>
    <x v="2"/>
    <x v="2"/>
    <x v="2"/>
    <x v="2"/>
    <n v="2"/>
    <n v="2"/>
    <b v="0"/>
    <b v="0"/>
    <b v="0"/>
    <b v="0"/>
    <b v="0"/>
    <n v="1"/>
    <b v="0"/>
    <b v="0"/>
    <n v="8"/>
    <b v="0"/>
    <b v="0"/>
    <b v="0"/>
    <s v="IG, WhatsApp"/>
  </r>
  <r>
    <n v="99"/>
    <d v="2025-12-02T15:15:56"/>
    <d v="2025-12-02T15:27:10"/>
    <s v="anonymous"/>
    <m/>
    <m/>
    <s v="18 - 25"/>
    <x v="0"/>
    <x v="1"/>
    <x v="5"/>
    <x v="1"/>
    <x v="1"/>
    <x v="1"/>
    <x v="0"/>
    <x v="1"/>
    <x v="1"/>
    <x v="3"/>
    <x v="0"/>
    <x v="0"/>
    <x v="0"/>
    <x v="1"/>
    <x v="0"/>
    <x v="0"/>
    <x v="2"/>
    <x v="1"/>
    <x v="2"/>
    <x v="0"/>
    <x v="0"/>
    <x v="1"/>
    <x v="0"/>
    <x v="1"/>
    <x v="2"/>
    <x v="2"/>
    <x v="2"/>
    <n v="2"/>
    <n v="2"/>
    <b v="0"/>
    <b v="0"/>
    <b v="0"/>
    <b v="0"/>
    <b v="0"/>
    <n v="5"/>
    <b v="0"/>
    <b v="0"/>
    <n v="6"/>
    <b v="0"/>
    <b v="0"/>
    <b v="0"/>
    <s v="IG, WhatsApp"/>
  </r>
  <r>
    <n v="109"/>
    <d v="2025-12-04T17:08:12"/>
    <d v="2025-12-04T17:09:49"/>
    <s v="anonymous"/>
    <m/>
    <m/>
    <s v="18 - 25"/>
    <x v="0"/>
    <x v="0"/>
    <x v="0"/>
    <x v="0"/>
    <x v="0"/>
    <x v="0"/>
    <x v="2"/>
    <x v="0"/>
    <x v="0"/>
    <x v="1"/>
    <x v="2"/>
    <x v="1"/>
    <x v="0"/>
    <x v="2"/>
    <x v="1"/>
    <x v="2"/>
    <x v="0"/>
    <x v="3"/>
    <x v="1"/>
    <x v="2"/>
    <x v="1"/>
    <x v="2"/>
    <x v="1"/>
    <x v="2"/>
    <x v="0"/>
    <x v="1"/>
    <x v="1"/>
    <n v="4"/>
    <n v="3"/>
    <b v="0"/>
    <b v="0"/>
    <b v="0"/>
    <b v="0"/>
    <b v="0"/>
    <n v="0"/>
    <b v="0"/>
    <b v="0"/>
    <n v="0"/>
    <b v="0"/>
    <b v="0"/>
    <b v="0"/>
    <s v="IG, WhatsApp, Graduation Day"/>
  </r>
  <r>
    <n v="110"/>
    <d v="2025-12-04T17:37:11"/>
    <d v="2025-12-04T17:43:40"/>
    <s v="anonymous"/>
    <m/>
    <m/>
    <s v="18 - 25"/>
    <x v="0"/>
    <x v="0"/>
    <x v="5"/>
    <x v="3"/>
    <x v="0"/>
    <x v="1"/>
    <x v="0"/>
    <x v="0"/>
    <x v="1"/>
    <x v="1"/>
    <x v="0"/>
    <x v="0"/>
    <x v="0"/>
    <x v="0"/>
    <x v="0"/>
    <x v="0"/>
    <x v="0"/>
    <x v="1"/>
    <x v="0"/>
    <x v="0"/>
    <x v="2"/>
    <x v="1"/>
    <x v="0"/>
    <x v="2"/>
    <x v="1"/>
    <x v="0"/>
    <x v="0"/>
    <n v="3"/>
    <n v="4"/>
    <b v="0"/>
    <b v="0"/>
    <b v="0"/>
    <b v="0"/>
    <b v="0"/>
    <n v="3"/>
    <b v="0"/>
    <b v="0"/>
    <n v="8"/>
    <b v="0"/>
    <b v="0"/>
    <b v="0"/>
    <s v="IG, WhatsApp, Graduation Day"/>
  </r>
  <r>
    <n v="125"/>
    <d v="2025-12-05T17:22:35"/>
    <d v="2025-12-05T17:26:31"/>
    <s v="anonymous"/>
    <m/>
    <m/>
    <s v="18 - 25"/>
    <x v="0"/>
    <x v="0"/>
    <x v="4"/>
    <x v="3"/>
    <x v="0"/>
    <x v="0"/>
    <x v="0"/>
    <x v="1"/>
    <x v="1"/>
    <x v="1"/>
    <x v="1"/>
    <x v="1"/>
    <x v="1"/>
    <x v="1"/>
    <x v="1"/>
    <x v="1"/>
    <x v="1"/>
    <x v="1"/>
    <x v="0"/>
    <x v="0"/>
    <x v="1"/>
    <x v="2"/>
    <x v="0"/>
    <x v="2"/>
    <x v="1"/>
    <x v="0"/>
    <x v="0"/>
    <n v="3"/>
    <n v="4"/>
    <b v="0"/>
    <b v="0"/>
    <b v="0"/>
    <b v="0"/>
    <b v="0"/>
    <n v="0"/>
    <b v="0"/>
    <b v="0"/>
    <n v="1"/>
    <b v="0"/>
    <b v="0"/>
    <b v="0"/>
    <s v="IG, WhatsApp"/>
  </r>
  <r>
    <n v="126"/>
    <d v="2025-12-05T17:33:22"/>
    <d v="2025-12-05T17:35:29"/>
    <s v="anonymous"/>
    <m/>
    <m/>
    <s v="18 - 25"/>
    <x v="0"/>
    <x v="0"/>
    <x v="3"/>
    <x v="5"/>
    <x v="0"/>
    <x v="1"/>
    <x v="0"/>
    <x v="0"/>
    <x v="1"/>
    <x v="1"/>
    <x v="0"/>
    <x v="0"/>
    <x v="0"/>
    <x v="1"/>
    <x v="1"/>
    <x v="1"/>
    <x v="2"/>
    <x v="0"/>
    <x v="0"/>
    <x v="0"/>
    <x v="1"/>
    <x v="0"/>
    <x v="3"/>
    <x v="0"/>
    <x v="1"/>
    <x v="0"/>
    <x v="0"/>
    <n v="3"/>
    <n v="4"/>
    <b v="0"/>
    <b v="0"/>
    <b v="0"/>
    <b v="0"/>
    <b v="0"/>
    <n v="4"/>
    <b v="0"/>
    <b v="0"/>
    <n v="13"/>
    <b v="0"/>
    <b v="0"/>
    <b v="0"/>
    <s v="IG, WhatsApp"/>
  </r>
  <r>
    <n v="133"/>
    <d v="2025-12-05T23:30:50"/>
    <d v="2025-12-05T23:34:01"/>
    <s v="anonymous"/>
    <m/>
    <m/>
    <s v="18 - 25"/>
    <x v="1"/>
    <x v="0"/>
    <x v="3"/>
    <x v="0"/>
    <x v="0"/>
    <x v="1"/>
    <x v="0"/>
    <x v="0"/>
    <x v="2"/>
    <x v="1"/>
    <x v="0"/>
    <x v="3"/>
    <x v="2"/>
    <x v="1"/>
    <x v="0"/>
    <x v="2"/>
    <x v="2"/>
    <x v="1"/>
    <x v="1"/>
    <x v="1"/>
    <x v="2"/>
    <x v="1"/>
    <x v="3"/>
    <x v="4"/>
    <x v="0"/>
    <x v="2"/>
    <x v="2"/>
    <n v="2"/>
    <n v="3"/>
    <b v="0"/>
    <b v="0"/>
    <b v="0"/>
    <b v="0"/>
    <b v="0"/>
    <n v="6"/>
    <b v="0"/>
    <b v="0"/>
    <n v="3"/>
    <b v="0"/>
    <b v="0"/>
    <b v="0"/>
    <s v="IG, WhatsApp"/>
  </r>
  <r>
    <n v="146"/>
    <d v="2025-12-21T19:29:39"/>
    <d v="2025-12-21T19:33:25"/>
    <s v="anonymous"/>
    <m/>
    <m/>
    <s v="18 - 25"/>
    <x v="1"/>
    <x v="0"/>
    <x v="3"/>
    <x v="6"/>
    <x v="1"/>
    <x v="1"/>
    <x v="0"/>
    <x v="0"/>
    <x v="2"/>
    <x v="1"/>
    <x v="0"/>
    <x v="0"/>
    <x v="0"/>
    <x v="1"/>
    <x v="1"/>
    <x v="1"/>
    <x v="0"/>
    <x v="3"/>
    <x v="0"/>
    <x v="0"/>
    <x v="2"/>
    <x v="1"/>
    <x v="0"/>
    <x v="0"/>
    <x v="2"/>
    <x v="1"/>
    <x v="1"/>
    <n v="4"/>
    <n v="2"/>
    <b v="0"/>
    <b v="0"/>
    <b v="0"/>
    <b v="0"/>
    <b v="0"/>
    <n v="1"/>
    <b v="0"/>
    <b v="0"/>
    <n v="8"/>
    <b v="0"/>
    <b v="0"/>
    <b v="0"/>
    <s v="IG, WhatsApp"/>
  </r>
  <r>
    <n v="154"/>
    <d v="2026-01-13T12:52:43"/>
    <d v="2026-01-13T12:54:45"/>
    <s v="anonymous"/>
    <m/>
    <m/>
    <s v="18 - 25"/>
    <x v="0"/>
    <x v="0"/>
    <x v="2"/>
    <x v="0"/>
    <x v="0"/>
    <x v="0"/>
    <x v="0"/>
    <x v="4"/>
    <x v="2"/>
    <x v="1"/>
    <x v="0"/>
    <x v="1"/>
    <x v="2"/>
    <x v="0"/>
    <x v="2"/>
    <x v="0"/>
    <x v="0"/>
    <x v="0"/>
    <x v="1"/>
    <x v="0"/>
    <x v="2"/>
    <x v="0"/>
    <x v="0"/>
    <x v="4"/>
    <x v="3"/>
    <x v="4"/>
    <x v="4"/>
    <n v="5"/>
    <n v="5"/>
    <b v="0"/>
    <b v="0"/>
    <b v="0"/>
    <b v="0"/>
    <b v="0"/>
    <n v="10"/>
    <b v="0"/>
    <b v="0"/>
    <n v="5"/>
    <b v="0"/>
    <b v="0"/>
    <b v="0"/>
    <s v="IG, WhatsApp"/>
  </r>
  <r>
    <n v="156"/>
    <d v="2026-01-13T12:58:26"/>
    <d v="2026-01-13T13:01:56"/>
    <s v="anonymous"/>
    <m/>
    <m/>
    <s v="18 - 25"/>
    <x v="1"/>
    <x v="0"/>
    <x v="5"/>
    <x v="1"/>
    <x v="0"/>
    <x v="0"/>
    <x v="4"/>
    <x v="1"/>
    <x v="0"/>
    <x v="1"/>
    <x v="3"/>
    <x v="0"/>
    <x v="2"/>
    <x v="0"/>
    <x v="2"/>
    <x v="1"/>
    <x v="0"/>
    <x v="1"/>
    <x v="2"/>
    <x v="1"/>
    <x v="0"/>
    <x v="1"/>
    <x v="2"/>
    <x v="0"/>
    <x v="0"/>
    <x v="0"/>
    <x v="0"/>
    <n v="3"/>
    <n v="3"/>
    <b v="0"/>
    <b v="0"/>
    <b v="0"/>
    <b v="0"/>
    <b v="0"/>
    <n v="4"/>
    <b v="0"/>
    <b v="0"/>
    <n v="1"/>
    <b v="0"/>
    <b v="0"/>
    <b v="0"/>
    <s v="IG, WhatsApp"/>
  </r>
  <r>
    <n v="165"/>
    <d v="2026-01-13T16:14:34"/>
    <d v="2026-01-13T16:17:42"/>
    <s v="anonymous"/>
    <m/>
    <m/>
    <s v="18 - 25"/>
    <x v="1"/>
    <x v="0"/>
    <x v="4"/>
    <x v="5"/>
    <x v="0"/>
    <x v="1"/>
    <x v="1"/>
    <x v="0"/>
    <x v="1"/>
    <x v="1"/>
    <x v="0"/>
    <x v="2"/>
    <x v="1"/>
    <x v="1"/>
    <x v="0"/>
    <x v="1"/>
    <x v="1"/>
    <x v="0"/>
    <x v="0"/>
    <x v="2"/>
    <x v="0"/>
    <x v="3"/>
    <x v="0"/>
    <x v="1"/>
    <x v="1"/>
    <x v="0"/>
    <x v="0"/>
    <n v="3"/>
    <n v="4"/>
    <b v="0"/>
    <b v="0"/>
    <b v="0"/>
    <b v="0"/>
    <b v="0"/>
    <n v="2"/>
    <b v="0"/>
    <b v="0"/>
    <n v="7"/>
    <b v="0"/>
    <b v="0"/>
    <b v="0"/>
    <s v="HSU Campus"/>
  </r>
  <r>
    <n v="171"/>
    <d v="2026-01-13T16:49:26"/>
    <d v="2026-01-13T16:53:19"/>
    <s v="anonymous"/>
    <m/>
    <m/>
    <s v="18 - 25"/>
    <x v="0"/>
    <x v="0"/>
    <x v="0"/>
    <x v="0"/>
    <x v="0"/>
    <x v="0"/>
    <x v="0"/>
    <x v="2"/>
    <x v="1"/>
    <x v="1"/>
    <x v="0"/>
    <x v="0"/>
    <x v="0"/>
    <x v="0"/>
    <x v="1"/>
    <x v="1"/>
    <x v="1"/>
    <x v="1"/>
    <x v="2"/>
    <x v="0"/>
    <x v="2"/>
    <x v="2"/>
    <x v="1"/>
    <x v="1"/>
    <x v="1"/>
    <x v="2"/>
    <x v="2"/>
    <n v="2"/>
    <n v="4"/>
    <b v="0"/>
    <b v="0"/>
    <b v="0"/>
    <b v="0"/>
    <b v="0"/>
    <n v="2"/>
    <b v="0"/>
    <b v="0"/>
    <n v="20"/>
    <b v="0"/>
    <b v="0"/>
    <b v="0"/>
    <s v="HSU Campus"/>
  </r>
  <r>
    <n v="177"/>
    <d v="2026-01-13T16:51:31"/>
    <d v="2026-01-13T16:53:52"/>
    <s v="anonymous"/>
    <m/>
    <m/>
    <s v="18 - 25"/>
    <x v="1"/>
    <x v="0"/>
    <x v="4"/>
    <x v="5"/>
    <x v="0"/>
    <x v="1"/>
    <x v="0"/>
    <x v="1"/>
    <x v="1"/>
    <x v="1"/>
    <x v="0"/>
    <x v="0"/>
    <x v="2"/>
    <x v="1"/>
    <x v="1"/>
    <x v="1"/>
    <x v="1"/>
    <x v="1"/>
    <x v="0"/>
    <x v="0"/>
    <x v="1"/>
    <x v="1"/>
    <x v="0"/>
    <x v="1"/>
    <x v="2"/>
    <x v="2"/>
    <x v="2"/>
    <n v="2"/>
    <n v="2"/>
    <b v="0"/>
    <b v="0"/>
    <b v="0"/>
    <b v="0"/>
    <b v="0"/>
    <n v="0"/>
    <b v="0"/>
    <b v="0"/>
    <n v="4"/>
    <b v="0"/>
    <b v="0"/>
    <b v="0"/>
    <s v="HSU Campus"/>
  </r>
  <r>
    <n v="184"/>
    <d v="2026-01-13T16:54:25"/>
    <d v="2026-01-13T16:59:38"/>
    <s v="anonymous"/>
    <m/>
    <m/>
    <s v="18 - 25"/>
    <x v="1"/>
    <x v="0"/>
    <x v="2"/>
    <x v="0"/>
    <x v="0"/>
    <x v="0"/>
    <x v="1"/>
    <x v="0"/>
    <x v="1"/>
    <x v="0"/>
    <x v="1"/>
    <x v="2"/>
    <x v="1"/>
    <x v="2"/>
    <x v="3"/>
    <x v="3"/>
    <x v="3"/>
    <x v="2"/>
    <x v="3"/>
    <x v="2"/>
    <x v="0"/>
    <x v="4"/>
    <x v="1"/>
    <x v="0"/>
    <x v="2"/>
    <x v="2"/>
    <x v="2"/>
    <n v="2"/>
    <n v="2"/>
    <b v="0"/>
    <b v="0"/>
    <b v="0"/>
    <b v="0"/>
    <b v="0"/>
    <n v="1"/>
    <b v="0"/>
    <b v="0"/>
    <n v="1"/>
    <b v="0"/>
    <b v="0"/>
    <b v="0"/>
    <s v="HSU Campus"/>
  </r>
  <r>
    <n v="189"/>
    <d v="2026-01-13T16:58:25"/>
    <d v="2026-01-13T17:00:30"/>
    <s v="anonymous"/>
    <m/>
    <m/>
    <s v="18 - 25"/>
    <x v="0"/>
    <x v="0"/>
    <x v="3"/>
    <x v="0"/>
    <x v="0"/>
    <x v="0"/>
    <x v="0"/>
    <x v="2"/>
    <x v="1"/>
    <x v="0"/>
    <x v="0"/>
    <x v="0"/>
    <x v="2"/>
    <x v="0"/>
    <x v="1"/>
    <x v="1"/>
    <x v="0"/>
    <x v="1"/>
    <x v="0"/>
    <x v="1"/>
    <x v="0"/>
    <x v="1"/>
    <x v="1"/>
    <x v="3"/>
    <x v="1"/>
    <x v="0"/>
    <x v="0"/>
    <n v="3"/>
    <n v="4"/>
    <b v="0"/>
    <b v="0"/>
    <b v="0"/>
    <b v="0"/>
    <b v="0"/>
    <n v="2"/>
    <b v="0"/>
    <b v="0"/>
    <n v="20"/>
    <b v="0"/>
    <b v="0"/>
    <b v="0"/>
    <s v="HSU Campus"/>
  </r>
  <r>
    <n v="190"/>
    <d v="2026-01-13T16:58:33"/>
    <d v="2026-01-13T17:00:11"/>
    <s v="anonymous"/>
    <m/>
    <m/>
    <s v="18 - 25"/>
    <x v="1"/>
    <x v="1"/>
    <x v="0"/>
    <x v="0"/>
    <x v="1"/>
    <x v="1"/>
    <x v="1"/>
    <x v="2"/>
    <x v="0"/>
    <x v="1"/>
    <x v="1"/>
    <x v="2"/>
    <x v="1"/>
    <x v="1"/>
    <x v="1"/>
    <x v="1"/>
    <x v="0"/>
    <x v="1"/>
    <x v="3"/>
    <x v="2"/>
    <x v="1"/>
    <x v="1"/>
    <x v="2"/>
    <x v="2"/>
    <x v="2"/>
    <x v="0"/>
    <x v="0"/>
    <n v="3"/>
    <n v="2"/>
    <b v="0"/>
    <b v="0"/>
    <b v="0"/>
    <b v="0"/>
    <b v="0"/>
    <n v="0"/>
    <b v="0"/>
    <b v="0"/>
    <n v="21"/>
    <b v="0"/>
    <b v="0"/>
    <b v="0"/>
    <s v="HSU Campus"/>
  </r>
  <r>
    <n v="191"/>
    <d v="2026-01-13T16:59:46"/>
    <d v="2026-01-13T17:05:00"/>
    <s v="anonymous"/>
    <m/>
    <m/>
    <s v="18 - 25"/>
    <x v="1"/>
    <x v="0"/>
    <x v="0"/>
    <x v="0"/>
    <x v="0"/>
    <x v="1"/>
    <x v="1"/>
    <x v="0"/>
    <x v="1"/>
    <x v="0"/>
    <x v="1"/>
    <x v="0"/>
    <x v="2"/>
    <x v="1"/>
    <x v="0"/>
    <x v="0"/>
    <x v="2"/>
    <x v="0"/>
    <x v="2"/>
    <x v="3"/>
    <x v="3"/>
    <x v="2"/>
    <x v="2"/>
    <x v="1"/>
    <x v="1"/>
    <x v="0"/>
    <x v="0"/>
    <n v="3"/>
    <n v="4"/>
    <b v="0"/>
    <b v="0"/>
    <b v="0"/>
    <b v="0"/>
    <b v="0"/>
    <n v="7"/>
    <b v="0"/>
    <b v="0"/>
    <n v="3"/>
    <b v="0"/>
    <b v="0"/>
    <b v="0"/>
    <s v="HSU Campus"/>
  </r>
  <r>
    <n v="195"/>
    <d v="2026-01-13T17:07:00"/>
    <d v="2026-01-13T17:10:35"/>
    <s v="anonymous"/>
    <m/>
    <m/>
    <s v="18 - 25"/>
    <x v="1"/>
    <x v="0"/>
    <x v="3"/>
    <x v="0"/>
    <x v="1"/>
    <x v="1"/>
    <x v="2"/>
    <x v="2"/>
    <x v="0"/>
    <x v="2"/>
    <x v="2"/>
    <x v="2"/>
    <x v="2"/>
    <x v="4"/>
    <x v="2"/>
    <x v="1"/>
    <x v="3"/>
    <x v="2"/>
    <x v="1"/>
    <x v="2"/>
    <x v="0"/>
    <x v="3"/>
    <x v="2"/>
    <x v="2"/>
    <x v="2"/>
    <x v="2"/>
    <x v="2"/>
    <n v="2"/>
    <n v="2"/>
    <b v="0"/>
    <b v="0"/>
    <b v="0"/>
    <b v="0"/>
    <b v="0"/>
    <n v="0"/>
    <b v="0"/>
    <b v="0"/>
    <n v="5"/>
    <b v="0"/>
    <b v="0"/>
    <b v="0"/>
    <s v="HSU Campus"/>
  </r>
  <r>
    <n v="204"/>
    <d v="2026-01-13T17:28:47"/>
    <d v="2026-01-13T17:30:57"/>
    <s v="anonymous"/>
    <m/>
    <m/>
    <s v="18 - 25"/>
    <x v="0"/>
    <x v="0"/>
    <x v="0"/>
    <x v="0"/>
    <x v="1"/>
    <x v="1"/>
    <x v="1"/>
    <x v="1"/>
    <x v="0"/>
    <x v="0"/>
    <x v="0"/>
    <x v="1"/>
    <x v="2"/>
    <x v="2"/>
    <x v="1"/>
    <x v="1"/>
    <x v="1"/>
    <x v="2"/>
    <x v="0"/>
    <x v="0"/>
    <x v="2"/>
    <x v="1"/>
    <x v="1"/>
    <x v="0"/>
    <x v="1"/>
    <x v="1"/>
    <x v="1"/>
    <n v="4"/>
    <n v="4"/>
    <b v="0"/>
    <b v="0"/>
    <b v="0"/>
    <b v="0"/>
    <b v="0"/>
    <n v="0"/>
    <b v="0"/>
    <b v="0"/>
    <n v="5"/>
    <b v="0"/>
    <b v="0"/>
    <b v="0"/>
    <s v="HSU Campus"/>
  </r>
  <r>
    <n v="205"/>
    <d v="2026-01-13T17:28:48"/>
    <d v="2026-01-13T17:31:10"/>
    <s v="anonymous"/>
    <m/>
    <m/>
    <s v="18 - 25"/>
    <x v="1"/>
    <x v="0"/>
    <x v="3"/>
    <x v="0"/>
    <x v="0"/>
    <x v="1"/>
    <x v="1"/>
    <x v="0"/>
    <x v="0"/>
    <x v="2"/>
    <x v="1"/>
    <x v="1"/>
    <x v="2"/>
    <x v="1"/>
    <x v="1"/>
    <x v="0"/>
    <x v="2"/>
    <x v="0"/>
    <x v="0"/>
    <x v="1"/>
    <x v="2"/>
    <x v="1"/>
    <x v="4"/>
    <x v="4"/>
    <x v="3"/>
    <x v="4"/>
    <x v="4"/>
    <n v="5"/>
    <n v="5"/>
    <b v="0"/>
    <b v="0"/>
    <b v="0"/>
    <b v="0"/>
    <b v="0"/>
    <n v="8"/>
    <b v="0"/>
    <b v="0"/>
    <n v="0"/>
    <b v="0"/>
    <b v="0"/>
    <b v="0"/>
    <s v="HSU Campus"/>
  </r>
  <r>
    <n v="212"/>
    <d v="2026-01-13T17:29:16"/>
    <d v="2026-01-13T17:36:44"/>
    <s v="anonymous"/>
    <m/>
    <m/>
    <s v="18 - 25"/>
    <x v="1"/>
    <x v="0"/>
    <x v="2"/>
    <x v="3"/>
    <x v="1"/>
    <x v="1"/>
    <x v="2"/>
    <x v="2"/>
    <x v="0"/>
    <x v="0"/>
    <x v="2"/>
    <x v="1"/>
    <x v="1"/>
    <x v="4"/>
    <x v="2"/>
    <x v="1"/>
    <x v="0"/>
    <x v="1"/>
    <x v="0"/>
    <x v="1"/>
    <x v="0"/>
    <x v="2"/>
    <x v="0"/>
    <x v="2"/>
    <x v="2"/>
    <x v="2"/>
    <x v="2"/>
    <n v="2"/>
    <n v="2"/>
    <b v="0"/>
    <b v="0"/>
    <b v="0"/>
    <b v="0"/>
    <b v="0"/>
    <n v="0"/>
    <b v="0"/>
    <b v="0"/>
    <n v="8"/>
    <b v="0"/>
    <b v="0"/>
    <b v="0"/>
    <s v="HSU Campus"/>
  </r>
  <r>
    <n v="217"/>
    <d v="2026-01-13T17:29:31"/>
    <d v="2026-01-13T17:36:28"/>
    <s v="anonymous"/>
    <m/>
    <m/>
    <s v="18 - 25"/>
    <x v="0"/>
    <x v="0"/>
    <x v="2"/>
    <x v="0"/>
    <x v="0"/>
    <x v="1"/>
    <x v="1"/>
    <x v="2"/>
    <x v="1"/>
    <x v="1"/>
    <x v="3"/>
    <x v="1"/>
    <x v="0"/>
    <x v="1"/>
    <x v="1"/>
    <x v="1"/>
    <x v="1"/>
    <x v="1"/>
    <x v="0"/>
    <x v="1"/>
    <x v="0"/>
    <x v="1"/>
    <x v="0"/>
    <x v="0"/>
    <x v="1"/>
    <x v="2"/>
    <x v="2"/>
    <n v="2"/>
    <n v="4"/>
    <b v="0"/>
    <b v="0"/>
    <b v="0"/>
    <b v="0"/>
    <b v="0"/>
    <n v="1"/>
    <b v="0"/>
    <b v="0"/>
    <n v="4"/>
    <b v="0"/>
    <b v="0"/>
    <b v="0"/>
    <s v="HSU Campus"/>
  </r>
  <r>
    <n v="223"/>
    <d v="2026-01-13T17:31:50"/>
    <d v="2026-01-13T17:34:00"/>
    <s v="anonymous"/>
    <m/>
    <m/>
    <s v="18 - 25"/>
    <x v="1"/>
    <x v="0"/>
    <x v="2"/>
    <x v="3"/>
    <x v="1"/>
    <x v="0"/>
    <x v="2"/>
    <x v="2"/>
    <x v="1"/>
    <x v="2"/>
    <x v="0"/>
    <x v="0"/>
    <x v="0"/>
    <x v="2"/>
    <x v="0"/>
    <x v="0"/>
    <x v="2"/>
    <x v="0"/>
    <x v="0"/>
    <x v="1"/>
    <x v="1"/>
    <x v="3"/>
    <x v="2"/>
    <x v="2"/>
    <x v="2"/>
    <x v="2"/>
    <x v="2"/>
    <n v="2"/>
    <n v="2"/>
    <b v="0"/>
    <b v="0"/>
    <b v="0"/>
    <b v="0"/>
    <b v="0"/>
    <n v="4"/>
    <b v="0"/>
    <b v="0"/>
    <n v="1"/>
    <b v="0"/>
    <b v="0"/>
    <b v="0"/>
    <s v="HSU Campus"/>
  </r>
  <r>
    <n v="225"/>
    <d v="2026-01-13T18:36:39"/>
    <d v="2026-01-13T18:41:37"/>
    <s v="anonymous"/>
    <m/>
    <m/>
    <s v="18 - 25"/>
    <x v="0"/>
    <x v="0"/>
    <x v="4"/>
    <x v="0"/>
    <x v="0"/>
    <x v="0"/>
    <x v="1"/>
    <x v="3"/>
    <x v="1"/>
    <x v="1"/>
    <x v="2"/>
    <x v="1"/>
    <x v="0"/>
    <x v="1"/>
    <x v="0"/>
    <x v="1"/>
    <x v="3"/>
    <x v="2"/>
    <x v="0"/>
    <x v="1"/>
    <x v="2"/>
    <x v="2"/>
    <x v="1"/>
    <x v="2"/>
    <x v="0"/>
    <x v="1"/>
    <x v="1"/>
    <n v="4"/>
    <n v="3"/>
    <b v="0"/>
    <b v="0"/>
    <b v="0"/>
    <b v="0"/>
    <b v="0"/>
    <n v="2"/>
    <b v="0"/>
    <b v="0"/>
    <n v="2"/>
    <b v="0"/>
    <b v="0"/>
    <b v="0"/>
    <s v="HSU Campus"/>
  </r>
  <r>
    <n v="233"/>
    <d v="2026-01-14T00:57:03"/>
    <d v="2026-01-14T01:00:10"/>
    <s v="anonymous"/>
    <m/>
    <m/>
    <s v="18 - 25"/>
    <x v="0"/>
    <x v="0"/>
    <x v="2"/>
    <x v="0"/>
    <x v="0"/>
    <x v="1"/>
    <x v="1"/>
    <x v="1"/>
    <x v="1"/>
    <x v="1"/>
    <x v="0"/>
    <x v="0"/>
    <x v="0"/>
    <x v="2"/>
    <x v="0"/>
    <x v="0"/>
    <x v="0"/>
    <x v="1"/>
    <x v="1"/>
    <x v="1"/>
    <x v="0"/>
    <x v="2"/>
    <x v="3"/>
    <x v="1"/>
    <x v="0"/>
    <x v="0"/>
    <x v="0"/>
    <n v="3"/>
    <n v="3"/>
    <b v="0"/>
    <b v="0"/>
    <b v="0"/>
    <b v="0"/>
    <b v="0"/>
    <n v="3"/>
    <b v="0"/>
    <b v="0"/>
    <n v="5"/>
    <b v="0"/>
    <b v="0"/>
    <b v="0"/>
    <s v="HSU Campus"/>
  </r>
  <r>
    <n v="236"/>
    <d v="2026-01-14T11:14:55"/>
    <d v="2026-01-14T15:50:01"/>
    <s v="anonymous"/>
    <m/>
    <m/>
    <s v="18 - 25"/>
    <x v="0"/>
    <x v="0"/>
    <x v="3"/>
    <x v="0"/>
    <x v="0"/>
    <x v="0"/>
    <x v="0"/>
    <x v="2"/>
    <x v="1"/>
    <x v="0"/>
    <x v="0"/>
    <x v="0"/>
    <x v="0"/>
    <x v="1"/>
    <x v="1"/>
    <x v="1"/>
    <x v="2"/>
    <x v="0"/>
    <x v="2"/>
    <x v="3"/>
    <x v="2"/>
    <x v="1"/>
    <x v="0"/>
    <x v="1"/>
    <x v="1"/>
    <x v="1"/>
    <x v="1"/>
    <n v="4"/>
    <n v="4"/>
    <b v="0"/>
    <b v="0"/>
    <b v="0"/>
    <b v="0"/>
    <b v="0"/>
    <n v="4"/>
    <b v="0"/>
    <b v="0"/>
    <n v="16"/>
    <b v="0"/>
    <b v="0"/>
    <b v="0"/>
    <s v="HSU Campus"/>
  </r>
  <r>
    <n v="239"/>
    <d v="2026-01-14T15:01:52"/>
    <d v="2026-01-14T15:05:36"/>
    <s v="anonymous"/>
    <m/>
    <m/>
    <s v="18 - 25"/>
    <x v="1"/>
    <x v="0"/>
    <x v="3"/>
    <x v="0"/>
    <x v="0"/>
    <x v="1"/>
    <x v="0"/>
    <x v="4"/>
    <x v="1"/>
    <x v="1"/>
    <x v="0"/>
    <x v="0"/>
    <x v="1"/>
    <x v="1"/>
    <x v="0"/>
    <x v="1"/>
    <x v="1"/>
    <x v="0"/>
    <x v="1"/>
    <x v="0"/>
    <x v="0"/>
    <x v="1"/>
    <x v="0"/>
    <x v="1"/>
    <x v="2"/>
    <x v="2"/>
    <x v="2"/>
    <n v="2"/>
    <n v="2"/>
    <b v="0"/>
    <b v="0"/>
    <b v="0"/>
    <b v="0"/>
    <b v="0"/>
    <n v="3"/>
    <b v="0"/>
    <b v="0"/>
    <n v="5"/>
    <b v="0"/>
    <b v="0"/>
    <b v="0"/>
    <s v="HSU Campus"/>
  </r>
  <r>
    <n v="241"/>
    <d v="2026-01-14T15:02:06"/>
    <d v="2026-01-14T15:05:29"/>
    <s v="anonymous"/>
    <m/>
    <m/>
    <s v="18 - 25"/>
    <x v="1"/>
    <x v="0"/>
    <x v="2"/>
    <x v="4"/>
    <x v="0"/>
    <x v="0"/>
    <x v="2"/>
    <x v="2"/>
    <x v="3"/>
    <x v="2"/>
    <x v="2"/>
    <x v="2"/>
    <x v="1"/>
    <x v="4"/>
    <x v="3"/>
    <x v="3"/>
    <x v="0"/>
    <x v="2"/>
    <x v="1"/>
    <x v="1"/>
    <x v="2"/>
    <x v="3"/>
    <x v="1"/>
    <x v="0"/>
    <x v="0"/>
    <x v="0"/>
    <x v="0"/>
    <n v="3"/>
    <n v="3"/>
    <b v="0"/>
    <b v="0"/>
    <b v="0"/>
    <b v="0"/>
    <b v="0"/>
    <n v="0"/>
    <b v="0"/>
    <b v="0"/>
    <n v="5"/>
    <b v="0"/>
    <b v="0"/>
    <b v="0"/>
    <s v="HSU Campus"/>
  </r>
  <r>
    <n v="244"/>
    <d v="2026-01-14T15:02:12"/>
    <d v="2026-01-14T15:06:55"/>
    <s v="anonymous"/>
    <m/>
    <m/>
    <s v="18 - 25"/>
    <x v="1"/>
    <x v="0"/>
    <x v="1"/>
    <x v="1"/>
    <x v="1"/>
    <x v="1"/>
    <x v="2"/>
    <x v="3"/>
    <x v="1"/>
    <x v="1"/>
    <x v="2"/>
    <x v="0"/>
    <x v="0"/>
    <x v="1"/>
    <x v="0"/>
    <x v="0"/>
    <x v="0"/>
    <x v="2"/>
    <x v="0"/>
    <x v="3"/>
    <x v="1"/>
    <x v="0"/>
    <x v="2"/>
    <x v="0"/>
    <x v="1"/>
    <x v="1"/>
    <x v="1"/>
    <n v="4"/>
    <n v="4"/>
    <b v="0"/>
    <b v="0"/>
    <b v="0"/>
    <b v="0"/>
    <b v="0"/>
    <n v="5"/>
    <b v="0"/>
    <b v="0"/>
    <n v="3"/>
    <b v="0"/>
    <b v="0"/>
    <b v="0"/>
    <s v="HSU Campus"/>
  </r>
  <r>
    <n v="250"/>
    <d v="2026-01-14T15:02:55"/>
    <d v="2026-01-14T15:06:46"/>
    <s v="anonymous"/>
    <m/>
    <m/>
    <s v="18 - 25"/>
    <x v="0"/>
    <x v="0"/>
    <x v="2"/>
    <x v="0"/>
    <x v="0"/>
    <x v="0"/>
    <x v="1"/>
    <x v="0"/>
    <x v="1"/>
    <x v="0"/>
    <x v="0"/>
    <x v="0"/>
    <x v="2"/>
    <x v="4"/>
    <x v="1"/>
    <x v="1"/>
    <x v="1"/>
    <x v="1"/>
    <x v="1"/>
    <x v="0"/>
    <x v="2"/>
    <x v="2"/>
    <x v="1"/>
    <x v="2"/>
    <x v="0"/>
    <x v="0"/>
    <x v="0"/>
    <n v="3"/>
    <n v="3"/>
    <b v="0"/>
    <b v="0"/>
    <b v="0"/>
    <b v="0"/>
    <b v="0"/>
    <n v="0"/>
    <b v="0"/>
    <b v="0"/>
    <n v="21"/>
    <b v="0"/>
    <b v="0"/>
    <b v="0"/>
    <s v="HSU Campus"/>
  </r>
  <r>
    <n v="254"/>
    <d v="2026-01-14T15:03:18"/>
    <d v="2026-01-14T15:05:28"/>
    <s v="anonymous"/>
    <m/>
    <m/>
    <s v="18 - 25"/>
    <x v="1"/>
    <x v="0"/>
    <x v="3"/>
    <x v="1"/>
    <x v="1"/>
    <x v="1"/>
    <x v="2"/>
    <x v="2"/>
    <x v="1"/>
    <x v="0"/>
    <x v="2"/>
    <x v="0"/>
    <x v="2"/>
    <x v="1"/>
    <x v="2"/>
    <x v="1"/>
    <x v="0"/>
    <x v="2"/>
    <x v="1"/>
    <x v="1"/>
    <x v="2"/>
    <x v="2"/>
    <x v="2"/>
    <x v="2"/>
    <x v="2"/>
    <x v="2"/>
    <x v="2"/>
    <n v="2"/>
    <n v="2"/>
    <b v="0"/>
    <b v="0"/>
    <b v="0"/>
    <b v="0"/>
    <b v="0"/>
    <n v="0"/>
    <b v="0"/>
    <b v="0"/>
    <n v="5"/>
    <b v="0"/>
    <b v="0"/>
    <b v="0"/>
    <s v="HSU Campus"/>
  </r>
  <r>
    <n v="259"/>
    <d v="2026-01-14T15:54:14"/>
    <d v="2026-01-14T15:57:15"/>
    <s v="anonymous"/>
    <m/>
    <m/>
    <s v="18 - 25"/>
    <x v="1"/>
    <x v="0"/>
    <x v="3"/>
    <x v="0"/>
    <x v="0"/>
    <x v="0"/>
    <x v="1"/>
    <x v="0"/>
    <x v="0"/>
    <x v="2"/>
    <x v="2"/>
    <x v="1"/>
    <x v="0"/>
    <x v="1"/>
    <x v="3"/>
    <x v="2"/>
    <x v="0"/>
    <x v="1"/>
    <x v="1"/>
    <x v="1"/>
    <x v="2"/>
    <x v="3"/>
    <x v="2"/>
    <x v="0"/>
    <x v="0"/>
    <x v="2"/>
    <x v="2"/>
    <n v="2"/>
    <n v="3"/>
    <b v="0"/>
    <b v="0"/>
    <b v="0"/>
    <b v="0"/>
    <b v="0"/>
    <n v="0"/>
    <b v="0"/>
    <b v="0"/>
    <n v="2"/>
    <b v="0"/>
    <b v="0"/>
    <b v="0"/>
    <s v="HSU Campus"/>
  </r>
  <r>
    <n v="260"/>
    <d v="2026-01-14T15:54:19"/>
    <d v="2026-01-14T15:59:13"/>
    <s v="anonymous"/>
    <m/>
    <m/>
    <s v="18 - 25"/>
    <x v="1"/>
    <x v="0"/>
    <x v="2"/>
    <x v="4"/>
    <x v="1"/>
    <x v="1"/>
    <x v="3"/>
    <x v="2"/>
    <x v="3"/>
    <x v="2"/>
    <x v="2"/>
    <x v="4"/>
    <x v="1"/>
    <x v="4"/>
    <x v="2"/>
    <x v="2"/>
    <x v="0"/>
    <x v="1"/>
    <x v="3"/>
    <x v="2"/>
    <x v="0"/>
    <x v="3"/>
    <x v="4"/>
    <x v="3"/>
    <x v="2"/>
    <x v="2"/>
    <x v="2"/>
    <n v="2"/>
    <n v="2"/>
    <b v="0"/>
    <b v="0"/>
    <b v="0"/>
    <b v="0"/>
    <b v="0"/>
    <n v="4"/>
    <b v="0"/>
    <b v="0"/>
    <n v="7"/>
    <b v="0"/>
    <b v="0"/>
    <b v="0"/>
    <s v="HSU Campus"/>
  </r>
  <r>
    <n v="261"/>
    <d v="2026-01-14T15:55:16"/>
    <d v="2026-01-14T15:58:40"/>
    <s v="anonymous"/>
    <m/>
    <m/>
    <s v="18 - 25"/>
    <x v="0"/>
    <x v="0"/>
    <x v="3"/>
    <x v="0"/>
    <x v="0"/>
    <x v="0"/>
    <x v="0"/>
    <x v="1"/>
    <x v="1"/>
    <x v="0"/>
    <x v="1"/>
    <x v="1"/>
    <x v="1"/>
    <x v="4"/>
    <x v="1"/>
    <x v="2"/>
    <x v="0"/>
    <x v="1"/>
    <x v="0"/>
    <x v="0"/>
    <x v="2"/>
    <x v="3"/>
    <x v="1"/>
    <x v="2"/>
    <x v="2"/>
    <x v="2"/>
    <x v="2"/>
    <n v="2"/>
    <n v="2"/>
    <b v="0"/>
    <b v="0"/>
    <b v="0"/>
    <b v="0"/>
    <b v="0"/>
    <n v="0"/>
    <b v="0"/>
    <b v="0"/>
    <n v="0"/>
    <b v="0"/>
    <b v="0"/>
    <b v="0"/>
    <s v="HSU Campus"/>
  </r>
  <r>
    <n v="264"/>
    <d v="2026-01-14T15:59:15"/>
    <d v="2026-01-14T16:06:05"/>
    <s v="anonymous"/>
    <m/>
    <m/>
    <s v="18 - 25"/>
    <x v="0"/>
    <x v="0"/>
    <x v="3"/>
    <x v="0"/>
    <x v="0"/>
    <x v="0"/>
    <x v="1"/>
    <x v="0"/>
    <x v="1"/>
    <x v="0"/>
    <x v="0"/>
    <x v="0"/>
    <x v="2"/>
    <x v="1"/>
    <x v="1"/>
    <x v="1"/>
    <x v="3"/>
    <x v="2"/>
    <x v="1"/>
    <x v="1"/>
    <x v="0"/>
    <x v="2"/>
    <x v="1"/>
    <x v="2"/>
    <x v="1"/>
    <x v="0"/>
    <x v="0"/>
    <n v="3"/>
    <n v="4"/>
    <b v="0"/>
    <b v="0"/>
    <b v="0"/>
    <b v="0"/>
    <b v="0"/>
    <n v="0"/>
    <b v="0"/>
    <b v="0"/>
    <n v="6"/>
    <b v="0"/>
    <b v="0"/>
    <b v="0"/>
    <s v="HSU Campus"/>
  </r>
  <r>
    <n v="268"/>
    <d v="2026-01-15T11:30:53"/>
    <d v="2026-01-15T11:39:50"/>
    <s v="anonymous"/>
    <m/>
    <m/>
    <s v="18 - 25"/>
    <x v="0"/>
    <x v="0"/>
    <x v="3"/>
    <x v="0"/>
    <x v="0"/>
    <x v="0"/>
    <x v="0"/>
    <x v="2"/>
    <x v="1"/>
    <x v="0"/>
    <x v="2"/>
    <x v="1"/>
    <x v="0"/>
    <x v="0"/>
    <x v="0"/>
    <x v="0"/>
    <x v="2"/>
    <x v="0"/>
    <x v="0"/>
    <x v="1"/>
    <x v="2"/>
    <x v="1"/>
    <x v="0"/>
    <x v="0"/>
    <x v="1"/>
    <x v="1"/>
    <x v="1"/>
    <n v="4"/>
    <n v="4"/>
    <b v="0"/>
    <b v="0"/>
    <b v="0"/>
    <b v="0"/>
    <b v="0"/>
    <n v="5"/>
    <b v="0"/>
    <b v="0"/>
    <n v="4"/>
    <b v="0"/>
    <b v="0"/>
    <b v="0"/>
    <s v="HSU Campus"/>
  </r>
  <r>
    <n v="270"/>
    <d v="2026-01-15T13:46:52"/>
    <d v="2026-01-15T13:54:09"/>
    <s v="anonymous"/>
    <m/>
    <m/>
    <s v="18 - 25"/>
    <x v="0"/>
    <x v="0"/>
    <x v="3"/>
    <x v="0"/>
    <x v="0"/>
    <x v="1"/>
    <x v="1"/>
    <x v="2"/>
    <x v="1"/>
    <x v="1"/>
    <x v="1"/>
    <x v="0"/>
    <x v="0"/>
    <x v="1"/>
    <x v="1"/>
    <x v="1"/>
    <x v="1"/>
    <x v="1"/>
    <x v="0"/>
    <x v="0"/>
    <x v="2"/>
    <x v="1"/>
    <x v="0"/>
    <x v="2"/>
    <x v="0"/>
    <x v="0"/>
    <x v="0"/>
    <n v="3"/>
    <n v="3"/>
    <b v="0"/>
    <b v="0"/>
    <b v="0"/>
    <b v="0"/>
    <b v="0"/>
    <n v="0"/>
    <b v="0"/>
    <b v="0"/>
    <n v="5"/>
    <b v="0"/>
    <b v="0"/>
    <b v="0"/>
    <s v="HSU Campus"/>
  </r>
  <r>
    <n v="279"/>
    <d v="2026-01-18T18:15:39"/>
    <d v="2026-01-18T18:19:52"/>
    <s v="anonymous"/>
    <m/>
    <m/>
    <s v="18 - 25"/>
    <x v="0"/>
    <x v="1"/>
    <x v="6"/>
    <x v="1"/>
    <x v="0"/>
    <x v="0"/>
    <x v="4"/>
    <x v="4"/>
    <x v="0"/>
    <x v="3"/>
    <x v="3"/>
    <x v="0"/>
    <x v="3"/>
    <x v="1"/>
    <x v="1"/>
    <x v="1"/>
    <x v="4"/>
    <x v="3"/>
    <x v="1"/>
    <x v="0"/>
    <x v="2"/>
    <x v="1"/>
    <x v="2"/>
    <x v="1"/>
    <x v="4"/>
    <x v="3"/>
    <x v="3"/>
    <n v="1"/>
    <n v="1"/>
    <b v="0"/>
    <b v="0"/>
    <b v="0"/>
    <b v="0"/>
    <b v="0"/>
    <n v="9"/>
    <b v="0"/>
    <b v="0"/>
    <n v="7"/>
    <b v="0"/>
    <b v="0"/>
    <b v="0"/>
    <s v="Prolific"/>
  </r>
  <r>
    <n v="280"/>
    <d v="2026-01-18T18:15:53"/>
    <d v="2026-01-18T18:21:25"/>
    <s v="anonymous"/>
    <m/>
    <m/>
    <s v="18 - 25"/>
    <x v="0"/>
    <x v="1"/>
    <x v="3"/>
    <x v="4"/>
    <x v="1"/>
    <x v="1"/>
    <x v="0"/>
    <x v="0"/>
    <x v="2"/>
    <x v="1"/>
    <x v="0"/>
    <x v="0"/>
    <x v="0"/>
    <x v="1"/>
    <x v="2"/>
    <x v="2"/>
    <x v="1"/>
    <x v="1"/>
    <x v="0"/>
    <x v="0"/>
    <x v="1"/>
    <x v="2"/>
    <x v="0"/>
    <x v="1"/>
    <x v="2"/>
    <x v="0"/>
    <x v="0"/>
    <n v="3"/>
    <n v="2"/>
    <b v="0"/>
    <b v="0"/>
    <b v="0"/>
    <b v="0"/>
    <b v="0"/>
    <n v="1"/>
    <b v="0"/>
    <b v="0"/>
    <n v="5"/>
    <b v="0"/>
    <b v="0"/>
    <b v="0"/>
    <s v="Prolific"/>
  </r>
  <r>
    <n v="282"/>
    <d v="2026-01-18T18:16:04"/>
    <d v="2026-01-18T18:21:42"/>
    <s v="anonymous"/>
    <m/>
    <m/>
    <s v="18 - 25"/>
    <x v="1"/>
    <x v="0"/>
    <x v="4"/>
    <x v="1"/>
    <x v="1"/>
    <x v="0"/>
    <x v="1"/>
    <x v="1"/>
    <x v="3"/>
    <x v="0"/>
    <x v="0"/>
    <x v="0"/>
    <x v="0"/>
    <x v="1"/>
    <x v="1"/>
    <x v="2"/>
    <x v="1"/>
    <x v="1"/>
    <x v="2"/>
    <x v="0"/>
    <x v="1"/>
    <x v="1"/>
    <x v="3"/>
    <x v="1"/>
    <x v="1"/>
    <x v="4"/>
    <x v="1"/>
    <n v="4"/>
    <n v="4"/>
    <b v="0"/>
    <b v="0"/>
    <b v="0"/>
    <b v="0"/>
    <b v="0"/>
    <n v="3"/>
    <b v="0"/>
    <b v="0"/>
    <n v="16"/>
    <b v="0"/>
    <b v="0"/>
    <b v="0"/>
    <s v="Prolific"/>
  </r>
  <r>
    <n v="296"/>
    <d v="2026-01-18T18:19:04"/>
    <d v="2026-01-18T18:32:55"/>
    <s v="anonymous"/>
    <m/>
    <m/>
    <s v="18 - 25"/>
    <x v="0"/>
    <x v="0"/>
    <x v="3"/>
    <x v="4"/>
    <x v="1"/>
    <x v="1"/>
    <x v="1"/>
    <x v="1"/>
    <x v="1"/>
    <x v="0"/>
    <x v="0"/>
    <x v="0"/>
    <x v="2"/>
    <x v="1"/>
    <x v="1"/>
    <x v="1"/>
    <x v="3"/>
    <x v="2"/>
    <x v="0"/>
    <x v="0"/>
    <x v="0"/>
    <x v="3"/>
    <x v="2"/>
    <x v="0"/>
    <x v="2"/>
    <x v="0"/>
    <x v="0"/>
    <n v="3"/>
    <n v="2"/>
    <b v="0"/>
    <b v="0"/>
    <b v="0"/>
    <b v="0"/>
    <b v="0"/>
    <n v="0"/>
    <b v="0"/>
    <b v="0"/>
    <n v="4"/>
    <b v="0"/>
    <b v="0"/>
    <b v="0"/>
    <s v="Prolific"/>
  </r>
  <r>
    <n v="298"/>
    <d v="2026-01-18T18:20:37"/>
    <d v="2026-01-18T18:32:09"/>
    <s v="anonymous"/>
    <m/>
    <m/>
    <s v="18 - 25"/>
    <x v="0"/>
    <x v="1"/>
    <x v="3"/>
    <x v="4"/>
    <x v="0"/>
    <x v="0"/>
    <x v="0"/>
    <x v="0"/>
    <x v="2"/>
    <x v="1"/>
    <x v="0"/>
    <x v="3"/>
    <x v="1"/>
    <x v="1"/>
    <x v="0"/>
    <x v="1"/>
    <x v="2"/>
    <x v="0"/>
    <x v="2"/>
    <x v="0"/>
    <x v="0"/>
    <x v="1"/>
    <x v="3"/>
    <x v="4"/>
    <x v="2"/>
    <x v="2"/>
    <x v="2"/>
    <n v="2"/>
    <n v="2"/>
    <b v="0"/>
    <b v="0"/>
    <b v="0"/>
    <b v="0"/>
    <b v="0"/>
    <n v="8"/>
    <b v="0"/>
    <b v="0"/>
    <n v="9"/>
    <b v="0"/>
    <b v="0"/>
    <b v="0"/>
    <s v="Prolific"/>
  </r>
  <r>
    <n v="307"/>
    <d v="2026-01-18T18:36:48"/>
    <d v="2026-01-18T18:40:02"/>
    <s v="anonymous"/>
    <m/>
    <m/>
    <s v="18 - 25"/>
    <x v="0"/>
    <x v="0"/>
    <x v="2"/>
    <x v="0"/>
    <x v="0"/>
    <x v="0"/>
    <x v="4"/>
    <x v="1"/>
    <x v="1"/>
    <x v="1"/>
    <x v="0"/>
    <x v="0"/>
    <x v="3"/>
    <x v="0"/>
    <x v="1"/>
    <x v="1"/>
    <x v="1"/>
    <x v="0"/>
    <x v="0"/>
    <x v="3"/>
    <x v="2"/>
    <x v="1"/>
    <x v="3"/>
    <x v="1"/>
    <x v="1"/>
    <x v="4"/>
    <x v="4"/>
    <n v="5"/>
    <n v="4"/>
    <b v="0"/>
    <b v="0"/>
    <b v="0"/>
    <b v="0"/>
    <b v="0"/>
    <n v="8"/>
    <b v="0"/>
    <b v="0"/>
    <n v="10"/>
    <b v="0"/>
    <b v="0"/>
    <b v="0"/>
    <s v="Prolific"/>
  </r>
  <r>
    <n v="309"/>
    <d v="2026-01-18T19:33:52"/>
    <d v="2026-01-18T19:36:59"/>
    <s v="anonymous"/>
    <m/>
    <m/>
    <s v="18 - 25"/>
    <x v="0"/>
    <x v="0"/>
    <x v="3"/>
    <x v="4"/>
    <x v="1"/>
    <x v="0"/>
    <x v="0"/>
    <x v="1"/>
    <x v="3"/>
    <x v="2"/>
    <x v="0"/>
    <x v="0"/>
    <x v="0"/>
    <x v="2"/>
    <x v="1"/>
    <x v="1"/>
    <x v="0"/>
    <x v="2"/>
    <x v="0"/>
    <x v="1"/>
    <x v="1"/>
    <x v="2"/>
    <x v="1"/>
    <x v="1"/>
    <x v="2"/>
    <x v="0"/>
    <x v="0"/>
    <n v="3"/>
    <n v="2"/>
    <b v="0"/>
    <b v="0"/>
    <b v="0"/>
    <b v="0"/>
    <b v="0"/>
    <n v="0"/>
    <b v="0"/>
    <b v="0"/>
    <n v="3"/>
    <b v="0"/>
    <b v="0"/>
    <b v="0"/>
    <s v="Prolific"/>
  </r>
  <r>
    <n v="329"/>
    <d v="2026-01-20T13:07:36"/>
    <d v="2026-01-20T13:11:17"/>
    <s v="anonymous"/>
    <m/>
    <m/>
    <s v="18 - 25"/>
    <x v="1"/>
    <x v="0"/>
    <x v="2"/>
    <x v="4"/>
    <x v="0"/>
    <x v="0"/>
    <x v="0"/>
    <x v="0"/>
    <x v="1"/>
    <x v="1"/>
    <x v="2"/>
    <x v="0"/>
    <x v="2"/>
    <x v="1"/>
    <x v="1"/>
    <x v="1"/>
    <x v="1"/>
    <x v="2"/>
    <x v="0"/>
    <x v="1"/>
    <x v="1"/>
    <x v="1"/>
    <x v="0"/>
    <x v="2"/>
    <x v="0"/>
    <x v="2"/>
    <x v="2"/>
    <n v="2"/>
    <n v="3"/>
    <b v="0"/>
    <b v="0"/>
    <b v="0"/>
    <b v="0"/>
    <b v="0"/>
    <n v="0"/>
    <b v="0"/>
    <b v="0"/>
    <n v="8"/>
    <b v="0"/>
    <b v="0"/>
    <b v="0"/>
    <s v="HSU Campus"/>
  </r>
  <r>
    <n v="331"/>
    <d v="2026-01-20T13:07:44"/>
    <d v="2026-01-20T13:13:43"/>
    <s v="anonymous"/>
    <m/>
    <m/>
    <s v="18 - 25"/>
    <x v="0"/>
    <x v="0"/>
    <x v="3"/>
    <x v="0"/>
    <x v="0"/>
    <x v="1"/>
    <x v="0"/>
    <x v="0"/>
    <x v="0"/>
    <x v="1"/>
    <x v="1"/>
    <x v="0"/>
    <x v="0"/>
    <x v="1"/>
    <x v="0"/>
    <x v="0"/>
    <x v="2"/>
    <x v="0"/>
    <x v="0"/>
    <x v="0"/>
    <x v="2"/>
    <x v="2"/>
    <x v="0"/>
    <x v="1"/>
    <x v="0"/>
    <x v="0"/>
    <x v="0"/>
    <n v="3"/>
    <n v="3"/>
    <b v="0"/>
    <b v="0"/>
    <b v="0"/>
    <b v="0"/>
    <b v="0"/>
    <n v="4"/>
    <b v="0"/>
    <b v="0"/>
    <n v="5"/>
    <b v="0"/>
    <b v="0"/>
    <b v="0"/>
    <s v="HSU Campus"/>
  </r>
  <r>
    <n v="341"/>
    <d v="2026-01-20T14:03:41"/>
    <d v="2026-01-20T14:05:12"/>
    <s v="anonymous"/>
    <m/>
    <m/>
    <s v="18 - 25"/>
    <x v="0"/>
    <x v="0"/>
    <x v="3"/>
    <x v="4"/>
    <x v="0"/>
    <x v="1"/>
    <x v="0"/>
    <x v="1"/>
    <x v="1"/>
    <x v="1"/>
    <x v="1"/>
    <x v="1"/>
    <x v="0"/>
    <x v="1"/>
    <x v="1"/>
    <x v="1"/>
    <x v="1"/>
    <x v="1"/>
    <x v="0"/>
    <x v="0"/>
    <x v="1"/>
    <x v="1"/>
    <x v="1"/>
    <x v="0"/>
    <x v="1"/>
    <x v="1"/>
    <x v="1"/>
    <n v="4"/>
    <n v="4"/>
    <b v="0"/>
    <b v="0"/>
    <b v="0"/>
    <b v="0"/>
    <b v="0"/>
    <n v="0"/>
    <b v="0"/>
    <b v="0"/>
    <n v="17"/>
    <b v="0"/>
    <b v="0"/>
    <b v="0"/>
    <s v="HSU Campus"/>
  </r>
  <r>
    <n v="342"/>
    <d v="2026-01-20T15:54:32"/>
    <d v="2026-01-20T16:00:05"/>
    <s v="anonymous"/>
    <m/>
    <m/>
    <s v="18 - 25"/>
    <x v="0"/>
    <x v="0"/>
    <x v="6"/>
    <x v="1"/>
    <x v="1"/>
    <x v="1"/>
    <x v="3"/>
    <x v="3"/>
    <x v="2"/>
    <x v="0"/>
    <x v="2"/>
    <x v="2"/>
    <x v="1"/>
    <x v="2"/>
    <x v="0"/>
    <x v="0"/>
    <x v="2"/>
    <x v="1"/>
    <x v="2"/>
    <x v="2"/>
    <x v="0"/>
    <x v="2"/>
    <x v="0"/>
    <x v="2"/>
    <x v="2"/>
    <x v="2"/>
    <x v="2"/>
    <n v="2"/>
    <n v="2"/>
    <b v="0"/>
    <b v="0"/>
    <b v="0"/>
    <b v="0"/>
    <b v="0"/>
    <n v="7"/>
    <b v="0"/>
    <b v="0"/>
    <n v="0"/>
    <b v="0"/>
    <b v="0"/>
    <b v="0"/>
    <s v="HSU Campus"/>
  </r>
  <r>
    <n v="343"/>
    <d v="2026-01-20T16:00:46"/>
    <d v="2026-01-20T16:03:59"/>
    <s v="anonymous"/>
    <m/>
    <m/>
    <s v="18 - 25"/>
    <x v="1"/>
    <x v="0"/>
    <x v="3"/>
    <x v="5"/>
    <x v="1"/>
    <x v="1"/>
    <x v="2"/>
    <x v="2"/>
    <x v="1"/>
    <x v="2"/>
    <x v="1"/>
    <x v="3"/>
    <x v="2"/>
    <x v="4"/>
    <x v="1"/>
    <x v="1"/>
    <x v="0"/>
    <x v="1"/>
    <x v="0"/>
    <x v="3"/>
    <x v="0"/>
    <x v="3"/>
    <x v="2"/>
    <x v="2"/>
    <x v="2"/>
    <x v="2"/>
    <x v="2"/>
    <n v="2"/>
    <n v="2"/>
    <b v="0"/>
    <b v="0"/>
    <b v="0"/>
    <b v="0"/>
    <b v="0"/>
    <n v="2"/>
    <b v="0"/>
    <b v="0"/>
    <n v="2"/>
    <b v="0"/>
    <b v="0"/>
    <b v="0"/>
    <s v="HSU Campus"/>
  </r>
  <r>
    <n v="346"/>
    <d v="2026-01-20T16:29:03"/>
    <d v="2026-01-20T16:31:12"/>
    <s v="anonymous"/>
    <m/>
    <m/>
    <s v="18 - 25"/>
    <x v="0"/>
    <x v="0"/>
    <x v="2"/>
    <x v="0"/>
    <x v="0"/>
    <x v="0"/>
    <x v="2"/>
    <x v="2"/>
    <x v="0"/>
    <x v="0"/>
    <x v="2"/>
    <x v="2"/>
    <x v="1"/>
    <x v="4"/>
    <x v="2"/>
    <x v="2"/>
    <x v="3"/>
    <x v="3"/>
    <x v="1"/>
    <x v="2"/>
    <x v="0"/>
    <x v="3"/>
    <x v="1"/>
    <x v="0"/>
    <x v="0"/>
    <x v="0"/>
    <x v="0"/>
    <n v="3"/>
    <n v="3"/>
    <b v="0"/>
    <b v="0"/>
    <b v="0"/>
    <b v="0"/>
    <b v="0"/>
    <n v="0"/>
    <b v="0"/>
    <b v="0"/>
    <n v="8"/>
    <b v="0"/>
    <b v="0"/>
    <b v="0"/>
    <s v="HSU Campus"/>
  </r>
  <r>
    <n v="347"/>
    <d v="2026-01-20T16:29:07"/>
    <d v="2026-01-20T16:32:34"/>
    <s v="anonymous"/>
    <m/>
    <m/>
    <s v="18 - 25"/>
    <x v="1"/>
    <x v="2"/>
    <x v="0"/>
    <x v="0"/>
    <x v="1"/>
    <x v="1"/>
    <x v="2"/>
    <x v="2"/>
    <x v="1"/>
    <x v="1"/>
    <x v="2"/>
    <x v="0"/>
    <x v="3"/>
    <x v="1"/>
    <x v="1"/>
    <x v="1"/>
    <x v="0"/>
    <x v="2"/>
    <x v="4"/>
    <x v="0"/>
    <x v="3"/>
    <x v="1"/>
    <x v="2"/>
    <x v="3"/>
    <x v="1"/>
    <x v="1"/>
    <x v="1"/>
    <n v="4"/>
    <n v="4"/>
    <b v="0"/>
    <b v="0"/>
    <b v="0"/>
    <b v="0"/>
    <b v="0"/>
    <n v="4"/>
    <b v="0"/>
    <b v="0"/>
    <n v="6"/>
    <b v="0"/>
    <b v="0"/>
    <b v="0"/>
    <s v="HSU Campus"/>
  </r>
  <r>
    <n v="351"/>
    <d v="2026-01-20T16:30:04"/>
    <d v="2026-01-20T16:31:35"/>
    <s v="anonymous"/>
    <m/>
    <m/>
    <s v="18 - 25"/>
    <x v="1"/>
    <x v="0"/>
    <x v="0"/>
    <x v="0"/>
    <x v="0"/>
    <x v="1"/>
    <x v="1"/>
    <x v="2"/>
    <x v="0"/>
    <x v="2"/>
    <x v="2"/>
    <x v="0"/>
    <x v="2"/>
    <x v="1"/>
    <x v="2"/>
    <x v="2"/>
    <x v="1"/>
    <x v="1"/>
    <x v="0"/>
    <x v="0"/>
    <x v="1"/>
    <x v="1"/>
    <x v="0"/>
    <x v="0"/>
    <x v="0"/>
    <x v="0"/>
    <x v="0"/>
    <n v="3"/>
    <n v="3"/>
    <b v="0"/>
    <b v="0"/>
    <b v="0"/>
    <b v="0"/>
    <b v="0"/>
    <n v="0"/>
    <b v="0"/>
    <b v="0"/>
    <n v="0"/>
    <b v="0"/>
    <b v="0"/>
    <b v="0"/>
    <s v="HSU Campus"/>
  </r>
  <r>
    <n v="354"/>
    <d v="2026-01-20T16:31:05"/>
    <d v="2026-01-20T16:36:50"/>
    <s v="anonymous"/>
    <m/>
    <m/>
    <s v="18 - 25"/>
    <x v="1"/>
    <x v="0"/>
    <x v="2"/>
    <x v="0"/>
    <x v="0"/>
    <x v="0"/>
    <x v="1"/>
    <x v="0"/>
    <x v="2"/>
    <x v="1"/>
    <x v="1"/>
    <x v="0"/>
    <x v="4"/>
    <x v="2"/>
    <x v="0"/>
    <x v="0"/>
    <x v="2"/>
    <x v="0"/>
    <x v="0"/>
    <x v="0"/>
    <x v="1"/>
    <x v="2"/>
    <x v="0"/>
    <x v="1"/>
    <x v="0"/>
    <x v="0"/>
    <x v="0"/>
    <n v="3"/>
    <n v="3"/>
    <b v="0"/>
    <b v="0"/>
    <b v="0"/>
    <b v="0"/>
    <b v="0"/>
    <n v="6"/>
    <b v="0"/>
    <b v="0"/>
    <n v="8"/>
    <b v="0"/>
    <b v="0"/>
    <b v="0"/>
    <s v="HSU Campus"/>
  </r>
  <r>
    <n v="356"/>
    <d v="2026-01-20T16:32:37"/>
    <d v="2026-01-20T16:36:12"/>
    <s v="anonymous"/>
    <m/>
    <m/>
    <s v="18 - 25"/>
    <x v="0"/>
    <x v="0"/>
    <x v="3"/>
    <x v="0"/>
    <x v="0"/>
    <x v="0"/>
    <x v="1"/>
    <x v="2"/>
    <x v="1"/>
    <x v="1"/>
    <x v="0"/>
    <x v="3"/>
    <x v="0"/>
    <x v="0"/>
    <x v="4"/>
    <x v="4"/>
    <x v="1"/>
    <x v="4"/>
    <x v="2"/>
    <x v="3"/>
    <x v="2"/>
    <x v="0"/>
    <x v="2"/>
    <x v="2"/>
    <x v="0"/>
    <x v="0"/>
    <x v="0"/>
    <n v="3"/>
    <n v="3"/>
    <b v="0"/>
    <b v="0"/>
    <b v="0"/>
    <b v="0"/>
    <b v="0"/>
    <n v="8"/>
    <b v="0"/>
    <b v="0"/>
    <n v="6"/>
    <b v="0"/>
    <b v="0"/>
    <b v="0"/>
    <s v="HSU Campus"/>
  </r>
  <r>
    <n v="360"/>
    <d v="2026-01-20T16:39:15"/>
    <d v="2026-01-20T16:46:39"/>
    <s v="anonymous"/>
    <m/>
    <m/>
    <s v="18 - 25"/>
    <x v="1"/>
    <x v="2"/>
    <x v="3"/>
    <x v="0"/>
    <x v="0"/>
    <x v="0"/>
    <x v="0"/>
    <x v="1"/>
    <x v="2"/>
    <x v="0"/>
    <x v="1"/>
    <x v="3"/>
    <x v="1"/>
    <x v="0"/>
    <x v="0"/>
    <x v="0"/>
    <x v="3"/>
    <x v="1"/>
    <x v="1"/>
    <x v="0"/>
    <x v="2"/>
    <x v="1"/>
    <x v="2"/>
    <x v="2"/>
    <x v="0"/>
    <x v="1"/>
    <x v="1"/>
    <n v="4"/>
    <n v="3"/>
    <b v="0"/>
    <b v="0"/>
    <b v="0"/>
    <b v="0"/>
    <b v="0"/>
    <n v="5"/>
    <b v="0"/>
    <b v="0"/>
    <n v="21"/>
    <b v="0"/>
    <b v="0"/>
    <b v="0"/>
    <s v="HSU Campus"/>
  </r>
  <r>
    <n v="362"/>
    <d v="2026-01-20T16:49:38"/>
    <d v="2026-01-20T16:53:05"/>
    <s v="anonymous"/>
    <m/>
    <m/>
    <s v="18 - 25"/>
    <x v="0"/>
    <x v="1"/>
    <x v="2"/>
    <x v="4"/>
    <x v="0"/>
    <x v="0"/>
    <x v="0"/>
    <x v="0"/>
    <x v="0"/>
    <x v="1"/>
    <x v="0"/>
    <x v="0"/>
    <x v="2"/>
    <x v="1"/>
    <x v="3"/>
    <x v="2"/>
    <x v="1"/>
    <x v="1"/>
    <x v="0"/>
    <x v="1"/>
    <x v="1"/>
    <x v="3"/>
    <x v="1"/>
    <x v="1"/>
    <x v="1"/>
    <x v="2"/>
    <x v="2"/>
    <n v="2"/>
    <n v="4"/>
    <b v="0"/>
    <b v="0"/>
    <b v="0"/>
    <b v="0"/>
    <b v="0"/>
    <n v="0"/>
    <b v="0"/>
    <b v="0"/>
    <n v="3"/>
    <b v="0"/>
    <b v="0"/>
    <b v="0"/>
    <s v="HSU Campus"/>
  </r>
  <r>
    <n v="366"/>
    <d v="2026-01-20T16:55:28"/>
    <d v="2026-01-20T17:02:01"/>
    <s v="anonymous"/>
    <m/>
    <m/>
    <s v="18 - 25"/>
    <x v="1"/>
    <x v="0"/>
    <x v="2"/>
    <x v="0"/>
    <x v="0"/>
    <x v="0"/>
    <x v="1"/>
    <x v="1"/>
    <x v="1"/>
    <x v="1"/>
    <x v="0"/>
    <x v="0"/>
    <x v="1"/>
    <x v="1"/>
    <x v="3"/>
    <x v="3"/>
    <x v="0"/>
    <x v="1"/>
    <x v="3"/>
    <x v="2"/>
    <x v="0"/>
    <x v="2"/>
    <x v="2"/>
    <x v="0"/>
    <x v="0"/>
    <x v="2"/>
    <x v="2"/>
    <n v="2"/>
    <n v="3"/>
    <b v="0"/>
    <b v="0"/>
    <b v="0"/>
    <b v="0"/>
    <b v="0"/>
    <n v="0"/>
    <b v="0"/>
    <b v="0"/>
    <n v="7"/>
    <b v="0"/>
    <b v="0"/>
    <b v="0"/>
    <s v="HSU Campus"/>
  </r>
  <r>
    <n v="371"/>
    <d v="2026-01-20T17:03:53"/>
    <d v="2026-01-20T17:10:02"/>
    <s v="anonymous"/>
    <m/>
    <m/>
    <s v="18 - 25"/>
    <x v="1"/>
    <x v="0"/>
    <x v="0"/>
    <x v="0"/>
    <x v="0"/>
    <x v="0"/>
    <x v="1"/>
    <x v="2"/>
    <x v="1"/>
    <x v="0"/>
    <x v="1"/>
    <x v="1"/>
    <x v="0"/>
    <x v="2"/>
    <x v="1"/>
    <x v="3"/>
    <x v="0"/>
    <x v="3"/>
    <x v="0"/>
    <x v="1"/>
    <x v="1"/>
    <x v="1"/>
    <x v="3"/>
    <x v="0"/>
    <x v="0"/>
    <x v="1"/>
    <x v="1"/>
    <n v="4"/>
    <n v="3"/>
    <b v="0"/>
    <b v="0"/>
    <b v="0"/>
    <b v="0"/>
    <b v="0"/>
    <n v="1"/>
    <b v="0"/>
    <b v="0"/>
    <n v="9"/>
    <b v="0"/>
    <b v="0"/>
    <b v="0"/>
    <s v="HSU Campus"/>
  </r>
  <r>
    <n v="382"/>
    <d v="2026-01-20T18:32:29"/>
    <d v="2026-01-20T18:37:00"/>
    <s v="anonymous"/>
    <m/>
    <m/>
    <s v="18 - 25"/>
    <x v="0"/>
    <x v="1"/>
    <x v="3"/>
    <x v="0"/>
    <x v="0"/>
    <x v="0"/>
    <x v="1"/>
    <x v="4"/>
    <x v="1"/>
    <x v="0"/>
    <x v="0"/>
    <x v="0"/>
    <x v="0"/>
    <x v="1"/>
    <x v="0"/>
    <x v="0"/>
    <x v="0"/>
    <x v="1"/>
    <x v="1"/>
    <x v="2"/>
    <x v="0"/>
    <x v="2"/>
    <x v="1"/>
    <x v="0"/>
    <x v="0"/>
    <x v="0"/>
    <x v="0"/>
    <n v="3"/>
    <n v="3"/>
    <b v="0"/>
    <b v="0"/>
    <b v="0"/>
    <b v="0"/>
    <b v="0"/>
    <n v="3"/>
    <b v="0"/>
    <b v="0"/>
    <n v="1"/>
    <b v="0"/>
    <b v="0"/>
    <b v="0"/>
    <s v="HSU Campus"/>
  </r>
  <r>
    <n v="388"/>
    <d v="2026-01-20T19:49:54"/>
    <d v="2026-01-20T19:53:23"/>
    <s v="anonymous"/>
    <m/>
    <m/>
    <s v="18 - 25"/>
    <x v="0"/>
    <x v="0"/>
    <x v="3"/>
    <x v="0"/>
    <x v="0"/>
    <x v="1"/>
    <x v="1"/>
    <x v="2"/>
    <x v="1"/>
    <x v="0"/>
    <x v="2"/>
    <x v="1"/>
    <x v="0"/>
    <x v="0"/>
    <x v="1"/>
    <x v="1"/>
    <x v="1"/>
    <x v="1"/>
    <x v="0"/>
    <x v="0"/>
    <x v="1"/>
    <x v="1"/>
    <x v="0"/>
    <x v="2"/>
    <x v="1"/>
    <x v="2"/>
    <x v="2"/>
    <n v="2"/>
    <n v="4"/>
    <b v="0"/>
    <b v="0"/>
    <b v="0"/>
    <b v="0"/>
    <b v="0"/>
    <n v="1"/>
    <b v="0"/>
    <b v="0"/>
    <n v="3"/>
    <b v="0"/>
    <b v="0"/>
    <b v="0"/>
    <s v="HSU Campus"/>
  </r>
  <r>
    <n v="389"/>
    <d v="2026-01-20T19:58:06"/>
    <d v="2026-01-20T20:00:45"/>
    <s v="anonymous"/>
    <m/>
    <m/>
    <s v="18 - 25"/>
    <x v="1"/>
    <x v="0"/>
    <x v="2"/>
    <x v="1"/>
    <x v="0"/>
    <x v="1"/>
    <x v="0"/>
    <x v="0"/>
    <x v="1"/>
    <x v="0"/>
    <x v="1"/>
    <x v="0"/>
    <x v="0"/>
    <x v="1"/>
    <x v="1"/>
    <x v="1"/>
    <x v="1"/>
    <x v="1"/>
    <x v="0"/>
    <x v="0"/>
    <x v="0"/>
    <x v="0"/>
    <x v="0"/>
    <x v="1"/>
    <x v="0"/>
    <x v="4"/>
    <x v="4"/>
    <n v="5"/>
    <n v="3"/>
    <b v="0"/>
    <b v="0"/>
    <b v="0"/>
    <b v="0"/>
    <b v="0"/>
    <n v="3"/>
    <b v="0"/>
    <b v="0"/>
    <n v="9"/>
    <b v="0"/>
    <b v="0"/>
    <b v="0"/>
    <s v="HSU Campus"/>
  </r>
  <r>
    <n v="403"/>
    <d v="2026-01-21T12:17:00"/>
    <d v="2026-01-21T12:26:47"/>
    <s v="anonymous"/>
    <m/>
    <m/>
    <s v="18 - 25"/>
    <x v="0"/>
    <x v="0"/>
    <x v="2"/>
    <x v="0"/>
    <x v="0"/>
    <x v="1"/>
    <x v="1"/>
    <x v="2"/>
    <x v="1"/>
    <x v="2"/>
    <x v="1"/>
    <x v="0"/>
    <x v="1"/>
    <x v="1"/>
    <x v="1"/>
    <x v="1"/>
    <x v="0"/>
    <x v="2"/>
    <x v="0"/>
    <x v="1"/>
    <x v="2"/>
    <x v="2"/>
    <x v="2"/>
    <x v="0"/>
    <x v="2"/>
    <x v="0"/>
    <x v="0"/>
    <n v="3"/>
    <n v="2"/>
    <b v="0"/>
    <b v="0"/>
    <b v="0"/>
    <b v="0"/>
    <b v="0"/>
    <n v="0"/>
    <b v="0"/>
    <b v="0"/>
    <n v="19"/>
    <b v="0"/>
    <b v="0"/>
    <b v="0"/>
    <s v="HSU Campus"/>
  </r>
  <r>
    <n v="409"/>
    <d v="2026-01-21T12:34:43"/>
    <d v="2026-01-21T12:56:22"/>
    <s v="anonymous"/>
    <m/>
    <m/>
    <s v="18 - 25"/>
    <x v="1"/>
    <x v="0"/>
    <x v="0"/>
    <x v="0"/>
    <x v="0"/>
    <x v="1"/>
    <x v="4"/>
    <x v="2"/>
    <x v="1"/>
    <x v="1"/>
    <x v="0"/>
    <x v="0"/>
    <x v="0"/>
    <x v="1"/>
    <x v="1"/>
    <x v="0"/>
    <x v="1"/>
    <x v="1"/>
    <x v="0"/>
    <x v="0"/>
    <x v="1"/>
    <x v="1"/>
    <x v="0"/>
    <x v="2"/>
    <x v="1"/>
    <x v="1"/>
    <x v="1"/>
    <n v="4"/>
    <n v="4"/>
    <b v="0"/>
    <b v="0"/>
    <b v="0"/>
    <b v="0"/>
    <b v="0"/>
    <n v="2"/>
    <b v="0"/>
    <b v="0"/>
    <n v="5"/>
    <b v="0"/>
    <b v="0"/>
    <b v="0"/>
    <s v="HSU Campus"/>
  </r>
  <r>
    <n v="410"/>
    <d v="2026-01-21T12:35:32"/>
    <d v="2026-01-21T12:40:13"/>
    <s v="anonymous"/>
    <m/>
    <m/>
    <s v="18 - 25"/>
    <x v="0"/>
    <x v="0"/>
    <x v="2"/>
    <x v="0"/>
    <x v="0"/>
    <x v="1"/>
    <x v="1"/>
    <x v="0"/>
    <x v="3"/>
    <x v="0"/>
    <x v="2"/>
    <x v="1"/>
    <x v="1"/>
    <x v="1"/>
    <x v="1"/>
    <x v="1"/>
    <x v="0"/>
    <x v="1"/>
    <x v="0"/>
    <x v="1"/>
    <x v="0"/>
    <x v="2"/>
    <x v="0"/>
    <x v="1"/>
    <x v="1"/>
    <x v="0"/>
    <x v="0"/>
    <n v="3"/>
    <n v="4"/>
    <b v="0"/>
    <b v="0"/>
    <b v="0"/>
    <b v="0"/>
    <b v="0"/>
    <n v="0"/>
    <b v="0"/>
    <b v="0"/>
    <n v="3"/>
    <b v="0"/>
    <b v="0"/>
    <b v="0"/>
    <s v="HSU Campus"/>
  </r>
  <r>
    <n v="411"/>
    <d v="2026-01-21T12:35:50"/>
    <d v="2026-01-21T12:39:11"/>
    <s v="anonymous"/>
    <m/>
    <m/>
    <s v="18 - 25"/>
    <x v="0"/>
    <x v="3"/>
    <x v="0"/>
    <x v="4"/>
    <x v="0"/>
    <x v="1"/>
    <x v="1"/>
    <x v="3"/>
    <x v="1"/>
    <x v="1"/>
    <x v="1"/>
    <x v="0"/>
    <x v="0"/>
    <x v="1"/>
    <x v="0"/>
    <x v="0"/>
    <x v="1"/>
    <x v="1"/>
    <x v="0"/>
    <x v="0"/>
    <x v="1"/>
    <x v="1"/>
    <x v="0"/>
    <x v="1"/>
    <x v="1"/>
    <x v="1"/>
    <x v="1"/>
    <n v="4"/>
    <n v="4"/>
    <b v="0"/>
    <b v="0"/>
    <b v="0"/>
    <b v="0"/>
    <b v="0"/>
    <n v="3"/>
    <b v="0"/>
    <b v="0"/>
    <n v="0"/>
    <b v="0"/>
    <b v="0"/>
    <b v="0"/>
    <s v="HSU Campus"/>
  </r>
  <r>
    <n v="412"/>
    <d v="2026-01-21T12:36:22"/>
    <d v="2026-01-21T12:38:47"/>
    <s v="anonymous"/>
    <m/>
    <m/>
    <s v="18 - 25"/>
    <x v="0"/>
    <x v="2"/>
    <x v="2"/>
    <x v="5"/>
    <x v="1"/>
    <x v="0"/>
    <x v="1"/>
    <x v="2"/>
    <x v="3"/>
    <x v="0"/>
    <x v="0"/>
    <x v="1"/>
    <x v="2"/>
    <x v="1"/>
    <x v="1"/>
    <x v="1"/>
    <x v="1"/>
    <x v="1"/>
    <x v="1"/>
    <x v="1"/>
    <x v="1"/>
    <x v="1"/>
    <x v="1"/>
    <x v="2"/>
    <x v="1"/>
    <x v="0"/>
    <x v="0"/>
    <n v="3"/>
    <n v="4"/>
    <b v="0"/>
    <b v="0"/>
    <b v="0"/>
    <b v="0"/>
    <b v="0"/>
    <n v="0"/>
    <b v="0"/>
    <b v="0"/>
    <n v="7"/>
    <b v="0"/>
    <b v="0"/>
    <b v="0"/>
    <s v="HSU Campus"/>
  </r>
  <r>
    <n v="413"/>
    <d v="2026-01-21T12:37:13"/>
    <d v="2026-01-21T12:40:49"/>
    <s v="anonymous"/>
    <m/>
    <m/>
    <s v="18 - 25"/>
    <x v="0"/>
    <x v="0"/>
    <x v="2"/>
    <x v="0"/>
    <x v="0"/>
    <x v="0"/>
    <x v="1"/>
    <x v="0"/>
    <x v="0"/>
    <x v="2"/>
    <x v="0"/>
    <x v="0"/>
    <x v="2"/>
    <x v="2"/>
    <x v="1"/>
    <x v="1"/>
    <x v="0"/>
    <x v="1"/>
    <x v="1"/>
    <x v="1"/>
    <x v="1"/>
    <x v="3"/>
    <x v="2"/>
    <x v="1"/>
    <x v="0"/>
    <x v="2"/>
    <x v="2"/>
    <n v="2"/>
    <n v="3"/>
    <b v="0"/>
    <b v="0"/>
    <b v="0"/>
    <b v="0"/>
    <b v="0"/>
    <n v="0"/>
    <b v="0"/>
    <b v="0"/>
    <n v="5"/>
    <b v="0"/>
    <b v="0"/>
    <b v="0"/>
    <s v="HSU Campus"/>
  </r>
  <r>
    <n v="418"/>
    <d v="2026-01-21T13:51:54"/>
    <d v="2026-01-21T13:53:13"/>
    <s v="anonymous"/>
    <m/>
    <m/>
    <s v="18 - 25"/>
    <x v="0"/>
    <x v="0"/>
    <x v="3"/>
    <x v="0"/>
    <x v="0"/>
    <x v="1"/>
    <x v="0"/>
    <x v="0"/>
    <x v="0"/>
    <x v="0"/>
    <x v="3"/>
    <x v="3"/>
    <x v="2"/>
    <x v="1"/>
    <x v="0"/>
    <x v="1"/>
    <x v="2"/>
    <x v="0"/>
    <x v="2"/>
    <x v="3"/>
    <x v="4"/>
    <x v="0"/>
    <x v="0"/>
    <x v="1"/>
    <x v="0"/>
    <x v="0"/>
    <x v="0"/>
    <n v="3"/>
    <n v="3"/>
    <b v="0"/>
    <b v="0"/>
    <b v="0"/>
    <b v="0"/>
    <b v="0"/>
    <n v="9"/>
    <b v="0"/>
    <b v="0"/>
    <n v="4"/>
    <b v="0"/>
    <b v="0"/>
    <b v="0"/>
    <s v="HSU Campus"/>
  </r>
  <r>
    <n v="419"/>
    <d v="2026-01-21T13:52:09"/>
    <d v="2026-01-21T13:56:10"/>
    <s v="anonymous"/>
    <m/>
    <m/>
    <s v="18 - 25"/>
    <x v="0"/>
    <x v="0"/>
    <x v="0"/>
    <x v="0"/>
    <x v="0"/>
    <x v="0"/>
    <x v="0"/>
    <x v="0"/>
    <x v="0"/>
    <x v="0"/>
    <x v="2"/>
    <x v="2"/>
    <x v="2"/>
    <x v="2"/>
    <x v="3"/>
    <x v="2"/>
    <x v="1"/>
    <x v="1"/>
    <x v="0"/>
    <x v="0"/>
    <x v="2"/>
    <x v="2"/>
    <x v="2"/>
    <x v="1"/>
    <x v="1"/>
    <x v="0"/>
    <x v="0"/>
    <n v="3"/>
    <n v="4"/>
    <b v="0"/>
    <b v="0"/>
    <b v="0"/>
    <b v="0"/>
    <b v="0"/>
    <n v="0"/>
    <b v="0"/>
    <b v="0"/>
    <n v="2"/>
    <b v="0"/>
    <b v="0"/>
    <b v="0"/>
    <s v="HSU Campus"/>
  </r>
  <r>
    <n v="420"/>
    <d v="2026-01-21T13:52:11"/>
    <d v="2026-01-21T13:55:45"/>
    <s v="anonymous"/>
    <m/>
    <m/>
    <s v="18 - 25"/>
    <x v="0"/>
    <x v="0"/>
    <x v="0"/>
    <x v="0"/>
    <x v="0"/>
    <x v="0"/>
    <x v="0"/>
    <x v="2"/>
    <x v="1"/>
    <x v="1"/>
    <x v="0"/>
    <x v="0"/>
    <x v="1"/>
    <x v="1"/>
    <x v="1"/>
    <x v="1"/>
    <x v="1"/>
    <x v="1"/>
    <x v="0"/>
    <x v="0"/>
    <x v="0"/>
    <x v="3"/>
    <x v="0"/>
    <x v="1"/>
    <x v="2"/>
    <x v="2"/>
    <x v="2"/>
    <n v="2"/>
    <n v="2"/>
    <b v="0"/>
    <b v="0"/>
    <b v="0"/>
    <b v="0"/>
    <b v="0"/>
    <n v="0"/>
    <b v="0"/>
    <b v="0"/>
    <n v="7"/>
    <b v="0"/>
    <b v="0"/>
    <b v="0"/>
    <s v="HSU Campus"/>
  </r>
  <r>
    <n v="425"/>
    <d v="2026-01-21T13:54:08"/>
    <d v="2026-01-21T13:58:35"/>
    <s v="anonymous"/>
    <m/>
    <m/>
    <s v="18 - 25"/>
    <x v="1"/>
    <x v="0"/>
    <x v="3"/>
    <x v="0"/>
    <x v="0"/>
    <x v="1"/>
    <x v="0"/>
    <x v="0"/>
    <x v="1"/>
    <x v="1"/>
    <x v="3"/>
    <x v="1"/>
    <x v="3"/>
    <x v="0"/>
    <x v="0"/>
    <x v="0"/>
    <x v="1"/>
    <x v="0"/>
    <x v="2"/>
    <x v="3"/>
    <x v="1"/>
    <x v="0"/>
    <x v="3"/>
    <x v="1"/>
    <x v="1"/>
    <x v="4"/>
    <x v="1"/>
    <n v="4"/>
    <n v="4"/>
    <b v="0"/>
    <b v="0"/>
    <b v="0"/>
    <b v="0"/>
    <b v="0"/>
    <n v="11"/>
    <b v="0"/>
    <b v="0"/>
    <n v="3"/>
    <b v="0"/>
    <b v="0"/>
    <b v="0"/>
    <s v="HSU Campus"/>
  </r>
  <r>
    <n v="426"/>
    <d v="2026-01-21T13:54:24"/>
    <d v="2026-01-21T13:56:42"/>
    <s v="anonymous"/>
    <m/>
    <m/>
    <s v="18 - 25"/>
    <x v="1"/>
    <x v="0"/>
    <x v="3"/>
    <x v="4"/>
    <x v="1"/>
    <x v="1"/>
    <x v="1"/>
    <x v="2"/>
    <x v="1"/>
    <x v="1"/>
    <x v="2"/>
    <x v="2"/>
    <x v="2"/>
    <x v="2"/>
    <x v="2"/>
    <x v="1"/>
    <x v="0"/>
    <x v="2"/>
    <x v="0"/>
    <x v="0"/>
    <x v="2"/>
    <x v="2"/>
    <x v="2"/>
    <x v="0"/>
    <x v="2"/>
    <x v="2"/>
    <x v="2"/>
    <n v="2"/>
    <n v="2"/>
    <b v="0"/>
    <b v="0"/>
    <b v="0"/>
    <b v="0"/>
    <b v="0"/>
    <n v="0"/>
    <b v="0"/>
    <b v="0"/>
    <n v="0"/>
    <b v="0"/>
    <b v="0"/>
    <b v="0"/>
    <s v="HSU Campus"/>
  </r>
  <r>
    <n v="434"/>
    <d v="2026-01-21T13:59:22"/>
    <d v="2026-01-21T14:02:47"/>
    <s v="anonymous"/>
    <m/>
    <m/>
    <s v="18 - 25"/>
    <x v="1"/>
    <x v="2"/>
    <x v="0"/>
    <x v="0"/>
    <x v="0"/>
    <x v="1"/>
    <x v="2"/>
    <x v="2"/>
    <x v="0"/>
    <x v="2"/>
    <x v="2"/>
    <x v="0"/>
    <x v="2"/>
    <x v="1"/>
    <x v="1"/>
    <x v="0"/>
    <x v="1"/>
    <x v="1"/>
    <x v="2"/>
    <x v="1"/>
    <x v="0"/>
    <x v="2"/>
    <x v="0"/>
    <x v="0"/>
    <x v="0"/>
    <x v="2"/>
    <x v="2"/>
    <n v="2"/>
    <n v="3"/>
    <b v="0"/>
    <b v="0"/>
    <b v="0"/>
    <b v="0"/>
    <b v="0"/>
    <n v="2"/>
    <b v="0"/>
    <b v="0"/>
    <n v="14"/>
    <b v="0"/>
    <b v="0"/>
    <b v="0"/>
    <s v="HSU Campus"/>
  </r>
  <r>
    <n v="435"/>
    <d v="2026-01-21T13:59:42"/>
    <d v="2026-01-21T14:02:38"/>
    <s v="anonymous"/>
    <m/>
    <m/>
    <s v="18 - 25"/>
    <x v="0"/>
    <x v="0"/>
    <x v="0"/>
    <x v="0"/>
    <x v="0"/>
    <x v="1"/>
    <x v="1"/>
    <x v="0"/>
    <x v="1"/>
    <x v="1"/>
    <x v="0"/>
    <x v="0"/>
    <x v="0"/>
    <x v="1"/>
    <x v="1"/>
    <x v="1"/>
    <x v="1"/>
    <x v="1"/>
    <x v="0"/>
    <x v="0"/>
    <x v="2"/>
    <x v="1"/>
    <x v="0"/>
    <x v="0"/>
    <x v="1"/>
    <x v="0"/>
    <x v="0"/>
    <n v="3"/>
    <n v="4"/>
    <b v="0"/>
    <b v="0"/>
    <b v="0"/>
    <b v="0"/>
    <b v="0"/>
    <n v="0"/>
    <b v="0"/>
    <b v="0"/>
    <n v="17"/>
    <b v="0"/>
    <b v="0"/>
    <b v="0"/>
    <s v="HSU Campus"/>
  </r>
  <r>
    <n v="442"/>
    <d v="2026-01-21T14:03:39"/>
    <d v="2026-01-21T14:06:54"/>
    <s v="anonymous"/>
    <m/>
    <m/>
    <s v="18 - 25"/>
    <x v="0"/>
    <x v="0"/>
    <x v="0"/>
    <x v="1"/>
    <x v="1"/>
    <x v="1"/>
    <x v="1"/>
    <x v="2"/>
    <x v="1"/>
    <x v="0"/>
    <x v="1"/>
    <x v="0"/>
    <x v="1"/>
    <x v="4"/>
    <x v="1"/>
    <x v="1"/>
    <x v="0"/>
    <x v="2"/>
    <x v="0"/>
    <x v="1"/>
    <x v="0"/>
    <x v="3"/>
    <x v="2"/>
    <x v="2"/>
    <x v="2"/>
    <x v="2"/>
    <x v="2"/>
    <n v="2"/>
    <n v="2"/>
    <b v="0"/>
    <b v="0"/>
    <b v="0"/>
    <b v="0"/>
    <b v="0"/>
    <n v="0"/>
    <b v="0"/>
    <b v="0"/>
    <n v="1"/>
    <b v="0"/>
    <b v="0"/>
    <b v="0"/>
    <s v="HSU Campus"/>
  </r>
  <r>
    <n v="455"/>
    <d v="2026-01-21T14:20:28"/>
    <d v="2026-01-21T14:23:20"/>
    <s v="anonymous"/>
    <m/>
    <m/>
    <s v="18 - 25"/>
    <x v="1"/>
    <x v="0"/>
    <x v="1"/>
    <x v="0"/>
    <x v="0"/>
    <x v="1"/>
    <x v="0"/>
    <x v="0"/>
    <x v="0"/>
    <x v="1"/>
    <x v="1"/>
    <x v="0"/>
    <x v="1"/>
    <x v="4"/>
    <x v="1"/>
    <x v="1"/>
    <x v="1"/>
    <x v="1"/>
    <x v="0"/>
    <x v="0"/>
    <x v="2"/>
    <x v="3"/>
    <x v="1"/>
    <x v="1"/>
    <x v="0"/>
    <x v="2"/>
    <x v="2"/>
    <n v="2"/>
    <n v="3"/>
    <b v="0"/>
    <b v="0"/>
    <b v="0"/>
    <b v="0"/>
    <b v="0"/>
    <n v="0"/>
    <b v="0"/>
    <b v="0"/>
    <n v="5"/>
    <b v="0"/>
    <b v="0"/>
    <b v="0"/>
    <s v="HSU Campus"/>
  </r>
  <r>
    <n v="456"/>
    <d v="2026-01-21T14:20:29"/>
    <d v="2026-01-21T14:24:13"/>
    <s v="anonymous"/>
    <m/>
    <m/>
    <s v="18 - 25"/>
    <x v="1"/>
    <x v="0"/>
    <x v="3"/>
    <x v="0"/>
    <x v="1"/>
    <x v="1"/>
    <x v="0"/>
    <x v="2"/>
    <x v="1"/>
    <x v="0"/>
    <x v="1"/>
    <x v="1"/>
    <x v="0"/>
    <x v="1"/>
    <x v="1"/>
    <x v="1"/>
    <x v="0"/>
    <x v="2"/>
    <x v="1"/>
    <x v="1"/>
    <x v="2"/>
    <x v="1"/>
    <x v="0"/>
    <x v="0"/>
    <x v="0"/>
    <x v="1"/>
    <x v="1"/>
    <n v="4"/>
    <n v="3"/>
    <b v="0"/>
    <b v="0"/>
    <b v="0"/>
    <b v="0"/>
    <b v="0"/>
    <n v="0"/>
    <b v="0"/>
    <b v="0"/>
    <n v="0"/>
    <b v="0"/>
    <b v="0"/>
    <b v="0"/>
    <s v="HSU Campus"/>
  </r>
  <r>
    <n v="461"/>
    <d v="2026-01-21T14:24:59"/>
    <d v="2026-01-21T14:26:52"/>
    <s v="anonymous"/>
    <m/>
    <m/>
    <s v="18 - 25"/>
    <x v="1"/>
    <x v="0"/>
    <x v="2"/>
    <x v="3"/>
    <x v="0"/>
    <x v="0"/>
    <x v="0"/>
    <x v="0"/>
    <x v="0"/>
    <x v="1"/>
    <x v="0"/>
    <x v="2"/>
    <x v="2"/>
    <x v="1"/>
    <x v="2"/>
    <x v="3"/>
    <x v="2"/>
    <x v="2"/>
    <x v="2"/>
    <x v="3"/>
    <x v="0"/>
    <x v="2"/>
    <x v="3"/>
    <x v="0"/>
    <x v="0"/>
    <x v="0"/>
    <x v="0"/>
    <n v="3"/>
    <n v="3"/>
    <b v="0"/>
    <b v="0"/>
    <b v="0"/>
    <b v="0"/>
    <b v="0"/>
    <n v="4"/>
    <b v="0"/>
    <b v="0"/>
    <n v="3"/>
    <b v="0"/>
    <b v="0"/>
    <b v="0"/>
    <s v="HSU Campus"/>
  </r>
  <r>
    <n v="462"/>
    <d v="2026-01-21T14:25:00"/>
    <d v="2026-01-21T14:27:42"/>
    <s v="anonymous"/>
    <m/>
    <m/>
    <s v="18 - 25"/>
    <x v="0"/>
    <x v="0"/>
    <x v="0"/>
    <x v="7"/>
    <x v="0"/>
    <x v="0"/>
    <x v="0"/>
    <x v="1"/>
    <x v="1"/>
    <x v="1"/>
    <x v="0"/>
    <x v="0"/>
    <x v="2"/>
    <x v="0"/>
    <x v="0"/>
    <x v="0"/>
    <x v="1"/>
    <x v="1"/>
    <x v="2"/>
    <x v="0"/>
    <x v="1"/>
    <x v="1"/>
    <x v="0"/>
    <x v="0"/>
    <x v="0"/>
    <x v="1"/>
    <x v="1"/>
    <n v="4"/>
    <n v="3"/>
    <b v="0"/>
    <b v="0"/>
    <b v="0"/>
    <b v="0"/>
    <b v="0"/>
    <n v="4"/>
    <b v="0"/>
    <b v="0"/>
    <n v="2"/>
    <b v="0"/>
    <b v="0"/>
    <b v="0"/>
    <s v="HSU Campus"/>
  </r>
  <r>
    <n v="463"/>
    <d v="2026-01-21T14:25:01"/>
    <d v="2026-01-21T14:27:17"/>
    <s v="anonymous"/>
    <m/>
    <m/>
    <s v="18 - 25"/>
    <x v="0"/>
    <x v="0"/>
    <x v="3"/>
    <x v="5"/>
    <x v="0"/>
    <x v="0"/>
    <x v="4"/>
    <x v="1"/>
    <x v="2"/>
    <x v="1"/>
    <x v="0"/>
    <x v="0"/>
    <x v="2"/>
    <x v="0"/>
    <x v="0"/>
    <x v="1"/>
    <x v="1"/>
    <x v="1"/>
    <x v="0"/>
    <x v="3"/>
    <x v="1"/>
    <x v="1"/>
    <x v="2"/>
    <x v="0"/>
    <x v="1"/>
    <x v="4"/>
    <x v="1"/>
    <n v="4"/>
    <n v="4"/>
    <b v="0"/>
    <b v="0"/>
    <b v="0"/>
    <b v="0"/>
    <b v="0"/>
    <n v="6"/>
    <b v="0"/>
    <b v="0"/>
    <n v="5"/>
    <b v="0"/>
    <b v="0"/>
    <b v="0"/>
    <s v="HSU Campus"/>
  </r>
  <r>
    <n v="469"/>
    <d v="2026-01-21T14:28:02"/>
    <d v="2026-01-21T14:30:26"/>
    <s v="anonymous"/>
    <m/>
    <m/>
    <s v="18 - 25"/>
    <x v="0"/>
    <x v="0"/>
    <x v="3"/>
    <x v="0"/>
    <x v="1"/>
    <x v="1"/>
    <x v="0"/>
    <x v="1"/>
    <x v="3"/>
    <x v="1"/>
    <x v="2"/>
    <x v="0"/>
    <x v="1"/>
    <x v="4"/>
    <x v="1"/>
    <x v="1"/>
    <x v="1"/>
    <x v="1"/>
    <x v="2"/>
    <x v="3"/>
    <x v="1"/>
    <x v="1"/>
    <x v="0"/>
    <x v="1"/>
    <x v="2"/>
    <x v="0"/>
    <x v="0"/>
    <n v="3"/>
    <n v="2"/>
    <b v="0"/>
    <b v="0"/>
    <b v="0"/>
    <b v="0"/>
    <b v="0"/>
    <n v="2"/>
    <b v="0"/>
    <b v="0"/>
    <n v="4"/>
    <b v="0"/>
    <b v="0"/>
    <b v="0"/>
    <s v="HSU Campus"/>
  </r>
  <r>
    <n v="479"/>
    <d v="2026-01-21T15:28:32"/>
    <d v="2026-01-21T15:31:39"/>
    <s v="anonymous"/>
    <m/>
    <m/>
    <s v="18 - 25"/>
    <x v="0"/>
    <x v="0"/>
    <x v="5"/>
    <x v="1"/>
    <x v="0"/>
    <x v="0"/>
    <x v="1"/>
    <x v="0"/>
    <x v="2"/>
    <x v="0"/>
    <x v="0"/>
    <x v="0"/>
    <x v="2"/>
    <x v="1"/>
    <x v="0"/>
    <x v="1"/>
    <x v="0"/>
    <x v="1"/>
    <x v="1"/>
    <x v="2"/>
    <x v="0"/>
    <x v="2"/>
    <x v="2"/>
    <x v="0"/>
    <x v="1"/>
    <x v="2"/>
    <x v="2"/>
    <n v="2"/>
    <n v="4"/>
    <b v="0"/>
    <b v="0"/>
    <b v="0"/>
    <b v="0"/>
    <b v="0"/>
    <n v="2"/>
    <b v="0"/>
    <b v="0"/>
    <n v="13"/>
    <b v="0"/>
    <b v="0"/>
    <b v="0"/>
    <s v="HSU Campus"/>
  </r>
  <r>
    <n v="481"/>
    <d v="2026-01-21T15:29:47"/>
    <d v="2026-01-21T15:32:19"/>
    <s v="anonymous"/>
    <m/>
    <m/>
    <s v="18 - 25"/>
    <x v="1"/>
    <x v="0"/>
    <x v="1"/>
    <x v="5"/>
    <x v="0"/>
    <x v="1"/>
    <x v="1"/>
    <x v="0"/>
    <x v="1"/>
    <x v="1"/>
    <x v="2"/>
    <x v="2"/>
    <x v="1"/>
    <x v="4"/>
    <x v="2"/>
    <x v="2"/>
    <x v="0"/>
    <x v="1"/>
    <x v="2"/>
    <x v="2"/>
    <x v="0"/>
    <x v="3"/>
    <x v="0"/>
    <x v="0"/>
    <x v="4"/>
    <x v="2"/>
    <x v="2"/>
    <n v="2"/>
    <n v="1"/>
    <b v="0"/>
    <b v="0"/>
    <b v="0"/>
    <b v="0"/>
    <b v="0"/>
    <n v="2"/>
    <b v="0"/>
    <b v="0"/>
    <n v="11"/>
    <b v="0"/>
    <b v="0"/>
    <b v="0"/>
    <s v="HSU Campus"/>
  </r>
  <r>
    <n v="500"/>
    <d v="2026-01-27T17:19:28"/>
    <d v="2026-01-27T17:23:56"/>
    <s v="anonymous"/>
    <m/>
    <m/>
    <s v="18 - 25"/>
    <x v="1"/>
    <x v="2"/>
    <x v="7"/>
    <x v="5"/>
    <x v="0"/>
    <x v="0"/>
    <x v="2"/>
    <x v="2"/>
    <x v="0"/>
    <x v="0"/>
    <x v="2"/>
    <x v="1"/>
    <x v="1"/>
    <x v="1"/>
    <x v="1"/>
    <x v="1"/>
    <x v="2"/>
    <x v="0"/>
    <x v="2"/>
    <x v="1"/>
    <x v="2"/>
    <x v="2"/>
    <x v="0"/>
    <x v="4"/>
    <x v="2"/>
    <x v="0"/>
    <x v="0"/>
    <n v="3"/>
    <n v="2"/>
    <b v="0"/>
    <b v="0"/>
    <b v="0"/>
    <b v="0"/>
    <b v="0"/>
    <n v="4"/>
    <b v="0"/>
    <b v="0"/>
    <n v="20"/>
    <b v="0"/>
    <b v="0"/>
    <b v="0"/>
    <s v="HSU Campus"/>
  </r>
  <r>
    <n v="501"/>
    <d v="2026-01-27T17:19:29"/>
    <d v="2026-01-27T17:22:52"/>
    <s v="anonymous"/>
    <m/>
    <m/>
    <s v="18 - 25"/>
    <x v="0"/>
    <x v="2"/>
    <x v="3"/>
    <x v="4"/>
    <x v="0"/>
    <x v="0"/>
    <x v="4"/>
    <x v="1"/>
    <x v="2"/>
    <x v="1"/>
    <x v="0"/>
    <x v="0"/>
    <x v="2"/>
    <x v="1"/>
    <x v="0"/>
    <x v="0"/>
    <x v="1"/>
    <x v="1"/>
    <x v="2"/>
    <x v="3"/>
    <x v="4"/>
    <x v="0"/>
    <x v="3"/>
    <x v="1"/>
    <x v="0"/>
    <x v="1"/>
    <x v="1"/>
    <n v="4"/>
    <n v="3"/>
    <b v="0"/>
    <b v="0"/>
    <b v="0"/>
    <b v="0"/>
    <b v="0"/>
    <n v="9"/>
    <b v="0"/>
    <b v="0"/>
    <n v="0"/>
    <b v="0"/>
    <b v="0"/>
    <b v="0"/>
    <s v="HSU Campus"/>
  </r>
  <r>
    <n v="511"/>
    <d v="2026-01-27T17:20:16"/>
    <d v="2026-01-27T17:29:30"/>
    <s v="anonymous"/>
    <m/>
    <m/>
    <s v="18 - 25"/>
    <x v="1"/>
    <x v="1"/>
    <x v="3"/>
    <x v="4"/>
    <x v="0"/>
    <x v="0"/>
    <x v="1"/>
    <x v="0"/>
    <x v="0"/>
    <x v="0"/>
    <x v="1"/>
    <x v="4"/>
    <x v="0"/>
    <x v="1"/>
    <x v="0"/>
    <x v="0"/>
    <x v="1"/>
    <x v="1"/>
    <x v="2"/>
    <x v="0"/>
    <x v="1"/>
    <x v="0"/>
    <x v="3"/>
    <x v="1"/>
    <x v="3"/>
    <x v="1"/>
    <x v="4"/>
    <n v="5"/>
    <n v="5"/>
    <b v="0"/>
    <b v="0"/>
    <b v="0"/>
    <b v="0"/>
    <b v="0"/>
    <n v="8"/>
    <b v="0"/>
    <b v="0"/>
    <n v="0"/>
    <b v="0"/>
    <b v="0"/>
    <b v="0"/>
    <s v="HSU Campus"/>
  </r>
  <r>
    <n v="532"/>
    <d v="2026-01-27T17:21:35"/>
    <d v="2026-01-27T17:38:25"/>
    <s v="anonymous"/>
    <m/>
    <m/>
    <s v="18 - 25"/>
    <x v="0"/>
    <x v="0"/>
    <x v="3"/>
    <x v="4"/>
    <x v="0"/>
    <x v="1"/>
    <x v="0"/>
    <x v="2"/>
    <x v="3"/>
    <x v="0"/>
    <x v="0"/>
    <x v="3"/>
    <x v="1"/>
    <x v="2"/>
    <x v="1"/>
    <x v="1"/>
    <x v="2"/>
    <x v="1"/>
    <x v="2"/>
    <x v="1"/>
    <x v="0"/>
    <x v="3"/>
    <x v="0"/>
    <x v="1"/>
    <x v="4"/>
    <x v="2"/>
    <x v="2"/>
    <n v="2"/>
    <n v="1"/>
    <b v="0"/>
    <b v="0"/>
    <b v="0"/>
    <b v="0"/>
    <b v="0"/>
    <n v="4"/>
    <b v="0"/>
    <b v="0"/>
    <n v="10"/>
    <b v="0"/>
    <b v="0"/>
    <b v="0"/>
    <s v="HSU Campus"/>
  </r>
  <r>
    <n v="534"/>
    <d v="2026-01-27T17:22:02"/>
    <d v="2026-01-27T17:33:04"/>
    <s v="anonymous"/>
    <m/>
    <m/>
    <s v="18 - 25"/>
    <x v="0"/>
    <x v="0"/>
    <x v="3"/>
    <x v="4"/>
    <x v="0"/>
    <x v="0"/>
    <x v="0"/>
    <x v="0"/>
    <x v="1"/>
    <x v="1"/>
    <x v="0"/>
    <x v="3"/>
    <x v="1"/>
    <x v="1"/>
    <x v="0"/>
    <x v="0"/>
    <x v="1"/>
    <x v="0"/>
    <x v="2"/>
    <x v="0"/>
    <x v="0"/>
    <x v="1"/>
    <x v="3"/>
    <x v="4"/>
    <x v="0"/>
    <x v="1"/>
    <x v="1"/>
    <n v="4"/>
    <n v="3"/>
    <b v="0"/>
    <b v="0"/>
    <b v="0"/>
    <b v="0"/>
    <b v="0"/>
    <n v="7"/>
    <b v="0"/>
    <b v="0"/>
    <n v="5"/>
    <b v="0"/>
    <b v="0"/>
    <b v="0"/>
    <s v="HSU Campus"/>
  </r>
  <r>
    <n v="537"/>
    <d v="2026-01-27T17:22:37"/>
    <d v="2026-01-27T17:30:56"/>
    <s v="anonymous"/>
    <m/>
    <m/>
    <s v="18 - 25"/>
    <x v="0"/>
    <x v="1"/>
    <x v="2"/>
    <x v="0"/>
    <x v="0"/>
    <x v="0"/>
    <x v="0"/>
    <x v="2"/>
    <x v="1"/>
    <x v="1"/>
    <x v="2"/>
    <x v="0"/>
    <x v="0"/>
    <x v="0"/>
    <x v="1"/>
    <x v="1"/>
    <x v="1"/>
    <x v="1"/>
    <x v="2"/>
    <x v="0"/>
    <x v="1"/>
    <x v="2"/>
    <x v="0"/>
    <x v="2"/>
    <x v="1"/>
    <x v="1"/>
    <x v="1"/>
    <n v="4"/>
    <n v="4"/>
    <b v="0"/>
    <b v="0"/>
    <b v="0"/>
    <b v="0"/>
    <b v="0"/>
    <n v="2"/>
    <b v="0"/>
    <b v="0"/>
    <n v="2"/>
    <b v="0"/>
    <b v="0"/>
    <b v="0"/>
    <s v="Prolific"/>
  </r>
  <r>
    <n v="545"/>
    <d v="2026-01-27T17:25:24"/>
    <d v="2026-01-27T17:38:36"/>
    <s v="anonymous"/>
    <m/>
    <m/>
    <s v="18 - 25"/>
    <x v="1"/>
    <x v="1"/>
    <x v="0"/>
    <x v="4"/>
    <x v="0"/>
    <x v="0"/>
    <x v="2"/>
    <x v="3"/>
    <x v="1"/>
    <x v="0"/>
    <x v="1"/>
    <x v="0"/>
    <x v="3"/>
    <x v="0"/>
    <x v="1"/>
    <x v="1"/>
    <x v="2"/>
    <x v="1"/>
    <x v="2"/>
    <x v="3"/>
    <x v="2"/>
    <x v="1"/>
    <x v="3"/>
    <x v="1"/>
    <x v="1"/>
    <x v="4"/>
    <x v="1"/>
    <n v="4"/>
    <n v="4"/>
    <b v="0"/>
    <b v="0"/>
    <b v="0"/>
    <b v="0"/>
    <b v="0"/>
    <n v="8"/>
    <b v="0"/>
    <b v="0"/>
    <n v="8"/>
    <b v="0"/>
    <b v="0"/>
    <b v="0"/>
    <s v="Prolific"/>
  </r>
  <r>
    <n v="548"/>
    <d v="2026-01-27T17:25:48"/>
    <d v="2026-01-27T17:30:11"/>
    <s v="anonymous"/>
    <m/>
    <m/>
    <s v="18 - 25"/>
    <x v="1"/>
    <x v="2"/>
    <x v="1"/>
    <x v="3"/>
    <x v="0"/>
    <x v="0"/>
    <x v="0"/>
    <x v="1"/>
    <x v="2"/>
    <x v="1"/>
    <x v="0"/>
    <x v="3"/>
    <x v="0"/>
    <x v="0"/>
    <x v="0"/>
    <x v="1"/>
    <x v="1"/>
    <x v="1"/>
    <x v="0"/>
    <x v="3"/>
    <x v="2"/>
    <x v="0"/>
    <x v="3"/>
    <x v="1"/>
    <x v="0"/>
    <x v="1"/>
    <x v="1"/>
    <n v="4"/>
    <n v="3"/>
    <b v="0"/>
    <b v="0"/>
    <b v="0"/>
    <b v="0"/>
    <b v="0"/>
    <n v="7"/>
    <b v="0"/>
    <b v="0"/>
    <n v="4"/>
    <b v="0"/>
    <b v="0"/>
    <b v="0"/>
    <s v="Prolific"/>
  </r>
  <r>
    <n v="549"/>
    <d v="2026-01-27T17:25:52"/>
    <d v="2026-01-27T17:34:39"/>
    <s v="anonymous"/>
    <m/>
    <m/>
    <s v="18 - 25"/>
    <x v="0"/>
    <x v="0"/>
    <x v="5"/>
    <x v="5"/>
    <x v="1"/>
    <x v="1"/>
    <x v="2"/>
    <x v="3"/>
    <x v="3"/>
    <x v="0"/>
    <x v="1"/>
    <x v="1"/>
    <x v="2"/>
    <x v="1"/>
    <x v="1"/>
    <x v="0"/>
    <x v="1"/>
    <x v="0"/>
    <x v="2"/>
    <x v="1"/>
    <x v="2"/>
    <x v="2"/>
    <x v="0"/>
    <x v="1"/>
    <x v="1"/>
    <x v="0"/>
    <x v="0"/>
    <n v="3"/>
    <n v="4"/>
    <b v="0"/>
    <b v="0"/>
    <b v="0"/>
    <b v="0"/>
    <b v="0"/>
    <n v="4"/>
    <b v="0"/>
    <b v="0"/>
    <n v="2"/>
    <b v="0"/>
    <b v="0"/>
    <b v="0"/>
    <s v="Prolific"/>
  </r>
  <r>
    <n v="550"/>
    <d v="2026-01-27T17:25:56"/>
    <d v="2026-01-27T17:30:38"/>
    <s v="anonymous"/>
    <m/>
    <m/>
    <s v="18 - 25"/>
    <x v="0"/>
    <x v="0"/>
    <x v="3"/>
    <x v="4"/>
    <x v="0"/>
    <x v="1"/>
    <x v="0"/>
    <x v="4"/>
    <x v="0"/>
    <x v="1"/>
    <x v="1"/>
    <x v="0"/>
    <x v="1"/>
    <x v="1"/>
    <x v="0"/>
    <x v="0"/>
    <x v="2"/>
    <x v="0"/>
    <x v="0"/>
    <x v="1"/>
    <x v="2"/>
    <x v="2"/>
    <x v="0"/>
    <x v="1"/>
    <x v="0"/>
    <x v="0"/>
    <x v="0"/>
    <n v="3"/>
    <n v="3"/>
    <b v="0"/>
    <b v="0"/>
    <b v="0"/>
    <b v="0"/>
    <b v="0"/>
    <n v="5"/>
    <b v="0"/>
    <b v="0"/>
    <n v="20"/>
    <b v="0"/>
    <b v="0"/>
    <b v="0"/>
    <s v="Prolific"/>
  </r>
  <r>
    <n v="551"/>
    <d v="2026-01-27T17:25:57"/>
    <d v="2026-01-27T17:30:41"/>
    <s v="anonymous"/>
    <m/>
    <m/>
    <s v="18 - 25"/>
    <x v="0"/>
    <x v="0"/>
    <x v="5"/>
    <x v="0"/>
    <x v="0"/>
    <x v="0"/>
    <x v="4"/>
    <x v="0"/>
    <x v="1"/>
    <x v="3"/>
    <x v="0"/>
    <x v="3"/>
    <x v="3"/>
    <x v="0"/>
    <x v="0"/>
    <x v="0"/>
    <x v="1"/>
    <x v="0"/>
    <x v="0"/>
    <x v="3"/>
    <x v="2"/>
    <x v="1"/>
    <x v="3"/>
    <x v="1"/>
    <x v="3"/>
    <x v="4"/>
    <x v="1"/>
    <n v="4"/>
    <n v="5"/>
    <b v="0"/>
    <b v="0"/>
    <b v="0"/>
    <b v="0"/>
    <b v="0"/>
    <n v="12"/>
    <b v="0"/>
    <b v="0"/>
    <n v="0"/>
    <b v="0"/>
    <b v="0"/>
    <b v="0"/>
    <s v="Prolific"/>
  </r>
  <r>
    <n v="555"/>
    <d v="2026-01-27T17:26:23"/>
    <d v="2026-01-27T17:30:30"/>
    <s v="anonymous"/>
    <m/>
    <m/>
    <s v="18 - 25"/>
    <x v="1"/>
    <x v="0"/>
    <x v="3"/>
    <x v="4"/>
    <x v="0"/>
    <x v="0"/>
    <x v="0"/>
    <x v="1"/>
    <x v="0"/>
    <x v="1"/>
    <x v="0"/>
    <x v="1"/>
    <x v="2"/>
    <x v="1"/>
    <x v="1"/>
    <x v="0"/>
    <x v="3"/>
    <x v="1"/>
    <x v="0"/>
    <x v="0"/>
    <x v="1"/>
    <x v="3"/>
    <x v="0"/>
    <x v="2"/>
    <x v="2"/>
    <x v="2"/>
    <x v="2"/>
    <n v="2"/>
    <n v="2"/>
    <b v="0"/>
    <b v="0"/>
    <b v="0"/>
    <b v="0"/>
    <b v="0"/>
    <n v="1"/>
    <b v="0"/>
    <b v="0"/>
    <n v="6"/>
    <b v="0"/>
    <b v="0"/>
    <b v="0"/>
    <s v="Prolific"/>
  </r>
  <r>
    <n v="559"/>
    <d v="2026-01-27T17:27:11"/>
    <d v="2026-01-27T17:32:13"/>
    <s v="anonymous"/>
    <m/>
    <m/>
    <s v="18 - 25"/>
    <x v="1"/>
    <x v="0"/>
    <x v="3"/>
    <x v="0"/>
    <x v="0"/>
    <x v="0"/>
    <x v="0"/>
    <x v="1"/>
    <x v="2"/>
    <x v="0"/>
    <x v="3"/>
    <x v="0"/>
    <x v="3"/>
    <x v="1"/>
    <x v="0"/>
    <x v="1"/>
    <x v="1"/>
    <x v="0"/>
    <x v="2"/>
    <x v="0"/>
    <x v="1"/>
    <x v="2"/>
    <x v="0"/>
    <x v="4"/>
    <x v="1"/>
    <x v="1"/>
    <x v="1"/>
    <n v="4"/>
    <n v="4"/>
    <b v="0"/>
    <b v="0"/>
    <b v="0"/>
    <b v="0"/>
    <b v="0"/>
    <n v="7"/>
    <b v="0"/>
    <b v="0"/>
    <n v="0"/>
    <b v="0"/>
    <b v="0"/>
    <b v="0"/>
    <s v="Prolific"/>
  </r>
  <r>
    <n v="560"/>
    <d v="2026-01-27T17:27:19"/>
    <d v="2026-01-27T17:32:36"/>
    <s v="anonymous"/>
    <m/>
    <m/>
    <s v="18 - 25"/>
    <x v="1"/>
    <x v="0"/>
    <x v="3"/>
    <x v="4"/>
    <x v="0"/>
    <x v="0"/>
    <x v="1"/>
    <x v="2"/>
    <x v="1"/>
    <x v="1"/>
    <x v="1"/>
    <x v="1"/>
    <x v="0"/>
    <x v="1"/>
    <x v="1"/>
    <x v="2"/>
    <x v="2"/>
    <x v="2"/>
    <x v="2"/>
    <x v="0"/>
    <x v="1"/>
    <x v="1"/>
    <x v="3"/>
    <x v="1"/>
    <x v="2"/>
    <x v="0"/>
    <x v="0"/>
    <n v="3"/>
    <n v="2"/>
    <b v="0"/>
    <b v="0"/>
    <b v="0"/>
    <b v="0"/>
    <b v="0"/>
    <n v="3"/>
    <b v="0"/>
    <b v="0"/>
    <n v="1"/>
    <b v="0"/>
    <b v="0"/>
    <b v="0"/>
    <s v="Prolific"/>
  </r>
  <r>
    <n v="562"/>
    <d v="2026-01-27T17:27:28"/>
    <d v="2026-01-27T17:29:12"/>
    <s v="anonymous"/>
    <m/>
    <m/>
    <s v="18 - 25"/>
    <x v="0"/>
    <x v="0"/>
    <x v="7"/>
    <x v="6"/>
    <x v="0"/>
    <x v="0"/>
    <x v="1"/>
    <x v="0"/>
    <x v="1"/>
    <x v="0"/>
    <x v="0"/>
    <x v="0"/>
    <x v="2"/>
    <x v="1"/>
    <x v="2"/>
    <x v="1"/>
    <x v="1"/>
    <x v="2"/>
    <x v="0"/>
    <x v="1"/>
    <x v="2"/>
    <x v="1"/>
    <x v="0"/>
    <x v="0"/>
    <x v="2"/>
    <x v="0"/>
    <x v="0"/>
    <n v="3"/>
    <n v="2"/>
    <b v="0"/>
    <b v="0"/>
    <b v="0"/>
    <b v="0"/>
    <b v="0"/>
    <n v="0"/>
    <b v="0"/>
    <b v="0"/>
    <n v="16"/>
    <b v="0"/>
    <b v="0"/>
    <b v="0"/>
    <s v="Prolific"/>
  </r>
  <r>
    <n v="563"/>
    <d v="2026-01-27T17:27:30"/>
    <d v="2026-01-27T17:36:19"/>
    <s v="anonymous"/>
    <m/>
    <m/>
    <s v="18 - 25"/>
    <x v="0"/>
    <x v="1"/>
    <x v="2"/>
    <x v="0"/>
    <x v="0"/>
    <x v="1"/>
    <x v="0"/>
    <x v="3"/>
    <x v="2"/>
    <x v="3"/>
    <x v="1"/>
    <x v="0"/>
    <x v="2"/>
    <x v="1"/>
    <x v="0"/>
    <x v="0"/>
    <x v="1"/>
    <x v="0"/>
    <x v="2"/>
    <x v="0"/>
    <x v="0"/>
    <x v="2"/>
    <x v="3"/>
    <x v="1"/>
    <x v="1"/>
    <x v="1"/>
    <x v="1"/>
    <n v="4"/>
    <n v="4"/>
    <b v="0"/>
    <b v="0"/>
    <b v="0"/>
    <b v="0"/>
    <b v="0"/>
    <n v="8"/>
    <b v="0"/>
    <b v="0"/>
    <n v="17"/>
    <b v="0"/>
    <b v="0"/>
    <b v="0"/>
    <s v="Prolific"/>
  </r>
  <r>
    <n v="564"/>
    <d v="2026-01-27T17:27:31"/>
    <d v="2026-01-27T17:33:44"/>
    <s v="anonymous"/>
    <m/>
    <m/>
    <s v="18 - 25"/>
    <x v="0"/>
    <x v="0"/>
    <x v="0"/>
    <x v="4"/>
    <x v="1"/>
    <x v="1"/>
    <x v="0"/>
    <x v="2"/>
    <x v="0"/>
    <x v="1"/>
    <x v="2"/>
    <x v="1"/>
    <x v="3"/>
    <x v="1"/>
    <x v="2"/>
    <x v="2"/>
    <x v="0"/>
    <x v="1"/>
    <x v="0"/>
    <x v="0"/>
    <x v="1"/>
    <x v="1"/>
    <x v="1"/>
    <x v="1"/>
    <x v="4"/>
    <x v="0"/>
    <x v="0"/>
    <n v="3"/>
    <n v="1"/>
    <b v="0"/>
    <b v="0"/>
    <b v="0"/>
    <b v="0"/>
    <b v="0"/>
    <n v="2"/>
    <b v="0"/>
    <b v="0"/>
    <n v="8"/>
    <b v="0"/>
    <b v="0"/>
    <b v="0"/>
    <s v="Prolific"/>
  </r>
  <r>
    <n v="569"/>
    <d v="2026-01-27T17:28:03"/>
    <d v="2026-01-27T17:34:55"/>
    <s v="anonymous"/>
    <m/>
    <m/>
    <s v="18 - 25"/>
    <x v="1"/>
    <x v="4"/>
    <x v="1"/>
    <x v="4"/>
    <x v="0"/>
    <x v="0"/>
    <x v="2"/>
    <x v="3"/>
    <x v="1"/>
    <x v="0"/>
    <x v="4"/>
    <x v="4"/>
    <x v="4"/>
    <x v="2"/>
    <x v="1"/>
    <x v="2"/>
    <x v="1"/>
    <x v="1"/>
    <x v="0"/>
    <x v="0"/>
    <x v="3"/>
    <x v="2"/>
    <x v="0"/>
    <x v="0"/>
    <x v="2"/>
    <x v="0"/>
    <x v="0"/>
    <n v="3"/>
    <n v="2"/>
    <b v="0"/>
    <b v="0"/>
    <b v="0"/>
    <b v="0"/>
    <b v="0"/>
    <n v="5"/>
    <b v="0"/>
    <b v="0"/>
    <n v="18"/>
    <b v="0"/>
    <b v="0"/>
    <b v="0"/>
    <s v="Prolific"/>
  </r>
  <r>
    <n v="570"/>
    <d v="2026-01-27T17:28:16"/>
    <d v="2026-01-27T17:30:20"/>
    <s v="anonymous"/>
    <m/>
    <m/>
    <s v="18 - 25"/>
    <x v="0"/>
    <x v="0"/>
    <x v="3"/>
    <x v="4"/>
    <x v="1"/>
    <x v="0"/>
    <x v="0"/>
    <x v="0"/>
    <x v="3"/>
    <x v="1"/>
    <x v="1"/>
    <x v="0"/>
    <x v="0"/>
    <x v="4"/>
    <x v="2"/>
    <x v="3"/>
    <x v="1"/>
    <x v="1"/>
    <x v="1"/>
    <x v="0"/>
    <x v="0"/>
    <x v="2"/>
    <x v="0"/>
    <x v="0"/>
    <x v="2"/>
    <x v="0"/>
    <x v="0"/>
    <n v="3"/>
    <n v="2"/>
    <b v="0"/>
    <b v="0"/>
    <b v="0"/>
    <b v="0"/>
    <b v="0"/>
    <n v="0"/>
    <b v="0"/>
    <b v="0"/>
    <n v="5"/>
    <b v="0"/>
    <b v="0"/>
    <b v="0"/>
    <s v="Prolific"/>
  </r>
  <r>
    <n v="576"/>
    <d v="2026-01-27T17:28:58"/>
    <d v="2026-01-27T17:38:45"/>
    <s v="anonymous"/>
    <m/>
    <m/>
    <s v="18 - 25"/>
    <x v="1"/>
    <x v="1"/>
    <x v="2"/>
    <x v="0"/>
    <x v="1"/>
    <x v="0"/>
    <x v="3"/>
    <x v="3"/>
    <x v="1"/>
    <x v="1"/>
    <x v="4"/>
    <x v="1"/>
    <x v="0"/>
    <x v="1"/>
    <x v="0"/>
    <x v="1"/>
    <x v="3"/>
    <x v="1"/>
    <x v="2"/>
    <x v="0"/>
    <x v="1"/>
    <x v="1"/>
    <x v="3"/>
    <x v="2"/>
    <x v="1"/>
    <x v="1"/>
    <x v="1"/>
    <n v="4"/>
    <n v="4"/>
    <b v="0"/>
    <b v="0"/>
    <b v="0"/>
    <b v="0"/>
    <b v="0"/>
    <n v="6"/>
    <b v="0"/>
    <b v="0"/>
    <n v="5"/>
    <b v="0"/>
    <b v="0"/>
    <b v="0"/>
    <s v="Prolific"/>
  </r>
  <r>
    <n v="590"/>
    <d v="2026-01-27T17:31:29"/>
    <d v="2026-01-27T17:39:03"/>
    <s v="anonymous"/>
    <m/>
    <m/>
    <s v="18 - 25"/>
    <x v="0"/>
    <x v="0"/>
    <x v="1"/>
    <x v="4"/>
    <x v="1"/>
    <x v="0"/>
    <x v="1"/>
    <x v="0"/>
    <x v="3"/>
    <x v="2"/>
    <x v="2"/>
    <x v="0"/>
    <x v="1"/>
    <x v="4"/>
    <x v="1"/>
    <x v="2"/>
    <x v="0"/>
    <x v="2"/>
    <x v="0"/>
    <x v="1"/>
    <x v="1"/>
    <x v="1"/>
    <x v="0"/>
    <x v="0"/>
    <x v="0"/>
    <x v="0"/>
    <x v="0"/>
    <n v="3"/>
    <n v="3"/>
    <b v="0"/>
    <b v="0"/>
    <b v="0"/>
    <b v="0"/>
    <b v="0"/>
    <n v="0"/>
    <b v="0"/>
    <b v="0"/>
    <n v="4"/>
    <b v="0"/>
    <b v="0"/>
    <b v="0"/>
    <s v="Prolific"/>
  </r>
  <r>
    <n v="594"/>
    <d v="2026-01-27T17:31:54"/>
    <d v="2026-01-27T17:45:37"/>
    <s v="anonymous"/>
    <m/>
    <m/>
    <s v="18 - 25"/>
    <x v="1"/>
    <x v="2"/>
    <x v="3"/>
    <x v="7"/>
    <x v="0"/>
    <x v="0"/>
    <x v="1"/>
    <x v="2"/>
    <x v="1"/>
    <x v="1"/>
    <x v="0"/>
    <x v="0"/>
    <x v="0"/>
    <x v="0"/>
    <x v="1"/>
    <x v="1"/>
    <x v="0"/>
    <x v="1"/>
    <x v="0"/>
    <x v="0"/>
    <x v="2"/>
    <x v="0"/>
    <x v="3"/>
    <x v="1"/>
    <x v="1"/>
    <x v="1"/>
    <x v="1"/>
    <n v="4"/>
    <n v="4"/>
    <b v="0"/>
    <b v="0"/>
    <b v="0"/>
    <b v="0"/>
    <b v="0"/>
    <n v="3"/>
    <b v="0"/>
    <b v="0"/>
    <n v="0"/>
    <b v="0"/>
    <b v="0"/>
    <b v="0"/>
    <s v="Prolific"/>
  </r>
  <r>
    <n v="598"/>
    <d v="2026-01-27T17:32:18"/>
    <d v="2026-01-27T17:42:29"/>
    <s v="anonymous"/>
    <m/>
    <m/>
    <s v="18 - 25"/>
    <x v="0"/>
    <x v="1"/>
    <x v="3"/>
    <x v="4"/>
    <x v="0"/>
    <x v="0"/>
    <x v="0"/>
    <x v="2"/>
    <x v="2"/>
    <x v="1"/>
    <x v="0"/>
    <x v="0"/>
    <x v="0"/>
    <x v="0"/>
    <x v="0"/>
    <x v="0"/>
    <x v="1"/>
    <x v="0"/>
    <x v="2"/>
    <x v="3"/>
    <x v="4"/>
    <x v="1"/>
    <x v="3"/>
    <x v="1"/>
    <x v="1"/>
    <x v="4"/>
    <x v="4"/>
    <n v="5"/>
    <n v="4"/>
    <b v="0"/>
    <b v="0"/>
    <b v="0"/>
    <b v="0"/>
    <b v="0"/>
    <n v="11"/>
    <b v="0"/>
    <b v="0"/>
    <n v="18"/>
    <b v="0"/>
    <b v="0"/>
    <b v="0"/>
    <s v="Prolific"/>
  </r>
  <r>
    <n v="600"/>
    <d v="2026-01-27T17:32:25"/>
    <d v="2026-01-27T17:41:15"/>
    <s v="anonymous"/>
    <m/>
    <m/>
    <s v="18 - 25"/>
    <x v="1"/>
    <x v="0"/>
    <x v="4"/>
    <x v="5"/>
    <x v="1"/>
    <x v="0"/>
    <x v="2"/>
    <x v="3"/>
    <x v="1"/>
    <x v="1"/>
    <x v="1"/>
    <x v="0"/>
    <x v="1"/>
    <x v="4"/>
    <x v="2"/>
    <x v="3"/>
    <x v="1"/>
    <x v="1"/>
    <x v="0"/>
    <x v="1"/>
    <x v="0"/>
    <x v="2"/>
    <x v="0"/>
    <x v="1"/>
    <x v="2"/>
    <x v="2"/>
    <x v="2"/>
    <n v="2"/>
    <n v="2"/>
    <b v="0"/>
    <b v="0"/>
    <b v="0"/>
    <b v="0"/>
    <b v="0"/>
    <n v="1"/>
    <b v="0"/>
    <b v="0"/>
    <n v="2"/>
    <b v="0"/>
    <b v="0"/>
    <b v="0"/>
    <s v="Prolific"/>
  </r>
  <r>
    <n v="605"/>
    <d v="2026-01-27T17:32:49"/>
    <d v="2026-01-27T17:37:13"/>
    <s v="anonymous"/>
    <m/>
    <m/>
    <s v="18 - 25"/>
    <x v="1"/>
    <x v="2"/>
    <x v="3"/>
    <x v="5"/>
    <x v="0"/>
    <x v="0"/>
    <x v="2"/>
    <x v="2"/>
    <x v="2"/>
    <x v="1"/>
    <x v="1"/>
    <x v="0"/>
    <x v="1"/>
    <x v="1"/>
    <x v="1"/>
    <x v="1"/>
    <x v="1"/>
    <x v="1"/>
    <x v="3"/>
    <x v="2"/>
    <x v="3"/>
    <x v="1"/>
    <x v="0"/>
    <x v="2"/>
    <x v="0"/>
    <x v="2"/>
    <x v="2"/>
    <n v="2"/>
    <n v="3"/>
    <b v="0"/>
    <b v="0"/>
    <b v="0"/>
    <b v="0"/>
    <b v="0"/>
    <n v="2"/>
    <b v="0"/>
    <b v="0"/>
    <n v="2"/>
    <b v="0"/>
    <b v="0"/>
    <b v="0"/>
    <s v="Prolific"/>
  </r>
  <r>
    <n v="610"/>
    <d v="2026-01-27T17:33:37"/>
    <d v="2026-01-27T17:45:22"/>
    <s v="anonymous"/>
    <m/>
    <m/>
    <s v="18 - 25"/>
    <x v="1"/>
    <x v="0"/>
    <x v="3"/>
    <x v="5"/>
    <x v="1"/>
    <x v="1"/>
    <x v="2"/>
    <x v="3"/>
    <x v="3"/>
    <x v="4"/>
    <x v="4"/>
    <x v="4"/>
    <x v="4"/>
    <x v="3"/>
    <x v="3"/>
    <x v="3"/>
    <x v="4"/>
    <x v="3"/>
    <x v="3"/>
    <x v="2"/>
    <x v="3"/>
    <x v="3"/>
    <x v="2"/>
    <x v="3"/>
    <x v="4"/>
    <x v="3"/>
    <x v="3"/>
    <n v="1"/>
    <n v="1"/>
    <b v="0"/>
    <b v="0"/>
    <b v="0"/>
    <b v="0"/>
    <b v="0"/>
    <n v="12"/>
    <b v="0"/>
    <b v="0"/>
    <n v="8"/>
    <b v="0"/>
    <b v="0"/>
    <b v="0"/>
    <s v="Prolific"/>
  </r>
  <r>
    <n v="616"/>
    <d v="2026-01-27T17:35:18"/>
    <d v="2026-01-27T17:41:21"/>
    <s v="anonymous"/>
    <m/>
    <m/>
    <s v="18 - 25"/>
    <x v="0"/>
    <x v="1"/>
    <x v="3"/>
    <x v="0"/>
    <x v="0"/>
    <x v="0"/>
    <x v="4"/>
    <x v="4"/>
    <x v="1"/>
    <x v="0"/>
    <x v="1"/>
    <x v="0"/>
    <x v="0"/>
    <x v="0"/>
    <x v="1"/>
    <x v="1"/>
    <x v="1"/>
    <x v="1"/>
    <x v="2"/>
    <x v="0"/>
    <x v="1"/>
    <x v="2"/>
    <x v="0"/>
    <x v="0"/>
    <x v="3"/>
    <x v="4"/>
    <x v="4"/>
    <n v="5"/>
    <n v="5"/>
    <b v="0"/>
    <b v="0"/>
    <b v="0"/>
    <b v="0"/>
    <b v="0"/>
    <n v="7"/>
    <b v="0"/>
    <b v="0"/>
    <n v="6"/>
    <b v="0"/>
    <b v="0"/>
    <b v="0"/>
    <s v="Prolific"/>
  </r>
  <r>
    <n v="618"/>
    <d v="2026-01-27T17:35:25"/>
    <d v="2026-01-27T17:39:20"/>
    <s v="anonymous"/>
    <m/>
    <m/>
    <s v="18 - 25"/>
    <x v="0"/>
    <x v="5"/>
    <x v="3"/>
    <x v="0"/>
    <x v="0"/>
    <x v="0"/>
    <x v="0"/>
    <x v="3"/>
    <x v="2"/>
    <x v="1"/>
    <x v="1"/>
    <x v="1"/>
    <x v="0"/>
    <x v="1"/>
    <x v="0"/>
    <x v="0"/>
    <x v="2"/>
    <x v="0"/>
    <x v="2"/>
    <x v="3"/>
    <x v="2"/>
    <x v="2"/>
    <x v="3"/>
    <x v="4"/>
    <x v="3"/>
    <x v="1"/>
    <x v="1"/>
    <n v="4"/>
    <n v="5"/>
    <b v="0"/>
    <b v="0"/>
    <b v="0"/>
    <b v="0"/>
    <b v="0"/>
    <n v="11"/>
    <b v="0"/>
    <b v="0"/>
    <n v="7"/>
    <b v="0"/>
    <b v="0"/>
    <b v="0"/>
    <s v="Prolific"/>
  </r>
  <r>
    <n v="625"/>
    <d v="2026-01-27T17:36:12"/>
    <d v="2026-01-27T17:37:51"/>
    <s v="anonymous"/>
    <m/>
    <m/>
    <s v="18 - 25"/>
    <x v="0"/>
    <x v="1"/>
    <x v="0"/>
    <x v="3"/>
    <x v="0"/>
    <x v="0"/>
    <x v="0"/>
    <x v="1"/>
    <x v="1"/>
    <x v="1"/>
    <x v="0"/>
    <x v="0"/>
    <x v="0"/>
    <x v="1"/>
    <x v="1"/>
    <x v="1"/>
    <x v="1"/>
    <x v="1"/>
    <x v="2"/>
    <x v="1"/>
    <x v="1"/>
    <x v="1"/>
    <x v="1"/>
    <x v="2"/>
    <x v="0"/>
    <x v="0"/>
    <x v="0"/>
    <n v="3"/>
    <n v="3"/>
    <b v="0"/>
    <b v="0"/>
    <b v="0"/>
    <b v="0"/>
    <b v="0"/>
    <n v="1"/>
    <b v="0"/>
    <b v="0"/>
    <n v="4"/>
    <b v="0"/>
    <b v="0"/>
    <b v="0"/>
    <s v="Prolific"/>
  </r>
  <r>
    <n v="627"/>
    <d v="2026-01-27T17:36:21"/>
    <d v="2026-01-27T17:42:30"/>
    <s v="anonymous"/>
    <m/>
    <m/>
    <s v="18 - 25"/>
    <x v="0"/>
    <x v="1"/>
    <x v="2"/>
    <x v="0"/>
    <x v="0"/>
    <x v="0"/>
    <x v="0"/>
    <x v="1"/>
    <x v="2"/>
    <x v="1"/>
    <x v="1"/>
    <x v="3"/>
    <x v="2"/>
    <x v="1"/>
    <x v="1"/>
    <x v="1"/>
    <x v="0"/>
    <x v="1"/>
    <x v="2"/>
    <x v="0"/>
    <x v="2"/>
    <x v="2"/>
    <x v="0"/>
    <x v="0"/>
    <x v="0"/>
    <x v="0"/>
    <x v="0"/>
    <n v="3"/>
    <n v="3"/>
    <b v="0"/>
    <b v="0"/>
    <b v="0"/>
    <b v="0"/>
    <b v="0"/>
    <n v="3"/>
    <b v="0"/>
    <b v="0"/>
    <n v="7"/>
    <b v="0"/>
    <b v="0"/>
    <b v="0"/>
    <s v="Prolific"/>
  </r>
  <r>
    <n v="630"/>
    <d v="2026-01-27T17:36:35"/>
    <d v="2026-01-27T18:00:53"/>
    <s v="anonymous"/>
    <m/>
    <m/>
    <s v="18 - 25"/>
    <x v="2"/>
    <x v="0"/>
    <x v="3"/>
    <x v="0"/>
    <x v="0"/>
    <x v="0"/>
    <x v="2"/>
    <x v="0"/>
    <x v="1"/>
    <x v="2"/>
    <x v="2"/>
    <x v="0"/>
    <x v="1"/>
    <x v="2"/>
    <x v="1"/>
    <x v="1"/>
    <x v="3"/>
    <x v="1"/>
    <x v="0"/>
    <x v="0"/>
    <x v="2"/>
    <x v="3"/>
    <x v="1"/>
    <x v="1"/>
    <x v="2"/>
    <x v="0"/>
    <x v="0"/>
    <n v="3"/>
    <n v="2"/>
    <b v="0"/>
    <b v="0"/>
    <b v="0"/>
    <b v="0"/>
    <b v="0"/>
    <n v="0"/>
    <b v="0"/>
    <b v="0"/>
    <n v="5"/>
    <b v="0"/>
    <b v="0"/>
    <b v="0"/>
    <s v="Prolific"/>
  </r>
  <r>
    <n v="632"/>
    <d v="2026-01-27T17:36:42"/>
    <d v="2026-01-27T17:44:05"/>
    <s v="anonymous"/>
    <m/>
    <m/>
    <s v="18 - 25"/>
    <x v="1"/>
    <x v="1"/>
    <x v="5"/>
    <x v="5"/>
    <x v="0"/>
    <x v="0"/>
    <x v="2"/>
    <x v="2"/>
    <x v="3"/>
    <x v="0"/>
    <x v="4"/>
    <x v="1"/>
    <x v="1"/>
    <x v="3"/>
    <x v="4"/>
    <x v="3"/>
    <x v="0"/>
    <x v="4"/>
    <x v="3"/>
    <x v="2"/>
    <x v="3"/>
    <x v="4"/>
    <x v="1"/>
    <x v="1"/>
    <x v="4"/>
    <x v="2"/>
    <x v="3"/>
    <n v="1"/>
    <n v="1"/>
    <b v="0"/>
    <b v="0"/>
    <b v="0"/>
    <b v="0"/>
    <b v="0"/>
    <n v="8"/>
    <b v="0"/>
    <b v="0"/>
    <n v="0"/>
    <b v="0"/>
    <b v="0"/>
    <b v="0"/>
    <s v="Prolific"/>
  </r>
  <r>
    <n v="641"/>
    <d v="2026-01-27T17:37:03"/>
    <d v="2026-01-27T17:45:25"/>
    <s v="anonymous"/>
    <m/>
    <m/>
    <s v="18 - 25"/>
    <x v="1"/>
    <x v="0"/>
    <x v="0"/>
    <x v="4"/>
    <x v="0"/>
    <x v="0"/>
    <x v="1"/>
    <x v="2"/>
    <x v="1"/>
    <x v="1"/>
    <x v="1"/>
    <x v="0"/>
    <x v="0"/>
    <x v="1"/>
    <x v="0"/>
    <x v="1"/>
    <x v="1"/>
    <x v="2"/>
    <x v="1"/>
    <x v="1"/>
    <x v="0"/>
    <x v="2"/>
    <x v="0"/>
    <x v="0"/>
    <x v="0"/>
    <x v="0"/>
    <x v="0"/>
    <n v="3"/>
    <n v="3"/>
    <b v="0"/>
    <b v="0"/>
    <b v="0"/>
    <b v="0"/>
    <b v="0"/>
    <n v="1"/>
    <b v="0"/>
    <b v="0"/>
    <n v="20"/>
    <b v="0"/>
    <b v="0"/>
    <b v="0"/>
    <s v="Prolific"/>
  </r>
  <r>
    <n v="659"/>
    <d v="2026-01-27T17:37:57"/>
    <d v="2026-01-27T17:41:21"/>
    <s v="anonymous"/>
    <m/>
    <m/>
    <s v="18 - 25"/>
    <x v="0"/>
    <x v="0"/>
    <x v="3"/>
    <x v="4"/>
    <x v="1"/>
    <x v="0"/>
    <x v="0"/>
    <x v="2"/>
    <x v="1"/>
    <x v="0"/>
    <x v="2"/>
    <x v="3"/>
    <x v="1"/>
    <x v="4"/>
    <x v="1"/>
    <x v="1"/>
    <x v="0"/>
    <x v="1"/>
    <x v="1"/>
    <x v="1"/>
    <x v="0"/>
    <x v="3"/>
    <x v="2"/>
    <x v="2"/>
    <x v="4"/>
    <x v="2"/>
    <x v="2"/>
    <n v="2"/>
    <n v="1"/>
    <b v="0"/>
    <b v="0"/>
    <b v="0"/>
    <b v="0"/>
    <b v="0"/>
    <n v="2"/>
    <b v="0"/>
    <b v="0"/>
    <n v="14"/>
    <b v="0"/>
    <b v="0"/>
    <b v="0"/>
    <s v="Prolific"/>
  </r>
  <r>
    <n v="668"/>
    <d v="2026-01-27T17:39:32"/>
    <d v="2026-01-27T17:50:27"/>
    <s v="anonymous"/>
    <m/>
    <m/>
    <s v="18 - 25"/>
    <x v="1"/>
    <x v="0"/>
    <x v="2"/>
    <x v="0"/>
    <x v="0"/>
    <x v="0"/>
    <x v="0"/>
    <x v="2"/>
    <x v="1"/>
    <x v="1"/>
    <x v="1"/>
    <x v="0"/>
    <x v="0"/>
    <x v="0"/>
    <x v="1"/>
    <x v="3"/>
    <x v="0"/>
    <x v="1"/>
    <x v="0"/>
    <x v="0"/>
    <x v="2"/>
    <x v="1"/>
    <x v="0"/>
    <x v="0"/>
    <x v="1"/>
    <x v="1"/>
    <x v="1"/>
    <n v="4"/>
    <n v="4"/>
    <b v="0"/>
    <b v="0"/>
    <b v="0"/>
    <b v="0"/>
    <b v="0"/>
    <n v="1"/>
    <b v="0"/>
    <b v="0"/>
    <n v="21"/>
    <b v="0"/>
    <b v="0"/>
    <b v="0"/>
    <s v="Prolific"/>
  </r>
  <r>
    <n v="672"/>
    <d v="2026-01-27T17:40:16"/>
    <d v="2026-01-27T17:54:44"/>
    <s v="anonymous"/>
    <m/>
    <m/>
    <s v="18 - 25"/>
    <x v="0"/>
    <x v="2"/>
    <x v="3"/>
    <x v="4"/>
    <x v="0"/>
    <x v="0"/>
    <x v="0"/>
    <x v="0"/>
    <x v="1"/>
    <x v="1"/>
    <x v="0"/>
    <x v="0"/>
    <x v="3"/>
    <x v="4"/>
    <x v="1"/>
    <x v="1"/>
    <x v="3"/>
    <x v="1"/>
    <x v="0"/>
    <x v="1"/>
    <x v="1"/>
    <x v="3"/>
    <x v="2"/>
    <x v="2"/>
    <x v="4"/>
    <x v="3"/>
    <x v="2"/>
    <n v="2"/>
    <n v="1"/>
    <b v="0"/>
    <b v="0"/>
    <b v="0"/>
    <b v="0"/>
    <b v="0"/>
    <n v="3"/>
    <b v="0"/>
    <b v="0"/>
    <n v="0"/>
    <b v="0"/>
    <b v="0"/>
    <b v="0"/>
    <s v="Prolific"/>
  </r>
  <r>
    <n v="679"/>
    <d v="2026-01-27T17:42:14"/>
    <d v="2026-01-27T17:46:23"/>
    <s v="anonymous"/>
    <m/>
    <m/>
    <s v="18 - 25"/>
    <x v="0"/>
    <x v="0"/>
    <x v="3"/>
    <x v="4"/>
    <x v="0"/>
    <x v="0"/>
    <x v="1"/>
    <x v="0"/>
    <x v="0"/>
    <x v="0"/>
    <x v="2"/>
    <x v="0"/>
    <x v="4"/>
    <x v="4"/>
    <x v="1"/>
    <x v="2"/>
    <x v="1"/>
    <x v="1"/>
    <x v="1"/>
    <x v="1"/>
    <x v="0"/>
    <x v="2"/>
    <x v="1"/>
    <x v="1"/>
    <x v="4"/>
    <x v="3"/>
    <x v="3"/>
    <n v="1"/>
    <n v="1"/>
    <b v="0"/>
    <b v="0"/>
    <b v="0"/>
    <b v="0"/>
    <b v="0"/>
    <n v="4"/>
    <b v="0"/>
    <b v="0"/>
    <n v="0"/>
    <b v="0"/>
    <b v="0"/>
    <b v="0"/>
    <s v="Prolific"/>
  </r>
  <r>
    <n v="681"/>
    <d v="2026-01-27T17:42:30"/>
    <d v="2026-01-27T17:48:53"/>
    <s v="anonymous"/>
    <m/>
    <m/>
    <s v="18 - 25"/>
    <x v="0"/>
    <x v="2"/>
    <x v="2"/>
    <x v="0"/>
    <x v="0"/>
    <x v="0"/>
    <x v="1"/>
    <x v="0"/>
    <x v="0"/>
    <x v="1"/>
    <x v="1"/>
    <x v="1"/>
    <x v="0"/>
    <x v="1"/>
    <x v="1"/>
    <x v="1"/>
    <x v="1"/>
    <x v="3"/>
    <x v="0"/>
    <x v="0"/>
    <x v="1"/>
    <x v="2"/>
    <x v="0"/>
    <x v="0"/>
    <x v="0"/>
    <x v="0"/>
    <x v="0"/>
    <n v="3"/>
    <n v="3"/>
    <b v="0"/>
    <b v="0"/>
    <b v="0"/>
    <b v="0"/>
    <b v="0"/>
    <n v="0"/>
    <b v="0"/>
    <b v="0"/>
    <n v="6"/>
    <b v="0"/>
    <b v="0"/>
    <b v="0"/>
    <s v="Prolific"/>
  </r>
  <r>
    <n v="685"/>
    <d v="2026-01-27T17:43:30"/>
    <d v="2026-01-27T17:50:07"/>
    <s v="anonymous"/>
    <m/>
    <m/>
    <s v="18 - 25"/>
    <x v="0"/>
    <x v="1"/>
    <x v="3"/>
    <x v="5"/>
    <x v="0"/>
    <x v="0"/>
    <x v="1"/>
    <x v="3"/>
    <x v="0"/>
    <x v="1"/>
    <x v="1"/>
    <x v="3"/>
    <x v="1"/>
    <x v="2"/>
    <x v="1"/>
    <x v="1"/>
    <x v="1"/>
    <x v="1"/>
    <x v="1"/>
    <x v="1"/>
    <x v="0"/>
    <x v="3"/>
    <x v="1"/>
    <x v="1"/>
    <x v="2"/>
    <x v="2"/>
    <x v="2"/>
    <n v="2"/>
    <n v="2"/>
    <b v="0"/>
    <b v="0"/>
    <b v="0"/>
    <b v="0"/>
    <b v="0"/>
    <n v="2"/>
    <b v="0"/>
    <b v="0"/>
    <n v="2"/>
    <b v="0"/>
    <b v="0"/>
    <b v="0"/>
    <s v="Prolific"/>
  </r>
  <r>
    <n v="688"/>
    <d v="2026-01-27T17:44:00"/>
    <d v="2026-01-27T17:55:22"/>
    <s v="anonymous"/>
    <m/>
    <m/>
    <s v="18 - 25"/>
    <x v="1"/>
    <x v="0"/>
    <x v="0"/>
    <x v="3"/>
    <x v="0"/>
    <x v="0"/>
    <x v="2"/>
    <x v="2"/>
    <x v="1"/>
    <x v="0"/>
    <x v="2"/>
    <x v="0"/>
    <x v="1"/>
    <x v="1"/>
    <x v="3"/>
    <x v="1"/>
    <x v="0"/>
    <x v="3"/>
    <x v="3"/>
    <x v="2"/>
    <x v="0"/>
    <x v="3"/>
    <x v="0"/>
    <x v="1"/>
    <x v="2"/>
    <x v="0"/>
    <x v="0"/>
    <n v="3"/>
    <n v="2"/>
    <b v="0"/>
    <b v="0"/>
    <b v="0"/>
    <b v="0"/>
    <b v="0"/>
    <n v="0"/>
    <b v="0"/>
    <b v="0"/>
    <n v="5"/>
    <b v="0"/>
    <b v="0"/>
    <b v="0"/>
    <s v="Prolific"/>
  </r>
  <r>
    <n v="699"/>
    <d v="2026-01-27T17:46:13"/>
    <d v="2026-01-27T17:48:18"/>
    <s v="anonymous"/>
    <m/>
    <m/>
    <s v="18 - 25"/>
    <x v="1"/>
    <x v="0"/>
    <x v="1"/>
    <x v="0"/>
    <x v="0"/>
    <x v="0"/>
    <x v="0"/>
    <x v="2"/>
    <x v="1"/>
    <x v="3"/>
    <x v="0"/>
    <x v="0"/>
    <x v="0"/>
    <x v="1"/>
    <x v="1"/>
    <x v="1"/>
    <x v="2"/>
    <x v="0"/>
    <x v="0"/>
    <x v="0"/>
    <x v="2"/>
    <x v="2"/>
    <x v="3"/>
    <x v="4"/>
    <x v="1"/>
    <x v="4"/>
    <x v="1"/>
    <n v="4"/>
    <n v="4"/>
    <b v="0"/>
    <b v="0"/>
    <b v="0"/>
    <b v="0"/>
    <b v="0"/>
    <n v="6"/>
    <b v="0"/>
    <b v="0"/>
    <n v="4"/>
    <b v="0"/>
    <b v="0"/>
    <b v="0"/>
    <s v="Prolific"/>
  </r>
  <r>
    <n v="701"/>
    <d v="2026-01-27T17:46:46"/>
    <d v="2026-01-27T17:50:46"/>
    <s v="anonymous"/>
    <m/>
    <m/>
    <s v="18 - 25"/>
    <x v="0"/>
    <x v="3"/>
    <x v="3"/>
    <x v="0"/>
    <x v="0"/>
    <x v="0"/>
    <x v="0"/>
    <x v="1"/>
    <x v="2"/>
    <x v="0"/>
    <x v="1"/>
    <x v="0"/>
    <x v="2"/>
    <x v="2"/>
    <x v="1"/>
    <x v="1"/>
    <x v="0"/>
    <x v="0"/>
    <x v="2"/>
    <x v="0"/>
    <x v="2"/>
    <x v="2"/>
    <x v="1"/>
    <x v="0"/>
    <x v="4"/>
    <x v="2"/>
    <x v="2"/>
    <n v="2"/>
    <n v="1"/>
    <b v="0"/>
    <b v="0"/>
    <b v="0"/>
    <b v="0"/>
    <b v="0"/>
    <n v="4"/>
    <b v="0"/>
    <b v="0"/>
    <n v="4"/>
    <b v="0"/>
    <b v="0"/>
    <b v="0"/>
    <s v="Prolific"/>
  </r>
  <r>
    <n v="702"/>
    <d v="2026-01-27T17:46:48"/>
    <d v="2026-01-27T17:52:28"/>
    <s v="anonymous"/>
    <m/>
    <m/>
    <s v="18 - 25"/>
    <x v="1"/>
    <x v="3"/>
    <x v="2"/>
    <x v="4"/>
    <x v="0"/>
    <x v="0"/>
    <x v="3"/>
    <x v="3"/>
    <x v="0"/>
    <x v="0"/>
    <x v="1"/>
    <x v="2"/>
    <x v="1"/>
    <x v="2"/>
    <x v="3"/>
    <x v="1"/>
    <x v="0"/>
    <x v="1"/>
    <x v="0"/>
    <x v="1"/>
    <x v="0"/>
    <x v="3"/>
    <x v="0"/>
    <x v="1"/>
    <x v="4"/>
    <x v="2"/>
    <x v="2"/>
    <n v="2"/>
    <n v="1"/>
    <b v="0"/>
    <b v="0"/>
    <b v="0"/>
    <b v="0"/>
    <b v="0"/>
    <n v="3"/>
    <b v="0"/>
    <b v="0"/>
    <n v="9"/>
    <b v="0"/>
    <b v="0"/>
    <b v="0"/>
    <s v="Prolific"/>
  </r>
  <r>
    <n v="711"/>
    <d v="2026-01-27T17:50:09"/>
    <d v="2026-01-27T17:54:58"/>
    <s v="anonymous"/>
    <m/>
    <m/>
    <s v="18 - 25"/>
    <x v="0"/>
    <x v="2"/>
    <x v="3"/>
    <x v="4"/>
    <x v="1"/>
    <x v="1"/>
    <x v="2"/>
    <x v="2"/>
    <x v="1"/>
    <x v="2"/>
    <x v="2"/>
    <x v="2"/>
    <x v="4"/>
    <x v="4"/>
    <x v="1"/>
    <x v="1"/>
    <x v="1"/>
    <x v="1"/>
    <x v="2"/>
    <x v="0"/>
    <x v="0"/>
    <x v="3"/>
    <x v="0"/>
    <x v="2"/>
    <x v="2"/>
    <x v="2"/>
    <x v="2"/>
    <n v="2"/>
    <n v="2"/>
    <b v="0"/>
    <b v="0"/>
    <b v="0"/>
    <b v="0"/>
    <b v="0"/>
    <n v="2"/>
    <b v="0"/>
    <b v="0"/>
    <n v="7"/>
    <b v="0"/>
    <b v="0"/>
    <b v="0"/>
    <s v="Prolific"/>
  </r>
  <r>
    <n v="717"/>
    <d v="2026-01-27T17:51:56"/>
    <d v="2026-01-27T17:57:52"/>
    <s v="anonymous"/>
    <m/>
    <m/>
    <s v="18 - 25"/>
    <x v="0"/>
    <x v="0"/>
    <x v="2"/>
    <x v="0"/>
    <x v="0"/>
    <x v="0"/>
    <x v="0"/>
    <x v="2"/>
    <x v="1"/>
    <x v="0"/>
    <x v="0"/>
    <x v="0"/>
    <x v="2"/>
    <x v="2"/>
    <x v="1"/>
    <x v="1"/>
    <x v="1"/>
    <x v="0"/>
    <x v="0"/>
    <x v="0"/>
    <x v="2"/>
    <x v="2"/>
    <x v="0"/>
    <x v="4"/>
    <x v="2"/>
    <x v="0"/>
    <x v="0"/>
    <n v="3"/>
    <n v="2"/>
    <b v="0"/>
    <b v="0"/>
    <b v="0"/>
    <b v="0"/>
    <b v="0"/>
    <n v="2"/>
    <b v="0"/>
    <b v="0"/>
    <n v="10"/>
    <b v="0"/>
    <b v="0"/>
    <b v="0"/>
    <s v="Prolific"/>
  </r>
  <r>
    <n v="719"/>
    <d v="2026-01-27T17:52:02"/>
    <d v="2026-01-27T17:59:49"/>
    <s v="anonymous"/>
    <m/>
    <m/>
    <s v="18 - 25"/>
    <x v="0"/>
    <x v="0"/>
    <x v="3"/>
    <x v="4"/>
    <x v="0"/>
    <x v="0"/>
    <x v="1"/>
    <x v="1"/>
    <x v="0"/>
    <x v="1"/>
    <x v="1"/>
    <x v="0"/>
    <x v="0"/>
    <x v="0"/>
    <x v="3"/>
    <x v="1"/>
    <x v="0"/>
    <x v="0"/>
    <x v="1"/>
    <x v="3"/>
    <x v="4"/>
    <x v="0"/>
    <x v="1"/>
    <x v="0"/>
    <x v="3"/>
    <x v="4"/>
    <x v="4"/>
    <n v="5"/>
    <n v="5"/>
    <b v="0"/>
    <b v="0"/>
    <b v="0"/>
    <b v="0"/>
    <b v="0"/>
    <n v="8"/>
    <b v="0"/>
    <b v="0"/>
    <n v="2"/>
    <b v="0"/>
    <b v="0"/>
    <b v="0"/>
    <s v="Prolific"/>
  </r>
  <r>
    <n v="724"/>
    <d v="2026-01-27T17:53:28"/>
    <d v="2026-01-27T18:01:15"/>
    <s v="anonymous"/>
    <m/>
    <m/>
    <s v="18 - 25"/>
    <x v="0"/>
    <x v="0"/>
    <x v="5"/>
    <x v="5"/>
    <x v="1"/>
    <x v="1"/>
    <x v="0"/>
    <x v="0"/>
    <x v="2"/>
    <x v="1"/>
    <x v="1"/>
    <x v="0"/>
    <x v="0"/>
    <x v="1"/>
    <x v="0"/>
    <x v="0"/>
    <x v="0"/>
    <x v="0"/>
    <x v="0"/>
    <x v="0"/>
    <x v="0"/>
    <x v="2"/>
    <x v="0"/>
    <x v="1"/>
    <x v="4"/>
    <x v="2"/>
    <x v="2"/>
    <n v="2"/>
    <n v="1"/>
    <b v="0"/>
    <b v="0"/>
    <b v="0"/>
    <b v="0"/>
    <b v="0"/>
    <n v="5"/>
    <b v="0"/>
    <b v="0"/>
    <n v="4"/>
    <b v="0"/>
    <b v="0"/>
    <b v="0"/>
    <s v="Prolific"/>
  </r>
  <r>
    <n v="726"/>
    <d v="2026-01-27T17:53:48"/>
    <d v="2026-01-27T18:06:47"/>
    <s v="anonymous"/>
    <m/>
    <m/>
    <s v="18 - 25"/>
    <x v="0"/>
    <x v="2"/>
    <x v="3"/>
    <x v="0"/>
    <x v="0"/>
    <x v="0"/>
    <x v="1"/>
    <x v="2"/>
    <x v="1"/>
    <x v="0"/>
    <x v="0"/>
    <x v="2"/>
    <x v="0"/>
    <x v="0"/>
    <x v="0"/>
    <x v="0"/>
    <x v="2"/>
    <x v="0"/>
    <x v="2"/>
    <x v="0"/>
    <x v="4"/>
    <x v="0"/>
    <x v="3"/>
    <x v="1"/>
    <x v="1"/>
    <x v="1"/>
    <x v="1"/>
    <n v="4"/>
    <n v="4"/>
    <b v="0"/>
    <b v="0"/>
    <b v="0"/>
    <b v="0"/>
    <b v="0"/>
    <n v="9"/>
    <b v="0"/>
    <b v="0"/>
    <n v="1"/>
    <b v="0"/>
    <b v="0"/>
    <b v="0"/>
    <s v="Prolific"/>
  </r>
  <r>
    <n v="728"/>
    <d v="2026-01-27T17:54:21"/>
    <d v="2026-01-27T18:10:47"/>
    <s v="anonymous"/>
    <m/>
    <m/>
    <s v="18 - 25"/>
    <x v="1"/>
    <x v="0"/>
    <x v="3"/>
    <x v="4"/>
    <x v="1"/>
    <x v="0"/>
    <x v="3"/>
    <x v="3"/>
    <x v="3"/>
    <x v="4"/>
    <x v="2"/>
    <x v="2"/>
    <x v="4"/>
    <x v="4"/>
    <x v="3"/>
    <x v="2"/>
    <x v="0"/>
    <x v="3"/>
    <x v="2"/>
    <x v="2"/>
    <x v="0"/>
    <x v="3"/>
    <x v="0"/>
    <x v="1"/>
    <x v="4"/>
    <x v="2"/>
    <x v="2"/>
    <n v="2"/>
    <n v="1"/>
    <b v="0"/>
    <b v="0"/>
    <b v="0"/>
    <b v="0"/>
    <b v="0"/>
    <n v="6"/>
    <b v="0"/>
    <b v="0"/>
    <n v="6"/>
    <b v="0"/>
    <b v="0"/>
    <b v="0"/>
    <s v="Prolific"/>
  </r>
  <r>
    <n v="732"/>
    <d v="2026-01-27T17:56:50"/>
    <d v="2026-01-27T18:00:22"/>
    <s v="anonymous"/>
    <m/>
    <m/>
    <s v="18 - 25"/>
    <x v="1"/>
    <x v="0"/>
    <x v="2"/>
    <x v="0"/>
    <x v="0"/>
    <x v="0"/>
    <x v="2"/>
    <x v="3"/>
    <x v="1"/>
    <x v="0"/>
    <x v="1"/>
    <x v="1"/>
    <x v="0"/>
    <x v="0"/>
    <x v="1"/>
    <x v="2"/>
    <x v="0"/>
    <x v="2"/>
    <x v="0"/>
    <x v="0"/>
    <x v="1"/>
    <x v="1"/>
    <x v="0"/>
    <x v="1"/>
    <x v="1"/>
    <x v="1"/>
    <x v="1"/>
    <n v="4"/>
    <n v="4"/>
    <b v="0"/>
    <b v="0"/>
    <b v="0"/>
    <b v="0"/>
    <b v="0"/>
    <n v="2"/>
    <b v="0"/>
    <b v="0"/>
    <n v="1"/>
    <b v="0"/>
    <b v="0"/>
    <b v="0"/>
    <s v="Prolific"/>
  </r>
  <r>
    <n v="735"/>
    <d v="2026-01-27T17:57:34"/>
    <d v="2026-01-27T18:00:18"/>
    <s v="anonymous"/>
    <m/>
    <m/>
    <s v="18 - 25"/>
    <x v="1"/>
    <x v="0"/>
    <x v="0"/>
    <x v="7"/>
    <x v="0"/>
    <x v="0"/>
    <x v="3"/>
    <x v="3"/>
    <x v="1"/>
    <x v="4"/>
    <x v="4"/>
    <x v="4"/>
    <x v="0"/>
    <x v="1"/>
    <x v="3"/>
    <x v="3"/>
    <x v="0"/>
    <x v="3"/>
    <x v="0"/>
    <x v="1"/>
    <x v="3"/>
    <x v="4"/>
    <x v="0"/>
    <x v="1"/>
    <x v="2"/>
    <x v="3"/>
    <x v="2"/>
    <n v="2"/>
    <n v="2"/>
    <b v="0"/>
    <b v="0"/>
    <b v="0"/>
    <b v="0"/>
    <b v="0"/>
    <n v="8"/>
    <b v="0"/>
    <b v="0"/>
    <n v="9"/>
    <b v="0"/>
    <b v="0"/>
    <b v="0"/>
    <s v="Prolific"/>
  </r>
  <r>
    <n v="747"/>
    <d v="2026-01-27T18:01:44"/>
    <d v="2026-01-27T18:09:17"/>
    <s v="anonymous"/>
    <m/>
    <m/>
    <s v="18 - 25"/>
    <x v="1"/>
    <x v="2"/>
    <x v="3"/>
    <x v="4"/>
    <x v="0"/>
    <x v="1"/>
    <x v="1"/>
    <x v="0"/>
    <x v="0"/>
    <x v="1"/>
    <x v="0"/>
    <x v="0"/>
    <x v="0"/>
    <x v="1"/>
    <x v="3"/>
    <x v="2"/>
    <x v="3"/>
    <x v="3"/>
    <x v="0"/>
    <x v="0"/>
    <x v="0"/>
    <x v="1"/>
    <x v="2"/>
    <x v="1"/>
    <x v="4"/>
    <x v="0"/>
    <x v="0"/>
    <n v="3"/>
    <n v="1"/>
    <b v="0"/>
    <b v="0"/>
    <b v="0"/>
    <b v="0"/>
    <b v="0"/>
    <n v="1"/>
    <b v="0"/>
    <b v="0"/>
    <n v="7"/>
    <b v="0"/>
    <b v="0"/>
    <b v="0"/>
    <s v="Prolific"/>
  </r>
  <r>
    <n v="754"/>
    <d v="2026-01-27T18:04:54"/>
    <d v="2026-01-27T18:15:04"/>
    <s v="anonymous"/>
    <m/>
    <m/>
    <s v="18 - 25"/>
    <x v="1"/>
    <x v="3"/>
    <x v="2"/>
    <x v="0"/>
    <x v="0"/>
    <x v="0"/>
    <x v="0"/>
    <x v="2"/>
    <x v="1"/>
    <x v="0"/>
    <x v="0"/>
    <x v="3"/>
    <x v="2"/>
    <x v="1"/>
    <x v="3"/>
    <x v="1"/>
    <x v="1"/>
    <x v="2"/>
    <x v="0"/>
    <x v="0"/>
    <x v="2"/>
    <x v="1"/>
    <x v="3"/>
    <x v="1"/>
    <x v="1"/>
    <x v="1"/>
    <x v="1"/>
    <n v="4"/>
    <n v="4"/>
    <b v="0"/>
    <b v="0"/>
    <b v="0"/>
    <b v="0"/>
    <b v="0"/>
    <n v="2"/>
    <b v="0"/>
    <b v="0"/>
    <n v="0"/>
    <b v="0"/>
    <b v="0"/>
    <b v="0"/>
    <s v="Prolific"/>
  </r>
  <r>
    <n v="756"/>
    <d v="2026-01-27T18:05:56"/>
    <d v="2026-01-27T18:12:38"/>
    <s v="anonymous"/>
    <m/>
    <m/>
    <s v="18 - 25"/>
    <x v="1"/>
    <x v="0"/>
    <x v="1"/>
    <x v="4"/>
    <x v="0"/>
    <x v="0"/>
    <x v="1"/>
    <x v="0"/>
    <x v="0"/>
    <x v="2"/>
    <x v="0"/>
    <x v="0"/>
    <x v="1"/>
    <x v="2"/>
    <x v="0"/>
    <x v="1"/>
    <x v="1"/>
    <x v="1"/>
    <x v="0"/>
    <x v="0"/>
    <x v="2"/>
    <x v="3"/>
    <x v="3"/>
    <x v="1"/>
    <x v="2"/>
    <x v="2"/>
    <x v="2"/>
    <n v="2"/>
    <n v="2"/>
    <b v="0"/>
    <b v="0"/>
    <b v="0"/>
    <b v="0"/>
    <b v="0"/>
    <n v="2"/>
    <b v="0"/>
    <b v="0"/>
    <n v="1"/>
    <b v="0"/>
    <b v="0"/>
    <b v="0"/>
    <s v="Prolific"/>
  </r>
  <r>
    <n v="757"/>
    <d v="2026-01-27T18:06:17"/>
    <d v="2026-01-27T18:07:55"/>
    <s v="anonymous"/>
    <m/>
    <m/>
    <s v="18 - 25"/>
    <x v="1"/>
    <x v="0"/>
    <x v="3"/>
    <x v="4"/>
    <x v="0"/>
    <x v="0"/>
    <x v="1"/>
    <x v="0"/>
    <x v="0"/>
    <x v="2"/>
    <x v="0"/>
    <x v="1"/>
    <x v="1"/>
    <x v="4"/>
    <x v="2"/>
    <x v="3"/>
    <x v="1"/>
    <x v="2"/>
    <x v="1"/>
    <x v="1"/>
    <x v="0"/>
    <x v="1"/>
    <x v="0"/>
    <x v="2"/>
    <x v="2"/>
    <x v="2"/>
    <x v="2"/>
    <n v="2"/>
    <n v="2"/>
    <b v="0"/>
    <b v="0"/>
    <b v="0"/>
    <b v="0"/>
    <b v="0"/>
    <n v="0"/>
    <b v="0"/>
    <b v="0"/>
    <n v="15"/>
    <b v="0"/>
    <b v="0"/>
    <b v="0"/>
    <s v="Prolific"/>
  </r>
  <r>
    <n v="765"/>
    <d v="2026-01-27T18:09:17"/>
    <d v="2026-01-27T18:19:29"/>
    <s v="anonymous"/>
    <m/>
    <m/>
    <s v="18 - 25"/>
    <x v="0"/>
    <x v="0"/>
    <x v="2"/>
    <x v="0"/>
    <x v="0"/>
    <x v="0"/>
    <x v="1"/>
    <x v="2"/>
    <x v="1"/>
    <x v="0"/>
    <x v="2"/>
    <x v="1"/>
    <x v="1"/>
    <x v="2"/>
    <x v="1"/>
    <x v="2"/>
    <x v="1"/>
    <x v="2"/>
    <x v="0"/>
    <x v="0"/>
    <x v="2"/>
    <x v="3"/>
    <x v="3"/>
    <x v="1"/>
    <x v="0"/>
    <x v="0"/>
    <x v="0"/>
    <n v="3"/>
    <n v="3"/>
    <b v="0"/>
    <b v="0"/>
    <b v="0"/>
    <b v="0"/>
    <b v="0"/>
    <n v="1"/>
    <b v="0"/>
    <b v="0"/>
    <n v="1"/>
    <b v="0"/>
    <b v="0"/>
    <b v="0"/>
    <s v="Prolific"/>
  </r>
  <r>
    <n v="767"/>
    <d v="2026-01-27T18:12:24"/>
    <d v="2026-01-27T18:23:00"/>
    <s v="anonymous"/>
    <m/>
    <m/>
    <s v="18 - 25"/>
    <x v="0"/>
    <x v="0"/>
    <x v="3"/>
    <x v="4"/>
    <x v="0"/>
    <x v="1"/>
    <x v="2"/>
    <x v="2"/>
    <x v="2"/>
    <x v="2"/>
    <x v="0"/>
    <x v="0"/>
    <x v="0"/>
    <x v="0"/>
    <x v="0"/>
    <x v="0"/>
    <x v="1"/>
    <x v="0"/>
    <x v="2"/>
    <x v="0"/>
    <x v="2"/>
    <x v="0"/>
    <x v="0"/>
    <x v="1"/>
    <x v="2"/>
    <x v="4"/>
    <x v="4"/>
    <n v="5"/>
    <n v="2"/>
    <b v="0"/>
    <b v="0"/>
    <b v="0"/>
    <b v="0"/>
    <b v="0"/>
    <n v="9"/>
    <b v="0"/>
    <b v="0"/>
    <n v="5"/>
    <b v="0"/>
    <b v="0"/>
    <b v="0"/>
    <s v="Prolific"/>
  </r>
  <r>
    <n v="769"/>
    <d v="2026-01-27T18:15:44"/>
    <d v="2026-01-27T18:28:05"/>
    <s v="anonymous"/>
    <m/>
    <m/>
    <s v="18 - 25"/>
    <x v="2"/>
    <x v="2"/>
    <x v="2"/>
    <x v="4"/>
    <x v="0"/>
    <x v="0"/>
    <x v="1"/>
    <x v="0"/>
    <x v="2"/>
    <x v="1"/>
    <x v="0"/>
    <x v="0"/>
    <x v="0"/>
    <x v="0"/>
    <x v="0"/>
    <x v="2"/>
    <x v="1"/>
    <x v="1"/>
    <x v="0"/>
    <x v="0"/>
    <x v="2"/>
    <x v="2"/>
    <x v="3"/>
    <x v="1"/>
    <x v="1"/>
    <x v="2"/>
    <x v="2"/>
    <n v="2"/>
    <n v="4"/>
    <b v="0"/>
    <b v="0"/>
    <b v="0"/>
    <b v="0"/>
    <b v="0"/>
    <n v="4"/>
    <b v="0"/>
    <b v="0"/>
    <n v="9"/>
    <b v="0"/>
    <b v="0"/>
    <b v="0"/>
    <s v="Prolific"/>
  </r>
  <r>
    <n v="770"/>
    <d v="2026-01-27T18:16:02"/>
    <d v="2026-01-27T18:18:13"/>
    <s v="anonymous"/>
    <m/>
    <m/>
    <s v="18 - 25"/>
    <x v="0"/>
    <x v="2"/>
    <x v="3"/>
    <x v="4"/>
    <x v="1"/>
    <x v="1"/>
    <x v="0"/>
    <x v="2"/>
    <x v="1"/>
    <x v="1"/>
    <x v="0"/>
    <x v="0"/>
    <x v="1"/>
    <x v="1"/>
    <x v="1"/>
    <x v="1"/>
    <x v="3"/>
    <x v="1"/>
    <x v="0"/>
    <x v="0"/>
    <x v="1"/>
    <x v="2"/>
    <x v="0"/>
    <x v="1"/>
    <x v="2"/>
    <x v="2"/>
    <x v="2"/>
    <n v="2"/>
    <n v="2"/>
    <b v="0"/>
    <b v="0"/>
    <b v="0"/>
    <b v="0"/>
    <b v="0"/>
    <n v="0"/>
    <b v="0"/>
    <b v="0"/>
    <n v="3"/>
    <b v="0"/>
    <b v="0"/>
    <b v="0"/>
    <s v="Prolific"/>
  </r>
  <r>
    <n v="771"/>
    <d v="2026-01-27T18:16:06"/>
    <d v="2026-01-27T18:26:02"/>
    <s v="anonymous"/>
    <m/>
    <m/>
    <s v="18 - 25"/>
    <x v="0"/>
    <x v="0"/>
    <x v="3"/>
    <x v="4"/>
    <x v="1"/>
    <x v="1"/>
    <x v="0"/>
    <x v="1"/>
    <x v="1"/>
    <x v="0"/>
    <x v="1"/>
    <x v="0"/>
    <x v="0"/>
    <x v="1"/>
    <x v="0"/>
    <x v="0"/>
    <x v="0"/>
    <x v="1"/>
    <x v="1"/>
    <x v="0"/>
    <x v="1"/>
    <x v="1"/>
    <x v="1"/>
    <x v="1"/>
    <x v="0"/>
    <x v="0"/>
    <x v="0"/>
    <n v="3"/>
    <n v="3"/>
    <b v="0"/>
    <b v="0"/>
    <b v="0"/>
    <b v="0"/>
    <b v="0"/>
    <n v="2"/>
    <b v="0"/>
    <b v="0"/>
    <n v="4"/>
    <b v="0"/>
    <b v="0"/>
    <b v="0"/>
    <s v="Prolific"/>
  </r>
  <r>
    <n v="773"/>
    <d v="2026-01-27T18:16:21"/>
    <d v="2026-01-27T18:32:51"/>
    <s v="anonymous"/>
    <m/>
    <m/>
    <s v="18 - 25"/>
    <x v="0"/>
    <x v="0"/>
    <x v="4"/>
    <x v="4"/>
    <x v="1"/>
    <x v="1"/>
    <x v="1"/>
    <x v="2"/>
    <x v="3"/>
    <x v="2"/>
    <x v="4"/>
    <x v="4"/>
    <x v="4"/>
    <x v="2"/>
    <x v="2"/>
    <x v="1"/>
    <x v="1"/>
    <x v="1"/>
    <x v="2"/>
    <x v="1"/>
    <x v="2"/>
    <x v="3"/>
    <x v="0"/>
    <x v="4"/>
    <x v="2"/>
    <x v="2"/>
    <x v="2"/>
    <n v="2"/>
    <n v="2"/>
    <b v="0"/>
    <b v="0"/>
    <b v="0"/>
    <b v="0"/>
    <b v="0"/>
    <n v="5"/>
    <b v="0"/>
    <b v="0"/>
    <n v="5"/>
    <b v="0"/>
    <b v="0"/>
    <b v="0"/>
    <s v="Prolific"/>
  </r>
  <r>
    <n v="774"/>
    <d v="2026-01-27T18:16:40"/>
    <d v="2026-01-27T18:23:43"/>
    <s v="anonymous"/>
    <m/>
    <m/>
    <s v="18 - 25"/>
    <x v="0"/>
    <x v="0"/>
    <x v="3"/>
    <x v="4"/>
    <x v="0"/>
    <x v="0"/>
    <x v="1"/>
    <x v="2"/>
    <x v="1"/>
    <x v="0"/>
    <x v="0"/>
    <x v="3"/>
    <x v="0"/>
    <x v="0"/>
    <x v="2"/>
    <x v="1"/>
    <x v="3"/>
    <x v="1"/>
    <x v="1"/>
    <x v="0"/>
    <x v="2"/>
    <x v="1"/>
    <x v="0"/>
    <x v="0"/>
    <x v="1"/>
    <x v="1"/>
    <x v="1"/>
    <n v="4"/>
    <n v="4"/>
    <b v="0"/>
    <b v="0"/>
    <b v="0"/>
    <b v="0"/>
    <b v="0"/>
    <n v="2"/>
    <b v="0"/>
    <b v="0"/>
    <n v="11"/>
    <b v="0"/>
    <b v="0"/>
    <b v="0"/>
    <s v="Prolific"/>
  </r>
  <r>
    <n v="783"/>
    <d v="2026-01-27T18:28:09"/>
    <d v="2026-01-27T18:35:15"/>
    <s v="anonymous"/>
    <m/>
    <m/>
    <s v="18 - 25"/>
    <x v="1"/>
    <x v="2"/>
    <x v="2"/>
    <x v="4"/>
    <x v="0"/>
    <x v="0"/>
    <x v="0"/>
    <x v="2"/>
    <x v="1"/>
    <x v="0"/>
    <x v="2"/>
    <x v="0"/>
    <x v="2"/>
    <x v="1"/>
    <x v="3"/>
    <x v="3"/>
    <x v="3"/>
    <x v="3"/>
    <x v="1"/>
    <x v="0"/>
    <x v="2"/>
    <x v="3"/>
    <x v="0"/>
    <x v="2"/>
    <x v="4"/>
    <x v="2"/>
    <x v="2"/>
    <n v="2"/>
    <n v="1"/>
    <b v="0"/>
    <b v="0"/>
    <b v="0"/>
    <b v="0"/>
    <b v="0"/>
    <n v="1"/>
    <b v="0"/>
    <b v="0"/>
    <n v="14"/>
    <b v="0"/>
    <b v="0"/>
    <b v="0"/>
    <s v="Prolific"/>
  </r>
  <r>
    <n v="786"/>
    <d v="2026-01-27T18:32:40"/>
    <d v="2026-01-27T18:40:59"/>
    <s v="anonymous"/>
    <m/>
    <m/>
    <s v="18 - 25"/>
    <x v="0"/>
    <x v="0"/>
    <x v="2"/>
    <x v="0"/>
    <x v="0"/>
    <x v="0"/>
    <x v="1"/>
    <x v="1"/>
    <x v="1"/>
    <x v="0"/>
    <x v="0"/>
    <x v="0"/>
    <x v="1"/>
    <x v="2"/>
    <x v="1"/>
    <x v="1"/>
    <x v="0"/>
    <x v="1"/>
    <x v="0"/>
    <x v="1"/>
    <x v="2"/>
    <x v="3"/>
    <x v="1"/>
    <x v="4"/>
    <x v="2"/>
    <x v="2"/>
    <x v="2"/>
    <n v="2"/>
    <n v="2"/>
    <b v="0"/>
    <b v="0"/>
    <b v="0"/>
    <b v="0"/>
    <b v="0"/>
    <n v="1"/>
    <b v="0"/>
    <b v="0"/>
    <n v="17"/>
    <b v="0"/>
    <b v="0"/>
    <b v="0"/>
    <s v="Prolific"/>
  </r>
  <r>
    <n v="787"/>
    <d v="2026-01-27T18:33:58"/>
    <d v="2026-01-27T18:39:46"/>
    <s v="anonymous"/>
    <m/>
    <m/>
    <s v="18 - 25"/>
    <x v="1"/>
    <x v="1"/>
    <x v="2"/>
    <x v="4"/>
    <x v="0"/>
    <x v="1"/>
    <x v="0"/>
    <x v="0"/>
    <x v="1"/>
    <x v="0"/>
    <x v="0"/>
    <x v="0"/>
    <x v="0"/>
    <x v="0"/>
    <x v="1"/>
    <x v="1"/>
    <x v="0"/>
    <x v="2"/>
    <x v="0"/>
    <x v="1"/>
    <x v="0"/>
    <x v="2"/>
    <x v="0"/>
    <x v="1"/>
    <x v="0"/>
    <x v="0"/>
    <x v="0"/>
    <n v="3"/>
    <n v="3"/>
    <b v="0"/>
    <b v="0"/>
    <b v="0"/>
    <b v="0"/>
    <b v="0"/>
    <n v="1"/>
    <b v="0"/>
    <b v="0"/>
    <n v="20"/>
    <b v="0"/>
    <b v="0"/>
    <b v="0"/>
    <s v="Prolific"/>
  </r>
  <r>
    <n v="790"/>
    <d v="2026-01-27T18:36:49"/>
    <d v="2026-01-27T18:46:04"/>
    <s v="anonymous"/>
    <m/>
    <m/>
    <s v="18 - 25"/>
    <x v="0"/>
    <x v="0"/>
    <x v="3"/>
    <x v="4"/>
    <x v="0"/>
    <x v="0"/>
    <x v="0"/>
    <x v="2"/>
    <x v="0"/>
    <x v="2"/>
    <x v="3"/>
    <x v="0"/>
    <x v="0"/>
    <x v="4"/>
    <x v="0"/>
    <x v="0"/>
    <x v="1"/>
    <x v="0"/>
    <x v="2"/>
    <x v="0"/>
    <x v="3"/>
    <x v="3"/>
    <x v="0"/>
    <x v="4"/>
    <x v="4"/>
    <x v="2"/>
    <x v="2"/>
    <n v="2"/>
    <n v="1"/>
    <b v="0"/>
    <b v="0"/>
    <b v="0"/>
    <b v="0"/>
    <b v="0"/>
    <n v="8"/>
    <b v="0"/>
    <b v="0"/>
    <n v="3"/>
    <b v="0"/>
    <b v="0"/>
    <b v="0"/>
    <s v="Prolific"/>
  </r>
  <r>
    <n v="794"/>
    <d v="2026-01-27T18:39:55"/>
    <d v="2026-01-27T18:48:46"/>
    <s v="anonymous"/>
    <m/>
    <m/>
    <s v="18 - 25"/>
    <x v="0"/>
    <x v="0"/>
    <x v="3"/>
    <x v="4"/>
    <x v="1"/>
    <x v="1"/>
    <x v="2"/>
    <x v="0"/>
    <x v="3"/>
    <x v="2"/>
    <x v="4"/>
    <x v="4"/>
    <x v="4"/>
    <x v="4"/>
    <x v="4"/>
    <x v="4"/>
    <x v="3"/>
    <x v="4"/>
    <x v="0"/>
    <x v="4"/>
    <x v="3"/>
    <x v="3"/>
    <x v="1"/>
    <x v="3"/>
    <x v="4"/>
    <x v="3"/>
    <x v="3"/>
    <n v="1"/>
    <n v="1"/>
    <b v="0"/>
    <b v="0"/>
    <b v="0"/>
    <b v="0"/>
    <b v="0"/>
    <n v="12"/>
    <b v="0"/>
    <b v="0"/>
    <n v="7"/>
    <b v="0"/>
    <b v="0"/>
    <b v="0"/>
    <s v="Prolific"/>
  </r>
  <r>
    <n v="803"/>
    <d v="2026-01-27T19:03:28"/>
    <d v="2026-01-27T19:15:38"/>
    <s v="anonymous"/>
    <m/>
    <m/>
    <s v="18 - 25"/>
    <x v="0"/>
    <x v="0"/>
    <x v="3"/>
    <x v="0"/>
    <x v="1"/>
    <x v="1"/>
    <x v="2"/>
    <x v="2"/>
    <x v="1"/>
    <x v="2"/>
    <x v="2"/>
    <x v="0"/>
    <x v="1"/>
    <x v="1"/>
    <x v="2"/>
    <x v="1"/>
    <x v="1"/>
    <x v="1"/>
    <x v="1"/>
    <x v="2"/>
    <x v="2"/>
    <x v="2"/>
    <x v="0"/>
    <x v="3"/>
    <x v="4"/>
    <x v="2"/>
    <x v="2"/>
    <n v="2"/>
    <n v="1"/>
    <b v="0"/>
    <b v="0"/>
    <b v="0"/>
    <b v="0"/>
    <b v="0"/>
    <n v="2"/>
    <b v="0"/>
    <b v="0"/>
    <n v="13"/>
    <b v="0"/>
    <b v="0"/>
    <b v="0"/>
    <s v="Prolific"/>
  </r>
  <r>
    <n v="813"/>
    <d v="2026-01-27T19:59:41"/>
    <d v="2026-01-27T20:28:47"/>
    <s v="anonymous"/>
    <m/>
    <m/>
    <s v="18 - 25"/>
    <x v="0"/>
    <x v="1"/>
    <x v="0"/>
    <x v="6"/>
    <x v="0"/>
    <x v="0"/>
    <x v="0"/>
    <x v="2"/>
    <x v="1"/>
    <x v="0"/>
    <x v="2"/>
    <x v="1"/>
    <x v="0"/>
    <x v="0"/>
    <x v="1"/>
    <x v="1"/>
    <x v="2"/>
    <x v="2"/>
    <x v="0"/>
    <x v="0"/>
    <x v="2"/>
    <x v="1"/>
    <x v="3"/>
    <x v="4"/>
    <x v="1"/>
    <x v="4"/>
    <x v="1"/>
    <n v="4"/>
    <n v="4"/>
    <b v="0"/>
    <b v="0"/>
    <b v="0"/>
    <b v="0"/>
    <b v="0"/>
    <n v="5"/>
    <b v="0"/>
    <b v="0"/>
    <n v="10"/>
    <b v="0"/>
    <b v="0"/>
    <b v="0"/>
    <s v="Prolific"/>
  </r>
  <r>
    <n v="815"/>
    <d v="2026-01-27T20:13:01"/>
    <d v="2026-01-27T20:26:19"/>
    <s v="anonymous"/>
    <m/>
    <m/>
    <s v="18 - 25"/>
    <x v="0"/>
    <x v="0"/>
    <x v="1"/>
    <x v="4"/>
    <x v="0"/>
    <x v="0"/>
    <x v="0"/>
    <x v="2"/>
    <x v="1"/>
    <x v="1"/>
    <x v="0"/>
    <x v="0"/>
    <x v="3"/>
    <x v="0"/>
    <x v="0"/>
    <x v="0"/>
    <x v="2"/>
    <x v="0"/>
    <x v="2"/>
    <x v="3"/>
    <x v="4"/>
    <x v="2"/>
    <x v="3"/>
    <x v="2"/>
    <x v="1"/>
    <x v="4"/>
    <x v="1"/>
    <n v="4"/>
    <n v="4"/>
    <b v="0"/>
    <b v="0"/>
    <b v="0"/>
    <b v="0"/>
    <b v="0"/>
    <n v="11"/>
    <b v="0"/>
    <b v="0"/>
    <n v="21"/>
    <b v="0"/>
    <b v="0"/>
    <b v="0"/>
    <s v="Prolific"/>
  </r>
  <r>
    <n v="820"/>
    <d v="2026-02-03T20:57:57"/>
    <d v="2026-02-03T21:01:49"/>
    <s v="anonymous"/>
    <m/>
    <m/>
    <s v="18 - 25"/>
    <x v="0"/>
    <x v="0"/>
    <x v="0"/>
    <x v="0"/>
    <x v="0"/>
    <x v="0"/>
    <x v="1"/>
    <x v="0"/>
    <x v="1"/>
    <x v="0"/>
    <x v="0"/>
    <x v="0"/>
    <x v="0"/>
    <x v="1"/>
    <x v="1"/>
    <x v="2"/>
    <x v="0"/>
    <x v="1"/>
    <x v="0"/>
    <x v="1"/>
    <x v="2"/>
    <x v="1"/>
    <x v="3"/>
    <x v="1"/>
    <x v="3"/>
    <x v="1"/>
    <x v="4"/>
    <n v="5"/>
    <n v="5"/>
    <b v="0"/>
    <b v="0"/>
    <b v="0"/>
    <b v="0"/>
    <b v="0"/>
    <n v="3"/>
    <b v="0"/>
    <b v="0"/>
    <n v="10"/>
    <b v="0"/>
    <b v="0"/>
    <b v="0"/>
    <s v="Prolific"/>
  </r>
  <r>
    <n v="823"/>
    <d v="2026-02-03T20:58:00"/>
    <d v="2026-02-03T21:01:11"/>
    <s v="anonymous"/>
    <m/>
    <m/>
    <s v="18 - 25"/>
    <x v="0"/>
    <x v="2"/>
    <x v="2"/>
    <x v="0"/>
    <x v="0"/>
    <x v="0"/>
    <x v="0"/>
    <x v="2"/>
    <x v="1"/>
    <x v="1"/>
    <x v="0"/>
    <x v="0"/>
    <x v="0"/>
    <x v="1"/>
    <x v="1"/>
    <x v="1"/>
    <x v="1"/>
    <x v="1"/>
    <x v="0"/>
    <x v="0"/>
    <x v="2"/>
    <x v="1"/>
    <x v="0"/>
    <x v="0"/>
    <x v="3"/>
    <x v="1"/>
    <x v="4"/>
    <n v="5"/>
    <n v="5"/>
    <b v="0"/>
    <b v="0"/>
    <b v="0"/>
    <b v="0"/>
    <b v="0"/>
    <n v="2"/>
    <b v="0"/>
    <b v="0"/>
    <n v="1"/>
    <b v="0"/>
    <b v="0"/>
    <b v="0"/>
    <s v="Prolific"/>
  </r>
  <r>
    <n v="828"/>
    <d v="2026-02-03T20:58:15"/>
    <d v="2026-02-03T21:03:59"/>
    <s v="anonymous"/>
    <m/>
    <m/>
    <s v="18 - 25"/>
    <x v="0"/>
    <x v="0"/>
    <x v="4"/>
    <x v="4"/>
    <x v="1"/>
    <x v="1"/>
    <x v="0"/>
    <x v="0"/>
    <x v="0"/>
    <x v="0"/>
    <x v="0"/>
    <x v="0"/>
    <x v="0"/>
    <x v="1"/>
    <x v="0"/>
    <x v="1"/>
    <x v="1"/>
    <x v="2"/>
    <x v="0"/>
    <x v="0"/>
    <x v="1"/>
    <x v="1"/>
    <x v="0"/>
    <x v="1"/>
    <x v="2"/>
    <x v="2"/>
    <x v="2"/>
    <n v="2"/>
    <n v="2"/>
    <b v="0"/>
    <b v="0"/>
    <b v="0"/>
    <b v="0"/>
    <b v="0"/>
    <n v="1"/>
    <b v="0"/>
    <b v="0"/>
    <n v="4"/>
    <b v="0"/>
    <b v="0"/>
    <b v="0"/>
    <s v="Prolific"/>
  </r>
  <r>
    <n v="829"/>
    <d v="2026-02-03T20:58:15"/>
    <d v="2026-02-03T21:04:49"/>
    <s v="anonymous"/>
    <m/>
    <m/>
    <s v="18 - 25"/>
    <x v="0"/>
    <x v="0"/>
    <x v="1"/>
    <x v="0"/>
    <x v="0"/>
    <x v="0"/>
    <x v="0"/>
    <x v="1"/>
    <x v="1"/>
    <x v="0"/>
    <x v="0"/>
    <x v="0"/>
    <x v="1"/>
    <x v="2"/>
    <x v="0"/>
    <x v="1"/>
    <x v="1"/>
    <x v="1"/>
    <x v="0"/>
    <x v="3"/>
    <x v="0"/>
    <x v="2"/>
    <x v="3"/>
    <x v="2"/>
    <x v="2"/>
    <x v="2"/>
    <x v="2"/>
    <n v="2"/>
    <n v="2"/>
    <b v="0"/>
    <b v="0"/>
    <b v="0"/>
    <b v="0"/>
    <b v="0"/>
    <n v="3"/>
    <b v="0"/>
    <b v="0"/>
    <n v="13"/>
    <b v="0"/>
    <b v="0"/>
    <b v="0"/>
    <s v="Prolific"/>
  </r>
  <r>
    <n v="832"/>
    <d v="2026-02-03T20:58:17"/>
    <d v="2026-02-03T21:11:41"/>
    <s v="anonymous"/>
    <m/>
    <m/>
    <s v="18 - 25"/>
    <x v="1"/>
    <x v="0"/>
    <x v="3"/>
    <x v="4"/>
    <x v="0"/>
    <x v="0"/>
    <x v="2"/>
    <x v="2"/>
    <x v="1"/>
    <x v="4"/>
    <x v="2"/>
    <x v="1"/>
    <x v="1"/>
    <x v="4"/>
    <x v="3"/>
    <x v="2"/>
    <x v="3"/>
    <x v="3"/>
    <x v="3"/>
    <x v="2"/>
    <x v="0"/>
    <x v="3"/>
    <x v="1"/>
    <x v="1"/>
    <x v="0"/>
    <x v="2"/>
    <x v="2"/>
    <n v="2"/>
    <n v="3"/>
    <b v="0"/>
    <b v="0"/>
    <b v="0"/>
    <b v="0"/>
    <b v="0"/>
    <n v="1"/>
    <b v="0"/>
    <b v="0"/>
    <n v="7"/>
    <b v="0"/>
    <b v="0"/>
    <b v="0"/>
    <s v="Prolific"/>
  </r>
  <r>
    <n v="844"/>
    <d v="2026-02-03T20:58:39"/>
    <d v="2026-02-03T21:08:43"/>
    <s v="anonymous"/>
    <m/>
    <m/>
    <s v="18 - 25"/>
    <x v="1"/>
    <x v="1"/>
    <x v="3"/>
    <x v="4"/>
    <x v="1"/>
    <x v="1"/>
    <x v="0"/>
    <x v="2"/>
    <x v="1"/>
    <x v="1"/>
    <x v="3"/>
    <x v="0"/>
    <x v="0"/>
    <x v="1"/>
    <x v="0"/>
    <x v="0"/>
    <x v="1"/>
    <x v="0"/>
    <x v="2"/>
    <x v="3"/>
    <x v="4"/>
    <x v="1"/>
    <x v="3"/>
    <x v="1"/>
    <x v="3"/>
    <x v="1"/>
    <x v="4"/>
    <n v="5"/>
    <n v="5"/>
    <b v="0"/>
    <b v="0"/>
    <b v="0"/>
    <b v="0"/>
    <b v="0"/>
    <n v="10"/>
    <b v="0"/>
    <b v="0"/>
    <n v="20"/>
    <b v="0"/>
    <b v="0"/>
    <b v="0"/>
    <s v="Prolific"/>
  </r>
  <r>
    <n v="845"/>
    <d v="2026-02-03T20:58:42"/>
    <d v="2026-02-03T21:02:33"/>
    <s v="anonymous"/>
    <m/>
    <m/>
    <s v="18 - 25"/>
    <x v="1"/>
    <x v="0"/>
    <x v="8"/>
    <x v="2"/>
    <x v="0"/>
    <x v="0"/>
    <x v="2"/>
    <x v="2"/>
    <x v="1"/>
    <x v="0"/>
    <x v="2"/>
    <x v="1"/>
    <x v="1"/>
    <x v="2"/>
    <x v="2"/>
    <x v="1"/>
    <x v="0"/>
    <x v="2"/>
    <x v="1"/>
    <x v="2"/>
    <x v="0"/>
    <x v="2"/>
    <x v="0"/>
    <x v="1"/>
    <x v="0"/>
    <x v="2"/>
    <x v="2"/>
    <n v="2"/>
    <n v="3"/>
    <b v="0"/>
    <b v="0"/>
    <b v="0"/>
    <b v="0"/>
    <b v="0"/>
    <n v="0"/>
    <b v="0"/>
    <b v="0"/>
    <n v="21"/>
    <b v="0"/>
    <b v="0"/>
    <b v="0"/>
    <s v="Prolific"/>
  </r>
  <r>
    <n v="851"/>
    <d v="2026-02-03T20:58:56"/>
    <d v="2026-02-03T21:02:51"/>
    <s v="anonymous"/>
    <m/>
    <m/>
    <s v="18 - 25"/>
    <x v="0"/>
    <x v="0"/>
    <x v="1"/>
    <x v="5"/>
    <x v="0"/>
    <x v="0"/>
    <x v="4"/>
    <x v="0"/>
    <x v="2"/>
    <x v="1"/>
    <x v="0"/>
    <x v="0"/>
    <x v="0"/>
    <x v="1"/>
    <x v="2"/>
    <x v="0"/>
    <x v="0"/>
    <x v="1"/>
    <x v="0"/>
    <x v="3"/>
    <x v="1"/>
    <x v="1"/>
    <x v="1"/>
    <x v="1"/>
    <x v="1"/>
    <x v="0"/>
    <x v="0"/>
    <n v="3"/>
    <n v="4"/>
    <b v="0"/>
    <b v="0"/>
    <b v="0"/>
    <b v="0"/>
    <b v="0"/>
    <n v="4"/>
    <b v="0"/>
    <b v="0"/>
    <n v="8"/>
    <b v="0"/>
    <b v="0"/>
    <b v="0"/>
    <s v="Prolific"/>
  </r>
  <r>
    <n v="852"/>
    <d v="2026-02-03T20:58:57"/>
    <d v="2026-02-03T21:02:01"/>
    <s v="anonymous"/>
    <m/>
    <m/>
    <s v="18 - 25"/>
    <x v="0"/>
    <x v="0"/>
    <x v="0"/>
    <x v="4"/>
    <x v="0"/>
    <x v="0"/>
    <x v="0"/>
    <x v="0"/>
    <x v="1"/>
    <x v="0"/>
    <x v="2"/>
    <x v="2"/>
    <x v="2"/>
    <x v="1"/>
    <x v="0"/>
    <x v="0"/>
    <x v="0"/>
    <x v="0"/>
    <x v="2"/>
    <x v="1"/>
    <x v="0"/>
    <x v="2"/>
    <x v="1"/>
    <x v="0"/>
    <x v="4"/>
    <x v="2"/>
    <x v="2"/>
    <n v="2"/>
    <n v="1"/>
    <b v="0"/>
    <b v="0"/>
    <b v="0"/>
    <b v="0"/>
    <b v="0"/>
    <n v="5"/>
    <b v="0"/>
    <b v="0"/>
    <n v="8"/>
    <b v="0"/>
    <b v="0"/>
    <b v="0"/>
    <s v="Prolific"/>
  </r>
  <r>
    <n v="857"/>
    <d v="2026-02-03T20:59:00"/>
    <d v="2026-02-03T21:04:05"/>
    <s v="anonymous"/>
    <m/>
    <m/>
    <s v="18 - 25"/>
    <x v="0"/>
    <x v="0"/>
    <x v="3"/>
    <x v="0"/>
    <x v="0"/>
    <x v="0"/>
    <x v="0"/>
    <x v="1"/>
    <x v="1"/>
    <x v="1"/>
    <x v="3"/>
    <x v="2"/>
    <x v="0"/>
    <x v="0"/>
    <x v="0"/>
    <x v="0"/>
    <x v="2"/>
    <x v="0"/>
    <x v="0"/>
    <x v="3"/>
    <x v="2"/>
    <x v="0"/>
    <x v="3"/>
    <x v="2"/>
    <x v="0"/>
    <x v="2"/>
    <x v="2"/>
    <n v="2"/>
    <n v="3"/>
    <b v="0"/>
    <b v="0"/>
    <b v="0"/>
    <b v="0"/>
    <b v="0"/>
    <n v="9"/>
    <b v="0"/>
    <b v="0"/>
    <n v="3"/>
    <b v="0"/>
    <b v="0"/>
    <b v="0"/>
    <s v="Prolific"/>
  </r>
  <r>
    <n v="859"/>
    <d v="2026-02-03T20:59:01"/>
    <d v="2026-02-03T21:05:25"/>
    <s v="anonymous"/>
    <m/>
    <m/>
    <s v="18 - 25"/>
    <x v="0"/>
    <x v="1"/>
    <x v="3"/>
    <x v="4"/>
    <x v="0"/>
    <x v="0"/>
    <x v="1"/>
    <x v="0"/>
    <x v="0"/>
    <x v="2"/>
    <x v="2"/>
    <x v="1"/>
    <x v="1"/>
    <x v="2"/>
    <x v="1"/>
    <x v="1"/>
    <x v="0"/>
    <x v="1"/>
    <x v="1"/>
    <x v="0"/>
    <x v="0"/>
    <x v="3"/>
    <x v="0"/>
    <x v="2"/>
    <x v="2"/>
    <x v="2"/>
    <x v="2"/>
    <n v="2"/>
    <n v="2"/>
    <b v="0"/>
    <b v="0"/>
    <b v="0"/>
    <b v="0"/>
    <b v="0"/>
    <n v="0"/>
    <b v="0"/>
    <b v="0"/>
    <n v="14"/>
    <b v="0"/>
    <b v="0"/>
    <b v="0"/>
    <s v="Prolific"/>
  </r>
  <r>
    <n v="865"/>
    <d v="2026-02-03T20:59:17"/>
    <d v="2026-02-03T21:03:07"/>
    <s v="anonymous"/>
    <m/>
    <m/>
    <s v="18 - 25"/>
    <x v="1"/>
    <x v="0"/>
    <x v="0"/>
    <x v="7"/>
    <x v="0"/>
    <x v="0"/>
    <x v="3"/>
    <x v="3"/>
    <x v="0"/>
    <x v="4"/>
    <x v="2"/>
    <x v="4"/>
    <x v="2"/>
    <x v="1"/>
    <x v="4"/>
    <x v="3"/>
    <x v="1"/>
    <x v="4"/>
    <x v="1"/>
    <x v="4"/>
    <x v="3"/>
    <x v="4"/>
    <x v="0"/>
    <x v="1"/>
    <x v="4"/>
    <x v="3"/>
    <x v="2"/>
    <n v="2"/>
    <n v="1"/>
    <b v="0"/>
    <b v="0"/>
    <b v="0"/>
    <b v="0"/>
    <b v="0"/>
    <n v="11"/>
    <b v="0"/>
    <b v="0"/>
    <n v="8"/>
    <b v="0"/>
    <b v="0"/>
    <b v="0"/>
    <s v="Prolific"/>
  </r>
  <r>
    <n v="867"/>
    <d v="2026-02-03T20:59:18"/>
    <d v="2026-02-03T21:05:58"/>
    <s v="anonymous"/>
    <m/>
    <m/>
    <s v="18 - 25"/>
    <x v="1"/>
    <x v="1"/>
    <x v="3"/>
    <x v="4"/>
    <x v="0"/>
    <x v="0"/>
    <x v="0"/>
    <x v="2"/>
    <x v="2"/>
    <x v="1"/>
    <x v="0"/>
    <x v="1"/>
    <x v="3"/>
    <x v="1"/>
    <x v="1"/>
    <x v="1"/>
    <x v="1"/>
    <x v="1"/>
    <x v="0"/>
    <x v="0"/>
    <x v="1"/>
    <x v="1"/>
    <x v="3"/>
    <x v="1"/>
    <x v="1"/>
    <x v="0"/>
    <x v="0"/>
    <n v="3"/>
    <n v="4"/>
    <b v="0"/>
    <b v="0"/>
    <b v="0"/>
    <b v="0"/>
    <b v="0"/>
    <n v="3"/>
    <b v="0"/>
    <b v="0"/>
    <n v="3"/>
    <b v="0"/>
    <b v="0"/>
    <b v="0"/>
    <s v="Prolific"/>
  </r>
  <r>
    <n v="879"/>
    <d v="2026-02-03T20:59:44"/>
    <d v="2026-02-03T21:10:10"/>
    <s v="anonymous"/>
    <m/>
    <m/>
    <s v="18 - 25"/>
    <x v="0"/>
    <x v="1"/>
    <x v="3"/>
    <x v="0"/>
    <x v="0"/>
    <x v="0"/>
    <x v="2"/>
    <x v="2"/>
    <x v="1"/>
    <x v="1"/>
    <x v="2"/>
    <x v="2"/>
    <x v="2"/>
    <x v="2"/>
    <x v="2"/>
    <x v="2"/>
    <x v="3"/>
    <x v="3"/>
    <x v="1"/>
    <x v="2"/>
    <x v="2"/>
    <x v="2"/>
    <x v="0"/>
    <x v="1"/>
    <x v="0"/>
    <x v="0"/>
    <x v="0"/>
    <n v="3"/>
    <n v="3"/>
    <b v="0"/>
    <b v="0"/>
    <b v="0"/>
    <b v="0"/>
    <b v="0"/>
    <n v="0"/>
    <b v="0"/>
    <b v="0"/>
    <n v="7"/>
    <b v="0"/>
    <b v="0"/>
    <b v="0"/>
    <s v="Prolific"/>
  </r>
  <r>
    <n v="888"/>
    <d v="2026-02-03T20:59:55"/>
    <d v="2026-02-03T21:07:50"/>
    <s v="anonymous"/>
    <m/>
    <m/>
    <s v="18 - 25"/>
    <x v="0"/>
    <x v="0"/>
    <x v="3"/>
    <x v="0"/>
    <x v="0"/>
    <x v="0"/>
    <x v="1"/>
    <x v="2"/>
    <x v="3"/>
    <x v="2"/>
    <x v="0"/>
    <x v="0"/>
    <x v="1"/>
    <x v="1"/>
    <x v="1"/>
    <x v="1"/>
    <x v="0"/>
    <x v="1"/>
    <x v="0"/>
    <x v="0"/>
    <x v="2"/>
    <x v="1"/>
    <x v="0"/>
    <x v="1"/>
    <x v="0"/>
    <x v="0"/>
    <x v="0"/>
    <n v="3"/>
    <n v="3"/>
    <b v="0"/>
    <b v="0"/>
    <b v="0"/>
    <b v="0"/>
    <b v="0"/>
    <n v="0"/>
    <b v="0"/>
    <b v="0"/>
    <n v="6"/>
    <b v="0"/>
    <b v="0"/>
    <b v="0"/>
    <s v="Prolific"/>
  </r>
  <r>
    <n v="892"/>
    <d v="2026-02-03T20:59:59"/>
    <d v="2026-02-03T21:22:47"/>
    <s v="anonymous"/>
    <m/>
    <m/>
    <s v="18 - 25"/>
    <x v="1"/>
    <x v="0"/>
    <x v="2"/>
    <x v="0"/>
    <x v="0"/>
    <x v="0"/>
    <x v="1"/>
    <x v="0"/>
    <x v="2"/>
    <x v="1"/>
    <x v="0"/>
    <x v="3"/>
    <x v="3"/>
    <x v="2"/>
    <x v="1"/>
    <x v="1"/>
    <x v="1"/>
    <x v="1"/>
    <x v="0"/>
    <x v="0"/>
    <x v="4"/>
    <x v="2"/>
    <x v="0"/>
    <x v="1"/>
    <x v="2"/>
    <x v="2"/>
    <x v="2"/>
    <n v="2"/>
    <n v="2"/>
    <b v="0"/>
    <b v="0"/>
    <b v="0"/>
    <b v="0"/>
    <b v="0"/>
    <n v="4"/>
    <b v="0"/>
    <b v="0"/>
    <n v="8"/>
    <b v="0"/>
    <b v="0"/>
    <b v="0"/>
    <s v="Prolific"/>
  </r>
  <r>
    <n v="897"/>
    <d v="2026-02-03T21:00:12"/>
    <d v="2026-02-03T21:07:33"/>
    <s v="anonymous"/>
    <m/>
    <m/>
    <s v="18 - 25"/>
    <x v="0"/>
    <x v="3"/>
    <x v="0"/>
    <x v="4"/>
    <x v="0"/>
    <x v="1"/>
    <x v="0"/>
    <x v="0"/>
    <x v="1"/>
    <x v="0"/>
    <x v="0"/>
    <x v="0"/>
    <x v="1"/>
    <x v="2"/>
    <x v="1"/>
    <x v="0"/>
    <x v="3"/>
    <x v="2"/>
    <x v="1"/>
    <x v="1"/>
    <x v="2"/>
    <x v="3"/>
    <x v="2"/>
    <x v="0"/>
    <x v="2"/>
    <x v="2"/>
    <x v="2"/>
    <n v="2"/>
    <n v="2"/>
    <b v="0"/>
    <b v="0"/>
    <b v="0"/>
    <b v="0"/>
    <b v="0"/>
    <n v="1"/>
    <b v="0"/>
    <b v="0"/>
    <n v="5"/>
    <b v="0"/>
    <b v="0"/>
    <b v="0"/>
    <s v="Prolific"/>
  </r>
  <r>
    <n v="908"/>
    <d v="2026-02-03T21:00:58"/>
    <d v="2026-02-03T21:05:18"/>
    <s v="anonymous"/>
    <m/>
    <m/>
    <s v="18 - 25"/>
    <x v="0"/>
    <x v="0"/>
    <x v="2"/>
    <x v="0"/>
    <x v="0"/>
    <x v="0"/>
    <x v="0"/>
    <x v="0"/>
    <x v="1"/>
    <x v="0"/>
    <x v="0"/>
    <x v="0"/>
    <x v="2"/>
    <x v="2"/>
    <x v="1"/>
    <x v="2"/>
    <x v="1"/>
    <x v="0"/>
    <x v="2"/>
    <x v="0"/>
    <x v="2"/>
    <x v="3"/>
    <x v="0"/>
    <x v="4"/>
    <x v="2"/>
    <x v="0"/>
    <x v="0"/>
    <n v="3"/>
    <n v="2"/>
    <b v="0"/>
    <b v="0"/>
    <b v="0"/>
    <b v="0"/>
    <b v="0"/>
    <n v="3"/>
    <b v="0"/>
    <b v="0"/>
    <n v="6"/>
    <b v="0"/>
    <b v="0"/>
    <b v="0"/>
    <s v="Prolific"/>
  </r>
  <r>
    <n v="909"/>
    <d v="2026-02-03T21:00:58"/>
    <d v="2026-02-03T21:12:37"/>
    <s v="anonymous"/>
    <m/>
    <m/>
    <s v="18 - 25"/>
    <x v="0"/>
    <x v="0"/>
    <x v="3"/>
    <x v="0"/>
    <x v="0"/>
    <x v="0"/>
    <x v="2"/>
    <x v="0"/>
    <x v="1"/>
    <x v="2"/>
    <x v="2"/>
    <x v="1"/>
    <x v="1"/>
    <x v="2"/>
    <x v="0"/>
    <x v="1"/>
    <x v="0"/>
    <x v="1"/>
    <x v="1"/>
    <x v="2"/>
    <x v="3"/>
    <x v="3"/>
    <x v="4"/>
    <x v="3"/>
    <x v="2"/>
    <x v="2"/>
    <x v="2"/>
    <n v="2"/>
    <n v="2"/>
    <b v="0"/>
    <b v="0"/>
    <b v="0"/>
    <b v="0"/>
    <b v="0"/>
    <n v="4"/>
    <b v="0"/>
    <b v="0"/>
    <n v="2"/>
    <b v="0"/>
    <b v="0"/>
    <b v="0"/>
    <s v="Prolific"/>
  </r>
  <r>
    <n v="930"/>
    <d v="2026-02-03T21:03:04"/>
    <d v="2026-02-03T21:06:23"/>
    <s v="anonymous"/>
    <m/>
    <m/>
    <s v="18 - 25"/>
    <x v="1"/>
    <x v="1"/>
    <x v="2"/>
    <x v="0"/>
    <x v="0"/>
    <x v="0"/>
    <x v="0"/>
    <x v="2"/>
    <x v="1"/>
    <x v="1"/>
    <x v="0"/>
    <x v="3"/>
    <x v="2"/>
    <x v="1"/>
    <x v="1"/>
    <x v="1"/>
    <x v="1"/>
    <x v="1"/>
    <x v="0"/>
    <x v="0"/>
    <x v="2"/>
    <x v="2"/>
    <x v="0"/>
    <x v="1"/>
    <x v="1"/>
    <x v="1"/>
    <x v="1"/>
    <n v="4"/>
    <n v="4"/>
    <b v="0"/>
    <b v="0"/>
    <b v="0"/>
    <b v="0"/>
    <b v="0"/>
    <n v="1"/>
    <b v="0"/>
    <b v="0"/>
    <n v="5"/>
    <b v="0"/>
    <b v="0"/>
    <b v="0"/>
    <s v="Prolific"/>
  </r>
  <r>
    <n v="931"/>
    <d v="2026-02-03T21:03:05"/>
    <d v="2026-02-03T21:08:26"/>
    <s v="anonymous"/>
    <m/>
    <m/>
    <s v="18 - 25"/>
    <x v="1"/>
    <x v="3"/>
    <x v="3"/>
    <x v="4"/>
    <x v="0"/>
    <x v="0"/>
    <x v="0"/>
    <x v="2"/>
    <x v="1"/>
    <x v="1"/>
    <x v="0"/>
    <x v="0"/>
    <x v="1"/>
    <x v="1"/>
    <x v="1"/>
    <x v="1"/>
    <x v="3"/>
    <x v="1"/>
    <x v="0"/>
    <x v="1"/>
    <x v="0"/>
    <x v="3"/>
    <x v="1"/>
    <x v="2"/>
    <x v="2"/>
    <x v="2"/>
    <x v="2"/>
    <n v="2"/>
    <n v="2"/>
    <b v="0"/>
    <b v="0"/>
    <b v="0"/>
    <b v="0"/>
    <b v="0"/>
    <n v="0"/>
    <b v="0"/>
    <b v="0"/>
    <n v="10"/>
    <b v="0"/>
    <b v="0"/>
    <b v="0"/>
    <s v="Prolific"/>
  </r>
  <r>
    <n v="933"/>
    <d v="2026-02-03T21:03:09"/>
    <d v="2026-02-03T21:09:38"/>
    <s v="anonymous"/>
    <m/>
    <m/>
    <s v="18 - 25"/>
    <x v="0"/>
    <x v="0"/>
    <x v="3"/>
    <x v="0"/>
    <x v="0"/>
    <x v="1"/>
    <x v="1"/>
    <x v="0"/>
    <x v="0"/>
    <x v="2"/>
    <x v="0"/>
    <x v="1"/>
    <x v="0"/>
    <x v="4"/>
    <x v="1"/>
    <x v="1"/>
    <x v="0"/>
    <x v="2"/>
    <x v="0"/>
    <x v="1"/>
    <x v="2"/>
    <x v="2"/>
    <x v="1"/>
    <x v="2"/>
    <x v="4"/>
    <x v="3"/>
    <x v="2"/>
    <n v="2"/>
    <n v="1"/>
    <b v="0"/>
    <b v="0"/>
    <b v="0"/>
    <b v="0"/>
    <b v="0"/>
    <n v="2"/>
    <b v="0"/>
    <b v="0"/>
    <n v="6"/>
    <b v="0"/>
    <b v="0"/>
    <b v="0"/>
    <s v="Prolific"/>
  </r>
  <r>
    <n v="935"/>
    <d v="2026-02-03T21:03:19"/>
    <d v="2026-02-03T21:11:22"/>
    <s v="anonymous"/>
    <m/>
    <m/>
    <s v="18 - 25"/>
    <x v="1"/>
    <x v="0"/>
    <x v="3"/>
    <x v="4"/>
    <x v="1"/>
    <x v="1"/>
    <x v="2"/>
    <x v="2"/>
    <x v="3"/>
    <x v="4"/>
    <x v="4"/>
    <x v="4"/>
    <x v="1"/>
    <x v="4"/>
    <x v="2"/>
    <x v="2"/>
    <x v="0"/>
    <x v="2"/>
    <x v="0"/>
    <x v="0"/>
    <x v="0"/>
    <x v="3"/>
    <x v="0"/>
    <x v="2"/>
    <x v="2"/>
    <x v="1"/>
    <x v="1"/>
    <n v="4"/>
    <n v="2"/>
    <b v="0"/>
    <b v="0"/>
    <b v="0"/>
    <b v="0"/>
    <b v="0"/>
    <n v="3"/>
    <b v="0"/>
    <b v="0"/>
    <n v="2"/>
    <b v="0"/>
    <b v="0"/>
    <b v="0"/>
    <s v="Prolific"/>
  </r>
  <r>
    <n v="936"/>
    <d v="2026-02-03T21:03:23"/>
    <d v="2026-02-03T21:09:56"/>
    <s v="anonymous"/>
    <m/>
    <m/>
    <s v="18 - 25"/>
    <x v="1"/>
    <x v="0"/>
    <x v="0"/>
    <x v="4"/>
    <x v="0"/>
    <x v="0"/>
    <x v="1"/>
    <x v="3"/>
    <x v="2"/>
    <x v="3"/>
    <x v="1"/>
    <x v="3"/>
    <x v="0"/>
    <x v="0"/>
    <x v="0"/>
    <x v="0"/>
    <x v="2"/>
    <x v="0"/>
    <x v="2"/>
    <x v="3"/>
    <x v="2"/>
    <x v="2"/>
    <x v="3"/>
    <x v="1"/>
    <x v="0"/>
    <x v="0"/>
    <x v="0"/>
    <n v="3"/>
    <n v="3"/>
    <b v="0"/>
    <b v="0"/>
    <b v="0"/>
    <b v="0"/>
    <b v="0"/>
    <n v="12"/>
    <b v="0"/>
    <b v="0"/>
    <n v="19"/>
    <b v="0"/>
    <b v="0"/>
    <b v="0"/>
    <s v="Prolific"/>
  </r>
  <r>
    <n v="938"/>
    <d v="2026-02-03T21:03:44"/>
    <d v="2026-02-03T21:07:29"/>
    <s v="anonymous"/>
    <m/>
    <m/>
    <s v="18 - 25"/>
    <x v="1"/>
    <x v="0"/>
    <x v="3"/>
    <x v="4"/>
    <x v="0"/>
    <x v="0"/>
    <x v="4"/>
    <x v="0"/>
    <x v="1"/>
    <x v="0"/>
    <x v="0"/>
    <x v="3"/>
    <x v="0"/>
    <x v="1"/>
    <x v="2"/>
    <x v="1"/>
    <x v="0"/>
    <x v="2"/>
    <x v="0"/>
    <x v="1"/>
    <x v="2"/>
    <x v="1"/>
    <x v="3"/>
    <x v="1"/>
    <x v="1"/>
    <x v="1"/>
    <x v="1"/>
    <n v="4"/>
    <n v="4"/>
    <b v="0"/>
    <b v="0"/>
    <b v="0"/>
    <b v="0"/>
    <b v="0"/>
    <n v="3"/>
    <b v="0"/>
    <b v="0"/>
    <n v="20"/>
    <b v="0"/>
    <b v="0"/>
    <b v="0"/>
    <s v="Prolific"/>
  </r>
  <r>
    <n v="942"/>
    <d v="2026-02-03T21:04:05"/>
    <d v="2026-02-03T21:27:18"/>
    <s v="anonymous"/>
    <m/>
    <m/>
    <s v="18 - 25"/>
    <x v="0"/>
    <x v="2"/>
    <x v="1"/>
    <x v="4"/>
    <x v="0"/>
    <x v="0"/>
    <x v="1"/>
    <x v="1"/>
    <x v="1"/>
    <x v="0"/>
    <x v="1"/>
    <x v="1"/>
    <x v="0"/>
    <x v="1"/>
    <x v="0"/>
    <x v="0"/>
    <x v="0"/>
    <x v="2"/>
    <x v="0"/>
    <x v="1"/>
    <x v="2"/>
    <x v="1"/>
    <x v="0"/>
    <x v="2"/>
    <x v="0"/>
    <x v="0"/>
    <x v="0"/>
    <n v="3"/>
    <n v="3"/>
    <b v="0"/>
    <b v="0"/>
    <b v="0"/>
    <b v="0"/>
    <b v="0"/>
    <n v="2"/>
    <b v="0"/>
    <b v="0"/>
    <n v="5"/>
    <b v="0"/>
    <b v="0"/>
    <b v="0"/>
    <s v="Prolific"/>
  </r>
  <r>
    <n v="949"/>
    <d v="2026-02-03T21:04:29"/>
    <d v="2026-02-03T21:09:13"/>
    <s v="anonymous"/>
    <m/>
    <m/>
    <s v="18 - 25"/>
    <x v="0"/>
    <x v="0"/>
    <x v="5"/>
    <x v="0"/>
    <x v="0"/>
    <x v="1"/>
    <x v="0"/>
    <x v="1"/>
    <x v="1"/>
    <x v="0"/>
    <x v="3"/>
    <x v="3"/>
    <x v="2"/>
    <x v="1"/>
    <x v="1"/>
    <x v="1"/>
    <x v="1"/>
    <x v="1"/>
    <x v="1"/>
    <x v="3"/>
    <x v="0"/>
    <x v="2"/>
    <x v="0"/>
    <x v="2"/>
    <x v="2"/>
    <x v="2"/>
    <x v="2"/>
    <n v="2"/>
    <n v="2"/>
    <b v="0"/>
    <b v="0"/>
    <b v="0"/>
    <b v="0"/>
    <b v="0"/>
    <n v="3"/>
    <b v="0"/>
    <b v="0"/>
    <n v="6"/>
    <b v="0"/>
    <b v="0"/>
    <b v="0"/>
    <s v="Prolific"/>
  </r>
  <r>
    <n v="952"/>
    <d v="2026-02-03T21:04:38"/>
    <d v="2026-02-03T21:27:25"/>
    <s v="anonymous"/>
    <m/>
    <m/>
    <s v="18 - 25"/>
    <x v="1"/>
    <x v="1"/>
    <x v="1"/>
    <x v="4"/>
    <x v="0"/>
    <x v="0"/>
    <x v="1"/>
    <x v="0"/>
    <x v="0"/>
    <x v="0"/>
    <x v="1"/>
    <x v="1"/>
    <x v="2"/>
    <x v="2"/>
    <x v="2"/>
    <x v="2"/>
    <x v="1"/>
    <x v="1"/>
    <x v="0"/>
    <x v="0"/>
    <x v="0"/>
    <x v="3"/>
    <x v="1"/>
    <x v="3"/>
    <x v="2"/>
    <x v="2"/>
    <x v="2"/>
    <n v="2"/>
    <n v="2"/>
    <b v="0"/>
    <b v="0"/>
    <b v="0"/>
    <b v="0"/>
    <b v="0"/>
    <n v="1"/>
    <b v="0"/>
    <b v="0"/>
    <n v="4"/>
    <b v="0"/>
    <b v="0"/>
    <b v="0"/>
    <s v="Prolific"/>
  </r>
  <r>
    <n v="959"/>
    <d v="2026-02-03T21:05:25"/>
    <d v="2026-02-03T21:13:33"/>
    <s v="anonymous"/>
    <m/>
    <m/>
    <s v="18 - 25"/>
    <x v="1"/>
    <x v="4"/>
    <x v="3"/>
    <x v="0"/>
    <x v="0"/>
    <x v="0"/>
    <x v="0"/>
    <x v="0"/>
    <x v="0"/>
    <x v="1"/>
    <x v="0"/>
    <x v="0"/>
    <x v="2"/>
    <x v="2"/>
    <x v="1"/>
    <x v="1"/>
    <x v="2"/>
    <x v="0"/>
    <x v="0"/>
    <x v="0"/>
    <x v="2"/>
    <x v="2"/>
    <x v="3"/>
    <x v="0"/>
    <x v="0"/>
    <x v="0"/>
    <x v="0"/>
    <n v="3"/>
    <n v="3"/>
    <b v="0"/>
    <b v="0"/>
    <b v="0"/>
    <b v="0"/>
    <b v="0"/>
    <n v="3"/>
    <b v="0"/>
    <b v="0"/>
    <n v="10"/>
    <b v="0"/>
    <b v="0"/>
    <b v="0"/>
    <s v="Prolific"/>
  </r>
  <r>
    <n v="963"/>
    <d v="2026-02-03T21:05:49"/>
    <d v="2026-02-03T21:17:11"/>
    <s v="anonymous"/>
    <m/>
    <m/>
    <s v="18 - 25"/>
    <x v="0"/>
    <x v="0"/>
    <x v="2"/>
    <x v="0"/>
    <x v="0"/>
    <x v="1"/>
    <x v="2"/>
    <x v="3"/>
    <x v="3"/>
    <x v="0"/>
    <x v="4"/>
    <x v="1"/>
    <x v="1"/>
    <x v="4"/>
    <x v="3"/>
    <x v="4"/>
    <x v="3"/>
    <x v="3"/>
    <x v="1"/>
    <x v="1"/>
    <x v="2"/>
    <x v="4"/>
    <x v="0"/>
    <x v="3"/>
    <x v="2"/>
    <x v="3"/>
    <x v="3"/>
    <n v="1"/>
    <n v="2"/>
    <b v="0"/>
    <b v="0"/>
    <b v="0"/>
    <b v="0"/>
    <b v="0"/>
    <n v="7"/>
    <b v="0"/>
    <b v="0"/>
    <n v="8"/>
    <b v="0"/>
    <b v="0"/>
    <b v="0"/>
    <s v="Prolific"/>
  </r>
  <r>
    <n v="964"/>
    <d v="2026-02-03T21:05:50"/>
    <d v="2026-02-03T21:08:13"/>
    <s v="anonymous"/>
    <m/>
    <m/>
    <s v="18 - 25"/>
    <x v="2"/>
    <x v="2"/>
    <x v="2"/>
    <x v="0"/>
    <x v="0"/>
    <x v="0"/>
    <x v="0"/>
    <x v="2"/>
    <x v="1"/>
    <x v="0"/>
    <x v="0"/>
    <x v="3"/>
    <x v="0"/>
    <x v="1"/>
    <x v="0"/>
    <x v="1"/>
    <x v="2"/>
    <x v="0"/>
    <x v="0"/>
    <x v="0"/>
    <x v="1"/>
    <x v="1"/>
    <x v="0"/>
    <x v="2"/>
    <x v="3"/>
    <x v="1"/>
    <x v="1"/>
    <n v="4"/>
    <n v="5"/>
    <b v="0"/>
    <b v="0"/>
    <b v="0"/>
    <b v="0"/>
    <b v="0"/>
    <n v="5"/>
    <b v="0"/>
    <b v="0"/>
    <n v="7"/>
    <b v="0"/>
    <b v="0"/>
    <b v="0"/>
    <s v="Prolific"/>
  </r>
  <r>
    <n v="965"/>
    <d v="2026-02-03T21:06:12"/>
    <d v="2026-02-03T21:10:59"/>
    <s v="anonymous"/>
    <m/>
    <m/>
    <s v="18 - 25"/>
    <x v="1"/>
    <x v="0"/>
    <x v="2"/>
    <x v="0"/>
    <x v="0"/>
    <x v="0"/>
    <x v="0"/>
    <x v="2"/>
    <x v="1"/>
    <x v="1"/>
    <x v="0"/>
    <x v="0"/>
    <x v="2"/>
    <x v="1"/>
    <x v="1"/>
    <x v="1"/>
    <x v="1"/>
    <x v="1"/>
    <x v="2"/>
    <x v="0"/>
    <x v="2"/>
    <x v="1"/>
    <x v="0"/>
    <x v="0"/>
    <x v="0"/>
    <x v="1"/>
    <x v="1"/>
    <n v="4"/>
    <n v="3"/>
    <b v="0"/>
    <b v="0"/>
    <b v="0"/>
    <b v="0"/>
    <b v="0"/>
    <n v="1"/>
    <b v="0"/>
    <b v="0"/>
    <n v="3"/>
    <b v="0"/>
    <b v="0"/>
    <b v="0"/>
    <s v="Prolific"/>
  </r>
  <r>
    <n v="973"/>
    <d v="2026-02-03T21:07:17"/>
    <d v="2026-02-03T21:11:24"/>
    <s v="anonymous"/>
    <m/>
    <m/>
    <s v="18 - 25"/>
    <x v="1"/>
    <x v="0"/>
    <x v="3"/>
    <x v="0"/>
    <x v="0"/>
    <x v="0"/>
    <x v="0"/>
    <x v="2"/>
    <x v="1"/>
    <x v="1"/>
    <x v="0"/>
    <x v="0"/>
    <x v="1"/>
    <x v="2"/>
    <x v="1"/>
    <x v="1"/>
    <x v="3"/>
    <x v="1"/>
    <x v="0"/>
    <x v="0"/>
    <x v="0"/>
    <x v="1"/>
    <x v="3"/>
    <x v="1"/>
    <x v="2"/>
    <x v="2"/>
    <x v="2"/>
    <n v="2"/>
    <n v="2"/>
    <b v="0"/>
    <b v="0"/>
    <b v="0"/>
    <b v="0"/>
    <b v="0"/>
    <n v="1"/>
    <b v="0"/>
    <b v="0"/>
    <n v="2"/>
    <b v="0"/>
    <b v="0"/>
    <b v="0"/>
    <s v="Prolific"/>
  </r>
  <r>
    <n v="974"/>
    <d v="2026-02-03T21:07:17"/>
    <d v="2026-02-03T21:12:24"/>
    <s v="anonymous"/>
    <m/>
    <m/>
    <s v="18 - 25"/>
    <x v="1"/>
    <x v="0"/>
    <x v="1"/>
    <x v="5"/>
    <x v="0"/>
    <x v="0"/>
    <x v="1"/>
    <x v="1"/>
    <x v="1"/>
    <x v="0"/>
    <x v="0"/>
    <x v="0"/>
    <x v="1"/>
    <x v="1"/>
    <x v="0"/>
    <x v="1"/>
    <x v="1"/>
    <x v="1"/>
    <x v="0"/>
    <x v="1"/>
    <x v="0"/>
    <x v="1"/>
    <x v="1"/>
    <x v="0"/>
    <x v="0"/>
    <x v="0"/>
    <x v="0"/>
    <n v="3"/>
    <n v="3"/>
    <b v="0"/>
    <b v="0"/>
    <b v="0"/>
    <b v="0"/>
    <b v="0"/>
    <n v="1"/>
    <b v="0"/>
    <b v="0"/>
    <n v="3"/>
    <b v="0"/>
    <b v="0"/>
    <b v="0"/>
    <s v="Prolific"/>
  </r>
  <r>
    <n v="975"/>
    <d v="2026-02-03T21:07:20"/>
    <d v="2026-02-03T21:20:11"/>
    <s v="anonymous"/>
    <m/>
    <m/>
    <s v="18 - 25"/>
    <x v="0"/>
    <x v="0"/>
    <x v="1"/>
    <x v="4"/>
    <x v="0"/>
    <x v="1"/>
    <x v="2"/>
    <x v="2"/>
    <x v="3"/>
    <x v="2"/>
    <x v="1"/>
    <x v="2"/>
    <x v="4"/>
    <x v="4"/>
    <x v="2"/>
    <x v="2"/>
    <x v="3"/>
    <x v="3"/>
    <x v="0"/>
    <x v="2"/>
    <x v="3"/>
    <x v="3"/>
    <x v="1"/>
    <x v="2"/>
    <x v="2"/>
    <x v="2"/>
    <x v="2"/>
    <n v="2"/>
    <n v="2"/>
    <b v="0"/>
    <b v="0"/>
    <b v="0"/>
    <b v="0"/>
    <b v="0"/>
    <n v="2"/>
    <b v="0"/>
    <b v="0"/>
    <n v="1"/>
    <b v="0"/>
    <b v="0"/>
    <b v="0"/>
    <s v="Prolific"/>
  </r>
  <r>
    <n v="976"/>
    <d v="2026-02-03T21:07:25"/>
    <d v="2026-02-03T21:12:27"/>
    <s v="anonymous"/>
    <m/>
    <m/>
    <s v="18 - 25"/>
    <x v="0"/>
    <x v="0"/>
    <x v="3"/>
    <x v="4"/>
    <x v="0"/>
    <x v="1"/>
    <x v="1"/>
    <x v="2"/>
    <x v="0"/>
    <x v="0"/>
    <x v="3"/>
    <x v="0"/>
    <x v="1"/>
    <x v="1"/>
    <x v="1"/>
    <x v="0"/>
    <x v="1"/>
    <x v="1"/>
    <x v="0"/>
    <x v="1"/>
    <x v="2"/>
    <x v="2"/>
    <x v="1"/>
    <x v="1"/>
    <x v="4"/>
    <x v="2"/>
    <x v="3"/>
    <n v="1"/>
    <n v="1"/>
    <b v="0"/>
    <b v="0"/>
    <b v="0"/>
    <b v="0"/>
    <b v="0"/>
    <n v="4"/>
    <b v="0"/>
    <b v="0"/>
    <n v="4"/>
    <b v="0"/>
    <b v="0"/>
    <b v="0"/>
    <s v="Prolific"/>
  </r>
  <r>
    <n v="978"/>
    <d v="2026-02-03T21:07:32"/>
    <d v="2026-02-03T21:09:55"/>
    <s v="anonymous"/>
    <m/>
    <m/>
    <s v="18 - 25"/>
    <x v="1"/>
    <x v="0"/>
    <x v="1"/>
    <x v="4"/>
    <x v="0"/>
    <x v="0"/>
    <x v="0"/>
    <x v="2"/>
    <x v="1"/>
    <x v="3"/>
    <x v="1"/>
    <x v="0"/>
    <x v="0"/>
    <x v="0"/>
    <x v="0"/>
    <x v="1"/>
    <x v="2"/>
    <x v="1"/>
    <x v="0"/>
    <x v="0"/>
    <x v="2"/>
    <x v="1"/>
    <x v="3"/>
    <x v="4"/>
    <x v="1"/>
    <x v="1"/>
    <x v="1"/>
    <n v="4"/>
    <n v="4"/>
    <b v="0"/>
    <b v="0"/>
    <b v="0"/>
    <b v="0"/>
    <b v="0"/>
    <n v="6"/>
    <b v="0"/>
    <b v="0"/>
    <n v="7"/>
    <b v="0"/>
    <b v="0"/>
    <b v="0"/>
    <s v="Prolific"/>
  </r>
  <r>
    <n v="997"/>
    <d v="2026-02-03T21:09:09"/>
    <d v="2026-02-03T21:11:58"/>
    <s v="anonymous"/>
    <m/>
    <m/>
    <s v="18 - 25"/>
    <x v="0"/>
    <x v="0"/>
    <x v="3"/>
    <x v="4"/>
    <x v="1"/>
    <x v="1"/>
    <x v="4"/>
    <x v="4"/>
    <x v="0"/>
    <x v="1"/>
    <x v="3"/>
    <x v="0"/>
    <x v="3"/>
    <x v="4"/>
    <x v="0"/>
    <x v="0"/>
    <x v="3"/>
    <x v="0"/>
    <x v="0"/>
    <x v="2"/>
    <x v="2"/>
    <x v="3"/>
    <x v="3"/>
    <x v="1"/>
    <x v="4"/>
    <x v="2"/>
    <x v="3"/>
    <n v="1"/>
    <n v="1"/>
    <b v="0"/>
    <b v="0"/>
    <b v="0"/>
    <b v="0"/>
    <b v="0"/>
    <n v="10"/>
    <b v="0"/>
    <b v="0"/>
    <n v="3"/>
    <b v="0"/>
    <b v="0"/>
    <b v="0"/>
    <s v="Prolific"/>
  </r>
  <r>
    <n v="1004"/>
    <d v="2026-02-03T21:10:29"/>
    <d v="2026-02-03T21:19:22"/>
    <s v="anonymous"/>
    <m/>
    <m/>
    <s v="18 - 25"/>
    <x v="1"/>
    <x v="2"/>
    <x v="0"/>
    <x v="4"/>
    <x v="0"/>
    <x v="1"/>
    <x v="1"/>
    <x v="0"/>
    <x v="1"/>
    <x v="1"/>
    <x v="0"/>
    <x v="0"/>
    <x v="0"/>
    <x v="0"/>
    <x v="1"/>
    <x v="2"/>
    <x v="1"/>
    <x v="1"/>
    <x v="0"/>
    <x v="0"/>
    <x v="1"/>
    <x v="2"/>
    <x v="0"/>
    <x v="2"/>
    <x v="2"/>
    <x v="0"/>
    <x v="0"/>
    <n v="3"/>
    <n v="2"/>
    <b v="0"/>
    <b v="0"/>
    <b v="0"/>
    <b v="0"/>
    <b v="0"/>
    <n v="1"/>
    <b v="0"/>
    <b v="0"/>
    <n v="5"/>
    <b v="0"/>
    <b v="0"/>
    <b v="0"/>
    <s v="Prolific"/>
  </r>
  <r>
    <n v="1005"/>
    <d v="2026-02-03T21:10:30"/>
    <d v="2026-02-03T21:14:46"/>
    <s v="anonymous"/>
    <m/>
    <m/>
    <s v="18 - 25"/>
    <x v="1"/>
    <x v="2"/>
    <x v="0"/>
    <x v="4"/>
    <x v="1"/>
    <x v="1"/>
    <x v="0"/>
    <x v="1"/>
    <x v="1"/>
    <x v="1"/>
    <x v="1"/>
    <x v="3"/>
    <x v="2"/>
    <x v="2"/>
    <x v="1"/>
    <x v="0"/>
    <x v="1"/>
    <x v="1"/>
    <x v="0"/>
    <x v="1"/>
    <x v="4"/>
    <x v="3"/>
    <x v="1"/>
    <x v="1"/>
    <x v="4"/>
    <x v="2"/>
    <x v="2"/>
    <n v="2"/>
    <n v="1"/>
    <b v="0"/>
    <b v="0"/>
    <b v="0"/>
    <b v="0"/>
    <b v="0"/>
    <n v="4"/>
    <b v="0"/>
    <b v="0"/>
    <n v="4"/>
    <b v="0"/>
    <b v="0"/>
    <b v="0"/>
    <s v="Prolific"/>
  </r>
  <r>
    <n v="1008"/>
    <d v="2026-02-03T21:10:59"/>
    <d v="2026-02-03T21:17:04"/>
    <s v="anonymous"/>
    <m/>
    <m/>
    <s v="18 - 25"/>
    <x v="1"/>
    <x v="0"/>
    <x v="3"/>
    <x v="0"/>
    <x v="0"/>
    <x v="0"/>
    <x v="2"/>
    <x v="2"/>
    <x v="0"/>
    <x v="0"/>
    <x v="2"/>
    <x v="2"/>
    <x v="0"/>
    <x v="0"/>
    <x v="1"/>
    <x v="1"/>
    <x v="1"/>
    <x v="2"/>
    <x v="2"/>
    <x v="0"/>
    <x v="2"/>
    <x v="1"/>
    <x v="3"/>
    <x v="2"/>
    <x v="0"/>
    <x v="0"/>
    <x v="0"/>
    <n v="3"/>
    <n v="3"/>
    <b v="0"/>
    <b v="0"/>
    <b v="0"/>
    <b v="0"/>
    <b v="0"/>
    <n v="3"/>
    <b v="0"/>
    <b v="0"/>
    <n v="0"/>
    <b v="0"/>
    <b v="0"/>
    <b v="0"/>
    <s v="Prolific"/>
  </r>
  <r>
    <n v="1011"/>
    <d v="2026-02-03T21:11:13"/>
    <d v="2026-02-03T21:14:16"/>
    <s v="anonymous"/>
    <m/>
    <m/>
    <s v="18 - 25"/>
    <x v="1"/>
    <x v="0"/>
    <x v="6"/>
    <x v="0"/>
    <x v="0"/>
    <x v="0"/>
    <x v="0"/>
    <x v="1"/>
    <x v="0"/>
    <x v="1"/>
    <x v="1"/>
    <x v="0"/>
    <x v="0"/>
    <x v="2"/>
    <x v="1"/>
    <x v="1"/>
    <x v="0"/>
    <x v="1"/>
    <x v="0"/>
    <x v="0"/>
    <x v="1"/>
    <x v="1"/>
    <x v="0"/>
    <x v="0"/>
    <x v="1"/>
    <x v="2"/>
    <x v="2"/>
    <n v="2"/>
    <n v="4"/>
    <b v="0"/>
    <b v="0"/>
    <b v="0"/>
    <b v="0"/>
    <b v="0"/>
    <n v="0"/>
    <b v="0"/>
    <b v="0"/>
    <n v="4"/>
    <b v="0"/>
    <b v="0"/>
    <b v="0"/>
    <s v="Prolific"/>
  </r>
  <r>
    <n v="1013"/>
    <d v="2026-02-03T21:11:23"/>
    <d v="2026-02-03T21:19:26"/>
    <s v="anonymous"/>
    <m/>
    <m/>
    <s v="18 - 25"/>
    <x v="0"/>
    <x v="0"/>
    <x v="3"/>
    <x v="0"/>
    <x v="0"/>
    <x v="0"/>
    <x v="0"/>
    <x v="1"/>
    <x v="0"/>
    <x v="1"/>
    <x v="1"/>
    <x v="3"/>
    <x v="2"/>
    <x v="0"/>
    <x v="0"/>
    <x v="0"/>
    <x v="1"/>
    <x v="0"/>
    <x v="2"/>
    <x v="0"/>
    <x v="2"/>
    <x v="1"/>
    <x v="0"/>
    <x v="0"/>
    <x v="0"/>
    <x v="0"/>
    <x v="0"/>
    <n v="3"/>
    <n v="3"/>
    <b v="0"/>
    <b v="0"/>
    <b v="0"/>
    <b v="0"/>
    <b v="0"/>
    <n v="6"/>
    <b v="0"/>
    <b v="0"/>
    <n v="7"/>
    <b v="0"/>
    <b v="0"/>
    <b v="0"/>
    <s v="Prolific"/>
  </r>
  <r>
    <n v="1017"/>
    <d v="2026-02-03T21:11:36"/>
    <d v="2026-02-03T21:23:01"/>
    <s v="anonymous"/>
    <m/>
    <m/>
    <s v="18 - 25"/>
    <x v="1"/>
    <x v="0"/>
    <x v="3"/>
    <x v="0"/>
    <x v="0"/>
    <x v="0"/>
    <x v="0"/>
    <x v="1"/>
    <x v="2"/>
    <x v="0"/>
    <x v="3"/>
    <x v="3"/>
    <x v="3"/>
    <x v="0"/>
    <x v="0"/>
    <x v="0"/>
    <x v="1"/>
    <x v="0"/>
    <x v="1"/>
    <x v="3"/>
    <x v="2"/>
    <x v="1"/>
    <x v="1"/>
    <x v="1"/>
    <x v="0"/>
    <x v="0"/>
    <x v="0"/>
    <n v="3"/>
    <n v="3"/>
    <b v="0"/>
    <b v="0"/>
    <b v="0"/>
    <b v="0"/>
    <b v="0"/>
    <n v="9"/>
    <b v="0"/>
    <b v="0"/>
    <n v="0"/>
    <b v="0"/>
    <b v="0"/>
    <b v="0"/>
    <s v="Prolific"/>
  </r>
  <r>
    <n v="1026"/>
    <d v="2026-02-03T21:12:45"/>
    <d v="2026-02-03T21:21:45"/>
    <s v="anonymous"/>
    <m/>
    <m/>
    <s v="18 - 25"/>
    <x v="0"/>
    <x v="0"/>
    <x v="0"/>
    <x v="4"/>
    <x v="0"/>
    <x v="1"/>
    <x v="3"/>
    <x v="0"/>
    <x v="1"/>
    <x v="0"/>
    <x v="4"/>
    <x v="2"/>
    <x v="2"/>
    <x v="1"/>
    <x v="1"/>
    <x v="1"/>
    <x v="0"/>
    <x v="1"/>
    <x v="1"/>
    <x v="0"/>
    <x v="2"/>
    <x v="2"/>
    <x v="0"/>
    <x v="1"/>
    <x v="2"/>
    <x v="2"/>
    <x v="2"/>
    <n v="2"/>
    <n v="2"/>
    <b v="0"/>
    <b v="0"/>
    <b v="0"/>
    <b v="0"/>
    <b v="0"/>
    <n v="2"/>
    <b v="0"/>
    <b v="0"/>
    <n v="10"/>
    <b v="0"/>
    <b v="0"/>
    <b v="0"/>
    <s v="Prolific"/>
  </r>
  <r>
    <n v="1028"/>
    <d v="2026-02-03T21:12:56"/>
    <d v="2026-02-03T21:19:07"/>
    <s v="anonymous"/>
    <m/>
    <m/>
    <s v="18 - 25"/>
    <x v="1"/>
    <x v="0"/>
    <x v="3"/>
    <x v="4"/>
    <x v="0"/>
    <x v="0"/>
    <x v="2"/>
    <x v="3"/>
    <x v="2"/>
    <x v="1"/>
    <x v="4"/>
    <x v="2"/>
    <x v="0"/>
    <x v="1"/>
    <x v="1"/>
    <x v="1"/>
    <x v="2"/>
    <x v="1"/>
    <x v="2"/>
    <x v="3"/>
    <x v="1"/>
    <x v="0"/>
    <x v="3"/>
    <x v="4"/>
    <x v="1"/>
    <x v="1"/>
    <x v="1"/>
    <n v="4"/>
    <n v="4"/>
    <b v="0"/>
    <b v="0"/>
    <b v="0"/>
    <b v="0"/>
    <b v="0"/>
    <n v="9"/>
    <b v="0"/>
    <b v="0"/>
    <n v="8"/>
    <b v="0"/>
    <b v="0"/>
    <b v="0"/>
    <s v="Prolific"/>
  </r>
  <r>
    <n v="1030"/>
    <d v="2026-02-03T21:13:25"/>
    <d v="2026-02-03T21:15:40"/>
    <s v="anonymous"/>
    <m/>
    <m/>
    <s v="18 - 25"/>
    <x v="0"/>
    <x v="0"/>
    <x v="3"/>
    <x v="4"/>
    <x v="1"/>
    <x v="1"/>
    <x v="0"/>
    <x v="0"/>
    <x v="2"/>
    <x v="1"/>
    <x v="0"/>
    <x v="0"/>
    <x v="0"/>
    <x v="1"/>
    <x v="1"/>
    <x v="1"/>
    <x v="1"/>
    <x v="2"/>
    <x v="0"/>
    <x v="3"/>
    <x v="1"/>
    <x v="1"/>
    <x v="0"/>
    <x v="0"/>
    <x v="4"/>
    <x v="2"/>
    <x v="3"/>
    <n v="1"/>
    <n v="1"/>
    <b v="0"/>
    <b v="0"/>
    <b v="0"/>
    <b v="0"/>
    <b v="0"/>
    <n v="4"/>
    <b v="0"/>
    <b v="0"/>
    <n v="3"/>
    <b v="0"/>
    <b v="0"/>
    <b v="0"/>
    <s v="Prolific"/>
  </r>
  <r>
    <n v="1033"/>
    <d v="2026-02-03T21:13:35"/>
    <d v="2026-02-03T21:23:37"/>
    <s v="anonymous"/>
    <m/>
    <m/>
    <s v="18 - 25"/>
    <x v="1"/>
    <x v="0"/>
    <x v="2"/>
    <x v="0"/>
    <x v="0"/>
    <x v="0"/>
    <x v="0"/>
    <x v="4"/>
    <x v="1"/>
    <x v="0"/>
    <x v="0"/>
    <x v="0"/>
    <x v="3"/>
    <x v="1"/>
    <x v="0"/>
    <x v="0"/>
    <x v="1"/>
    <x v="1"/>
    <x v="2"/>
    <x v="3"/>
    <x v="0"/>
    <x v="1"/>
    <x v="3"/>
    <x v="4"/>
    <x v="4"/>
    <x v="1"/>
    <x v="1"/>
    <n v="4"/>
    <n v="1"/>
    <b v="0"/>
    <b v="0"/>
    <b v="0"/>
    <b v="0"/>
    <b v="0"/>
    <n v="9"/>
    <b v="0"/>
    <b v="0"/>
    <n v="2"/>
    <b v="0"/>
    <b v="0"/>
    <b v="0"/>
    <s v="Prolific"/>
  </r>
  <r>
    <n v="1039"/>
    <d v="2026-02-03T21:14:01"/>
    <d v="2026-02-03T21:22:22"/>
    <s v="anonymous"/>
    <m/>
    <m/>
    <s v="18 - 25"/>
    <x v="0"/>
    <x v="0"/>
    <x v="3"/>
    <x v="0"/>
    <x v="0"/>
    <x v="0"/>
    <x v="0"/>
    <x v="2"/>
    <x v="1"/>
    <x v="0"/>
    <x v="2"/>
    <x v="2"/>
    <x v="0"/>
    <x v="0"/>
    <x v="1"/>
    <x v="1"/>
    <x v="2"/>
    <x v="1"/>
    <x v="1"/>
    <x v="0"/>
    <x v="2"/>
    <x v="2"/>
    <x v="0"/>
    <x v="1"/>
    <x v="1"/>
    <x v="1"/>
    <x v="1"/>
    <n v="4"/>
    <n v="4"/>
    <b v="0"/>
    <b v="0"/>
    <b v="0"/>
    <b v="0"/>
    <b v="0"/>
    <n v="2"/>
    <b v="0"/>
    <b v="0"/>
    <n v="13"/>
    <b v="0"/>
    <b v="0"/>
    <b v="0"/>
    <s v="Prolific"/>
  </r>
  <r>
    <n v="1048"/>
    <d v="2026-02-03T21:14:39"/>
    <d v="2026-02-03T21:20:48"/>
    <s v="anonymous"/>
    <m/>
    <m/>
    <s v="18 - 25"/>
    <x v="0"/>
    <x v="0"/>
    <x v="5"/>
    <x v="0"/>
    <x v="0"/>
    <x v="0"/>
    <x v="0"/>
    <x v="0"/>
    <x v="0"/>
    <x v="1"/>
    <x v="0"/>
    <x v="0"/>
    <x v="0"/>
    <x v="1"/>
    <x v="0"/>
    <x v="2"/>
    <x v="2"/>
    <x v="0"/>
    <x v="0"/>
    <x v="0"/>
    <x v="2"/>
    <x v="1"/>
    <x v="3"/>
    <x v="1"/>
    <x v="0"/>
    <x v="0"/>
    <x v="0"/>
    <n v="3"/>
    <n v="3"/>
    <b v="0"/>
    <b v="0"/>
    <b v="0"/>
    <b v="0"/>
    <b v="0"/>
    <n v="4"/>
    <b v="0"/>
    <b v="0"/>
    <n v="8"/>
    <b v="0"/>
    <b v="0"/>
    <b v="0"/>
    <s v="Prolific"/>
  </r>
  <r>
    <n v="1052"/>
    <d v="2026-02-03T21:14:57"/>
    <d v="2026-02-03T21:26:25"/>
    <s v="anonymous"/>
    <m/>
    <m/>
    <s v="18 - 25"/>
    <x v="1"/>
    <x v="3"/>
    <x v="3"/>
    <x v="0"/>
    <x v="0"/>
    <x v="0"/>
    <x v="0"/>
    <x v="1"/>
    <x v="2"/>
    <x v="1"/>
    <x v="1"/>
    <x v="0"/>
    <x v="0"/>
    <x v="1"/>
    <x v="1"/>
    <x v="3"/>
    <x v="1"/>
    <x v="2"/>
    <x v="0"/>
    <x v="1"/>
    <x v="1"/>
    <x v="1"/>
    <x v="1"/>
    <x v="3"/>
    <x v="0"/>
    <x v="0"/>
    <x v="0"/>
    <n v="3"/>
    <n v="3"/>
    <b v="0"/>
    <b v="0"/>
    <b v="0"/>
    <b v="0"/>
    <b v="0"/>
    <n v="2"/>
    <b v="0"/>
    <b v="0"/>
    <n v="4"/>
    <b v="0"/>
    <b v="0"/>
    <b v="0"/>
    <s v="Prolific"/>
  </r>
  <r>
    <n v="1054"/>
    <d v="2026-02-03T21:15:02"/>
    <d v="2026-02-03T21:19:04"/>
    <s v="anonymous"/>
    <m/>
    <m/>
    <s v="18 - 25"/>
    <x v="2"/>
    <x v="3"/>
    <x v="3"/>
    <x v="0"/>
    <x v="0"/>
    <x v="0"/>
    <x v="4"/>
    <x v="1"/>
    <x v="1"/>
    <x v="1"/>
    <x v="0"/>
    <x v="3"/>
    <x v="3"/>
    <x v="0"/>
    <x v="0"/>
    <x v="0"/>
    <x v="1"/>
    <x v="0"/>
    <x v="0"/>
    <x v="3"/>
    <x v="0"/>
    <x v="0"/>
    <x v="3"/>
    <x v="4"/>
    <x v="1"/>
    <x v="4"/>
    <x v="1"/>
    <n v="4"/>
    <n v="4"/>
    <b v="0"/>
    <b v="0"/>
    <b v="0"/>
    <b v="0"/>
    <b v="0"/>
    <n v="12"/>
    <b v="0"/>
    <b v="0"/>
    <n v="9"/>
    <b v="0"/>
    <b v="0"/>
    <b v="0"/>
    <s v="Prolific"/>
  </r>
  <r>
    <n v="1056"/>
    <d v="2026-02-03T21:15:06"/>
    <d v="2026-02-03T21:17:27"/>
    <s v="anonymous"/>
    <m/>
    <m/>
    <s v="18 - 25"/>
    <x v="0"/>
    <x v="0"/>
    <x v="3"/>
    <x v="4"/>
    <x v="0"/>
    <x v="0"/>
    <x v="0"/>
    <x v="0"/>
    <x v="2"/>
    <x v="0"/>
    <x v="0"/>
    <x v="3"/>
    <x v="2"/>
    <x v="2"/>
    <x v="1"/>
    <x v="1"/>
    <x v="0"/>
    <x v="1"/>
    <x v="1"/>
    <x v="0"/>
    <x v="1"/>
    <x v="1"/>
    <x v="0"/>
    <x v="2"/>
    <x v="0"/>
    <x v="0"/>
    <x v="0"/>
    <n v="3"/>
    <n v="3"/>
    <b v="0"/>
    <b v="0"/>
    <b v="0"/>
    <b v="0"/>
    <b v="0"/>
    <n v="2"/>
    <b v="0"/>
    <b v="0"/>
    <n v="4"/>
    <b v="0"/>
    <b v="0"/>
    <b v="0"/>
    <s v="Prolific"/>
  </r>
  <r>
    <n v="1058"/>
    <d v="2026-02-03T21:15:12"/>
    <d v="2026-02-03T21:24:47"/>
    <s v="anonymous"/>
    <m/>
    <m/>
    <s v="18 - 25"/>
    <x v="1"/>
    <x v="0"/>
    <x v="2"/>
    <x v="0"/>
    <x v="0"/>
    <x v="0"/>
    <x v="2"/>
    <x v="3"/>
    <x v="1"/>
    <x v="0"/>
    <x v="2"/>
    <x v="0"/>
    <x v="0"/>
    <x v="1"/>
    <x v="1"/>
    <x v="1"/>
    <x v="1"/>
    <x v="1"/>
    <x v="0"/>
    <x v="0"/>
    <x v="2"/>
    <x v="2"/>
    <x v="0"/>
    <x v="2"/>
    <x v="1"/>
    <x v="1"/>
    <x v="1"/>
    <n v="4"/>
    <n v="4"/>
    <b v="0"/>
    <b v="0"/>
    <b v="0"/>
    <b v="0"/>
    <b v="0"/>
    <n v="1"/>
    <b v="0"/>
    <b v="0"/>
    <n v="5"/>
    <b v="0"/>
    <b v="0"/>
    <b v="0"/>
    <s v="Prolific"/>
  </r>
  <r>
    <n v="1061"/>
    <d v="2026-02-03T21:15:20"/>
    <d v="2026-02-03T21:21:37"/>
    <s v="anonymous"/>
    <m/>
    <m/>
    <s v="18 - 25"/>
    <x v="0"/>
    <x v="1"/>
    <x v="2"/>
    <x v="0"/>
    <x v="0"/>
    <x v="0"/>
    <x v="1"/>
    <x v="0"/>
    <x v="1"/>
    <x v="1"/>
    <x v="0"/>
    <x v="0"/>
    <x v="0"/>
    <x v="1"/>
    <x v="0"/>
    <x v="0"/>
    <x v="0"/>
    <x v="1"/>
    <x v="0"/>
    <x v="0"/>
    <x v="2"/>
    <x v="2"/>
    <x v="0"/>
    <x v="1"/>
    <x v="0"/>
    <x v="0"/>
    <x v="0"/>
    <n v="3"/>
    <n v="3"/>
    <b v="0"/>
    <b v="0"/>
    <b v="0"/>
    <b v="0"/>
    <b v="0"/>
    <n v="2"/>
    <b v="0"/>
    <b v="0"/>
    <n v="5"/>
    <b v="0"/>
    <b v="0"/>
    <b v="0"/>
    <s v="Prolific"/>
  </r>
  <r>
    <n v="1070"/>
    <d v="2026-02-03T21:15:53"/>
    <d v="2026-02-03T21:20:36"/>
    <s v="anonymous"/>
    <m/>
    <m/>
    <s v="18 - 25"/>
    <x v="1"/>
    <x v="0"/>
    <x v="4"/>
    <x v="3"/>
    <x v="1"/>
    <x v="1"/>
    <x v="3"/>
    <x v="2"/>
    <x v="3"/>
    <x v="4"/>
    <x v="1"/>
    <x v="1"/>
    <x v="4"/>
    <x v="3"/>
    <x v="4"/>
    <x v="4"/>
    <x v="4"/>
    <x v="3"/>
    <x v="1"/>
    <x v="4"/>
    <x v="0"/>
    <x v="4"/>
    <x v="2"/>
    <x v="2"/>
    <x v="4"/>
    <x v="3"/>
    <x v="3"/>
    <n v="1"/>
    <n v="1"/>
    <b v="0"/>
    <b v="0"/>
    <b v="0"/>
    <b v="0"/>
    <b v="0"/>
    <n v="12"/>
    <b v="0"/>
    <b v="0"/>
    <n v="0"/>
    <b v="0"/>
    <b v="0"/>
    <b v="0"/>
    <s v="Prolific"/>
  </r>
  <r>
    <n v="1071"/>
    <d v="2026-02-03T21:15:55"/>
    <d v="2026-02-03T21:24:18"/>
    <s v="anonymous"/>
    <m/>
    <m/>
    <s v="18 - 25"/>
    <x v="0"/>
    <x v="4"/>
    <x v="0"/>
    <x v="4"/>
    <x v="1"/>
    <x v="1"/>
    <x v="1"/>
    <x v="0"/>
    <x v="1"/>
    <x v="0"/>
    <x v="0"/>
    <x v="1"/>
    <x v="1"/>
    <x v="1"/>
    <x v="1"/>
    <x v="1"/>
    <x v="1"/>
    <x v="1"/>
    <x v="0"/>
    <x v="2"/>
    <x v="0"/>
    <x v="3"/>
    <x v="1"/>
    <x v="0"/>
    <x v="0"/>
    <x v="2"/>
    <x v="2"/>
    <n v="2"/>
    <n v="3"/>
    <b v="0"/>
    <b v="0"/>
    <b v="0"/>
    <b v="0"/>
    <b v="0"/>
    <n v="0"/>
    <b v="0"/>
    <b v="0"/>
    <n v="2"/>
    <b v="0"/>
    <b v="0"/>
    <b v="0"/>
    <s v="Prolific"/>
  </r>
  <r>
    <n v="1074"/>
    <d v="2026-02-03T21:16:09"/>
    <d v="2026-02-03T21:23:28"/>
    <s v="anonymous"/>
    <m/>
    <m/>
    <s v="18 - 25"/>
    <x v="1"/>
    <x v="0"/>
    <x v="5"/>
    <x v="6"/>
    <x v="1"/>
    <x v="1"/>
    <x v="1"/>
    <x v="2"/>
    <x v="1"/>
    <x v="0"/>
    <x v="1"/>
    <x v="1"/>
    <x v="1"/>
    <x v="2"/>
    <x v="3"/>
    <x v="1"/>
    <x v="1"/>
    <x v="1"/>
    <x v="0"/>
    <x v="1"/>
    <x v="2"/>
    <x v="2"/>
    <x v="0"/>
    <x v="1"/>
    <x v="2"/>
    <x v="0"/>
    <x v="0"/>
    <n v="3"/>
    <n v="2"/>
    <b v="0"/>
    <b v="0"/>
    <b v="0"/>
    <b v="0"/>
    <b v="0"/>
    <n v="0"/>
    <b v="0"/>
    <b v="0"/>
    <n v="9"/>
    <b v="0"/>
    <b v="0"/>
    <b v="0"/>
    <s v="Prolific"/>
  </r>
  <r>
    <n v="1080"/>
    <d v="2026-02-03T21:16:21"/>
    <d v="2026-02-03T21:34:17"/>
    <s v="anonymous"/>
    <m/>
    <m/>
    <s v="18 - 25"/>
    <x v="1"/>
    <x v="2"/>
    <x v="0"/>
    <x v="4"/>
    <x v="1"/>
    <x v="1"/>
    <x v="0"/>
    <x v="2"/>
    <x v="1"/>
    <x v="2"/>
    <x v="2"/>
    <x v="2"/>
    <x v="2"/>
    <x v="1"/>
    <x v="1"/>
    <x v="1"/>
    <x v="1"/>
    <x v="1"/>
    <x v="2"/>
    <x v="0"/>
    <x v="2"/>
    <x v="1"/>
    <x v="0"/>
    <x v="1"/>
    <x v="1"/>
    <x v="1"/>
    <x v="1"/>
    <n v="4"/>
    <n v="4"/>
    <b v="0"/>
    <b v="0"/>
    <b v="0"/>
    <b v="0"/>
    <b v="0"/>
    <n v="1"/>
    <b v="0"/>
    <b v="0"/>
    <n v="9"/>
    <b v="0"/>
    <b v="0"/>
    <b v="0"/>
    <s v="Prolific"/>
  </r>
  <r>
    <n v="1081"/>
    <d v="2026-02-03T21:16:27"/>
    <d v="2026-02-03T21:22:55"/>
    <s v="anonymous"/>
    <m/>
    <m/>
    <s v="18 - 25"/>
    <x v="0"/>
    <x v="0"/>
    <x v="2"/>
    <x v="0"/>
    <x v="0"/>
    <x v="1"/>
    <x v="0"/>
    <x v="2"/>
    <x v="1"/>
    <x v="0"/>
    <x v="0"/>
    <x v="1"/>
    <x v="1"/>
    <x v="2"/>
    <x v="1"/>
    <x v="1"/>
    <x v="1"/>
    <x v="1"/>
    <x v="0"/>
    <x v="1"/>
    <x v="0"/>
    <x v="2"/>
    <x v="1"/>
    <x v="2"/>
    <x v="2"/>
    <x v="0"/>
    <x v="0"/>
    <n v="3"/>
    <n v="2"/>
    <b v="0"/>
    <b v="0"/>
    <b v="0"/>
    <b v="0"/>
    <b v="0"/>
    <n v="0"/>
    <b v="0"/>
    <b v="0"/>
    <n v="3"/>
    <b v="0"/>
    <b v="0"/>
    <b v="0"/>
    <s v="Prolific"/>
  </r>
  <r>
    <n v="1086"/>
    <d v="2026-02-03T21:16:37"/>
    <d v="2026-02-03T21:21:15"/>
    <s v="anonymous"/>
    <m/>
    <m/>
    <s v="18 - 25"/>
    <x v="1"/>
    <x v="0"/>
    <x v="3"/>
    <x v="3"/>
    <x v="0"/>
    <x v="0"/>
    <x v="1"/>
    <x v="3"/>
    <x v="1"/>
    <x v="0"/>
    <x v="2"/>
    <x v="2"/>
    <x v="0"/>
    <x v="1"/>
    <x v="0"/>
    <x v="0"/>
    <x v="1"/>
    <x v="0"/>
    <x v="2"/>
    <x v="1"/>
    <x v="1"/>
    <x v="0"/>
    <x v="3"/>
    <x v="1"/>
    <x v="1"/>
    <x v="1"/>
    <x v="1"/>
    <n v="4"/>
    <n v="4"/>
    <b v="0"/>
    <b v="0"/>
    <b v="0"/>
    <b v="0"/>
    <b v="0"/>
    <n v="7"/>
    <b v="0"/>
    <b v="0"/>
    <n v="2"/>
    <b v="0"/>
    <b v="0"/>
    <b v="0"/>
    <s v="Prolific"/>
  </r>
  <r>
    <n v="1090"/>
    <d v="2026-02-03T21:16:51"/>
    <d v="2026-02-03T21:25:36"/>
    <s v="anonymous"/>
    <m/>
    <m/>
    <s v="18 - 25"/>
    <x v="1"/>
    <x v="1"/>
    <x v="0"/>
    <x v="4"/>
    <x v="0"/>
    <x v="1"/>
    <x v="2"/>
    <x v="2"/>
    <x v="1"/>
    <x v="2"/>
    <x v="2"/>
    <x v="0"/>
    <x v="1"/>
    <x v="3"/>
    <x v="4"/>
    <x v="3"/>
    <x v="3"/>
    <x v="2"/>
    <x v="1"/>
    <x v="2"/>
    <x v="0"/>
    <x v="3"/>
    <x v="1"/>
    <x v="0"/>
    <x v="2"/>
    <x v="2"/>
    <x v="2"/>
    <n v="2"/>
    <n v="2"/>
    <b v="0"/>
    <b v="0"/>
    <b v="0"/>
    <b v="0"/>
    <b v="0"/>
    <n v="2"/>
    <b v="0"/>
    <b v="0"/>
    <n v="21"/>
    <b v="0"/>
    <b v="0"/>
    <b v="0"/>
    <s v="Prolific"/>
  </r>
  <r>
    <n v="1091"/>
    <d v="2026-02-03T21:16:52"/>
    <d v="2026-02-03T21:20:52"/>
    <s v="anonymous"/>
    <m/>
    <m/>
    <s v="18 - 25"/>
    <x v="0"/>
    <x v="0"/>
    <x v="3"/>
    <x v="4"/>
    <x v="1"/>
    <x v="1"/>
    <x v="0"/>
    <x v="0"/>
    <x v="1"/>
    <x v="1"/>
    <x v="0"/>
    <x v="3"/>
    <x v="3"/>
    <x v="1"/>
    <x v="0"/>
    <x v="1"/>
    <x v="1"/>
    <x v="1"/>
    <x v="0"/>
    <x v="1"/>
    <x v="1"/>
    <x v="2"/>
    <x v="0"/>
    <x v="3"/>
    <x v="0"/>
    <x v="0"/>
    <x v="0"/>
    <n v="3"/>
    <n v="3"/>
    <b v="0"/>
    <b v="0"/>
    <b v="0"/>
    <b v="0"/>
    <b v="0"/>
    <n v="4"/>
    <b v="0"/>
    <b v="0"/>
    <n v="5"/>
    <b v="0"/>
    <b v="0"/>
    <b v="0"/>
    <s v="Prolific"/>
  </r>
  <r>
    <n v="1092"/>
    <d v="2026-02-03T21:17:02"/>
    <d v="2026-02-03T21:22:31"/>
    <s v="anonymous"/>
    <m/>
    <m/>
    <s v="18 - 25"/>
    <x v="0"/>
    <x v="0"/>
    <x v="3"/>
    <x v="4"/>
    <x v="0"/>
    <x v="0"/>
    <x v="2"/>
    <x v="0"/>
    <x v="1"/>
    <x v="0"/>
    <x v="2"/>
    <x v="2"/>
    <x v="0"/>
    <x v="1"/>
    <x v="0"/>
    <x v="1"/>
    <x v="1"/>
    <x v="0"/>
    <x v="0"/>
    <x v="0"/>
    <x v="0"/>
    <x v="2"/>
    <x v="0"/>
    <x v="2"/>
    <x v="2"/>
    <x v="2"/>
    <x v="2"/>
    <n v="2"/>
    <n v="2"/>
    <b v="0"/>
    <b v="0"/>
    <b v="0"/>
    <b v="0"/>
    <b v="0"/>
    <n v="2"/>
    <b v="0"/>
    <b v="0"/>
    <n v="1"/>
    <b v="0"/>
    <b v="0"/>
    <b v="0"/>
    <s v="Prolific"/>
  </r>
  <r>
    <n v="1093"/>
    <d v="2026-02-03T21:17:12"/>
    <d v="2026-02-03T21:20:55"/>
    <s v="anonymous"/>
    <m/>
    <m/>
    <s v="18 - 25"/>
    <x v="1"/>
    <x v="0"/>
    <x v="3"/>
    <x v="4"/>
    <x v="1"/>
    <x v="1"/>
    <x v="0"/>
    <x v="1"/>
    <x v="1"/>
    <x v="1"/>
    <x v="1"/>
    <x v="0"/>
    <x v="0"/>
    <x v="1"/>
    <x v="2"/>
    <x v="1"/>
    <x v="1"/>
    <x v="2"/>
    <x v="0"/>
    <x v="0"/>
    <x v="1"/>
    <x v="2"/>
    <x v="0"/>
    <x v="0"/>
    <x v="2"/>
    <x v="1"/>
    <x v="1"/>
    <n v="4"/>
    <n v="2"/>
    <b v="0"/>
    <b v="0"/>
    <b v="0"/>
    <b v="0"/>
    <b v="0"/>
    <n v="0"/>
    <b v="0"/>
    <b v="0"/>
    <n v="3"/>
    <b v="0"/>
    <b v="0"/>
    <b v="0"/>
    <s v="Prolific"/>
  </r>
  <r>
    <n v="1095"/>
    <d v="2026-02-03T21:17:29"/>
    <d v="2026-02-03T21:24:18"/>
    <s v="anonymous"/>
    <m/>
    <m/>
    <s v="18 - 25"/>
    <x v="1"/>
    <x v="0"/>
    <x v="2"/>
    <x v="0"/>
    <x v="1"/>
    <x v="1"/>
    <x v="2"/>
    <x v="3"/>
    <x v="1"/>
    <x v="0"/>
    <x v="1"/>
    <x v="0"/>
    <x v="1"/>
    <x v="2"/>
    <x v="1"/>
    <x v="1"/>
    <x v="1"/>
    <x v="1"/>
    <x v="0"/>
    <x v="1"/>
    <x v="2"/>
    <x v="3"/>
    <x v="1"/>
    <x v="0"/>
    <x v="2"/>
    <x v="2"/>
    <x v="2"/>
    <n v="2"/>
    <n v="2"/>
    <b v="0"/>
    <b v="0"/>
    <b v="0"/>
    <b v="0"/>
    <b v="0"/>
    <n v="1"/>
    <b v="0"/>
    <b v="0"/>
    <n v="10"/>
    <b v="0"/>
    <b v="0"/>
    <b v="0"/>
    <s v="Prolific"/>
  </r>
  <r>
    <n v="1102"/>
    <d v="2026-02-03T21:18:28"/>
    <d v="2026-02-03T21:21:43"/>
    <s v="anonymous"/>
    <m/>
    <m/>
    <s v="18 - 25"/>
    <x v="0"/>
    <x v="2"/>
    <x v="3"/>
    <x v="4"/>
    <x v="1"/>
    <x v="1"/>
    <x v="3"/>
    <x v="2"/>
    <x v="1"/>
    <x v="0"/>
    <x v="1"/>
    <x v="2"/>
    <x v="1"/>
    <x v="2"/>
    <x v="3"/>
    <x v="2"/>
    <x v="3"/>
    <x v="3"/>
    <x v="1"/>
    <x v="2"/>
    <x v="0"/>
    <x v="3"/>
    <x v="2"/>
    <x v="2"/>
    <x v="2"/>
    <x v="0"/>
    <x v="0"/>
    <n v="3"/>
    <n v="2"/>
    <b v="0"/>
    <b v="0"/>
    <b v="0"/>
    <b v="0"/>
    <b v="0"/>
    <n v="1"/>
    <b v="0"/>
    <b v="0"/>
    <n v="14"/>
    <b v="0"/>
    <b v="0"/>
    <b v="0"/>
    <s v="Prolific"/>
  </r>
  <r>
    <n v="1107"/>
    <d v="2026-02-03T21:18:45"/>
    <d v="2026-02-03T21:29:38"/>
    <s v="anonymous"/>
    <m/>
    <m/>
    <s v="18 - 25"/>
    <x v="0"/>
    <x v="0"/>
    <x v="3"/>
    <x v="4"/>
    <x v="0"/>
    <x v="0"/>
    <x v="0"/>
    <x v="1"/>
    <x v="1"/>
    <x v="2"/>
    <x v="1"/>
    <x v="0"/>
    <x v="2"/>
    <x v="2"/>
    <x v="1"/>
    <x v="1"/>
    <x v="1"/>
    <x v="1"/>
    <x v="0"/>
    <x v="0"/>
    <x v="0"/>
    <x v="1"/>
    <x v="0"/>
    <x v="1"/>
    <x v="0"/>
    <x v="2"/>
    <x v="2"/>
    <n v="2"/>
    <n v="3"/>
    <b v="0"/>
    <b v="0"/>
    <b v="0"/>
    <b v="0"/>
    <b v="0"/>
    <n v="0"/>
    <b v="0"/>
    <b v="0"/>
    <n v="4"/>
    <b v="0"/>
    <b v="0"/>
    <b v="0"/>
    <s v="Prolific"/>
  </r>
  <r>
    <n v="1110"/>
    <d v="2026-02-03T21:19:01"/>
    <d v="2026-02-03T21:22:02"/>
    <s v="anonymous"/>
    <m/>
    <m/>
    <s v="18 - 25"/>
    <x v="0"/>
    <x v="0"/>
    <x v="3"/>
    <x v="4"/>
    <x v="1"/>
    <x v="1"/>
    <x v="2"/>
    <x v="2"/>
    <x v="0"/>
    <x v="1"/>
    <x v="2"/>
    <x v="4"/>
    <x v="1"/>
    <x v="2"/>
    <x v="3"/>
    <x v="3"/>
    <x v="3"/>
    <x v="3"/>
    <x v="1"/>
    <x v="0"/>
    <x v="1"/>
    <x v="3"/>
    <x v="1"/>
    <x v="4"/>
    <x v="4"/>
    <x v="2"/>
    <x v="3"/>
    <n v="1"/>
    <n v="1"/>
    <b v="0"/>
    <b v="0"/>
    <b v="0"/>
    <b v="0"/>
    <b v="0"/>
    <n v="4"/>
    <b v="0"/>
    <b v="0"/>
    <n v="3"/>
    <b v="0"/>
    <b v="0"/>
    <b v="0"/>
    <s v="Prolific"/>
  </r>
  <r>
    <n v="1111"/>
    <d v="2026-02-03T21:19:01"/>
    <d v="2026-02-03T21:31:18"/>
    <s v="anonymous"/>
    <m/>
    <m/>
    <s v="18 - 25"/>
    <x v="1"/>
    <x v="2"/>
    <x v="3"/>
    <x v="4"/>
    <x v="0"/>
    <x v="0"/>
    <x v="3"/>
    <x v="2"/>
    <x v="3"/>
    <x v="2"/>
    <x v="1"/>
    <x v="2"/>
    <x v="4"/>
    <x v="4"/>
    <x v="0"/>
    <x v="0"/>
    <x v="1"/>
    <x v="1"/>
    <x v="2"/>
    <x v="1"/>
    <x v="0"/>
    <x v="4"/>
    <x v="1"/>
    <x v="1"/>
    <x v="4"/>
    <x v="3"/>
    <x v="3"/>
    <n v="1"/>
    <n v="1"/>
    <b v="0"/>
    <b v="0"/>
    <b v="0"/>
    <b v="0"/>
    <b v="0"/>
    <n v="9"/>
    <b v="0"/>
    <b v="0"/>
    <n v="21"/>
    <b v="0"/>
    <b v="0"/>
    <b v="0"/>
    <s v="Prolific"/>
  </r>
  <r>
    <n v="1114"/>
    <d v="2026-02-03T21:19:09"/>
    <d v="2026-02-03T21:28:55"/>
    <s v="anonymous"/>
    <m/>
    <m/>
    <s v="18 - 25"/>
    <x v="1"/>
    <x v="0"/>
    <x v="3"/>
    <x v="4"/>
    <x v="0"/>
    <x v="0"/>
    <x v="0"/>
    <x v="2"/>
    <x v="1"/>
    <x v="1"/>
    <x v="0"/>
    <x v="0"/>
    <x v="0"/>
    <x v="0"/>
    <x v="1"/>
    <x v="0"/>
    <x v="2"/>
    <x v="0"/>
    <x v="2"/>
    <x v="3"/>
    <x v="1"/>
    <x v="0"/>
    <x v="3"/>
    <x v="1"/>
    <x v="3"/>
    <x v="4"/>
    <x v="4"/>
    <n v="5"/>
    <n v="5"/>
    <b v="0"/>
    <b v="0"/>
    <b v="0"/>
    <b v="0"/>
    <b v="0"/>
    <n v="11"/>
    <b v="0"/>
    <b v="0"/>
    <n v="18"/>
    <b v="0"/>
    <b v="0"/>
    <b v="0"/>
    <s v="Prolific"/>
  </r>
  <r>
    <n v="1117"/>
    <d v="2026-02-03T21:19:25"/>
    <d v="2026-02-03T21:24:45"/>
    <s v="anonymous"/>
    <m/>
    <m/>
    <s v="18 - 25"/>
    <x v="0"/>
    <x v="2"/>
    <x v="4"/>
    <x v="1"/>
    <x v="0"/>
    <x v="0"/>
    <x v="1"/>
    <x v="2"/>
    <x v="0"/>
    <x v="0"/>
    <x v="0"/>
    <x v="0"/>
    <x v="0"/>
    <x v="1"/>
    <x v="2"/>
    <x v="3"/>
    <x v="0"/>
    <x v="2"/>
    <x v="3"/>
    <x v="1"/>
    <x v="1"/>
    <x v="1"/>
    <x v="0"/>
    <x v="0"/>
    <x v="3"/>
    <x v="1"/>
    <x v="1"/>
    <n v="4"/>
    <n v="5"/>
    <b v="0"/>
    <b v="0"/>
    <b v="0"/>
    <b v="0"/>
    <b v="0"/>
    <n v="1"/>
    <b v="0"/>
    <b v="0"/>
    <n v="10"/>
    <b v="0"/>
    <b v="0"/>
    <b v="0"/>
    <s v="Prolific"/>
  </r>
  <r>
    <n v="1118"/>
    <d v="2026-02-03T21:19:52"/>
    <d v="2026-02-03T21:36:42"/>
    <s v="anonymous"/>
    <m/>
    <m/>
    <s v="18 - 25"/>
    <x v="0"/>
    <x v="0"/>
    <x v="2"/>
    <x v="0"/>
    <x v="0"/>
    <x v="0"/>
    <x v="0"/>
    <x v="1"/>
    <x v="0"/>
    <x v="0"/>
    <x v="1"/>
    <x v="1"/>
    <x v="0"/>
    <x v="1"/>
    <x v="1"/>
    <x v="1"/>
    <x v="0"/>
    <x v="1"/>
    <x v="0"/>
    <x v="0"/>
    <x v="2"/>
    <x v="1"/>
    <x v="0"/>
    <x v="2"/>
    <x v="1"/>
    <x v="1"/>
    <x v="1"/>
    <n v="4"/>
    <n v="4"/>
    <b v="0"/>
    <b v="0"/>
    <b v="0"/>
    <b v="0"/>
    <b v="0"/>
    <n v="0"/>
    <b v="0"/>
    <b v="0"/>
    <n v="2"/>
    <b v="0"/>
    <b v="0"/>
    <b v="0"/>
    <s v="Prolific"/>
  </r>
  <r>
    <n v="1126"/>
    <d v="2026-02-03T21:23:29"/>
    <d v="2026-02-03T21:26:13"/>
    <s v="anonymous"/>
    <m/>
    <m/>
    <s v="18 - 25"/>
    <x v="1"/>
    <x v="2"/>
    <x v="5"/>
    <x v="3"/>
    <x v="1"/>
    <x v="1"/>
    <x v="1"/>
    <x v="2"/>
    <x v="2"/>
    <x v="1"/>
    <x v="1"/>
    <x v="1"/>
    <x v="0"/>
    <x v="2"/>
    <x v="3"/>
    <x v="3"/>
    <x v="3"/>
    <x v="3"/>
    <x v="3"/>
    <x v="2"/>
    <x v="0"/>
    <x v="2"/>
    <x v="0"/>
    <x v="3"/>
    <x v="1"/>
    <x v="4"/>
    <x v="1"/>
    <n v="4"/>
    <n v="4"/>
    <b v="0"/>
    <b v="0"/>
    <b v="0"/>
    <b v="0"/>
    <b v="0"/>
    <n v="3"/>
    <b v="0"/>
    <b v="0"/>
    <n v="9"/>
    <b v="0"/>
    <b v="0"/>
    <b v="0"/>
    <s v="Prolific"/>
  </r>
  <r>
    <n v="1128"/>
    <d v="2026-02-03T21:23:57"/>
    <d v="2026-02-03T21:38:51"/>
    <s v="anonymous"/>
    <m/>
    <m/>
    <s v="18 - 25"/>
    <x v="1"/>
    <x v="1"/>
    <x v="2"/>
    <x v="0"/>
    <x v="0"/>
    <x v="0"/>
    <x v="1"/>
    <x v="2"/>
    <x v="1"/>
    <x v="0"/>
    <x v="0"/>
    <x v="0"/>
    <x v="2"/>
    <x v="1"/>
    <x v="1"/>
    <x v="1"/>
    <x v="0"/>
    <x v="1"/>
    <x v="2"/>
    <x v="0"/>
    <x v="2"/>
    <x v="2"/>
    <x v="0"/>
    <x v="0"/>
    <x v="1"/>
    <x v="0"/>
    <x v="0"/>
    <n v="3"/>
    <n v="4"/>
    <b v="0"/>
    <b v="0"/>
    <b v="0"/>
    <b v="0"/>
    <b v="0"/>
    <n v="1"/>
    <b v="0"/>
    <b v="0"/>
    <n v="11"/>
    <b v="0"/>
    <b v="0"/>
    <b v="0"/>
    <s v="Prolific"/>
  </r>
  <r>
    <n v="1135"/>
    <d v="2026-02-03T21:26:07"/>
    <d v="2026-02-03T21:29:37"/>
    <s v="anonymous"/>
    <m/>
    <m/>
    <s v="18 - 25"/>
    <x v="0"/>
    <x v="0"/>
    <x v="3"/>
    <x v="4"/>
    <x v="0"/>
    <x v="0"/>
    <x v="1"/>
    <x v="2"/>
    <x v="3"/>
    <x v="0"/>
    <x v="2"/>
    <x v="1"/>
    <x v="1"/>
    <x v="1"/>
    <x v="1"/>
    <x v="3"/>
    <x v="1"/>
    <x v="1"/>
    <x v="1"/>
    <x v="1"/>
    <x v="2"/>
    <x v="1"/>
    <x v="0"/>
    <x v="1"/>
    <x v="0"/>
    <x v="0"/>
    <x v="0"/>
    <n v="3"/>
    <n v="3"/>
    <b v="0"/>
    <b v="0"/>
    <b v="0"/>
    <b v="0"/>
    <b v="0"/>
    <n v="0"/>
    <b v="0"/>
    <b v="0"/>
    <n v="3"/>
    <b v="0"/>
    <b v="0"/>
    <b v="0"/>
    <s v="Prolific"/>
  </r>
  <r>
    <n v="1136"/>
    <d v="2026-02-03T21:27:05"/>
    <d v="2026-02-03T21:37:59"/>
    <s v="anonymous"/>
    <m/>
    <m/>
    <s v="18 - 25"/>
    <x v="1"/>
    <x v="1"/>
    <x v="3"/>
    <x v="4"/>
    <x v="1"/>
    <x v="1"/>
    <x v="0"/>
    <x v="2"/>
    <x v="2"/>
    <x v="1"/>
    <x v="0"/>
    <x v="0"/>
    <x v="0"/>
    <x v="1"/>
    <x v="0"/>
    <x v="0"/>
    <x v="2"/>
    <x v="0"/>
    <x v="2"/>
    <x v="3"/>
    <x v="2"/>
    <x v="1"/>
    <x v="3"/>
    <x v="1"/>
    <x v="0"/>
    <x v="0"/>
    <x v="0"/>
    <n v="3"/>
    <n v="3"/>
    <b v="0"/>
    <b v="0"/>
    <b v="0"/>
    <b v="0"/>
    <b v="0"/>
    <n v="8"/>
    <b v="0"/>
    <b v="0"/>
    <n v="16"/>
    <b v="0"/>
    <b v="0"/>
    <b v="0"/>
    <s v="Prolific"/>
  </r>
  <r>
    <n v="1141"/>
    <d v="2026-02-03T21:28:48"/>
    <d v="2026-02-03T21:40:21"/>
    <s v="anonymous"/>
    <m/>
    <m/>
    <s v="18 - 25"/>
    <x v="1"/>
    <x v="0"/>
    <x v="7"/>
    <x v="4"/>
    <x v="0"/>
    <x v="0"/>
    <x v="3"/>
    <x v="3"/>
    <x v="1"/>
    <x v="4"/>
    <x v="4"/>
    <x v="2"/>
    <x v="2"/>
    <x v="4"/>
    <x v="3"/>
    <x v="4"/>
    <x v="4"/>
    <x v="3"/>
    <x v="4"/>
    <x v="2"/>
    <x v="3"/>
    <x v="4"/>
    <x v="1"/>
    <x v="0"/>
    <x v="4"/>
    <x v="2"/>
    <x v="3"/>
    <n v="1"/>
    <n v="1"/>
    <b v="0"/>
    <b v="0"/>
    <b v="0"/>
    <b v="0"/>
    <b v="0"/>
    <n v="11"/>
    <b v="0"/>
    <b v="0"/>
    <n v="15"/>
    <b v="0"/>
    <b v="0"/>
    <b v="0"/>
    <s v="Prolific"/>
  </r>
  <r>
    <n v="1144"/>
    <d v="2026-02-03T21:30:05"/>
    <d v="2026-02-03T21:34:16"/>
    <s v="anonymous"/>
    <m/>
    <m/>
    <s v="18 - 25"/>
    <x v="1"/>
    <x v="1"/>
    <x v="1"/>
    <x v="4"/>
    <x v="0"/>
    <x v="1"/>
    <x v="0"/>
    <x v="1"/>
    <x v="1"/>
    <x v="1"/>
    <x v="0"/>
    <x v="0"/>
    <x v="2"/>
    <x v="2"/>
    <x v="2"/>
    <x v="1"/>
    <x v="2"/>
    <x v="1"/>
    <x v="1"/>
    <x v="0"/>
    <x v="2"/>
    <x v="2"/>
    <x v="0"/>
    <x v="0"/>
    <x v="2"/>
    <x v="0"/>
    <x v="0"/>
    <n v="3"/>
    <n v="2"/>
    <b v="0"/>
    <b v="0"/>
    <b v="0"/>
    <b v="0"/>
    <b v="0"/>
    <n v="1"/>
    <b v="0"/>
    <b v="0"/>
    <n v="9"/>
    <b v="0"/>
    <b v="0"/>
    <b v="0"/>
    <s v="Prolific"/>
  </r>
  <r>
    <n v="1152"/>
    <d v="2026-02-03T21:32:19"/>
    <d v="2026-02-03T21:38:42"/>
    <s v="anonymous"/>
    <m/>
    <m/>
    <s v="18 - 25"/>
    <x v="0"/>
    <x v="1"/>
    <x v="1"/>
    <x v="5"/>
    <x v="0"/>
    <x v="1"/>
    <x v="0"/>
    <x v="2"/>
    <x v="0"/>
    <x v="2"/>
    <x v="2"/>
    <x v="2"/>
    <x v="1"/>
    <x v="4"/>
    <x v="3"/>
    <x v="3"/>
    <x v="3"/>
    <x v="3"/>
    <x v="0"/>
    <x v="1"/>
    <x v="0"/>
    <x v="2"/>
    <x v="1"/>
    <x v="2"/>
    <x v="2"/>
    <x v="2"/>
    <x v="2"/>
    <n v="2"/>
    <n v="2"/>
    <b v="0"/>
    <b v="0"/>
    <b v="0"/>
    <b v="0"/>
    <b v="0"/>
    <n v="0"/>
    <b v="0"/>
    <b v="0"/>
    <n v="7"/>
    <b v="0"/>
    <b v="0"/>
    <b v="0"/>
    <s v="Prolific"/>
  </r>
  <r>
    <n v="1162"/>
    <d v="2026-02-03T21:36:34"/>
    <d v="2026-02-03T21:39:28"/>
    <s v="anonymous"/>
    <m/>
    <m/>
    <s v="18 - 25"/>
    <x v="1"/>
    <x v="4"/>
    <x v="7"/>
    <x v="3"/>
    <x v="1"/>
    <x v="1"/>
    <x v="2"/>
    <x v="0"/>
    <x v="1"/>
    <x v="1"/>
    <x v="0"/>
    <x v="0"/>
    <x v="0"/>
    <x v="1"/>
    <x v="1"/>
    <x v="1"/>
    <x v="1"/>
    <x v="1"/>
    <x v="0"/>
    <x v="0"/>
    <x v="1"/>
    <x v="3"/>
    <x v="3"/>
    <x v="3"/>
    <x v="2"/>
    <x v="3"/>
    <x v="2"/>
    <n v="2"/>
    <n v="2"/>
    <b v="0"/>
    <b v="0"/>
    <b v="0"/>
    <b v="0"/>
    <b v="0"/>
    <n v="3"/>
    <b v="0"/>
    <b v="0"/>
    <n v="0"/>
    <b v="0"/>
    <b v="0"/>
    <b v="0"/>
    <s v="Prolific"/>
  </r>
  <r>
    <n v="1179"/>
    <d v="2026-02-03T21:42:50"/>
    <d v="2026-02-03T22:25:26"/>
    <s v="anonymous"/>
    <m/>
    <m/>
    <s v="18 - 25"/>
    <x v="0"/>
    <x v="1"/>
    <x v="4"/>
    <x v="0"/>
    <x v="0"/>
    <x v="0"/>
    <x v="4"/>
    <x v="4"/>
    <x v="2"/>
    <x v="1"/>
    <x v="0"/>
    <x v="0"/>
    <x v="0"/>
    <x v="0"/>
    <x v="0"/>
    <x v="1"/>
    <x v="1"/>
    <x v="1"/>
    <x v="0"/>
    <x v="0"/>
    <x v="2"/>
    <x v="2"/>
    <x v="0"/>
    <x v="1"/>
    <x v="1"/>
    <x v="0"/>
    <x v="0"/>
    <n v="3"/>
    <n v="4"/>
    <b v="0"/>
    <b v="0"/>
    <b v="0"/>
    <b v="0"/>
    <b v="0"/>
    <n v="5"/>
    <b v="0"/>
    <b v="0"/>
    <n v="21"/>
    <b v="0"/>
    <b v="0"/>
    <b v="0"/>
    <s v="Prolific"/>
  </r>
  <r>
    <n v="1187"/>
    <d v="2026-02-03T21:46:30"/>
    <d v="2026-02-03T21:50:21"/>
    <s v="anonymous"/>
    <m/>
    <m/>
    <s v="18 - 25"/>
    <x v="1"/>
    <x v="1"/>
    <x v="0"/>
    <x v="4"/>
    <x v="0"/>
    <x v="1"/>
    <x v="1"/>
    <x v="2"/>
    <x v="3"/>
    <x v="2"/>
    <x v="4"/>
    <x v="2"/>
    <x v="2"/>
    <x v="2"/>
    <x v="0"/>
    <x v="0"/>
    <x v="1"/>
    <x v="0"/>
    <x v="2"/>
    <x v="0"/>
    <x v="0"/>
    <x v="2"/>
    <x v="0"/>
    <x v="2"/>
    <x v="0"/>
    <x v="2"/>
    <x v="2"/>
    <n v="2"/>
    <n v="3"/>
    <b v="0"/>
    <b v="0"/>
    <b v="0"/>
    <b v="0"/>
    <b v="0"/>
    <n v="5"/>
    <b v="0"/>
    <b v="0"/>
    <n v="7"/>
    <b v="0"/>
    <b v="0"/>
    <b v="0"/>
    <s v="Prolific"/>
  </r>
  <r>
    <n v="1203"/>
    <d v="2026-02-03T21:55:18"/>
    <d v="2026-02-03T21:58:58"/>
    <s v="anonymous"/>
    <m/>
    <m/>
    <s v="18 - 25"/>
    <x v="1"/>
    <x v="2"/>
    <x v="2"/>
    <x v="4"/>
    <x v="0"/>
    <x v="0"/>
    <x v="0"/>
    <x v="0"/>
    <x v="0"/>
    <x v="0"/>
    <x v="2"/>
    <x v="2"/>
    <x v="2"/>
    <x v="1"/>
    <x v="2"/>
    <x v="2"/>
    <x v="0"/>
    <x v="1"/>
    <x v="0"/>
    <x v="1"/>
    <x v="1"/>
    <x v="1"/>
    <x v="3"/>
    <x v="0"/>
    <x v="2"/>
    <x v="2"/>
    <x v="2"/>
    <n v="2"/>
    <n v="2"/>
    <b v="0"/>
    <b v="0"/>
    <b v="0"/>
    <b v="0"/>
    <b v="0"/>
    <n v="1"/>
    <b v="0"/>
    <b v="0"/>
    <n v="11"/>
    <b v="0"/>
    <b v="0"/>
    <b v="0"/>
    <s v="Prolific"/>
  </r>
  <r>
    <n v="1205"/>
    <d v="2026-02-03T21:56:16"/>
    <d v="2026-02-03T22:03:17"/>
    <s v="anonymous"/>
    <m/>
    <m/>
    <s v="18 - 25"/>
    <x v="1"/>
    <x v="0"/>
    <x v="1"/>
    <x v="3"/>
    <x v="0"/>
    <x v="0"/>
    <x v="0"/>
    <x v="0"/>
    <x v="1"/>
    <x v="1"/>
    <x v="0"/>
    <x v="3"/>
    <x v="0"/>
    <x v="0"/>
    <x v="2"/>
    <x v="3"/>
    <x v="3"/>
    <x v="3"/>
    <x v="0"/>
    <x v="3"/>
    <x v="2"/>
    <x v="1"/>
    <x v="1"/>
    <x v="1"/>
    <x v="2"/>
    <x v="2"/>
    <x v="2"/>
    <n v="2"/>
    <n v="2"/>
    <b v="0"/>
    <b v="0"/>
    <b v="0"/>
    <b v="0"/>
    <b v="0"/>
    <n v="3"/>
    <b v="0"/>
    <b v="0"/>
    <n v="3"/>
    <b v="0"/>
    <b v="0"/>
    <b v="0"/>
    <s v="Prolific"/>
  </r>
  <r>
    <n v="1214"/>
    <d v="2026-02-03T21:58:18"/>
    <d v="2026-02-03T22:02:02"/>
    <s v="anonymous"/>
    <m/>
    <m/>
    <s v="18 - 25"/>
    <x v="0"/>
    <x v="0"/>
    <x v="2"/>
    <x v="0"/>
    <x v="0"/>
    <x v="0"/>
    <x v="4"/>
    <x v="2"/>
    <x v="0"/>
    <x v="0"/>
    <x v="0"/>
    <x v="0"/>
    <x v="0"/>
    <x v="0"/>
    <x v="1"/>
    <x v="2"/>
    <x v="1"/>
    <x v="1"/>
    <x v="0"/>
    <x v="0"/>
    <x v="2"/>
    <x v="1"/>
    <x v="3"/>
    <x v="1"/>
    <x v="1"/>
    <x v="1"/>
    <x v="1"/>
    <n v="4"/>
    <n v="4"/>
    <b v="0"/>
    <b v="0"/>
    <b v="0"/>
    <b v="0"/>
    <b v="0"/>
    <n v="3"/>
    <b v="0"/>
    <b v="0"/>
    <n v="7"/>
    <b v="0"/>
    <b v="0"/>
    <b v="0"/>
    <s v="Prolific"/>
  </r>
  <r>
    <n v="1224"/>
    <d v="2026-02-03T22:10:23"/>
    <d v="2026-02-03T22:20:08"/>
    <s v="anonymous"/>
    <m/>
    <m/>
    <s v="18 - 25"/>
    <x v="1"/>
    <x v="0"/>
    <x v="0"/>
    <x v="6"/>
    <x v="1"/>
    <x v="1"/>
    <x v="2"/>
    <x v="2"/>
    <x v="1"/>
    <x v="4"/>
    <x v="0"/>
    <x v="0"/>
    <x v="3"/>
    <x v="4"/>
    <x v="0"/>
    <x v="0"/>
    <x v="2"/>
    <x v="0"/>
    <x v="2"/>
    <x v="0"/>
    <x v="0"/>
    <x v="3"/>
    <x v="3"/>
    <x v="4"/>
    <x v="2"/>
    <x v="2"/>
    <x v="3"/>
    <n v="1"/>
    <n v="2"/>
    <b v="0"/>
    <b v="0"/>
    <b v="0"/>
    <b v="0"/>
    <b v="0"/>
    <n v="10"/>
    <b v="0"/>
    <b v="0"/>
    <n v="8"/>
    <b v="0"/>
    <b v="0"/>
    <b v="0"/>
    <s v="Prolific"/>
  </r>
  <r>
    <n v="1229"/>
    <d v="2026-02-03T22:16:33"/>
    <d v="2026-02-03T22:20:10"/>
    <s v="anonymous"/>
    <m/>
    <m/>
    <s v="18 - 25"/>
    <x v="1"/>
    <x v="1"/>
    <x v="4"/>
    <x v="4"/>
    <x v="1"/>
    <x v="0"/>
    <x v="1"/>
    <x v="2"/>
    <x v="1"/>
    <x v="2"/>
    <x v="2"/>
    <x v="1"/>
    <x v="2"/>
    <x v="4"/>
    <x v="3"/>
    <x v="1"/>
    <x v="3"/>
    <x v="3"/>
    <x v="1"/>
    <x v="2"/>
    <x v="0"/>
    <x v="2"/>
    <x v="1"/>
    <x v="0"/>
    <x v="2"/>
    <x v="2"/>
    <x v="2"/>
    <n v="2"/>
    <n v="2"/>
    <b v="0"/>
    <b v="0"/>
    <b v="0"/>
    <b v="0"/>
    <b v="0"/>
    <n v="0"/>
    <b v="0"/>
    <b v="0"/>
    <n v="0"/>
    <b v="0"/>
    <b v="0"/>
    <b v="0"/>
    <s v="Prolific"/>
  </r>
  <r>
    <n v="1231"/>
    <d v="2026-02-03T22:24:49"/>
    <d v="2026-02-03T22:27:05"/>
    <s v="anonymous"/>
    <m/>
    <m/>
    <s v="18 - 25"/>
    <x v="1"/>
    <x v="0"/>
    <x v="4"/>
    <x v="5"/>
    <x v="1"/>
    <x v="1"/>
    <x v="0"/>
    <x v="2"/>
    <x v="1"/>
    <x v="1"/>
    <x v="0"/>
    <x v="0"/>
    <x v="1"/>
    <x v="1"/>
    <x v="1"/>
    <x v="1"/>
    <x v="3"/>
    <x v="1"/>
    <x v="0"/>
    <x v="0"/>
    <x v="1"/>
    <x v="1"/>
    <x v="2"/>
    <x v="2"/>
    <x v="2"/>
    <x v="2"/>
    <x v="2"/>
    <n v="2"/>
    <n v="2"/>
    <b v="0"/>
    <b v="0"/>
    <b v="0"/>
    <b v="0"/>
    <b v="0"/>
    <n v="0"/>
    <b v="0"/>
    <b v="0"/>
    <n v="11"/>
    <b v="0"/>
    <b v="0"/>
    <b v="0"/>
    <s v="Prolific"/>
  </r>
  <r>
    <n v="1234"/>
    <d v="2026-02-03T22:32:48"/>
    <d v="2026-02-03T22:45:49"/>
    <s v="anonymous"/>
    <m/>
    <m/>
    <s v="18 - 25"/>
    <x v="1"/>
    <x v="3"/>
    <x v="0"/>
    <x v="5"/>
    <x v="1"/>
    <x v="0"/>
    <x v="0"/>
    <x v="1"/>
    <x v="1"/>
    <x v="0"/>
    <x v="0"/>
    <x v="0"/>
    <x v="1"/>
    <x v="1"/>
    <x v="3"/>
    <x v="1"/>
    <x v="3"/>
    <x v="2"/>
    <x v="3"/>
    <x v="2"/>
    <x v="1"/>
    <x v="2"/>
    <x v="0"/>
    <x v="0"/>
    <x v="2"/>
    <x v="0"/>
    <x v="0"/>
    <n v="3"/>
    <n v="2"/>
    <b v="0"/>
    <b v="0"/>
    <b v="0"/>
    <b v="0"/>
    <b v="0"/>
    <n v="0"/>
    <b v="0"/>
    <b v="0"/>
    <n v="0"/>
    <b v="0"/>
    <b v="0"/>
    <b v="0"/>
    <s v="Prolific"/>
  </r>
  <r>
    <n v="1236"/>
    <d v="2026-02-03T22:36:52"/>
    <d v="2026-02-03T22:43:36"/>
    <s v="anonymous"/>
    <m/>
    <m/>
    <s v="18 - 25"/>
    <x v="0"/>
    <x v="4"/>
    <x v="2"/>
    <x v="4"/>
    <x v="0"/>
    <x v="0"/>
    <x v="1"/>
    <x v="1"/>
    <x v="1"/>
    <x v="0"/>
    <x v="1"/>
    <x v="0"/>
    <x v="2"/>
    <x v="2"/>
    <x v="1"/>
    <x v="3"/>
    <x v="1"/>
    <x v="1"/>
    <x v="1"/>
    <x v="0"/>
    <x v="2"/>
    <x v="2"/>
    <x v="3"/>
    <x v="1"/>
    <x v="1"/>
    <x v="1"/>
    <x v="1"/>
    <n v="4"/>
    <n v="4"/>
    <b v="0"/>
    <b v="0"/>
    <b v="0"/>
    <b v="0"/>
    <b v="0"/>
    <n v="1"/>
    <b v="0"/>
    <b v="0"/>
    <n v="12"/>
    <b v="0"/>
    <b v="0"/>
    <b v="0"/>
    <s v="Prolific"/>
  </r>
  <r>
    <n v="1241"/>
    <d v="2026-02-03T22:52:51"/>
    <d v="2026-02-03T23:09:31"/>
    <s v="anonymous"/>
    <m/>
    <m/>
    <s v="18 - 25"/>
    <x v="1"/>
    <x v="0"/>
    <x v="5"/>
    <x v="4"/>
    <x v="1"/>
    <x v="1"/>
    <x v="1"/>
    <x v="0"/>
    <x v="2"/>
    <x v="0"/>
    <x v="1"/>
    <x v="3"/>
    <x v="1"/>
    <x v="1"/>
    <x v="2"/>
    <x v="2"/>
    <x v="1"/>
    <x v="1"/>
    <x v="1"/>
    <x v="0"/>
    <x v="0"/>
    <x v="2"/>
    <x v="0"/>
    <x v="1"/>
    <x v="2"/>
    <x v="0"/>
    <x v="0"/>
    <n v="3"/>
    <n v="2"/>
    <b v="0"/>
    <b v="0"/>
    <b v="0"/>
    <b v="0"/>
    <b v="0"/>
    <n v="2"/>
    <b v="0"/>
    <b v="0"/>
    <n v="2"/>
    <b v="0"/>
    <b v="0"/>
    <b v="0"/>
    <s v="Prolific"/>
  </r>
  <r>
    <n v="1243"/>
    <d v="2026-02-03T22:56:49"/>
    <d v="2026-02-03T23:01:41"/>
    <s v="anonymous"/>
    <m/>
    <m/>
    <s v="18 - 25"/>
    <x v="0"/>
    <x v="0"/>
    <x v="2"/>
    <x v="0"/>
    <x v="0"/>
    <x v="0"/>
    <x v="0"/>
    <x v="0"/>
    <x v="1"/>
    <x v="0"/>
    <x v="1"/>
    <x v="2"/>
    <x v="1"/>
    <x v="4"/>
    <x v="2"/>
    <x v="2"/>
    <x v="1"/>
    <x v="1"/>
    <x v="1"/>
    <x v="0"/>
    <x v="1"/>
    <x v="2"/>
    <x v="3"/>
    <x v="1"/>
    <x v="0"/>
    <x v="0"/>
    <x v="0"/>
    <n v="3"/>
    <n v="3"/>
    <b v="0"/>
    <b v="0"/>
    <b v="0"/>
    <b v="0"/>
    <b v="0"/>
    <n v="1"/>
    <b v="0"/>
    <b v="0"/>
    <n v="5"/>
    <b v="0"/>
    <b v="0"/>
    <b v="0"/>
    <s v="Prolific"/>
  </r>
  <r>
    <n v="1246"/>
    <d v="2026-02-04T00:04:28"/>
    <d v="2026-02-04T00:10:03"/>
    <s v="anonymous"/>
    <m/>
    <m/>
    <s v="18 - 25"/>
    <x v="0"/>
    <x v="1"/>
    <x v="4"/>
    <x v="0"/>
    <x v="0"/>
    <x v="0"/>
    <x v="2"/>
    <x v="3"/>
    <x v="2"/>
    <x v="2"/>
    <x v="2"/>
    <x v="3"/>
    <x v="0"/>
    <x v="1"/>
    <x v="1"/>
    <x v="2"/>
    <x v="1"/>
    <x v="2"/>
    <x v="0"/>
    <x v="3"/>
    <x v="4"/>
    <x v="1"/>
    <x v="3"/>
    <x v="1"/>
    <x v="3"/>
    <x v="1"/>
    <x v="1"/>
    <n v="4"/>
    <n v="5"/>
    <b v="0"/>
    <b v="0"/>
    <b v="0"/>
    <b v="0"/>
    <b v="0"/>
    <n v="7"/>
    <b v="0"/>
    <b v="0"/>
    <n v="5"/>
    <b v="0"/>
    <b v="0"/>
    <b v="0"/>
    <s v="Prolific"/>
  </r>
  <r>
    <n v="1249"/>
    <d v="2026-02-04T09:17:21"/>
    <d v="2026-02-04T09:25:06"/>
    <s v="anonymous"/>
    <m/>
    <m/>
    <s v="18 - 25"/>
    <x v="1"/>
    <x v="2"/>
    <x v="3"/>
    <x v="1"/>
    <x v="1"/>
    <x v="0"/>
    <x v="2"/>
    <x v="2"/>
    <x v="1"/>
    <x v="0"/>
    <x v="2"/>
    <x v="0"/>
    <x v="1"/>
    <x v="4"/>
    <x v="2"/>
    <x v="2"/>
    <x v="0"/>
    <x v="3"/>
    <x v="1"/>
    <x v="2"/>
    <x v="0"/>
    <x v="3"/>
    <x v="1"/>
    <x v="2"/>
    <x v="0"/>
    <x v="2"/>
    <x v="2"/>
    <n v="2"/>
    <n v="3"/>
    <b v="0"/>
    <b v="0"/>
    <b v="0"/>
    <b v="0"/>
    <b v="0"/>
    <n v="0"/>
    <b v="0"/>
    <b v="0"/>
    <n v="6"/>
    <b v="0"/>
    <b v="0"/>
    <b v="0"/>
    <s v="Prolific"/>
  </r>
  <r>
    <n v="1250"/>
    <d v="2026-02-04T09:17:32"/>
    <d v="2026-02-04T09:28:04"/>
    <s v="anonymous"/>
    <m/>
    <m/>
    <s v="18 - 25"/>
    <x v="1"/>
    <x v="3"/>
    <x v="1"/>
    <x v="4"/>
    <x v="0"/>
    <x v="0"/>
    <x v="0"/>
    <x v="0"/>
    <x v="1"/>
    <x v="0"/>
    <x v="2"/>
    <x v="0"/>
    <x v="2"/>
    <x v="1"/>
    <x v="0"/>
    <x v="1"/>
    <x v="2"/>
    <x v="0"/>
    <x v="2"/>
    <x v="0"/>
    <x v="1"/>
    <x v="1"/>
    <x v="3"/>
    <x v="4"/>
    <x v="0"/>
    <x v="1"/>
    <x v="1"/>
    <n v="4"/>
    <n v="3"/>
    <b v="0"/>
    <b v="0"/>
    <b v="0"/>
    <b v="0"/>
    <b v="0"/>
    <n v="6"/>
    <b v="0"/>
    <b v="0"/>
    <n v="1"/>
    <b v="0"/>
    <b v="0"/>
    <b v="0"/>
    <s v="Prolific"/>
  </r>
  <r>
    <n v="1256"/>
    <d v="2026-02-04T09:18:00"/>
    <d v="2026-02-04T09:25:40"/>
    <s v="anonymous"/>
    <m/>
    <m/>
    <s v="18 - 25"/>
    <x v="1"/>
    <x v="3"/>
    <x v="3"/>
    <x v="4"/>
    <x v="0"/>
    <x v="0"/>
    <x v="2"/>
    <x v="2"/>
    <x v="0"/>
    <x v="2"/>
    <x v="2"/>
    <x v="3"/>
    <x v="2"/>
    <x v="1"/>
    <x v="0"/>
    <x v="0"/>
    <x v="2"/>
    <x v="0"/>
    <x v="0"/>
    <x v="0"/>
    <x v="0"/>
    <x v="3"/>
    <x v="3"/>
    <x v="4"/>
    <x v="2"/>
    <x v="2"/>
    <x v="2"/>
    <n v="2"/>
    <n v="2"/>
    <b v="0"/>
    <b v="0"/>
    <b v="0"/>
    <b v="0"/>
    <b v="0"/>
    <n v="7"/>
    <b v="0"/>
    <b v="0"/>
    <n v="1"/>
    <b v="0"/>
    <b v="0"/>
    <b v="0"/>
    <s v="Prolific"/>
  </r>
  <r>
    <n v="1257"/>
    <d v="2026-02-04T09:18:41"/>
    <d v="2026-02-04T09:26:24"/>
    <s v="anonymous"/>
    <m/>
    <m/>
    <s v="18 - 25"/>
    <x v="1"/>
    <x v="0"/>
    <x v="5"/>
    <x v="5"/>
    <x v="0"/>
    <x v="0"/>
    <x v="1"/>
    <x v="1"/>
    <x v="2"/>
    <x v="1"/>
    <x v="1"/>
    <x v="1"/>
    <x v="0"/>
    <x v="1"/>
    <x v="0"/>
    <x v="0"/>
    <x v="2"/>
    <x v="0"/>
    <x v="1"/>
    <x v="0"/>
    <x v="0"/>
    <x v="1"/>
    <x v="0"/>
    <x v="0"/>
    <x v="2"/>
    <x v="2"/>
    <x v="2"/>
    <n v="2"/>
    <n v="2"/>
    <b v="0"/>
    <b v="0"/>
    <b v="0"/>
    <b v="0"/>
    <b v="0"/>
    <n v="5"/>
    <b v="0"/>
    <b v="0"/>
    <n v="4"/>
    <b v="0"/>
    <b v="0"/>
    <b v="0"/>
    <s v="Prolific"/>
  </r>
  <r>
    <n v="1268"/>
    <d v="2026-02-04T11:38:32"/>
    <d v="2026-02-04T11:48:43"/>
    <s v="anonymous"/>
    <m/>
    <m/>
    <s v="18 - 25"/>
    <x v="0"/>
    <x v="0"/>
    <x v="4"/>
    <x v="5"/>
    <x v="0"/>
    <x v="0"/>
    <x v="0"/>
    <x v="1"/>
    <x v="2"/>
    <x v="0"/>
    <x v="0"/>
    <x v="0"/>
    <x v="0"/>
    <x v="0"/>
    <x v="0"/>
    <x v="1"/>
    <x v="0"/>
    <x v="1"/>
    <x v="2"/>
    <x v="3"/>
    <x v="1"/>
    <x v="0"/>
    <x v="3"/>
    <x v="0"/>
    <x v="3"/>
    <x v="4"/>
    <x v="4"/>
    <n v="5"/>
    <n v="5"/>
    <b v="0"/>
    <b v="0"/>
    <b v="0"/>
    <b v="0"/>
    <b v="0"/>
    <n v="10"/>
    <b v="0"/>
    <b v="0"/>
    <n v="2"/>
    <b v="0"/>
    <b v="0"/>
    <b v="0"/>
    <s v="Prolific"/>
  </r>
  <r>
    <n v="1280"/>
    <d v="2026-02-04T11:49:23"/>
    <d v="2026-02-04T12:02:38"/>
    <s v="anonymous"/>
    <m/>
    <m/>
    <s v="18 - 25"/>
    <x v="1"/>
    <x v="2"/>
    <x v="3"/>
    <x v="0"/>
    <x v="0"/>
    <x v="0"/>
    <x v="1"/>
    <x v="2"/>
    <x v="4"/>
    <x v="4"/>
    <x v="1"/>
    <x v="0"/>
    <x v="2"/>
    <x v="2"/>
    <x v="1"/>
    <x v="1"/>
    <x v="0"/>
    <x v="0"/>
    <x v="2"/>
    <x v="0"/>
    <x v="2"/>
    <x v="2"/>
    <x v="0"/>
    <x v="1"/>
    <x v="0"/>
    <x v="0"/>
    <x v="0"/>
    <n v="3"/>
    <n v="3"/>
    <b v="0"/>
    <b v="0"/>
    <b v="0"/>
    <b v="0"/>
    <b v="0"/>
    <n v="4"/>
    <b v="0"/>
    <b v="0"/>
    <n v="1"/>
    <b v="0"/>
    <b v="0"/>
    <b v="0"/>
    <s v="Prolific"/>
  </r>
  <r>
    <n v="1285"/>
    <d v="2026-02-04T13:28:43"/>
    <d v="2026-02-04T13:38:46"/>
    <s v="anonymous"/>
    <m/>
    <m/>
    <s v="18 - 25"/>
    <x v="1"/>
    <x v="0"/>
    <x v="3"/>
    <x v="0"/>
    <x v="0"/>
    <x v="0"/>
    <x v="0"/>
    <x v="1"/>
    <x v="0"/>
    <x v="1"/>
    <x v="3"/>
    <x v="0"/>
    <x v="2"/>
    <x v="1"/>
    <x v="1"/>
    <x v="0"/>
    <x v="1"/>
    <x v="1"/>
    <x v="0"/>
    <x v="0"/>
    <x v="2"/>
    <x v="2"/>
    <x v="0"/>
    <x v="1"/>
    <x v="0"/>
    <x v="0"/>
    <x v="0"/>
    <n v="3"/>
    <n v="3"/>
    <b v="0"/>
    <b v="0"/>
    <b v="0"/>
    <b v="0"/>
    <b v="0"/>
    <n v="2"/>
    <b v="0"/>
    <b v="0"/>
    <n v="21"/>
    <b v="0"/>
    <b v="0"/>
    <b v="0"/>
    <s v="Prolific"/>
  </r>
  <r>
    <n v="1292"/>
    <d v="2026-02-12T17:10:14"/>
    <d v="2026-02-12T17:10:39"/>
    <s v="anonymous"/>
    <m/>
    <m/>
    <s v="18 - 25"/>
    <x v="1"/>
    <x v="0"/>
    <x v="3"/>
    <x v="4"/>
    <x v="0"/>
    <x v="1"/>
    <x v="1"/>
    <x v="0"/>
    <x v="1"/>
    <x v="1"/>
    <x v="2"/>
    <x v="1"/>
    <x v="0"/>
    <x v="1"/>
    <x v="0"/>
    <x v="0"/>
    <x v="1"/>
    <x v="1"/>
    <x v="1"/>
    <x v="0"/>
    <x v="1"/>
    <x v="1"/>
    <x v="0"/>
    <x v="0"/>
    <x v="1"/>
    <x v="0"/>
    <x v="0"/>
    <n v="3"/>
    <n v="4"/>
    <b v="0"/>
    <b v="0"/>
    <b v="0"/>
    <b v="0"/>
    <b v="0"/>
    <n v="2"/>
    <b v="0"/>
    <b v="0"/>
    <n v="8"/>
    <b v="0"/>
    <b v="0"/>
    <b v="0"/>
    <s v="Prolific"/>
  </r>
  <r>
    <n v="1296"/>
    <d v="2026-02-12T20:52:56"/>
    <d v="2026-02-12T21:01:18"/>
    <s v="anonymous"/>
    <m/>
    <m/>
    <s v="18 - 25"/>
    <x v="0"/>
    <x v="0"/>
    <x v="7"/>
    <x v="4"/>
    <x v="1"/>
    <x v="1"/>
    <x v="0"/>
    <x v="1"/>
    <x v="0"/>
    <x v="0"/>
    <x v="1"/>
    <x v="1"/>
    <x v="0"/>
    <x v="1"/>
    <x v="2"/>
    <x v="2"/>
    <x v="1"/>
    <x v="2"/>
    <x v="2"/>
    <x v="0"/>
    <x v="2"/>
    <x v="1"/>
    <x v="3"/>
    <x v="4"/>
    <x v="2"/>
    <x v="2"/>
    <x v="2"/>
    <n v="2"/>
    <n v="2"/>
    <b v="0"/>
    <b v="0"/>
    <b v="0"/>
    <b v="0"/>
    <b v="0"/>
    <n v="3"/>
    <b v="0"/>
    <b v="0"/>
    <n v="6"/>
    <b v="0"/>
    <b v="0"/>
    <b v="0"/>
    <s v="Prolific"/>
  </r>
  <r>
    <n v="1300"/>
    <d v="2026-02-12T20:52:54"/>
    <d v="2026-02-12T21:01:21"/>
    <s v="anonymous"/>
    <m/>
    <m/>
    <s v="18 - 25"/>
    <x v="1"/>
    <x v="0"/>
    <x v="6"/>
    <x v="1"/>
    <x v="0"/>
    <x v="0"/>
    <x v="0"/>
    <x v="1"/>
    <x v="1"/>
    <x v="1"/>
    <x v="0"/>
    <x v="0"/>
    <x v="2"/>
    <x v="1"/>
    <x v="1"/>
    <x v="1"/>
    <x v="3"/>
    <x v="1"/>
    <x v="3"/>
    <x v="0"/>
    <x v="1"/>
    <x v="1"/>
    <x v="2"/>
    <x v="2"/>
    <x v="0"/>
    <x v="0"/>
    <x v="0"/>
    <n v="3"/>
    <n v="3"/>
    <b v="0"/>
    <b v="0"/>
    <b v="0"/>
    <b v="0"/>
    <b v="0"/>
    <n v="0"/>
    <b v="0"/>
    <b v="0"/>
    <n v="3"/>
    <b v="0"/>
    <b v="0"/>
    <b v="0"/>
    <s v="Prolific"/>
  </r>
  <r>
    <n v="1308"/>
    <d v="2026-02-12T18:22:39"/>
    <d v="2026-02-12T18:25:29"/>
    <s v="anonymous"/>
    <m/>
    <m/>
    <s v="18 - 25"/>
    <x v="1"/>
    <x v="0"/>
    <x v="3"/>
    <x v="4"/>
    <x v="0"/>
    <x v="0"/>
    <x v="0"/>
    <x v="4"/>
    <x v="0"/>
    <x v="0"/>
    <x v="3"/>
    <x v="3"/>
    <x v="3"/>
    <x v="2"/>
    <x v="0"/>
    <x v="0"/>
    <x v="0"/>
    <x v="0"/>
    <x v="0"/>
    <x v="3"/>
    <x v="4"/>
    <x v="2"/>
    <x v="0"/>
    <x v="0"/>
    <x v="1"/>
    <x v="0"/>
    <x v="0"/>
    <n v="3"/>
    <n v="4"/>
    <b v="0"/>
    <b v="0"/>
    <b v="0"/>
    <b v="0"/>
    <b v="0"/>
    <n v="9"/>
    <b v="0"/>
    <b v="0"/>
    <n v="6"/>
    <b v="0"/>
    <b v="0"/>
    <b v="0"/>
    <s v="Prolific"/>
  </r>
  <r>
    <n v="1310"/>
    <d v="2026-02-12T18:22:37"/>
    <d v="2026-02-12T18:25:12"/>
    <s v="anonymous"/>
    <m/>
    <m/>
    <s v="18 - 25"/>
    <x v="0"/>
    <x v="2"/>
    <x v="3"/>
    <x v="4"/>
    <x v="1"/>
    <x v="1"/>
    <x v="0"/>
    <x v="1"/>
    <x v="0"/>
    <x v="0"/>
    <x v="1"/>
    <x v="0"/>
    <x v="0"/>
    <x v="2"/>
    <x v="1"/>
    <x v="2"/>
    <x v="2"/>
    <x v="1"/>
    <x v="2"/>
    <x v="0"/>
    <x v="1"/>
    <x v="2"/>
    <x v="3"/>
    <x v="4"/>
    <x v="2"/>
    <x v="2"/>
    <x v="3"/>
    <n v="1"/>
    <n v="2"/>
    <b v="0"/>
    <b v="0"/>
    <b v="0"/>
    <b v="0"/>
    <b v="0"/>
    <n v="5"/>
    <b v="0"/>
    <b v="0"/>
    <n v="6"/>
    <b v="0"/>
    <b v="0"/>
    <b v="0"/>
    <s v="Prolific"/>
  </r>
  <r>
    <n v="1312"/>
    <d v="2026-02-12T20:12:47"/>
    <d v="2026-02-12T20:21:44"/>
    <s v="anonymous"/>
    <m/>
    <m/>
    <s v="18 - 25"/>
    <x v="1"/>
    <x v="0"/>
    <x v="3"/>
    <x v="0"/>
    <x v="0"/>
    <x v="1"/>
    <x v="4"/>
    <x v="4"/>
    <x v="2"/>
    <x v="3"/>
    <x v="3"/>
    <x v="3"/>
    <x v="0"/>
    <x v="0"/>
    <x v="0"/>
    <x v="0"/>
    <x v="1"/>
    <x v="0"/>
    <x v="0"/>
    <x v="3"/>
    <x v="1"/>
    <x v="1"/>
    <x v="0"/>
    <x v="1"/>
    <x v="0"/>
    <x v="0"/>
    <x v="0"/>
    <n v="3"/>
    <n v="3"/>
    <b v="0"/>
    <b v="0"/>
    <b v="0"/>
    <b v="0"/>
    <b v="0"/>
    <n v="11"/>
    <b v="0"/>
    <b v="0"/>
    <n v="3"/>
    <b v="0"/>
    <b v="0"/>
    <b v="0"/>
    <s v="Prolific"/>
  </r>
  <r>
    <n v="1314"/>
    <d v="2026-02-12T20:24:50"/>
    <d v="2026-02-12T20:40:01"/>
    <s v="anonymous"/>
    <m/>
    <m/>
    <s v="18 - 25"/>
    <x v="0"/>
    <x v="0"/>
    <x v="0"/>
    <x v="0"/>
    <x v="1"/>
    <x v="1"/>
    <x v="1"/>
    <x v="0"/>
    <x v="3"/>
    <x v="0"/>
    <x v="2"/>
    <x v="1"/>
    <x v="2"/>
    <x v="4"/>
    <x v="1"/>
    <x v="1"/>
    <x v="0"/>
    <x v="1"/>
    <x v="1"/>
    <x v="1"/>
    <x v="0"/>
    <x v="3"/>
    <x v="1"/>
    <x v="0"/>
    <x v="2"/>
    <x v="3"/>
    <x v="3"/>
    <n v="1"/>
    <n v="2"/>
    <b v="0"/>
    <b v="0"/>
    <b v="0"/>
    <b v="0"/>
    <b v="0"/>
    <n v="2"/>
    <b v="0"/>
    <b v="0"/>
    <n v="6"/>
    <b v="0"/>
    <b v="0"/>
    <b v="0"/>
    <s v="Prolific"/>
  </r>
  <r>
    <n v="1316"/>
    <d v="2026-02-12T17:21:47"/>
    <d v="2026-02-12T17:22:13"/>
    <s v="anonymous"/>
    <m/>
    <m/>
    <s v="18 - 25"/>
    <x v="0"/>
    <x v="2"/>
    <x v="1"/>
    <x v="6"/>
    <x v="0"/>
    <x v="0"/>
    <x v="2"/>
    <x v="2"/>
    <x v="2"/>
    <x v="3"/>
    <x v="2"/>
    <x v="3"/>
    <x v="3"/>
    <x v="0"/>
    <x v="1"/>
    <x v="1"/>
    <x v="1"/>
    <x v="1"/>
    <x v="0"/>
    <x v="0"/>
    <x v="4"/>
    <x v="0"/>
    <x v="0"/>
    <x v="1"/>
    <x v="0"/>
    <x v="0"/>
    <x v="0"/>
    <n v="3"/>
    <n v="3"/>
    <b v="0"/>
    <b v="0"/>
    <b v="0"/>
    <b v="0"/>
    <b v="0"/>
    <n v="7"/>
    <b v="0"/>
    <b v="0"/>
    <n v="2"/>
    <b v="0"/>
    <b v="0"/>
    <b v="0"/>
    <s v="Prolific"/>
  </r>
  <r>
    <n v="1319"/>
    <d v="2026-02-12T20:05:59"/>
    <d v="2026-02-12T20:09:06"/>
    <s v="anonymous"/>
    <m/>
    <m/>
    <s v="18 - 25"/>
    <x v="1"/>
    <x v="0"/>
    <x v="3"/>
    <x v="4"/>
    <x v="0"/>
    <x v="0"/>
    <x v="4"/>
    <x v="4"/>
    <x v="0"/>
    <x v="1"/>
    <x v="3"/>
    <x v="0"/>
    <x v="0"/>
    <x v="1"/>
    <x v="0"/>
    <x v="0"/>
    <x v="1"/>
    <x v="0"/>
    <x v="0"/>
    <x v="0"/>
    <x v="1"/>
    <x v="1"/>
    <x v="0"/>
    <x v="1"/>
    <x v="1"/>
    <x v="0"/>
    <x v="0"/>
    <n v="3"/>
    <n v="4"/>
    <b v="0"/>
    <b v="0"/>
    <b v="0"/>
    <b v="0"/>
    <b v="0"/>
    <n v="6"/>
    <b v="0"/>
    <b v="0"/>
    <n v="5"/>
    <b v="0"/>
    <b v="0"/>
    <b v="0"/>
    <s v="Prolific"/>
  </r>
  <r>
    <n v="1327"/>
    <d v="2026-02-12T17:13:12"/>
    <d v="2026-02-12T17:13:38"/>
    <s v="anonymous"/>
    <m/>
    <m/>
    <s v="18 - 25"/>
    <x v="0"/>
    <x v="0"/>
    <x v="0"/>
    <x v="4"/>
    <x v="0"/>
    <x v="0"/>
    <x v="1"/>
    <x v="0"/>
    <x v="0"/>
    <x v="0"/>
    <x v="1"/>
    <x v="2"/>
    <x v="1"/>
    <x v="2"/>
    <x v="1"/>
    <x v="1"/>
    <x v="0"/>
    <x v="1"/>
    <x v="1"/>
    <x v="2"/>
    <x v="0"/>
    <x v="1"/>
    <x v="1"/>
    <x v="0"/>
    <x v="2"/>
    <x v="3"/>
    <x v="2"/>
    <n v="2"/>
    <n v="2"/>
    <b v="0"/>
    <b v="0"/>
    <b v="0"/>
    <b v="0"/>
    <b v="0"/>
    <n v="1"/>
    <b v="0"/>
    <b v="0"/>
    <n v="5"/>
    <b v="0"/>
    <b v="0"/>
    <b v="0"/>
    <s v="Prolific"/>
  </r>
  <r>
    <n v="1332"/>
    <d v="2026-02-12T18:22:50"/>
    <d v="2026-02-12T18:26:51"/>
    <s v="anonymous"/>
    <m/>
    <m/>
    <s v="18 - 25"/>
    <x v="0"/>
    <x v="0"/>
    <x v="2"/>
    <x v="0"/>
    <x v="0"/>
    <x v="0"/>
    <x v="1"/>
    <x v="0"/>
    <x v="0"/>
    <x v="1"/>
    <x v="1"/>
    <x v="1"/>
    <x v="2"/>
    <x v="1"/>
    <x v="1"/>
    <x v="1"/>
    <x v="3"/>
    <x v="1"/>
    <x v="3"/>
    <x v="1"/>
    <x v="2"/>
    <x v="1"/>
    <x v="2"/>
    <x v="2"/>
    <x v="2"/>
    <x v="2"/>
    <x v="2"/>
    <n v="2"/>
    <n v="2"/>
    <b v="0"/>
    <b v="0"/>
    <b v="0"/>
    <b v="0"/>
    <b v="0"/>
    <n v="0"/>
    <b v="0"/>
    <b v="0"/>
    <n v="5"/>
    <b v="0"/>
    <b v="0"/>
    <b v="0"/>
    <s v="Prolific"/>
  </r>
  <r>
    <n v="1335"/>
    <d v="2026-02-12T20:24:52"/>
    <d v="2026-02-12T20:40:14"/>
    <s v="anonymous"/>
    <m/>
    <m/>
    <s v="18 - 25"/>
    <x v="1"/>
    <x v="0"/>
    <x v="3"/>
    <x v="4"/>
    <x v="0"/>
    <x v="0"/>
    <x v="0"/>
    <x v="4"/>
    <x v="1"/>
    <x v="1"/>
    <x v="0"/>
    <x v="0"/>
    <x v="2"/>
    <x v="1"/>
    <x v="2"/>
    <x v="2"/>
    <x v="0"/>
    <x v="2"/>
    <x v="1"/>
    <x v="0"/>
    <x v="1"/>
    <x v="1"/>
    <x v="1"/>
    <x v="0"/>
    <x v="0"/>
    <x v="2"/>
    <x v="3"/>
    <n v="1"/>
    <n v="3"/>
    <b v="0"/>
    <b v="0"/>
    <b v="0"/>
    <b v="0"/>
    <b v="0"/>
    <n v="2"/>
    <b v="0"/>
    <b v="0"/>
    <n v="5"/>
    <b v="0"/>
    <b v="0"/>
    <b v="0"/>
    <s v="Prolific"/>
  </r>
  <r>
    <n v="1340"/>
    <d v="2026-02-12T19:59:19"/>
    <d v="2026-02-12T20:12:03"/>
    <s v="anonymous"/>
    <m/>
    <m/>
    <s v="18 - 25"/>
    <x v="0"/>
    <x v="4"/>
    <x v="7"/>
    <x v="7"/>
    <x v="0"/>
    <x v="1"/>
    <x v="0"/>
    <x v="1"/>
    <x v="0"/>
    <x v="0"/>
    <x v="3"/>
    <x v="2"/>
    <x v="1"/>
    <x v="2"/>
    <x v="3"/>
    <x v="1"/>
    <x v="0"/>
    <x v="2"/>
    <x v="1"/>
    <x v="2"/>
    <x v="0"/>
    <x v="2"/>
    <x v="2"/>
    <x v="0"/>
    <x v="0"/>
    <x v="2"/>
    <x v="2"/>
    <n v="2"/>
    <n v="3"/>
    <b v="0"/>
    <b v="0"/>
    <b v="0"/>
    <b v="0"/>
    <b v="0"/>
    <n v="1"/>
    <b v="0"/>
    <b v="0"/>
    <n v="0"/>
    <b v="0"/>
    <b v="0"/>
    <b v="0"/>
    <s v="Prolific"/>
  </r>
  <r>
    <n v="1342"/>
    <d v="2026-02-12T21:10:27"/>
    <d v="2026-02-12T21:19:46"/>
    <s v="anonymous"/>
    <m/>
    <m/>
    <s v="18 - 25"/>
    <x v="1"/>
    <x v="2"/>
    <x v="3"/>
    <x v="4"/>
    <x v="0"/>
    <x v="0"/>
    <x v="0"/>
    <x v="1"/>
    <x v="1"/>
    <x v="1"/>
    <x v="0"/>
    <x v="0"/>
    <x v="0"/>
    <x v="1"/>
    <x v="1"/>
    <x v="1"/>
    <x v="0"/>
    <x v="1"/>
    <x v="1"/>
    <x v="0"/>
    <x v="4"/>
    <x v="1"/>
    <x v="1"/>
    <x v="1"/>
    <x v="1"/>
    <x v="0"/>
    <x v="0"/>
    <n v="3"/>
    <n v="4"/>
    <b v="0"/>
    <b v="0"/>
    <b v="0"/>
    <b v="0"/>
    <b v="0"/>
    <n v="1"/>
    <b v="0"/>
    <b v="0"/>
    <n v="4"/>
    <b v="0"/>
    <b v="0"/>
    <b v="0"/>
    <s v="Prolific"/>
  </r>
  <r>
    <n v="1347"/>
    <d v="2026-02-12T16:47:34"/>
    <d v="2026-02-12T16:51:53"/>
    <s v="anonymous"/>
    <m/>
    <m/>
    <s v="18 - 25"/>
    <x v="0"/>
    <x v="0"/>
    <x v="2"/>
    <x v="0"/>
    <x v="0"/>
    <x v="0"/>
    <x v="1"/>
    <x v="1"/>
    <x v="1"/>
    <x v="1"/>
    <x v="2"/>
    <x v="1"/>
    <x v="2"/>
    <x v="1"/>
    <x v="2"/>
    <x v="2"/>
    <x v="1"/>
    <x v="1"/>
    <x v="0"/>
    <x v="1"/>
    <x v="0"/>
    <x v="1"/>
    <x v="0"/>
    <x v="0"/>
    <x v="3"/>
    <x v="1"/>
    <x v="1"/>
    <n v="4"/>
    <n v="5"/>
    <b v="0"/>
    <b v="0"/>
    <b v="0"/>
    <b v="0"/>
    <b v="0"/>
    <n v="1"/>
    <b v="0"/>
    <b v="0"/>
    <n v="6"/>
    <b v="0"/>
    <b v="0"/>
    <b v="0"/>
    <s v="Prolific"/>
  </r>
  <r>
    <n v="1348"/>
    <d v="2026-02-12T17:22:33"/>
    <d v="2026-02-12T17:23:04"/>
    <s v="anonymous"/>
    <m/>
    <m/>
    <s v="18 - 25"/>
    <x v="0"/>
    <x v="0"/>
    <x v="2"/>
    <x v="0"/>
    <x v="0"/>
    <x v="0"/>
    <x v="1"/>
    <x v="0"/>
    <x v="0"/>
    <x v="2"/>
    <x v="1"/>
    <x v="1"/>
    <x v="0"/>
    <x v="2"/>
    <x v="3"/>
    <x v="2"/>
    <x v="3"/>
    <x v="2"/>
    <x v="3"/>
    <x v="1"/>
    <x v="2"/>
    <x v="2"/>
    <x v="2"/>
    <x v="2"/>
    <x v="2"/>
    <x v="2"/>
    <x v="3"/>
    <n v="1"/>
    <n v="2"/>
    <b v="0"/>
    <b v="0"/>
    <b v="0"/>
    <b v="0"/>
    <b v="0"/>
    <n v="1"/>
    <b v="0"/>
    <b v="0"/>
    <n v="5"/>
    <b v="0"/>
    <b v="0"/>
    <b v="0"/>
    <s v="Prolific"/>
  </r>
  <r>
    <n v="1353"/>
    <d v="2026-02-12T19:59:22"/>
    <d v="2026-02-12T20:12:05"/>
    <s v="anonymous"/>
    <m/>
    <m/>
    <s v="18 - 25"/>
    <x v="1"/>
    <x v="0"/>
    <x v="6"/>
    <x v="1"/>
    <x v="0"/>
    <x v="0"/>
    <x v="0"/>
    <x v="1"/>
    <x v="3"/>
    <x v="2"/>
    <x v="0"/>
    <x v="2"/>
    <x v="2"/>
    <x v="2"/>
    <x v="2"/>
    <x v="2"/>
    <x v="3"/>
    <x v="3"/>
    <x v="3"/>
    <x v="2"/>
    <x v="2"/>
    <x v="3"/>
    <x v="2"/>
    <x v="2"/>
    <x v="4"/>
    <x v="3"/>
    <x v="2"/>
    <n v="2"/>
    <n v="1"/>
    <b v="0"/>
    <b v="0"/>
    <b v="0"/>
    <b v="0"/>
    <b v="0"/>
    <n v="2"/>
    <b v="0"/>
    <b v="0"/>
    <n v="3"/>
    <b v="0"/>
    <b v="0"/>
    <b v="0"/>
    <s v="Prolific"/>
  </r>
  <r>
    <n v="1355"/>
    <d v="2026-02-12T21:16:59"/>
    <d v="2026-02-12T21:17:12"/>
    <s v="anonymous"/>
    <m/>
    <m/>
    <s v="18 - 25"/>
    <x v="1"/>
    <x v="0"/>
    <x v="1"/>
    <x v="4"/>
    <x v="0"/>
    <x v="0"/>
    <x v="0"/>
    <x v="4"/>
    <x v="1"/>
    <x v="1"/>
    <x v="0"/>
    <x v="2"/>
    <x v="2"/>
    <x v="1"/>
    <x v="0"/>
    <x v="0"/>
    <x v="0"/>
    <x v="0"/>
    <x v="1"/>
    <x v="2"/>
    <x v="0"/>
    <x v="1"/>
    <x v="0"/>
    <x v="0"/>
    <x v="4"/>
    <x v="3"/>
    <x v="2"/>
    <n v="2"/>
    <n v="1"/>
    <b v="0"/>
    <b v="0"/>
    <b v="0"/>
    <b v="0"/>
    <b v="0"/>
    <n v="6"/>
    <b v="0"/>
    <b v="0"/>
    <n v="8"/>
    <b v="0"/>
    <b v="0"/>
    <b v="0"/>
    <s v="Prolific"/>
  </r>
  <r>
    <n v="1358"/>
    <d v="2026-02-12T16:40:10"/>
    <d v="2026-02-12T16:40:40"/>
    <s v="anonymous"/>
    <m/>
    <m/>
    <s v="18 - 25"/>
    <x v="1"/>
    <x v="0"/>
    <x v="4"/>
    <x v="4"/>
    <x v="0"/>
    <x v="0"/>
    <x v="3"/>
    <x v="3"/>
    <x v="0"/>
    <x v="2"/>
    <x v="4"/>
    <x v="2"/>
    <x v="2"/>
    <x v="2"/>
    <x v="1"/>
    <x v="0"/>
    <x v="0"/>
    <x v="0"/>
    <x v="0"/>
    <x v="2"/>
    <x v="0"/>
    <x v="2"/>
    <x v="0"/>
    <x v="1"/>
    <x v="0"/>
    <x v="2"/>
    <x v="3"/>
    <n v="1"/>
    <n v="3"/>
    <b v="0"/>
    <b v="0"/>
    <b v="0"/>
    <b v="0"/>
    <b v="0"/>
    <n v="6"/>
    <b v="0"/>
    <b v="0"/>
    <n v="3"/>
    <b v="0"/>
    <b v="0"/>
    <b v="0"/>
    <s v="Prolific"/>
  </r>
  <r>
    <n v="1360"/>
    <d v="2026-02-12T21:22:50"/>
    <d v="2026-02-12T21:23:48"/>
    <s v="anonymous"/>
    <m/>
    <m/>
    <s v="18 - 25"/>
    <x v="1"/>
    <x v="2"/>
    <x v="2"/>
    <x v="0"/>
    <x v="0"/>
    <x v="0"/>
    <x v="1"/>
    <x v="3"/>
    <x v="0"/>
    <x v="2"/>
    <x v="3"/>
    <x v="4"/>
    <x v="0"/>
    <x v="1"/>
    <x v="1"/>
    <x v="2"/>
    <x v="3"/>
    <x v="1"/>
    <x v="3"/>
    <x v="2"/>
    <x v="0"/>
    <x v="3"/>
    <x v="4"/>
    <x v="3"/>
    <x v="1"/>
    <x v="2"/>
    <x v="3"/>
    <n v="1"/>
    <n v="4"/>
    <b v="0"/>
    <b v="0"/>
    <b v="0"/>
    <b v="0"/>
    <b v="0"/>
    <n v="6"/>
    <b v="0"/>
    <b v="0"/>
    <n v="7"/>
    <b v="0"/>
    <b v="0"/>
    <b v="0"/>
    <s v="Prolific"/>
  </r>
  <r>
    <n v="1368"/>
    <d v="2026-02-12T17:09:35"/>
    <d v="2026-02-12T17:09:52"/>
    <s v="anonymous"/>
    <m/>
    <m/>
    <s v="18 - 25"/>
    <x v="0"/>
    <x v="0"/>
    <x v="3"/>
    <x v="4"/>
    <x v="0"/>
    <x v="0"/>
    <x v="3"/>
    <x v="3"/>
    <x v="1"/>
    <x v="1"/>
    <x v="4"/>
    <x v="1"/>
    <x v="1"/>
    <x v="1"/>
    <x v="2"/>
    <x v="2"/>
    <x v="3"/>
    <x v="3"/>
    <x v="1"/>
    <x v="2"/>
    <x v="0"/>
    <x v="1"/>
    <x v="2"/>
    <x v="2"/>
    <x v="2"/>
    <x v="2"/>
    <x v="2"/>
    <n v="2"/>
    <n v="2"/>
    <b v="0"/>
    <b v="0"/>
    <b v="0"/>
    <b v="0"/>
    <b v="0"/>
    <n v="3"/>
    <b v="0"/>
    <b v="0"/>
    <n v="5"/>
    <b v="0"/>
    <b v="0"/>
    <b v="0"/>
    <s v="Prolific"/>
  </r>
  <r>
    <n v="1370"/>
    <d v="2026-02-12T21:00:33"/>
    <d v="2026-02-12T21:09:12"/>
    <s v="anonymous"/>
    <m/>
    <m/>
    <s v="18 - 25"/>
    <x v="1"/>
    <x v="1"/>
    <x v="0"/>
    <x v="4"/>
    <x v="0"/>
    <x v="0"/>
    <x v="0"/>
    <x v="1"/>
    <x v="1"/>
    <x v="1"/>
    <x v="0"/>
    <x v="0"/>
    <x v="0"/>
    <x v="1"/>
    <x v="0"/>
    <x v="1"/>
    <x v="0"/>
    <x v="1"/>
    <x v="1"/>
    <x v="0"/>
    <x v="1"/>
    <x v="1"/>
    <x v="1"/>
    <x v="0"/>
    <x v="0"/>
    <x v="0"/>
    <x v="0"/>
    <n v="3"/>
    <n v="3"/>
    <b v="0"/>
    <b v="0"/>
    <b v="0"/>
    <b v="0"/>
    <b v="0"/>
    <n v="1"/>
    <b v="0"/>
    <b v="0"/>
    <n v="1"/>
    <b v="0"/>
    <b v="0"/>
    <b v="0"/>
    <s v="Prolific"/>
  </r>
  <r>
    <n v="1371"/>
    <d v="2026-02-12T20:40:43"/>
    <d v="2026-02-12T20:48:19"/>
    <s v="anonymous"/>
    <m/>
    <m/>
    <s v="18 - 25"/>
    <x v="1"/>
    <x v="3"/>
    <x v="0"/>
    <x v="4"/>
    <x v="1"/>
    <x v="1"/>
    <x v="1"/>
    <x v="0"/>
    <x v="3"/>
    <x v="0"/>
    <x v="2"/>
    <x v="0"/>
    <x v="0"/>
    <x v="2"/>
    <x v="2"/>
    <x v="2"/>
    <x v="3"/>
    <x v="2"/>
    <x v="1"/>
    <x v="0"/>
    <x v="1"/>
    <x v="2"/>
    <x v="2"/>
    <x v="0"/>
    <x v="2"/>
    <x v="2"/>
    <x v="3"/>
    <n v="1"/>
    <n v="2"/>
    <b v="0"/>
    <b v="0"/>
    <b v="0"/>
    <b v="0"/>
    <b v="0"/>
    <n v="1"/>
    <b v="0"/>
    <b v="0"/>
    <n v="2"/>
    <b v="0"/>
    <b v="0"/>
    <b v="0"/>
    <s v="Prolific"/>
  </r>
  <r>
    <n v="1375"/>
    <d v="2026-02-12T19:52:23"/>
    <d v="2026-02-12T19:54:36"/>
    <s v="anonymous"/>
    <m/>
    <m/>
    <s v="18 - 25"/>
    <x v="2"/>
    <x v="0"/>
    <x v="0"/>
    <x v="4"/>
    <x v="0"/>
    <x v="0"/>
    <x v="2"/>
    <x v="0"/>
    <x v="1"/>
    <x v="0"/>
    <x v="2"/>
    <x v="0"/>
    <x v="0"/>
    <x v="0"/>
    <x v="2"/>
    <x v="1"/>
    <x v="0"/>
    <x v="2"/>
    <x v="1"/>
    <x v="0"/>
    <x v="1"/>
    <x v="1"/>
    <x v="0"/>
    <x v="0"/>
    <x v="1"/>
    <x v="1"/>
    <x v="1"/>
    <n v="4"/>
    <n v="4"/>
    <b v="0"/>
    <b v="0"/>
    <b v="0"/>
    <b v="0"/>
    <b v="0"/>
    <n v="1"/>
    <b v="0"/>
    <b v="0"/>
    <n v="3"/>
    <b v="0"/>
    <b v="0"/>
    <b v="0"/>
    <s v="Prolific"/>
  </r>
  <r>
    <n v="1378"/>
    <d v="2026-02-12T18:27:37"/>
    <d v="2026-02-12T18:30:21"/>
    <s v="anonymous"/>
    <m/>
    <m/>
    <s v="18 - 25"/>
    <x v="0"/>
    <x v="0"/>
    <x v="3"/>
    <x v="4"/>
    <x v="0"/>
    <x v="0"/>
    <x v="1"/>
    <x v="0"/>
    <x v="1"/>
    <x v="0"/>
    <x v="2"/>
    <x v="2"/>
    <x v="1"/>
    <x v="1"/>
    <x v="2"/>
    <x v="2"/>
    <x v="1"/>
    <x v="2"/>
    <x v="2"/>
    <x v="2"/>
    <x v="0"/>
    <x v="1"/>
    <x v="3"/>
    <x v="1"/>
    <x v="0"/>
    <x v="2"/>
    <x v="3"/>
    <n v="1"/>
    <n v="3"/>
    <b v="0"/>
    <b v="0"/>
    <b v="0"/>
    <b v="0"/>
    <b v="0"/>
    <n v="3"/>
    <b v="0"/>
    <b v="0"/>
    <n v="10"/>
    <b v="0"/>
    <b v="0"/>
    <b v="0"/>
    <s v="Prolific"/>
  </r>
  <r>
    <n v="1382"/>
    <d v="2026-02-12T16:33:22"/>
    <d v="2026-02-12T16:33:56"/>
    <s v="anonymous"/>
    <m/>
    <m/>
    <s v="18 - 25"/>
    <x v="1"/>
    <x v="3"/>
    <x v="3"/>
    <x v="4"/>
    <x v="0"/>
    <x v="0"/>
    <x v="2"/>
    <x v="0"/>
    <x v="3"/>
    <x v="2"/>
    <x v="2"/>
    <x v="1"/>
    <x v="2"/>
    <x v="4"/>
    <x v="3"/>
    <x v="2"/>
    <x v="0"/>
    <x v="3"/>
    <x v="1"/>
    <x v="1"/>
    <x v="2"/>
    <x v="3"/>
    <x v="1"/>
    <x v="0"/>
    <x v="2"/>
    <x v="2"/>
    <x v="2"/>
    <n v="2"/>
    <n v="2"/>
    <b v="0"/>
    <b v="0"/>
    <b v="0"/>
    <b v="0"/>
    <b v="0"/>
    <n v="0"/>
    <b v="0"/>
    <b v="0"/>
    <n v="3"/>
    <b v="0"/>
    <b v="0"/>
    <b v="0"/>
    <s v="Prolific"/>
  </r>
  <r>
    <n v="1384"/>
    <d v="2026-02-12T20:24:47"/>
    <d v="2026-02-12T20:40:17"/>
    <s v="anonymous"/>
    <m/>
    <m/>
    <s v="18 - 25"/>
    <x v="0"/>
    <x v="0"/>
    <x v="3"/>
    <x v="0"/>
    <x v="0"/>
    <x v="0"/>
    <x v="1"/>
    <x v="0"/>
    <x v="0"/>
    <x v="0"/>
    <x v="1"/>
    <x v="2"/>
    <x v="1"/>
    <x v="2"/>
    <x v="1"/>
    <x v="1"/>
    <x v="0"/>
    <x v="1"/>
    <x v="1"/>
    <x v="2"/>
    <x v="0"/>
    <x v="1"/>
    <x v="0"/>
    <x v="0"/>
    <x v="2"/>
    <x v="2"/>
    <x v="3"/>
    <n v="1"/>
    <n v="2"/>
    <b v="0"/>
    <b v="0"/>
    <b v="0"/>
    <b v="0"/>
    <b v="0"/>
    <n v="1"/>
    <b v="0"/>
    <b v="0"/>
    <n v="2"/>
    <b v="0"/>
    <b v="0"/>
    <b v="0"/>
    <s v="Prolific"/>
  </r>
  <r>
    <n v="1387"/>
    <d v="2026-02-12T17:33:19"/>
    <d v="2026-02-12T17:35:43"/>
    <s v="anonymous"/>
    <m/>
    <m/>
    <s v="18 - 25"/>
    <x v="1"/>
    <x v="3"/>
    <x v="0"/>
    <x v="0"/>
    <x v="1"/>
    <x v="1"/>
    <x v="1"/>
    <x v="0"/>
    <x v="0"/>
    <x v="0"/>
    <x v="1"/>
    <x v="2"/>
    <x v="1"/>
    <x v="4"/>
    <x v="3"/>
    <x v="3"/>
    <x v="3"/>
    <x v="3"/>
    <x v="3"/>
    <x v="2"/>
    <x v="2"/>
    <x v="2"/>
    <x v="2"/>
    <x v="2"/>
    <x v="0"/>
    <x v="2"/>
    <x v="2"/>
    <n v="2"/>
    <n v="3"/>
    <b v="0"/>
    <b v="0"/>
    <b v="0"/>
    <b v="0"/>
    <b v="0"/>
    <n v="0"/>
    <b v="0"/>
    <b v="0"/>
    <n v="8"/>
    <b v="0"/>
    <b v="0"/>
    <b v="0"/>
    <s v="Prolific"/>
  </r>
  <r>
    <n v="1388"/>
    <d v="2026-02-12T20:40:42"/>
    <d v="2026-02-12T20:48:33"/>
    <s v="anonymous"/>
    <m/>
    <m/>
    <s v="18 - 25"/>
    <x v="0"/>
    <x v="1"/>
    <x v="3"/>
    <x v="0"/>
    <x v="0"/>
    <x v="0"/>
    <x v="1"/>
    <x v="1"/>
    <x v="1"/>
    <x v="1"/>
    <x v="1"/>
    <x v="1"/>
    <x v="2"/>
    <x v="1"/>
    <x v="2"/>
    <x v="2"/>
    <x v="1"/>
    <x v="2"/>
    <x v="0"/>
    <x v="2"/>
    <x v="0"/>
    <x v="2"/>
    <x v="0"/>
    <x v="1"/>
    <x v="0"/>
    <x v="0"/>
    <x v="0"/>
    <n v="3"/>
    <n v="3"/>
    <b v="0"/>
    <b v="0"/>
    <b v="0"/>
    <b v="0"/>
    <b v="0"/>
    <n v="0"/>
    <b v="0"/>
    <b v="0"/>
    <n v="4"/>
    <b v="0"/>
    <b v="0"/>
    <b v="0"/>
    <s v="Prolific"/>
  </r>
  <r>
    <n v="1391"/>
    <d v="2026-02-12T17:02:31"/>
    <d v="2026-02-12T17:02:58"/>
    <s v="anonymous"/>
    <m/>
    <m/>
    <s v="18 - 25"/>
    <x v="0"/>
    <x v="1"/>
    <x v="5"/>
    <x v="4"/>
    <x v="1"/>
    <x v="1"/>
    <x v="0"/>
    <x v="0"/>
    <x v="0"/>
    <x v="2"/>
    <x v="0"/>
    <x v="1"/>
    <x v="2"/>
    <x v="4"/>
    <x v="1"/>
    <x v="0"/>
    <x v="1"/>
    <x v="1"/>
    <x v="1"/>
    <x v="1"/>
    <x v="2"/>
    <x v="3"/>
    <x v="0"/>
    <x v="0"/>
    <x v="4"/>
    <x v="3"/>
    <x v="3"/>
    <n v="1"/>
    <n v="1"/>
    <b v="0"/>
    <b v="0"/>
    <b v="0"/>
    <b v="0"/>
    <b v="0"/>
    <n v="4"/>
    <b v="0"/>
    <b v="0"/>
    <n v="4"/>
    <b v="0"/>
    <b v="0"/>
    <b v="0"/>
    <s v="Prolific"/>
  </r>
  <r>
    <n v="1397"/>
    <d v="2026-02-12T20:05:59"/>
    <d v="2026-02-12T20:15:54"/>
    <s v="anonymous"/>
    <m/>
    <m/>
    <s v="18 - 25"/>
    <x v="1"/>
    <x v="0"/>
    <x v="3"/>
    <x v="4"/>
    <x v="0"/>
    <x v="1"/>
    <x v="2"/>
    <x v="2"/>
    <x v="0"/>
    <x v="0"/>
    <x v="2"/>
    <x v="2"/>
    <x v="1"/>
    <x v="2"/>
    <x v="1"/>
    <x v="1"/>
    <x v="0"/>
    <x v="1"/>
    <x v="1"/>
    <x v="4"/>
    <x v="0"/>
    <x v="2"/>
    <x v="1"/>
    <x v="0"/>
    <x v="4"/>
    <x v="3"/>
    <x v="3"/>
    <n v="1"/>
    <n v="1"/>
    <b v="0"/>
    <b v="0"/>
    <b v="0"/>
    <b v="0"/>
    <b v="0"/>
    <n v="4"/>
    <b v="0"/>
    <b v="0"/>
    <n v="1"/>
    <b v="0"/>
    <b v="0"/>
    <b v="0"/>
    <s v="Prolific"/>
  </r>
  <r>
    <n v="1399"/>
    <d v="2026-02-12T17:11:33"/>
    <d v="2026-02-12T17:11:56"/>
    <s v="anonymous"/>
    <m/>
    <m/>
    <s v="18 - 25"/>
    <x v="0"/>
    <x v="0"/>
    <x v="3"/>
    <x v="1"/>
    <x v="0"/>
    <x v="0"/>
    <x v="0"/>
    <x v="1"/>
    <x v="3"/>
    <x v="0"/>
    <x v="1"/>
    <x v="0"/>
    <x v="3"/>
    <x v="2"/>
    <x v="1"/>
    <x v="0"/>
    <x v="1"/>
    <x v="1"/>
    <x v="0"/>
    <x v="3"/>
    <x v="1"/>
    <x v="2"/>
    <x v="0"/>
    <x v="1"/>
    <x v="0"/>
    <x v="0"/>
    <x v="0"/>
    <n v="3"/>
    <n v="3"/>
    <b v="0"/>
    <b v="0"/>
    <b v="0"/>
    <b v="0"/>
    <b v="0"/>
    <n v="3"/>
    <b v="0"/>
    <b v="0"/>
    <n v="2"/>
    <b v="0"/>
    <b v="0"/>
    <b v="0"/>
    <s v="Prolific"/>
  </r>
  <r>
    <n v="1401"/>
    <d v="2026-02-12T21:17:40"/>
    <d v="2026-02-12T21:18:10"/>
    <s v="anonymous"/>
    <m/>
    <m/>
    <s v="18 - 25"/>
    <x v="1"/>
    <x v="0"/>
    <x v="3"/>
    <x v="0"/>
    <x v="0"/>
    <x v="0"/>
    <x v="3"/>
    <x v="3"/>
    <x v="3"/>
    <x v="0"/>
    <x v="4"/>
    <x v="2"/>
    <x v="4"/>
    <x v="4"/>
    <x v="3"/>
    <x v="3"/>
    <x v="0"/>
    <x v="3"/>
    <x v="0"/>
    <x v="2"/>
    <x v="0"/>
    <x v="3"/>
    <x v="3"/>
    <x v="1"/>
    <x v="2"/>
    <x v="2"/>
    <x v="3"/>
    <n v="1"/>
    <n v="2"/>
    <b v="0"/>
    <b v="0"/>
    <b v="0"/>
    <b v="0"/>
    <b v="0"/>
    <n v="6"/>
    <b v="0"/>
    <b v="0"/>
    <n v="8"/>
    <b v="0"/>
    <b v="0"/>
    <b v="0"/>
    <s v="Prolific"/>
  </r>
  <r>
    <n v="1402"/>
    <d v="2026-02-12T16:10:03"/>
    <d v="2026-02-12T16:12:32"/>
    <s v="anonymous"/>
    <m/>
    <m/>
    <s v="18 - 25"/>
    <x v="1"/>
    <x v="2"/>
    <x v="8"/>
    <x v="4"/>
    <x v="0"/>
    <x v="0"/>
    <x v="1"/>
    <x v="0"/>
    <x v="3"/>
    <x v="4"/>
    <x v="1"/>
    <x v="2"/>
    <x v="1"/>
    <x v="4"/>
    <x v="3"/>
    <x v="3"/>
    <x v="3"/>
    <x v="2"/>
    <x v="3"/>
    <x v="2"/>
    <x v="0"/>
    <x v="3"/>
    <x v="2"/>
    <x v="2"/>
    <x v="4"/>
    <x v="3"/>
    <x v="2"/>
    <n v="2"/>
    <n v="1"/>
    <b v="0"/>
    <b v="0"/>
    <b v="0"/>
    <b v="0"/>
    <b v="0"/>
    <n v="3"/>
    <b v="0"/>
    <b v="0"/>
    <n v="8"/>
    <b v="0"/>
    <b v="0"/>
    <b v="0"/>
    <s v="Prolific"/>
  </r>
  <r>
    <n v="1403"/>
    <d v="2026-02-12T20:52:55"/>
    <d v="2026-02-12T20:57:41"/>
    <s v="anonymous"/>
    <m/>
    <m/>
    <s v="18 - 25"/>
    <x v="1"/>
    <x v="3"/>
    <x v="3"/>
    <x v="4"/>
    <x v="1"/>
    <x v="1"/>
    <x v="2"/>
    <x v="2"/>
    <x v="1"/>
    <x v="1"/>
    <x v="1"/>
    <x v="0"/>
    <x v="0"/>
    <x v="1"/>
    <x v="2"/>
    <x v="1"/>
    <x v="1"/>
    <x v="3"/>
    <x v="0"/>
    <x v="0"/>
    <x v="2"/>
    <x v="0"/>
    <x v="0"/>
    <x v="0"/>
    <x v="0"/>
    <x v="2"/>
    <x v="2"/>
    <n v="2"/>
    <n v="3"/>
    <b v="0"/>
    <b v="0"/>
    <b v="0"/>
    <b v="0"/>
    <b v="0"/>
    <n v="1"/>
    <b v="0"/>
    <b v="0"/>
    <n v="15"/>
    <b v="0"/>
    <b v="0"/>
    <b v="0"/>
    <s v="Prolific"/>
  </r>
  <r>
    <n v="1413"/>
    <d v="2026-02-12T20:12:43"/>
    <d v="2026-02-12T20:19:14"/>
    <s v="anonymous"/>
    <m/>
    <m/>
    <s v="18 - 25"/>
    <x v="1"/>
    <x v="2"/>
    <x v="3"/>
    <x v="4"/>
    <x v="0"/>
    <x v="1"/>
    <x v="1"/>
    <x v="0"/>
    <x v="0"/>
    <x v="0"/>
    <x v="2"/>
    <x v="2"/>
    <x v="1"/>
    <x v="2"/>
    <x v="3"/>
    <x v="1"/>
    <x v="4"/>
    <x v="2"/>
    <x v="3"/>
    <x v="2"/>
    <x v="0"/>
    <x v="2"/>
    <x v="2"/>
    <x v="3"/>
    <x v="2"/>
    <x v="3"/>
    <x v="3"/>
    <n v="1"/>
    <n v="2"/>
    <b v="0"/>
    <b v="0"/>
    <b v="0"/>
    <b v="0"/>
    <b v="0"/>
    <n v="4"/>
    <b v="0"/>
    <b v="0"/>
    <n v="8"/>
    <b v="0"/>
    <b v="0"/>
    <b v="0"/>
    <s v="Prolific"/>
  </r>
  <r>
    <n v="1422"/>
    <d v="2026-02-12T16:59:28"/>
    <d v="2026-02-12T17:00:12"/>
    <s v="anonymous"/>
    <m/>
    <m/>
    <s v="18 - 25"/>
    <x v="1"/>
    <x v="1"/>
    <x v="3"/>
    <x v="0"/>
    <x v="0"/>
    <x v="0"/>
    <x v="0"/>
    <x v="2"/>
    <x v="1"/>
    <x v="1"/>
    <x v="1"/>
    <x v="1"/>
    <x v="2"/>
    <x v="1"/>
    <x v="2"/>
    <x v="2"/>
    <x v="0"/>
    <x v="2"/>
    <x v="1"/>
    <x v="1"/>
    <x v="2"/>
    <x v="1"/>
    <x v="2"/>
    <x v="2"/>
    <x v="2"/>
    <x v="2"/>
    <x v="3"/>
    <n v="1"/>
    <n v="2"/>
    <b v="0"/>
    <b v="0"/>
    <b v="0"/>
    <b v="0"/>
    <b v="0"/>
    <n v="1"/>
    <b v="0"/>
    <b v="0"/>
    <n v="4"/>
    <b v="0"/>
    <b v="0"/>
    <b v="0"/>
    <s v="Prolific"/>
  </r>
  <r>
    <n v="1425"/>
    <d v="2026-02-12T21:22:39"/>
    <d v="2026-02-12T21:28:38"/>
    <s v="anonymous"/>
    <m/>
    <m/>
    <s v="18 - 25"/>
    <x v="1"/>
    <x v="0"/>
    <x v="3"/>
    <x v="0"/>
    <x v="1"/>
    <x v="0"/>
    <x v="2"/>
    <x v="2"/>
    <x v="3"/>
    <x v="0"/>
    <x v="2"/>
    <x v="2"/>
    <x v="1"/>
    <x v="2"/>
    <x v="2"/>
    <x v="3"/>
    <x v="1"/>
    <x v="2"/>
    <x v="0"/>
    <x v="2"/>
    <x v="0"/>
    <x v="2"/>
    <x v="1"/>
    <x v="1"/>
    <x v="2"/>
    <x v="3"/>
    <x v="3"/>
    <n v="1"/>
    <n v="2"/>
    <b v="0"/>
    <b v="0"/>
    <b v="0"/>
    <b v="0"/>
    <b v="0"/>
    <n v="2"/>
    <b v="0"/>
    <b v="0"/>
    <n v="4"/>
    <b v="0"/>
    <b v="0"/>
    <b v="0"/>
    <s v="Prolific"/>
  </r>
  <r>
    <n v="1430"/>
    <d v="2026-02-12T18:22:16"/>
    <d v="2026-02-12T18:24:19"/>
    <s v="anonymous"/>
    <m/>
    <m/>
    <s v="18 - 25"/>
    <x v="0"/>
    <x v="1"/>
    <x v="3"/>
    <x v="0"/>
    <x v="0"/>
    <x v="0"/>
    <x v="1"/>
    <x v="0"/>
    <x v="0"/>
    <x v="0"/>
    <x v="2"/>
    <x v="2"/>
    <x v="1"/>
    <x v="1"/>
    <x v="4"/>
    <x v="4"/>
    <x v="3"/>
    <x v="4"/>
    <x v="4"/>
    <x v="2"/>
    <x v="0"/>
    <x v="1"/>
    <x v="4"/>
    <x v="3"/>
    <x v="2"/>
    <x v="2"/>
    <x v="2"/>
    <n v="2"/>
    <n v="2"/>
    <b v="0"/>
    <b v="0"/>
    <b v="0"/>
    <b v="0"/>
    <b v="0"/>
    <n v="6"/>
    <b v="0"/>
    <b v="0"/>
    <n v="0"/>
    <b v="0"/>
    <b v="0"/>
    <b v="0"/>
    <s v="Prolific"/>
  </r>
  <r>
    <n v="1432"/>
    <d v="2026-02-12T20:05:58"/>
    <d v="2026-02-12T20:09:32"/>
    <s v="anonymous"/>
    <m/>
    <m/>
    <s v="18 - 25"/>
    <x v="0"/>
    <x v="0"/>
    <x v="0"/>
    <x v="4"/>
    <x v="0"/>
    <x v="0"/>
    <x v="3"/>
    <x v="3"/>
    <x v="3"/>
    <x v="2"/>
    <x v="4"/>
    <x v="2"/>
    <x v="1"/>
    <x v="2"/>
    <x v="2"/>
    <x v="2"/>
    <x v="0"/>
    <x v="2"/>
    <x v="1"/>
    <x v="4"/>
    <x v="0"/>
    <x v="3"/>
    <x v="1"/>
    <x v="2"/>
    <x v="4"/>
    <x v="3"/>
    <x v="2"/>
    <n v="2"/>
    <n v="1"/>
    <b v="0"/>
    <b v="0"/>
    <b v="0"/>
    <b v="0"/>
    <b v="0"/>
    <n v="6"/>
    <b v="0"/>
    <b v="0"/>
    <n v="17"/>
    <b v="0"/>
    <b v="0"/>
    <b v="0"/>
    <s v="Prolific"/>
  </r>
  <r>
    <n v="1433"/>
    <d v="2026-02-12T17:16:34"/>
    <d v="2026-02-12T17:17:02"/>
    <s v="anonymous"/>
    <m/>
    <m/>
    <s v="18 - 25"/>
    <x v="1"/>
    <x v="1"/>
    <x v="1"/>
    <x v="1"/>
    <x v="0"/>
    <x v="0"/>
    <x v="2"/>
    <x v="0"/>
    <x v="1"/>
    <x v="1"/>
    <x v="2"/>
    <x v="2"/>
    <x v="2"/>
    <x v="1"/>
    <x v="1"/>
    <x v="1"/>
    <x v="1"/>
    <x v="1"/>
    <x v="1"/>
    <x v="2"/>
    <x v="2"/>
    <x v="1"/>
    <x v="0"/>
    <x v="1"/>
    <x v="0"/>
    <x v="2"/>
    <x v="2"/>
    <n v="2"/>
    <n v="3"/>
    <b v="0"/>
    <b v="0"/>
    <b v="0"/>
    <b v="0"/>
    <b v="0"/>
    <n v="0"/>
    <b v="0"/>
    <b v="0"/>
    <n v="16"/>
    <b v="0"/>
    <b v="0"/>
    <b v="0"/>
    <s v="Prolific"/>
  </r>
  <r>
    <n v="1442"/>
    <d v="2026-02-12T17:23:18"/>
    <d v="2026-02-12T17:23:53"/>
    <s v="anonymous"/>
    <m/>
    <m/>
    <s v="18 - 25"/>
    <x v="1"/>
    <x v="0"/>
    <x v="0"/>
    <x v="3"/>
    <x v="1"/>
    <x v="0"/>
    <x v="1"/>
    <x v="1"/>
    <x v="0"/>
    <x v="0"/>
    <x v="0"/>
    <x v="1"/>
    <x v="2"/>
    <x v="1"/>
    <x v="1"/>
    <x v="1"/>
    <x v="2"/>
    <x v="2"/>
    <x v="2"/>
    <x v="2"/>
    <x v="2"/>
    <x v="1"/>
    <x v="3"/>
    <x v="4"/>
    <x v="0"/>
    <x v="2"/>
    <x v="3"/>
    <n v="1"/>
    <n v="3"/>
    <b v="0"/>
    <b v="0"/>
    <b v="0"/>
    <b v="0"/>
    <b v="0"/>
    <n v="5"/>
    <b v="0"/>
    <b v="0"/>
    <n v="8"/>
    <b v="0"/>
    <b v="0"/>
    <b v="0"/>
    <s v="Prolific"/>
  </r>
  <r>
    <n v="1445"/>
    <d v="2026-02-12T17:05:52"/>
    <d v="2026-02-12T17:06:24"/>
    <s v="anonymous"/>
    <m/>
    <m/>
    <s v="18 - 25"/>
    <x v="1"/>
    <x v="2"/>
    <x v="2"/>
    <x v="0"/>
    <x v="0"/>
    <x v="0"/>
    <x v="0"/>
    <x v="1"/>
    <x v="0"/>
    <x v="0"/>
    <x v="1"/>
    <x v="2"/>
    <x v="2"/>
    <x v="2"/>
    <x v="1"/>
    <x v="1"/>
    <x v="0"/>
    <x v="1"/>
    <x v="1"/>
    <x v="2"/>
    <x v="0"/>
    <x v="2"/>
    <x v="0"/>
    <x v="0"/>
    <x v="2"/>
    <x v="2"/>
    <x v="3"/>
    <n v="1"/>
    <n v="2"/>
    <b v="0"/>
    <b v="0"/>
    <b v="0"/>
    <b v="0"/>
    <b v="0"/>
    <n v="1"/>
    <b v="0"/>
    <b v="0"/>
    <n v="7"/>
    <b v="0"/>
    <b v="0"/>
    <b v="0"/>
    <s v="Prolific"/>
  </r>
  <r>
    <n v="1447"/>
    <d v="2026-02-12T19:59:09"/>
    <d v="2026-02-12T20:02:26"/>
    <s v="anonymous"/>
    <m/>
    <m/>
    <s v="18 - 25"/>
    <x v="0"/>
    <x v="3"/>
    <x v="3"/>
    <x v="0"/>
    <x v="1"/>
    <x v="0"/>
    <x v="1"/>
    <x v="2"/>
    <x v="0"/>
    <x v="2"/>
    <x v="2"/>
    <x v="2"/>
    <x v="4"/>
    <x v="4"/>
    <x v="2"/>
    <x v="3"/>
    <x v="4"/>
    <x v="2"/>
    <x v="3"/>
    <x v="2"/>
    <x v="0"/>
    <x v="2"/>
    <x v="2"/>
    <x v="2"/>
    <x v="2"/>
    <x v="2"/>
    <x v="2"/>
    <n v="2"/>
    <n v="2"/>
    <b v="0"/>
    <b v="0"/>
    <b v="0"/>
    <b v="0"/>
    <b v="0"/>
    <n v="2"/>
    <b v="0"/>
    <b v="0"/>
    <n v="5"/>
    <b v="0"/>
    <b v="0"/>
    <b v="0"/>
    <s v="Prolific"/>
  </r>
  <r>
    <n v="1448"/>
    <d v="2026-02-12T20:12:45"/>
    <d v="2026-02-12T20:22:14"/>
    <s v="anonymous"/>
    <m/>
    <m/>
    <s v="18 - 25"/>
    <x v="1"/>
    <x v="0"/>
    <x v="3"/>
    <x v="0"/>
    <x v="1"/>
    <x v="1"/>
    <x v="2"/>
    <x v="3"/>
    <x v="0"/>
    <x v="1"/>
    <x v="2"/>
    <x v="0"/>
    <x v="0"/>
    <x v="2"/>
    <x v="0"/>
    <x v="0"/>
    <x v="0"/>
    <x v="1"/>
    <x v="0"/>
    <x v="0"/>
    <x v="1"/>
    <x v="1"/>
    <x v="0"/>
    <x v="1"/>
    <x v="2"/>
    <x v="2"/>
    <x v="2"/>
    <n v="2"/>
    <n v="2"/>
    <b v="0"/>
    <b v="0"/>
    <b v="0"/>
    <b v="0"/>
    <b v="0"/>
    <n v="3"/>
    <b v="0"/>
    <b v="0"/>
    <n v="4"/>
    <b v="0"/>
    <b v="0"/>
    <b v="0"/>
    <s v="Prolific"/>
  </r>
  <r>
    <n v="1453"/>
    <d v="2026-02-12T20:24:48"/>
    <d v="2026-02-12T20:39:11"/>
    <s v="anonymous"/>
    <m/>
    <m/>
    <s v="18 - 25"/>
    <x v="1"/>
    <x v="3"/>
    <x v="5"/>
    <x v="4"/>
    <x v="0"/>
    <x v="1"/>
    <x v="2"/>
    <x v="0"/>
    <x v="3"/>
    <x v="2"/>
    <x v="2"/>
    <x v="4"/>
    <x v="4"/>
    <x v="4"/>
    <x v="1"/>
    <x v="1"/>
    <x v="3"/>
    <x v="2"/>
    <x v="3"/>
    <x v="4"/>
    <x v="3"/>
    <x v="2"/>
    <x v="1"/>
    <x v="2"/>
    <x v="4"/>
    <x v="3"/>
    <x v="3"/>
    <n v="1"/>
    <n v="1"/>
    <b v="0"/>
    <b v="0"/>
    <b v="0"/>
    <b v="0"/>
    <b v="0"/>
    <n v="7"/>
    <b v="0"/>
    <b v="0"/>
    <n v="4"/>
    <b v="0"/>
    <b v="0"/>
    <b v="0"/>
    <s v="Prolific"/>
  </r>
  <r>
    <n v="1454"/>
    <d v="2026-02-12T17:26:06"/>
    <d v="2026-02-12T17:26:53"/>
    <s v="anonymous"/>
    <m/>
    <m/>
    <s v="18 - 25"/>
    <x v="1"/>
    <x v="3"/>
    <x v="2"/>
    <x v="4"/>
    <x v="0"/>
    <x v="0"/>
    <x v="0"/>
    <x v="1"/>
    <x v="0"/>
    <x v="0"/>
    <x v="1"/>
    <x v="3"/>
    <x v="0"/>
    <x v="1"/>
    <x v="1"/>
    <x v="0"/>
    <x v="0"/>
    <x v="1"/>
    <x v="1"/>
    <x v="0"/>
    <x v="1"/>
    <x v="2"/>
    <x v="0"/>
    <x v="1"/>
    <x v="1"/>
    <x v="0"/>
    <x v="0"/>
    <n v="3"/>
    <n v="4"/>
    <b v="0"/>
    <b v="0"/>
    <b v="0"/>
    <b v="0"/>
    <b v="0"/>
    <n v="2"/>
    <b v="0"/>
    <b v="0"/>
    <n v="5"/>
    <b v="0"/>
    <b v="0"/>
    <b v="0"/>
    <s v="Prolific"/>
  </r>
  <r>
    <n v="1455"/>
    <d v="2026-02-12T16:39:09"/>
    <d v="2026-02-12T16:39:55"/>
    <s v="anonymous"/>
    <m/>
    <m/>
    <s v="18 - 25"/>
    <x v="1"/>
    <x v="2"/>
    <x v="8"/>
    <x v="4"/>
    <x v="0"/>
    <x v="0"/>
    <x v="1"/>
    <x v="0"/>
    <x v="3"/>
    <x v="4"/>
    <x v="1"/>
    <x v="2"/>
    <x v="1"/>
    <x v="4"/>
    <x v="3"/>
    <x v="3"/>
    <x v="3"/>
    <x v="2"/>
    <x v="3"/>
    <x v="2"/>
    <x v="0"/>
    <x v="3"/>
    <x v="2"/>
    <x v="2"/>
    <x v="4"/>
    <x v="3"/>
    <x v="2"/>
    <n v="2"/>
    <n v="1"/>
    <b v="0"/>
    <b v="0"/>
    <b v="0"/>
    <b v="0"/>
    <b v="0"/>
    <n v="3"/>
    <b v="0"/>
    <b v="0"/>
    <n v="14"/>
    <b v="0"/>
    <b v="0"/>
    <b v="0"/>
    <s v="Prolific"/>
  </r>
  <r>
    <n v="1464"/>
    <d v="2026-02-12T17:33:37"/>
    <d v="2026-02-12T17:37:04"/>
    <s v="anonymous"/>
    <m/>
    <m/>
    <s v="18 - 25"/>
    <x v="1"/>
    <x v="0"/>
    <x v="3"/>
    <x v="4"/>
    <x v="0"/>
    <x v="0"/>
    <x v="1"/>
    <x v="2"/>
    <x v="1"/>
    <x v="1"/>
    <x v="2"/>
    <x v="1"/>
    <x v="2"/>
    <x v="1"/>
    <x v="2"/>
    <x v="2"/>
    <x v="1"/>
    <x v="2"/>
    <x v="1"/>
    <x v="2"/>
    <x v="0"/>
    <x v="2"/>
    <x v="0"/>
    <x v="1"/>
    <x v="0"/>
    <x v="2"/>
    <x v="3"/>
    <n v="1"/>
    <n v="3"/>
    <b v="0"/>
    <b v="0"/>
    <b v="0"/>
    <b v="0"/>
    <b v="0"/>
    <n v="1"/>
    <b v="0"/>
    <b v="0"/>
    <n v="7"/>
    <b v="0"/>
    <b v="0"/>
    <b v="0"/>
    <s v="Prolific"/>
  </r>
  <r>
    <n v="1465"/>
    <d v="2026-02-12T19:59:17"/>
    <d v="2026-02-12T20:12:00"/>
    <s v="anonymous"/>
    <m/>
    <m/>
    <s v="18 - 25"/>
    <x v="1"/>
    <x v="1"/>
    <x v="4"/>
    <x v="4"/>
    <x v="0"/>
    <x v="0"/>
    <x v="2"/>
    <x v="2"/>
    <x v="4"/>
    <x v="2"/>
    <x v="4"/>
    <x v="4"/>
    <x v="4"/>
    <x v="4"/>
    <x v="0"/>
    <x v="1"/>
    <x v="3"/>
    <x v="1"/>
    <x v="1"/>
    <x v="2"/>
    <x v="3"/>
    <x v="4"/>
    <x v="1"/>
    <x v="2"/>
    <x v="4"/>
    <x v="3"/>
    <x v="2"/>
    <n v="2"/>
    <n v="1"/>
    <b v="0"/>
    <b v="0"/>
    <b v="0"/>
    <b v="0"/>
    <b v="0"/>
    <n v="9"/>
    <b v="0"/>
    <b v="0"/>
    <n v="1"/>
    <b v="0"/>
    <b v="0"/>
    <b v="0"/>
    <s v="Prolific"/>
  </r>
  <r>
    <n v="1474"/>
    <d v="2026-02-12T17:05:03"/>
    <d v="2026-02-12T17:05:42"/>
    <s v="anonymous"/>
    <m/>
    <m/>
    <s v="18 - 25"/>
    <x v="0"/>
    <x v="2"/>
    <x v="2"/>
    <x v="0"/>
    <x v="0"/>
    <x v="0"/>
    <x v="2"/>
    <x v="0"/>
    <x v="0"/>
    <x v="1"/>
    <x v="1"/>
    <x v="0"/>
    <x v="0"/>
    <x v="1"/>
    <x v="1"/>
    <x v="1"/>
    <x v="1"/>
    <x v="1"/>
    <x v="0"/>
    <x v="0"/>
    <x v="1"/>
    <x v="1"/>
    <x v="0"/>
    <x v="0"/>
    <x v="0"/>
    <x v="0"/>
    <x v="0"/>
    <n v="3"/>
    <n v="3"/>
    <b v="0"/>
    <b v="0"/>
    <b v="0"/>
    <b v="0"/>
    <b v="0"/>
    <n v="0"/>
    <b v="0"/>
    <b v="0"/>
    <n v="7"/>
    <b v="0"/>
    <b v="0"/>
    <b v="0"/>
    <s v="Prolific"/>
  </r>
  <r>
    <n v="1475"/>
    <d v="2026-02-12T18:27:42"/>
    <d v="2026-02-12T18:31:36"/>
    <s v="anonymous"/>
    <m/>
    <m/>
    <s v="18 - 25"/>
    <x v="1"/>
    <x v="0"/>
    <x v="0"/>
    <x v="4"/>
    <x v="0"/>
    <x v="0"/>
    <x v="2"/>
    <x v="2"/>
    <x v="0"/>
    <x v="0"/>
    <x v="4"/>
    <x v="2"/>
    <x v="1"/>
    <x v="2"/>
    <x v="4"/>
    <x v="4"/>
    <x v="0"/>
    <x v="4"/>
    <x v="1"/>
    <x v="2"/>
    <x v="0"/>
    <x v="3"/>
    <x v="0"/>
    <x v="0"/>
    <x v="4"/>
    <x v="3"/>
    <x v="2"/>
    <n v="2"/>
    <n v="1"/>
    <b v="0"/>
    <b v="0"/>
    <b v="0"/>
    <b v="0"/>
    <b v="0"/>
    <n v="6"/>
    <b v="0"/>
    <b v="0"/>
    <n v="2"/>
    <b v="0"/>
    <b v="0"/>
    <b v="0"/>
    <s v="Prolific"/>
  </r>
  <r>
    <n v="1476"/>
    <d v="2026-02-12T17:08:17"/>
    <d v="2026-02-12T17:08:41"/>
    <s v="anonymous"/>
    <m/>
    <m/>
    <s v="18 - 25"/>
    <x v="0"/>
    <x v="0"/>
    <x v="4"/>
    <x v="5"/>
    <x v="0"/>
    <x v="1"/>
    <x v="2"/>
    <x v="2"/>
    <x v="3"/>
    <x v="0"/>
    <x v="1"/>
    <x v="1"/>
    <x v="2"/>
    <x v="2"/>
    <x v="1"/>
    <x v="1"/>
    <x v="0"/>
    <x v="1"/>
    <x v="0"/>
    <x v="0"/>
    <x v="2"/>
    <x v="2"/>
    <x v="0"/>
    <x v="1"/>
    <x v="4"/>
    <x v="3"/>
    <x v="3"/>
    <n v="1"/>
    <n v="1"/>
    <b v="0"/>
    <b v="0"/>
    <b v="0"/>
    <b v="0"/>
    <b v="0"/>
    <n v="3"/>
    <b v="0"/>
    <b v="0"/>
    <n v="5"/>
    <b v="0"/>
    <b v="0"/>
    <b v="0"/>
    <s v="Prolific"/>
  </r>
  <r>
    <n v="1479"/>
    <d v="2026-02-12T20:06:00"/>
    <d v="2026-02-12T20:15:52"/>
    <s v="anonymous"/>
    <m/>
    <m/>
    <s v="18 - 25"/>
    <x v="1"/>
    <x v="2"/>
    <x v="3"/>
    <x v="0"/>
    <x v="0"/>
    <x v="0"/>
    <x v="0"/>
    <x v="1"/>
    <x v="0"/>
    <x v="0"/>
    <x v="0"/>
    <x v="0"/>
    <x v="0"/>
    <x v="2"/>
    <x v="2"/>
    <x v="3"/>
    <x v="3"/>
    <x v="3"/>
    <x v="1"/>
    <x v="1"/>
    <x v="1"/>
    <x v="2"/>
    <x v="1"/>
    <x v="0"/>
    <x v="1"/>
    <x v="0"/>
    <x v="0"/>
    <n v="3"/>
    <n v="4"/>
    <b v="0"/>
    <b v="0"/>
    <b v="0"/>
    <b v="0"/>
    <b v="0"/>
    <n v="0"/>
    <b v="0"/>
    <b v="0"/>
    <n v="21"/>
    <b v="0"/>
    <b v="0"/>
    <b v="0"/>
    <s v="Prolific"/>
  </r>
  <r>
    <n v="1480"/>
    <d v="2026-02-12T19:52:31"/>
    <d v="2026-02-12T19:58:28"/>
    <s v="anonymous"/>
    <m/>
    <m/>
    <s v="18 - 25"/>
    <x v="1"/>
    <x v="0"/>
    <x v="3"/>
    <x v="0"/>
    <x v="1"/>
    <x v="1"/>
    <x v="2"/>
    <x v="2"/>
    <x v="0"/>
    <x v="0"/>
    <x v="2"/>
    <x v="0"/>
    <x v="3"/>
    <x v="2"/>
    <x v="1"/>
    <x v="1"/>
    <x v="0"/>
    <x v="1"/>
    <x v="0"/>
    <x v="0"/>
    <x v="1"/>
    <x v="2"/>
    <x v="0"/>
    <x v="1"/>
    <x v="1"/>
    <x v="0"/>
    <x v="0"/>
    <n v="3"/>
    <n v="4"/>
    <b v="0"/>
    <b v="0"/>
    <b v="0"/>
    <b v="0"/>
    <b v="0"/>
    <n v="1"/>
    <b v="0"/>
    <b v="0"/>
    <n v="8"/>
    <b v="0"/>
    <b v="0"/>
    <b v="0"/>
    <s v="Prolific"/>
  </r>
  <r>
    <n v="1481"/>
    <d v="2026-02-12T17:25:21"/>
    <d v="2026-02-12T17:25:57"/>
    <s v="anonymous"/>
    <m/>
    <m/>
    <s v="18 - 25"/>
    <x v="0"/>
    <x v="1"/>
    <x v="1"/>
    <x v="0"/>
    <x v="0"/>
    <x v="0"/>
    <x v="2"/>
    <x v="2"/>
    <x v="4"/>
    <x v="2"/>
    <x v="4"/>
    <x v="2"/>
    <x v="4"/>
    <x v="3"/>
    <x v="2"/>
    <x v="2"/>
    <x v="3"/>
    <x v="2"/>
    <x v="3"/>
    <x v="2"/>
    <x v="0"/>
    <x v="4"/>
    <x v="1"/>
    <x v="2"/>
    <x v="4"/>
    <x v="3"/>
    <x v="2"/>
    <n v="2"/>
    <n v="1"/>
    <b v="0"/>
    <b v="0"/>
    <b v="0"/>
    <b v="0"/>
    <b v="0"/>
    <n v="7"/>
    <b v="0"/>
    <b v="0"/>
    <n v="13"/>
    <b v="0"/>
    <b v="0"/>
    <b v="0"/>
    <s v="Prolific"/>
  </r>
  <r>
    <n v="1482"/>
    <d v="2026-02-12T21:00:41"/>
    <d v="2026-02-12T21:10:43"/>
    <s v="anonymous"/>
    <m/>
    <m/>
    <s v="18 - 25"/>
    <x v="1"/>
    <x v="0"/>
    <x v="1"/>
    <x v="4"/>
    <x v="0"/>
    <x v="0"/>
    <x v="0"/>
    <x v="4"/>
    <x v="1"/>
    <x v="1"/>
    <x v="0"/>
    <x v="2"/>
    <x v="2"/>
    <x v="1"/>
    <x v="0"/>
    <x v="0"/>
    <x v="0"/>
    <x v="0"/>
    <x v="1"/>
    <x v="2"/>
    <x v="0"/>
    <x v="1"/>
    <x v="0"/>
    <x v="0"/>
    <x v="4"/>
    <x v="3"/>
    <x v="2"/>
    <n v="2"/>
    <n v="1"/>
    <b v="0"/>
    <b v="0"/>
    <b v="0"/>
    <b v="0"/>
    <b v="0"/>
    <n v="6"/>
    <b v="0"/>
    <b v="0"/>
    <n v="4"/>
    <b v="0"/>
    <b v="0"/>
    <b v="0"/>
    <s v="Prolific"/>
  </r>
  <r>
    <n v="1483"/>
    <d v="2026-02-12T19:52:41"/>
    <d v="2026-02-12T19:58:39"/>
    <s v="anonymous"/>
    <m/>
    <m/>
    <s v="18 - 25"/>
    <x v="0"/>
    <x v="0"/>
    <x v="6"/>
    <x v="3"/>
    <x v="0"/>
    <x v="0"/>
    <x v="1"/>
    <x v="2"/>
    <x v="1"/>
    <x v="0"/>
    <x v="2"/>
    <x v="2"/>
    <x v="1"/>
    <x v="1"/>
    <x v="1"/>
    <x v="2"/>
    <x v="0"/>
    <x v="2"/>
    <x v="1"/>
    <x v="2"/>
    <x v="3"/>
    <x v="1"/>
    <x v="1"/>
    <x v="0"/>
    <x v="1"/>
    <x v="0"/>
    <x v="0"/>
    <n v="3"/>
    <n v="4"/>
    <b v="0"/>
    <b v="0"/>
    <b v="0"/>
    <b v="0"/>
    <b v="0"/>
    <n v="1"/>
    <b v="0"/>
    <b v="0"/>
    <n v="1"/>
    <b v="0"/>
    <b v="0"/>
    <b v="0"/>
    <s v="Prolific"/>
  </r>
  <r>
    <n v="1487"/>
    <d v="2026-02-12T21:00:55"/>
    <d v="2026-02-12T21:10:45"/>
    <s v="anonymous"/>
    <m/>
    <m/>
    <s v="18 - 25"/>
    <x v="1"/>
    <x v="1"/>
    <x v="2"/>
    <x v="4"/>
    <x v="0"/>
    <x v="0"/>
    <x v="2"/>
    <x v="2"/>
    <x v="0"/>
    <x v="0"/>
    <x v="2"/>
    <x v="0"/>
    <x v="0"/>
    <x v="2"/>
    <x v="1"/>
    <x v="1"/>
    <x v="3"/>
    <x v="1"/>
    <x v="1"/>
    <x v="0"/>
    <x v="1"/>
    <x v="2"/>
    <x v="1"/>
    <x v="0"/>
    <x v="0"/>
    <x v="2"/>
    <x v="3"/>
    <n v="1"/>
    <n v="3"/>
    <b v="0"/>
    <b v="0"/>
    <b v="0"/>
    <b v="0"/>
    <b v="0"/>
    <n v="1"/>
    <b v="0"/>
    <b v="0"/>
    <n v="10"/>
    <b v="0"/>
    <b v="0"/>
    <b v="0"/>
    <s v="Prolific"/>
  </r>
  <r>
    <n v="1489"/>
    <d v="2026-02-12T16:55:16"/>
    <d v="2026-02-12T16:55:48"/>
    <s v="anonymous"/>
    <m/>
    <m/>
    <s v="18 - 25"/>
    <x v="1"/>
    <x v="0"/>
    <x v="2"/>
    <x v="0"/>
    <x v="0"/>
    <x v="0"/>
    <x v="2"/>
    <x v="2"/>
    <x v="0"/>
    <x v="0"/>
    <x v="1"/>
    <x v="1"/>
    <x v="2"/>
    <x v="2"/>
    <x v="0"/>
    <x v="1"/>
    <x v="1"/>
    <x v="0"/>
    <x v="0"/>
    <x v="1"/>
    <x v="2"/>
    <x v="2"/>
    <x v="1"/>
    <x v="1"/>
    <x v="2"/>
    <x v="3"/>
    <x v="3"/>
    <n v="1"/>
    <n v="2"/>
    <b v="0"/>
    <b v="0"/>
    <b v="0"/>
    <b v="0"/>
    <b v="0"/>
    <n v="4"/>
    <b v="0"/>
    <b v="0"/>
    <n v="0"/>
    <b v="0"/>
    <b v="0"/>
    <b v="0"/>
    <s v="Prolific"/>
  </r>
  <r>
    <n v="1490"/>
    <d v="2026-02-12T21:10:29"/>
    <d v="2026-02-12T21:29:19"/>
    <s v="anonymous"/>
    <m/>
    <m/>
    <s v="18 - 25"/>
    <x v="1"/>
    <x v="0"/>
    <x v="3"/>
    <x v="0"/>
    <x v="0"/>
    <x v="0"/>
    <x v="2"/>
    <x v="0"/>
    <x v="0"/>
    <x v="0"/>
    <x v="2"/>
    <x v="2"/>
    <x v="1"/>
    <x v="2"/>
    <x v="4"/>
    <x v="4"/>
    <x v="0"/>
    <x v="3"/>
    <x v="1"/>
    <x v="2"/>
    <x v="0"/>
    <x v="2"/>
    <x v="1"/>
    <x v="0"/>
    <x v="0"/>
    <x v="2"/>
    <x v="3"/>
    <n v="1"/>
    <n v="3"/>
    <b v="0"/>
    <b v="0"/>
    <b v="0"/>
    <b v="0"/>
    <b v="0"/>
    <n v="3"/>
    <b v="0"/>
    <b v="0"/>
    <n v="4"/>
    <b v="0"/>
    <b v="0"/>
    <b v="0"/>
    <s v="Prolific"/>
  </r>
  <r>
    <n v="1493"/>
    <d v="2026-02-12T18:22:43"/>
    <d v="2026-02-12T18:26:02"/>
    <s v="anonymous"/>
    <m/>
    <m/>
    <s v="18 - 25"/>
    <x v="0"/>
    <x v="0"/>
    <x v="3"/>
    <x v="0"/>
    <x v="0"/>
    <x v="0"/>
    <x v="1"/>
    <x v="0"/>
    <x v="0"/>
    <x v="1"/>
    <x v="1"/>
    <x v="1"/>
    <x v="2"/>
    <x v="1"/>
    <x v="1"/>
    <x v="1"/>
    <x v="3"/>
    <x v="1"/>
    <x v="3"/>
    <x v="1"/>
    <x v="2"/>
    <x v="1"/>
    <x v="2"/>
    <x v="2"/>
    <x v="2"/>
    <x v="2"/>
    <x v="2"/>
    <n v="2"/>
    <n v="2"/>
    <b v="0"/>
    <b v="0"/>
    <b v="0"/>
    <b v="0"/>
    <b v="0"/>
    <n v="0"/>
    <b v="0"/>
    <b v="0"/>
    <n v="17"/>
    <b v="0"/>
    <b v="0"/>
    <b v="0"/>
    <s v="Prolific"/>
  </r>
  <r>
    <n v="1494"/>
    <d v="2026-02-12T21:10:28"/>
    <d v="2026-02-12T21:20:14"/>
    <s v="anonymous"/>
    <m/>
    <m/>
    <s v="18 - 25"/>
    <x v="0"/>
    <x v="2"/>
    <x v="3"/>
    <x v="4"/>
    <x v="0"/>
    <x v="0"/>
    <x v="2"/>
    <x v="3"/>
    <x v="0"/>
    <x v="0"/>
    <x v="2"/>
    <x v="2"/>
    <x v="1"/>
    <x v="2"/>
    <x v="1"/>
    <x v="1"/>
    <x v="0"/>
    <x v="2"/>
    <x v="1"/>
    <x v="2"/>
    <x v="0"/>
    <x v="2"/>
    <x v="0"/>
    <x v="0"/>
    <x v="0"/>
    <x v="0"/>
    <x v="0"/>
    <n v="3"/>
    <n v="3"/>
    <b v="0"/>
    <b v="0"/>
    <b v="0"/>
    <b v="0"/>
    <b v="0"/>
    <n v="1"/>
    <b v="0"/>
    <b v="0"/>
    <n v="10"/>
    <b v="0"/>
    <b v="0"/>
    <b v="0"/>
    <s v="Prolific"/>
  </r>
  <r>
    <n v="1496"/>
    <d v="2026-02-12T19:59:20"/>
    <d v="2026-02-12T20:12:01"/>
    <s v="anonymous"/>
    <m/>
    <m/>
    <s v="18 - 25"/>
    <x v="1"/>
    <x v="0"/>
    <x v="3"/>
    <x v="0"/>
    <x v="1"/>
    <x v="1"/>
    <x v="1"/>
    <x v="1"/>
    <x v="3"/>
    <x v="0"/>
    <x v="1"/>
    <x v="1"/>
    <x v="2"/>
    <x v="4"/>
    <x v="1"/>
    <x v="1"/>
    <x v="1"/>
    <x v="1"/>
    <x v="0"/>
    <x v="1"/>
    <x v="2"/>
    <x v="3"/>
    <x v="0"/>
    <x v="0"/>
    <x v="2"/>
    <x v="2"/>
    <x v="3"/>
    <n v="1"/>
    <n v="2"/>
    <b v="0"/>
    <b v="0"/>
    <b v="0"/>
    <b v="0"/>
    <b v="0"/>
    <n v="1"/>
    <b v="0"/>
    <b v="0"/>
    <n v="2"/>
    <b v="0"/>
    <b v="0"/>
    <b v="0"/>
    <s v="Prolific"/>
  </r>
  <r>
    <n v="1497"/>
    <d v="2026-02-12T17:33:43"/>
    <d v="2026-02-12T17:37:31"/>
    <s v="anonymous"/>
    <m/>
    <m/>
    <s v="18 - 25"/>
    <x v="1"/>
    <x v="0"/>
    <x v="3"/>
    <x v="4"/>
    <x v="0"/>
    <x v="1"/>
    <x v="1"/>
    <x v="1"/>
    <x v="1"/>
    <x v="1"/>
    <x v="1"/>
    <x v="0"/>
    <x v="0"/>
    <x v="1"/>
    <x v="1"/>
    <x v="1"/>
    <x v="0"/>
    <x v="1"/>
    <x v="0"/>
    <x v="0"/>
    <x v="2"/>
    <x v="1"/>
    <x v="1"/>
    <x v="0"/>
    <x v="1"/>
    <x v="2"/>
    <x v="3"/>
    <n v="1"/>
    <n v="4"/>
    <b v="0"/>
    <b v="0"/>
    <b v="0"/>
    <b v="0"/>
    <b v="0"/>
    <n v="1"/>
    <b v="0"/>
    <b v="0"/>
    <n v="4"/>
    <b v="0"/>
    <b v="0"/>
    <b v="0"/>
    <s v="Prolific"/>
  </r>
  <r>
    <n v="1499"/>
    <d v="2026-02-12T16:57:12"/>
    <d v="2026-02-12T16:57:35"/>
    <s v="anonymous"/>
    <m/>
    <m/>
    <s v="18 - 25"/>
    <x v="1"/>
    <x v="3"/>
    <x v="3"/>
    <x v="0"/>
    <x v="0"/>
    <x v="0"/>
    <x v="1"/>
    <x v="0"/>
    <x v="0"/>
    <x v="0"/>
    <x v="2"/>
    <x v="2"/>
    <x v="2"/>
    <x v="4"/>
    <x v="2"/>
    <x v="2"/>
    <x v="0"/>
    <x v="3"/>
    <x v="1"/>
    <x v="2"/>
    <x v="2"/>
    <x v="3"/>
    <x v="1"/>
    <x v="2"/>
    <x v="4"/>
    <x v="3"/>
    <x v="3"/>
    <n v="1"/>
    <n v="1"/>
    <b v="0"/>
    <b v="0"/>
    <b v="0"/>
    <b v="0"/>
    <b v="0"/>
    <n v="3"/>
    <b v="0"/>
    <b v="0"/>
    <n v="3"/>
    <b v="0"/>
    <b v="0"/>
    <b v="0"/>
    <s v="Prolific"/>
  </r>
  <r>
    <n v="1503"/>
    <d v="2026-02-12T20:24:50"/>
    <d v="2026-02-12T20:40:16"/>
    <s v="anonymous"/>
    <m/>
    <m/>
    <s v="18 - 25"/>
    <x v="0"/>
    <x v="0"/>
    <x v="8"/>
    <x v="0"/>
    <x v="1"/>
    <x v="1"/>
    <x v="2"/>
    <x v="2"/>
    <x v="1"/>
    <x v="0"/>
    <x v="2"/>
    <x v="3"/>
    <x v="3"/>
    <x v="1"/>
    <x v="0"/>
    <x v="0"/>
    <x v="1"/>
    <x v="0"/>
    <x v="0"/>
    <x v="3"/>
    <x v="4"/>
    <x v="1"/>
    <x v="0"/>
    <x v="1"/>
    <x v="0"/>
    <x v="0"/>
    <x v="0"/>
    <n v="3"/>
    <n v="3"/>
    <b v="0"/>
    <b v="0"/>
    <b v="0"/>
    <b v="0"/>
    <b v="0"/>
    <n v="7"/>
    <b v="0"/>
    <b v="0"/>
    <n v="3"/>
    <b v="0"/>
    <b v="0"/>
    <b v="0"/>
    <s v="Prolific"/>
  </r>
  <r>
    <n v="1506"/>
    <d v="2026-02-12T18:27:40"/>
    <d v="2026-02-12T18:31:03"/>
    <s v="anonymous"/>
    <m/>
    <m/>
    <s v="18 - 25"/>
    <x v="0"/>
    <x v="2"/>
    <x v="3"/>
    <x v="4"/>
    <x v="0"/>
    <x v="0"/>
    <x v="1"/>
    <x v="0"/>
    <x v="1"/>
    <x v="1"/>
    <x v="2"/>
    <x v="1"/>
    <x v="2"/>
    <x v="0"/>
    <x v="0"/>
    <x v="0"/>
    <x v="0"/>
    <x v="0"/>
    <x v="1"/>
    <x v="1"/>
    <x v="2"/>
    <x v="0"/>
    <x v="2"/>
    <x v="0"/>
    <x v="0"/>
    <x v="2"/>
    <x v="2"/>
    <n v="2"/>
    <n v="3"/>
    <b v="0"/>
    <b v="0"/>
    <b v="0"/>
    <b v="0"/>
    <b v="0"/>
    <n v="5"/>
    <b v="0"/>
    <b v="0"/>
    <n v="21"/>
    <b v="0"/>
    <b v="0"/>
    <b v="0"/>
    <s v="Prolific"/>
  </r>
  <r>
    <n v="1511"/>
    <d v="2026-02-12T20:40:40"/>
    <d v="2026-02-12T20:48:41"/>
    <s v="anonymous"/>
    <m/>
    <m/>
    <s v="18 - 25"/>
    <x v="0"/>
    <x v="1"/>
    <x v="3"/>
    <x v="0"/>
    <x v="0"/>
    <x v="0"/>
    <x v="1"/>
    <x v="2"/>
    <x v="1"/>
    <x v="0"/>
    <x v="1"/>
    <x v="2"/>
    <x v="1"/>
    <x v="1"/>
    <x v="2"/>
    <x v="2"/>
    <x v="0"/>
    <x v="2"/>
    <x v="3"/>
    <x v="2"/>
    <x v="0"/>
    <x v="1"/>
    <x v="1"/>
    <x v="2"/>
    <x v="4"/>
    <x v="3"/>
    <x v="2"/>
    <n v="2"/>
    <n v="1"/>
    <b v="0"/>
    <b v="0"/>
    <b v="0"/>
    <b v="0"/>
    <b v="0"/>
    <n v="2"/>
    <b v="0"/>
    <b v="0"/>
    <n v="6"/>
    <b v="0"/>
    <b v="0"/>
    <b v="0"/>
    <s v="Prolific"/>
  </r>
  <r>
    <n v="1513"/>
    <d v="2026-02-12T16:33:11"/>
    <d v="2026-02-12T16:34:12"/>
    <s v="anonymous"/>
    <m/>
    <m/>
    <s v="18 - 25"/>
    <x v="1"/>
    <x v="3"/>
    <x v="3"/>
    <x v="4"/>
    <x v="0"/>
    <x v="0"/>
    <x v="2"/>
    <x v="0"/>
    <x v="3"/>
    <x v="2"/>
    <x v="2"/>
    <x v="1"/>
    <x v="2"/>
    <x v="4"/>
    <x v="3"/>
    <x v="2"/>
    <x v="0"/>
    <x v="3"/>
    <x v="1"/>
    <x v="1"/>
    <x v="2"/>
    <x v="3"/>
    <x v="1"/>
    <x v="0"/>
    <x v="2"/>
    <x v="2"/>
    <x v="2"/>
    <n v="2"/>
    <n v="2"/>
    <b v="0"/>
    <b v="0"/>
    <b v="0"/>
    <b v="0"/>
    <b v="0"/>
    <n v="0"/>
    <b v="0"/>
    <b v="0"/>
    <n v="10"/>
    <b v="0"/>
    <b v="0"/>
    <b v="0"/>
    <s v="Prolific"/>
  </r>
  <r>
    <n v="1516"/>
    <d v="2026-02-12T17:33:05"/>
    <d v="2026-02-12T17:34:37"/>
    <s v="anonymous"/>
    <m/>
    <m/>
    <s v="18 - 25"/>
    <x v="0"/>
    <x v="0"/>
    <x v="2"/>
    <x v="0"/>
    <x v="0"/>
    <x v="0"/>
    <x v="2"/>
    <x v="0"/>
    <x v="1"/>
    <x v="1"/>
    <x v="1"/>
    <x v="0"/>
    <x v="0"/>
    <x v="1"/>
    <x v="1"/>
    <x v="1"/>
    <x v="1"/>
    <x v="2"/>
    <x v="0"/>
    <x v="0"/>
    <x v="2"/>
    <x v="2"/>
    <x v="1"/>
    <x v="1"/>
    <x v="1"/>
    <x v="0"/>
    <x v="0"/>
    <n v="3"/>
    <n v="4"/>
    <b v="0"/>
    <b v="0"/>
    <b v="0"/>
    <b v="0"/>
    <b v="0"/>
    <n v="0"/>
    <b v="0"/>
    <b v="0"/>
    <n v="2"/>
    <b v="0"/>
    <b v="0"/>
    <b v="0"/>
    <s v="Prolific"/>
  </r>
  <r>
    <n v="1517"/>
    <d v="2026-02-12T20:40:44"/>
    <d v="2026-02-12T20:46:53"/>
    <s v="anonymous"/>
    <m/>
    <m/>
    <s v="18 - 25"/>
    <x v="0"/>
    <x v="1"/>
    <x v="8"/>
    <x v="5"/>
    <x v="0"/>
    <x v="0"/>
    <x v="2"/>
    <x v="0"/>
    <x v="1"/>
    <x v="0"/>
    <x v="2"/>
    <x v="2"/>
    <x v="1"/>
    <x v="2"/>
    <x v="0"/>
    <x v="0"/>
    <x v="0"/>
    <x v="0"/>
    <x v="0"/>
    <x v="2"/>
    <x v="0"/>
    <x v="2"/>
    <x v="1"/>
    <x v="1"/>
    <x v="2"/>
    <x v="2"/>
    <x v="3"/>
    <n v="1"/>
    <n v="2"/>
    <b v="0"/>
    <b v="0"/>
    <b v="0"/>
    <b v="0"/>
    <b v="0"/>
    <n v="4"/>
    <b v="0"/>
    <b v="0"/>
    <n v="8"/>
    <b v="0"/>
    <b v="0"/>
    <b v="0"/>
    <s v="Prolific"/>
  </r>
  <r>
    <n v="1519"/>
    <d v="2026-02-12T20:12:43"/>
    <d v="2026-02-12T20:19:46"/>
    <s v="anonymous"/>
    <m/>
    <m/>
    <s v="18 - 25"/>
    <x v="0"/>
    <x v="0"/>
    <x v="0"/>
    <x v="4"/>
    <x v="0"/>
    <x v="0"/>
    <x v="0"/>
    <x v="1"/>
    <x v="2"/>
    <x v="1"/>
    <x v="0"/>
    <x v="0"/>
    <x v="0"/>
    <x v="1"/>
    <x v="0"/>
    <x v="1"/>
    <x v="1"/>
    <x v="1"/>
    <x v="0"/>
    <x v="0"/>
    <x v="1"/>
    <x v="0"/>
    <x v="0"/>
    <x v="4"/>
    <x v="0"/>
    <x v="2"/>
    <x v="3"/>
    <n v="1"/>
    <n v="3"/>
    <b v="0"/>
    <b v="0"/>
    <b v="0"/>
    <b v="0"/>
    <b v="0"/>
    <n v="5"/>
    <b v="0"/>
    <b v="0"/>
    <n v="12"/>
    <b v="0"/>
    <b v="0"/>
    <b v="0"/>
    <s v="Prolific"/>
  </r>
  <r>
    <n v="1520"/>
    <d v="2026-02-12T21:22:39"/>
    <d v="2026-02-12T21:28:48"/>
    <s v="anonymous"/>
    <m/>
    <m/>
    <s v="18 - 25"/>
    <x v="1"/>
    <x v="2"/>
    <x v="3"/>
    <x v="4"/>
    <x v="0"/>
    <x v="0"/>
    <x v="3"/>
    <x v="3"/>
    <x v="0"/>
    <x v="0"/>
    <x v="4"/>
    <x v="2"/>
    <x v="1"/>
    <x v="2"/>
    <x v="2"/>
    <x v="1"/>
    <x v="3"/>
    <x v="1"/>
    <x v="1"/>
    <x v="2"/>
    <x v="3"/>
    <x v="2"/>
    <x v="1"/>
    <x v="2"/>
    <x v="2"/>
    <x v="2"/>
    <x v="2"/>
    <n v="2"/>
    <n v="2"/>
    <b v="0"/>
    <b v="0"/>
    <b v="0"/>
    <b v="0"/>
    <b v="0"/>
    <n v="4"/>
    <b v="0"/>
    <b v="0"/>
    <n v="0"/>
    <b v="0"/>
    <b v="0"/>
    <b v="0"/>
    <s v="Prolific"/>
  </r>
  <r>
    <n v="1522"/>
    <d v="2026-02-12T17:15:07"/>
    <d v="2026-02-12T17:15:39"/>
    <s v="anonymous"/>
    <m/>
    <m/>
    <s v="18 - 25"/>
    <x v="1"/>
    <x v="1"/>
    <x v="6"/>
    <x v="7"/>
    <x v="1"/>
    <x v="0"/>
    <x v="2"/>
    <x v="2"/>
    <x v="3"/>
    <x v="4"/>
    <x v="2"/>
    <x v="4"/>
    <x v="1"/>
    <x v="3"/>
    <x v="2"/>
    <x v="1"/>
    <x v="3"/>
    <x v="2"/>
    <x v="3"/>
    <x v="2"/>
    <x v="0"/>
    <x v="4"/>
    <x v="2"/>
    <x v="2"/>
    <x v="4"/>
    <x v="3"/>
    <x v="2"/>
    <n v="2"/>
    <n v="1"/>
    <b v="0"/>
    <b v="0"/>
    <b v="0"/>
    <b v="0"/>
    <b v="0"/>
    <n v="6"/>
    <b v="0"/>
    <b v="0"/>
    <n v="9"/>
    <b v="0"/>
    <b v="0"/>
    <b v="0"/>
    <s v="Prolific"/>
  </r>
  <r>
    <n v="1524"/>
    <d v="2026-02-12T19:59:02"/>
    <d v="2026-02-12T20:11:58"/>
    <s v="anonymous"/>
    <m/>
    <m/>
    <s v="18 - 25"/>
    <x v="0"/>
    <x v="0"/>
    <x v="4"/>
    <x v="4"/>
    <x v="1"/>
    <x v="0"/>
    <x v="2"/>
    <x v="3"/>
    <x v="3"/>
    <x v="4"/>
    <x v="4"/>
    <x v="1"/>
    <x v="2"/>
    <x v="3"/>
    <x v="2"/>
    <x v="2"/>
    <x v="0"/>
    <x v="1"/>
    <x v="1"/>
    <x v="2"/>
    <x v="2"/>
    <x v="4"/>
    <x v="2"/>
    <x v="2"/>
    <x v="1"/>
    <x v="0"/>
    <x v="0"/>
    <n v="3"/>
    <n v="4"/>
    <b v="0"/>
    <b v="0"/>
    <b v="0"/>
    <b v="0"/>
    <b v="0"/>
    <n v="5"/>
    <b v="0"/>
    <b v="0"/>
    <n v="15"/>
    <b v="0"/>
    <b v="0"/>
    <b v="0"/>
    <s v="Prolific"/>
  </r>
  <r>
    <n v="1525"/>
    <d v="2026-02-12T19:59:24"/>
    <d v="2026-02-12T20:11:56"/>
    <s v="anonymous"/>
    <m/>
    <m/>
    <s v="18 - 25"/>
    <x v="0"/>
    <x v="2"/>
    <x v="3"/>
    <x v="4"/>
    <x v="0"/>
    <x v="0"/>
    <x v="2"/>
    <x v="2"/>
    <x v="0"/>
    <x v="0"/>
    <x v="2"/>
    <x v="2"/>
    <x v="1"/>
    <x v="2"/>
    <x v="2"/>
    <x v="2"/>
    <x v="0"/>
    <x v="2"/>
    <x v="1"/>
    <x v="2"/>
    <x v="0"/>
    <x v="2"/>
    <x v="1"/>
    <x v="0"/>
    <x v="2"/>
    <x v="2"/>
    <x v="2"/>
    <n v="2"/>
    <n v="2"/>
    <b v="0"/>
    <b v="0"/>
    <b v="0"/>
    <b v="0"/>
    <b v="0"/>
    <n v="0"/>
    <b v="0"/>
    <b v="0"/>
    <n v="6"/>
    <b v="0"/>
    <b v="0"/>
    <b v="0"/>
    <s v="Prolific"/>
  </r>
  <r>
    <n v="1526"/>
    <d v="2026-02-12T17:28:29"/>
    <d v="2026-02-12T17:29:14"/>
    <s v="anonymous"/>
    <m/>
    <m/>
    <s v="18 - 25"/>
    <x v="0"/>
    <x v="1"/>
    <x v="0"/>
    <x v="0"/>
    <x v="0"/>
    <x v="0"/>
    <x v="1"/>
    <x v="0"/>
    <x v="3"/>
    <x v="2"/>
    <x v="1"/>
    <x v="2"/>
    <x v="2"/>
    <x v="4"/>
    <x v="0"/>
    <x v="1"/>
    <x v="3"/>
    <x v="0"/>
    <x v="3"/>
    <x v="1"/>
    <x v="2"/>
    <x v="4"/>
    <x v="2"/>
    <x v="2"/>
    <x v="2"/>
    <x v="2"/>
    <x v="2"/>
    <n v="2"/>
    <n v="2"/>
    <b v="0"/>
    <b v="0"/>
    <b v="0"/>
    <b v="0"/>
    <b v="0"/>
    <n v="3"/>
    <b v="0"/>
    <b v="0"/>
    <n v="8"/>
    <b v="0"/>
    <b v="0"/>
    <b v="0"/>
    <s v="Prolific"/>
  </r>
  <r>
    <n v="1527"/>
    <d v="2026-02-12T20:05:55"/>
    <d v="2026-02-12T20:06:38"/>
    <s v="anonymous"/>
    <m/>
    <m/>
    <s v="18 - 25"/>
    <x v="1"/>
    <x v="0"/>
    <x v="3"/>
    <x v="5"/>
    <x v="1"/>
    <x v="0"/>
    <x v="2"/>
    <x v="2"/>
    <x v="0"/>
    <x v="2"/>
    <x v="4"/>
    <x v="1"/>
    <x v="0"/>
    <x v="2"/>
    <x v="3"/>
    <x v="3"/>
    <x v="0"/>
    <x v="3"/>
    <x v="1"/>
    <x v="1"/>
    <x v="2"/>
    <x v="3"/>
    <x v="1"/>
    <x v="0"/>
    <x v="2"/>
    <x v="2"/>
    <x v="2"/>
    <n v="2"/>
    <n v="2"/>
    <b v="0"/>
    <b v="0"/>
    <b v="0"/>
    <b v="0"/>
    <b v="0"/>
    <n v="1"/>
    <b v="0"/>
    <b v="0"/>
    <n v="5"/>
    <b v="0"/>
    <b v="0"/>
    <b v="0"/>
    <s v="Prolific"/>
  </r>
  <r>
    <n v="1534"/>
    <d v="2026-02-12T17:33:31"/>
    <d v="2026-02-12T17:36:43"/>
    <s v="anonymous"/>
    <m/>
    <m/>
    <s v="18 - 25"/>
    <x v="0"/>
    <x v="0"/>
    <x v="4"/>
    <x v="5"/>
    <x v="1"/>
    <x v="1"/>
    <x v="2"/>
    <x v="0"/>
    <x v="1"/>
    <x v="1"/>
    <x v="1"/>
    <x v="0"/>
    <x v="0"/>
    <x v="1"/>
    <x v="1"/>
    <x v="2"/>
    <x v="1"/>
    <x v="2"/>
    <x v="2"/>
    <x v="0"/>
    <x v="1"/>
    <x v="1"/>
    <x v="3"/>
    <x v="1"/>
    <x v="1"/>
    <x v="1"/>
    <x v="1"/>
    <n v="4"/>
    <n v="4"/>
    <b v="0"/>
    <b v="0"/>
    <b v="0"/>
    <b v="0"/>
    <b v="0"/>
    <n v="2"/>
    <b v="0"/>
    <b v="0"/>
    <n v="5"/>
    <b v="0"/>
    <b v="0"/>
    <b v="0"/>
    <s v="Prolific"/>
  </r>
  <r>
    <n v="1535"/>
    <d v="2026-02-12T17:08:57"/>
    <d v="2026-02-12T17:09:21"/>
    <s v="anonymous"/>
    <m/>
    <m/>
    <s v="18 - 25"/>
    <x v="1"/>
    <x v="0"/>
    <x v="5"/>
    <x v="4"/>
    <x v="0"/>
    <x v="1"/>
    <x v="1"/>
    <x v="0"/>
    <x v="1"/>
    <x v="1"/>
    <x v="1"/>
    <x v="1"/>
    <x v="2"/>
    <x v="1"/>
    <x v="1"/>
    <x v="1"/>
    <x v="0"/>
    <x v="2"/>
    <x v="0"/>
    <x v="2"/>
    <x v="0"/>
    <x v="1"/>
    <x v="0"/>
    <x v="0"/>
    <x v="0"/>
    <x v="2"/>
    <x v="3"/>
    <n v="1"/>
    <n v="3"/>
    <b v="0"/>
    <b v="0"/>
    <b v="0"/>
    <b v="0"/>
    <b v="0"/>
    <n v="1"/>
    <b v="0"/>
    <b v="0"/>
    <n v="3"/>
    <b v="0"/>
    <b v="0"/>
    <b v="0"/>
    <s v="Prolific"/>
  </r>
  <r>
    <n v="1536"/>
    <d v="2026-02-12T19:52:37"/>
    <d v="2026-02-12T19:56:38"/>
    <s v="anonymous"/>
    <m/>
    <m/>
    <s v="18 - 25"/>
    <x v="0"/>
    <x v="0"/>
    <x v="2"/>
    <x v="0"/>
    <x v="0"/>
    <x v="0"/>
    <x v="2"/>
    <x v="2"/>
    <x v="3"/>
    <x v="0"/>
    <x v="2"/>
    <x v="1"/>
    <x v="2"/>
    <x v="4"/>
    <x v="1"/>
    <x v="1"/>
    <x v="0"/>
    <x v="1"/>
    <x v="1"/>
    <x v="1"/>
    <x v="2"/>
    <x v="2"/>
    <x v="2"/>
    <x v="2"/>
    <x v="0"/>
    <x v="2"/>
    <x v="2"/>
    <n v="2"/>
    <n v="3"/>
    <b v="0"/>
    <b v="0"/>
    <b v="0"/>
    <b v="0"/>
    <b v="0"/>
    <n v="0"/>
    <b v="0"/>
    <b v="0"/>
    <n v="10"/>
    <b v="0"/>
    <b v="0"/>
    <b v="0"/>
    <s v="Prolific"/>
  </r>
  <r>
    <n v="1547"/>
    <d v="2026-02-12T21:10:26"/>
    <d v="2026-02-12T21:19:11"/>
    <s v="anonymous"/>
    <m/>
    <m/>
    <s v="18 - 25"/>
    <x v="1"/>
    <x v="0"/>
    <x v="3"/>
    <x v="0"/>
    <x v="0"/>
    <x v="0"/>
    <x v="0"/>
    <x v="4"/>
    <x v="1"/>
    <x v="1"/>
    <x v="0"/>
    <x v="2"/>
    <x v="1"/>
    <x v="1"/>
    <x v="1"/>
    <x v="1"/>
    <x v="0"/>
    <x v="1"/>
    <x v="1"/>
    <x v="2"/>
    <x v="2"/>
    <x v="1"/>
    <x v="1"/>
    <x v="0"/>
    <x v="0"/>
    <x v="2"/>
    <x v="2"/>
    <n v="2"/>
    <n v="3"/>
    <b v="0"/>
    <b v="0"/>
    <b v="0"/>
    <b v="0"/>
    <b v="0"/>
    <n v="1"/>
    <b v="0"/>
    <b v="0"/>
    <n v="3"/>
    <b v="0"/>
    <b v="0"/>
    <b v="0"/>
    <s v="Prolific"/>
  </r>
  <r>
    <n v="1553"/>
    <d v="2026-02-12T21:00:32"/>
    <d v="2026-02-12T21:06:41"/>
    <s v="anonymous"/>
    <m/>
    <m/>
    <s v="18 - 25"/>
    <x v="0"/>
    <x v="0"/>
    <x v="3"/>
    <x v="0"/>
    <x v="0"/>
    <x v="0"/>
    <x v="1"/>
    <x v="1"/>
    <x v="1"/>
    <x v="1"/>
    <x v="2"/>
    <x v="1"/>
    <x v="2"/>
    <x v="1"/>
    <x v="1"/>
    <x v="2"/>
    <x v="0"/>
    <x v="2"/>
    <x v="1"/>
    <x v="2"/>
    <x v="2"/>
    <x v="1"/>
    <x v="0"/>
    <x v="0"/>
    <x v="1"/>
    <x v="0"/>
    <x v="0"/>
    <n v="3"/>
    <n v="4"/>
    <b v="0"/>
    <b v="0"/>
    <b v="0"/>
    <b v="0"/>
    <b v="0"/>
    <n v="0"/>
    <b v="0"/>
    <b v="0"/>
    <n v="5"/>
    <b v="0"/>
    <b v="0"/>
    <b v="0"/>
    <s v="Prolific"/>
  </r>
  <r>
    <n v="1556"/>
    <d v="2026-02-12T19:52:39"/>
    <d v="2026-02-12T19:58:37"/>
    <s v="anonymous"/>
    <m/>
    <m/>
    <s v="18 - 25"/>
    <x v="1"/>
    <x v="0"/>
    <x v="3"/>
    <x v="4"/>
    <x v="0"/>
    <x v="0"/>
    <x v="0"/>
    <x v="0"/>
    <x v="1"/>
    <x v="1"/>
    <x v="1"/>
    <x v="1"/>
    <x v="2"/>
    <x v="1"/>
    <x v="0"/>
    <x v="0"/>
    <x v="0"/>
    <x v="0"/>
    <x v="1"/>
    <x v="1"/>
    <x v="2"/>
    <x v="1"/>
    <x v="1"/>
    <x v="1"/>
    <x v="0"/>
    <x v="2"/>
    <x v="3"/>
    <n v="1"/>
    <n v="3"/>
    <b v="0"/>
    <b v="0"/>
    <b v="0"/>
    <b v="0"/>
    <b v="0"/>
    <n v="4"/>
    <b v="0"/>
    <b v="0"/>
    <n v="6"/>
    <b v="0"/>
    <b v="0"/>
    <b v="0"/>
    <s v="Prolific"/>
  </r>
  <r>
    <n v="1563"/>
    <d v="2026-02-12T21:22:36"/>
    <d v="2026-02-12T21:28:43"/>
    <s v="anonymous"/>
    <m/>
    <m/>
    <s v="18 - 25"/>
    <x v="0"/>
    <x v="0"/>
    <x v="5"/>
    <x v="5"/>
    <x v="1"/>
    <x v="1"/>
    <x v="1"/>
    <x v="1"/>
    <x v="1"/>
    <x v="0"/>
    <x v="1"/>
    <x v="1"/>
    <x v="2"/>
    <x v="2"/>
    <x v="1"/>
    <x v="1"/>
    <x v="1"/>
    <x v="0"/>
    <x v="1"/>
    <x v="1"/>
    <x v="0"/>
    <x v="2"/>
    <x v="1"/>
    <x v="0"/>
    <x v="1"/>
    <x v="2"/>
    <x v="2"/>
    <n v="2"/>
    <n v="4"/>
    <b v="0"/>
    <b v="0"/>
    <b v="0"/>
    <b v="0"/>
    <b v="0"/>
    <n v="1"/>
    <b v="0"/>
    <b v="0"/>
    <n v="6"/>
    <b v="0"/>
    <b v="0"/>
    <b v="0"/>
    <s v="Prolific"/>
  </r>
  <r>
    <n v="1564"/>
    <d v="2026-02-12T18:27:28"/>
    <d v="2026-02-12T18:28:28"/>
    <s v="anonymous"/>
    <m/>
    <m/>
    <s v="18 - 25"/>
    <x v="1"/>
    <x v="0"/>
    <x v="3"/>
    <x v="4"/>
    <x v="0"/>
    <x v="0"/>
    <x v="0"/>
    <x v="1"/>
    <x v="2"/>
    <x v="1"/>
    <x v="0"/>
    <x v="1"/>
    <x v="2"/>
    <x v="1"/>
    <x v="1"/>
    <x v="0"/>
    <x v="3"/>
    <x v="1"/>
    <x v="0"/>
    <x v="1"/>
    <x v="2"/>
    <x v="1"/>
    <x v="1"/>
    <x v="0"/>
    <x v="1"/>
    <x v="0"/>
    <x v="0"/>
    <n v="3"/>
    <n v="4"/>
    <b v="0"/>
    <b v="0"/>
    <b v="0"/>
    <b v="0"/>
    <b v="0"/>
    <n v="2"/>
    <b v="0"/>
    <b v="0"/>
    <n v="2"/>
    <b v="0"/>
    <b v="0"/>
    <b v="0"/>
    <s v="Prolific"/>
  </r>
  <r>
    <n v="1568"/>
    <d v="2026-02-12T20:24:52"/>
    <d v="2026-02-12T20:39:49"/>
    <s v="anonymous"/>
    <m/>
    <m/>
    <s v="18 - 25"/>
    <x v="0"/>
    <x v="0"/>
    <x v="3"/>
    <x v="4"/>
    <x v="1"/>
    <x v="1"/>
    <x v="3"/>
    <x v="2"/>
    <x v="0"/>
    <x v="2"/>
    <x v="2"/>
    <x v="2"/>
    <x v="1"/>
    <x v="2"/>
    <x v="2"/>
    <x v="1"/>
    <x v="0"/>
    <x v="1"/>
    <x v="0"/>
    <x v="2"/>
    <x v="0"/>
    <x v="3"/>
    <x v="0"/>
    <x v="1"/>
    <x v="0"/>
    <x v="2"/>
    <x v="2"/>
    <n v="2"/>
    <n v="3"/>
    <b v="0"/>
    <b v="0"/>
    <b v="0"/>
    <b v="0"/>
    <b v="0"/>
    <n v="1"/>
    <b v="0"/>
    <b v="0"/>
    <n v="20"/>
    <b v="0"/>
    <b v="0"/>
    <b v="0"/>
    <s v="Prolific"/>
  </r>
  <r>
    <n v="1569"/>
    <d v="2026-02-12T21:00:53"/>
    <d v="2026-02-12T21:10:37"/>
    <s v="anonymous"/>
    <m/>
    <m/>
    <s v="18 - 25"/>
    <x v="1"/>
    <x v="0"/>
    <x v="3"/>
    <x v="4"/>
    <x v="0"/>
    <x v="0"/>
    <x v="2"/>
    <x v="0"/>
    <x v="0"/>
    <x v="0"/>
    <x v="2"/>
    <x v="2"/>
    <x v="1"/>
    <x v="2"/>
    <x v="1"/>
    <x v="2"/>
    <x v="3"/>
    <x v="2"/>
    <x v="3"/>
    <x v="2"/>
    <x v="0"/>
    <x v="2"/>
    <x v="2"/>
    <x v="3"/>
    <x v="1"/>
    <x v="2"/>
    <x v="3"/>
    <n v="1"/>
    <n v="4"/>
    <b v="0"/>
    <b v="0"/>
    <b v="0"/>
    <b v="0"/>
    <b v="0"/>
    <n v="2"/>
    <b v="0"/>
    <b v="0"/>
    <n v="10"/>
    <b v="0"/>
    <b v="0"/>
    <b v="0"/>
    <s v="Prolific"/>
  </r>
  <r>
    <n v="1572"/>
    <d v="2026-02-12T17:15:55"/>
    <d v="2026-02-12T17:16:13"/>
    <s v="anonymous"/>
    <m/>
    <m/>
    <s v="18 - 25"/>
    <x v="0"/>
    <x v="2"/>
    <x v="2"/>
    <x v="0"/>
    <x v="0"/>
    <x v="0"/>
    <x v="3"/>
    <x v="3"/>
    <x v="0"/>
    <x v="0"/>
    <x v="4"/>
    <x v="2"/>
    <x v="1"/>
    <x v="2"/>
    <x v="3"/>
    <x v="3"/>
    <x v="3"/>
    <x v="3"/>
    <x v="3"/>
    <x v="1"/>
    <x v="0"/>
    <x v="2"/>
    <x v="1"/>
    <x v="0"/>
    <x v="0"/>
    <x v="2"/>
    <x v="2"/>
    <n v="2"/>
    <n v="3"/>
    <b v="0"/>
    <b v="0"/>
    <b v="0"/>
    <b v="0"/>
    <b v="0"/>
    <n v="3"/>
    <b v="0"/>
    <b v="0"/>
    <n v="5"/>
    <b v="0"/>
    <b v="0"/>
    <b v="0"/>
    <s v="Prolific"/>
  </r>
  <r>
    <n v="1575"/>
    <d v="2026-02-12T18:22:36"/>
    <d v="2026-02-12T18:24:55"/>
    <s v="anonymous"/>
    <m/>
    <m/>
    <s v="18 - 25"/>
    <x v="0"/>
    <x v="4"/>
    <x v="0"/>
    <x v="4"/>
    <x v="0"/>
    <x v="0"/>
    <x v="1"/>
    <x v="1"/>
    <x v="0"/>
    <x v="0"/>
    <x v="0"/>
    <x v="0"/>
    <x v="3"/>
    <x v="2"/>
    <x v="2"/>
    <x v="2"/>
    <x v="1"/>
    <x v="2"/>
    <x v="0"/>
    <x v="0"/>
    <x v="1"/>
    <x v="2"/>
    <x v="0"/>
    <x v="1"/>
    <x v="0"/>
    <x v="0"/>
    <x v="0"/>
    <n v="3"/>
    <n v="3"/>
    <b v="0"/>
    <b v="0"/>
    <b v="0"/>
    <b v="0"/>
    <b v="0"/>
    <n v="1"/>
    <b v="0"/>
    <b v="0"/>
    <n v="1"/>
    <b v="0"/>
    <b v="0"/>
    <b v="0"/>
    <s v="Prolific"/>
  </r>
  <r>
    <n v="1577"/>
    <d v="2026-02-12T20:52:53"/>
    <d v="2026-02-12T21:01:19"/>
    <s v="anonymous"/>
    <m/>
    <m/>
    <s v="18 - 25"/>
    <x v="0"/>
    <x v="0"/>
    <x v="3"/>
    <x v="4"/>
    <x v="0"/>
    <x v="0"/>
    <x v="4"/>
    <x v="1"/>
    <x v="0"/>
    <x v="0"/>
    <x v="0"/>
    <x v="1"/>
    <x v="2"/>
    <x v="2"/>
    <x v="2"/>
    <x v="1"/>
    <x v="3"/>
    <x v="1"/>
    <x v="3"/>
    <x v="2"/>
    <x v="2"/>
    <x v="2"/>
    <x v="2"/>
    <x v="2"/>
    <x v="4"/>
    <x v="3"/>
    <x v="3"/>
    <n v="1"/>
    <n v="1"/>
    <b v="0"/>
    <b v="0"/>
    <b v="0"/>
    <b v="0"/>
    <b v="0"/>
    <n v="4"/>
    <b v="0"/>
    <b v="0"/>
    <n v="1"/>
    <b v="0"/>
    <b v="0"/>
    <b v="0"/>
    <s v="Prolific"/>
  </r>
  <r>
    <n v="1580"/>
    <d v="2026-02-12T17:30:15"/>
    <d v="2026-02-12T17:31:33"/>
    <s v="anonymous"/>
    <m/>
    <m/>
    <s v="18 - 25"/>
    <x v="1"/>
    <x v="1"/>
    <x v="2"/>
    <x v="0"/>
    <x v="0"/>
    <x v="0"/>
    <x v="3"/>
    <x v="3"/>
    <x v="0"/>
    <x v="0"/>
    <x v="4"/>
    <x v="4"/>
    <x v="4"/>
    <x v="2"/>
    <x v="3"/>
    <x v="3"/>
    <x v="4"/>
    <x v="4"/>
    <x v="4"/>
    <x v="4"/>
    <x v="0"/>
    <x v="2"/>
    <x v="4"/>
    <x v="3"/>
    <x v="0"/>
    <x v="2"/>
    <x v="3"/>
    <n v="1"/>
    <n v="3"/>
    <b v="0"/>
    <b v="0"/>
    <b v="0"/>
    <b v="0"/>
    <b v="0"/>
    <n v="12"/>
    <b v="0"/>
    <b v="0"/>
    <n v="8"/>
    <b v="0"/>
    <b v="0"/>
    <b v="0"/>
    <s v="Prolific"/>
  </r>
  <r>
    <n v="1581"/>
    <d v="2026-02-12T21:10:28"/>
    <d v="2026-02-12T21:20:37"/>
    <s v="anonymous"/>
    <m/>
    <m/>
    <s v="18 - 25"/>
    <x v="1"/>
    <x v="0"/>
    <x v="4"/>
    <x v="5"/>
    <x v="0"/>
    <x v="0"/>
    <x v="2"/>
    <x v="2"/>
    <x v="3"/>
    <x v="2"/>
    <x v="2"/>
    <x v="2"/>
    <x v="1"/>
    <x v="4"/>
    <x v="3"/>
    <x v="3"/>
    <x v="3"/>
    <x v="3"/>
    <x v="1"/>
    <x v="2"/>
    <x v="0"/>
    <x v="3"/>
    <x v="1"/>
    <x v="2"/>
    <x v="4"/>
    <x v="3"/>
    <x v="2"/>
    <n v="2"/>
    <n v="1"/>
    <b v="0"/>
    <b v="0"/>
    <b v="0"/>
    <b v="0"/>
    <b v="0"/>
    <n v="2"/>
    <b v="0"/>
    <b v="0"/>
    <n v="3"/>
    <b v="0"/>
    <b v="0"/>
    <b v="0"/>
    <s v="Prolific"/>
  </r>
  <r>
    <n v="1585"/>
    <d v="2026-02-12T19:52:33"/>
    <d v="2026-02-12T19:58:35"/>
    <s v="anonymous"/>
    <m/>
    <m/>
    <s v="18 - 25"/>
    <x v="1"/>
    <x v="2"/>
    <x v="1"/>
    <x v="0"/>
    <x v="0"/>
    <x v="0"/>
    <x v="1"/>
    <x v="0"/>
    <x v="0"/>
    <x v="1"/>
    <x v="1"/>
    <x v="1"/>
    <x v="2"/>
    <x v="1"/>
    <x v="1"/>
    <x v="1"/>
    <x v="1"/>
    <x v="0"/>
    <x v="0"/>
    <x v="1"/>
    <x v="0"/>
    <x v="1"/>
    <x v="0"/>
    <x v="1"/>
    <x v="1"/>
    <x v="0"/>
    <x v="0"/>
    <n v="3"/>
    <n v="4"/>
    <b v="0"/>
    <b v="0"/>
    <b v="0"/>
    <b v="0"/>
    <b v="0"/>
    <n v="1"/>
    <b v="0"/>
    <b v="0"/>
    <n v="9"/>
    <b v="0"/>
    <b v="0"/>
    <b v="0"/>
    <s v="Prolific"/>
  </r>
  <r>
    <n v="1588"/>
    <d v="2026-02-12T21:10:26"/>
    <d v="2026-02-12T21:19:28"/>
    <s v="anonymous"/>
    <m/>
    <m/>
    <s v="18 - 25"/>
    <x v="1"/>
    <x v="0"/>
    <x v="3"/>
    <x v="4"/>
    <x v="0"/>
    <x v="0"/>
    <x v="2"/>
    <x v="2"/>
    <x v="3"/>
    <x v="0"/>
    <x v="2"/>
    <x v="4"/>
    <x v="4"/>
    <x v="2"/>
    <x v="1"/>
    <x v="1"/>
    <x v="0"/>
    <x v="1"/>
    <x v="1"/>
    <x v="4"/>
    <x v="3"/>
    <x v="3"/>
    <x v="1"/>
    <x v="2"/>
    <x v="0"/>
    <x v="2"/>
    <x v="3"/>
    <n v="1"/>
    <n v="3"/>
    <b v="0"/>
    <b v="0"/>
    <b v="0"/>
    <b v="0"/>
    <b v="0"/>
    <n v="5"/>
    <b v="0"/>
    <b v="0"/>
    <n v="4"/>
    <b v="0"/>
    <b v="0"/>
    <b v="0"/>
    <s v="Prolific"/>
  </r>
  <r>
    <n v="1591"/>
    <d v="2026-02-12T21:10:30"/>
    <d v="2026-02-12T21:29:18"/>
    <s v="anonymous"/>
    <m/>
    <m/>
    <s v="18 - 25"/>
    <x v="1"/>
    <x v="0"/>
    <x v="3"/>
    <x v="4"/>
    <x v="0"/>
    <x v="0"/>
    <x v="3"/>
    <x v="2"/>
    <x v="3"/>
    <x v="2"/>
    <x v="2"/>
    <x v="2"/>
    <x v="4"/>
    <x v="4"/>
    <x v="2"/>
    <x v="2"/>
    <x v="3"/>
    <x v="2"/>
    <x v="3"/>
    <x v="4"/>
    <x v="3"/>
    <x v="3"/>
    <x v="2"/>
    <x v="2"/>
    <x v="4"/>
    <x v="3"/>
    <x v="3"/>
    <n v="1"/>
    <n v="1"/>
    <b v="0"/>
    <b v="0"/>
    <b v="0"/>
    <b v="0"/>
    <b v="0"/>
    <n v="7"/>
    <b v="0"/>
    <b v="0"/>
    <n v="12"/>
    <b v="0"/>
    <b v="0"/>
    <b v="0"/>
    <s v="Prolific"/>
  </r>
  <r>
    <n v="1592"/>
    <d v="2026-02-12T17:29:25"/>
    <d v="2026-02-12T17:29:49"/>
    <s v="anonymous"/>
    <m/>
    <m/>
    <s v="18 - 25"/>
    <x v="1"/>
    <x v="0"/>
    <x v="3"/>
    <x v="4"/>
    <x v="0"/>
    <x v="0"/>
    <x v="2"/>
    <x v="0"/>
    <x v="1"/>
    <x v="1"/>
    <x v="2"/>
    <x v="2"/>
    <x v="1"/>
    <x v="1"/>
    <x v="2"/>
    <x v="2"/>
    <x v="3"/>
    <x v="1"/>
    <x v="1"/>
    <x v="1"/>
    <x v="2"/>
    <x v="1"/>
    <x v="1"/>
    <x v="0"/>
    <x v="1"/>
    <x v="1"/>
    <x v="4"/>
    <n v="5"/>
    <n v="4"/>
    <b v="0"/>
    <b v="0"/>
    <b v="0"/>
    <b v="0"/>
    <b v="0"/>
    <n v="1"/>
    <b v="0"/>
    <b v="0"/>
    <n v="21"/>
    <b v="0"/>
    <b v="0"/>
    <b v="0"/>
    <s v="Prolific"/>
  </r>
  <r>
    <n v="1593"/>
    <d v="2026-02-12T18:27:33"/>
    <d v="2026-02-12T18:29:37"/>
    <s v="anonymous"/>
    <m/>
    <m/>
    <s v="18 - 25"/>
    <x v="1"/>
    <x v="0"/>
    <x v="0"/>
    <x v="8"/>
    <x v="0"/>
    <x v="0"/>
    <x v="4"/>
    <x v="4"/>
    <x v="1"/>
    <x v="1"/>
    <x v="0"/>
    <x v="1"/>
    <x v="2"/>
    <x v="1"/>
    <x v="0"/>
    <x v="0"/>
    <x v="1"/>
    <x v="1"/>
    <x v="1"/>
    <x v="0"/>
    <x v="2"/>
    <x v="0"/>
    <x v="0"/>
    <x v="1"/>
    <x v="1"/>
    <x v="0"/>
    <x v="0"/>
    <n v="3"/>
    <n v="4"/>
    <b v="0"/>
    <b v="0"/>
    <b v="0"/>
    <b v="0"/>
    <b v="0"/>
    <n v="5"/>
    <b v="0"/>
    <b v="0"/>
    <n v="2"/>
    <b v="0"/>
    <b v="0"/>
    <b v="0"/>
    <s v="Prolific"/>
  </r>
  <r>
    <n v="1595"/>
    <d v="2026-02-12T20:12:42"/>
    <d v="2026-02-12T20:22:11"/>
    <s v="anonymous"/>
    <m/>
    <m/>
    <s v="18 - 25"/>
    <x v="1"/>
    <x v="1"/>
    <x v="1"/>
    <x v="8"/>
    <x v="1"/>
    <x v="1"/>
    <x v="0"/>
    <x v="4"/>
    <x v="3"/>
    <x v="2"/>
    <x v="0"/>
    <x v="1"/>
    <x v="0"/>
    <x v="4"/>
    <x v="1"/>
    <x v="1"/>
    <x v="1"/>
    <x v="1"/>
    <x v="2"/>
    <x v="1"/>
    <x v="2"/>
    <x v="3"/>
    <x v="3"/>
    <x v="4"/>
    <x v="4"/>
    <x v="3"/>
    <x v="2"/>
    <n v="2"/>
    <n v="1"/>
    <b v="0"/>
    <b v="0"/>
    <b v="0"/>
    <b v="0"/>
    <b v="0"/>
    <n v="6"/>
    <b v="0"/>
    <b v="0"/>
    <n v="9"/>
    <b v="0"/>
    <b v="0"/>
    <b v="0"/>
    <s v="Prolific"/>
  </r>
  <r>
    <n v="1597"/>
    <d v="2026-02-12T21:22:36"/>
    <d v="2026-02-12T21:28:40"/>
    <s v="anonymous"/>
    <m/>
    <m/>
    <s v="18 - 25"/>
    <x v="0"/>
    <x v="0"/>
    <x v="8"/>
    <x v="4"/>
    <x v="1"/>
    <x v="1"/>
    <x v="0"/>
    <x v="0"/>
    <x v="3"/>
    <x v="2"/>
    <x v="1"/>
    <x v="1"/>
    <x v="0"/>
    <x v="3"/>
    <x v="1"/>
    <x v="1"/>
    <x v="0"/>
    <x v="1"/>
    <x v="1"/>
    <x v="0"/>
    <x v="2"/>
    <x v="3"/>
    <x v="1"/>
    <x v="0"/>
    <x v="0"/>
    <x v="2"/>
    <x v="2"/>
    <n v="2"/>
    <n v="3"/>
    <b v="0"/>
    <b v="0"/>
    <b v="0"/>
    <b v="0"/>
    <b v="0"/>
    <n v="1"/>
    <b v="0"/>
    <b v="0"/>
    <n v="19"/>
    <b v="0"/>
    <b v="0"/>
    <b v="0"/>
    <s v="Prolific"/>
  </r>
  <r>
    <n v="1599"/>
    <d v="2026-02-12T20:12:44"/>
    <d v="2026-02-12T20:20:11"/>
    <s v="anonymous"/>
    <m/>
    <m/>
    <s v="18 - 25"/>
    <x v="1"/>
    <x v="0"/>
    <x v="4"/>
    <x v="4"/>
    <x v="1"/>
    <x v="1"/>
    <x v="0"/>
    <x v="1"/>
    <x v="0"/>
    <x v="0"/>
    <x v="0"/>
    <x v="1"/>
    <x v="0"/>
    <x v="2"/>
    <x v="1"/>
    <x v="2"/>
    <x v="1"/>
    <x v="1"/>
    <x v="0"/>
    <x v="1"/>
    <x v="1"/>
    <x v="2"/>
    <x v="0"/>
    <x v="0"/>
    <x v="2"/>
    <x v="2"/>
    <x v="3"/>
    <n v="1"/>
    <n v="2"/>
    <b v="0"/>
    <b v="0"/>
    <b v="0"/>
    <b v="0"/>
    <b v="0"/>
    <n v="1"/>
    <b v="0"/>
    <b v="0"/>
    <n v="19"/>
    <b v="0"/>
    <b v="0"/>
    <b v="0"/>
    <s v="Prolific"/>
  </r>
  <r>
    <n v="1603"/>
    <d v="2026-02-12T20:24:48"/>
    <d v="2026-02-12T20:40:03"/>
    <s v="anonymous"/>
    <m/>
    <m/>
    <s v="18 - 25"/>
    <x v="1"/>
    <x v="2"/>
    <x v="3"/>
    <x v="0"/>
    <x v="0"/>
    <x v="0"/>
    <x v="3"/>
    <x v="2"/>
    <x v="0"/>
    <x v="0"/>
    <x v="2"/>
    <x v="1"/>
    <x v="2"/>
    <x v="2"/>
    <x v="3"/>
    <x v="3"/>
    <x v="0"/>
    <x v="3"/>
    <x v="1"/>
    <x v="1"/>
    <x v="1"/>
    <x v="2"/>
    <x v="1"/>
    <x v="1"/>
    <x v="0"/>
    <x v="1"/>
    <x v="1"/>
    <n v="4"/>
    <n v="3"/>
    <b v="0"/>
    <b v="0"/>
    <b v="0"/>
    <b v="0"/>
    <b v="0"/>
    <n v="1"/>
    <b v="0"/>
    <b v="0"/>
    <n v="8"/>
    <b v="0"/>
    <b v="0"/>
    <b v="0"/>
    <s v="Prolific"/>
  </r>
  <r>
    <n v="1604"/>
    <d v="2026-02-12T16:52:05"/>
    <d v="2026-02-12T16:52:43"/>
    <s v="anonymous"/>
    <m/>
    <m/>
    <s v="18 - 25"/>
    <x v="1"/>
    <x v="0"/>
    <x v="4"/>
    <x v="1"/>
    <x v="0"/>
    <x v="0"/>
    <x v="1"/>
    <x v="1"/>
    <x v="0"/>
    <x v="0"/>
    <x v="1"/>
    <x v="1"/>
    <x v="0"/>
    <x v="2"/>
    <x v="1"/>
    <x v="1"/>
    <x v="1"/>
    <x v="1"/>
    <x v="0"/>
    <x v="0"/>
    <x v="2"/>
    <x v="3"/>
    <x v="0"/>
    <x v="1"/>
    <x v="0"/>
    <x v="2"/>
    <x v="2"/>
    <n v="2"/>
    <n v="3"/>
    <b v="0"/>
    <b v="0"/>
    <b v="0"/>
    <b v="0"/>
    <b v="0"/>
    <n v="0"/>
    <b v="0"/>
    <b v="0"/>
    <n v="5"/>
    <b v="0"/>
    <b v="0"/>
    <b v="0"/>
    <s v="Prolific"/>
  </r>
  <r>
    <n v="1608"/>
    <d v="2026-02-12T17:27:56"/>
    <d v="2026-02-12T17:28:18"/>
    <s v="anonymous"/>
    <m/>
    <m/>
    <s v="18 - 25"/>
    <x v="0"/>
    <x v="1"/>
    <x v="0"/>
    <x v="0"/>
    <x v="0"/>
    <x v="0"/>
    <x v="2"/>
    <x v="2"/>
    <x v="4"/>
    <x v="4"/>
    <x v="2"/>
    <x v="4"/>
    <x v="4"/>
    <x v="3"/>
    <x v="3"/>
    <x v="3"/>
    <x v="3"/>
    <x v="2"/>
    <x v="3"/>
    <x v="4"/>
    <x v="3"/>
    <x v="4"/>
    <x v="1"/>
    <x v="0"/>
    <x v="4"/>
    <x v="3"/>
    <x v="3"/>
    <n v="1"/>
    <n v="1"/>
    <b v="0"/>
    <b v="0"/>
    <b v="0"/>
    <b v="0"/>
    <b v="0"/>
    <n v="11"/>
    <b v="0"/>
    <b v="0"/>
    <n v="19"/>
    <b v="0"/>
    <b v="0"/>
    <b v="0"/>
    <s v="Prolific"/>
  </r>
  <r>
    <n v="1609"/>
    <d v="2026-02-12T17:34:11"/>
    <d v="2026-02-12T17:39:56"/>
    <s v="anonymous"/>
    <m/>
    <m/>
    <s v="18 - 25"/>
    <x v="0"/>
    <x v="1"/>
    <x v="2"/>
    <x v="0"/>
    <x v="0"/>
    <x v="0"/>
    <x v="2"/>
    <x v="0"/>
    <x v="0"/>
    <x v="0"/>
    <x v="2"/>
    <x v="1"/>
    <x v="2"/>
    <x v="2"/>
    <x v="1"/>
    <x v="1"/>
    <x v="1"/>
    <x v="1"/>
    <x v="0"/>
    <x v="1"/>
    <x v="0"/>
    <x v="2"/>
    <x v="0"/>
    <x v="0"/>
    <x v="1"/>
    <x v="0"/>
    <x v="0"/>
    <n v="3"/>
    <n v="4"/>
    <b v="0"/>
    <b v="0"/>
    <b v="0"/>
    <b v="0"/>
    <b v="0"/>
    <n v="0"/>
    <b v="0"/>
    <b v="0"/>
    <n v="10"/>
    <b v="0"/>
    <b v="0"/>
    <b v="0"/>
    <s v="Prolific"/>
  </r>
  <r>
    <n v="1611"/>
    <d v="2026-02-12T17:30:01"/>
    <d v="2026-02-12T17:30:43"/>
    <s v="anonymous"/>
    <m/>
    <m/>
    <s v="18 - 25"/>
    <x v="1"/>
    <x v="2"/>
    <x v="3"/>
    <x v="4"/>
    <x v="0"/>
    <x v="0"/>
    <x v="3"/>
    <x v="3"/>
    <x v="3"/>
    <x v="2"/>
    <x v="4"/>
    <x v="2"/>
    <x v="1"/>
    <x v="4"/>
    <x v="3"/>
    <x v="3"/>
    <x v="3"/>
    <x v="3"/>
    <x v="3"/>
    <x v="2"/>
    <x v="0"/>
    <x v="3"/>
    <x v="2"/>
    <x v="2"/>
    <x v="0"/>
    <x v="0"/>
    <x v="0"/>
    <n v="3"/>
    <n v="3"/>
    <b v="0"/>
    <b v="0"/>
    <b v="0"/>
    <b v="0"/>
    <b v="0"/>
    <n v="3"/>
    <b v="0"/>
    <b v="0"/>
    <n v="21"/>
    <b v="0"/>
    <b v="0"/>
    <b v="0"/>
    <s v="Prolific"/>
  </r>
  <r>
    <n v="1612"/>
    <d v="2026-02-12T20:40:41"/>
    <d v="2026-02-12T20:42:29"/>
    <s v="anonymous"/>
    <m/>
    <m/>
    <s v="18 - 25"/>
    <x v="1"/>
    <x v="3"/>
    <x v="3"/>
    <x v="4"/>
    <x v="0"/>
    <x v="1"/>
    <x v="3"/>
    <x v="3"/>
    <x v="3"/>
    <x v="0"/>
    <x v="4"/>
    <x v="1"/>
    <x v="2"/>
    <x v="4"/>
    <x v="2"/>
    <x v="1"/>
    <x v="1"/>
    <x v="2"/>
    <x v="0"/>
    <x v="1"/>
    <x v="1"/>
    <x v="3"/>
    <x v="0"/>
    <x v="1"/>
    <x v="2"/>
    <x v="2"/>
    <x v="3"/>
    <n v="1"/>
    <n v="2"/>
    <b v="0"/>
    <b v="0"/>
    <b v="0"/>
    <b v="0"/>
    <b v="0"/>
    <n v="4"/>
    <b v="0"/>
    <b v="0"/>
    <n v="3"/>
    <b v="0"/>
    <b v="0"/>
    <b v="0"/>
    <s v="Prolific"/>
  </r>
  <r>
    <n v="1614"/>
    <d v="2026-02-12T19:59:15"/>
    <d v="2026-02-12T20:03:13"/>
    <s v="anonymous"/>
    <m/>
    <m/>
    <s v="18 - 25"/>
    <x v="0"/>
    <x v="1"/>
    <x v="3"/>
    <x v="0"/>
    <x v="0"/>
    <x v="1"/>
    <x v="2"/>
    <x v="2"/>
    <x v="3"/>
    <x v="2"/>
    <x v="2"/>
    <x v="0"/>
    <x v="0"/>
    <x v="4"/>
    <x v="3"/>
    <x v="3"/>
    <x v="0"/>
    <x v="3"/>
    <x v="1"/>
    <x v="1"/>
    <x v="2"/>
    <x v="3"/>
    <x v="0"/>
    <x v="1"/>
    <x v="0"/>
    <x v="2"/>
    <x v="3"/>
    <n v="1"/>
    <n v="3"/>
    <b v="0"/>
    <b v="0"/>
    <b v="0"/>
    <b v="0"/>
    <b v="0"/>
    <n v="1"/>
    <b v="0"/>
    <b v="0"/>
    <n v="2"/>
    <b v="0"/>
    <b v="0"/>
    <b v="0"/>
    <s v="Prolific"/>
  </r>
  <r>
    <n v="1615"/>
    <d v="2026-02-12T19:59:26"/>
    <d v="2026-02-12T20:00:06"/>
    <s v="anonymous"/>
    <m/>
    <m/>
    <s v="18 - 25"/>
    <x v="1"/>
    <x v="3"/>
    <x v="3"/>
    <x v="5"/>
    <x v="1"/>
    <x v="1"/>
    <x v="2"/>
    <x v="2"/>
    <x v="3"/>
    <x v="0"/>
    <x v="4"/>
    <x v="2"/>
    <x v="1"/>
    <x v="2"/>
    <x v="1"/>
    <x v="2"/>
    <x v="0"/>
    <x v="2"/>
    <x v="3"/>
    <x v="2"/>
    <x v="0"/>
    <x v="2"/>
    <x v="2"/>
    <x v="2"/>
    <x v="2"/>
    <x v="2"/>
    <x v="3"/>
    <n v="1"/>
    <n v="2"/>
    <b v="0"/>
    <b v="0"/>
    <b v="0"/>
    <b v="0"/>
    <b v="0"/>
    <n v="2"/>
    <b v="0"/>
    <b v="0"/>
    <n v="5"/>
    <b v="0"/>
    <b v="0"/>
    <b v="0"/>
    <s v="Prolific"/>
  </r>
  <r>
    <n v="1616"/>
    <d v="2026-02-12T17:24:05"/>
    <d v="2026-02-12T17:24:37"/>
    <s v="anonymous"/>
    <m/>
    <m/>
    <s v="18 - 25"/>
    <x v="0"/>
    <x v="0"/>
    <x v="5"/>
    <x v="0"/>
    <x v="0"/>
    <x v="0"/>
    <x v="3"/>
    <x v="3"/>
    <x v="3"/>
    <x v="2"/>
    <x v="2"/>
    <x v="1"/>
    <x v="1"/>
    <x v="3"/>
    <x v="2"/>
    <x v="1"/>
    <x v="1"/>
    <x v="1"/>
    <x v="0"/>
    <x v="2"/>
    <x v="0"/>
    <x v="3"/>
    <x v="0"/>
    <x v="0"/>
    <x v="0"/>
    <x v="0"/>
    <x v="0"/>
    <n v="3"/>
    <n v="3"/>
    <b v="0"/>
    <b v="0"/>
    <b v="0"/>
    <b v="0"/>
    <b v="0"/>
    <n v="3"/>
    <b v="0"/>
    <b v="0"/>
    <n v="6"/>
    <b v="0"/>
    <b v="0"/>
    <b v="0"/>
    <s v="Prolific"/>
  </r>
  <r>
    <n v="1618"/>
    <d v="2026-02-12T20:05:57"/>
    <d v="2026-02-12T20:15:50"/>
    <s v="anonymous"/>
    <m/>
    <m/>
    <s v="18 - 25"/>
    <x v="1"/>
    <x v="0"/>
    <x v="5"/>
    <x v="0"/>
    <x v="1"/>
    <x v="1"/>
    <x v="2"/>
    <x v="2"/>
    <x v="0"/>
    <x v="0"/>
    <x v="2"/>
    <x v="0"/>
    <x v="0"/>
    <x v="2"/>
    <x v="0"/>
    <x v="1"/>
    <x v="2"/>
    <x v="1"/>
    <x v="2"/>
    <x v="0"/>
    <x v="2"/>
    <x v="2"/>
    <x v="3"/>
    <x v="4"/>
    <x v="2"/>
    <x v="0"/>
    <x v="0"/>
    <n v="3"/>
    <n v="2"/>
    <b v="0"/>
    <b v="0"/>
    <b v="0"/>
    <b v="0"/>
    <b v="0"/>
    <n v="5"/>
    <b v="0"/>
    <b v="0"/>
    <n v="3"/>
    <b v="0"/>
    <b v="0"/>
    <b v="0"/>
    <s v="Prolific"/>
  </r>
  <r>
    <n v="1622"/>
    <d v="2026-02-12T17:18:19"/>
    <d v="2026-02-12T17:18:42"/>
    <s v="anonymous"/>
    <m/>
    <m/>
    <s v="18 - 25"/>
    <x v="0"/>
    <x v="1"/>
    <x v="3"/>
    <x v="3"/>
    <x v="0"/>
    <x v="0"/>
    <x v="2"/>
    <x v="2"/>
    <x v="1"/>
    <x v="0"/>
    <x v="2"/>
    <x v="0"/>
    <x v="0"/>
    <x v="2"/>
    <x v="2"/>
    <x v="2"/>
    <x v="0"/>
    <x v="2"/>
    <x v="1"/>
    <x v="0"/>
    <x v="1"/>
    <x v="2"/>
    <x v="2"/>
    <x v="0"/>
    <x v="2"/>
    <x v="3"/>
    <x v="2"/>
    <n v="2"/>
    <n v="2"/>
    <b v="0"/>
    <b v="0"/>
    <b v="0"/>
    <b v="0"/>
    <b v="0"/>
    <n v="1"/>
    <b v="0"/>
    <b v="0"/>
    <n v="4"/>
    <b v="0"/>
    <b v="0"/>
    <b v="0"/>
    <s v="Prolific"/>
  </r>
  <r>
    <n v="1625"/>
    <d v="2026-02-12T20:24:47"/>
    <d v="2026-02-12T20:35:38"/>
    <s v="anonymous"/>
    <m/>
    <m/>
    <s v="18 - 25"/>
    <x v="1"/>
    <x v="4"/>
    <x v="3"/>
    <x v="4"/>
    <x v="0"/>
    <x v="0"/>
    <x v="3"/>
    <x v="2"/>
    <x v="0"/>
    <x v="2"/>
    <x v="4"/>
    <x v="2"/>
    <x v="2"/>
    <x v="2"/>
    <x v="1"/>
    <x v="2"/>
    <x v="1"/>
    <x v="1"/>
    <x v="2"/>
    <x v="2"/>
    <x v="0"/>
    <x v="3"/>
    <x v="0"/>
    <x v="4"/>
    <x v="2"/>
    <x v="2"/>
    <x v="2"/>
    <n v="2"/>
    <n v="2"/>
    <b v="0"/>
    <b v="0"/>
    <b v="0"/>
    <b v="0"/>
    <b v="0"/>
    <n v="4"/>
    <b v="0"/>
    <b v="0"/>
    <n v="5"/>
    <b v="0"/>
    <b v="0"/>
    <b v="0"/>
    <s v="Prolific"/>
  </r>
  <r>
    <n v="1628"/>
    <d v="2026-02-12T20:52:55"/>
    <d v="2026-02-12T21:01:15"/>
    <s v="anonymous"/>
    <m/>
    <m/>
    <s v="18 - 25"/>
    <x v="0"/>
    <x v="0"/>
    <x v="1"/>
    <x v="0"/>
    <x v="0"/>
    <x v="0"/>
    <x v="2"/>
    <x v="2"/>
    <x v="1"/>
    <x v="1"/>
    <x v="2"/>
    <x v="1"/>
    <x v="2"/>
    <x v="1"/>
    <x v="0"/>
    <x v="1"/>
    <x v="1"/>
    <x v="0"/>
    <x v="0"/>
    <x v="2"/>
    <x v="2"/>
    <x v="1"/>
    <x v="0"/>
    <x v="1"/>
    <x v="4"/>
    <x v="2"/>
    <x v="3"/>
    <n v="1"/>
    <n v="1"/>
    <b v="0"/>
    <b v="0"/>
    <b v="0"/>
    <b v="0"/>
    <b v="0"/>
    <n v="4"/>
    <b v="0"/>
    <b v="0"/>
    <n v="8"/>
    <b v="0"/>
    <b v="0"/>
    <b v="0"/>
    <s v="Prolific"/>
  </r>
  <r>
    <n v="1629"/>
    <d v="2026-02-12T18:27:31"/>
    <d v="2026-02-12T18:29:20"/>
    <s v="anonymous"/>
    <m/>
    <m/>
    <s v="18 - 25"/>
    <x v="0"/>
    <x v="0"/>
    <x v="3"/>
    <x v="4"/>
    <x v="0"/>
    <x v="1"/>
    <x v="0"/>
    <x v="1"/>
    <x v="2"/>
    <x v="1"/>
    <x v="0"/>
    <x v="0"/>
    <x v="3"/>
    <x v="1"/>
    <x v="0"/>
    <x v="0"/>
    <x v="1"/>
    <x v="0"/>
    <x v="1"/>
    <x v="3"/>
    <x v="1"/>
    <x v="1"/>
    <x v="1"/>
    <x v="1"/>
    <x v="3"/>
    <x v="1"/>
    <x v="1"/>
    <n v="4"/>
    <n v="5"/>
    <b v="0"/>
    <b v="0"/>
    <b v="0"/>
    <b v="0"/>
    <b v="0"/>
    <n v="7"/>
    <b v="0"/>
    <b v="0"/>
    <n v="1"/>
    <b v="0"/>
    <b v="0"/>
    <b v="0"/>
    <s v="Prolific"/>
  </r>
  <r>
    <n v="1632"/>
    <d v="2026-02-12T16:58:20"/>
    <d v="2026-02-12T16:58:53"/>
    <s v="anonymous"/>
    <m/>
    <m/>
    <s v="18 - 25"/>
    <x v="0"/>
    <x v="2"/>
    <x v="3"/>
    <x v="0"/>
    <x v="0"/>
    <x v="0"/>
    <x v="2"/>
    <x v="0"/>
    <x v="1"/>
    <x v="1"/>
    <x v="1"/>
    <x v="1"/>
    <x v="2"/>
    <x v="1"/>
    <x v="1"/>
    <x v="1"/>
    <x v="1"/>
    <x v="1"/>
    <x v="0"/>
    <x v="1"/>
    <x v="2"/>
    <x v="0"/>
    <x v="0"/>
    <x v="1"/>
    <x v="0"/>
    <x v="3"/>
    <x v="2"/>
    <n v="2"/>
    <n v="3"/>
    <b v="0"/>
    <b v="0"/>
    <b v="0"/>
    <b v="0"/>
    <b v="0"/>
    <n v="2"/>
    <b v="0"/>
    <b v="0"/>
    <n v="2"/>
    <b v="0"/>
    <b v="0"/>
    <b v="0"/>
    <s v="Prolific"/>
  </r>
  <r>
    <n v="1636"/>
    <d v="2026-02-12T21:00:29"/>
    <d v="2026-02-12T21:10:39"/>
    <s v="anonymous"/>
    <m/>
    <m/>
    <s v="18 - 25"/>
    <x v="1"/>
    <x v="1"/>
    <x v="0"/>
    <x v="0"/>
    <x v="0"/>
    <x v="0"/>
    <x v="0"/>
    <x v="1"/>
    <x v="0"/>
    <x v="1"/>
    <x v="0"/>
    <x v="3"/>
    <x v="3"/>
    <x v="1"/>
    <x v="1"/>
    <x v="1"/>
    <x v="1"/>
    <x v="1"/>
    <x v="0"/>
    <x v="3"/>
    <x v="4"/>
    <x v="2"/>
    <x v="0"/>
    <x v="0"/>
    <x v="1"/>
    <x v="0"/>
    <x v="0"/>
    <n v="3"/>
    <n v="4"/>
    <b v="0"/>
    <b v="0"/>
    <b v="0"/>
    <b v="0"/>
    <b v="0"/>
    <n v="4"/>
    <b v="0"/>
    <b v="0"/>
    <n v="4"/>
    <b v="0"/>
    <b v="0"/>
    <b v="0"/>
    <s v="Prolific"/>
  </r>
  <r>
    <n v="1637"/>
    <d v="2026-02-12T17:06:38"/>
    <d v="2026-02-12T17:07:06"/>
    <s v="anonymous"/>
    <m/>
    <m/>
    <s v="18 - 25"/>
    <x v="1"/>
    <x v="0"/>
    <x v="3"/>
    <x v="4"/>
    <x v="0"/>
    <x v="0"/>
    <x v="1"/>
    <x v="0"/>
    <x v="3"/>
    <x v="2"/>
    <x v="1"/>
    <x v="1"/>
    <x v="1"/>
    <x v="4"/>
    <x v="1"/>
    <x v="1"/>
    <x v="3"/>
    <x v="1"/>
    <x v="3"/>
    <x v="1"/>
    <x v="0"/>
    <x v="2"/>
    <x v="1"/>
    <x v="2"/>
    <x v="2"/>
    <x v="2"/>
    <x v="2"/>
    <n v="2"/>
    <n v="2"/>
    <b v="0"/>
    <b v="0"/>
    <b v="0"/>
    <b v="0"/>
    <b v="0"/>
    <n v="0"/>
    <b v="0"/>
    <b v="0"/>
    <n v="21"/>
    <b v="0"/>
    <b v="0"/>
    <b v="0"/>
    <s v="Prolific"/>
  </r>
  <r>
    <n v="1638"/>
    <d v="2026-02-12T21:10:29"/>
    <d v="2026-02-12T21:21:10"/>
    <s v="anonymous"/>
    <m/>
    <m/>
    <s v="18 - 25"/>
    <x v="1"/>
    <x v="0"/>
    <x v="1"/>
    <x v="1"/>
    <x v="0"/>
    <x v="0"/>
    <x v="2"/>
    <x v="2"/>
    <x v="0"/>
    <x v="1"/>
    <x v="2"/>
    <x v="1"/>
    <x v="2"/>
    <x v="2"/>
    <x v="2"/>
    <x v="2"/>
    <x v="1"/>
    <x v="3"/>
    <x v="0"/>
    <x v="1"/>
    <x v="2"/>
    <x v="2"/>
    <x v="0"/>
    <x v="0"/>
    <x v="0"/>
    <x v="2"/>
    <x v="3"/>
    <n v="1"/>
    <n v="3"/>
    <b v="0"/>
    <b v="0"/>
    <b v="0"/>
    <b v="0"/>
    <b v="0"/>
    <n v="1"/>
    <b v="0"/>
    <b v="0"/>
    <n v="16"/>
    <b v="0"/>
    <b v="0"/>
    <b v="0"/>
    <s v="Prolific"/>
  </r>
  <r>
    <n v="1641"/>
    <d v="2026-02-12T17:33:13"/>
    <d v="2026-02-12T17:35:07"/>
    <s v="anonymous"/>
    <m/>
    <m/>
    <s v="18 - 25"/>
    <x v="1"/>
    <x v="0"/>
    <x v="2"/>
    <x v="0"/>
    <x v="0"/>
    <x v="0"/>
    <x v="2"/>
    <x v="0"/>
    <x v="0"/>
    <x v="0"/>
    <x v="4"/>
    <x v="2"/>
    <x v="1"/>
    <x v="2"/>
    <x v="3"/>
    <x v="2"/>
    <x v="3"/>
    <x v="2"/>
    <x v="3"/>
    <x v="2"/>
    <x v="0"/>
    <x v="2"/>
    <x v="2"/>
    <x v="2"/>
    <x v="2"/>
    <x v="2"/>
    <x v="3"/>
    <n v="1"/>
    <n v="2"/>
    <b v="0"/>
    <b v="0"/>
    <b v="0"/>
    <b v="0"/>
    <b v="0"/>
    <n v="2"/>
    <b v="0"/>
    <b v="0"/>
    <n v="3"/>
    <b v="0"/>
    <b v="0"/>
    <b v="0"/>
    <s v="Prolific"/>
  </r>
  <r>
    <n v="1642"/>
    <d v="2026-02-12T19:52:43"/>
    <d v="2026-02-12T19:58:24"/>
    <s v="anonymous"/>
    <m/>
    <m/>
    <s v="18 - 25"/>
    <x v="1"/>
    <x v="0"/>
    <x v="0"/>
    <x v="0"/>
    <x v="0"/>
    <x v="0"/>
    <x v="1"/>
    <x v="1"/>
    <x v="2"/>
    <x v="1"/>
    <x v="1"/>
    <x v="1"/>
    <x v="2"/>
    <x v="1"/>
    <x v="1"/>
    <x v="1"/>
    <x v="1"/>
    <x v="2"/>
    <x v="2"/>
    <x v="1"/>
    <x v="2"/>
    <x v="1"/>
    <x v="0"/>
    <x v="1"/>
    <x v="0"/>
    <x v="2"/>
    <x v="2"/>
    <n v="2"/>
    <n v="3"/>
    <b v="0"/>
    <b v="0"/>
    <b v="0"/>
    <b v="0"/>
    <b v="0"/>
    <n v="2"/>
    <b v="0"/>
    <b v="0"/>
    <n v="16"/>
    <b v="0"/>
    <b v="0"/>
    <b v="0"/>
    <s v="Prolific"/>
  </r>
  <r>
    <n v="1644"/>
    <d v="2026-02-12T20:12:42"/>
    <d v="2026-02-12T20:22:13"/>
    <s v="anonymous"/>
    <m/>
    <m/>
    <s v="18 - 25"/>
    <x v="1"/>
    <x v="0"/>
    <x v="3"/>
    <x v="0"/>
    <x v="1"/>
    <x v="0"/>
    <x v="2"/>
    <x v="2"/>
    <x v="1"/>
    <x v="1"/>
    <x v="2"/>
    <x v="1"/>
    <x v="2"/>
    <x v="1"/>
    <x v="0"/>
    <x v="0"/>
    <x v="1"/>
    <x v="0"/>
    <x v="0"/>
    <x v="1"/>
    <x v="1"/>
    <x v="1"/>
    <x v="0"/>
    <x v="0"/>
    <x v="2"/>
    <x v="3"/>
    <x v="2"/>
    <n v="2"/>
    <n v="2"/>
    <b v="0"/>
    <b v="0"/>
    <b v="0"/>
    <b v="0"/>
    <b v="0"/>
    <n v="4"/>
    <b v="0"/>
    <b v="0"/>
    <n v="2"/>
    <b v="0"/>
    <b v="0"/>
    <b v="0"/>
    <s v="Prolific"/>
  </r>
  <r>
    <n v="1647"/>
    <d v="2026-02-12T18:22:06"/>
    <d v="2026-02-12T18:23:34"/>
    <s v="anonymous"/>
    <m/>
    <m/>
    <s v="18 - 25"/>
    <x v="0"/>
    <x v="0"/>
    <x v="3"/>
    <x v="0"/>
    <x v="0"/>
    <x v="0"/>
    <x v="1"/>
    <x v="0"/>
    <x v="1"/>
    <x v="1"/>
    <x v="1"/>
    <x v="1"/>
    <x v="2"/>
    <x v="1"/>
    <x v="1"/>
    <x v="2"/>
    <x v="3"/>
    <x v="1"/>
    <x v="1"/>
    <x v="1"/>
    <x v="2"/>
    <x v="1"/>
    <x v="2"/>
    <x v="0"/>
    <x v="2"/>
    <x v="2"/>
    <x v="2"/>
    <n v="2"/>
    <n v="2"/>
    <b v="0"/>
    <b v="0"/>
    <b v="0"/>
    <b v="0"/>
    <b v="0"/>
    <n v="0"/>
    <b v="0"/>
    <b v="0"/>
    <n v="8"/>
    <b v="0"/>
    <b v="0"/>
    <b v="0"/>
    <s v="Prolific"/>
  </r>
  <r>
    <n v="1657"/>
    <d v="2026-02-12T17:24:48"/>
    <d v="2026-02-12T17:25:11"/>
    <s v="anonymous"/>
    <m/>
    <m/>
    <s v="18 - 25"/>
    <x v="1"/>
    <x v="2"/>
    <x v="6"/>
    <x v="3"/>
    <x v="0"/>
    <x v="0"/>
    <x v="0"/>
    <x v="1"/>
    <x v="1"/>
    <x v="0"/>
    <x v="1"/>
    <x v="0"/>
    <x v="0"/>
    <x v="2"/>
    <x v="1"/>
    <x v="0"/>
    <x v="1"/>
    <x v="1"/>
    <x v="0"/>
    <x v="0"/>
    <x v="1"/>
    <x v="1"/>
    <x v="0"/>
    <x v="1"/>
    <x v="2"/>
    <x v="2"/>
    <x v="3"/>
    <n v="1"/>
    <n v="2"/>
    <b v="0"/>
    <b v="0"/>
    <b v="0"/>
    <b v="0"/>
    <b v="0"/>
    <n v="2"/>
    <b v="0"/>
    <b v="0"/>
    <n v="9"/>
    <b v="0"/>
    <b v="0"/>
    <b v="0"/>
    <s v="Prolific"/>
  </r>
  <r>
    <n v="1660"/>
    <d v="2026-02-12T17:27:03"/>
    <d v="2026-02-12T17:27:43"/>
    <s v="anonymous"/>
    <m/>
    <m/>
    <s v="18 - 25"/>
    <x v="1"/>
    <x v="0"/>
    <x v="2"/>
    <x v="4"/>
    <x v="0"/>
    <x v="0"/>
    <x v="1"/>
    <x v="2"/>
    <x v="1"/>
    <x v="1"/>
    <x v="2"/>
    <x v="0"/>
    <x v="0"/>
    <x v="1"/>
    <x v="1"/>
    <x v="1"/>
    <x v="0"/>
    <x v="1"/>
    <x v="3"/>
    <x v="1"/>
    <x v="1"/>
    <x v="1"/>
    <x v="2"/>
    <x v="0"/>
    <x v="1"/>
    <x v="0"/>
    <x v="0"/>
    <n v="3"/>
    <n v="4"/>
    <b v="0"/>
    <b v="0"/>
    <b v="0"/>
    <b v="0"/>
    <b v="0"/>
    <n v="0"/>
    <b v="0"/>
    <b v="0"/>
    <n v="5"/>
    <b v="0"/>
    <b v="0"/>
    <b v="0"/>
    <s v="Prolific"/>
  </r>
  <r>
    <n v="1662"/>
    <d v="2026-02-12T20:52:58"/>
    <d v="2026-02-12T21:01:11"/>
    <s v="anonymous"/>
    <m/>
    <m/>
    <s v="18 - 25"/>
    <x v="1"/>
    <x v="0"/>
    <x v="5"/>
    <x v="4"/>
    <x v="0"/>
    <x v="0"/>
    <x v="1"/>
    <x v="0"/>
    <x v="3"/>
    <x v="2"/>
    <x v="1"/>
    <x v="4"/>
    <x v="1"/>
    <x v="4"/>
    <x v="3"/>
    <x v="3"/>
    <x v="0"/>
    <x v="2"/>
    <x v="3"/>
    <x v="2"/>
    <x v="0"/>
    <x v="2"/>
    <x v="1"/>
    <x v="2"/>
    <x v="4"/>
    <x v="3"/>
    <x v="3"/>
    <n v="1"/>
    <n v="1"/>
    <b v="0"/>
    <b v="0"/>
    <b v="0"/>
    <b v="0"/>
    <b v="0"/>
    <n v="4"/>
    <b v="0"/>
    <b v="0"/>
    <n v="10"/>
    <b v="0"/>
    <b v="0"/>
    <b v="0"/>
    <s v="Prolific"/>
  </r>
  <r>
    <n v="1665"/>
    <d v="2026-02-12T18:27:30"/>
    <d v="2026-02-12T18:28:55"/>
    <s v="anonymous"/>
    <m/>
    <m/>
    <s v="18 - 25"/>
    <x v="0"/>
    <x v="1"/>
    <x v="6"/>
    <x v="1"/>
    <x v="0"/>
    <x v="0"/>
    <x v="0"/>
    <x v="1"/>
    <x v="1"/>
    <x v="0"/>
    <x v="0"/>
    <x v="1"/>
    <x v="2"/>
    <x v="2"/>
    <x v="3"/>
    <x v="3"/>
    <x v="0"/>
    <x v="3"/>
    <x v="1"/>
    <x v="1"/>
    <x v="2"/>
    <x v="2"/>
    <x v="0"/>
    <x v="0"/>
    <x v="0"/>
    <x v="1"/>
    <x v="4"/>
    <n v="5"/>
    <n v="3"/>
    <b v="0"/>
    <b v="0"/>
    <b v="0"/>
    <b v="0"/>
    <b v="0"/>
    <n v="1"/>
    <b v="0"/>
    <b v="0"/>
    <n v="3"/>
    <b v="0"/>
    <b v="0"/>
    <b v="0"/>
    <s v="Prolific"/>
  </r>
  <r>
    <n v="1666"/>
    <d v="2026-02-12T20:52:54"/>
    <d v="2026-02-12T21:00:10"/>
    <s v="anonymous"/>
    <m/>
    <m/>
    <s v="18 - 25"/>
    <x v="1"/>
    <x v="0"/>
    <x v="3"/>
    <x v="4"/>
    <x v="1"/>
    <x v="0"/>
    <x v="0"/>
    <x v="0"/>
    <x v="2"/>
    <x v="1"/>
    <x v="1"/>
    <x v="1"/>
    <x v="0"/>
    <x v="0"/>
    <x v="2"/>
    <x v="1"/>
    <x v="0"/>
    <x v="2"/>
    <x v="1"/>
    <x v="1"/>
    <x v="2"/>
    <x v="0"/>
    <x v="1"/>
    <x v="1"/>
    <x v="2"/>
    <x v="2"/>
    <x v="3"/>
    <n v="1"/>
    <n v="2"/>
    <b v="0"/>
    <b v="0"/>
    <b v="0"/>
    <b v="0"/>
    <b v="0"/>
    <n v="4"/>
    <b v="0"/>
    <b v="0"/>
    <n v="21"/>
    <b v="0"/>
    <b v="0"/>
    <b v="0"/>
    <s v="Prolific"/>
  </r>
  <r>
    <n v="1670"/>
    <d v="2026-02-12T16:53:07"/>
    <d v="2026-02-12T16:53:31"/>
    <s v="anonymous"/>
    <m/>
    <m/>
    <s v="18 - 25"/>
    <x v="0"/>
    <x v="0"/>
    <x v="5"/>
    <x v="4"/>
    <x v="0"/>
    <x v="0"/>
    <x v="4"/>
    <x v="0"/>
    <x v="1"/>
    <x v="1"/>
    <x v="0"/>
    <x v="2"/>
    <x v="2"/>
    <x v="2"/>
    <x v="1"/>
    <x v="1"/>
    <x v="0"/>
    <x v="2"/>
    <x v="0"/>
    <x v="1"/>
    <x v="2"/>
    <x v="1"/>
    <x v="1"/>
    <x v="1"/>
    <x v="2"/>
    <x v="2"/>
    <x v="2"/>
    <n v="2"/>
    <n v="2"/>
    <b v="0"/>
    <b v="0"/>
    <b v="0"/>
    <b v="0"/>
    <b v="0"/>
    <n v="1"/>
    <b v="0"/>
    <b v="0"/>
    <n v="8"/>
    <b v="0"/>
    <b v="0"/>
    <b v="0"/>
    <s v="Prolific"/>
  </r>
  <r>
    <n v="1671"/>
    <d v="2026-02-12T21:22:33"/>
    <d v="2026-02-12T21:24:41"/>
    <s v="anonymous"/>
    <m/>
    <m/>
    <s v="18 - 25"/>
    <x v="1"/>
    <x v="0"/>
    <x v="4"/>
    <x v="4"/>
    <x v="0"/>
    <x v="0"/>
    <x v="1"/>
    <x v="2"/>
    <x v="0"/>
    <x v="2"/>
    <x v="4"/>
    <x v="1"/>
    <x v="0"/>
    <x v="2"/>
    <x v="3"/>
    <x v="3"/>
    <x v="0"/>
    <x v="4"/>
    <x v="0"/>
    <x v="1"/>
    <x v="2"/>
    <x v="3"/>
    <x v="1"/>
    <x v="1"/>
    <x v="2"/>
    <x v="2"/>
    <x v="2"/>
    <n v="2"/>
    <n v="2"/>
    <b v="0"/>
    <b v="0"/>
    <b v="0"/>
    <b v="0"/>
    <b v="0"/>
    <n v="2"/>
    <b v="0"/>
    <b v="0"/>
    <n v="3"/>
    <b v="0"/>
    <b v="0"/>
    <b v="0"/>
    <s v="Prolific"/>
  </r>
  <r>
    <n v="1676"/>
    <d v="2026-02-12T18:27:35"/>
    <d v="2026-02-12T18:29:59"/>
    <s v="anonymous"/>
    <m/>
    <m/>
    <s v="18 - 25"/>
    <x v="1"/>
    <x v="1"/>
    <x v="7"/>
    <x v="4"/>
    <x v="1"/>
    <x v="1"/>
    <x v="0"/>
    <x v="1"/>
    <x v="0"/>
    <x v="2"/>
    <x v="0"/>
    <x v="1"/>
    <x v="2"/>
    <x v="2"/>
    <x v="1"/>
    <x v="1"/>
    <x v="0"/>
    <x v="1"/>
    <x v="1"/>
    <x v="0"/>
    <x v="2"/>
    <x v="3"/>
    <x v="1"/>
    <x v="1"/>
    <x v="0"/>
    <x v="2"/>
    <x v="3"/>
    <n v="1"/>
    <n v="3"/>
    <b v="0"/>
    <b v="0"/>
    <b v="0"/>
    <b v="0"/>
    <b v="0"/>
    <n v="1"/>
    <b v="0"/>
    <b v="0"/>
    <n v="4"/>
    <b v="0"/>
    <b v="0"/>
    <b v="0"/>
    <s v="Prolific"/>
  </r>
  <r>
    <n v="1683"/>
    <d v="2026-02-12T16:06:45"/>
    <d v="2026-02-12T16:09:44"/>
    <s v="anonymous"/>
    <m/>
    <m/>
    <s v="18 - 25"/>
    <x v="1"/>
    <x v="0"/>
    <x v="3"/>
    <x v="4"/>
    <x v="0"/>
    <x v="0"/>
    <x v="2"/>
    <x v="0"/>
    <x v="3"/>
    <x v="2"/>
    <x v="2"/>
    <x v="1"/>
    <x v="2"/>
    <x v="4"/>
    <x v="3"/>
    <x v="2"/>
    <x v="0"/>
    <x v="3"/>
    <x v="1"/>
    <x v="1"/>
    <x v="2"/>
    <x v="3"/>
    <x v="1"/>
    <x v="0"/>
    <x v="2"/>
    <x v="2"/>
    <x v="2"/>
    <n v="2"/>
    <n v="2"/>
    <b v="0"/>
    <b v="0"/>
    <b v="0"/>
    <b v="0"/>
    <b v="0"/>
    <n v="0"/>
    <b v="0"/>
    <b v="0"/>
    <n v="0"/>
    <b v="0"/>
    <b v="0"/>
    <b v="0"/>
    <s v="Prolific"/>
  </r>
  <r>
    <n v="1684"/>
    <d v="2026-02-12T17:19:34"/>
    <d v="2026-02-12T17:19:57"/>
    <s v="anonymous"/>
    <m/>
    <m/>
    <s v="18 - 25"/>
    <x v="1"/>
    <x v="0"/>
    <x v="3"/>
    <x v="0"/>
    <x v="0"/>
    <x v="0"/>
    <x v="2"/>
    <x v="3"/>
    <x v="0"/>
    <x v="1"/>
    <x v="2"/>
    <x v="2"/>
    <x v="2"/>
    <x v="1"/>
    <x v="1"/>
    <x v="1"/>
    <x v="0"/>
    <x v="1"/>
    <x v="1"/>
    <x v="2"/>
    <x v="0"/>
    <x v="1"/>
    <x v="1"/>
    <x v="0"/>
    <x v="2"/>
    <x v="2"/>
    <x v="3"/>
    <n v="1"/>
    <n v="2"/>
    <b v="0"/>
    <b v="0"/>
    <b v="0"/>
    <b v="0"/>
    <b v="0"/>
    <n v="2"/>
    <b v="0"/>
    <b v="0"/>
    <n v="9"/>
    <b v="0"/>
    <b v="0"/>
    <b v="0"/>
    <s v="Prolific"/>
  </r>
  <r>
    <n v="1686"/>
    <d v="2026-02-12T16:54:27"/>
    <d v="2026-02-12T16:55:02"/>
    <s v="anonymous"/>
    <m/>
    <m/>
    <s v="18 - 25"/>
    <x v="1"/>
    <x v="2"/>
    <x v="3"/>
    <x v="3"/>
    <x v="0"/>
    <x v="0"/>
    <x v="3"/>
    <x v="1"/>
    <x v="0"/>
    <x v="0"/>
    <x v="4"/>
    <x v="1"/>
    <x v="1"/>
    <x v="4"/>
    <x v="1"/>
    <x v="1"/>
    <x v="1"/>
    <x v="2"/>
    <x v="0"/>
    <x v="1"/>
    <x v="0"/>
    <x v="2"/>
    <x v="3"/>
    <x v="1"/>
    <x v="0"/>
    <x v="2"/>
    <x v="2"/>
    <n v="2"/>
    <n v="3"/>
    <b v="0"/>
    <b v="0"/>
    <b v="0"/>
    <b v="0"/>
    <b v="0"/>
    <n v="3"/>
    <b v="0"/>
    <b v="0"/>
    <n v="2"/>
    <b v="0"/>
    <b v="0"/>
    <b v="0"/>
    <s v="Prolifi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0B0973-305C-4326-A5DF-BD08EBDE099D}"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82:B84" firstHeaderRow="1" firstDataRow="1" firstDataCol="1"/>
  <pivotFields count="49">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11"/>
  </rowFields>
  <rowItems count="2">
    <i>
      <x/>
    </i>
    <i>
      <x v="1"/>
    </i>
  </rowItems>
  <colItems count="1">
    <i/>
  </colItems>
  <dataFields count="1">
    <dataField name="Count of Do you know about the passage of the Stablecoins Bill by the Legislative Council?" fld="1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FA6C45-1690-4270-B0A7-F7FB4487661B}" name="PivotTable3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location ref="A190:B195" firstHeaderRow="1" firstDataRow="1" firstDataCol="1"/>
  <pivotFields count="49">
    <pivotField subtotalTop="0" showAll="0" defaultSubtotal="0"/>
    <pivotField showAll="0" defaultSubtotal="0"/>
    <pivotField showAll="0" defaultSubtotal="0"/>
    <pivotField showAll="0" defaultSubtotal="0"/>
    <pivotField showAll="0" defaultSubtotal="0"/>
    <pivotField showAll="0" defaultSubtotal="0"/>
    <pivotField subtotalTop="0" showAll="0" defaultSubtotal="0"/>
    <pivotField showAll="0" defaultSubtotal="0"/>
    <pivotField showAll="0" defaultSubtotal="0"/>
    <pivotField showAll="0" defaultSubtotal="0"/>
    <pivotField showAll="0" defaultSubtotal="0"/>
    <pivotField showAll="0" defaultSubtotal="0"/>
    <pivotField showAll="0" defaultSubtotal="0"/>
    <pivotField showAll="0" countASubtotal="1"/>
    <pivotField showAll="0" defaultSubtotal="0"/>
    <pivotField showAll="0" defaultSubtotal="0"/>
    <pivotField showAll="0" defaultSubtotal="0"/>
    <pivotField showAll="0" defaultSubtotal="0"/>
    <pivotField axis="axisRow" dataField="1" showAll="0" defaultSubtotal="0">
      <items count="5">
        <item x="4"/>
        <item x="2"/>
        <item x="1"/>
        <item x="0"/>
        <item x="3"/>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subtotalTop="0" showAll="0" defaultSubtotal="0"/>
    <pivotField showAll="0" defaultSubtotal="0"/>
    <pivotField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1">
    <field x="18"/>
  </rowFields>
  <rowItems count="5">
    <i>
      <x/>
    </i>
    <i>
      <x v="1"/>
    </i>
    <i>
      <x v="2"/>
    </i>
    <i>
      <x v="3"/>
    </i>
    <i>
      <x v="4"/>
    </i>
  </rowItems>
  <colItems count="1">
    <i/>
  </colItems>
  <dataFields count="1">
    <dataField name="Count of Digital asset transactions take longer than traditional payments (e.g., Mastercard, Visa), which makes buying things less convenient for me." fld="18" subtotal="count" baseField="23" baseItem="0"/>
  </dataFields>
  <chartFormats count="1">
    <chartFormat chart="2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A9766B-8709-4F6C-8859-C1A434883BFC}" name="PivotTable2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A158:B163" firstHeaderRow="1" firstDataRow="1" firstDataCol="1"/>
  <pivotFields count="49">
    <pivotField subtotalTop="0" showAll="0" defaultSubtotal="0"/>
    <pivotField showAll="0" defaultSubtotal="0"/>
    <pivotField showAll="0" defaultSubtotal="0"/>
    <pivotField showAll="0" defaultSubtotal="0"/>
    <pivotField showAll="0" defaultSubtotal="0"/>
    <pivotField showAll="0" defaultSubtotal="0"/>
    <pivotField subtotalTop="0" showAll="0" defaultSubtotal="0"/>
    <pivotField showAll="0" defaultSubtotal="0"/>
    <pivotField showAll="0" defaultSubtotal="0"/>
    <pivotField showAll="0" defaultSubtotal="0"/>
    <pivotField showAll="0" defaultSubtotal="0"/>
    <pivotField showAll="0" defaultSubtotal="0"/>
    <pivotField showAll="0" defaultSubtotal="0"/>
    <pivotField showAll="0" countASubtotal="1"/>
    <pivotField showAll="0" defaultSubtotal="0"/>
    <pivotField showAll="0" defaultSubtotal="0"/>
    <pivotField axis="axisRow" dataField="1" showAll="0" defaultSubtotal="0">
      <items count="5">
        <item x="4"/>
        <item x="2"/>
        <item x="0"/>
        <item x="1"/>
        <item x="3"/>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subtotalTop="0" showAll="0" defaultSubtotal="0"/>
    <pivotField showAll="0" defaultSubtotal="0"/>
    <pivotField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1">
    <field x="16"/>
  </rowFields>
  <rowItems count="5">
    <i>
      <x/>
    </i>
    <i>
      <x v="1"/>
    </i>
    <i>
      <x v="2"/>
    </i>
    <i>
      <x v="3"/>
    </i>
    <i>
      <x v="4"/>
    </i>
  </rowItems>
  <colItems count="1">
    <i/>
  </colItems>
  <dataFields count="1">
    <dataField name="Count of Although digital assets are decentralized, using centralized platforms (e.g., cryptocurrency exchanges) for transactions makes me question the concept of decentralization. This discourages me from..." fld="16" subtotal="count" baseField="21" baseItem="0"/>
  </dataFields>
  <chartFormats count="1">
    <chartFormat chart="1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F8E640-A55E-4798-81DD-DC2B46C8D029}" name="PivotTable4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0">
  <location ref="A325:B330" firstHeaderRow="1" firstDataRow="1" firstDataCol="1"/>
  <pivotFields count="49">
    <pivotField subtotalTop="0" showAll="0" defaultSubtotal="0"/>
    <pivotField showAll="0" defaultSubtotal="0"/>
    <pivotField showAll="0" defaultSubtotal="0"/>
    <pivotField showAll="0" defaultSubtotal="0"/>
    <pivotField showAll="0" defaultSubtotal="0"/>
    <pivotField showAll="0" defaultSubtotal="0"/>
    <pivotField subtotalTop="0" showAll="0" defaultSubtotal="0"/>
    <pivotField showAll="0" defaultSubtotal="0"/>
    <pivotField showAll="0" defaultSubtotal="0"/>
    <pivotField showAll="0" defaultSubtotal="0"/>
    <pivotField showAll="0" defaultSubtotal="0"/>
    <pivotField showAll="0" defaultSubtotal="0"/>
    <pivotField showAll="0" defaultSubtotal="0"/>
    <pivotField showAll="0" countASubtotal="1"/>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dataField="1" showAll="0" defaultSubtotal="0">
      <items count="5">
        <item x="3"/>
        <item x="0"/>
        <item x="2"/>
        <item x="1"/>
        <item x="4"/>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subtotalTop="0" showAll="0" defaultSubtotal="0"/>
    <pivotField showAll="0" defaultSubtotal="0"/>
    <pivotField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1">
    <field x="27"/>
  </rowFields>
  <rowItems count="5">
    <i>
      <x/>
    </i>
    <i>
      <x v="1"/>
    </i>
    <i>
      <x v="2"/>
    </i>
    <i>
      <x v="3"/>
    </i>
    <i>
      <x v="4"/>
    </i>
  </rowItems>
  <colItems count="1">
    <i/>
  </colItems>
  <dataFields count="1">
    <dataField name="Count of I believe that investing in digital assets will yield lower monetary returns compared to traditional investment products (e.g., stocks, gold, and bonds)." fld="27" subtotal="count" baseField="32" baseItem="0"/>
  </dataFields>
  <chartFormats count="1">
    <chartFormat chart="3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0615FB-01B3-4A72-9B3D-4D65FA654417}" name="PivotTable4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5">
  <location ref="A402:B407" firstHeaderRow="1" firstDataRow="1" firstDataCol="1"/>
  <pivotFields count="49">
    <pivotField subtotalTop="0" showAll="0" defaultSubtotal="0"/>
    <pivotField showAll="0" defaultSubtotal="0"/>
    <pivotField showAll="0" defaultSubtotal="0"/>
    <pivotField showAll="0" defaultSubtotal="0"/>
    <pivotField showAll="0" defaultSubtotal="0"/>
    <pivotField showAll="0" defaultSubtotal="0"/>
    <pivotField subtotalTop="0" showAll="0" defaultSubtotal="0"/>
    <pivotField showAll="0" defaultSubtotal="0"/>
    <pivotField showAll="0" defaultSubtotal="0"/>
    <pivotField showAll="0" defaultSubtotal="0"/>
    <pivotField showAll="0" defaultSubtotal="0"/>
    <pivotField showAll="0" defaultSubtotal="0"/>
    <pivotField showAll="0" defaultSubtotal="0"/>
    <pivotField showAll="0" countASubtotal="1"/>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dataField="1" showAll="0" defaultSubtotal="0">
      <items count="5">
        <item x="3"/>
        <item x="2"/>
        <item x="0"/>
        <item x="1"/>
        <item x="4"/>
      </items>
    </pivotField>
    <pivotField showAll="0" defaultSubtotal="0"/>
    <pivotField showAll="0" defaultSubtotal="0"/>
    <pivotField showAll="0" defaultSubtotal="0"/>
    <pivotField subtotalTop="0" showAll="0" defaultSubtotal="0"/>
    <pivotField subtotalTop="0" showAll="0" defaultSubtotal="0"/>
    <pivotField showAll="0" defaultSubtotal="0"/>
    <pivotField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1">
    <field x="32"/>
  </rowFields>
  <rowItems count="5">
    <i>
      <x/>
    </i>
    <i>
      <x v="1"/>
    </i>
    <i>
      <x v="2"/>
    </i>
    <i>
      <x v="3"/>
    </i>
    <i>
      <x v="4"/>
    </i>
  </rowItems>
  <colItems count="1">
    <i/>
  </colItems>
  <dataFields count="1">
    <dataField name="Count of I would not try to explore digital assets when considering investments." fld="32" subtotal="count" baseField="37" baseItem="0"/>
  </dataFields>
  <chartFormats count="1">
    <chartFormat chart="4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F0EBEE-84D7-4DFF-8A86-80DD90A26F33}" name="PivotTable3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6">
  <location ref="A204:B209" firstHeaderRow="1" firstDataRow="1" firstDataCol="1"/>
  <pivotFields count="49">
    <pivotField subtotalTop="0" showAll="0" defaultSubtotal="0"/>
    <pivotField showAll="0" defaultSubtotal="0"/>
    <pivotField showAll="0" defaultSubtotal="0"/>
    <pivotField showAll="0" defaultSubtotal="0"/>
    <pivotField showAll="0" defaultSubtotal="0"/>
    <pivotField showAll="0" defaultSubtotal="0"/>
    <pivotField subtotalTop="0" showAll="0" defaultSubtotal="0"/>
    <pivotField showAll="0" defaultSubtotal="0"/>
    <pivotField showAll="0" defaultSubtotal="0"/>
    <pivotField showAll="0" defaultSubtotal="0"/>
    <pivotField showAll="0" defaultSubtotal="0"/>
    <pivotField showAll="0" defaultSubtotal="0"/>
    <pivotField showAll="0" defaultSubtotal="0"/>
    <pivotField showAll="0" countASubtotal="1"/>
    <pivotField showAll="0" defaultSubtotal="0"/>
    <pivotField showAll="0" defaultSubtotal="0"/>
    <pivotField showAll="0" defaultSubtotal="0"/>
    <pivotField showAll="0" defaultSubtotal="0"/>
    <pivotField showAll="0" defaultSubtotal="0"/>
    <pivotField axis="axisRow" dataField="1" showAll="0" defaultSubtotal="0">
      <items count="5">
        <item x="4"/>
        <item x="1"/>
        <item x="2"/>
        <item x="0"/>
        <item x="3"/>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subtotalTop="0" showAll="0" defaultSubtotal="0"/>
    <pivotField showAll="0" defaultSubtotal="0"/>
    <pivotField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1">
    <field x="19"/>
  </rowFields>
  <rowItems count="5">
    <i>
      <x/>
    </i>
    <i>
      <x v="1"/>
    </i>
    <i>
      <x v="2"/>
    </i>
    <i>
      <x v="3"/>
    </i>
    <i>
      <x v="4"/>
    </i>
  </rowItems>
  <colItems count="1">
    <i/>
  </colItems>
  <dataFields count="1">
    <dataField name="Count of I believe that exploring digital assets would not improve my daily life (such as improving financial services)." fld="19" subtotal="count" baseField="24" baseItem="0"/>
  </dataFields>
  <chartFormats count="1">
    <chartFormat chart="2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7F4629-20F6-4F62-91D0-FB23172C9700}" name="PivotTable2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143:B148" firstHeaderRow="1" firstDataRow="1" firstDataCol="1"/>
  <pivotFields count="49">
    <pivotField subtotalTop="0" showAll="0" defaultSubtotal="0"/>
    <pivotField showAll="0" defaultSubtotal="0"/>
    <pivotField showAll="0" defaultSubtotal="0"/>
    <pivotField showAll="0" defaultSubtotal="0"/>
    <pivotField showAll="0" defaultSubtotal="0"/>
    <pivotField showAll="0" defaultSubtotal="0"/>
    <pivotField subtotalTop="0" showAll="0" defaultSubtotal="0"/>
    <pivotField showAll="0" defaultSubtotal="0"/>
    <pivotField showAll="0" defaultSubtotal="0"/>
    <pivotField showAll="0" defaultSubtotal="0"/>
    <pivotField showAll="0" defaultSubtotal="0"/>
    <pivotField showAll="0" defaultSubtotal="0"/>
    <pivotField showAll="0" defaultSubtotal="0"/>
    <pivotField showAll="0" countASubtotal="1"/>
    <pivotField showAll="0" defaultSubtotal="0"/>
    <pivotField axis="axisRow" dataField="1" showAll="0" defaultSubtotal="0">
      <items count="5">
        <item x="4"/>
        <item x="3"/>
        <item x="0"/>
        <item x="1"/>
        <item x="2"/>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subtotalTop="0" showAll="0" defaultSubtotal="0"/>
    <pivotField showAll="0" defaultSubtotal="0"/>
    <pivotField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1">
    <field x="15"/>
  </rowFields>
  <rowItems count="5">
    <i>
      <x/>
    </i>
    <i>
      <x v="1"/>
    </i>
    <i>
      <x v="2"/>
    </i>
    <i>
      <x v="3"/>
    </i>
    <i>
      <x v="4"/>
    </i>
  </rowItems>
  <colItems count="1">
    <i/>
  </colItems>
  <dataFields count="1">
    <dataField name="Count of Compared to traditional payment methods like Visa, Mastercard, Alipay, or PayMe, the use of digital assets for transactions is currently limited." fld="15" subtotal="count" baseField="20" baseItem="0"/>
  </dataFields>
  <chartFormats count="1">
    <chartFormat chart="1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699473-3FC4-4FB1-B265-5B2CF7112DC1}" name="PivotTable4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3">
  <location ref="A371:B376" firstHeaderRow="1" firstDataRow="1" firstDataCol="1"/>
  <pivotFields count="49">
    <pivotField subtotalTop="0" showAll="0" defaultSubtotal="0"/>
    <pivotField showAll="0" defaultSubtotal="0"/>
    <pivotField showAll="0" defaultSubtotal="0"/>
    <pivotField showAll="0" defaultSubtotal="0"/>
    <pivotField showAll="0" defaultSubtotal="0"/>
    <pivotField showAll="0" defaultSubtotal="0"/>
    <pivotField subtotalTop="0" showAll="0" defaultSubtotal="0"/>
    <pivotField showAll="0" defaultSubtotal="0"/>
    <pivotField showAll="0" defaultSubtotal="0"/>
    <pivotField showAll="0" defaultSubtotal="0"/>
    <pivotField showAll="0" defaultSubtotal="0"/>
    <pivotField showAll="0" defaultSubtotal="0"/>
    <pivotField showAll="0" defaultSubtotal="0"/>
    <pivotField showAll="0" countASubtotal="1"/>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dataField="1" showAll="0" defaultSubtotal="0">
      <items count="5">
        <item x="3"/>
        <item x="2"/>
        <item x="0"/>
        <item x="1"/>
        <item x="4"/>
      </items>
    </pivotField>
    <pivotField showAll="0" defaultSubtotal="0"/>
    <pivotField showAll="0" defaultSubtotal="0"/>
    <pivotField showAll="0" defaultSubtotal="0"/>
    <pivotField showAll="0" defaultSubtotal="0"/>
    <pivotField showAll="0" defaultSubtotal="0"/>
    <pivotField subtotalTop="0" showAll="0" defaultSubtotal="0"/>
    <pivotField subtotalTop="0" showAll="0" defaultSubtotal="0"/>
    <pivotField showAll="0" defaultSubtotal="0"/>
    <pivotField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1">
    <field x="30"/>
  </rowFields>
  <rowItems count="5">
    <i>
      <x/>
    </i>
    <i>
      <x v="1"/>
    </i>
    <i>
      <x v="2"/>
    </i>
    <i>
      <x v="3"/>
    </i>
    <i>
      <x v="4"/>
    </i>
  </rowItems>
  <colItems count="1">
    <i/>
  </colItems>
  <dataFields count="1">
    <dataField name="Count of I believe that people who explore digital assets are often viewed negatively (e.g., &quot;nerds&quot;, “gamblers”)." fld="30" subtotal="count" baseField="35" baseItem="0"/>
  </dataFields>
  <chartFormats count="1">
    <chartFormat chart="4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CFF4F95-DD0D-4E95-9F71-79E3B14A6A43}" name="PivotTable3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7">
  <location ref="A280:B285" firstHeaderRow="1" firstDataRow="1" firstDataCol="1"/>
  <pivotFields count="49">
    <pivotField subtotalTop="0" showAll="0" defaultSubtotal="0"/>
    <pivotField showAll="0" defaultSubtotal="0"/>
    <pivotField showAll="0" defaultSubtotal="0"/>
    <pivotField showAll="0" defaultSubtotal="0"/>
    <pivotField showAll="0" defaultSubtotal="0"/>
    <pivotField showAll="0" defaultSubtotal="0"/>
    <pivotField subtotalTop="0" showAll="0" defaultSubtotal="0"/>
    <pivotField showAll="0" defaultSubtotal="0"/>
    <pivotField showAll="0" defaultSubtotal="0"/>
    <pivotField showAll="0" defaultSubtotal="0"/>
    <pivotField showAll="0" defaultSubtotal="0"/>
    <pivotField showAll="0" defaultSubtotal="0"/>
    <pivotField showAll="0" defaultSubtotal="0"/>
    <pivotField showAll="0" countASubtotal="1"/>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dataField="1" showAll="0" defaultSubtotal="0">
      <items count="5">
        <item x="4"/>
        <item x="3"/>
        <item x="2"/>
        <item x="1"/>
        <item x="0"/>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subtotalTop="0" showAll="0" defaultSubtotal="0"/>
    <pivotField showAll="0" defaultSubtotal="0"/>
    <pivotField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1">
    <field x="24"/>
  </rowFields>
  <rowItems count="5">
    <i>
      <x/>
    </i>
    <i>
      <x v="1"/>
    </i>
    <i>
      <x v="2"/>
    </i>
    <i>
      <x v="3"/>
    </i>
    <i>
      <x v="4"/>
    </i>
  </rowItems>
  <colItems count="1">
    <i/>
  </colItems>
  <dataFields count="1">
    <dataField name="Count of I fear that my digital assets could be accessed and stolen by unauthorized parties." fld="24" subtotal="count" baseField="29" baseItem="0"/>
  </dataFields>
  <chartFormats count="1">
    <chartFormat chart="3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68AF7D-14CC-46E9-9C60-03FF45414D8E}"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46:B55" firstHeaderRow="1" firstDataRow="1" firstDataCol="1"/>
  <pivotFields count="49">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9">
        <item x="2"/>
        <item x="3"/>
        <item x="1"/>
        <item x="4"/>
        <item x="5"/>
        <item x="7"/>
        <item x="8"/>
        <item x="0"/>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9"/>
  </rowFields>
  <rowItems count="9">
    <i>
      <x/>
    </i>
    <i>
      <x v="1"/>
    </i>
    <i>
      <x v="2"/>
    </i>
    <i>
      <x v="3"/>
    </i>
    <i>
      <x v="4"/>
    </i>
    <i>
      <x v="5"/>
    </i>
    <i>
      <x v="6"/>
    </i>
    <i>
      <x v="7"/>
    </i>
    <i>
      <x v="8"/>
    </i>
  </rowItems>
  <colItems count="1">
    <i/>
  </colItems>
  <dataFields count="1">
    <dataField name="Count of What is your monthly income (in HKD)?" fld="9" subtotal="count"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780998F-F6ED-4B15-9DB6-3596E82672AA}" name="PivotTable2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113:B118" firstHeaderRow="1" firstDataRow="1" firstDataCol="1"/>
  <pivotFields count="49">
    <pivotField subtotalTop="0" showAll="0" defaultSubtotal="0"/>
    <pivotField showAll="0" defaultSubtotal="0"/>
    <pivotField showAll="0" defaultSubtotal="0"/>
    <pivotField showAll="0" defaultSubtotal="0"/>
    <pivotField showAll="0" defaultSubtotal="0"/>
    <pivotField showAll="0" defaultSubtotal="0"/>
    <pivotField subtotalTop="0" showAll="0" defaultSubtotal="0"/>
    <pivotField showAll="0" defaultSubtotal="0"/>
    <pivotField showAll="0" defaultSubtotal="0"/>
    <pivotField showAll="0" defaultSubtotal="0"/>
    <pivotField showAll="0" defaultSubtotal="0"/>
    <pivotField showAll="0" defaultSubtotal="0"/>
    <pivotField showAll="0" defaultSubtotal="0"/>
    <pivotField axis="axisRow" dataField="1" showAll="0" countASubtotal="1">
      <items count="6">
        <item x="3"/>
        <item x="2"/>
        <item x="1"/>
        <item x="0"/>
        <item x="4"/>
        <item t="countA"/>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subtotalTop="0" showAll="0" defaultSubtotal="0"/>
    <pivotField showAll="0" defaultSubtotal="0"/>
    <pivotField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1">
    <field x="13"/>
  </rowFields>
  <rowItems count="5">
    <i>
      <x/>
    </i>
    <i>
      <x v="1"/>
    </i>
    <i>
      <x v="2"/>
    </i>
    <i>
      <x v="3"/>
    </i>
    <i>
      <x v="4"/>
    </i>
  </rowItems>
  <colItems count="1">
    <i/>
  </colItems>
  <dataFields count="1">
    <dataField name="Count of The mechanism of digital assets is difficult to understand, which discourages me from exploring it (E.g, Tokenization, Blockchain)" fld="13" subtotal="count" baseField="18"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EDDC2C3-E38D-4722-AB6E-6B65172DC585}" name="PivotTable4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4">
  <location ref="A386:B391" firstHeaderRow="1" firstDataRow="1" firstDataCol="1"/>
  <pivotFields count="49">
    <pivotField subtotalTop="0" showAll="0" defaultSubtotal="0"/>
    <pivotField showAll="0" defaultSubtotal="0"/>
    <pivotField showAll="0" defaultSubtotal="0"/>
    <pivotField showAll="0" defaultSubtotal="0"/>
    <pivotField showAll="0" defaultSubtotal="0"/>
    <pivotField showAll="0" defaultSubtotal="0"/>
    <pivotField subtotalTop="0" showAll="0" defaultSubtotal="0"/>
    <pivotField showAll="0" defaultSubtotal="0"/>
    <pivotField showAll="0" defaultSubtotal="0"/>
    <pivotField showAll="0" defaultSubtotal="0"/>
    <pivotField showAll="0" defaultSubtotal="0"/>
    <pivotField showAll="0" defaultSubtotal="0"/>
    <pivotField showAll="0" defaultSubtotal="0"/>
    <pivotField showAll="0" countASubtotal="1"/>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dataField="1" showAll="0" defaultSubtotal="0">
      <items count="5">
        <item x="3"/>
        <item x="1"/>
        <item x="0"/>
        <item x="2"/>
        <item x="4"/>
      </items>
    </pivotField>
    <pivotField showAll="0" defaultSubtotal="0"/>
    <pivotField showAll="0" defaultSubtotal="0"/>
    <pivotField showAll="0" defaultSubtotal="0"/>
    <pivotField showAll="0" defaultSubtotal="0"/>
    <pivotField subtotalTop="0" showAll="0" defaultSubtotal="0"/>
    <pivotField subtotalTop="0" showAll="0" defaultSubtotal="0"/>
    <pivotField showAll="0" defaultSubtotal="0"/>
    <pivotField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1">
    <field x="31"/>
  </rowFields>
  <rowItems count="5">
    <i>
      <x/>
    </i>
    <i>
      <x v="1"/>
    </i>
    <i>
      <x v="2"/>
    </i>
    <i>
      <x v="3"/>
    </i>
    <i>
      <x v="4"/>
    </i>
  </rowItems>
  <colItems count="1">
    <i/>
  </colItems>
  <dataFields count="1">
    <dataField name="Count of I am interested in exploring digital assets." fld="31" subtotal="count" baseField="36" baseItem="0"/>
  </dataFields>
  <chartFormats count="1">
    <chartFormat chart="4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68E46E7-021C-488C-B7E2-741EB366322A}" name="PivotTable5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23:B29" firstHeaderRow="1" firstDataRow="1" firstDataCol="1"/>
  <pivotFields count="49">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6">
        <item x="3"/>
        <item x="0"/>
        <item x="4"/>
        <item x="1"/>
        <item x="5"/>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8"/>
  </rowFields>
  <rowItems count="6">
    <i>
      <x/>
    </i>
    <i>
      <x v="1"/>
    </i>
    <i>
      <x v="2"/>
    </i>
    <i>
      <x v="3"/>
    </i>
    <i>
      <x v="4"/>
    </i>
    <i>
      <x v="5"/>
    </i>
  </rowItems>
  <colItems count="1">
    <i/>
  </colItems>
  <dataFields count="1">
    <dataField name="Count of Please select the highest level of education you have completed or are currently pursuing_x000a_" fld="8" subtotal="count" baseField="0" baseItem="0"/>
  </dataFields>
  <chartFormats count="7">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8" count="1" selected="0">
            <x v="0"/>
          </reference>
        </references>
      </pivotArea>
    </chartFormat>
    <chartFormat chart="3" format="17">
      <pivotArea type="data" outline="0" fieldPosition="0">
        <references count="2">
          <reference field="4294967294" count="1" selected="0">
            <x v="0"/>
          </reference>
          <reference field="8" count="1" selected="0">
            <x v="1"/>
          </reference>
        </references>
      </pivotArea>
    </chartFormat>
    <chartFormat chart="3" format="18">
      <pivotArea type="data" outline="0" fieldPosition="0">
        <references count="2">
          <reference field="4294967294" count="1" selected="0">
            <x v="0"/>
          </reference>
          <reference field="8" count="1" selected="0">
            <x v="2"/>
          </reference>
        </references>
      </pivotArea>
    </chartFormat>
    <chartFormat chart="3" format="19">
      <pivotArea type="data" outline="0" fieldPosition="0">
        <references count="2">
          <reference field="4294967294" count="1" selected="0">
            <x v="0"/>
          </reference>
          <reference field="8" count="1" selected="0">
            <x v="3"/>
          </reference>
        </references>
      </pivotArea>
    </chartFormat>
    <chartFormat chart="3" format="20">
      <pivotArea type="data" outline="0" fieldPosition="0">
        <references count="2">
          <reference field="4294967294" count="1" selected="0">
            <x v="0"/>
          </reference>
          <reference field="8" count="1" selected="0">
            <x v="4"/>
          </reference>
        </references>
      </pivotArea>
    </chartFormat>
    <chartFormat chart="3" format="21">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7EBF1DF-FB86-45F1-9084-D9D0921FEF41}" name="PivotTable3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6">
  <location ref="A265:B270" firstHeaderRow="1" firstDataRow="1" firstDataCol="1"/>
  <pivotFields count="49">
    <pivotField subtotalTop="0" showAll="0" defaultSubtotal="0"/>
    <pivotField showAll="0" defaultSubtotal="0"/>
    <pivotField showAll="0" defaultSubtotal="0"/>
    <pivotField showAll="0" defaultSubtotal="0"/>
    <pivotField showAll="0" defaultSubtotal="0"/>
    <pivotField showAll="0" defaultSubtotal="0"/>
    <pivotField subtotalTop="0" showAll="0" defaultSubtotal="0"/>
    <pivotField showAll="0" defaultSubtotal="0"/>
    <pivotField showAll="0" defaultSubtotal="0"/>
    <pivotField showAll="0" defaultSubtotal="0"/>
    <pivotField showAll="0" defaultSubtotal="0"/>
    <pivotField showAll="0" defaultSubtotal="0"/>
    <pivotField showAll="0" defaultSubtotal="0"/>
    <pivotField showAll="0" countASubtotal="1"/>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dataField="1" showAll="0" defaultSubtotal="0">
      <items count="5">
        <item x="4"/>
        <item x="3"/>
        <item x="0"/>
        <item x="1"/>
        <item x="2"/>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subtotalTop="0" showAll="0" defaultSubtotal="0"/>
    <pivotField showAll="0" defaultSubtotal="0"/>
    <pivotField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1">
    <field x="23"/>
  </rowFields>
  <rowItems count="5">
    <i>
      <x/>
    </i>
    <i>
      <x v="1"/>
    </i>
    <i>
      <x v="2"/>
    </i>
    <i>
      <x v="3"/>
    </i>
    <i>
      <x v="4"/>
    </i>
  </rowItems>
  <colItems count="1">
    <i/>
  </colItems>
  <dataFields count="1">
    <dataField name="Count of I believe that digital asset apps are often linked to scams (e.g., JPEX)." fld="23" subtotal="count" baseField="28" baseItem="0"/>
  </dataFields>
  <chartFormats count="1">
    <chartFormat chart="3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459FE55-42ED-4CE2-8A40-CB071035BDBC}" name="PivotTable3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5">
  <location ref="A250:B255" firstHeaderRow="1" firstDataRow="1" firstDataCol="1"/>
  <pivotFields count="49">
    <pivotField subtotalTop="0" showAll="0" defaultSubtotal="0"/>
    <pivotField showAll="0" defaultSubtotal="0"/>
    <pivotField showAll="0" defaultSubtotal="0"/>
    <pivotField showAll="0" defaultSubtotal="0"/>
    <pivotField showAll="0" defaultSubtotal="0"/>
    <pivotField showAll="0" defaultSubtotal="0"/>
    <pivotField subtotalTop="0" showAll="0" defaultSubtotal="0"/>
    <pivotField showAll="0" defaultSubtotal="0"/>
    <pivotField showAll="0" defaultSubtotal="0"/>
    <pivotField showAll="0" defaultSubtotal="0"/>
    <pivotField showAll="0" defaultSubtotal="0"/>
    <pivotField showAll="0" defaultSubtotal="0"/>
    <pivotField showAll="0" defaultSubtotal="0"/>
    <pivotField showAll="0" countASubtotal="1"/>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dataField="1" showAll="0" defaultSubtotal="0">
      <items count="5">
        <item x="4"/>
        <item x="3"/>
        <item x="2"/>
        <item x="1"/>
        <item x="0"/>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subtotalTop="0" showAll="0" defaultSubtotal="0"/>
    <pivotField showAll="0" defaultSubtotal="0"/>
    <pivotField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1">
    <field x="22"/>
  </rowFields>
  <rowItems count="5">
    <i>
      <x/>
    </i>
    <i>
      <x v="1"/>
    </i>
    <i>
      <x v="2"/>
    </i>
    <i>
      <x v="3"/>
    </i>
    <i>
      <x v="4"/>
    </i>
  </rowItems>
  <colItems count="1">
    <i/>
  </colItems>
  <dataFields count="1">
    <dataField name="Count of I am worried about accidentally sending digital assets to the wrong person and not being able to recover them." fld="22" subtotal="count" baseField="27" baseItem="0"/>
  </dataFields>
  <chartFormats count="1">
    <chartFormat chart="3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537FAA6-B9E6-44CC-894E-D21FA1CC0144}" name="PivotTable4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6">
  <location ref="A418:B423" firstHeaderRow="1" firstDataRow="1" firstDataCol="1"/>
  <pivotFields count="49">
    <pivotField subtotalTop="0" showAll="0" defaultSubtotal="0"/>
    <pivotField showAll="0" defaultSubtotal="0"/>
    <pivotField showAll="0" defaultSubtotal="0"/>
    <pivotField showAll="0" defaultSubtotal="0"/>
    <pivotField showAll="0" defaultSubtotal="0"/>
    <pivotField showAll="0" defaultSubtotal="0"/>
    <pivotField subtotalTop="0" showAll="0" defaultSubtotal="0"/>
    <pivotField showAll="0" defaultSubtotal="0"/>
    <pivotField showAll="0" defaultSubtotal="0"/>
    <pivotField showAll="0" defaultSubtotal="0"/>
    <pivotField showAll="0" defaultSubtotal="0"/>
    <pivotField showAll="0" defaultSubtotal="0"/>
    <pivotField showAll="0" defaultSubtotal="0"/>
    <pivotField showAll="0" countASubtotal="1"/>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dataField="1" showAll="0" defaultSubtotal="0">
      <items count="5">
        <item x="4"/>
        <item x="1"/>
        <item x="0"/>
        <item x="2"/>
        <item x="3"/>
      </items>
    </pivotField>
    <pivotField showAll="0" defaultSubtotal="0"/>
    <pivotField showAll="0" defaultSubtotal="0"/>
    <pivotField subtotalTop="0" showAll="0" defaultSubtotal="0"/>
    <pivotField subtotalTop="0" showAll="0" defaultSubtotal="0"/>
    <pivotField showAll="0" defaultSubtotal="0"/>
    <pivotField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1">
    <field x="33"/>
  </rowFields>
  <rowItems count="5">
    <i>
      <x/>
    </i>
    <i>
      <x v="1"/>
    </i>
    <i>
      <x v="2"/>
    </i>
    <i>
      <x v="3"/>
    </i>
    <i>
      <x v="4"/>
    </i>
  </rowItems>
  <colItems count="1">
    <i/>
  </colItems>
  <dataFields count="1">
    <dataField name="Count of If I want to try different ways to invest, I will explore digital assets." fld="33" subtotal="count" baseField="38" baseItem="0"/>
  </dataFields>
  <chartFormats count="1">
    <chartFormat chart="4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004EC83-490B-4463-927D-07C71D3E302A}" name="PivotTable3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9">
  <location ref="A310:B315" firstHeaderRow="1" firstDataRow="1" firstDataCol="1"/>
  <pivotFields count="49">
    <pivotField subtotalTop="0" showAll="0" defaultSubtotal="0"/>
    <pivotField showAll="0" defaultSubtotal="0"/>
    <pivotField showAll="0" defaultSubtotal="0"/>
    <pivotField showAll="0" defaultSubtotal="0"/>
    <pivotField showAll="0" defaultSubtotal="0"/>
    <pivotField showAll="0" defaultSubtotal="0"/>
    <pivotField subtotalTop="0" showAll="0" defaultSubtotal="0"/>
    <pivotField showAll="0" defaultSubtotal="0"/>
    <pivotField showAll="0" defaultSubtotal="0"/>
    <pivotField showAll="0" defaultSubtotal="0"/>
    <pivotField showAll="0" defaultSubtotal="0"/>
    <pivotField showAll="0" defaultSubtotal="0"/>
    <pivotField showAll="0" defaultSubtotal="0"/>
    <pivotField showAll="0" countASubtotal="1"/>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dataField="1" showAll="0" defaultSubtotal="0">
      <items count="5">
        <item x="4"/>
        <item x="2"/>
        <item x="1"/>
        <item x="0"/>
        <item x="3"/>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subtotalTop="0" showAll="0" defaultSubtotal="0"/>
    <pivotField showAll="0" defaultSubtotal="0"/>
    <pivotField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1">
    <field x="26"/>
  </rowFields>
  <rowItems count="5">
    <i>
      <x/>
    </i>
    <i>
      <x v="1"/>
    </i>
    <i>
      <x v="2"/>
    </i>
    <i>
      <x v="3"/>
    </i>
    <i>
      <x v="4"/>
    </i>
  </rowItems>
  <colItems count="1">
    <i/>
  </colItems>
  <dataFields count="1">
    <dataField name="Count of Since many investors use leverage, digital assets may carry high systematic risks and operate in a relatively bad market environment compared to other financial markets. This discourages me from p..." fld="26" subtotal="count" baseField="31" baseItem="0"/>
  </dataFields>
  <chartFormats count="1">
    <chartFormat chart="3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8B7B3C3-B282-4FD2-B366-9DFCEF12AC54}" name="PivotTable3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8">
  <location ref="A295:B300" firstHeaderRow="1" firstDataRow="1" firstDataCol="1"/>
  <pivotFields count="49">
    <pivotField subtotalTop="0" showAll="0" defaultSubtotal="0"/>
    <pivotField showAll="0" defaultSubtotal="0"/>
    <pivotField showAll="0" defaultSubtotal="0"/>
    <pivotField showAll="0" defaultSubtotal="0"/>
    <pivotField showAll="0" defaultSubtotal="0"/>
    <pivotField showAll="0" defaultSubtotal="0"/>
    <pivotField subtotalTop="0" showAll="0" defaultSubtotal="0"/>
    <pivotField showAll="0" defaultSubtotal="0"/>
    <pivotField showAll="0" defaultSubtotal="0"/>
    <pivotField showAll="0" defaultSubtotal="0"/>
    <pivotField showAll="0" defaultSubtotal="0"/>
    <pivotField showAll="0" defaultSubtotal="0"/>
    <pivotField showAll="0" defaultSubtotal="0"/>
    <pivotField showAll="0" countASubtotal="1"/>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dataField="1" showAll="0" defaultSubtotal="0">
      <items count="5">
        <item x="4"/>
        <item x="3"/>
        <item x="1"/>
        <item x="0"/>
        <item x="2"/>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subtotalTop="0" showAll="0" defaultSubtotal="0"/>
    <pivotField showAll="0" defaultSubtotal="0"/>
    <pivotField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1">
    <field x="25"/>
  </rowFields>
  <rowItems count="5">
    <i>
      <x/>
    </i>
    <i>
      <x v="1"/>
    </i>
    <i>
      <x v="2"/>
    </i>
    <i>
      <x v="3"/>
    </i>
    <i>
      <x v="4"/>
    </i>
  </rowItems>
  <colItems count="1">
    <i/>
  </colItems>
  <dataFields count="1">
    <dataField name="Count of I believe that purchasing digital assets must involve high investment risks." fld="25" subtotal="count" baseField="30" baseItem="0"/>
  </dataFields>
  <chartFormats count="1">
    <chartFormat chart="3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6AE134C-0839-4AB5-94C3-2A426705E57A}" name="PivotTable4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2">
  <location ref="A356:B361" firstHeaderRow="1" firstDataRow="1" firstDataCol="1"/>
  <pivotFields count="49">
    <pivotField subtotalTop="0" showAll="0" defaultSubtotal="0"/>
    <pivotField showAll="0" defaultSubtotal="0"/>
    <pivotField showAll="0" defaultSubtotal="0"/>
    <pivotField showAll="0" defaultSubtotal="0"/>
    <pivotField showAll="0" defaultSubtotal="0"/>
    <pivotField showAll="0" defaultSubtotal="0"/>
    <pivotField subtotalTop="0" showAll="0" defaultSubtotal="0"/>
    <pivotField showAll="0" defaultSubtotal="0"/>
    <pivotField showAll="0" defaultSubtotal="0"/>
    <pivotField showAll="0" defaultSubtotal="0"/>
    <pivotField showAll="0" defaultSubtotal="0"/>
    <pivotField showAll="0" defaultSubtotal="0"/>
    <pivotField showAll="0" defaultSubtotal="0"/>
    <pivotField showAll="0" countASubtotal="1"/>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dataField="1" showAll="0" defaultSubtotal="0">
      <items count="5">
        <item x="4"/>
        <item x="2"/>
        <item x="1"/>
        <item x="0"/>
        <item x="3"/>
      </items>
    </pivotField>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subtotalTop="0" showAll="0" defaultSubtotal="0"/>
    <pivotField showAll="0" defaultSubtotal="0"/>
    <pivotField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1">
    <field x="29"/>
  </rowFields>
  <rowItems count="5">
    <i>
      <x/>
    </i>
    <i>
      <x v="1"/>
    </i>
    <i>
      <x v="2"/>
    </i>
    <i>
      <x v="3"/>
    </i>
    <i>
      <x v="4"/>
    </i>
  </rowItems>
  <colItems count="1">
    <i/>
  </colItems>
  <dataFields count="1">
    <dataField name="Count of I believe digital assets feel like a fad—trendy for a short time but quickly fading away as people's interest diminishes (E.g., NFT, $Melania)." fld="29" subtotal="count" baseField="34" baseItem="0"/>
  </dataFields>
  <chartFormats count="1">
    <chartFormat chart="4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A9A7E21-1BFD-4F30-BB3D-4BFAF370F52F}" name="PivotTable4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1">
  <location ref="A341:B346" firstHeaderRow="1" firstDataRow="1" firstDataCol="1"/>
  <pivotFields count="49">
    <pivotField subtotalTop="0" showAll="0" defaultSubtotal="0"/>
    <pivotField showAll="0" defaultSubtotal="0"/>
    <pivotField showAll="0" defaultSubtotal="0"/>
    <pivotField showAll="0" defaultSubtotal="0"/>
    <pivotField showAll="0" defaultSubtotal="0"/>
    <pivotField showAll="0" defaultSubtotal="0"/>
    <pivotField subtotalTop="0" showAll="0" defaultSubtotal="0"/>
    <pivotField showAll="0" defaultSubtotal="0"/>
    <pivotField showAll="0" defaultSubtotal="0"/>
    <pivotField showAll="0" defaultSubtotal="0"/>
    <pivotField showAll="0" defaultSubtotal="0"/>
    <pivotField showAll="0" defaultSubtotal="0"/>
    <pivotField showAll="0" defaultSubtotal="0"/>
    <pivotField showAll="0" countASubtotal="1"/>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dataField="1" showAll="0" defaultSubtotal="0">
      <items count="5">
        <item x="4"/>
        <item x="3"/>
        <item x="2"/>
        <item x="1"/>
        <item x="0"/>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subtotalTop="0" showAll="0" defaultSubtotal="0"/>
    <pivotField showAll="0" defaultSubtotal="0"/>
    <pivotField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1">
    <field x="28"/>
  </rowFields>
  <rowItems count="5">
    <i>
      <x/>
    </i>
    <i>
      <x v="1"/>
    </i>
    <i>
      <x v="2"/>
    </i>
    <i>
      <x v="3"/>
    </i>
    <i>
      <x v="4"/>
    </i>
  </rowItems>
  <colItems count="1">
    <i/>
  </colItems>
  <dataFields count="1">
    <dataField name="Count of The current investment products (e.g., stocks and bonds) are already sufficient for me; it is not necessary to explore digital assets." fld="28" subtotal="count" baseField="33" baseItem="0"/>
  </dataFields>
  <chartFormats count="1">
    <chartFormat chart="4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4027DF8-1294-475E-9655-2BF077340736}" name="PivotTable4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1">
  <location ref="A1:B4" firstHeaderRow="1" firstDataRow="1" firstDataCol="1"/>
  <pivotFields count="49">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dataField="1"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7"/>
  </rowFields>
  <rowItems count="3">
    <i>
      <x/>
    </i>
    <i>
      <x v="1"/>
    </i>
    <i>
      <x v="2"/>
    </i>
  </rowItems>
  <colItems count="1">
    <i/>
  </colItems>
  <dataFields count="1">
    <dataField name="Count of What is your gender?" fld="7" subtotal="count" baseField="0" baseItem="0"/>
  </dataFields>
  <chartFormats count="5">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7" count="1" selected="0">
            <x v="0"/>
          </reference>
        </references>
      </pivotArea>
    </chartFormat>
    <chartFormat chart="10" format="6">
      <pivotArea type="data" outline="0" fieldPosition="0">
        <references count="2">
          <reference field="4294967294" count="1" selected="0">
            <x v="0"/>
          </reference>
          <reference field="7" count="1" selected="0">
            <x v="1"/>
          </reference>
        </references>
      </pivotArea>
    </chartFormat>
    <chartFormat chart="10" format="7">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AC13CAD-5E88-47C1-9F95-6481F7AB47EE}" name="PivotTable3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174:B179" firstHeaderRow="1" firstDataRow="1" firstDataCol="1"/>
  <pivotFields count="49">
    <pivotField subtotalTop="0" showAll="0" defaultSubtotal="0"/>
    <pivotField showAll="0" defaultSubtotal="0"/>
    <pivotField showAll="0" defaultSubtotal="0"/>
    <pivotField showAll="0" defaultSubtotal="0"/>
    <pivotField showAll="0" defaultSubtotal="0"/>
    <pivotField showAll="0" defaultSubtotal="0"/>
    <pivotField subtotalTop="0" showAll="0" defaultSubtotal="0"/>
    <pivotField showAll="0" defaultSubtotal="0"/>
    <pivotField showAll="0" defaultSubtotal="0"/>
    <pivotField showAll="0" defaultSubtotal="0"/>
    <pivotField showAll="0" defaultSubtotal="0"/>
    <pivotField showAll="0" defaultSubtotal="0"/>
    <pivotField showAll="0" defaultSubtotal="0"/>
    <pivotField showAll="0" countASubtotal="1"/>
    <pivotField showAll="0" defaultSubtotal="0"/>
    <pivotField showAll="0" defaultSubtotal="0"/>
    <pivotField showAll="0" defaultSubtotal="0"/>
    <pivotField axis="axisRow" dataField="1" showAll="0" defaultSubtotal="0">
      <items count="5">
        <item x="4"/>
        <item x="2"/>
        <item x="1"/>
        <item x="0"/>
        <item x="3"/>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subtotalTop="0" showAll="0" defaultSubtotal="0"/>
    <pivotField showAll="0" defaultSubtotal="0"/>
    <pivotField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1">
    <field x="17"/>
  </rowFields>
  <rowItems count="5">
    <i>
      <x/>
    </i>
    <i>
      <x v="1"/>
    </i>
    <i>
      <x v="2"/>
    </i>
    <i>
      <x v="3"/>
    </i>
    <i>
      <x v="4"/>
    </i>
  </rowItems>
  <colItems count="1">
    <i/>
  </colItems>
  <dataFields count="1">
    <dataField name="Count of I am concerned about the lengthy duration of a complete transaction involving digital assets." fld="17" subtotal="count" baseField="22" baseItem="0"/>
  </dataFields>
  <chartFormats count="1">
    <chartFormat chart="1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101071B-E0A8-4691-9421-0E23644F0073}"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65:B74" firstHeaderRow="1" firstDataRow="1" firstDataCol="1"/>
  <pivotFields count="49">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10">
        <item x="0"/>
        <item x="4"/>
        <item x="3"/>
        <item x="6"/>
        <item x="7"/>
        <item x="8"/>
        <item x="2"/>
        <item x="5"/>
        <item x="1"/>
        <item m="1"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10"/>
  </rowFields>
  <rowItems count="9">
    <i>
      <x/>
    </i>
    <i>
      <x v="1"/>
    </i>
    <i>
      <x v="2"/>
    </i>
    <i>
      <x v="3"/>
    </i>
    <i>
      <x v="4"/>
    </i>
    <i>
      <x v="5"/>
    </i>
    <i>
      <x v="6"/>
    </i>
    <i>
      <x v="7"/>
    </i>
    <i>
      <x v="8"/>
    </i>
  </rowItems>
  <colItems count="1">
    <i/>
  </colItems>
  <dataFields count="1">
    <dataField name="Count of How much do you currently invest in financial products? (E.g., stock, bond)" fld="1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F7C7049-C2AA-456D-AA79-D54B7CC630EE}" name="PivotTable3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1">
  <location ref="A219:B224" firstHeaderRow="1" firstDataRow="1" firstDataCol="1"/>
  <pivotFields count="49">
    <pivotField subtotalTop="0" showAll="0" defaultSubtotal="0"/>
    <pivotField showAll="0" defaultSubtotal="0"/>
    <pivotField showAll="0" defaultSubtotal="0"/>
    <pivotField showAll="0" defaultSubtotal="0"/>
    <pivotField showAll="0" defaultSubtotal="0"/>
    <pivotField showAll="0" defaultSubtotal="0"/>
    <pivotField subtotalTop="0" showAll="0" defaultSubtotal="0"/>
    <pivotField showAll="0" defaultSubtotal="0"/>
    <pivotField showAll="0" defaultSubtotal="0"/>
    <pivotField showAll="0" defaultSubtotal="0"/>
    <pivotField showAll="0" defaultSubtotal="0"/>
    <pivotField showAll="0" defaultSubtotal="0"/>
    <pivotField showAll="0" defaultSubtotal="0"/>
    <pivotField showAll="0" countASubtotal="1"/>
    <pivotField showAll="0" defaultSubtotal="0"/>
    <pivotField showAll="0" defaultSubtotal="0"/>
    <pivotField showAll="0" defaultSubtotal="0"/>
    <pivotField showAll="0" defaultSubtotal="0"/>
    <pivotField showAll="0" defaultSubtotal="0"/>
    <pivotField showAll="0" defaultSubtotal="0"/>
    <pivotField axis="axisRow" dataField="1" showAll="0" defaultSubtotal="0">
      <items count="5">
        <item x="3"/>
        <item x="4"/>
        <item x="2"/>
        <item x="1"/>
        <item x="0"/>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subtotalTop="0" showAll="0" defaultSubtotal="0"/>
    <pivotField showAll="0" defaultSubtotal="0"/>
    <pivotField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1">
    <field x="20"/>
  </rowFields>
  <rowItems count="5">
    <i>
      <x/>
    </i>
    <i>
      <x v="1"/>
    </i>
    <i>
      <x v="2"/>
    </i>
    <i>
      <x v="3"/>
    </i>
    <i>
      <x v="4"/>
    </i>
  </rowItems>
  <colItems count="1">
    <i/>
  </colItems>
  <dataFields count="1">
    <dataField name="Count of I prefer managing my money with traditional bank accounts and cash rather than trying new digital asset applications." fld="20" subtotal="count" baseField="25" baseItem="0"/>
  </dataFields>
  <chartFormats count="1">
    <chartFormat chart="3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9BE8A64E-C33D-4B26-93A0-0AB01F046C95}" name="PivotTable2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98:B100" firstHeaderRow="1" firstDataRow="1" firstDataCol="1"/>
  <pivotFields count="49">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12"/>
  </rowFields>
  <rowItems count="2">
    <i>
      <x/>
    </i>
    <i>
      <x v="1"/>
    </i>
  </rowItems>
  <colItems count="1">
    <i/>
  </colItems>
  <dataFields count="1">
    <dataField name="Count of Have you heard the news about JPEX?" fld="12" subtotal="count" baseField="0" baseItem="0"/>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115D7E3A-109D-49AF-A884-CFE7C88E8542}" name="PivotTable3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4">
  <location ref="A235:B240" firstHeaderRow="1" firstDataRow="1" firstDataCol="1"/>
  <pivotFields count="49">
    <pivotField subtotalTop="0" showAll="0" defaultSubtotal="0"/>
    <pivotField showAll="0" defaultSubtotal="0"/>
    <pivotField showAll="0" defaultSubtotal="0"/>
    <pivotField showAll="0" defaultSubtotal="0"/>
    <pivotField showAll="0" defaultSubtotal="0"/>
    <pivotField showAll="0" defaultSubtotal="0"/>
    <pivotField subtotalTop="0" showAll="0" defaultSubtotal="0"/>
    <pivotField showAll="0" defaultSubtotal="0"/>
    <pivotField showAll="0" defaultSubtotal="0"/>
    <pivotField showAll="0" defaultSubtotal="0"/>
    <pivotField showAll="0" defaultSubtotal="0"/>
    <pivotField showAll="0" defaultSubtotal="0"/>
    <pivotField showAll="0" defaultSubtotal="0"/>
    <pivotField showAll="0" countASubtotal="1"/>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dataField="1" showAll="0" defaultSubtotal="0">
      <items count="5">
        <item x="4"/>
        <item x="3"/>
        <item x="2"/>
        <item x="1"/>
        <item x="0"/>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subtotalTop="0" showAll="0" defaultSubtotal="0"/>
    <pivotField showAll="0" defaultSubtotal="0"/>
    <pivotField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1">
    <field x="21"/>
  </rowFields>
  <rowItems count="5">
    <i>
      <x/>
    </i>
    <i>
      <x v="1"/>
    </i>
    <i>
      <x v="2"/>
    </i>
    <i>
      <x v="3"/>
    </i>
    <i>
      <x v="4"/>
    </i>
  </rowItems>
  <colItems count="1">
    <i/>
  </colItems>
  <dataFields count="1">
    <dataField name="Count of If the digital asset application (E.g., crypto wallet) suddenly doesn't work, I fear that I will lose all my digital assets." fld="21" subtotal="count" baseField="26" baseItem="0"/>
  </dataFields>
  <chartFormats count="1">
    <chartFormat chart="3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CCA021F8-907C-4888-9A43-EC145404FFE1}" name="PivotTable27"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12">
  <location ref="A128:B133" firstHeaderRow="1" firstDataRow="1" firstDataCol="1"/>
  <pivotFields count="49">
    <pivotField subtotalTop="0" showAll="0" defaultSubtotal="0"/>
    <pivotField showAll="0" defaultSubtotal="0"/>
    <pivotField showAll="0" defaultSubtotal="0"/>
    <pivotField showAll="0" defaultSubtotal="0"/>
    <pivotField showAll="0" defaultSubtotal="0"/>
    <pivotField showAll="0" defaultSubtotal="0"/>
    <pivotField subtotalTop="0" showAll="0" defaultSubtotal="0"/>
    <pivotField showAll="0" defaultSubtotal="0"/>
    <pivotField showAll="0" defaultSubtotal="0"/>
    <pivotField showAll="0" defaultSubtotal="0"/>
    <pivotField showAll="0" defaultSubtotal="0"/>
    <pivotField showAll="0" defaultSubtotal="0"/>
    <pivotField showAll="0" defaultSubtotal="0"/>
    <pivotField showAll="0" countASubtotal="1"/>
    <pivotField axis="axisRow" dataField="1" showAll="0" defaultSubtotal="0">
      <items count="5">
        <item x="3"/>
        <item x="2"/>
        <item x="0"/>
        <item x="1"/>
        <item x="4"/>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subtotalTop="0" showAll="0" defaultSubtotal="0"/>
    <pivotField showAll="0" defaultSubtotal="0"/>
    <pivotField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1">
    <field x="14"/>
  </rowFields>
  <rowItems count="5">
    <i>
      <x/>
    </i>
    <i>
      <x v="1"/>
    </i>
    <i>
      <x v="2"/>
    </i>
    <i>
      <x v="3"/>
    </i>
    <i>
      <x v="4"/>
    </i>
  </rowItems>
  <colItems count="1">
    <i/>
  </colItems>
  <dataFields count="1">
    <dataField name="Count of The reason I don’t explore digital assets is that I can’t find a mobile application to purchase digital assets." fld="14" subtotal="count" baseField="14"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8754D4B-65C9-4B0E-A006-E93347DF3544}" name="Table67" displayName="Table67" ref="A1:AZ1690" totalsRowShown="0">
  <autoFilter ref="A1:AZ1690" xr:uid="{A8754D4B-65C9-4B0E-A006-E93347DF3544}"/>
  <tableColumns count="52">
    <tableColumn id="1" xr3:uid="{E20A61A3-9F1E-4367-8D07-03CDCD5005DD}" name="ID"/>
    <tableColumn id="3" xr3:uid="{6F09FF71-D3A4-47D4-A94C-B90910192828}" name="開始時間" dataDxfId="25"/>
    <tableColumn id="4" xr3:uid="{2E4276C4-2CC6-4E73-9392-867AB58F7EFF}" name="完成時間" dataDxfId="24"/>
    <tableColumn id="5" xr3:uid="{6CCC6E0B-58F8-467A-B13C-522CF7642336}" name="電子郵件"/>
    <tableColumn id="6" xr3:uid="{B046C10F-3B36-4ECD-A569-0D8E72917377}" name="名稱"/>
    <tableColumn id="7" xr3:uid="{471641DE-DB4D-4F6C-BD7A-86D79EF6C422}" name="上次修改時間"/>
    <tableColumn id="8" xr3:uid="{B4BAF6DF-0B27-4B64-BAB6-43B0F2CCE914}" name="What is your age?"/>
    <tableColumn id="9" xr3:uid="{9BE6748A-F0FA-4023-AE96-B1D272E9FA22}" name="What is your gender?"/>
    <tableColumn id="10" xr3:uid="{D7FB2828-BAB0-4E3E-97BC-7B7C3BEF2D7E}" name="Please select the highest level of education you have completed or are currently pursuing_x000a_"/>
    <tableColumn id="11" xr3:uid="{0E3E9966-F8C8-4AB6-A923-DBD5B9A3ED26}" name="What is your monthly income (in HKD)?"/>
    <tableColumn id="12" xr3:uid="{D6671BA9-9A07-4A4C-B893-451FC63C1ADC}" name="How much do you currently invest in financial products? (E.g., stock, bond)"/>
    <tableColumn id="13" xr3:uid="{D892F7C7-821B-4031-8C4E-2BF37C17601E}" name="Do you know about the passage of the Stablecoins Bill by the Legislative Council?"/>
    <tableColumn id="14" xr3:uid="{434C9CD0-3276-42DC-A783-A55D184ED2A9}" name="Have you heard the news about JPEX?"/>
    <tableColumn id="15" xr3:uid="{16169731-D89B-48CB-A254-371299725F81}" name="The mechanism of digital assets is difficult to understand, which discourages me from exploring it (E.g, Tokenization, Blockchain)"/>
    <tableColumn id="16" xr3:uid="{63F9F173-728E-4793-B137-E3DD5AAF33E9}" name="The reason I don’t explore digital assets is that I can’t find a mobile application to purchase digital assets."/>
    <tableColumn id="17" xr3:uid="{41283AAE-6D39-43C1-8A2A-5C8225298277}" name="Compared to traditional payment methods like Visa, Mastercard, Alipay, or PayMe, the use of digital assets for transactions is currently limited."/>
    <tableColumn id="18" xr3:uid="{684C42EE-3109-4A9C-B1A8-8C4A2DDB5068}" name="Although digital assets are decentralized, using centralized platforms (e.g., cryptocurrency exchanges) for transactions makes me question the concept of decentralization. This discourages me from..."/>
    <tableColumn id="19" xr3:uid="{24C8A392-C6B7-44BB-A162-D3F266FE14E4}" name="I am concerned about the lengthy duration of a complete transaction involving digital assets."/>
    <tableColumn id="20" xr3:uid="{35235A50-36E4-4F11-AE66-0A1B15A0DE2C}" name="Digital asset transactions take longer than traditional payments (e.g., Mastercard, Visa), which makes buying things less convenient for me."/>
    <tableColumn id="21" xr3:uid="{2D65150A-F05D-4D33-B240-F9F65190C54E}" name="I believe that exploring digital assets would not improve my daily life (such as improving financial services)."/>
    <tableColumn id="22" xr3:uid="{5C0CAF9E-C37D-42C5-8FF7-09889AC0D9D3}" name="I prefer managing my money with traditional bank accounts and cash rather than trying new digital asset applications."/>
    <tableColumn id="23" xr3:uid="{CCFBCB55-FA03-4BE9-8ED2-E98C01C56796}" name="If the digital asset application (E.g., crypto wallet) suddenly doesn't work, I fear that I will lose all my digital assets."/>
    <tableColumn id="24" xr3:uid="{B2EEF207-6644-43E2-8139-10B1DC5A1979}" name="I am worried about accidentally sending digital assets to the wrong person and not being able to recover them."/>
    <tableColumn id="25" xr3:uid="{9872C034-7895-4A1F-8E46-BE896E1510A6}" name="I believe that digital asset apps are often linked to scams (e.g., JPEX)."/>
    <tableColumn id="26" xr3:uid="{8C097B4B-A8E5-49AE-88E5-77A07CD1D72A}" name="I fear that my digital assets could be accessed and stolen by unauthorized parties."/>
    <tableColumn id="27" xr3:uid="{C8ED148B-8899-4661-A293-AE9D3A425E96}" name="I believe that purchasing digital assets must involve high investment risks."/>
    <tableColumn id="28" xr3:uid="{9967FFEC-D7DB-4CB6-A4C3-890F3E0E97D9}" name="Since many investors use leverage, digital assets may carry high systematic risks and operate in a relatively bad market environment compared to other financial markets. This discourages me from p..."/>
    <tableColumn id="29" xr3:uid="{3FF1088D-2C5A-4D42-8D67-A70C189A1D49}" name="I believe that investing in digital assets will yield lower monetary returns compared to traditional investment products (e.g., stocks, gold, and bonds)."/>
    <tableColumn id="30" xr3:uid="{67A84F3E-F775-46AB-A742-CFD4EACA2E9C}" name="The current investment products (e.g., stocks and bonds) are already sufficient for me; it is not necessary to explore digital assets."/>
    <tableColumn id="31" xr3:uid="{E5A5C0BE-4EE2-4E53-BD63-42D79055CF83}" name="I believe digital assets feel like a fad—trendy for a short time but quickly fading away as people's interest diminishes (E.g., NFT, $Melania)."/>
    <tableColumn id="32" xr3:uid="{4FAE23DD-5D7E-4D13-94FC-64359B9F9928}" name="I believe that people who explore digital assets are often viewed negatively (e.g., &quot;nerds&quot;, “gamblers”)."/>
    <tableColumn id="33" xr3:uid="{E237658C-2C45-4C7B-9771-D72B7D4A0AA4}" name="I am interested in exploring digital assets."/>
    <tableColumn id="34" xr3:uid="{226C4F70-01BC-4D11-93AA-7E4261D8526A}" name="I would not try to explore digital assets when considering investments."/>
    <tableColumn id="35" xr3:uid="{43CA2DF2-5735-4E86-B785-9D876D065DA8}" name="If I want to try different ways to invest, I will explore digital assets."/>
    <tableColumn id="36" xr3:uid="{878360F4-AFB4-49C6-9C6E-D4F28AE160FA}" name="If I want to try different ways to invest, I will explore digital assets.(Flipped)"/>
    <tableColumn id="37" xr3:uid="{BFDD08DF-0DD4-4BDA-8D5A-9BDBE1A101E2}" name="I am interested in exploring digital assets.(Flipped)"/>
    <tableColumn id="38" xr3:uid="{2F258A6E-25A3-4786-A041-3BF9E355FF37}" name="Ineligible respondents" dataDxfId="23">
      <calculatedColumnFormula>Table67[[#This Row],[What is your age?]]&lt;&gt;"18 - 25"</calculatedColumnFormula>
    </tableColumn>
    <tableColumn id="39" xr3:uid="{54391DB9-D497-4EDD-94E3-8F89DBF5FA1E}" name="Same answer in all question (Straight lining)">
      <calculatedColumnFormula>COUNTIF(N2:AH2, N2) = COLUMNS(N2:AH2)</calculatedColumnFormula>
    </tableColumn>
    <tableColumn id="40" xr3:uid="{D1731051-21A3-4F4B-9215-ECF78B67D83F}" name="Inconsistent response on opposite question (1,2,4,5)">
      <calculatedColumnFormula>OR(AND(AG2=AH2, AG2&lt;&gt;3), AND(OR(AG2=1, AG2=2), OR(AH2=1, AH2=2)), AND(OR(AG2=4, AG2=5), OR(AH2=4, AH2=5)))</calculatedColumnFormula>
    </tableColumn>
    <tableColumn id="41" xr3:uid="{DB287126-6F5E-4124-B5F9-ECEC4A0EF8E3}" name="Inconsistent response on opposite question (3)">
      <calculatedColumnFormula>OR(AND(AG2=3, AH2&lt;&gt;3), AND(AH2=3, AG2&lt;&gt;3))</calculatedColumnFormula>
    </tableColumn>
    <tableColumn id="42" xr3:uid="{0AFC1DAE-097F-4DB5-B1F2-2D9754158AC2}" name="Delete? (Stage 1)">
      <calculatedColumnFormula>OR(Table67[[#This Row],[Ineligible respondents]:[Inconsistent response on opposite question (3)]])</calculatedColumnFormula>
    </tableColumn>
    <tableColumn id="43" xr3:uid="{F9CB3E28-64E2-4260-A890-3D9CC1E92F6E}" name="Extreme Response" dataDxfId="22">
      <calculatedColumnFormula>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calculatedColumnFormula>
    </tableColumn>
    <tableColumn id="54" xr3:uid="{1A0534B2-A63E-46CF-9C95-1FDA1BB673BD}" name="Extrem Response Ratio (ERS)" dataDxfId="21">
      <calculatedColumnFormula>Table67[[#This Row],[Extreme Response]]/21</calculatedColumnFormula>
    </tableColumn>
    <tableColumn id="55" xr3:uid="{4068F1E1-471A-4C1C-A5A9-1DE289E33F50}" name="Threshold of ERS" dataDxfId="20">
      <calculatedColumnFormula>_xlfn.PERCENTILE.INC(Table67[Extrem Response Ratio (ERS)],0.9)</calculatedColumnFormula>
    </tableColumn>
    <tableColumn id="44" xr3:uid="{1930DE05-76C5-4DCD-AB80-FD439B7FDD87}" name="Extreme Response Style" dataDxfId="19">
      <calculatedColumnFormula>Table67[[#This Row],[Extrem Response Ratio (ERS)]]&gt;=Table67[[#This Row],[Threshold of ERS]]</calculatedColumnFormula>
    </tableColumn>
    <tableColumn id="46" xr3:uid="{3105B1C4-9859-4555-A499-3B7E81C5FBBE}" name="Midpoint">
      <calculatedColumnFormula>COUNTIF(Table67[[#This Row],[The mechanism of digital assets is difficult to understand, which discourages me from exploring it (E.g, Tokenization, Blockchain)]:[If I want to try different ways to invest, I will explore digital assets.]], 3)</calculatedColumnFormula>
    </tableColumn>
    <tableColumn id="56" xr3:uid="{0E371FEB-B43A-425F-827C-CA32AA6ABCE0}" name="Midpoint ratio" dataDxfId="18">
      <calculatedColumnFormula>Table67[[#This Row],[Midpoint]]/21</calculatedColumnFormula>
    </tableColumn>
    <tableColumn id="57" xr3:uid="{42CF5025-24FC-472E-93E2-952F9B692BFE}" name="Threshold of Midpoint ratio" dataDxfId="17">
      <calculatedColumnFormula>_xlfn.PERCENTILE.INC(Table67[Midpoint ratio],0.9)</calculatedColumnFormula>
    </tableColumn>
    <tableColumn id="47" xr3:uid="{B76D0D3B-0E2D-41EA-AFB0-FE8DE83772FA}" name="Mid-point Response Style" dataDxfId="16">
      <calculatedColumnFormula>Table67[[#This Row],[Midpoint ratio]]&gt;=Table67[[#This Row],[Threshold of Midpoint ratio]]</calculatedColumnFormula>
    </tableColumn>
    <tableColumn id="48" xr3:uid="{42BD90FB-8516-4A2E-9D8E-BFA1A67358DC}" name="Delete? (Stage 2)" dataDxfId="15">
      <calculatedColumnFormula>OR(Table67[[#This Row],[Extreme Response Style]],Table67[[#This Row],[Mid-point Response Style]])</calculatedColumnFormula>
    </tableColumn>
    <tableColumn id="49" xr3:uid="{A0A854F9-3A84-4C23-B414-327EC8658ACB}" name="Delete? (Final)">
      <calculatedColumnFormula>OR(Table67[[#This Row],[Delete? (Stage 1)]],Table67[[#This Row],[Delete? (Stage 2)]])</calculatedColumnFormula>
    </tableColumn>
    <tableColumn id="51" xr3:uid="{708676CA-08EB-4A3E-9D80-0059DD0B10C8}" name="Distribution channe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751FF9B-2CFE-4E47-A8A8-19FF97A3EE55}" name="Table7" displayName="Table7" ref="A1:BA412" totalsRowShown="0">
  <autoFilter ref="A1:BA412" xr:uid="{4751FF9B-2CFE-4E47-A8A8-19FF97A3EE55}"/>
  <tableColumns count="53">
    <tableColumn id="1" xr3:uid="{E8CF22F7-3880-4A17-BFB6-7C2D8EC1771C}" name="ID">
      <calculatedColumnFormula>1+A1</calculatedColumnFormula>
    </tableColumn>
    <tableColumn id="2" xr3:uid="{800C6CFE-D37E-4E04-AE49-B1E127EFB385}" name="開始時間" dataDxfId="14"/>
    <tableColumn id="3" xr3:uid="{BEF6A473-005D-4CD0-8E6D-79DD0EBD79D3}" name="完成時間" dataDxfId="13"/>
    <tableColumn id="4" xr3:uid="{87077890-CC05-4FC9-9B5D-5B0893A1B2E1}" name="電子郵件"/>
    <tableColumn id="5" xr3:uid="{80227E4D-DCD0-4947-BE48-774D53D9EEAD}" name="名稱"/>
    <tableColumn id="6" xr3:uid="{4FCE40A0-2C48-4140-B647-97BA2025F79D}" name="上次修改時間"/>
    <tableColumn id="7" xr3:uid="{88CCB9A3-DA01-44AE-816D-0E0F0387FCAE}" name="What is your age?"/>
    <tableColumn id="8" xr3:uid="{18C64294-5B24-4759-9C14-4C85B686D584}" name="What is your gender?"/>
    <tableColumn id="9" xr3:uid="{86641F74-572F-4373-9F8E-6F388AE9BA7C}" name="Please select the highest level of education you have completed or are currently pursuing_x000a_"/>
    <tableColumn id="10" xr3:uid="{FA88181A-9D6E-49CA-B246-E4FDC45C828C}" name="What is your monthly income (in HKD)?"/>
    <tableColumn id="11" xr3:uid="{19726EB0-5BED-4F00-BFDA-C719D25DA312}" name="How much do you currently invest in financial products? (E.g., stock, bond)"/>
    <tableColumn id="12" xr3:uid="{24CEF7A6-4E28-4451-8AC9-113BF3D54B0A}" name="Do you know about the passage of the Stablecoins Bill by the Legislative Council?"/>
    <tableColumn id="13" xr3:uid="{29DDD62E-9A61-4437-8158-63DE62F4345E}" name="Have you heard the news about JPEX?"/>
    <tableColumn id="14" xr3:uid="{2A847E78-E44D-4322-B87B-5CB92E59AEDF}" name="The mechanism of digital assets is difficult to understand, which discourages me from exploring it (E.g, Tokenization, Blockchain)"/>
    <tableColumn id="15" xr3:uid="{AD2ED988-35EA-4AAC-8AE7-C8A17999E08F}" name="The reason I don’t explore digital assets is that I can’t find a mobile application to purchase digital assets."/>
    <tableColumn id="16" xr3:uid="{26666E0F-924A-4681-9B18-2B486517CE50}" name="Compared to traditional payment methods like Visa, Mastercard, Alipay, or PayMe, the use of digital assets for transactions is currently limited."/>
    <tableColumn id="17" xr3:uid="{FBE2C92A-1DCA-4950-96CB-4B8AF2255D81}" name="Although digital assets are decentralized, using centralized platforms (e.g., cryptocurrency exchanges) for transactions makes me question the concept of decentralization. This discourages me from..."/>
    <tableColumn id="18" xr3:uid="{3D8178E8-43C2-4E17-A623-A9631EDA2C7A}" name="I am concerned about the lengthy duration of a complete transaction involving digital assets."/>
    <tableColumn id="19" xr3:uid="{0363CE1E-53AE-4F18-AB29-E2177FAC0195}" name="Digital asset transactions take longer than traditional payments (e.g., Mastercard, Visa), which makes buying things less convenient for me."/>
    <tableColumn id="20" xr3:uid="{9816688E-3352-46B4-AF4C-BE940900F02A}" name="I believe that exploring digital assets would not improve my daily life (such as improving financial services)."/>
    <tableColumn id="21" xr3:uid="{8B9AB09C-1F92-4943-906B-6EE60ED5C6E7}" name="I prefer managing my money with traditional bank accounts and cash rather than trying new digital asset applications."/>
    <tableColumn id="22" xr3:uid="{88CB2F07-8722-4277-B1EA-E69180841931}" name="If the digital asset application (E.g., crypto wallet) suddenly doesn't work, I fear that I will lose all my digital assets."/>
    <tableColumn id="23" xr3:uid="{0F868173-0CBB-4A37-837B-056465028E40}" name="I am worried about accidentally sending digital assets to the wrong person and not being able to recover them."/>
    <tableColumn id="24" xr3:uid="{BACA8A0F-F953-4D72-879E-97009251D412}" name="I believe that digital asset apps are often linked to scams (e.g., JPEX)."/>
    <tableColumn id="25" xr3:uid="{D6F1B0C9-D4C5-4B4C-88D0-B1F349FE4D80}" name="I fear that my digital assets could be accessed and stolen by unauthorized parties."/>
    <tableColumn id="26" xr3:uid="{E674D625-523A-44AF-806C-AC04717C86CA}" name="I believe that purchasing digital assets must involve high investment risks."/>
    <tableColumn id="27" xr3:uid="{66943C8B-F7A5-495A-9891-8D5ABAA27D8C}" name="Since many investors use leverage, digital assets may carry high systematic risks and operate in a relatively bad market environment compared to other financial markets. This discourages me from p..."/>
    <tableColumn id="28" xr3:uid="{1660636F-2CEE-4495-B068-758C0FA790AB}" name="I believe that investing in digital assets will yield lower monetary returns compared to traditional investment products (e.g., stocks, gold, and bonds)."/>
    <tableColumn id="29" xr3:uid="{6AE9EEEA-BB0C-4FA3-8103-F9379387FE8D}" name="The current investment products (e.g., stocks and bonds) are already sufficient for me; it is not necessary to explore digital assets."/>
    <tableColumn id="30" xr3:uid="{1DF7178B-D702-40DA-8739-D85BA8C17B24}" name="I believe digital assets feel like a fad—trendy for a short time but quickly fading away as people's interest diminishes (E.g., NFT, $Melania)."/>
    <tableColumn id="31" xr3:uid="{F7C9C98B-C7AC-411E-A70C-C604E0623E68}" name="I believe that people who explore digital assets are often viewed negatively (e.g., &quot;nerds&quot;, “gamblers”)."/>
    <tableColumn id="32" xr3:uid="{73F49050-700E-4B71-918F-656542E694AB}" name="I am interested in exploring digital assets."/>
    <tableColumn id="33" xr3:uid="{920B5D58-01F6-49D6-8E7E-0F9EB72155EE}" name="I would not try to explore digital assets when considering investments."/>
    <tableColumn id="34" xr3:uid="{D20D7FCE-AE25-4679-AC66-F0A3B453DEBA}" name="If I want to try different ways to invest, I will explore digital assets."/>
    <tableColumn id="35" xr3:uid="{6CA4D68C-CE9A-4E35-962A-E64864A5B76F}" name="If I want to try different ways to invest, I will explore digital assets.(Flipped)"/>
    <tableColumn id="36" xr3:uid="{B259E1E2-1608-4D74-B761-99A10AACE2F0}" name="I am interested in exploring digital assets.(Flipped)"/>
    <tableColumn id="37" xr3:uid="{6D2DC4B2-4CD3-4A76-98FD-18B6B56799FB}" name="Ineligible respondents" dataDxfId="12">
      <calculatedColumnFormula>Table7[[#This Row],[What is your age?]]&lt;&gt;"18 - 25"</calculatedColumnFormula>
    </tableColumn>
    <tableColumn id="38" xr3:uid="{B29F021E-B111-4627-9E11-D92A796D1D08}" name="Same answer in all question (Straight lining)">
      <calculatedColumnFormula>COUNTIF(N2:AH2, N2) = COLUMNS(N2:AH2)</calculatedColumnFormula>
    </tableColumn>
    <tableColumn id="39" xr3:uid="{8F62CC20-AECB-458A-9C12-D00E9F18E7D9}" name="Inconsistent response on opposite question (1,2,4,5)">
      <calculatedColumnFormula>OR(AND(AG2=AH2, AG2&lt;&gt;3), AND(OR(AG2=1, AG2=2), OR(AH2=1, AH2=2)), AND(OR(AG2=4, AG2=5), OR(AH2=4, AH2=5)))</calculatedColumnFormula>
    </tableColumn>
    <tableColumn id="40" xr3:uid="{8186E464-A63E-4462-82D4-A4C89EA2AB2C}" name="Inconsistent response on opposite question (3)">
      <calculatedColumnFormula>OR(AND(AG2=3, AH2&lt;&gt;3), AND(AH2=3, AG2&lt;&gt;3))</calculatedColumnFormula>
    </tableColumn>
    <tableColumn id="41" xr3:uid="{1ACF75BC-B47D-4BDD-A1C2-5E92E971B4B4}" name="Delete? (Stage 1)" dataDxfId="11">
      <calculatedColumnFormula>OR(Table7[[#This Row],[Ineligible respondents]:[Inconsistent response on opposite question (3)]])</calculatedColumnFormula>
    </tableColumn>
    <tableColumn id="42" xr3:uid="{12EECBB9-B4D2-4344-899E-5B4541B15120}" name="Extreme Response" dataDxfId="10">
      <calculatedColumnFormula>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calculatedColumnFormula>
    </tableColumn>
    <tableColumn id="54" xr3:uid="{0125AD84-1550-4C2E-B5A9-EB97A132F346}" name="Extrem Response Ratio (ERS)" dataDxfId="9">
      <calculatedColumnFormula>Table7[[#This Row],[Extreme Response]]/21</calculatedColumnFormula>
    </tableColumn>
    <tableColumn id="55" xr3:uid="{C3DF34C4-3A63-4CB8-B9E5-8EC29DA4E822}" name="Threshold of ERS" dataDxfId="8">
      <calculatedColumnFormula>Table67[[#This Row],[Threshold of ERS]]</calculatedColumnFormula>
    </tableColumn>
    <tableColumn id="43" xr3:uid="{A0946C93-13D2-49BE-912E-D499653178ED}" name="Extreme Response Style" dataDxfId="7">
      <calculatedColumnFormula>Table7[[#This Row],[Extrem Response Ratio (ERS)]]&gt;=Table7[[#This Row],[Threshold of ERS]]</calculatedColumnFormula>
    </tableColumn>
    <tableColumn id="44" xr3:uid="{60B21981-C1F2-41C1-A129-A6AA65179D20}" name="Straight-lining with 1 deviation" dataDxfId="6">
      <calculatedColumnFormula array="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calculatedColumnFormula>
    </tableColumn>
    <tableColumn id="45" xr3:uid="{B3AC4296-DC11-446D-8E86-E37C19B9D5F4}" name="Midpoint" dataDxfId="5">
      <calculatedColumnFormula>COUNTIF(Table7[[#This Row],[The mechanism of digital assets is difficult to understand, which discourages me from exploring it (E.g, Tokenization, Blockchain)]:[If I want to try different ways to invest, I will explore digital assets.]], 3)</calculatedColumnFormula>
    </tableColumn>
    <tableColumn id="56" xr3:uid="{E912F394-A1BF-41A1-8FA4-CC0AA70CDE0B}" name="Midpoint ratio" dataDxfId="4">
      <calculatedColumnFormula>Table7[[#This Row],[Midpoint]]/21</calculatedColumnFormula>
    </tableColumn>
    <tableColumn id="57" xr3:uid="{6BBE57E8-8A5A-4612-8918-31DE2F538E9C}" name="Threshold of Midpoint ratio" dataDxfId="3">
      <calculatedColumnFormula>Table67[[#This Row],[Threshold of Midpoint ratio]]</calculatedColumnFormula>
    </tableColumn>
    <tableColumn id="46" xr3:uid="{261D912F-EBC5-4DF1-B661-7EC2508DB80B}" name="Mid-point Response Style" dataDxfId="2">
      <calculatedColumnFormula>Table7[[#This Row],[Midpoint ratio]]&gt;=Table7[[#This Row],[Threshold of Midpoint ratio]]</calculatedColumnFormula>
    </tableColumn>
    <tableColumn id="47" xr3:uid="{E938F1A6-81A5-4497-BFA7-ED70B28305C5}" name="Delete? (Stage 2)" dataDxfId="1">
      <calculatedColumnFormula>OR(Table7[[#This Row],[Extreme Response Style]:[Straight-lining with 1 deviation]],Table7[[#This Row],[Mid-point Response Style]])</calculatedColumnFormula>
    </tableColumn>
    <tableColumn id="48" xr3:uid="{2DDF9EC3-74C5-4355-B7FD-C0A577AE5118}" name="Delete? (Final)" dataDxfId="0">
      <calculatedColumnFormula>OR(Table7[[#This Row],[Delete? (Stage 1)]],Table7[[#This Row],[Delete? (Stage 2)]])</calculatedColumnFormula>
    </tableColumn>
    <tableColumn id="49" xr3:uid="{F3E67CF6-1700-409D-A502-E1AC33C6F918}" name="Distribution channe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8E95C5-2FB1-4D9E-BEDB-F83325F30471}" name="Table8" displayName="Table8" ref="A1:U412" totalsRowShown="0">
  <autoFilter ref="A1:U412" xr:uid="{24EA51FC-11FD-48BF-B020-EB56C94869DB}"/>
  <tableColumns count="21">
    <tableColumn id="2" xr3:uid="{6F861B27-4660-4537-BD02-7974383D07F1}" name="UB1"/>
    <tableColumn id="3" xr3:uid="{230E0B20-9E12-4650-90A5-C9094948490E}" name="UB2"/>
    <tableColumn id="4" xr3:uid="{61156C68-0A78-43D0-8231-9C35A0A9A7B3}" name="UB3"/>
    <tableColumn id="5" xr3:uid="{F4B12932-0F78-4345-84B8-C56E3A1A0725}" name="RB1"/>
    <tableColumn id="6" xr3:uid="{2260A25C-7BD7-4E76-8146-0D3E3FD0F028}" name="RB2"/>
    <tableColumn id="7" xr3:uid="{BE125236-D0C9-4EDA-AABE-A8CC835461C7}" name="RB3"/>
    <tableColumn id="8" xr3:uid="{E33B27D9-B942-4CC2-87A8-5A711B0FCD74}" name="VB1"/>
    <tableColumn id="9" xr3:uid="{E02FEB54-1216-44D8-A081-C8D9DA9E2854}" name="VB2"/>
    <tableColumn id="10" xr3:uid="{2892214F-E333-45A5-88AA-13751C61DDF6}" name="VB3"/>
    <tableColumn id="11" xr3:uid="{478899EE-2233-49C6-8A01-BE791F1A3ED3}" name="VB4"/>
    <tableColumn id="12" xr3:uid="{42102F67-A7FE-4906-86EB-D1F7E2512C70}" name="TB1"/>
    <tableColumn id="13" xr3:uid="{7C84C07E-CE68-4597-B651-BD0C8F2CC5BE}" name="TB2"/>
    <tableColumn id="14" xr3:uid="{0003DF9A-04E0-4D3A-BE53-3A6C0F13F397}" name="TB3"/>
    <tableColumn id="15" xr3:uid="{7DC7D3F8-5ED2-495C-9068-781B9DB53D18}" name="TB4"/>
    <tableColumn id="16" xr3:uid="{8847CDF4-FE96-4BA6-82EF-AF38AE0B8227}" name="IB1"/>
    <tableColumn id="17" xr3:uid="{1A8E7967-5A97-4E0C-B2DB-646DE87BF82B}" name="IB2"/>
    <tableColumn id="18" xr3:uid="{6BBC1935-9780-4C63-B199-A0D9E1FCB241}" name="IB3"/>
    <tableColumn id="19" xr3:uid="{80E00725-07E1-4BAA-9403-F01510931F64}" name="IB4"/>
    <tableColumn id="20" xr3:uid="{F669685B-ED57-4777-B711-A8D36F13DD72}" name="RTE1"/>
    <tableColumn id="21" xr3:uid="{2F13782F-E333-447D-893B-D9FB723D9C3E}" name="RTE2"/>
    <tableColumn id="22" xr3:uid="{18911BCB-5B3C-466B-8115-773835578202}" name="RTE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3A20E20-26AD-4338-8744-9DCD26903BE0}" name="Table5" displayName="Table5" ref="A1:B22" totalsRowShown="0">
  <autoFilter ref="A1:B22" xr:uid="{34D7D2F3-8AB9-4A58-86FD-EACFC9C7B4A8}"/>
  <tableColumns count="2">
    <tableColumn id="1" xr3:uid="{EC12CF85-23D4-44FD-B3C8-DA89C130F983}" name="Variable"/>
    <tableColumn id="2" xr3:uid="{E7AAE3CA-8F8D-4304-84CA-AFD1F4E4A8B3}" name="Ques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F71E12-CCC0-8D44-9686-B4D61794DE33}" name="Table1" displayName="Table1" ref="A1:B5" totalsRowShown="0">
  <autoFilter ref="A1:B5" xr:uid="{A7F71E12-CCC0-8D44-9686-B4D61794DE33}"/>
  <tableColumns count="2">
    <tableColumn id="1" xr3:uid="{5ADE8679-BA49-494F-8A48-1796140F4D0A}" name="Criteria "/>
    <tableColumn id="2" xr3:uid="{97C59664-3E5C-784B-AC7F-EEE882A48897}" name="Effec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4EF4A95-ABC6-4A60-AA4A-BA2C28573DE4}">
  <we:reference id="WA104100404" version="3.0.0.1" store="Omex" storeType="OMEX"/>
  <we:alternateReferences>
    <we:reference id="WA104100404" version="3.0.0.1" store="WA104100404" storeType="OMEX"/>
  </we:alternateReferences>
  <we:properties>
    <we:property name="UniqueID" value="&quot;2026227177460373842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drawing" Target="../drawings/drawing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E8B40-4672-4CB8-A2F5-8E4D9A126F6F}">
  <dimension ref="A1:AZ1690"/>
  <sheetViews>
    <sheetView tabSelected="1" topLeftCell="AI1" zoomScale="111" workbookViewId="0">
      <selection activeCell="F39" sqref="F39"/>
    </sheetView>
  </sheetViews>
  <sheetFormatPr baseColWidth="10" defaultColWidth="8.83203125" defaultRowHeight="15"/>
  <cols>
    <col min="2" max="36" width="8.83203125" customWidth="1"/>
    <col min="44" max="44" width="9.6640625" bestFit="1" customWidth="1"/>
  </cols>
  <sheetData>
    <row r="1" spans="1:52">
      <c r="A1" t="s">
        <v>0</v>
      </c>
      <c r="B1" s="3" t="s">
        <v>1</v>
      </c>
      <c r="C1" s="3"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146</v>
      </c>
      <c r="AL1" t="s">
        <v>37</v>
      </c>
      <c r="AM1" t="s">
        <v>38</v>
      </c>
      <c r="AN1" t="s">
        <v>39</v>
      </c>
      <c r="AO1" t="s">
        <v>40</v>
      </c>
      <c r="AP1" t="s">
        <v>41</v>
      </c>
      <c r="AQ1" t="s">
        <v>42</v>
      </c>
      <c r="AR1" t="s">
        <v>43</v>
      </c>
      <c r="AS1" t="s">
        <v>44</v>
      </c>
      <c r="AT1" t="s">
        <v>46</v>
      </c>
      <c r="AU1" t="s">
        <v>47</v>
      </c>
      <c r="AV1" t="s">
        <v>48</v>
      </c>
      <c r="AW1" t="s">
        <v>49</v>
      </c>
      <c r="AX1" t="s">
        <v>50</v>
      </c>
      <c r="AY1" t="s">
        <v>51</v>
      </c>
      <c r="AZ1" t="s">
        <v>52</v>
      </c>
    </row>
    <row r="2" spans="1:52">
      <c r="A2">
        <f>1</f>
        <v>1</v>
      </c>
      <c r="B2" s="3">
        <v>45987.568622685198</v>
      </c>
      <c r="C2" s="3">
        <v>45987.5719791667</v>
      </c>
      <c r="D2" t="s">
        <v>53</v>
      </c>
      <c r="G2" t="s">
        <v>54</v>
      </c>
      <c r="H2" t="s">
        <v>55</v>
      </c>
      <c r="I2" t="s">
        <v>56</v>
      </c>
      <c r="J2" t="s">
        <v>57</v>
      </c>
      <c r="K2" t="s">
        <v>57</v>
      </c>
      <c r="L2" t="s">
        <v>58</v>
      </c>
      <c r="M2" t="s">
        <v>58</v>
      </c>
      <c r="N2">
        <v>2</v>
      </c>
      <c r="O2">
        <v>4</v>
      </c>
      <c r="P2">
        <v>5</v>
      </c>
      <c r="Q2">
        <v>2</v>
      </c>
      <c r="R2">
        <v>3</v>
      </c>
      <c r="S2">
        <v>5</v>
      </c>
      <c r="T2">
        <v>3</v>
      </c>
      <c r="U2">
        <v>5</v>
      </c>
      <c r="V2">
        <v>5</v>
      </c>
      <c r="W2">
        <v>3</v>
      </c>
      <c r="X2">
        <v>5</v>
      </c>
      <c r="Y2">
        <v>4</v>
      </c>
      <c r="Z2">
        <v>5</v>
      </c>
      <c r="AA2">
        <v>4</v>
      </c>
      <c r="AB2">
        <v>5</v>
      </c>
      <c r="AC2">
        <v>4</v>
      </c>
      <c r="AD2">
        <v>4</v>
      </c>
      <c r="AE2">
        <v>3</v>
      </c>
      <c r="AF2">
        <v>1</v>
      </c>
      <c r="AG2">
        <v>1</v>
      </c>
      <c r="AH2">
        <v>2</v>
      </c>
      <c r="AI2">
        <v>4</v>
      </c>
      <c r="AJ2">
        <v>5</v>
      </c>
      <c r="AK2" t="b">
        <f>Table67[[#This Row],[What is your age?]]&lt;&gt;"18 - 25"</f>
        <v>0</v>
      </c>
      <c r="AL2" t="b">
        <f>COUNTIF(N2:AH2, N2) = COLUMNS(N2:AH2)</f>
        <v>0</v>
      </c>
      <c r="AM2" t="b">
        <f>OR(AND(AG2=AH2, AG2&lt;&gt;3), AND(OR(AG2=1, AG2=2), OR(AH2=1, AH2=2)), AND(OR(AG2=4, AG2=5), OR(AH2=4, AH2=5)))</f>
        <v>1</v>
      </c>
      <c r="AN2" t="b">
        <f>OR(AND(AG2=3, AH2&lt;&gt;3), AND(AH2=3, AG2&lt;&gt;3))</f>
        <v>0</v>
      </c>
      <c r="AO2" t="b">
        <f>OR(Table67[[#This Row],[Ineligible respondents]:[Inconsistent response on opposite question (3)]])</f>
        <v>1</v>
      </c>
      <c r="AP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2">
        <f>Table67[[#This Row],[Extreme Response]]/21</f>
        <v>0.42857142857142855</v>
      </c>
      <c r="AR2">
        <f>_xlfn.PERCENTILE.INC(Table67[Extrem Response Ratio (ERS)],0.9)</f>
        <v>0.61904761904761907</v>
      </c>
      <c r="AS2" t="b">
        <f>Table67[[#This Row],[Extrem Response Ratio (ERS)]]&gt;=Table67[[#This Row],[Threshold of ERS]]</f>
        <v>0</v>
      </c>
      <c r="AT2">
        <f>COUNTIF(Table67[[#This Row],[The mechanism of digital assets is difficult to understand, which discourages me from exploring it (E.g, Tokenization, Blockchain)]:[If I want to try different ways to invest, I will explore digital assets.]], 3)</f>
        <v>4</v>
      </c>
      <c r="AU2">
        <f>Table67[[#This Row],[Midpoint]]/21</f>
        <v>0.19047619047619047</v>
      </c>
      <c r="AV2">
        <f>_xlfn.PERCENTILE.INC(Table67[Midpoint ratio],0.9)</f>
        <v>0.5714285714285714</v>
      </c>
      <c r="AW2" t="b">
        <f>Table67[[#This Row],[Midpoint ratio]]&gt;=Table67[[#This Row],[Threshold of Midpoint ratio]]</f>
        <v>0</v>
      </c>
      <c r="AX2" t="b">
        <f>OR(Table67[[#This Row],[Extreme Response Style]],Table67[[#This Row],[Mid-point Response Style]])</f>
        <v>0</v>
      </c>
      <c r="AY2" t="b">
        <f>OR(Table67[[#This Row],[Delete? (Stage 1)]],Table67[[#This Row],[Delete? (Stage 2)]])</f>
        <v>1</v>
      </c>
      <c r="AZ2" t="s">
        <v>59</v>
      </c>
    </row>
    <row r="3" spans="1:52">
      <c r="A3">
        <f>1+A2</f>
        <v>2</v>
      </c>
      <c r="B3" s="3">
        <v>45987.568622685198</v>
      </c>
      <c r="C3" s="3">
        <v>45987.573217592602</v>
      </c>
      <c r="D3" t="s">
        <v>53</v>
      </c>
      <c r="G3" t="s">
        <v>54</v>
      </c>
      <c r="H3" t="s">
        <v>55</v>
      </c>
      <c r="I3" t="s">
        <v>56</v>
      </c>
      <c r="J3" t="s">
        <v>60</v>
      </c>
      <c r="K3" t="s">
        <v>57</v>
      </c>
      <c r="L3" t="s">
        <v>58</v>
      </c>
      <c r="M3" t="s">
        <v>61</v>
      </c>
      <c r="N3">
        <v>2</v>
      </c>
      <c r="O3">
        <v>4</v>
      </c>
      <c r="P3">
        <v>5</v>
      </c>
      <c r="Q3">
        <v>1</v>
      </c>
      <c r="R3">
        <v>2</v>
      </c>
      <c r="S3">
        <v>2</v>
      </c>
      <c r="T3">
        <v>4</v>
      </c>
      <c r="U3">
        <v>4</v>
      </c>
      <c r="V3">
        <v>2</v>
      </c>
      <c r="W3">
        <v>5</v>
      </c>
      <c r="X3">
        <v>4</v>
      </c>
      <c r="Y3">
        <v>5</v>
      </c>
      <c r="Z3">
        <v>5</v>
      </c>
      <c r="AA3">
        <v>2</v>
      </c>
      <c r="AB3">
        <v>2</v>
      </c>
      <c r="AC3">
        <v>4</v>
      </c>
      <c r="AD3">
        <v>4</v>
      </c>
      <c r="AE3">
        <v>3</v>
      </c>
      <c r="AF3">
        <v>2</v>
      </c>
      <c r="AG3">
        <v>4</v>
      </c>
      <c r="AH3">
        <v>3</v>
      </c>
      <c r="AI3">
        <v>3</v>
      </c>
      <c r="AJ3">
        <v>4</v>
      </c>
      <c r="AK3" t="b">
        <f>Table67[[#This Row],[What is your age?]]&lt;&gt;"18 - 25"</f>
        <v>0</v>
      </c>
      <c r="AL3" t="b">
        <f t="shared" ref="AL3:AL66" si="0">COUNTIF(N3:AH3, N3) = COLUMNS(N3:AH3)</f>
        <v>0</v>
      </c>
      <c r="AM3" t="b">
        <f t="shared" ref="AM3:AM66" si="1">OR(AND(AG3=AH3, AG3&lt;&gt;3), AND(OR(AG3=1, AG3=2), OR(AH3=1, AH3=2)), AND(OR(AG3=4, AG3=5), OR(AH3=4, AH3=5)))</f>
        <v>0</v>
      </c>
      <c r="AN3" t="b">
        <f t="shared" ref="AN3:AN66" si="2">OR(AND(AG3=3, AH3&lt;&gt;3), AND(AH3=3, AG3&lt;&gt;3))</f>
        <v>1</v>
      </c>
      <c r="AO3" t="b">
        <f>OR(Table67[[#This Row],[Ineligible respondents]:[Inconsistent response on opposite question (3)]])</f>
        <v>1</v>
      </c>
      <c r="AP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3">
        <f>Table67[[#This Row],[Extreme Response]]/21</f>
        <v>0.23809523809523808</v>
      </c>
      <c r="AR3">
        <f>_xlfn.PERCENTILE.INC(Table67[Extrem Response Ratio (ERS)],0.9)</f>
        <v>0.61904761904761907</v>
      </c>
      <c r="AS3" t="b">
        <f>Table67[[#This Row],[Extrem Response Ratio (ERS)]]&gt;=Table67[[#This Row],[Threshold of ERS]]</f>
        <v>0</v>
      </c>
      <c r="AT3">
        <f>COUNTIF(Table67[[#This Row],[The mechanism of digital assets is difficult to understand, which discourages me from exploring it (E.g, Tokenization, Blockchain)]:[If I want to try different ways to invest, I will explore digital assets.]], 3)</f>
        <v>2</v>
      </c>
      <c r="AU3">
        <f>Table67[[#This Row],[Midpoint]]/21</f>
        <v>9.5238095238095233E-2</v>
      </c>
      <c r="AV3">
        <f>_xlfn.PERCENTILE.INC(Table67[Midpoint ratio],0.9)</f>
        <v>0.5714285714285714</v>
      </c>
      <c r="AW3" t="b">
        <f>Table67[[#This Row],[Midpoint ratio]]&gt;=Table67[[#This Row],[Threshold of Midpoint ratio]]</f>
        <v>0</v>
      </c>
      <c r="AX3" t="b">
        <f>OR(Table67[[#This Row],[Extreme Response Style]],Table67[[#This Row],[Mid-point Response Style]])</f>
        <v>0</v>
      </c>
      <c r="AY3" t="b">
        <f>OR(Table67[[#This Row],[Delete? (Stage 1)]],Table67[[#This Row],[Delete? (Stage 2)]])</f>
        <v>1</v>
      </c>
      <c r="AZ3" t="s">
        <v>59</v>
      </c>
    </row>
    <row r="4" spans="1:52">
      <c r="A4">
        <f t="shared" ref="A4:A67" si="3">1+A3</f>
        <v>3</v>
      </c>
      <c r="B4" s="3">
        <v>45987.568634259304</v>
      </c>
      <c r="C4" s="3">
        <v>45987.570937500001</v>
      </c>
      <c r="D4" t="s">
        <v>53</v>
      </c>
      <c r="G4" t="s">
        <v>54</v>
      </c>
      <c r="H4" t="s">
        <v>55</v>
      </c>
      <c r="I4" t="s">
        <v>56</v>
      </c>
      <c r="J4" t="s">
        <v>62</v>
      </c>
      <c r="K4" t="s">
        <v>57</v>
      </c>
      <c r="L4" t="s">
        <v>58</v>
      </c>
      <c r="M4" t="s">
        <v>61</v>
      </c>
      <c r="N4">
        <v>2</v>
      </c>
      <c r="O4">
        <v>4</v>
      </c>
      <c r="P4">
        <v>4</v>
      </c>
      <c r="Q4">
        <v>3</v>
      </c>
      <c r="R4">
        <v>2</v>
      </c>
      <c r="S4">
        <v>2</v>
      </c>
      <c r="T4">
        <v>5</v>
      </c>
      <c r="U4">
        <v>4</v>
      </c>
      <c r="V4">
        <v>4</v>
      </c>
      <c r="W4">
        <v>4</v>
      </c>
      <c r="X4">
        <v>5</v>
      </c>
      <c r="Y4">
        <v>2</v>
      </c>
      <c r="Z4">
        <v>4</v>
      </c>
      <c r="AA4">
        <v>4</v>
      </c>
      <c r="AB4">
        <v>4</v>
      </c>
      <c r="AC4">
        <v>4</v>
      </c>
      <c r="AD4">
        <v>4</v>
      </c>
      <c r="AE4">
        <v>3</v>
      </c>
      <c r="AF4">
        <v>2</v>
      </c>
      <c r="AG4">
        <v>4</v>
      </c>
      <c r="AH4">
        <v>3</v>
      </c>
      <c r="AI4">
        <v>3</v>
      </c>
      <c r="AJ4">
        <v>4</v>
      </c>
      <c r="AK4" t="b">
        <f>Table67[[#This Row],[What is your age?]]&lt;&gt;"18 - 25"</f>
        <v>0</v>
      </c>
      <c r="AL4" t="b">
        <f t="shared" si="0"/>
        <v>0</v>
      </c>
      <c r="AM4" t="b">
        <f t="shared" si="1"/>
        <v>0</v>
      </c>
      <c r="AN4" t="b">
        <f t="shared" si="2"/>
        <v>1</v>
      </c>
      <c r="AO4" t="b">
        <f>OR(Table67[[#This Row],[Ineligible respondents]:[Inconsistent response on opposite question (3)]])</f>
        <v>1</v>
      </c>
      <c r="AP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4">
        <f>Table67[[#This Row],[Extreme Response]]/21</f>
        <v>9.5238095238095233E-2</v>
      </c>
      <c r="AR4">
        <f>_xlfn.PERCENTILE.INC(Table67[Extrem Response Ratio (ERS)],0.9)</f>
        <v>0.61904761904761907</v>
      </c>
      <c r="AS4" t="b">
        <f>Table67[[#This Row],[Extrem Response Ratio (ERS)]]&gt;=Table67[[#This Row],[Threshold of ERS]]</f>
        <v>0</v>
      </c>
      <c r="AT4">
        <f>COUNTIF(Table67[[#This Row],[The mechanism of digital assets is difficult to understand, which discourages me from exploring it (E.g, Tokenization, Blockchain)]:[If I want to try different ways to invest, I will explore digital assets.]], 3)</f>
        <v>3</v>
      </c>
      <c r="AU4">
        <f>Table67[[#This Row],[Midpoint]]/21</f>
        <v>0.14285714285714285</v>
      </c>
      <c r="AV4">
        <f>_xlfn.PERCENTILE.INC(Table67[Midpoint ratio],0.9)</f>
        <v>0.5714285714285714</v>
      </c>
      <c r="AW4" t="b">
        <f>Table67[[#This Row],[Midpoint ratio]]&gt;=Table67[[#This Row],[Threshold of Midpoint ratio]]</f>
        <v>0</v>
      </c>
      <c r="AX4" t="b">
        <f>OR(Table67[[#This Row],[Extreme Response Style]],Table67[[#This Row],[Mid-point Response Style]])</f>
        <v>0</v>
      </c>
      <c r="AY4" t="b">
        <f>OR(Table67[[#This Row],[Delete? (Stage 1)]],Table67[[#This Row],[Delete? (Stage 2)]])</f>
        <v>1</v>
      </c>
      <c r="AZ4" t="s">
        <v>59</v>
      </c>
    </row>
    <row r="5" spans="1:52">
      <c r="A5">
        <f t="shared" si="3"/>
        <v>4</v>
      </c>
      <c r="B5" s="3">
        <v>45987.568634259304</v>
      </c>
      <c r="C5" s="3">
        <v>45987.571041666699</v>
      </c>
      <c r="D5" t="s">
        <v>53</v>
      </c>
      <c r="G5" t="s">
        <v>54</v>
      </c>
      <c r="H5" t="s">
        <v>55</v>
      </c>
      <c r="I5" t="s">
        <v>56</v>
      </c>
      <c r="J5" t="s">
        <v>62</v>
      </c>
      <c r="K5" t="s">
        <v>62</v>
      </c>
      <c r="L5" t="s">
        <v>61</v>
      </c>
      <c r="M5" t="s">
        <v>61</v>
      </c>
      <c r="N5">
        <v>2</v>
      </c>
      <c r="O5">
        <v>2</v>
      </c>
      <c r="P5">
        <v>4</v>
      </c>
      <c r="Q5">
        <v>4</v>
      </c>
      <c r="R5">
        <v>4</v>
      </c>
      <c r="S5">
        <v>4</v>
      </c>
      <c r="T5">
        <v>3</v>
      </c>
      <c r="U5">
        <v>2</v>
      </c>
      <c r="V5">
        <v>5</v>
      </c>
      <c r="W5">
        <v>5</v>
      </c>
      <c r="X5">
        <v>4</v>
      </c>
      <c r="Y5">
        <v>4</v>
      </c>
      <c r="Z5">
        <v>4</v>
      </c>
      <c r="AA5">
        <v>3</v>
      </c>
      <c r="AB5">
        <v>1</v>
      </c>
      <c r="AC5">
        <v>4</v>
      </c>
      <c r="AD5">
        <v>3</v>
      </c>
      <c r="AE5">
        <v>1</v>
      </c>
      <c r="AF5">
        <v>3</v>
      </c>
      <c r="AG5">
        <v>2</v>
      </c>
      <c r="AH5">
        <v>3</v>
      </c>
      <c r="AI5">
        <v>3</v>
      </c>
      <c r="AJ5">
        <v>3</v>
      </c>
      <c r="AK5" t="b">
        <f>Table67[[#This Row],[What is your age?]]&lt;&gt;"18 - 25"</f>
        <v>0</v>
      </c>
      <c r="AL5" t="b">
        <f t="shared" si="0"/>
        <v>0</v>
      </c>
      <c r="AM5" t="b">
        <f t="shared" si="1"/>
        <v>0</v>
      </c>
      <c r="AN5" t="b">
        <f t="shared" si="2"/>
        <v>1</v>
      </c>
      <c r="AO5" t="b">
        <f>OR(Table67[[#This Row],[Ineligible respondents]:[Inconsistent response on opposite question (3)]])</f>
        <v>1</v>
      </c>
      <c r="AP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5">
        <f>Table67[[#This Row],[Extreme Response]]/21</f>
        <v>0.19047619047619047</v>
      </c>
      <c r="AR5">
        <f>_xlfn.PERCENTILE.INC(Table67[Extrem Response Ratio (ERS)],0.9)</f>
        <v>0.61904761904761907</v>
      </c>
      <c r="AS5" t="b">
        <f>Table67[[#This Row],[Extrem Response Ratio (ERS)]]&gt;=Table67[[#This Row],[Threshold of ERS]]</f>
        <v>0</v>
      </c>
      <c r="AT5">
        <f>COUNTIF(Table67[[#This Row],[The mechanism of digital assets is difficult to understand, which discourages me from exploring it (E.g, Tokenization, Blockchain)]:[If I want to try different ways to invest, I will explore digital assets.]], 3)</f>
        <v>5</v>
      </c>
      <c r="AU5">
        <f>Table67[[#This Row],[Midpoint]]/21</f>
        <v>0.23809523809523808</v>
      </c>
      <c r="AV5">
        <f>_xlfn.PERCENTILE.INC(Table67[Midpoint ratio],0.9)</f>
        <v>0.5714285714285714</v>
      </c>
      <c r="AW5" t="b">
        <f>Table67[[#This Row],[Midpoint ratio]]&gt;=Table67[[#This Row],[Threshold of Midpoint ratio]]</f>
        <v>0</v>
      </c>
      <c r="AX5" t="b">
        <f>OR(Table67[[#This Row],[Extreme Response Style]],Table67[[#This Row],[Mid-point Response Style]])</f>
        <v>0</v>
      </c>
      <c r="AY5" t="b">
        <f>OR(Table67[[#This Row],[Delete? (Stage 1)]],Table67[[#This Row],[Delete? (Stage 2)]])</f>
        <v>1</v>
      </c>
      <c r="AZ5" t="s">
        <v>59</v>
      </c>
    </row>
    <row r="6" spans="1:52">
      <c r="A6">
        <f t="shared" si="3"/>
        <v>5</v>
      </c>
      <c r="B6" s="3">
        <v>45987.5686921296</v>
      </c>
      <c r="C6" s="3">
        <v>45987.571550925903</v>
      </c>
      <c r="D6" t="s">
        <v>53</v>
      </c>
      <c r="G6" t="s">
        <v>54</v>
      </c>
      <c r="H6" t="s">
        <v>63</v>
      </c>
      <c r="I6" t="s">
        <v>56</v>
      </c>
      <c r="J6" t="s">
        <v>60</v>
      </c>
      <c r="K6" t="s">
        <v>57</v>
      </c>
      <c r="L6" t="s">
        <v>58</v>
      </c>
      <c r="M6" t="s">
        <v>58</v>
      </c>
      <c r="N6">
        <v>4</v>
      </c>
      <c r="O6">
        <v>3</v>
      </c>
      <c r="P6">
        <v>3</v>
      </c>
      <c r="Q6">
        <v>3</v>
      </c>
      <c r="R6">
        <v>4</v>
      </c>
      <c r="S6">
        <v>4</v>
      </c>
      <c r="T6">
        <v>4</v>
      </c>
      <c r="U6">
        <v>5</v>
      </c>
      <c r="V6">
        <v>5</v>
      </c>
      <c r="W6">
        <v>5</v>
      </c>
      <c r="X6">
        <v>3</v>
      </c>
      <c r="Y6">
        <v>5</v>
      </c>
      <c r="Z6">
        <v>4</v>
      </c>
      <c r="AA6">
        <v>4</v>
      </c>
      <c r="AB6">
        <v>2</v>
      </c>
      <c r="AC6">
        <v>5</v>
      </c>
      <c r="AD6">
        <v>4</v>
      </c>
      <c r="AE6">
        <v>3</v>
      </c>
      <c r="AF6">
        <v>3</v>
      </c>
      <c r="AG6">
        <v>3</v>
      </c>
      <c r="AH6">
        <v>3</v>
      </c>
      <c r="AI6">
        <v>3</v>
      </c>
      <c r="AJ6">
        <v>3</v>
      </c>
      <c r="AK6" t="b">
        <f>Table67[[#This Row],[What is your age?]]&lt;&gt;"18 - 25"</f>
        <v>0</v>
      </c>
      <c r="AL6" t="b">
        <f t="shared" si="0"/>
        <v>0</v>
      </c>
      <c r="AM6" t="b">
        <f t="shared" si="1"/>
        <v>0</v>
      </c>
      <c r="AN6" t="b">
        <f t="shared" si="2"/>
        <v>0</v>
      </c>
      <c r="AO6" t="b">
        <f>OR(Table67[[#This Row],[Ineligible respondents]:[Inconsistent response on opposite question (3)]])</f>
        <v>0</v>
      </c>
      <c r="AP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6">
        <f>Table67[[#This Row],[Extreme Response]]/21</f>
        <v>0.23809523809523808</v>
      </c>
      <c r="AR6">
        <f>_xlfn.PERCENTILE.INC(Table67[Extrem Response Ratio (ERS)],0.9)</f>
        <v>0.61904761904761907</v>
      </c>
      <c r="AS6" t="b">
        <f>Table67[[#This Row],[Extrem Response Ratio (ERS)]]&gt;=Table67[[#This Row],[Threshold of ERS]]</f>
        <v>0</v>
      </c>
      <c r="AT6">
        <f>COUNTIF(Table67[[#This Row],[The mechanism of digital assets is difficult to understand, which discourages me from exploring it (E.g, Tokenization, Blockchain)]:[If I want to try different ways to invest, I will explore digital assets.]], 3)</f>
        <v>8</v>
      </c>
      <c r="AU6">
        <f>Table67[[#This Row],[Midpoint]]/21</f>
        <v>0.38095238095238093</v>
      </c>
      <c r="AV6">
        <f>_xlfn.PERCENTILE.INC(Table67[Midpoint ratio],0.9)</f>
        <v>0.5714285714285714</v>
      </c>
      <c r="AW6" t="b">
        <f>Table67[[#This Row],[Midpoint ratio]]&gt;=Table67[[#This Row],[Threshold of Midpoint ratio]]</f>
        <v>0</v>
      </c>
      <c r="AX6" t="b">
        <f>OR(Table67[[#This Row],[Extreme Response Style]],Table67[[#This Row],[Mid-point Response Style]])</f>
        <v>0</v>
      </c>
      <c r="AY6" t="b">
        <f>OR(Table67[[#This Row],[Delete? (Stage 1)]],Table67[[#This Row],[Delete? (Stage 2)]])</f>
        <v>0</v>
      </c>
      <c r="AZ6" t="s">
        <v>59</v>
      </c>
    </row>
    <row r="7" spans="1:52">
      <c r="A7">
        <f t="shared" si="3"/>
        <v>6</v>
      </c>
      <c r="B7" s="3">
        <v>45987.568703703699</v>
      </c>
      <c r="C7" s="3">
        <v>45987.5705787037</v>
      </c>
      <c r="D7" t="s">
        <v>53</v>
      </c>
      <c r="G7" t="s">
        <v>54</v>
      </c>
      <c r="H7" t="s">
        <v>55</v>
      </c>
      <c r="I7" t="s">
        <v>56</v>
      </c>
      <c r="J7" t="s">
        <v>62</v>
      </c>
      <c r="K7" t="s">
        <v>57</v>
      </c>
      <c r="L7" t="s">
        <v>58</v>
      </c>
      <c r="M7" t="s">
        <v>61</v>
      </c>
      <c r="N7">
        <v>5</v>
      </c>
      <c r="O7">
        <v>1</v>
      </c>
      <c r="P7">
        <v>4</v>
      </c>
      <c r="Q7">
        <v>5</v>
      </c>
      <c r="R7">
        <v>1</v>
      </c>
      <c r="S7">
        <v>2</v>
      </c>
      <c r="T7">
        <v>5</v>
      </c>
      <c r="U7">
        <v>5</v>
      </c>
      <c r="V7">
        <v>5</v>
      </c>
      <c r="W7">
        <v>5</v>
      </c>
      <c r="X7">
        <v>5</v>
      </c>
      <c r="Y7">
        <v>5</v>
      </c>
      <c r="Z7">
        <v>5</v>
      </c>
      <c r="AA7">
        <v>5</v>
      </c>
      <c r="AB7">
        <v>3</v>
      </c>
      <c r="AC7">
        <v>3</v>
      </c>
      <c r="AD7">
        <v>5</v>
      </c>
      <c r="AE7">
        <v>3</v>
      </c>
      <c r="AF7">
        <v>1</v>
      </c>
      <c r="AG7">
        <v>3</v>
      </c>
      <c r="AH7">
        <v>1</v>
      </c>
      <c r="AI7">
        <v>5</v>
      </c>
      <c r="AJ7">
        <v>5</v>
      </c>
      <c r="AK7" t="b">
        <f>Table67[[#This Row],[What is your age?]]&lt;&gt;"18 - 25"</f>
        <v>0</v>
      </c>
      <c r="AL7" t="b">
        <f t="shared" si="0"/>
        <v>0</v>
      </c>
      <c r="AM7" t="b">
        <f t="shared" si="1"/>
        <v>0</v>
      </c>
      <c r="AN7" t="b">
        <f t="shared" si="2"/>
        <v>1</v>
      </c>
      <c r="AO7" t="b">
        <f>OR(Table67[[#This Row],[Ineligible respondents]:[Inconsistent response on opposite question (3)]])</f>
        <v>1</v>
      </c>
      <c r="AP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7">
        <f>Table67[[#This Row],[Extreme Response]]/21</f>
        <v>0.7142857142857143</v>
      </c>
      <c r="AR7">
        <f>_xlfn.PERCENTILE.INC(Table67[Extrem Response Ratio (ERS)],0.9)</f>
        <v>0.61904761904761907</v>
      </c>
      <c r="AS7" t="b">
        <f>Table67[[#This Row],[Extrem Response Ratio (ERS)]]&gt;=Table67[[#This Row],[Threshold of ERS]]</f>
        <v>1</v>
      </c>
      <c r="AT7">
        <f>COUNTIF(Table67[[#This Row],[The mechanism of digital assets is difficult to understand, which discourages me from exploring it (E.g, Tokenization, Blockchain)]:[If I want to try different ways to invest, I will explore digital assets.]], 3)</f>
        <v>4</v>
      </c>
      <c r="AU7">
        <f>Table67[[#This Row],[Midpoint]]/21</f>
        <v>0.19047619047619047</v>
      </c>
      <c r="AV7">
        <f>_xlfn.PERCENTILE.INC(Table67[Midpoint ratio],0.9)</f>
        <v>0.5714285714285714</v>
      </c>
      <c r="AW7" t="b">
        <f>Table67[[#This Row],[Midpoint ratio]]&gt;=Table67[[#This Row],[Threshold of Midpoint ratio]]</f>
        <v>0</v>
      </c>
      <c r="AX7" t="b">
        <f>OR(Table67[[#This Row],[Extreme Response Style]],Table67[[#This Row],[Mid-point Response Style]])</f>
        <v>1</v>
      </c>
      <c r="AY7" t="b">
        <f>OR(Table67[[#This Row],[Delete? (Stage 1)]],Table67[[#This Row],[Delete? (Stage 2)]])</f>
        <v>1</v>
      </c>
      <c r="AZ7" t="s">
        <v>59</v>
      </c>
    </row>
    <row r="8" spans="1:52">
      <c r="A8">
        <f t="shared" si="3"/>
        <v>7</v>
      </c>
      <c r="B8" s="3">
        <v>45987.568715277797</v>
      </c>
      <c r="C8" s="3">
        <v>45987.571990740696</v>
      </c>
      <c r="D8" t="s">
        <v>53</v>
      </c>
      <c r="G8" t="s">
        <v>54</v>
      </c>
      <c r="H8" t="s">
        <v>63</v>
      </c>
      <c r="I8" t="s">
        <v>56</v>
      </c>
      <c r="J8" t="s">
        <v>60</v>
      </c>
      <c r="K8" t="s">
        <v>57</v>
      </c>
      <c r="L8" t="s">
        <v>58</v>
      </c>
      <c r="M8" t="s">
        <v>61</v>
      </c>
      <c r="N8">
        <v>2</v>
      </c>
      <c r="O8">
        <v>3</v>
      </c>
      <c r="P8">
        <v>2</v>
      </c>
      <c r="Q8">
        <v>2</v>
      </c>
      <c r="R8">
        <v>1</v>
      </c>
      <c r="S8">
        <v>4</v>
      </c>
      <c r="T8">
        <v>2</v>
      </c>
      <c r="U8">
        <v>4</v>
      </c>
      <c r="V8">
        <v>4</v>
      </c>
      <c r="W8">
        <v>4</v>
      </c>
      <c r="X8">
        <v>3</v>
      </c>
      <c r="Y8">
        <v>3</v>
      </c>
      <c r="Z8">
        <v>4</v>
      </c>
      <c r="AA8">
        <v>2</v>
      </c>
      <c r="AB8">
        <v>2</v>
      </c>
      <c r="AC8">
        <v>4</v>
      </c>
      <c r="AD8">
        <v>4</v>
      </c>
      <c r="AE8">
        <v>2</v>
      </c>
      <c r="AF8">
        <v>4</v>
      </c>
      <c r="AG8">
        <v>3</v>
      </c>
      <c r="AH8">
        <v>4</v>
      </c>
      <c r="AI8">
        <v>2</v>
      </c>
      <c r="AJ8">
        <v>2</v>
      </c>
      <c r="AK8" t="b">
        <f>Table67[[#This Row],[What is your age?]]&lt;&gt;"18 - 25"</f>
        <v>0</v>
      </c>
      <c r="AL8" t="b">
        <f t="shared" si="0"/>
        <v>0</v>
      </c>
      <c r="AM8" t="b">
        <f t="shared" si="1"/>
        <v>0</v>
      </c>
      <c r="AN8" t="b">
        <f t="shared" si="2"/>
        <v>1</v>
      </c>
      <c r="AO8" t="b">
        <f>OR(Table67[[#This Row],[Ineligible respondents]:[Inconsistent response on opposite question (3)]])</f>
        <v>1</v>
      </c>
      <c r="AP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8">
        <f>Table67[[#This Row],[Extreme Response]]/21</f>
        <v>4.7619047619047616E-2</v>
      </c>
      <c r="AR8">
        <f>_xlfn.PERCENTILE.INC(Table67[Extrem Response Ratio (ERS)],0.9)</f>
        <v>0.61904761904761907</v>
      </c>
      <c r="AS8" t="b">
        <f>Table67[[#This Row],[Extrem Response Ratio (ERS)]]&gt;=Table67[[#This Row],[Threshold of ERS]]</f>
        <v>0</v>
      </c>
      <c r="AT8">
        <f>COUNTIF(Table67[[#This Row],[The mechanism of digital assets is difficult to understand, which discourages me from exploring it (E.g, Tokenization, Blockchain)]:[If I want to try different ways to invest, I will explore digital assets.]], 3)</f>
        <v>4</v>
      </c>
      <c r="AU8">
        <f>Table67[[#This Row],[Midpoint]]/21</f>
        <v>0.19047619047619047</v>
      </c>
      <c r="AV8">
        <f>_xlfn.PERCENTILE.INC(Table67[Midpoint ratio],0.9)</f>
        <v>0.5714285714285714</v>
      </c>
      <c r="AW8" t="b">
        <f>Table67[[#This Row],[Midpoint ratio]]&gt;=Table67[[#This Row],[Threshold of Midpoint ratio]]</f>
        <v>0</v>
      </c>
      <c r="AX8" t="b">
        <f>OR(Table67[[#This Row],[Extreme Response Style]],Table67[[#This Row],[Mid-point Response Style]])</f>
        <v>0</v>
      </c>
      <c r="AY8" t="b">
        <f>OR(Table67[[#This Row],[Delete? (Stage 1)]],Table67[[#This Row],[Delete? (Stage 2)]])</f>
        <v>1</v>
      </c>
      <c r="AZ8" t="s">
        <v>59</v>
      </c>
    </row>
    <row r="9" spans="1:52">
      <c r="A9">
        <f t="shared" si="3"/>
        <v>8</v>
      </c>
      <c r="B9" s="3">
        <v>45987.568796296298</v>
      </c>
      <c r="C9" s="3">
        <v>45987.573321759301</v>
      </c>
      <c r="D9" t="s">
        <v>53</v>
      </c>
      <c r="G9" t="s">
        <v>54</v>
      </c>
      <c r="H9" t="s">
        <v>55</v>
      </c>
      <c r="I9" t="s">
        <v>56</v>
      </c>
      <c r="J9" t="s">
        <v>64</v>
      </c>
      <c r="K9" t="s">
        <v>57</v>
      </c>
      <c r="L9" t="s">
        <v>61</v>
      </c>
      <c r="M9" t="s">
        <v>61</v>
      </c>
      <c r="N9">
        <v>3</v>
      </c>
      <c r="O9">
        <v>3</v>
      </c>
      <c r="P9">
        <v>3</v>
      </c>
      <c r="Q9">
        <v>3</v>
      </c>
      <c r="R9">
        <v>3</v>
      </c>
      <c r="S9">
        <v>3</v>
      </c>
      <c r="T9">
        <v>4</v>
      </c>
      <c r="U9">
        <v>4</v>
      </c>
      <c r="V9">
        <v>4</v>
      </c>
      <c r="W9">
        <v>4</v>
      </c>
      <c r="X9">
        <v>4</v>
      </c>
      <c r="Y9">
        <v>4</v>
      </c>
      <c r="Z9">
        <v>4</v>
      </c>
      <c r="AA9">
        <v>4</v>
      </c>
      <c r="AB9">
        <v>4</v>
      </c>
      <c r="AC9">
        <v>4</v>
      </c>
      <c r="AD9">
        <v>4</v>
      </c>
      <c r="AE9">
        <v>4</v>
      </c>
      <c r="AF9">
        <v>2</v>
      </c>
      <c r="AG9">
        <v>4</v>
      </c>
      <c r="AH9">
        <v>2</v>
      </c>
      <c r="AI9">
        <v>4</v>
      </c>
      <c r="AJ9">
        <v>4</v>
      </c>
      <c r="AK9" t="b">
        <f>Table67[[#This Row],[What is your age?]]&lt;&gt;"18 - 25"</f>
        <v>0</v>
      </c>
      <c r="AL9" t="b">
        <f t="shared" si="0"/>
        <v>0</v>
      </c>
      <c r="AM9" t="b">
        <f t="shared" si="1"/>
        <v>0</v>
      </c>
      <c r="AN9" t="b">
        <f t="shared" si="2"/>
        <v>0</v>
      </c>
      <c r="AO9" t="b">
        <f>OR(Table67[[#This Row],[Ineligible respondents]:[Inconsistent response on opposite question (3)]])</f>
        <v>0</v>
      </c>
      <c r="AP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9">
        <f>Table67[[#This Row],[Extreme Response]]/21</f>
        <v>0</v>
      </c>
      <c r="AR9">
        <f>_xlfn.PERCENTILE.INC(Table67[Extrem Response Ratio (ERS)],0.9)</f>
        <v>0.61904761904761907</v>
      </c>
      <c r="AS9" t="b">
        <f>Table67[[#This Row],[Extrem Response Ratio (ERS)]]&gt;=Table67[[#This Row],[Threshold of ERS]]</f>
        <v>0</v>
      </c>
      <c r="AT9">
        <f>COUNTIF(Table67[[#This Row],[The mechanism of digital assets is difficult to understand, which discourages me from exploring it (E.g, Tokenization, Blockchain)]:[If I want to try different ways to invest, I will explore digital assets.]], 3)</f>
        <v>6</v>
      </c>
      <c r="AU9">
        <f>Table67[[#This Row],[Midpoint]]/21</f>
        <v>0.2857142857142857</v>
      </c>
      <c r="AV9">
        <f>_xlfn.PERCENTILE.INC(Table67[Midpoint ratio],0.9)</f>
        <v>0.5714285714285714</v>
      </c>
      <c r="AW9" t="b">
        <f>Table67[[#This Row],[Midpoint ratio]]&gt;=Table67[[#This Row],[Threshold of Midpoint ratio]]</f>
        <v>0</v>
      </c>
      <c r="AX9" t="b">
        <f>OR(Table67[[#This Row],[Extreme Response Style]],Table67[[#This Row],[Mid-point Response Style]])</f>
        <v>0</v>
      </c>
      <c r="AY9" t="b">
        <f>OR(Table67[[#This Row],[Delete? (Stage 1)]],Table67[[#This Row],[Delete? (Stage 2)]])</f>
        <v>0</v>
      </c>
      <c r="AZ9" t="s">
        <v>59</v>
      </c>
    </row>
    <row r="10" spans="1:52">
      <c r="A10">
        <f t="shared" si="3"/>
        <v>9</v>
      </c>
      <c r="B10" s="3">
        <v>45987.568807870397</v>
      </c>
      <c r="C10" s="3">
        <v>45987.571689814802</v>
      </c>
      <c r="D10" t="s">
        <v>53</v>
      </c>
      <c r="G10" t="s">
        <v>54</v>
      </c>
      <c r="H10" t="s">
        <v>55</v>
      </c>
      <c r="I10" t="s">
        <v>56</v>
      </c>
      <c r="J10" t="s">
        <v>65</v>
      </c>
      <c r="K10" t="s">
        <v>66</v>
      </c>
      <c r="L10" t="s">
        <v>61</v>
      </c>
      <c r="M10" t="s">
        <v>61</v>
      </c>
      <c r="N10">
        <v>4</v>
      </c>
      <c r="O10">
        <v>2</v>
      </c>
      <c r="P10">
        <v>4</v>
      </c>
      <c r="Q10">
        <v>5</v>
      </c>
      <c r="R10">
        <v>4</v>
      </c>
      <c r="S10">
        <v>4</v>
      </c>
      <c r="T10">
        <v>4</v>
      </c>
      <c r="U10">
        <v>5</v>
      </c>
      <c r="V10">
        <v>5</v>
      </c>
      <c r="W10">
        <v>5</v>
      </c>
      <c r="X10">
        <v>4</v>
      </c>
      <c r="Y10">
        <v>4</v>
      </c>
      <c r="Z10">
        <v>5</v>
      </c>
      <c r="AA10">
        <v>4</v>
      </c>
      <c r="AB10">
        <v>2</v>
      </c>
      <c r="AC10">
        <v>5</v>
      </c>
      <c r="AD10">
        <v>3</v>
      </c>
      <c r="AE10">
        <v>4</v>
      </c>
      <c r="AF10">
        <v>3</v>
      </c>
      <c r="AG10">
        <v>4</v>
      </c>
      <c r="AH10">
        <v>4</v>
      </c>
      <c r="AI10">
        <v>2</v>
      </c>
      <c r="AJ10">
        <v>3</v>
      </c>
      <c r="AK10" t="b">
        <f>Table67[[#This Row],[What is your age?]]&lt;&gt;"18 - 25"</f>
        <v>0</v>
      </c>
      <c r="AL10" t="b">
        <f t="shared" si="0"/>
        <v>0</v>
      </c>
      <c r="AM10" t="b">
        <f t="shared" si="1"/>
        <v>1</v>
      </c>
      <c r="AN10" t="b">
        <f t="shared" si="2"/>
        <v>0</v>
      </c>
      <c r="AO10" t="b">
        <f>OR(Table67[[#This Row],[Ineligible respondents]:[Inconsistent response on opposite question (3)]])</f>
        <v>1</v>
      </c>
      <c r="AP1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0">
        <f>Table67[[#This Row],[Extreme Response]]/21</f>
        <v>0.2857142857142857</v>
      </c>
      <c r="AR10">
        <f>_xlfn.PERCENTILE.INC(Table67[Extrem Response Ratio (ERS)],0.9)</f>
        <v>0.61904761904761907</v>
      </c>
      <c r="AS10" t="b">
        <f>Table67[[#This Row],[Extrem Response Ratio (ERS)]]&gt;=Table67[[#This Row],[Threshold of ERS]]</f>
        <v>0</v>
      </c>
      <c r="AT10">
        <f>COUNTIF(Table67[[#This Row],[The mechanism of digital assets is difficult to understand, which discourages me from exploring it (E.g, Tokenization, Blockchain)]:[If I want to try different ways to invest, I will explore digital assets.]], 3)</f>
        <v>2</v>
      </c>
      <c r="AU10">
        <f>Table67[[#This Row],[Midpoint]]/21</f>
        <v>9.5238095238095233E-2</v>
      </c>
      <c r="AV10">
        <f>_xlfn.PERCENTILE.INC(Table67[Midpoint ratio],0.9)</f>
        <v>0.5714285714285714</v>
      </c>
      <c r="AW10" t="b">
        <f>Table67[[#This Row],[Midpoint ratio]]&gt;=Table67[[#This Row],[Threshold of Midpoint ratio]]</f>
        <v>0</v>
      </c>
      <c r="AX10" t="b">
        <f>OR(Table67[[#This Row],[Extreme Response Style]],Table67[[#This Row],[Mid-point Response Style]])</f>
        <v>0</v>
      </c>
      <c r="AY10" t="b">
        <f>OR(Table67[[#This Row],[Delete? (Stage 1)]],Table67[[#This Row],[Delete? (Stage 2)]])</f>
        <v>1</v>
      </c>
      <c r="AZ10" t="s">
        <v>59</v>
      </c>
    </row>
    <row r="11" spans="1:52">
      <c r="A11">
        <f t="shared" si="3"/>
        <v>10</v>
      </c>
      <c r="B11" s="3">
        <v>45987.5688310185</v>
      </c>
      <c r="C11" s="3">
        <v>45987.571909722203</v>
      </c>
      <c r="D11" t="s">
        <v>53</v>
      </c>
      <c r="G11" t="s">
        <v>54</v>
      </c>
      <c r="H11" t="s">
        <v>63</v>
      </c>
      <c r="I11" t="s">
        <v>56</v>
      </c>
      <c r="J11" t="s">
        <v>60</v>
      </c>
      <c r="K11" t="s">
        <v>60</v>
      </c>
      <c r="L11" t="s">
        <v>61</v>
      </c>
      <c r="M11" t="s">
        <v>61</v>
      </c>
      <c r="N11">
        <v>4</v>
      </c>
      <c r="O11">
        <v>1</v>
      </c>
      <c r="P11">
        <v>4</v>
      </c>
      <c r="Q11">
        <v>4</v>
      </c>
      <c r="R11">
        <v>5</v>
      </c>
      <c r="S11">
        <v>4</v>
      </c>
      <c r="T11">
        <v>2</v>
      </c>
      <c r="U11">
        <v>3</v>
      </c>
      <c r="V11">
        <v>5</v>
      </c>
      <c r="W11">
        <v>5</v>
      </c>
      <c r="X11">
        <v>4</v>
      </c>
      <c r="Y11">
        <v>5</v>
      </c>
      <c r="Z11">
        <v>5</v>
      </c>
      <c r="AA11">
        <v>4</v>
      </c>
      <c r="AB11">
        <v>2</v>
      </c>
      <c r="AC11">
        <v>3</v>
      </c>
      <c r="AD11">
        <v>2</v>
      </c>
      <c r="AE11">
        <v>4</v>
      </c>
      <c r="AF11">
        <v>3</v>
      </c>
      <c r="AG11">
        <v>5</v>
      </c>
      <c r="AH11">
        <v>3</v>
      </c>
      <c r="AI11">
        <v>3</v>
      </c>
      <c r="AJ11">
        <v>3</v>
      </c>
      <c r="AK11" t="b">
        <f>Table67[[#This Row],[What is your age?]]&lt;&gt;"18 - 25"</f>
        <v>0</v>
      </c>
      <c r="AL11" t="b">
        <f t="shared" si="0"/>
        <v>0</v>
      </c>
      <c r="AM11" t="b">
        <f t="shared" si="1"/>
        <v>0</v>
      </c>
      <c r="AN11" t="b">
        <f t="shared" si="2"/>
        <v>1</v>
      </c>
      <c r="AO11" t="b">
        <f>OR(Table67[[#This Row],[Ineligible respondents]:[Inconsistent response on opposite question (3)]])</f>
        <v>1</v>
      </c>
      <c r="AP1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1">
        <f>Table67[[#This Row],[Extreme Response]]/21</f>
        <v>0.33333333333333331</v>
      </c>
      <c r="AR11">
        <f>_xlfn.PERCENTILE.INC(Table67[Extrem Response Ratio (ERS)],0.9)</f>
        <v>0.61904761904761907</v>
      </c>
      <c r="AS11" t="b">
        <f>Table67[[#This Row],[Extrem Response Ratio (ERS)]]&gt;=Table67[[#This Row],[Threshold of ERS]]</f>
        <v>0</v>
      </c>
      <c r="AT11">
        <f>COUNTIF(Table67[[#This Row],[The mechanism of digital assets is difficult to understand, which discourages me from exploring it (E.g, Tokenization, Blockchain)]:[If I want to try different ways to invest, I will explore digital assets.]], 3)</f>
        <v>4</v>
      </c>
      <c r="AU11">
        <f>Table67[[#This Row],[Midpoint]]/21</f>
        <v>0.19047619047619047</v>
      </c>
      <c r="AV11">
        <f>_xlfn.PERCENTILE.INC(Table67[Midpoint ratio],0.9)</f>
        <v>0.5714285714285714</v>
      </c>
      <c r="AW11" t="b">
        <f>Table67[[#This Row],[Midpoint ratio]]&gt;=Table67[[#This Row],[Threshold of Midpoint ratio]]</f>
        <v>0</v>
      </c>
      <c r="AX11" t="b">
        <f>OR(Table67[[#This Row],[Extreme Response Style]],Table67[[#This Row],[Mid-point Response Style]])</f>
        <v>0</v>
      </c>
      <c r="AY11" t="b">
        <f>OR(Table67[[#This Row],[Delete? (Stage 1)]],Table67[[#This Row],[Delete? (Stage 2)]])</f>
        <v>1</v>
      </c>
      <c r="AZ11" t="s">
        <v>59</v>
      </c>
    </row>
    <row r="12" spans="1:52">
      <c r="A12">
        <f t="shared" si="3"/>
        <v>11</v>
      </c>
      <c r="B12" s="3">
        <v>45987.5688310185</v>
      </c>
      <c r="C12" s="3">
        <v>45987.569837962998</v>
      </c>
      <c r="D12" t="s">
        <v>53</v>
      </c>
      <c r="G12" t="s">
        <v>54</v>
      </c>
      <c r="H12" t="s">
        <v>55</v>
      </c>
      <c r="I12" t="s">
        <v>56</v>
      </c>
      <c r="J12" t="s">
        <v>65</v>
      </c>
      <c r="K12" t="s">
        <v>62</v>
      </c>
      <c r="L12" t="s">
        <v>61</v>
      </c>
      <c r="M12" t="s">
        <v>61</v>
      </c>
      <c r="N12">
        <v>4</v>
      </c>
      <c r="O12">
        <v>3</v>
      </c>
      <c r="P12">
        <v>4</v>
      </c>
      <c r="Q12">
        <v>4</v>
      </c>
      <c r="R12">
        <v>3</v>
      </c>
      <c r="S12">
        <v>3</v>
      </c>
      <c r="T12">
        <v>3</v>
      </c>
      <c r="U12">
        <v>3</v>
      </c>
      <c r="V12">
        <v>3</v>
      </c>
      <c r="W12">
        <v>3</v>
      </c>
      <c r="X12">
        <v>3</v>
      </c>
      <c r="Y12">
        <v>3</v>
      </c>
      <c r="Z12">
        <v>3</v>
      </c>
      <c r="AA12">
        <v>3</v>
      </c>
      <c r="AB12">
        <v>3</v>
      </c>
      <c r="AC12">
        <v>3</v>
      </c>
      <c r="AD12">
        <v>3</v>
      </c>
      <c r="AE12">
        <v>3</v>
      </c>
      <c r="AF12">
        <v>3</v>
      </c>
      <c r="AG12">
        <v>3</v>
      </c>
      <c r="AH12">
        <v>3</v>
      </c>
      <c r="AI12">
        <v>3</v>
      </c>
      <c r="AJ12">
        <v>3</v>
      </c>
      <c r="AK12" t="b">
        <f>Table67[[#This Row],[What is your age?]]&lt;&gt;"18 - 25"</f>
        <v>0</v>
      </c>
      <c r="AL12" t="b">
        <f t="shared" si="0"/>
        <v>0</v>
      </c>
      <c r="AM12" t="b">
        <f t="shared" si="1"/>
        <v>0</v>
      </c>
      <c r="AN12" t="b">
        <f t="shared" si="2"/>
        <v>0</v>
      </c>
      <c r="AO12" t="b">
        <f>OR(Table67[[#This Row],[Ineligible respondents]:[Inconsistent response on opposite question (3)]])</f>
        <v>0</v>
      </c>
      <c r="AP1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2">
        <f>Table67[[#This Row],[Extreme Response]]/21</f>
        <v>0</v>
      </c>
      <c r="AR12">
        <f>_xlfn.PERCENTILE.INC(Table67[Extrem Response Ratio (ERS)],0.9)</f>
        <v>0.61904761904761907</v>
      </c>
      <c r="AS12" t="b">
        <f>Table67[[#This Row],[Extrem Response Ratio (ERS)]]&gt;=Table67[[#This Row],[Threshold of ERS]]</f>
        <v>0</v>
      </c>
      <c r="AT12">
        <f>COUNTIF(Table67[[#This Row],[The mechanism of digital assets is difficult to understand, which discourages me from exploring it (E.g, Tokenization, Blockchain)]:[If I want to try different ways to invest, I will explore digital assets.]], 3)</f>
        <v>18</v>
      </c>
      <c r="AU12">
        <f>Table67[[#This Row],[Midpoint]]/21</f>
        <v>0.8571428571428571</v>
      </c>
      <c r="AV12">
        <f>_xlfn.PERCENTILE.INC(Table67[Midpoint ratio],0.9)</f>
        <v>0.5714285714285714</v>
      </c>
      <c r="AW12" t="b">
        <f>Table67[[#This Row],[Midpoint ratio]]&gt;=Table67[[#This Row],[Threshold of Midpoint ratio]]</f>
        <v>1</v>
      </c>
      <c r="AX12" t="b">
        <f>OR(Table67[[#This Row],[Extreme Response Style]],Table67[[#This Row],[Mid-point Response Style]])</f>
        <v>1</v>
      </c>
      <c r="AY12" t="b">
        <f>OR(Table67[[#This Row],[Delete? (Stage 1)]],Table67[[#This Row],[Delete? (Stage 2)]])</f>
        <v>1</v>
      </c>
      <c r="AZ12" t="s">
        <v>59</v>
      </c>
    </row>
    <row r="13" spans="1:52">
      <c r="A13">
        <f t="shared" si="3"/>
        <v>12</v>
      </c>
      <c r="B13" s="3">
        <v>45987.568842592598</v>
      </c>
      <c r="C13" s="3">
        <v>45987.570127314801</v>
      </c>
      <c r="D13" t="s">
        <v>53</v>
      </c>
      <c r="G13" t="s">
        <v>54</v>
      </c>
      <c r="H13" t="s">
        <v>63</v>
      </c>
      <c r="I13" t="s">
        <v>56</v>
      </c>
      <c r="J13" t="s">
        <v>60</v>
      </c>
      <c r="K13" t="s">
        <v>57</v>
      </c>
      <c r="L13" t="s">
        <v>58</v>
      </c>
      <c r="M13" t="s">
        <v>61</v>
      </c>
      <c r="N13">
        <v>4</v>
      </c>
      <c r="O13">
        <v>4</v>
      </c>
      <c r="P13">
        <v>4</v>
      </c>
      <c r="Q13">
        <v>4</v>
      </c>
      <c r="R13">
        <v>4</v>
      </c>
      <c r="S13">
        <v>4</v>
      </c>
      <c r="T13">
        <v>4</v>
      </c>
      <c r="U13">
        <v>4</v>
      </c>
      <c r="V13">
        <v>4</v>
      </c>
      <c r="W13">
        <v>4</v>
      </c>
      <c r="X13">
        <v>3</v>
      </c>
      <c r="Y13">
        <v>3</v>
      </c>
      <c r="Z13">
        <v>3</v>
      </c>
      <c r="AA13">
        <v>3</v>
      </c>
      <c r="AB13">
        <v>3</v>
      </c>
      <c r="AC13">
        <v>3</v>
      </c>
      <c r="AD13">
        <v>3</v>
      </c>
      <c r="AE13">
        <v>3</v>
      </c>
      <c r="AF13">
        <v>3</v>
      </c>
      <c r="AG13">
        <v>3</v>
      </c>
      <c r="AH13">
        <v>3</v>
      </c>
      <c r="AI13">
        <v>3</v>
      </c>
      <c r="AJ13">
        <v>3</v>
      </c>
      <c r="AK13" t="b">
        <f>Table67[[#This Row],[What is your age?]]&lt;&gt;"18 - 25"</f>
        <v>0</v>
      </c>
      <c r="AL13" t="b">
        <f t="shared" si="0"/>
        <v>0</v>
      </c>
      <c r="AM13" t="b">
        <f t="shared" si="1"/>
        <v>0</v>
      </c>
      <c r="AN13" t="b">
        <f t="shared" si="2"/>
        <v>0</v>
      </c>
      <c r="AO13" t="b">
        <f>OR(Table67[[#This Row],[Ineligible respondents]:[Inconsistent response on opposite question (3)]])</f>
        <v>0</v>
      </c>
      <c r="AP1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3">
        <f>Table67[[#This Row],[Extreme Response]]/21</f>
        <v>0</v>
      </c>
      <c r="AR13">
        <f>_xlfn.PERCENTILE.INC(Table67[Extrem Response Ratio (ERS)],0.9)</f>
        <v>0.61904761904761907</v>
      </c>
      <c r="AS13" t="b">
        <f>Table67[[#This Row],[Extrem Response Ratio (ERS)]]&gt;=Table67[[#This Row],[Threshold of ERS]]</f>
        <v>0</v>
      </c>
      <c r="AT13">
        <f>COUNTIF(Table67[[#This Row],[The mechanism of digital assets is difficult to understand, which discourages me from exploring it (E.g, Tokenization, Blockchain)]:[If I want to try different ways to invest, I will explore digital assets.]], 3)</f>
        <v>11</v>
      </c>
      <c r="AU13">
        <f>Table67[[#This Row],[Midpoint]]/21</f>
        <v>0.52380952380952384</v>
      </c>
      <c r="AV13">
        <f>_xlfn.PERCENTILE.INC(Table67[Midpoint ratio],0.9)</f>
        <v>0.5714285714285714</v>
      </c>
      <c r="AW13" t="b">
        <f>Table67[[#This Row],[Midpoint ratio]]&gt;=Table67[[#This Row],[Threshold of Midpoint ratio]]</f>
        <v>0</v>
      </c>
      <c r="AX13" t="b">
        <f>OR(Table67[[#This Row],[Extreme Response Style]],Table67[[#This Row],[Mid-point Response Style]])</f>
        <v>0</v>
      </c>
      <c r="AY13" t="b">
        <f>OR(Table67[[#This Row],[Delete? (Stage 1)]],Table67[[#This Row],[Delete? (Stage 2)]])</f>
        <v>0</v>
      </c>
      <c r="AZ13" t="s">
        <v>59</v>
      </c>
    </row>
    <row r="14" spans="1:52">
      <c r="A14">
        <f t="shared" si="3"/>
        <v>13</v>
      </c>
      <c r="B14" s="3">
        <v>45987.568993055596</v>
      </c>
      <c r="C14" s="3">
        <v>45987.570798611101</v>
      </c>
      <c r="D14" t="s">
        <v>53</v>
      </c>
      <c r="G14" t="s">
        <v>54</v>
      </c>
      <c r="H14" t="s">
        <v>63</v>
      </c>
      <c r="I14" t="s">
        <v>56</v>
      </c>
      <c r="J14" t="s">
        <v>62</v>
      </c>
      <c r="K14" t="s">
        <v>57</v>
      </c>
      <c r="L14" t="s">
        <v>61</v>
      </c>
      <c r="M14" t="s">
        <v>58</v>
      </c>
      <c r="N14">
        <v>3</v>
      </c>
      <c r="O14">
        <v>3</v>
      </c>
      <c r="P14">
        <v>4</v>
      </c>
      <c r="Q14">
        <v>3</v>
      </c>
      <c r="R14">
        <v>5</v>
      </c>
      <c r="S14">
        <v>4</v>
      </c>
      <c r="T14">
        <v>3</v>
      </c>
      <c r="U14">
        <v>4</v>
      </c>
      <c r="V14">
        <v>4</v>
      </c>
      <c r="W14">
        <v>3</v>
      </c>
      <c r="X14">
        <v>4</v>
      </c>
      <c r="Y14">
        <v>3</v>
      </c>
      <c r="Z14">
        <v>4</v>
      </c>
      <c r="AA14">
        <v>4</v>
      </c>
      <c r="AB14">
        <v>2</v>
      </c>
      <c r="AC14">
        <v>4</v>
      </c>
      <c r="AD14">
        <v>4</v>
      </c>
      <c r="AE14">
        <v>3</v>
      </c>
      <c r="AF14">
        <v>3</v>
      </c>
      <c r="AG14">
        <v>3</v>
      </c>
      <c r="AH14">
        <v>4</v>
      </c>
      <c r="AI14">
        <v>2</v>
      </c>
      <c r="AJ14">
        <v>3</v>
      </c>
      <c r="AK14" t="b">
        <f>Table67[[#This Row],[What is your age?]]&lt;&gt;"18 - 25"</f>
        <v>0</v>
      </c>
      <c r="AL14" t="b">
        <f t="shared" si="0"/>
        <v>0</v>
      </c>
      <c r="AM14" t="b">
        <f t="shared" si="1"/>
        <v>0</v>
      </c>
      <c r="AN14" t="b">
        <f t="shared" si="2"/>
        <v>1</v>
      </c>
      <c r="AO14" t="b">
        <f>OR(Table67[[#This Row],[Ineligible respondents]:[Inconsistent response on opposite question (3)]])</f>
        <v>1</v>
      </c>
      <c r="AP1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4">
        <f>Table67[[#This Row],[Extreme Response]]/21</f>
        <v>4.7619047619047616E-2</v>
      </c>
      <c r="AR14">
        <f>_xlfn.PERCENTILE.INC(Table67[Extrem Response Ratio (ERS)],0.9)</f>
        <v>0.61904761904761907</v>
      </c>
      <c r="AS14" t="b">
        <f>Table67[[#This Row],[Extrem Response Ratio (ERS)]]&gt;=Table67[[#This Row],[Threshold of ERS]]</f>
        <v>0</v>
      </c>
      <c r="AT14">
        <f>COUNTIF(Table67[[#This Row],[The mechanism of digital assets is difficult to understand, which discourages me from exploring it (E.g, Tokenization, Blockchain)]:[If I want to try different ways to invest, I will explore digital assets.]], 3)</f>
        <v>9</v>
      </c>
      <c r="AU14">
        <f>Table67[[#This Row],[Midpoint]]/21</f>
        <v>0.42857142857142855</v>
      </c>
      <c r="AV14">
        <f>_xlfn.PERCENTILE.INC(Table67[Midpoint ratio],0.9)</f>
        <v>0.5714285714285714</v>
      </c>
      <c r="AW14" t="b">
        <f>Table67[[#This Row],[Midpoint ratio]]&gt;=Table67[[#This Row],[Threshold of Midpoint ratio]]</f>
        <v>0</v>
      </c>
      <c r="AX14" t="b">
        <f>OR(Table67[[#This Row],[Extreme Response Style]],Table67[[#This Row],[Mid-point Response Style]])</f>
        <v>0</v>
      </c>
      <c r="AY14" t="b">
        <f>OR(Table67[[#This Row],[Delete? (Stage 1)]],Table67[[#This Row],[Delete? (Stage 2)]])</f>
        <v>1</v>
      </c>
      <c r="AZ14" t="s">
        <v>59</v>
      </c>
    </row>
    <row r="15" spans="1:52">
      <c r="A15">
        <f t="shared" si="3"/>
        <v>14</v>
      </c>
      <c r="B15" s="3">
        <v>45988.058923611097</v>
      </c>
      <c r="C15" s="3">
        <v>45988.064004629603</v>
      </c>
      <c r="D15" t="s">
        <v>53</v>
      </c>
      <c r="G15" t="s">
        <v>54</v>
      </c>
      <c r="H15" t="s">
        <v>63</v>
      </c>
      <c r="I15" t="s">
        <v>56</v>
      </c>
      <c r="J15" t="s">
        <v>60</v>
      </c>
      <c r="K15" t="s">
        <v>57</v>
      </c>
      <c r="L15" t="s">
        <v>58</v>
      </c>
      <c r="M15" t="s">
        <v>58</v>
      </c>
      <c r="N15">
        <v>4</v>
      </c>
      <c r="O15">
        <v>2</v>
      </c>
      <c r="P15">
        <v>4</v>
      </c>
      <c r="Q15">
        <v>4</v>
      </c>
      <c r="R15">
        <v>4</v>
      </c>
      <c r="S15">
        <v>4</v>
      </c>
      <c r="T15">
        <v>2</v>
      </c>
      <c r="U15">
        <v>4</v>
      </c>
      <c r="V15">
        <v>4</v>
      </c>
      <c r="W15">
        <v>4</v>
      </c>
      <c r="X15">
        <v>3</v>
      </c>
      <c r="Y15">
        <v>4</v>
      </c>
      <c r="Z15">
        <v>4</v>
      </c>
      <c r="AA15">
        <v>4</v>
      </c>
      <c r="AB15">
        <v>2</v>
      </c>
      <c r="AC15">
        <v>4</v>
      </c>
      <c r="AD15">
        <v>4</v>
      </c>
      <c r="AE15">
        <v>2</v>
      </c>
      <c r="AF15">
        <v>2</v>
      </c>
      <c r="AG15">
        <v>4</v>
      </c>
      <c r="AH15">
        <v>2</v>
      </c>
      <c r="AI15">
        <v>4</v>
      </c>
      <c r="AJ15">
        <v>4</v>
      </c>
      <c r="AK15" t="b">
        <f>Table67[[#This Row],[What is your age?]]&lt;&gt;"18 - 25"</f>
        <v>0</v>
      </c>
      <c r="AL15" t="b">
        <f t="shared" si="0"/>
        <v>0</v>
      </c>
      <c r="AM15" t="b">
        <f t="shared" si="1"/>
        <v>0</v>
      </c>
      <c r="AN15" t="b">
        <f t="shared" si="2"/>
        <v>0</v>
      </c>
      <c r="AO15" t="b">
        <f>OR(Table67[[#This Row],[Ineligible respondents]:[Inconsistent response on opposite question (3)]])</f>
        <v>0</v>
      </c>
      <c r="AP1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5">
        <f>Table67[[#This Row],[Extreme Response]]/21</f>
        <v>0</v>
      </c>
      <c r="AR15">
        <f>_xlfn.PERCENTILE.INC(Table67[Extrem Response Ratio (ERS)],0.9)</f>
        <v>0.61904761904761907</v>
      </c>
      <c r="AS15" t="b">
        <f>Table67[[#This Row],[Extrem Response Ratio (ERS)]]&gt;=Table67[[#This Row],[Threshold of ERS]]</f>
        <v>0</v>
      </c>
      <c r="AT15">
        <f>COUNTIF(Table67[[#This Row],[The mechanism of digital assets is difficult to understand, which discourages me from exploring it (E.g, Tokenization, Blockchain)]:[If I want to try different ways to invest, I will explore digital assets.]], 3)</f>
        <v>1</v>
      </c>
      <c r="AU15">
        <f>Table67[[#This Row],[Midpoint]]/21</f>
        <v>4.7619047619047616E-2</v>
      </c>
      <c r="AV15">
        <f>_xlfn.PERCENTILE.INC(Table67[Midpoint ratio],0.9)</f>
        <v>0.5714285714285714</v>
      </c>
      <c r="AW15" t="b">
        <f>Table67[[#This Row],[Midpoint ratio]]&gt;=Table67[[#This Row],[Threshold of Midpoint ratio]]</f>
        <v>0</v>
      </c>
      <c r="AX15" t="b">
        <f>OR(Table67[[#This Row],[Extreme Response Style]],Table67[[#This Row],[Mid-point Response Style]])</f>
        <v>0</v>
      </c>
      <c r="AY15" t="b">
        <f>OR(Table67[[#This Row],[Delete? (Stage 1)]],Table67[[#This Row],[Delete? (Stage 2)]])</f>
        <v>0</v>
      </c>
      <c r="AZ15" t="s">
        <v>59</v>
      </c>
    </row>
    <row r="16" spans="1:52">
      <c r="A16">
        <f t="shared" si="3"/>
        <v>15</v>
      </c>
      <c r="B16" s="3">
        <v>45988.059421296297</v>
      </c>
      <c r="C16" s="3">
        <v>45988.060752314799</v>
      </c>
      <c r="D16" t="s">
        <v>53</v>
      </c>
      <c r="G16" t="s">
        <v>54</v>
      </c>
      <c r="H16" t="s">
        <v>63</v>
      </c>
      <c r="I16" t="s">
        <v>56</v>
      </c>
      <c r="J16" t="s">
        <v>57</v>
      </c>
      <c r="K16" t="s">
        <v>57</v>
      </c>
      <c r="L16" t="s">
        <v>58</v>
      </c>
      <c r="M16" t="s">
        <v>58</v>
      </c>
      <c r="N16">
        <v>4</v>
      </c>
      <c r="O16">
        <v>2</v>
      </c>
      <c r="P16">
        <v>4</v>
      </c>
      <c r="Q16">
        <v>4</v>
      </c>
      <c r="R16">
        <v>3</v>
      </c>
      <c r="S16">
        <v>3</v>
      </c>
      <c r="T16">
        <v>4</v>
      </c>
      <c r="U16">
        <v>4</v>
      </c>
      <c r="V16">
        <v>4</v>
      </c>
      <c r="W16">
        <v>4</v>
      </c>
      <c r="X16">
        <v>4</v>
      </c>
      <c r="Y16">
        <v>4</v>
      </c>
      <c r="Z16">
        <v>4</v>
      </c>
      <c r="AA16">
        <v>4</v>
      </c>
      <c r="AB16">
        <v>4</v>
      </c>
      <c r="AC16">
        <v>4</v>
      </c>
      <c r="AD16">
        <v>4</v>
      </c>
      <c r="AE16">
        <v>2</v>
      </c>
      <c r="AF16">
        <v>2</v>
      </c>
      <c r="AG16">
        <v>4</v>
      </c>
      <c r="AH16">
        <v>2</v>
      </c>
      <c r="AI16">
        <v>4</v>
      </c>
      <c r="AJ16">
        <v>4</v>
      </c>
      <c r="AK16" t="b">
        <f>Table67[[#This Row],[What is your age?]]&lt;&gt;"18 - 25"</f>
        <v>0</v>
      </c>
      <c r="AL16" t="b">
        <f t="shared" si="0"/>
        <v>0</v>
      </c>
      <c r="AM16" t="b">
        <f t="shared" si="1"/>
        <v>0</v>
      </c>
      <c r="AN16" t="b">
        <f t="shared" si="2"/>
        <v>0</v>
      </c>
      <c r="AO16" t="b">
        <f>OR(Table67[[#This Row],[Ineligible respondents]:[Inconsistent response on opposite question (3)]])</f>
        <v>0</v>
      </c>
      <c r="AP1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6">
        <f>Table67[[#This Row],[Extreme Response]]/21</f>
        <v>0</v>
      </c>
      <c r="AR16">
        <f>_xlfn.PERCENTILE.INC(Table67[Extrem Response Ratio (ERS)],0.9)</f>
        <v>0.61904761904761907</v>
      </c>
      <c r="AS16" t="b">
        <f>Table67[[#This Row],[Extrem Response Ratio (ERS)]]&gt;=Table67[[#This Row],[Threshold of ERS]]</f>
        <v>0</v>
      </c>
      <c r="AT16">
        <f>COUNTIF(Table67[[#This Row],[The mechanism of digital assets is difficult to understand, which discourages me from exploring it (E.g, Tokenization, Blockchain)]:[If I want to try different ways to invest, I will explore digital assets.]], 3)</f>
        <v>2</v>
      </c>
      <c r="AU16">
        <f>Table67[[#This Row],[Midpoint]]/21</f>
        <v>9.5238095238095233E-2</v>
      </c>
      <c r="AV16">
        <f>_xlfn.PERCENTILE.INC(Table67[Midpoint ratio],0.9)</f>
        <v>0.5714285714285714</v>
      </c>
      <c r="AW16" t="b">
        <f>Table67[[#This Row],[Midpoint ratio]]&gt;=Table67[[#This Row],[Threshold of Midpoint ratio]]</f>
        <v>0</v>
      </c>
      <c r="AX16" t="b">
        <f>OR(Table67[[#This Row],[Extreme Response Style]],Table67[[#This Row],[Mid-point Response Style]])</f>
        <v>0</v>
      </c>
      <c r="AY16" t="b">
        <f>OR(Table67[[#This Row],[Delete? (Stage 1)]],Table67[[#This Row],[Delete? (Stage 2)]])</f>
        <v>0</v>
      </c>
      <c r="AZ16" t="s">
        <v>59</v>
      </c>
    </row>
    <row r="17" spans="1:52">
      <c r="A17">
        <f t="shared" si="3"/>
        <v>16</v>
      </c>
      <c r="B17" s="3">
        <v>45988.168171296304</v>
      </c>
      <c r="C17" s="3">
        <v>45988.170231481497</v>
      </c>
      <c r="D17" t="s">
        <v>53</v>
      </c>
      <c r="G17" t="s">
        <v>54</v>
      </c>
      <c r="H17" t="s">
        <v>63</v>
      </c>
      <c r="I17" t="s">
        <v>56</v>
      </c>
      <c r="J17" t="s">
        <v>62</v>
      </c>
      <c r="K17" t="s">
        <v>57</v>
      </c>
      <c r="L17" t="s">
        <v>58</v>
      </c>
      <c r="M17" t="s">
        <v>58</v>
      </c>
      <c r="N17">
        <v>5</v>
      </c>
      <c r="O17">
        <v>3</v>
      </c>
      <c r="P17">
        <v>5</v>
      </c>
      <c r="Q17">
        <v>1</v>
      </c>
      <c r="R17">
        <v>3</v>
      </c>
      <c r="S17">
        <v>5</v>
      </c>
      <c r="T17">
        <v>5</v>
      </c>
      <c r="U17">
        <v>5</v>
      </c>
      <c r="V17">
        <v>5</v>
      </c>
      <c r="W17">
        <v>5</v>
      </c>
      <c r="X17">
        <v>4</v>
      </c>
      <c r="Y17">
        <v>5</v>
      </c>
      <c r="Z17">
        <v>5</v>
      </c>
      <c r="AA17">
        <v>5</v>
      </c>
      <c r="AB17">
        <v>2</v>
      </c>
      <c r="AC17">
        <v>3</v>
      </c>
      <c r="AD17">
        <v>3</v>
      </c>
      <c r="AE17">
        <v>1</v>
      </c>
      <c r="AF17">
        <v>1</v>
      </c>
      <c r="AG17">
        <v>5</v>
      </c>
      <c r="AH17">
        <v>2</v>
      </c>
      <c r="AI17">
        <v>4</v>
      </c>
      <c r="AJ17">
        <v>5</v>
      </c>
      <c r="AK17" t="b">
        <f>Table67[[#This Row],[What is your age?]]&lt;&gt;"18 - 25"</f>
        <v>0</v>
      </c>
      <c r="AL17" t="b">
        <f t="shared" si="0"/>
        <v>0</v>
      </c>
      <c r="AM17" t="b">
        <f t="shared" si="1"/>
        <v>0</v>
      </c>
      <c r="AN17" t="b">
        <f t="shared" si="2"/>
        <v>0</v>
      </c>
      <c r="AO17" t="b">
        <f>OR(Table67[[#This Row],[Ineligible respondents]:[Inconsistent response on opposite question (3)]])</f>
        <v>0</v>
      </c>
      <c r="AP1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17">
        <f>Table67[[#This Row],[Extreme Response]]/21</f>
        <v>0.66666666666666663</v>
      </c>
      <c r="AR17">
        <f>_xlfn.PERCENTILE.INC(Table67[Extrem Response Ratio (ERS)],0.9)</f>
        <v>0.61904761904761907</v>
      </c>
      <c r="AS17" t="b">
        <f>Table67[[#This Row],[Extrem Response Ratio (ERS)]]&gt;=Table67[[#This Row],[Threshold of ERS]]</f>
        <v>1</v>
      </c>
      <c r="AT17">
        <f>COUNTIF(Table67[[#This Row],[The mechanism of digital assets is difficult to understand, which discourages me from exploring it (E.g, Tokenization, Blockchain)]:[If I want to try different ways to invest, I will explore digital assets.]], 3)</f>
        <v>4</v>
      </c>
      <c r="AU17">
        <f>Table67[[#This Row],[Midpoint]]/21</f>
        <v>0.19047619047619047</v>
      </c>
      <c r="AV17">
        <f>_xlfn.PERCENTILE.INC(Table67[Midpoint ratio],0.9)</f>
        <v>0.5714285714285714</v>
      </c>
      <c r="AW17" t="b">
        <f>Table67[[#This Row],[Midpoint ratio]]&gt;=Table67[[#This Row],[Threshold of Midpoint ratio]]</f>
        <v>0</v>
      </c>
      <c r="AX17" t="b">
        <f>OR(Table67[[#This Row],[Extreme Response Style]],Table67[[#This Row],[Mid-point Response Style]])</f>
        <v>1</v>
      </c>
      <c r="AY17" t="b">
        <f>OR(Table67[[#This Row],[Delete? (Stage 1)]],Table67[[#This Row],[Delete? (Stage 2)]])</f>
        <v>1</v>
      </c>
      <c r="AZ17" t="s">
        <v>59</v>
      </c>
    </row>
    <row r="18" spans="1:52">
      <c r="A18">
        <f t="shared" si="3"/>
        <v>17</v>
      </c>
      <c r="B18" s="3">
        <v>45988.349594907399</v>
      </c>
      <c r="C18" s="3">
        <v>45988.353321759299</v>
      </c>
      <c r="D18" t="s">
        <v>53</v>
      </c>
      <c r="G18" t="s">
        <v>54</v>
      </c>
      <c r="H18" t="s">
        <v>55</v>
      </c>
      <c r="I18" t="s">
        <v>56</v>
      </c>
      <c r="J18" t="s">
        <v>67</v>
      </c>
      <c r="K18" t="s">
        <v>66</v>
      </c>
      <c r="L18" t="s">
        <v>61</v>
      </c>
      <c r="M18" t="s">
        <v>61</v>
      </c>
      <c r="N18">
        <v>3</v>
      </c>
      <c r="O18">
        <v>3</v>
      </c>
      <c r="P18">
        <v>5</v>
      </c>
      <c r="Q18">
        <v>3</v>
      </c>
      <c r="R18">
        <v>3</v>
      </c>
      <c r="S18">
        <v>3</v>
      </c>
      <c r="T18">
        <v>2</v>
      </c>
      <c r="U18">
        <v>4</v>
      </c>
      <c r="V18">
        <v>5</v>
      </c>
      <c r="W18">
        <v>5</v>
      </c>
      <c r="X18">
        <v>5</v>
      </c>
      <c r="Y18">
        <v>5</v>
      </c>
      <c r="Z18">
        <v>5</v>
      </c>
      <c r="AA18">
        <v>5</v>
      </c>
      <c r="AB18">
        <v>3</v>
      </c>
      <c r="AC18">
        <v>3</v>
      </c>
      <c r="AD18">
        <v>3</v>
      </c>
      <c r="AE18">
        <v>2</v>
      </c>
      <c r="AF18">
        <v>3</v>
      </c>
      <c r="AG18">
        <v>3</v>
      </c>
      <c r="AH18">
        <v>4</v>
      </c>
      <c r="AI18">
        <v>2</v>
      </c>
      <c r="AJ18">
        <v>3</v>
      </c>
      <c r="AK18" t="b">
        <f>Table67[[#This Row],[What is your age?]]&lt;&gt;"18 - 25"</f>
        <v>0</v>
      </c>
      <c r="AL18" t="b">
        <f t="shared" si="0"/>
        <v>0</v>
      </c>
      <c r="AM18" t="b">
        <f t="shared" si="1"/>
        <v>0</v>
      </c>
      <c r="AN18" t="b">
        <f t="shared" si="2"/>
        <v>1</v>
      </c>
      <c r="AO18" t="b">
        <f>OR(Table67[[#This Row],[Ineligible respondents]:[Inconsistent response on opposite question (3)]])</f>
        <v>1</v>
      </c>
      <c r="AP1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8">
        <f>Table67[[#This Row],[Extreme Response]]/21</f>
        <v>0.33333333333333331</v>
      </c>
      <c r="AR18">
        <f>_xlfn.PERCENTILE.INC(Table67[Extrem Response Ratio (ERS)],0.9)</f>
        <v>0.61904761904761907</v>
      </c>
      <c r="AS18" t="b">
        <f>Table67[[#This Row],[Extrem Response Ratio (ERS)]]&gt;=Table67[[#This Row],[Threshold of ERS]]</f>
        <v>0</v>
      </c>
      <c r="AT18">
        <f>COUNTIF(Table67[[#This Row],[The mechanism of digital assets is difficult to understand, which discourages me from exploring it (E.g, Tokenization, Blockchain)]:[If I want to try different ways to invest, I will explore digital assets.]], 3)</f>
        <v>10</v>
      </c>
      <c r="AU18">
        <f>Table67[[#This Row],[Midpoint]]/21</f>
        <v>0.47619047619047616</v>
      </c>
      <c r="AV18">
        <f>_xlfn.PERCENTILE.INC(Table67[Midpoint ratio],0.9)</f>
        <v>0.5714285714285714</v>
      </c>
      <c r="AW18" t="b">
        <f>Table67[[#This Row],[Midpoint ratio]]&gt;=Table67[[#This Row],[Threshold of Midpoint ratio]]</f>
        <v>0</v>
      </c>
      <c r="AX18" t="b">
        <f>OR(Table67[[#This Row],[Extreme Response Style]],Table67[[#This Row],[Mid-point Response Style]])</f>
        <v>0</v>
      </c>
      <c r="AY18" t="b">
        <f>OR(Table67[[#This Row],[Delete? (Stage 1)]],Table67[[#This Row],[Delete? (Stage 2)]])</f>
        <v>1</v>
      </c>
      <c r="AZ18" t="s">
        <v>59</v>
      </c>
    </row>
    <row r="19" spans="1:52">
      <c r="A19">
        <f t="shared" si="3"/>
        <v>18</v>
      </c>
      <c r="B19" s="3">
        <v>45988.416099536997</v>
      </c>
      <c r="C19" s="3">
        <v>45988.420474537001</v>
      </c>
      <c r="D19" t="s">
        <v>53</v>
      </c>
      <c r="G19" t="s">
        <v>54</v>
      </c>
      <c r="H19" t="s">
        <v>63</v>
      </c>
      <c r="I19" t="s">
        <v>56</v>
      </c>
      <c r="J19" t="s">
        <v>62</v>
      </c>
      <c r="K19" t="s">
        <v>57</v>
      </c>
      <c r="L19" t="s">
        <v>58</v>
      </c>
      <c r="M19" t="s">
        <v>61</v>
      </c>
      <c r="N19">
        <v>4</v>
      </c>
      <c r="O19">
        <v>3</v>
      </c>
      <c r="P19">
        <v>4</v>
      </c>
      <c r="Q19">
        <v>3</v>
      </c>
      <c r="R19">
        <v>4</v>
      </c>
      <c r="S19">
        <v>4</v>
      </c>
      <c r="T19">
        <v>4</v>
      </c>
      <c r="U19">
        <v>4</v>
      </c>
      <c r="V19">
        <v>5</v>
      </c>
      <c r="W19">
        <v>4</v>
      </c>
      <c r="X19">
        <v>4</v>
      </c>
      <c r="Y19">
        <v>4</v>
      </c>
      <c r="Z19">
        <v>4</v>
      </c>
      <c r="AA19">
        <v>4</v>
      </c>
      <c r="AB19">
        <v>4</v>
      </c>
      <c r="AC19">
        <v>4</v>
      </c>
      <c r="AD19">
        <v>4</v>
      </c>
      <c r="AE19">
        <v>4</v>
      </c>
      <c r="AF19">
        <v>3</v>
      </c>
      <c r="AG19">
        <v>3</v>
      </c>
      <c r="AH19">
        <v>3</v>
      </c>
      <c r="AI19">
        <v>3</v>
      </c>
      <c r="AJ19">
        <v>3</v>
      </c>
      <c r="AK19" t="b">
        <f>Table67[[#This Row],[What is your age?]]&lt;&gt;"18 - 25"</f>
        <v>0</v>
      </c>
      <c r="AL19" t="b">
        <f t="shared" si="0"/>
        <v>0</v>
      </c>
      <c r="AM19" t="b">
        <f t="shared" si="1"/>
        <v>0</v>
      </c>
      <c r="AN19" t="b">
        <f t="shared" si="2"/>
        <v>0</v>
      </c>
      <c r="AO19" t="b">
        <f>OR(Table67[[#This Row],[Ineligible respondents]:[Inconsistent response on opposite question (3)]])</f>
        <v>0</v>
      </c>
      <c r="AP1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9">
        <f>Table67[[#This Row],[Extreme Response]]/21</f>
        <v>4.7619047619047616E-2</v>
      </c>
      <c r="AR19">
        <f>_xlfn.PERCENTILE.INC(Table67[Extrem Response Ratio (ERS)],0.9)</f>
        <v>0.61904761904761907</v>
      </c>
      <c r="AS19" t="b">
        <f>Table67[[#This Row],[Extrem Response Ratio (ERS)]]&gt;=Table67[[#This Row],[Threshold of ERS]]</f>
        <v>0</v>
      </c>
      <c r="AT19">
        <f>COUNTIF(Table67[[#This Row],[The mechanism of digital assets is difficult to understand, which discourages me from exploring it (E.g, Tokenization, Blockchain)]:[If I want to try different ways to invest, I will explore digital assets.]], 3)</f>
        <v>5</v>
      </c>
      <c r="AU19">
        <f>Table67[[#This Row],[Midpoint]]/21</f>
        <v>0.23809523809523808</v>
      </c>
      <c r="AV19">
        <f>_xlfn.PERCENTILE.INC(Table67[Midpoint ratio],0.9)</f>
        <v>0.5714285714285714</v>
      </c>
      <c r="AW19" t="b">
        <f>Table67[[#This Row],[Midpoint ratio]]&gt;=Table67[[#This Row],[Threshold of Midpoint ratio]]</f>
        <v>0</v>
      </c>
      <c r="AX19" t="b">
        <f>OR(Table67[[#This Row],[Extreme Response Style]],Table67[[#This Row],[Mid-point Response Style]])</f>
        <v>0</v>
      </c>
      <c r="AY19" t="b">
        <f>OR(Table67[[#This Row],[Delete? (Stage 1)]],Table67[[#This Row],[Delete? (Stage 2)]])</f>
        <v>0</v>
      </c>
      <c r="AZ19" t="s">
        <v>59</v>
      </c>
    </row>
    <row r="20" spans="1:52">
      <c r="A20">
        <f t="shared" si="3"/>
        <v>19</v>
      </c>
      <c r="B20" s="3">
        <v>45988.422754629602</v>
      </c>
      <c r="C20" s="3">
        <v>45988.426678240699</v>
      </c>
      <c r="D20" t="s">
        <v>53</v>
      </c>
      <c r="G20" t="s">
        <v>54</v>
      </c>
      <c r="H20" t="s">
        <v>55</v>
      </c>
      <c r="I20" t="s">
        <v>56</v>
      </c>
      <c r="J20" t="s">
        <v>65</v>
      </c>
      <c r="K20" t="s">
        <v>57</v>
      </c>
      <c r="L20" t="s">
        <v>61</v>
      </c>
      <c r="M20" t="s">
        <v>61</v>
      </c>
      <c r="N20">
        <v>4</v>
      </c>
      <c r="O20">
        <v>5</v>
      </c>
      <c r="P20">
        <v>5</v>
      </c>
      <c r="Q20">
        <v>3</v>
      </c>
      <c r="R20">
        <v>3</v>
      </c>
      <c r="S20">
        <v>5</v>
      </c>
      <c r="T20">
        <v>5</v>
      </c>
      <c r="U20">
        <v>5</v>
      </c>
      <c r="V20">
        <v>5</v>
      </c>
      <c r="W20">
        <v>5</v>
      </c>
      <c r="X20">
        <v>5</v>
      </c>
      <c r="Y20">
        <v>5</v>
      </c>
      <c r="Z20">
        <v>5</v>
      </c>
      <c r="AA20">
        <v>5</v>
      </c>
      <c r="AB20">
        <v>3</v>
      </c>
      <c r="AC20">
        <v>3</v>
      </c>
      <c r="AD20">
        <v>4</v>
      </c>
      <c r="AE20">
        <v>1</v>
      </c>
      <c r="AF20">
        <v>1</v>
      </c>
      <c r="AG20">
        <v>4</v>
      </c>
      <c r="AH20">
        <v>2</v>
      </c>
      <c r="AI20">
        <v>4</v>
      </c>
      <c r="AJ20">
        <v>5</v>
      </c>
      <c r="AK20" t="b">
        <f>Table67[[#This Row],[What is your age?]]&lt;&gt;"18 - 25"</f>
        <v>0</v>
      </c>
      <c r="AL20" t="b">
        <f t="shared" si="0"/>
        <v>0</v>
      </c>
      <c r="AM20" t="b">
        <f t="shared" si="1"/>
        <v>0</v>
      </c>
      <c r="AN20" t="b">
        <f t="shared" si="2"/>
        <v>0</v>
      </c>
      <c r="AO20" t="b">
        <f>OR(Table67[[#This Row],[Ineligible respondents]:[Inconsistent response on opposite question (3)]])</f>
        <v>0</v>
      </c>
      <c r="AP2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20">
        <f>Table67[[#This Row],[Extreme Response]]/21</f>
        <v>0.61904761904761907</v>
      </c>
      <c r="AR20">
        <f>_xlfn.PERCENTILE.INC(Table67[Extrem Response Ratio (ERS)],0.9)</f>
        <v>0.61904761904761907</v>
      </c>
      <c r="AS20" t="b">
        <f>Table67[[#This Row],[Extrem Response Ratio (ERS)]]&gt;=Table67[[#This Row],[Threshold of ERS]]</f>
        <v>1</v>
      </c>
      <c r="AT20">
        <f>COUNTIF(Table67[[#This Row],[The mechanism of digital assets is difficult to understand, which discourages me from exploring it (E.g, Tokenization, Blockchain)]:[If I want to try different ways to invest, I will explore digital assets.]], 3)</f>
        <v>4</v>
      </c>
      <c r="AU20">
        <f>Table67[[#This Row],[Midpoint]]/21</f>
        <v>0.19047619047619047</v>
      </c>
      <c r="AV20">
        <f>_xlfn.PERCENTILE.INC(Table67[Midpoint ratio],0.9)</f>
        <v>0.5714285714285714</v>
      </c>
      <c r="AW20" t="b">
        <f>Table67[[#This Row],[Midpoint ratio]]&gt;=Table67[[#This Row],[Threshold of Midpoint ratio]]</f>
        <v>0</v>
      </c>
      <c r="AX20" t="b">
        <f>OR(Table67[[#This Row],[Extreme Response Style]],Table67[[#This Row],[Mid-point Response Style]])</f>
        <v>1</v>
      </c>
      <c r="AY20" t="b">
        <f>OR(Table67[[#This Row],[Delete? (Stage 1)]],Table67[[#This Row],[Delete? (Stage 2)]])</f>
        <v>1</v>
      </c>
      <c r="AZ20" t="s">
        <v>59</v>
      </c>
    </row>
    <row r="21" spans="1:52">
      <c r="A21">
        <f t="shared" si="3"/>
        <v>20</v>
      </c>
      <c r="B21" s="3">
        <v>45988.425219907404</v>
      </c>
      <c r="C21" s="3">
        <v>45988.427789351903</v>
      </c>
      <c r="D21" t="s">
        <v>53</v>
      </c>
      <c r="G21" t="s">
        <v>54</v>
      </c>
      <c r="H21" t="s">
        <v>55</v>
      </c>
      <c r="I21" t="s">
        <v>56</v>
      </c>
      <c r="J21" t="s">
        <v>62</v>
      </c>
      <c r="K21" t="s">
        <v>57</v>
      </c>
      <c r="L21" t="s">
        <v>61</v>
      </c>
      <c r="M21" t="s">
        <v>58</v>
      </c>
      <c r="N21">
        <v>1</v>
      </c>
      <c r="O21">
        <v>1</v>
      </c>
      <c r="P21">
        <v>5</v>
      </c>
      <c r="Q21">
        <v>3</v>
      </c>
      <c r="R21">
        <v>5</v>
      </c>
      <c r="S21">
        <v>5</v>
      </c>
      <c r="T21">
        <v>5</v>
      </c>
      <c r="U21">
        <v>5</v>
      </c>
      <c r="V21">
        <v>4</v>
      </c>
      <c r="W21">
        <v>3</v>
      </c>
      <c r="X21">
        <v>3</v>
      </c>
      <c r="Y21">
        <v>3</v>
      </c>
      <c r="Z21">
        <v>3</v>
      </c>
      <c r="AA21">
        <v>3</v>
      </c>
      <c r="AB21">
        <v>3</v>
      </c>
      <c r="AC21">
        <v>3</v>
      </c>
      <c r="AD21">
        <v>3</v>
      </c>
      <c r="AE21">
        <v>3</v>
      </c>
      <c r="AF21">
        <v>3</v>
      </c>
      <c r="AG21">
        <v>2</v>
      </c>
      <c r="AH21">
        <v>3</v>
      </c>
      <c r="AI21">
        <v>3</v>
      </c>
      <c r="AJ21">
        <v>3</v>
      </c>
      <c r="AK21" t="b">
        <f>Table67[[#This Row],[What is your age?]]&lt;&gt;"18 - 25"</f>
        <v>0</v>
      </c>
      <c r="AL21" t="b">
        <f t="shared" si="0"/>
        <v>0</v>
      </c>
      <c r="AM21" t="b">
        <f t="shared" si="1"/>
        <v>0</v>
      </c>
      <c r="AN21" t="b">
        <f t="shared" si="2"/>
        <v>1</v>
      </c>
      <c r="AO21" t="b">
        <f>OR(Table67[[#This Row],[Ineligible respondents]:[Inconsistent response on opposite question (3)]])</f>
        <v>1</v>
      </c>
      <c r="AP2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21">
        <f>Table67[[#This Row],[Extreme Response]]/21</f>
        <v>0.33333333333333331</v>
      </c>
      <c r="AR21">
        <f>_xlfn.PERCENTILE.INC(Table67[Extrem Response Ratio (ERS)],0.9)</f>
        <v>0.61904761904761907</v>
      </c>
      <c r="AS21" t="b">
        <f>Table67[[#This Row],[Extrem Response Ratio (ERS)]]&gt;=Table67[[#This Row],[Threshold of ERS]]</f>
        <v>0</v>
      </c>
      <c r="AT21">
        <f>COUNTIF(Table67[[#This Row],[The mechanism of digital assets is difficult to understand, which discourages me from exploring it (E.g, Tokenization, Blockchain)]:[If I want to try different ways to invest, I will explore digital assets.]], 3)</f>
        <v>12</v>
      </c>
      <c r="AU21">
        <f>Table67[[#This Row],[Midpoint]]/21</f>
        <v>0.5714285714285714</v>
      </c>
      <c r="AV21">
        <f>_xlfn.PERCENTILE.INC(Table67[Midpoint ratio],0.9)</f>
        <v>0.5714285714285714</v>
      </c>
      <c r="AW21" t="b">
        <f>Table67[[#This Row],[Midpoint ratio]]&gt;=Table67[[#This Row],[Threshold of Midpoint ratio]]</f>
        <v>1</v>
      </c>
      <c r="AX21" t="b">
        <f>OR(Table67[[#This Row],[Extreme Response Style]],Table67[[#This Row],[Mid-point Response Style]])</f>
        <v>1</v>
      </c>
      <c r="AY21" t="b">
        <f>OR(Table67[[#This Row],[Delete? (Stage 1)]],Table67[[#This Row],[Delete? (Stage 2)]])</f>
        <v>1</v>
      </c>
      <c r="AZ21" t="s">
        <v>59</v>
      </c>
    </row>
    <row r="22" spans="1:52">
      <c r="A22">
        <f t="shared" si="3"/>
        <v>21</v>
      </c>
      <c r="B22" s="3">
        <v>45988.434479166703</v>
      </c>
      <c r="C22" s="3">
        <v>45988.435590277797</v>
      </c>
      <c r="D22" t="s">
        <v>53</v>
      </c>
      <c r="G22" t="s">
        <v>54</v>
      </c>
      <c r="H22" t="s">
        <v>63</v>
      </c>
      <c r="I22" t="s">
        <v>56</v>
      </c>
      <c r="J22" t="s">
        <v>62</v>
      </c>
      <c r="K22" t="s">
        <v>57</v>
      </c>
      <c r="L22" t="s">
        <v>58</v>
      </c>
      <c r="M22" t="s">
        <v>61</v>
      </c>
      <c r="N22">
        <v>4</v>
      </c>
      <c r="O22">
        <v>3</v>
      </c>
      <c r="P22">
        <v>4</v>
      </c>
      <c r="Q22">
        <v>4</v>
      </c>
      <c r="R22">
        <v>4</v>
      </c>
      <c r="S22">
        <v>4</v>
      </c>
      <c r="T22">
        <v>3</v>
      </c>
      <c r="U22">
        <v>5</v>
      </c>
      <c r="V22">
        <v>5</v>
      </c>
      <c r="W22">
        <v>4</v>
      </c>
      <c r="X22">
        <v>5</v>
      </c>
      <c r="Y22">
        <v>5</v>
      </c>
      <c r="Z22">
        <v>5</v>
      </c>
      <c r="AA22">
        <v>4</v>
      </c>
      <c r="AB22">
        <v>4</v>
      </c>
      <c r="AC22">
        <v>4</v>
      </c>
      <c r="AD22">
        <v>4</v>
      </c>
      <c r="AE22">
        <v>3</v>
      </c>
      <c r="AF22">
        <v>3</v>
      </c>
      <c r="AG22">
        <v>4</v>
      </c>
      <c r="AH22">
        <v>3</v>
      </c>
      <c r="AI22">
        <v>3</v>
      </c>
      <c r="AJ22">
        <v>3</v>
      </c>
      <c r="AK22" t="b">
        <f>Table67[[#This Row],[What is your age?]]&lt;&gt;"18 - 25"</f>
        <v>0</v>
      </c>
      <c r="AL22" t="b">
        <f t="shared" si="0"/>
        <v>0</v>
      </c>
      <c r="AM22" t="b">
        <f t="shared" si="1"/>
        <v>0</v>
      </c>
      <c r="AN22" t="b">
        <f t="shared" si="2"/>
        <v>1</v>
      </c>
      <c r="AO22" t="b">
        <f>OR(Table67[[#This Row],[Ineligible respondents]:[Inconsistent response on opposite question (3)]])</f>
        <v>1</v>
      </c>
      <c r="AP2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22">
        <f>Table67[[#This Row],[Extreme Response]]/21</f>
        <v>0.23809523809523808</v>
      </c>
      <c r="AR22">
        <f>_xlfn.PERCENTILE.INC(Table67[Extrem Response Ratio (ERS)],0.9)</f>
        <v>0.61904761904761907</v>
      </c>
      <c r="AS22" t="b">
        <f>Table67[[#This Row],[Extrem Response Ratio (ERS)]]&gt;=Table67[[#This Row],[Threshold of ERS]]</f>
        <v>0</v>
      </c>
      <c r="AT22">
        <f>COUNTIF(Table67[[#This Row],[The mechanism of digital assets is difficult to understand, which discourages me from exploring it (E.g, Tokenization, Blockchain)]:[If I want to try different ways to invest, I will explore digital assets.]], 3)</f>
        <v>5</v>
      </c>
      <c r="AU22">
        <f>Table67[[#This Row],[Midpoint]]/21</f>
        <v>0.23809523809523808</v>
      </c>
      <c r="AV22">
        <f>_xlfn.PERCENTILE.INC(Table67[Midpoint ratio],0.9)</f>
        <v>0.5714285714285714</v>
      </c>
      <c r="AW22" t="b">
        <f>Table67[[#This Row],[Midpoint ratio]]&gt;=Table67[[#This Row],[Threshold of Midpoint ratio]]</f>
        <v>0</v>
      </c>
      <c r="AX22" t="b">
        <f>OR(Table67[[#This Row],[Extreme Response Style]],Table67[[#This Row],[Mid-point Response Style]])</f>
        <v>0</v>
      </c>
      <c r="AY22" t="b">
        <f>OR(Table67[[#This Row],[Delete? (Stage 1)]],Table67[[#This Row],[Delete? (Stage 2)]])</f>
        <v>1</v>
      </c>
      <c r="AZ22" t="s">
        <v>59</v>
      </c>
    </row>
    <row r="23" spans="1:52">
      <c r="A23">
        <f t="shared" si="3"/>
        <v>22</v>
      </c>
      <c r="B23" s="3">
        <v>45988.436111111099</v>
      </c>
      <c r="C23" s="3">
        <v>45988.444398148102</v>
      </c>
      <c r="D23" t="s">
        <v>53</v>
      </c>
      <c r="G23" t="s">
        <v>54</v>
      </c>
      <c r="H23" t="s">
        <v>63</v>
      </c>
      <c r="I23" t="s">
        <v>56</v>
      </c>
      <c r="J23" t="s">
        <v>60</v>
      </c>
      <c r="K23" t="s">
        <v>60</v>
      </c>
      <c r="L23" t="s">
        <v>58</v>
      </c>
      <c r="M23" t="s">
        <v>58</v>
      </c>
      <c r="N23">
        <v>4</v>
      </c>
      <c r="O23">
        <v>4</v>
      </c>
      <c r="P23">
        <v>3</v>
      </c>
      <c r="Q23">
        <v>3</v>
      </c>
      <c r="R23">
        <v>4</v>
      </c>
      <c r="S23">
        <v>4</v>
      </c>
      <c r="T23">
        <v>4</v>
      </c>
      <c r="U23">
        <v>5</v>
      </c>
      <c r="V23">
        <v>5</v>
      </c>
      <c r="W23">
        <v>5</v>
      </c>
      <c r="X23">
        <v>4</v>
      </c>
      <c r="Y23">
        <v>4</v>
      </c>
      <c r="Z23">
        <v>3</v>
      </c>
      <c r="AA23">
        <v>4</v>
      </c>
      <c r="AB23">
        <v>3</v>
      </c>
      <c r="AC23">
        <v>3</v>
      </c>
      <c r="AD23">
        <v>4</v>
      </c>
      <c r="AE23">
        <v>3</v>
      </c>
      <c r="AF23">
        <v>3</v>
      </c>
      <c r="AG23">
        <v>4</v>
      </c>
      <c r="AH23">
        <v>3</v>
      </c>
      <c r="AI23">
        <v>3</v>
      </c>
      <c r="AJ23">
        <v>3</v>
      </c>
      <c r="AK23" t="b">
        <f>Table67[[#This Row],[What is your age?]]&lt;&gt;"18 - 25"</f>
        <v>0</v>
      </c>
      <c r="AL23" t="b">
        <f t="shared" si="0"/>
        <v>0</v>
      </c>
      <c r="AM23" t="b">
        <f t="shared" si="1"/>
        <v>0</v>
      </c>
      <c r="AN23" t="b">
        <f t="shared" si="2"/>
        <v>1</v>
      </c>
      <c r="AO23" t="b">
        <f>OR(Table67[[#This Row],[Ineligible respondents]:[Inconsistent response on opposite question (3)]])</f>
        <v>1</v>
      </c>
      <c r="AP2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23">
        <f>Table67[[#This Row],[Extreme Response]]/21</f>
        <v>0.14285714285714285</v>
      </c>
      <c r="AR23">
        <f>_xlfn.PERCENTILE.INC(Table67[Extrem Response Ratio (ERS)],0.9)</f>
        <v>0.61904761904761907</v>
      </c>
      <c r="AS23" t="b">
        <f>Table67[[#This Row],[Extrem Response Ratio (ERS)]]&gt;=Table67[[#This Row],[Threshold of ERS]]</f>
        <v>0</v>
      </c>
      <c r="AT23">
        <f>COUNTIF(Table67[[#This Row],[The mechanism of digital assets is difficult to understand, which discourages me from exploring it (E.g, Tokenization, Blockchain)]:[If I want to try different ways to invest, I will explore digital assets.]], 3)</f>
        <v>8</v>
      </c>
      <c r="AU23">
        <f>Table67[[#This Row],[Midpoint]]/21</f>
        <v>0.38095238095238093</v>
      </c>
      <c r="AV23">
        <f>_xlfn.PERCENTILE.INC(Table67[Midpoint ratio],0.9)</f>
        <v>0.5714285714285714</v>
      </c>
      <c r="AW23" t="b">
        <f>Table67[[#This Row],[Midpoint ratio]]&gt;=Table67[[#This Row],[Threshold of Midpoint ratio]]</f>
        <v>0</v>
      </c>
      <c r="AX23" t="b">
        <f>OR(Table67[[#This Row],[Extreme Response Style]],Table67[[#This Row],[Mid-point Response Style]])</f>
        <v>0</v>
      </c>
      <c r="AY23" t="b">
        <f>OR(Table67[[#This Row],[Delete? (Stage 1)]],Table67[[#This Row],[Delete? (Stage 2)]])</f>
        <v>1</v>
      </c>
      <c r="AZ23" t="s">
        <v>59</v>
      </c>
    </row>
    <row r="24" spans="1:52">
      <c r="A24">
        <f t="shared" si="3"/>
        <v>23</v>
      </c>
      <c r="B24" s="3">
        <v>45988.443854166697</v>
      </c>
      <c r="C24" s="3">
        <v>45988.445543981499</v>
      </c>
      <c r="D24" t="s">
        <v>53</v>
      </c>
      <c r="G24" t="s">
        <v>54</v>
      </c>
      <c r="H24" t="s">
        <v>63</v>
      </c>
      <c r="I24" t="s">
        <v>56</v>
      </c>
      <c r="J24" t="s">
        <v>60</v>
      </c>
      <c r="K24" t="s">
        <v>57</v>
      </c>
      <c r="L24" t="s">
        <v>58</v>
      </c>
      <c r="M24" t="s">
        <v>58</v>
      </c>
      <c r="N24">
        <v>3</v>
      </c>
      <c r="O24">
        <v>3</v>
      </c>
      <c r="P24">
        <v>4</v>
      </c>
      <c r="Q24">
        <v>3</v>
      </c>
      <c r="R24">
        <v>2</v>
      </c>
      <c r="S24">
        <v>3</v>
      </c>
      <c r="T24">
        <v>2</v>
      </c>
      <c r="U24">
        <v>4</v>
      </c>
      <c r="V24">
        <v>4</v>
      </c>
      <c r="W24">
        <v>4</v>
      </c>
      <c r="X24">
        <v>4</v>
      </c>
      <c r="Y24">
        <v>4</v>
      </c>
      <c r="Z24">
        <v>3</v>
      </c>
      <c r="AA24">
        <v>4</v>
      </c>
      <c r="AB24">
        <v>4</v>
      </c>
      <c r="AC24">
        <v>3</v>
      </c>
      <c r="AD24">
        <v>4</v>
      </c>
      <c r="AE24">
        <v>2</v>
      </c>
      <c r="AF24">
        <v>3</v>
      </c>
      <c r="AG24">
        <v>4</v>
      </c>
      <c r="AH24">
        <v>3</v>
      </c>
      <c r="AI24">
        <v>3</v>
      </c>
      <c r="AJ24">
        <v>3</v>
      </c>
      <c r="AK24" t="b">
        <f>Table67[[#This Row],[What is your age?]]&lt;&gt;"18 - 25"</f>
        <v>0</v>
      </c>
      <c r="AL24" t="b">
        <f t="shared" si="0"/>
        <v>0</v>
      </c>
      <c r="AM24" t="b">
        <f t="shared" si="1"/>
        <v>0</v>
      </c>
      <c r="AN24" t="b">
        <f t="shared" si="2"/>
        <v>1</v>
      </c>
      <c r="AO24" t="b">
        <f>OR(Table67[[#This Row],[Ineligible respondents]:[Inconsistent response on opposite question (3)]])</f>
        <v>1</v>
      </c>
      <c r="AP2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4">
        <f>Table67[[#This Row],[Extreme Response]]/21</f>
        <v>0</v>
      </c>
      <c r="AR24">
        <f>_xlfn.PERCENTILE.INC(Table67[Extrem Response Ratio (ERS)],0.9)</f>
        <v>0.61904761904761907</v>
      </c>
      <c r="AS24" t="b">
        <f>Table67[[#This Row],[Extrem Response Ratio (ERS)]]&gt;=Table67[[#This Row],[Threshold of ERS]]</f>
        <v>0</v>
      </c>
      <c r="AT24">
        <f>COUNTIF(Table67[[#This Row],[The mechanism of digital assets is difficult to understand, which discourages me from exploring it (E.g, Tokenization, Blockchain)]:[If I want to try different ways to invest, I will explore digital assets.]], 3)</f>
        <v>8</v>
      </c>
      <c r="AU24">
        <f>Table67[[#This Row],[Midpoint]]/21</f>
        <v>0.38095238095238093</v>
      </c>
      <c r="AV24">
        <f>_xlfn.PERCENTILE.INC(Table67[Midpoint ratio],0.9)</f>
        <v>0.5714285714285714</v>
      </c>
      <c r="AW24" t="b">
        <f>Table67[[#This Row],[Midpoint ratio]]&gt;=Table67[[#This Row],[Threshold of Midpoint ratio]]</f>
        <v>0</v>
      </c>
      <c r="AX24" t="b">
        <f>OR(Table67[[#This Row],[Extreme Response Style]],Table67[[#This Row],[Mid-point Response Style]])</f>
        <v>0</v>
      </c>
      <c r="AY24" t="b">
        <f>OR(Table67[[#This Row],[Delete? (Stage 1)]],Table67[[#This Row],[Delete? (Stage 2)]])</f>
        <v>1</v>
      </c>
      <c r="AZ24" t="s">
        <v>59</v>
      </c>
    </row>
    <row r="25" spans="1:52">
      <c r="A25">
        <f t="shared" si="3"/>
        <v>24</v>
      </c>
      <c r="B25" s="3">
        <v>45988.446504629603</v>
      </c>
      <c r="C25" s="3">
        <v>45988.448981481502</v>
      </c>
      <c r="D25" t="s">
        <v>53</v>
      </c>
      <c r="G25" t="s">
        <v>54</v>
      </c>
      <c r="H25" t="s">
        <v>63</v>
      </c>
      <c r="I25" t="s">
        <v>56</v>
      </c>
      <c r="J25" t="s">
        <v>67</v>
      </c>
      <c r="K25" t="s">
        <v>66</v>
      </c>
      <c r="L25" t="s">
        <v>58</v>
      </c>
      <c r="M25" t="s">
        <v>61</v>
      </c>
      <c r="N25">
        <v>2</v>
      </c>
      <c r="O25">
        <v>2</v>
      </c>
      <c r="P25">
        <v>3</v>
      </c>
      <c r="Q25">
        <v>2</v>
      </c>
      <c r="R25">
        <v>2</v>
      </c>
      <c r="S25">
        <v>2</v>
      </c>
      <c r="T25">
        <v>2</v>
      </c>
      <c r="U25">
        <v>2</v>
      </c>
      <c r="V25">
        <v>4</v>
      </c>
      <c r="W25">
        <v>4</v>
      </c>
      <c r="X25">
        <v>2</v>
      </c>
      <c r="Y25">
        <v>4</v>
      </c>
      <c r="Z25">
        <v>5</v>
      </c>
      <c r="AA25">
        <v>2</v>
      </c>
      <c r="AB25">
        <v>3</v>
      </c>
      <c r="AC25">
        <v>3</v>
      </c>
      <c r="AD25">
        <v>3</v>
      </c>
      <c r="AE25">
        <v>3</v>
      </c>
      <c r="AF25">
        <v>4</v>
      </c>
      <c r="AG25">
        <v>2</v>
      </c>
      <c r="AH25">
        <v>3</v>
      </c>
      <c r="AI25">
        <v>3</v>
      </c>
      <c r="AJ25">
        <v>2</v>
      </c>
      <c r="AK25" t="b">
        <f>Table67[[#This Row],[What is your age?]]&lt;&gt;"18 - 25"</f>
        <v>0</v>
      </c>
      <c r="AL25" t="b">
        <f t="shared" si="0"/>
        <v>0</v>
      </c>
      <c r="AM25" t="b">
        <f t="shared" si="1"/>
        <v>0</v>
      </c>
      <c r="AN25" t="b">
        <f t="shared" si="2"/>
        <v>1</v>
      </c>
      <c r="AO25" t="b">
        <f>OR(Table67[[#This Row],[Ineligible respondents]:[Inconsistent response on opposite question (3)]])</f>
        <v>1</v>
      </c>
      <c r="AP2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25">
        <f>Table67[[#This Row],[Extreme Response]]/21</f>
        <v>4.7619047619047616E-2</v>
      </c>
      <c r="AR25">
        <f>_xlfn.PERCENTILE.INC(Table67[Extrem Response Ratio (ERS)],0.9)</f>
        <v>0.61904761904761907</v>
      </c>
      <c r="AS25" t="b">
        <f>Table67[[#This Row],[Extrem Response Ratio (ERS)]]&gt;=Table67[[#This Row],[Threshold of ERS]]</f>
        <v>0</v>
      </c>
      <c r="AT25">
        <f>COUNTIF(Table67[[#This Row],[The mechanism of digital assets is difficult to understand, which discourages me from exploring it (E.g, Tokenization, Blockchain)]:[If I want to try different ways to invest, I will explore digital assets.]], 3)</f>
        <v>6</v>
      </c>
      <c r="AU25">
        <f>Table67[[#This Row],[Midpoint]]/21</f>
        <v>0.2857142857142857</v>
      </c>
      <c r="AV25">
        <f>_xlfn.PERCENTILE.INC(Table67[Midpoint ratio],0.9)</f>
        <v>0.5714285714285714</v>
      </c>
      <c r="AW25" t="b">
        <f>Table67[[#This Row],[Midpoint ratio]]&gt;=Table67[[#This Row],[Threshold of Midpoint ratio]]</f>
        <v>0</v>
      </c>
      <c r="AX25" t="b">
        <f>OR(Table67[[#This Row],[Extreme Response Style]],Table67[[#This Row],[Mid-point Response Style]])</f>
        <v>0</v>
      </c>
      <c r="AY25" t="b">
        <f>OR(Table67[[#This Row],[Delete? (Stage 1)]],Table67[[#This Row],[Delete? (Stage 2)]])</f>
        <v>1</v>
      </c>
      <c r="AZ25" t="s">
        <v>59</v>
      </c>
    </row>
    <row r="26" spans="1:52">
      <c r="A26">
        <f t="shared" si="3"/>
        <v>25</v>
      </c>
      <c r="B26" s="3">
        <v>45988.448541666701</v>
      </c>
      <c r="C26" s="3">
        <v>45988.4503356481</v>
      </c>
      <c r="D26" t="s">
        <v>53</v>
      </c>
      <c r="G26" t="s">
        <v>54</v>
      </c>
      <c r="H26" t="s">
        <v>63</v>
      </c>
      <c r="I26" t="s">
        <v>56</v>
      </c>
      <c r="J26" t="s">
        <v>60</v>
      </c>
      <c r="K26" t="s">
        <v>57</v>
      </c>
      <c r="L26" t="s">
        <v>58</v>
      </c>
      <c r="M26" t="s">
        <v>61</v>
      </c>
      <c r="N26">
        <v>4</v>
      </c>
      <c r="O26">
        <v>1</v>
      </c>
      <c r="P26">
        <v>4</v>
      </c>
      <c r="Q26">
        <v>4</v>
      </c>
      <c r="R26">
        <v>5</v>
      </c>
      <c r="S26">
        <v>4</v>
      </c>
      <c r="T26">
        <v>4</v>
      </c>
      <c r="U26">
        <v>4</v>
      </c>
      <c r="V26">
        <v>5</v>
      </c>
      <c r="W26">
        <v>5</v>
      </c>
      <c r="X26">
        <v>4</v>
      </c>
      <c r="Y26">
        <v>4</v>
      </c>
      <c r="Z26">
        <v>4</v>
      </c>
      <c r="AA26">
        <v>4</v>
      </c>
      <c r="AB26">
        <v>4</v>
      </c>
      <c r="AC26">
        <v>4</v>
      </c>
      <c r="AD26">
        <v>4</v>
      </c>
      <c r="AE26">
        <v>4</v>
      </c>
      <c r="AF26">
        <v>1</v>
      </c>
      <c r="AG26">
        <v>5</v>
      </c>
      <c r="AH26">
        <v>4</v>
      </c>
      <c r="AI26">
        <v>2</v>
      </c>
      <c r="AJ26">
        <v>5</v>
      </c>
      <c r="AK26" t="b">
        <f>Table67[[#This Row],[What is your age?]]&lt;&gt;"18 - 25"</f>
        <v>0</v>
      </c>
      <c r="AL26" t="b">
        <f t="shared" si="0"/>
        <v>0</v>
      </c>
      <c r="AM26" t="b">
        <f t="shared" si="1"/>
        <v>1</v>
      </c>
      <c r="AN26" t="b">
        <f t="shared" si="2"/>
        <v>0</v>
      </c>
      <c r="AO26" t="b">
        <f>OR(Table67[[#This Row],[Ineligible respondents]:[Inconsistent response on opposite question (3)]])</f>
        <v>1</v>
      </c>
      <c r="AP2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26">
        <f>Table67[[#This Row],[Extreme Response]]/21</f>
        <v>0.2857142857142857</v>
      </c>
      <c r="AR26">
        <f>_xlfn.PERCENTILE.INC(Table67[Extrem Response Ratio (ERS)],0.9)</f>
        <v>0.61904761904761907</v>
      </c>
      <c r="AS26" t="b">
        <f>Table67[[#This Row],[Extrem Response Ratio (ERS)]]&gt;=Table67[[#This Row],[Threshold of ERS]]</f>
        <v>0</v>
      </c>
      <c r="AT26">
        <f>COUNTIF(Table67[[#This Row],[The mechanism of digital assets is difficult to understand, which discourages me from exploring it (E.g, Tokenization, Blockchain)]:[If I want to try different ways to invest, I will explore digital assets.]], 3)</f>
        <v>0</v>
      </c>
      <c r="AU26">
        <f>Table67[[#This Row],[Midpoint]]/21</f>
        <v>0</v>
      </c>
      <c r="AV26">
        <f>_xlfn.PERCENTILE.INC(Table67[Midpoint ratio],0.9)</f>
        <v>0.5714285714285714</v>
      </c>
      <c r="AW26" t="b">
        <f>Table67[[#This Row],[Midpoint ratio]]&gt;=Table67[[#This Row],[Threshold of Midpoint ratio]]</f>
        <v>0</v>
      </c>
      <c r="AX26" t="b">
        <f>OR(Table67[[#This Row],[Extreme Response Style]],Table67[[#This Row],[Mid-point Response Style]])</f>
        <v>0</v>
      </c>
      <c r="AY26" t="b">
        <f>OR(Table67[[#This Row],[Delete? (Stage 1)]],Table67[[#This Row],[Delete? (Stage 2)]])</f>
        <v>1</v>
      </c>
      <c r="AZ26" t="s">
        <v>59</v>
      </c>
    </row>
    <row r="27" spans="1:52">
      <c r="A27">
        <f t="shared" si="3"/>
        <v>26</v>
      </c>
      <c r="B27" s="3">
        <v>45988.4539814815</v>
      </c>
      <c r="C27" s="3">
        <v>45988.454976851797</v>
      </c>
      <c r="D27" t="s">
        <v>53</v>
      </c>
      <c r="G27" t="s">
        <v>54</v>
      </c>
      <c r="H27" t="s">
        <v>55</v>
      </c>
      <c r="I27" t="s">
        <v>56</v>
      </c>
      <c r="J27" t="s">
        <v>57</v>
      </c>
      <c r="K27" t="s">
        <v>57</v>
      </c>
      <c r="L27" t="s">
        <v>58</v>
      </c>
      <c r="M27" t="s">
        <v>58</v>
      </c>
      <c r="N27">
        <v>4</v>
      </c>
      <c r="O27">
        <v>3</v>
      </c>
      <c r="P27">
        <v>4</v>
      </c>
      <c r="Q27">
        <v>4</v>
      </c>
      <c r="R27">
        <v>3</v>
      </c>
      <c r="S27">
        <v>4</v>
      </c>
      <c r="T27">
        <v>2</v>
      </c>
      <c r="U27">
        <v>4</v>
      </c>
      <c r="V27">
        <v>2</v>
      </c>
      <c r="W27">
        <v>4</v>
      </c>
      <c r="X27">
        <v>4</v>
      </c>
      <c r="Y27">
        <v>3</v>
      </c>
      <c r="Z27">
        <v>2</v>
      </c>
      <c r="AA27">
        <v>3</v>
      </c>
      <c r="AB27">
        <v>4</v>
      </c>
      <c r="AC27">
        <v>3</v>
      </c>
      <c r="AD27">
        <v>4</v>
      </c>
      <c r="AE27">
        <v>3</v>
      </c>
      <c r="AF27">
        <v>3</v>
      </c>
      <c r="AG27">
        <v>3</v>
      </c>
      <c r="AH27">
        <v>4</v>
      </c>
      <c r="AI27">
        <v>2</v>
      </c>
      <c r="AJ27">
        <v>3</v>
      </c>
      <c r="AK27" t="b">
        <f>Table67[[#This Row],[What is your age?]]&lt;&gt;"18 - 25"</f>
        <v>0</v>
      </c>
      <c r="AL27" t="b">
        <f t="shared" si="0"/>
        <v>0</v>
      </c>
      <c r="AM27" t="b">
        <f t="shared" si="1"/>
        <v>0</v>
      </c>
      <c r="AN27" t="b">
        <f t="shared" si="2"/>
        <v>1</v>
      </c>
      <c r="AO27" t="b">
        <f>OR(Table67[[#This Row],[Ineligible respondents]:[Inconsistent response on opposite question (3)]])</f>
        <v>1</v>
      </c>
      <c r="AP2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7">
        <f>Table67[[#This Row],[Extreme Response]]/21</f>
        <v>0</v>
      </c>
      <c r="AR27">
        <f>_xlfn.PERCENTILE.INC(Table67[Extrem Response Ratio (ERS)],0.9)</f>
        <v>0.61904761904761907</v>
      </c>
      <c r="AS27" t="b">
        <f>Table67[[#This Row],[Extrem Response Ratio (ERS)]]&gt;=Table67[[#This Row],[Threshold of ERS]]</f>
        <v>0</v>
      </c>
      <c r="AT27">
        <f>COUNTIF(Table67[[#This Row],[The mechanism of digital assets is difficult to understand, which discourages me from exploring it (E.g, Tokenization, Blockchain)]:[If I want to try different ways to invest, I will explore digital assets.]], 3)</f>
        <v>8</v>
      </c>
      <c r="AU27">
        <f>Table67[[#This Row],[Midpoint]]/21</f>
        <v>0.38095238095238093</v>
      </c>
      <c r="AV27">
        <f>_xlfn.PERCENTILE.INC(Table67[Midpoint ratio],0.9)</f>
        <v>0.5714285714285714</v>
      </c>
      <c r="AW27" t="b">
        <f>Table67[[#This Row],[Midpoint ratio]]&gt;=Table67[[#This Row],[Threshold of Midpoint ratio]]</f>
        <v>0</v>
      </c>
      <c r="AX27" t="b">
        <f>OR(Table67[[#This Row],[Extreme Response Style]],Table67[[#This Row],[Mid-point Response Style]])</f>
        <v>0</v>
      </c>
      <c r="AY27" t="b">
        <f>OR(Table67[[#This Row],[Delete? (Stage 1)]],Table67[[#This Row],[Delete? (Stage 2)]])</f>
        <v>1</v>
      </c>
      <c r="AZ27" t="s">
        <v>59</v>
      </c>
    </row>
    <row r="28" spans="1:52">
      <c r="A28">
        <f t="shared" si="3"/>
        <v>27</v>
      </c>
      <c r="B28" s="3">
        <v>45988.461562500001</v>
      </c>
      <c r="C28" s="3">
        <v>45988.463159722203</v>
      </c>
      <c r="D28" t="s">
        <v>53</v>
      </c>
      <c r="G28" t="s">
        <v>54</v>
      </c>
      <c r="H28" t="s">
        <v>63</v>
      </c>
      <c r="I28" t="s">
        <v>56</v>
      </c>
      <c r="J28" t="s">
        <v>68</v>
      </c>
      <c r="K28" t="s">
        <v>57</v>
      </c>
      <c r="L28" t="s">
        <v>58</v>
      </c>
      <c r="M28" t="s">
        <v>58</v>
      </c>
      <c r="N28">
        <v>3</v>
      </c>
      <c r="O28">
        <v>2</v>
      </c>
      <c r="P28">
        <v>4</v>
      </c>
      <c r="Q28">
        <v>4</v>
      </c>
      <c r="R28">
        <v>4</v>
      </c>
      <c r="S28">
        <v>4</v>
      </c>
      <c r="T28">
        <v>4</v>
      </c>
      <c r="U28">
        <v>4</v>
      </c>
      <c r="V28">
        <v>4</v>
      </c>
      <c r="W28">
        <v>4</v>
      </c>
      <c r="X28">
        <v>4</v>
      </c>
      <c r="Y28">
        <v>4</v>
      </c>
      <c r="Z28">
        <v>4</v>
      </c>
      <c r="AA28">
        <v>4</v>
      </c>
      <c r="AB28">
        <v>4</v>
      </c>
      <c r="AC28">
        <v>4</v>
      </c>
      <c r="AD28">
        <v>4</v>
      </c>
      <c r="AE28">
        <v>4</v>
      </c>
      <c r="AF28">
        <v>2</v>
      </c>
      <c r="AG28">
        <v>2</v>
      </c>
      <c r="AH28">
        <v>2</v>
      </c>
      <c r="AI28">
        <v>4</v>
      </c>
      <c r="AJ28">
        <v>4</v>
      </c>
      <c r="AK28" t="b">
        <f>Table67[[#This Row],[What is your age?]]&lt;&gt;"18 - 25"</f>
        <v>0</v>
      </c>
      <c r="AL28" t="b">
        <f t="shared" si="0"/>
        <v>0</v>
      </c>
      <c r="AM28" t="b">
        <f t="shared" si="1"/>
        <v>1</v>
      </c>
      <c r="AN28" t="b">
        <f t="shared" si="2"/>
        <v>0</v>
      </c>
      <c r="AO28" t="b">
        <f>OR(Table67[[#This Row],[Ineligible respondents]:[Inconsistent response on opposite question (3)]])</f>
        <v>1</v>
      </c>
      <c r="AP2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8">
        <f>Table67[[#This Row],[Extreme Response]]/21</f>
        <v>0</v>
      </c>
      <c r="AR28">
        <f>_xlfn.PERCENTILE.INC(Table67[Extrem Response Ratio (ERS)],0.9)</f>
        <v>0.61904761904761907</v>
      </c>
      <c r="AS28" t="b">
        <f>Table67[[#This Row],[Extrem Response Ratio (ERS)]]&gt;=Table67[[#This Row],[Threshold of ERS]]</f>
        <v>0</v>
      </c>
      <c r="AT28">
        <f>COUNTIF(Table67[[#This Row],[The mechanism of digital assets is difficult to understand, which discourages me from exploring it (E.g, Tokenization, Blockchain)]:[If I want to try different ways to invest, I will explore digital assets.]], 3)</f>
        <v>1</v>
      </c>
      <c r="AU28">
        <f>Table67[[#This Row],[Midpoint]]/21</f>
        <v>4.7619047619047616E-2</v>
      </c>
      <c r="AV28">
        <f>_xlfn.PERCENTILE.INC(Table67[Midpoint ratio],0.9)</f>
        <v>0.5714285714285714</v>
      </c>
      <c r="AW28" t="b">
        <f>Table67[[#This Row],[Midpoint ratio]]&gt;=Table67[[#This Row],[Threshold of Midpoint ratio]]</f>
        <v>0</v>
      </c>
      <c r="AX28" t="b">
        <f>OR(Table67[[#This Row],[Extreme Response Style]],Table67[[#This Row],[Mid-point Response Style]])</f>
        <v>0</v>
      </c>
      <c r="AY28" t="b">
        <f>OR(Table67[[#This Row],[Delete? (Stage 1)]],Table67[[#This Row],[Delete? (Stage 2)]])</f>
        <v>1</v>
      </c>
      <c r="AZ28" t="s">
        <v>59</v>
      </c>
    </row>
    <row r="29" spans="1:52">
      <c r="A29">
        <f t="shared" si="3"/>
        <v>28</v>
      </c>
      <c r="B29" s="3">
        <v>45988.468020833301</v>
      </c>
      <c r="C29" s="3">
        <v>45988.469525462999</v>
      </c>
      <c r="D29" t="s">
        <v>53</v>
      </c>
      <c r="G29" t="s">
        <v>54</v>
      </c>
      <c r="H29" t="s">
        <v>55</v>
      </c>
      <c r="I29" t="s">
        <v>56</v>
      </c>
      <c r="J29" t="s">
        <v>65</v>
      </c>
      <c r="K29" t="s">
        <v>57</v>
      </c>
      <c r="L29" t="s">
        <v>58</v>
      </c>
      <c r="M29" t="s">
        <v>61</v>
      </c>
      <c r="N29">
        <v>4</v>
      </c>
      <c r="O29">
        <v>3</v>
      </c>
      <c r="P29">
        <v>3</v>
      </c>
      <c r="Q29">
        <v>3</v>
      </c>
      <c r="R29">
        <v>3</v>
      </c>
      <c r="S29">
        <v>4</v>
      </c>
      <c r="T29">
        <v>3</v>
      </c>
      <c r="U29">
        <v>3</v>
      </c>
      <c r="V29">
        <v>4</v>
      </c>
      <c r="W29">
        <v>4</v>
      </c>
      <c r="X29">
        <v>3</v>
      </c>
      <c r="Y29">
        <v>4</v>
      </c>
      <c r="Z29">
        <v>4</v>
      </c>
      <c r="AA29">
        <v>3</v>
      </c>
      <c r="AB29">
        <v>3</v>
      </c>
      <c r="AC29">
        <v>3</v>
      </c>
      <c r="AD29">
        <v>3</v>
      </c>
      <c r="AE29">
        <v>2</v>
      </c>
      <c r="AF29">
        <v>4</v>
      </c>
      <c r="AG29">
        <v>3</v>
      </c>
      <c r="AH29">
        <v>3</v>
      </c>
      <c r="AI29">
        <v>3</v>
      </c>
      <c r="AJ29">
        <v>2</v>
      </c>
      <c r="AK29" t="b">
        <f>Table67[[#This Row],[What is your age?]]&lt;&gt;"18 - 25"</f>
        <v>0</v>
      </c>
      <c r="AL29" t="b">
        <f t="shared" si="0"/>
        <v>0</v>
      </c>
      <c r="AM29" t="b">
        <f t="shared" si="1"/>
        <v>0</v>
      </c>
      <c r="AN29" t="b">
        <f t="shared" si="2"/>
        <v>0</v>
      </c>
      <c r="AO29" t="b">
        <f>OR(Table67[[#This Row],[Ineligible respondents]:[Inconsistent response on opposite question (3)]])</f>
        <v>0</v>
      </c>
      <c r="AP2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9">
        <f>Table67[[#This Row],[Extreme Response]]/21</f>
        <v>0</v>
      </c>
      <c r="AR29">
        <f>_xlfn.PERCENTILE.INC(Table67[Extrem Response Ratio (ERS)],0.9)</f>
        <v>0.61904761904761907</v>
      </c>
      <c r="AS29" t="b">
        <f>Table67[[#This Row],[Extrem Response Ratio (ERS)]]&gt;=Table67[[#This Row],[Threshold of ERS]]</f>
        <v>0</v>
      </c>
      <c r="AT29">
        <f>COUNTIF(Table67[[#This Row],[The mechanism of digital assets is difficult to understand, which discourages me from exploring it (E.g, Tokenization, Blockchain)]:[If I want to try different ways to invest, I will explore digital assets.]], 3)</f>
        <v>13</v>
      </c>
      <c r="AU29">
        <f>Table67[[#This Row],[Midpoint]]/21</f>
        <v>0.61904761904761907</v>
      </c>
      <c r="AV29">
        <f>_xlfn.PERCENTILE.INC(Table67[Midpoint ratio],0.9)</f>
        <v>0.5714285714285714</v>
      </c>
      <c r="AW29" t="b">
        <f>Table67[[#This Row],[Midpoint ratio]]&gt;=Table67[[#This Row],[Threshold of Midpoint ratio]]</f>
        <v>1</v>
      </c>
      <c r="AX29" t="b">
        <f>OR(Table67[[#This Row],[Extreme Response Style]],Table67[[#This Row],[Mid-point Response Style]])</f>
        <v>1</v>
      </c>
      <c r="AY29" t="b">
        <f>OR(Table67[[#This Row],[Delete? (Stage 1)]],Table67[[#This Row],[Delete? (Stage 2)]])</f>
        <v>1</v>
      </c>
      <c r="AZ29" t="s">
        <v>59</v>
      </c>
    </row>
    <row r="30" spans="1:52">
      <c r="A30">
        <f t="shared" si="3"/>
        <v>29</v>
      </c>
      <c r="B30" s="3">
        <v>45988.481481481504</v>
      </c>
      <c r="C30" s="3">
        <v>45988.484317129602</v>
      </c>
      <c r="D30" t="s">
        <v>53</v>
      </c>
      <c r="G30" t="s">
        <v>54</v>
      </c>
      <c r="H30" t="s">
        <v>63</v>
      </c>
      <c r="I30" t="s">
        <v>56</v>
      </c>
      <c r="J30" t="s">
        <v>67</v>
      </c>
      <c r="K30" t="s">
        <v>57</v>
      </c>
      <c r="L30" t="s">
        <v>58</v>
      </c>
      <c r="M30" t="s">
        <v>61</v>
      </c>
      <c r="N30">
        <v>4</v>
      </c>
      <c r="O30">
        <v>4</v>
      </c>
      <c r="P30">
        <v>3</v>
      </c>
      <c r="Q30">
        <v>3</v>
      </c>
      <c r="R30">
        <v>4</v>
      </c>
      <c r="S30">
        <v>4</v>
      </c>
      <c r="T30">
        <v>4</v>
      </c>
      <c r="U30">
        <v>4</v>
      </c>
      <c r="V30">
        <v>4</v>
      </c>
      <c r="W30">
        <v>4</v>
      </c>
      <c r="X30">
        <v>4</v>
      </c>
      <c r="Y30">
        <v>4</v>
      </c>
      <c r="Z30">
        <v>4</v>
      </c>
      <c r="AA30">
        <v>4</v>
      </c>
      <c r="AB30">
        <v>4</v>
      </c>
      <c r="AC30">
        <v>4</v>
      </c>
      <c r="AD30">
        <v>5</v>
      </c>
      <c r="AE30">
        <v>2</v>
      </c>
      <c r="AF30">
        <v>2</v>
      </c>
      <c r="AG30">
        <v>4</v>
      </c>
      <c r="AH30">
        <v>3</v>
      </c>
      <c r="AI30">
        <v>3</v>
      </c>
      <c r="AJ30">
        <v>4</v>
      </c>
      <c r="AK30" t="b">
        <f>Table67[[#This Row],[What is your age?]]&lt;&gt;"18 - 25"</f>
        <v>0</v>
      </c>
      <c r="AL30" t="b">
        <f t="shared" si="0"/>
        <v>0</v>
      </c>
      <c r="AM30" t="b">
        <f t="shared" si="1"/>
        <v>0</v>
      </c>
      <c r="AN30" t="b">
        <f t="shared" si="2"/>
        <v>1</v>
      </c>
      <c r="AO30" t="b">
        <f>OR(Table67[[#This Row],[Ineligible respondents]:[Inconsistent response on opposite question (3)]])</f>
        <v>1</v>
      </c>
      <c r="AP3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30">
        <f>Table67[[#This Row],[Extreme Response]]/21</f>
        <v>4.7619047619047616E-2</v>
      </c>
      <c r="AR30">
        <f>_xlfn.PERCENTILE.INC(Table67[Extrem Response Ratio (ERS)],0.9)</f>
        <v>0.61904761904761907</v>
      </c>
      <c r="AS30" t="b">
        <f>Table67[[#This Row],[Extrem Response Ratio (ERS)]]&gt;=Table67[[#This Row],[Threshold of ERS]]</f>
        <v>0</v>
      </c>
      <c r="AT30">
        <f>COUNTIF(Table67[[#This Row],[The mechanism of digital assets is difficult to understand, which discourages me from exploring it (E.g, Tokenization, Blockchain)]:[If I want to try different ways to invest, I will explore digital assets.]], 3)</f>
        <v>3</v>
      </c>
      <c r="AU30">
        <f>Table67[[#This Row],[Midpoint]]/21</f>
        <v>0.14285714285714285</v>
      </c>
      <c r="AV30">
        <f>_xlfn.PERCENTILE.INC(Table67[Midpoint ratio],0.9)</f>
        <v>0.5714285714285714</v>
      </c>
      <c r="AW30" t="b">
        <f>Table67[[#This Row],[Midpoint ratio]]&gt;=Table67[[#This Row],[Threshold of Midpoint ratio]]</f>
        <v>0</v>
      </c>
      <c r="AX30" t="b">
        <f>OR(Table67[[#This Row],[Extreme Response Style]],Table67[[#This Row],[Mid-point Response Style]])</f>
        <v>0</v>
      </c>
      <c r="AY30" t="b">
        <f>OR(Table67[[#This Row],[Delete? (Stage 1)]],Table67[[#This Row],[Delete? (Stage 2)]])</f>
        <v>1</v>
      </c>
      <c r="AZ30" t="s">
        <v>59</v>
      </c>
    </row>
    <row r="31" spans="1:52">
      <c r="A31">
        <f t="shared" si="3"/>
        <v>30</v>
      </c>
      <c r="B31" s="3">
        <v>45988.486203703702</v>
      </c>
      <c r="C31" s="3">
        <v>45988.487939814797</v>
      </c>
      <c r="D31" t="s">
        <v>53</v>
      </c>
      <c r="G31" t="s">
        <v>54</v>
      </c>
      <c r="H31" t="s">
        <v>63</v>
      </c>
      <c r="I31" t="s">
        <v>69</v>
      </c>
      <c r="J31" t="s">
        <v>60</v>
      </c>
      <c r="K31" t="s">
        <v>57</v>
      </c>
      <c r="L31" t="s">
        <v>58</v>
      </c>
      <c r="M31" t="s">
        <v>58</v>
      </c>
      <c r="N31">
        <v>3</v>
      </c>
      <c r="O31">
        <v>3</v>
      </c>
      <c r="P31">
        <v>3</v>
      </c>
      <c r="Q31">
        <v>3</v>
      </c>
      <c r="R31">
        <v>3</v>
      </c>
      <c r="S31">
        <v>4</v>
      </c>
      <c r="T31">
        <v>2</v>
      </c>
      <c r="U31">
        <v>3</v>
      </c>
      <c r="V31">
        <v>5</v>
      </c>
      <c r="W31">
        <v>5</v>
      </c>
      <c r="X31">
        <v>4</v>
      </c>
      <c r="Y31">
        <v>4</v>
      </c>
      <c r="Z31">
        <v>4</v>
      </c>
      <c r="AA31">
        <v>4</v>
      </c>
      <c r="AB31">
        <v>4</v>
      </c>
      <c r="AC31">
        <v>4</v>
      </c>
      <c r="AD31">
        <v>4</v>
      </c>
      <c r="AE31">
        <v>4</v>
      </c>
      <c r="AF31">
        <v>3</v>
      </c>
      <c r="AG31">
        <v>4</v>
      </c>
      <c r="AH31">
        <v>3</v>
      </c>
      <c r="AI31">
        <v>3</v>
      </c>
      <c r="AJ31">
        <v>3</v>
      </c>
      <c r="AK31" t="b">
        <f>Table67[[#This Row],[What is your age?]]&lt;&gt;"18 - 25"</f>
        <v>0</v>
      </c>
      <c r="AL31" t="b">
        <f t="shared" si="0"/>
        <v>0</v>
      </c>
      <c r="AM31" t="b">
        <f t="shared" si="1"/>
        <v>0</v>
      </c>
      <c r="AN31" t="b">
        <f t="shared" si="2"/>
        <v>1</v>
      </c>
      <c r="AO31" t="b">
        <f>OR(Table67[[#This Row],[Ineligible respondents]:[Inconsistent response on opposite question (3)]])</f>
        <v>1</v>
      </c>
      <c r="AP3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31">
        <f>Table67[[#This Row],[Extreme Response]]/21</f>
        <v>9.5238095238095233E-2</v>
      </c>
      <c r="AR31">
        <f>_xlfn.PERCENTILE.INC(Table67[Extrem Response Ratio (ERS)],0.9)</f>
        <v>0.61904761904761907</v>
      </c>
      <c r="AS31" t="b">
        <f>Table67[[#This Row],[Extrem Response Ratio (ERS)]]&gt;=Table67[[#This Row],[Threshold of ERS]]</f>
        <v>0</v>
      </c>
      <c r="AT31">
        <f>COUNTIF(Table67[[#This Row],[The mechanism of digital assets is difficult to understand, which discourages me from exploring it (E.g, Tokenization, Blockchain)]:[If I want to try different ways to invest, I will explore digital assets.]], 3)</f>
        <v>8</v>
      </c>
      <c r="AU31">
        <f>Table67[[#This Row],[Midpoint]]/21</f>
        <v>0.38095238095238093</v>
      </c>
      <c r="AV31">
        <f>_xlfn.PERCENTILE.INC(Table67[Midpoint ratio],0.9)</f>
        <v>0.5714285714285714</v>
      </c>
      <c r="AW31" t="b">
        <f>Table67[[#This Row],[Midpoint ratio]]&gt;=Table67[[#This Row],[Threshold of Midpoint ratio]]</f>
        <v>0</v>
      </c>
      <c r="AX31" t="b">
        <f>OR(Table67[[#This Row],[Extreme Response Style]],Table67[[#This Row],[Mid-point Response Style]])</f>
        <v>0</v>
      </c>
      <c r="AY31" t="b">
        <f>OR(Table67[[#This Row],[Delete? (Stage 1)]],Table67[[#This Row],[Delete? (Stage 2)]])</f>
        <v>1</v>
      </c>
      <c r="AZ31" t="s">
        <v>59</v>
      </c>
    </row>
    <row r="32" spans="1:52">
      <c r="A32">
        <f t="shared" si="3"/>
        <v>31</v>
      </c>
      <c r="B32" s="3">
        <v>45988.503136574102</v>
      </c>
      <c r="C32" s="3">
        <v>45988.507696759298</v>
      </c>
      <c r="D32" t="s">
        <v>53</v>
      </c>
      <c r="G32" t="s">
        <v>54</v>
      </c>
      <c r="H32" t="s">
        <v>55</v>
      </c>
      <c r="I32" t="s">
        <v>56</v>
      </c>
      <c r="J32" t="s">
        <v>57</v>
      </c>
      <c r="K32" t="s">
        <v>57</v>
      </c>
      <c r="L32" t="s">
        <v>58</v>
      </c>
      <c r="M32" t="s">
        <v>61</v>
      </c>
      <c r="N32">
        <v>5</v>
      </c>
      <c r="O32">
        <v>2</v>
      </c>
      <c r="P32">
        <v>3</v>
      </c>
      <c r="Q32">
        <v>2</v>
      </c>
      <c r="R32">
        <v>3</v>
      </c>
      <c r="S32">
        <v>2</v>
      </c>
      <c r="T32">
        <v>1</v>
      </c>
      <c r="U32">
        <v>1</v>
      </c>
      <c r="V32">
        <v>4</v>
      </c>
      <c r="W32">
        <v>2</v>
      </c>
      <c r="X32">
        <v>5</v>
      </c>
      <c r="Y32">
        <v>5</v>
      </c>
      <c r="Z32">
        <v>4</v>
      </c>
      <c r="AA32">
        <v>2</v>
      </c>
      <c r="AB32">
        <v>2</v>
      </c>
      <c r="AC32">
        <v>2</v>
      </c>
      <c r="AD32">
        <v>5</v>
      </c>
      <c r="AE32">
        <v>3</v>
      </c>
      <c r="AF32">
        <v>3</v>
      </c>
      <c r="AG32">
        <v>3</v>
      </c>
      <c r="AH32">
        <v>4</v>
      </c>
      <c r="AI32">
        <v>2</v>
      </c>
      <c r="AJ32">
        <v>3</v>
      </c>
      <c r="AK32" t="b">
        <f>Table67[[#This Row],[What is your age?]]&lt;&gt;"18 - 25"</f>
        <v>0</v>
      </c>
      <c r="AL32" t="b">
        <f t="shared" si="0"/>
        <v>0</v>
      </c>
      <c r="AM32" t="b">
        <f t="shared" si="1"/>
        <v>0</v>
      </c>
      <c r="AN32" t="b">
        <f t="shared" si="2"/>
        <v>1</v>
      </c>
      <c r="AO32" t="b">
        <f>OR(Table67[[#This Row],[Ineligible respondents]:[Inconsistent response on opposite question (3)]])</f>
        <v>1</v>
      </c>
      <c r="AP3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32">
        <f>Table67[[#This Row],[Extreme Response]]/21</f>
        <v>0.2857142857142857</v>
      </c>
      <c r="AR32">
        <f>_xlfn.PERCENTILE.INC(Table67[Extrem Response Ratio (ERS)],0.9)</f>
        <v>0.61904761904761907</v>
      </c>
      <c r="AS32" t="b">
        <f>Table67[[#This Row],[Extrem Response Ratio (ERS)]]&gt;=Table67[[#This Row],[Threshold of ERS]]</f>
        <v>0</v>
      </c>
      <c r="AT32">
        <f>COUNTIF(Table67[[#This Row],[The mechanism of digital assets is difficult to understand, which discourages me from exploring it (E.g, Tokenization, Blockchain)]:[If I want to try different ways to invest, I will explore digital assets.]], 3)</f>
        <v>5</v>
      </c>
      <c r="AU32">
        <f>Table67[[#This Row],[Midpoint]]/21</f>
        <v>0.23809523809523808</v>
      </c>
      <c r="AV32">
        <f>_xlfn.PERCENTILE.INC(Table67[Midpoint ratio],0.9)</f>
        <v>0.5714285714285714</v>
      </c>
      <c r="AW32" t="b">
        <f>Table67[[#This Row],[Midpoint ratio]]&gt;=Table67[[#This Row],[Threshold of Midpoint ratio]]</f>
        <v>0</v>
      </c>
      <c r="AX32" t="b">
        <f>OR(Table67[[#This Row],[Extreme Response Style]],Table67[[#This Row],[Mid-point Response Style]])</f>
        <v>0</v>
      </c>
      <c r="AY32" t="b">
        <f>OR(Table67[[#This Row],[Delete? (Stage 1)]],Table67[[#This Row],[Delete? (Stage 2)]])</f>
        <v>1</v>
      </c>
      <c r="AZ32" t="s">
        <v>59</v>
      </c>
    </row>
    <row r="33" spans="1:52">
      <c r="A33">
        <f t="shared" si="3"/>
        <v>32</v>
      </c>
      <c r="B33" s="3">
        <v>45988.504849536999</v>
      </c>
      <c r="C33" s="3">
        <v>45988.508067129602</v>
      </c>
      <c r="D33" t="s">
        <v>53</v>
      </c>
      <c r="G33" t="s">
        <v>54</v>
      </c>
      <c r="H33" t="s">
        <v>55</v>
      </c>
      <c r="I33" t="s">
        <v>56</v>
      </c>
      <c r="J33" t="s">
        <v>62</v>
      </c>
      <c r="K33" t="s">
        <v>57</v>
      </c>
      <c r="L33" t="s">
        <v>58</v>
      </c>
      <c r="M33" t="s">
        <v>61</v>
      </c>
      <c r="N33">
        <v>2</v>
      </c>
      <c r="O33">
        <v>2</v>
      </c>
      <c r="P33">
        <v>4</v>
      </c>
      <c r="Q33">
        <v>4</v>
      </c>
      <c r="R33">
        <v>5</v>
      </c>
      <c r="S33">
        <v>4</v>
      </c>
      <c r="T33">
        <v>4</v>
      </c>
      <c r="U33">
        <v>4</v>
      </c>
      <c r="V33">
        <v>5</v>
      </c>
      <c r="W33">
        <v>5</v>
      </c>
      <c r="X33">
        <v>4</v>
      </c>
      <c r="Y33">
        <v>5</v>
      </c>
      <c r="Z33">
        <v>5</v>
      </c>
      <c r="AA33">
        <v>4</v>
      </c>
      <c r="AB33">
        <v>4</v>
      </c>
      <c r="AC33">
        <v>4</v>
      </c>
      <c r="AD33">
        <v>4</v>
      </c>
      <c r="AE33">
        <v>2</v>
      </c>
      <c r="AF33">
        <v>4</v>
      </c>
      <c r="AG33">
        <v>4</v>
      </c>
      <c r="AH33">
        <v>3</v>
      </c>
      <c r="AI33">
        <v>3</v>
      </c>
      <c r="AJ33">
        <v>2</v>
      </c>
      <c r="AK33" t="b">
        <f>Table67[[#This Row],[What is your age?]]&lt;&gt;"18 - 25"</f>
        <v>0</v>
      </c>
      <c r="AL33" t="b">
        <f t="shared" si="0"/>
        <v>0</v>
      </c>
      <c r="AM33" t="b">
        <f t="shared" si="1"/>
        <v>0</v>
      </c>
      <c r="AN33" t="b">
        <f t="shared" si="2"/>
        <v>1</v>
      </c>
      <c r="AO33" t="b">
        <f>OR(Table67[[#This Row],[Ineligible respondents]:[Inconsistent response on opposite question (3)]])</f>
        <v>1</v>
      </c>
      <c r="AP3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33">
        <f>Table67[[#This Row],[Extreme Response]]/21</f>
        <v>0.23809523809523808</v>
      </c>
      <c r="AR33">
        <f>_xlfn.PERCENTILE.INC(Table67[Extrem Response Ratio (ERS)],0.9)</f>
        <v>0.61904761904761907</v>
      </c>
      <c r="AS33" t="b">
        <f>Table67[[#This Row],[Extrem Response Ratio (ERS)]]&gt;=Table67[[#This Row],[Threshold of ERS]]</f>
        <v>0</v>
      </c>
      <c r="AT33">
        <f>COUNTIF(Table67[[#This Row],[The mechanism of digital assets is difficult to understand, which discourages me from exploring it (E.g, Tokenization, Blockchain)]:[If I want to try different ways to invest, I will explore digital assets.]], 3)</f>
        <v>1</v>
      </c>
      <c r="AU33">
        <f>Table67[[#This Row],[Midpoint]]/21</f>
        <v>4.7619047619047616E-2</v>
      </c>
      <c r="AV33">
        <f>_xlfn.PERCENTILE.INC(Table67[Midpoint ratio],0.9)</f>
        <v>0.5714285714285714</v>
      </c>
      <c r="AW33" t="b">
        <f>Table67[[#This Row],[Midpoint ratio]]&gt;=Table67[[#This Row],[Threshold of Midpoint ratio]]</f>
        <v>0</v>
      </c>
      <c r="AX33" t="b">
        <f>OR(Table67[[#This Row],[Extreme Response Style]],Table67[[#This Row],[Mid-point Response Style]])</f>
        <v>0</v>
      </c>
      <c r="AY33" t="b">
        <f>OR(Table67[[#This Row],[Delete? (Stage 1)]],Table67[[#This Row],[Delete? (Stage 2)]])</f>
        <v>1</v>
      </c>
      <c r="AZ33" t="s">
        <v>59</v>
      </c>
    </row>
    <row r="34" spans="1:52">
      <c r="A34">
        <f t="shared" si="3"/>
        <v>33</v>
      </c>
      <c r="B34" s="3">
        <v>45988.510787036997</v>
      </c>
      <c r="C34" s="3">
        <v>45988.5289583333</v>
      </c>
      <c r="D34" t="s">
        <v>53</v>
      </c>
      <c r="G34" t="s">
        <v>54</v>
      </c>
      <c r="H34" t="s">
        <v>63</v>
      </c>
      <c r="I34" t="s">
        <v>56</v>
      </c>
      <c r="J34" t="s">
        <v>60</v>
      </c>
      <c r="K34" t="s">
        <v>57</v>
      </c>
      <c r="L34" t="s">
        <v>58</v>
      </c>
      <c r="M34" t="s">
        <v>61</v>
      </c>
      <c r="N34">
        <v>3</v>
      </c>
      <c r="O34">
        <v>1</v>
      </c>
      <c r="P34">
        <v>2</v>
      </c>
      <c r="Q34">
        <v>3</v>
      </c>
      <c r="R34">
        <v>2</v>
      </c>
      <c r="S34">
        <v>2</v>
      </c>
      <c r="T34">
        <v>4</v>
      </c>
      <c r="U34">
        <v>5</v>
      </c>
      <c r="V34">
        <v>4</v>
      </c>
      <c r="W34">
        <v>3</v>
      </c>
      <c r="X34">
        <v>4</v>
      </c>
      <c r="Y34">
        <v>4</v>
      </c>
      <c r="Z34">
        <v>4</v>
      </c>
      <c r="AA34">
        <v>4</v>
      </c>
      <c r="AB34">
        <v>5</v>
      </c>
      <c r="AC34">
        <v>3</v>
      </c>
      <c r="AD34">
        <v>3</v>
      </c>
      <c r="AE34">
        <v>2</v>
      </c>
      <c r="AF34">
        <v>3</v>
      </c>
      <c r="AG34">
        <v>4</v>
      </c>
      <c r="AH34">
        <v>3</v>
      </c>
      <c r="AI34">
        <v>3</v>
      </c>
      <c r="AJ34">
        <v>3</v>
      </c>
      <c r="AK34" t="b">
        <f>Table67[[#This Row],[What is your age?]]&lt;&gt;"18 - 25"</f>
        <v>0</v>
      </c>
      <c r="AL34" t="b">
        <f t="shared" si="0"/>
        <v>0</v>
      </c>
      <c r="AM34" t="b">
        <f t="shared" si="1"/>
        <v>0</v>
      </c>
      <c r="AN34" t="b">
        <f t="shared" si="2"/>
        <v>1</v>
      </c>
      <c r="AO34" t="b">
        <f>OR(Table67[[#This Row],[Ineligible respondents]:[Inconsistent response on opposite question (3)]])</f>
        <v>1</v>
      </c>
      <c r="AP3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34">
        <f>Table67[[#This Row],[Extreme Response]]/21</f>
        <v>0.14285714285714285</v>
      </c>
      <c r="AR34">
        <f>_xlfn.PERCENTILE.INC(Table67[Extrem Response Ratio (ERS)],0.9)</f>
        <v>0.61904761904761907</v>
      </c>
      <c r="AS34" t="b">
        <f>Table67[[#This Row],[Extrem Response Ratio (ERS)]]&gt;=Table67[[#This Row],[Threshold of ERS]]</f>
        <v>0</v>
      </c>
      <c r="AT34">
        <f>COUNTIF(Table67[[#This Row],[The mechanism of digital assets is difficult to understand, which discourages me from exploring it (E.g, Tokenization, Blockchain)]:[If I want to try different ways to invest, I will explore digital assets.]], 3)</f>
        <v>7</v>
      </c>
      <c r="AU34">
        <f>Table67[[#This Row],[Midpoint]]/21</f>
        <v>0.33333333333333331</v>
      </c>
      <c r="AV34">
        <f>_xlfn.PERCENTILE.INC(Table67[Midpoint ratio],0.9)</f>
        <v>0.5714285714285714</v>
      </c>
      <c r="AW34" t="b">
        <f>Table67[[#This Row],[Midpoint ratio]]&gt;=Table67[[#This Row],[Threshold of Midpoint ratio]]</f>
        <v>0</v>
      </c>
      <c r="AX34" t="b">
        <f>OR(Table67[[#This Row],[Extreme Response Style]],Table67[[#This Row],[Mid-point Response Style]])</f>
        <v>0</v>
      </c>
      <c r="AY34" t="b">
        <f>OR(Table67[[#This Row],[Delete? (Stage 1)]],Table67[[#This Row],[Delete? (Stage 2)]])</f>
        <v>1</v>
      </c>
      <c r="AZ34" t="s">
        <v>59</v>
      </c>
    </row>
    <row r="35" spans="1:52">
      <c r="A35">
        <f t="shared" si="3"/>
        <v>34</v>
      </c>
      <c r="B35" s="3">
        <v>45988.512777777803</v>
      </c>
      <c r="C35" s="3">
        <v>45988.513819444401</v>
      </c>
      <c r="D35" t="s">
        <v>53</v>
      </c>
      <c r="G35" t="s">
        <v>54</v>
      </c>
      <c r="H35" t="s">
        <v>63</v>
      </c>
      <c r="I35" t="s">
        <v>56</v>
      </c>
      <c r="J35" t="s">
        <v>60</v>
      </c>
      <c r="K35" t="s">
        <v>57</v>
      </c>
      <c r="L35" t="s">
        <v>58</v>
      </c>
      <c r="M35" t="s">
        <v>58</v>
      </c>
      <c r="N35">
        <v>4</v>
      </c>
      <c r="O35">
        <v>3</v>
      </c>
      <c r="P35">
        <v>3</v>
      </c>
      <c r="Q35">
        <v>3</v>
      </c>
      <c r="R35">
        <v>3</v>
      </c>
      <c r="S35">
        <v>3</v>
      </c>
      <c r="T35">
        <v>3</v>
      </c>
      <c r="U35">
        <v>3</v>
      </c>
      <c r="V35">
        <v>3</v>
      </c>
      <c r="W35">
        <v>3</v>
      </c>
      <c r="X35">
        <v>3</v>
      </c>
      <c r="Y35">
        <v>3</v>
      </c>
      <c r="Z35">
        <v>3</v>
      </c>
      <c r="AA35">
        <v>3</v>
      </c>
      <c r="AB35">
        <v>3</v>
      </c>
      <c r="AC35">
        <v>3</v>
      </c>
      <c r="AD35">
        <v>3</v>
      </c>
      <c r="AE35">
        <v>3</v>
      </c>
      <c r="AF35">
        <v>3</v>
      </c>
      <c r="AG35">
        <v>3</v>
      </c>
      <c r="AH35">
        <v>3</v>
      </c>
      <c r="AI35">
        <v>3</v>
      </c>
      <c r="AJ35">
        <v>3</v>
      </c>
      <c r="AK35" t="b">
        <f>Table67[[#This Row],[What is your age?]]&lt;&gt;"18 - 25"</f>
        <v>0</v>
      </c>
      <c r="AL35" t="b">
        <f t="shared" si="0"/>
        <v>0</v>
      </c>
      <c r="AM35" t="b">
        <f t="shared" si="1"/>
        <v>0</v>
      </c>
      <c r="AN35" t="b">
        <f t="shared" si="2"/>
        <v>0</v>
      </c>
      <c r="AO35" t="b">
        <f>OR(Table67[[#This Row],[Ineligible respondents]:[Inconsistent response on opposite question (3)]])</f>
        <v>0</v>
      </c>
      <c r="AP3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5">
        <f>Table67[[#This Row],[Extreme Response]]/21</f>
        <v>0</v>
      </c>
      <c r="AR35">
        <f>_xlfn.PERCENTILE.INC(Table67[Extrem Response Ratio (ERS)],0.9)</f>
        <v>0.61904761904761907</v>
      </c>
      <c r="AS35" t="b">
        <f>Table67[[#This Row],[Extrem Response Ratio (ERS)]]&gt;=Table67[[#This Row],[Threshold of ERS]]</f>
        <v>0</v>
      </c>
      <c r="AT35">
        <f>COUNTIF(Table67[[#This Row],[The mechanism of digital assets is difficult to understand, which discourages me from exploring it (E.g, Tokenization, Blockchain)]:[If I want to try different ways to invest, I will explore digital assets.]], 3)</f>
        <v>20</v>
      </c>
      <c r="AU35">
        <f>Table67[[#This Row],[Midpoint]]/21</f>
        <v>0.95238095238095233</v>
      </c>
      <c r="AV35">
        <f>_xlfn.PERCENTILE.INC(Table67[Midpoint ratio],0.9)</f>
        <v>0.5714285714285714</v>
      </c>
      <c r="AW35" t="b">
        <f>Table67[[#This Row],[Midpoint ratio]]&gt;=Table67[[#This Row],[Threshold of Midpoint ratio]]</f>
        <v>1</v>
      </c>
      <c r="AX35" t="b">
        <f>OR(Table67[[#This Row],[Extreme Response Style]],Table67[[#This Row],[Mid-point Response Style]])</f>
        <v>1</v>
      </c>
      <c r="AY35" t="b">
        <f>OR(Table67[[#This Row],[Delete? (Stage 1)]],Table67[[#This Row],[Delete? (Stage 2)]])</f>
        <v>1</v>
      </c>
      <c r="AZ35" t="s">
        <v>59</v>
      </c>
    </row>
    <row r="36" spans="1:52">
      <c r="A36">
        <f t="shared" si="3"/>
        <v>35</v>
      </c>
      <c r="B36" s="3">
        <v>45988.517418981501</v>
      </c>
      <c r="C36" s="3">
        <v>45988.519502314797</v>
      </c>
      <c r="D36" t="s">
        <v>53</v>
      </c>
      <c r="G36" t="s">
        <v>54</v>
      </c>
      <c r="H36" t="s">
        <v>70</v>
      </c>
      <c r="I36" t="s">
        <v>56</v>
      </c>
      <c r="J36" t="s">
        <v>68</v>
      </c>
      <c r="K36" t="s">
        <v>57</v>
      </c>
      <c r="L36" t="s">
        <v>58</v>
      </c>
      <c r="M36" t="s">
        <v>58</v>
      </c>
      <c r="N36">
        <v>3</v>
      </c>
      <c r="O36">
        <v>2</v>
      </c>
      <c r="P36">
        <v>5</v>
      </c>
      <c r="Q36">
        <v>2</v>
      </c>
      <c r="R36">
        <v>3</v>
      </c>
      <c r="S36">
        <v>1</v>
      </c>
      <c r="T36">
        <v>5</v>
      </c>
      <c r="U36">
        <v>3</v>
      </c>
      <c r="V36">
        <v>5</v>
      </c>
      <c r="W36">
        <v>5</v>
      </c>
      <c r="X36">
        <v>4</v>
      </c>
      <c r="Y36">
        <v>5</v>
      </c>
      <c r="Z36">
        <v>5</v>
      </c>
      <c r="AA36">
        <v>5</v>
      </c>
      <c r="AB36">
        <v>1</v>
      </c>
      <c r="AC36">
        <v>1</v>
      </c>
      <c r="AD36">
        <v>5</v>
      </c>
      <c r="AE36">
        <v>3</v>
      </c>
      <c r="AF36">
        <v>5</v>
      </c>
      <c r="AG36">
        <v>1</v>
      </c>
      <c r="AH36">
        <v>5</v>
      </c>
      <c r="AI36">
        <v>1</v>
      </c>
      <c r="AJ36">
        <v>1</v>
      </c>
      <c r="AK36" t="b">
        <f>Table67[[#This Row],[What is your age?]]&lt;&gt;"18 - 25"</f>
        <v>0</v>
      </c>
      <c r="AL36" t="b">
        <f t="shared" si="0"/>
        <v>0</v>
      </c>
      <c r="AM36" t="b">
        <f t="shared" si="1"/>
        <v>0</v>
      </c>
      <c r="AN36" t="b">
        <f t="shared" si="2"/>
        <v>0</v>
      </c>
      <c r="AO36" t="b">
        <f>OR(Table67[[#This Row],[Ineligible respondents]:[Inconsistent response on opposite question (3)]])</f>
        <v>0</v>
      </c>
      <c r="AP3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36">
        <f>Table67[[#This Row],[Extreme Response]]/21</f>
        <v>0.66666666666666663</v>
      </c>
      <c r="AR36">
        <f>_xlfn.PERCENTILE.INC(Table67[Extrem Response Ratio (ERS)],0.9)</f>
        <v>0.61904761904761907</v>
      </c>
      <c r="AS36" t="b">
        <f>Table67[[#This Row],[Extrem Response Ratio (ERS)]]&gt;=Table67[[#This Row],[Threshold of ERS]]</f>
        <v>1</v>
      </c>
      <c r="AT36">
        <f>COUNTIF(Table67[[#This Row],[The mechanism of digital assets is difficult to understand, which discourages me from exploring it (E.g, Tokenization, Blockchain)]:[If I want to try different ways to invest, I will explore digital assets.]], 3)</f>
        <v>4</v>
      </c>
      <c r="AU36">
        <f>Table67[[#This Row],[Midpoint]]/21</f>
        <v>0.19047619047619047</v>
      </c>
      <c r="AV36">
        <f>_xlfn.PERCENTILE.INC(Table67[Midpoint ratio],0.9)</f>
        <v>0.5714285714285714</v>
      </c>
      <c r="AW36" t="b">
        <f>Table67[[#This Row],[Midpoint ratio]]&gt;=Table67[[#This Row],[Threshold of Midpoint ratio]]</f>
        <v>0</v>
      </c>
      <c r="AX36" t="b">
        <f>OR(Table67[[#This Row],[Extreme Response Style]],Table67[[#This Row],[Mid-point Response Style]])</f>
        <v>1</v>
      </c>
      <c r="AY36" t="b">
        <f>OR(Table67[[#This Row],[Delete? (Stage 1)]],Table67[[#This Row],[Delete? (Stage 2)]])</f>
        <v>1</v>
      </c>
      <c r="AZ36" t="s">
        <v>59</v>
      </c>
    </row>
    <row r="37" spans="1:52">
      <c r="A37">
        <f t="shared" si="3"/>
        <v>36</v>
      </c>
      <c r="B37" s="3">
        <v>45988.520104166702</v>
      </c>
      <c r="C37" s="3">
        <v>45988.522002314799</v>
      </c>
      <c r="D37" t="s">
        <v>53</v>
      </c>
      <c r="G37" t="s">
        <v>54</v>
      </c>
      <c r="H37" t="s">
        <v>63</v>
      </c>
      <c r="I37" t="s">
        <v>56</v>
      </c>
      <c r="J37" t="s">
        <v>60</v>
      </c>
      <c r="K37" t="s">
        <v>67</v>
      </c>
      <c r="L37" t="s">
        <v>58</v>
      </c>
      <c r="M37" t="s">
        <v>61</v>
      </c>
      <c r="N37">
        <v>3</v>
      </c>
      <c r="O37">
        <v>4</v>
      </c>
      <c r="P37">
        <v>4</v>
      </c>
      <c r="Q37">
        <v>4</v>
      </c>
      <c r="R37">
        <v>2</v>
      </c>
      <c r="S37">
        <v>4</v>
      </c>
      <c r="T37">
        <v>4</v>
      </c>
      <c r="U37">
        <v>5</v>
      </c>
      <c r="V37">
        <v>5</v>
      </c>
      <c r="W37">
        <v>4</v>
      </c>
      <c r="X37">
        <v>4</v>
      </c>
      <c r="Y37">
        <v>4</v>
      </c>
      <c r="Z37">
        <v>4</v>
      </c>
      <c r="AA37">
        <v>4</v>
      </c>
      <c r="AB37">
        <v>2</v>
      </c>
      <c r="AC37">
        <v>4</v>
      </c>
      <c r="AD37">
        <v>4</v>
      </c>
      <c r="AE37">
        <v>4</v>
      </c>
      <c r="AF37">
        <v>2</v>
      </c>
      <c r="AG37">
        <v>4</v>
      </c>
      <c r="AH37">
        <v>4</v>
      </c>
      <c r="AI37">
        <v>2</v>
      </c>
      <c r="AJ37">
        <v>4</v>
      </c>
      <c r="AK37" t="b">
        <f>Table67[[#This Row],[What is your age?]]&lt;&gt;"18 - 25"</f>
        <v>0</v>
      </c>
      <c r="AL37" t="b">
        <f t="shared" si="0"/>
        <v>0</v>
      </c>
      <c r="AM37" t="b">
        <f t="shared" si="1"/>
        <v>1</v>
      </c>
      <c r="AN37" t="b">
        <f t="shared" si="2"/>
        <v>0</v>
      </c>
      <c r="AO37" t="b">
        <f>OR(Table67[[#This Row],[Ineligible respondents]:[Inconsistent response on opposite question (3)]])</f>
        <v>1</v>
      </c>
      <c r="AP3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37">
        <f>Table67[[#This Row],[Extreme Response]]/21</f>
        <v>9.5238095238095233E-2</v>
      </c>
      <c r="AR37">
        <f>_xlfn.PERCENTILE.INC(Table67[Extrem Response Ratio (ERS)],0.9)</f>
        <v>0.61904761904761907</v>
      </c>
      <c r="AS37" t="b">
        <f>Table67[[#This Row],[Extrem Response Ratio (ERS)]]&gt;=Table67[[#This Row],[Threshold of ERS]]</f>
        <v>0</v>
      </c>
      <c r="AT37">
        <f>COUNTIF(Table67[[#This Row],[The mechanism of digital assets is difficult to understand, which discourages me from exploring it (E.g, Tokenization, Blockchain)]:[If I want to try different ways to invest, I will explore digital assets.]], 3)</f>
        <v>1</v>
      </c>
      <c r="AU37">
        <f>Table67[[#This Row],[Midpoint]]/21</f>
        <v>4.7619047619047616E-2</v>
      </c>
      <c r="AV37">
        <f>_xlfn.PERCENTILE.INC(Table67[Midpoint ratio],0.9)</f>
        <v>0.5714285714285714</v>
      </c>
      <c r="AW37" t="b">
        <f>Table67[[#This Row],[Midpoint ratio]]&gt;=Table67[[#This Row],[Threshold of Midpoint ratio]]</f>
        <v>0</v>
      </c>
      <c r="AX37" t="b">
        <f>OR(Table67[[#This Row],[Extreme Response Style]],Table67[[#This Row],[Mid-point Response Style]])</f>
        <v>0</v>
      </c>
      <c r="AY37" t="b">
        <f>OR(Table67[[#This Row],[Delete? (Stage 1)]],Table67[[#This Row],[Delete? (Stage 2)]])</f>
        <v>1</v>
      </c>
      <c r="AZ37" t="s">
        <v>59</v>
      </c>
    </row>
    <row r="38" spans="1:52">
      <c r="A38">
        <f t="shared" si="3"/>
        <v>37</v>
      </c>
      <c r="B38" s="3">
        <v>45988.528344907398</v>
      </c>
      <c r="C38" s="3">
        <v>45988.529293981497</v>
      </c>
      <c r="D38" t="s">
        <v>53</v>
      </c>
      <c r="G38" t="s">
        <v>54</v>
      </c>
      <c r="H38" t="s">
        <v>55</v>
      </c>
      <c r="I38" t="s">
        <v>56</v>
      </c>
      <c r="J38" t="s">
        <v>57</v>
      </c>
      <c r="K38" t="s">
        <v>57</v>
      </c>
      <c r="L38" t="s">
        <v>58</v>
      </c>
      <c r="M38" t="s">
        <v>61</v>
      </c>
      <c r="N38">
        <v>2</v>
      </c>
      <c r="O38">
        <v>3</v>
      </c>
      <c r="P38">
        <v>3</v>
      </c>
      <c r="Q38">
        <v>3</v>
      </c>
      <c r="R38">
        <v>3</v>
      </c>
      <c r="S38">
        <v>3</v>
      </c>
      <c r="T38">
        <v>3</v>
      </c>
      <c r="U38">
        <v>3</v>
      </c>
      <c r="V38">
        <v>3</v>
      </c>
      <c r="W38">
        <v>3</v>
      </c>
      <c r="X38">
        <v>3</v>
      </c>
      <c r="Y38">
        <v>3</v>
      </c>
      <c r="Z38">
        <v>3</v>
      </c>
      <c r="AA38">
        <v>3</v>
      </c>
      <c r="AB38">
        <v>3</v>
      </c>
      <c r="AC38">
        <v>3</v>
      </c>
      <c r="AD38">
        <v>3</v>
      </c>
      <c r="AE38">
        <v>3</v>
      </c>
      <c r="AF38">
        <v>3</v>
      </c>
      <c r="AG38">
        <v>3</v>
      </c>
      <c r="AH38">
        <v>3</v>
      </c>
      <c r="AI38">
        <v>3</v>
      </c>
      <c r="AJ38">
        <v>3</v>
      </c>
      <c r="AK38" t="b">
        <f>Table67[[#This Row],[What is your age?]]&lt;&gt;"18 - 25"</f>
        <v>0</v>
      </c>
      <c r="AL38" t="b">
        <f t="shared" si="0"/>
        <v>0</v>
      </c>
      <c r="AM38" t="b">
        <f t="shared" si="1"/>
        <v>0</v>
      </c>
      <c r="AN38" t="b">
        <f t="shared" si="2"/>
        <v>0</v>
      </c>
      <c r="AO38" t="b">
        <f>OR(Table67[[#This Row],[Ineligible respondents]:[Inconsistent response on opposite question (3)]])</f>
        <v>0</v>
      </c>
      <c r="AP3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8">
        <f>Table67[[#This Row],[Extreme Response]]/21</f>
        <v>0</v>
      </c>
      <c r="AR38">
        <f>_xlfn.PERCENTILE.INC(Table67[Extrem Response Ratio (ERS)],0.9)</f>
        <v>0.61904761904761907</v>
      </c>
      <c r="AS38" t="b">
        <f>Table67[[#This Row],[Extrem Response Ratio (ERS)]]&gt;=Table67[[#This Row],[Threshold of ERS]]</f>
        <v>0</v>
      </c>
      <c r="AT38">
        <f>COUNTIF(Table67[[#This Row],[The mechanism of digital assets is difficult to understand, which discourages me from exploring it (E.g, Tokenization, Blockchain)]:[If I want to try different ways to invest, I will explore digital assets.]], 3)</f>
        <v>20</v>
      </c>
      <c r="AU38">
        <f>Table67[[#This Row],[Midpoint]]/21</f>
        <v>0.95238095238095233</v>
      </c>
      <c r="AV38">
        <f>_xlfn.PERCENTILE.INC(Table67[Midpoint ratio],0.9)</f>
        <v>0.5714285714285714</v>
      </c>
      <c r="AW38" t="b">
        <f>Table67[[#This Row],[Midpoint ratio]]&gt;=Table67[[#This Row],[Threshold of Midpoint ratio]]</f>
        <v>1</v>
      </c>
      <c r="AX38" t="b">
        <f>OR(Table67[[#This Row],[Extreme Response Style]],Table67[[#This Row],[Mid-point Response Style]])</f>
        <v>1</v>
      </c>
      <c r="AY38" t="b">
        <f>OR(Table67[[#This Row],[Delete? (Stage 1)]],Table67[[#This Row],[Delete? (Stage 2)]])</f>
        <v>1</v>
      </c>
      <c r="AZ38" t="s">
        <v>59</v>
      </c>
    </row>
    <row r="39" spans="1:52">
      <c r="A39">
        <f t="shared" si="3"/>
        <v>38</v>
      </c>
      <c r="B39" s="3">
        <v>45988.534097222197</v>
      </c>
      <c r="C39" s="3">
        <v>45988.534803240698</v>
      </c>
      <c r="D39" t="s">
        <v>53</v>
      </c>
      <c r="G39" t="s">
        <v>54</v>
      </c>
      <c r="H39" t="s">
        <v>55</v>
      </c>
      <c r="I39" t="s">
        <v>71</v>
      </c>
      <c r="J39" t="s">
        <v>62</v>
      </c>
      <c r="K39" t="s">
        <v>57</v>
      </c>
      <c r="L39" t="s">
        <v>58</v>
      </c>
      <c r="M39" t="s">
        <v>58</v>
      </c>
      <c r="N39">
        <v>3</v>
      </c>
      <c r="O39">
        <v>3</v>
      </c>
      <c r="P39">
        <v>3</v>
      </c>
      <c r="Q39">
        <v>3</v>
      </c>
      <c r="R39">
        <v>3</v>
      </c>
      <c r="S39">
        <v>3</v>
      </c>
      <c r="T39">
        <v>3</v>
      </c>
      <c r="U39">
        <v>3</v>
      </c>
      <c r="V39">
        <v>3</v>
      </c>
      <c r="W39">
        <v>3</v>
      </c>
      <c r="X39">
        <v>3</v>
      </c>
      <c r="Y39">
        <v>3</v>
      </c>
      <c r="Z39">
        <v>3</v>
      </c>
      <c r="AA39">
        <v>3</v>
      </c>
      <c r="AB39">
        <v>3</v>
      </c>
      <c r="AC39">
        <v>3</v>
      </c>
      <c r="AD39">
        <v>3</v>
      </c>
      <c r="AE39">
        <v>3</v>
      </c>
      <c r="AF39">
        <v>3</v>
      </c>
      <c r="AG39">
        <v>3</v>
      </c>
      <c r="AH39">
        <v>3</v>
      </c>
      <c r="AI39">
        <v>3</v>
      </c>
      <c r="AJ39">
        <v>3</v>
      </c>
      <c r="AK39" t="b">
        <f>Table67[[#This Row],[What is your age?]]&lt;&gt;"18 - 25"</f>
        <v>0</v>
      </c>
      <c r="AL39" t="b">
        <f t="shared" si="0"/>
        <v>1</v>
      </c>
      <c r="AM39" t="b">
        <f t="shared" si="1"/>
        <v>0</v>
      </c>
      <c r="AN39" t="b">
        <f t="shared" si="2"/>
        <v>0</v>
      </c>
      <c r="AO39" t="b">
        <f>OR(Table67[[#This Row],[Ineligible respondents]:[Inconsistent response on opposite question (3)]])</f>
        <v>1</v>
      </c>
      <c r="AP3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9">
        <f>Table67[[#This Row],[Extreme Response]]/21</f>
        <v>0</v>
      </c>
      <c r="AR39">
        <f>_xlfn.PERCENTILE.INC(Table67[Extrem Response Ratio (ERS)],0.9)</f>
        <v>0.61904761904761907</v>
      </c>
      <c r="AS39" t="b">
        <f>Table67[[#This Row],[Extrem Response Ratio (ERS)]]&gt;=Table67[[#This Row],[Threshold of ERS]]</f>
        <v>0</v>
      </c>
      <c r="AT39">
        <f>COUNTIF(Table67[[#This Row],[The mechanism of digital assets is difficult to understand, which discourages me from exploring it (E.g, Tokenization, Blockchain)]:[If I want to try different ways to invest, I will explore digital assets.]], 3)</f>
        <v>21</v>
      </c>
      <c r="AU39">
        <f>Table67[[#This Row],[Midpoint]]/21</f>
        <v>1</v>
      </c>
      <c r="AV39">
        <f>_xlfn.PERCENTILE.INC(Table67[Midpoint ratio],0.9)</f>
        <v>0.5714285714285714</v>
      </c>
      <c r="AW39" t="b">
        <f>Table67[[#This Row],[Midpoint ratio]]&gt;=Table67[[#This Row],[Threshold of Midpoint ratio]]</f>
        <v>1</v>
      </c>
      <c r="AX39" t="b">
        <f>OR(Table67[[#This Row],[Extreme Response Style]],Table67[[#This Row],[Mid-point Response Style]])</f>
        <v>1</v>
      </c>
      <c r="AY39" t="b">
        <f>OR(Table67[[#This Row],[Delete? (Stage 1)]],Table67[[#This Row],[Delete? (Stage 2)]])</f>
        <v>1</v>
      </c>
      <c r="AZ39" t="s">
        <v>59</v>
      </c>
    </row>
    <row r="40" spans="1:52">
      <c r="A40">
        <f t="shared" si="3"/>
        <v>39</v>
      </c>
      <c r="B40" s="3">
        <v>45988.539004629602</v>
      </c>
      <c r="C40" s="3">
        <v>45988.5399189815</v>
      </c>
      <c r="D40" t="s">
        <v>53</v>
      </c>
      <c r="G40" t="s">
        <v>54</v>
      </c>
      <c r="H40" t="s">
        <v>55</v>
      </c>
      <c r="I40" t="s">
        <v>56</v>
      </c>
      <c r="J40" t="s">
        <v>62</v>
      </c>
      <c r="K40" t="s">
        <v>57</v>
      </c>
      <c r="L40" t="s">
        <v>58</v>
      </c>
      <c r="M40" t="s">
        <v>61</v>
      </c>
      <c r="N40">
        <v>4</v>
      </c>
      <c r="O40">
        <v>2</v>
      </c>
      <c r="P40">
        <v>2</v>
      </c>
      <c r="Q40">
        <v>4</v>
      </c>
      <c r="R40">
        <v>4</v>
      </c>
      <c r="S40">
        <v>4</v>
      </c>
      <c r="T40">
        <v>2</v>
      </c>
      <c r="U40">
        <v>3</v>
      </c>
      <c r="V40">
        <v>4</v>
      </c>
      <c r="W40">
        <v>4</v>
      </c>
      <c r="X40">
        <v>4</v>
      </c>
      <c r="Y40">
        <v>4</v>
      </c>
      <c r="Z40">
        <v>4</v>
      </c>
      <c r="AA40">
        <v>4</v>
      </c>
      <c r="AB40">
        <v>4</v>
      </c>
      <c r="AC40">
        <v>3</v>
      </c>
      <c r="AD40">
        <v>4</v>
      </c>
      <c r="AE40">
        <v>4</v>
      </c>
      <c r="AF40">
        <v>4</v>
      </c>
      <c r="AG40">
        <v>3</v>
      </c>
      <c r="AH40">
        <v>4</v>
      </c>
      <c r="AI40">
        <v>2</v>
      </c>
      <c r="AJ40">
        <v>2</v>
      </c>
      <c r="AK40" t="b">
        <f>Table67[[#This Row],[What is your age?]]&lt;&gt;"18 - 25"</f>
        <v>0</v>
      </c>
      <c r="AL40" t="b">
        <f t="shared" si="0"/>
        <v>0</v>
      </c>
      <c r="AM40" t="b">
        <f t="shared" si="1"/>
        <v>0</v>
      </c>
      <c r="AN40" t="b">
        <f t="shared" si="2"/>
        <v>1</v>
      </c>
      <c r="AO40" t="b">
        <f>OR(Table67[[#This Row],[Ineligible respondents]:[Inconsistent response on opposite question (3)]])</f>
        <v>1</v>
      </c>
      <c r="AP4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0">
        <f>Table67[[#This Row],[Extreme Response]]/21</f>
        <v>0</v>
      </c>
      <c r="AR40">
        <f>_xlfn.PERCENTILE.INC(Table67[Extrem Response Ratio (ERS)],0.9)</f>
        <v>0.61904761904761907</v>
      </c>
      <c r="AS40" t="b">
        <f>Table67[[#This Row],[Extrem Response Ratio (ERS)]]&gt;=Table67[[#This Row],[Threshold of ERS]]</f>
        <v>0</v>
      </c>
      <c r="AT40">
        <f>COUNTIF(Table67[[#This Row],[The mechanism of digital assets is difficult to understand, which discourages me from exploring it (E.g, Tokenization, Blockchain)]:[If I want to try different ways to invest, I will explore digital assets.]], 3)</f>
        <v>3</v>
      </c>
      <c r="AU40">
        <f>Table67[[#This Row],[Midpoint]]/21</f>
        <v>0.14285714285714285</v>
      </c>
      <c r="AV40">
        <f>_xlfn.PERCENTILE.INC(Table67[Midpoint ratio],0.9)</f>
        <v>0.5714285714285714</v>
      </c>
      <c r="AW40" t="b">
        <f>Table67[[#This Row],[Midpoint ratio]]&gt;=Table67[[#This Row],[Threshold of Midpoint ratio]]</f>
        <v>0</v>
      </c>
      <c r="AX40" t="b">
        <f>OR(Table67[[#This Row],[Extreme Response Style]],Table67[[#This Row],[Mid-point Response Style]])</f>
        <v>0</v>
      </c>
      <c r="AY40" t="b">
        <f>OR(Table67[[#This Row],[Delete? (Stage 1)]],Table67[[#This Row],[Delete? (Stage 2)]])</f>
        <v>1</v>
      </c>
      <c r="AZ40" t="s">
        <v>59</v>
      </c>
    </row>
    <row r="41" spans="1:52">
      <c r="A41">
        <f t="shared" si="3"/>
        <v>40</v>
      </c>
      <c r="B41" s="3">
        <v>45988.541840277801</v>
      </c>
      <c r="C41" s="3">
        <v>45988.543831018498</v>
      </c>
      <c r="D41" t="s">
        <v>53</v>
      </c>
      <c r="G41" t="s">
        <v>54</v>
      </c>
      <c r="H41" t="s">
        <v>63</v>
      </c>
      <c r="I41" t="s">
        <v>56</v>
      </c>
      <c r="J41" t="s">
        <v>65</v>
      </c>
      <c r="K41" t="s">
        <v>57</v>
      </c>
      <c r="L41" t="s">
        <v>58</v>
      </c>
      <c r="M41" t="s">
        <v>61</v>
      </c>
      <c r="N41">
        <v>4</v>
      </c>
      <c r="O41">
        <v>3</v>
      </c>
      <c r="P41">
        <v>4</v>
      </c>
      <c r="Q41">
        <v>2</v>
      </c>
      <c r="R41">
        <v>2</v>
      </c>
      <c r="S41">
        <v>3</v>
      </c>
      <c r="T41">
        <v>4</v>
      </c>
      <c r="U41">
        <v>4</v>
      </c>
      <c r="V41">
        <v>5</v>
      </c>
      <c r="W41">
        <v>5</v>
      </c>
      <c r="X41">
        <v>5</v>
      </c>
      <c r="Y41">
        <v>5</v>
      </c>
      <c r="Z41">
        <v>4</v>
      </c>
      <c r="AA41">
        <v>4</v>
      </c>
      <c r="AB41">
        <v>3</v>
      </c>
      <c r="AC41">
        <v>2</v>
      </c>
      <c r="AD41">
        <v>4</v>
      </c>
      <c r="AE41">
        <v>2</v>
      </c>
      <c r="AF41">
        <v>2</v>
      </c>
      <c r="AG41">
        <v>3</v>
      </c>
      <c r="AH41">
        <v>3</v>
      </c>
      <c r="AI41">
        <v>3</v>
      </c>
      <c r="AJ41">
        <v>4</v>
      </c>
      <c r="AK41" t="b">
        <f>Table67[[#This Row],[What is your age?]]&lt;&gt;"18 - 25"</f>
        <v>0</v>
      </c>
      <c r="AL41" t="b">
        <f t="shared" si="0"/>
        <v>0</v>
      </c>
      <c r="AM41" t="b">
        <f t="shared" si="1"/>
        <v>0</v>
      </c>
      <c r="AN41" t="b">
        <f t="shared" si="2"/>
        <v>0</v>
      </c>
      <c r="AO41" t="b">
        <f>OR(Table67[[#This Row],[Ineligible respondents]:[Inconsistent response on opposite question (3)]])</f>
        <v>0</v>
      </c>
      <c r="AP4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41">
        <f>Table67[[#This Row],[Extreme Response]]/21</f>
        <v>0.19047619047619047</v>
      </c>
      <c r="AR41">
        <f>_xlfn.PERCENTILE.INC(Table67[Extrem Response Ratio (ERS)],0.9)</f>
        <v>0.61904761904761907</v>
      </c>
      <c r="AS41" t="b">
        <f>Table67[[#This Row],[Extrem Response Ratio (ERS)]]&gt;=Table67[[#This Row],[Threshold of ERS]]</f>
        <v>0</v>
      </c>
      <c r="AT41">
        <f>COUNTIF(Table67[[#This Row],[The mechanism of digital assets is difficult to understand, which discourages me from exploring it (E.g, Tokenization, Blockchain)]:[If I want to try different ways to invest, I will explore digital assets.]], 3)</f>
        <v>5</v>
      </c>
      <c r="AU41">
        <f>Table67[[#This Row],[Midpoint]]/21</f>
        <v>0.23809523809523808</v>
      </c>
      <c r="AV41">
        <f>_xlfn.PERCENTILE.INC(Table67[Midpoint ratio],0.9)</f>
        <v>0.5714285714285714</v>
      </c>
      <c r="AW41" t="b">
        <f>Table67[[#This Row],[Midpoint ratio]]&gt;=Table67[[#This Row],[Threshold of Midpoint ratio]]</f>
        <v>0</v>
      </c>
      <c r="AX41" t="b">
        <f>OR(Table67[[#This Row],[Extreme Response Style]],Table67[[#This Row],[Mid-point Response Style]])</f>
        <v>0</v>
      </c>
      <c r="AY41" t="b">
        <f>OR(Table67[[#This Row],[Delete? (Stage 1)]],Table67[[#This Row],[Delete? (Stage 2)]])</f>
        <v>0</v>
      </c>
      <c r="AZ41" t="s">
        <v>59</v>
      </c>
    </row>
    <row r="42" spans="1:52">
      <c r="A42">
        <f t="shared" si="3"/>
        <v>41</v>
      </c>
      <c r="B42" s="3">
        <v>45988.547650462999</v>
      </c>
      <c r="C42" s="3">
        <v>45988.549942129597</v>
      </c>
      <c r="D42" t="s">
        <v>53</v>
      </c>
      <c r="G42" t="s">
        <v>54</v>
      </c>
      <c r="H42" t="s">
        <v>55</v>
      </c>
      <c r="I42" t="s">
        <v>56</v>
      </c>
      <c r="J42" t="s">
        <v>60</v>
      </c>
      <c r="K42" t="s">
        <v>66</v>
      </c>
      <c r="L42" t="s">
        <v>61</v>
      </c>
      <c r="M42" t="s">
        <v>61</v>
      </c>
      <c r="N42">
        <v>2</v>
      </c>
      <c r="O42">
        <v>2</v>
      </c>
      <c r="P42">
        <v>4</v>
      </c>
      <c r="Q42">
        <v>2</v>
      </c>
      <c r="R42">
        <v>2</v>
      </c>
      <c r="S42">
        <v>3</v>
      </c>
      <c r="T42">
        <v>2</v>
      </c>
      <c r="U42">
        <v>3</v>
      </c>
      <c r="V42">
        <v>4</v>
      </c>
      <c r="W42">
        <v>4</v>
      </c>
      <c r="X42">
        <v>3</v>
      </c>
      <c r="Y42">
        <v>4</v>
      </c>
      <c r="Z42">
        <v>4</v>
      </c>
      <c r="AA42">
        <v>2</v>
      </c>
      <c r="AB42">
        <v>2</v>
      </c>
      <c r="AC42">
        <v>3</v>
      </c>
      <c r="AD42">
        <v>3</v>
      </c>
      <c r="AE42">
        <v>4</v>
      </c>
      <c r="AF42">
        <v>4</v>
      </c>
      <c r="AG42">
        <v>2</v>
      </c>
      <c r="AH42">
        <v>4</v>
      </c>
      <c r="AI42">
        <v>2</v>
      </c>
      <c r="AJ42">
        <v>2</v>
      </c>
      <c r="AK42" t="b">
        <f>Table67[[#This Row],[What is your age?]]&lt;&gt;"18 - 25"</f>
        <v>0</v>
      </c>
      <c r="AL42" t="b">
        <f t="shared" si="0"/>
        <v>0</v>
      </c>
      <c r="AM42" t="b">
        <f t="shared" si="1"/>
        <v>0</v>
      </c>
      <c r="AN42" t="b">
        <f t="shared" si="2"/>
        <v>0</v>
      </c>
      <c r="AO42" t="b">
        <f>OR(Table67[[#This Row],[Ineligible respondents]:[Inconsistent response on opposite question (3)]])</f>
        <v>0</v>
      </c>
      <c r="AP4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2">
        <f>Table67[[#This Row],[Extreme Response]]/21</f>
        <v>0</v>
      </c>
      <c r="AR42">
        <f>_xlfn.PERCENTILE.INC(Table67[Extrem Response Ratio (ERS)],0.9)</f>
        <v>0.61904761904761907</v>
      </c>
      <c r="AS42" t="b">
        <f>Table67[[#This Row],[Extrem Response Ratio (ERS)]]&gt;=Table67[[#This Row],[Threshold of ERS]]</f>
        <v>0</v>
      </c>
      <c r="AT42">
        <f>COUNTIF(Table67[[#This Row],[The mechanism of digital assets is difficult to understand, which discourages me from exploring it (E.g, Tokenization, Blockchain)]:[If I want to try different ways to invest, I will explore digital assets.]], 3)</f>
        <v>5</v>
      </c>
      <c r="AU42">
        <f>Table67[[#This Row],[Midpoint]]/21</f>
        <v>0.23809523809523808</v>
      </c>
      <c r="AV42">
        <f>_xlfn.PERCENTILE.INC(Table67[Midpoint ratio],0.9)</f>
        <v>0.5714285714285714</v>
      </c>
      <c r="AW42" t="b">
        <f>Table67[[#This Row],[Midpoint ratio]]&gt;=Table67[[#This Row],[Threshold of Midpoint ratio]]</f>
        <v>0</v>
      </c>
      <c r="AX42" t="b">
        <f>OR(Table67[[#This Row],[Extreme Response Style]],Table67[[#This Row],[Mid-point Response Style]])</f>
        <v>0</v>
      </c>
      <c r="AY42" t="b">
        <f>OR(Table67[[#This Row],[Delete? (Stage 1)]],Table67[[#This Row],[Delete? (Stage 2)]])</f>
        <v>0</v>
      </c>
      <c r="AZ42" t="s">
        <v>59</v>
      </c>
    </row>
    <row r="43" spans="1:52">
      <c r="A43">
        <f t="shared" si="3"/>
        <v>42</v>
      </c>
      <c r="B43" s="3">
        <v>45988.559768518498</v>
      </c>
      <c r="C43" s="3">
        <v>45988.5606134259</v>
      </c>
      <c r="D43" t="s">
        <v>53</v>
      </c>
      <c r="G43" t="s">
        <v>54</v>
      </c>
      <c r="H43" t="s">
        <v>63</v>
      </c>
      <c r="I43" t="s">
        <v>56</v>
      </c>
      <c r="J43" t="s">
        <v>67</v>
      </c>
      <c r="K43" t="s">
        <v>66</v>
      </c>
      <c r="L43" t="s">
        <v>58</v>
      </c>
      <c r="M43" t="s">
        <v>58</v>
      </c>
      <c r="N43">
        <v>5</v>
      </c>
      <c r="O43">
        <v>5</v>
      </c>
      <c r="P43">
        <v>5</v>
      </c>
      <c r="Q43">
        <v>5</v>
      </c>
      <c r="R43">
        <v>4</v>
      </c>
      <c r="S43">
        <v>5</v>
      </c>
      <c r="T43">
        <v>4</v>
      </c>
      <c r="U43">
        <v>4</v>
      </c>
      <c r="V43">
        <v>4</v>
      </c>
      <c r="W43">
        <v>5</v>
      </c>
      <c r="X43">
        <v>5</v>
      </c>
      <c r="Y43">
        <v>5</v>
      </c>
      <c r="Z43">
        <v>5</v>
      </c>
      <c r="AA43">
        <v>5</v>
      </c>
      <c r="AB43">
        <v>5</v>
      </c>
      <c r="AC43">
        <v>5</v>
      </c>
      <c r="AD43">
        <v>5</v>
      </c>
      <c r="AE43">
        <v>5</v>
      </c>
      <c r="AF43">
        <v>5</v>
      </c>
      <c r="AG43">
        <v>5</v>
      </c>
      <c r="AH43">
        <v>5</v>
      </c>
      <c r="AI43">
        <v>1</v>
      </c>
      <c r="AJ43">
        <v>1</v>
      </c>
      <c r="AK43" t="b">
        <f>Table67[[#This Row],[What is your age?]]&lt;&gt;"18 - 25"</f>
        <v>0</v>
      </c>
      <c r="AL43" t="b">
        <f t="shared" si="0"/>
        <v>0</v>
      </c>
      <c r="AM43" t="b">
        <f t="shared" si="1"/>
        <v>1</v>
      </c>
      <c r="AN43" t="b">
        <f t="shared" si="2"/>
        <v>0</v>
      </c>
      <c r="AO43" t="b">
        <f>OR(Table67[[#This Row],[Ineligible respondents]:[Inconsistent response on opposite question (3)]])</f>
        <v>1</v>
      </c>
      <c r="AP4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17</v>
      </c>
      <c r="AQ43">
        <f>Table67[[#This Row],[Extreme Response]]/21</f>
        <v>0.80952380952380953</v>
      </c>
      <c r="AR43">
        <f>_xlfn.PERCENTILE.INC(Table67[Extrem Response Ratio (ERS)],0.9)</f>
        <v>0.61904761904761907</v>
      </c>
      <c r="AS43" t="b">
        <f>Table67[[#This Row],[Extrem Response Ratio (ERS)]]&gt;=Table67[[#This Row],[Threshold of ERS]]</f>
        <v>1</v>
      </c>
      <c r="AT43">
        <f>COUNTIF(Table67[[#This Row],[The mechanism of digital assets is difficult to understand, which discourages me from exploring it (E.g, Tokenization, Blockchain)]:[If I want to try different ways to invest, I will explore digital assets.]], 3)</f>
        <v>0</v>
      </c>
      <c r="AU43">
        <f>Table67[[#This Row],[Midpoint]]/21</f>
        <v>0</v>
      </c>
      <c r="AV43">
        <f>_xlfn.PERCENTILE.INC(Table67[Midpoint ratio],0.9)</f>
        <v>0.5714285714285714</v>
      </c>
      <c r="AW43" t="b">
        <f>Table67[[#This Row],[Midpoint ratio]]&gt;=Table67[[#This Row],[Threshold of Midpoint ratio]]</f>
        <v>0</v>
      </c>
      <c r="AX43" t="b">
        <f>OR(Table67[[#This Row],[Extreme Response Style]],Table67[[#This Row],[Mid-point Response Style]])</f>
        <v>1</v>
      </c>
      <c r="AY43" t="b">
        <f>OR(Table67[[#This Row],[Delete? (Stage 1)]],Table67[[#This Row],[Delete? (Stage 2)]])</f>
        <v>1</v>
      </c>
      <c r="AZ43" t="s">
        <v>59</v>
      </c>
    </row>
    <row r="44" spans="1:52">
      <c r="A44">
        <f t="shared" si="3"/>
        <v>43</v>
      </c>
      <c r="B44" s="3">
        <v>45988.572314814803</v>
      </c>
      <c r="C44" s="3">
        <v>45988.581168981502</v>
      </c>
      <c r="D44" t="s">
        <v>53</v>
      </c>
      <c r="G44" t="s">
        <v>54</v>
      </c>
      <c r="H44" t="s">
        <v>63</v>
      </c>
      <c r="I44" t="s">
        <v>56</v>
      </c>
      <c r="J44" t="s">
        <v>62</v>
      </c>
      <c r="K44" t="s">
        <v>57</v>
      </c>
      <c r="L44" t="s">
        <v>61</v>
      </c>
      <c r="M44" t="s">
        <v>58</v>
      </c>
      <c r="N44">
        <v>3</v>
      </c>
      <c r="O44">
        <v>2</v>
      </c>
      <c r="P44">
        <v>5</v>
      </c>
      <c r="Q44">
        <v>3</v>
      </c>
      <c r="R44">
        <v>4</v>
      </c>
      <c r="S44">
        <v>4</v>
      </c>
      <c r="T44">
        <v>4</v>
      </c>
      <c r="U44">
        <v>4</v>
      </c>
      <c r="V44">
        <v>4</v>
      </c>
      <c r="W44">
        <v>5</v>
      </c>
      <c r="X44">
        <v>4</v>
      </c>
      <c r="Y44">
        <v>5</v>
      </c>
      <c r="Z44">
        <v>5</v>
      </c>
      <c r="AA44">
        <v>3</v>
      </c>
      <c r="AB44">
        <v>3</v>
      </c>
      <c r="AC44">
        <v>3</v>
      </c>
      <c r="AD44">
        <v>4</v>
      </c>
      <c r="AE44">
        <v>3</v>
      </c>
      <c r="AF44">
        <v>1</v>
      </c>
      <c r="AG44">
        <v>3</v>
      </c>
      <c r="AH44">
        <v>3</v>
      </c>
      <c r="AI44">
        <v>3</v>
      </c>
      <c r="AJ44">
        <v>5</v>
      </c>
      <c r="AK44" t="b">
        <f>Table67[[#This Row],[What is your age?]]&lt;&gt;"18 - 25"</f>
        <v>0</v>
      </c>
      <c r="AL44" t="b">
        <f t="shared" si="0"/>
        <v>0</v>
      </c>
      <c r="AM44" t="b">
        <f t="shared" si="1"/>
        <v>0</v>
      </c>
      <c r="AN44" t="b">
        <f t="shared" si="2"/>
        <v>0</v>
      </c>
      <c r="AO44" t="b">
        <f>OR(Table67[[#This Row],[Ineligible respondents]:[Inconsistent response on opposite question (3)]])</f>
        <v>0</v>
      </c>
      <c r="AP4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44">
        <f>Table67[[#This Row],[Extreme Response]]/21</f>
        <v>0.23809523809523808</v>
      </c>
      <c r="AR44">
        <f>_xlfn.PERCENTILE.INC(Table67[Extrem Response Ratio (ERS)],0.9)</f>
        <v>0.61904761904761907</v>
      </c>
      <c r="AS44" t="b">
        <f>Table67[[#This Row],[Extrem Response Ratio (ERS)]]&gt;=Table67[[#This Row],[Threshold of ERS]]</f>
        <v>0</v>
      </c>
      <c r="AT44">
        <f>COUNTIF(Table67[[#This Row],[The mechanism of digital assets is difficult to understand, which discourages me from exploring it (E.g, Tokenization, Blockchain)]:[If I want to try different ways to invest, I will explore digital assets.]], 3)</f>
        <v>8</v>
      </c>
      <c r="AU44">
        <f>Table67[[#This Row],[Midpoint]]/21</f>
        <v>0.38095238095238093</v>
      </c>
      <c r="AV44">
        <f>_xlfn.PERCENTILE.INC(Table67[Midpoint ratio],0.9)</f>
        <v>0.5714285714285714</v>
      </c>
      <c r="AW44" t="b">
        <f>Table67[[#This Row],[Midpoint ratio]]&gt;=Table67[[#This Row],[Threshold of Midpoint ratio]]</f>
        <v>0</v>
      </c>
      <c r="AX44" t="b">
        <f>OR(Table67[[#This Row],[Extreme Response Style]],Table67[[#This Row],[Mid-point Response Style]])</f>
        <v>0</v>
      </c>
      <c r="AY44" t="b">
        <f>OR(Table67[[#This Row],[Delete? (Stage 1)]],Table67[[#This Row],[Delete? (Stage 2)]])</f>
        <v>0</v>
      </c>
      <c r="AZ44" t="s">
        <v>59</v>
      </c>
    </row>
    <row r="45" spans="1:52">
      <c r="A45">
        <f t="shared" si="3"/>
        <v>44</v>
      </c>
      <c r="B45" s="3">
        <v>45988.604050925896</v>
      </c>
      <c r="C45" s="3">
        <v>45988.604872685202</v>
      </c>
      <c r="D45" t="s">
        <v>53</v>
      </c>
      <c r="G45" t="s">
        <v>54</v>
      </c>
      <c r="H45" t="s">
        <v>63</v>
      </c>
      <c r="I45" t="s">
        <v>56</v>
      </c>
      <c r="J45" t="s">
        <v>67</v>
      </c>
      <c r="K45" t="s">
        <v>65</v>
      </c>
      <c r="L45" t="s">
        <v>61</v>
      </c>
      <c r="M45" t="s">
        <v>61</v>
      </c>
      <c r="N45">
        <v>4</v>
      </c>
      <c r="O45">
        <v>3</v>
      </c>
      <c r="P45">
        <v>4</v>
      </c>
      <c r="Q45">
        <v>4</v>
      </c>
      <c r="R45">
        <v>4</v>
      </c>
      <c r="S45">
        <v>4</v>
      </c>
      <c r="T45">
        <v>4</v>
      </c>
      <c r="U45">
        <v>3</v>
      </c>
      <c r="V45">
        <v>3</v>
      </c>
      <c r="W45">
        <v>3</v>
      </c>
      <c r="X45">
        <v>4</v>
      </c>
      <c r="Y45">
        <v>4</v>
      </c>
      <c r="Z45">
        <v>4</v>
      </c>
      <c r="AA45">
        <v>4</v>
      </c>
      <c r="AB45">
        <v>4</v>
      </c>
      <c r="AC45">
        <v>4</v>
      </c>
      <c r="AD45">
        <v>4</v>
      </c>
      <c r="AE45">
        <v>4</v>
      </c>
      <c r="AF45">
        <v>4</v>
      </c>
      <c r="AG45">
        <v>4</v>
      </c>
      <c r="AH45">
        <v>4</v>
      </c>
      <c r="AI45">
        <v>2</v>
      </c>
      <c r="AJ45">
        <v>2</v>
      </c>
      <c r="AK45" t="b">
        <f>Table67[[#This Row],[What is your age?]]&lt;&gt;"18 - 25"</f>
        <v>0</v>
      </c>
      <c r="AL45" t="b">
        <f t="shared" si="0"/>
        <v>0</v>
      </c>
      <c r="AM45" t="b">
        <f t="shared" si="1"/>
        <v>1</v>
      </c>
      <c r="AN45" t="b">
        <f t="shared" si="2"/>
        <v>0</v>
      </c>
      <c r="AO45" t="b">
        <f>OR(Table67[[#This Row],[Ineligible respondents]:[Inconsistent response on opposite question (3)]])</f>
        <v>1</v>
      </c>
      <c r="AP4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5">
        <f>Table67[[#This Row],[Extreme Response]]/21</f>
        <v>0</v>
      </c>
      <c r="AR45">
        <f>_xlfn.PERCENTILE.INC(Table67[Extrem Response Ratio (ERS)],0.9)</f>
        <v>0.61904761904761907</v>
      </c>
      <c r="AS45" t="b">
        <f>Table67[[#This Row],[Extrem Response Ratio (ERS)]]&gt;=Table67[[#This Row],[Threshold of ERS]]</f>
        <v>0</v>
      </c>
      <c r="AT45">
        <f>COUNTIF(Table67[[#This Row],[The mechanism of digital assets is difficult to understand, which discourages me from exploring it (E.g, Tokenization, Blockchain)]:[If I want to try different ways to invest, I will explore digital assets.]], 3)</f>
        <v>4</v>
      </c>
      <c r="AU45">
        <f>Table67[[#This Row],[Midpoint]]/21</f>
        <v>0.19047619047619047</v>
      </c>
      <c r="AV45">
        <f>_xlfn.PERCENTILE.INC(Table67[Midpoint ratio],0.9)</f>
        <v>0.5714285714285714</v>
      </c>
      <c r="AW45" t="b">
        <f>Table67[[#This Row],[Midpoint ratio]]&gt;=Table67[[#This Row],[Threshold of Midpoint ratio]]</f>
        <v>0</v>
      </c>
      <c r="AX45" t="b">
        <f>OR(Table67[[#This Row],[Extreme Response Style]],Table67[[#This Row],[Mid-point Response Style]])</f>
        <v>0</v>
      </c>
      <c r="AY45" t="b">
        <f>OR(Table67[[#This Row],[Delete? (Stage 1)]],Table67[[#This Row],[Delete? (Stage 2)]])</f>
        <v>1</v>
      </c>
      <c r="AZ45" t="s">
        <v>59</v>
      </c>
    </row>
    <row r="46" spans="1:52">
      <c r="A46">
        <f t="shared" si="3"/>
        <v>45</v>
      </c>
      <c r="B46" s="3">
        <v>45988.663124999999</v>
      </c>
      <c r="C46" s="3">
        <v>45988.664039351803</v>
      </c>
      <c r="D46" t="s">
        <v>53</v>
      </c>
      <c r="G46" t="s">
        <v>54</v>
      </c>
      <c r="H46" t="s">
        <v>63</v>
      </c>
      <c r="I46" t="s">
        <v>56</v>
      </c>
      <c r="J46" t="s">
        <v>64</v>
      </c>
      <c r="K46" t="s">
        <v>57</v>
      </c>
      <c r="L46" t="s">
        <v>58</v>
      </c>
      <c r="M46" t="s">
        <v>58</v>
      </c>
      <c r="N46">
        <v>2</v>
      </c>
      <c r="O46">
        <v>3</v>
      </c>
      <c r="P46">
        <v>4</v>
      </c>
      <c r="Q46">
        <v>4</v>
      </c>
      <c r="R46">
        <v>4</v>
      </c>
      <c r="S46">
        <v>4</v>
      </c>
      <c r="T46">
        <v>4</v>
      </c>
      <c r="U46">
        <v>4</v>
      </c>
      <c r="V46">
        <v>4</v>
      </c>
      <c r="W46">
        <v>4</v>
      </c>
      <c r="X46">
        <v>5</v>
      </c>
      <c r="Y46">
        <v>4</v>
      </c>
      <c r="Z46">
        <v>4</v>
      </c>
      <c r="AA46">
        <v>4</v>
      </c>
      <c r="AB46">
        <v>4</v>
      </c>
      <c r="AC46">
        <v>4</v>
      </c>
      <c r="AD46">
        <v>4</v>
      </c>
      <c r="AE46">
        <v>4</v>
      </c>
      <c r="AF46">
        <v>4</v>
      </c>
      <c r="AG46">
        <v>4</v>
      </c>
      <c r="AH46">
        <v>4</v>
      </c>
      <c r="AI46">
        <v>2</v>
      </c>
      <c r="AJ46">
        <v>2</v>
      </c>
      <c r="AK46" t="b">
        <f>Table67[[#This Row],[What is your age?]]&lt;&gt;"18 - 25"</f>
        <v>0</v>
      </c>
      <c r="AL46" t="b">
        <f t="shared" si="0"/>
        <v>0</v>
      </c>
      <c r="AM46" t="b">
        <f t="shared" si="1"/>
        <v>1</v>
      </c>
      <c r="AN46" t="b">
        <f t="shared" si="2"/>
        <v>0</v>
      </c>
      <c r="AO46" t="b">
        <f>OR(Table67[[#This Row],[Ineligible respondents]:[Inconsistent response on opposite question (3)]])</f>
        <v>1</v>
      </c>
      <c r="AP4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46">
        <f>Table67[[#This Row],[Extreme Response]]/21</f>
        <v>4.7619047619047616E-2</v>
      </c>
      <c r="AR46">
        <f>_xlfn.PERCENTILE.INC(Table67[Extrem Response Ratio (ERS)],0.9)</f>
        <v>0.61904761904761907</v>
      </c>
      <c r="AS46" t="b">
        <f>Table67[[#This Row],[Extrem Response Ratio (ERS)]]&gt;=Table67[[#This Row],[Threshold of ERS]]</f>
        <v>0</v>
      </c>
      <c r="AT46">
        <f>COUNTIF(Table67[[#This Row],[The mechanism of digital assets is difficult to understand, which discourages me from exploring it (E.g, Tokenization, Blockchain)]:[If I want to try different ways to invest, I will explore digital assets.]], 3)</f>
        <v>1</v>
      </c>
      <c r="AU46">
        <f>Table67[[#This Row],[Midpoint]]/21</f>
        <v>4.7619047619047616E-2</v>
      </c>
      <c r="AV46">
        <f>_xlfn.PERCENTILE.INC(Table67[Midpoint ratio],0.9)</f>
        <v>0.5714285714285714</v>
      </c>
      <c r="AW46" t="b">
        <f>Table67[[#This Row],[Midpoint ratio]]&gt;=Table67[[#This Row],[Threshold of Midpoint ratio]]</f>
        <v>0</v>
      </c>
      <c r="AX46" t="b">
        <f>OR(Table67[[#This Row],[Extreme Response Style]],Table67[[#This Row],[Mid-point Response Style]])</f>
        <v>0</v>
      </c>
      <c r="AY46" t="b">
        <f>OR(Table67[[#This Row],[Delete? (Stage 1)]],Table67[[#This Row],[Delete? (Stage 2)]])</f>
        <v>1</v>
      </c>
      <c r="AZ46" t="s">
        <v>59</v>
      </c>
    </row>
    <row r="47" spans="1:52">
      <c r="A47">
        <f t="shared" si="3"/>
        <v>46</v>
      </c>
      <c r="B47" s="3">
        <v>45988.673634259299</v>
      </c>
      <c r="C47" s="3">
        <v>45988.678252314799</v>
      </c>
      <c r="D47" t="s">
        <v>53</v>
      </c>
      <c r="G47" t="s">
        <v>54</v>
      </c>
      <c r="H47" t="s">
        <v>55</v>
      </c>
      <c r="I47" t="s">
        <v>56</v>
      </c>
      <c r="J47" t="s">
        <v>64</v>
      </c>
      <c r="K47" t="s">
        <v>72</v>
      </c>
      <c r="L47" t="s">
        <v>61</v>
      </c>
      <c r="M47" t="s">
        <v>61</v>
      </c>
      <c r="N47">
        <v>2</v>
      </c>
      <c r="O47">
        <v>1</v>
      </c>
      <c r="P47">
        <v>4</v>
      </c>
      <c r="Q47">
        <v>2</v>
      </c>
      <c r="R47">
        <v>2</v>
      </c>
      <c r="S47">
        <v>2</v>
      </c>
      <c r="T47">
        <v>2</v>
      </c>
      <c r="U47">
        <v>1</v>
      </c>
      <c r="V47">
        <v>4</v>
      </c>
      <c r="W47">
        <v>4</v>
      </c>
      <c r="X47">
        <v>4</v>
      </c>
      <c r="Y47">
        <v>4</v>
      </c>
      <c r="Z47">
        <v>2</v>
      </c>
      <c r="AA47">
        <v>3</v>
      </c>
      <c r="AB47">
        <v>1</v>
      </c>
      <c r="AC47">
        <v>3</v>
      </c>
      <c r="AD47">
        <v>2</v>
      </c>
      <c r="AE47">
        <v>1</v>
      </c>
      <c r="AF47">
        <v>4</v>
      </c>
      <c r="AG47">
        <v>2</v>
      </c>
      <c r="AH47">
        <v>4</v>
      </c>
      <c r="AI47">
        <v>2</v>
      </c>
      <c r="AJ47">
        <v>2</v>
      </c>
      <c r="AK47" t="b">
        <f>Table67[[#This Row],[What is your age?]]&lt;&gt;"18 - 25"</f>
        <v>0</v>
      </c>
      <c r="AL47" t="b">
        <f t="shared" si="0"/>
        <v>0</v>
      </c>
      <c r="AM47" t="b">
        <f t="shared" si="1"/>
        <v>0</v>
      </c>
      <c r="AN47" t="b">
        <f t="shared" si="2"/>
        <v>0</v>
      </c>
      <c r="AO47" t="b">
        <f>OR(Table67[[#This Row],[Ineligible respondents]:[Inconsistent response on opposite question (3)]])</f>
        <v>0</v>
      </c>
      <c r="AP4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47">
        <f>Table67[[#This Row],[Extreme Response]]/21</f>
        <v>0.19047619047619047</v>
      </c>
      <c r="AR47">
        <f>_xlfn.PERCENTILE.INC(Table67[Extrem Response Ratio (ERS)],0.9)</f>
        <v>0.61904761904761907</v>
      </c>
      <c r="AS47" t="b">
        <f>Table67[[#This Row],[Extrem Response Ratio (ERS)]]&gt;=Table67[[#This Row],[Threshold of ERS]]</f>
        <v>0</v>
      </c>
      <c r="AT47">
        <f>COUNTIF(Table67[[#This Row],[The mechanism of digital assets is difficult to understand, which discourages me from exploring it (E.g, Tokenization, Blockchain)]:[If I want to try different ways to invest, I will explore digital assets.]], 3)</f>
        <v>2</v>
      </c>
      <c r="AU47">
        <f>Table67[[#This Row],[Midpoint]]/21</f>
        <v>9.5238095238095233E-2</v>
      </c>
      <c r="AV47">
        <f>_xlfn.PERCENTILE.INC(Table67[Midpoint ratio],0.9)</f>
        <v>0.5714285714285714</v>
      </c>
      <c r="AW47" t="b">
        <f>Table67[[#This Row],[Midpoint ratio]]&gt;=Table67[[#This Row],[Threshold of Midpoint ratio]]</f>
        <v>0</v>
      </c>
      <c r="AX47" t="b">
        <f>OR(Table67[[#This Row],[Extreme Response Style]],Table67[[#This Row],[Mid-point Response Style]])</f>
        <v>0</v>
      </c>
      <c r="AY47" t="b">
        <f>OR(Table67[[#This Row],[Delete? (Stage 1)]],Table67[[#This Row],[Delete? (Stage 2)]])</f>
        <v>0</v>
      </c>
      <c r="AZ47" t="s">
        <v>59</v>
      </c>
    </row>
    <row r="48" spans="1:52">
      <c r="A48">
        <f t="shared" si="3"/>
        <v>47</v>
      </c>
      <c r="B48" s="3">
        <v>45988.677986111099</v>
      </c>
      <c r="C48" s="3">
        <v>45988.686122685198</v>
      </c>
      <c r="D48" t="s">
        <v>53</v>
      </c>
      <c r="G48" t="s">
        <v>73</v>
      </c>
      <c r="H48" t="s">
        <v>63</v>
      </c>
      <c r="I48" t="s">
        <v>71</v>
      </c>
      <c r="J48" t="s">
        <v>67</v>
      </c>
      <c r="K48" t="s">
        <v>65</v>
      </c>
      <c r="L48" t="s">
        <v>58</v>
      </c>
      <c r="M48" t="s">
        <v>61</v>
      </c>
      <c r="N48">
        <v>3</v>
      </c>
      <c r="O48">
        <v>2</v>
      </c>
      <c r="P48">
        <v>4</v>
      </c>
      <c r="Q48">
        <v>4</v>
      </c>
      <c r="R48">
        <v>4</v>
      </c>
      <c r="S48">
        <v>3</v>
      </c>
      <c r="T48">
        <v>4</v>
      </c>
      <c r="U48">
        <v>4</v>
      </c>
      <c r="V48">
        <v>4</v>
      </c>
      <c r="W48">
        <v>4</v>
      </c>
      <c r="X48">
        <v>5</v>
      </c>
      <c r="Y48">
        <v>4</v>
      </c>
      <c r="Z48">
        <v>4</v>
      </c>
      <c r="AA48">
        <v>4</v>
      </c>
      <c r="AB48">
        <v>4</v>
      </c>
      <c r="AC48">
        <v>4</v>
      </c>
      <c r="AD48">
        <v>4</v>
      </c>
      <c r="AE48">
        <v>5</v>
      </c>
      <c r="AF48">
        <v>3</v>
      </c>
      <c r="AG48">
        <v>3</v>
      </c>
      <c r="AH48">
        <v>3</v>
      </c>
      <c r="AI48">
        <v>3</v>
      </c>
      <c r="AJ48">
        <v>3</v>
      </c>
      <c r="AK48" t="b">
        <f>Table67[[#This Row],[What is your age?]]&lt;&gt;"18 - 25"</f>
        <v>1</v>
      </c>
      <c r="AL48" t="b">
        <f t="shared" si="0"/>
        <v>0</v>
      </c>
      <c r="AM48" t="b">
        <f t="shared" si="1"/>
        <v>0</v>
      </c>
      <c r="AN48" t="b">
        <f t="shared" si="2"/>
        <v>0</v>
      </c>
      <c r="AO48" t="b">
        <f>OR(Table67[[#This Row],[Ineligible respondents]:[Inconsistent response on opposite question (3)]])</f>
        <v>1</v>
      </c>
      <c r="AP4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48">
        <f>Table67[[#This Row],[Extreme Response]]/21</f>
        <v>9.5238095238095233E-2</v>
      </c>
      <c r="AR48">
        <f>_xlfn.PERCENTILE.INC(Table67[Extrem Response Ratio (ERS)],0.9)</f>
        <v>0.61904761904761907</v>
      </c>
      <c r="AS48" t="b">
        <f>Table67[[#This Row],[Extrem Response Ratio (ERS)]]&gt;=Table67[[#This Row],[Threshold of ERS]]</f>
        <v>0</v>
      </c>
      <c r="AT48">
        <f>COUNTIF(Table67[[#This Row],[The mechanism of digital assets is difficult to understand, which discourages me from exploring it (E.g, Tokenization, Blockchain)]:[If I want to try different ways to invest, I will explore digital assets.]], 3)</f>
        <v>5</v>
      </c>
      <c r="AU48">
        <f>Table67[[#This Row],[Midpoint]]/21</f>
        <v>0.23809523809523808</v>
      </c>
      <c r="AV48">
        <f>_xlfn.PERCENTILE.INC(Table67[Midpoint ratio],0.9)</f>
        <v>0.5714285714285714</v>
      </c>
      <c r="AW48" t="b">
        <f>Table67[[#This Row],[Midpoint ratio]]&gt;=Table67[[#This Row],[Threshold of Midpoint ratio]]</f>
        <v>0</v>
      </c>
      <c r="AX48" t="b">
        <f>OR(Table67[[#This Row],[Extreme Response Style]],Table67[[#This Row],[Mid-point Response Style]])</f>
        <v>0</v>
      </c>
      <c r="AY48" t="b">
        <f>OR(Table67[[#This Row],[Delete? (Stage 1)]],Table67[[#This Row],[Delete? (Stage 2)]])</f>
        <v>1</v>
      </c>
      <c r="AZ48" t="s">
        <v>59</v>
      </c>
    </row>
    <row r="49" spans="1:52">
      <c r="A49">
        <f t="shared" si="3"/>
        <v>48</v>
      </c>
      <c r="B49" s="3">
        <v>45988.682037036997</v>
      </c>
      <c r="C49" s="3">
        <v>45988.684641203698</v>
      </c>
      <c r="D49" t="s">
        <v>53</v>
      </c>
      <c r="G49" t="s">
        <v>54</v>
      </c>
      <c r="H49" t="s">
        <v>63</v>
      </c>
      <c r="I49" t="s">
        <v>56</v>
      </c>
      <c r="J49" t="s">
        <v>65</v>
      </c>
      <c r="K49" t="s">
        <v>62</v>
      </c>
      <c r="L49" t="s">
        <v>61</v>
      </c>
      <c r="M49" t="s">
        <v>61</v>
      </c>
      <c r="N49">
        <v>3</v>
      </c>
      <c r="O49">
        <v>1</v>
      </c>
      <c r="P49">
        <v>4</v>
      </c>
      <c r="Q49">
        <v>4</v>
      </c>
      <c r="R49">
        <v>4</v>
      </c>
      <c r="S49">
        <v>3</v>
      </c>
      <c r="T49">
        <v>2</v>
      </c>
      <c r="U49">
        <v>3</v>
      </c>
      <c r="V49">
        <v>3</v>
      </c>
      <c r="W49">
        <v>3</v>
      </c>
      <c r="X49">
        <v>3</v>
      </c>
      <c r="Y49">
        <v>3</v>
      </c>
      <c r="Z49">
        <v>3</v>
      </c>
      <c r="AA49">
        <v>3</v>
      </c>
      <c r="AB49">
        <v>3</v>
      </c>
      <c r="AC49">
        <v>3</v>
      </c>
      <c r="AD49">
        <v>3</v>
      </c>
      <c r="AE49">
        <v>3</v>
      </c>
      <c r="AF49">
        <v>3</v>
      </c>
      <c r="AG49">
        <v>3</v>
      </c>
      <c r="AH49">
        <v>3</v>
      </c>
      <c r="AI49">
        <v>3</v>
      </c>
      <c r="AJ49">
        <v>3</v>
      </c>
      <c r="AK49" t="b">
        <f>Table67[[#This Row],[What is your age?]]&lt;&gt;"18 - 25"</f>
        <v>0</v>
      </c>
      <c r="AL49" t="b">
        <f t="shared" si="0"/>
        <v>0</v>
      </c>
      <c r="AM49" t="b">
        <f t="shared" si="1"/>
        <v>0</v>
      </c>
      <c r="AN49" t="b">
        <f t="shared" si="2"/>
        <v>0</v>
      </c>
      <c r="AO49" t="b">
        <f>OR(Table67[[#This Row],[Ineligible respondents]:[Inconsistent response on opposite question (3)]])</f>
        <v>0</v>
      </c>
      <c r="AP4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49">
        <f>Table67[[#This Row],[Extreme Response]]/21</f>
        <v>4.7619047619047616E-2</v>
      </c>
      <c r="AR49">
        <f>_xlfn.PERCENTILE.INC(Table67[Extrem Response Ratio (ERS)],0.9)</f>
        <v>0.61904761904761907</v>
      </c>
      <c r="AS49" t="b">
        <f>Table67[[#This Row],[Extrem Response Ratio (ERS)]]&gt;=Table67[[#This Row],[Threshold of ERS]]</f>
        <v>0</v>
      </c>
      <c r="AT49">
        <f>COUNTIF(Table67[[#This Row],[The mechanism of digital assets is difficult to understand, which discourages me from exploring it (E.g, Tokenization, Blockchain)]:[If I want to try different ways to invest, I will explore digital assets.]], 3)</f>
        <v>16</v>
      </c>
      <c r="AU49">
        <f>Table67[[#This Row],[Midpoint]]/21</f>
        <v>0.76190476190476186</v>
      </c>
      <c r="AV49">
        <f>_xlfn.PERCENTILE.INC(Table67[Midpoint ratio],0.9)</f>
        <v>0.5714285714285714</v>
      </c>
      <c r="AW49" t="b">
        <f>Table67[[#This Row],[Midpoint ratio]]&gt;=Table67[[#This Row],[Threshold of Midpoint ratio]]</f>
        <v>1</v>
      </c>
      <c r="AX49" t="b">
        <f>OR(Table67[[#This Row],[Extreme Response Style]],Table67[[#This Row],[Mid-point Response Style]])</f>
        <v>1</v>
      </c>
      <c r="AY49" t="b">
        <f>OR(Table67[[#This Row],[Delete? (Stage 1)]],Table67[[#This Row],[Delete? (Stage 2)]])</f>
        <v>1</v>
      </c>
      <c r="AZ49" t="s">
        <v>59</v>
      </c>
    </row>
    <row r="50" spans="1:52">
      <c r="A50">
        <f t="shared" si="3"/>
        <v>49</v>
      </c>
      <c r="B50" s="3">
        <v>45988.697048611102</v>
      </c>
      <c r="C50" s="3">
        <v>45988.700474537</v>
      </c>
      <c r="D50" t="s">
        <v>53</v>
      </c>
      <c r="G50" t="s">
        <v>54</v>
      </c>
      <c r="H50" t="s">
        <v>63</v>
      </c>
      <c r="I50" t="s">
        <v>56</v>
      </c>
      <c r="J50" t="s">
        <v>57</v>
      </c>
      <c r="K50" t="s">
        <v>57</v>
      </c>
      <c r="L50" t="s">
        <v>58</v>
      </c>
      <c r="M50" t="s">
        <v>58</v>
      </c>
      <c r="N50">
        <v>4</v>
      </c>
      <c r="O50">
        <v>3</v>
      </c>
      <c r="P50">
        <v>4</v>
      </c>
      <c r="Q50">
        <v>4</v>
      </c>
      <c r="R50">
        <v>3</v>
      </c>
      <c r="S50">
        <v>4</v>
      </c>
      <c r="T50">
        <v>4</v>
      </c>
      <c r="U50">
        <v>4</v>
      </c>
      <c r="V50">
        <v>5</v>
      </c>
      <c r="W50">
        <v>4</v>
      </c>
      <c r="X50">
        <v>4</v>
      </c>
      <c r="Y50">
        <v>5</v>
      </c>
      <c r="Z50">
        <v>4</v>
      </c>
      <c r="AA50">
        <v>4</v>
      </c>
      <c r="AB50">
        <v>3</v>
      </c>
      <c r="AC50">
        <v>5</v>
      </c>
      <c r="AD50">
        <v>5</v>
      </c>
      <c r="AE50">
        <v>3</v>
      </c>
      <c r="AF50">
        <v>2</v>
      </c>
      <c r="AG50">
        <v>4</v>
      </c>
      <c r="AH50">
        <v>3</v>
      </c>
      <c r="AI50">
        <v>3</v>
      </c>
      <c r="AJ50">
        <v>4</v>
      </c>
      <c r="AK50" t="b">
        <f>Table67[[#This Row],[What is your age?]]&lt;&gt;"18 - 25"</f>
        <v>0</v>
      </c>
      <c r="AL50" t="b">
        <f t="shared" si="0"/>
        <v>0</v>
      </c>
      <c r="AM50" t="b">
        <f t="shared" si="1"/>
        <v>0</v>
      </c>
      <c r="AN50" t="b">
        <f t="shared" si="2"/>
        <v>1</v>
      </c>
      <c r="AO50" t="b">
        <f>OR(Table67[[#This Row],[Ineligible respondents]:[Inconsistent response on opposite question (3)]])</f>
        <v>1</v>
      </c>
      <c r="AP5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50">
        <f>Table67[[#This Row],[Extreme Response]]/21</f>
        <v>0.19047619047619047</v>
      </c>
      <c r="AR50">
        <f>_xlfn.PERCENTILE.INC(Table67[Extrem Response Ratio (ERS)],0.9)</f>
        <v>0.61904761904761907</v>
      </c>
      <c r="AS50" t="b">
        <f>Table67[[#This Row],[Extrem Response Ratio (ERS)]]&gt;=Table67[[#This Row],[Threshold of ERS]]</f>
        <v>0</v>
      </c>
      <c r="AT50">
        <f>COUNTIF(Table67[[#This Row],[The mechanism of digital assets is difficult to understand, which discourages me from exploring it (E.g, Tokenization, Blockchain)]:[If I want to try different ways to invest, I will explore digital assets.]], 3)</f>
        <v>5</v>
      </c>
      <c r="AU50">
        <f>Table67[[#This Row],[Midpoint]]/21</f>
        <v>0.23809523809523808</v>
      </c>
      <c r="AV50">
        <f>_xlfn.PERCENTILE.INC(Table67[Midpoint ratio],0.9)</f>
        <v>0.5714285714285714</v>
      </c>
      <c r="AW50" t="b">
        <f>Table67[[#This Row],[Midpoint ratio]]&gt;=Table67[[#This Row],[Threshold of Midpoint ratio]]</f>
        <v>0</v>
      </c>
      <c r="AX50" t="b">
        <f>OR(Table67[[#This Row],[Extreme Response Style]],Table67[[#This Row],[Mid-point Response Style]])</f>
        <v>0</v>
      </c>
      <c r="AY50" t="b">
        <f>OR(Table67[[#This Row],[Delete? (Stage 1)]],Table67[[#This Row],[Delete? (Stage 2)]])</f>
        <v>1</v>
      </c>
      <c r="AZ50" t="s">
        <v>59</v>
      </c>
    </row>
    <row r="51" spans="1:52">
      <c r="A51">
        <f t="shared" si="3"/>
        <v>50</v>
      </c>
      <c r="B51" s="3">
        <v>45988.7502662037</v>
      </c>
      <c r="C51" s="3">
        <v>45988.755266203698</v>
      </c>
      <c r="D51" t="s">
        <v>53</v>
      </c>
      <c r="G51" t="s">
        <v>54</v>
      </c>
      <c r="H51" t="s">
        <v>63</v>
      </c>
      <c r="I51" t="s">
        <v>56</v>
      </c>
      <c r="J51" t="s">
        <v>62</v>
      </c>
      <c r="K51" t="s">
        <v>57</v>
      </c>
      <c r="L51" t="s">
        <v>58</v>
      </c>
      <c r="M51" t="s">
        <v>61</v>
      </c>
      <c r="N51">
        <v>3</v>
      </c>
      <c r="O51">
        <v>3</v>
      </c>
      <c r="P51">
        <v>1</v>
      </c>
      <c r="Q51">
        <v>3</v>
      </c>
      <c r="R51">
        <v>4</v>
      </c>
      <c r="S51">
        <v>5</v>
      </c>
      <c r="T51">
        <v>2</v>
      </c>
      <c r="U51">
        <v>4</v>
      </c>
      <c r="V51">
        <v>5</v>
      </c>
      <c r="W51">
        <v>4</v>
      </c>
      <c r="X51">
        <v>4</v>
      </c>
      <c r="Y51">
        <v>4</v>
      </c>
      <c r="Z51">
        <v>5</v>
      </c>
      <c r="AA51">
        <v>4</v>
      </c>
      <c r="AB51">
        <v>3</v>
      </c>
      <c r="AC51">
        <v>4</v>
      </c>
      <c r="AD51">
        <v>5</v>
      </c>
      <c r="AE51">
        <v>4</v>
      </c>
      <c r="AF51">
        <v>1</v>
      </c>
      <c r="AG51">
        <v>2</v>
      </c>
      <c r="AH51">
        <v>3</v>
      </c>
      <c r="AI51">
        <v>3</v>
      </c>
      <c r="AJ51">
        <v>5</v>
      </c>
      <c r="AK51" t="b">
        <f>Table67[[#This Row],[What is your age?]]&lt;&gt;"18 - 25"</f>
        <v>0</v>
      </c>
      <c r="AL51" t="b">
        <f t="shared" si="0"/>
        <v>0</v>
      </c>
      <c r="AM51" t="b">
        <f t="shared" si="1"/>
        <v>0</v>
      </c>
      <c r="AN51" t="b">
        <f t="shared" si="2"/>
        <v>1</v>
      </c>
      <c r="AO51" t="b">
        <f>OR(Table67[[#This Row],[Ineligible respondents]:[Inconsistent response on opposite question (3)]])</f>
        <v>1</v>
      </c>
      <c r="AP5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51">
        <f>Table67[[#This Row],[Extreme Response]]/21</f>
        <v>0.2857142857142857</v>
      </c>
      <c r="AR51">
        <f>_xlfn.PERCENTILE.INC(Table67[Extrem Response Ratio (ERS)],0.9)</f>
        <v>0.61904761904761907</v>
      </c>
      <c r="AS51" t="b">
        <f>Table67[[#This Row],[Extrem Response Ratio (ERS)]]&gt;=Table67[[#This Row],[Threshold of ERS]]</f>
        <v>0</v>
      </c>
      <c r="AT51">
        <f>COUNTIF(Table67[[#This Row],[The mechanism of digital assets is difficult to understand, which discourages me from exploring it (E.g, Tokenization, Blockchain)]:[If I want to try different ways to invest, I will explore digital assets.]], 3)</f>
        <v>5</v>
      </c>
      <c r="AU51">
        <f>Table67[[#This Row],[Midpoint]]/21</f>
        <v>0.23809523809523808</v>
      </c>
      <c r="AV51">
        <f>_xlfn.PERCENTILE.INC(Table67[Midpoint ratio],0.9)</f>
        <v>0.5714285714285714</v>
      </c>
      <c r="AW51" t="b">
        <f>Table67[[#This Row],[Midpoint ratio]]&gt;=Table67[[#This Row],[Threshold of Midpoint ratio]]</f>
        <v>0</v>
      </c>
      <c r="AX51" t="b">
        <f>OR(Table67[[#This Row],[Extreme Response Style]],Table67[[#This Row],[Mid-point Response Style]])</f>
        <v>0</v>
      </c>
      <c r="AY51" t="b">
        <f>OR(Table67[[#This Row],[Delete? (Stage 1)]],Table67[[#This Row],[Delete? (Stage 2)]])</f>
        <v>1</v>
      </c>
      <c r="AZ51" t="s">
        <v>59</v>
      </c>
    </row>
    <row r="52" spans="1:52">
      <c r="A52">
        <f t="shared" si="3"/>
        <v>51</v>
      </c>
      <c r="B52" s="3">
        <v>45988.792152777802</v>
      </c>
      <c r="C52" s="3">
        <v>45988.7941319444</v>
      </c>
      <c r="D52" t="s">
        <v>53</v>
      </c>
      <c r="G52" t="s">
        <v>54</v>
      </c>
      <c r="H52" t="s">
        <v>55</v>
      </c>
      <c r="I52" t="s">
        <v>56</v>
      </c>
      <c r="J52" t="s">
        <v>60</v>
      </c>
      <c r="K52" t="s">
        <v>72</v>
      </c>
      <c r="L52" t="s">
        <v>58</v>
      </c>
      <c r="M52" t="s">
        <v>61</v>
      </c>
      <c r="N52">
        <v>4</v>
      </c>
      <c r="O52">
        <v>1</v>
      </c>
      <c r="P52">
        <v>4</v>
      </c>
      <c r="Q52">
        <v>5</v>
      </c>
      <c r="R52">
        <v>2</v>
      </c>
      <c r="S52">
        <v>2</v>
      </c>
      <c r="T52">
        <v>4</v>
      </c>
      <c r="U52">
        <v>5</v>
      </c>
      <c r="V52">
        <v>5</v>
      </c>
      <c r="W52">
        <v>5</v>
      </c>
      <c r="X52">
        <v>4</v>
      </c>
      <c r="Y52">
        <v>2</v>
      </c>
      <c r="Z52">
        <v>4</v>
      </c>
      <c r="AA52">
        <v>3</v>
      </c>
      <c r="AB52">
        <v>2</v>
      </c>
      <c r="AC52">
        <v>4</v>
      </c>
      <c r="AD52">
        <v>5</v>
      </c>
      <c r="AE52">
        <v>1</v>
      </c>
      <c r="AF52">
        <v>3</v>
      </c>
      <c r="AG52">
        <v>2</v>
      </c>
      <c r="AH52">
        <v>3</v>
      </c>
      <c r="AI52">
        <v>3</v>
      </c>
      <c r="AJ52">
        <v>3</v>
      </c>
      <c r="AK52" t="b">
        <f>Table67[[#This Row],[What is your age?]]&lt;&gt;"18 - 25"</f>
        <v>0</v>
      </c>
      <c r="AL52" t="b">
        <f t="shared" si="0"/>
        <v>0</v>
      </c>
      <c r="AM52" t="b">
        <f t="shared" si="1"/>
        <v>0</v>
      </c>
      <c r="AN52" t="b">
        <f t="shared" si="2"/>
        <v>1</v>
      </c>
      <c r="AO52" t="b">
        <f>OR(Table67[[#This Row],[Ineligible respondents]:[Inconsistent response on opposite question (3)]])</f>
        <v>1</v>
      </c>
      <c r="AP5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52">
        <f>Table67[[#This Row],[Extreme Response]]/21</f>
        <v>0.33333333333333331</v>
      </c>
      <c r="AR52">
        <f>_xlfn.PERCENTILE.INC(Table67[Extrem Response Ratio (ERS)],0.9)</f>
        <v>0.61904761904761907</v>
      </c>
      <c r="AS52" t="b">
        <f>Table67[[#This Row],[Extrem Response Ratio (ERS)]]&gt;=Table67[[#This Row],[Threshold of ERS]]</f>
        <v>0</v>
      </c>
      <c r="AT52">
        <f>COUNTIF(Table67[[#This Row],[The mechanism of digital assets is difficult to understand, which discourages me from exploring it (E.g, Tokenization, Blockchain)]:[If I want to try different ways to invest, I will explore digital assets.]], 3)</f>
        <v>3</v>
      </c>
      <c r="AU52">
        <f>Table67[[#This Row],[Midpoint]]/21</f>
        <v>0.14285714285714285</v>
      </c>
      <c r="AV52">
        <f>_xlfn.PERCENTILE.INC(Table67[Midpoint ratio],0.9)</f>
        <v>0.5714285714285714</v>
      </c>
      <c r="AW52" t="b">
        <f>Table67[[#This Row],[Midpoint ratio]]&gt;=Table67[[#This Row],[Threshold of Midpoint ratio]]</f>
        <v>0</v>
      </c>
      <c r="AX52" t="b">
        <f>OR(Table67[[#This Row],[Extreme Response Style]],Table67[[#This Row],[Mid-point Response Style]])</f>
        <v>0</v>
      </c>
      <c r="AY52" t="b">
        <f>OR(Table67[[#This Row],[Delete? (Stage 1)]],Table67[[#This Row],[Delete? (Stage 2)]])</f>
        <v>1</v>
      </c>
      <c r="AZ52" t="s">
        <v>59</v>
      </c>
    </row>
    <row r="53" spans="1:52">
      <c r="A53">
        <f t="shared" si="3"/>
        <v>52</v>
      </c>
      <c r="B53" s="3">
        <v>45988.801458333299</v>
      </c>
      <c r="C53" s="3">
        <v>45988.803356481498</v>
      </c>
      <c r="D53" t="s">
        <v>53</v>
      </c>
      <c r="G53" t="s">
        <v>54</v>
      </c>
      <c r="H53" t="s">
        <v>63</v>
      </c>
      <c r="I53" t="s">
        <v>56</v>
      </c>
      <c r="J53" t="s">
        <v>57</v>
      </c>
      <c r="K53" t="s">
        <v>57</v>
      </c>
      <c r="L53" t="s">
        <v>58</v>
      </c>
      <c r="M53" t="s">
        <v>58</v>
      </c>
      <c r="N53">
        <v>3</v>
      </c>
      <c r="O53">
        <v>3</v>
      </c>
      <c r="P53">
        <v>3</v>
      </c>
      <c r="Q53">
        <v>3</v>
      </c>
      <c r="R53">
        <v>3</v>
      </c>
      <c r="S53">
        <v>3</v>
      </c>
      <c r="T53">
        <v>3</v>
      </c>
      <c r="U53">
        <v>3</v>
      </c>
      <c r="V53">
        <v>3</v>
      </c>
      <c r="W53">
        <v>3</v>
      </c>
      <c r="X53">
        <v>3</v>
      </c>
      <c r="Y53">
        <v>3</v>
      </c>
      <c r="Z53">
        <v>3</v>
      </c>
      <c r="AA53">
        <v>3</v>
      </c>
      <c r="AB53">
        <v>3</v>
      </c>
      <c r="AC53">
        <v>3</v>
      </c>
      <c r="AD53">
        <v>3</v>
      </c>
      <c r="AE53">
        <v>3</v>
      </c>
      <c r="AF53">
        <v>3</v>
      </c>
      <c r="AG53">
        <v>3</v>
      </c>
      <c r="AH53">
        <v>3</v>
      </c>
      <c r="AI53">
        <v>3</v>
      </c>
      <c r="AJ53">
        <v>3</v>
      </c>
      <c r="AK53" t="b">
        <f>Table67[[#This Row],[What is your age?]]&lt;&gt;"18 - 25"</f>
        <v>0</v>
      </c>
      <c r="AL53" t="b">
        <f t="shared" si="0"/>
        <v>1</v>
      </c>
      <c r="AM53" t="b">
        <f t="shared" si="1"/>
        <v>0</v>
      </c>
      <c r="AN53" t="b">
        <f t="shared" si="2"/>
        <v>0</v>
      </c>
      <c r="AO53" t="b">
        <f>OR(Table67[[#This Row],[Ineligible respondents]:[Inconsistent response on opposite question (3)]])</f>
        <v>1</v>
      </c>
      <c r="AP5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53">
        <f>Table67[[#This Row],[Extreme Response]]/21</f>
        <v>0</v>
      </c>
      <c r="AR53">
        <f>_xlfn.PERCENTILE.INC(Table67[Extrem Response Ratio (ERS)],0.9)</f>
        <v>0.61904761904761907</v>
      </c>
      <c r="AS53" t="b">
        <f>Table67[[#This Row],[Extrem Response Ratio (ERS)]]&gt;=Table67[[#This Row],[Threshold of ERS]]</f>
        <v>0</v>
      </c>
      <c r="AT53">
        <f>COUNTIF(Table67[[#This Row],[The mechanism of digital assets is difficult to understand, which discourages me from exploring it (E.g, Tokenization, Blockchain)]:[If I want to try different ways to invest, I will explore digital assets.]], 3)</f>
        <v>21</v>
      </c>
      <c r="AU53">
        <f>Table67[[#This Row],[Midpoint]]/21</f>
        <v>1</v>
      </c>
      <c r="AV53">
        <f>_xlfn.PERCENTILE.INC(Table67[Midpoint ratio],0.9)</f>
        <v>0.5714285714285714</v>
      </c>
      <c r="AW53" t="b">
        <f>Table67[[#This Row],[Midpoint ratio]]&gt;=Table67[[#This Row],[Threshold of Midpoint ratio]]</f>
        <v>1</v>
      </c>
      <c r="AX53" t="b">
        <f>OR(Table67[[#This Row],[Extreme Response Style]],Table67[[#This Row],[Mid-point Response Style]])</f>
        <v>1</v>
      </c>
      <c r="AY53" t="b">
        <f>OR(Table67[[#This Row],[Delete? (Stage 1)]],Table67[[#This Row],[Delete? (Stage 2)]])</f>
        <v>1</v>
      </c>
      <c r="AZ53" t="s">
        <v>59</v>
      </c>
    </row>
    <row r="54" spans="1:52">
      <c r="A54">
        <f t="shared" si="3"/>
        <v>53</v>
      </c>
      <c r="B54" s="3">
        <v>45988.809143518498</v>
      </c>
      <c r="C54" s="3">
        <v>45988.811446759297</v>
      </c>
      <c r="D54" t="s">
        <v>53</v>
      </c>
      <c r="G54" t="s">
        <v>54</v>
      </c>
      <c r="H54" t="s">
        <v>55</v>
      </c>
      <c r="I54" t="s">
        <v>56</v>
      </c>
      <c r="J54" t="s">
        <v>67</v>
      </c>
      <c r="K54" t="s">
        <v>64</v>
      </c>
      <c r="L54" t="s">
        <v>61</v>
      </c>
      <c r="M54" t="s">
        <v>61</v>
      </c>
      <c r="N54">
        <v>2</v>
      </c>
      <c r="O54">
        <v>1</v>
      </c>
      <c r="P54">
        <v>4</v>
      </c>
      <c r="Q54">
        <v>2</v>
      </c>
      <c r="R54">
        <v>2</v>
      </c>
      <c r="S54">
        <v>3</v>
      </c>
      <c r="T54">
        <v>4</v>
      </c>
      <c r="U54">
        <v>3</v>
      </c>
      <c r="V54">
        <v>3</v>
      </c>
      <c r="W54">
        <v>3</v>
      </c>
      <c r="X54">
        <v>4</v>
      </c>
      <c r="Y54">
        <v>3</v>
      </c>
      <c r="Z54">
        <v>5</v>
      </c>
      <c r="AA54">
        <v>2</v>
      </c>
      <c r="AB54">
        <v>1</v>
      </c>
      <c r="AC54">
        <v>2</v>
      </c>
      <c r="AD54">
        <v>2</v>
      </c>
      <c r="AE54">
        <v>4</v>
      </c>
      <c r="AF54">
        <v>4</v>
      </c>
      <c r="AG54">
        <v>2</v>
      </c>
      <c r="AH54">
        <v>4</v>
      </c>
      <c r="AI54">
        <v>2</v>
      </c>
      <c r="AJ54">
        <v>2</v>
      </c>
      <c r="AK54" t="b">
        <f>Table67[[#This Row],[What is your age?]]&lt;&gt;"18 - 25"</f>
        <v>0</v>
      </c>
      <c r="AL54" t="b">
        <f t="shared" si="0"/>
        <v>0</v>
      </c>
      <c r="AM54" t="b">
        <f t="shared" si="1"/>
        <v>0</v>
      </c>
      <c r="AN54" t="b">
        <f t="shared" si="2"/>
        <v>0</v>
      </c>
      <c r="AO54" t="b">
        <f>OR(Table67[[#This Row],[Ineligible respondents]:[Inconsistent response on opposite question (3)]])</f>
        <v>0</v>
      </c>
      <c r="AP5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54">
        <f>Table67[[#This Row],[Extreme Response]]/21</f>
        <v>0.14285714285714285</v>
      </c>
      <c r="AR54">
        <f>_xlfn.PERCENTILE.INC(Table67[Extrem Response Ratio (ERS)],0.9)</f>
        <v>0.61904761904761907</v>
      </c>
      <c r="AS54" t="b">
        <f>Table67[[#This Row],[Extrem Response Ratio (ERS)]]&gt;=Table67[[#This Row],[Threshold of ERS]]</f>
        <v>0</v>
      </c>
      <c r="AT54">
        <f>COUNTIF(Table67[[#This Row],[The mechanism of digital assets is difficult to understand, which discourages me from exploring it (E.g, Tokenization, Blockchain)]:[If I want to try different ways to invest, I will explore digital assets.]], 3)</f>
        <v>5</v>
      </c>
      <c r="AU54">
        <f>Table67[[#This Row],[Midpoint]]/21</f>
        <v>0.23809523809523808</v>
      </c>
      <c r="AV54">
        <f>_xlfn.PERCENTILE.INC(Table67[Midpoint ratio],0.9)</f>
        <v>0.5714285714285714</v>
      </c>
      <c r="AW54" t="b">
        <f>Table67[[#This Row],[Midpoint ratio]]&gt;=Table67[[#This Row],[Threshold of Midpoint ratio]]</f>
        <v>0</v>
      </c>
      <c r="AX54" t="b">
        <f>OR(Table67[[#This Row],[Extreme Response Style]],Table67[[#This Row],[Mid-point Response Style]])</f>
        <v>0</v>
      </c>
      <c r="AY54" t="b">
        <f>OR(Table67[[#This Row],[Delete? (Stage 1)]],Table67[[#This Row],[Delete? (Stage 2)]])</f>
        <v>0</v>
      </c>
      <c r="AZ54" t="s">
        <v>59</v>
      </c>
    </row>
    <row r="55" spans="1:52">
      <c r="A55">
        <f t="shared" si="3"/>
        <v>54</v>
      </c>
      <c r="B55" s="3">
        <v>45988.847789351901</v>
      </c>
      <c r="C55" s="3">
        <v>45988.856284722198</v>
      </c>
      <c r="D55" t="s">
        <v>53</v>
      </c>
      <c r="G55" t="s">
        <v>74</v>
      </c>
      <c r="H55" t="s">
        <v>63</v>
      </c>
      <c r="I55" t="s">
        <v>56</v>
      </c>
      <c r="J55" t="s">
        <v>66</v>
      </c>
      <c r="K55" t="s">
        <v>57</v>
      </c>
      <c r="L55" t="s">
        <v>58</v>
      </c>
      <c r="M55" t="s">
        <v>61</v>
      </c>
      <c r="N55">
        <v>4</v>
      </c>
      <c r="O55">
        <v>1</v>
      </c>
      <c r="P55">
        <v>4</v>
      </c>
      <c r="Q55">
        <v>4</v>
      </c>
      <c r="R55">
        <v>3</v>
      </c>
      <c r="S55">
        <v>3</v>
      </c>
      <c r="T55">
        <v>4</v>
      </c>
      <c r="U55">
        <v>5</v>
      </c>
      <c r="V55">
        <v>5</v>
      </c>
      <c r="W55">
        <v>5</v>
      </c>
      <c r="X55">
        <v>5</v>
      </c>
      <c r="Y55">
        <v>5</v>
      </c>
      <c r="Z55">
        <v>5</v>
      </c>
      <c r="AA55">
        <v>5</v>
      </c>
      <c r="AB55">
        <v>2</v>
      </c>
      <c r="AC55">
        <v>4</v>
      </c>
      <c r="AD55">
        <v>2</v>
      </c>
      <c r="AE55">
        <v>2</v>
      </c>
      <c r="AF55">
        <v>1</v>
      </c>
      <c r="AG55">
        <v>5</v>
      </c>
      <c r="AH55">
        <v>1</v>
      </c>
      <c r="AI55">
        <v>5</v>
      </c>
      <c r="AJ55">
        <v>5</v>
      </c>
      <c r="AK55" t="b">
        <f>Table67[[#This Row],[What is your age?]]&lt;&gt;"18 - 25"</f>
        <v>1</v>
      </c>
      <c r="AL55" t="b">
        <f t="shared" si="0"/>
        <v>0</v>
      </c>
      <c r="AM55" t="b">
        <f t="shared" si="1"/>
        <v>0</v>
      </c>
      <c r="AN55" t="b">
        <f t="shared" si="2"/>
        <v>0</v>
      </c>
      <c r="AO55" t="b">
        <f>OR(Table67[[#This Row],[Ineligible respondents]:[Inconsistent response on opposite question (3)]])</f>
        <v>1</v>
      </c>
      <c r="AP5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55">
        <f>Table67[[#This Row],[Extreme Response]]/21</f>
        <v>0.52380952380952384</v>
      </c>
      <c r="AR55">
        <f>_xlfn.PERCENTILE.INC(Table67[Extrem Response Ratio (ERS)],0.9)</f>
        <v>0.61904761904761907</v>
      </c>
      <c r="AS55" t="b">
        <f>Table67[[#This Row],[Extrem Response Ratio (ERS)]]&gt;=Table67[[#This Row],[Threshold of ERS]]</f>
        <v>0</v>
      </c>
      <c r="AT55">
        <f>COUNTIF(Table67[[#This Row],[The mechanism of digital assets is difficult to understand, which discourages me from exploring it (E.g, Tokenization, Blockchain)]:[If I want to try different ways to invest, I will explore digital assets.]], 3)</f>
        <v>2</v>
      </c>
      <c r="AU55">
        <f>Table67[[#This Row],[Midpoint]]/21</f>
        <v>9.5238095238095233E-2</v>
      </c>
      <c r="AV55">
        <f>_xlfn.PERCENTILE.INC(Table67[Midpoint ratio],0.9)</f>
        <v>0.5714285714285714</v>
      </c>
      <c r="AW55" t="b">
        <f>Table67[[#This Row],[Midpoint ratio]]&gt;=Table67[[#This Row],[Threshold of Midpoint ratio]]</f>
        <v>0</v>
      </c>
      <c r="AX55" t="b">
        <f>OR(Table67[[#This Row],[Extreme Response Style]],Table67[[#This Row],[Mid-point Response Style]])</f>
        <v>0</v>
      </c>
      <c r="AY55" t="b">
        <f>OR(Table67[[#This Row],[Delete? (Stage 1)]],Table67[[#This Row],[Delete? (Stage 2)]])</f>
        <v>1</v>
      </c>
      <c r="AZ55" t="s">
        <v>59</v>
      </c>
    </row>
    <row r="56" spans="1:52">
      <c r="A56">
        <f t="shared" si="3"/>
        <v>55</v>
      </c>
      <c r="B56" s="3">
        <v>45988.862685185202</v>
      </c>
      <c r="C56" s="3">
        <v>45988.865034722199</v>
      </c>
      <c r="D56" t="s">
        <v>53</v>
      </c>
      <c r="G56" t="s">
        <v>54</v>
      </c>
      <c r="H56" t="s">
        <v>63</v>
      </c>
      <c r="I56" t="s">
        <v>56</v>
      </c>
      <c r="J56" t="s">
        <v>60</v>
      </c>
      <c r="K56" t="s">
        <v>65</v>
      </c>
      <c r="L56" t="s">
        <v>58</v>
      </c>
      <c r="M56" t="s">
        <v>61</v>
      </c>
      <c r="N56">
        <v>3</v>
      </c>
      <c r="O56">
        <v>2</v>
      </c>
      <c r="P56">
        <v>4</v>
      </c>
      <c r="Q56">
        <v>3</v>
      </c>
      <c r="R56">
        <v>4</v>
      </c>
      <c r="S56">
        <v>3</v>
      </c>
      <c r="T56">
        <v>3</v>
      </c>
      <c r="U56">
        <v>4</v>
      </c>
      <c r="V56">
        <v>5</v>
      </c>
      <c r="W56">
        <v>4</v>
      </c>
      <c r="X56">
        <v>4</v>
      </c>
      <c r="Y56">
        <v>3</v>
      </c>
      <c r="Z56">
        <v>5</v>
      </c>
      <c r="AA56">
        <v>4</v>
      </c>
      <c r="AB56">
        <v>3</v>
      </c>
      <c r="AC56">
        <v>4</v>
      </c>
      <c r="AD56">
        <v>2</v>
      </c>
      <c r="AE56">
        <v>1</v>
      </c>
      <c r="AF56">
        <v>4</v>
      </c>
      <c r="AG56">
        <v>3</v>
      </c>
      <c r="AH56">
        <v>4</v>
      </c>
      <c r="AI56">
        <v>2</v>
      </c>
      <c r="AJ56">
        <v>2</v>
      </c>
      <c r="AK56" t="b">
        <f>Table67[[#This Row],[What is your age?]]&lt;&gt;"18 - 25"</f>
        <v>0</v>
      </c>
      <c r="AL56" t="b">
        <f t="shared" si="0"/>
        <v>0</v>
      </c>
      <c r="AM56" t="b">
        <f t="shared" si="1"/>
        <v>0</v>
      </c>
      <c r="AN56" t="b">
        <f t="shared" si="2"/>
        <v>1</v>
      </c>
      <c r="AO56" t="b">
        <f>OR(Table67[[#This Row],[Ineligible respondents]:[Inconsistent response on opposite question (3)]])</f>
        <v>1</v>
      </c>
      <c r="AP5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56">
        <f>Table67[[#This Row],[Extreme Response]]/21</f>
        <v>0.14285714285714285</v>
      </c>
      <c r="AR56">
        <f>_xlfn.PERCENTILE.INC(Table67[Extrem Response Ratio (ERS)],0.9)</f>
        <v>0.61904761904761907</v>
      </c>
      <c r="AS56" t="b">
        <f>Table67[[#This Row],[Extrem Response Ratio (ERS)]]&gt;=Table67[[#This Row],[Threshold of ERS]]</f>
        <v>0</v>
      </c>
      <c r="AT56">
        <f>COUNTIF(Table67[[#This Row],[The mechanism of digital assets is difficult to understand, which discourages me from exploring it (E.g, Tokenization, Blockchain)]:[If I want to try different ways to invest, I will explore digital assets.]], 3)</f>
        <v>7</v>
      </c>
      <c r="AU56">
        <f>Table67[[#This Row],[Midpoint]]/21</f>
        <v>0.33333333333333331</v>
      </c>
      <c r="AV56">
        <f>_xlfn.PERCENTILE.INC(Table67[Midpoint ratio],0.9)</f>
        <v>0.5714285714285714</v>
      </c>
      <c r="AW56" t="b">
        <f>Table67[[#This Row],[Midpoint ratio]]&gt;=Table67[[#This Row],[Threshold of Midpoint ratio]]</f>
        <v>0</v>
      </c>
      <c r="AX56" t="b">
        <f>OR(Table67[[#This Row],[Extreme Response Style]],Table67[[#This Row],[Mid-point Response Style]])</f>
        <v>0</v>
      </c>
      <c r="AY56" t="b">
        <f>OR(Table67[[#This Row],[Delete? (Stage 1)]],Table67[[#This Row],[Delete? (Stage 2)]])</f>
        <v>1</v>
      </c>
      <c r="AZ56" t="s">
        <v>59</v>
      </c>
    </row>
    <row r="57" spans="1:52">
      <c r="A57">
        <f t="shared" si="3"/>
        <v>56</v>
      </c>
      <c r="B57" s="3">
        <v>45988.8671875</v>
      </c>
      <c r="C57" s="3">
        <v>45988.868159722202</v>
      </c>
      <c r="D57" t="s">
        <v>53</v>
      </c>
      <c r="G57" t="s">
        <v>54</v>
      </c>
      <c r="H57" t="s">
        <v>63</v>
      </c>
      <c r="I57" t="s">
        <v>56</v>
      </c>
      <c r="J57" t="s">
        <v>72</v>
      </c>
      <c r="K57" t="s">
        <v>65</v>
      </c>
      <c r="L57" t="s">
        <v>61</v>
      </c>
      <c r="M57" t="s">
        <v>61</v>
      </c>
      <c r="N57">
        <v>4</v>
      </c>
      <c r="O57">
        <v>4</v>
      </c>
      <c r="P57">
        <v>4</v>
      </c>
      <c r="Q57">
        <v>4</v>
      </c>
      <c r="R57">
        <v>4</v>
      </c>
      <c r="S57">
        <v>4</v>
      </c>
      <c r="T57">
        <v>4</v>
      </c>
      <c r="U57">
        <v>4</v>
      </c>
      <c r="V57">
        <v>4</v>
      </c>
      <c r="W57">
        <v>4</v>
      </c>
      <c r="X57">
        <v>4</v>
      </c>
      <c r="Y57">
        <v>4</v>
      </c>
      <c r="Z57">
        <v>4</v>
      </c>
      <c r="AA57">
        <v>4</v>
      </c>
      <c r="AB57">
        <v>4</v>
      </c>
      <c r="AC57">
        <v>4</v>
      </c>
      <c r="AD57">
        <v>4</v>
      </c>
      <c r="AE57">
        <v>4</v>
      </c>
      <c r="AF57">
        <v>4</v>
      </c>
      <c r="AG57">
        <v>4</v>
      </c>
      <c r="AH57">
        <v>4</v>
      </c>
      <c r="AI57">
        <v>2</v>
      </c>
      <c r="AJ57">
        <v>2</v>
      </c>
      <c r="AK57" t="b">
        <f>Table67[[#This Row],[What is your age?]]&lt;&gt;"18 - 25"</f>
        <v>0</v>
      </c>
      <c r="AL57" t="b">
        <f t="shared" si="0"/>
        <v>1</v>
      </c>
      <c r="AM57" t="b">
        <f t="shared" si="1"/>
        <v>1</v>
      </c>
      <c r="AN57" t="b">
        <f t="shared" si="2"/>
        <v>0</v>
      </c>
      <c r="AO57" t="b">
        <f>OR(Table67[[#This Row],[Ineligible respondents]:[Inconsistent response on opposite question (3)]])</f>
        <v>1</v>
      </c>
      <c r="AP5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57">
        <f>Table67[[#This Row],[Extreme Response]]/21</f>
        <v>0</v>
      </c>
      <c r="AR57">
        <f>_xlfn.PERCENTILE.INC(Table67[Extrem Response Ratio (ERS)],0.9)</f>
        <v>0.61904761904761907</v>
      </c>
      <c r="AS57" t="b">
        <f>Table67[[#This Row],[Extrem Response Ratio (ERS)]]&gt;=Table67[[#This Row],[Threshold of ERS]]</f>
        <v>0</v>
      </c>
      <c r="AT57">
        <f>COUNTIF(Table67[[#This Row],[The mechanism of digital assets is difficult to understand, which discourages me from exploring it (E.g, Tokenization, Blockchain)]:[If I want to try different ways to invest, I will explore digital assets.]], 3)</f>
        <v>0</v>
      </c>
      <c r="AU57">
        <f>Table67[[#This Row],[Midpoint]]/21</f>
        <v>0</v>
      </c>
      <c r="AV57">
        <f>_xlfn.PERCENTILE.INC(Table67[Midpoint ratio],0.9)</f>
        <v>0.5714285714285714</v>
      </c>
      <c r="AW57" t="b">
        <f>Table67[[#This Row],[Midpoint ratio]]&gt;=Table67[[#This Row],[Threshold of Midpoint ratio]]</f>
        <v>0</v>
      </c>
      <c r="AX57" t="b">
        <f>OR(Table67[[#This Row],[Extreme Response Style]],Table67[[#This Row],[Mid-point Response Style]])</f>
        <v>0</v>
      </c>
      <c r="AY57" t="b">
        <f>OR(Table67[[#This Row],[Delete? (Stage 1)]],Table67[[#This Row],[Delete? (Stage 2)]])</f>
        <v>1</v>
      </c>
      <c r="AZ57" t="s">
        <v>59</v>
      </c>
    </row>
    <row r="58" spans="1:52">
      <c r="A58">
        <f t="shared" si="3"/>
        <v>57</v>
      </c>
      <c r="B58" s="3">
        <v>45988.900578703702</v>
      </c>
      <c r="C58" s="3">
        <v>45988.902245370402</v>
      </c>
      <c r="D58" t="s">
        <v>53</v>
      </c>
      <c r="G58" t="s">
        <v>54</v>
      </c>
      <c r="H58" t="s">
        <v>63</v>
      </c>
      <c r="I58" t="s">
        <v>56</v>
      </c>
      <c r="J58" t="s">
        <v>62</v>
      </c>
      <c r="K58" t="s">
        <v>57</v>
      </c>
      <c r="L58" t="s">
        <v>58</v>
      </c>
      <c r="M58" t="s">
        <v>61</v>
      </c>
      <c r="N58">
        <v>4</v>
      </c>
      <c r="O58">
        <v>3</v>
      </c>
      <c r="P58">
        <v>4</v>
      </c>
      <c r="Q58">
        <v>3</v>
      </c>
      <c r="R58">
        <v>4</v>
      </c>
      <c r="S58">
        <v>4</v>
      </c>
      <c r="T58">
        <v>4</v>
      </c>
      <c r="U58">
        <v>4</v>
      </c>
      <c r="V58">
        <v>4</v>
      </c>
      <c r="W58">
        <v>5</v>
      </c>
      <c r="X58">
        <v>5</v>
      </c>
      <c r="Y58">
        <v>5</v>
      </c>
      <c r="Z58">
        <v>4</v>
      </c>
      <c r="AA58">
        <v>4</v>
      </c>
      <c r="AB58">
        <v>4</v>
      </c>
      <c r="AC58">
        <v>4</v>
      </c>
      <c r="AD58">
        <v>4</v>
      </c>
      <c r="AE58">
        <v>3</v>
      </c>
      <c r="AF58">
        <v>3</v>
      </c>
      <c r="AG58">
        <v>3</v>
      </c>
      <c r="AH58">
        <v>3</v>
      </c>
      <c r="AI58">
        <v>3</v>
      </c>
      <c r="AJ58">
        <v>3</v>
      </c>
      <c r="AK58" t="b">
        <f>Table67[[#This Row],[What is your age?]]&lt;&gt;"18 - 25"</f>
        <v>0</v>
      </c>
      <c r="AL58" t="b">
        <f t="shared" si="0"/>
        <v>0</v>
      </c>
      <c r="AM58" t="b">
        <f t="shared" si="1"/>
        <v>0</v>
      </c>
      <c r="AN58" t="b">
        <f t="shared" si="2"/>
        <v>0</v>
      </c>
      <c r="AO58" t="b">
        <f>OR(Table67[[#This Row],[Ineligible respondents]:[Inconsistent response on opposite question (3)]])</f>
        <v>0</v>
      </c>
      <c r="AP5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58">
        <f>Table67[[#This Row],[Extreme Response]]/21</f>
        <v>0.14285714285714285</v>
      </c>
      <c r="AR58">
        <f>_xlfn.PERCENTILE.INC(Table67[Extrem Response Ratio (ERS)],0.9)</f>
        <v>0.61904761904761907</v>
      </c>
      <c r="AS58" t="b">
        <f>Table67[[#This Row],[Extrem Response Ratio (ERS)]]&gt;=Table67[[#This Row],[Threshold of ERS]]</f>
        <v>0</v>
      </c>
      <c r="AT58">
        <f>COUNTIF(Table67[[#This Row],[The mechanism of digital assets is difficult to understand, which discourages me from exploring it (E.g, Tokenization, Blockchain)]:[If I want to try different ways to invest, I will explore digital assets.]], 3)</f>
        <v>6</v>
      </c>
      <c r="AU58">
        <f>Table67[[#This Row],[Midpoint]]/21</f>
        <v>0.2857142857142857</v>
      </c>
      <c r="AV58">
        <f>_xlfn.PERCENTILE.INC(Table67[Midpoint ratio],0.9)</f>
        <v>0.5714285714285714</v>
      </c>
      <c r="AW58" t="b">
        <f>Table67[[#This Row],[Midpoint ratio]]&gt;=Table67[[#This Row],[Threshold of Midpoint ratio]]</f>
        <v>0</v>
      </c>
      <c r="AX58" t="b">
        <f>OR(Table67[[#This Row],[Extreme Response Style]],Table67[[#This Row],[Mid-point Response Style]])</f>
        <v>0</v>
      </c>
      <c r="AY58" t="b">
        <f>OR(Table67[[#This Row],[Delete? (Stage 1)]],Table67[[#This Row],[Delete? (Stage 2)]])</f>
        <v>0</v>
      </c>
      <c r="AZ58" t="s">
        <v>59</v>
      </c>
    </row>
    <row r="59" spans="1:52">
      <c r="A59">
        <f t="shared" si="3"/>
        <v>58</v>
      </c>
      <c r="B59" s="3">
        <v>45988.925439814797</v>
      </c>
      <c r="C59" s="3">
        <v>45988.927719907399</v>
      </c>
      <c r="D59" t="s">
        <v>53</v>
      </c>
      <c r="G59" t="s">
        <v>54</v>
      </c>
      <c r="H59" t="s">
        <v>55</v>
      </c>
      <c r="I59" t="s">
        <v>56</v>
      </c>
      <c r="J59" t="s">
        <v>67</v>
      </c>
      <c r="K59" t="s">
        <v>62</v>
      </c>
      <c r="L59" t="s">
        <v>61</v>
      </c>
      <c r="M59" t="s">
        <v>61</v>
      </c>
      <c r="N59">
        <v>1</v>
      </c>
      <c r="O59">
        <v>1</v>
      </c>
      <c r="P59">
        <v>2</v>
      </c>
      <c r="Q59">
        <v>4</v>
      </c>
      <c r="R59">
        <v>2</v>
      </c>
      <c r="S59">
        <v>2</v>
      </c>
      <c r="T59">
        <v>2</v>
      </c>
      <c r="U59">
        <v>1</v>
      </c>
      <c r="V59">
        <v>2</v>
      </c>
      <c r="W59">
        <v>2</v>
      </c>
      <c r="X59">
        <v>2</v>
      </c>
      <c r="Y59">
        <v>2</v>
      </c>
      <c r="Z59">
        <v>2</v>
      </c>
      <c r="AA59">
        <v>2</v>
      </c>
      <c r="AB59">
        <v>3</v>
      </c>
      <c r="AC59">
        <v>2</v>
      </c>
      <c r="AD59">
        <v>3</v>
      </c>
      <c r="AE59">
        <v>3</v>
      </c>
      <c r="AF59">
        <v>3</v>
      </c>
      <c r="AG59">
        <v>2</v>
      </c>
      <c r="AH59">
        <v>4</v>
      </c>
      <c r="AI59">
        <v>2</v>
      </c>
      <c r="AJ59">
        <v>3</v>
      </c>
      <c r="AK59" t="b">
        <f>Table67[[#This Row],[What is your age?]]&lt;&gt;"18 - 25"</f>
        <v>0</v>
      </c>
      <c r="AL59" t="b">
        <f t="shared" si="0"/>
        <v>0</v>
      </c>
      <c r="AM59" t="b">
        <f t="shared" si="1"/>
        <v>0</v>
      </c>
      <c r="AN59" t="b">
        <f t="shared" si="2"/>
        <v>0</v>
      </c>
      <c r="AO59" t="b">
        <f>OR(Table67[[#This Row],[Ineligible respondents]:[Inconsistent response on opposite question (3)]])</f>
        <v>0</v>
      </c>
      <c r="AP5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59">
        <f>Table67[[#This Row],[Extreme Response]]/21</f>
        <v>0.14285714285714285</v>
      </c>
      <c r="AR59">
        <f>_xlfn.PERCENTILE.INC(Table67[Extrem Response Ratio (ERS)],0.9)</f>
        <v>0.61904761904761907</v>
      </c>
      <c r="AS59" t="b">
        <f>Table67[[#This Row],[Extrem Response Ratio (ERS)]]&gt;=Table67[[#This Row],[Threshold of ERS]]</f>
        <v>0</v>
      </c>
      <c r="AT59">
        <f>COUNTIF(Table67[[#This Row],[The mechanism of digital assets is difficult to understand, which discourages me from exploring it (E.g, Tokenization, Blockchain)]:[If I want to try different ways to invest, I will explore digital assets.]], 3)</f>
        <v>4</v>
      </c>
      <c r="AU59">
        <f>Table67[[#This Row],[Midpoint]]/21</f>
        <v>0.19047619047619047</v>
      </c>
      <c r="AV59">
        <f>_xlfn.PERCENTILE.INC(Table67[Midpoint ratio],0.9)</f>
        <v>0.5714285714285714</v>
      </c>
      <c r="AW59" t="b">
        <f>Table67[[#This Row],[Midpoint ratio]]&gt;=Table67[[#This Row],[Threshold of Midpoint ratio]]</f>
        <v>0</v>
      </c>
      <c r="AX59" t="b">
        <f>OR(Table67[[#This Row],[Extreme Response Style]],Table67[[#This Row],[Mid-point Response Style]])</f>
        <v>0</v>
      </c>
      <c r="AY59" t="b">
        <f>OR(Table67[[#This Row],[Delete? (Stage 1)]],Table67[[#This Row],[Delete? (Stage 2)]])</f>
        <v>0</v>
      </c>
      <c r="AZ59" t="s">
        <v>59</v>
      </c>
    </row>
    <row r="60" spans="1:52">
      <c r="A60">
        <f t="shared" si="3"/>
        <v>59</v>
      </c>
      <c r="B60" s="3">
        <v>45988.930243055598</v>
      </c>
      <c r="C60" s="3">
        <v>45988.931701388901</v>
      </c>
      <c r="D60" t="s">
        <v>53</v>
      </c>
      <c r="G60" t="s">
        <v>54</v>
      </c>
      <c r="H60" t="s">
        <v>63</v>
      </c>
      <c r="I60" t="s">
        <v>69</v>
      </c>
      <c r="J60" t="s">
        <v>64</v>
      </c>
      <c r="K60" t="s">
        <v>62</v>
      </c>
      <c r="L60" t="s">
        <v>58</v>
      </c>
      <c r="M60" t="s">
        <v>61</v>
      </c>
      <c r="N60">
        <v>3</v>
      </c>
      <c r="O60">
        <v>4</v>
      </c>
      <c r="P60">
        <v>4</v>
      </c>
      <c r="Q60">
        <v>3</v>
      </c>
      <c r="R60">
        <v>2</v>
      </c>
      <c r="S60">
        <v>3</v>
      </c>
      <c r="T60">
        <v>4</v>
      </c>
      <c r="U60">
        <v>2</v>
      </c>
      <c r="V60">
        <v>2</v>
      </c>
      <c r="W60">
        <v>4</v>
      </c>
      <c r="X60">
        <v>4</v>
      </c>
      <c r="Y60">
        <v>4</v>
      </c>
      <c r="Z60">
        <v>4</v>
      </c>
      <c r="AA60">
        <v>4</v>
      </c>
      <c r="AB60">
        <v>4</v>
      </c>
      <c r="AC60">
        <v>4</v>
      </c>
      <c r="AD60">
        <v>4</v>
      </c>
      <c r="AE60">
        <v>3</v>
      </c>
      <c r="AF60">
        <v>4</v>
      </c>
      <c r="AG60">
        <v>3</v>
      </c>
      <c r="AH60">
        <v>4</v>
      </c>
      <c r="AI60">
        <v>2</v>
      </c>
      <c r="AJ60">
        <v>2</v>
      </c>
      <c r="AK60" t="b">
        <f>Table67[[#This Row],[What is your age?]]&lt;&gt;"18 - 25"</f>
        <v>0</v>
      </c>
      <c r="AL60" t="b">
        <f t="shared" si="0"/>
        <v>0</v>
      </c>
      <c r="AM60" t="b">
        <f t="shared" si="1"/>
        <v>0</v>
      </c>
      <c r="AN60" t="b">
        <f t="shared" si="2"/>
        <v>1</v>
      </c>
      <c r="AO60" t="b">
        <f>OR(Table67[[#This Row],[Ineligible respondents]:[Inconsistent response on opposite question (3)]])</f>
        <v>1</v>
      </c>
      <c r="AP6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60">
        <f>Table67[[#This Row],[Extreme Response]]/21</f>
        <v>0</v>
      </c>
      <c r="AR60">
        <f>_xlfn.PERCENTILE.INC(Table67[Extrem Response Ratio (ERS)],0.9)</f>
        <v>0.61904761904761907</v>
      </c>
      <c r="AS60" t="b">
        <f>Table67[[#This Row],[Extrem Response Ratio (ERS)]]&gt;=Table67[[#This Row],[Threshold of ERS]]</f>
        <v>0</v>
      </c>
      <c r="AT60">
        <f>COUNTIF(Table67[[#This Row],[The mechanism of digital assets is difficult to understand, which discourages me from exploring it (E.g, Tokenization, Blockchain)]:[If I want to try different ways to invest, I will explore digital assets.]], 3)</f>
        <v>5</v>
      </c>
      <c r="AU60">
        <f>Table67[[#This Row],[Midpoint]]/21</f>
        <v>0.23809523809523808</v>
      </c>
      <c r="AV60">
        <f>_xlfn.PERCENTILE.INC(Table67[Midpoint ratio],0.9)</f>
        <v>0.5714285714285714</v>
      </c>
      <c r="AW60" t="b">
        <f>Table67[[#This Row],[Midpoint ratio]]&gt;=Table67[[#This Row],[Threshold of Midpoint ratio]]</f>
        <v>0</v>
      </c>
      <c r="AX60" t="b">
        <f>OR(Table67[[#This Row],[Extreme Response Style]],Table67[[#This Row],[Mid-point Response Style]])</f>
        <v>0</v>
      </c>
      <c r="AY60" t="b">
        <f>OR(Table67[[#This Row],[Delete? (Stage 1)]],Table67[[#This Row],[Delete? (Stage 2)]])</f>
        <v>1</v>
      </c>
      <c r="AZ60" t="s">
        <v>59</v>
      </c>
    </row>
    <row r="61" spans="1:52">
      <c r="A61">
        <f t="shared" si="3"/>
        <v>60</v>
      </c>
      <c r="B61" s="3">
        <v>45988.964513888903</v>
      </c>
      <c r="C61" s="3">
        <v>45988.965844907398</v>
      </c>
      <c r="D61" t="s">
        <v>53</v>
      </c>
      <c r="G61" t="s">
        <v>54</v>
      </c>
      <c r="H61" t="s">
        <v>55</v>
      </c>
      <c r="I61" t="s">
        <v>56</v>
      </c>
      <c r="J61" t="s">
        <v>62</v>
      </c>
      <c r="K61" t="s">
        <v>57</v>
      </c>
      <c r="L61" t="s">
        <v>58</v>
      </c>
      <c r="M61" t="s">
        <v>58</v>
      </c>
      <c r="N61">
        <v>4</v>
      </c>
      <c r="O61">
        <v>3</v>
      </c>
      <c r="P61">
        <v>4</v>
      </c>
      <c r="Q61">
        <v>2</v>
      </c>
      <c r="R61">
        <v>3</v>
      </c>
      <c r="S61">
        <v>4</v>
      </c>
      <c r="T61">
        <v>4</v>
      </c>
      <c r="U61">
        <v>4</v>
      </c>
      <c r="V61">
        <v>4</v>
      </c>
      <c r="W61">
        <v>3</v>
      </c>
      <c r="X61">
        <v>3</v>
      </c>
      <c r="Y61">
        <v>3</v>
      </c>
      <c r="Z61">
        <v>3</v>
      </c>
      <c r="AA61">
        <v>4</v>
      </c>
      <c r="AB61">
        <v>4</v>
      </c>
      <c r="AC61">
        <v>4</v>
      </c>
      <c r="AD61">
        <v>3</v>
      </c>
      <c r="AE61">
        <v>1</v>
      </c>
      <c r="AF61">
        <v>2</v>
      </c>
      <c r="AG61">
        <v>2</v>
      </c>
      <c r="AH61">
        <v>4</v>
      </c>
      <c r="AI61">
        <v>2</v>
      </c>
      <c r="AJ61">
        <v>4</v>
      </c>
      <c r="AK61" t="b">
        <f>Table67[[#This Row],[What is your age?]]&lt;&gt;"18 - 25"</f>
        <v>0</v>
      </c>
      <c r="AL61" t="b">
        <f t="shared" si="0"/>
        <v>0</v>
      </c>
      <c r="AM61" t="b">
        <f t="shared" si="1"/>
        <v>0</v>
      </c>
      <c r="AN61" t="b">
        <f t="shared" si="2"/>
        <v>0</v>
      </c>
      <c r="AO61" t="b">
        <f>OR(Table67[[#This Row],[Ineligible respondents]:[Inconsistent response on opposite question (3)]])</f>
        <v>0</v>
      </c>
      <c r="AP6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61">
        <f>Table67[[#This Row],[Extreme Response]]/21</f>
        <v>4.7619047619047616E-2</v>
      </c>
      <c r="AR61">
        <f>_xlfn.PERCENTILE.INC(Table67[Extrem Response Ratio (ERS)],0.9)</f>
        <v>0.61904761904761907</v>
      </c>
      <c r="AS61" t="b">
        <f>Table67[[#This Row],[Extrem Response Ratio (ERS)]]&gt;=Table67[[#This Row],[Threshold of ERS]]</f>
        <v>0</v>
      </c>
      <c r="AT61">
        <f>COUNTIF(Table67[[#This Row],[The mechanism of digital assets is difficult to understand, which discourages me from exploring it (E.g, Tokenization, Blockchain)]:[If I want to try different ways to invest, I will explore digital assets.]], 3)</f>
        <v>7</v>
      </c>
      <c r="AU61">
        <f>Table67[[#This Row],[Midpoint]]/21</f>
        <v>0.33333333333333331</v>
      </c>
      <c r="AV61">
        <f>_xlfn.PERCENTILE.INC(Table67[Midpoint ratio],0.9)</f>
        <v>0.5714285714285714</v>
      </c>
      <c r="AW61" t="b">
        <f>Table67[[#This Row],[Midpoint ratio]]&gt;=Table67[[#This Row],[Threshold of Midpoint ratio]]</f>
        <v>0</v>
      </c>
      <c r="AX61" t="b">
        <f>OR(Table67[[#This Row],[Extreme Response Style]],Table67[[#This Row],[Mid-point Response Style]])</f>
        <v>0</v>
      </c>
      <c r="AY61" t="b">
        <f>OR(Table67[[#This Row],[Delete? (Stage 1)]],Table67[[#This Row],[Delete? (Stage 2)]])</f>
        <v>0</v>
      </c>
      <c r="AZ61" t="s">
        <v>59</v>
      </c>
    </row>
    <row r="62" spans="1:52">
      <c r="A62">
        <f t="shared" si="3"/>
        <v>61</v>
      </c>
      <c r="B62" s="3">
        <v>45989.471284722204</v>
      </c>
      <c r="C62" s="3">
        <v>45989.474155092597</v>
      </c>
      <c r="D62" t="s">
        <v>53</v>
      </c>
      <c r="G62" t="s">
        <v>54</v>
      </c>
      <c r="H62" t="s">
        <v>55</v>
      </c>
      <c r="I62" t="s">
        <v>56</v>
      </c>
      <c r="J62" t="s">
        <v>62</v>
      </c>
      <c r="K62" t="s">
        <v>57</v>
      </c>
      <c r="L62" t="s">
        <v>61</v>
      </c>
      <c r="M62" t="s">
        <v>61</v>
      </c>
      <c r="N62">
        <v>2</v>
      </c>
      <c r="O62">
        <v>2</v>
      </c>
      <c r="P62">
        <v>4</v>
      </c>
      <c r="Q62">
        <v>3</v>
      </c>
      <c r="R62">
        <v>3</v>
      </c>
      <c r="S62">
        <v>4</v>
      </c>
      <c r="T62">
        <v>4</v>
      </c>
      <c r="U62">
        <v>4</v>
      </c>
      <c r="V62">
        <v>4</v>
      </c>
      <c r="W62">
        <v>2</v>
      </c>
      <c r="X62">
        <v>3</v>
      </c>
      <c r="Y62">
        <v>2</v>
      </c>
      <c r="Z62">
        <v>3</v>
      </c>
      <c r="AA62">
        <v>4</v>
      </c>
      <c r="AB62">
        <v>2</v>
      </c>
      <c r="AC62">
        <v>4</v>
      </c>
      <c r="AD62">
        <v>4</v>
      </c>
      <c r="AE62">
        <v>1</v>
      </c>
      <c r="AF62">
        <v>4</v>
      </c>
      <c r="AG62">
        <v>2</v>
      </c>
      <c r="AH62">
        <v>3</v>
      </c>
      <c r="AI62">
        <v>3</v>
      </c>
      <c r="AJ62">
        <v>2</v>
      </c>
      <c r="AK62" t="b">
        <f>Table67[[#This Row],[What is your age?]]&lt;&gt;"18 - 25"</f>
        <v>0</v>
      </c>
      <c r="AL62" t="b">
        <f t="shared" si="0"/>
        <v>0</v>
      </c>
      <c r="AM62" t="b">
        <f t="shared" si="1"/>
        <v>0</v>
      </c>
      <c r="AN62" t="b">
        <f t="shared" si="2"/>
        <v>1</v>
      </c>
      <c r="AO62" t="b">
        <f>OR(Table67[[#This Row],[Ineligible respondents]:[Inconsistent response on opposite question (3)]])</f>
        <v>1</v>
      </c>
      <c r="AP6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62">
        <f>Table67[[#This Row],[Extreme Response]]/21</f>
        <v>4.7619047619047616E-2</v>
      </c>
      <c r="AR62">
        <f>_xlfn.PERCENTILE.INC(Table67[Extrem Response Ratio (ERS)],0.9)</f>
        <v>0.61904761904761907</v>
      </c>
      <c r="AS62" t="b">
        <f>Table67[[#This Row],[Extrem Response Ratio (ERS)]]&gt;=Table67[[#This Row],[Threshold of ERS]]</f>
        <v>0</v>
      </c>
      <c r="AT62">
        <f>COUNTIF(Table67[[#This Row],[The mechanism of digital assets is difficult to understand, which discourages me from exploring it (E.g, Tokenization, Blockchain)]:[If I want to try different ways to invest, I will explore digital assets.]], 3)</f>
        <v>5</v>
      </c>
      <c r="AU62">
        <f>Table67[[#This Row],[Midpoint]]/21</f>
        <v>0.23809523809523808</v>
      </c>
      <c r="AV62">
        <f>_xlfn.PERCENTILE.INC(Table67[Midpoint ratio],0.9)</f>
        <v>0.5714285714285714</v>
      </c>
      <c r="AW62" t="b">
        <f>Table67[[#This Row],[Midpoint ratio]]&gt;=Table67[[#This Row],[Threshold of Midpoint ratio]]</f>
        <v>0</v>
      </c>
      <c r="AX62" t="b">
        <f>OR(Table67[[#This Row],[Extreme Response Style]],Table67[[#This Row],[Mid-point Response Style]])</f>
        <v>0</v>
      </c>
      <c r="AY62" t="b">
        <f>OR(Table67[[#This Row],[Delete? (Stage 1)]],Table67[[#This Row],[Delete? (Stage 2)]])</f>
        <v>1</v>
      </c>
      <c r="AZ62" t="s">
        <v>59</v>
      </c>
    </row>
    <row r="63" spans="1:52">
      <c r="A63">
        <f t="shared" si="3"/>
        <v>62</v>
      </c>
      <c r="B63" s="3">
        <v>45989.530682870398</v>
      </c>
      <c r="C63" s="3">
        <v>45989.531585648103</v>
      </c>
      <c r="D63" t="s">
        <v>53</v>
      </c>
      <c r="G63" t="s">
        <v>54</v>
      </c>
      <c r="H63" t="s">
        <v>63</v>
      </c>
      <c r="I63" t="s">
        <v>56</v>
      </c>
      <c r="J63" t="s">
        <v>65</v>
      </c>
      <c r="K63" t="s">
        <v>57</v>
      </c>
      <c r="L63" t="s">
        <v>58</v>
      </c>
      <c r="M63" t="s">
        <v>61</v>
      </c>
      <c r="N63">
        <v>3</v>
      </c>
      <c r="O63">
        <v>3</v>
      </c>
      <c r="P63">
        <v>3</v>
      </c>
      <c r="Q63">
        <v>3</v>
      </c>
      <c r="R63">
        <v>3</v>
      </c>
      <c r="S63">
        <v>3</v>
      </c>
      <c r="T63">
        <v>3</v>
      </c>
      <c r="U63">
        <v>3</v>
      </c>
      <c r="V63">
        <v>3</v>
      </c>
      <c r="W63">
        <v>3</v>
      </c>
      <c r="X63">
        <v>4</v>
      </c>
      <c r="Y63">
        <v>4</v>
      </c>
      <c r="Z63">
        <v>4</v>
      </c>
      <c r="AA63">
        <v>4</v>
      </c>
      <c r="AB63">
        <v>4</v>
      </c>
      <c r="AC63">
        <v>3</v>
      </c>
      <c r="AD63">
        <v>3</v>
      </c>
      <c r="AE63">
        <v>3</v>
      </c>
      <c r="AF63">
        <v>3</v>
      </c>
      <c r="AG63">
        <v>3</v>
      </c>
      <c r="AH63">
        <v>3</v>
      </c>
      <c r="AI63">
        <v>3</v>
      </c>
      <c r="AJ63">
        <v>3</v>
      </c>
      <c r="AK63" t="b">
        <f>Table67[[#This Row],[What is your age?]]&lt;&gt;"18 - 25"</f>
        <v>0</v>
      </c>
      <c r="AL63" t="b">
        <f t="shared" si="0"/>
        <v>0</v>
      </c>
      <c r="AM63" t="b">
        <f t="shared" si="1"/>
        <v>0</v>
      </c>
      <c r="AN63" t="b">
        <f t="shared" si="2"/>
        <v>0</v>
      </c>
      <c r="AO63" t="b">
        <f>OR(Table67[[#This Row],[Ineligible respondents]:[Inconsistent response on opposite question (3)]])</f>
        <v>0</v>
      </c>
      <c r="AP6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63">
        <f>Table67[[#This Row],[Extreme Response]]/21</f>
        <v>0</v>
      </c>
      <c r="AR63">
        <f>_xlfn.PERCENTILE.INC(Table67[Extrem Response Ratio (ERS)],0.9)</f>
        <v>0.61904761904761907</v>
      </c>
      <c r="AS63" t="b">
        <f>Table67[[#This Row],[Extrem Response Ratio (ERS)]]&gt;=Table67[[#This Row],[Threshold of ERS]]</f>
        <v>0</v>
      </c>
      <c r="AT63">
        <f>COUNTIF(Table67[[#This Row],[The mechanism of digital assets is difficult to understand, which discourages me from exploring it (E.g, Tokenization, Blockchain)]:[If I want to try different ways to invest, I will explore digital assets.]], 3)</f>
        <v>16</v>
      </c>
      <c r="AU63">
        <f>Table67[[#This Row],[Midpoint]]/21</f>
        <v>0.76190476190476186</v>
      </c>
      <c r="AV63">
        <f>_xlfn.PERCENTILE.INC(Table67[Midpoint ratio],0.9)</f>
        <v>0.5714285714285714</v>
      </c>
      <c r="AW63" t="b">
        <f>Table67[[#This Row],[Midpoint ratio]]&gt;=Table67[[#This Row],[Threshold of Midpoint ratio]]</f>
        <v>1</v>
      </c>
      <c r="AX63" t="b">
        <f>OR(Table67[[#This Row],[Extreme Response Style]],Table67[[#This Row],[Mid-point Response Style]])</f>
        <v>1</v>
      </c>
      <c r="AY63" t="b">
        <f>OR(Table67[[#This Row],[Delete? (Stage 1)]],Table67[[#This Row],[Delete? (Stage 2)]])</f>
        <v>1</v>
      </c>
      <c r="AZ63" t="s">
        <v>59</v>
      </c>
    </row>
    <row r="64" spans="1:52">
      <c r="A64">
        <f t="shared" si="3"/>
        <v>63</v>
      </c>
      <c r="B64" s="3">
        <v>45989.807719907403</v>
      </c>
      <c r="C64" s="3">
        <v>45989.811469907399</v>
      </c>
      <c r="D64" t="s">
        <v>53</v>
      </c>
      <c r="G64" t="s">
        <v>54</v>
      </c>
      <c r="H64" t="s">
        <v>63</v>
      </c>
      <c r="I64" t="s">
        <v>69</v>
      </c>
      <c r="J64" t="s">
        <v>67</v>
      </c>
      <c r="K64" t="s">
        <v>57</v>
      </c>
      <c r="L64" t="s">
        <v>58</v>
      </c>
      <c r="M64" t="s">
        <v>61</v>
      </c>
      <c r="N64">
        <v>5</v>
      </c>
      <c r="O64">
        <v>3</v>
      </c>
      <c r="P64">
        <v>3</v>
      </c>
      <c r="Q64">
        <v>3</v>
      </c>
      <c r="R64">
        <v>4</v>
      </c>
      <c r="S64">
        <v>4</v>
      </c>
      <c r="T64">
        <v>2</v>
      </c>
      <c r="U64">
        <v>5</v>
      </c>
      <c r="V64">
        <v>4</v>
      </c>
      <c r="W64">
        <v>5</v>
      </c>
      <c r="X64">
        <v>5</v>
      </c>
      <c r="Y64">
        <v>5</v>
      </c>
      <c r="Z64">
        <v>5</v>
      </c>
      <c r="AA64">
        <v>4</v>
      </c>
      <c r="AB64">
        <v>2</v>
      </c>
      <c r="AC64">
        <v>4</v>
      </c>
      <c r="AD64">
        <v>4</v>
      </c>
      <c r="AE64">
        <v>5</v>
      </c>
      <c r="AF64">
        <v>1</v>
      </c>
      <c r="AG64">
        <v>3</v>
      </c>
      <c r="AH64">
        <v>2</v>
      </c>
      <c r="AI64">
        <v>4</v>
      </c>
      <c r="AJ64">
        <v>5</v>
      </c>
      <c r="AK64" t="b">
        <f>Table67[[#This Row],[What is your age?]]&lt;&gt;"18 - 25"</f>
        <v>0</v>
      </c>
      <c r="AL64" t="b">
        <f t="shared" si="0"/>
        <v>0</v>
      </c>
      <c r="AM64" t="b">
        <f t="shared" si="1"/>
        <v>0</v>
      </c>
      <c r="AN64" t="b">
        <f t="shared" si="2"/>
        <v>1</v>
      </c>
      <c r="AO64" t="b">
        <f>OR(Table67[[#This Row],[Ineligible respondents]:[Inconsistent response on opposite question (3)]])</f>
        <v>1</v>
      </c>
      <c r="AP6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64">
        <f>Table67[[#This Row],[Extreme Response]]/21</f>
        <v>0.38095238095238093</v>
      </c>
      <c r="AR64">
        <f>_xlfn.PERCENTILE.INC(Table67[Extrem Response Ratio (ERS)],0.9)</f>
        <v>0.61904761904761907</v>
      </c>
      <c r="AS64" t="b">
        <f>Table67[[#This Row],[Extrem Response Ratio (ERS)]]&gt;=Table67[[#This Row],[Threshold of ERS]]</f>
        <v>0</v>
      </c>
      <c r="AT64">
        <f>COUNTIF(Table67[[#This Row],[The mechanism of digital assets is difficult to understand, which discourages me from exploring it (E.g, Tokenization, Blockchain)]:[If I want to try different ways to invest, I will explore digital assets.]], 3)</f>
        <v>4</v>
      </c>
      <c r="AU64">
        <f>Table67[[#This Row],[Midpoint]]/21</f>
        <v>0.19047619047619047</v>
      </c>
      <c r="AV64">
        <f>_xlfn.PERCENTILE.INC(Table67[Midpoint ratio],0.9)</f>
        <v>0.5714285714285714</v>
      </c>
      <c r="AW64" t="b">
        <f>Table67[[#This Row],[Midpoint ratio]]&gt;=Table67[[#This Row],[Threshold of Midpoint ratio]]</f>
        <v>0</v>
      </c>
      <c r="AX64" t="b">
        <f>OR(Table67[[#This Row],[Extreme Response Style]],Table67[[#This Row],[Mid-point Response Style]])</f>
        <v>0</v>
      </c>
      <c r="AY64" t="b">
        <f>OR(Table67[[#This Row],[Delete? (Stage 1)]],Table67[[#This Row],[Delete? (Stage 2)]])</f>
        <v>1</v>
      </c>
      <c r="AZ64" t="s">
        <v>59</v>
      </c>
    </row>
    <row r="65" spans="1:52">
      <c r="A65">
        <f t="shared" si="3"/>
        <v>64</v>
      </c>
      <c r="B65" s="3">
        <v>45989.900567129604</v>
      </c>
      <c r="C65" s="3">
        <v>45989.902951388904</v>
      </c>
      <c r="D65" t="s">
        <v>53</v>
      </c>
      <c r="G65" t="s">
        <v>54</v>
      </c>
      <c r="H65" t="s">
        <v>55</v>
      </c>
      <c r="I65" t="s">
        <v>56</v>
      </c>
      <c r="J65" t="s">
        <v>62</v>
      </c>
      <c r="K65" t="s">
        <v>57</v>
      </c>
      <c r="L65" t="s">
        <v>58</v>
      </c>
      <c r="M65" t="s">
        <v>61</v>
      </c>
      <c r="N65">
        <v>3</v>
      </c>
      <c r="O65">
        <v>5</v>
      </c>
      <c r="P65">
        <v>4</v>
      </c>
      <c r="Q65">
        <v>3</v>
      </c>
      <c r="R65">
        <v>4</v>
      </c>
      <c r="S65">
        <v>3</v>
      </c>
      <c r="T65">
        <v>3</v>
      </c>
      <c r="U65">
        <v>4</v>
      </c>
      <c r="V65">
        <v>3</v>
      </c>
      <c r="W65">
        <v>3</v>
      </c>
      <c r="X65">
        <v>4</v>
      </c>
      <c r="Y65">
        <v>4</v>
      </c>
      <c r="Z65">
        <v>4</v>
      </c>
      <c r="AA65">
        <v>4</v>
      </c>
      <c r="AB65">
        <v>4</v>
      </c>
      <c r="AC65">
        <v>3</v>
      </c>
      <c r="AD65">
        <v>3</v>
      </c>
      <c r="AE65">
        <v>4</v>
      </c>
      <c r="AF65">
        <v>3</v>
      </c>
      <c r="AG65">
        <v>4</v>
      </c>
      <c r="AH65">
        <v>2</v>
      </c>
      <c r="AI65">
        <v>4</v>
      </c>
      <c r="AJ65">
        <v>3</v>
      </c>
      <c r="AK65" t="b">
        <f>Table67[[#This Row],[What is your age?]]&lt;&gt;"18 - 25"</f>
        <v>0</v>
      </c>
      <c r="AL65" t="b">
        <f t="shared" si="0"/>
        <v>0</v>
      </c>
      <c r="AM65" t="b">
        <f t="shared" si="1"/>
        <v>0</v>
      </c>
      <c r="AN65" t="b">
        <f t="shared" si="2"/>
        <v>0</v>
      </c>
      <c r="AO65" t="b">
        <f>OR(Table67[[#This Row],[Ineligible respondents]:[Inconsistent response on opposite question (3)]])</f>
        <v>0</v>
      </c>
      <c r="AP6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65">
        <f>Table67[[#This Row],[Extreme Response]]/21</f>
        <v>4.7619047619047616E-2</v>
      </c>
      <c r="AR65">
        <f>_xlfn.PERCENTILE.INC(Table67[Extrem Response Ratio (ERS)],0.9)</f>
        <v>0.61904761904761907</v>
      </c>
      <c r="AS65" t="b">
        <f>Table67[[#This Row],[Extrem Response Ratio (ERS)]]&gt;=Table67[[#This Row],[Threshold of ERS]]</f>
        <v>0</v>
      </c>
      <c r="AT65">
        <f>COUNTIF(Table67[[#This Row],[The mechanism of digital assets is difficult to understand, which discourages me from exploring it (E.g, Tokenization, Blockchain)]:[If I want to try different ways to invest, I will explore digital assets.]], 3)</f>
        <v>9</v>
      </c>
      <c r="AU65">
        <f>Table67[[#This Row],[Midpoint]]/21</f>
        <v>0.42857142857142855</v>
      </c>
      <c r="AV65">
        <f>_xlfn.PERCENTILE.INC(Table67[Midpoint ratio],0.9)</f>
        <v>0.5714285714285714</v>
      </c>
      <c r="AW65" t="b">
        <f>Table67[[#This Row],[Midpoint ratio]]&gt;=Table67[[#This Row],[Threshold of Midpoint ratio]]</f>
        <v>0</v>
      </c>
      <c r="AX65" t="b">
        <f>OR(Table67[[#This Row],[Extreme Response Style]],Table67[[#This Row],[Mid-point Response Style]])</f>
        <v>0</v>
      </c>
      <c r="AY65" t="b">
        <f>OR(Table67[[#This Row],[Delete? (Stage 1)]],Table67[[#This Row],[Delete? (Stage 2)]])</f>
        <v>0</v>
      </c>
      <c r="AZ65" t="s">
        <v>59</v>
      </c>
    </row>
    <row r="66" spans="1:52">
      <c r="A66">
        <f t="shared" si="3"/>
        <v>65</v>
      </c>
      <c r="B66" s="3">
        <v>45990.3933217593</v>
      </c>
      <c r="C66" s="3">
        <v>45990.396238425899</v>
      </c>
      <c r="D66" t="s">
        <v>53</v>
      </c>
      <c r="G66" t="s">
        <v>54</v>
      </c>
      <c r="H66" t="s">
        <v>63</v>
      </c>
      <c r="I66" t="s">
        <v>56</v>
      </c>
      <c r="J66" t="s">
        <v>57</v>
      </c>
      <c r="K66" t="s">
        <v>57</v>
      </c>
      <c r="L66" t="s">
        <v>58</v>
      </c>
      <c r="M66" t="s">
        <v>61</v>
      </c>
      <c r="N66">
        <v>3</v>
      </c>
      <c r="O66">
        <v>3</v>
      </c>
      <c r="P66">
        <v>3</v>
      </c>
      <c r="Q66">
        <v>3</v>
      </c>
      <c r="R66">
        <v>3</v>
      </c>
      <c r="S66">
        <v>3</v>
      </c>
      <c r="T66">
        <v>3</v>
      </c>
      <c r="U66">
        <v>4</v>
      </c>
      <c r="V66">
        <v>5</v>
      </c>
      <c r="W66">
        <v>4</v>
      </c>
      <c r="X66">
        <v>4</v>
      </c>
      <c r="Y66">
        <v>4</v>
      </c>
      <c r="Z66">
        <v>4</v>
      </c>
      <c r="AA66">
        <v>4</v>
      </c>
      <c r="AB66">
        <v>2</v>
      </c>
      <c r="AC66">
        <v>4</v>
      </c>
      <c r="AD66">
        <v>3</v>
      </c>
      <c r="AE66">
        <v>4</v>
      </c>
      <c r="AF66">
        <v>3</v>
      </c>
      <c r="AG66">
        <v>4</v>
      </c>
      <c r="AH66">
        <v>3</v>
      </c>
      <c r="AI66">
        <v>3</v>
      </c>
      <c r="AJ66">
        <v>3</v>
      </c>
      <c r="AK66" t="b">
        <f>Table67[[#This Row],[What is your age?]]&lt;&gt;"18 - 25"</f>
        <v>0</v>
      </c>
      <c r="AL66" t="b">
        <f t="shared" si="0"/>
        <v>0</v>
      </c>
      <c r="AM66" t="b">
        <f t="shared" si="1"/>
        <v>0</v>
      </c>
      <c r="AN66" t="b">
        <f t="shared" si="2"/>
        <v>1</v>
      </c>
      <c r="AO66" t="b">
        <f>OR(Table67[[#This Row],[Ineligible respondents]:[Inconsistent response on opposite question (3)]])</f>
        <v>1</v>
      </c>
      <c r="AP6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66">
        <f>Table67[[#This Row],[Extreme Response]]/21</f>
        <v>4.7619047619047616E-2</v>
      </c>
      <c r="AR66">
        <f>_xlfn.PERCENTILE.INC(Table67[Extrem Response Ratio (ERS)],0.9)</f>
        <v>0.61904761904761907</v>
      </c>
      <c r="AS66" t="b">
        <f>Table67[[#This Row],[Extrem Response Ratio (ERS)]]&gt;=Table67[[#This Row],[Threshold of ERS]]</f>
        <v>0</v>
      </c>
      <c r="AT66">
        <f>COUNTIF(Table67[[#This Row],[The mechanism of digital assets is difficult to understand, which discourages me from exploring it (E.g, Tokenization, Blockchain)]:[If I want to try different ways to invest, I will explore digital assets.]], 3)</f>
        <v>10</v>
      </c>
      <c r="AU66">
        <f>Table67[[#This Row],[Midpoint]]/21</f>
        <v>0.47619047619047616</v>
      </c>
      <c r="AV66">
        <f>_xlfn.PERCENTILE.INC(Table67[Midpoint ratio],0.9)</f>
        <v>0.5714285714285714</v>
      </c>
      <c r="AW66" t="b">
        <f>Table67[[#This Row],[Midpoint ratio]]&gt;=Table67[[#This Row],[Threshold of Midpoint ratio]]</f>
        <v>0</v>
      </c>
      <c r="AX66" t="b">
        <f>OR(Table67[[#This Row],[Extreme Response Style]],Table67[[#This Row],[Mid-point Response Style]])</f>
        <v>0</v>
      </c>
      <c r="AY66" t="b">
        <f>OR(Table67[[#This Row],[Delete? (Stage 1)]],Table67[[#This Row],[Delete? (Stage 2)]])</f>
        <v>1</v>
      </c>
      <c r="AZ66" t="s">
        <v>59</v>
      </c>
    </row>
    <row r="67" spans="1:52">
      <c r="A67">
        <f t="shared" si="3"/>
        <v>66</v>
      </c>
      <c r="B67" s="3">
        <v>45990.578750000001</v>
      </c>
      <c r="C67" s="3">
        <v>45990.579675925903</v>
      </c>
      <c r="D67" t="s">
        <v>53</v>
      </c>
      <c r="G67" t="s">
        <v>73</v>
      </c>
      <c r="H67" t="s">
        <v>63</v>
      </c>
      <c r="I67" t="s">
        <v>75</v>
      </c>
      <c r="J67" t="s">
        <v>68</v>
      </c>
      <c r="K67" t="s">
        <v>65</v>
      </c>
      <c r="L67" t="s">
        <v>61</v>
      </c>
      <c r="M67" t="s">
        <v>58</v>
      </c>
      <c r="N67">
        <v>4</v>
      </c>
      <c r="O67">
        <v>4</v>
      </c>
      <c r="P67">
        <v>4</v>
      </c>
      <c r="Q67">
        <v>4</v>
      </c>
      <c r="R67">
        <v>4</v>
      </c>
      <c r="S67">
        <v>3</v>
      </c>
      <c r="T67">
        <v>4</v>
      </c>
      <c r="U67">
        <v>4</v>
      </c>
      <c r="V67">
        <v>4</v>
      </c>
      <c r="W67">
        <v>3</v>
      </c>
      <c r="X67">
        <v>4</v>
      </c>
      <c r="Y67">
        <v>4</v>
      </c>
      <c r="Z67">
        <v>4</v>
      </c>
      <c r="AA67">
        <v>4</v>
      </c>
      <c r="AB67">
        <v>4</v>
      </c>
      <c r="AC67">
        <v>4</v>
      </c>
      <c r="AD67">
        <v>4</v>
      </c>
      <c r="AE67">
        <v>3</v>
      </c>
      <c r="AF67">
        <v>5</v>
      </c>
      <c r="AG67">
        <v>4</v>
      </c>
      <c r="AH67">
        <v>4</v>
      </c>
      <c r="AI67">
        <v>2</v>
      </c>
      <c r="AJ67">
        <v>1</v>
      </c>
      <c r="AK67" t="b">
        <f>Table67[[#This Row],[What is your age?]]&lt;&gt;"18 - 25"</f>
        <v>1</v>
      </c>
      <c r="AL67" t="b">
        <f t="shared" ref="AL67:AL130" si="4">COUNTIF(N67:AH67, N67) = COLUMNS(N67:AH67)</f>
        <v>0</v>
      </c>
      <c r="AM67" t="b">
        <f t="shared" ref="AM67:AM130" si="5">OR(AND(AG67=AH67, AG67&lt;&gt;3), AND(OR(AG67=1, AG67=2), OR(AH67=1, AH67=2)), AND(OR(AG67=4, AG67=5), OR(AH67=4, AH67=5)))</f>
        <v>1</v>
      </c>
      <c r="AN67" t="b">
        <f t="shared" ref="AN67:AN130" si="6">OR(AND(AG67=3, AH67&lt;&gt;3), AND(AH67=3, AG67&lt;&gt;3))</f>
        <v>0</v>
      </c>
      <c r="AO67" t="b">
        <f>OR(Table67[[#This Row],[Ineligible respondents]:[Inconsistent response on opposite question (3)]])</f>
        <v>1</v>
      </c>
      <c r="AP6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67">
        <f>Table67[[#This Row],[Extreme Response]]/21</f>
        <v>4.7619047619047616E-2</v>
      </c>
      <c r="AR67">
        <f>_xlfn.PERCENTILE.INC(Table67[Extrem Response Ratio (ERS)],0.9)</f>
        <v>0.61904761904761907</v>
      </c>
      <c r="AS67" t="b">
        <f>Table67[[#This Row],[Extrem Response Ratio (ERS)]]&gt;=Table67[[#This Row],[Threshold of ERS]]</f>
        <v>0</v>
      </c>
      <c r="AT67">
        <f>COUNTIF(Table67[[#This Row],[The mechanism of digital assets is difficult to understand, which discourages me from exploring it (E.g, Tokenization, Blockchain)]:[If I want to try different ways to invest, I will explore digital assets.]], 3)</f>
        <v>3</v>
      </c>
      <c r="AU67">
        <f>Table67[[#This Row],[Midpoint]]/21</f>
        <v>0.14285714285714285</v>
      </c>
      <c r="AV67">
        <f>_xlfn.PERCENTILE.INC(Table67[Midpoint ratio],0.9)</f>
        <v>0.5714285714285714</v>
      </c>
      <c r="AW67" t="b">
        <f>Table67[[#This Row],[Midpoint ratio]]&gt;=Table67[[#This Row],[Threshold of Midpoint ratio]]</f>
        <v>0</v>
      </c>
      <c r="AX67" t="b">
        <f>OR(Table67[[#This Row],[Extreme Response Style]],Table67[[#This Row],[Mid-point Response Style]])</f>
        <v>0</v>
      </c>
      <c r="AY67" t="b">
        <f>OR(Table67[[#This Row],[Delete? (Stage 1)]],Table67[[#This Row],[Delete? (Stage 2)]])</f>
        <v>1</v>
      </c>
      <c r="AZ67" t="s">
        <v>59</v>
      </c>
    </row>
    <row r="68" spans="1:52">
      <c r="A68">
        <f t="shared" ref="A68:A131" si="7">1+A67</f>
        <v>67</v>
      </c>
      <c r="B68" s="3">
        <v>45990.578807870399</v>
      </c>
      <c r="C68" s="3">
        <v>45990.580925925897</v>
      </c>
      <c r="D68" t="s">
        <v>53</v>
      </c>
      <c r="G68" t="s">
        <v>74</v>
      </c>
      <c r="H68" t="s">
        <v>63</v>
      </c>
      <c r="I68" t="s">
        <v>75</v>
      </c>
      <c r="J68" t="s">
        <v>66</v>
      </c>
      <c r="K68" t="s">
        <v>66</v>
      </c>
      <c r="L68" t="s">
        <v>61</v>
      </c>
      <c r="M68" t="s">
        <v>61</v>
      </c>
      <c r="N68">
        <v>2</v>
      </c>
      <c r="O68">
        <v>1</v>
      </c>
      <c r="P68">
        <v>5</v>
      </c>
      <c r="Q68">
        <v>4</v>
      </c>
      <c r="R68">
        <v>5</v>
      </c>
      <c r="S68">
        <v>5</v>
      </c>
      <c r="T68">
        <v>5</v>
      </c>
      <c r="U68">
        <v>3</v>
      </c>
      <c r="V68">
        <v>5</v>
      </c>
      <c r="W68">
        <v>5</v>
      </c>
      <c r="X68">
        <v>3</v>
      </c>
      <c r="Y68">
        <v>5</v>
      </c>
      <c r="Z68">
        <v>5</v>
      </c>
      <c r="AA68">
        <v>5</v>
      </c>
      <c r="AB68">
        <v>3</v>
      </c>
      <c r="AC68">
        <v>3</v>
      </c>
      <c r="AD68">
        <v>3</v>
      </c>
      <c r="AE68">
        <v>2</v>
      </c>
      <c r="AF68">
        <v>3</v>
      </c>
      <c r="AG68">
        <v>3</v>
      </c>
      <c r="AH68">
        <v>3</v>
      </c>
      <c r="AI68">
        <v>3</v>
      </c>
      <c r="AJ68">
        <v>3</v>
      </c>
      <c r="AK68" t="b">
        <f>Table67[[#This Row],[What is your age?]]&lt;&gt;"18 - 25"</f>
        <v>1</v>
      </c>
      <c r="AL68" t="b">
        <f t="shared" si="4"/>
        <v>0</v>
      </c>
      <c r="AM68" t="b">
        <f t="shared" si="5"/>
        <v>0</v>
      </c>
      <c r="AN68" t="b">
        <f t="shared" si="6"/>
        <v>0</v>
      </c>
      <c r="AO68" t="b">
        <f>OR(Table67[[#This Row],[Ineligible respondents]:[Inconsistent response on opposite question (3)]])</f>
        <v>1</v>
      </c>
      <c r="AP6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10</v>
      </c>
      <c r="AQ68">
        <f>Table67[[#This Row],[Extreme Response]]/21</f>
        <v>0.47619047619047616</v>
      </c>
      <c r="AR68">
        <f>_xlfn.PERCENTILE.INC(Table67[Extrem Response Ratio (ERS)],0.9)</f>
        <v>0.61904761904761907</v>
      </c>
      <c r="AS68" t="b">
        <f>Table67[[#This Row],[Extrem Response Ratio (ERS)]]&gt;=Table67[[#This Row],[Threshold of ERS]]</f>
        <v>0</v>
      </c>
      <c r="AT68">
        <f>COUNTIF(Table67[[#This Row],[The mechanism of digital assets is difficult to understand, which discourages me from exploring it (E.g, Tokenization, Blockchain)]:[If I want to try different ways to invest, I will explore digital assets.]], 3)</f>
        <v>8</v>
      </c>
      <c r="AU68">
        <f>Table67[[#This Row],[Midpoint]]/21</f>
        <v>0.38095238095238093</v>
      </c>
      <c r="AV68">
        <f>_xlfn.PERCENTILE.INC(Table67[Midpoint ratio],0.9)</f>
        <v>0.5714285714285714</v>
      </c>
      <c r="AW68" t="b">
        <f>Table67[[#This Row],[Midpoint ratio]]&gt;=Table67[[#This Row],[Threshold of Midpoint ratio]]</f>
        <v>0</v>
      </c>
      <c r="AX68" t="b">
        <f>OR(Table67[[#This Row],[Extreme Response Style]],Table67[[#This Row],[Mid-point Response Style]])</f>
        <v>0</v>
      </c>
      <c r="AY68" t="b">
        <f>OR(Table67[[#This Row],[Delete? (Stage 1)]],Table67[[#This Row],[Delete? (Stage 2)]])</f>
        <v>1</v>
      </c>
      <c r="AZ68" t="s">
        <v>59</v>
      </c>
    </row>
    <row r="69" spans="1:52">
      <c r="A69">
        <f t="shared" si="7"/>
        <v>68</v>
      </c>
      <c r="B69" s="3">
        <v>45990.578958333303</v>
      </c>
      <c r="C69" s="3">
        <v>45990.583854166704</v>
      </c>
      <c r="D69" t="s">
        <v>53</v>
      </c>
      <c r="G69" t="s">
        <v>76</v>
      </c>
      <c r="H69" t="s">
        <v>55</v>
      </c>
      <c r="I69" t="s">
        <v>75</v>
      </c>
      <c r="J69" t="s">
        <v>65</v>
      </c>
      <c r="K69" t="s">
        <v>66</v>
      </c>
      <c r="L69" t="s">
        <v>61</v>
      </c>
      <c r="M69" t="s">
        <v>58</v>
      </c>
      <c r="N69">
        <v>5</v>
      </c>
      <c r="O69">
        <v>4</v>
      </c>
      <c r="P69">
        <v>3</v>
      </c>
      <c r="Q69">
        <v>5</v>
      </c>
      <c r="R69">
        <v>3</v>
      </c>
      <c r="S69">
        <v>3</v>
      </c>
      <c r="T69">
        <v>1</v>
      </c>
      <c r="U69">
        <v>4</v>
      </c>
      <c r="V69">
        <v>2</v>
      </c>
      <c r="W69">
        <v>4</v>
      </c>
      <c r="X69">
        <v>4</v>
      </c>
      <c r="Y69">
        <v>4</v>
      </c>
      <c r="Z69">
        <v>2</v>
      </c>
      <c r="AA69">
        <v>3</v>
      </c>
      <c r="AB69">
        <v>2</v>
      </c>
      <c r="AC69">
        <v>2</v>
      </c>
      <c r="AD69">
        <v>3</v>
      </c>
      <c r="AE69">
        <v>5</v>
      </c>
      <c r="AF69">
        <v>5</v>
      </c>
      <c r="AG69">
        <v>5</v>
      </c>
      <c r="AH69">
        <v>5</v>
      </c>
      <c r="AI69">
        <v>1</v>
      </c>
      <c r="AJ69">
        <v>1</v>
      </c>
      <c r="AK69" t="b">
        <f>Table67[[#This Row],[What is your age?]]&lt;&gt;"18 - 25"</f>
        <v>1</v>
      </c>
      <c r="AL69" t="b">
        <f t="shared" si="4"/>
        <v>0</v>
      </c>
      <c r="AM69" t="b">
        <f t="shared" si="5"/>
        <v>1</v>
      </c>
      <c r="AN69" t="b">
        <f t="shared" si="6"/>
        <v>0</v>
      </c>
      <c r="AO69" t="b">
        <f>OR(Table67[[#This Row],[Ineligible respondents]:[Inconsistent response on opposite question (3)]])</f>
        <v>1</v>
      </c>
      <c r="AP6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69">
        <f>Table67[[#This Row],[Extreme Response]]/21</f>
        <v>0.33333333333333331</v>
      </c>
      <c r="AR69">
        <f>_xlfn.PERCENTILE.INC(Table67[Extrem Response Ratio (ERS)],0.9)</f>
        <v>0.61904761904761907</v>
      </c>
      <c r="AS69" t="b">
        <f>Table67[[#This Row],[Extrem Response Ratio (ERS)]]&gt;=Table67[[#This Row],[Threshold of ERS]]</f>
        <v>0</v>
      </c>
      <c r="AT69">
        <f>COUNTIF(Table67[[#This Row],[The mechanism of digital assets is difficult to understand, which discourages me from exploring it (E.g, Tokenization, Blockchain)]:[If I want to try different ways to invest, I will explore digital assets.]], 3)</f>
        <v>5</v>
      </c>
      <c r="AU69">
        <f>Table67[[#This Row],[Midpoint]]/21</f>
        <v>0.23809523809523808</v>
      </c>
      <c r="AV69">
        <f>_xlfn.PERCENTILE.INC(Table67[Midpoint ratio],0.9)</f>
        <v>0.5714285714285714</v>
      </c>
      <c r="AW69" t="b">
        <f>Table67[[#This Row],[Midpoint ratio]]&gt;=Table67[[#This Row],[Threshold of Midpoint ratio]]</f>
        <v>0</v>
      </c>
      <c r="AX69" t="b">
        <f>OR(Table67[[#This Row],[Extreme Response Style]],Table67[[#This Row],[Mid-point Response Style]])</f>
        <v>0</v>
      </c>
      <c r="AY69" t="b">
        <f>OR(Table67[[#This Row],[Delete? (Stage 1)]],Table67[[#This Row],[Delete? (Stage 2)]])</f>
        <v>1</v>
      </c>
      <c r="AZ69" t="s">
        <v>59</v>
      </c>
    </row>
    <row r="70" spans="1:52">
      <c r="A70">
        <f t="shared" si="7"/>
        <v>69</v>
      </c>
      <c r="B70" s="3">
        <v>45990.578993055598</v>
      </c>
      <c r="C70" s="3">
        <v>45990.580590277801</v>
      </c>
      <c r="D70" t="s">
        <v>53</v>
      </c>
      <c r="G70" t="s">
        <v>54</v>
      </c>
      <c r="H70" t="s">
        <v>55</v>
      </c>
      <c r="I70" t="s">
        <v>75</v>
      </c>
      <c r="J70" t="s">
        <v>67</v>
      </c>
      <c r="K70" t="s">
        <v>64</v>
      </c>
      <c r="L70" t="s">
        <v>61</v>
      </c>
      <c r="M70" t="s">
        <v>61</v>
      </c>
      <c r="N70">
        <v>4</v>
      </c>
      <c r="O70">
        <v>1</v>
      </c>
      <c r="P70">
        <v>4</v>
      </c>
      <c r="Q70">
        <v>3</v>
      </c>
      <c r="R70">
        <v>3</v>
      </c>
      <c r="S70">
        <v>3</v>
      </c>
      <c r="T70">
        <v>3</v>
      </c>
      <c r="U70">
        <v>3</v>
      </c>
      <c r="V70">
        <v>3</v>
      </c>
      <c r="W70">
        <v>3</v>
      </c>
      <c r="X70">
        <v>3</v>
      </c>
      <c r="Y70">
        <v>3</v>
      </c>
      <c r="Z70">
        <v>3</v>
      </c>
      <c r="AA70">
        <v>3</v>
      </c>
      <c r="AB70">
        <v>3</v>
      </c>
      <c r="AC70">
        <v>3</v>
      </c>
      <c r="AD70">
        <v>3</v>
      </c>
      <c r="AE70">
        <v>3</v>
      </c>
      <c r="AF70">
        <v>3</v>
      </c>
      <c r="AG70">
        <v>2</v>
      </c>
      <c r="AH70">
        <v>3</v>
      </c>
      <c r="AI70">
        <v>3</v>
      </c>
      <c r="AJ70">
        <v>3</v>
      </c>
      <c r="AK70" t="b">
        <f>Table67[[#This Row],[What is your age?]]&lt;&gt;"18 - 25"</f>
        <v>0</v>
      </c>
      <c r="AL70" t="b">
        <f t="shared" si="4"/>
        <v>0</v>
      </c>
      <c r="AM70" t="b">
        <f t="shared" si="5"/>
        <v>0</v>
      </c>
      <c r="AN70" t="b">
        <f t="shared" si="6"/>
        <v>1</v>
      </c>
      <c r="AO70" t="b">
        <f>OR(Table67[[#This Row],[Ineligible respondents]:[Inconsistent response on opposite question (3)]])</f>
        <v>1</v>
      </c>
      <c r="AP7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70">
        <f>Table67[[#This Row],[Extreme Response]]/21</f>
        <v>4.7619047619047616E-2</v>
      </c>
      <c r="AR70">
        <f>_xlfn.PERCENTILE.INC(Table67[Extrem Response Ratio (ERS)],0.9)</f>
        <v>0.61904761904761907</v>
      </c>
      <c r="AS70" t="b">
        <f>Table67[[#This Row],[Extrem Response Ratio (ERS)]]&gt;=Table67[[#This Row],[Threshold of ERS]]</f>
        <v>0</v>
      </c>
      <c r="AT70">
        <f>COUNTIF(Table67[[#This Row],[The mechanism of digital assets is difficult to understand, which discourages me from exploring it (E.g, Tokenization, Blockchain)]:[If I want to try different ways to invest, I will explore digital assets.]], 3)</f>
        <v>17</v>
      </c>
      <c r="AU70">
        <f>Table67[[#This Row],[Midpoint]]/21</f>
        <v>0.80952380952380953</v>
      </c>
      <c r="AV70">
        <f>_xlfn.PERCENTILE.INC(Table67[Midpoint ratio],0.9)</f>
        <v>0.5714285714285714</v>
      </c>
      <c r="AW70" t="b">
        <f>Table67[[#This Row],[Midpoint ratio]]&gt;=Table67[[#This Row],[Threshold of Midpoint ratio]]</f>
        <v>1</v>
      </c>
      <c r="AX70" t="b">
        <f>OR(Table67[[#This Row],[Extreme Response Style]],Table67[[#This Row],[Mid-point Response Style]])</f>
        <v>1</v>
      </c>
      <c r="AY70" t="b">
        <f>OR(Table67[[#This Row],[Delete? (Stage 1)]],Table67[[#This Row],[Delete? (Stage 2)]])</f>
        <v>1</v>
      </c>
      <c r="AZ70" t="s">
        <v>59</v>
      </c>
    </row>
    <row r="71" spans="1:52">
      <c r="A71">
        <f t="shared" si="7"/>
        <v>70</v>
      </c>
      <c r="B71" s="3">
        <v>45990.579074074099</v>
      </c>
      <c r="C71" s="3">
        <v>45990.580428240697</v>
      </c>
      <c r="D71" t="s">
        <v>53</v>
      </c>
      <c r="G71" t="s">
        <v>54</v>
      </c>
      <c r="H71" t="s">
        <v>55</v>
      </c>
      <c r="I71" t="s">
        <v>75</v>
      </c>
      <c r="J71" t="s">
        <v>64</v>
      </c>
      <c r="K71" t="s">
        <v>66</v>
      </c>
      <c r="L71" t="s">
        <v>61</v>
      </c>
      <c r="M71" t="s">
        <v>61</v>
      </c>
      <c r="N71">
        <v>1</v>
      </c>
      <c r="O71">
        <v>1</v>
      </c>
      <c r="P71">
        <v>2</v>
      </c>
      <c r="Q71">
        <v>2</v>
      </c>
      <c r="R71">
        <v>2</v>
      </c>
      <c r="S71">
        <v>2</v>
      </c>
      <c r="T71">
        <v>2</v>
      </c>
      <c r="U71">
        <v>2</v>
      </c>
      <c r="V71">
        <v>2</v>
      </c>
      <c r="W71">
        <v>2</v>
      </c>
      <c r="X71">
        <v>2</v>
      </c>
      <c r="Y71">
        <v>2</v>
      </c>
      <c r="Z71">
        <v>2</v>
      </c>
      <c r="AA71">
        <v>2</v>
      </c>
      <c r="AB71">
        <v>2</v>
      </c>
      <c r="AC71">
        <v>2</v>
      </c>
      <c r="AD71">
        <v>2</v>
      </c>
      <c r="AE71">
        <v>2</v>
      </c>
      <c r="AF71">
        <v>2</v>
      </c>
      <c r="AG71">
        <v>1</v>
      </c>
      <c r="AH71">
        <v>1</v>
      </c>
      <c r="AI71">
        <v>5</v>
      </c>
      <c r="AJ71">
        <v>4</v>
      </c>
      <c r="AK71" t="b">
        <f>Table67[[#This Row],[What is your age?]]&lt;&gt;"18 - 25"</f>
        <v>0</v>
      </c>
      <c r="AL71" t="b">
        <f t="shared" si="4"/>
        <v>0</v>
      </c>
      <c r="AM71" t="b">
        <f t="shared" si="5"/>
        <v>1</v>
      </c>
      <c r="AN71" t="b">
        <f t="shared" si="6"/>
        <v>0</v>
      </c>
      <c r="AO71" t="b">
        <f>OR(Table67[[#This Row],[Ineligible respondents]:[Inconsistent response on opposite question (3)]])</f>
        <v>1</v>
      </c>
      <c r="AP7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71">
        <f>Table67[[#This Row],[Extreme Response]]/21</f>
        <v>0.19047619047619047</v>
      </c>
      <c r="AR71">
        <f>_xlfn.PERCENTILE.INC(Table67[Extrem Response Ratio (ERS)],0.9)</f>
        <v>0.61904761904761907</v>
      </c>
      <c r="AS71" t="b">
        <f>Table67[[#This Row],[Extrem Response Ratio (ERS)]]&gt;=Table67[[#This Row],[Threshold of ERS]]</f>
        <v>0</v>
      </c>
      <c r="AT71">
        <f>COUNTIF(Table67[[#This Row],[The mechanism of digital assets is difficult to understand, which discourages me from exploring it (E.g, Tokenization, Blockchain)]:[If I want to try different ways to invest, I will explore digital assets.]], 3)</f>
        <v>0</v>
      </c>
      <c r="AU71">
        <f>Table67[[#This Row],[Midpoint]]/21</f>
        <v>0</v>
      </c>
      <c r="AV71">
        <f>_xlfn.PERCENTILE.INC(Table67[Midpoint ratio],0.9)</f>
        <v>0.5714285714285714</v>
      </c>
      <c r="AW71" t="b">
        <f>Table67[[#This Row],[Midpoint ratio]]&gt;=Table67[[#This Row],[Threshold of Midpoint ratio]]</f>
        <v>0</v>
      </c>
      <c r="AX71" t="b">
        <f>OR(Table67[[#This Row],[Extreme Response Style]],Table67[[#This Row],[Mid-point Response Style]])</f>
        <v>0</v>
      </c>
      <c r="AY71" t="b">
        <f>OR(Table67[[#This Row],[Delete? (Stage 1)]],Table67[[#This Row],[Delete? (Stage 2)]])</f>
        <v>1</v>
      </c>
      <c r="AZ71" t="s">
        <v>59</v>
      </c>
    </row>
    <row r="72" spans="1:52">
      <c r="A72">
        <f t="shared" si="7"/>
        <v>71</v>
      </c>
      <c r="B72" s="3">
        <v>45990.579131944403</v>
      </c>
      <c r="C72" s="3">
        <v>45990.585659722201</v>
      </c>
      <c r="D72" t="s">
        <v>53</v>
      </c>
      <c r="G72" t="s">
        <v>76</v>
      </c>
      <c r="H72" t="s">
        <v>55</v>
      </c>
      <c r="I72" t="s">
        <v>75</v>
      </c>
      <c r="J72" t="s">
        <v>66</v>
      </c>
      <c r="K72" t="s">
        <v>66</v>
      </c>
      <c r="L72" t="s">
        <v>58</v>
      </c>
      <c r="M72" t="s">
        <v>58</v>
      </c>
      <c r="N72">
        <v>5</v>
      </c>
      <c r="O72">
        <v>1</v>
      </c>
      <c r="P72">
        <v>5</v>
      </c>
      <c r="Q72">
        <v>5</v>
      </c>
      <c r="R72">
        <v>3</v>
      </c>
      <c r="S72">
        <v>1</v>
      </c>
      <c r="T72">
        <v>1</v>
      </c>
      <c r="U72">
        <v>5</v>
      </c>
      <c r="V72">
        <v>5</v>
      </c>
      <c r="W72">
        <v>5</v>
      </c>
      <c r="X72">
        <v>5</v>
      </c>
      <c r="Y72">
        <v>5</v>
      </c>
      <c r="Z72">
        <v>5</v>
      </c>
      <c r="AA72">
        <v>5</v>
      </c>
      <c r="AB72">
        <v>2</v>
      </c>
      <c r="AC72">
        <v>2</v>
      </c>
      <c r="AD72">
        <v>3</v>
      </c>
      <c r="AE72">
        <v>4</v>
      </c>
      <c r="AF72">
        <v>4</v>
      </c>
      <c r="AG72">
        <v>2</v>
      </c>
      <c r="AH72">
        <v>4</v>
      </c>
      <c r="AI72">
        <v>2</v>
      </c>
      <c r="AJ72">
        <v>2</v>
      </c>
      <c r="AK72" t="b">
        <f>Table67[[#This Row],[What is your age?]]&lt;&gt;"18 - 25"</f>
        <v>1</v>
      </c>
      <c r="AL72" t="b">
        <f t="shared" si="4"/>
        <v>0</v>
      </c>
      <c r="AM72" t="b">
        <f t="shared" si="5"/>
        <v>0</v>
      </c>
      <c r="AN72" t="b">
        <f t="shared" si="6"/>
        <v>0</v>
      </c>
      <c r="AO72" t="b">
        <f>OR(Table67[[#This Row],[Ineligible respondents]:[Inconsistent response on opposite question (3)]])</f>
        <v>1</v>
      </c>
      <c r="AP7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72">
        <f>Table67[[#This Row],[Extreme Response]]/21</f>
        <v>0.61904761904761907</v>
      </c>
      <c r="AR72">
        <f>_xlfn.PERCENTILE.INC(Table67[Extrem Response Ratio (ERS)],0.9)</f>
        <v>0.61904761904761907</v>
      </c>
      <c r="AS72" t="b">
        <f>Table67[[#This Row],[Extrem Response Ratio (ERS)]]&gt;=Table67[[#This Row],[Threshold of ERS]]</f>
        <v>1</v>
      </c>
      <c r="AT72">
        <f>COUNTIF(Table67[[#This Row],[The mechanism of digital assets is difficult to understand, which discourages me from exploring it (E.g, Tokenization, Blockchain)]:[If I want to try different ways to invest, I will explore digital assets.]], 3)</f>
        <v>2</v>
      </c>
      <c r="AU72">
        <f>Table67[[#This Row],[Midpoint]]/21</f>
        <v>9.5238095238095233E-2</v>
      </c>
      <c r="AV72">
        <f>_xlfn.PERCENTILE.INC(Table67[Midpoint ratio],0.9)</f>
        <v>0.5714285714285714</v>
      </c>
      <c r="AW72" t="b">
        <f>Table67[[#This Row],[Midpoint ratio]]&gt;=Table67[[#This Row],[Threshold of Midpoint ratio]]</f>
        <v>0</v>
      </c>
      <c r="AX72" t="b">
        <f>OR(Table67[[#This Row],[Extreme Response Style]],Table67[[#This Row],[Mid-point Response Style]])</f>
        <v>1</v>
      </c>
      <c r="AY72" t="b">
        <f>OR(Table67[[#This Row],[Delete? (Stage 1)]],Table67[[#This Row],[Delete? (Stage 2)]])</f>
        <v>1</v>
      </c>
      <c r="AZ72" t="s">
        <v>59</v>
      </c>
    </row>
    <row r="73" spans="1:52">
      <c r="A73">
        <f t="shared" si="7"/>
        <v>72</v>
      </c>
      <c r="B73" s="3">
        <v>45990.579328703701</v>
      </c>
      <c r="C73" s="3">
        <v>45990.581388888902</v>
      </c>
      <c r="D73" t="s">
        <v>53</v>
      </c>
      <c r="G73" t="s">
        <v>54</v>
      </c>
      <c r="H73" t="s">
        <v>55</v>
      </c>
      <c r="I73" t="s">
        <v>75</v>
      </c>
      <c r="J73" t="s">
        <v>60</v>
      </c>
      <c r="K73" t="s">
        <v>57</v>
      </c>
      <c r="L73" t="s">
        <v>58</v>
      </c>
      <c r="M73" t="s">
        <v>58</v>
      </c>
      <c r="N73">
        <v>3</v>
      </c>
      <c r="O73">
        <v>2</v>
      </c>
      <c r="P73">
        <v>4</v>
      </c>
      <c r="Q73">
        <v>4</v>
      </c>
      <c r="R73">
        <v>3</v>
      </c>
      <c r="S73">
        <v>3</v>
      </c>
      <c r="T73">
        <v>4</v>
      </c>
      <c r="U73">
        <v>3</v>
      </c>
      <c r="V73">
        <v>5</v>
      </c>
      <c r="W73">
        <v>5</v>
      </c>
      <c r="X73">
        <v>5</v>
      </c>
      <c r="Y73">
        <v>4</v>
      </c>
      <c r="Z73">
        <v>4</v>
      </c>
      <c r="AA73">
        <v>4</v>
      </c>
      <c r="AB73">
        <v>3</v>
      </c>
      <c r="AC73">
        <v>3</v>
      </c>
      <c r="AD73">
        <v>3</v>
      </c>
      <c r="AE73">
        <v>4</v>
      </c>
      <c r="AF73">
        <v>4</v>
      </c>
      <c r="AG73">
        <v>2</v>
      </c>
      <c r="AH73">
        <v>3</v>
      </c>
      <c r="AI73">
        <v>3</v>
      </c>
      <c r="AJ73">
        <v>2</v>
      </c>
      <c r="AK73" t="b">
        <f>Table67[[#This Row],[What is your age?]]&lt;&gt;"18 - 25"</f>
        <v>0</v>
      </c>
      <c r="AL73" t="b">
        <f t="shared" si="4"/>
        <v>0</v>
      </c>
      <c r="AM73" t="b">
        <f t="shared" si="5"/>
        <v>0</v>
      </c>
      <c r="AN73" t="b">
        <f t="shared" si="6"/>
        <v>1</v>
      </c>
      <c r="AO73" t="b">
        <f>OR(Table67[[#This Row],[Ineligible respondents]:[Inconsistent response on opposite question (3)]])</f>
        <v>1</v>
      </c>
      <c r="AP7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73">
        <f>Table67[[#This Row],[Extreme Response]]/21</f>
        <v>0.14285714285714285</v>
      </c>
      <c r="AR73">
        <f>_xlfn.PERCENTILE.INC(Table67[Extrem Response Ratio (ERS)],0.9)</f>
        <v>0.61904761904761907</v>
      </c>
      <c r="AS73" t="b">
        <f>Table67[[#This Row],[Extrem Response Ratio (ERS)]]&gt;=Table67[[#This Row],[Threshold of ERS]]</f>
        <v>0</v>
      </c>
      <c r="AT73">
        <f>COUNTIF(Table67[[#This Row],[The mechanism of digital assets is difficult to understand, which discourages me from exploring it (E.g, Tokenization, Blockchain)]:[If I want to try different ways to invest, I will explore digital assets.]], 3)</f>
        <v>8</v>
      </c>
      <c r="AU73">
        <f>Table67[[#This Row],[Midpoint]]/21</f>
        <v>0.38095238095238093</v>
      </c>
      <c r="AV73">
        <f>_xlfn.PERCENTILE.INC(Table67[Midpoint ratio],0.9)</f>
        <v>0.5714285714285714</v>
      </c>
      <c r="AW73" t="b">
        <f>Table67[[#This Row],[Midpoint ratio]]&gt;=Table67[[#This Row],[Threshold of Midpoint ratio]]</f>
        <v>0</v>
      </c>
      <c r="AX73" t="b">
        <f>OR(Table67[[#This Row],[Extreme Response Style]],Table67[[#This Row],[Mid-point Response Style]])</f>
        <v>0</v>
      </c>
      <c r="AY73" t="b">
        <f>OR(Table67[[#This Row],[Delete? (Stage 1)]],Table67[[#This Row],[Delete? (Stage 2)]])</f>
        <v>1</v>
      </c>
      <c r="AZ73" t="s">
        <v>59</v>
      </c>
    </row>
    <row r="74" spans="1:52">
      <c r="A74">
        <f t="shared" si="7"/>
        <v>73</v>
      </c>
      <c r="B74" s="3">
        <v>45990.5794328704</v>
      </c>
      <c r="C74" s="3">
        <v>45990.582152777803</v>
      </c>
      <c r="D74" t="s">
        <v>53</v>
      </c>
      <c r="G74" t="s">
        <v>74</v>
      </c>
      <c r="H74" t="s">
        <v>55</v>
      </c>
      <c r="I74" t="s">
        <v>75</v>
      </c>
      <c r="J74" t="s">
        <v>66</v>
      </c>
      <c r="K74" t="s">
        <v>66</v>
      </c>
      <c r="L74" t="s">
        <v>61</v>
      </c>
      <c r="M74" t="s">
        <v>58</v>
      </c>
      <c r="N74">
        <v>4</v>
      </c>
      <c r="O74">
        <v>3</v>
      </c>
      <c r="P74">
        <v>3</v>
      </c>
      <c r="Q74">
        <v>3</v>
      </c>
      <c r="R74">
        <v>4</v>
      </c>
      <c r="S74">
        <v>3</v>
      </c>
      <c r="T74">
        <v>2</v>
      </c>
      <c r="U74">
        <v>1</v>
      </c>
      <c r="V74">
        <v>2</v>
      </c>
      <c r="W74">
        <v>3</v>
      </c>
      <c r="X74">
        <v>5</v>
      </c>
      <c r="Y74">
        <v>4</v>
      </c>
      <c r="Z74">
        <v>4</v>
      </c>
      <c r="AA74">
        <v>4</v>
      </c>
      <c r="AB74">
        <v>2</v>
      </c>
      <c r="AC74">
        <v>1</v>
      </c>
      <c r="AD74">
        <v>1</v>
      </c>
      <c r="AE74">
        <v>3</v>
      </c>
      <c r="AF74">
        <v>4</v>
      </c>
      <c r="AG74">
        <v>1</v>
      </c>
      <c r="AH74">
        <v>4</v>
      </c>
      <c r="AI74">
        <v>2</v>
      </c>
      <c r="AJ74">
        <v>2</v>
      </c>
      <c r="AK74" t="b">
        <f>Table67[[#This Row],[What is your age?]]&lt;&gt;"18 - 25"</f>
        <v>1</v>
      </c>
      <c r="AL74" t="b">
        <f t="shared" si="4"/>
        <v>0</v>
      </c>
      <c r="AM74" t="b">
        <f t="shared" si="5"/>
        <v>0</v>
      </c>
      <c r="AN74" t="b">
        <f t="shared" si="6"/>
        <v>0</v>
      </c>
      <c r="AO74" t="b">
        <f>OR(Table67[[#This Row],[Ineligible respondents]:[Inconsistent response on opposite question (3)]])</f>
        <v>1</v>
      </c>
      <c r="AP7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74">
        <f>Table67[[#This Row],[Extreme Response]]/21</f>
        <v>0.23809523809523808</v>
      </c>
      <c r="AR74">
        <f>_xlfn.PERCENTILE.INC(Table67[Extrem Response Ratio (ERS)],0.9)</f>
        <v>0.61904761904761907</v>
      </c>
      <c r="AS74" t="b">
        <f>Table67[[#This Row],[Extrem Response Ratio (ERS)]]&gt;=Table67[[#This Row],[Threshold of ERS]]</f>
        <v>0</v>
      </c>
      <c r="AT74">
        <f>COUNTIF(Table67[[#This Row],[The mechanism of digital assets is difficult to understand, which discourages me from exploring it (E.g, Tokenization, Blockchain)]:[If I want to try different ways to invest, I will explore digital assets.]], 3)</f>
        <v>6</v>
      </c>
      <c r="AU74">
        <f>Table67[[#This Row],[Midpoint]]/21</f>
        <v>0.2857142857142857</v>
      </c>
      <c r="AV74">
        <f>_xlfn.PERCENTILE.INC(Table67[Midpoint ratio],0.9)</f>
        <v>0.5714285714285714</v>
      </c>
      <c r="AW74" t="b">
        <f>Table67[[#This Row],[Midpoint ratio]]&gt;=Table67[[#This Row],[Threshold of Midpoint ratio]]</f>
        <v>0</v>
      </c>
      <c r="AX74" t="b">
        <f>OR(Table67[[#This Row],[Extreme Response Style]],Table67[[#This Row],[Mid-point Response Style]])</f>
        <v>0</v>
      </c>
      <c r="AY74" t="b">
        <f>OR(Table67[[#This Row],[Delete? (Stage 1)]],Table67[[#This Row],[Delete? (Stage 2)]])</f>
        <v>1</v>
      </c>
      <c r="AZ74" t="s">
        <v>59</v>
      </c>
    </row>
    <row r="75" spans="1:52">
      <c r="A75">
        <f t="shared" si="7"/>
        <v>74</v>
      </c>
      <c r="B75" s="3">
        <v>45990.581226851798</v>
      </c>
      <c r="C75" s="3">
        <v>45990.584074074097</v>
      </c>
      <c r="D75" t="s">
        <v>53</v>
      </c>
      <c r="G75" t="s">
        <v>74</v>
      </c>
      <c r="H75" t="s">
        <v>63</v>
      </c>
      <c r="I75" t="s">
        <v>75</v>
      </c>
      <c r="J75" t="s">
        <v>68</v>
      </c>
      <c r="K75" t="s">
        <v>60</v>
      </c>
      <c r="L75" t="s">
        <v>61</v>
      </c>
      <c r="M75" t="s">
        <v>58</v>
      </c>
      <c r="N75">
        <v>1</v>
      </c>
      <c r="O75">
        <v>1</v>
      </c>
      <c r="P75">
        <v>1</v>
      </c>
      <c r="Q75">
        <v>1</v>
      </c>
      <c r="R75">
        <v>1</v>
      </c>
      <c r="S75">
        <v>1</v>
      </c>
      <c r="T75">
        <v>1</v>
      </c>
      <c r="U75">
        <v>1</v>
      </c>
      <c r="V75">
        <v>1</v>
      </c>
      <c r="W75">
        <v>1</v>
      </c>
      <c r="X75">
        <v>1</v>
      </c>
      <c r="Y75">
        <v>2</v>
      </c>
      <c r="Z75">
        <v>1</v>
      </c>
      <c r="AA75">
        <v>1</v>
      </c>
      <c r="AB75">
        <v>1</v>
      </c>
      <c r="AC75">
        <v>1</v>
      </c>
      <c r="AD75">
        <v>1</v>
      </c>
      <c r="AE75">
        <v>1</v>
      </c>
      <c r="AF75">
        <v>5</v>
      </c>
      <c r="AG75">
        <v>5</v>
      </c>
      <c r="AH75">
        <v>5</v>
      </c>
      <c r="AI75">
        <v>1</v>
      </c>
      <c r="AJ75">
        <v>1</v>
      </c>
      <c r="AK75" t="b">
        <f>Table67[[#This Row],[What is your age?]]&lt;&gt;"18 - 25"</f>
        <v>1</v>
      </c>
      <c r="AL75" t="b">
        <f t="shared" si="4"/>
        <v>0</v>
      </c>
      <c r="AM75" t="b">
        <f t="shared" si="5"/>
        <v>1</v>
      </c>
      <c r="AN75" t="b">
        <f t="shared" si="6"/>
        <v>0</v>
      </c>
      <c r="AO75" t="b">
        <f>OR(Table67[[#This Row],[Ineligible respondents]:[Inconsistent response on opposite question (3)]])</f>
        <v>1</v>
      </c>
      <c r="AP7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20</v>
      </c>
      <c r="AQ75">
        <f>Table67[[#This Row],[Extreme Response]]/21</f>
        <v>0.95238095238095233</v>
      </c>
      <c r="AR75">
        <f>_xlfn.PERCENTILE.INC(Table67[Extrem Response Ratio (ERS)],0.9)</f>
        <v>0.61904761904761907</v>
      </c>
      <c r="AS75" t="b">
        <f>Table67[[#This Row],[Extrem Response Ratio (ERS)]]&gt;=Table67[[#This Row],[Threshold of ERS]]</f>
        <v>1</v>
      </c>
      <c r="AT75">
        <f>COUNTIF(Table67[[#This Row],[The mechanism of digital assets is difficult to understand, which discourages me from exploring it (E.g, Tokenization, Blockchain)]:[If I want to try different ways to invest, I will explore digital assets.]], 3)</f>
        <v>0</v>
      </c>
      <c r="AU75">
        <f>Table67[[#This Row],[Midpoint]]/21</f>
        <v>0</v>
      </c>
      <c r="AV75">
        <f>_xlfn.PERCENTILE.INC(Table67[Midpoint ratio],0.9)</f>
        <v>0.5714285714285714</v>
      </c>
      <c r="AW75" t="b">
        <f>Table67[[#This Row],[Midpoint ratio]]&gt;=Table67[[#This Row],[Threshold of Midpoint ratio]]</f>
        <v>0</v>
      </c>
      <c r="AX75" t="b">
        <f>OR(Table67[[#This Row],[Extreme Response Style]],Table67[[#This Row],[Mid-point Response Style]])</f>
        <v>1</v>
      </c>
      <c r="AY75" t="b">
        <f>OR(Table67[[#This Row],[Delete? (Stage 1)]],Table67[[#This Row],[Delete? (Stage 2)]])</f>
        <v>1</v>
      </c>
      <c r="AZ75" t="s">
        <v>59</v>
      </c>
    </row>
    <row r="76" spans="1:52">
      <c r="A76">
        <f t="shared" si="7"/>
        <v>75</v>
      </c>
      <c r="B76" s="3">
        <v>45990.612604166701</v>
      </c>
      <c r="C76" s="3">
        <v>45990.613946759302</v>
      </c>
      <c r="D76" t="s">
        <v>53</v>
      </c>
      <c r="G76" t="s">
        <v>54</v>
      </c>
      <c r="H76" t="s">
        <v>55</v>
      </c>
      <c r="I76" t="s">
        <v>75</v>
      </c>
      <c r="J76" t="s">
        <v>66</v>
      </c>
      <c r="K76" t="s">
        <v>65</v>
      </c>
      <c r="L76" t="s">
        <v>61</v>
      </c>
      <c r="M76" t="s">
        <v>58</v>
      </c>
      <c r="N76">
        <v>4</v>
      </c>
      <c r="O76">
        <v>3</v>
      </c>
      <c r="P76">
        <v>3</v>
      </c>
      <c r="Q76">
        <v>2</v>
      </c>
      <c r="R76">
        <v>4</v>
      </c>
      <c r="S76">
        <v>4</v>
      </c>
      <c r="T76">
        <v>3</v>
      </c>
      <c r="U76">
        <v>4</v>
      </c>
      <c r="V76">
        <v>3</v>
      </c>
      <c r="W76">
        <v>4</v>
      </c>
      <c r="X76">
        <v>4</v>
      </c>
      <c r="Y76">
        <v>4</v>
      </c>
      <c r="Z76">
        <v>4</v>
      </c>
      <c r="AA76">
        <v>3</v>
      </c>
      <c r="AB76">
        <v>4</v>
      </c>
      <c r="AC76">
        <v>3</v>
      </c>
      <c r="AD76">
        <v>3</v>
      </c>
      <c r="AE76">
        <v>4</v>
      </c>
      <c r="AF76">
        <v>4</v>
      </c>
      <c r="AG76">
        <v>4</v>
      </c>
      <c r="AH76">
        <v>3</v>
      </c>
      <c r="AI76">
        <v>3</v>
      </c>
      <c r="AJ76">
        <v>2</v>
      </c>
      <c r="AK76" t="b">
        <f>Table67[[#This Row],[What is your age?]]&lt;&gt;"18 - 25"</f>
        <v>0</v>
      </c>
      <c r="AL76" t="b">
        <f t="shared" si="4"/>
        <v>0</v>
      </c>
      <c r="AM76" t="b">
        <f t="shared" si="5"/>
        <v>0</v>
      </c>
      <c r="AN76" t="b">
        <f t="shared" si="6"/>
        <v>1</v>
      </c>
      <c r="AO76" t="b">
        <f>OR(Table67[[#This Row],[Ineligible respondents]:[Inconsistent response on opposite question (3)]])</f>
        <v>1</v>
      </c>
      <c r="AP7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76">
        <f>Table67[[#This Row],[Extreme Response]]/21</f>
        <v>0</v>
      </c>
      <c r="AR76">
        <f>_xlfn.PERCENTILE.INC(Table67[Extrem Response Ratio (ERS)],0.9)</f>
        <v>0.61904761904761907</v>
      </c>
      <c r="AS76" t="b">
        <f>Table67[[#This Row],[Extrem Response Ratio (ERS)]]&gt;=Table67[[#This Row],[Threshold of ERS]]</f>
        <v>0</v>
      </c>
      <c r="AT76">
        <f>COUNTIF(Table67[[#This Row],[The mechanism of digital assets is difficult to understand, which discourages me from exploring it (E.g, Tokenization, Blockchain)]:[If I want to try different ways to invest, I will explore digital assets.]], 3)</f>
        <v>8</v>
      </c>
      <c r="AU76">
        <f>Table67[[#This Row],[Midpoint]]/21</f>
        <v>0.38095238095238093</v>
      </c>
      <c r="AV76">
        <f>_xlfn.PERCENTILE.INC(Table67[Midpoint ratio],0.9)</f>
        <v>0.5714285714285714</v>
      </c>
      <c r="AW76" t="b">
        <f>Table67[[#This Row],[Midpoint ratio]]&gt;=Table67[[#This Row],[Threshold of Midpoint ratio]]</f>
        <v>0</v>
      </c>
      <c r="AX76" t="b">
        <f>OR(Table67[[#This Row],[Extreme Response Style]],Table67[[#This Row],[Mid-point Response Style]])</f>
        <v>0</v>
      </c>
      <c r="AY76" t="b">
        <f>OR(Table67[[#This Row],[Delete? (Stage 1)]],Table67[[#This Row],[Delete? (Stage 2)]])</f>
        <v>1</v>
      </c>
      <c r="AZ76" t="s">
        <v>59</v>
      </c>
    </row>
    <row r="77" spans="1:52">
      <c r="A77">
        <f t="shared" si="7"/>
        <v>76</v>
      </c>
      <c r="B77" s="3">
        <v>45990.709965277798</v>
      </c>
      <c r="C77" s="3">
        <v>45990.716736111099</v>
      </c>
      <c r="D77" t="s">
        <v>53</v>
      </c>
      <c r="G77" t="s">
        <v>54</v>
      </c>
      <c r="H77" t="s">
        <v>63</v>
      </c>
      <c r="I77" t="s">
        <v>56</v>
      </c>
      <c r="J77" t="s">
        <v>57</v>
      </c>
      <c r="K77" t="s">
        <v>57</v>
      </c>
      <c r="L77" t="s">
        <v>58</v>
      </c>
      <c r="M77" t="s">
        <v>58</v>
      </c>
      <c r="N77">
        <v>4</v>
      </c>
      <c r="O77">
        <v>3</v>
      </c>
      <c r="P77">
        <v>5</v>
      </c>
      <c r="Q77">
        <v>4</v>
      </c>
      <c r="R77">
        <v>4</v>
      </c>
      <c r="S77">
        <v>4</v>
      </c>
      <c r="T77">
        <v>3</v>
      </c>
      <c r="U77">
        <v>4</v>
      </c>
      <c r="V77">
        <v>5</v>
      </c>
      <c r="W77">
        <v>5</v>
      </c>
      <c r="X77">
        <v>5</v>
      </c>
      <c r="Y77">
        <v>5</v>
      </c>
      <c r="Z77">
        <v>5</v>
      </c>
      <c r="AA77">
        <v>4</v>
      </c>
      <c r="AB77">
        <v>4</v>
      </c>
      <c r="AC77">
        <v>5</v>
      </c>
      <c r="AD77">
        <v>4</v>
      </c>
      <c r="AE77">
        <v>3</v>
      </c>
      <c r="AF77">
        <v>3</v>
      </c>
      <c r="AG77">
        <v>3</v>
      </c>
      <c r="AH77">
        <v>3</v>
      </c>
      <c r="AI77">
        <v>3</v>
      </c>
      <c r="AJ77">
        <v>3</v>
      </c>
      <c r="AK77" t="b">
        <f>Table67[[#This Row],[What is your age?]]&lt;&gt;"18 - 25"</f>
        <v>0</v>
      </c>
      <c r="AL77" t="b">
        <f t="shared" si="4"/>
        <v>0</v>
      </c>
      <c r="AM77" t="b">
        <f t="shared" si="5"/>
        <v>0</v>
      </c>
      <c r="AN77" t="b">
        <f t="shared" si="6"/>
        <v>0</v>
      </c>
      <c r="AO77" t="b">
        <f>OR(Table67[[#This Row],[Ineligible respondents]:[Inconsistent response on opposite question (3)]])</f>
        <v>0</v>
      </c>
      <c r="AP7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77">
        <f>Table67[[#This Row],[Extreme Response]]/21</f>
        <v>0.33333333333333331</v>
      </c>
      <c r="AR77">
        <f>_xlfn.PERCENTILE.INC(Table67[Extrem Response Ratio (ERS)],0.9)</f>
        <v>0.61904761904761907</v>
      </c>
      <c r="AS77" t="b">
        <f>Table67[[#This Row],[Extrem Response Ratio (ERS)]]&gt;=Table67[[#This Row],[Threshold of ERS]]</f>
        <v>0</v>
      </c>
      <c r="AT77">
        <f>COUNTIF(Table67[[#This Row],[The mechanism of digital assets is difficult to understand, which discourages me from exploring it (E.g, Tokenization, Blockchain)]:[If I want to try different ways to invest, I will explore digital assets.]], 3)</f>
        <v>6</v>
      </c>
      <c r="AU77">
        <f>Table67[[#This Row],[Midpoint]]/21</f>
        <v>0.2857142857142857</v>
      </c>
      <c r="AV77">
        <f>_xlfn.PERCENTILE.INC(Table67[Midpoint ratio],0.9)</f>
        <v>0.5714285714285714</v>
      </c>
      <c r="AW77" t="b">
        <f>Table67[[#This Row],[Midpoint ratio]]&gt;=Table67[[#This Row],[Threshold of Midpoint ratio]]</f>
        <v>0</v>
      </c>
      <c r="AX77" t="b">
        <f>OR(Table67[[#This Row],[Extreme Response Style]],Table67[[#This Row],[Mid-point Response Style]])</f>
        <v>0</v>
      </c>
      <c r="AY77" t="b">
        <f>OR(Table67[[#This Row],[Delete? (Stage 1)]],Table67[[#This Row],[Delete? (Stage 2)]])</f>
        <v>0</v>
      </c>
      <c r="AZ77" t="s">
        <v>59</v>
      </c>
    </row>
    <row r="78" spans="1:52">
      <c r="A78">
        <f t="shared" si="7"/>
        <v>77</v>
      </c>
      <c r="B78" s="3">
        <v>45991.5055208333</v>
      </c>
      <c r="C78" s="3">
        <v>45991.5062384259</v>
      </c>
      <c r="D78" t="s">
        <v>53</v>
      </c>
      <c r="G78" t="s">
        <v>54</v>
      </c>
      <c r="H78" t="s">
        <v>63</v>
      </c>
      <c r="I78" t="s">
        <v>56</v>
      </c>
      <c r="J78" t="s">
        <v>60</v>
      </c>
      <c r="K78" t="s">
        <v>57</v>
      </c>
      <c r="L78" t="s">
        <v>58</v>
      </c>
      <c r="M78" t="s">
        <v>61</v>
      </c>
      <c r="N78">
        <v>3</v>
      </c>
      <c r="O78">
        <v>3</v>
      </c>
      <c r="P78">
        <v>3</v>
      </c>
      <c r="Q78">
        <v>3</v>
      </c>
      <c r="R78">
        <v>3</v>
      </c>
      <c r="S78">
        <v>3</v>
      </c>
      <c r="T78">
        <v>3</v>
      </c>
      <c r="U78">
        <v>3</v>
      </c>
      <c r="V78">
        <v>3</v>
      </c>
      <c r="W78">
        <v>3</v>
      </c>
      <c r="X78">
        <v>3</v>
      </c>
      <c r="Y78">
        <v>3</v>
      </c>
      <c r="Z78">
        <v>3</v>
      </c>
      <c r="AA78">
        <v>3</v>
      </c>
      <c r="AB78">
        <v>3</v>
      </c>
      <c r="AC78">
        <v>3</v>
      </c>
      <c r="AD78">
        <v>3</v>
      </c>
      <c r="AE78">
        <v>3</v>
      </c>
      <c r="AF78">
        <v>3</v>
      </c>
      <c r="AG78">
        <v>3</v>
      </c>
      <c r="AH78">
        <v>3</v>
      </c>
      <c r="AI78">
        <v>3</v>
      </c>
      <c r="AJ78">
        <v>3</v>
      </c>
      <c r="AK78" t="b">
        <f>Table67[[#This Row],[What is your age?]]&lt;&gt;"18 - 25"</f>
        <v>0</v>
      </c>
      <c r="AL78" t="b">
        <f t="shared" si="4"/>
        <v>1</v>
      </c>
      <c r="AM78" t="b">
        <f t="shared" si="5"/>
        <v>0</v>
      </c>
      <c r="AN78" t="b">
        <f t="shared" si="6"/>
        <v>0</v>
      </c>
      <c r="AO78" t="b">
        <f>OR(Table67[[#This Row],[Ineligible respondents]:[Inconsistent response on opposite question (3)]])</f>
        <v>1</v>
      </c>
      <c r="AP7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78">
        <f>Table67[[#This Row],[Extreme Response]]/21</f>
        <v>0</v>
      </c>
      <c r="AR78">
        <f>_xlfn.PERCENTILE.INC(Table67[Extrem Response Ratio (ERS)],0.9)</f>
        <v>0.61904761904761907</v>
      </c>
      <c r="AS78" t="b">
        <f>Table67[[#This Row],[Extrem Response Ratio (ERS)]]&gt;=Table67[[#This Row],[Threshold of ERS]]</f>
        <v>0</v>
      </c>
      <c r="AT78">
        <f>COUNTIF(Table67[[#This Row],[The mechanism of digital assets is difficult to understand, which discourages me from exploring it (E.g, Tokenization, Blockchain)]:[If I want to try different ways to invest, I will explore digital assets.]], 3)</f>
        <v>21</v>
      </c>
      <c r="AU78">
        <f>Table67[[#This Row],[Midpoint]]/21</f>
        <v>1</v>
      </c>
      <c r="AV78">
        <f>_xlfn.PERCENTILE.INC(Table67[Midpoint ratio],0.9)</f>
        <v>0.5714285714285714</v>
      </c>
      <c r="AW78" t="b">
        <f>Table67[[#This Row],[Midpoint ratio]]&gt;=Table67[[#This Row],[Threshold of Midpoint ratio]]</f>
        <v>1</v>
      </c>
      <c r="AX78" t="b">
        <f>OR(Table67[[#This Row],[Extreme Response Style]],Table67[[#This Row],[Mid-point Response Style]])</f>
        <v>1</v>
      </c>
      <c r="AY78" t="b">
        <f>OR(Table67[[#This Row],[Delete? (Stage 1)]],Table67[[#This Row],[Delete? (Stage 2)]])</f>
        <v>1</v>
      </c>
      <c r="AZ78" t="s">
        <v>59</v>
      </c>
    </row>
    <row r="79" spans="1:52">
      <c r="A79">
        <f t="shared" si="7"/>
        <v>78</v>
      </c>
      <c r="B79" s="3">
        <v>45991.559224536999</v>
      </c>
      <c r="C79" s="3">
        <v>45991.560219907398</v>
      </c>
      <c r="D79" t="s">
        <v>53</v>
      </c>
      <c r="G79" t="s">
        <v>54</v>
      </c>
      <c r="H79" t="s">
        <v>55</v>
      </c>
      <c r="I79" t="s">
        <v>56</v>
      </c>
      <c r="J79" t="s">
        <v>68</v>
      </c>
      <c r="K79" t="s">
        <v>57</v>
      </c>
      <c r="L79" t="s">
        <v>61</v>
      </c>
      <c r="M79" t="s">
        <v>61</v>
      </c>
      <c r="N79">
        <v>3</v>
      </c>
      <c r="O79">
        <v>1</v>
      </c>
      <c r="P79">
        <v>4</v>
      </c>
      <c r="Q79">
        <v>4</v>
      </c>
      <c r="R79">
        <v>1</v>
      </c>
      <c r="S79">
        <v>1</v>
      </c>
      <c r="T79">
        <v>4</v>
      </c>
      <c r="U79">
        <v>4</v>
      </c>
      <c r="V79">
        <v>5</v>
      </c>
      <c r="W79">
        <v>5</v>
      </c>
      <c r="X79">
        <v>5</v>
      </c>
      <c r="Y79">
        <v>5</v>
      </c>
      <c r="Z79">
        <v>5</v>
      </c>
      <c r="AA79">
        <v>5</v>
      </c>
      <c r="AB79">
        <v>1</v>
      </c>
      <c r="AC79">
        <v>5</v>
      </c>
      <c r="AD79">
        <v>5</v>
      </c>
      <c r="AE79">
        <v>3</v>
      </c>
      <c r="AF79">
        <v>3</v>
      </c>
      <c r="AG79">
        <v>4</v>
      </c>
      <c r="AH79">
        <v>5</v>
      </c>
      <c r="AI79">
        <v>1</v>
      </c>
      <c r="AJ79">
        <v>3</v>
      </c>
      <c r="AK79" t="b">
        <f>Table67[[#This Row],[What is your age?]]&lt;&gt;"18 - 25"</f>
        <v>0</v>
      </c>
      <c r="AL79" t="b">
        <f t="shared" si="4"/>
        <v>0</v>
      </c>
      <c r="AM79" t="b">
        <f t="shared" si="5"/>
        <v>1</v>
      </c>
      <c r="AN79" t="b">
        <f t="shared" si="6"/>
        <v>0</v>
      </c>
      <c r="AO79" t="b">
        <f>OR(Table67[[#This Row],[Ineligible respondents]:[Inconsistent response on opposite question (3)]])</f>
        <v>1</v>
      </c>
      <c r="AP7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79">
        <f>Table67[[#This Row],[Extreme Response]]/21</f>
        <v>0.61904761904761907</v>
      </c>
      <c r="AR79">
        <f>_xlfn.PERCENTILE.INC(Table67[Extrem Response Ratio (ERS)],0.9)</f>
        <v>0.61904761904761907</v>
      </c>
      <c r="AS79" t="b">
        <f>Table67[[#This Row],[Extrem Response Ratio (ERS)]]&gt;=Table67[[#This Row],[Threshold of ERS]]</f>
        <v>1</v>
      </c>
      <c r="AT79">
        <f>COUNTIF(Table67[[#This Row],[The mechanism of digital assets is difficult to understand, which discourages me from exploring it (E.g, Tokenization, Blockchain)]:[If I want to try different ways to invest, I will explore digital assets.]], 3)</f>
        <v>3</v>
      </c>
      <c r="AU79">
        <f>Table67[[#This Row],[Midpoint]]/21</f>
        <v>0.14285714285714285</v>
      </c>
      <c r="AV79">
        <f>_xlfn.PERCENTILE.INC(Table67[Midpoint ratio],0.9)</f>
        <v>0.5714285714285714</v>
      </c>
      <c r="AW79" t="b">
        <f>Table67[[#This Row],[Midpoint ratio]]&gt;=Table67[[#This Row],[Threshold of Midpoint ratio]]</f>
        <v>0</v>
      </c>
      <c r="AX79" t="b">
        <f>OR(Table67[[#This Row],[Extreme Response Style]],Table67[[#This Row],[Mid-point Response Style]])</f>
        <v>1</v>
      </c>
      <c r="AY79" t="b">
        <f>OR(Table67[[#This Row],[Delete? (Stage 1)]],Table67[[#This Row],[Delete? (Stage 2)]])</f>
        <v>1</v>
      </c>
      <c r="AZ79" t="s">
        <v>59</v>
      </c>
    </row>
    <row r="80" spans="1:52">
      <c r="A80">
        <f t="shared" si="7"/>
        <v>79</v>
      </c>
      <c r="B80" s="3">
        <v>45991.559837963003</v>
      </c>
      <c r="C80" s="3">
        <v>45991.561724537001</v>
      </c>
      <c r="D80" t="s">
        <v>53</v>
      </c>
      <c r="G80" t="s">
        <v>54</v>
      </c>
      <c r="H80" t="s">
        <v>63</v>
      </c>
      <c r="I80" t="s">
        <v>56</v>
      </c>
      <c r="J80" t="s">
        <v>67</v>
      </c>
      <c r="K80" t="s">
        <v>64</v>
      </c>
      <c r="L80" t="s">
        <v>58</v>
      </c>
      <c r="M80" t="s">
        <v>58</v>
      </c>
      <c r="N80">
        <v>5</v>
      </c>
      <c r="O80">
        <v>3</v>
      </c>
      <c r="P80">
        <v>3</v>
      </c>
      <c r="Q80">
        <v>3</v>
      </c>
      <c r="R80">
        <v>5</v>
      </c>
      <c r="S80">
        <v>4</v>
      </c>
      <c r="T80">
        <v>4</v>
      </c>
      <c r="U80">
        <v>4</v>
      </c>
      <c r="V80">
        <v>5</v>
      </c>
      <c r="W80">
        <v>5</v>
      </c>
      <c r="X80">
        <v>5</v>
      </c>
      <c r="Y80">
        <v>5</v>
      </c>
      <c r="Z80">
        <v>3</v>
      </c>
      <c r="AA80">
        <v>4</v>
      </c>
      <c r="AB80">
        <v>4</v>
      </c>
      <c r="AC80">
        <v>4</v>
      </c>
      <c r="AD80">
        <v>4</v>
      </c>
      <c r="AE80">
        <v>4</v>
      </c>
      <c r="AF80">
        <v>3</v>
      </c>
      <c r="AG80">
        <v>3</v>
      </c>
      <c r="AH80">
        <v>3</v>
      </c>
      <c r="AI80">
        <v>3</v>
      </c>
      <c r="AJ80">
        <v>3</v>
      </c>
      <c r="AK80" t="b">
        <f>Table67[[#This Row],[What is your age?]]&lt;&gt;"18 - 25"</f>
        <v>0</v>
      </c>
      <c r="AL80" t="b">
        <f t="shared" si="4"/>
        <v>0</v>
      </c>
      <c r="AM80" t="b">
        <f t="shared" si="5"/>
        <v>0</v>
      </c>
      <c r="AN80" t="b">
        <f t="shared" si="6"/>
        <v>0</v>
      </c>
      <c r="AO80" t="b">
        <f>OR(Table67[[#This Row],[Ineligible respondents]:[Inconsistent response on opposite question (3)]])</f>
        <v>0</v>
      </c>
      <c r="AP8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80">
        <f>Table67[[#This Row],[Extreme Response]]/21</f>
        <v>0.2857142857142857</v>
      </c>
      <c r="AR80">
        <f>_xlfn.PERCENTILE.INC(Table67[Extrem Response Ratio (ERS)],0.9)</f>
        <v>0.61904761904761907</v>
      </c>
      <c r="AS80" t="b">
        <f>Table67[[#This Row],[Extrem Response Ratio (ERS)]]&gt;=Table67[[#This Row],[Threshold of ERS]]</f>
        <v>0</v>
      </c>
      <c r="AT80">
        <f>COUNTIF(Table67[[#This Row],[The mechanism of digital assets is difficult to understand, which discourages me from exploring it (E.g, Tokenization, Blockchain)]:[If I want to try different ways to invest, I will explore digital assets.]], 3)</f>
        <v>7</v>
      </c>
      <c r="AU80">
        <f>Table67[[#This Row],[Midpoint]]/21</f>
        <v>0.33333333333333331</v>
      </c>
      <c r="AV80">
        <f>_xlfn.PERCENTILE.INC(Table67[Midpoint ratio],0.9)</f>
        <v>0.5714285714285714</v>
      </c>
      <c r="AW80" t="b">
        <f>Table67[[#This Row],[Midpoint ratio]]&gt;=Table67[[#This Row],[Threshold of Midpoint ratio]]</f>
        <v>0</v>
      </c>
      <c r="AX80" t="b">
        <f>OR(Table67[[#This Row],[Extreme Response Style]],Table67[[#This Row],[Mid-point Response Style]])</f>
        <v>0</v>
      </c>
      <c r="AY80" t="b">
        <f>OR(Table67[[#This Row],[Delete? (Stage 1)]],Table67[[#This Row],[Delete? (Stage 2)]])</f>
        <v>0</v>
      </c>
      <c r="AZ80" t="s">
        <v>59</v>
      </c>
    </row>
    <row r="81" spans="1:52">
      <c r="A81">
        <f t="shared" si="7"/>
        <v>80</v>
      </c>
      <c r="B81" s="3">
        <v>45991.563923611102</v>
      </c>
      <c r="C81" s="3">
        <v>45991.564942129597</v>
      </c>
      <c r="D81" t="s">
        <v>53</v>
      </c>
      <c r="G81" t="s">
        <v>54</v>
      </c>
      <c r="H81" t="s">
        <v>55</v>
      </c>
      <c r="I81" t="s">
        <v>56</v>
      </c>
      <c r="J81" t="s">
        <v>66</v>
      </c>
      <c r="K81" t="s">
        <v>57</v>
      </c>
      <c r="L81" t="s">
        <v>58</v>
      </c>
      <c r="M81" t="s">
        <v>58</v>
      </c>
      <c r="N81">
        <v>4</v>
      </c>
      <c r="O81">
        <v>3</v>
      </c>
      <c r="P81">
        <v>4</v>
      </c>
      <c r="Q81">
        <v>3</v>
      </c>
      <c r="R81">
        <v>4</v>
      </c>
      <c r="S81">
        <v>4</v>
      </c>
      <c r="T81">
        <v>3</v>
      </c>
      <c r="U81">
        <v>4</v>
      </c>
      <c r="V81">
        <v>4</v>
      </c>
      <c r="W81">
        <v>3</v>
      </c>
      <c r="X81">
        <v>4</v>
      </c>
      <c r="Y81">
        <v>3</v>
      </c>
      <c r="Z81">
        <v>4</v>
      </c>
      <c r="AA81">
        <v>3</v>
      </c>
      <c r="AB81">
        <v>4</v>
      </c>
      <c r="AC81">
        <v>4</v>
      </c>
      <c r="AD81">
        <v>5</v>
      </c>
      <c r="AE81">
        <v>4</v>
      </c>
      <c r="AF81">
        <v>3</v>
      </c>
      <c r="AG81">
        <v>3</v>
      </c>
      <c r="AH81">
        <v>3</v>
      </c>
      <c r="AI81">
        <v>3</v>
      </c>
      <c r="AJ81">
        <v>3</v>
      </c>
      <c r="AK81" t="b">
        <f>Table67[[#This Row],[What is your age?]]&lt;&gt;"18 - 25"</f>
        <v>0</v>
      </c>
      <c r="AL81" t="b">
        <f t="shared" si="4"/>
        <v>0</v>
      </c>
      <c r="AM81" t="b">
        <f t="shared" si="5"/>
        <v>0</v>
      </c>
      <c r="AN81" t="b">
        <f t="shared" si="6"/>
        <v>0</v>
      </c>
      <c r="AO81" t="b">
        <f>OR(Table67[[#This Row],[Ineligible respondents]:[Inconsistent response on opposite question (3)]])</f>
        <v>0</v>
      </c>
      <c r="AP8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81">
        <f>Table67[[#This Row],[Extreme Response]]/21</f>
        <v>4.7619047619047616E-2</v>
      </c>
      <c r="AR81">
        <f>_xlfn.PERCENTILE.INC(Table67[Extrem Response Ratio (ERS)],0.9)</f>
        <v>0.61904761904761907</v>
      </c>
      <c r="AS81" t="b">
        <f>Table67[[#This Row],[Extrem Response Ratio (ERS)]]&gt;=Table67[[#This Row],[Threshold of ERS]]</f>
        <v>0</v>
      </c>
      <c r="AT81">
        <f>COUNTIF(Table67[[#This Row],[The mechanism of digital assets is difficult to understand, which discourages me from exploring it (E.g, Tokenization, Blockchain)]:[If I want to try different ways to invest, I will explore digital assets.]], 3)</f>
        <v>9</v>
      </c>
      <c r="AU81">
        <f>Table67[[#This Row],[Midpoint]]/21</f>
        <v>0.42857142857142855</v>
      </c>
      <c r="AV81">
        <f>_xlfn.PERCENTILE.INC(Table67[Midpoint ratio],0.9)</f>
        <v>0.5714285714285714</v>
      </c>
      <c r="AW81" t="b">
        <f>Table67[[#This Row],[Midpoint ratio]]&gt;=Table67[[#This Row],[Threshold of Midpoint ratio]]</f>
        <v>0</v>
      </c>
      <c r="AX81" t="b">
        <f>OR(Table67[[#This Row],[Extreme Response Style]],Table67[[#This Row],[Mid-point Response Style]])</f>
        <v>0</v>
      </c>
      <c r="AY81" t="b">
        <f>OR(Table67[[#This Row],[Delete? (Stage 1)]],Table67[[#This Row],[Delete? (Stage 2)]])</f>
        <v>0</v>
      </c>
      <c r="AZ81" t="s">
        <v>59</v>
      </c>
    </row>
    <row r="82" spans="1:52">
      <c r="A82">
        <f t="shared" si="7"/>
        <v>81</v>
      </c>
      <c r="B82" s="3">
        <v>45991.567534722199</v>
      </c>
      <c r="C82" s="3">
        <v>45991.5687847222</v>
      </c>
      <c r="D82" t="s">
        <v>53</v>
      </c>
      <c r="G82" t="s">
        <v>54</v>
      </c>
      <c r="H82" t="s">
        <v>63</v>
      </c>
      <c r="I82" t="s">
        <v>56</v>
      </c>
      <c r="J82" t="s">
        <v>57</v>
      </c>
      <c r="K82" t="s">
        <v>57</v>
      </c>
      <c r="L82" t="s">
        <v>58</v>
      </c>
      <c r="M82" t="s">
        <v>58</v>
      </c>
      <c r="N82">
        <v>4</v>
      </c>
      <c r="O82">
        <v>3</v>
      </c>
      <c r="P82">
        <v>4</v>
      </c>
      <c r="Q82">
        <v>4</v>
      </c>
      <c r="R82">
        <v>4</v>
      </c>
      <c r="S82">
        <v>4</v>
      </c>
      <c r="T82">
        <v>4</v>
      </c>
      <c r="U82">
        <v>5</v>
      </c>
      <c r="V82">
        <v>4</v>
      </c>
      <c r="W82">
        <v>4</v>
      </c>
      <c r="X82">
        <v>4</v>
      </c>
      <c r="Y82">
        <v>4</v>
      </c>
      <c r="Z82">
        <v>4</v>
      </c>
      <c r="AA82">
        <v>4</v>
      </c>
      <c r="AB82">
        <v>4</v>
      </c>
      <c r="AC82">
        <v>4</v>
      </c>
      <c r="AD82">
        <v>4</v>
      </c>
      <c r="AE82">
        <v>4</v>
      </c>
      <c r="AF82">
        <v>2</v>
      </c>
      <c r="AG82">
        <v>2</v>
      </c>
      <c r="AH82">
        <v>2</v>
      </c>
      <c r="AI82">
        <v>4</v>
      </c>
      <c r="AJ82">
        <v>4</v>
      </c>
      <c r="AK82" t="b">
        <f>Table67[[#This Row],[What is your age?]]&lt;&gt;"18 - 25"</f>
        <v>0</v>
      </c>
      <c r="AL82" t="b">
        <f t="shared" si="4"/>
        <v>0</v>
      </c>
      <c r="AM82" t="b">
        <f t="shared" si="5"/>
        <v>1</v>
      </c>
      <c r="AN82" t="b">
        <f t="shared" si="6"/>
        <v>0</v>
      </c>
      <c r="AO82" t="b">
        <f>OR(Table67[[#This Row],[Ineligible respondents]:[Inconsistent response on opposite question (3)]])</f>
        <v>1</v>
      </c>
      <c r="AP8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82">
        <f>Table67[[#This Row],[Extreme Response]]/21</f>
        <v>4.7619047619047616E-2</v>
      </c>
      <c r="AR82">
        <f>_xlfn.PERCENTILE.INC(Table67[Extrem Response Ratio (ERS)],0.9)</f>
        <v>0.61904761904761907</v>
      </c>
      <c r="AS82" t="b">
        <f>Table67[[#This Row],[Extrem Response Ratio (ERS)]]&gt;=Table67[[#This Row],[Threshold of ERS]]</f>
        <v>0</v>
      </c>
      <c r="AT82">
        <f>COUNTIF(Table67[[#This Row],[The mechanism of digital assets is difficult to understand, which discourages me from exploring it (E.g, Tokenization, Blockchain)]:[If I want to try different ways to invest, I will explore digital assets.]], 3)</f>
        <v>1</v>
      </c>
      <c r="AU82">
        <f>Table67[[#This Row],[Midpoint]]/21</f>
        <v>4.7619047619047616E-2</v>
      </c>
      <c r="AV82">
        <f>_xlfn.PERCENTILE.INC(Table67[Midpoint ratio],0.9)</f>
        <v>0.5714285714285714</v>
      </c>
      <c r="AW82" t="b">
        <f>Table67[[#This Row],[Midpoint ratio]]&gt;=Table67[[#This Row],[Threshold of Midpoint ratio]]</f>
        <v>0</v>
      </c>
      <c r="AX82" t="b">
        <f>OR(Table67[[#This Row],[Extreme Response Style]],Table67[[#This Row],[Mid-point Response Style]])</f>
        <v>0</v>
      </c>
      <c r="AY82" t="b">
        <f>OR(Table67[[#This Row],[Delete? (Stage 1)]],Table67[[#This Row],[Delete? (Stage 2)]])</f>
        <v>1</v>
      </c>
      <c r="AZ82" t="s">
        <v>59</v>
      </c>
    </row>
    <row r="83" spans="1:52">
      <c r="A83">
        <f t="shared" si="7"/>
        <v>82</v>
      </c>
      <c r="B83" s="3">
        <v>45991.5678819444</v>
      </c>
      <c r="C83" s="3">
        <v>45991.568912037001</v>
      </c>
      <c r="D83" t="s">
        <v>53</v>
      </c>
      <c r="G83" t="s">
        <v>54</v>
      </c>
      <c r="H83" t="s">
        <v>63</v>
      </c>
      <c r="I83" t="s">
        <v>56</v>
      </c>
      <c r="J83" t="s">
        <v>62</v>
      </c>
      <c r="K83" t="s">
        <v>57</v>
      </c>
      <c r="L83" t="s">
        <v>58</v>
      </c>
      <c r="M83" t="s">
        <v>61</v>
      </c>
      <c r="N83">
        <v>3</v>
      </c>
      <c r="O83">
        <v>3</v>
      </c>
      <c r="P83">
        <v>4</v>
      </c>
      <c r="Q83">
        <v>4</v>
      </c>
      <c r="R83">
        <v>4</v>
      </c>
      <c r="S83">
        <v>4</v>
      </c>
      <c r="T83">
        <v>4</v>
      </c>
      <c r="U83">
        <v>4</v>
      </c>
      <c r="V83">
        <v>4</v>
      </c>
      <c r="W83">
        <v>5</v>
      </c>
      <c r="X83">
        <v>4</v>
      </c>
      <c r="Y83">
        <v>4</v>
      </c>
      <c r="Z83">
        <v>4</v>
      </c>
      <c r="AA83">
        <v>4</v>
      </c>
      <c r="AB83">
        <v>3</v>
      </c>
      <c r="AC83">
        <v>4</v>
      </c>
      <c r="AD83">
        <v>4</v>
      </c>
      <c r="AE83">
        <v>4</v>
      </c>
      <c r="AF83">
        <v>4</v>
      </c>
      <c r="AG83">
        <v>4</v>
      </c>
      <c r="AH83">
        <v>4</v>
      </c>
      <c r="AI83">
        <v>2</v>
      </c>
      <c r="AJ83">
        <v>2</v>
      </c>
      <c r="AK83" t="b">
        <f>Table67[[#This Row],[What is your age?]]&lt;&gt;"18 - 25"</f>
        <v>0</v>
      </c>
      <c r="AL83" t="b">
        <f t="shared" si="4"/>
        <v>0</v>
      </c>
      <c r="AM83" t="b">
        <f t="shared" si="5"/>
        <v>1</v>
      </c>
      <c r="AN83" t="b">
        <f t="shared" si="6"/>
        <v>0</v>
      </c>
      <c r="AO83" t="b">
        <f>OR(Table67[[#This Row],[Ineligible respondents]:[Inconsistent response on opposite question (3)]])</f>
        <v>1</v>
      </c>
      <c r="AP8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83">
        <f>Table67[[#This Row],[Extreme Response]]/21</f>
        <v>4.7619047619047616E-2</v>
      </c>
      <c r="AR83">
        <f>_xlfn.PERCENTILE.INC(Table67[Extrem Response Ratio (ERS)],0.9)</f>
        <v>0.61904761904761907</v>
      </c>
      <c r="AS83" t="b">
        <f>Table67[[#This Row],[Extrem Response Ratio (ERS)]]&gt;=Table67[[#This Row],[Threshold of ERS]]</f>
        <v>0</v>
      </c>
      <c r="AT83">
        <f>COUNTIF(Table67[[#This Row],[The mechanism of digital assets is difficult to understand, which discourages me from exploring it (E.g, Tokenization, Blockchain)]:[If I want to try different ways to invest, I will explore digital assets.]], 3)</f>
        <v>3</v>
      </c>
      <c r="AU83">
        <f>Table67[[#This Row],[Midpoint]]/21</f>
        <v>0.14285714285714285</v>
      </c>
      <c r="AV83">
        <f>_xlfn.PERCENTILE.INC(Table67[Midpoint ratio],0.9)</f>
        <v>0.5714285714285714</v>
      </c>
      <c r="AW83" t="b">
        <f>Table67[[#This Row],[Midpoint ratio]]&gt;=Table67[[#This Row],[Threshold of Midpoint ratio]]</f>
        <v>0</v>
      </c>
      <c r="AX83" t="b">
        <f>OR(Table67[[#This Row],[Extreme Response Style]],Table67[[#This Row],[Mid-point Response Style]])</f>
        <v>0</v>
      </c>
      <c r="AY83" t="b">
        <f>OR(Table67[[#This Row],[Delete? (Stage 1)]],Table67[[#This Row],[Delete? (Stage 2)]])</f>
        <v>1</v>
      </c>
      <c r="AZ83" t="s">
        <v>59</v>
      </c>
    </row>
    <row r="84" spans="1:52">
      <c r="A84">
        <f t="shared" si="7"/>
        <v>83</v>
      </c>
      <c r="B84" s="3">
        <v>45991.569930555597</v>
      </c>
      <c r="C84" s="3">
        <v>45991.570902777799</v>
      </c>
      <c r="D84" t="s">
        <v>53</v>
      </c>
      <c r="G84" t="s">
        <v>54</v>
      </c>
      <c r="H84" t="s">
        <v>55</v>
      </c>
      <c r="I84" t="s">
        <v>56</v>
      </c>
      <c r="J84" t="s">
        <v>57</v>
      </c>
      <c r="K84" t="s">
        <v>57</v>
      </c>
      <c r="L84" t="s">
        <v>58</v>
      </c>
      <c r="M84" t="s">
        <v>58</v>
      </c>
      <c r="N84">
        <v>3</v>
      </c>
      <c r="O84">
        <v>3</v>
      </c>
      <c r="P84">
        <v>4</v>
      </c>
      <c r="Q84">
        <v>4</v>
      </c>
      <c r="R84">
        <v>4</v>
      </c>
      <c r="S84">
        <v>2</v>
      </c>
      <c r="T84">
        <v>2</v>
      </c>
      <c r="U84">
        <v>4</v>
      </c>
      <c r="V84">
        <v>3</v>
      </c>
      <c r="W84">
        <v>3</v>
      </c>
      <c r="X84">
        <v>3</v>
      </c>
      <c r="Y84">
        <v>2</v>
      </c>
      <c r="Z84">
        <v>2</v>
      </c>
      <c r="AA84">
        <v>3</v>
      </c>
      <c r="AB84">
        <v>3</v>
      </c>
      <c r="AC84">
        <v>4</v>
      </c>
      <c r="AD84">
        <v>3</v>
      </c>
      <c r="AE84">
        <v>2</v>
      </c>
      <c r="AF84">
        <v>2</v>
      </c>
      <c r="AG84">
        <v>4</v>
      </c>
      <c r="AH84">
        <v>3</v>
      </c>
      <c r="AI84">
        <v>3</v>
      </c>
      <c r="AJ84">
        <v>4</v>
      </c>
      <c r="AK84" t="b">
        <f>Table67[[#This Row],[What is your age?]]&lt;&gt;"18 - 25"</f>
        <v>0</v>
      </c>
      <c r="AL84" t="b">
        <f t="shared" si="4"/>
        <v>0</v>
      </c>
      <c r="AM84" t="b">
        <f t="shared" si="5"/>
        <v>0</v>
      </c>
      <c r="AN84" t="b">
        <f t="shared" si="6"/>
        <v>1</v>
      </c>
      <c r="AO84" t="b">
        <f>OR(Table67[[#This Row],[Ineligible respondents]:[Inconsistent response on opposite question (3)]])</f>
        <v>1</v>
      </c>
      <c r="AP8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84">
        <f>Table67[[#This Row],[Extreme Response]]/21</f>
        <v>0</v>
      </c>
      <c r="AR84">
        <f>_xlfn.PERCENTILE.INC(Table67[Extrem Response Ratio (ERS)],0.9)</f>
        <v>0.61904761904761907</v>
      </c>
      <c r="AS84" t="b">
        <f>Table67[[#This Row],[Extrem Response Ratio (ERS)]]&gt;=Table67[[#This Row],[Threshold of ERS]]</f>
        <v>0</v>
      </c>
      <c r="AT84">
        <f>COUNTIF(Table67[[#This Row],[The mechanism of digital assets is difficult to understand, which discourages me from exploring it (E.g, Tokenization, Blockchain)]:[If I want to try different ways to invest, I will explore digital assets.]], 3)</f>
        <v>9</v>
      </c>
      <c r="AU84">
        <f>Table67[[#This Row],[Midpoint]]/21</f>
        <v>0.42857142857142855</v>
      </c>
      <c r="AV84">
        <f>_xlfn.PERCENTILE.INC(Table67[Midpoint ratio],0.9)</f>
        <v>0.5714285714285714</v>
      </c>
      <c r="AW84" t="b">
        <f>Table67[[#This Row],[Midpoint ratio]]&gt;=Table67[[#This Row],[Threshold of Midpoint ratio]]</f>
        <v>0</v>
      </c>
      <c r="AX84" t="b">
        <f>OR(Table67[[#This Row],[Extreme Response Style]],Table67[[#This Row],[Mid-point Response Style]])</f>
        <v>0</v>
      </c>
      <c r="AY84" t="b">
        <f>OR(Table67[[#This Row],[Delete? (Stage 1)]],Table67[[#This Row],[Delete? (Stage 2)]])</f>
        <v>1</v>
      </c>
      <c r="AZ84" t="s">
        <v>59</v>
      </c>
    </row>
    <row r="85" spans="1:52">
      <c r="A85">
        <f t="shared" si="7"/>
        <v>84</v>
      </c>
      <c r="B85" s="3">
        <v>45991.589259259301</v>
      </c>
      <c r="C85" s="3">
        <v>45991.590081018498</v>
      </c>
      <c r="D85" t="s">
        <v>53</v>
      </c>
      <c r="G85" t="s">
        <v>54</v>
      </c>
      <c r="H85" t="s">
        <v>63</v>
      </c>
      <c r="I85" t="s">
        <v>56</v>
      </c>
      <c r="J85" t="s">
        <v>57</v>
      </c>
      <c r="K85" t="s">
        <v>57</v>
      </c>
      <c r="L85" t="s">
        <v>58</v>
      </c>
      <c r="M85" t="s">
        <v>58</v>
      </c>
      <c r="N85">
        <v>4</v>
      </c>
      <c r="O85">
        <v>3</v>
      </c>
      <c r="P85">
        <v>4</v>
      </c>
      <c r="Q85">
        <v>3</v>
      </c>
      <c r="R85">
        <v>3</v>
      </c>
      <c r="S85">
        <v>3</v>
      </c>
      <c r="T85">
        <v>3</v>
      </c>
      <c r="U85">
        <v>3</v>
      </c>
      <c r="V85">
        <v>3</v>
      </c>
      <c r="W85">
        <v>3</v>
      </c>
      <c r="X85">
        <v>3</v>
      </c>
      <c r="Y85">
        <v>3</v>
      </c>
      <c r="Z85">
        <v>3</v>
      </c>
      <c r="AA85">
        <v>3</v>
      </c>
      <c r="AB85">
        <v>3</v>
      </c>
      <c r="AC85">
        <v>3</v>
      </c>
      <c r="AD85">
        <v>3</v>
      </c>
      <c r="AE85">
        <v>3</v>
      </c>
      <c r="AF85">
        <v>3</v>
      </c>
      <c r="AG85">
        <v>3</v>
      </c>
      <c r="AH85">
        <v>3</v>
      </c>
      <c r="AI85">
        <v>3</v>
      </c>
      <c r="AJ85">
        <v>3</v>
      </c>
      <c r="AK85" t="b">
        <f>Table67[[#This Row],[What is your age?]]&lt;&gt;"18 - 25"</f>
        <v>0</v>
      </c>
      <c r="AL85" t="b">
        <f t="shared" si="4"/>
        <v>0</v>
      </c>
      <c r="AM85" t="b">
        <f t="shared" si="5"/>
        <v>0</v>
      </c>
      <c r="AN85" t="b">
        <f t="shared" si="6"/>
        <v>0</v>
      </c>
      <c r="AO85" t="b">
        <f>OR(Table67[[#This Row],[Ineligible respondents]:[Inconsistent response on opposite question (3)]])</f>
        <v>0</v>
      </c>
      <c r="AP8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85">
        <f>Table67[[#This Row],[Extreme Response]]/21</f>
        <v>0</v>
      </c>
      <c r="AR85">
        <f>_xlfn.PERCENTILE.INC(Table67[Extrem Response Ratio (ERS)],0.9)</f>
        <v>0.61904761904761907</v>
      </c>
      <c r="AS85" t="b">
        <f>Table67[[#This Row],[Extrem Response Ratio (ERS)]]&gt;=Table67[[#This Row],[Threshold of ERS]]</f>
        <v>0</v>
      </c>
      <c r="AT85">
        <f>COUNTIF(Table67[[#This Row],[The mechanism of digital assets is difficult to understand, which discourages me from exploring it (E.g, Tokenization, Blockchain)]:[If I want to try different ways to invest, I will explore digital assets.]], 3)</f>
        <v>19</v>
      </c>
      <c r="AU85">
        <f>Table67[[#This Row],[Midpoint]]/21</f>
        <v>0.90476190476190477</v>
      </c>
      <c r="AV85">
        <f>_xlfn.PERCENTILE.INC(Table67[Midpoint ratio],0.9)</f>
        <v>0.5714285714285714</v>
      </c>
      <c r="AW85" t="b">
        <f>Table67[[#This Row],[Midpoint ratio]]&gt;=Table67[[#This Row],[Threshold of Midpoint ratio]]</f>
        <v>1</v>
      </c>
      <c r="AX85" t="b">
        <f>OR(Table67[[#This Row],[Extreme Response Style]],Table67[[#This Row],[Mid-point Response Style]])</f>
        <v>1</v>
      </c>
      <c r="AY85" t="b">
        <f>OR(Table67[[#This Row],[Delete? (Stage 1)]],Table67[[#This Row],[Delete? (Stage 2)]])</f>
        <v>1</v>
      </c>
      <c r="AZ85" t="s">
        <v>59</v>
      </c>
    </row>
    <row r="86" spans="1:52">
      <c r="A86">
        <f t="shared" si="7"/>
        <v>85</v>
      </c>
      <c r="B86" s="3">
        <v>45991.597615740699</v>
      </c>
      <c r="C86" s="3">
        <v>45991.603298611102</v>
      </c>
      <c r="D86" t="s">
        <v>53</v>
      </c>
      <c r="G86" t="s">
        <v>54</v>
      </c>
      <c r="H86" t="s">
        <v>63</v>
      </c>
      <c r="I86" t="s">
        <v>56</v>
      </c>
      <c r="J86" t="s">
        <v>67</v>
      </c>
      <c r="K86" t="s">
        <v>57</v>
      </c>
      <c r="L86" t="s">
        <v>58</v>
      </c>
      <c r="M86" t="s">
        <v>61</v>
      </c>
      <c r="N86">
        <v>4</v>
      </c>
      <c r="O86">
        <v>2</v>
      </c>
      <c r="P86">
        <v>4</v>
      </c>
      <c r="Q86">
        <v>3</v>
      </c>
      <c r="R86">
        <v>4</v>
      </c>
      <c r="S86">
        <v>4</v>
      </c>
      <c r="T86">
        <v>4</v>
      </c>
      <c r="U86">
        <v>4</v>
      </c>
      <c r="V86">
        <v>4</v>
      </c>
      <c r="W86">
        <v>4</v>
      </c>
      <c r="X86">
        <v>3</v>
      </c>
      <c r="Y86">
        <v>4</v>
      </c>
      <c r="Z86">
        <v>4</v>
      </c>
      <c r="AA86">
        <v>4</v>
      </c>
      <c r="AB86">
        <v>3</v>
      </c>
      <c r="AC86">
        <v>3</v>
      </c>
      <c r="AD86">
        <v>3</v>
      </c>
      <c r="AE86">
        <v>2</v>
      </c>
      <c r="AF86">
        <v>2</v>
      </c>
      <c r="AG86">
        <v>4</v>
      </c>
      <c r="AH86">
        <v>2</v>
      </c>
      <c r="AI86">
        <v>4</v>
      </c>
      <c r="AJ86">
        <v>4</v>
      </c>
      <c r="AK86" t="b">
        <f>Table67[[#This Row],[What is your age?]]&lt;&gt;"18 - 25"</f>
        <v>0</v>
      </c>
      <c r="AL86" t="b">
        <f t="shared" si="4"/>
        <v>0</v>
      </c>
      <c r="AM86" t="b">
        <f t="shared" si="5"/>
        <v>0</v>
      </c>
      <c r="AN86" t="b">
        <f t="shared" si="6"/>
        <v>0</v>
      </c>
      <c r="AO86" t="b">
        <f>OR(Table67[[#This Row],[Ineligible respondents]:[Inconsistent response on opposite question (3)]])</f>
        <v>0</v>
      </c>
      <c r="AP8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86">
        <f>Table67[[#This Row],[Extreme Response]]/21</f>
        <v>0</v>
      </c>
      <c r="AR86">
        <f>_xlfn.PERCENTILE.INC(Table67[Extrem Response Ratio (ERS)],0.9)</f>
        <v>0.61904761904761907</v>
      </c>
      <c r="AS86" t="b">
        <f>Table67[[#This Row],[Extrem Response Ratio (ERS)]]&gt;=Table67[[#This Row],[Threshold of ERS]]</f>
        <v>0</v>
      </c>
      <c r="AT86">
        <f>COUNTIF(Table67[[#This Row],[The mechanism of digital assets is difficult to understand, which discourages me from exploring it (E.g, Tokenization, Blockchain)]:[If I want to try different ways to invest, I will explore digital assets.]], 3)</f>
        <v>5</v>
      </c>
      <c r="AU86">
        <f>Table67[[#This Row],[Midpoint]]/21</f>
        <v>0.23809523809523808</v>
      </c>
      <c r="AV86">
        <f>_xlfn.PERCENTILE.INC(Table67[Midpoint ratio],0.9)</f>
        <v>0.5714285714285714</v>
      </c>
      <c r="AW86" t="b">
        <f>Table67[[#This Row],[Midpoint ratio]]&gt;=Table67[[#This Row],[Threshold of Midpoint ratio]]</f>
        <v>0</v>
      </c>
      <c r="AX86" t="b">
        <f>OR(Table67[[#This Row],[Extreme Response Style]],Table67[[#This Row],[Mid-point Response Style]])</f>
        <v>0</v>
      </c>
      <c r="AY86" t="b">
        <f>OR(Table67[[#This Row],[Delete? (Stage 1)]],Table67[[#This Row],[Delete? (Stage 2)]])</f>
        <v>0</v>
      </c>
      <c r="AZ86" t="s">
        <v>59</v>
      </c>
    </row>
    <row r="87" spans="1:52">
      <c r="A87">
        <f t="shared" si="7"/>
        <v>86</v>
      </c>
      <c r="B87" s="3">
        <v>45991.608402777798</v>
      </c>
      <c r="C87" s="3">
        <v>45991.610474537003</v>
      </c>
      <c r="D87" t="s">
        <v>53</v>
      </c>
      <c r="G87" t="s">
        <v>54</v>
      </c>
      <c r="H87" t="s">
        <v>63</v>
      </c>
      <c r="I87" t="s">
        <v>56</v>
      </c>
      <c r="J87" t="s">
        <v>60</v>
      </c>
      <c r="K87" t="s">
        <v>60</v>
      </c>
      <c r="L87" t="s">
        <v>61</v>
      </c>
      <c r="M87" t="s">
        <v>58</v>
      </c>
      <c r="N87">
        <v>4</v>
      </c>
      <c r="O87">
        <v>5</v>
      </c>
      <c r="P87">
        <v>4</v>
      </c>
      <c r="Q87">
        <v>4</v>
      </c>
      <c r="R87">
        <v>4</v>
      </c>
      <c r="S87">
        <v>4</v>
      </c>
      <c r="T87">
        <v>3</v>
      </c>
      <c r="U87">
        <v>4</v>
      </c>
      <c r="V87">
        <v>3</v>
      </c>
      <c r="W87">
        <v>2</v>
      </c>
      <c r="X87">
        <v>2</v>
      </c>
      <c r="Y87">
        <v>3</v>
      </c>
      <c r="Z87">
        <v>4</v>
      </c>
      <c r="AA87">
        <v>4</v>
      </c>
      <c r="AB87">
        <v>4</v>
      </c>
      <c r="AC87">
        <v>4</v>
      </c>
      <c r="AD87">
        <v>4</v>
      </c>
      <c r="AE87">
        <v>1</v>
      </c>
      <c r="AF87">
        <v>5</v>
      </c>
      <c r="AG87">
        <v>1</v>
      </c>
      <c r="AH87">
        <v>5</v>
      </c>
      <c r="AI87">
        <v>1</v>
      </c>
      <c r="AJ87">
        <v>1</v>
      </c>
      <c r="AK87" t="b">
        <f>Table67[[#This Row],[What is your age?]]&lt;&gt;"18 - 25"</f>
        <v>0</v>
      </c>
      <c r="AL87" t="b">
        <f t="shared" si="4"/>
        <v>0</v>
      </c>
      <c r="AM87" t="b">
        <f t="shared" si="5"/>
        <v>0</v>
      </c>
      <c r="AN87" t="b">
        <f t="shared" si="6"/>
        <v>0</v>
      </c>
      <c r="AO87" t="b">
        <f>OR(Table67[[#This Row],[Ineligible respondents]:[Inconsistent response on opposite question (3)]])</f>
        <v>0</v>
      </c>
      <c r="AP8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87">
        <f>Table67[[#This Row],[Extreme Response]]/21</f>
        <v>0.23809523809523808</v>
      </c>
      <c r="AR87">
        <f>_xlfn.PERCENTILE.INC(Table67[Extrem Response Ratio (ERS)],0.9)</f>
        <v>0.61904761904761907</v>
      </c>
      <c r="AS87" t="b">
        <f>Table67[[#This Row],[Extrem Response Ratio (ERS)]]&gt;=Table67[[#This Row],[Threshold of ERS]]</f>
        <v>0</v>
      </c>
      <c r="AT87">
        <f>COUNTIF(Table67[[#This Row],[The mechanism of digital assets is difficult to understand, which discourages me from exploring it (E.g, Tokenization, Blockchain)]:[If I want to try different ways to invest, I will explore digital assets.]], 3)</f>
        <v>3</v>
      </c>
      <c r="AU87">
        <f>Table67[[#This Row],[Midpoint]]/21</f>
        <v>0.14285714285714285</v>
      </c>
      <c r="AV87">
        <f>_xlfn.PERCENTILE.INC(Table67[Midpoint ratio],0.9)</f>
        <v>0.5714285714285714</v>
      </c>
      <c r="AW87" t="b">
        <f>Table67[[#This Row],[Midpoint ratio]]&gt;=Table67[[#This Row],[Threshold of Midpoint ratio]]</f>
        <v>0</v>
      </c>
      <c r="AX87" t="b">
        <f>OR(Table67[[#This Row],[Extreme Response Style]],Table67[[#This Row],[Mid-point Response Style]])</f>
        <v>0</v>
      </c>
      <c r="AY87" t="b">
        <f>OR(Table67[[#This Row],[Delete? (Stage 1)]],Table67[[#This Row],[Delete? (Stage 2)]])</f>
        <v>0</v>
      </c>
      <c r="AZ87" t="s">
        <v>59</v>
      </c>
    </row>
    <row r="88" spans="1:52">
      <c r="A88">
        <f t="shared" si="7"/>
        <v>87</v>
      </c>
      <c r="B88" s="3">
        <v>45991.735324074099</v>
      </c>
      <c r="C88" s="3">
        <v>45991.738414351901</v>
      </c>
      <c r="D88" t="s">
        <v>53</v>
      </c>
      <c r="G88" t="s">
        <v>54</v>
      </c>
      <c r="H88" t="s">
        <v>63</v>
      </c>
      <c r="I88" t="s">
        <v>56</v>
      </c>
      <c r="J88" t="s">
        <v>64</v>
      </c>
      <c r="K88" t="s">
        <v>57</v>
      </c>
      <c r="L88" t="s">
        <v>58</v>
      </c>
      <c r="M88" t="s">
        <v>58</v>
      </c>
      <c r="N88">
        <v>2</v>
      </c>
      <c r="O88">
        <v>2</v>
      </c>
      <c r="P88">
        <v>4</v>
      </c>
      <c r="Q88">
        <v>4</v>
      </c>
      <c r="R88">
        <v>4</v>
      </c>
      <c r="S88">
        <v>4</v>
      </c>
      <c r="T88">
        <v>2</v>
      </c>
      <c r="U88">
        <v>4</v>
      </c>
      <c r="V88">
        <v>4</v>
      </c>
      <c r="W88">
        <v>2</v>
      </c>
      <c r="X88">
        <v>4</v>
      </c>
      <c r="Y88">
        <v>4</v>
      </c>
      <c r="Z88">
        <v>4</v>
      </c>
      <c r="AA88">
        <v>4</v>
      </c>
      <c r="AB88">
        <v>4</v>
      </c>
      <c r="AC88">
        <v>4</v>
      </c>
      <c r="AD88">
        <v>2</v>
      </c>
      <c r="AE88">
        <v>4</v>
      </c>
      <c r="AF88">
        <v>4</v>
      </c>
      <c r="AG88">
        <v>4</v>
      </c>
      <c r="AH88">
        <v>4</v>
      </c>
      <c r="AI88">
        <v>2</v>
      </c>
      <c r="AJ88">
        <v>2</v>
      </c>
      <c r="AK88" t="b">
        <f>Table67[[#This Row],[What is your age?]]&lt;&gt;"18 - 25"</f>
        <v>0</v>
      </c>
      <c r="AL88" t="b">
        <f t="shared" si="4"/>
        <v>0</v>
      </c>
      <c r="AM88" t="b">
        <f t="shared" si="5"/>
        <v>1</v>
      </c>
      <c r="AN88" t="b">
        <f t="shared" si="6"/>
        <v>0</v>
      </c>
      <c r="AO88" t="b">
        <f>OR(Table67[[#This Row],[Ineligible respondents]:[Inconsistent response on opposite question (3)]])</f>
        <v>1</v>
      </c>
      <c r="AP8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88">
        <f>Table67[[#This Row],[Extreme Response]]/21</f>
        <v>0</v>
      </c>
      <c r="AR88">
        <f>_xlfn.PERCENTILE.INC(Table67[Extrem Response Ratio (ERS)],0.9)</f>
        <v>0.61904761904761907</v>
      </c>
      <c r="AS88" t="b">
        <f>Table67[[#This Row],[Extrem Response Ratio (ERS)]]&gt;=Table67[[#This Row],[Threshold of ERS]]</f>
        <v>0</v>
      </c>
      <c r="AT88">
        <f>COUNTIF(Table67[[#This Row],[The mechanism of digital assets is difficult to understand, which discourages me from exploring it (E.g, Tokenization, Blockchain)]:[If I want to try different ways to invest, I will explore digital assets.]], 3)</f>
        <v>0</v>
      </c>
      <c r="AU88">
        <f>Table67[[#This Row],[Midpoint]]/21</f>
        <v>0</v>
      </c>
      <c r="AV88">
        <f>_xlfn.PERCENTILE.INC(Table67[Midpoint ratio],0.9)</f>
        <v>0.5714285714285714</v>
      </c>
      <c r="AW88" t="b">
        <f>Table67[[#This Row],[Midpoint ratio]]&gt;=Table67[[#This Row],[Threshold of Midpoint ratio]]</f>
        <v>0</v>
      </c>
      <c r="AX88" t="b">
        <f>OR(Table67[[#This Row],[Extreme Response Style]],Table67[[#This Row],[Mid-point Response Style]])</f>
        <v>0</v>
      </c>
      <c r="AY88" t="b">
        <f>OR(Table67[[#This Row],[Delete? (Stage 1)]],Table67[[#This Row],[Delete? (Stage 2)]])</f>
        <v>1</v>
      </c>
      <c r="AZ88" t="s">
        <v>59</v>
      </c>
    </row>
    <row r="89" spans="1:52">
      <c r="A89">
        <f t="shared" si="7"/>
        <v>88</v>
      </c>
      <c r="B89" s="3">
        <v>45991.785150463002</v>
      </c>
      <c r="C89" s="3">
        <v>45991.786400463003</v>
      </c>
      <c r="D89" t="s">
        <v>53</v>
      </c>
      <c r="G89" t="s">
        <v>54</v>
      </c>
      <c r="H89" t="s">
        <v>63</v>
      </c>
      <c r="I89" t="s">
        <v>56</v>
      </c>
      <c r="J89" t="s">
        <v>62</v>
      </c>
      <c r="K89" t="s">
        <v>57</v>
      </c>
      <c r="L89" t="s">
        <v>61</v>
      </c>
      <c r="M89" t="s">
        <v>61</v>
      </c>
      <c r="N89">
        <v>4</v>
      </c>
      <c r="O89">
        <v>3</v>
      </c>
      <c r="P89">
        <v>3</v>
      </c>
      <c r="Q89">
        <v>4</v>
      </c>
      <c r="R89">
        <v>3</v>
      </c>
      <c r="S89">
        <v>4</v>
      </c>
      <c r="T89">
        <v>2</v>
      </c>
      <c r="U89">
        <v>3</v>
      </c>
      <c r="V89">
        <v>4</v>
      </c>
      <c r="W89">
        <v>4</v>
      </c>
      <c r="X89">
        <v>3</v>
      </c>
      <c r="Y89">
        <v>3</v>
      </c>
      <c r="Z89">
        <v>4</v>
      </c>
      <c r="AA89">
        <v>3</v>
      </c>
      <c r="AB89">
        <v>2</v>
      </c>
      <c r="AC89">
        <v>2</v>
      </c>
      <c r="AD89">
        <v>2</v>
      </c>
      <c r="AE89">
        <v>2</v>
      </c>
      <c r="AF89">
        <v>4</v>
      </c>
      <c r="AG89">
        <v>2</v>
      </c>
      <c r="AH89">
        <v>4</v>
      </c>
      <c r="AI89">
        <v>2</v>
      </c>
      <c r="AJ89">
        <v>2</v>
      </c>
      <c r="AK89" t="b">
        <f>Table67[[#This Row],[What is your age?]]&lt;&gt;"18 - 25"</f>
        <v>0</v>
      </c>
      <c r="AL89" t="b">
        <f t="shared" si="4"/>
        <v>0</v>
      </c>
      <c r="AM89" t="b">
        <f t="shared" si="5"/>
        <v>0</v>
      </c>
      <c r="AN89" t="b">
        <f t="shared" si="6"/>
        <v>0</v>
      </c>
      <c r="AO89" t="b">
        <f>OR(Table67[[#This Row],[Ineligible respondents]:[Inconsistent response on opposite question (3)]])</f>
        <v>0</v>
      </c>
      <c r="AP8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89">
        <f>Table67[[#This Row],[Extreme Response]]/21</f>
        <v>0</v>
      </c>
      <c r="AR89">
        <f>_xlfn.PERCENTILE.INC(Table67[Extrem Response Ratio (ERS)],0.9)</f>
        <v>0.61904761904761907</v>
      </c>
      <c r="AS89" t="b">
        <f>Table67[[#This Row],[Extrem Response Ratio (ERS)]]&gt;=Table67[[#This Row],[Threshold of ERS]]</f>
        <v>0</v>
      </c>
      <c r="AT89">
        <f>COUNTIF(Table67[[#This Row],[The mechanism of digital assets is difficult to understand, which discourages me from exploring it (E.g, Tokenization, Blockchain)]:[If I want to try different ways to invest, I will explore digital assets.]], 3)</f>
        <v>7</v>
      </c>
      <c r="AU89">
        <f>Table67[[#This Row],[Midpoint]]/21</f>
        <v>0.33333333333333331</v>
      </c>
      <c r="AV89">
        <f>_xlfn.PERCENTILE.INC(Table67[Midpoint ratio],0.9)</f>
        <v>0.5714285714285714</v>
      </c>
      <c r="AW89" t="b">
        <f>Table67[[#This Row],[Midpoint ratio]]&gt;=Table67[[#This Row],[Threshold of Midpoint ratio]]</f>
        <v>0</v>
      </c>
      <c r="AX89" t="b">
        <f>OR(Table67[[#This Row],[Extreme Response Style]],Table67[[#This Row],[Mid-point Response Style]])</f>
        <v>0</v>
      </c>
      <c r="AY89" t="b">
        <f>OR(Table67[[#This Row],[Delete? (Stage 1)]],Table67[[#This Row],[Delete? (Stage 2)]])</f>
        <v>0</v>
      </c>
      <c r="AZ89" t="s">
        <v>59</v>
      </c>
    </row>
    <row r="90" spans="1:52">
      <c r="A90">
        <f t="shared" si="7"/>
        <v>89</v>
      </c>
      <c r="B90" s="3">
        <v>45992.052407407398</v>
      </c>
      <c r="C90" s="3">
        <v>45992.054432870398</v>
      </c>
      <c r="D90" t="s">
        <v>53</v>
      </c>
      <c r="G90" t="s">
        <v>54</v>
      </c>
      <c r="H90" t="s">
        <v>63</v>
      </c>
      <c r="I90" t="s">
        <v>56</v>
      </c>
      <c r="J90" t="s">
        <v>62</v>
      </c>
      <c r="K90" t="s">
        <v>62</v>
      </c>
      <c r="L90" t="s">
        <v>58</v>
      </c>
      <c r="M90" t="s">
        <v>61</v>
      </c>
      <c r="N90">
        <v>3</v>
      </c>
      <c r="O90">
        <v>4</v>
      </c>
      <c r="P90">
        <v>2</v>
      </c>
      <c r="Q90">
        <v>3</v>
      </c>
      <c r="R90">
        <v>4</v>
      </c>
      <c r="S90">
        <v>4</v>
      </c>
      <c r="T90">
        <v>4</v>
      </c>
      <c r="U90">
        <v>4</v>
      </c>
      <c r="V90">
        <v>5</v>
      </c>
      <c r="W90">
        <v>5</v>
      </c>
      <c r="X90">
        <v>5</v>
      </c>
      <c r="Y90">
        <v>5</v>
      </c>
      <c r="Z90">
        <v>3</v>
      </c>
      <c r="AA90">
        <v>4</v>
      </c>
      <c r="AB90">
        <v>3</v>
      </c>
      <c r="AC90">
        <v>4</v>
      </c>
      <c r="AD90">
        <v>5</v>
      </c>
      <c r="AE90">
        <v>3</v>
      </c>
      <c r="AF90">
        <v>4</v>
      </c>
      <c r="AG90">
        <v>4</v>
      </c>
      <c r="AH90">
        <v>4</v>
      </c>
      <c r="AI90">
        <v>2</v>
      </c>
      <c r="AJ90">
        <v>2</v>
      </c>
      <c r="AK90" t="b">
        <f>Table67[[#This Row],[What is your age?]]&lt;&gt;"18 - 25"</f>
        <v>0</v>
      </c>
      <c r="AL90" t="b">
        <f t="shared" si="4"/>
        <v>0</v>
      </c>
      <c r="AM90" t="b">
        <f t="shared" si="5"/>
        <v>1</v>
      </c>
      <c r="AN90" t="b">
        <f t="shared" si="6"/>
        <v>0</v>
      </c>
      <c r="AO90" t="b">
        <f>OR(Table67[[#This Row],[Ineligible respondents]:[Inconsistent response on opposite question (3)]])</f>
        <v>1</v>
      </c>
      <c r="AP9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90">
        <f>Table67[[#This Row],[Extreme Response]]/21</f>
        <v>0.23809523809523808</v>
      </c>
      <c r="AR90">
        <f>_xlfn.PERCENTILE.INC(Table67[Extrem Response Ratio (ERS)],0.9)</f>
        <v>0.61904761904761907</v>
      </c>
      <c r="AS90" t="b">
        <f>Table67[[#This Row],[Extrem Response Ratio (ERS)]]&gt;=Table67[[#This Row],[Threshold of ERS]]</f>
        <v>0</v>
      </c>
      <c r="AT90">
        <f>COUNTIF(Table67[[#This Row],[The mechanism of digital assets is difficult to understand, which discourages me from exploring it (E.g, Tokenization, Blockchain)]:[If I want to try different ways to invest, I will explore digital assets.]], 3)</f>
        <v>5</v>
      </c>
      <c r="AU90">
        <f>Table67[[#This Row],[Midpoint]]/21</f>
        <v>0.23809523809523808</v>
      </c>
      <c r="AV90">
        <f>_xlfn.PERCENTILE.INC(Table67[Midpoint ratio],0.9)</f>
        <v>0.5714285714285714</v>
      </c>
      <c r="AW90" t="b">
        <f>Table67[[#This Row],[Midpoint ratio]]&gt;=Table67[[#This Row],[Threshold of Midpoint ratio]]</f>
        <v>0</v>
      </c>
      <c r="AX90" t="b">
        <f>OR(Table67[[#This Row],[Extreme Response Style]],Table67[[#This Row],[Mid-point Response Style]])</f>
        <v>0</v>
      </c>
      <c r="AY90" t="b">
        <f>OR(Table67[[#This Row],[Delete? (Stage 1)]],Table67[[#This Row],[Delete? (Stage 2)]])</f>
        <v>1</v>
      </c>
      <c r="AZ90" t="s">
        <v>59</v>
      </c>
    </row>
    <row r="91" spans="1:52">
      <c r="A91">
        <f t="shared" si="7"/>
        <v>90</v>
      </c>
      <c r="B91" s="3">
        <v>45992.497187499997</v>
      </c>
      <c r="C91" s="3">
        <v>45992.501770833303</v>
      </c>
      <c r="D91" t="s">
        <v>53</v>
      </c>
      <c r="G91" t="s">
        <v>77</v>
      </c>
      <c r="H91" t="s">
        <v>63</v>
      </c>
      <c r="I91" t="s">
        <v>75</v>
      </c>
      <c r="J91" t="s">
        <v>66</v>
      </c>
      <c r="K91" t="s">
        <v>66</v>
      </c>
      <c r="L91" t="s">
        <v>61</v>
      </c>
      <c r="M91" t="s">
        <v>61</v>
      </c>
      <c r="N91">
        <v>5</v>
      </c>
      <c r="O91">
        <v>4</v>
      </c>
      <c r="P91">
        <v>5</v>
      </c>
      <c r="Q91">
        <v>4</v>
      </c>
      <c r="R91">
        <v>5</v>
      </c>
      <c r="S91">
        <v>5</v>
      </c>
      <c r="T91">
        <v>3</v>
      </c>
      <c r="U91">
        <v>4</v>
      </c>
      <c r="V91">
        <v>5</v>
      </c>
      <c r="W91">
        <v>5</v>
      </c>
      <c r="X91">
        <v>4</v>
      </c>
      <c r="Y91">
        <v>5</v>
      </c>
      <c r="Z91">
        <v>5</v>
      </c>
      <c r="AA91">
        <v>5</v>
      </c>
      <c r="AB91">
        <v>2</v>
      </c>
      <c r="AC91">
        <v>3</v>
      </c>
      <c r="AD91">
        <v>4</v>
      </c>
      <c r="AE91">
        <v>5</v>
      </c>
      <c r="AF91">
        <v>3</v>
      </c>
      <c r="AG91">
        <v>2</v>
      </c>
      <c r="AH91">
        <v>3</v>
      </c>
      <c r="AI91">
        <v>3</v>
      </c>
      <c r="AJ91">
        <v>3</v>
      </c>
      <c r="AK91" t="b">
        <f>Table67[[#This Row],[What is your age?]]&lt;&gt;"18 - 25"</f>
        <v>1</v>
      </c>
      <c r="AL91" t="b">
        <f t="shared" si="4"/>
        <v>0</v>
      </c>
      <c r="AM91" t="b">
        <f t="shared" si="5"/>
        <v>0</v>
      </c>
      <c r="AN91" t="b">
        <f t="shared" si="6"/>
        <v>1</v>
      </c>
      <c r="AO91" t="b">
        <f>OR(Table67[[#This Row],[Ineligible respondents]:[Inconsistent response on opposite question (3)]])</f>
        <v>1</v>
      </c>
      <c r="AP9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10</v>
      </c>
      <c r="AQ91">
        <f>Table67[[#This Row],[Extreme Response]]/21</f>
        <v>0.47619047619047616</v>
      </c>
      <c r="AR91">
        <f>_xlfn.PERCENTILE.INC(Table67[Extrem Response Ratio (ERS)],0.9)</f>
        <v>0.61904761904761907</v>
      </c>
      <c r="AS91" t="b">
        <f>Table67[[#This Row],[Extrem Response Ratio (ERS)]]&gt;=Table67[[#This Row],[Threshold of ERS]]</f>
        <v>0</v>
      </c>
      <c r="AT91">
        <f>COUNTIF(Table67[[#This Row],[The mechanism of digital assets is difficult to understand, which discourages me from exploring it (E.g, Tokenization, Blockchain)]:[If I want to try different ways to invest, I will explore digital assets.]], 3)</f>
        <v>4</v>
      </c>
      <c r="AU91">
        <f>Table67[[#This Row],[Midpoint]]/21</f>
        <v>0.19047619047619047</v>
      </c>
      <c r="AV91">
        <f>_xlfn.PERCENTILE.INC(Table67[Midpoint ratio],0.9)</f>
        <v>0.5714285714285714</v>
      </c>
      <c r="AW91" t="b">
        <f>Table67[[#This Row],[Midpoint ratio]]&gt;=Table67[[#This Row],[Threshold of Midpoint ratio]]</f>
        <v>0</v>
      </c>
      <c r="AX91" t="b">
        <f>OR(Table67[[#This Row],[Extreme Response Style]],Table67[[#This Row],[Mid-point Response Style]])</f>
        <v>0</v>
      </c>
      <c r="AY91" t="b">
        <f>OR(Table67[[#This Row],[Delete? (Stage 1)]],Table67[[#This Row],[Delete? (Stage 2)]])</f>
        <v>1</v>
      </c>
      <c r="AZ91" t="s">
        <v>59</v>
      </c>
    </row>
    <row r="92" spans="1:52">
      <c r="A92">
        <f t="shared" si="7"/>
        <v>91</v>
      </c>
      <c r="B92" s="3">
        <v>45992.564918981501</v>
      </c>
      <c r="C92" s="3">
        <v>45992.567789351902</v>
      </c>
      <c r="D92" t="s">
        <v>53</v>
      </c>
      <c r="G92" t="s">
        <v>54</v>
      </c>
      <c r="H92" t="s">
        <v>63</v>
      </c>
      <c r="I92" t="s">
        <v>56</v>
      </c>
      <c r="J92" t="s">
        <v>62</v>
      </c>
      <c r="K92" t="s">
        <v>62</v>
      </c>
      <c r="L92" t="s">
        <v>61</v>
      </c>
      <c r="M92" t="s">
        <v>61</v>
      </c>
      <c r="N92">
        <v>2</v>
      </c>
      <c r="O92">
        <v>1</v>
      </c>
      <c r="P92">
        <v>4</v>
      </c>
      <c r="Q92">
        <v>4</v>
      </c>
      <c r="R92">
        <v>2</v>
      </c>
      <c r="S92">
        <v>4</v>
      </c>
      <c r="T92">
        <v>4</v>
      </c>
      <c r="U92">
        <v>4</v>
      </c>
      <c r="V92">
        <v>4</v>
      </c>
      <c r="W92">
        <v>3</v>
      </c>
      <c r="X92">
        <v>2</v>
      </c>
      <c r="Y92">
        <v>2</v>
      </c>
      <c r="Z92">
        <v>2</v>
      </c>
      <c r="AA92">
        <v>4</v>
      </c>
      <c r="AB92">
        <v>4</v>
      </c>
      <c r="AC92">
        <v>4</v>
      </c>
      <c r="AD92">
        <v>4</v>
      </c>
      <c r="AE92">
        <v>4</v>
      </c>
      <c r="AF92">
        <v>4</v>
      </c>
      <c r="AG92">
        <v>3</v>
      </c>
      <c r="AH92">
        <v>2</v>
      </c>
      <c r="AI92">
        <v>4</v>
      </c>
      <c r="AJ92">
        <v>2</v>
      </c>
      <c r="AK92" t="b">
        <f>Table67[[#This Row],[What is your age?]]&lt;&gt;"18 - 25"</f>
        <v>0</v>
      </c>
      <c r="AL92" t="b">
        <f t="shared" si="4"/>
        <v>0</v>
      </c>
      <c r="AM92" t="b">
        <f t="shared" si="5"/>
        <v>0</v>
      </c>
      <c r="AN92" t="b">
        <f t="shared" si="6"/>
        <v>1</v>
      </c>
      <c r="AO92" t="b">
        <f>OR(Table67[[#This Row],[Ineligible respondents]:[Inconsistent response on opposite question (3)]])</f>
        <v>1</v>
      </c>
      <c r="AP9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92">
        <f>Table67[[#This Row],[Extreme Response]]/21</f>
        <v>4.7619047619047616E-2</v>
      </c>
      <c r="AR92">
        <f>_xlfn.PERCENTILE.INC(Table67[Extrem Response Ratio (ERS)],0.9)</f>
        <v>0.61904761904761907</v>
      </c>
      <c r="AS92" t="b">
        <f>Table67[[#This Row],[Extrem Response Ratio (ERS)]]&gt;=Table67[[#This Row],[Threshold of ERS]]</f>
        <v>0</v>
      </c>
      <c r="AT92">
        <f>COUNTIF(Table67[[#This Row],[The mechanism of digital assets is difficult to understand, which discourages me from exploring it (E.g, Tokenization, Blockchain)]:[If I want to try different ways to invest, I will explore digital assets.]], 3)</f>
        <v>2</v>
      </c>
      <c r="AU92">
        <f>Table67[[#This Row],[Midpoint]]/21</f>
        <v>9.5238095238095233E-2</v>
      </c>
      <c r="AV92">
        <f>_xlfn.PERCENTILE.INC(Table67[Midpoint ratio],0.9)</f>
        <v>0.5714285714285714</v>
      </c>
      <c r="AW92" t="b">
        <f>Table67[[#This Row],[Midpoint ratio]]&gt;=Table67[[#This Row],[Threshold of Midpoint ratio]]</f>
        <v>0</v>
      </c>
      <c r="AX92" t="b">
        <f>OR(Table67[[#This Row],[Extreme Response Style]],Table67[[#This Row],[Mid-point Response Style]])</f>
        <v>0</v>
      </c>
      <c r="AY92" t="b">
        <f>OR(Table67[[#This Row],[Delete? (Stage 1)]],Table67[[#This Row],[Delete? (Stage 2)]])</f>
        <v>1</v>
      </c>
      <c r="AZ92" t="s">
        <v>59</v>
      </c>
    </row>
    <row r="93" spans="1:52">
      <c r="A93">
        <f t="shared" si="7"/>
        <v>92</v>
      </c>
      <c r="B93" s="3">
        <v>45992.633009259298</v>
      </c>
      <c r="C93" s="3">
        <v>45992.635266203702</v>
      </c>
      <c r="D93" t="s">
        <v>53</v>
      </c>
      <c r="G93" t="s">
        <v>54</v>
      </c>
      <c r="H93" t="s">
        <v>63</v>
      </c>
      <c r="I93" t="s">
        <v>56</v>
      </c>
      <c r="J93" t="s">
        <v>67</v>
      </c>
      <c r="K93" t="s">
        <v>57</v>
      </c>
      <c r="L93" t="s">
        <v>58</v>
      </c>
      <c r="M93" t="s">
        <v>61</v>
      </c>
      <c r="N93">
        <v>3</v>
      </c>
      <c r="O93">
        <v>3</v>
      </c>
      <c r="P93">
        <v>5</v>
      </c>
      <c r="Q93">
        <v>4</v>
      </c>
      <c r="R93">
        <v>4</v>
      </c>
      <c r="S93">
        <v>3</v>
      </c>
      <c r="T93">
        <v>4</v>
      </c>
      <c r="U93">
        <v>5</v>
      </c>
      <c r="V93">
        <v>5</v>
      </c>
      <c r="W93">
        <v>5</v>
      </c>
      <c r="X93">
        <v>4</v>
      </c>
      <c r="Y93">
        <v>4</v>
      </c>
      <c r="Z93">
        <v>4</v>
      </c>
      <c r="AA93">
        <v>3</v>
      </c>
      <c r="AB93">
        <v>3</v>
      </c>
      <c r="AC93">
        <v>4</v>
      </c>
      <c r="AD93">
        <v>4</v>
      </c>
      <c r="AE93">
        <v>2</v>
      </c>
      <c r="AF93">
        <v>3</v>
      </c>
      <c r="AG93">
        <v>2</v>
      </c>
      <c r="AH93">
        <v>3</v>
      </c>
      <c r="AI93">
        <v>3</v>
      </c>
      <c r="AJ93">
        <v>3</v>
      </c>
      <c r="AK93" t="b">
        <f>Table67[[#This Row],[What is your age?]]&lt;&gt;"18 - 25"</f>
        <v>0</v>
      </c>
      <c r="AL93" t="b">
        <f t="shared" si="4"/>
        <v>0</v>
      </c>
      <c r="AM93" t="b">
        <f t="shared" si="5"/>
        <v>0</v>
      </c>
      <c r="AN93" t="b">
        <f t="shared" si="6"/>
        <v>1</v>
      </c>
      <c r="AO93" t="b">
        <f>OR(Table67[[#This Row],[Ineligible respondents]:[Inconsistent response on opposite question (3)]])</f>
        <v>1</v>
      </c>
      <c r="AP9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93">
        <f>Table67[[#This Row],[Extreme Response]]/21</f>
        <v>0.19047619047619047</v>
      </c>
      <c r="AR93">
        <f>_xlfn.PERCENTILE.INC(Table67[Extrem Response Ratio (ERS)],0.9)</f>
        <v>0.61904761904761907</v>
      </c>
      <c r="AS93" t="b">
        <f>Table67[[#This Row],[Extrem Response Ratio (ERS)]]&gt;=Table67[[#This Row],[Threshold of ERS]]</f>
        <v>0</v>
      </c>
      <c r="AT93">
        <f>COUNTIF(Table67[[#This Row],[The mechanism of digital assets is difficult to understand, which discourages me from exploring it (E.g, Tokenization, Blockchain)]:[If I want to try different ways to invest, I will explore digital assets.]], 3)</f>
        <v>7</v>
      </c>
      <c r="AU93">
        <f>Table67[[#This Row],[Midpoint]]/21</f>
        <v>0.33333333333333331</v>
      </c>
      <c r="AV93">
        <f>_xlfn.PERCENTILE.INC(Table67[Midpoint ratio],0.9)</f>
        <v>0.5714285714285714</v>
      </c>
      <c r="AW93" t="b">
        <f>Table67[[#This Row],[Midpoint ratio]]&gt;=Table67[[#This Row],[Threshold of Midpoint ratio]]</f>
        <v>0</v>
      </c>
      <c r="AX93" t="b">
        <f>OR(Table67[[#This Row],[Extreme Response Style]],Table67[[#This Row],[Mid-point Response Style]])</f>
        <v>0</v>
      </c>
      <c r="AY93" t="b">
        <f>OR(Table67[[#This Row],[Delete? (Stage 1)]],Table67[[#This Row],[Delete? (Stage 2)]])</f>
        <v>1</v>
      </c>
      <c r="AZ93" t="s">
        <v>59</v>
      </c>
    </row>
    <row r="94" spans="1:52">
      <c r="A94">
        <f t="shared" si="7"/>
        <v>93</v>
      </c>
      <c r="B94" s="3">
        <v>45992.7659375</v>
      </c>
      <c r="C94" s="3">
        <v>45992.769062500003</v>
      </c>
      <c r="D94" t="s">
        <v>53</v>
      </c>
      <c r="G94" t="s">
        <v>54</v>
      </c>
      <c r="H94" t="s">
        <v>63</v>
      </c>
      <c r="I94" t="s">
        <v>75</v>
      </c>
      <c r="J94" t="s">
        <v>67</v>
      </c>
      <c r="K94" t="s">
        <v>66</v>
      </c>
      <c r="L94" t="s">
        <v>58</v>
      </c>
      <c r="M94" t="s">
        <v>58</v>
      </c>
      <c r="N94">
        <v>4</v>
      </c>
      <c r="O94">
        <v>3</v>
      </c>
      <c r="P94">
        <v>5</v>
      </c>
      <c r="Q94">
        <v>3</v>
      </c>
      <c r="R94">
        <v>3</v>
      </c>
      <c r="S94">
        <v>2</v>
      </c>
      <c r="T94">
        <v>4</v>
      </c>
      <c r="U94">
        <v>4</v>
      </c>
      <c r="V94">
        <v>5</v>
      </c>
      <c r="W94">
        <v>5</v>
      </c>
      <c r="X94">
        <v>5</v>
      </c>
      <c r="Y94">
        <v>5</v>
      </c>
      <c r="Z94">
        <v>4</v>
      </c>
      <c r="AA94">
        <v>4</v>
      </c>
      <c r="AB94">
        <v>2</v>
      </c>
      <c r="AC94">
        <v>4</v>
      </c>
      <c r="AD94">
        <v>4</v>
      </c>
      <c r="AE94">
        <v>2</v>
      </c>
      <c r="AF94">
        <v>2</v>
      </c>
      <c r="AG94">
        <v>4</v>
      </c>
      <c r="AH94">
        <v>2</v>
      </c>
      <c r="AI94">
        <v>4</v>
      </c>
      <c r="AJ94">
        <v>4</v>
      </c>
      <c r="AK94" t="b">
        <f>Table67[[#This Row],[What is your age?]]&lt;&gt;"18 - 25"</f>
        <v>0</v>
      </c>
      <c r="AL94" t="b">
        <f t="shared" si="4"/>
        <v>0</v>
      </c>
      <c r="AM94" t="b">
        <f t="shared" si="5"/>
        <v>0</v>
      </c>
      <c r="AN94" t="b">
        <f t="shared" si="6"/>
        <v>0</v>
      </c>
      <c r="AO94" t="b">
        <f>OR(Table67[[#This Row],[Ineligible respondents]:[Inconsistent response on opposite question (3)]])</f>
        <v>0</v>
      </c>
      <c r="AP9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94">
        <f>Table67[[#This Row],[Extreme Response]]/21</f>
        <v>0.23809523809523808</v>
      </c>
      <c r="AR94">
        <f>_xlfn.PERCENTILE.INC(Table67[Extrem Response Ratio (ERS)],0.9)</f>
        <v>0.61904761904761907</v>
      </c>
      <c r="AS94" t="b">
        <f>Table67[[#This Row],[Extrem Response Ratio (ERS)]]&gt;=Table67[[#This Row],[Threshold of ERS]]</f>
        <v>0</v>
      </c>
      <c r="AT94">
        <f>COUNTIF(Table67[[#This Row],[The mechanism of digital assets is difficult to understand, which discourages me from exploring it (E.g, Tokenization, Blockchain)]:[If I want to try different ways to invest, I will explore digital assets.]], 3)</f>
        <v>3</v>
      </c>
      <c r="AU94">
        <f>Table67[[#This Row],[Midpoint]]/21</f>
        <v>0.14285714285714285</v>
      </c>
      <c r="AV94">
        <f>_xlfn.PERCENTILE.INC(Table67[Midpoint ratio],0.9)</f>
        <v>0.5714285714285714</v>
      </c>
      <c r="AW94" t="b">
        <f>Table67[[#This Row],[Midpoint ratio]]&gt;=Table67[[#This Row],[Threshold of Midpoint ratio]]</f>
        <v>0</v>
      </c>
      <c r="AX94" t="b">
        <f>OR(Table67[[#This Row],[Extreme Response Style]],Table67[[#This Row],[Mid-point Response Style]])</f>
        <v>0</v>
      </c>
      <c r="AY94" t="b">
        <f>OR(Table67[[#This Row],[Delete? (Stage 1)]],Table67[[#This Row],[Delete? (Stage 2)]])</f>
        <v>0</v>
      </c>
      <c r="AZ94" t="s">
        <v>59</v>
      </c>
    </row>
    <row r="95" spans="1:52">
      <c r="A95">
        <f t="shared" si="7"/>
        <v>94</v>
      </c>
      <c r="B95" s="3">
        <v>45992.846585648098</v>
      </c>
      <c r="C95" s="3">
        <v>45992.851041666698</v>
      </c>
      <c r="D95" t="s">
        <v>53</v>
      </c>
      <c r="G95" t="s">
        <v>54</v>
      </c>
      <c r="H95" t="s">
        <v>63</v>
      </c>
      <c r="I95" t="s">
        <v>56</v>
      </c>
      <c r="J95" t="s">
        <v>68</v>
      </c>
      <c r="K95" t="s">
        <v>66</v>
      </c>
      <c r="L95" t="s">
        <v>58</v>
      </c>
      <c r="M95" t="s">
        <v>61</v>
      </c>
      <c r="N95">
        <v>2</v>
      </c>
      <c r="O95">
        <v>2</v>
      </c>
      <c r="P95">
        <v>5</v>
      </c>
      <c r="Q95">
        <v>5</v>
      </c>
      <c r="R95">
        <v>5</v>
      </c>
      <c r="S95">
        <v>5</v>
      </c>
      <c r="T95">
        <v>4</v>
      </c>
      <c r="U95">
        <v>5</v>
      </c>
      <c r="V95">
        <v>5</v>
      </c>
      <c r="W95">
        <v>5</v>
      </c>
      <c r="X95">
        <v>5</v>
      </c>
      <c r="Y95">
        <v>5</v>
      </c>
      <c r="Z95">
        <v>5</v>
      </c>
      <c r="AA95">
        <v>5</v>
      </c>
      <c r="AB95">
        <v>1</v>
      </c>
      <c r="AC95">
        <v>4</v>
      </c>
      <c r="AD95">
        <v>2</v>
      </c>
      <c r="AE95">
        <v>1</v>
      </c>
      <c r="AF95">
        <v>2</v>
      </c>
      <c r="AG95">
        <v>4</v>
      </c>
      <c r="AH95">
        <v>2</v>
      </c>
      <c r="AI95">
        <v>4</v>
      </c>
      <c r="AJ95">
        <v>4</v>
      </c>
      <c r="AK95" t="b">
        <f>Table67[[#This Row],[What is your age?]]&lt;&gt;"18 - 25"</f>
        <v>0</v>
      </c>
      <c r="AL95" t="b">
        <f t="shared" si="4"/>
        <v>0</v>
      </c>
      <c r="AM95" t="b">
        <f t="shared" si="5"/>
        <v>0</v>
      </c>
      <c r="AN95" t="b">
        <f t="shared" si="6"/>
        <v>0</v>
      </c>
      <c r="AO95" t="b">
        <f>OR(Table67[[#This Row],[Ineligible respondents]:[Inconsistent response on opposite question (3)]])</f>
        <v>0</v>
      </c>
      <c r="AP9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95">
        <f>Table67[[#This Row],[Extreme Response]]/21</f>
        <v>0.61904761904761907</v>
      </c>
      <c r="AR95">
        <f>_xlfn.PERCENTILE.INC(Table67[Extrem Response Ratio (ERS)],0.9)</f>
        <v>0.61904761904761907</v>
      </c>
      <c r="AS95" t="b">
        <f>Table67[[#This Row],[Extrem Response Ratio (ERS)]]&gt;=Table67[[#This Row],[Threshold of ERS]]</f>
        <v>1</v>
      </c>
      <c r="AT95">
        <f>COUNTIF(Table67[[#This Row],[The mechanism of digital assets is difficult to understand, which discourages me from exploring it (E.g, Tokenization, Blockchain)]:[If I want to try different ways to invest, I will explore digital assets.]], 3)</f>
        <v>0</v>
      </c>
      <c r="AU95">
        <f>Table67[[#This Row],[Midpoint]]/21</f>
        <v>0</v>
      </c>
      <c r="AV95">
        <f>_xlfn.PERCENTILE.INC(Table67[Midpoint ratio],0.9)</f>
        <v>0.5714285714285714</v>
      </c>
      <c r="AW95" t="b">
        <f>Table67[[#This Row],[Midpoint ratio]]&gt;=Table67[[#This Row],[Threshold of Midpoint ratio]]</f>
        <v>0</v>
      </c>
      <c r="AX95" t="b">
        <f>OR(Table67[[#This Row],[Extreme Response Style]],Table67[[#This Row],[Mid-point Response Style]])</f>
        <v>1</v>
      </c>
      <c r="AY95" t="b">
        <f>OR(Table67[[#This Row],[Delete? (Stage 1)]],Table67[[#This Row],[Delete? (Stage 2)]])</f>
        <v>1</v>
      </c>
      <c r="AZ95" t="s">
        <v>59</v>
      </c>
    </row>
    <row r="96" spans="1:52">
      <c r="A96">
        <f t="shared" si="7"/>
        <v>95</v>
      </c>
      <c r="B96" s="3">
        <v>45993.282094907401</v>
      </c>
      <c r="C96" s="3">
        <v>45993.284513888902</v>
      </c>
      <c r="D96" t="s">
        <v>53</v>
      </c>
      <c r="G96" t="s">
        <v>54</v>
      </c>
      <c r="H96" t="s">
        <v>63</v>
      </c>
      <c r="I96" t="s">
        <v>56</v>
      </c>
      <c r="J96" t="s">
        <v>57</v>
      </c>
      <c r="K96" t="s">
        <v>66</v>
      </c>
      <c r="L96" t="s">
        <v>58</v>
      </c>
      <c r="M96" t="s">
        <v>58</v>
      </c>
      <c r="N96">
        <v>3</v>
      </c>
      <c r="O96">
        <v>2</v>
      </c>
      <c r="P96">
        <v>4</v>
      </c>
      <c r="Q96">
        <v>3</v>
      </c>
      <c r="R96">
        <v>3</v>
      </c>
      <c r="S96">
        <v>3</v>
      </c>
      <c r="T96">
        <v>3</v>
      </c>
      <c r="U96">
        <v>3</v>
      </c>
      <c r="V96">
        <v>3</v>
      </c>
      <c r="W96">
        <v>3</v>
      </c>
      <c r="X96">
        <v>4</v>
      </c>
      <c r="Y96">
        <v>3</v>
      </c>
      <c r="Z96">
        <v>3</v>
      </c>
      <c r="AA96">
        <v>3</v>
      </c>
      <c r="AB96">
        <v>2</v>
      </c>
      <c r="AC96">
        <v>2</v>
      </c>
      <c r="AD96">
        <v>2</v>
      </c>
      <c r="AE96">
        <v>4</v>
      </c>
      <c r="AF96">
        <v>3</v>
      </c>
      <c r="AG96">
        <v>3</v>
      </c>
      <c r="AH96">
        <v>3</v>
      </c>
      <c r="AI96">
        <v>3</v>
      </c>
      <c r="AJ96">
        <v>3</v>
      </c>
      <c r="AK96" t="b">
        <f>Table67[[#This Row],[What is your age?]]&lt;&gt;"18 - 25"</f>
        <v>0</v>
      </c>
      <c r="AL96" t="b">
        <f t="shared" si="4"/>
        <v>0</v>
      </c>
      <c r="AM96" t="b">
        <f t="shared" si="5"/>
        <v>0</v>
      </c>
      <c r="AN96" t="b">
        <f t="shared" si="6"/>
        <v>0</v>
      </c>
      <c r="AO96" t="b">
        <f>OR(Table67[[#This Row],[Ineligible respondents]:[Inconsistent response on opposite question (3)]])</f>
        <v>0</v>
      </c>
      <c r="AP9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96">
        <f>Table67[[#This Row],[Extreme Response]]/21</f>
        <v>0</v>
      </c>
      <c r="AR96">
        <f>_xlfn.PERCENTILE.INC(Table67[Extrem Response Ratio (ERS)],0.9)</f>
        <v>0.61904761904761907</v>
      </c>
      <c r="AS96" t="b">
        <f>Table67[[#This Row],[Extrem Response Ratio (ERS)]]&gt;=Table67[[#This Row],[Threshold of ERS]]</f>
        <v>0</v>
      </c>
      <c r="AT96">
        <f>COUNTIF(Table67[[#This Row],[The mechanism of digital assets is difficult to understand, which discourages me from exploring it (E.g, Tokenization, Blockchain)]:[If I want to try different ways to invest, I will explore digital assets.]], 3)</f>
        <v>14</v>
      </c>
      <c r="AU96">
        <f>Table67[[#This Row],[Midpoint]]/21</f>
        <v>0.66666666666666663</v>
      </c>
      <c r="AV96">
        <f>_xlfn.PERCENTILE.INC(Table67[Midpoint ratio],0.9)</f>
        <v>0.5714285714285714</v>
      </c>
      <c r="AW96" t="b">
        <f>Table67[[#This Row],[Midpoint ratio]]&gt;=Table67[[#This Row],[Threshold of Midpoint ratio]]</f>
        <v>1</v>
      </c>
      <c r="AX96" t="b">
        <f>OR(Table67[[#This Row],[Extreme Response Style]],Table67[[#This Row],[Mid-point Response Style]])</f>
        <v>1</v>
      </c>
      <c r="AY96" t="b">
        <f>OR(Table67[[#This Row],[Delete? (Stage 1)]],Table67[[#This Row],[Delete? (Stage 2)]])</f>
        <v>1</v>
      </c>
      <c r="AZ96" t="s">
        <v>59</v>
      </c>
    </row>
    <row r="97" spans="1:52">
      <c r="A97">
        <f t="shared" si="7"/>
        <v>96</v>
      </c>
      <c r="B97" s="3">
        <v>45993.448946759301</v>
      </c>
      <c r="C97" s="3">
        <v>45993.450231481504</v>
      </c>
      <c r="D97" t="s">
        <v>53</v>
      </c>
      <c r="G97" t="s">
        <v>54</v>
      </c>
      <c r="H97" t="s">
        <v>63</v>
      </c>
      <c r="I97" t="s">
        <v>56</v>
      </c>
      <c r="J97" t="s">
        <v>62</v>
      </c>
      <c r="K97" t="s">
        <v>66</v>
      </c>
      <c r="L97" t="s">
        <v>61</v>
      </c>
      <c r="M97" t="s">
        <v>61</v>
      </c>
      <c r="N97">
        <v>3</v>
      </c>
      <c r="O97">
        <v>4</v>
      </c>
      <c r="P97">
        <v>3</v>
      </c>
      <c r="Q97">
        <v>3</v>
      </c>
      <c r="R97">
        <v>3</v>
      </c>
      <c r="S97">
        <v>3</v>
      </c>
      <c r="T97">
        <v>3</v>
      </c>
      <c r="U97">
        <v>3</v>
      </c>
      <c r="V97">
        <v>3</v>
      </c>
      <c r="W97">
        <v>3</v>
      </c>
      <c r="X97">
        <v>3</v>
      </c>
      <c r="Y97">
        <v>3</v>
      </c>
      <c r="Z97">
        <v>3</v>
      </c>
      <c r="AA97">
        <v>3</v>
      </c>
      <c r="AB97">
        <v>3</v>
      </c>
      <c r="AC97">
        <v>3</v>
      </c>
      <c r="AD97">
        <v>3</v>
      </c>
      <c r="AE97">
        <v>4</v>
      </c>
      <c r="AF97">
        <v>3</v>
      </c>
      <c r="AG97">
        <v>2</v>
      </c>
      <c r="AH97">
        <v>5</v>
      </c>
      <c r="AI97">
        <v>1</v>
      </c>
      <c r="AJ97">
        <v>3</v>
      </c>
      <c r="AK97" t="b">
        <f>Table67[[#This Row],[What is your age?]]&lt;&gt;"18 - 25"</f>
        <v>0</v>
      </c>
      <c r="AL97" t="b">
        <f t="shared" si="4"/>
        <v>0</v>
      </c>
      <c r="AM97" t="b">
        <f t="shared" si="5"/>
        <v>0</v>
      </c>
      <c r="AN97" t="b">
        <f t="shared" si="6"/>
        <v>0</v>
      </c>
      <c r="AO97" t="b">
        <f>OR(Table67[[#This Row],[Ineligible respondents]:[Inconsistent response on opposite question (3)]])</f>
        <v>0</v>
      </c>
      <c r="AP9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97">
        <f>Table67[[#This Row],[Extreme Response]]/21</f>
        <v>4.7619047619047616E-2</v>
      </c>
      <c r="AR97">
        <f>_xlfn.PERCENTILE.INC(Table67[Extrem Response Ratio (ERS)],0.9)</f>
        <v>0.61904761904761907</v>
      </c>
      <c r="AS97" t="b">
        <f>Table67[[#This Row],[Extrem Response Ratio (ERS)]]&gt;=Table67[[#This Row],[Threshold of ERS]]</f>
        <v>0</v>
      </c>
      <c r="AT97">
        <f>COUNTIF(Table67[[#This Row],[The mechanism of digital assets is difficult to understand, which discourages me from exploring it (E.g, Tokenization, Blockchain)]:[If I want to try different ways to invest, I will explore digital assets.]], 3)</f>
        <v>17</v>
      </c>
      <c r="AU97">
        <f>Table67[[#This Row],[Midpoint]]/21</f>
        <v>0.80952380952380953</v>
      </c>
      <c r="AV97">
        <f>_xlfn.PERCENTILE.INC(Table67[Midpoint ratio],0.9)</f>
        <v>0.5714285714285714</v>
      </c>
      <c r="AW97" t="b">
        <f>Table67[[#This Row],[Midpoint ratio]]&gt;=Table67[[#This Row],[Threshold of Midpoint ratio]]</f>
        <v>1</v>
      </c>
      <c r="AX97" t="b">
        <f>OR(Table67[[#This Row],[Extreme Response Style]],Table67[[#This Row],[Mid-point Response Style]])</f>
        <v>1</v>
      </c>
      <c r="AY97" t="b">
        <f>OR(Table67[[#This Row],[Delete? (Stage 1)]],Table67[[#This Row],[Delete? (Stage 2)]])</f>
        <v>1</v>
      </c>
      <c r="AZ97" t="s">
        <v>59</v>
      </c>
    </row>
    <row r="98" spans="1:52">
      <c r="A98">
        <f t="shared" si="7"/>
        <v>97</v>
      </c>
      <c r="B98" s="3">
        <v>45993.4506944444</v>
      </c>
      <c r="C98" s="3">
        <v>45993.453182870398</v>
      </c>
      <c r="D98" t="s">
        <v>53</v>
      </c>
      <c r="G98" t="s">
        <v>54</v>
      </c>
      <c r="H98" t="s">
        <v>63</v>
      </c>
      <c r="I98" t="s">
        <v>56</v>
      </c>
      <c r="J98" t="s">
        <v>57</v>
      </c>
      <c r="K98" t="s">
        <v>66</v>
      </c>
      <c r="L98" t="s">
        <v>61</v>
      </c>
      <c r="M98" t="s">
        <v>58</v>
      </c>
      <c r="N98">
        <v>5</v>
      </c>
      <c r="O98">
        <v>3</v>
      </c>
      <c r="P98">
        <v>2</v>
      </c>
      <c r="Q98">
        <v>2</v>
      </c>
      <c r="R98">
        <v>4</v>
      </c>
      <c r="S98">
        <v>2</v>
      </c>
      <c r="T98">
        <v>2</v>
      </c>
      <c r="U98">
        <v>2</v>
      </c>
      <c r="V98">
        <v>4</v>
      </c>
      <c r="W98">
        <v>4</v>
      </c>
      <c r="X98">
        <v>4</v>
      </c>
      <c r="Y98">
        <v>4</v>
      </c>
      <c r="Z98">
        <v>2</v>
      </c>
      <c r="AA98">
        <v>2</v>
      </c>
      <c r="AB98">
        <v>2</v>
      </c>
      <c r="AC98">
        <v>2</v>
      </c>
      <c r="AD98">
        <v>2</v>
      </c>
      <c r="AE98">
        <v>2</v>
      </c>
      <c r="AF98">
        <v>4</v>
      </c>
      <c r="AG98">
        <v>2</v>
      </c>
      <c r="AH98">
        <v>4</v>
      </c>
      <c r="AI98">
        <v>2</v>
      </c>
      <c r="AJ98">
        <v>2</v>
      </c>
      <c r="AK98" t="b">
        <f>Table67[[#This Row],[What is your age?]]&lt;&gt;"18 - 25"</f>
        <v>0</v>
      </c>
      <c r="AL98" t="b">
        <f t="shared" si="4"/>
        <v>0</v>
      </c>
      <c r="AM98" t="b">
        <f t="shared" si="5"/>
        <v>0</v>
      </c>
      <c r="AN98" t="b">
        <f t="shared" si="6"/>
        <v>0</v>
      </c>
      <c r="AO98" t="b">
        <f>OR(Table67[[#This Row],[Ineligible respondents]:[Inconsistent response on opposite question (3)]])</f>
        <v>0</v>
      </c>
      <c r="AP9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98">
        <f>Table67[[#This Row],[Extreme Response]]/21</f>
        <v>4.7619047619047616E-2</v>
      </c>
      <c r="AR98">
        <f>_xlfn.PERCENTILE.INC(Table67[Extrem Response Ratio (ERS)],0.9)</f>
        <v>0.61904761904761907</v>
      </c>
      <c r="AS98" t="b">
        <f>Table67[[#This Row],[Extrem Response Ratio (ERS)]]&gt;=Table67[[#This Row],[Threshold of ERS]]</f>
        <v>0</v>
      </c>
      <c r="AT98">
        <f>COUNTIF(Table67[[#This Row],[The mechanism of digital assets is difficult to understand, which discourages me from exploring it (E.g, Tokenization, Blockchain)]:[If I want to try different ways to invest, I will explore digital assets.]], 3)</f>
        <v>1</v>
      </c>
      <c r="AU98">
        <f>Table67[[#This Row],[Midpoint]]/21</f>
        <v>4.7619047619047616E-2</v>
      </c>
      <c r="AV98">
        <f>_xlfn.PERCENTILE.INC(Table67[Midpoint ratio],0.9)</f>
        <v>0.5714285714285714</v>
      </c>
      <c r="AW98" t="b">
        <f>Table67[[#This Row],[Midpoint ratio]]&gt;=Table67[[#This Row],[Threshold of Midpoint ratio]]</f>
        <v>0</v>
      </c>
      <c r="AX98" t="b">
        <f>OR(Table67[[#This Row],[Extreme Response Style]],Table67[[#This Row],[Mid-point Response Style]])</f>
        <v>0</v>
      </c>
      <c r="AY98" t="b">
        <f>OR(Table67[[#This Row],[Delete? (Stage 1)]],Table67[[#This Row],[Delete? (Stage 2)]])</f>
        <v>0</v>
      </c>
      <c r="AZ98" t="s">
        <v>59</v>
      </c>
    </row>
    <row r="99" spans="1:52">
      <c r="A99">
        <f t="shared" si="7"/>
        <v>98</v>
      </c>
      <c r="B99" s="3">
        <v>45993.4507407407</v>
      </c>
      <c r="C99" s="3">
        <v>45993.4538425926</v>
      </c>
      <c r="D99" t="s">
        <v>53</v>
      </c>
      <c r="G99" t="s">
        <v>54</v>
      </c>
      <c r="H99" t="s">
        <v>63</v>
      </c>
      <c r="I99" t="s">
        <v>56</v>
      </c>
      <c r="J99" t="s">
        <v>60</v>
      </c>
      <c r="K99" t="s">
        <v>66</v>
      </c>
      <c r="L99" t="s">
        <v>58</v>
      </c>
      <c r="M99" t="s">
        <v>58</v>
      </c>
      <c r="N99">
        <v>2</v>
      </c>
      <c r="O99">
        <v>2</v>
      </c>
      <c r="P99">
        <v>1</v>
      </c>
      <c r="Q99">
        <v>2</v>
      </c>
      <c r="R99">
        <v>4</v>
      </c>
      <c r="S99">
        <v>2</v>
      </c>
      <c r="T99">
        <v>2</v>
      </c>
      <c r="U99">
        <v>1</v>
      </c>
      <c r="V99">
        <v>2</v>
      </c>
      <c r="W99">
        <v>5</v>
      </c>
      <c r="X99">
        <v>4</v>
      </c>
      <c r="Y99">
        <v>4</v>
      </c>
      <c r="Z99">
        <v>1</v>
      </c>
      <c r="AA99">
        <v>3</v>
      </c>
      <c r="AB99">
        <v>3</v>
      </c>
      <c r="AC99">
        <v>3</v>
      </c>
      <c r="AD99">
        <v>2</v>
      </c>
      <c r="AE99">
        <v>2</v>
      </c>
      <c r="AF99">
        <v>3</v>
      </c>
      <c r="AG99">
        <v>3</v>
      </c>
      <c r="AH99">
        <v>4</v>
      </c>
      <c r="AI99">
        <v>2</v>
      </c>
      <c r="AJ99">
        <v>3</v>
      </c>
      <c r="AK99" t="b">
        <f>Table67[[#This Row],[What is your age?]]&lt;&gt;"18 - 25"</f>
        <v>0</v>
      </c>
      <c r="AL99" t="b">
        <f t="shared" si="4"/>
        <v>0</v>
      </c>
      <c r="AM99" t="b">
        <f t="shared" si="5"/>
        <v>0</v>
      </c>
      <c r="AN99" t="b">
        <f t="shared" si="6"/>
        <v>1</v>
      </c>
      <c r="AO99" t="b">
        <f>OR(Table67[[#This Row],[Ineligible respondents]:[Inconsistent response on opposite question (3)]])</f>
        <v>1</v>
      </c>
      <c r="AP9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99">
        <f>Table67[[#This Row],[Extreme Response]]/21</f>
        <v>0.19047619047619047</v>
      </c>
      <c r="AR99">
        <f>_xlfn.PERCENTILE.INC(Table67[Extrem Response Ratio (ERS)],0.9)</f>
        <v>0.61904761904761907</v>
      </c>
      <c r="AS99" t="b">
        <f>Table67[[#This Row],[Extrem Response Ratio (ERS)]]&gt;=Table67[[#This Row],[Threshold of ERS]]</f>
        <v>0</v>
      </c>
      <c r="AT99">
        <f>COUNTIF(Table67[[#This Row],[The mechanism of digital assets is difficult to understand, which discourages me from exploring it (E.g, Tokenization, Blockchain)]:[If I want to try different ways to invest, I will explore digital assets.]], 3)</f>
        <v>5</v>
      </c>
      <c r="AU99">
        <f>Table67[[#This Row],[Midpoint]]/21</f>
        <v>0.23809523809523808</v>
      </c>
      <c r="AV99">
        <f>_xlfn.PERCENTILE.INC(Table67[Midpoint ratio],0.9)</f>
        <v>0.5714285714285714</v>
      </c>
      <c r="AW99" t="b">
        <f>Table67[[#This Row],[Midpoint ratio]]&gt;=Table67[[#This Row],[Threshold of Midpoint ratio]]</f>
        <v>0</v>
      </c>
      <c r="AX99" t="b">
        <f>OR(Table67[[#This Row],[Extreme Response Style]],Table67[[#This Row],[Mid-point Response Style]])</f>
        <v>0</v>
      </c>
      <c r="AY99" t="b">
        <f>OR(Table67[[#This Row],[Delete? (Stage 1)]],Table67[[#This Row],[Delete? (Stage 2)]])</f>
        <v>1</v>
      </c>
      <c r="AZ99" t="s">
        <v>59</v>
      </c>
    </row>
    <row r="100" spans="1:52">
      <c r="A100">
        <f t="shared" si="7"/>
        <v>99</v>
      </c>
      <c r="B100" s="3">
        <v>45993.636064814797</v>
      </c>
      <c r="C100" s="3">
        <v>45993.643865740698</v>
      </c>
      <c r="D100" t="s">
        <v>53</v>
      </c>
      <c r="G100" t="s">
        <v>54</v>
      </c>
      <c r="H100" t="s">
        <v>63</v>
      </c>
      <c r="I100" t="s">
        <v>75</v>
      </c>
      <c r="J100" t="s">
        <v>67</v>
      </c>
      <c r="K100" t="s">
        <v>66</v>
      </c>
      <c r="L100" t="s">
        <v>61</v>
      </c>
      <c r="M100" t="s">
        <v>61</v>
      </c>
      <c r="N100">
        <v>4</v>
      </c>
      <c r="O100">
        <v>4</v>
      </c>
      <c r="P100">
        <v>4</v>
      </c>
      <c r="Q100">
        <v>5</v>
      </c>
      <c r="R100">
        <v>4</v>
      </c>
      <c r="S100">
        <v>4</v>
      </c>
      <c r="T100">
        <v>4</v>
      </c>
      <c r="U100">
        <v>4</v>
      </c>
      <c r="V100">
        <v>5</v>
      </c>
      <c r="W100">
        <v>5</v>
      </c>
      <c r="X100">
        <v>5</v>
      </c>
      <c r="Y100">
        <v>4</v>
      </c>
      <c r="Z100">
        <v>5</v>
      </c>
      <c r="AA100">
        <v>4</v>
      </c>
      <c r="AB100">
        <v>2</v>
      </c>
      <c r="AC100">
        <v>4</v>
      </c>
      <c r="AD100">
        <v>4</v>
      </c>
      <c r="AE100">
        <v>4</v>
      </c>
      <c r="AF100">
        <v>4</v>
      </c>
      <c r="AG100">
        <v>2</v>
      </c>
      <c r="AH100">
        <v>4</v>
      </c>
      <c r="AI100">
        <v>2</v>
      </c>
      <c r="AJ100">
        <v>2</v>
      </c>
      <c r="AK100" t="b">
        <f>Table67[[#This Row],[What is your age?]]&lt;&gt;"18 - 25"</f>
        <v>0</v>
      </c>
      <c r="AL100" t="b">
        <f t="shared" si="4"/>
        <v>0</v>
      </c>
      <c r="AM100" t="b">
        <f t="shared" si="5"/>
        <v>0</v>
      </c>
      <c r="AN100" t="b">
        <f t="shared" si="6"/>
        <v>0</v>
      </c>
      <c r="AO100" t="b">
        <f>OR(Table67[[#This Row],[Ineligible respondents]:[Inconsistent response on opposite question (3)]])</f>
        <v>0</v>
      </c>
      <c r="AP10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00">
        <f>Table67[[#This Row],[Extreme Response]]/21</f>
        <v>0.23809523809523808</v>
      </c>
      <c r="AR100">
        <f>_xlfn.PERCENTILE.INC(Table67[Extrem Response Ratio (ERS)],0.9)</f>
        <v>0.61904761904761907</v>
      </c>
      <c r="AS100" t="b">
        <f>Table67[[#This Row],[Extrem Response Ratio (ERS)]]&gt;=Table67[[#This Row],[Threshold of ERS]]</f>
        <v>0</v>
      </c>
      <c r="AT100">
        <f>COUNTIF(Table67[[#This Row],[The mechanism of digital assets is difficult to understand, which discourages me from exploring it (E.g, Tokenization, Blockchain)]:[If I want to try different ways to invest, I will explore digital assets.]], 3)</f>
        <v>0</v>
      </c>
      <c r="AU100">
        <f>Table67[[#This Row],[Midpoint]]/21</f>
        <v>0</v>
      </c>
      <c r="AV100">
        <f>_xlfn.PERCENTILE.INC(Table67[Midpoint ratio],0.9)</f>
        <v>0.5714285714285714</v>
      </c>
      <c r="AW100" t="b">
        <f>Table67[[#This Row],[Midpoint ratio]]&gt;=Table67[[#This Row],[Threshold of Midpoint ratio]]</f>
        <v>0</v>
      </c>
      <c r="AX100" t="b">
        <f>OR(Table67[[#This Row],[Extreme Response Style]],Table67[[#This Row],[Mid-point Response Style]])</f>
        <v>0</v>
      </c>
      <c r="AY100" t="b">
        <f>OR(Table67[[#This Row],[Delete? (Stage 1)]],Table67[[#This Row],[Delete? (Stage 2)]])</f>
        <v>0</v>
      </c>
      <c r="AZ100" t="s">
        <v>59</v>
      </c>
    </row>
    <row r="101" spans="1:52">
      <c r="A101">
        <f t="shared" si="7"/>
        <v>100</v>
      </c>
      <c r="B101" s="3">
        <v>45993.787824074097</v>
      </c>
      <c r="C101" s="3">
        <v>45993.788842592599</v>
      </c>
      <c r="D101" t="s">
        <v>53</v>
      </c>
      <c r="G101" t="s">
        <v>54</v>
      </c>
      <c r="H101" t="s">
        <v>63</v>
      </c>
      <c r="I101" t="s">
        <v>56</v>
      </c>
      <c r="J101" t="s">
        <v>62</v>
      </c>
      <c r="K101" t="s">
        <v>66</v>
      </c>
      <c r="L101" t="s">
        <v>58</v>
      </c>
      <c r="M101" t="s">
        <v>61</v>
      </c>
      <c r="N101">
        <v>4</v>
      </c>
      <c r="O101">
        <v>4</v>
      </c>
      <c r="P101">
        <v>5</v>
      </c>
      <c r="Q101">
        <v>3</v>
      </c>
      <c r="R101">
        <v>5</v>
      </c>
      <c r="S101">
        <v>4</v>
      </c>
      <c r="T101">
        <v>3</v>
      </c>
      <c r="U101">
        <v>5</v>
      </c>
      <c r="V101">
        <v>5</v>
      </c>
      <c r="W101">
        <v>5</v>
      </c>
      <c r="X101">
        <v>4</v>
      </c>
      <c r="Y101">
        <v>5</v>
      </c>
      <c r="Z101">
        <v>3</v>
      </c>
      <c r="AA101">
        <v>4</v>
      </c>
      <c r="AB101">
        <v>2</v>
      </c>
      <c r="AC101">
        <v>4</v>
      </c>
      <c r="AD101">
        <v>5</v>
      </c>
      <c r="AE101">
        <v>2</v>
      </c>
      <c r="AF101">
        <v>2</v>
      </c>
      <c r="AG101">
        <v>2</v>
      </c>
      <c r="AH101">
        <v>2</v>
      </c>
      <c r="AI101">
        <v>4</v>
      </c>
      <c r="AJ101">
        <v>4</v>
      </c>
      <c r="AK101" t="b">
        <f>Table67[[#This Row],[What is your age?]]&lt;&gt;"18 - 25"</f>
        <v>0</v>
      </c>
      <c r="AL101" t="b">
        <f t="shared" si="4"/>
        <v>0</v>
      </c>
      <c r="AM101" t="b">
        <f t="shared" si="5"/>
        <v>1</v>
      </c>
      <c r="AN101" t="b">
        <f t="shared" si="6"/>
        <v>0</v>
      </c>
      <c r="AO101" t="b">
        <f>OR(Table67[[#This Row],[Ineligible respondents]:[Inconsistent response on opposite question (3)]])</f>
        <v>1</v>
      </c>
      <c r="AP10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01">
        <f>Table67[[#This Row],[Extreme Response]]/21</f>
        <v>0.33333333333333331</v>
      </c>
      <c r="AR101">
        <f>_xlfn.PERCENTILE.INC(Table67[Extrem Response Ratio (ERS)],0.9)</f>
        <v>0.61904761904761907</v>
      </c>
      <c r="AS101" t="b">
        <f>Table67[[#This Row],[Extrem Response Ratio (ERS)]]&gt;=Table67[[#This Row],[Threshold of ERS]]</f>
        <v>0</v>
      </c>
      <c r="AT101">
        <f>COUNTIF(Table67[[#This Row],[The mechanism of digital assets is difficult to understand, which discourages me from exploring it (E.g, Tokenization, Blockchain)]:[If I want to try different ways to invest, I will explore digital assets.]], 3)</f>
        <v>3</v>
      </c>
      <c r="AU101">
        <f>Table67[[#This Row],[Midpoint]]/21</f>
        <v>0.14285714285714285</v>
      </c>
      <c r="AV101">
        <f>_xlfn.PERCENTILE.INC(Table67[Midpoint ratio],0.9)</f>
        <v>0.5714285714285714</v>
      </c>
      <c r="AW101" t="b">
        <f>Table67[[#This Row],[Midpoint ratio]]&gt;=Table67[[#This Row],[Threshold of Midpoint ratio]]</f>
        <v>0</v>
      </c>
      <c r="AX101" t="b">
        <f>OR(Table67[[#This Row],[Extreme Response Style]],Table67[[#This Row],[Mid-point Response Style]])</f>
        <v>0</v>
      </c>
      <c r="AY101" t="b">
        <f>OR(Table67[[#This Row],[Delete? (Stage 1)]],Table67[[#This Row],[Delete? (Stage 2)]])</f>
        <v>1</v>
      </c>
      <c r="AZ101" t="s">
        <v>59</v>
      </c>
    </row>
    <row r="102" spans="1:52">
      <c r="A102">
        <f t="shared" si="7"/>
        <v>101</v>
      </c>
      <c r="B102" s="3">
        <v>45993.807233796302</v>
      </c>
      <c r="C102" s="3">
        <v>45993.808148148099</v>
      </c>
      <c r="D102" t="s">
        <v>53</v>
      </c>
      <c r="G102" t="s">
        <v>54</v>
      </c>
      <c r="H102" t="s">
        <v>63</v>
      </c>
      <c r="I102" t="s">
        <v>56</v>
      </c>
      <c r="J102" t="s">
        <v>62</v>
      </c>
      <c r="K102" t="s">
        <v>66</v>
      </c>
      <c r="L102" t="s">
        <v>58</v>
      </c>
      <c r="M102" t="s">
        <v>58</v>
      </c>
      <c r="N102">
        <v>4</v>
      </c>
      <c r="O102">
        <v>4</v>
      </c>
      <c r="P102">
        <v>4</v>
      </c>
      <c r="Q102">
        <v>4</v>
      </c>
      <c r="R102">
        <v>4</v>
      </c>
      <c r="S102">
        <v>3</v>
      </c>
      <c r="T102">
        <v>4</v>
      </c>
      <c r="U102">
        <v>4</v>
      </c>
      <c r="V102">
        <v>4</v>
      </c>
      <c r="W102">
        <v>4</v>
      </c>
      <c r="X102">
        <v>4</v>
      </c>
      <c r="Y102">
        <v>3</v>
      </c>
      <c r="Z102">
        <v>4</v>
      </c>
      <c r="AA102">
        <v>4</v>
      </c>
      <c r="AB102">
        <v>4</v>
      </c>
      <c r="AC102">
        <v>4</v>
      </c>
      <c r="AD102">
        <v>4</v>
      </c>
      <c r="AE102">
        <v>4</v>
      </c>
      <c r="AF102">
        <v>4</v>
      </c>
      <c r="AG102">
        <v>4</v>
      </c>
      <c r="AH102">
        <v>4</v>
      </c>
      <c r="AI102">
        <v>2</v>
      </c>
      <c r="AJ102">
        <v>2</v>
      </c>
      <c r="AK102" t="b">
        <f>Table67[[#This Row],[What is your age?]]&lt;&gt;"18 - 25"</f>
        <v>0</v>
      </c>
      <c r="AL102" t="b">
        <f t="shared" si="4"/>
        <v>0</v>
      </c>
      <c r="AM102" t="b">
        <f t="shared" si="5"/>
        <v>1</v>
      </c>
      <c r="AN102" t="b">
        <f t="shared" si="6"/>
        <v>0</v>
      </c>
      <c r="AO102" t="b">
        <f>OR(Table67[[#This Row],[Ineligible respondents]:[Inconsistent response on opposite question (3)]])</f>
        <v>1</v>
      </c>
      <c r="AP10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02">
        <f>Table67[[#This Row],[Extreme Response]]/21</f>
        <v>0</v>
      </c>
      <c r="AR102">
        <f>_xlfn.PERCENTILE.INC(Table67[Extrem Response Ratio (ERS)],0.9)</f>
        <v>0.61904761904761907</v>
      </c>
      <c r="AS102" t="b">
        <f>Table67[[#This Row],[Extrem Response Ratio (ERS)]]&gt;=Table67[[#This Row],[Threshold of ERS]]</f>
        <v>0</v>
      </c>
      <c r="AT102">
        <f>COUNTIF(Table67[[#This Row],[The mechanism of digital assets is difficult to understand, which discourages me from exploring it (E.g, Tokenization, Blockchain)]:[If I want to try different ways to invest, I will explore digital assets.]], 3)</f>
        <v>2</v>
      </c>
      <c r="AU102">
        <f>Table67[[#This Row],[Midpoint]]/21</f>
        <v>9.5238095238095233E-2</v>
      </c>
      <c r="AV102">
        <f>_xlfn.PERCENTILE.INC(Table67[Midpoint ratio],0.9)</f>
        <v>0.5714285714285714</v>
      </c>
      <c r="AW102" t="b">
        <f>Table67[[#This Row],[Midpoint ratio]]&gt;=Table67[[#This Row],[Threshold of Midpoint ratio]]</f>
        <v>0</v>
      </c>
      <c r="AX102" t="b">
        <f>OR(Table67[[#This Row],[Extreme Response Style]],Table67[[#This Row],[Mid-point Response Style]])</f>
        <v>0</v>
      </c>
      <c r="AY102" t="b">
        <f>OR(Table67[[#This Row],[Delete? (Stage 1)]],Table67[[#This Row],[Delete? (Stage 2)]])</f>
        <v>1</v>
      </c>
      <c r="AZ102" t="s">
        <v>59</v>
      </c>
    </row>
    <row r="103" spans="1:52">
      <c r="A103">
        <f t="shared" si="7"/>
        <v>102</v>
      </c>
      <c r="B103" s="3">
        <v>45993.855451388903</v>
      </c>
      <c r="C103" s="3">
        <v>45993.857372685197</v>
      </c>
      <c r="D103" t="s">
        <v>53</v>
      </c>
      <c r="G103" t="s">
        <v>54</v>
      </c>
      <c r="H103" t="s">
        <v>63</v>
      </c>
      <c r="I103" t="s">
        <v>56</v>
      </c>
      <c r="J103" t="s">
        <v>60</v>
      </c>
      <c r="K103" t="s">
        <v>66</v>
      </c>
      <c r="L103" t="s">
        <v>58</v>
      </c>
      <c r="M103" t="s">
        <v>61</v>
      </c>
      <c r="N103">
        <v>4</v>
      </c>
      <c r="O103">
        <v>3</v>
      </c>
      <c r="P103">
        <v>4</v>
      </c>
      <c r="Q103">
        <v>4</v>
      </c>
      <c r="R103">
        <v>4</v>
      </c>
      <c r="S103">
        <v>4</v>
      </c>
      <c r="T103">
        <v>3</v>
      </c>
      <c r="U103">
        <v>4</v>
      </c>
      <c r="V103">
        <v>4</v>
      </c>
      <c r="W103">
        <v>4</v>
      </c>
      <c r="X103">
        <v>4</v>
      </c>
      <c r="Y103">
        <v>4</v>
      </c>
      <c r="Z103">
        <v>4</v>
      </c>
      <c r="AA103">
        <v>4</v>
      </c>
      <c r="AB103">
        <v>3</v>
      </c>
      <c r="AC103">
        <v>4</v>
      </c>
      <c r="AD103">
        <v>4</v>
      </c>
      <c r="AE103">
        <v>4</v>
      </c>
      <c r="AF103">
        <v>3</v>
      </c>
      <c r="AG103">
        <v>4</v>
      </c>
      <c r="AH103">
        <v>3</v>
      </c>
      <c r="AI103">
        <v>3</v>
      </c>
      <c r="AJ103">
        <v>3</v>
      </c>
      <c r="AK103" t="b">
        <f>Table67[[#This Row],[What is your age?]]&lt;&gt;"18 - 25"</f>
        <v>0</v>
      </c>
      <c r="AL103" t="b">
        <f t="shared" si="4"/>
        <v>0</v>
      </c>
      <c r="AM103" t="b">
        <f t="shared" si="5"/>
        <v>0</v>
      </c>
      <c r="AN103" t="b">
        <f t="shared" si="6"/>
        <v>1</v>
      </c>
      <c r="AO103" t="b">
        <f>OR(Table67[[#This Row],[Ineligible respondents]:[Inconsistent response on opposite question (3)]])</f>
        <v>1</v>
      </c>
      <c r="AP10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03">
        <f>Table67[[#This Row],[Extreme Response]]/21</f>
        <v>0</v>
      </c>
      <c r="AR103">
        <f>_xlfn.PERCENTILE.INC(Table67[Extrem Response Ratio (ERS)],0.9)</f>
        <v>0.61904761904761907</v>
      </c>
      <c r="AS103" t="b">
        <f>Table67[[#This Row],[Extrem Response Ratio (ERS)]]&gt;=Table67[[#This Row],[Threshold of ERS]]</f>
        <v>0</v>
      </c>
      <c r="AT103">
        <f>COUNTIF(Table67[[#This Row],[The mechanism of digital assets is difficult to understand, which discourages me from exploring it (E.g, Tokenization, Blockchain)]:[If I want to try different ways to invest, I will explore digital assets.]], 3)</f>
        <v>5</v>
      </c>
      <c r="AU103">
        <f>Table67[[#This Row],[Midpoint]]/21</f>
        <v>0.23809523809523808</v>
      </c>
      <c r="AV103">
        <f>_xlfn.PERCENTILE.INC(Table67[Midpoint ratio],0.9)</f>
        <v>0.5714285714285714</v>
      </c>
      <c r="AW103" t="b">
        <f>Table67[[#This Row],[Midpoint ratio]]&gt;=Table67[[#This Row],[Threshold of Midpoint ratio]]</f>
        <v>0</v>
      </c>
      <c r="AX103" t="b">
        <f>OR(Table67[[#This Row],[Extreme Response Style]],Table67[[#This Row],[Mid-point Response Style]])</f>
        <v>0</v>
      </c>
      <c r="AY103" t="b">
        <f>OR(Table67[[#This Row],[Delete? (Stage 1)]],Table67[[#This Row],[Delete? (Stage 2)]])</f>
        <v>1</v>
      </c>
      <c r="AZ103" t="s">
        <v>59</v>
      </c>
    </row>
    <row r="104" spans="1:52">
      <c r="A104">
        <f t="shared" si="7"/>
        <v>103</v>
      </c>
      <c r="B104" s="3">
        <v>45994.554375</v>
      </c>
      <c r="C104" s="3">
        <v>45994.556886574101</v>
      </c>
      <c r="D104" t="s">
        <v>53</v>
      </c>
      <c r="G104" t="s">
        <v>54</v>
      </c>
      <c r="H104" t="s">
        <v>63</v>
      </c>
      <c r="I104" t="s">
        <v>56</v>
      </c>
      <c r="J104" t="s">
        <v>62</v>
      </c>
      <c r="K104" t="s">
        <v>66</v>
      </c>
      <c r="L104" t="s">
        <v>58</v>
      </c>
      <c r="M104" t="s">
        <v>61</v>
      </c>
      <c r="N104">
        <v>5</v>
      </c>
      <c r="O104">
        <v>1</v>
      </c>
      <c r="P104">
        <v>5</v>
      </c>
      <c r="Q104">
        <v>3</v>
      </c>
      <c r="R104">
        <v>4</v>
      </c>
      <c r="S104">
        <v>4</v>
      </c>
      <c r="T104">
        <v>2</v>
      </c>
      <c r="U104">
        <v>5</v>
      </c>
      <c r="V104">
        <v>5</v>
      </c>
      <c r="W104">
        <v>5</v>
      </c>
      <c r="X104">
        <v>5</v>
      </c>
      <c r="Y104">
        <v>5</v>
      </c>
      <c r="Z104">
        <v>5</v>
      </c>
      <c r="AA104">
        <v>4</v>
      </c>
      <c r="AB104">
        <v>3</v>
      </c>
      <c r="AC104">
        <v>3</v>
      </c>
      <c r="AD104">
        <v>5</v>
      </c>
      <c r="AE104">
        <v>5</v>
      </c>
      <c r="AF104">
        <v>2</v>
      </c>
      <c r="AG104">
        <v>4</v>
      </c>
      <c r="AH104">
        <v>3</v>
      </c>
      <c r="AI104">
        <v>3</v>
      </c>
      <c r="AJ104">
        <v>4</v>
      </c>
      <c r="AK104" t="b">
        <f>Table67[[#This Row],[What is your age?]]&lt;&gt;"18 - 25"</f>
        <v>0</v>
      </c>
      <c r="AL104" t="b">
        <f t="shared" si="4"/>
        <v>0</v>
      </c>
      <c r="AM104" t="b">
        <f t="shared" si="5"/>
        <v>0</v>
      </c>
      <c r="AN104" t="b">
        <f t="shared" si="6"/>
        <v>1</v>
      </c>
      <c r="AO104" t="b">
        <f>OR(Table67[[#This Row],[Ineligible respondents]:[Inconsistent response on opposite question (3)]])</f>
        <v>1</v>
      </c>
      <c r="AP10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104">
        <f>Table67[[#This Row],[Extreme Response]]/21</f>
        <v>0.52380952380952384</v>
      </c>
      <c r="AR104">
        <f>_xlfn.PERCENTILE.INC(Table67[Extrem Response Ratio (ERS)],0.9)</f>
        <v>0.61904761904761907</v>
      </c>
      <c r="AS104" t="b">
        <f>Table67[[#This Row],[Extrem Response Ratio (ERS)]]&gt;=Table67[[#This Row],[Threshold of ERS]]</f>
        <v>0</v>
      </c>
      <c r="AT104">
        <f>COUNTIF(Table67[[#This Row],[The mechanism of digital assets is difficult to understand, which discourages me from exploring it (E.g, Tokenization, Blockchain)]:[If I want to try different ways to invest, I will explore digital assets.]], 3)</f>
        <v>4</v>
      </c>
      <c r="AU104">
        <f>Table67[[#This Row],[Midpoint]]/21</f>
        <v>0.19047619047619047</v>
      </c>
      <c r="AV104">
        <f>_xlfn.PERCENTILE.INC(Table67[Midpoint ratio],0.9)</f>
        <v>0.5714285714285714</v>
      </c>
      <c r="AW104" t="b">
        <f>Table67[[#This Row],[Midpoint ratio]]&gt;=Table67[[#This Row],[Threshold of Midpoint ratio]]</f>
        <v>0</v>
      </c>
      <c r="AX104" t="b">
        <f>OR(Table67[[#This Row],[Extreme Response Style]],Table67[[#This Row],[Mid-point Response Style]])</f>
        <v>0</v>
      </c>
      <c r="AY104" t="b">
        <f>OR(Table67[[#This Row],[Delete? (Stage 1)]],Table67[[#This Row],[Delete? (Stage 2)]])</f>
        <v>1</v>
      </c>
      <c r="AZ104" t="s">
        <v>59</v>
      </c>
    </row>
    <row r="105" spans="1:52">
      <c r="A105">
        <f t="shared" si="7"/>
        <v>104</v>
      </c>
      <c r="B105" s="3">
        <v>45994.556944444397</v>
      </c>
      <c r="C105" s="3">
        <v>45994.561273148101</v>
      </c>
      <c r="D105" t="s">
        <v>53</v>
      </c>
      <c r="G105" t="s">
        <v>54</v>
      </c>
      <c r="H105" t="s">
        <v>63</v>
      </c>
      <c r="I105" t="s">
        <v>56</v>
      </c>
      <c r="J105" t="s">
        <v>60</v>
      </c>
      <c r="K105" t="s">
        <v>66</v>
      </c>
      <c r="L105" t="s">
        <v>58</v>
      </c>
      <c r="M105" t="s">
        <v>58</v>
      </c>
      <c r="N105">
        <v>3</v>
      </c>
      <c r="O105">
        <v>3</v>
      </c>
      <c r="P105">
        <v>3</v>
      </c>
      <c r="Q105">
        <v>3</v>
      </c>
      <c r="R105">
        <v>4</v>
      </c>
      <c r="S105">
        <v>4</v>
      </c>
      <c r="T105">
        <v>2</v>
      </c>
      <c r="U105">
        <v>4</v>
      </c>
      <c r="V105">
        <v>4</v>
      </c>
      <c r="W105">
        <v>3</v>
      </c>
      <c r="X105">
        <v>3</v>
      </c>
      <c r="Y105">
        <v>3</v>
      </c>
      <c r="Z105">
        <v>3</v>
      </c>
      <c r="AA105">
        <v>3</v>
      </c>
      <c r="AB105">
        <v>4</v>
      </c>
      <c r="AC105">
        <v>3</v>
      </c>
      <c r="AD105">
        <v>2</v>
      </c>
      <c r="AE105">
        <v>2</v>
      </c>
      <c r="AF105">
        <v>3</v>
      </c>
      <c r="AG105">
        <v>3</v>
      </c>
      <c r="AH105">
        <v>3</v>
      </c>
      <c r="AI105">
        <v>3</v>
      </c>
      <c r="AJ105">
        <v>3</v>
      </c>
      <c r="AK105" t="b">
        <f>Table67[[#This Row],[What is your age?]]&lt;&gt;"18 - 25"</f>
        <v>0</v>
      </c>
      <c r="AL105" t="b">
        <f t="shared" si="4"/>
        <v>0</v>
      </c>
      <c r="AM105" t="b">
        <f t="shared" si="5"/>
        <v>0</v>
      </c>
      <c r="AN105" t="b">
        <f t="shared" si="6"/>
        <v>0</v>
      </c>
      <c r="AO105" t="b">
        <f>OR(Table67[[#This Row],[Ineligible respondents]:[Inconsistent response on opposite question (3)]])</f>
        <v>0</v>
      </c>
      <c r="AP10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05">
        <f>Table67[[#This Row],[Extreme Response]]/21</f>
        <v>0</v>
      </c>
      <c r="AR105">
        <f>_xlfn.PERCENTILE.INC(Table67[Extrem Response Ratio (ERS)],0.9)</f>
        <v>0.61904761904761907</v>
      </c>
      <c r="AS105" t="b">
        <f>Table67[[#This Row],[Extrem Response Ratio (ERS)]]&gt;=Table67[[#This Row],[Threshold of ERS]]</f>
        <v>0</v>
      </c>
      <c r="AT105">
        <f>COUNTIF(Table67[[#This Row],[The mechanism of digital assets is difficult to understand, which discourages me from exploring it (E.g, Tokenization, Blockchain)]:[If I want to try different ways to invest, I will explore digital assets.]], 3)</f>
        <v>13</v>
      </c>
      <c r="AU105">
        <f>Table67[[#This Row],[Midpoint]]/21</f>
        <v>0.61904761904761907</v>
      </c>
      <c r="AV105">
        <f>_xlfn.PERCENTILE.INC(Table67[Midpoint ratio],0.9)</f>
        <v>0.5714285714285714</v>
      </c>
      <c r="AW105" t="b">
        <f>Table67[[#This Row],[Midpoint ratio]]&gt;=Table67[[#This Row],[Threshold of Midpoint ratio]]</f>
        <v>1</v>
      </c>
      <c r="AX105" t="b">
        <f>OR(Table67[[#This Row],[Extreme Response Style]],Table67[[#This Row],[Mid-point Response Style]])</f>
        <v>1</v>
      </c>
      <c r="AY105" t="b">
        <f>OR(Table67[[#This Row],[Delete? (Stage 1)]],Table67[[#This Row],[Delete? (Stage 2)]])</f>
        <v>1</v>
      </c>
      <c r="AZ105" t="s">
        <v>59</v>
      </c>
    </row>
    <row r="106" spans="1:52">
      <c r="A106">
        <f t="shared" si="7"/>
        <v>105</v>
      </c>
      <c r="B106" s="3">
        <v>45994.656759259298</v>
      </c>
      <c r="C106" s="3">
        <v>45994.657453703701</v>
      </c>
      <c r="D106" t="s">
        <v>53</v>
      </c>
      <c r="G106" t="s">
        <v>54</v>
      </c>
      <c r="H106" t="s">
        <v>63</v>
      </c>
      <c r="I106" t="s">
        <v>56</v>
      </c>
      <c r="J106" t="s">
        <v>57</v>
      </c>
      <c r="K106" t="s">
        <v>66</v>
      </c>
      <c r="L106" t="s">
        <v>58</v>
      </c>
      <c r="M106" t="s">
        <v>58</v>
      </c>
      <c r="N106">
        <v>4</v>
      </c>
      <c r="O106">
        <v>3</v>
      </c>
      <c r="P106">
        <v>4</v>
      </c>
      <c r="Q106">
        <v>4</v>
      </c>
      <c r="R106">
        <v>4</v>
      </c>
      <c r="S106">
        <v>4</v>
      </c>
      <c r="T106">
        <v>4</v>
      </c>
      <c r="U106">
        <v>4</v>
      </c>
      <c r="V106">
        <v>4</v>
      </c>
      <c r="W106">
        <v>4</v>
      </c>
      <c r="X106">
        <v>3</v>
      </c>
      <c r="Y106">
        <v>3</v>
      </c>
      <c r="Z106">
        <v>3</v>
      </c>
      <c r="AA106">
        <v>3</v>
      </c>
      <c r="AB106">
        <v>3</v>
      </c>
      <c r="AC106">
        <v>3</v>
      </c>
      <c r="AD106">
        <v>3</v>
      </c>
      <c r="AE106">
        <v>3</v>
      </c>
      <c r="AF106">
        <v>3</v>
      </c>
      <c r="AG106">
        <v>3</v>
      </c>
      <c r="AH106">
        <v>4</v>
      </c>
      <c r="AI106">
        <v>2</v>
      </c>
      <c r="AJ106">
        <v>3</v>
      </c>
      <c r="AK106" t="b">
        <f>Table67[[#This Row],[What is your age?]]&lt;&gt;"18 - 25"</f>
        <v>0</v>
      </c>
      <c r="AL106" t="b">
        <f t="shared" si="4"/>
        <v>0</v>
      </c>
      <c r="AM106" t="b">
        <f t="shared" si="5"/>
        <v>0</v>
      </c>
      <c r="AN106" t="b">
        <f t="shared" si="6"/>
        <v>1</v>
      </c>
      <c r="AO106" t="b">
        <f>OR(Table67[[#This Row],[Ineligible respondents]:[Inconsistent response on opposite question (3)]])</f>
        <v>1</v>
      </c>
      <c r="AP10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06">
        <f>Table67[[#This Row],[Extreme Response]]/21</f>
        <v>0</v>
      </c>
      <c r="AR106">
        <f>_xlfn.PERCENTILE.INC(Table67[Extrem Response Ratio (ERS)],0.9)</f>
        <v>0.61904761904761907</v>
      </c>
      <c r="AS106" t="b">
        <f>Table67[[#This Row],[Extrem Response Ratio (ERS)]]&gt;=Table67[[#This Row],[Threshold of ERS]]</f>
        <v>0</v>
      </c>
      <c r="AT106">
        <f>COUNTIF(Table67[[#This Row],[The mechanism of digital assets is difficult to understand, which discourages me from exploring it (E.g, Tokenization, Blockchain)]:[If I want to try different ways to invest, I will explore digital assets.]], 3)</f>
        <v>11</v>
      </c>
      <c r="AU106">
        <f>Table67[[#This Row],[Midpoint]]/21</f>
        <v>0.52380952380952384</v>
      </c>
      <c r="AV106">
        <f>_xlfn.PERCENTILE.INC(Table67[Midpoint ratio],0.9)</f>
        <v>0.5714285714285714</v>
      </c>
      <c r="AW106" t="b">
        <f>Table67[[#This Row],[Midpoint ratio]]&gt;=Table67[[#This Row],[Threshold of Midpoint ratio]]</f>
        <v>0</v>
      </c>
      <c r="AX106" t="b">
        <f>OR(Table67[[#This Row],[Extreme Response Style]],Table67[[#This Row],[Mid-point Response Style]])</f>
        <v>0</v>
      </c>
      <c r="AY106" t="b">
        <f>OR(Table67[[#This Row],[Delete? (Stage 1)]],Table67[[#This Row],[Delete? (Stage 2)]])</f>
        <v>1</v>
      </c>
      <c r="AZ106" t="s">
        <v>59</v>
      </c>
    </row>
    <row r="107" spans="1:52">
      <c r="A107">
        <f t="shared" si="7"/>
        <v>106</v>
      </c>
      <c r="B107" s="3">
        <v>45995.685868055603</v>
      </c>
      <c r="C107" s="3">
        <v>45995.686493055597</v>
      </c>
      <c r="D107" t="s">
        <v>53</v>
      </c>
      <c r="G107" t="s">
        <v>54</v>
      </c>
      <c r="H107" t="s">
        <v>63</v>
      </c>
      <c r="I107" t="s">
        <v>56</v>
      </c>
      <c r="J107" t="s">
        <v>62</v>
      </c>
      <c r="K107" t="s">
        <v>66</v>
      </c>
      <c r="L107" t="s">
        <v>58</v>
      </c>
      <c r="M107" t="s">
        <v>61</v>
      </c>
      <c r="N107">
        <v>3</v>
      </c>
      <c r="O107">
        <v>2</v>
      </c>
      <c r="P107">
        <v>3</v>
      </c>
      <c r="Q107">
        <v>3</v>
      </c>
      <c r="R107">
        <v>3</v>
      </c>
      <c r="S107">
        <v>3</v>
      </c>
      <c r="T107">
        <v>3</v>
      </c>
      <c r="U107">
        <v>3</v>
      </c>
      <c r="V107">
        <v>3</v>
      </c>
      <c r="W107">
        <v>3</v>
      </c>
      <c r="X107">
        <v>3</v>
      </c>
      <c r="Y107">
        <v>3</v>
      </c>
      <c r="Z107">
        <v>3</v>
      </c>
      <c r="AA107">
        <v>3</v>
      </c>
      <c r="AB107">
        <v>3</v>
      </c>
      <c r="AC107">
        <v>3</v>
      </c>
      <c r="AD107">
        <v>3</v>
      </c>
      <c r="AE107">
        <v>3</v>
      </c>
      <c r="AF107">
        <v>3</v>
      </c>
      <c r="AG107">
        <v>3</v>
      </c>
      <c r="AH107">
        <v>3</v>
      </c>
      <c r="AI107">
        <v>3</v>
      </c>
      <c r="AJ107">
        <v>3</v>
      </c>
      <c r="AK107" t="b">
        <f>Table67[[#This Row],[What is your age?]]&lt;&gt;"18 - 25"</f>
        <v>0</v>
      </c>
      <c r="AL107" t="b">
        <f t="shared" si="4"/>
        <v>0</v>
      </c>
      <c r="AM107" t="b">
        <f t="shared" si="5"/>
        <v>0</v>
      </c>
      <c r="AN107" t="b">
        <f t="shared" si="6"/>
        <v>0</v>
      </c>
      <c r="AO107" t="b">
        <f>OR(Table67[[#This Row],[Ineligible respondents]:[Inconsistent response on opposite question (3)]])</f>
        <v>0</v>
      </c>
      <c r="AP10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07">
        <f>Table67[[#This Row],[Extreme Response]]/21</f>
        <v>0</v>
      </c>
      <c r="AR107">
        <f>_xlfn.PERCENTILE.INC(Table67[Extrem Response Ratio (ERS)],0.9)</f>
        <v>0.61904761904761907</v>
      </c>
      <c r="AS107" t="b">
        <f>Table67[[#This Row],[Extrem Response Ratio (ERS)]]&gt;=Table67[[#This Row],[Threshold of ERS]]</f>
        <v>0</v>
      </c>
      <c r="AT107">
        <f>COUNTIF(Table67[[#This Row],[The mechanism of digital assets is difficult to understand, which discourages me from exploring it (E.g, Tokenization, Blockchain)]:[If I want to try different ways to invest, I will explore digital assets.]], 3)</f>
        <v>20</v>
      </c>
      <c r="AU107">
        <f>Table67[[#This Row],[Midpoint]]/21</f>
        <v>0.95238095238095233</v>
      </c>
      <c r="AV107">
        <f>_xlfn.PERCENTILE.INC(Table67[Midpoint ratio],0.9)</f>
        <v>0.5714285714285714</v>
      </c>
      <c r="AW107" t="b">
        <f>Table67[[#This Row],[Midpoint ratio]]&gt;=Table67[[#This Row],[Threshold of Midpoint ratio]]</f>
        <v>1</v>
      </c>
      <c r="AX107" t="b">
        <f>OR(Table67[[#This Row],[Extreme Response Style]],Table67[[#This Row],[Mid-point Response Style]])</f>
        <v>1</v>
      </c>
      <c r="AY107" t="b">
        <f>OR(Table67[[#This Row],[Delete? (Stage 1)]],Table67[[#This Row],[Delete? (Stage 2)]])</f>
        <v>1</v>
      </c>
      <c r="AZ107" t="s">
        <v>78</v>
      </c>
    </row>
    <row r="108" spans="1:52">
      <c r="A108">
        <f t="shared" si="7"/>
        <v>107</v>
      </c>
      <c r="B108" s="3">
        <v>45995.6875462963</v>
      </c>
      <c r="C108" s="3">
        <v>45995.688958333303</v>
      </c>
      <c r="D108" t="s">
        <v>53</v>
      </c>
      <c r="G108" t="s">
        <v>54</v>
      </c>
      <c r="H108" t="s">
        <v>55</v>
      </c>
      <c r="I108" t="s">
        <v>56</v>
      </c>
      <c r="J108" t="s">
        <v>57</v>
      </c>
      <c r="K108" t="s">
        <v>66</v>
      </c>
      <c r="L108" t="s">
        <v>61</v>
      </c>
      <c r="M108" t="s">
        <v>61</v>
      </c>
      <c r="N108">
        <v>4</v>
      </c>
      <c r="O108">
        <v>4</v>
      </c>
      <c r="P108">
        <v>4</v>
      </c>
      <c r="Q108">
        <v>4</v>
      </c>
      <c r="R108">
        <v>4</v>
      </c>
      <c r="S108">
        <v>4</v>
      </c>
      <c r="T108">
        <v>4</v>
      </c>
      <c r="U108">
        <v>4</v>
      </c>
      <c r="V108">
        <v>4</v>
      </c>
      <c r="W108">
        <v>4</v>
      </c>
      <c r="X108">
        <v>4</v>
      </c>
      <c r="Y108">
        <v>4</v>
      </c>
      <c r="Z108">
        <v>4</v>
      </c>
      <c r="AA108">
        <v>4</v>
      </c>
      <c r="AB108">
        <v>4</v>
      </c>
      <c r="AC108">
        <v>4</v>
      </c>
      <c r="AD108">
        <v>4</v>
      </c>
      <c r="AE108">
        <v>4</v>
      </c>
      <c r="AF108">
        <v>4</v>
      </c>
      <c r="AG108">
        <v>4</v>
      </c>
      <c r="AH108">
        <v>4</v>
      </c>
      <c r="AI108">
        <v>2</v>
      </c>
      <c r="AJ108">
        <v>2</v>
      </c>
      <c r="AK108" t="b">
        <f>Table67[[#This Row],[What is your age?]]&lt;&gt;"18 - 25"</f>
        <v>0</v>
      </c>
      <c r="AL108" t="b">
        <f t="shared" si="4"/>
        <v>1</v>
      </c>
      <c r="AM108" t="b">
        <f t="shared" si="5"/>
        <v>1</v>
      </c>
      <c r="AN108" t="b">
        <f t="shared" si="6"/>
        <v>0</v>
      </c>
      <c r="AO108" t="b">
        <f>OR(Table67[[#This Row],[Ineligible respondents]:[Inconsistent response on opposite question (3)]])</f>
        <v>1</v>
      </c>
      <c r="AP10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08">
        <f>Table67[[#This Row],[Extreme Response]]/21</f>
        <v>0</v>
      </c>
      <c r="AR108">
        <f>_xlfn.PERCENTILE.INC(Table67[Extrem Response Ratio (ERS)],0.9)</f>
        <v>0.61904761904761907</v>
      </c>
      <c r="AS108" t="b">
        <f>Table67[[#This Row],[Extrem Response Ratio (ERS)]]&gt;=Table67[[#This Row],[Threshold of ERS]]</f>
        <v>0</v>
      </c>
      <c r="AT108">
        <f>COUNTIF(Table67[[#This Row],[The mechanism of digital assets is difficult to understand, which discourages me from exploring it (E.g, Tokenization, Blockchain)]:[If I want to try different ways to invest, I will explore digital assets.]], 3)</f>
        <v>0</v>
      </c>
      <c r="AU108">
        <f>Table67[[#This Row],[Midpoint]]/21</f>
        <v>0</v>
      </c>
      <c r="AV108">
        <f>_xlfn.PERCENTILE.INC(Table67[Midpoint ratio],0.9)</f>
        <v>0.5714285714285714</v>
      </c>
      <c r="AW108" t="b">
        <f>Table67[[#This Row],[Midpoint ratio]]&gt;=Table67[[#This Row],[Threshold of Midpoint ratio]]</f>
        <v>0</v>
      </c>
      <c r="AX108" t="b">
        <f>OR(Table67[[#This Row],[Extreme Response Style]],Table67[[#This Row],[Mid-point Response Style]])</f>
        <v>0</v>
      </c>
      <c r="AY108" t="b">
        <f>OR(Table67[[#This Row],[Delete? (Stage 1)]],Table67[[#This Row],[Delete? (Stage 2)]])</f>
        <v>1</v>
      </c>
      <c r="AZ108" t="s">
        <v>78</v>
      </c>
    </row>
    <row r="109" spans="1:52">
      <c r="A109">
        <f t="shared" si="7"/>
        <v>108</v>
      </c>
      <c r="B109" s="3">
        <v>45995.692766203698</v>
      </c>
      <c r="C109" s="3">
        <v>45995.693263888897</v>
      </c>
      <c r="D109" t="s">
        <v>53</v>
      </c>
      <c r="G109" t="s">
        <v>54</v>
      </c>
      <c r="H109" t="s">
        <v>55</v>
      </c>
      <c r="I109" t="s">
        <v>56</v>
      </c>
      <c r="J109" t="s">
        <v>67</v>
      </c>
      <c r="K109" t="s">
        <v>66</v>
      </c>
      <c r="L109" t="s">
        <v>61</v>
      </c>
      <c r="M109" t="s">
        <v>61</v>
      </c>
      <c r="N109">
        <v>5</v>
      </c>
      <c r="O109">
        <v>4</v>
      </c>
      <c r="P109">
        <v>5</v>
      </c>
      <c r="Q109">
        <v>5</v>
      </c>
      <c r="R109">
        <v>5</v>
      </c>
      <c r="S109">
        <v>5</v>
      </c>
      <c r="T109">
        <v>5</v>
      </c>
      <c r="U109">
        <v>5</v>
      </c>
      <c r="V109">
        <v>5</v>
      </c>
      <c r="W109">
        <v>5</v>
      </c>
      <c r="X109">
        <v>5</v>
      </c>
      <c r="Y109">
        <v>5</v>
      </c>
      <c r="Z109">
        <v>5</v>
      </c>
      <c r="AA109">
        <v>5</v>
      </c>
      <c r="AB109">
        <v>5</v>
      </c>
      <c r="AC109">
        <v>5</v>
      </c>
      <c r="AD109">
        <v>5</v>
      </c>
      <c r="AE109">
        <v>5</v>
      </c>
      <c r="AF109">
        <v>5</v>
      </c>
      <c r="AG109">
        <v>5</v>
      </c>
      <c r="AH109">
        <v>5</v>
      </c>
      <c r="AI109">
        <v>1</v>
      </c>
      <c r="AJ109">
        <v>1</v>
      </c>
      <c r="AK109" t="b">
        <f>Table67[[#This Row],[What is your age?]]&lt;&gt;"18 - 25"</f>
        <v>0</v>
      </c>
      <c r="AL109" t="b">
        <f t="shared" si="4"/>
        <v>0</v>
      </c>
      <c r="AM109" t="b">
        <f t="shared" si="5"/>
        <v>1</v>
      </c>
      <c r="AN109" t="b">
        <f t="shared" si="6"/>
        <v>0</v>
      </c>
      <c r="AO109" t="b">
        <f>OR(Table67[[#This Row],[Ineligible respondents]:[Inconsistent response on opposite question (3)]])</f>
        <v>1</v>
      </c>
      <c r="AP10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20</v>
      </c>
      <c r="AQ109">
        <f>Table67[[#This Row],[Extreme Response]]/21</f>
        <v>0.95238095238095233</v>
      </c>
      <c r="AR109">
        <f>_xlfn.PERCENTILE.INC(Table67[Extrem Response Ratio (ERS)],0.9)</f>
        <v>0.61904761904761907</v>
      </c>
      <c r="AS109" t="b">
        <f>Table67[[#This Row],[Extrem Response Ratio (ERS)]]&gt;=Table67[[#This Row],[Threshold of ERS]]</f>
        <v>1</v>
      </c>
      <c r="AT109">
        <f>COUNTIF(Table67[[#This Row],[The mechanism of digital assets is difficult to understand, which discourages me from exploring it (E.g, Tokenization, Blockchain)]:[If I want to try different ways to invest, I will explore digital assets.]], 3)</f>
        <v>0</v>
      </c>
      <c r="AU109">
        <f>Table67[[#This Row],[Midpoint]]/21</f>
        <v>0</v>
      </c>
      <c r="AV109">
        <f>_xlfn.PERCENTILE.INC(Table67[Midpoint ratio],0.9)</f>
        <v>0.5714285714285714</v>
      </c>
      <c r="AW109" t="b">
        <f>Table67[[#This Row],[Midpoint ratio]]&gt;=Table67[[#This Row],[Threshold of Midpoint ratio]]</f>
        <v>0</v>
      </c>
      <c r="AX109" t="b">
        <f>OR(Table67[[#This Row],[Extreme Response Style]],Table67[[#This Row],[Mid-point Response Style]])</f>
        <v>1</v>
      </c>
      <c r="AY109" t="b">
        <f>OR(Table67[[#This Row],[Delete? (Stage 1)]],Table67[[#This Row],[Delete? (Stage 2)]])</f>
        <v>1</v>
      </c>
      <c r="AZ109" t="s">
        <v>78</v>
      </c>
    </row>
    <row r="110" spans="1:52">
      <c r="A110">
        <f t="shared" si="7"/>
        <v>109</v>
      </c>
      <c r="B110" s="3">
        <v>45995.714027777802</v>
      </c>
      <c r="C110" s="3">
        <v>45995.715150463002</v>
      </c>
      <c r="D110" t="s">
        <v>53</v>
      </c>
      <c r="G110" t="s">
        <v>54</v>
      </c>
      <c r="H110" t="s">
        <v>63</v>
      </c>
      <c r="I110" t="s">
        <v>56</v>
      </c>
      <c r="J110" t="s">
        <v>60</v>
      </c>
      <c r="K110" t="s">
        <v>57</v>
      </c>
      <c r="L110" t="s">
        <v>58</v>
      </c>
      <c r="M110" t="s">
        <v>58</v>
      </c>
      <c r="N110">
        <v>2</v>
      </c>
      <c r="O110">
        <v>3</v>
      </c>
      <c r="P110">
        <v>3</v>
      </c>
      <c r="Q110">
        <v>4</v>
      </c>
      <c r="R110">
        <v>2</v>
      </c>
      <c r="S110">
        <v>3</v>
      </c>
      <c r="T110">
        <v>4</v>
      </c>
      <c r="U110">
        <v>3</v>
      </c>
      <c r="V110">
        <v>4</v>
      </c>
      <c r="W110">
        <v>3</v>
      </c>
      <c r="X110">
        <v>3</v>
      </c>
      <c r="Y110">
        <v>2</v>
      </c>
      <c r="Z110">
        <v>3</v>
      </c>
      <c r="AA110">
        <v>2</v>
      </c>
      <c r="AB110">
        <v>4</v>
      </c>
      <c r="AC110">
        <v>3</v>
      </c>
      <c r="AD110">
        <v>3</v>
      </c>
      <c r="AE110">
        <v>2</v>
      </c>
      <c r="AF110">
        <v>3</v>
      </c>
      <c r="AG110">
        <v>4</v>
      </c>
      <c r="AH110">
        <v>2</v>
      </c>
      <c r="AI110">
        <v>4</v>
      </c>
      <c r="AJ110">
        <v>3</v>
      </c>
      <c r="AK110" t="b">
        <f>Table67[[#This Row],[What is your age?]]&lt;&gt;"18 - 25"</f>
        <v>0</v>
      </c>
      <c r="AL110" t="b">
        <f t="shared" si="4"/>
        <v>0</v>
      </c>
      <c r="AM110" t="b">
        <f t="shared" si="5"/>
        <v>0</v>
      </c>
      <c r="AN110" t="b">
        <f t="shared" si="6"/>
        <v>0</v>
      </c>
      <c r="AO110" t="b">
        <f>OR(Table67[[#This Row],[Ineligible respondents]:[Inconsistent response on opposite question (3)]])</f>
        <v>0</v>
      </c>
      <c r="AP11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10">
        <f>Table67[[#This Row],[Extreme Response]]/21</f>
        <v>0</v>
      </c>
      <c r="AR110">
        <f>_xlfn.PERCENTILE.INC(Table67[Extrem Response Ratio (ERS)],0.9)</f>
        <v>0.61904761904761907</v>
      </c>
      <c r="AS110" t="b">
        <f>Table67[[#This Row],[Extrem Response Ratio (ERS)]]&gt;=Table67[[#This Row],[Threshold of ERS]]</f>
        <v>0</v>
      </c>
      <c r="AT110">
        <f>COUNTIF(Table67[[#This Row],[The mechanism of digital assets is difficult to understand, which discourages me from exploring it (E.g, Tokenization, Blockchain)]:[If I want to try different ways to invest, I will explore digital assets.]], 3)</f>
        <v>10</v>
      </c>
      <c r="AU110">
        <f>Table67[[#This Row],[Midpoint]]/21</f>
        <v>0.47619047619047616</v>
      </c>
      <c r="AV110">
        <f>_xlfn.PERCENTILE.INC(Table67[Midpoint ratio],0.9)</f>
        <v>0.5714285714285714</v>
      </c>
      <c r="AW110" t="b">
        <f>Table67[[#This Row],[Midpoint ratio]]&gt;=Table67[[#This Row],[Threshold of Midpoint ratio]]</f>
        <v>0</v>
      </c>
      <c r="AX110" t="b">
        <f>OR(Table67[[#This Row],[Extreme Response Style]],Table67[[#This Row],[Mid-point Response Style]])</f>
        <v>0</v>
      </c>
      <c r="AY110" t="b">
        <f>OR(Table67[[#This Row],[Delete? (Stage 1)]],Table67[[#This Row],[Delete? (Stage 2)]])</f>
        <v>0</v>
      </c>
      <c r="AZ110" t="s">
        <v>78</v>
      </c>
    </row>
    <row r="111" spans="1:52">
      <c r="A111">
        <f t="shared" si="7"/>
        <v>110</v>
      </c>
      <c r="B111" s="3">
        <v>45995.734155092599</v>
      </c>
      <c r="C111" s="3">
        <v>45995.738657407397</v>
      </c>
      <c r="D111" t="s">
        <v>53</v>
      </c>
      <c r="G111" t="s">
        <v>54</v>
      </c>
      <c r="H111" t="s">
        <v>63</v>
      </c>
      <c r="I111" t="s">
        <v>56</v>
      </c>
      <c r="J111" t="s">
        <v>67</v>
      </c>
      <c r="K111" t="s">
        <v>64</v>
      </c>
      <c r="L111" t="s">
        <v>58</v>
      </c>
      <c r="M111" t="s">
        <v>61</v>
      </c>
      <c r="N111">
        <v>4</v>
      </c>
      <c r="O111">
        <v>3</v>
      </c>
      <c r="P111">
        <v>4</v>
      </c>
      <c r="Q111">
        <v>4</v>
      </c>
      <c r="R111">
        <v>4</v>
      </c>
      <c r="S111">
        <v>4</v>
      </c>
      <c r="T111">
        <v>4</v>
      </c>
      <c r="U111">
        <v>5</v>
      </c>
      <c r="V111">
        <v>5</v>
      </c>
      <c r="W111">
        <v>5</v>
      </c>
      <c r="X111">
        <v>3</v>
      </c>
      <c r="Y111">
        <v>4</v>
      </c>
      <c r="Z111">
        <v>4</v>
      </c>
      <c r="AA111">
        <v>4</v>
      </c>
      <c r="AB111">
        <v>3</v>
      </c>
      <c r="AC111">
        <v>4</v>
      </c>
      <c r="AD111">
        <v>4</v>
      </c>
      <c r="AE111">
        <v>2</v>
      </c>
      <c r="AF111">
        <v>2</v>
      </c>
      <c r="AG111">
        <v>3</v>
      </c>
      <c r="AH111">
        <v>3</v>
      </c>
      <c r="AI111">
        <v>3</v>
      </c>
      <c r="AJ111">
        <v>4</v>
      </c>
      <c r="AK111" t="b">
        <f>Table67[[#This Row],[What is your age?]]&lt;&gt;"18 - 25"</f>
        <v>0</v>
      </c>
      <c r="AL111" t="b">
        <f t="shared" si="4"/>
        <v>0</v>
      </c>
      <c r="AM111" t="b">
        <f t="shared" si="5"/>
        <v>0</v>
      </c>
      <c r="AN111" t="b">
        <f t="shared" si="6"/>
        <v>0</v>
      </c>
      <c r="AO111" t="b">
        <f>OR(Table67[[#This Row],[Ineligible respondents]:[Inconsistent response on opposite question (3)]])</f>
        <v>0</v>
      </c>
      <c r="AP11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11">
        <f>Table67[[#This Row],[Extreme Response]]/21</f>
        <v>0.14285714285714285</v>
      </c>
      <c r="AR111">
        <f>_xlfn.PERCENTILE.INC(Table67[Extrem Response Ratio (ERS)],0.9)</f>
        <v>0.61904761904761907</v>
      </c>
      <c r="AS111" t="b">
        <f>Table67[[#This Row],[Extrem Response Ratio (ERS)]]&gt;=Table67[[#This Row],[Threshold of ERS]]</f>
        <v>0</v>
      </c>
      <c r="AT111">
        <f>COUNTIF(Table67[[#This Row],[The mechanism of digital assets is difficult to understand, which discourages me from exploring it (E.g, Tokenization, Blockchain)]:[If I want to try different ways to invest, I will explore digital assets.]], 3)</f>
        <v>5</v>
      </c>
      <c r="AU111">
        <f>Table67[[#This Row],[Midpoint]]/21</f>
        <v>0.23809523809523808</v>
      </c>
      <c r="AV111">
        <f>_xlfn.PERCENTILE.INC(Table67[Midpoint ratio],0.9)</f>
        <v>0.5714285714285714</v>
      </c>
      <c r="AW111" t="b">
        <f>Table67[[#This Row],[Midpoint ratio]]&gt;=Table67[[#This Row],[Threshold of Midpoint ratio]]</f>
        <v>0</v>
      </c>
      <c r="AX111" t="b">
        <f>OR(Table67[[#This Row],[Extreme Response Style]],Table67[[#This Row],[Mid-point Response Style]])</f>
        <v>0</v>
      </c>
      <c r="AY111" t="b">
        <f>OR(Table67[[#This Row],[Delete? (Stage 1)]],Table67[[#This Row],[Delete? (Stage 2)]])</f>
        <v>0</v>
      </c>
      <c r="AZ111" t="s">
        <v>78</v>
      </c>
    </row>
    <row r="112" spans="1:52">
      <c r="A112">
        <f t="shared" si="7"/>
        <v>111</v>
      </c>
      <c r="B112" s="3">
        <v>45995.734201388899</v>
      </c>
      <c r="C112" s="3">
        <v>45995.737905092603</v>
      </c>
      <c r="D112" t="s">
        <v>53</v>
      </c>
      <c r="G112" t="s">
        <v>54</v>
      </c>
      <c r="H112" t="s">
        <v>63</v>
      </c>
      <c r="I112" t="s">
        <v>56</v>
      </c>
      <c r="J112" t="s">
        <v>68</v>
      </c>
      <c r="K112" t="s">
        <v>66</v>
      </c>
      <c r="L112" t="s">
        <v>61</v>
      </c>
      <c r="M112" t="s">
        <v>61</v>
      </c>
      <c r="N112">
        <v>5</v>
      </c>
      <c r="O112">
        <v>3</v>
      </c>
      <c r="P112">
        <v>4</v>
      </c>
      <c r="Q112">
        <v>4</v>
      </c>
      <c r="R112">
        <v>4</v>
      </c>
      <c r="S112">
        <v>4</v>
      </c>
      <c r="T112">
        <v>4</v>
      </c>
      <c r="U112">
        <v>2</v>
      </c>
      <c r="V112">
        <v>5</v>
      </c>
      <c r="W112">
        <v>4</v>
      </c>
      <c r="X112">
        <v>4</v>
      </c>
      <c r="Y112">
        <v>5</v>
      </c>
      <c r="Z112">
        <v>4</v>
      </c>
      <c r="AA112">
        <v>4</v>
      </c>
      <c r="AB112">
        <v>4</v>
      </c>
      <c r="AC112">
        <v>4</v>
      </c>
      <c r="AD112">
        <v>4</v>
      </c>
      <c r="AE112">
        <v>5</v>
      </c>
      <c r="AF112">
        <v>2</v>
      </c>
      <c r="AG112">
        <v>2</v>
      </c>
      <c r="AH112">
        <v>3</v>
      </c>
      <c r="AI112">
        <v>3</v>
      </c>
      <c r="AJ112">
        <v>4</v>
      </c>
      <c r="AK112" t="b">
        <f>Table67[[#This Row],[What is your age?]]&lt;&gt;"18 - 25"</f>
        <v>0</v>
      </c>
      <c r="AL112" t="b">
        <f t="shared" si="4"/>
        <v>0</v>
      </c>
      <c r="AM112" t="b">
        <f t="shared" si="5"/>
        <v>0</v>
      </c>
      <c r="AN112" t="b">
        <f t="shared" si="6"/>
        <v>1</v>
      </c>
      <c r="AO112" t="b">
        <f>OR(Table67[[#This Row],[Ineligible respondents]:[Inconsistent response on opposite question (3)]])</f>
        <v>1</v>
      </c>
      <c r="AP11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12">
        <f>Table67[[#This Row],[Extreme Response]]/21</f>
        <v>0.19047619047619047</v>
      </c>
      <c r="AR112">
        <f>_xlfn.PERCENTILE.INC(Table67[Extrem Response Ratio (ERS)],0.9)</f>
        <v>0.61904761904761907</v>
      </c>
      <c r="AS112" t="b">
        <f>Table67[[#This Row],[Extrem Response Ratio (ERS)]]&gt;=Table67[[#This Row],[Threshold of ERS]]</f>
        <v>0</v>
      </c>
      <c r="AT112">
        <f>COUNTIF(Table67[[#This Row],[The mechanism of digital assets is difficult to understand, which discourages me from exploring it (E.g, Tokenization, Blockchain)]:[If I want to try different ways to invest, I will explore digital assets.]], 3)</f>
        <v>2</v>
      </c>
      <c r="AU112">
        <f>Table67[[#This Row],[Midpoint]]/21</f>
        <v>9.5238095238095233E-2</v>
      </c>
      <c r="AV112">
        <f>_xlfn.PERCENTILE.INC(Table67[Midpoint ratio],0.9)</f>
        <v>0.5714285714285714</v>
      </c>
      <c r="AW112" t="b">
        <f>Table67[[#This Row],[Midpoint ratio]]&gt;=Table67[[#This Row],[Threshold of Midpoint ratio]]</f>
        <v>0</v>
      </c>
      <c r="AX112" t="b">
        <f>OR(Table67[[#This Row],[Extreme Response Style]],Table67[[#This Row],[Mid-point Response Style]])</f>
        <v>0</v>
      </c>
      <c r="AY112" t="b">
        <f>OR(Table67[[#This Row],[Delete? (Stage 1)]],Table67[[#This Row],[Delete? (Stage 2)]])</f>
        <v>1</v>
      </c>
      <c r="AZ112" t="s">
        <v>78</v>
      </c>
    </row>
    <row r="113" spans="1:52">
      <c r="A113">
        <f t="shared" si="7"/>
        <v>112</v>
      </c>
      <c r="B113" s="3">
        <v>45995.7520717593</v>
      </c>
      <c r="C113" s="3">
        <v>45995.752673611103</v>
      </c>
      <c r="D113" t="s">
        <v>53</v>
      </c>
      <c r="G113" t="s">
        <v>54</v>
      </c>
      <c r="H113" t="s">
        <v>63</v>
      </c>
      <c r="I113" t="s">
        <v>56</v>
      </c>
      <c r="J113" t="s">
        <v>65</v>
      </c>
      <c r="K113" t="s">
        <v>62</v>
      </c>
      <c r="L113" t="s">
        <v>58</v>
      </c>
      <c r="M113" t="s">
        <v>61</v>
      </c>
      <c r="N113">
        <v>3</v>
      </c>
      <c r="O113">
        <v>3</v>
      </c>
      <c r="P113">
        <v>2</v>
      </c>
      <c r="Q113">
        <v>2</v>
      </c>
      <c r="R113">
        <v>4</v>
      </c>
      <c r="S113">
        <v>2</v>
      </c>
      <c r="T113">
        <v>3</v>
      </c>
      <c r="U113">
        <v>4</v>
      </c>
      <c r="V113">
        <v>2</v>
      </c>
      <c r="W113">
        <v>3</v>
      </c>
      <c r="X113">
        <v>2</v>
      </c>
      <c r="Y113">
        <v>2</v>
      </c>
      <c r="Z113">
        <v>3</v>
      </c>
      <c r="AA113">
        <v>3</v>
      </c>
      <c r="AB113">
        <v>2</v>
      </c>
      <c r="AC113">
        <v>4</v>
      </c>
      <c r="AD113">
        <v>2</v>
      </c>
      <c r="AE113">
        <v>3</v>
      </c>
      <c r="AF113">
        <v>2</v>
      </c>
      <c r="AG113">
        <v>3</v>
      </c>
      <c r="AH113">
        <v>4</v>
      </c>
      <c r="AI113">
        <v>2</v>
      </c>
      <c r="AJ113">
        <v>4</v>
      </c>
      <c r="AK113" t="b">
        <f>Table67[[#This Row],[What is your age?]]&lt;&gt;"18 - 25"</f>
        <v>0</v>
      </c>
      <c r="AL113" t="b">
        <f t="shared" si="4"/>
        <v>0</v>
      </c>
      <c r="AM113" t="b">
        <f t="shared" si="5"/>
        <v>0</v>
      </c>
      <c r="AN113" t="b">
        <f t="shared" si="6"/>
        <v>1</v>
      </c>
      <c r="AO113" t="b">
        <f>OR(Table67[[#This Row],[Ineligible respondents]:[Inconsistent response on opposite question (3)]])</f>
        <v>1</v>
      </c>
      <c r="AP11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13">
        <f>Table67[[#This Row],[Extreme Response]]/21</f>
        <v>0</v>
      </c>
      <c r="AR113">
        <f>_xlfn.PERCENTILE.INC(Table67[Extrem Response Ratio (ERS)],0.9)</f>
        <v>0.61904761904761907</v>
      </c>
      <c r="AS113" t="b">
        <f>Table67[[#This Row],[Extrem Response Ratio (ERS)]]&gt;=Table67[[#This Row],[Threshold of ERS]]</f>
        <v>0</v>
      </c>
      <c r="AT113">
        <f>COUNTIF(Table67[[#This Row],[The mechanism of digital assets is difficult to understand, which discourages me from exploring it (E.g, Tokenization, Blockchain)]:[If I want to try different ways to invest, I will explore digital assets.]], 3)</f>
        <v>8</v>
      </c>
      <c r="AU113">
        <f>Table67[[#This Row],[Midpoint]]/21</f>
        <v>0.38095238095238093</v>
      </c>
      <c r="AV113">
        <f>_xlfn.PERCENTILE.INC(Table67[Midpoint ratio],0.9)</f>
        <v>0.5714285714285714</v>
      </c>
      <c r="AW113" t="b">
        <f>Table67[[#This Row],[Midpoint ratio]]&gt;=Table67[[#This Row],[Threshold of Midpoint ratio]]</f>
        <v>0</v>
      </c>
      <c r="AX113" t="b">
        <f>OR(Table67[[#This Row],[Extreme Response Style]],Table67[[#This Row],[Mid-point Response Style]])</f>
        <v>0</v>
      </c>
      <c r="AY113" t="b">
        <f>OR(Table67[[#This Row],[Delete? (Stage 1)]],Table67[[#This Row],[Delete? (Stage 2)]])</f>
        <v>1</v>
      </c>
      <c r="AZ113" t="s">
        <v>78</v>
      </c>
    </row>
    <row r="114" spans="1:52">
      <c r="A114">
        <f t="shared" si="7"/>
        <v>113</v>
      </c>
      <c r="B114" s="3">
        <v>45995.756874999999</v>
      </c>
      <c r="C114" s="3">
        <v>45995.7590740741</v>
      </c>
      <c r="D114" t="s">
        <v>53</v>
      </c>
      <c r="G114" t="s">
        <v>54</v>
      </c>
      <c r="H114" t="s">
        <v>63</v>
      </c>
      <c r="I114" t="s">
        <v>56</v>
      </c>
      <c r="J114" t="s">
        <v>62</v>
      </c>
      <c r="K114" t="s">
        <v>57</v>
      </c>
      <c r="L114" t="s">
        <v>58</v>
      </c>
      <c r="M114" t="s">
        <v>58</v>
      </c>
      <c r="N114">
        <v>4</v>
      </c>
      <c r="O114">
        <v>2</v>
      </c>
      <c r="P114">
        <v>3</v>
      </c>
      <c r="Q114">
        <v>4</v>
      </c>
      <c r="R114">
        <v>2</v>
      </c>
      <c r="S114">
        <v>4</v>
      </c>
      <c r="T114">
        <v>3</v>
      </c>
      <c r="U114">
        <v>4</v>
      </c>
      <c r="V114">
        <v>4</v>
      </c>
      <c r="W114">
        <v>4</v>
      </c>
      <c r="X114">
        <v>4</v>
      </c>
      <c r="Y114">
        <v>4</v>
      </c>
      <c r="Z114">
        <v>2</v>
      </c>
      <c r="AA114">
        <v>4</v>
      </c>
      <c r="AB114">
        <v>3</v>
      </c>
      <c r="AC114">
        <v>2</v>
      </c>
      <c r="AD114">
        <v>4</v>
      </c>
      <c r="AE114">
        <v>4</v>
      </c>
      <c r="AF114">
        <v>2</v>
      </c>
      <c r="AG114">
        <v>3</v>
      </c>
      <c r="AH114">
        <v>4</v>
      </c>
      <c r="AI114">
        <v>2</v>
      </c>
      <c r="AJ114">
        <v>4</v>
      </c>
      <c r="AK114" t="b">
        <f>Table67[[#This Row],[What is your age?]]&lt;&gt;"18 - 25"</f>
        <v>0</v>
      </c>
      <c r="AL114" t="b">
        <f t="shared" si="4"/>
        <v>0</v>
      </c>
      <c r="AM114" t="b">
        <f t="shared" si="5"/>
        <v>0</v>
      </c>
      <c r="AN114" t="b">
        <f t="shared" si="6"/>
        <v>1</v>
      </c>
      <c r="AO114" t="b">
        <f>OR(Table67[[#This Row],[Ineligible respondents]:[Inconsistent response on opposite question (3)]])</f>
        <v>1</v>
      </c>
      <c r="AP11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14">
        <f>Table67[[#This Row],[Extreme Response]]/21</f>
        <v>0</v>
      </c>
      <c r="AR114">
        <f>_xlfn.PERCENTILE.INC(Table67[Extrem Response Ratio (ERS)],0.9)</f>
        <v>0.61904761904761907</v>
      </c>
      <c r="AS114" t="b">
        <f>Table67[[#This Row],[Extrem Response Ratio (ERS)]]&gt;=Table67[[#This Row],[Threshold of ERS]]</f>
        <v>0</v>
      </c>
      <c r="AT114">
        <f>COUNTIF(Table67[[#This Row],[The mechanism of digital assets is difficult to understand, which discourages me from exploring it (E.g, Tokenization, Blockchain)]:[If I want to try different ways to invest, I will explore digital assets.]], 3)</f>
        <v>4</v>
      </c>
      <c r="AU114">
        <f>Table67[[#This Row],[Midpoint]]/21</f>
        <v>0.19047619047619047</v>
      </c>
      <c r="AV114">
        <f>_xlfn.PERCENTILE.INC(Table67[Midpoint ratio],0.9)</f>
        <v>0.5714285714285714</v>
      </c>
      <c r="AW114" t="b">
        <f>Table67[[#This Row],[Midpoint ratio]]&gt;=Table67[[#This Row],[Threshold of Midpoint ratio]]</f>
        <v>0</v>
      </c>
      <c r="AX114" t="b">
        <f>OR(Table67[[#This Row],[Extreme Response Style]],Table67[[#This Row],[Mid-point Response Style]])</f>
        <v>0</v>
      </c>
      <c r="AY114" t="b">
        <f>OR(Table67[[#This Row],[Delete? (Stage 1)]],Table67[[#This Row],[Delete? (Stage 2)]])</f>
        <v>1</v>
      </c>
      <c r="AZ114" t="s">
        <v>78</v>
      </c>
    </row>
    <row r="115" spans="1:52">
      <c r="A115">
        <f t="shared" si="7"/>
        <v>114</v>
      </c>
      <c r="B115" s="3">
        <v>45995.891631944403</v>
      </c>
      <c r="C115" s="3">
        <v>45995.895416666703</v>
      </c>
      <c r="D115" t="s">
        <v>53</v>
      </c>
      <c r="G115" t="s">
        <v>54</v>
      </c>
      <c r="H115" t="s">
        <v>63</v>
      </c>
      <c r="I115" t="s">
        <v>56</v>
      </c>
      <c r="J115" t="s">
        <v>72</v>
      </c>
      <c r="K115" t="s">
        <v>62</v>
      </c>
      <c r="L115" t="s">
        <v>58</v>
      </c>
      <c r="M115" t="s">
        <v>61</v>
      </c>
      <c r="N115">
        <v>2</v>
      </c>
      <c r="O115">
        <v>2</v>
      </c>
      <c r="P115">
        <v>5</v>
      </c>
      <c r="Q115">
        <v>4</v>
      </c>
      <c r="R115">
        <v>5</v>
      </c>
      <c r="S115">
        <v>5</v>
      </c>
      <c r="T115">
        <v>2</v>
      </c>
      <c r="U115">
        <v>5</v>
      </c>
      <c r="V115">
        <v>5</v>
      </c>
      <c r="W115">
        <v>4</v>
      </c>
      <c r="X115">
        <v>3</v>
      </c>
      <c r="Y115">
        <v>4</v>
      </c>
      <c r="Z115">
        <v>4</v>
      </c>
      <c r="AA115">
        <v>4</v>
      </c>
      <c r="AB115">
        <v>4</v>
      </c>
      <c r="AC115">
        <v>4</v>
      </c>
      <c r="AD115">
        <v>4</v>
      </c>
      <c r="AE115">
        <v>2</v>
      </c>
      <c r="AF115">
        <v>4</v>
      </c>
      <c r="AG115">
        <v>3</v>
      </c>
      <c r="AH115">
        <v>4</v>
      </c>
      <c r="AI115">
        <v>2</v>
      </c>
      <c r="AJ115">
        <v>2</v>
      </c>
      <c r="AK115" t="b">
        <f>Table67[[#This Row],[What is your age?]]&lt;&gt;"18 - 25"</f>
        <v>0</v>
      </c>
      <c r="AL115" t="b">
        <f t="shared" si="4"/>
        <v>0</v>
      </c>
      <c r="AM115" t="b">
        <f t="shared" si="5"/>
        <v>0</v>
      </c>
      <c r="AN115" t="b">
        <f t="shared" si="6"/>
        <v>1</v>
      </c>
      <c r="AO115" t="b">
        <f>OR(Table67[[#This Row],[Ineligible respondents]:[Inconsistent response on opposite question (3)]])</f>
        <v>1</v>
      </c>
      <c r="AP11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15">
        <f>Table67[[#This Row],[Extreme Response]]/21</f>
        <v>0.23809523809523808</v>
      </c>
      <c r="AR115">
        <f>_xlfn.PERCENTILE.INC(Table67[Extrem Response Ratio (ERS)],0.9)</f>
        <v>0.61904761904761907</v>
      </c>
      <c r="AS115" t="b">
        <f>Table67[[#This Row],[Extrem Response Ratio (ERS)]]&gt;=Table67[[#This Row],[Threshold of ERS]]</f>
        <v>0</v>
      </c>
      <c r="AT115">
        <f>COUNTIF(Table67[[#This Row],[The mechanism of digital assets is difficult to understand, which discourages me from exploring it (E.g, Tokenization, Blockchain)]:[If I want to try different ways to invest, I will explore digital assets.]], 3)</f>
        <v>2</v>
      </c>
      <c r="AU115">
        <f>Table67[[#This Row],[Midpoint]]/21</f>
        <v>9.5238095238095233E-2</v>
      </c>
      <c r="AV115">
        <f>_xlfn.PERCENTILE.INC(Table67[Midpoint ratio],0.9)</f>
        <v>0.5714285714285714</v>
      </c>
      <c r="AW115" t="b">
        <f>Table67[[#This Row],[Midpoint ratio]]&gt;=Table67[[#This Row],[Threshold of Midpoint ratio]]</f>
        <v>0</v>
      </c>
      <c r="AX115" t="b">
        <f>OR(Table67[[#This Row],[Extreme Response Style]],Table67[[#This Row],[Mid-point Response Style]])</f>
        <v>0</v>
      </c>
      <c r="AY115" t="b">
        <f>OR(Table67[[#This Row],[Delete? (Stage 1)]],Table67[[#This Row],[Delete? (Stage 2)]])</f>
        <v>1</v>
      </c>
      <c r="AZ115" t="s">
        <v>78</v>
      </c>
    </row>
    <row r="116" spans="1:52">
      <c r="A116">
        <f t="shared" si="7"/>
        <v>115</v>
      </c>
      <c r="B116" s="3">
        <v>45996.572037037004</v>
      </c>
      <c r="C116" s="3">
        <v>45996.573240740698</v>
      </c>
      <c r="D116" t="s">
        <v>53</v>
      </c>
      <c r="G116" t="s">
        <v>54</v>
      </c>
      <c r="H116" t="s">
        <v>63</v>
      </c>
      <c r="I116" t="s">
        <v>69</v>
      </c>
      <c r="J116" t="s">
        <v>62</v>
      </c>
      <c r="K116" t="s">
        <v>57</v>
      </c>
      <c r="L116" t="s">
        <v>58</v>
      </c>
      <c r="M116" t="s">
        <v>61</v>
      </c>
      <c r="N116">
        <v>3</v>
      </c>
      <c r="O116">
        <v>3</v>
      </c>
      <c r="P116">
        <v>3</v>
      </c>
      <c r="Q116">
        <v>3</v>
      </c>
      <c r="R116">
        <v>3</v>
      </c>
      <c r="S116">
        <v>3</v>
      </c>
      <c r="T116">
        <v>3</v>
      </c>
      <c r="U116">
        <v>4</v>
      </c>
      <c r="V116">
        <v>3</v>
      </c>
      <c r="W116">
        <v>3</v>
      </c>
      <c r="X116">
        <v>3</v>
      </c>
      <c r="Y116">
        <v>3</v>
      </c>
      <c r="Z116">
        <v>3</v>
      </c>
      <c r="AA116">
        <v>3</v>
      </c>
      <c r="AB116">
        <v>3</v>
      </c>
      <c r="AC116">
        <v>3</v>
      </c>
      <c r="AD116">
        <v>3</v>
      </c>
      <c r="AE116">
        <v>3</v>
      </c>
      <c r="AF116">
        <v>3</v>
      </c>
      <c r="AG116">
        <v>3</v>
      </c>
      <c r="AH116">
        <v>3</v>
      </c>
      <c r="AI116">
        <v>3</v>
      </c>
      <c r="AJ116">
        <v>3</v>
      </c>
      <c r="AK116" t="b">
        <f>Table67[[#This Row],[What is your age?]]&lt;&gt;"18 - 25"</f>
        <v>0</v>
      </c>
      <c r="AL116" t="b">
        <f t="shared" si="4"/>
        <v>0</v>
      </c>
      <c r="AM116" t="b">
        <f t="shared" si="5"/>
        <v>0</v>
      </c>
      <c r="AN116" t="b">
        <f t="shared" si="6"/>
        <v>0</v>
      </c>
      <c r="AO116" t="b">
        <f>OR(Table67[[#This Row],[Ineligible respondents]:[Inconsistent response on opposite question (3)]])</f>
        <v>0</v>
      </c>
      <c r="AP11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16">
        <f>Table67[[#This Row],[Extreme Response]]/21</f>
        <v>0</v>
      </c>
      <c r="AR116">
        <f>_xlfn.PERCENTILE.INC(Table67[Extrem Response Ratio (ERS)],0.9)</f>
        <v>0.61904761904761907</v>
      </c>
      <c r="AS116" t="b">
        <f>Table67[[#This Row],[Extrem Response Ratio (ERS)]]&gt;=Table67[[#This Row],[Threshold of ERS]]</f>
        <v>0</v>
      </c>
      <c r="AT116">
        <f>COUNTIF(Table67[[#This Row],[The mechanism of digital assets is difficult to understand, which discourages me from exploring it (E.g, Tokenization, Blockchain)]:[If I want to try different ways to invest, I will explore digital assets.]], 3)</f>
        <v>20</v>
      </c>
      <c r="AU116">
        <f>Table67[[#This Row],[Midpoint]]/21</f>
        <v>0.95238095238095233</v>
      </c>
      <c r="AV116">
        <f>_xlfn.PERCENTILE.INC(Table67[Midpoint ratio],0.9)</f>
        <v>0.5714285714285714</v>
      </c>
      <c r="AW116" t="b">
        <f>Table67[[#This Row],[Midpoint ratio]]&gt;=Table67[[#This Row],[Threshold of Midpoint ratio]]</f>
        <v>1</v>
      </c>
      <c r="AX116" t="b">
        <f>OR(Table67[[#This Row],[Extreme Response Style]],Table67[[#This Row],[Mid-point Response Style]])</f>
        <v>1</v>
      </c>
      <c r="AY116" t="b">
        <f>OR(Table67[[#This Row],[Delete? (Stage 1)]],Table67[[#This Row],[Delete? (Stage 2)]])</f>
        <v>1</v>
      </c>
      <c r="AZ116" t="s">
        <v>59</v>
      </c>
    </row>
    <row r="117" spans="1:52">
      <c r="A117">
        <f t="shared" si="7"/>
        <v>116</v>
      </c>
      <c r="B117" s="3">
        <v>45996.574942129599</v>
      </c>
      <c r="C117" s="3">
        <v>45996.576099537</v>
      </c>
      <c r="D117" t="s">
        <v>53</v>
      </c>
      <c r="G117" t="s">
        <v>54</v>
      </c>
      <c r="H117" t="s">
        <v>63</v>
      </c>
      <c r="I117" t="s">
        <v>56</v>
      </c>
      <c r="J117" t="s">
        <v>60</v>
      </c>
      <c r="K117" t="s">
        <v>62</v>
      </c>
      <c r="L117" t="s">
        <v>58</v>
      </c>
      <c r="M117" t="s">
        <v>61</v>
      </c>
      <c r="N117">
        <v>5</v>
      </c>
      <c r="O117">
        <v>4</v>
      </c>
      <c r="P117">
        <v>5</v>
      </c>
      <c r="Q117">
        <v>4</v>
      </c>
      <c r="R117">
        <v>4</v>
      </c>
      <c r="S117">
        <v>4</v>
      </c>
      <c r="T117">
        <v>4</v>
      </c>
      <c r="U117">
        <v>5</v>
      </c>
      <c r="V117">
        <v>5</v>
      </c>
      <c r="W117">
        <v>5</v>
      </c>
      <c r="X117">
        <v>5</v>
      </c>
      <c r="Y117">
        <v>5</v>
      </c>
      <c r="Z117">
        <v>5</v>
      </c>
      <c r="AA117">
        <v>5</v>
      </c>
      <c r="AB117">
        <v>5</v>
      </c>
      <c r="AC117">
        <v>5</v>
      </c>
      <c r="AD117">
        <v>4</v>
      </c>
      <c r="AE117">
        <v>5</v>
      </c>
      <c r="AF117">
        <v>5</v>
      </c>
      <c r="AG117">
        <v>5</v>
      </c>
      <c r="AH117">
        <v>1</v>
      </c>
      <c r="AI117">
        <v>5</v>
      </c>
      <c r="AJ117">
        <v>1</v>
      </c>
      <c r="AK117" t="b">
        <f>Table67[[#This Row],[What is your age?]]&lt;&gt;"18 - 25"</f>
        <v>0</v>
      </c>
      <c r="AL117" t="b">
        <f t="shared" si="4"/>
        <v>0</v>
      </c>
      <c r="AM117" t="b">
        <f t="shared" si="5"/>
        <v>0</v>
      </c>
      <c r="AN117" t="b">
        <f t="shared" si="6"/>
        <v>0</v>
      </c>
      <c r="AO117" t="b">
        <f>OR(Table67[[#This Row],[Ineligible respondents]:[Inconsistent response on opposite question (3)]])</f>
        <v>0</v>
      </c>
      <c r="AP11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117">
        <f>Table67[[#This Row],[Extreme Response]]/21</f>
        <v>0.7142857142857143</v>
      </c>
      <c r="AR117">
        <f>_xlfn.PERCENTILE.INC(Table67[Extrem Response Ratio (ERS)],0.9)</f>
        <v>0.61904761904761907</v>
      </c>
      <c r="AS117" t="b">
        <f>Table67[[#This Row],[Extrem Response Ratio (ERS)]]&gt;=Table67[[#This Row],[Threshold of ERS]]</f>
        <v>1</v>
      </c>
      <c r="AT117">
        <f>COUNTIF(Table67[[#This Row],[The mechanism of digital assets is difficult to understand, which discourages me from exploring it (E.g, Tokenization, Blockchain)]:[If I want to try different ways to invest, I will explore digital assets.]], 3)</f>
        <v>0</v>
      </c>
      <c r="AU117">
        <f>Table67[[#This Row],[Midpoint]]/21</f>
        <v>0</v>
      </c>
      <c r="AV117">
        <f>_xlfn.PERCENTILE.INC(Table67[Midpoint ratio],0.9)</f>
        <v>0.5714285714285714</v>
      </c>
      <c r="AW117" t="b">
        <f>Table67[[#This Row],[Midpoint ratio]]&gt;=Table67[[#This Row],[Threshold of Midpoint ratio]]</f>
        <v>0</v>
      </c>
      <c r="AX117" t="b">
        <f>OR(Table67[[#This Row],[Extreme Response Style]],Table67[[#This Row],[Mid-point Response Style]])</f>
        <v>1</v>
      </c>
      <c r="AY117" t="b">
        <f>OR(Table67[[#This Row],[Delete? (Stage 1)]],Table67[[#This Row],[Delete? (Stage 2)]])</f>
        <v>1</v>
      </c>
      <c r="AZ117" t="s">
        <v>59</v>
      </c>
    </row>
    <row r="118" spans="1:52">
      <c r="A118">
        <f t="shared" si="7"/>
        <v>117</v>
      </c>
      <c r="B118" s="3">
        <v>45996.582048611097</v>
      </c>
      <c r="C118" s="3">
        <v>45996.583703703698</v>
      </c>
      <c r="D118" t="s">
        <v>53</v>
      </c>
      <c r="G118" t="s">
        <v>54</v>
      </c>
      <c r="H118" t="s">
        <v>63</v>
      </c>
      <c r="I118" t="s">
        <v>56</v>
      </c>
      <c r="J118" t="s">
        <v>60</v>
      </c>
      <c r="K118" t="s">
        <v>57</v>
      </c>
      <c r="L118" t="s">
        <v>58</v>
      </c>
      <c r="M118" t="s">
        <v>58</v>
      </c>
      <c r="N118">
        <v>3</v>
      </c>
      <c r="O118">
        <v>3</v>
      </c>
      <c r="P118">
        <v>5</v>
      </c>
      <c r="Q118">
        <v>3</v>
      </c>
      <c r="R118">
        <v>5</v>
      </c>
      <c r="S118">
        <v>5</v>
      </c>
      <c r="T118">
        <v>3</v>
      </c>
      <c r="U118">
        <v>5</v>
      </c>
      <c r="V118">
        <v>5</v>
      </c>
      <c r="W118">
        <v>5</v>
      </c>
      <c r="X118">
        <v>4</v>
      </c>
      <c r="Y118">
        <v>5</v>
      </c>
      <c r="Z118">
        <v>3</v>
      </c>
      <c r="AA118">
        <v>5</v>
      </c>
      <c r="AB118">
        <v>5</v>
      </c>
      <c r="AC118">
        <v>4</v>
      </c>
      <c r="AD118">
        <v>4</v>
      </c>
      <c r="AE118">
        <v>2</v>
      </c>
      <c r="AF118">
        <v>3</v>
      </c>
      <c r="AG118">
        <v>4</v>
      </c>
      <c r="AH118">
        <v>4</v>
      </c>
      <c r="AI118">
        <v>2</v>
      </c>
      <c r="AJ118">
        <v>3</v>
      </c>
      <c r="AK118" t="b">
        <f>Table67[[#This Row],[What is your age?]]&lt;&gt;"18 - 25"</f>
        <v>0</v>
      </c>
      <c r="AL118" t="b">
        <f t="shared" si="4"/>
        <v>0</v>
      </c>
      <c r="AM118" t="b">
        <f t="shared" si="5"/>
        <v>1</v>
      </c>
      <c r="AN118" t="b">
        <f t="shared" si="6"/>
        <v>0</v>
      </c>
      <c r="AO118" t="b">
        <f>OR(Table67[[#This Row],[Ineligible respondents]:[Inconsistent response on opposite question (3)]])</f>
        <v>1</v>
      </c>
      <c r="AP11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118">
        <f>Table67[[#This Row],[Extreme Response]]/21</f>
        <v>0.42857142857142855</v>
      </c>
      <c r="AR118">
        <f>_xlfn.PERCENTILE.INC(Table67[Extrem Response Ratio (ERS)],0.9)</f>
        <v>0.61904761904761907</v>
      </c>
      <c r="AS118" t="b">
        <f>Table67[[#This Row],[Extrem Response Ratio (ERS)]]&gt;=Table67[[#This Row],[Threshold of ERS]]</f>
        <v>0</v>
      </c>
      <c r="AT118">
        <f>COUNTIF(Table67[[#This Row],[The mechanism of digital assets is difficult to understand, which discourages me from exploring it (E.g, Tokenization, Blockchain)]:[If I want to try different ways to invest, I will explore digital assets.]], 3)</f>
        <v>6</v>
      </c>
      <c r="AU118">
        <f>Table67[[#This Row],[Midpoint]]/21</f>
        <v>0.2857142857142857</v>
      </c>
      <c r="AV118">
        <f>_xlfn.PERCENTILE.INC(Table67[Midpoint ratio],0.9)</f>
        <v>0.5714285714285714</v>
      </c>
      <c r="AW118" t="b">
        <f>Table67[[#This Row],[Midpoint ratio]]&gt;=Table67[[#This Row],[Threshold of Midpoint ratio]]</f>
        <v>0</v>
      </c>
      <c r="AX118" t="b">
        <f>OR(Table67[[#This Row],[Extreme Response Style]],Table67[[#This Row],[Mid-point Response Style]])</f>
        <v>0</v>
      </c>
      <c r="AY118" t="b">
        <f>OR(Table67[[#This Row],[Delete? (Stage 1)]],Table67[[#This Row],[Delete? (Stage 2)]])</f>
        <v>1</v>
      </c>
      <c r="AZ118" t="e">
        <v>#N/A</v>
      </c>
    </row>
    <row r="119" spans="1:52">
      <c r="A119">
        <f t="shared" si="7"/>
        <v>118</v>
      </c>
      <c r="B119" s="3">
        <v>45996.607812499999</v>
      </c>
      <c r="C119" s="3">
        <v>45996.611643518503</v>
      </c>
      <c r="D119" t="s">
        <v>53</v>
      </c>
      <c r="G119" t="s">
        <v>73</v>
      </c>
      <c r="H119" t="s">
        <v>55</v>
      </c>
      <c r="I119" t="s">
        <v>56</v>
      </c>
      <c r="J119" t="s">
        <v>57</v>
      </c>
      <c r="K119" t="s">
        <v>66</v>
      </c>
      <c r="L119" t="s">
        <v>58</v>
      </c>
      <c r="M119" t="s">
        <v>61</v>
      </c>
      <c r="N119">
        <v>2</v>
      </c>
      <c r="O119">
        <v>2</v>
      </c>
      <c r="P119">
        <v>4</v>
      </c>
      <c r="Q119">
        <v>4</v>
      </c>
      <c r="R119">
        <v>2</v>
      </c>
      <c r="S119">
        <v>1</v>
      </c>
      <c r="T119">
        <v>4</v>
      </c>
      <c r="U119">
        <v>4</v>
      </c>
      <c r="V119">
        <v>5</v>
      </c>
      <c r="W119">
        <v>5</v>
      </c>
      <c r="X119">
        <v>4</v>
      </c>
      <c r="Y119">
        <v>4</v>
      </c>
      <c r="Z119">
        <v>4</v>
      </c>
      <c r="AA119">
        <v>4</v>
      </c>
      <c r="AB119">
        <v>1</v>
      </c>
      <c r="AC119">
        <v>2</v>
      </c>
      <c r="AD119">
        <v>2</v>
      </c>
      <c r="AE119">
        <v>1</v>
      </c>
      <c r="AF119">
        <v>2</v>
      </c>
      <c r="AG119">
        <v>4</v>
      </c>
      <c r="AH119">
        <v>2</v>
      </c>
      <c r="AI119">
        <v>4</v>
      </c>
      <c r="AJ119">
        <v>4</v>
      </c>
      <c r="AK119" t="b">
        <f>Table67[[#This Row],[What is your age?]]&lt;&gt;"18 - 25"</f>
        <v>1</v>
      </c>
      <c r="AL119" t="b">
        <f t="shared" si="4"/>
        <v>0</v>
      </c>
      <c r="AM119" t="b">
        <f t="shared" si="5"/>
        <v>0</v>
      </c>
      <c r="AN119" t="b">
        <f t="shared" si="6"/>
        <v>0</v>
      </c>
      <c r="AO119" t="b">
        <f>OR(Table67[[#This Row],[Ineligible respondents]:[Inconsistent response on opposite question (3)]])</f>
        <v>1</v>
      </c>
      <c r="AP11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19">
        <f>Table67[[#This Row],[Extreme Response]]/21</f>
        <v>0.23809523809523808</v>
      </c>
      <c r="AR119">
        <f>_xlfn.PERCENTILE.INC(Table67[Extrem Response Ratio (ERS)],0.9)</f>
        <v>0.61904761904761907</v>
      </c>
      <c r="AS119" t="b">
        <f>Table67[[#This Row],[Extrem Response Ratio (ERS)]]&gt;=Table67[[#This Row],[Threshold of ERS]]</f>
        <v>0</v>
      </c>
      <c r="AT119">
        <f>COUNTIF(Table67[[#This Row],[The mechanism of digital assets is difficult to understand, which discourages me from exploring it (E.g, Tokenization, Blockchain)]:[If I want to try different ways to invest, I will explore digital assets.]], 3)</f>
        <v>0</v>
      </c>
      <c r="AU119">
        <f>Table67[[#This Row],[Midpoint]]/21</f>
        <v>0</v>
      </c>
      <c r="AV119">
        <f>_xlfn.PERCENTILE.INC(Table67[Midpoint ratio],0.9)</f>
        <v>0.5714285714285714</v>
      </c>
      <c r="AW119" t="b">
        <f>Table67[[#This Row],[Midpoint ratio]]&gt;=Table67[[#This Row],[Threshold of Midpoint ratio]]</f>
        <v>0</v>
      </c>
      <c r="AX119" t="b">
        <f>OR(Table67[[#This Row],[Extreme Response Style]],Table67[[#This Row],[Mid-point Response Style]])</f>
        <v>0</v>
      </c>
      <c r="AY119" t="b">
        <f>OR(Table67[[#This Row],[Delete? (Stage 1)]],Table67[[#This Row],[Delete? (Stage 2)]])</f>
        <v>1</v>
      </c>
      <c r="AZ119" t="s">
        <v>59</v>
      </c>
    </row>
    <row r="120" spans="1:52">
      <c r="A120">
        <f t="shared" si="7"/>
        <v>119</v>
      </c>
      <c r="B120" s="3">
        <v>45996.608043981498</v>
      </c>
      <c r="C120" s="3">
        <v>45996.6091087963</v>
      </c>
      <c r="D120" t="s">
        <v>53</v>
      </c>
      <c r="G120" t="s">
        <v>54</v>
      </c>
      <c r="H120" t="s">
        <v>63</v>
      </c>
      <c r="I120" t="s">
        <v>56</v>
      </c>
      <c r="J120" t="s">
        <v>62</v>
      </c>
      <c r="K120" t="s">
        <v>57</v>
      </c>
      <c r="L120" t="s">
        <v>58</v>
      </c>
      <c r="M120" t="s">
        <v>61</v>
      </c>
      <c r="N120">
        <v>5</v>
      </c>
      <c r="O120">
        <v>2</v>
      </c>
      <c r="P120">
        <v>5</v>
      </c>
      <c r="Q120">
        <v>5</v>
      </c>
      <c r="R120">
        <v>5</v>
      </c>
      <c r="S120">
        <v>5</v>
      </c>
      <c r="T120">
        <v>5</v>
      </c>
      <c r="U120">
        <v>5</v>
      </c>
      <c r="V120">
        <v>5</v>
      </c>
      <c r="W120">
        <v>5</v>
      </c>
      <c r="X120">
        <v>5</v>
      </c>
      <c r="Y120">
        <v>5</v>
      </c>
      <c r="Z120">
        <v>5</v>
      </c>
      <c r="AA120">
        <v>5</v>
      </c>
      <c r="AB120">
        <v>5</v>
      </c>
      <c r="AC120">
        <v>5</v>
      </c>
      <c r="AD120">
        <v>4</v>
      </c>
      <c r="AE120">
        <v>4</v>
      </c>
      <c r="AF120">
        <v>4</v>
      </c>
      <c r="AG120">
        <v>3</v>
      </c>
      <c r="AH120">
        <v>4</v>
      </c>
      <c r="AI120">
        <v>2</v>
      </c>
      <c r="AJ120">
        <v>2</v>
      </c>
      <c r="AK120" t="b">
        <f>Table67[[#This Row],[What is your age?]]&lt;&gt;"18 - 25"</f>
        <v>0</v>
      </c>
      <c r="AL120" t="b">
        <f t="shared" si="4"/>
        <v>0</v>
      </c>
      <c r="AM120" t="b">
        <f t="shared" si="5"/>
        <v>0</v>
      </c>
      <c r="AN120" t="b">
        <f t="shared" si="6"/>
        <v>1</v>
      </c>
      <c r="AO120" t="b">
        <f>OR(Table67[[#This Row],[Ineligible respondents]:[Inconsistent response on opposite question (3)]])</f>
        <v>1</v>
      </c>
      <c r="AP12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120">
        <f>Table67[[#This Row],[Extreme Response]]/21</f>
        <v>0.7142857142857143</v>
      </c>
      <c r="AR120">
        <f>_xlfn.PERCENTILE.INC(Table67[Extrem Response Ratio (ERS)],0.9)</f>
        <v>0.61904761904761907</v>
      </c>
      <c r="AS120" t="b">
        <f>Table67[[#This Row],[Extrem Response Ratio (ERS)]]&gt;=Table67[[#This Row],[Threshold of ERS]]</f>
        <v>1</v>
      </c>
      <c r="AT120">
        <f>COUNTIF(Table67[[#This Row],[The mechanism of digital assets is difficult to understand, which discourages me from exploring it (E.g, Tokenization, Blockchain)]:[If I want to try different ways to invest, I will explore digital assets.]], 3)</f>
        <v>1</v>
      </c>
      <c r="AU120">
        <f>Table67[[#This Row],[Midpoint]]/21</f>
        <v>4.7619047619047616E-2</v>
      </c>
      <c r="AV120">
        <f>_xlfn.PERCENTILE.INC(Table67[Midpoint ratio],0.9)</f>
        <v>0.5714285714285714</v>
      </c>
      <c r="AW120" t="b">
        <f>Table67[[#This Row],[Midpoint ratio]]&gt;=Table67[[#This Row],[Threshold of Midpoint ratio]]</f>
        <v>0</v>
      </c>
      <c r="AX120" t="b">
        <f>OR(Table67[[#This Row],[Extreme Response Style]],Table67[[#This Row],[Mid-point Response Style]])</f>
        <v>1</v>
      </c>
      <c r="AY120" t="b">
        <f>OR(Table67[[#This Row],[Delete? (Stage 1)]],Table67[[#This Row],[Delete? (Stage 2)]])</f>
        <v>1</v>
      </c>
      <c r="AZ120" t="s">
        <v>59</v>
      </c>
    </row>
    <row r="121" spans="1:52">
      <c r="A121">
        <f t="shared" si="7"/>
        <v>120</v>
      </c>
      <c r="B121" s="3">
        <v>45996.610972222203</v>
      </c>
      <c r="C121" s="3">
        <v>45996.611875000002</v>
      </c>
      <c r="D121" t="s">
        <v>53</v>
      </c>
      <c r="G121" t="s">
        <v>54</v>
      </c>
      <c r="H121" t="s">
        <v>63</v>
      </c>
      <c r="I121" t="s">
        <v>56</v>
      </c>
      <c r="J121" t="s">
        <v>64</v>
      </c>
      <c r="K121" t="s">
        <v>57</v>
      </c>
      <c r="L121" t="s">
        <v>58</v>
      </c>
      <c r="M121" t="s">
        <v>58</v>
      </c>
      <c r="N121">
        <v>4</v>
      </c>
      <c r="O121">
        <v>3</v>
      </c>
      <c r="P121">
        <v>2</v>
      </c>
      <c r="Q121">
        <v>3</v>
      </c>
      <c r="R121">
        <v>3</v>
      </c>
      <c r="S121">
        <v>3</v>
      </c>
      <c r="T121">
        <v>3</v>
      </c>
      <c r="U121">
        <v>3</v>
      </c>
      <c r="V121">
        <v>3</v>
      </c>
      <c r="W121">
        <v>3</v>
      </c>
      <c r="X121">
        <v>3</v>
      </c>
      <c r="Y121">
        <v>4</v>
      </c>
      <c r="Z121">
        <v>4</v>
      </c>
      <c r="AA121">
        <v>3</v>
      </c>
      <c r="AB121">
        <v>3</v>
      </c>
      <c r="AC121">
        <v>4</v>
      </c>
      <c r="AD121">
        <v>3</v>
      </c>
      <c r="AE121">
        <v>3</v>
      </c>
      <c r="AF121">
        <v>3</v>
      </c>
      <c r="AG121">
        <v>3</v>
      </c>
      <c r="AH121">
        <v>3</v>
      </c>
      <c r="AI121">
        <v>3</v>
      </c>
      <c r="AJ121">
        <v>3</v>
      </c>
      <c r="AK121" t="b">
        <f>Table67[[#This Row],[What is your age?]]&lt;&gt;"18 - 25"</f>
        <v>0</v>
      </c>
      <c r="AL121" t="b">
        <f t="shared" si="4"/>
        <v>0</v>
      </c>
      <c r="AM121" t="b">
        <f t="shared" si="5"/>
        <v>0</v>
      </c>
      <c r="AN121" t="b">
        <f t="shared" si="6"/>
        <v>0</v>
      </c>
      <c r="AO121" t="b">
        <f>OR(Table67[[#This Row],[Ineligible respondents]:[Inconsistent response on opposite question (3)]])</f>
        <v>0</v>
      </c>
      <c r="AP12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21">
        <f>Table67[[#This Row],[Extreme Response]]/21</f>
        <v>0</v>
      </c>
      <c r="AR121">
        <f>_xlfn.PERCENTILE.INC(Table67[Extrem Response Ratio (ERS)],0.9)</f>
        <v>0.61904761904761907</v>
      </c>
      <c r="AS121" t="b">
        <f>Table67[[#This Row],[Extrem Response Ratio (ERS)]]&gt;=Table67[[#This Row],[Threshold of ERS]]</f>
        <v>0</v>
      </c>
      <c r="AT121">
        <f>COUNTIF(Table67[[#This Row],[The mechanism of digital assets is difficult to understand, which discourages me from exploring it (E.g, Tokenization, Blockchain)]:[If I want to try different ways to invest, I will explore digital assets.]], 3)</f>
        <v>16</v>
      </c>
      <c r="AU121">
        <f>Table67[[#This Row],[Midpoint]]/21</f>
        <v>0.76190476190476186</v>
      </c>
      <c r="AV121">
        <f>_xlfn.PERCENTILE.INC(Table67[Midpoint ratio],0.9)</f>
        <v>0.5714285714285714</v>
      </c>
      <c r="AW121" t="b">
        <f>Table67[[#This Row],[Midpoint ratio]]&gt;=Table67[[#This Row],[Threshold of Midpoint ratio]]</f>
        <v>1</v>
      </c>
      <c r="AX121" t="b">
        <f>OR(Table67[[#This Row],[Extreme Response Style]],Table67[[#This Row],[Mid-point Response Style]])</f>
        <v>1</v>
      </c>
      <c r="AY121" t="b">
        <f>OR(Table67[[#This Row],[Delete? (Stage 1)]],Table67[[#This Row],[Delete? (Stage 2)]])</f>
        <v>1</v>
      </c>
      <c r="AZ121" t="s">
        <v>59</v>
      </c>
    </row>
    <row r="122" spans="1:52">
      <c r="A122">
        <f t="shared" si="7"/>
        <v>121</v>
      </c>
      <c r="B122" s="3">
        <v>45996.612928240698</v>
      </c>
      <c r="C122" s="3">
        <v>45996.6143981481</v>
      </c>
      <c r="D122" t="s">
        <v>53</v>
      </c>
      <c r="G122" t="s">
        <v>54</v>
      </c>
      <c r="H122" t="s">
        <v>63</v>
      </c>
      <c r="I122" t="s">
        <v>56</v>
      </c>
      <c r="J122" t="s">
        <v>62</v>
      </c>
      <c r="K122" t="s">
        <v>57</v>
      </c>
      <c r="L122" t="s">
        <v>58</v>
      </c>
      <c r="M122" t="s">
        <v>58</v>
      </c>
      <c r="N122">
        <v>4</v>
      </c>
      <c r="O122">
        <v>4</v>
      </c>
      <c r="P122">
        <v>3</v>
      </c>
      <c r="Q122">
        <v>3</v>
      </c>
      <c r="R122">
        <v>3</v>
      </c>
      <c r="S122">
        <v>3</v>
      </c>
      <c r="T122">
        <v>3</v>
      </c>
      <c r="U122">
        <v>3</v>
      </c>
      <c r="V122">
        <v>3</v>
      </c>
      <c r="W122">
        <v>3</v>
      </c>
      <c r="X122">
        <v>3</v>
      </c>
      <c r="Y122">
        <v>3</v>
      </c>
      <c r="Z122">
        <v>3</v>
      </c>
      <c r="AA122">
        <v>3</v>
      </c>
      <c r="AB122">
        <v>3</v>
      </c>
      <c r="AC122">
        <v>3</v>
      </c>
      <c r="AD122">
        <v>3</v>
      </c>
      <c r="AE122">
        <v>3</v>
      </c>
      <c r="AF122">
        <v>4</v>
      </c>
      <c r="AG122">
        <v>4</v>
      </c>
      <c r="AH122">
        <v>3</v>
      </c>
      <c r="AI122">
        <v>3</v>
      </c>
      <c r="AJ122">
        <v>2</v>
      </c>
      <c r="AK122" t="b">
        <f>Table67[[#This Row],[What is your age?]]&lt;&gt;"18 - 25"</f>
        <v>0</v>
      </c>
      <c r="AL122" t="b">
        <f t="shared" si="4"/>
        <v>0</v>
      </c>
      <c r="AM122" t="b">
        <f t="shared" si="5"/>
        <v>0</v>
      </c>
      <c r="AN122" t="b">
        <f t="shared" si="6"/>
        <v>1</v>
      </c>
      <c r="AO122" t="b">
        <f>OR(Table67[[#This Row],[Ineligible respondents]:[Inconsistent response on opposite question (3)]])</f>
        <v>1</v>
      </c>
      <c r="AP12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22">
        <f>Table67[[#This Row],[Extreme Response]]/21</f>
        <v>0</v>
      </c>
      <c r="AR122">
        <f>_xlfn.PERCENTILE.INC(Table67[Extrem Response Ratio (ERS)],0.9)</f>
        <v>0.61904761904761907</v>
      </c>
      <c r="AS122" t="b">
        <f>Table67[[#This Row],[Extrem Response Ratio (ERS)]]&gt;=Table67[[#This Row],[Threshold of ERS]]</f>
        <v>0</v>
      </c>
      <c r="AT122">
        <f>COUNTIF(Table67[[#This Row],[The mechanism of digital assets is difficult to understand, which discourages me from exploring it (E.g, Tokenization, Blockchain)]:[If I want to try different ways to invest, I will explore digital assets.]], 3)</f>
        <v>17</v>
      </c>
      <c r="AU122">
        <f>Table67[[#This Row],[Midpoint]]/21</f>
        <v>0.80952380952380953</v>
      </c>
      <c r="AV122">
        <f>_xlfn.PERCENTILE.INC(Table67[Midpoint ratio],0.9)</f>
        <v>0.5714285714285714</v>
      </c>
      <c r="AW122" t="b">
        <f>Table67[[#This Row],[Midpoint ratio]]&gt;=Table67[[#This Row],[Threshold of Midpoint ratio]]</f>
        <v>1</v>
      </c>
      <c r="AX122" t="b">
        <f>OR(Table67[[#This Row],[Extreme Response Style]],Table67[[#This Row],[Mid-point Response Style]])</f>
        <v>1</v>
      </c>
      <c r="AY122" t="b">
        <f>OR(Table67[[#This Row],[Delete? (Stage 1)]],Table67[[#This Row],[Delete? (Stage 2)]])</f>
        <v>1</v>
      </c>
      <c r="AZ122" t="s">
        <v>59</v>
      </c>
    </row>
    <row r="123" spans="1:52">
      <c r="A123">
        <f t="shared" si="7"/>
        <v>122</v>
      </c>
      <c r="B123" s="3">
        <v>45996.651354166701</v>
      </c>
      <c r="C123" s="3">
        <v>45996.654641203699</v>
      </c>
      <c r="D123" t="s">
        <v>53</v>
      </c>
      <c r="G123" t="s">
        <v>54</v>
      </c>
      <c r="H123" t="s">
        <v>63</v>
      </c>
      <c r="I123" t="s">
        <v>56</v>
      </c>
      <c r="J123" t="s">
        <v>67</v>
      </c>
      <c r="K123" t="s">
        <v>66</v>
      </c>
      <c r="L123" t="s">
        <v>58</v>
      </c>
      <c r="M123" t="s">
        <v>58</v>
      </c>
      <c r="N123">
        <v>3</v>
      </c>
      <c r="O123">
        <v>2</v>
      </c>
      <c r="P123">
        <v>4</v>
      </c>
      <c r="Q123">
        <v>3</v>
      </c>
      <c r="R123">
        <v>4</v>
      </c>
      <c r="S123">
        <v>4</v>
      </c>
      <c r="T123">
        <v>3</v>
      </c>
      <c r="U123">
        <v>3</v>
      </c>
      <c r="V123">
        <v>2</v>
      </c>
      <c r="W123">
        <v>2</v>
      </c>
      <c r="X123">
        <v>2</v>
      </c>
      <c r="Y123">
        <v>2</v>
      </c>
      <c r="Z123">
        <v>2</v>
      </c>
      <c r="AA123">
        <v>2</v>
      </c>
      <c r="AB123">
        <v>2</v>
      </c>
      <c r="AC123">
        <v>3</v>
      </c>
      <c r="AD123">
        <v>3</v>
      </c>
      <c r="AE123">
        <v>2</v>
      </c>
      <c r="AF123">
        <v>3</v>
      </c>
      <c r="AG123">
        <v>2</v>
      </c>
      <c r="AH123">
        <v>3</v>
      </c>
      <c r="AI123">
        <v>3</v>
      </c>
      <c r="AJ123">
        <v>3</v>
      </c>
      <c r="AK123" t="b">
        <f>Table67[[#This Row],[What is your age?]]&lt;&gt;"18 - 25"</f>
        <v>0</v>
      </c>
      <c r="AL123" t="b">
        <f t="shared" si="4"/>
        <v>0</v>
      </c>
      <c r="AM123" t="b">
        <f t="shared" si="5"/>
        <v>0</v>
      </c>
      <c r="AN123" t="b">
        <f t="shared" si="6"/>
        <v>1</v>
      </c>
      <c r="AO123" t="b">
        <f>OR(Table67[[#This Row],[Ineligible respondents]:[Inconsistent response on opposite question (3)]])</f>
        <v>1</v>
      </c>
      <c r="AP12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23">
        <f>Table67[[#This Row],[Extreme Response]]/21</f>
        <v>0</v>
      </c>
      <c r="AR123">
        <f>_xlfn.PERCENTILE.INC(Table67[Extrem Response Ratio (ERS)],0.9)</f>
        <v>0.61904761904761907</v>
      </c>
      <c r="AS123" t="b">
        <f>Table67[[#This Row],[Extrem Response Ratio (ERS)]]&gt;=Table67[[#This Row],[Threshold of ERS]]</f>
        <v>0</v>
      </c>
      <c r="AT123">
        <f>COUNTIF(Table67[[#This Row],[The mechanism of digital assets is difficult to understand, which discourages me from exploring it (E.g, Tokenization, Blockchain)]:[If I want to try different ways to invest, I will explore digital assets.]], 3)</f>
        <v>8</v>
      </c>
      <c r="AU123">
        <f>Table67[[#This Row],[Midpoint]]/21</f>
        <v>0.38095238095238093</v>
      </c>
      <c r="AV123">
        <f>_xlfn.PERCENTILE.INC(Table67[Midpoint ratio],0.9)</f>
        <v>0.5714285714285714</v>
      </c>
      <c r="AW123" t="b">
        <f>Table67[[#This Row],[Midpoint ratio]]&gt;=Table67[[#This Row],[Threshold of Midpoint ratio]]</f>
        <v>0</v>
      </c>
      <c r="AX123" t="b">
        <f>OR(Table67[[#This Row],[Extreme Response Style]],Table67[[#This Row],[Mid-point Response Style]])</f>
        <v>0</v>
      </c>
      <c r="AY123" t="b">
        <f>OR(Table67[[#This Row],[Delete? (Stage 1)]],Table67[[#This Row],[Delete? (Stage 2)]])</f>
        <v>1</v>
      </c>
      <c r="AZ123" t="s">
        <v>59</v>
      </c>
    </row>
    <row r="124" spans="1:52">
      <c r="A124">
        <f t="shared" si="7"/>
        <v>123</v>
      </c>
      <c r="B124" s="3">
        <v>45996.6582291667</v>
      </c>
      <c r="C124" s="3">
        <v>45996.659212963001</v>
      </c>
      <c r="D124" t="s">
        <v>53</v>
      </c>
      <c r="G124" t="s">
        <v>54</v>
      </c>
      <c r="H124" t="s">
        <v>55</v>
      </c>
      <c r="I124" t="s">
        <v>56</v>
      </c>
      <c r="J124" t="s">
        <v>62</v>
      </c>
      <c r="K124" t="s">
        <v>66</v>
      </c>
      <c r="L124" t="s">
        <v>58</v>
      </c>
      <c r="M124" t="s">
        <v>61</v>
      </c>
      <c r="N124">
        <v>3</v>
      </c>
      <c r="O124">
        <v>3</v>
      </c>
      <c r="P124">
        <v>4</v>
      </c>
      <c r="Q124">
        <v>4</v>
      </c>
      <c r="R124">
        <v>3</v>
      </c>
      <c r="S124">
        <v>3</v>
      </c>
      <c r="T124">
        <v>3</v>
      </c>
      <c r="U124">
        <v>3</v>
      </c>
      <c r="V124">
        <v>3</v>
      </c>
      <c r="W124">
        <v>3</v>
      </c>
      <c r="X124">
        <v>3</v>
      </c>
      <c r="Y124">
        <v>3</v>
      </c>
      <c r="Z124">
        <v>3</v>
      </c>
      <c r="AA124">
        <v>3</v>
      </c>
      <c r="AB124">
        <v>3</v>
      </c>
      <c r="AC124">
        <v>3</v>
      </c>
      <c r="AD124">
        <v>4</v>
      </c>
      <c r="AE124">
        <v>3</v>
      </c>
      <c r="AF124">
        <v>3</v>
      </c>
      <c r="AG124">
        <v>3</v>
      </c>
      <c r="AH124">
        <v>3</v>
      </c>
      <c r="AI124">
        <v>3</v>
      </c>
      <c r="AJ124">
        <v>3</v>
      </c>
      <c r="AK124" t="b">
        <f>Table67[[#This Row],[What is your age?]]&lt;&gt;"18 - 25"</f>
        <v>0</v>
      </c>
      <c r="AL124" t="b">
        <f t="shared" si="4"/>
        <v>0</v>
      </c>
      <c r="AM124" t="b">
        <f t="shared" si="5"/>
        <v>0</v>
      </c>
      <c r="AN124" t="b">
        <f t="shared" si="6"/>
        <v>0</v>
      </c>
      <c r="AO124" t="b">
        <f>OR(Table67[[#This Row],[Ineligible respondents]:[Inconsistent response on opposite question (3)]])</f>
        <v>0</v>
      </c>
      <c r="AP12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24">
        <f>Table67[[#This Row],[Extreme Response]]/21</f>
        <v>0</v>
      </c>
      <c r="AR124">
        <f>_xlfn.PERCENTILE.INC(Table67[Extrem Response Ratio (ERS)],0.9)</f>
        <v>0.61904761904761907</v>
      </c>
      <c r="AS124" t="b">
        <f>Table67[[#This Row],[Extrem Response Ratio (ERS)]]&gt;=Table67[[#This Row],[Threshold of ERS]]</f>
        <v>0</v>
      </c>
      <c r="AT124">
        <f>COUNTIF(Table67[[#This Row],[The mechanism of digital assets is difficult to understand, which discourages me from exploring it (E.g, Tokenization, Blockchain)]:[If I want to try different ways to invest, I will explore digital assets.]], 3)</f>
        <v>18</v>
      </c>
      <c r="AU124">
        <f>Table67[[#This Row],[Midpoint]]/21</f>
        <v>0.8571428571428571</v>
      </c>
      <c r="AV124">
        <f>_xlfn.PERCENTILE.INC(Table67[Midpoint ratio],0.9)</f>
        <v>0.5714285714285714</v>
      </c>
      <c r="AW124" t="b">
        <f>Table67[[#This Row],[Midpoint ratio]]&gt;=Table67[[#This Row],[Threshold of Midpoint ratio]]</f>
        <v>1</v>
      </c>
      <c r="AX124" t="b">
        <f>OR(Table67[[#This Row],[Extreme Response Style]],Table67[[#This Row],[Mid-point Response Style]])</f>
        <v>1</v>
      </c>
      <c r="AY124" t="b">
        <f>OR(Table67[[#This Row],[Delete? (Stage 1)]],Table67[[#This Row],[Delete? (Stage 2)]])</f>
        <v>1</v>
      </c>
      <c r="AZ124" t="s">
        <v>59</v>
      </c>
    </row>
    <row r="125" spans="1:52">
      <c r="A125">
        <f t="shared" si="7"/>
        <v>124</v>
      </c>
      <c r="B125" s="3">
        <v>45996.680023148103</v>
      </c>
      <c r="C125" s="3">
        <v>45996.687581018501</v>
      </c>
      <c r="D125" t="s">
        <v>53</v>
      </c>
      <c r="G125" t="s">
        <v>54</v>
      </c>
      <c r="H125" t="s">
        <v>63</v>
      </c>
      <c r="I125" t="s">
        <v>56</v>
      </c>
      <c r="J125" t="s">
        <v>62</v>
      </c>
      <c r="K125" t="s">
        <v>57</v>
      </c>
      <c r="L125" t="s">
        <v>58</v>
      </c>
      <c r="M125" t="s">
        <v>58</v>
      </c>
      <c r="N125">
        <v>4</v>
      </c>
      <c r="O125">
        <v>1</v>
      </c>
      <c r="P125">
        <v>4</v>
      </c>
      <c r="Q125">
        <v>4</v>
      </c>
      <c r="R125">
        <v>2</v>
      </c>
      <c r="S125">
        <v>3</v>
      </c>
      <c r="T125">
        <v>3</v>
      </c>
      <c r="U125">
        <v>4</v>
      </c>
      <c r="V125">
        <v>4</v>
      </c>
      <c r="W125">
        <v>4</v>
      </c>
      <c r="X125">
        <v>2</v>
      </c>
      <c r="Y125">
        <v>3</v>
      </c>
      <c r="Z125">
        <v>2</v>
      </c>
      <c r="AA125">
        <v>2</v>
      </c>
      <c r="AB125">
        <v>3</v>
      </c>
      <c r="AC125">
        <v>4</v>
      </c>
      <c r="AD125">
        <v>2</v>
      </c>
      <c r="AE125">
        <v>1</v>
      </c>
      <c r="AF125">
        <v>2</v>
      </c>
      <c r="AG125">
        <v>3</v>
      </c>
      <c r="AH125">
        <v>4</v>
      </c>
      <c r="AI125">
        <v>2</v>
      </c>
      <c r="AJ125">
        <v>4</v>
      </c>
      <c r="AK125" t="b">
        <f>Table67[[#This Row],[What is your age?]]&lt;&gt;"18 - 25"</f>
        <v>0</v>
      </c>
      <c r="AL125" t="b">
        <f t="shared" si="4"/>
        <v>0</v>
      </c>
      <c r="AM125" t="b">
        <f t="shared" si="5"/>
        <v>0</v>
      </c>
      <c r="AN125" t="b">
        <f t="shared" si="6"/>
        <v>1</v>
      </c>
      <c r="AO125" t="b">
        <f>OR(Table67[[#This Row],[Ineligible respondents]:[Inconsistent response on opposite question (3)]])</f>
        <v>1</v>
      </c>
      <c r="AP12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25">
        <f>Table67[[#This Row],[Extreme Response]]/21</f>
        <v>9.5238095238095233E-2</v>
      </c>
      <c r="AR125">
        <f>_xlfn.PERCENTILE.INC(Table67[Extrem Response Ratio (ERS)],0.9)</f>
        <v>0.61904761904761907</v>
      </c>
      <c r="AS125" t="b">
        <f>Table67[[#This Row],[Extrem Response Ratio (ERS)]]&gt;=Table67[[#This Row],[Threshold of ERS]]</f>
        <v>0</v>
      </c>
      <c r="AT125">
        <f>COUNTIF(Table67[[#This Row],[The mechanism of digital assets is difficult to understand, which discourages me from exploring it (E.g, Tokenization, Blockchain)]:[If I want to try different ways to invest, I will explore digital assets.]], 3)</f>
        <v>5</v>
      </c>
      <c r="AU125">
        <f>Table67[[#This Row],[Midpoint]]/21</f>
        <v>0.23809523809523808</v>
      </c>
      <c r="AV125">
        <f>_xlfn.PERCENTILE.INC(Table67[Midpoint ratio],0.9)</f>
        <v>0.5714285714285714</v>
      </c>
      <c r="AW125" t="b">
        <f>Table67[[#This Row],[Midpoint ratio]]&gt;=Table67[[#This Row],[Threshold of Midpoint ratio]]</f>
        <v>0</v>
      </c>
      <c r="AX125" t="b">
        <f>OR(Table67[[#This Row],[Extreme Response Style]],Table67[[#This Row],[Mid-point Response Style]])</f>
        <v>0</v>
      </c>
      <c r="AY125" t="b">
        <f>OR(Table67[[#This Row],[Delete? (Stage 1)]],Table67[[#This Row],[Delete? (Stage 2)]])</f>
        <v>1</v>
      </c>
      <c r="AZ125" t="s">
        <v>59</v>
      </c>
    </row>
    <row r="126" spans="1:52">
      <c r="A126">
        <f t="shared" si="7"/>
        <v>125</v>
      </c>
      <c r="B126" s="3">
        <v>45996.724016203698</v>
      </c>
      <c r="C126" s="3">
        <v>45996.726747685199</v>
      </c>
      <c r="D126" t="s">
        <v>53</v>
      </c>
      <c r="G126" t="s">
        <v>54</v>
      </c>
      <c r="H126" t="s">
        <v>63</v>
      </c>
      <c r="I126" t="s">
        <v>56</v>
      </c>
      <c r="J126" t="s">
        <v>65</v>
      </c>
      <c r="K126" t="s">
        <v>64</v>
      </c>
      <c r="L126" t="s">
        <v>58</v>
      </c>
      <c r="M126" t="s">
        <v>58</v>
      </c>
      <c r="N126">
        <v>4</v>
      </c>
      <c r="O126">
        <v>4</v>
      </c>
      <c r="P126">
        <v>4</v>
      </c>
      <c r="Q126">
        <v>4</v>
      </c>
      <c r="R126">
        <v>3</v>
      </c>
      <c r="S126">
        <v>3</v>
      </c>
      <c r="T126">
        <v>2</v>
      </c>
      <c r="U126">
        <v>4</v>
      </c>
      <c r="V126">
        <v>4</v>
      </c>
      <c r="W126">
        <v>4</v>
      </c>
      <c r="X126">
        <v>4</v>
      </c>
      <c r="Y126">
        <v>4</v>
      </c>
      <c r="Z126">
        <v>4</v>
      </c>
      <c r="AA126">
        <v>4</v>
      </c>
      <c r="AB126">
        <v>4</v>
      </c>
      <c r="AC126">
        <v>3</v>
      </c>
      <c r="AD126">
        <v>4</v>
      </c>
      <c r="AE126">
        <v>2</v>
      </c>
      <c r="AF126">
        <v>2</v>
      </c>
      <c r="AG126">
        <v>3</v>
      </c>
      <c r="AH126">
        <v>3</v>
      </c>
      <c r="AI126">
        <v>3</v>
      </c>
      <c r="AJ126">
        <v>4</v>
      </c>
      <c r="AK126" t="b">
        <f>Table67[[#This Row],[What is your age?]]&lt;&gt;"18 - 25"</f>
        <v>0</v>
      </c>
      <c r="AL126" t="b">
        <f t="shared" si="4"/>
        <v>0</v>
      </c>
      <c r="AM126" t="b">
        <f t="shared" si="5"/>
        <v>0</v>
      </c>
      <c r="AN126" t="b">
        <f t="shared" si="6"/>
        <v>0</v>
      </c>
      <c r="AO126" t="b">
        <f>OR(Table67[[#This Row],[Ineligible respondents]:[Inconsistent response on opposite question (3)]])</f>
        <v>0</v>
      </c>
      <c r="AP12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26">
        <f>Table67[[#This Row],[Extreme Response]]/21</f>
        <v>0</v>
      </c>
      <c r="AR126">
        <f>_xlfn.PERCENTILE.INC(Table67[Extrem Response Ratio (ERS)],0.9)</f>
        <v>0.61904761904761907</v>
      </c>
      <c r="AS126" t="b">
        <f>Table67[[#This Row],[Extrem Response Ratio (ERS)]]&gt;=Table67[[#This Row],[Threshold of ERS]]</f>
        <v>0</v>
      </c>
      <c r="AT126">
        <f>COUNTIF(Table67[[#This Row],[The mechanism of digital assets is difficult to understand, which discourages me from exploring it (E.g, Tokenization, Blockchain)]:[If I want to try different ways to invest, I will explore digital assets.]], 3)</f>
        <v>5</v>
      </c>
      <c r="AU126">
        <f>Table67[[#This Row],[Midpoint]]/21</f>
        <v>0.23809523809523808</v>
      </c>
      <c r="AV126">
        <f>_xlfn.PERCENTILE.INC(Table67[Midpoint ratio],0.9)</f>
        <v>0.5714285714285714</v>
      </c>
      <c r="AW126" t="b">
        <f>Table67[[#This Row],[Midpoint ratio]]&gt;=Table67[[#This Row],[Threshold of Midpoint ratio]]</f>
        <v>0</v>
      </c>
      <c r="AX126" t="b">
        <f>OR(Table67[[#This Row],[Extreme Response Style]],Table67[[#This Row],[Mid-point Response Style]])</f>
        <v>0</v>
      </c>
      <c r="AY126" t="b">
        <f>OR(Table67[[#This Row],[Delete? (Stage 1)]],Table67[[#This Row],[Delete? (Stage 2)]])</f>
        <v>0</v>
      </c>
      <c r="AZ126" t="s">
        <v>59</v>
      </c>
    </row>
    <row r="127" spans="1:52">
      <c r="A127">
        <f t="shared" si="7"/>
        <v>126</v>
      </c>
      <c r="B127" s="3">
        <v>45996.731504629599</v>
      </c>
      <c r="C127" s="3">
        <v>45996.732974537001</v>
      </c>
      <c r="D127" t="s">
        <v>53</v>
      </c>
      <c r="G127" t="s">
        <v>54</v>
      </c>
      <c r="H127" t="s">
        <v>63</v>
      </c>
      <c r="I127" t="s">
        <v>56</v>
      </c>
      <c r="J127" t="s">
        <v>62</v>
      </c>
      <c r="K127" t="s">
        <v>60</v>
      </c>
      <c r="L127" t="s">
        <v>58</v>
      </c>
      <c r="M127" t="s">
        <v>61</v>
      </c>
      <c r="N127">
        <v>4</v>
      </c>
      <c r="O127">
        <v>3</v>
      </c>
      <c r="P127">
        <v>4</v>
      </c>
      <c r="Q127">
        <v>4</v>
      </c>
      <c r="R127">
        <v>4</v>
      </c>
      <c r="S127">
        <v>4</v>
      </c>
      <c r="T127">
        <v>4</v>
      </c>
      <c r="U127">
        <v>4</v>
      </c>
      <c r="V127">
        <v>4</v>
      </c>
      <c r="W127">
        <v>4</v>
      </c>
      <c r="X127">
        <v>5</v>
      </c>
      <c r="Y127">
        <v>5</v>
      </c>
      <c r="Z127">
        <v>4</v>
      </c>
      <c r="AA127">
        <v>4</v>
      </c>
      <c r="AB127">
        <v>4</v>
      </c>
      <c r="AC127">
        <v>5</v>
      </c>
      <c r="AD127">
        <v>5</v>
      </c>
      <c r="AE127">
        <v>3</v>
      </c>
      <c r="AF127">
        <v>2</v>
      </c>
      <c r="AG127">
        <v>3</v>
      </c>
      <c r="AH127">
        <v>3</v>
      </c>
      <c r="AI127">
        <v>3</v>
      </c>
      <c r="AJ127">
        <v>4</v>
      </c>
      <c r="AK127" t="b">
        <f>Table67[[#This Row],[What is your age?]]&lt;&gt;"18 - 25"</f>
        <v>0</v>
      </c>
      <c r="AL127" t="b">
        <f t="shared" si="4"/>
        <v>0</v>
      </c>
      <c r="AM127" t="b">
        <f t="shared" si="5"/>
        <v>0</v>
      </c>
      <c r="AN127" t="b">
        <f t="shared" si="6"/>
        <v>0</v>
      </c>
      <c r="AO127" t="b">
        <f>OR(Table67[[#This Row],[Ineligible respondents]:[Inconsistent response on opposite question (3)]])</f>
        <v>0</v>
      </c>
      <c r="AP12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27">
        <f>Table67[[#This Row],[Extreme Response]]/21</f>
        <v>0.19047619047619047</v>
      </c>
      <c r="AR127">
        <f>_xlfn.PERCENTILE.INC(Table67[Extrem Response Ratio (ERS)],0.9)</f>
        <v>0.61904761904761907</v>
      </c>
      <c r="AS127" t="b">
        <f>Table67[[#This Row],[Extrem Response Ratio (ERS)]]&gt;=Table67[[#This Row],[Threshold of ERS]]</f>
        <v>0</v>
      </c>
      <c r="AT127">
        <f>COUNTIF(Table67[[#This Row],[The mechanism of digital assets is difficult to understand, which discourages me from exploring it (E.g, Tokenization, Blockchain)]:[If I want to try different ways to invest, I will explore digital assets.]], 3)</f>
        <v>4</v>
      </c>
      <c r="AU127">
        <f>Table67[[#This Row],[Midpoint]]/21</f>
        <v>0.19047619047619047</v>
      </c>
      <c r="AV127">
        <f>_xlfn.PERCENTILE.INC(Table67[Midpoint ratio],0.9)</f>
        <v>0.5714285714285714</v>
      </c>
      <c r="AW127" t="b">
        <f>Table67[[#This Row],[Midpoint ratio]]&gt;=Table67[[#This Row],[Threshold of Midpoint ratio]]</f>
        <v>0</v>
      </c>
      <c r="AX127" t="b">
        <f>OR(Table67[[#This Row],[Extreme Response Style]],Table67[[#This Row],[Mid-point Response Style]])</f>
        <v>0</v>
      </c>
      <c r="AY127" t="b">
        <f>OR(Table67[[#This Row],[Delete? (Stage 1)]],Table67[[#This Row],[Delete? (Stage 2)]])</f>
        <v>0</v>
      </c>
      <c r="AZ127" t="s">
        <v>59</v>
      </c>
    </row>
    <row r="128" spans="1:52">
      <c r="A128">
        <f t="shared" si="7"/>
        <v>127</v>
      </c>
      <c r="B128" s="3">
        <v>45996.821608796301</v>
      </c>
      <c r="C128" s="3">
        <v>45996.824629629598</v>
      </c>
      <c r="D128" t="s">
        <v>53</v>
      </c>
      <c r="G128" t="s">
        <v>54</v>
      </c>
      <c r="H128" t="s">
        <v>63</v>
      </c>
      <c r="I128" t="s">
        <v>56</v>
      </c>
      <c r="J128" t="s">
        <v>67</v>
      </c>
      <c r="K128" t="s">
        <v>67</v>
      </c>
      <c r="L128" t="s">
        <v>61</v>
      </c>
      <c r="M128" t="s">
        <v>61</v>
      </c>
      <c r="N128">
        <v>4</v>
      </c>
      <c r="O128">
        <v>4</v>
      </c>
      <c r="P128">
        <v>4</v>
      </c>
      <c r="Q128">
        <v>4</v>
      </c>
      <c r="R128">
        <v>4</v>
      </c>
      <c r="S128">
        <v>4</v>
      </c>
      <c r="T128">
        <v>4</v>
      </c>
      <c r="U128">
        <v>4</v>
      </c>
      <c r="V128">
        <v>4</v>
      </c>
      <c r="W128">
        <v>4</v>
      </c>
      <c r="X128">
        <v>2</v>
      </c>
      <c r="Y128">
        <v>4</v>
      </c>
      <c r="Z128">
        <v>2</v>
      </c>
      <c r="AA128">
        <v>2</v>
      </c>
      <c r="AB128">
        <v>2</v>
      </c>
      <c r="AC128">
        <v>4</v>
      </c>
      <c r="AD128">
        <v>4</v>
      </c>
      <c r="AE128">
        <v>4</v>
      </c>
      <c r="AF128">
        <v>4</v>
      </c>
      <c r="AG128">
        <v>4</v>
      </c>
      <c r="AH128">
        <v>4</v>
      </c>
      <c r="AI128">
        <v>2</v>
      </c>
      <c r="AJ128">
        <v>2</v>
      </c>
      <c r="AK128" t="b">
        <f>Table67[[#This Row],[What is your age?]]&lt;&gt;"18 - 25"</f>
        <v>0</v>
      </c>
      <c r="AL128" t="b">
        <f t="shared" si="4"/>
        <v>0</v>
      </c>
      <c r="AM128" t="b">
        <f t="shared" si="5"/>
        <v>1</v>
      </c>
      <c r="AN128" t="b">
        <f t="shared" si="6"/>
        <v>0</v>
      </c>
      <c r="AO128" t="b">
        <f>OR(Table67[[#This Row],[Ineligible respondents]:[Inconsistent response on opposite question (3)]])</f>
        <v>1</v>
      </c>
      <c r="AP12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28">
        <f>Table67[[#This Row],[Extreme Response]]/21</f>
        <v>0</v>
      </c>
      <c r="AR128">
        <f>_xlfn.PERCENTILE.INC(Table67[Extrem Response Ratio (ERS)],0.9)</f>
        <v>0.61904761904761907</v>
      </c>
      <c r="AS128" t="b">
        <f>Table67[[#This Row],[Extrem Response Ratio (ERS)]]&gt;=Table67[[#This Row],[Threshold of ERS]]</f>
        <v>0</v>
      </c>
      <c r="AT128">
        <f>COUNTIF(Table67[[#This Row],[The mechanism of digital assets is difficult to understand, which discourages me from exploring it (E.g, Tokenization, Blockchain)]:[If I want to try different ways to invest, I will explore digital assets.]], 3)</f>
        <v>0</v>
      </c>
      <c r="AU128">
        <f>Table67[[#This Row],[Midpoint]]/21</f>
        <v>0</v>
      </c>
      <c r="AV128">
        <f>_xlfn.PERCENTILE.INC(Table67[Midpoint ratio],0.9)</f>
        <v>0.5714285714285714</v>
      </c>
      <c r="AW128" t="b">
        <f>Table67[[#This Row],[Midpoint ratio]]&gt;=Table67[[#This Row],[Threshold of Midpoint ratio]]</f>
        <v>0</v>
      </c>
      <c r="AX128" t="b">
        <f>OR(Table67[[#This Row],[Extreme Response Style]],Table67[[#This Row],[Mid-point Response Style]])</f>
        <v>0</v>
      </c>
      <c r="AY128" t="b">
        <f>OR(Table67[[#This Row],[Delete? (Stage 1)]],Table67[[#This Row],[Delete? (Stage 2)]])</f>
        <v>1</v>
      </c>
      <c r="AZ128" t="s">
        <v>59</v>
      </c>
    </row>
    <row r="129" spans="1:52">
      <c r="A129">
        <f t="shared" si="7"/>
        <v>128</v>
      </c>
      <c r="B129" s="3">
        <v>45996.849212963003</v>
      </c>
      <c r="C129" s="3">
        <v>45996.853020833303</v>
      </c>
      <c r="D129" t="s">
        <v>53</v>
      </c>
      <c r="G129" t="s">
        <v>54</v>
      </c>
      <c r="H129" t="s">
        <v>63</v>
      </c>
      <c r="I129" t="s">
        <v>69</v>
      </c>
      <c r="J129" t="s">
        <v>65</v>
      </c>
      <c r="K129" t="s">
        <v>57</v>
      </c>
      <c r="L129" t="s">
        <v>61</v>
      </c>
      <c r="M129" t="s">
        <v>61</v>
      </c>
      <c r="N129">
        <v>2</v>
      </c>
      <c r="O129">
        <v>2</v>
      </c>
      <c r="P129">
        <v>2</v>
      </c>
      <c r="Q129">
        <v>3</v>
      </c>
      <c r="R129">
        <v>3</v>
      </c>
      <c r="S129">
        <v>3</v>
      </c>
      <c r="T129">
        <v>3</v>
      </c>
      <c r="U129">
        <v>3</v>
      </c>
      <c r="V129">
        <v>3</v>
      </c>
      <c r="W129">
        <v>3</v>
      </c>
      <c r="X129">
        <v>3</v>
      </c>
      <c r="Y129">
        <v>3</v>
      </c>
      <c r="Z129">
        <v>3</v>
      </c>
      <c r="AA129">
        <v>3</v>
      </c>
      <c r="AB129">
        <v>3</v>
      </c>
      <c r="AC129">
        <v>3</v>
      </c>
      <c r="AD129">
        <v>3</v>
      </c>
      <c r="AE129">
        <v>3</v>
      </c>
      <c r="AF129">
        <v>3</v>
      </c>
      <c r="AG129">
        <v>3</v>
      </c>
      <c r="AH129">
        <v>3</v>
      </c>
      <c r="AI129">
        <v>3</v>
      </c>
      <c r="AJ129">
        <v>3</v>
      </c>
      <c r="AK129" t="b">
        <f>Table67[[#This Row],[What is your age?]]&lt;&gt;"18 - 25"</f>
        <v>0</v>
      </c>
      <c r="AL129" t="b">
        <f t="shared" si="4"/>
        <v>0</v>
      </c>
      <c r="AM129" t="b">
        <f t="shared" si="5"/>
        <v>0</v>
      </c>
      <c r="AN129" t="b">
        <f t="shared" si="6"/>
        <v>0</v>
      </c>
      <c r="AO129" t="b">
        <f>OR(Table67[[#This Row],[Ineligible respondents]:[Inconsistent response on opposite question (3)]])</f>
        <v>0</v>
      </c>
      <c r="AP12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29">
        <f>Table67[[#This Row],[Extreme Response]]/21</f>
        <v>0</v>
      </c>
      <c r="AR129">
        <f>_xlfn.PERCENTILE.INC(Table67[Extrem Response Ratio (ERS)],0.9)</f>
        <v>0.61904761904761907</v>
      </c>
      <c r="AS129" t="b">
        <f>Table67[[#This Row],[Extrem Response Ratio (ERS)]]&gt;=Table67[[#This Row],[Threshold of ERS]]</f>
        <v>0</v>
      </c>
      <c r="AT129">
        <f>COUNTIF(Table67[[#This Row],[The mechanism of digital assets is difficult to understand, which discourages me from exploring it (E.g, Tokenization, Blockchain)]:[If I want to try different ways to invest, I will explore digital assets.]], 3)</f>
        <v>18</v>
      </c>
      <c r="AU129">
        <f>Table67[[#This Row],[Midpoint]]/21</f>
        <v>0.8571428571428571</v>
      </c>
      <c r="AV129">
        <f>_xlfn.PERCENTILE.INC(Table67[Midpoint ratio],0.9)</f>
        <v>0.5714285714285714</v>
      </c>
      <c r="AW129" t="b">
        <f>Table67[[#This Row],[Midpoint ratio]]&gt;=Table67[[#This Row],[Threshold of Midpoint ratio]]</f>
        <v>1</v>
      </c>
      <c r="AX129" t="b">
        <f>OR(Table67[[#This Row],[Extreme Response Style]],Table67[[#This Row],[Mid-point Response Style]])</f>
        <v>1</v>
      </c>
      <c r="AY129" t="b">
        <f>OR(Table67[[#This Row],[Delete? (Stage 1)]],Table67[[#This Row],[Delete? (Stage 2)]])</f>
        <v>1</v>
      </c>
      <c r="AZ129" t="s">
        <v>59</v>
      </c>
    </row>
    <row r="130" spans="1:52">
      <c r="A130">
        <f t="shared" si="7"/>
        <v>129</v>
      </c>
      <c r="B130" s="3">
        <v>45996.862928240698</v>
      </c>
      <c r="C130" s="3">
        <v>45996.864004629599</v>
      </c>
      <c r="D130" t="s">
        <v>53</v>
      </c>
      <c r="G130" t="s">
        <v>54</v>
      </c>
      <c r="H130" t="s">
        <v>63</v>
      </c>
      <c r="I130" t="s">
        <v>56</v>
      </c>
      <c r="J130" t="s">
        <v>57</v>
      </c>
      <c r="K130" t="s">
        <v>57</v>
      </c>
      <c r="L130" t="s">
        <v>61</v>
      </c>
      <c r="M130" t="s">
        <v>61</v>
      </c>
      <c r="N130">
        <v>4</v>
      </c>
      <c r="O130">
        <v>3</v>
      </c>
      <c r="P130">
        <v>1</v>
      </c>
      <c r="Q130">
        <v>1</v>
      </c>
      <c r="R130">
        <v>1</v>
      </c>
      <c r="S130">
        <v>4</v>
      </c>
      <c r="T130">
        <v>2</v>
      </c>
      <c r="U130">
        <v>2</v>
      </c>
      <c r="V130">
        <v>1</v>
      </c>
      <c r="W130">
        <v>1</v>
      </c>
      <c r="X130">
        <v>2</v>
      </c>
      <c r="Y130">
        <v>4</v>
      </c>
      <c r="Z130">
        <v>4</v>
      </c>
      <c r="AA130">
        <v>4</v>
      </c>
      <c r="AB130">
        <v>4</v>
      </c>
      <c r="AC130">
        <v>2</v>
      </c>
      <c r="AD130">
        <v>4</v>
      </c>
      <c r="AE130">
        <v>2</v>
      </c>
      <c r="AF130">
        <v>4</v>
      </c>
      <c r="AG130">
        <v>3</v>
      </c>
      <c r="AH130">
        <v>2</v>
      </c>
      <c r="AI130">
        <v>4</v>
      </c>
      <c r="AJ130">
        <v>2</v>
      </c>
      <c r="AK130" t="b">
        <f>Table67[[#This Row],[What is your age?]]&lt;&gt;"18 - 25"</f>
        <v>0</v>
      </c>
      <c r="AL130" t="b">
        <f t="shared" si="4"/>
        <v>0</v>
      </c>
      <c r="AM130" t="b">
        <f t="shared" si="5"/>
        <v>0</v>
      </c>
      <c r="AN130" t="b">
        <f t="shared" si="6"/>
        <v>1</v>
      </c>
      <c r="AO130" t="b">
        <f>OR(Table67[[#This Row],[Ineligible respondents]:[Inconsistent response on opposite question (3)]])</f>
        <v>1</v>
      </c>
      <c r="AP13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30">
        <f>Table67[[#This Row],[Extreme Response]]/21</f>
        <v>0.23809523809523808</v>
      </c>
      <c r="AR130">
        <f>_xlfn.PERCENTILE.INC(Table67[Extrem Response Ratio (ERS)],0.9)</f>
        <v>0.61904761904761907</v>
      </c>
      <c r="AS130" t="b">
        <f>Table67[[#This Row],[Extrem Response Ratio (ERS)]]&gt;=Table67[[#This Row],[Threshold of ERS]]</f>
        <v>0</v>
      </c>
      <c r="AT130">
        <f>COUNTIF(Table67[[#This Row],[The mechanism of digital assets is difficult to understand, which discourages me from exploring it (E.g, Tokenization, Blockchain)]:[If I want to try different ways to invest, I will explore digital assets.]], 3)</f>
        <v>2</v>
      </c>
      <c r="AU130">
        <f>Table67[[#This Row],[Midpoint]]/21</f>
        <v>9.5238095238095233E-2</v>
      </c>
      <c r="AV130">
        <f>_xlfn.PERCENTILE.INC(Table67[Midpoint ratio],0.9)</f>
        <v>0.5714285714285714</v>
      </c>
      <c r="AW130" t="b">
        <f>Table67[[#This Row],[Midpoint ratio]]&gt;=Table67[[#This Row],[Threshold of Midpoint ratio]]</f>
        <v>0</v>
      </c>
      <c r="AX130" t="b">
        <f>OR(Table67[[#This Row],[Extreme Response Style]],Table67[[#This Row],[Mid-point Response Style]])</f>
        <v>0</v>
      </c>
      <c r="AY130" t="b">
        <f>OR(Table67[[#This Row],[Delete? (Stage 1)]],Table67[[#This Row],[Delete? (Stage 2)]])</f>
        <v>1</v>
      </c>
      <c r="AZ130" t="s">
        <v>59</v>
      </c>
    </row>
    <row r="131" spans="1:52">
      <c r="A131">
        <f t="shared" si="7"/>
        <v>130</v>
      </c>
      <c r="B131" s="3">
        <v>45996.865196759303</v>
      </c>
      <c r="C131" s="3">
        <v>45996.865995370397</v>
      </c>
      <c r="D131" t="s">
        <v>53</v>
      </c>
      <c r="G131" t="s">
        <v>54</v>
      </c>
      <c r="H131" t="s">
        <v>55</v>
      </c>
      <c r="I131" t="s">
        <v>56</v>
      </c>
      <c r="J131" t="s">
        <v>60</v>
      </c>
      <c r="K131" t="s">
        <v>57</v>
      </c>
      <c r="L131" t="s">
        <v>58</v>
      </c>
      <c r="M131" t="s">
        <v>58</v>
      </c>
      <c r="N131">
        <v>4</v>
      </c>
      <c r="O131">
        <v>4</v>
      </c>
      <c r="P131">
        <v>4</v>
      </c>
      <c r="Q131">
        <v>3</v>
      </c>
      <c r="R131">
        <v>3</v>
      </c>
      <c r="S131">
        <v>4</v>
      </c>
      <c r="T131">
        <v>4</v>
      </c>
      <c r="U131">
        <v>4</v>
      </c>
      <c r="V131">
        <v>4</v>
      </c>
      <c r="W131">
        <v>4</v>
      </c>
      <c r="X131">
        <v>4</v>
      </c>
      <c r="Y131">
        <v>4</v>
      </c>
      <c r="Z131">
        <v>4</v>
      </c>
      <c r="AA131">
        <v>4</v>
      </c>
      <c r="AB131">
        <v>4</v>
      </c>
      <c r="AC131">
        <v>4</v>
      </c>
      <c r="AD131">
        <v>4</v>
      </c>
      <c r="AE131">
        <v>4</v>
      </c>
      <c r="AF131">
        <v>4</v>
      </c>
      <c r="AG131">
        <v>4</v>
      </c>
      <c r="AH131">
        <v>4</v>
      </c>
      <c r="AI131">
        <v>2</v>
      </c>
      <c r="AJ131">
        <v>2</v>
      </c>
      <c r="AK131" t="b">
        <f>Table67[[#This Row],[What is your age?]]&lt;&gt;"18 - 25"</f>
        <v>0</v>
      </c>
      <c r="AL131" t="b">
        <f t="shared" ref="AL131:AL194" si="8">COUNTIF(N131:AH131, N131) = COLUMNS(N131:AH131)</f>
        <v>0</v>
      </c>
      <c r="AM131" t="b">
        <f t="shared" ref="AM131:AM194" si="9">OR(AND(AG131=AH131, AG131&lt;&gt;3), AND(OR(AG131=1, AG131=2), OR(AH131=1, AH131=2)), AND(OR(AG131=4, AG131=5), OR(AH131=4, AH131=5)))</f>
        <v>1</v>
      </c>
      <c r="AN131" t="b">
        <f t="shared" ref="AN131:AN194" si="10">OR(AND(AG131=3, AH131&lt;&gt;3), AND(AH131=3, AG131&lt;&gt;3))</f>
        <v>0</v>
      </c>
      <c r="AO131" t="b">
        <f>OR(Table67[[#This Row],[Ineligible respondents]:[Inconsistent response on opposite question (3)]])</f>
        <v>1</v>
      </c>
      <c r="AP13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31">
        <f>Table67[[#This Row],[Extreme Response]]/21</f>
        <v>0</v>
      </c>
      <c r="AR131">
        <f>_xlfn.PERCENTILE.INC(Table67[Extrem Response Ratio (ERS)],0.9)</f>
        <v>0.61904761904761907</v>
      </c>
      <c r="AS131" t="b">
        <f>Table67[[#This Row],[Extrem Response Ratio (ERS)]]&gt;=Table67[[#This Row],[Threshold of ERS]]</f>
        <v>0</v>
      </c>
      <c r="AT131">
        <f>COUNTIF(Table67[[#This Row],[The mechanism of digital assets is difficult to understand, which discourages me from exploring it (E.g, Tokenization, Blockchain)]:[If I want to try different ways to invest, I will explore digital assets.]], 3)</f>
        <v>2</v>
      </c>
      <c r="AU131">
        <f>Table67[[#This Row],[Midpoint]]/21</f>
        <v>9.5238095238095233E-2</v>
      </c>
      <c r="AV131">
        <f>_xlfn.PERCENTILE.INC(Table67[Midpoint ratio],0.9)</f>
        <v>0.5714285714285714</v>
      </c>
      <c r="AW131" t="b">
        <f>Table67[[#This Row],[Midpoint ratio]]&gt;=Table67[[#This Row],[Threshold of Midpoint ratio]]</f>
        <v>0</v>
      </c>
      <c r="AX131" t="b">
        <f>OR(Table67[[#This Row],[Extreme Response Style]],Table67[[#This Row],[Mid-point Response Style]])</f>
        <v>0</v>
      </c>
      <c r="AY131" t="b">
        <f>OR(Table67[[#This Row],[Delete? (Stage 1)]],Table67[[#This Row],[Delete? (Stage 2)]])</f>
        <v>1</v>
      </c>
      <c r="AZ131" t="s">
        <v>59</v>
      </c>
    </row>
    <row r="132" spans="1:52">
      <c r="A132">
        <f t="shared" ref="A132:A195" si="11">1+A131</f>
        <v>131</v>
      </c>
      <c r="B132" s="3">
        <v>45996.897881944402</v>
      </c>
      <c r="C132" s="3">
        <v>45996.901145833297</v>
      </c>
      <c r="D132" t="s">
        <v>53</v>
      </c>
      <c r="G132" t="s">
        <v>54</v>
      </c>
      <c r="H132" t="s">
        <v>63</v>
      </c>
      <c r="I132" t="s">
        <v>56</v>
      </c>
      <c r="J132" t="s">
        <v>62</v>
      </c>
      <c r="K132" t="s">
        <v>62</v>
      </c>
      <c r="L132" t="s">
        <v>61</v>
      </c>
      <c r="M132" t="s">
        <v>61</v>
      </c>
      <c r="N132">
        <v>3</v>
      </c>
      <c r="O132">
        <v>4</v>
      </c>
      <c r="P132">
        <v>5</v>
      </c>
      <c r="Q132">
        <v>3</v>
      </c>
      <c r="R132">
        <v>4</v>
      </c>
      <c r="S132">
        <v>4</v>
      </c>
      <c r="T132">
        <v>3</v>
      </c>
      <c r="U132">
        <v>4</v>
      </c>
      <c r="V132">
        <v>5</v>
      </c>
      <c r="W132">
        <v>5</v>
      </c>
      <c r="X132">
        <v>3</v>
      </c>
      <c r="Y132">
        <v>5</v>
      </c>
      <c r="Z132">
        <v>4</v>
      </c>
      <c r="AA132">
        <v>4</v>
      </c>
      <c r="AB132">
        <v>3</v>
      </c>
      <c r="AC132">
        <v>4</v>
      </c>
      <c r="AD132">
        <v>3</v>
      </c>
      <c r="AE132">
        <v>2</v>
      </c>
      <c r="AF132">
        <v>3</v>
      </c>
      <c r="AG132">
        <v>2</v>
      </c>
      <c r="AH132">
        <v>3</v>
      </c>
      <c r="AI132">
        <v>3</v>
      </c>
      <c r="AJ132">
        <v>3</v>
      </c>
      <c r="AK132" t="b">
        <f>Table67[[#This Row],[What is your age?]]&lt;&gt;"18 - 25"</f>
        <v>0</v>
      </c>
      <c r="AL132" t="b">
        <f t="shared" si="8"/>
        <v>0</v>
      </c>
      <c r="AM132" t="b">
        <f t="shared" si="9"/>
        <v>0</v>
      </c>
      <c r="AN132" t="b">
        <f t="shared" si="10"/>
        <v>1</v>
      </c>
      <c r="AO132" t="b">
        <f>OR(Table67[[#This Row],[Ineligible respondents]:[Inconsistent response on opposite question (3)]])</f>
        <v>1</v>
      </c>
      <c r="AP13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32">
        <f>Table67[[#This Row],[Extreme Response]]/21</f>
        <v>0.19047619047619047</v>
      </c>
      <c r="AR132">
        <f>_xlfn.PERCENTILE.INC(Table67[Extrem Response Ratio (ERS)],0.9)</f>
        <v>0.61904761904761907</v>
      </c>
      <c r="AS132" t="b">
        <f>Table67[[#This Row],[Extrem Response Ratio (ERS)]]&gt;=Table67[[#This Row],[Threshold of ERS]]</f>
        <v>0</v>
      </c>
      <c r="AT132">
        <f>COUNTIF(Table67[[#This Row],[The mechanism of digital assets is difficult to understand, which discourages me from exploring it (E.g, Tokenization, Blockchain)]:[If I want to try different ways to invest, I will explore digital assets.]], 3)</f>
        <v>8</v>
      </c>
      <c r="AU132">
        <f>Table67[[#This Row],[Midpoint]]/21</f>
        <v>0.38095238095238093</v>
      </c>
      <c r="AV132">
        <f>_xlfn.PERCENTILE.INC(Table67[Midpoint ratio],0.9)</f>
        <v>0.5714285714285714</v>
      </c>
      <c r="AW132" t="b">
        <f>Table67[[#This Row],[Midpoint ratio]]&gt;=Table67[[#This Row],[Threshold of Midpoint ratio]]</f>
        <v>0</v>
      </c>
      <c r="AX132" t="b">
        <f>OR(Table67[[#This Row],[Extreme Response Style]],Table67[[#This Row],[Mid-point Response Style]])</f>
        <v>0</v>
      </c>
      <c r="AY132" t="b">
        <f>OR(Table67[[#This Row],[Delete? (Stage 1)]],Table67[[#This Row],[Delete? (Stage 2)]])</f>
        <v>1</v>
      </c>
      <c r="AZ132" t="s">
        <v>59</v>
      </c>
    </row>
    <row r="133" spans="1:52">
      <c r="A133">
        <f t="shared" si="11"/>
        <v>132</v>
      </c>
      <c r="B133" s="3">
        <v>45996.970162037003</v>
      </c>
      <c r="C133" s="3">
        <v>45996.974143518499</v>
      </c>
      <c r="D133" t="s">
        <v>53</v>
      </c>
      <c r="G133" t="s">
        <v>54</v>
      </c>
      <c r="H133" t="s">
        <v>63</v>
      </c>
      <c r="I133" t="s">
        <v>56</v>
      </c>
      <c r="J133" t="s">
        <v>57</v>
      </c>
      <c r="K133" t="s">
        <v>57</v>
      </c>
      <c r="L133" t="s">
        <v>58</v>
      </c>
      <c r="M133" t="s">
        <v>61</v>
      </c>
      <c r="N133">
        <v>5</v>
      </c>
      <c r="O133">
        <v>3</v>
      </c>
      <c r="P133">
        <v>4</v>
      </c>
      <c r="Q133">
        <v>3</v>
      </c>
      <c r="R133">
        <v>3</v>
      </c>
      <c r="S133">
        <v>3</v>
      </c>
      <c r="T133">
        <v>3</v>
      </c>
      <c r="U133">
        <v>5</v>
      </c>
      <c r="V133">
        <v>5</v>
      </c>
      <c r="W133">
        <v>5</v>
      </c>
      <c r="X133">
        <v>5</v>
      </c>
      <c r="Y133">
        <v>5</v>
      </c>
      <c r="Z133">
        <v>5</v>
      </c>
      <c r="AA133">
        <v>5</v>
      </c>
      <c r="AB133">
        <v>5</v>
      </c>
      <c r="AC133">
        <v>3</v>
      </c>
      <c r="AD133">
        <v>5</v>
      </c>
      <c r="AE133">
        <v>5</v>
      </c>
      <c r="AF133">
        <v>1</v>
      </c>
      <c r="AG133">
        <v>5</v>
      </c>
      <c r="AH133">
        <v>4</v>
      </c>
      <c r="AI133">
        <v>2</v>
      </c>
      <c r="AJ133">
        <v>5</v>
      </c>
      <c r="AK133" t="b">
        <f>Table67[[#This Row],[What is your age?]]&lt;&gt;"18 - 25"</f>
        <v>0</v>
      </c>
      <c r="AL133" t="b">
        <f t="shared" si="8"/>
        <v>0</v>
      </c>
      <c r="AM133" t="b">
        <f t="shared" si="9"/>
        <v>1</v>
      </c>
      <c r="AN133" t="b">
        <f t="shared" si="10"/>
        <v>0</v>
      </c>
      <c r="AO133" t="b">
        <f>OR(Table67[[#This Row],[Ineligible respondents]:[Inconsistent response on opposite question (3)]])</f>
        <v>1</v>
      </c>
      <c r="AP13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133">
        <f>Table67[[#This Row],[Extreme Response]]/21</f>
        <v>0.61904761904761907</v>
      </c>
      <c r="AR133">
        <f>_xlfn.PERCENTILE.INC(Table67[Extrem Response Ratio (ERS)],0.9)</f>
        <v>0.61904761904761907</v>
      </c>
      <c r="AS133" t="b">
        <f>Table67[[#This Row],[Extrem Response Ratio (ERS)]]&gt;=Table67[[#This Row],[Threshold of ERS]]</f>
        <v>1</v>
      </c>
      <c r="AT133">
        <f>COUNTIF(Table67[[#This Row],[The mechanism of digital assets is difficult to understand, which discourages me from exploring it (E.g, Tokenization, Blockchain)]:[If I want to try different ways to invest, I will explore digital assets.]], 3)</f>
        <v>6</v>
      </c>
      <c r="AU133">
        <f>Table67[[#This Row],[Midpoint]]/21</f>
        <v>0.2857142857142857</v>
      </c>
      <c r="AV133">
        <f>_xlfn.PERCENTILE.INC(Table67[Midpoint ratio],0.9)</f>
        <v>0.5714285714285714</v>
      </c>
      <c r="AW133" t="b">
        <f>Table67[[#This Row],[Midpoint ratio]]&gt;=Table67[[#This Row],[Threshold of Midpoint ratio]]</f>
        <v>0</v>
      </c>
      <c r="AX133" t="b">
        <f>OR(Table67[[#This Row],[Extreme Response Style]],Table67[[#This Row],[Mid-point Response Style]])</f>
        <v>1</v>
      </c>
      <c r="AY133" t="b">
        <f>OR(Table67[[#This Row],[Delete? (Stage 1)]],Table67[[#This Row],[Delete? (Stage 2)]])</f>
        <v>1</v>
      </c>
      <c r="AZ133" t="s">
        <v>59</v>
      </c>
    </row>
    <row r="134" spans="1:52">
      <c r="A134">
        <f t="shared" si="11"/>
        <v>133</v>
      </c>
      <c r="B134" s="3">
        <v>45996.979745370401</v>
      </c>
      <c r="C134" s="3">
        <v>45996.981956018499</v>
      </c>
      <c r="D134" t="s">
        <v>53</v>
      </c>
      <c r="G134" t="s">
        <v>54</v>
      </c>
      <c r="H134" t="s">
        <v>55</v>
      </c>
      <c r="I134" t="s">
        <v>56</v>
      </c>
      <c r="J134" t="s">
        <v>62</v>
      </c>
      <c r="K134" t="s">
        <v>57</v>
      </c>
      <c r="L134" t="s">
        <v>58</v>
      </c>
      <c r="M134" t="s">
        <v>61</v>
      </c>
      <c r="N134">
        <v>4</v>
      </c>
      <c r="O134">
        <v>3</v>
      </c>
      <c r="P134">
        <v>5</v>
      </c>
      <c r="Q134">
        <v>4</v>
      </c>
      <c r="R134">
        <v>4</v>
      </c>
      <c r="S134">
        <v>5</v>
      </c>
      <c r="T134">
        <v>3</v>
      </c>
      <c r="U134">
        <v>4</v>
      </c>
      <c r="V134">
        <v>5</v>
      </c>
      <c r="W134">
        <v>3</v>
      </c>
      <c r="X134">
        <v>5</v>
      </c>
      <c r="Y134">
        <v>4</v>
      </c>
      <c r="Z134">
        <v>3</v>
      </c>
      <c r="AA134">
        <v>3</v>
      </c>
      <c r="AB134">
        <v>3</v>
      </c>
      <c r="AC134">
        <v>4</v>
      </c>
      <c r="AD134">
        <v>5</v>
      </c>
      <c r="AE134">
        <v>5</v>
      </c>
      <c r="AF134">
        <v>3</v>
      </c>
      <c r="AG134">
        <v>2</v>
      </c>
      <c r="AH134">
        <v>4</v>
      </c>
      <c r="AI134">
        <v>2</v>
      </c>
      <c r="AJ134">
        <v>3</v>
      </c>
      <c r="AK134" t="b">
        <f>Table67[[#This Row],[What is your age?]]&lt;&gt;"18 - 25"</f>
        <v>0</v>
      </c>
      <c r="AL134" t="b">
        <f t="shared" si="8"/>
        <v>0</v>
      </c>
      <c r="AM134" t="b">
        <f t="shared" si="9"/>
        <v>0</v>
      </c>
      <c r="AN134" t="b">
        <f t="shared" si="10"/>
        <v>0</v>
      </c>
      <c r="AO134" t="b">
        <f>OR(Table67[[#This Row],[Ineligible respondents]:[Inconsistent response on opposite question (3)]])</f>
        <v>0</v>
      </c>
      <c r="AP13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34">
        <f>Table67[[#This Row],[Extreme Response]]/21</f>
        <v>0.2857142857142857</v>
      </c>
      <c r="AR134">
        <f>_xlfn.PERCENTILE.INC(Table67[Extrem Response Ratio (ERS)],0.9)</f>
        <v>0.61904761904761907</v>
      </c>
      <c r="AS134" t="b">
        <f>Table67[[#This Row],[Extrem Response Ratio (ERS)]]&gt;=Table67[[#This Row],[Threshold of ERS]]</f>
        <v>0</v>
      </c>
      <c r="AT134">
        <f>COUNTIF(Table67[[#This Row],[The mechanism of digital assets is difficult to understand, which discourages me from exploring it (E.g, Tokenization, Blockchain)]:[If I want to try different ways to invest, I will explore digital assets.]], 3)</f>
        <v>7</v>
      </c>
      <c r="AU134">
        <f>Table67[[#This Row],[Midpoint]]/21</f>
        <v>0.33333333333333331</v>
      </c>
      <c r="AV134">
        <f>_xlfn.PERCENTILE.INC(Table67[Midpoint ratio],0.9)</f>
        <v>0.5714285714285714</v>
      </c>
      <c r="AW134" t="b">
        <f>Table67[[#This Row],[Midpoint ratio]]&gt;=Table67[[#This Row],[Threshold of Midpoint ratio]]</f>
        <v>0</v>
      </c>
      <c r="AX134" t="b">
        <f>OR(Table67[[#This Row],[Extreme Response Style]],Table67[[#This Row],[Mid-point Response Style]])</f>
        <v>0</v>
      </c>
      <c r="AY134" t="b">
        <f>OR(Table67[[#This Row],[Delete? (Stage 1)]],Table67[[#This Row],[Delete? (Stage 2)]])</f>
        <v>0</v>
      </c>
      <c r="AZ134" t="s">
        <v>59</v>
      </c>
    </row>
    <row r="135" spans="1:52">
      <c r="A135">
        <f t="shared" si="11"/>
        <v>134</v>
      </c>
      <c r="B135" s="3">
        <v>45996.9925925926</v>
      </c>
      <c r="C135" s="3">
        <v>45996.996180555601</v>
      </c>
      <c r="D135" t="s">
        <v>53</v>
      </c>
      <c r="G135" t="s">
        <v>54</v>
      </c>
      <c r="H135" t="s">
        <v>63</v>
      </c>
      <c r="I135" t="s">
        <v>56</v>
      </c>
      <c r="J135" t="s">
        <v>60</v>
      </c>
      <c r="K135" t="s">
        <v>57</v>
      </c>
      <c r="L135" t="s">
        <v>58</v>
      </c>
      <c r="M135" t="s">
        <v>58</v>
      </c>
      <c r="N135">
        <v>5</v>
      </c>
      <c r="O135">
        <v>3</v>
      </c>
      <c r="P135">
        <v>5</v>
      </c>
      <c r="Q135">
        <v>4</v>
      </c>
      <c r="R135">
        <v>5</v>
      </c>
      <c r="S135">
        <v>4</v>
      </c>
      <c r="T135">
        <v>3</v>
      </c>
      <c r="U135">
        <v>5</v>
      </c>
      <c r="V135">
        <v>4</v>
      </c>
      <c r="W135">
        <v>4</v>
      </c>
      <c r="X135">
        <v>4</v>
      </c>
      <c r="Y135">
        <v>5</v>
      </c>
      <c r="Z135">
        <v>5</v>
      </c>
      <c r="AA135">
        <v>5</v>
      </c>
      <c r="AB135">
        <v>3</v>
      </c>
      <c r="AC135">
        <v>3</v>
      </c>
      <c r="AD135">
        <v>4</v>
      </c>
      <c r="AE135">
        <v>4</v>
      </c>
      <c r="AF135">
        <v>1</v>
      </c>
      <c r="AG135">
        <v>4</v>
      </c>
      <c r="AH135">
        <v>4</v>
      </c>
      <c r="AI135">
        <v>2</v>
      </c>
      <c r="AJ135">
        <v>5</v>
      </c>
      <c r="AK135" t="b">
        <f>Table67[[#This Row],[What is your age?]]&lt;&gt;"18 - 25"</f>
        <v>0</v>
      </c>
      <c r="AL135" t="b">
        <f t="shared" si="8"/>
        <v>0</v>
      </c>
      <c r="AM135" t="b">
        <f t="shared" si="9"/>
        <v>1</v>
      </c>
      <c r="AN135" t="b">
        <f t="shared" si="10"/>
        <v>0</v>
      </c>
      <c r="AO135" t="b">
        <f>OR(Table67[[#This Row],[Ineligible respondents]:[Inconsistent response on opposite question (3)]])</f>
        <v>1</v>
      </c>
      <c r="AP13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135">
        <f>Table67[[#This Row],[Extreme Response]]/21</f>
        <v>0.38095238095238093</v>
      </c>
      <c r="AR135">
        <f>_xlfn.PERCENTILE.INC(Table67[Extrem Response Ratio (ERS)],0.9)</f>
        <v>0.61904761904761907</v>
      </c>
      <c r="AS135" t="b">
        <f>Table67[[#This Row],[Extrem Response Ratio (ERS)]]&gt;=Table67[[#This Row],[Threshold of ERS]]</f>
        <v>0</v>
      </c>
      <c r="AT135">
        <f>COUNTIF(Table67[[#This Row],[The mechanism of digital assets is difficult to understand, which discourages me from exploring it (E.g, Tokenization, Blockchain)]:[If I want to try different ways to invest, I will explore digital assets.]], 3)</f>
        <v>4</v>
      </c>
      <c r="AU135">
        <f>Table67[[#This Row],[Midpoint]]/21</f>
        <v>0.19047619047619047</v>
      </c>
      <c r="AV135">
        <f>_xlfn.PERCENTILE.INC(Table67[Midpoint ratio],0.9)</f>
        <v>0.5714285714285714</v>
      </c>
      <c r="AW135" t="b">
        <f>Table67[[#This Row],[Midpoint ratio]]&gt;=Table67[[#This Row],[Threshold of Midpoint ratio]]</f>
        <v>0</v>
      </c>
      <c r="AX135" t="b">
        <f>OR(Table67[[#This Row],[Extreme Response Style]],Table67[[#This Row],[Mid-point Response Style]])</f>
        <v>0</v>
      </c>
      <c r="AY135" t="b">
        <f>OR(Table67[[#This Row],[Delete? (Stage 1)]],Table67[[#This Row],[Delete? (Stage 2)]])</f>
        <v>1</v>
      </c>
      <c r="AZ135" t="s">
        <v>59</v>
      </c>
    </row>
    <row r="136" spans="1:52">
      <c r="A136">
        <f t="shared" si="11"/>
        <v>135</v>
      </c>
      <c r="B136" s="3">
        <v>45997.071736111102</v>
      </c>
      <c r="C136" s="3">
        <v>45997.074930555602</v>
      </c>
      <c r="D136" t="s">
        <v>53</v>
      </c>
      <c r="G136" t="s">
        <v>73</v>
      </c>
      <c r="H136" t="s">
        <v>63</v>
      </c>
      <c r="I136" t="s">
        <v>69</v>
      </c>
      <c r="J136" t="s">
        <v>60</v>
      </c>
      <c r="K136" t="s">
        <v>57</v>
      </c>
      <c r="L136" t="s">
        <v>58</v>
      </c>
      <c r="M136" t="s">
        <v>61</v>
      </c>
      <c r="N136">
        <v>4</v>
      </c>
      <c r="O136">
        <v>2</v>
      </c>
      <c r="P136">
        <v>3</v>
      </c>
      <c r="Q136">
        <v>3</v>
      </c>
      <c r="R136">
        <v>4</v>
      </c>
      <c r="S136">
        <v>4</v>
      </c>
      <c r="T136">
        <v>3</v>
      </c>
      <c r="U136">
        <v>5</v>
      </c>
      <c r="V136">
        <v>2</v>
      </c>
      <c r="W136">
        <v>3</v>
      </c>
      <c r="X136">
        <v>4</v>
      </c>
      <c r="Y136">
        <v>3</v>
      </c>
      <c r="Z136">
        <v>5</v>
      </c>
      <c r="AA136">
        <v>4</v>
      </c>
      <c r="AB136">
        <v>3</v>
      </c>
      <c r="AC136">
        <v>3</v>
      </c>
      <c r="AD136">
        <v>4</v>
      </c>
      <c r="AE136">
        <v>2</v>
      </c>
      <c r="AF136">
        <v>1</v>
      </c>
      <c r="AG136">
        <v>2</v>
      </c>
      <c r="AH136">
        <v>2</v>
      </c>
      <c r="AI136">
        <v>4</v>
      </c>
      <c r="AJ136">
        <v>5</v>
      </c>
      <c r="AK136" t="b">
        <f>Table67[[#This Row],[What is your age?]]&lt;&gt;"18 - 25"</f>
        <v>1</v>
      </c>
      <c r="AL136" t="b">
        <f t="shared" si="8"/>
        <v>0</v>
      </c>
      <c r="AM136" t="b">
        <f t="shared" si="9"/>
        <v>1</v>
      </c>
      <c r="AN136" t="b">
        <f t="shared" si="10"/>
        <v>0</v>
      </c>
      <c r="AO136" t="b">
        <f>OR(Table67[[#This Row],[Ineligible respondents]:[Inconsistent response on opposite question (3)]])</f>
        <v>1</v>
      </c>
      <c r="AP13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36">
        <f>Table67[[#This Row],[Extreme Response]]/21</f>
        <v>0.14285714285714285</v>
      </c>
      <c r="AR136">
        <f>_xlfn.PERCENTILE.INC(Table67[Extrem Response Ratio (ERS)],0.9)</f>
        <v>0.61904761904761907</v>
      </c>
      <c r="AS136" t="b">
        <f>Table67[[#This Row],[Extrem Response Ratio (ERS)]]&gt;=Table67[[#This Row],[Threshold of ERS]]</f>
        <v>0</v>
      </c>
      <c r="AT136">
        <f>COUNTIF(Table67[[#This Row],[The mechanism of digital assets is difficult to understand, which discourages me from exploring it (E.g, Tokenization, Blockchain)]:[If I want to try different ways to invest, I will explore digital assets.]], 3)</f>
        <v>7</v>
      </c>
      <c r="AU136">
        <f>Table67[[#This Row],[Midpoint]]/21</f>
        <v>0.33333333333333331</v>
      </c>
      <c r="AV136">
        <f>_xlfn.PERCENTILE.INC(Table67[Midpoint ratio],0.9)</f>
        <v>0.5714285714285714</v>
      </c>
      <c r="AW136" t="b">
        <f>Table67[[#This Row],[Midpoint ratio]]&gt;=Table67[[#This Row],[Threshold of Midpoint ratio]]</f>
        <v>0</v>
      </c>
      <c r="AX136" t="b">
        <f>OR(Table67[[#This Row],[Extreme Response Style]],Table67[[#This Row],[Mid-point Response Style]])</f>
        <v>0</v>
      </c>
      <c r="AY136" t="b">
        <f>OR(Table67[[#This Row],[Delete? (Stage 1)]],Table67[[#This Row],[Delete? (Stage 2)]])</f>
        <v>1</v>
      </c>
      <c r="AZ136" t="s">
        <v>59</v>
      </c>
    </row>
    <row r="137" spans="1:52">
      <c r="A137">
        <f t="shared" si="11"/>
        <v>136</v>
      </c>
      <c r="B137" s="3">
        <v>46006.702974537002</v>
      </c>
      <c r="C137" s="3">
        <v>46006.704629629603</v>
      </c>
      <c r="D137" t="s">
        <v>53</v>
      </c>
      <c r="G137" t="s">
        <v>73</v>
      </c>
      <c r="H137" t="s">
        <v>63</v>
      </c>
      <c r="I137" t="s">
        <v>75</v>
      </c>
      <c r="J137" t="s">
        <v>64</v>
      </c>
      <c r="K137" t="s">
        <v>57</v>
      </c>
      <c r="L137" t="s">
        <v>58</v>
      </c>
      <c r="M137" t="s">
        <v>58</v>
      </c>
      <c r="N137">
        <v>4</v>
      </c>
      <c r="O137">
        <v>3</v>
      </c>
      <c r="P137">
        <v>4</v>
      </c>
      <c r="Q137">
        <v>3</v>
      </c>
      <c r="R137">
        <v>4</v>
      </c>
      <c r="S137">
        <v>4</v>
      </c>
      <c r="T137">
        <v>4</v>
      </c>
      <c r="U137">
        <v>4</v>
      </c>
      <c r="V137">
        <v>4</v>
      </c>
      <c r="W137">
        <v>4</v>
      </c>
      <c r="X137">
        <v>3</v>
      </c>
      <c r="Y137">
        <v>3</v>
      </c>
      <c r="Z137">
        <v>5</v>
      </c>
      <c r="AA137">
        <v>4</v>
      </c>
      <c r="AB137">
        <v>5</v>
      </c>
      <c r="AC137">
        <v>4</v>
      </c>
      <c r="AD137">
        <v>5</v>
      </c>
      <c r="AE137">
        <v>3</v>
      </c>
      <c r="AF137">
        <v>2</v>
      </c>
      <c r="AG137">
        <v>4</v>
      </c>
      <c r="AH137">
        <v>2</v>
      </c>
      <c r="AI137">
        <v>4</v>
      </c>
      <c r="AJ137">
        <v>4</v>
      </c>
      <c r="AK137" t="b">
        <f>Table67[[#This Row],[What is your age?]]&lt;&gt;"18 - 25"</f>
        <v>1</v>
      </c>
      <c r="AL137" t="b">
        <f t="shared" si="8"/>
        <v>0</v>
      </c>
      <c r="AM137" t="b">
        <f t="shared" si="9"/>
        <v>0</v>
      </c>
      <c r="AN137" t="b">
        <f t="shared" si="10"/>
        <v>0</v>
      </c>
      <c r="AO137" t="b">
        <f>OR(Table67[[#This Row],[Ineligible respondents]:[Inconsistent response on opposite question (3)]])</f>
        <v>1</v>
      </c>
      <c r="AP13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37">
        <f>Table67[[#This Row],[Extreme Response]]/21</f>
        <v>0.14285714285714285</v>
      </c>
      <c r="AR137">
        <f>_xlfn.PERCENTILE.INC(Table67[Extrem Response Ratio (ERS)],0.9)</f>
        <v>0.61904761904761907</v>
      </c>
      <c r="AS137" t="b">
        <f>Table67[[#This Row],[Extrem Response Ratio (ERS)]]&gt;=Table67[[#This Row],[Threshold of ERS]]</f>
        <v>0</v>
      </c>
      <c r="AT137">
        <f>COUNTIF(Table67[[#This Row],[The mechanism of digital assets is difficult to understand, which discourages me from exploring it (E.g, Tokenization, Blockchain)]:[If I want to try different ways to invest, I will explore digital assets.]], 3)</f>
        <v>5</v>
      </c>
      <c r="AU137">
        <f>Table67[[#This Row],[Midpoint]]/21</f>
        <v>0.23809523809523808</v>
      </c>
      <c r="AV137">
        <f>_xlfn.PERCENTILE.INC(Table67[Midpoint ratio],0.9)</f>
        <v>0.5714285714285714</v>
      </c>
      <c r="AW137" t="b">
        <f>Table67[[#This Row],[Midpoint ratio]]&gt;=Table67[[#This Row],[Threshold of Midpoint ratio]]</f>
        <v>0</v>
      </c>
      <c r="AX137" t="b">
        <f>OR(Table67[[#This Row],[Extreme Response Style]],Table67[[#This Row],[Mid-point Response Style]])</f>
        <v>0</v>
      </c>
      <c r="AY137" t="b">
        <f>OR(Table67[[#This Row],[Delete? (Stage 1)]],Table67[[#This Row],[Delete? (Stage 2)]])</f>
        <v>1</v>
      </c>
      <c r="AZ137" t="s">
        <v>59</v>
      </c>
    </row>
    <row r="138" spans="1:52">
      <c r="A138">
        <f t="shared" si="11"/>
        <v>137</v>
      </c>
      <c r="B138" s="3">
        <v>46011.465381944399</v>
      </c>
      <c r="C138" s="3">
        <v>46011.466331018499</v>
      </c>
      <c r="D138" t="s">
        <v>53</v>
      </c>
      <c r="G138" t="s">
        <v>79</v>
      </c>
      <c r="H138" t="s">
        <v>63</v>
      </c>
      <c r="I138" t="s">
        <v>71</v>
      </c>
      <c r="J138" t="s">
        <v>57</v>
      </c>
      <c r="K138" t="s">
        <v>57</v>
      </c>
      <c r="L138" t="s">
        <v>58</v>
      </c>
      <c r="M138" t="s">
        <v>58</v>
      </c>
      <c r="N138">
        <v>1</v>
      </c>
      <c r="O138">
        <v>1</v>
      </c>
      <c r="P138">
        <v>1</v>
      </c>
      <c r="Q138">
        <v>1</v>
      </c>
      <c r="R138">
        <v>1</v>
      </c>
      <c r="S138">
        <v>1</v>
      </c>
      <c r="T138">
        <v>1</v>
      </c>
      <c r="U138">
        <v>1</v>
      </c>
      <c r="V138">
        <v>1</v>
      </c>
      <c r="W138">
        <v>1</v>
      </c>
      <c r="X138">
        <v>1</v>
      </c>
      <c r="Y138">
        <v>1</v>
      </c>
      <c r="Z138">
        <v>1</v>
      </c>
      <c r="AA138">
        <v>1</v>
      </c>
      <c r="AB138">
        <v>1</v>
      </c>
      <c r="AC138">
        <v>1</v>
      </c>
      <c r="AD138">
        <v>1</v>
      </c>
      <c r="AE138">
        <v>1</v>
      </c>
      <c r="AF138">
        <v>1</v>
      </c>
      <c r="AG138">
        <v>1</v>
      </c>
      <c r="AH138">
        <v>1</v>
      </c>
      <c r="AI138">
        <v>5</v>
      </c>
      <c r="AJ138">
        <v>5</v>
      </c>
      <c r="AK138" t="b">
        <f>Table67[[#This Row],[What is your age?]]&lt;&gt;"18 - 25"</f>
        <v>1</v>
      </c>
      <c r="AL138" t="b">
        <f t="shared" si="8"/>
        <v>1</v>
      </c>
      <c r="AM138" t="b">
        <f t="shared" si="9"/>
        <v>1</v>
      </c>
      <c r="AN138" t="b">
        <f t="shared" si="10"/>
        <v>0</v>
      </c>
      <c r="AO138" t="b">
        <f>OR(Table67[[#This Row],[Ineligible respondents]:[Inconsistent response on opposite question (3)]])</f>
        <v>1</v>
      </c>
      <c r="AP13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21</v>
      </c>
      <c r="AQ138">
        <f>Table67[[#This Row],[Extreme Response]]/21</f>
        <v>1</v>
      </c>
      <c r="AR138">
        <f>_xlfn.PERCENTILE.INC(Table67[Extrem Response Ratio (ERS)],0.9)</f>
        <v>0.61904761904761907</v>
      </c>
      <c r="AS138" t="b">
        <f>Table67[[#This Row],[Extrem Response Ratio (ERS)]]&gt;=Table67[[#This Row],[Threshold of ERS]]</f>
        <v>1</v>
      </c>
      <c r="AT138">
        <f>COUNTIF(Table67[[#This Row],[The mechanism of digital assets is difficult to understand, which discourages me from exploring it (E.g, Tokenization, Blockchain)]:[If I want to try different ways to invest, I will explore digital assets.]], 3)</f>
        <v>0</v>
      </c>
      <c r="AU138">
        <f>Table67[[#This Row],[Midpoint]]/21</f>
        <v>0</v>
      </c>
      <c r="AV138">
        <f>_xlfn.PERCENTILE.INC(Table67[Midpoint ratio],0.9)</f>
        <v>0.5714285714285714</v>
      </c>
      <c r="AW138" t="b">
        <f>Table67[[#This Row],[Midpoint ratio]]&gt;=Table67[[#This Row],[Threshold of Midpoint ratio]]</f>
        <v>0</v>
      </c>
      <c r="AX138" t="b">
        <f>OR(Table67[[#This Row],[Extreme Response Style]],Table67[[#This Row],[Mid-point Response Style]])</f>
        <v>1</v>
      </c>
      <c r="AY138" t="b">
        <f>OR(Table67[[#This Row],[Delete? (Stage 1)]],Table67[[#This Row],[Delete? (Stage 2)]])</f>
        <v>1</v>
      </c>
      <c r="AZ138" t="s">
        <v>59</v>
      </c>
    </row>
    <row r="139" spans="1:52">
      <c r="A139">
        <f t="shared" si="11"/>
        <v>138</v>
      </c>
      <c r="B139" s="3">
        <v>46011.465752314798</v>
      </c>
      <c r="C139" s="3">
        <v>46011.466909722199</v>
      </c>
      <c r="D139" t="s">
        <v>53</v>
      </c>
      <c r="G139" t="s">
        <v>54</v>
      </c>
      <c r="H139" t="s">
        <v>63</v>
      </c>
      <c r="I139" t="s">
        <v>69</v>
      </c>
      <c r="J139" t="s">
        <v>57</v>
      </c>
      <c r="K139" t="s">
        <v>57</v>
      </c>
      <c r="L139" t="s">
        <v>58</v>
      </c>
      <c r="M139" t="s">
        <v>58</v>
      </c>
      <c r="N139">
        <v>3</v>
      </c>
      <c r="O139">
        <v>3</v>
      </c>
      <c r="P139">
        <v>4</v>
      </c>
      <c r="Q139">
        <v>3</v>
      </c>
      <c r="R139">
        <v>3</v>
      </c>
      <c r="S139">
        <v>3</v>
      </c>
      <c r="T139">
        <v>3</v>
      </c>
      <c r="U139">
        <v>3</v>
      </c>
      <c r="V139">
        <v>3</v>
      </c>
      <c r="W139">
        <v>3</v>
      </c>
      <c r="X139">
        <v>3</v>
      </c>
      <c r="Y139">
        <v>3</v>
      </c>
      <c r="Z139">
        <v>3</v>
      </c>
      <c r="AA139">
        <v>3</v>
      </c>
      <c r="AB139">
        <v>3</v>
      </c>
      <c r="AC139">
        <v>3</v>
      </c>
      <c r="AD139">
        <v>3</v>
      </c>
      <c r="AE139">
        <v>3</v>
      </c>
      <c r="AF139">
        <v>3</v>
      </c>
      <c r="AG139">
        <v>3</v>
      </c>
      <c r="AH139">
        <v>3</v>
      </c>
      <c r="AI139">
        <v>3</v>
      </c>
      <c r="AJ139">
        <v>3</v>
      </c>
      <c r="AK139" t="b">
        <f>Table67[[#This Row],[What is your age?]]&lt;&gt;"18 - 25"</f>
        <v>0</v>
      </c>
      <c r="AL139" t="b">
        <f t="shared" si="8"/>
        <v>0</v>
      </c>
      <c r="AM139" t="b">
        <f t="shared" si="9"/>
        <v>0</v>
      </c>
      <c r="AN139" t="b">
        <f t="shared" si="10"/>
        <v>0</v>
      </c>
      <c r="AO139" t="b">
        <f>OR(Table67[[#This Row],[Ineligible respondents]:[Inconsistent response on opposite question (3)]])</f>
        <v>0</v>
      </c>
      <c r="AP13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39">
        <f>Table67[[#This Row],[Extreme Response]]/21</f>
        <v>0</v>
      </c>
      <c r="AR139">
        <f>_xlfn.PERCENTILE.INC(Table67[Extrem Response Ratio (ERS)],0.9)</f>
        <v>0.61904761904761907</v>
      </c>
      <c r="AS139" t="b">
        <f>Table67[[#This Row],[Extrem Response Ratio (ERS)]]&gt;=Table67[[#This Row],[Threshold of ERS]]</f>
        <v>0</v>
      </c>
      <c r="AT139">
        <f>COUNTIF(Table67[[#This Row],[The mechanism of digital assets is difficult to understand, which discourages me from exploring it (E.g, Tokenization, Blockchain)]:[If I want to try different ways to invest, I will explore digital assets.]], 3)</f>
        <v>20</v>
      </c>
      <c r="AU139">
        <f>Table67[[#This Row],[Midpoint]]/21</f>
        <v>0.95238095238095233</v>
      </c>
      <c r="AV139">
        <f>_xlfn.PERCENTILE.INC(Table67[Midpoint ratio],0.9)</f>
        <v>0.5714285714285714</v>
      </c>
      <c r="AW139" t="b">
        <f>Table67[[#This Row],[Midpoint ratio]]&gt;=Table67[[#This Row],[Threshold of Midpoint ratio]]</f>
        <v>1</v>
      </c>
      <c r="AX139" t="b">
        <f>OR(Table67[[#This Row],[Extreme Response Style]],Table67[[#This Row],[Mid-point Response Style]])</f>
        <v>1</v>
      </c>
      <c r="AY139" t="b">
        <f>OR(Table67[[#This Row],[Delete? (Stage 1)]],Table67[[#This Row],[Delete? (Stage 2)]])</f>
        <v>1</v>
      </c>
      <c r="AZ139" t="s">
        <v>59</v>
      </c>
    </row>
    <row r="140" spans="1:52">
      <c r="A140">
        <f t="shared" si="11"/>
        <v>139</v>
      </c>
      <c r="B140" s="3">
        <v>46011.466249999998</v>
      </c>
      <c r="C140" s="3">
        <v>46011.468900462998</v>
      </c>
      <c r="D140" t="s">
        <v>53</v>
      </c>
      <c r="G140" t="s">
        <v>80</v>
      </c>
      <c r="H140" t="s">
        <v>70</v>
      </c>
      <c r="I140" t="s">
        <v>56</v>
      </c>
      <c r="J140" t="s">
        <v>62</v>
      </c>
      <c r="K140" t="s">
        <v>64</v>
      </c>
      <c r="L140" t="s">
        <v>58</v>
      </c>
      <c r="M140" t="s">
        <v>61</v>
      </c>
      <c r="N140">
        <v>3</v>
      </c>
      <c r="O140">
        <v>3</v>
      </c>
      <c r="P140">
        <v>5</v>
      </c>
      <c r="Q140">
        <v>3</v>
      </c>
      <c r="R140">
        <v>3</v>
      </c>
      <c r="S140">
        <v>3</v>
      </c>
      <c r="T140">
        <v>1</v>
      </c>
      <c r="U140">
        <v>3</v>
      </c>
      <c r="V140">
        <v>3</v>
      </c>
      <c r="W140">
        <v>5</v>
      </c>
      <c r="X140">
        <v>3</v>
      </c>
      <c r="Y140">
        <v>5</v>
      </c>
      <c r="Z140">
        <v>3</v>
      </c>
      <c r="AA140">
        <v>3</v>
      </c>
      <c r="AB140">
        <v>1</v>
      </c>
      <c r="AC140">
        <v>3</v>
      </c>
      <c r="AD140">
        <v>3</v>
      </c>
      <c r="AE140">
        <v>3</v>
      </c>
      <c r="AF140">
        <v>3</v>
      </c>
      <c r="AG140">
        <v>4</v>
      </c>
      <c r="AH140">
        <v>4</v>
      </c>
      <c r="AI140">
        <v>2</v>
      </c>
      <c r="AJ140">
        <v>3</v>
      </c>
      <c r="AK140" t="b">
        <f>Table67[[#This Row],[What is your age?]]&lt;&gt;"18 - 25"</f>
        <v>1</v>
      </c>
      <c r="AL140" t="b">
        <f t="shared" si="8"/>
        <v>0</v>
      </c>
      <c r="AM140" t="b">
        <f t="shared" si="9"/>
        <v>1</v>
      </c>
      <c r="AN140" t="b">
        <f t="shared" si="10"/>
        <v>0</v>
      </c>
      <c r="AO140" t="b">
        <f>OR(Table67[[#This Row],[Ineligible respondents]:[Inconsistent response on opposite question (3)]])</f>
        <v>1</v>
      </c>
      <c r="AP14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40">
        <f>Table67[[#This Row],[Extreme Response]]/21</f>
        <v>0.23809523809523808</v>
      </c>
      <c r="AR140">
        <f>_xlfn.PERCENTILE.INC(Table67[Extrem Response Ratio (ERS)],0.9)</f>
        <v>0.61904761904761907</v>
      </c>
      <c r="AS140" t="b">
        <f>Table67[[#This Row],[Extrem Response Ratio (ERS)]]&gt;=Table67[[#This Row],[Threshold of ERS]]</f>
        <v>0</v>
      </c>
      <c r="AT140">
        <f>COUNTIF(Table67[[#This Row],[The mechanism of digital assets is difficult to understand, which discourages me from exploring it (E.g, Tokenization, Blockchain)]:[If I want to try different ways to invest, I will explore digital assets.]], 3)</f>
        <v>14</v>
      </c>
      <c r="AU140">
        <f>Table67[[#This Row],[Midpoint]]/21</f>
        <v>0.66666666666666663</v>
      </c>
      <c r="AV140">
        <f>_xlfn.PERCENTILE.INC(Table67[Midpoint ratio],0.9)</f>
        <v>0.5714285714285714</v>
      </c>
      <c r="AW140" t="b">
        <f>Table67[[#This Row],[Midpoint ratio]]&gt;=Table67[[#This Row],[Threshold of Midpoint ratio]]</f>
        <v>1</v>
      </c>
      <c r="AX140" t="b">
        <f>OR(Table67[[#This Row],[Extreme Response Style]],Table67[[#This Row],[Mid-point Response Style]])</f>
        <v>1</v>
      </c>
      <c r="AY140" t="b">
        <f>OR(Table67[[#This Row],[Delete? (Stage 1)]],Table67[[#This Row],[Delete? (Stage 2)]])</f>
        <v>1</v>
      </c>
      <c r="AZ140" t="s">
        <v>59</v>
      </c>
    </row>
    <row r="141" spans="1:52">
      <c r="A141">
        <f t="shared" si="11"/>
        <v>140</v>
      </c>
      <c r="B141" s="3">
        <v>46011.466828703698</v>
      </c>
      <c r="C141" s="3">
        <v>46011.468275462998</v>
      </c>
      <c r="D141" t="s">
        <v>53</v>
      </c>
      <c r="G141" t="s">
        <v>54</v>
      </c>
      <c r="H141" t="s">
        <v>55</v>
      </c>
      <c r="I141" t="s">
        <v>75</v>
      </c>
      <c r="J141" t="s">
        <v>67</v>
      </c>
      <c r="K141" t="s">
        <v>57</v>
      </c>
      <c r="L141" t="s">
        <v>58</v>
      </c>
      <c r="M141" t="s">
        <v>61</v>
      </c>
      <c r="N141">
        <v>3</v>
      </c>
      <c r="O141">
        <v>3</v>
      </c>
      <c r="P141">
        <v>3</v>
      </c>
      <c r="Q141">
        <v>3</v>
      </c>
      <c r="R141">
        <v>3</v>
      </c>
      <c r="S141">
        <v>3</v>
      </c>
      <c r="T141">
        <v>3</v>
      </c>
      <c r="U141">
        <v>3</v>
      </c>
      <c r="V141">
        <v>3</v>
      </c>
      <c r="W141">
        <v>3</v>
      </c>
      <c r="X141">
        <v>3</v>
      </c>
      <c r="Y141">
        <v>3</v>
      </c>
      <c r="Z141">
        <v>3</v>
      </c>
      <c r="AA141">
        <v>3</v>
      </c>
      <c r="AB141">
        <v>3</v>
      </c>
      <c r="AC141">
        <v>3</v>
      </c>
      <c r="AD141">
        <v>3</v>
      </c>
      <c r="AE141">
        <v>3</v>
      </c>
      <c r="AF141">
        <v>3</v>
      </c>
      <c r="AG141">
        <v>3</v>
      </c>
      <c r="AH141">
        <v>3</v>
      </c>
      <c r="AI141">
        <v>3</v>
      </c>
      <c r="AJ141">
        <v>3</v>
      </c>
      <c r="AK141" t="b">
        <f>Table67[[#This Row],[What is your age?]]&lt;&gt;"18 - 25"</f>
        <v>0</v>
      </c>
      <c r="AL141" t="b">
        <f t="shared" si="8"/>
        <v>1</v>
      </c>
      <c r="AM141" t="b">
        <f t="shared" si="9"/>
        <v>0</v>
      </c>
      <c r="AN141" t="b">
        <f t="shared" si="10"/>
        <v>0</v>
      </c>
      <c r="AO141" t="b">
        <f>OR(Table67[[#This Row],[Ineligible respondents]:[Inconsistent response on opposite question (3)]])</f>
        <v>1</v>
      </c>
      <c r="AP14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41">
        <f>Table67[[#This Row],[Extreme Response]]/21</f>
        <v>0</v>
      </c>
      <c r="AR141">
        <f>_xlfn.PERCENTILE.INC(Table67[Extrem Response Ratio (ERS)],0.9)</f>
        <v>0.61904761904761907</v>
      </c>
      <c r="AS141" t="b">
        <f>Table67[[#This Row],[Extrem Response Ratio (ERS)]]&gt;=Table67[[#This Row],[Threshold of ERS]]</f>
        <v>0</v>
      </c>
      <c r="AT141">
        <f>COUNTIF(Table67[[#This Row],[The mechanism of digital assets is difficult to understand, which discourages me from exploring it (E.g, Tokenization, Blockchain)]:[If I want to try different ways to invest, I will explore digital assets.]], 3)</f>
        <v>21</v>
      </c>
      <c r="AU141">
        <f>Table67[[#This Row],[Midpoint]]/21</f>
        <v>1</v>
      </c>
      <c r="AV141">
        <f>_xlfn.PERCENTILE.INC(Table67[Midpoint ratio],0.9)</f>
        <v>0.5714285714285714</v>
      </c>
      <c r="AW141" t="b">
        <f>Table67[[#This Row],[Midpoint ratio]]&gt;=Table67[[#This Row],[Threshold of Midpoint ratio]]</f>
        <v>1</v>
      </c>
      <c r="AX141" t="b">
        <f>OR(Table67[[#This Row],[Extreme Response Style]],Table67[[#This Row],[Mid-point Response Style]])</f>
        <v>1</v>
      </c>
      <c r="AY141" t="b">
        <f>OR(Table67[[#This Row],[Delete? (Stage 1)]],Table67[[#This Row],[Delete? (Stage 2)]])</f>
        <v>1</v>
      </c>
      <c r="AZ141" t="s">
        <v>59</v>
      </c>
    </row>
    <row r="142" spans="1:52">
      <c r="A142">
        <f t="shared" si="11"/>
        <v>141</v>
      </c>
      <c r="B142" s="3">
        <v>46011.467372685198</v>
      </c>
      <c r="C142" s="3">
        <v>46011.469548611101</v>
      </c>
      <c r="D142" t="s">
        <v>53</v>
      </c>
      <c r="G142" t="s">
        <v>54</v>
      </c>
      <c r="H142" t="s">
        <v>55</v>
      </c>
      <c r="I142" t="s">
        <v>56</v>
      </c>
      <c r="J142" t="s">
        <v>57</v>
      </c>
      <c r="K142" t="s">
        <v>57</v>
      </c>
      <c r="L142" t="s">
        <v>58</v>
      </c>
      <c r="M142" t="s">
        <v>61</v>
      </c>
      <c r="N142">
        <v>4</v>
      </c>
      <c r="O142">
        <v>4</v>
      </c>
      <c r="P142">
        <v>4</v>
      </c>
      <c r="Q142">
        <v>4</v>
      </c>
      <c r="R142">
        <v>4</v>
      </c>
      <c r="S142">
        <v>4</v>
      </c>
      <c r="T142">
        <v>4</v>
      </c>
      <c r="U142">
        <v>4</v>
      </c>
      <c r="V142">
        <v>4</v>
      </c>
      <c r="W142">
        <v>4</v>
      </c>
      <c r="X142">
        <v>4</v>
      </c>
      <c r="Y142">
        <v>4</v>
      </c>
      <c r="Z142">
        <v>4</v>
      </c>
      <c r="AA142">
        <v>4</v>
      </c>
      <c r="AB142">
        <v>4</v>
      </c>
      <c r="AC142">
        <v>4</v>
      </c>
      <c r="AD142">
        <v>4</v>
      </c>
      <c r="AE142">
        <v>4</v>
      </c>
      <c r="AF142">
        <v>4</v>
      </c>
      <c r="AG142">
        <v>4</v>
      </c>
      <c r="AH142">
        <v>4</v>
      </c>
      <c r="AI142">
        <v>2</v>
      </c>
      <c r="AJ142">
        <v>2</v>
      </c>
      <c r="AK142" t="b">
        <f>Table67[[#This Row],[What is your age?]]&lt;&gt;"18 - 25"</f>
        <v>0</v>
      </c>
      <c r="AL142" t="b">
        <f t="shared" si="8"/>
        <v>1</v>
      </c>
      <c r="AM142" t="b">
        <f t="shared" si="9"/>
        <v>1</v>
      </c>
      <c r="AN142" t="b">
        <f t="shared" si="10"/>
        <v>0</v>
      </c>
      <c r="AO142" t="b">
        <f>OR(Table67[[#This Row],[Ineligible respondents]:[Inconsistent response on opposite question (3)]])</f>
        <v>1</v>
      </c>
      <c r="AP14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42">
        <f>Table67[[#This Row],[Extreme Response]]/21</f>
        <v>0</v>
      </c>
      <c r="AR142">
        <f>_xlfn.PERCENTILE.INC(Table67[Extrem Response Ratio (ERS)],0.9)</f>
        <v>0.61904761904761907</v>
      </c>
      <c r="AS142" t="b">
        <f>Table67[[#This Row],[Extrem Response Ratio (ERS)]]&gt;=Table67[[#This Row],[Threshold of ERS]]</f>
        <v>0</v>
      </c>
      <c r="AT142">
        <f>COUNTIF(Table67[[#This Row],[The mechanism of digital assets is difficult to understand, which discourages me from exploring it (E.g, Tokenization, Blockchain)]:[If I want to try different ways to invest, I will explore digital assets.]], 3)</f>
        <v>0</v>
      </c>
      <c r="AU142">
        <f>Table67[[#This Row],[Midpoint]]/21</f>
        <v>0</v>
      </c>
      <c r="AV142">
        <f>_xlfn.PERCENTILE.INC(Table67[Midpoint ratio],0.9)</f>
        <v>0.5714285714285714</v>
      </c>
      <c r="AW142" t="b">
        <f>Table67[[#This Row],[Midpoint ratio]]&gt;=Table67[[#This Row],[Threshold of Midpoint ratio]]</f>
        <v>0</v>
      </c>
      <c r="AX142" t="b">
        <f>OR(Table67[[#This Row],[Extreme Response Style]],Table67[[#This Row],[Mid-point Response Style]])</f>
        <v>0</v>
      </c>
      <c r="AY142" t="b">
        <f>OR(Table67[[#This Row],[Delete? (Stage 1)]],Table67[[#This Row],[Delete? (Stage 2)]])</f>
        <v>1</v>
      </c>
      <c r="AZ142" t="s">
        <v>59</v>
      </c>
    </row>
    <row r="143" spans="1:52">
      <c r="A143">
        <f t="shared" si="11"/>
        <v>142</v>
      </c>
      <c r="B143" s="3">
        <v>46011.9120833333</v>
      </c>
      <c r="C143" s="3">
        <v>46011.913136574098</v>
      </c>
      <c r="D143" t="s">
        <v>53</v>
      </c>
      <c r="G143" t="s">
        <v>54</v>
      </c>
      <c r="H143" t="s">
        <v>55</v>
      </c>
      <c r="I143" t="s">
        <v>56</v>
      </c>
      <c r="J143" t="s">
        <v>57</v>
      </c>
      <c r="K143" t="s">
        <v>57</v>
      </c>
      <c r="L143" t="s">
        <v>61</v>
      </c>
      <c r="M143" t="s">
        <v>61</v>
      </c>
      <c r="N143">
        <v>5</v>
      </c>
      <c r="O143">
        <v>5</v>
      </c>
      <c r="P143">
        <v>5</v>
      </c>
      <c r="Q143">
        <v>5</v>
      </c>
      <c r="R143">
        <v>5</v>
      </c>
      <c r="S143">
        <v>5</v>
      </c>
      <c r="T143">
        <v>5</v>
      </c>
      <c r="U143">
        <v>5</v>
      </c>
      <c r="V143">
        <v>5</v>
      </c>
      <c r="W143">
        <v>5</v>
      </c>
      <c r="X143">
        <v>5</v>
      </c>
      <c r="Y143">
        <v>5</v>
      </c>
      <c r="Z143">
        <v>5</v>
      </c>
      <c r="AA143">
        <v>5</v>
      </c>
      <c r="AB143">
        <v>5</v>
      </c>
      <c r="AC143">
        <v>5</v>
      </c>
      <c r="AD143">
        <v>5</v>
      </c>
      <c r="AE143">
        <v>5</v>
      </c>
      <c r="AF143">
        <v>1</v>
      </c>
      <c r="AG143">
        <v>5</v>
      </c>
      <c r="AH143">
        <v>1</v>
      </c>
      <c r="AI143">
        <v>5</v>
      </c>
      <c r="AJ143">
        <v>5</v>
      </c>
      <c r="AK143" t="b">
        <f>Table67[[#This Row],[What is your age?]]&lt;&gt;"18 - 25"</f>
        <v>0</v>
      </c>
      <c r="AL143" t="b">
        <f t="shared" si="8"/>
        <v>0</v>
      </c>
      <c r="AM143" t="b">
        <f t="shared" si="9"/>
        <v>0</v>
      </c>
      <c r="AN143" t="b">
        <f t="shared" si="10"/>
        <v>0</v>
      </c>
      <c r="AO143" t="b">
        <f>OR(Table67[[#This Row],[Ineligible respondents]:[Inconsistent response on opposite question (3)]])</f>
        <v>0</v>
      </c>
      <c r="AP14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21</v>
      </c>
      <c r="AQ143">
        <f>Table67[[#This Row],[Extreme Response]]/21</f>
        <v>1</v>
      </c>
      <c r="AR143">
        <f>_xlfn.PERCENTILE.INC(Table67[Extrem Response Ratio (ERS)],0.9)</f>
        <v>0.61904761904761907</v>
      </c>
      <c r="AS143" t="b">
        <f>Table67[[#This Row],[Extrem Response Ratio (ERS)]]&gt;=Table67[[#This Row],[Threshold of ERS]]</f>
        <v>1</v>
      </c>
      <c r="AT143">
        <f>COUNTIF(Table67[[#This Row],[The mechanism of digital assets is difficult to understand, which discourages me from exploring it (E.g, Tokenization, Blockchain)]:[If I want to try different ways to invest, I will explore digital assets.]], 3)</f>
        <v>0</v>
      </c>
      <c r="AU143">
        <f>Table67[[#This Row],[Midpoint]]/21</f>
        <v>0</v>
      </c>
      <c r="AV143">
        <f>_xlfn.PERCENTILE.INC(Table67[Midpoint ratio],0.9)</f>
        <v>0.5714285714285714</v>
      </c>
      <c r="AW143" t="b">
        <f>Table67[[#This Row],[Midpoint ratio]]&gt;=Table67[[#This Row],[Threshold of Midpoint ratio]]</f>
        <v>0</v>
      </c>
      <c r="AX143" t="b">
        <f>OR(Table67[[#This Row],[Extreme Response Style]],Table67[[#This Row],[Mid-point Response Style]])</f>
        <v>1</v>
      </c>
      <c r="AY143" t="b">
        <f>OR(Table67[[#This Row],[Delete? (Stage 1)]],Table67[[#This Row],[Delete? (Stage 2)]])</f>
        <v>1</v>
      </c>
      <c r="AZ143" t="s">
        <v>59</v>
      </c>
    </row>
    <row r="144" spans="1:52">
      <c r="A144">
        <f t="shared" si="11"/>
        <v>143</v>
      </c>
      <c r="B144" s="3">
        <v>46011.995659722197</v>
      </c>
      <c r="C144" s="3">
        <v>46012.026550925897</v>
      </c>
      <c r="D144" t="s">
        <v>53</v>
      </c>
      <c r="G144" t="s">
        <v>54</v>
      </c>
      <c r="H144" t="s">
        <v>55</v>
      </c>
      <c r="I144" t="s">
        <v>56</v>
      </c>
      <c r="J144" t="s">
        <v>60</v>
      </c>
      <c r="K144" t="s">
        <v>64</v>
      </c>
      <c r="L144" t="s">
        <v>58</v>
      </c>
      <c r="M144" t="s">
        <v>58</v>
      </c>
      <c r="N144">
        <v>3</v>
      </c>
      <c r="O144">
        <v>3</v>
      </c>
      <c r="P144">
        <v>4</v>
      </c>
      <c r="Q144">
        <v>3</v>
      </c>
      <c r="R144">
        <v>4</v>
      </c>
      <c r="S144">
        <v>5</v>
      </c>
      <c r="T144">
        <v>4</v>
      </c>
      <c r="U144">
        <v>4</v>
      </c>
      <c r="V144">
        <v>5</v>
      </c>
      <c r="W144">
        <v>4</v>
      </c>
      <c r="X144">
        <v>3</v>
      </c>
      <c r="Y144">
        <v>5</v>
      </c>
      <c r="Z144">
        <v>4</v>
      </c>
      <c r="AA144">
        <v>4</v>
      </c>
      <c r="AB144">
        <v>4</v>
      </c>
      <c r="AC144">
        <v>4</v>
      </c>
      <c r="AD144">
        <v>4</v>
      </c>
      <c r="AE144">
        <v>4</v>
      </c>
      <c r="AF144">
        <v>3</v>
      </c>
      <c r="AG144">
        <v>3</v>
      </c>
      <c r="AH144">
        <v>4</v>
      </c>
      <c r="AI144">
        <v>2</v>
      </c>
      <c r="AJ144">
        <v>3</v>
      </c>
      <c r="AK144" t="b">
        <f>Table67[[#This Row],[What is your age?]]&lt;&gt;"18 - 25"</f>
        <v>0</v>
      </c>
      <c r="AL144" t="b">
        <f t="shared" si="8"/>
        <v>0</v>
      </c>
      <c r="AM144" t="b">
        <f t="shared" si="9"/>
        <v>0</v>
      </c>
      <c r="AN144" t="b">
        <f t="shared" si="10"/>
        <v>1</v>
      </c>
      <c r="AO144" t="b">
        <f>OR(Table67[[#This Row],[Ineligible respondents]:[Inconsistent response on opposite question (3)]])</f>
        <v>1</v>
      </c>
      <c r="AP14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44">
        <f>Table67[[#This Row],[Extreme Response]]/21</f>
        <v>0.14285714285714285</v>
      </c>
      <c r="AR144">
        <f>_xlfn.PERCENTILE.INC(Table67[Extrem Response Ratio (ERS)],0.9)</f>
        <v>0.61904761904761907</v>
      </c>
      <c r="AS144" t="b">
        <f>Table67[[#This Row],[Extrem Response Ratio (ERS)]]&gt;=Table67[[#This Row],[Threshold of ERS]]</f>
        <v>0</v>
      </c>
      <c r="AT144">
        <f>COUNTIF(Table67[[#This Row],[The mechanism of digital assets is difficult to understand, which discourages me from exploring it (E.g, Tokenization, Blockchain)]:[If I want to try different ways to invest, I will explore digital assets.]], 3)</f>
        <v>6</v>
      </c>
      <c r="AU144">
        <f>Table67[[#This Row],[Midpoint]]/21</f>
        <v>0.2857142857142857</v>
      </c>
      <c r="AV144">
        <f>_xlfn.PERCENTILE.INC(Table67[Midpoint ratio],0.9)</f>
        <v>0.5714285714285714</v>
      </c>
      <c r="AW144" t="b">
        <f>Table67[[#This Row],[Midpoint ratio]]&gt;=Table67[[#This Row],[Threshold of Midpoint ratio]]</f>
        <v>0</v>
      </c>
      <c r="AX144" t="b">
        <f>OR(Table67[[#This Row],[Extreme Response Style]],Table67[[#This Row],[Mid-point Response Style]])</f>
        <v>0</v>
      </c>
      <c r="AY144" t="b">
        <f>OR(Table67[[#This Row],[Delete? (Stage 1)]],Table67[[#This Row],[Delete? (Stage 2)]])</f>
        <v>1</v>
      </c>
      <c r="AZ144" t="s">
        <v>59</v>
      </c>
    </row>
    <row r="145" spans="1:52">
      <c r="A145">
        <f t="shared" si="11"/>
        <v>144</v>
      </c>
      <c r="B145" s="3">
        <v>46012.370115740698</v>
      </c>
      <c r="C145" s="3">
        <v>46012.374652777798</v>
      </c>
      <c r="D145" t="s">
        <v>53</v>
      </c>
      <c r="G145" t="s">
        <v>54</v>
      </c>
      <c r="H145" t="s">
        <v>55</v>
      </c>
      <c r="I145" t="s">
        <v>56</v>
      </c>
      <c r="J145" t="s">
        <v>67</v>
      </c>
      <c r="K145" t="s">
        <v>66</v>
      </c>
      <c r="L145" t="s">
        <v>58</v>
      </c>
      <c r="M145" t="s">
        <v>61</v>
      </c>
      <c r="N145">
        <v>4</v>
      </c>
      <c r="O145">
        <v>4</v>
      </c>
      <c r="P145">
        <v>5</v>
      </c>
      <c r="Q145">
        <v>4</v>
      </c>
      <c r="R145">
        <v>5</v>
      </c>
      <c r="S145">
        <v>5</v>
      </c>
      <c r="T145">
        <v>4</v>
      </c>
      <c r="U145">
        <v>4</v>
      </c>
      <c r="V145">
        <v>5</v>
      </c>
      <c r="W145">
        <v>5</v>
      </c>
      <c r="X145">
        <v>5</v>
      </c>
      <c r="Y145">
        <v>5</v>
      </c>
      <c r="Z145">
        <v>5</v>
      </c>
      <c r="AA145">
        <v>5</v>
      </c>
      <c r="AB145">
        <v>1</v>
      </c>
      <c r="AC145">
        <v>5</v>
      </c>
      <c r="AD145">
        <v>5</v>
      </c>
      <c r="AE145">
        <v>5</v>
      </c>
      <c r="AF145">
        <v>3</v>
      </c>
      <c r="AG145">
        <v>4</v>
      </c>
      <c r="AH145">
        <v>3</v>
      </c>
      <c r="AI145">
        <v>3</v>
      </c>
      <c r="AJ145">
        <v>3</v>
      </c>
      <c r="AK145" t="b">
        <f>Table67[[#This Row],[What is your age?]]&lt;&gt;"18 - 25"</f>
        <v>0</v>
      </c>
      <c r="AL145" t="b">
        <f t="shared" si="8"/>
        <v>0</v>
      </c>
      <c r="AM145" t="b">
        <f t="shared" si="9"/>
        <v>0</v>
      </c>
      <c r="AN145" t="b">
        <f t="shared" si="10"/>
        <v>1</v>
      </c>
      <c r="AO145" t="b">
        <f>OR(Table67[[#This Row],[Ineligible respondents]:[Inconsistent response on opposite question (3)]])</f>
        <v>1</v>
      </c>
      <c r="AP14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145">
        <f>Table67[[#This Row],[Extreme Response]]/21</f>
        <v>0.61904761904761907</v>
      </c>
      <c r="AR145">
        <f>_xlfn.PERCENTILE.INC(Table67[Extrem Response Ratio (ERS)],0.9)</f>
        <v>0.61904761904761907</v>
      </c>
      <c r="AS145" t="b">
        <f>Table67[[#This Row],[Extrem Response Ratio (ERS)]]&gt;=Table67[[#This Row],[Threshold of ERS]]</f>
        <v>1</v>
      </c>
      <c r="AT145">
        <f>COUNTIF(Table67[[#This Row],[The mechanism of digital assets is difficult to understand, which discourages me from exploring it (E.g, Tokenization, Blockchain)]:[If I want to try different ways to invest, I will explore digital assets.]], 3)</f>
        <v>2</v>
      </c>
      <c r="AU145">
        <f>Table67[[#This Row],[Midpoint]]/21</f>
        <v>9.5238095238095233E-2</v>
      </c>
      <c r="AV145">
        <f>_xlfn.PERCENTILE.INC(Table67[Midpoint ratio],0.9)</f>
        <v>0.5714285714285714</v>
      </c>
      <c r="AW145" t="b">
        <f>Table67[[#This Row],[Midpoint ratio]]&gt;=Table67[[#This Row],[Threshold of Midpoint ratio]]</f>
        <v>0</v>
      </c>
      <c r="AX145" t="b">
        <f>OR(Table67[[#This Row],[Extreme Response Style]],Table67[[#This Row],[Mid-point Response Style]])</f>
        <v>1</v>
      </c>
      <c r="AY145" t="b">
        <f>OR(Table67[[#This Row],[Delete? (Stage 1)]],Table67[[#This Row],[Delete? (Stage 2)]])</f>
        <v>1</v>
      </c>
      <c r="AZ145" t="s">
        <v>59</v>
      </c>
    </row>
    <row r="146" spans="1:52">
      <c r="A146">
        <f t="shared" si="11"/>
        <v>145</v>
      </c>
      <c r="B146" s="3">
        <v>46012.792037036997</v>
      </c>
      <c r="C146" s="3">
        <v>46012.800266203703</v>
      </c>
      <c r="D146" t="s">
        <v>53</v>
      </c>
      <c r="G146" t="s">
        <v>54</v>
      </c>
      <c r="H146" t="s">
        <v>63</v>
      </c>
      <c r="I146" t="s">
        <v>56</v>
      </c>
      <c r="J146" t="s">
        <v>67</v>
      </c>
      <c r="K146" t="s">
        <v>57</v>
      </c>
      <c r="L146" t="s">
        <v>58</v>
      </c>
      <c r="M146" t="s">
        <v>61</v>
      </c>
      <c r="N146">
        <v>2</v>
      </c>
      <c r="O146">
        <v>1</v>
      </c>
      <c r="P146">
        <v>3</v>
      </c>
      <c r="Q146">
        <v>3</v>
      </c>
      <c r="R146">
        <v>1</v>
      </c>
      <c r="S146">
        <v>1</v>
      </c>
      <c r="T146">
        <v>4</v>
      </c>
      <c r="U146">
        <v>4</v>
      </c>
      <c r="V146">
        <v>4</v>
      </c>
      <c r="W146">
        <v>4</v>
      </c>
      <c r="X146">
        <v>2</v>
      </c>
      <c r="Y146">
        <v>4</v>
      </c>
      <c r="Z146">
        <v>4</v>
      </c>
      <c r="AA146">
        <v>3</v>
      </c>
      <c r="AB146">
        <v>2</v>
      </c>
      <c r="AC146">
        <v>3</v>
      </c>
      <c r="AD146">
        <v>4</v>
      </c>
      <c r="AE146">
        <v>2</v>
      </c>
      <c r="AF146">
        <v>2</v>
      </c>
      <c r="AG146">
        <v>4</v>
      </c>
      <c r="AH146">
        <v>3</v>
      </c>
      <c r="AI146">
        <v>3</v>
      </c>
      <c r="AJ146">
        <v>4</v>
      </c>
      <c r="AK146" t="b">
        <f>Table67[[#This Row],[What is your age?]]&lt;&gt;"18 - 25"</f>
        <v>0</v>
      </c>
      <c r="AL146" t="b">
        <f t="shared" si="8"/>
        <v>0</v>
      </c>
      <c r="AM146" t="b">
        <f t="shared" si="9"/>
        <v>0</v>
      </c>
      <c r="AN146" t="b">
        <f t="shared" si="10"/>
        <v>1</v>
      </c>
      <c r="AO146" t="b">
        <f>OR(Table67[[#This Row],[Ineligible respondents]:[Inconsistent response on opposite question (3)]])</f>
        <v>1</v>
      </c>
      <c r="AP14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46">
        <f>Table67[[#This Row],[Extreme Response]]/21</f>
        <v>0.14285714285714285</v>
      </c>
      <c r="AR146">
        <f>_xlfn.PERCENTILE.INC(Table67[Extrem Response Ratio (ERS)],0.9)</f>
        <v>0.61904761904761907</v>
      </c>
      <c r="AS146" t="b">
        <f>Table67[[#This Row],[Extrem Response Ratio (ERS)]]&gt;=Table67[[#This Row],[Threshold of ERS]]</f>
        <v>0</v>
      </c>
      <c r="AT146">
        <f>COUNTIF(Table67[[#This Row],[The mechanism of digital assets is difficult to understand, which discourages me from exploring it (E.g, Tokenization, Blockchain)]:[If I want to try different ways to invest, I will explore digital assets.]], 3)</f>
        <v>5</v>
      </c>
      <c r="AU146">
        <f>Table67[[#This Row],[Midpoint]]/21</f>
        <v>0.23809523809523808</v>
      </c>
      <c r="AV146">
        <f>_xlfn.PERCENTILE.INC(Table67[Midpoint ratio],0.9)</f>
        <v>0.5714285714285714</v>
      </c>
      <c r="AW146" t="b">
        <f>Table67[[#This Row],[Midpoint ratio]]&gt;=Table67[[#This Row],[Threshold of Midpoint ratio]]</f>
        <v>0</v>
      </c>
      <c r="AX146" t="b">
        <f>OR(Table67[[#This Row],[Extreme Response Style]],Table67[[#This Row],[Mid-point Response Style]])</f>
        <v>0</v>
      </c>
      <c r="AY146" t="b">
        <f>OR(Table67[[#This Row],[Delete? (Stage 1)]],Table67[[#This Row],[Delete? (Stage 2)]])</f>
        <v>1</v>
      </c>
      <c r="AZ146" t="s">
        <v>59</v>
      </c>
    </row>
    <row r="147" spans="1:52">
      <c r="A147">
        <f t="shared" si="11"/>
        <v>146</v>
      </c>
      <c r="B147" s="3">
        <v>46012.812256944402</v>
      </c>
      <c r="C147" s="3">
        <v>46012.814872685201</v>
      </c>
      <c r="D147" t="s">
        <v>53</v>
      </c>
      <c r="G147" t="s">
        <v>54</v>
      </c>
      <c r="H147" t="s">
        <v>55</v>
      </c>
      <c r="I147" t="s">
        <v>56</v>
      </c>
      <c r="J147" t="s">
        <v>62</v>
      </c>
      <c r="K147" t="s">
        <v>65</v>
      </c>
      <c r="L147" t="s">
        <v>61</v>
      </c>
      <c r="M147" t="s">
        <v>61</v>
      </c>
      <c r="N147">
        <v>4</v>
      </c>
      <c r="O147">
        <v>3</v>
      </c>
      <c r="P147">
        <v>5</v>
      </c>
      <c r="Q147">
        <v>4</v>
      </c>
      <c r="R147">
        <v>4</v>
      </c>
      <c r="S147">
        <v>4</v>
      </c>
      <c r="T147">
        <v>4</v>
      </c>
      <c r="U147">
        <v>4</v>
      </c>
      <c r="V147">
        <v>4</v>
      </c>
      <c r="W147">
        <v>4</v>
      </c>
      <c r="X147">
        <v>3</v>
      </c>
      <c r="Y147">
        <v>2</v>
      </c>
      <c r="Z147">
        <v>4</v>
      </c>
      <c r="AA147">
        <v>4</v>
      </c>
      <c r="AB147">
        <v>3</v>
      </c>
      <c r="AC147">
        <v>4</v>
      </c>
      <c r="AD147">
        <v>4</v>
      </c>
      <c r="AE147">
        <v>3</v>
      </c>
      <c r="AF147">
        <v>4</v>
      </c>
      <c r="AG147">
        <v>4</v>
      </c>
      <c r="AH147">
        <v>2</v>
      </c>
      <c r="AI147">
        <v>4</v>
      </c>
      <c r="AJ147">
        <v>2</v>
      </c>
      <c r="AK147" t="b">
        <f>Table67[[#This Row],[What is your age?]]&lt;&gt;"18 - 25"</f>
        <v>0</v>
      </c>
      <c r="AL147" t="b">
        <f t="shared" si="8"/>
        <v>0</v>
      </c>
      <c r="AM147" t="b">
        <f t="shared" si="9"/>
        <v>0</v>
      </c>
      <c r="AN147" t="b">
        <f t="shared" si="10"/>
        <v>0</v>
      </c>
      <c r="AO147" t="b">
        <f>OR(Table67[[#This Row],[Ineligible respondents]:[Inconsistent response on opposite question (3)]])</f>
        <v>0</v>
      </c>
      <c r="AP14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47">
        <f>Table67[[#This Row],[Extreme Response]]/21</f>
        <v>4.7619047619047616E-2</v>
      </c>
      <c r="AR147">
        <f>_xlfn.PERCENTILE.INC(Table67[Extrem Response Ratio (ERS)],0.9)</f>
        <v>0.61904761904761907</v>
      </c>
      <c r="AS147" t="b">
        <f>Table67[[#This Row],[Extrem Response Ratio (ERS)]]&gt;=Table67[[#This Row],[Threshold of ERS]]</f>
        <v>0</v>
      </c>
      <c r="AT147">
        <f>COUNTIF(Table67[[#This Row],[The mechanism of digital assets is difficult to understand, which discourages me from exploring it (E.g, Tokenization, Blockchain)]:[If I want to try different ways to invest, I will explore digital assets.]], 3)</f>
        <v>4</v>
      </c>
      <c r="AU147">
        <f>Table67[[#This Row],[Midpoint]]/21</f>
        <v>0.19047619047619047</v>
      </c>
      <c r="AV147">
        <f>_xlfn.PERCENTILE.INC(Table67[Midpoint ratio],0.9)</f>
        <v>0.5714285714285714</v>
      </c>
      <c r="AW147" t="b">
        <f>Table67[[#This Row],[Midpoint ratio]]&gt;=Table67[[#This Row],[Threshold of Midpoint ratio]]</f>
        <v>0</v>
      </c>
      <c r="AX147" t="b">
        <f>OR(Table67[[#This Row],[Extreme Response Style]],Table67[[#This Row],[Mid-point Response Style]])</f>
        <v>0</v>
      </c>
      <c r="AY147" t="b">
        <f>OR(Table67[[#This Row],[Delete? (Stage 1)]],Table67[[#This Row],[Delete? (Stage 2)]])</f>
        <v>0</v>
      </c>
      <c r="AZ147" t="s">
        <v>59</v>
      </c>
    </row>
    <row r="148" spans="1:52">
      <c r="A148">
        <f t="shared" si="11"/>
        <v>147</v>
      </c>
      <c r="B148" s="3">
        <v>46012.862743055601</v>
      </c>
      <c r="C148" s="3">
        <v>46012.8659722222</v>
      </c>
      <c r="D148" t="s">
        <v>53</v>
      </c>
      <c r="G148" t="s">
        <v>54</v>
      </c>
      <c r="H148" t="s">
        <v>55</v>
      </c>
      <c r="I148" t="s">
        <v>71</v>
      </c>
      <c r="J148" t="s">
        <v>62</v>
      </c>
      <c r="K148" t="s">
        <v>57</v>
      </c>
      <c r="L148" t="s">
        <v>61</v>
      </c>
      <c r="M148" t="s">
        <v>61</v>
      </c>
      <c r="N148">
        <v>5</v>
      </c>
      <c r="O148">
        <v>5</v>
      </c>
      <c r="P148">
        <v>4</v>
      </c>
      <c r="Q148">
        <v>4</v>
      </c>
      <c r="R148">
        <v>2</v>
      </c>
      <c r="S148">
        <v>2</v>
      </c>
      <c r="T148">
        <v>5</v>
      </c>
      <c r="U148">
        <v>5</v>
      </c>
      <c r="V148">
        <v>5</v>
      </c>
      <c r="W148">
        <v>5</v>
      </c>
      <c r="X148">
        <v>4</v>
      </c>
      <c r="Y148">
        <v>5</v>
      </c>
      <c r="Z148">
        <v>4</v>
      </c>
      <c r="AA148">
        <v>3</v>
      </c>
      <c r="AB148">
        <v>2</v>
      </c>
      <c r="AC148">
        <v>3</v>
      </c>
      <c r="AD148">
        <v>4</v>
      </c>
      <c r="AE148">
        <v>1</v>
      </c>
      <c r="AF148">
        <v>3</v>
      </c>
      <c r="AG148">
        <v>3</v>
      </c>
      <c r="AH148">
        <v>4</v>
      </c>
      <c r="AI148">
        <v>2</v>
      </c>
      <c r="AJ148">
        <v>3</v>
      </c>
      <c r="AK148" t="b">
        <f>Table67[[#This Row],[What is your age?]]&lt;&gt;"18 - 25"</f>
        <v>0</v>
      </c>
      <c r="AL148" t="b">
        <f t="shared" si="8"/>
        <v>0</v>
      </c>
      <c r="AM148" t="b">
        <f t="shared" si="9"/>
        <v>0</v>
      </c>
      <c r="AN148" t="b">
        <f t="shared" si="10"/>
        <v>1</v>
      </c>
      <c r="AO148" t="b">
        <f>OR(Table67[[#This Row],[Ineligible respondents]:[Inconsistent response on opposite question (3)]])</f>
        <v>1</v>
      </c>
      <c r="AP14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148">
        <f>Table67[[#This Row],[Extreme Response]]/21</f>
        <v>0.38095238095238093</v>
      </c>
      <c r="AR148">
        <f>_xlfn.PERCENTILE.INC(Table67[Extrem Response Ratio (ERS)],0.9)</f>
        <v>0.61904761904761907</v>
      </c>
      <c r="AS148" t="b">
        <f>Table67[[#This Row],[Extrem Response Ratio (ERS)]]&gt;=Table67[[#This Row],[Threshold of ERS]]</f>
        <v>0</v>
      </c>
      <c r="AT148">
        <f>COUNTIF(Table67[[#This Row],[The mechanism of digital assets is difficult to understand, which discourages me from exploring it (E.g, Tokenization, Blockchain)]:[If I want to try different ways to invest, I will explore digital assets.]], 3)</f>
        <v>4</v>
      </c>
      <c r="AU148">
        <f>Table67[[#This Row],[Midpoint]]/21</f>
        <v>0.19047619047619047</v>
      </c>
      <c r="AV148">
        <f>_xlfn.PERCENTILE.INC(Table67[Midpoint ratio],0.9)</f>
        <v>0.5714285714285714</v>
      </c>
      <c r="AW148" t="b">
        <f>Table67[[#This Row],[Midpoint ratio]]&gt;=Table67[[#This Row],[Threshold of Midpoint ratio]]</f>
        <v>0</v>
      </c>
      <c r="AX148" t="b">
        <f>OR(Table67[[#This Row],[Extreme Response Style]],Table67[[#This Row],[Mid-point Response Style]])</f>
        <v>0</v>
      </c>
      <c r="AY148" t="b">
        <f>OR(Table67[[#This Row],[Delete? (Stage 1)]],Table67[[#This Row],[Delete? (Stage 2)]])</f>
        <v>1</v>
      </c>
      <c r="AZ148" t="s">
        <v>59</v>
      </c>
    </row>
    <row r="149" spans="1:52">
      <c r="A149">
        <f t="shared" si="11"/>
        <v>148</v>
      </c>
      <c r="B149" s="3">
        <v>46013.774641203701</v>
      </c>
      <c r="C149" s="3">
        <v>46013.777870370403</v>
      </c>
      <c r="D149" t="s">
        <v>53</v>
      </c>
      <c r="G149" t="s">
        <v>79</v>
      </c>
      <c r="H149" t="s">
        <v>63</v>
      </c>
      <c r="I149" t="s">
        <v>71</v>
      </c>
      <c r="J149" t="s">
        <v>62</v>
      </c>
      <c r="K149" t="s">
        <v>57</v>
      </c>
      <c r="L149" t="s">
        <v>58</v>
      </c>
      <c r="M149" t="s">
        <v>58</v>
      </c>
      <c r="N149">
        <v>3</v>
      </c>
      <c r="O149">
        <v>1</v>
      </c>
      <c r="P149">
        <v>3</v>
      </c>
      <c r="Q149">
        <v>3</v>
      </c>
      <c r="R149">
        <v>2</v>
      </c>
      <c r="S149">
        <v>3</v>
      </c>
      <c r="T149">
        <v>5</v>
      </c>
      <c r="U149">
        <v>3</v>
      </c>
      <c r="V149">
        <v>5</v>
      </c>
      <c r="W149">
        <v>5</v>
      </c>
      <c r="X149">
        <v>4</v>
      </c>
      <c r="Y149">
        <v>4</v>
      </c>
      <c r="Z149">
        <v>4</v>
      </c>
      <c r="AA149">
        <v>4</v>
      </c>
      <c r="AB149">
        <v>2</v>
      </c>
      <c r="AC149">
        <v>3</v>
      </c>
      <c r="AD149">
        <v>3</v>
      </c>
      <c r="AE149">
        <v>4</v>
      </c>
      <c r="AF149">
        <v>1</v>
      </c>
      <c r="AG149">
        <v>3</v>
      </c>
      <c r="AH149">
        <v>3</v>
      </c>
      <c r="AI149">
        <v>3</v>
      </c>
      <c r="AJ149">
        <v>5</v>
      </c>
      <c r="AK149" t="b">
        <f>Table67[[#This Row],[What is your age?]]&lt;&gt;"18 - 25"</f>
        <v>1</v>
      </c>
      <c r="AL149" t="b">
        <f t="shared" si="8"/>
        <v>0</v>
      </c>
      <c r="AM149" t="b">
        <f t="shared" si="9"/>
        <v>0</v>
      </c>
      <c r="AN149" t="b">
        <f t="shared" si="10"/>
        <v>0</v>
      </c>
      <c r="AO149" t="b">
        <f>OR(Table67[[#This Row],[Ineligible respondents]:[Inconsistent response on opposite question (3)]])</f>
        <v>1</v>
      </c>
      <c r="AP14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49">
        <f>Table67[[#This Row],[Extreme Response]]/21</f>
        <v>0.23809523809523808</v>
      </c>
      <c r="AR149">
        <f>_xlfn.PERCENTILE.INC(Table67[Extrem Response Ratio (ERS)],0.9)</f>
        <v>0.61904761904761907</v>
      </c>
      <c r="AS149" t="b">
        <f>Table67[[#This Row],[Extrem Response Ratio (ERS)]]&gt;=Table67[[#This Row],[Threshold of ERS]]</f>
        <v>0</v>
      </c>
      <c r="AT149">
        <f>COUNTIF(Table67[[#This Row],[The mechanism of digital assets is difficult to understand, which discourages me from exploring it (E.g, Tokenization, Blockchain)]:[If I want to try different ways to invest, I will explore digital assets.]], 3)</f>
        <v>9</v>
      </c>
      <c r="AU149">
        <f>Table67[[#This Row],[Midpoint]]/21</f>
        <v>0.42857142857142855</v>
      </c>
      <c r="AV149">
        <f>_xlfn.PERCENTILE.INC(Table67[Midpoint ratio],0.9)</f>
        <v>0.5714285714285714</v>
      </c>
      <c r="AW149" t="b">
        <f>Table67[[#This Row],[Midpoint ratio]]&gt;=Table67[[#This Row],[Threshold of Midpoint ratio]]</f>
        <v>0</v>
      </c>
      <c r="AX149" t="b">
        <f>OR(Table67[[#This Row],[Extreme Response Style]],Table67[[#This Row],[Mid-point Response Style]])</f>
        <v>0</v>
      </c>
      <c r="AY149" t="b">
        <f>OR(Table67[[#This Row],[Delete? (Stage 1)]],Table67[[#This Row],[Delete? (Stage 2)]])</f>
        <v>1</v>
      </c>
      <c r="AZ149" t="s">
        <v>59</v>
      </c>
    </row>
    <row r="150" spans="1:52">
      <c r="A150">
        <f t="shared" si="11"/>
        <v>149</v>
      </c>
      <c r="B150" s="3">
        <v>46020.102141203701</v>
      </c>
      <c r="C150" s="3">
        <v>46020.106874999998</v>
      </c>
      <c r="D150" t="s">
        <v>53</v>
      </c>
      <c r="G150" t="s">
        <v>54</v>
      </c>
      <c r="H150" t="s">
        <v>55</v>
      </c>
      <c r="I150" t="s">
        <v>75</v>
      </c>
      <c r="J150" t="s">
        <v>57</v>
      </c>
      <c r="K150" t="s">
        <v>60</v>
      </c>
      <c r="L150" t="s">
        <v>61</v>
      </c>
      <c r="M150" t="s">
        <v>61</v>
      </c>
      <c r="N150">
        <v>4</v>
      </c>
      <c r="O150">
        <v>3</v>
      </c>
      <c r="P150">
        <v>4</v>
      </c>
      <c r="Q150">
        <v>2</v>
      </c>
      <c r="R150">
        <v>2</v>
      </c>
      <c r="S150">
        <v>4</v>
      </c>
      <c r="T150">
        <v>3</v>
      </c>
      <c r="U150">
        <v>4</v>
      </c>
      <c r="V150">
        <v>4</v>
      </c>
      <c r="W150">
        <v>4</v>
      </c>
      <c r="X150">
        <v>5</v>
      </c>
      <c r="Y150">
        <v>3</v>
      </c>
      <c r="Z150">
        <v>3</v>
      </c>
      <c r="AA150">
        <v>3</v>
      </c>
      <c r="AB150">
        <v>2</v>
      </c>
      <c r="AC150">
        <v>5</v>
      </c>
      <c r="AD150">
        <v>4</v>
      </c>
      <c r="AE150">
        <v>3</v>
      </c>
      <c r="AF150">
        <v>2</v>
      </c>
      <c r="AG150">
        <v>3</v>
      </c>
      <c r="AH150">
        <v>2</v>
      </c>
      <c r="AI150">
        <v>4</v>
      </c>
      <c r="AJ150">
        <v>4</v>
      </c>
      <c r="AK150" t="b">
        <f>Table67[[#This Row],[What is your age?]]&lt;&gt;"18 - 25"</f>
        <v>0</v>
      </c>
      <c r="AL150" t="b">
        <f t="shared" si="8"/>
        <v>0</v>
      </c>
      <c r="AM150" t="b">
        <f t="shared" si="9"/>
        <v>0</v>
      </c>
      <c r="AN150" t="b">
        <f t="shared" si="10"/>
        <v>1</v>
      </c>
      <c r="AO150" t="b">
        <f>OR(Table67[[#This Row],[Ineligible respondents]:[Inconsistent response on opposite question (3)]])</f>
        <v>1</v>
      </c>
      <c r="AP15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50">
        <f>Table67[[#This Row],[Extreme Response]]/21</f>
        <v>9.5238095238095233E-2</v>
      </c>
      <c r="AR150">
        <f>_xlfn.PERCENTILE.INC(Table67[Extrem Response Ratio (ERS)],0.9)</f>
        <v>0.61904761904761907</v>
      </c>
      <c r="AS150" t="b">
        <f>Table67[[#This Row],[Extrem Response Ratio (ERS)]]&gt;=Table67[[#This Row],[Threshold of ERS]]</f>
        <v>0</v>
      </c>
      <c r="AT150">
        <f>COUNTIF(Table67[[#This Row],[The mechanism of digital assets is difficult to understand, which discourages me from exploring it (E.g, Tokenization, Blockchain)]:[If I want to try different ways to invest, I will explore digital assets.]], 3)</f>
        <v>7</v>
      </c>
      <c r="AU150">
        <f>Table67[[#This Row],[Midpoint]]/21</f>
        <v>0.33333333333333331</v>
      </c>
      <c r="AV150">
        <f>_xlfn.PERCENTILE.INC(Table67[Midpoint ratio],0.9)</f>
        <v>0.5714285714285714</v>
      </c>
      <c r="AW150" t="b">
        <f>Table67[[#This Row],[Midpoint ratio]]&gt;=Table67[[#This Row],[Threshold of Midpoint ratio]]</f>
        <v>0</v>
      </c>
      <c r="AX150" t="b">
        <f>OR(Table67[[#This Row],[Extreme Response Style]],Table67[[#This Row],[Mid-point Response Style]])</f>
        <v>0</v>
      </c>
      <c r="AY150" t="b">
        <f>OR(Table67[[#This Row],[Delete? (Stage 1)]],Table67[[#This Row],[Delete? (Stage 2)]])</f>
        <v>1</v>
      </c>
      <c r="AZ150" t="s">
        <v>59</v>
      </c>
    </row>
    <row r="151" spans="1:52">
      <c r="A151">
        <f t="shared" si="11"/>
        <v>150</v>
      </c>
      <c r="B151" s="3">
        <v>46034.513680555603</v>
      </c>
      <c r="C151" s="3">
        <v>46034.523148148102</v>
      </c>
      <c r="D151" t="s">
        <v>53</v>
      </c>
      <c r="G151" t="s">
        <v>54</v>
      </c>
      <c r="H151" t="s">
        <v>55</v>
      </c>
      <c r="I151" t="s">
        <v>56</v>
      </c>
      <c r="J151" t="s">
        <v>57</v>
      </c>
      <c r="K151" t="s">
        <v>66</v>
      </c>
      <c r="L151" t="s">
        <v>58</v>
      </c>
      <c r="M151" t="s">
        <v>61</v>
      </c>
      <c r="N151">
        <v>3</v>
      </c>
      <c r="O151">
        <v>3</v>
      </c>
      <c r="P151">
        <v>5</v>
      </c>
      <c r="Q151">
        <v>5</v>
      </c>
      <c r="R151">
        <v>2</v>
      </c>
      <c r="S151">
        <v>3</v>
      </c>
      <c r="T151">
        <v>3</v>
      </c>
      <c r="U151">
        <v>5</v>
      </c>
      <c r="V151">
        <v>3</v>
      </c>
      <c r="W151">
        <v>3</v>
      </c>
      <c r="X151">
        <v>4</v>
      </c>
      <c r="Y151">
        <v>5</v>
      </c>
      <c r="Z151">
        <v>5</v>
      </c>
      <c r="AA151">
        <v>3</v>
      </c>
      <c r="AB151">
        <v>3</v>
      </c>
      <c r="AC151">
        <v>5</v>
      </c>
      <c r="AD151">
        <v>5</v>
      </c>
      <c r="AE151">
        <v>3</v>
      </c>
      <c r="AF151">
        <v>2</v>
      </c>
      <c r="AG151">
        <v>4</v>
      </c>
      <c r="AH151">
        <v>3</v>
      </c>
      <c r="AI151">
        <v>3</v>
      </c>
      <c r="AJ151">
        <v>4</v>
      </c>
      <c r="AK151" t="b">
        <f>Table67[[#This Row],[What is your age?]]&lt;&gt;"18 - 25"</f>
        <v>0</v>
      </c>
      <c r="AL151" t="b">
        <f t="shared" si="8"/>
        <v>0</v>
      </c>
      <c r="AM151" t="b">
        <f t="shared" si="9"/>
        <v>0</v>
      </c>
      <c r="AN151" t="b">
        <f t="shared" si="10"/>
        <v>1</v>
      </c>
      <c r="AO151" t="b">
        <f>OR(Table67[[#This Row],[Ineligible respondents]:[Inconsistent response on opposite question (3)]])</f>
        <v>1</v>
      </c>
      <c r="AP15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51">
        <f>Table67[[#This Row],[Extreme Response]]/21</f>
        <v>0.33333333333333331</v>
      </c>
      <c r="AR151">
        <f>_xlfn.PERCENTILE.INC(Table67[Extrem Response Ratio (ERS)],0.9)</f>
        <v>0.61904761904761907</v>
      </c>
      <c r="AS151" t="b">
        <f>Table67[[#This Row],[Extrem Response Ratio (ERS)]]&gt;=Table67[[#This Row],[Threshold of ERS]]</f>
        <v>0</v>
      </c>
      <c r="AT151">
        <f>COUNTIF(Table67[[#This Row],[The mechanism of digital assets is difficult to understand, which discourages me from exploring it (E.g, Tokenization, Blockchain)]:[If I want to try different ways to invest, I will explore digital assets.]], 3)</f>
        <v>10</v>
      </c>
      <c r="AU151">
        <f>Table67[[#This Row],[Midpoint]]/21</f>
        <v>0.47619047619047616</v>
      </c>
      <c r="AV151">
        <f>_xlfn.PERCENTILE.INC(Table67[Midpoint ratio],0.9)</f>
        <v>0.5714285714285714</v>
      </c>
      <c r="AW151" t="b">
        <f>Table67[[#This Row],[Midpoint ratio]]&gt;=Table67[[#This Row],[Threshold of Midpoint ratio]]</f>
        <v>0</v>
      </c>
      <c r="AX151" t="b">
        <f>OR(Table67[[#This Row],[Extreme Response Style]],Table67[[#This Row],[Mid-point Response Style]])</f>
        <v>0</v>
      </c>
      <c r="AY151" t="b">
        <f>OR(Table67[[#This Row],[Delete? (Stage 1)]],Table67[[#This Row],[Delete? (Stage 2)]])</f>
        <v>1</v>
      </c>
      <c r="AZ151" t="s">
        <v>59</v>
      </c>
    </row>
    <row r="152" spans="1:52">
      <c r="A152">
        <f t="shared" si="11"/>
        <v>151</v>
      </c>
      <c r="B152" s="3">
        <v>46034.945509259298</v>
      </c>
      <c r="C152" s="3">
        <v>46034.947800925896</v>
      </c>
      <c r="D152" t="s">
        <v>53</v>
      </c>
      <c r="G152" t="s">
        <v>54</v>
      </c>
      <c r="H152" t="s">
        <v>55</v>
      </c>
      <c r="I152" t="s">
        <v>75</v>
      </c>
      <c r="J152" t="s">
        <v>65</v>
      </c>
      <c r="K152" t="s">
        <v>57</v>
      </c>
      <c r="L152" t="s">
        <v>58</v>
      </c>
      <c r="M152" t="s">
        <v>61</v>
      </c>
      <c r="N152">
        <v>2</v>
      </c>
      <c r="O152">
        <v>1</v>
      </c>
      <c r="P152">
        <v>4</v>
      </c>
      <c r="Q152">
        <v>4</v>
      </c>
      <c r="R152">
        <v>2</v>
      </c>
      <c r="S152">
        <v>2</v>
      </c>
      <c r="T152">
        <v>4</v>
      </c>
      <c r="U152">
        <v>4</v>
      </c>
      <c r="V152">
        <v>5</v>
      </c>
      <c r="W152">
        <v>3</v>
      </c>
      <c r="X152">
        <v>4</v>
      </c>
      <c r="Y152">
        <v>4</v>
      </c>
      <c r="Z152">
        <v>4</v>
      </c>
      <c r="AA152">
        <v>4</v>
      </c>
      <c r="AB152">
        <v>2</v>
      </c>
      <c r="AC152">
        <v>4</v>
      </c>
      <c r="AD152">
        <v>4</v>
      </c>
      <c r="AE152">
        <v>4</v>
      </c>
      <c r="AF152">
        <v>2</v>
      </c>
      <c r="AG152">
        <v>4</v>
      </c>
      <c r="AH152">
        <v>3</v>
      </c>
      <c r="AI152">
        <v>3</v>
      </c>
      <c r="AJ152">
        <v>4</v>
      </c>
      <c r="AK152" t="b">
        <f>Table67[[#This Row],[What is your age?]]&lt;&gt;"18 - 25"</f>
        <v>0</v>
      </c>
      <c r="AL152" t="b">
        <f t="shared" si="8"/>
        <v>0</v>
      </c>
      <c r="AM152" t="b">
        <f t="shared" si="9"/>
        <v>0</v>
      </c>
      <c r="AN152" t="b">
        <f t="shared" si="10"/>
        <v>1</v>
      </c>
      <c r="AO152" t="b">
        <f>OR(Table67[[#This Row],[Ineligible respondents]:[Inconsistent response on opposite question (3)]])</f>
        <v>1</v>
      </c>
      <c r="AP15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52">
        <f>Table67[[#This Row],[Extreme Response]]/21</f>
        <v>9.5238095238095233E-2</v>
      </c>
      <c r="AR152">
        <f>_xlfn.PERCENTILE.INC(Table67[Extrem Response Ratio (ERS)],0.9)</f>
        <v>0.61904761904761907</v>
      </c>
      <c r="AS152" t="b">
        <f>Table67[[#This Row],[Extrem Response Ratio (ERS)]]&gt;=Table67[[#This Row],[Threshold of ERS]]</f>
        <v>0</v>
      </c>
      <c r="AT152">
        <f>COUNTIF(Table67[[#This Row],[The mechanism of digital assets is difficult to understand, which discourages me from exploring it (E.g, Tokenization, Blockchain)]:[If I want to try different ways to invest, I will explore digital assets.]], 3)</f>
        <v>2</v>
      </c>
      <c r="AU152">
        <f>Table67[[#This Row],[Midpoint]]/21</f>
        <v>9.5238095238095233E-2</v>
      </c>
      <c r="AV152">
        <f>_xlfn.PERCENTILE.INC(Table67[Midpoint ratio],0.9)</f>
        <v>0.5714285714285714</v>
      </c>
      <c r="AW152" t="b">
        <f>Table67[[#This Row],[Midpoint ratio]]&gt;=Table67[[#This Row],[Threshold of Midpoint ratio]]</f>
        <v>0</v>
      </c>
      <c r="AX152" t="b">
        <f>OR(Table67[[#This Row],[Extreme Response Style]],Table67[[#This Row],[Mid-point Response Style]])</f>
        <v>0</v>
      </c>
      <c r="AY152" t="b">
        <f>OR(Table67[[#This Row],[Delete? (Stage 1)]],Table67[[#This Row],[Delete? (Stage 2)]])</f>
        <v>1</v>
      </c>
      <c r="AZ152" t="s">
        <v>59</v>
      </c>
    </row>
    <row r="153" spans="1:52">
      <c r="A153">
        <f t="shared" si="11"/>
        <v>152</v>
      </c>
      <c r="B153" s="3">
        <v>46035.4211574074</v>
      </c>
      <c r="C153" s="3">
        <v>46035.426087963002</v>
      </c>
      <c r="D153" t="s">
        <v>53</v>
      </c>
      <c r="G153" t="s">
        <v>76</v>
      </c>
      <c r="H153" t="s">
        <v>55</v>
      </c>
      <c r="I153" t="s">
        <v>75</v>
      </c>
      <c r="J153" t="s">
        <v>66</v>
      </c>
      <c r="K153" t="s">
        <v>66</v>
      </c>
      <c r="L153" t="s">
        <v>61</v>
      </c>
      <c r="M153" t="s">
        <v>58</v>
      </c>
      <c r="N153">
        <v>2</v>
      </c>
      <c r="O153">
        <v>4</v>
      </c>
      <c r="P153">
        <v>4</v>
      </c>
      <c r="Q153">
        <v>4</v>
      </c>
      <c r="R153">
        <v>4</v>
      </c>
      <c r="S153">
        <v>4</v>
      </c>
      <c r="T153">
        <v>3</v>
      </c>
      <c r="U153">
        <v>2</v>
      </c>
      <c r="V153">
        <v>4</v>
      </c>
      <c r="W153">
        <v>2</v>
      </c>
      <c r="X153">
        <v>3</v>
      </c>
      <c r="Y153">
        <v>4</v>
      </c>
      <c r="Z153">
        <v>5</v>
      </c>
      <c r="AA153">
        <v>4</v>
      </c>
      <c r="AB153">
        <v>1</v>
      </c>
      <c r="AC153">
        <v>3</v>
      </c>
      <c r="AD153">
        <v>4</v>
      </c>
      <c r="AE153">
        <v>2</v>
      </c>
      <c r="AF153">
        <v>4</v>
      </c>
      <c r="AG153">
        <v>4</v>
      </c>
      <c r="AH153">
        <v>3</v>
      </c>
      <c r="AI153">
        <v>3</v>
      </c>
      <c r="AJ153">
        <v>2</v>
      </c>
      <c r="AK153" t="b">
        <f>Table67[[#This Row],[What is your age?]]&lt;&gt;"18 - 25"</f>
        <v>1</v>
      </c>
      <c r="AL153" t="b">
        <f t="shared" si="8"/>
        <v>0</v>
      </c>
      <c r="AM153" t="b">
        <f t="shared" si="9"/>
        <v>0</v>
      </c>
      <c r="AN153" t="b">
        <f t="shared" si="10"/>
        <v>1</v>
      </c>
      <c r="AO153" t="b">
        <f>OR(Table67[[#This Row],[Ineligible respondents]:[Inconsistent response on opposite question (3)]])</f>
        <v>1</v>
      </c>
      <c r="AP15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53">
        <f>Table67[[#This Row],[Extreme Response]]/21</f>
        <v>9.5238095238095233E-2</v>
      </c>
      <c r="AR153">
        <f>_xlfn.PERCENTILE.INC(Table67[Extrem Response Ratio (ERS)],0.9)</f>
        <v>0.61904761904761907</v>
      </c>
      <c r="AS153" t="b">
        <f>Table67[[#This Row],[Extrem Response Ratio (ERS)]]&gt;=Table67[[#This Row],[Threshold of ERS]]</f>
        <v>0</v>
      </c>
      <c r="AT153">
        <f>COUNTIF(Table67[[#This Row],[The mechanism of digital assets is difficult to understand, which discourages me from exploring it (E.g, Tokenization, Blockchain)]:[If I want to try different ways to invest, I will explore digital assets.]], 3)</f>
        <v>4</v>
      </c>
      <c r="AU153">
        <f>Table67[[#This Row],[Midpoint]]/21</f>
        <v>0.19047619047619047</v>
      </c>
      <c r="AV153">
        <f>_xlfn.PERCENTILE.INC(Table67[Midpoint ratio],0.9)</f>
        <v>0.5714285714285714</v>
      </c>
      <c r="AW153" t="b">
        <f>Table67[[#This Row],[Midpoint ratio]]&gt;=Table67[[#This Row],[Threshold of Midpoint ratio]]</f>
        <v>0</v>
      </c>
      <c r="AX153" t="b">
        <f>OR(Table67[[#This Row],[Extreme Response Style]],Table67[[#This Row],[Mid-point Response Style]])</f>
        <v>0</v>
      </c>
      <c r="AY153" t="b">
        <f>OR(Table67[[#This Row],[Delete? (Stage 1)]],Table67[[#This Row],[Delete? (Stage 2)]])</f>
        <v>1</v>
      </c>
      <c r="AZ153" t="s">
        <v>59</v>
      </c>
    </row>
    <row r="154" spans="1:52">
      <c r="A154">
        <f t="shared" si="11"/>
        <v>153</v>
      </c>
      <c r="B154" s="3">
        <v>46035.517581018503</v>
      </c>
      <c r="C154" s="3">
        <v>46035.520300925898</v>
      </c>
      <c r="D154" t="s">
        <v>53</v>
      </c>
      <c r="G154" t="s">
        <v>54</v>
      </c>
      <c r="H154" t="s">
        <v>63</v>
      </c>
      <c r="I154" t="s">
        <v>56</v>
      </c>
      <c r="J154" t="s">
        <v>67</v>
      </c>
      <c r="K154" t="s">
        <v>57</v>
      </c>
      <c r="L154" t="s">
        <v>58</v>
      </c>
      <c r="M154" t="s">
        <v>58</v>
      </c>
      <c r="N154">
        <v>5</v>
      </c>
      <c r="O154">
        <v>5</v>
      </c>
      <c r="P154">
        <v>1</v>
      </c>
      <c r="Q154">
        <v>3</v>
      </c>
      <c r="R154">
        <v>1</v>
      </c>
      <c r="S154">
        <v>5</v>
      </c>
      <c r="T154">
        <v>5</v>
      </c>
      <c r="U154">
        <v>5</v>
      </c>
      <c r="V154">
        <v>5</v>
      </c>
      <c r="W154">
        <v>5</v>
      </c>
      <c r="X154">
        <v>5</v>
      </c>
      <c r="Y154">
        <v>5</v>
      </c>
      <c r="Z154">
        <v>5</v>
      </c>
      <c r="AA154">
        <v>5</v>
      </c>
      <c r="AB154">
        <v>2</v>
      </c>
      <c r="AC154">
        <v>5</v>
      </c>
      <c r="AD154">
        <v>5</v>
      </c>
      <c r="AE154">
        <v>5</v>
      </c>
      <c r="AF154">
        <v>1</v>
      </c>
      <c r="AG154">
        <v>5</v>
      </c>
      <c r="AH154">
        <v>1</v>
      </c>
      <c r="AI154">
        <v>5</v>
      </c>
      <c r="AJ154">
        <v>5</v>
      </c>
      <c r="AK154" t="b">
        <f>Table67[[#This Row],[What is your age?]]&lt;&gt;"18 - 25"</f>
        <v>0</v>
      </c>
      <c r="AL154" t="b">
        <f t="shared" si="8"/>
        <v>0</v>
      </c>
      <c r="AM154" t="b">
        <f t="shared" si="9"/>
        <v>0</v>
      </c>
      <c r="AN154" t="b">
        <f t="shared" si="10"/>
        <v>0</v>
      </c>
      <c r="AO154" t="b">
        <f>OR(Table67[[#This Row],[Ineligible respondents]:[Inconsistent response on opposite question (3)]])</f>
        <v>0</v>
      </c>
      <c r="AP15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19</v>
      </c>
      <c r="AQ154">
        <f>Table67[[#This Row],[Extreme Response]]/21</f>
        <v>0.90476190476190477</v>
      </c>
      <c r="AR154">
        <f>_xlfn.PERCENTILE.INC(Table67[Extrem Response Ratio (ERS)],0.9)</f>
        <v>0.61904761904761907</v>
      </c>
      <c r="AS154" t="b">
        <f>Table67[[#This Row],[Extrem Response Ratio (ERS)]]&gt;=Table67[[#This Row],[Threshold of ERS]]</f>
        <v>1</v>
      </c>
      <c r="AT154">
        <f>COUNTIF(Table67[[#This Row],[The mechanism of digital assets is difficult to understand, which discourages me from exploring it (E.g, Tokenization, Blockchain)]:[If I want to try different ways to invest, I will explore digital assets.]], 3)</f>
        <v>1</v>
      </c>
      <c r="AU154">
        <f>Table67[[#This Row],[Midpoint]]/21</f>
        <v>4.7619047619047616E-2</v>
      </c>
      <c r="AV154">
        <f>_xlfn.PERCENTILE.INC(Table67[Midpoint ratio],0.9)</f>
        <v>0.5714285714285714</v>
      </c>
      <c r="AW154" t="b">
        <f>Table67[[#This Row],[Midpoint ratio]]&gt;=Table67[[#This Row],[Threshold of Midpoint ratio]]</f>
        <v>0</v>
      </c>
      <c r="AX154" t="b">
        <f>OR(Table67[[#This Row],[Extreme Response Style]],Table67[[#This Row],[Mid-point Response Style]])</f>
        <v>1</v>
      </c>
      <c r="AY154" t="b">
        <f>OR(Table67[[#This Row],[Delete? (Stage 1)]],Table67[[#This Row],[Delete? (Stage 2)]])</f>
        <v>1</v>
      </c>
      <c r="AZ154" t="s">
        <v>59</v>
      </c>
    </row>
    <row r="155" spans="1:52">
      <c r="A155">
        <f t="shared" si="11"/>
        <v>154</v>
      </c>
      <c r="B155" s="3">
        <v>46035.536608796298</v>
      </c>
      <c r="C155" s="3">
        <v>46035.538020833301</v>
      </c>
      <c r="D155" t="s">
        <v>53</v>
      </c>
      <c r="G155" t="s">
        <v>54</v>
      </c>
      <c r="H155" t="s">
        <v>63</v>
      </c>
      <c r="I155" t="s">
        <v>56</v>
      </c>
      <c r="J155" t="s">
        <v>57</v>
      </c>
      <c r="K155" t="s">
        <v>57</v>
      </c>
      <c r="L155" t="s">
        <v>58</v>
      </c>
      <c r="M155" t="s">
        <v>58</v>
      </c>
      <c r="N155">
        <v>4</v>
      </c>
      <c r="O155">
        <v>5</v>
      </c>
      <c r="P155">
        <v>5</v>
      </c>
      <c r="Q155">
        <v>4</v>
      </c>
      <c r="R155">
        <v>4</v>
      </c>
      <c r="S155">
        <v>3</v>
      </c>
      <c r="T155">
        <v>3</v>
      </c>
      <c r="U155">
        <v>5</v>
      </c>
      <c r="V155">
        <v>3</v>
      </c>
      <c r="W155">
        <v>5</v>
      </c>
      <c r="X155">
        <v>3</v>
      </c>
      <c r="Y155">
        <v>5</v>
      </c>
      <c r="Z155">
        <v>3</v>
      </c>
      <c r="AA155">
        <v>4</v>
      </c>
      <c r="AB155">
        <v>3</v>
      </c>
      <c r="AC155">
        <v>5</v>
      </c>
      <c r="AD155">
        <v>4</v>
      </c>
      <c r="AE155">
        <v>5</v>
      </c>
      <c r="AF155">
        <v>1</v>
      </c>
      <c r="AG155">
        <v>5</v>
      </c>
      <c r="AH155">
        <v>1</v>
      </c>
      <c r="AI155">
        <v>5</v>
      </c>
      <c r="AJ155">
        <v>5</v>
      </c>
      <c r="AK155" t="b">
        <f>Table67[[#This Row],[What is your age?]]&lt;&gt;"18 - 25"</f>
        <v>0</v>
      </c>
      <c r="AL155" t="b">
        <f t="shared" si="8"/>
        <v>0</v>
      </c>
      <c r="AM155" t="b">
        <f t="shared" si="9"/>
        <v>0</v>
      </c>
      <c r="AN155" t="b">
        <f t="shared" si="10"/>
        <v>0</v>
      </c>
      <c r="AO155" t="b">
        <f>OR(Table67[[#This Row],[Ineligible respondents]:[Inconsistent response on opposite question (3)]])</f>
        <v>0</v>
      </c>
      <c r="AP15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10</v>
      </c>
      <c r="AQ155">
        <f>Table67[[#This Row],[Extreme Response]]/21</f>
        <v>0.47619047619047616</v>
      </c>
      <c r="AR155">
        <f>_xlfn.PERCENTILE.INC(Table67[Extrem Response Ratio (ERS)],0.9)</f>
        <v>0.61904761904761907</v>
      </c>
      <c r="AS155" t="b">
        <f>Table67[[#This Row],[Extrem Response Ratio (ERS)]]&gt;=Table67[[#This Row],[Threshold of ERS]]</f>
        <v>0</v>
      </c>
      <c r="AT155">
        <f>COUNTIF(Table67[[#This Row],[The mechanism of digital assets is difficult to understand, which discourages me from exploring it (E.g, Tokenization, Blockchain)]:[If I want to try different ways to invest, I will explore digital assets.]], 3)</f>
        <v>6</v>
      </c>
      <c r="AU155">
        <f>Table67[[#This Row],[Midpoint]]/21</f>
        <v>0.2857142857142857</v>
      </c>
      <c r="AV155">
        <f>_xlfn.PERCENTILE.INC(Table67[Midpoint ratio],0.9)</f>
        <v>0.5714285714285714</v>
      </c>
      <c r="AW155" t="b">
        <f>Table67[[#This Row],[Midpoint ratio]]&gt;=Table67[[#This Row],[Threshold of Midpoint ratio]]</f>
        <v>0</v>
      </c>
      <c r="AX155" t="b">
        <f>OR(Table67[[#This Row],[Extreme Response Style]],Table67[[#This Row],[Mid-point Response Style]])</f>
        <v>0</v>
      </c>
      <c r="AY155" t="b">
        <f>OR(Table67[[#This Row],[Delete? (Stage 1)]],Table67[[#This Row],[Delete? (Stage 2)]])</f>
        <v>0</v>
      </c>
      <c r="AZ155" t="s">
        <v>59</v>
      </c>
    </row>
    <row r="156" spans="1:52">
      <c r="A156">
        <f t="shared" si="11"/>
        <v>155</v>
      </c>
      <c r="B156" s="3">
        <v>46035.538495370398</v>
      </c>
      <c r="C156" s="3">
        <v>46035.539745370399</v>
      </c>
      <c r="D156" t="s">
        <v>53</v>
      </c>
      <c r="G156" t="s">
        <v>54</v>
      </c>
      <c r="H156" t="s">
        <v>55</v>
      </c>
      <c r="I156" t="s">
        <v>56</v>
      </c>
      <c r="J156" t="s">
        <v>64</v>
      </c>
      <c r="K156" t="s">
        <v>67</v>
      </c>
      <c r="L156" t="s">
        <v>61</v>
      </c>
      <c r="M156" t="s">
        <v>61</v>
      </c>
      <c r="N156">
        <v>5</v>
      </c>
      <c r="O156">
        <v>5</v>
      </c>
      <c r="P156">
        <v>5</v>
      </c>
      <c r="Q156">
        <v>5</v>
      </c>
      <c r="R156">
        <v>5</v>
      </c>
      <c r="S156">
        <v>5</v>
      </c>
      <c r="T156">
        <v>5</v>
      </c>
      <c r="U156">
        <v>4</v>
      </c>
      <c r="V156">
        <v>3</v>
      </c>
      <c r="W156">
        <v>4</v>
      </c>
      <c r="X156">
        <v>5</v>
      </c>
      <c r="Y156">
        <v>5</v>
      </c>
      <c r="Z156">
        <v>1</v>
      </c>
      <c r="AA156">
        <v>1</v>
      </c>
      <c r="AB156">
        <v>5</v>
      </c>
      <c r="AC156">
        <v>5</v>
      </c>
      <c r="AD156">
        <v>5</v>
      </c>
      <c r="AE156">
        <v>5</v>
      </c>
      <c r="AF156">
        <v>5</v>
      </c>
      <c r="AG156">
        <v>1</v>
      </c>
      <c r="AH156">
        <v>5</v>
      </c>
      <c r="AI156">
        <v>1</v>
      </c>
      <c r="AJ156">
        <v>1</v>
      </c>
      <c r="AK156" t="b">
        <f>Table67[[#This Row],[What is your age?]]&lt;&gt;"18 - 25"</f>
        <v>0</v>
      </c>
      <c r="AL156" t="b">
        <f t="shared" si="8"/>
        <v>0</v>
      </c>
      <c r="AM156" t="b">
        <f t="shared" si="9"/>
        <v>0</v>
      </c>
      <c r="AN156" t="b">
        <f t="shared" si="10"/>
        <v>0</v>
      </c>
      <c r="AO156" t="b">
        <f>OR(Table67[[#This Row],[Ineligible respondents]:[Inconsistent response on opposite question (3)]])</f>
        <v>0</v>
      </c>
      <c r="AP15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18</v>
      </c>
      <c r="AQ156">
        <f>Table67[[#This Row],[Extreme Response]]/21</f>
        <v>0.8571428571428571</v>
      </c>
      <c r="AR156">
        <f>_xlfn.PERCENTILE.INC(Table67[Extrem Response Ratio (ERS)],0.9)</f>
        <v>0.61904761904761907</v>
      </c>
      <c r="AS156" t="b">
        <f>Table67[[#This Row],[Extrem Response Ratio (ERS)]]&gt;=Table67[[#This Row],[Threshold of ERS]]</f>
        <v>1</v>
      </c>
      <c r="AT156">
        <f>COUNTIF(Table67[[#This Row],[The mechanism of digital assets is difficult to understand, which discourages me from exploring it (E.g, Tokenization, Blockchain)]:[If I want to try different ways to invest, I will explore digital assets.]], 3)</f>
        <v>1</v>
      </c>
      <c r="AU156">
        <f>Table67[[#This Row],[Midpoint]]/21</f>
        <v>4.7619047619047616E-2</v>
      </c>
      <c r="AV156">
        <f>_xlfn.PERCENTILE.INC(Table67[Midpoint ratio],0.9)</f>
        <v>0.5714285714285714</v>
      </c>
      <c r="AW156" t="b">
        <f>Table67[[#This Row],[Midpoint ratio]]&gt;=Table67[[#This Row],[Threshold of Midpoint ratio]]</f>
        <v>0</v>
      </c>
      <c r="AX156" t="b">
        <f>OR(Table67[[#This Row],[Extreme Response Style]],Table67[[#This Row],[Mid-point Response Style]])</f>
        <v>1</v>
      </c>
      <c r="AY156" t="b">
        <f>OR(Table67[[#This Row],[Delete? (Stage 1)]],Table67[[#This Row],[Delete? (Stage 2)]])</f>
        <v>1</v>
      </c>
      <c r="AZ156" t="s">
        <v>59</v>
      </c>
    </row>
    <row r="157" spans="1:52">
      <c r="A157">
        <f t="shared" si="11"/>
        <v>156</v>
      </c>
      <c r="B157" s="3">
        <v>46035.540578703702</v>
      </c>
      <c r="C157" s="3">
        <v>46035.543009259301</v>
      </c>
      <c r="D157" t="s">
        <v>53</v>
      </c>
      <c r="G157" t="s">
        <v>54</v>
      </c>
      <c r="H157" t="s">
        <v>55</v>
      </c>
      <c r="I157" t="s">
        <v>56</v>
      </c>
      <c r="J157" t="s">
        <v>67</v>
      </c>
      <c r="K157" t="s">
        <v>66</v>
      </c>
      <c r="L157" t="s">
        <v>58</v>
      </c>
      <c r="M157" t="s">
        <v>58</v>
      </c>
      <c r="N157">
        <v>5</v>
      </c>
      <c r="O157">
        <v>4</v>
      </c>
      <c r="P157">
        <v>3</v>
      </c>
      <c r="Q157">
        <v>4</v>
      </c>
      <c r="R157">
        <v>5</v>
      </c>
      <c r="S157">
        <v>4</v>
      </c>
      <c r="T157">
        <v>3</v>
      </c>
      <c r="U157">
        <v>5</v>
      </c>
      <c r="V157">
        <v>3</v>
      </c>
      <c r="W157">
        <v>4</v>
      </c>
      <c r="X157">
        <v>3</v>
      </c>
      <c r="Y157">
        <v>4</v>
      </c>
      <c r="Z157">
        <v>5</v>
      </c>
      <c r="AA157">
        <v>3</v>
      </c>
      <c r="AB157">
        <v>2</v>
      </c>
      <c r="AC157">
        <v>4</v>
      </c>
      <c r="AD157">
        <v>2</v>
      </c>
      <c r="AE157">
        <v>3</v>
      </c>
      <c r="AF157">
        <v>3</v>
      </c>
      <c r="AG157">
        <v>3</v>
      </c>
      <c r="AH157">
        <v>3</v>
      </c>
      <c r="AI157">
        <v>3</v>
      </c>
      <c r="AJ157">
        <v>3</v>
      </c>
      <c r="AK157" t="b">
        <f>Table67[[#This Row],[What is your age?]]&lt;&gt;"18 - 25"</f>
        <v>0</v>
      </c>
      <c r="AL157" t="b">
        <f t="shared" si="8"/>
        <v>0</v>
      </c>
      <c r="AM157" t="b">
        <f t="shared" si="9"/>
        <v>0</v>
      </c>
      <c r="AN157" t="b">
        <f t="shared" si="10"/>
        <v>0</v>
      </c>
      <c r="AO157" t="b">
        <f>OR(Table67[[#This Row],[Ineligible respondents]:[Inconsistent response on opposite question (3)]])</f>
        <v>0</v>
      </c>
      <c r="AP15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57">
        <f>Table67[[#This Row],[Extreme Response]]/21</f>
        <v>0.19047619047619047</v>
      </c>
      <c r="AR157">
        <f>_xlfn.PERCENTILE.INC(Table67[Extrem Response Ratio (ERS)],0.9)</f>
        <v>0.61904761904761907</v>
      </c>
      <c r="AS157" t="b">
        <f>Table67[[#This Row],[Extrem Response Ratio (ERS)]]&gt;=Table67[[#This Row],[Threshold of ERS]]</f>
        <v>0</v>
      </c>
      <c r="AT157">
        <f>COUNTIF(Table67[[#This Row],[The mechanism of digital assets is difficult to understand, which discourages me from exploring it (E.g, Tokenization, Blockchain)]:[If I want to try different ways to invest, I will explore digital assets.]], 3)</f>
        <v>9</v>
      </c>
      <c r="AU157">
        <f>Table67[[#This Row],[Midpoint]]/21</f>
        <v>0.42857142857142855</v>
      </c>
      <c r="AV157">
        <f>_xlfn.PERCENTILE.INC(Table67[Midpoint ratio],0.9)</f>
        <v>0.5714285714285714</v>
      </c>
      <c r="AW157" t="b">
        <f>Table67[[#This Row],[Midpoint ratio]]&gt;=Table67[[#This Row],[Threshold of Midpoint ratio]]</f>
        <v>0</v>
      </c>
      <c r="AX157" t="b">
        <f>OR(Table67[[#This Row],[Extreme Response Style]],Table67[[#This Row],[Mid-point Response Style]])</f>
        <v>0</v>
      </c>
      <c r="AY157" t="b">
        <f>OR(Table67[[#This Row],[Delete? (Stage 1)]],Table67[[#This Row],[Delete? (Stage 2)]])</f>
        <v>0</v>
      </c>
      <c r="AZ157" t="s">
        <v>59</v>
      </c>
    </row>
    <row r="158" spans="1:52">
      <c r="A158">
        <f t="shared" si="11"/>
        <v>157</v>
      </c>
      <c r="B158" s="3">
        <v>46035.543043981503</v>
      </c>
      <c r="C158" s="3">
        <v>46035.546585648102</v>
      </c>
      <c r="D158" t="s">
        <v>53</v>
      </c>
      <c r="G158" t="s">
        <v>79</v>
      </c>
      <c r="H158" t="s">
        <v>55</v>
      </c>
      <c r="I158" t="s">
        <v>71</v>
      </c>
      <c r="J158" t="s">
        <v>60</v>
      </c>
      <c r="K158" t="s">
        <v>62</v>
      </c>
      <c r="L158" t="s">
        <v>58</v>
      </c>
      <c r="M158" t="s">
        <v>61</v>
      </c>
      <c r="N158">
        <v>2</v>
      </c>
      <c r="O158">
        <v>4</v>
      </c>
      <c r="P158">
        <v>3</v>
      </c>
      <c r="Q158">
        <v>4</v>
      </c>
      <c r="R158">
        <v>2</v>
      </c>
      <c r="S158">
        <v>4</v>
      </c>
      <c r="T158">
        <v>2</v>
      </c>
      <c r="U158">
        <v>5</v>
      </c>
      <c r="V158">
        <v>3</v>
      </c>
      <c r="W158">
        <v>3</v>
      </c>
      <c r="X158">
        <v>3</v>
      </c>
      <c r="Y158">
        <v>4</v>
      </c>
      <c r="Z158">
        <v>4</v>
      </c>
      <c r="AA158">
        <v>5</v>
      </c>
      <c r="AB158">
        <v>2</v>
      </c>
      <c r="AC158">
        <v>2</v>
      </c>
      <c r="AD158">
        <v>3</v>
      </c>
      <c r="AE158">
        <v>3</v>
      </c>
      <c r="AF158">
        <v>2</v>
      </c>
      <c r="AG158">
        <v>5</v>
      </c>
      <c r="AH158">
        <v>3</v>
      </c>
      <c r="AI158">
        <v>3</v>
      </c>
      <c r="AJ158">
        <v>4</v>
      </c>
      <c r="AK158" t="b">
        <f>Table67[[#This Row],[What is your age?]]&lt;&gt;"18 - 25"</f>
        <v>1</v>
      </c>
      <c r="AL158" t="b">
        <f t="shared" si="8"/>
        <v>0</v>
      </c>
      <c r="AM158" t="b">
        <f t="shared" si="9"/>
        <v>0</v>
      </c>
      <c r="AN158" t="b">
        <f t="shared" si="10"/>
        <v>1</v>
      </c>
      <c r="AO158" t="b">
        <f>OR(Table67[[#This Row],[Ineligible respondents]:[Inconsistent response on opposite question (3)]])</f>
        <v>1</v>
      </c>
      <c r="AP15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58">
        <f>Table67[[#This Row],[Extreme Response]]/21</f>
        <v>0.14285714285714285</v>
      </c>
      <c r="AR158">
        <f>_xlfn.PERCENTILE.INC(Table67[Extrem Response Ratio (ERS)],0.9)</f>
        <v>0.61904761904761907</v>
      </c>
      <c r="AS158" t="b">
        <f>Table67[[#This Row],[Extrem Response Ratio (ERS)]]&gt;=Table67[[#This Row],[Threshold of ERS]]</f>
        <v>0</v>
      </c>
      <c r="AT158">
        <f>COUNTIF(Table67[[#This Row],[The mechanism of digital assets is difficult to understand, which discourages me from exploring it (E.g, Tokenization, Blockchain)]:[If I want to try different ways to invest, I will explore digital assets.]], 3)</f>
        <v>7</v>
      </c>
      <c r="AU158">
        <f>Table67[[#This Row],[Midpoint]]/21</f>
        <v>0.33333333333333331</v>
      </c>
      <c r="AV158">
        <f>_xlfn.PERCENTILE.INC(Table67[Midpoint ratio],0.9)</f>
        <v>0.5714285714285714</v>
      </c>
      <c r="AW158" t="b">
        <f>Table67[[#This Row],[Midpoint ratio]]&gt;=Table67[[#This Row],[Threshold of Midpoint ratio]]</f>
        <v>0</v>
      </c>
      <c r="AX158" t="b">
        <f>OR(Table67[[#This Row],[Extreme Response Style]],Table67[[#This Row],[Mid-point Response Style]])</f>
        <v>0</v>
      </c>
      <c r="AY158" t="b">
        <f>OR(Table67[[#This Row],[Delete? (Stage 1)]],Table67[[#This Row],[Delete? (Stage 2)]])</f>
        <v>1</v>
      </c>
      <c r="AZ158" t="s">
        <v>59</v>
      </c>
    </row>
    <row r="159" spans="1:52">
      <c r="A159">
        <f t="shared" si="11"/>
        <v>158</v>
      </c>
      <c r="B159" s="3">
        <v>46035.546620370398</v>
      </c>
      <c r="C159" s="3">
        <v>46035.548842592601</v>
      </c>
      <c r="D159" t="s">
        <v>53</v>
      </c>
      <c r="G159" t="s">
        <v>54</v>
      </c>
      <c r="H159" t="s">
        <v>55</v>
      </c>
      <c r="I159" t="s">
        <v>56</v>
      </c>
      <c r="J159" t="s">
        <v>65</v>
      </c>
      <c r="K159" t="s">
        <v>66</v>
      </c>
      <c r="L159" t="s">
        <v>61</v>
      </c>
      <c r="M159" t="s">
        <v>61</v>
      </c>
      <c r="N159">
        <v>5</v>
      </c>
      <c r="O159">
        <v>5</v>
      </c>
      <c r="P159">
        <v>5</v>
      </c>
      <c r="Q159">
        <v>5</v>
      </c>
      <c r="R159">
        <v>5</v>
      </c>
      <c r="S159">
        <v>5</v>
      </c>
      <c r="T159">
        <v>5</v>
      </c>
      <c r="U159">
        <v>5</v>
      </c>
      <c r="V159">
        <v>5</v>
      </c>
      <c r="W159">
        <v>5</v>
      </c>
      <c r="X159">
        <v>5</v>
      </c>
      <c r="Y159">
        <v>5</v>
      </c>
      <c r="Z159">
        <v>5</v>
      </c>
      <c r="AA159">
        <v>5</v>
      </c>
      <c r="AB159">
        <v>5</v>
      </c>
      <c r="AC159">
        <v>5</v>
      </c>
      <c r="AD159">
        <v>5</v>
      </c>
      <c r="AE159">
        <v>1</v>
      </c>
      <c r="AF159">
        <v>1</v>
      </c>
      <c r="AG159">
        <v>5</v>
      </c>
      <c r="AH159">
        <v>1</v>
      </c>
      <c r="AI159">
        <v>5</v>
      </c>
      <c r="AJ159">
        <v>5</v>
      </c>
      <c r="AK159" t="b">
        <f>Table67[[#This Row],[What is your age?]]&lt;&gt;"18 - 25"</f>
        <v>0</v>
      </c>
      <c r="AL159" t="b">
        <f t="shared" si="8"/>
        <v>0</v>
      </c>
      <c r="AM159" t="b">
        <f t="shared" si="9"/>
        <v>0</v>
      </c>
      <c r="AN159" t="b">
        <f t="shared" si="10"/>
        <v>0</v>
      </c>
      <c r="AO159" t="b">
        <f>OR(Table67[[#This Row],[Ineligible respondents]:[Inconsistent response on opposite question (3)]])</f>
        <v>0</v>
      </c>
      <c r="AP15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21</v>
      </c>
      <c r="AQ159">
        <f>Table67[[#This Row],[Extreme Response]]/21</f>
        <v>1</v>
      </c>
      <c r="AR159">
        <f>_xlfn.PERCENTILE.INC(Table67[Extrem Response Ratio (ERS)],0.9)</f>
        <v>0.61904761904761907</v>
      </c>
      <c r="AS159" t="b">
        <f>Table67[[#This Row],[Extrem Response Ratio (ERS)]]&gt;=Table67[[#This Row],[Threshold of ERS]]</f>
        <v>1</v>
      </c>
      <c r="AT159">
        <f>COUNTIF(Table67[[#This Row],[The mechanism of digital assets is difficult to understand, which discourages me from exploring it (E.g, Tokenization, Blockchain)]:[If I want to try different ways to invest, I will explore digital assets.]], 3)</f>
        <v>0</v>
      </c>
      <c r="AU159">
        <f>Table67[[#This Row],[Midpoint]]/21</f>
        <v>0</v>
      </c>
      <c r="AV159">
        <f>_xlfn.PERCENTILE.INC(Table67[Midpoint ratio],0.9)</f>
        <v>0.5714285714285714</v>
      </c>
      <c r="AW159" t="b">
        <f>Table67[[#This Row],[Midpoint ratio]]&gt;=Table67[[#This Row],[Threshold of Midpoint ratio]]</f>
        <v>0</v>
      </c>
      <c r="AX159" t="b">
        <f>OR(Table67[[#This Row],[Extreme Response Style]],Table67[[#This Row],[Mid-point Response Style]])</f>
        <v>1</v>
      </c>
      <c r="AY159" t="b">
        <f>OR(Table67[[#This Row],[Delete? (Stage 1)]],Table67[[#This Row],[Delete? (Stage 2)]])</f>
        <v>1</v>
      </c>
      <c r="AZ159" t="s">
        <v>59</v>
      </c>
    </row>
    <row r="160" spans="1:52">
      <c r="A160">
        <f t="shared" si="11"/>
        <v>159</v>
      </c>
      <c r="B160" s="3">
        <v>46035.550405092603</v>
      </c>
      <c r="C160" s="3">
        <v>46035.557152777801</v>
      </c>
      <c r="D160" t="s">
        <v>53</v>
      </c>
      <c r="G160" t="s">
        <v>54</v>
      </c>
      <c r="H160" t="s">
        <v>55</v>
      </c>
      <c r="I160" t="s">
        <v>56</v>
      </c>
      <c r="J160" t="s">
        <v>64</v>
      </c>
      <c r="K160" t="s">
        <v>66</v>
      </c>
      <c r="L160" t="s">
        <v>61</v>
      </c>
      <c r="M160" t="s">
        <v>61</v>
      </c>
      <c r="N160">
        <v>2</v>
      </c>
      <c r="O160">
        <v>2</v>
      </c>
      <c r="P160">
        <v>4</v>
      </c>
      <c r="Q160">
        <v>2</v>
      </c>
      <c r="R160">
        <v>2</v>
      </c>
      <c r="S160">
        <v>1</v>
      </c>
      <c r="T160">
        <v>2</v>
      </c>
      <c r="U160">
        <v>4</v>
      </c>
      <c r="V160">
        <v>4</v>
      </c>
      <c r="W160">
        <v>4</v>
      </c>
      <c r="X160">
        <v>2</v>
      </c>
      <c r="Y160">
        <v>4</v>
      </c>
      <c r="Z160">
        <v>4</v>
      </c>
      <c r="AA160">
        <v>4</v>
      </c>
      <c r="AB160">
        <v>2</v>
      </c>
      <c r="AC160">
        <v>4</v>
      </c>
      <c r="AD160">
        <v>4</v>
      </c>
      <c r="AE160">
        <v>2</v>
      </c>
      <c r="AF160">
        <v>3</v>
      </c>
      <c r="AG160">
        <v>4</v>
      </c>
      <c r="AH160">
        <v>4</v>
      </c>
      <c r="AI160">
        <v>2</v>
      </c>
      <c r="AJ160">
        <v>3</v>
      </c>
      <c r="AK160" t="b">
        <f>Table67[[#This Row],[What is your age?]]&lt;&gt;"18 - 25"</f>
        <v>0</v>
      </c>
      <c r="AL160" t="b">
        <f t="shared" si="8"/>
        <v>0</v>
      </c>
      <c r="AM160" t="b">
        <f t="shared" si="9"/>
        <v>1</v>
      </c>
      <c r="AN160" t="b">
        <f t="shared" si="10"/>
        <v>0</v>
      </c>
      <c r="AO160" t="b">
        <f>OR(Table67[[#This Row],[Ineligible respondents]:[Inconsistent response on opposite question (3)]])</f>
        <v>1</v>
      </c>
      <c r="AP16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60">
        <f>Table67[[#This Row],[Extreme Response]]/21</f>
        <v>4.7619047619047616E-2</v>
      </c>
      <c r="AR160">
        <f>_xlfn.PERCENTILE.INC(Table67[Extrem Response Ratio (ERS)],0.9)</f>
        <v>0.61904761904761907</v>
      </c>
      <c r="AS160" t="b">
        <f>Table67[[#This Row],[Extrem Response Ratio (ERS)]]&gt;=Table67[[#This Row],[Threshold of ERS]]</f>
        <v>0</v>
      </c>
      <c r="AT160">
        <f>COUNTIF(Table67[[#This Row],[The mechanism of digital assets is difficult to understand, which discourages me from exploring it (E.g, Tokenization, Blockchain)]:[If I want to try different ways to invest, I will explore digital assets.]], 3)</f>
        <v>1</v>
      </c>
      <c r="AU160">
        <f>Table67[[#This Row],[Midpoint]]/21</f>
        <v>4.7619047619047616E-2</v>
      </c>
      <c r="AV160">
        <f>_xlfn.PERCENTILE.INC(Table67[Midpoint ratio],0.9)</f>
        <v>0.5714285714285714</v>
      </c>
      <c r="AW160" t="b">
        <f>Table67[[#This Row],[Midpoint ratio]]&gt;=Table67[[#This Row],[Threshold of Midpoint ratio]]</f>
        <v>0</v>
      </c>
      <c r="AX160" t="b">
        <f>OR(Table67[[#This Row],[Extreme Response Style]],Table67[[#This Row],[Mid-point Response Style]])</f>
        <v>0</v>
      </c>
      <c r="AY160" t="b">
        <f>OR(Table67[[#This Row],[Delete? (Stage 1)]],Table67[[#This Row],[Delete? (Stage 2)]])</f>
        <v>1</v>
      </c>
      <c r="AZ160" t="s">
        <v>81</v>
      </c>
    </row>
    <row r="161" spans="1:52">
      <c r="A161">
        <f t="shared" si="11"/>
        <v>160</v>
      </c>
      <c r="B161" s="3">
        <v>46035.597013888902</v>
      </c>
      <c r="C161" s="3">
        <v>46035.598032407397</v>
      </c>
      <c r="D161" t="s">
        <v>53</v>
      </c>
      <c r="G161" t="s">
        <v>73</v>
      </c>
      <c r="H161" t="s">
        <v>55</v>
      </c>
      <c r="I161" t="s">
        <v>75</v>
      </c>
      <c r="J161" t="s">
        <v>64</v>
      </c>
      <c r="K161" t="s">
        <v>60</v>
      </c>
      <c r="L161" t="s">
        <v>58</v>
      </c>
      <c r="M161" t="s">
        <v>58</v>
      </c>
      <c r="N161">
        <v>1</v>
      </c>
      <c r="O161">
        <v>3</v>
      </c>
      <c r="P161">
        <v>3</v>
      </c>
      <c r="Q161">
        <v>2</v>
      </c>
      <c r="R161">
        <v>2</v>
      </c>
      <c r="S161">
        <v>2</v>
      </c>
      <c r="T161">
        <v>2</v>
      </c>
      <c r="U161">
        <v>3</v>
      </c>
      <c r="V161">
        <v>3</v>
      </c>
      <c r="W161">
        <v>3</v>
      </c>
      <c r="X161">
        <v>3</v>
      </c>
      <c r="Y161">
        <v>3</v>
      </c>
      <c r="Z161">
        <v>3</v>
      </c>
      <c r="AA161">
        <v>3</v>
      </c>
      <c r="AB161">
        <v>2</v>
      </c>
      <c r="AC161">
        <v>3</v>
      </c>
      <c r="AD161">
        <v>3</v>
      </c>
      <c r="AE161">
        <v>3</v>
      </c>
      <c r="AF161">
        <v>3</v>
      </c>
      <c r="AG161">
        <v>3</v>
      </c>
      <c r="AH161">
        <v>3</v>
      </c>
      <c r="AI161">
        <v>3</v>
      </c>
      <c r="AJ161">
        <v>3</v>
      </c>
      <c r="AK161" t="b">
        <f>Table67[[#This Row],[What is your age?]]&lt;&gt;"18 - 25"</f>
        <v>1</v>
      </c>
      <c r="AL161" t="b">
        <f t="shared" si="8"/>
        <v>0</v>
      </c>
      <c r="AM161" t="b">
        <f t="shared" si="9"/>
        <v>0</v>
      </c>
      <c r="AN161" t="b">
        <f t="shared" si="10"/>
        <v>0</v>
      </c>
      <c r="AO161" t="b">
        <f>OR(Table67[[#This Row],[Ineligible respondents]:[Inconsistent response on opposite question (3)]])</f>
        <v>1</v>
      </c>
      <c r="AP16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61">
        <f>Table67[[#This Row],[Extreme Response]]/21</f>
        <v>4.7619047619047616E-2</v>
      </c>
      <c r="AR161">
        <f>_xlfn.PERCENTILE.INC(Table67[Extrem Response Ratio (ERS)],0.9)</f>
        <v>0.61904761904761907</v>
      </c>
      <c r="AS161" t="b">
        <f>Table67[[#This Row],[Extrem Response Ratio (ERS)]]&gt;=Table67[[#This Row],[Threshold of ERS]]</f>
        <v>0</v>
      </c>
      <c r="AT161">
        <f>COUNTIF(Table67[[#This Row],[The mechanism of digital assets is difficult to understand, which discourages me from exploring it (E.g, Tokenization, Blockchain)]:[If I want to try different ways to invest, I will explore digital assets.]], 3)</f>
        <v>15</v>
      </c>
      <c r="AU161">
        <f>Table67[[#This Row],[Midpoint]]/21</f>
        <v>0.7142857142857143</v>
      </c>
      <c r="AV161">
        <f>_xlfn.PERCENTILE.INC(Table67[Midpoint ratio],0.9)</f>
        <v>0.5714285714285714</v>
      </c>
      <c r="AW161" t="b">
        <f>Table67[[#This Row],[Midpoint ratio]]&gt;=Table67[[#This Row],[Threshold of Midpoint ratio]]</f>
        <v>1</v>
      </c>
      <c r="AX161" t="b">
        <f>OR(Table67[[#This Row],[Extreme Response Style]],Table67[[#This Row],[Mid-point Response Style]])</f>
        <v>1</v>
      </c>
      <c r="AY161" t="b">
        <f>OR(Table67[[#This Row],[Delete? (Stage 1)]],Table67[[#This Row],[Delete? (Stage 2)]])</f>
        <v>1</v>
      </c>
      <c r="AZ161" t="s">
        <v>81</v>
      </c>
    </row>
    <row r="162" spans="1:52">
      <c r="A162">
        <f t="shared" si="11"/>
        <v>161</v>
      </c>
      <c r="B162" s="3">
        <v>46035.620706018497</v>
      </c>
      <c r="C162" s="3">
        <v>46035.623703703699</v>
      </c>
      <c r="D162" t="s">
        <v>53</v>
      </c>
      <c r="G162" t="s">
        <v>54</v>
      </c>
      <c r="H162" t="s">
        <v>55</v>
      </c>
      <c r="I162" t="s">
        <v>56</v>
      </c>
      <c r="J162" t="s">
        <v>60</v>
      </c>
      <c r="K162" t="s">
        <v>66</v>
      </c>
      <c r="L162" t="s">
        <v>58</v>
      </c>
      <c r="M162" t="s">
        <v>61</v>
      </c>
      <c r="N162">
        <v>5</v>
      </c>
      <c r="O162">
        <v>5</v>
      </c>
      <c r="P162">
        <v>5</v>
      </c>
      <c r="Q162">
        <v>5</v>
      </c>
      <c r="R162">
        <v>5</v>
      </c>
      <c r="S162">
        <v>5</v>
      </c>
      <c r="T162">
        <v>5</v>
      </c>
      <c r="U162">
        <v>5</v>
      </c>
      <c r="V162">
        <v>5</v>
      </c>
      <c r="W162">
        <v>5</v>
      </c>
      <c r="X162">
        <v>5</v>
      </c>
      <c r="Y162">
        <v>5</v>
      </c>
      <c r="Z162">
        <v>5</v>
      </c>
      <c r="AA162">
        <v>5</v>
      </c>
      <c r="AB162">
        <v>1</v>
      </c>
      <c r="AC162">
        <v>5</v>
      </c>
      <c r="AD162">
        <v>5</v>
      </c>
      <c r="AE162">
        <v>5</v>
      </c>
      <c r="AF162">
        <v>1</v>
      </c>
      <c r="AG162">
        <v>3</v>
      </c>
      <c r="AH162">
        <v>4</v>
      </c>
      <c r="AI162">
        <v>2</v>
      </c>
      <c r="AJ162">
        <v>5</v>
      </c>
      <c r="AK162" t="b">
        <f>Table67[[#This Row],[What is your age?]]&lt;&gt;"18 - 25"</f>
        <v>0</v>
      </c>
      <c r="AL162" t="b">
        <f t="shared" si="8"/>
        <v>0</v>
      </c>
      <c r="AM162" t="b">
        <f t="shared" si="9"/>
        <v>0</v>
      </c>
      <c r="AN162" t="b">
        <f t="shared" si="10"/>
        <v>1</v>
      </c>
      <c r="AO162" t="b">
        <f>OR(Table67[[#This Row],[Ineligible respondents]:[Inconsistent response on opposite question (3)]])</f>
        <v>1</v>
      </c>
      <c r="AP16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19</v>
      </c>
      <c r="AQ162">
        <f>Table67[[#This Row],[Extreme Response]]/21</f>
        <v>0.90476190476190477</v>
      </c>
      <c r="AR162">
        <f>_xlfn.PERCENTILE.INC(Table67[Extrem Response Ratio (ERS)],0.9)</f>
        <v>0.61904761904761907</v>
      </c>
      <c r="AS162" t="b">
        <f>Table67[[#This Row],[Extrem Response Ratio (ERS)]]&gt;=Table67[[#This Row],[Threshold of ERS]]</f>
        <v>1</v>
      </c>
      <c r="AT162">
        <f>COUNTIF(Table67[[#This Row],[The mechanism of digital assets is difficult to understand, which discourages me from exploring it (E.g, Tokenization, Blockchain)]:[If I want to try different ways to invest, I will explore digital assets.]], 3)</f>
        <v>1</v>
      </c>
      <c r="AU162">
        <f>Table67[[#This Row],[Midpoint]]/21</f>
        <v>4.7619047619047616E-2</v>
      </c>
      <c r="AV162">
        <f>_xlfn.PERCENTILE.INC(Table67[Midpoint ratio],0.9)</f>
        <v>0.5714285714285714</v>
      </c>
      <c r="AW162" t="b">
        <f>Table67[[#This Row],[Midpoint ratio]]&gt;=Table67[[#This Row],[Threshold of Midpoint ratio]]</f>
        <v>0</v>
      </c>
      <c r="AX162" t="b">
        <f>OR(Table67[[#This Row],[Extreme Response Style]],Table67[[#This Row],[Mid-point Response Style]])</f>
        <v>1</v>
      </c>
      <c r="AY162" t="b">
        <f>OR(Table67[[#This Row],[Delete? (Stage 1)]],Table67[[#This Row],[Delete? (Stage 2)]])</f>
        <v>1</v>
      </c>
      <c r="AZ162" t="s">
        <v>81</v>
      </c>
    </row>
    <row r="163" spans="1:52">
      <c r="A163">
        <f t="shared" si="11"/>
        <v>162</v>
      </c>
      <c r="B163" s="3">
        <v>46035.654918981498</v>
      </c>
      <c r="C163" s="3">
        <v>46035.656122685199</v>
      </c>
      <c r="D163" t="s">
        <v>53</v>
      </c>
      <c r="G163" t="s">
        <v>73</v>
      </c>
      <c r="H163" t="s">
        <v>63</v>
      </c>
      <c r="I163" t="s">
        <v>56</v>
      </c>
      <c r="J163" t="s">
        <v>65</v>
      </c>
      <c r="K163" t="s">
        <v>64</v>
      </c>
      <c r="L163" t="s">
        <v>61</v>
      </c>
      <c r="M163" t="s">
        <v>61</v>
      </c>
      <c r="N163">
        <v>4</v>
      </c>
      <c r="O163">
        <v>1</v>
      </c>
      <c r="P163">
        <v>3</v>
      </c>
      <c r="Q163">
        <v>3</v>
      </c>
      <c r="R163">
        <v>2</v>
      </c>
      <c r="S163">
        <v>2</v>
      </c>
      <c r="T163">
        <v>3</v>
      </c>
      <c r="U163">
        <v>5</v>
      </c>
      <c r="V163">
        <v>5</v>
      </c>
      <c r="W163">
        <v>5</v>
      </c>
      <c r="X163">
        <v>4</v>
      </c>
      <c r="Y163">
        <v>4</v>
      </c>
      <c r="Z163">
        <v>4</v>
      </c>
      <c r="AA163">
        <v>2</v>
      </c>
      <c r="AB163">
        <v>2</v>
      </c>
      <c r="AC163">
        <v>4</v>
      </c>
      <c r="AD163">
        <v>2</v>
      </c>
      <c r="AE163">
        <v>2</v>
      </c>
      <c r="AF163">
        <v>3</v>
      </c>
      <c r="AG163">
        <v>3</v>
      </c>
      <c r="AH163">
        <v>4</v>
      </c>
      <c r="AI163">
        <v>2</v>
      </c>
      <c r="AJ163">
        <v>3</v>
      </c>
      <c r="AK163" t="b">
        <f>Table67[[#This Row],[What is your age?]]&lt;&gt;"18 - 25"</f>
        <v>1</v>
      </c>
      <c r="AL163" t="b">
        <f t="shared" si="8"/>
        <v>0</v>
      </c>
      <c r="AM163" t="b">
        <f t="shared" si="9"/>
        <v>0</v>
      </c>
      <c r="AN163" t="b">
        <f t="shared" si="10"/>
        <v>1</v>
      </c>
      <c r="AO163" t="b">
        <f>OR(Table67[[#This Row],[Ineligible respondents]:[Inconsistent response on opposite question (3)]])</f>
        <v>1</v>
      </c>
      <c r="AP16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63">
        <f>Table67[[#This Row],[Extreme Response]]/21</f>
        <v>0.19047619047619047</v>
      </c>
      <c r="AR163">
        <f>_xlfn.PERCENTILE.INC(Table67[Extrem Response Ratio (ERS)],0.9)</f>
        <v>0.61904761904761907</v>
      </c>
      <c r="AS163" t="b">
        <f>Table67[[#This Row],[Extrem Response Ratio (ERS)]]&gt;=Table67[[#This Row],[Threshold of ERS]]</f>
        <v>0</v>
      </c>
      <c r="AT163">
        <f>COUNTIF(Table67[[#This Row],[The mechanism of digital assets is difficult to understand, which discourages me from exploring it (E.g, Tokenization, Blockchain)]:[If I want to try different ways to invest, I will explore digital assets.]], 3)</f>
        <v>5</v>
      </c>
      <c r="AU163">
        <f>Table67[[#This Row],[Midpoint]]/21</f>
        <v>0.23809523809523808</v>
      </c>
      <c r="AV163">
        <f>_xlfn.PERCENTILE.INC(Table67[Midpoint ratio],0.9)</f>
        <v>0.5714285714285714</v>
      </c>
      <c r="AW163" t="b">
        <f>Table67[[#This Row],[Midpoint ratio]]&gt;=Table67[[#This Row],[Threshold of Midpoint ratio]]</f>
        <v>0</v>
      </c>
      <c r="AX163" t="b">
        <f>OR(Table67[[#This Row],[Extreme Response Style]],Table67[[#This Row],[Mid-point Response Style]])</f>
        <v>0</v>
      </c>
      <c r="AY163" t="b">
        <f>OR(Table67[[#This Row],[Delete? (Stage 1)]],Table67[[#This Row],[Delete? (Stage 2)]])</f>
        <v>1</v>
      </c>
      <c r="AZ163" t="s">
        <v>81</v>
      </c>
    </row>
    <row r="164" spans="1:52">
      <c r="A164">
        <f t="shared" si="11"/>
        <v>163</v>
      </c>
      <c r="B164" s="3">
        <v>46035.659201388902</v>
      </c>
      <c r="C164" s="3">
        <v>46035.659826388903</v>
      </c>
      <c r="D164" t="s">
        <v>53</v>
      </c>
      <c r="G164" t="s">
        <v>54</v>
      </c>
      <c r="H164" t="s">
        <v>55</v>
      </c>
      <c r="I164" t="s">
        <v>75</v>
      </c>
      <c r="J164" t="s">
        <v>66</v>
      </c>
      <c r="K164" t="s">
        <v>66</v>
      </c>
      <c r="L164" t="s">
        <v>58</v>
      </c>
      <c r="M164" t="s">
        <v>61</v>
      </c>
      <c r="N164">
        <v>3</v>
      </c>
      <c r="O164">
        <v>3</v>
      </c>
      <c r="P164">
        <v>3</v>
      </c>
      <c r="Q164">
        <v>4</v>
      </c>
      <c r="R164">
        <v>3</v>
      </c>
      <c r="S164">
        <v>4</v>
      </c>
      <c r="T164">
        <v>3</v>
      </c>
      <c r="U164">
        <v>5</v>
      </c>
      <c r="V164">
        <v>3</v>
      </c>
      <c r="W164">
        <v>4</v>
      </c>
      <c r="X164">
        <v>4</v>
      </c>
      <c r="Y164">
        <v>4</v>
      </c>
      <c r="Z164">
        <v>4</v>
      </c>
      <c r="AA164">
        <v>3</v>
      </c>
      <c r="AB164">
        <v>3</v>
      </c>
      <c r="AC164">
        <v>4</v>
      </c>
      <c r="AD164">
        <v>4</v>
      </c>
      <c r="AE164">
        <v>4</v>
      </c>
      <c r="AF164">
        <v>4</v>
      </c>
      <c r="AG164">
        <v>3</v>
      </c>
      <c r="AH164">
        <v>4</v>
      </c>
      <c r="AI164">
        <v>2</v>
      </c>
      <c r="AJ164">
        <v>2</v>
      </c>
      <c r="AK164" t="b">
        <f>Table67[[#This Row],[What is your age?]]&lt;&gt;"18 - 25"</f>
        <v>0</v>
      </c>
      <c r="AL164" t="b">
        <f t="shared" si="8"/>
        <v>0</v>
      </c>
      <c r="AM164" t="b">
        <f t="shared" si="9"/>
        <v>0</v>
      </c>
      <c r="AN164" t="b">
        <f t="shared" si="10"/>
        <v>1</v>
      </c>
      <c r="AO164" t="b">
        <f>OR(Table67[[#This Row],[Ineligible respondents]:[Inconsistent response on opposite question (3)]])</f>
        <v>1</v>
      </c>
      <c r="AP16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64">
        <f>Table67[[#This Row],[Extreme Response]]/21</f>
        <v>4.7619047619047616E-2</v>
      </c>
      <c r="AR164">
        <f>_xlfn.PERCENTILE.INC(Table67[Extrem Response Ratio (ERS)],0.9)</f>
        <v>0.61904761904761907</v>
      </c>
      <c r="AS164" t="b">
        <f>Table67[[#This Row],[Extrem Response Ratio (ERS)]]&gt;=Table67[[#This Row],[Threshold of ERS]]</f>
        <v>0</v>
      </c>
      <c r="AT164">
        <f>COUNTIF(Table67[[#This Row],[The mechanism of digital assets is difficult to understand, which discourages me from exploring it (E.g, Tokenization, Blockchain)]:[If I want to try different ways to invest, I will explore digital assets.]], 3)</f>
        <v>9</v>
      </c>
      <c r="AU164">
        <f>Table67[[#This Row],[Midpoint]]/21</f>
        <v>0.42857142857142855</v>
      </c>
      <c r="AV164">
        <f>_xlfn.PERCENTILE.INC(Table67[Midpoint ratio],0.9)</f>
        <v>0.5714285714285714</v>
      </c>
      <c r="AW164" t="b">
        <f>Table67[[#This Row],[Midpoint ratio]]&gt;=Table67[[#This Row],[Threshold of Midpoint ratio]]</f>
        <v>0</v>
      </c>
      <c r="AX164" t="b">
        <f>OR(Table67[[#This Row],[Extreme Response Style]],Table67[[#This Row],[Mid-point Response Style]])</f>
        <v>0</v>
      </c>
      <c r="AY164" t="b">
        <f>OR(Table67[[#This Row],[Delete? (Stage 1)]],Table67[[#This Row],[Delete? (Stage 2)]])</f>
        <v>1</v>
      </c>
      <c r="AZ164" t="s">
        <v>81</v>
      </c>
    </row>
    <row r="165" spans="1:52">
      <c r="A165">
        <f t="shared" si="11"/>
        <v>164</v>
      </c>
      <c r="B165" s="3">
        <v>46035.675740740699</v>
      </c>
      <c r="C165" s="3">
        <v>46035.677905092598</v>
      </c>
      <c r="D165" t="s">
        <v>53</v>
      </c>
      <c r="G165" t="s">
        <v>54</v>
      </c>
      <c r="H165" t="s">
        <v>55</v>
      </c>
      <c r="I165" t="s">
        <v>56</v>
      </c>
      <c r="J165" t="s">
        <v>57</v>
      </c>
      <c r="K165" t="s">
        <v>57</v>
      </c>
      <c r="L165" t="s">
        <v>61</v>
      </c>
      <c r="M165" t="s">
        <v>58</v>
      </c>
      <c r="N165">
        <v>4</v>
      </c>
      <c r="O165">
        <v>4</v>
      </c>
      <c r="P165">
        <v>5</v>
      </c>
      <c r="Q165">
        <v>4</v>
      </c>
      <c r="R165">
        <v>4</v>
      </c>
      <c r="S165">
        <v>5</v>
      </c>
      <c r="T165">
        <v>2</v>
      </c>
      <c r="U165">
        <v>5</v>
      </c>
      <c r="V165">
        <v>5</v>
      </c>
      <c r="W165">
        <v>5</v>
      </c>
      <c r="X165">
        <v>4</v>
      </c>
      <c r="Y165">
        <v>3</v>
      </c>
      <c r="Z165">
        <v>5</v>
      </c>
      <c r="AA165">
        <v>5</v>
      </c>
      <c r="AB165">
        <v>5</v>
      </c>
      <c r="AC165">
        <v>4</v>
      </c>
      <c r="AD165">
        <v>2</v>
      </c>
      <c r="AE165">
        <v>3</v>
      </c>
      <c r="AF165">
        <v>2</v>
      </c>
      <c r="AG165">
        <v>4</v>
      </c>
      <c r="AH165">
        <v>3</v>
      </c>
      <c r="AI165">
        <v>3</v>
      </c>
      <c r="AJ165">
        <v>4</v>
      </c>
      <c r="AK165" t="b">
        <f>Table67[[#This Row],[What is your age?]]&lt;&gt;"18 - 25"</f>
        <v>0</v>
      </c>
      <c r="AL165" t="b">
        <f t="shared" si="8"/>
        <v>0</v>
      </c>
      <c r="AM165" t="b">
        <f t="shared" si="9"/>
        <v>0</v>
      </c>
      <c r="AN165" t="b">
        <f t="shared" si="10"/>
        <v>1</v>
      </c>
      <c r="AO165" t="b">
        <f>OR(Table67[[#This Row],[Ineligible respondents]:[Inconsistent response on opposite question (3)]])</f>
        <v>1</v>
      </c>
      <c r="AP16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165">
        <f>Table67[[#This Row],[Extreme Response]]/21</f>
        <v>0.38095238095238093</v>
      </c>
      <c r="AR165">
        <f>_xlfn.PERCENTILE.INC(Table67[Extrem Response Ratio (ERS)],0.9)</f>
        <v>0.61904761904761907</v>
      </c>
      <c r="AS165" t="b">
        <f>Table67[[#This Row],[Extrem Response Ratio (ERS)]]&gt;=Table67[[#This Row],[Threshold of ERS]]</f>
        <v>0</v>
      </c>
      <c r="AT165">
        <f>COUNTIF(Table67[[#This Row],[The mechanism of digital assets is difficult to understand, which discourages me from exploring it (E.g, Tokenization, Blockchain)]:[If I want to try different ways to invest, I will explore digital assets.]], 3)</f>
        <v>3</v>
      </c>
      <c r="AU165">
        <f>Table67[[#This Row],[Midpoint]]/21</f>
        <v>0.14285714285714285</v>
      </c>
      <c r="AV165">
        <f>_xlfn.PERCENTILE.INC(Table67[Midpoint ratio],0.9)</f>
        <v>0.5714285714285714</v>
      </c>
      <c r="AW165" t="b">
        <f>Table67[[#This Row],[Midpoint ratio]]&gt;=Table67[[#This Row],[Threshold of Midpoint ratio]]</f>
        <v>0</v>
      </c>
      <c r="AX165" t="b">
        <f>OR(Table67[[#This Row],[Extreme Response Style]],Table67[[#This Row],[Mid-point Response Style]])</f>
        <v>0</v>
      </c>
      <c r="AY165" t="b">
        <f>OR(Table67[[#This Row],[Delete? (Stage 1)]],Table67[[#This Row],[Delete? (Stage 2)]])</f>
        <v>1</v>
      </c>
      <c r="AZ165" t="s">
        <v>81</v>
      </c>
    </row>
    <row r="166" spans="1:52">
      <c r="A166">
        <f t="shared" si="11"/>
        <v>165</v>
      </c>
      <c r="B166" s="3">
        <v>46035.676782407398</v>
      </c>
      <c r="C166" s="3">
        <v>46035.678958333301</v>
      </c>
      <c r="D166" t="s">
        <v>53</v>
      </c>
      <c r="G166" t="s">
        <v>54</v>
      </c>
      <c r="H166" t="s">
        <v>55</v>
      </c>
      <c r="I166" t="s">
        <v>56</v>
      </c>
      <c r="J166" t="s">
        <v>65</v>
      </c>
      <c r="K166" t="s">
        <v>60</v>
      </c>
      <c r="L166" t="s">
        <v>58</v>
      </c>
      <c r="M166" t="s">
        <v>61</v>
      </c>
      <c r="N166">
        <v>3</v>
      </c>
      <c r="O166">
        <v>3</v>
      </c>
      <c r="P166">
        <v>4</v>
      </c>
      <c r="Q166">
        <v>4</v>
      </c>
      <c r="R166">
        <v>4</v>
      </c>
      <c r="S166">
        <v>2</v>
      </c>
      <c r="T166">
        <v>2</v>
      </c>
      <c r="U166">
        <v>4</v>
      </c>
      <c r="V166">
        <v>5</v>
      </c>
      <c r="W166">
        <v>4</v>
      </c>
      <c r="X166">
        <v>4</v>
      </c>
      <c r="Y166">
        <v>5</v>
      </c>
      <c r="Z166">
        <v>4</v>
      </c>
      <c r="AA166">
        <v>2</v>
      </c>
      <c r="AB166">
        <v>2</v>
      </c>
      <c r="AC166">
        <v>2</v>
      </c>
      <c r="AD166">
        <v>4</v>
      </c>
      <c r="AE166">
        <v>4</v>
      </c>
      <c r="AF166">
        <v>2</v>
      </c>
      <c r="AG166">
        <v>3</v>
      </c>
      <c r="AH166">
        <v>3</v>
      </c>
      <c r="AI166">
        <v>3</v>
      </c>
      <c r="AJ166">
        <v>4</v>
      </c>
      <c r="AK166" t="b">
        <f>Table67[[#This Row],[What is your age?]]&lt;&gt;"18 - 25"</f>
        <v>0</v>
      </c>
      <c r="AL166" t="b">
        <f t="shared" si="8"/>
        <v>0</v>
      </c>
      <c r="AM166" t="b">
        <f t="shared" si="9"/>
        <v>0</v>
      </c>
      <c r="AN166" t="b">
        <f t="shared" si="10"/>
        <v>0</v>
      </c>
      <c r="AO166" t="b">
        <f>OR(Table67[[#This Row],[Ineligible respondents]:[Inconsistent response on opposite question (3)]])</f>
        <v>0</v>
      </c>
      <c r="AP16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66">
        <f>Table67[[#This Row],[Extreme Response]]/21</f>
        <v>9.5238095238095233E-2</v>
      </c>
      <c r="AR166">
        <f>_xlfn.PERCENTILE.INC(Table67[Extrem Response Ratio (ERS)],0.9)</f>
        <v>0.61904761904761907</v>
      </c>
      <c r="AS166" t="b">
        <f>Table67[[#This Row],[Extrem Response Ratio (ERS)]]&gt;=Table67[[#This Row],[Threshold of ERS]]</f>
        <v>0</v>
      </c>
      <c r="AT166">
        <f>COUNTIF(Table67[[#This Row],[The mechanism of digital assets is difficult to understand, which discourages me from exploring it (E.g, Tokenization, Blockchain)]:[If I want to try different ways to invest, I will explore digital assets.]], 3)</f>
        <v>4</v>
      </c>
      <c r="AU166">
        <f>Table67[[#This Row],[Midpoint]]/21</f>
        <v>0.19047619047619047</v>
      </c>
      <c r="AV166">
        <f>_xlfn.PERCENTILE.INC(Table67[Midpoint ratio],0.9)</f>
        <v>0.5714285714285714</v>
      </c>
      <c r="AW166" t="b">
        <f>Table67[[#This Row],[Midpoint ratio]]&gt;=Table67[[#This Row],[Threshold of Midpoint ratio]]</f>
        <v>0</v>
      </c>
      <c r="AX166" t="b">
        <f>OR(Table67[[#This Row],[Extreme Response Style]],Table67[[#This Row],[Mid-point Response Style]])</f>
        <v>0</v>
      </c>
      <c r="AY166" t="b">
        <f>OR(Table67[[#This Row],[Delete? (Stage 1)]],Table67[[#This Row],[Delete? (Stage 2)]])</f>
        <v>0</v>
      </c>
      <c r="AZ166" t="s">
        <v>81</v>
      </c>
    </row>
    <row r="167" spans="1:52">
      <c r="A167">
        <f t="shared" si="11"/>
        <v>166</v>
      </c>
      <c r="B167" s="3">
        <v>46035.678981481498</v>
      </c>
      <c r="C167" s="3">
        <v>46035.6827430556</v>
      </c>
      <c r="D167" t="s">
        <v>53</v>
      </c>
      <c r="G167" t="s">
        <v>54</v>
      </c>
      <c r="H167" t="s">
        <v>63</v>
      </c>
      <c r="I167" t="s">
        <v>56</v>
      </c>
      <c r="J167" t="s">
        <v>60</v>
      </c>
      <c r="K167" t="s">
        <v>62</v>
      </c>
      <c r="L167" t="s">
        <v>58</v>
      </c>
      <c r="M167" t="s">
        <v>61</v>
      </c>
      <c r="N167">
        <v>2</v>
      </c>
      <c r="O167">
        <v>2</v>
      </c>
      <c r="P167">
        <v>3</v>
      </c>
      <c r="Q167">
        <v>2</v>
      </c>
      <c r="R167">
        <v>2</v>
      </c>
      <c r="S167">
        <v>2</v>
      </c>
      <c r="T167">
        <v>2</v>
      </c>
      <c r="U167">
        <v>2</v>
      </c>
      <c r="V167">
        <v>4</v>
      </c>
      <c r="W167">
        <v>4</v>
      </c>
      <c r="X167">
        <v>3</v>
      </c>
      <c r="Y167">
        <v>4</v>
      </c>
      <c r="Z167">
        <v>3</v>
      </c>
      <c r="AA167">
        <v>3</v>
      </c>
      <c r="AB167">
        <v>2</v>
      </c>
      <c r="AC167">
        <v>4</v>
      </c>
      <c r="AD167">
        <v>4</v>
      </c>
      <c r="AE167">
        <v>2</v>
      </c>
      <c r="AF167">
        <v>2</v>
      </c>
      <c r="AG167">
        <v>3</v>
      </c>
      <c r="AH167">
        <v>4</v>
      </c>
      <c r="AI167">
        <v>2</v>
      </c>
      <c r="AJ167">
        <v>4</v>
      </c>
      <c r="AK167" t="b">
        <f>Table67[[#This Row],[What is your age?]]&lt;&gt;"18 - 25"</f>
        <v>0</v>
      </c>
      <c r="AL167" t="b">
        <f t="shared" si="8"/>
        <v>0</v>
      </c>
      <c r="AM167" t="b">
        <f t="shared" si="9"/>
        <v>0</v>
      </c>
      <c r="AN167" t="b">
        <f t="shared" si="10"/>
        <v>1</v>
      </c>
      <c r="AO167" t="b">
        <f>OR(Table67[[#This Row],[Ineligible respondents]:[Inconsistent response on opposite question (3)]])</f>
        <v>1</v>
      </c>
      <c r="AP16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67">
        <f>Table67[[#This Row],[Extreme Response]]/21</f>
        <v>0</v>
      </c>
      <c r="AR167">
        <f>_xlfn.PERCENTILE.INC(Table67[Extrem Response Ratio (ERS)],0.9)</f>
        <v>0.61904761904761907</v>
      </c>
      <c r="AS167" t="b">
        <f>Table67[[#This Row],[Extrem Response Ratio (ERS)]]&gt;=Table67[[#This Row],[Threshold of ERS]]</f>
        <v>0</v>
      </c>
      <c r="AT167">
        <f>COUNTIF(Table67[[#This Row],[The mechanism of digital assets is difficult to understand, which discourages me from exploring it (E.g, Tokenization, Blockchain)]:[If I want to try different ways to invest, I will explore digital assets.]], 3)</f>
        <v>5</v>
      </c>
      <c r="AU167">
        <f>Table67[[#This Row],[Midpoint]]/21</f>
        <v>0.23809523809523808</v>
      </c>
      <c r="AV167">
        <f>_xlfn.PERCENTILE.INC(Table67[Midpoint ratio],0.9)</f>
        <v>0.5714285714285714</v>
      </c>
      <c r="AW167" t="b">
        <f>Table67[[#This Row],[Midpoint ratio]]&gt;=Table67[[#This Row],[Threshold of Midpoint ratio]]</f>
        <v>0</v>
      </c>
      <c r="AX167" t="b">
        <f>OR(Table67[[#This Row],[Extreme Response Style]],Table67[[#This Row],[Mid-point Response Style]])</f>
        <v>0</v>
      </c>
      <c r="AY167" t="b">
        <f>OR(Table67[[#This Row],[Delete? (Stage 1)]],Table67[[#This Row],[Delete? (Stage 2)]])</f>
        <v>1</v>
      </c>
      <c r="AZ167" t="s">
        <v>81</v>
      </c>
    </row>
    <row r="168" spans="1:52">
      <c r="A168">
        <f t="shared" si="11"/>
        <v>167</v>
      </c>
      <c r="B168" s="3">
        <v>46035.6797800926</v>
      </c>
      <c r="C168" s="3">
        <v>46035.683182870402</v>
      </c>
      <c r="D168" t="s">
        <v>53</v>
      </c>
      <c r="G168" t="s">
        <v>54</v>
      </c>
      <c r="H168" t="s">
        <v>63</v>
      </c>
      <c r="I168" t="s">
        <v>56</v>
      </c>
      <c r="J168" t="s">
        <v>57</v>
      </c>
      <c r="K168" t="s">
        <v>57</v>
      </c>
      <c r="L168" t="s">
        <v>58</v>
      </c>
      <c r="M168" t="s">
        <v>58</v>
      </c>
      <c r="N168">
        <v>3</v>
      </c>
      <c r="O168">
        <v>3</v>
      </c>
      <c r="P168">
        <v>2</v>
      </c>
      <c r="Q168">
        <v>3</v>
      </c>
      <c r="R168">
        <v>2</v>
      </c>
      <c r="S168">
        <v>2</v>
      </c>
      <c r="T168">
        <v>2</v>
      </c>
      <c r="U168">
        <v>3</v>
      </c>
      <c r="V168">
        <v>4</v>
      </c>
      <c r="W168">
        <v>4</v>
      </c>
      <c r="X168">
        <v>4</v>
      </c>
      <c r="Y168">
        <v>3</v>
      </c>
      <c r="Z168">
        <v>3</v>
      </c>
      <c r="AA168">
        <v>4</v>
      </c>
      <c r="AB168">
        <v>3</v>
      </c>
      <c r="AC168">
        <v>3</v>
      </c>
      <c r="AD168">
        <v>3</v>
      </c>
      <c r="AE168">
        <v>3</v>
      </c>
      <c r="AF168">
        <v>2</v>
      </c>
      <c r="AG168">
        <v>3</v>
      </c>
      <c r="AH168">
        <v>2</v>
      </c>
      <c r="AI168">
        <v>4</v>
      </c>
      <c r="AJ168">
        <v>4</v>
      </c>
      <c r="AK168" t="b">
        <f>Table67[[#This Row],[What is your age?]]&lt;&gt;"18 - 25"</f>
        <v>0</v>
      </c>
      <c r="AL168" t="b">
        <f t="shared" si="8"/>
        <v>0</v>
      </c>
      <c r="AM168" t="b">
        <f t="shared" si="9"/>
        <v>0</v>
      </c>
      <c r="AN168" t="b">
        <f t="shared" si="10"/>
        <v>1</v>
      </c>
      <c r="AO168" t="b">
        <f>OR(Table67[[#This Row],[Ineligible respondents]:[Inconsistent response on opposite question (3)]])</f>
        <v>1</v>
      </c>
      <c r="AP16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68">
        <f>Table67[[#This Row],[Extreme Response]]/21</f>
        <v>0</v>
      </c>
      <c r="AR168">
        <f>_xlfn.PERCENTILE.INC(Table67[Extrem Response Ratio (ERS)],0.9)</f>
        <v>0.61904761904761907</v>
      </c>
      <c r="AS168" t="b">
        <f>Table67[[#This Row],[Extrem Response Ratio (ERS)]]&gt;=Table67[[#This Row],[Threshold of ERS]]</f>
        <v>0</v>
      </c>
      <c r="AT168">
        <f>COUNTIF(Table67[[#This Row],[The mechanism of digital assets is difficult to understand, which discourages me from exploring it (E.g, Tokenization, Blockchain)]:[If I want to try different ways to invest, I will explore digital assets.]], 3)</f>
        <v>11</v>
      </c>
      <c r="AU168">
        <f>Table67[[#This Row],[Midpoint]]/21</f>
        <v>0.52380952380952384</v>
      </c>
      <c r="AV168">
        <f>_xlfn.PERCENTILE.INC(Table67[Midpoint ratio],0.9)</f>
        <v>0.5714285714285714</v>
      </c>
      <c r="AW168" t="b">
        <f>Table67[[#This Row],[Midpoint ratio]]&gt;=Table67[[#This Row],[Threshold of Midpoint ratio]]</f>
        <v>0</v>
      </c>
      <c r="AX168" t="b">
        <f>OR(Table67[[#This Row],[Extreme Response Style]],Table67[[#This Row],[Mid-point Response Style]])</f>
        <v>0</v>
      </c>
      <c r="AY168" t="b">
        <f>OR(Table67[[#This Row],[Delete? (Stage 1)]],Table67[[#This Row],[Delete? (Stage 2)]])</f>
        <v>1</v>
      </c>
      <c r="AZ168" t="s">
        <v>81</v>
      </c>
    </row>
    <row r="169" spans="1:52">
      <c r="A169">
        <f t="shared" si="11"/>
        <v>168</v>
      </c>
      <c r="B169" s="3">
        <v>46035.682604166701</v>
      </c>
      <c r="C169" s="3">
        <v>46035.685393518499</v>
      </c>
      <c r="D169" t="s">
        <v>53</v>
      </c>
      <c r="G169" t="s">
        <v>74</v>
      </c>
      <c r="H169" t="s">
        <v>63</v>
      </c>
      <c r="I169" t="s">
        <v>82</v>
      </c>
      <c r="J169" t="s">
        <v>57</v>
      </c>
      <c r="K169" t="s">
        <v>65</v>
      </c>
      <c r="L169" t="s">
        <v>61</v>
      </c>
      <c r="M169" t="s">
        <v>61</v>
      </c>
      <c r="N169">
        <v>2</v>
      </c>
      <c r="O169">
        <v>2</v>
      </c>
      <c r="P169">
        <v>2</v>
      </c>
      <c r="Q169">
        <v>3</v>
      </c>
      <c r="R169">
        <v>3</v>
      </c>
      <c r="S169">
        <v>3</v>
      </c>
      <c r="T169">
        <v>3</v>
      </c>
      <c r="U169">
        <v>3</v>
      </c>
      <c r="V169">
        <v>3</v>
      </c>
      <c r="W169">
        <v>3</v>
      </c>
      <c r="X169">
        <v>3</v>
      </c>
      <c r="Y169">
        <v>3</v>
      </c>
      <c r="Z169">
        <v>3</v>
      </c>
      <c r="AA169">
        <v>4</v>
      </c>
      <c r="AB169">
        <v>3</v>
      </c>
      <c r="AC169">
        <v>4</v>
      </c>
      <c r="AD169">
        <v>3</v>
      </c>
      <c r="AE169">
        <v>1</v>
      </c>
      <c r="AF169">
        <v>3</v>
      </c>
      <c r="AG169">
        <v>2</v>
      </c>
      <c r="AH169">
        <v>3</v>
      </c>
      <c r="AI169">
        <v>3</v>
      </c>
      <c r="AJ169">
        <v>3</v>
      </c>
      <c r="AK169" t="b">
        <f>Table67[[#This Row],[What is your age?]]&lt;&gt;"18 - 25"</f>
        <v>1</v>
      </c>
      <c r="AL169" t="b">
        <f t="shared" si="8"/>
        <v>0</v>
      </c>
      <c r="AM169" t="b">
        <f t="shared" si="9"/>
        <v>0</v>
      </c>
      <c r="AN169" t="b">
        <f t="shared" si="10"/>
        <v>1</v>
      </c>
      <c r="AO169" t="b">
        <f>OR(Table67[[#This Row],[Ineligible respondents]:[Inconsistent response on opposite question (3)]])</f>
        <v>1</v>
      </c>
      <c r="AP16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69">
        <f>Table67[[#This Row],[Extreme Response]]/21</f>
        <v>4.7619047619047616E-2</v>
      </c>
      <c r="AR169">
        <f>_xlfn.PERCENTILE.INC(Table67[Extrem Response Ratio (ERS)],0.9)</f>
        <v>0.61904761904761907</v>
      </c>
      <c r="AS169" t="b">
        <f>Table67[[#This Row],[Extrem Response Ratio (ERS)]]&gt;=Table67[[#This Row],[Threshold of ERS]]</f>
        <v>0</v>
      </c>
      <c r="AT169">
        <f>COUNTIF(Table67[[#This Row],[The mechanism of digital assets is difficult to understand, which discourages me from exploring it (E.g, Tokenization, Blockchain)]:[If I want to try different ways to invest, I will explore digital assets.]], 3)</f>
        <v>14</v>
      </c>
      <c r="AU169">
        <f>Table67[[#This Row],[Midpoint]]/21</f>
        <v>0.66666666666666663</v>
      </c>
      <c r="AV169">
        <f>_xlfn.PERCENTILE.INC(Table67[Midpoint ratio],0.9)</f>
        <v>0.5714285714285714</v>
      </c>
      <c r="AW169" t="b">
        <f>Table67[[#This Row],[Midpoint ratio]]&gt;=Table67[[#This Row],[Threshold of Midpoint ratio]]</f>
        <v>1</v>
      </c>
      <c r="AX169" t="b">
        <f>OR(Table67[[#This Row],[Extreme Response Style]],Table67[[#This Row],[Mid-point Response Style]])</f>
        <v>1</v>
      </c>
      <c r="AY169" t="b">
        <f>OR(Table67[[#This Row],[Delete? (Stage 1)]],Table67[[#This Row],[Delete? (Stage 2)]])</f>
        <v>1</v>
      </c>
      <c r="AZ169" t="s">
        <v>81</v>
      </c>
    </row>
    <row r="170" spans="1:52">
      <c r="A170">
        <f t="shared" si="11"/>
        <v>169</v>
      </c>
      <c r="B170" s="3">
        <v>46035.683981481503</v>
      </c>
      <c r="C170" s="3">
        <v>46035.743472222202</v>
      </c>
      <c r="D170" t="s">
        <v>53</v>
      </c>
      <c r="G170" t="s">
        <v>77</v>
      </c>
      <c r="H170" t="s">
        <v>55</v>
      </c>
      <c r="I170" t="s">
        <v>56</v>
      </c>
      <c r="J170" t="s">
        <v>66</v>
      </c>
      <c r="K170" t="s">
        <v>57</v>
      </c>
      <c r="L170" t="s">
        <v>61</v>
      </c>
      <c r="M170" t="s">
        <v>61</v>
      </c>
      <c r="N170">
        <v>3</v>
      </c>
      <c r="O170">
        <v>3</v>
      </c>
      <c r="P170">
        <v>3</v>
      </c>
      <c r="Q170">
        <v>3</v>
      </c>
      <c r="R170">
        <v>3</v>
      </c>
      <c r="S170">
        <v>3</v>
      </c>
      <c r="T170">
        <v>3</v>
      </c>
      <c r="U170">
        <v>3</v>
      </c>
      <c r="V170">
        <v>3</v>
      </c>
      <c r="W170">
        <v>3</v>
      </c>
      <c r="X170">
        <v>3</v>
      </c>
      <c r="Y170">
        <v>3</v>
      </c>
      <c r="Z170">
        <v>3</v>
      </c>
      <c r="AA170">
        <v>3</v>
      </c>
      <c r="AB170">
        <v>3</v>
      </c>
      <c r="AC170">
        <v>3</v>
      </c>
      <c r="AD170">
        <v>4</v>
      </c>
      <c r="AE170">
        <v>3</v>
      </c>
      <c r="AF170">
        <v>2</v>
      </c>
      <c r="AG170">
        <v>4</v>
      </c>
      <c r="AH170">
        <v>4</v>
      </c>
      <c r="AI170">
        <v>2</v>
      </c>
      <c r="AJ170">
        <v>4</v>
      </c>
      <c r="AK170" t="b">
        <f>Table67[[#This Row],[What is your age?]]&lt;&gt;"18 - 25"</f>
        <v>1</v>
      </c>
      <c r="AL170" t="b">
        <f t="shared" si="8"/>
        <v>0</v>
      </c>
      <c r="AM170" t="b">
        <f t="shared" si="9"/>
        <v>1</v>
      </c>
      <c r="AN170" t="b">
        <f t="shared" si="10"/>
        <v>0</v>
      </c>
      <c r="AO170" t="b">
        <f>OR(Table67[[#This Row],[Ineligible respondents]:[Inconsistent response on opposite question (3)]])</f>
        <v>1</v>
      </c>
      <c r="AP17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70">
        <f>Table67[[#This Row],[Extreme Response]]/21</f>
        <v>0</v>
      </c>
      <c r="AR170">
        <f>_xlfn.PERCENTILE.INC(Table67[Extrem Response Ratio (ERS)],0.9)</f>
        <v>0.61904761904761907</v>
      </c>
      <c r="AS170" t="b">
        <f>Table67[[#This Row],[Extrem Response Ratio (ERS)]]&gt;=Table67[[#This Row],[Threshold of ERS]]</f>
        <v>0</v>
      </c>
      <c r="AT170">
        <f>COUNTIF(Table67[[#This Row],[The mechanism of digital assets is difficult to understand, which discourages me from exploring it (E.g, Tokenization, Blockchain)]:[If I want to try different ways to invest, I will explore digital assets.]], 3)</f>
        <v>17</v>
      </c>
      <c r="AU170">
        <f>Table67[[#This Row],[Midpoint]]/21</f>
        <v>0.80952380952380953</v>
      </c>
      <c r="AV170">
        <f>_xlfn.PERCENTILE.INC(Table67[Midpoint ratio],0.9)</f>
        <v>0.5714285714285714</v>
      </c>
      <c r="AW170" t="b">
        <f>Table67[[#This Row],[Midpoint ratio]]&gt;=Table67[[#This Row],[Threshold of Midpoint ratio]]</f>
        <v>1</v>
      </c>
      <c r="AX170" t="b">
        <f>OR(Table67[[#This Row],[Extreme Response Style]],Table67[[#This Row],[Mid-point Response Style]])</f>
        <v>1</v>
      </c>
      <c r="AY170" t="b">
        <f>OR(Table67[[#This Row],[Delete? (Stage 1)]],Table67[[#This Row],[Delete? (Stage 2)]])</f>
        <v>1</v>
      </c>
      <c r="AZ170" t="s">
        <v>81</v>
      </c>
    </row>
    <row r="171" spans="1:52">
      <c r="A171">
        <f t="shared" si="11"/>
        <v>170</v>
      </c>
      <c r="B171" s="3">
        <v>46035.688287037003</v>
      </c>
      <c r="C171" s="3">
        <v>46035.688958333303</v>
      </c>
      <c r="D171" t="s">
        <v>53</v>
      </c>
      <c r="G171" t="s">
        <v>54</v>
      </c>
      <c r="H171" t="s">
        <v>55</v>
      </c>
      <c r="I171" t="s">
        <v>56</v>
      </c>
      <c r="J171" t="s">
        <v>64</v>
      </c>
      <c r="K171" t="s">
        <v>66</v>
      </c>
      <c r="L171" t="s">
        <v>61</v>
      </c>
      <c r="M171" t="s">
        <v>61</v>
      </c>
      <c r="N171">
        <v>3</v>
      </c>
      <c r="O171">
        <v>3</v>
      </c>
      <c r="P171">
        <v>3</v>
      </c>
      <c r="Q171">
        <v>3</v>
      </c>
      <c r="R171">
        <v>3</v>
      </c>
      <c r="S171">
        <v>3</v>
      </c>
      <c r="T171">
        <v>3</v>
      </c>
      <c r="U171">
        <v>3</v>
      </c>
      <c r="V171">
        <v>3</v>
      </c>
      <c r="W171">
        <v>3</v>
      </c>
      <c r="X171">
        <v>3</v>
      </c>
      <c r="Y171">
        <v>3</v>
      </c>
      <c r="Z171">
        <v>3</v>
      </c>
      <c r="AA171">
        <v>3</v>
      </c>
      <c r="AB171">
        <v>3</v>
      </c>
      <c r="AC171">
        <v>3</v>
      </c>
      <c r="AD171">
        <v>3</v>
      </c>
      <c r="AE171">
        <v>3</v>
      </c>
      <c r="AF171">
        <v>3</v>
      </c>
      <c r="AG171">
        <v>3</v>
      </c>
      <c r="AH171">
        <v>4</v>
      </c>
      <c r="AI171">
        <v>2</v>
      </c>
      <c r="AJ171">
        <v>3</v>
      </c>
      <c r="AK171" t="b">
        <f>Table67[[#This Row],[What is your age?]]&lt;&gt;"18 - 25"</f>
        <v>0</v>
      </c>
      <c r="AL171" t="b">
        <f t="shared" si="8"/>
        <v>0</v>
      </c>
      <c r="AM171" t="b">
        <f t="shared" si="9"/>
        <v>0</v>
      </c>
      <c r="AN171" t="b">
        <f t="shared" si="10"/>
        <v>1</v>
      </c>
      <c r="AO171" t="b">
        <f>OR(Table67[[#This Row],[Ineligible respondents]:[Inconsistent response on opposite question (3)]])</f>
        <v>1</v>
      </c>
      <c r="AP17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71">
        <f>Table67[[#This Row],[Extreme Response]]/21</f>
        <v>0</v>
      </c>
      <c r="AR171">
        <f>_xlfn.PERCENTILE.INC(Table67[Extrem Response Ratio (ERS)],0.9)</f>
        <v>0.61904761904761907</v>
      </c>
      <c r="AS171" t="b">
        <f>Table67[[#This Row],[Extrem Response Ratio (ERS)]]&gt;=Table67[[#This Row],[Threshold of ERS]]</f>
        <v>0</v>
      </c>
      <c r="AT171">
        <f>COUNTIF(Table67[[#This Row],[The mechanism of digital assets is difficult to understand, which discourages me from exploring it (E.g, Tokenization, Blockchain)]:[If I want to try different ways to invest, I will explore digital assets.]], 3)</f>
        <v>20</v>
      </c>
      <c r="AU171">
        <f>Table67[[#This Row],[Midpoint]]/21</f>
        <v>0.95238095238095233</v>
      </c>
      <c r="AV171">
        <f>_xlfn.PERCENTILE.INC(Table67[Midpoint ratio],0.9)</f>
        <v>0.5714285714285714</v>
      </c>
      <c r="AW171" t="b">
        <f>Table67[[#This Row],[Midpoint ratio]]&gt;=Table67[[#This Row],[Threshold of Midpoint ratio]]</f>
        <v>1</v>
      </c>
      <c r="AX171" t="b">
        <f>OR(Table67[[#This Row],[Extreme Response Style]],Table67[[#This Row],[Mid-point Response Style]])</f>
        <v>1</v>
      </c>
      <c r="AY171" t="b">
        <f>OR(Table67[[#This Row],[Delete? (Stage 1)]],Table67[[#This Row],[Delete? (Stage 2)]])</f>
        <v>1</v>
      </c>
      <c r="AZ171" t="s">
        <v>81</v>
      </c>
    </row>
    <row r="172" spans="1:52">
      <c r="A172">
        <f t="shared" si="11"/>
        <v>171</v>
      </c>
      <c r="B172" s="3">
        <v>46035.700995370396</v>
      </c>
      <c r="C172" s="3">
        <v>46035.703692129602</v>
      </c>
      <c r="D172" t="s">
        <v>53</v>
      </c>
      <c r="G172" t="s">
        <v>54</v>
      </c>
      <c r="H172" t="s">
        <v>63</v>
      </c>
      <c r="I172" t="s">
        <v>56</v>
      </c>
      <c r="J172" t="s">
        <v>60</v>
      </c>
      <c r="K172" t="s">
        <v>57</v>
      </c>
      <c r="L172" t="s">
        <v>58</v>
      </c>
      <c r="M172" t="s">
        <v>58</v>
      </c>
      <c r="N172">
        <v>4</v>
      </c>
      <c r="O172">
        <v>2</v>
      </c>
      <c r="P172">
        <v>4</v>
      </c>
      <c r="Q172">
        <v>4</v>
      </c>
      <c r="R172">
        <v>4</v>
      </c>
      <c r="S172">
        <v>4</v>
      </c>
      <c r="T172">
        <v>4</v>
      </c>
      <c r="U172">
        <v>5</v>
      </c>
      <c r="V172">
        <v>4</v>
      </c>
      <c r="W172">
        <v>4</v>
      </c>
      <c r="X172">
        <v>4</v>
      </c>
      <c r="Y172">
        <v>4</v>
      </c>
      <c r="Z172">
        <v>5</v>
      </c>
      <c r="AA172">
        <v>4</v>
      </c>
      <c r="AB172">
        <v>3</v>
      </c>
      <c r="AC172">
        <v>3</v>
      </c>
      <c r="AD172">
        <v>3</v>
      </c>
      <c r="AE172">
        <v>4</v>
      </c>
      <c r="AF172">
        <v>2</v>
      </c>
      <c r="AG172">
        <v>2</v>
      </c>
      <c r="AH172">
        <v>4</v>
      </c>
      <c r="AI172">
        <v>2</v>
      </c>
      <c r="AJ172">
        <v>4</v>
      </c>
      <c r="AK172" t="b">
        <f>Table67[[#This Row],[What is your age?]]&lt;&gt;"18 - 25"</f>
        <v>0</v>
      </c>
      <c r="AL172" t="b">
        <f t="shared" si="8"/>
        <v>0</v>
      </c>
      <c r="AM172" t="b">
        <f t="shared" si="9"/>
        <v>0</v>
      </c>
      <c r="AN172" t="b">
        <f t="shared" si="10"/>
        <v>0</v>
      </c>
      <c r="AO172" t="b">
        <f>OR(Table67[[#This Row],[Ineligible respondents]:[Inconsistent response on opposite question (3)]])</f>
        <v>0</v>
      </c>
      <c r="AP17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72">
        <f>Table67[[#This Row],[Extreme Response]]/21</f>
        <v>9.5238095238095233E-2</v>
      </c>
      <c r="AR172">
        <f>_xlfn.PERCENTILE.INC(Table67[Extrem Response Ratio (ERS)],0.9)</f>
        <v>0.61904761904761907</v>
      </c>
      <c r="AS172" t="b">
        <f>Table67[[#This Row],[Extrem Response Ratio (ERS)]]&gt;=Table67[[#This Row],[Threshold of ERS]]</f>
        <v>0</v>
      </c>
      <c r="AT172">
        <f>COUNTIF(Table67[[#This Row],[The mechanism of digital assets is difficult to understand, which discourages me from exploring it (E.g, Tokenization, Blockchain)]:[If I want to try different ways to invest, I will explore digital assets.]], 3)</f>
        <v>3</v>
      </c>
      <c r="AU172">
        <f>Table67[[#This Row],[Midpoint]]/21</f>
        <v>0.14285714285714285</v>
      </c>
      <c r="AV172">
        <f>_xlfn.PERCENTILE.INC(Table67[Midpoint ratio],0.9)</f>
        <v>0.5714285714285714</v>
      </c>
      <c r="AW172" t="b">
        <f>Table67[[#This Row],[Midpoint ratio]]&gt;=Table67[[#This Row],[Threshold of Midpoint ratio]]</f>
        <v>0</v>
      </c>
      <c r="AX172" t="b">
        <f>OR(Table67[[#This Row],[Extreme Response Style]],Table67[[#This Row],[Mid-point Response Style]])</f>
        <v>0</v>
      </c>
      <c r="AY172" t="b">
        <f>OR(Table67[[#This Row],[Delete? (Stage 1)]],Table67[[#This Row],[Delete? (Stage 2)]])</f>
        <v>0</v>
      </c>
      <c r="AZ172" t="s">
        <v>81</v>
      </c>
    </row>
    <row r="173" spans="1:52">
      <c r="A173">
        <f t="shared" si="11"/>
        <v>172</v>
      </c>
      <c r="B173" s="3">
        <v>46035.7011921296</v>
      </c>
      <c r="C173" s="3">
        <v>46035.704895833303</v>
      </c>
      <c r="D173" t="s">
        <v>53</v>
      </c>
      <c r="G173" t="s">
        <v>54</v>
      </c>
      <c r="H173" t="s">
        <v>55</v>
      </c>
      <c r="I173" t="s">
        <v>56</v>
      </c>
      <c r="J173" t="s">
        <v>57</v>
      </c>
      <c r="K173" t="s">
        <v>57</v>
      </c>
      <c r="L173" t="s">
        <v>58</v>
      </c>
      <c r="M173" t="s">
        <v>61</v>
      </c>
      <c r="N173">
        <v>3</v>
      </c>
      <c r="O173">
        <v>2</v>
      </c>
      <c r="P173">
        <v>5</v>
      </c>
      <c r="Q173">
        <v>2</v>
      </c>
      <c r="R173">
        <v>2</v>
      </c>
      <c r="S173">
        <v>1</v>
      </c>
      <c r="T173">
        <v>2</v>
      </c>
      <c r="U173">
        <v>3</v>
      </c>
      <c r="V173">
        <v>5</v>
      </c>
      <c r="W173">
        <v>4</v>
      </c>
      <c r="X173">
        <v>3</v>
      </c>
      <c r="Y173">
        <v>1</v>
      </c>
      <c r="Z173">
        <v>3</v>
      </c>
      <c r="AA173">
        <v>3</v>
      </c>
      <c r="AB173">
        <v>2</v>
      </c>
      <c r="AC173">
        <v>2</v>
      </c>
      <c r="AD173">
        <v>3</v>
      </c>
      <c r="AE173">
        <v>1</v>
      </c>
      <c r="AF173">
        <v>4</v>
      </c>
      <c r="AG173">
        <v>2</v>
      </c>
      <c r="AH173">
        <v>3</v>
      </c>
      <c r="AI173">
        <v>3</v>
      </c>
      <c r="AJ173">
        <v>2</v>
      </c>
      <c r="AK173" t="b">
        <f>Table67[[#This Row],[What is your age?]]&lt;&gt;"18 - 25"</f>
        <v>0</v>
      </c>
      <c r="AL173" t="b">
        <f t="shared" si="8"/>
        <v>0</v>
      </c>
      <c r="AM173" t="b">
        <f t="shared" si="9"/>
        <v>0</v>
      </c>
      <c r="AN173" t="b">
        <f t="shared" si="10"/>
        <v>1</v>
      </c>
      <c r="AO173" t="b">
        <f>OR(Table67[[#This Row],[Ineligible respondents]:[Inconsistent response on opposite question (3)]])</f>
        <v>1</v>
      </c>
      <c r="AP17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73">
        <f>Table67[[#This Row],[Extreme Response]]/21</f>
        <v>0.23809523809523808</v>
      </c>
      <c r="AR173">
        <f>_xlfn.PERCENTILE.INC(Table67[Extrem Response Ratio (ERS)],0.9)</f>
        <v>0.61904761904761907</v>
      </c>
      <c r="AS173" t="b">
        <f>Table67[[#This Row],[Extrem Response Ratio (ERS)]]&gt;=Table67[[#This Row],[Threshold of ERS]]</f>
        <v>0</v>
      </c>
      <c r="AT173">
        <f>COUNTIF(Table67[[#This Row],[The mechanism of digital assets is difficult to understand, which discourages me from exploring it (E.g, Tokenization, Blockchain)]:[If I want to try different ways to invest, I will explore digital assets.]], 3)</f>
        <v>7</v>
      </c>
      <c r="AU173">
        <f>Table67[[#This Row],[Midpoint]]/21</f>
        <v>0.33333333333333331</v>
      </c>
      <c r="AV173">
        <f>_xlfn.PERCENTILE.INC(Table67[Midpoint ratio],0.9)</f>
        <v>0.5714285714285714</v>
      </c>
      <c r="AW173" t="b">
        <f>Table67[[#This Row],[Midpoint ratio]]&gt;=Table67[[#This Row],[Threshold of Midpoint ratio]]</f>
        <v>0</v>
      </c>
      <c r="AX173" t="b">
        <f>OR(Table67[[#This Row],[Extreme Response Style]],Table67[[#This Row],[Mid-point Response Style]])</f>
        <v>0</v>
      </c>
      <c r="AY173" t="b">
        <f>OR(Table67[[#This Row],[Delete? (Stage 1)]],Table67[[#This Row],[Delete? (Stage 2)]])</f>
        <v>1</v>
      </c>
      <c r="AZ173" t="s">
        <v>81</v>
      </c>
    </row>
    <row r="174" spans="1:52">
      <c r="A174">
        <f t="shared" si="11"/>
        <v>173</v>
      </c>
      <c r="B174" s="3">
        <v>46035.701273148101</v>
      </c>
      <c r="C174" s="3">
        <v>46035.702523148102</v>
      </c>
      <c r="D174" t="s">
        <v>53</v>
      </c>
      <c r="G174" t="s">
        <v>73</v>
      </c>
      <c r="H174" t="s">
        <v>63</v>
      </c>
      <c r="I174" t="s">
        <v>56</v>
      </c>
      <c r="J174" t="s">
        <v>62</v>
      </c>
      <c r="K174" t="s">
        <v>57</v>
      </c>
      <c r="L174" t="s">
        <v>58</v>
      </c>
      <c r="M174" t="s">
        <v>58</v>
      </c>
      <c r="N174">
        <v>3</v>
      </c>
      <c r="O174">
        <v>3</v>
      </c>
      <c r="P174">
        <v>3</v>
      </c>
      <c r="Q174">
        <v>3</v>
      </c>
      <c r="R174">
        <v>3</v>
      </c>
      <c r="S174">
        <v>3</v>
      </c>
      <c r="T174">
        <v>3</v>
      </c>
      <c r="U174">
        <v>3</v>
      </c>
      <c r="V174">
        <v>3</v>
      </c>
      <c r="W174">
        <v>2</v>
      </c>
      <c r="X174">
        <v>4</v>
      </c>
      <c r="Y174">
        <v>2</v>
      </c>
      <c r="Z174">
        <v>2</v>
      </c>
      <c r="AA174">
        <v>3</v>
      </c>
      <c r="AB174">
        <v>3</v>
      </c>
      <c r="AC174">
        <v>4</v>
      </c>
      <c r="AD174">
        <v>3</v>
      </c>
      <c r="AE174">
        <v>3</v>
      </c>
      <c r="AF174">
        <v>2</v>
      </c>
      <c r="AG174">
        <v>4</v>
      </c>
      <c r="AH174">
        <v>2</v>
      </c>
      <c r="AI174">
        <v>4</v>
      </c>
      <c r="AJ174">
        <v>4</v>
      </c>
      <c r="AK174" t="b">
        <f>Table67[[#This Row],[What is your age?]]&lt;&gt;"18 - 25"</f>
        <v>1</v>
      </c>
      <c r="AL174" t="b">
        <f t="shared" si="8"/>
        <v>0</v>
      </c>
      <c r="AM174" t="b">
        <f t="shared" si="9"/>
        <v>0</v>
      </c>
      <c r="AN174" t="b">
        <f t="shared" si="10"/>
        <v>0</v>
      </c>
      <c r="AO174" t="b">
        <f>OR(Table67[[#This Row],[Ineligible respondents]:[Inconsistent response on opposite question (3)]])</f>
        <v>1</v>
      </c>
      <c r="AP17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74">
        <f>Table67[[#This Row],[Extreme Response]]/21</f>
        <v>0</v>
      </c>
      <c r="AR174">
        <f>_xlfn.PERCENTILE.INC(Table67[Extrem Response Ratio (ERS)],0.9)</f>
        <v>0.61904761904761907</v>
      </c>
      <c r="AS174" t="b">
        <f>Table67[[#This Row],[Extrem Response Ratio (ERS)]]&gt;=Table67[[#This Row],[Threshold of ERS]]</f>
        <v>0</v>
      </c>
      <c r="AT174">
        <f>COUNTIF(Table67[[#This Row],[The mechanism of digital assets is difficult to understand, which discourages me from exploring it (E.g, Tokenization, Blockchain)]:[If I want to try different ways to invest, I will explore digital assets.]], 3)</f>
        <v>13</v>
      </c>
      <c r="AU174">
        <f>Table67[[#This Row],[Midpoint]]/21</f>
        <v>0.61904761904761907</v>
      </c>
      <c r="AV174">
        <f>_xlfn.PERCENTILE.INC(Table67[Midpoint ratio],0.9)</f>
        <v>0.5714285714285714</v>
      </c>
      <c r="AW174" t="b">
        <f>Table67[[#This Row],[Midpoint ratio]]&gt;=Table67[[#This Row],[Threshold of Midpoint ratio]]</f>
        <v>1</v>
      </c>
      <c r="AX174" t="b">
        <f>OR(Table67[[#This Row],[Extreme Response Style]],Table67[[#This Row],[Mid-point Response Style]])</f>
        <v>1</v>
      </c>
      <c r="AY174" t="b">
        <f>OR(Table67[[#This Row],[Delete? (Stage 1)]],Table67[[#This Row],[Delete? (Stage 2)]])</f>
        <v>1</v>
      </c>
      <c r="AZ174" t="s">
        <v>81</v>
      </c>
    </row>
    <row r="175" spans="1:52">
      <c r="A175">
        <f t="shared" si="11"/>
        <v>174</v>
      </c>
      <c r="B175" s="3">
        <v>46035.701759259297</v>
      </c>
      <c r="C175" s="3">
        <v>46035.704131944403</v>
      </c>
      <c r="D175" t="s">
        <v>53</v>
      </c>
      <c r="G175" t="s">
        <v>74</v>
      </c>
      <c r="H175" t="s">
        <v>63</v>
      </c>
      <c r="I175" t="s">
        <v>75</v>
      </c>
      <c r="J175" t="s">
        <v>68</v>
      </c>
      <c r="K175" t="s">
        <v>57</v>
      </c>
      <c r="L175" t="s">
        <v>58</v>
      </c>
      <c r="M175" t="s">
        <v>58</v>
      </c>
      <c r="N175">
        <v>3</v>
      </c>
      <c r="O175">
        <v>3</v>
      </c>
      <c r="P175">
        <v>1</v>
      </c>
      <c r="Q175">
        <v>3</v>
      </c>
      <c r="R175">
        <v>3</v>
      </c>
      <c r="S175">
        <v>4</v>
      </c>
      <c r="T175">
        <v>1</v>
      </c>
      <c r="U175">
        <v>1</v>
      </c>
      <c r="V175">
        <v>4</v>
      </c>
      <c r="W175">
        <v>4</v>
      </c>
      <c r="X175">
        <v>4</v>
      </c>
      <c r="Y175">
        <v>4</v>
      </c>
      <c r="Z175">
        <v>3</v>
      </c>
      <c r="AA175">
        <v>3</v>
      </c>
      <c r="AB175">
        <v>3</v>
      </c>
      <c r="AC175">
        <v>4</v>
      </c>
      <c r="AD175">
        <v>4</v>
      </c>
      <c r="AE175">
        <v>4</v>
      </c>
      <c r="AF175">
        <v>3</v>
      </c>
      <c r="AG175">
        <v>3</v>
      </c>
      <c r="AH175">
        <v>3</v>
      </c>
      <c r="AI175">
        <v>3</v>
      </c>
      <c r="AJ175">
        <v>3</v>
      </c>
      <c r="AK175" t="b">
        <f>Table67[[#This Row],[What is your age?]]&lt;&gt;"18 - 25"</f>
        <v>1</v>
      </c>
      <c r="AL175" t="b">
        <f t="shared" si="8"/>
        <v>0</v>
      </c>
      <c r="AM175" t="b">
        <f t="shared" si="9"/>
        <v>0</v>
      </c>
      <c r="AN175" t="b">
        <f t="shared" si="10"/>
        <v>0</v>
      </c>
      <c r="AO175" t="b">
        <f>OR(Table67[[#This Row],[Ineligible respondents]:[Inconsistent response on opposite question (3)]])</f>
        <v>1</v>
      </c>
      <c r="AP17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75">
        <f>Table67[[#This Row],[Extreme Response]]/21</f>
        <v>0.14285714285714285</v>
      </c>
      <c r="AR175">
        <f>_xlfn.PERCENTILE.INC(Table67[Extrem Response Ratio (ERS)],0.9)</f>
        <v>0.61904761904761907</v>
      </c>
      <c r="AS175" t="b">
        <f>Table67[[#This Row],[Extrem Response Ratio (ERS)]]&gt;=Table67[[#This Row],[Threshold of ERS]]</f>
        <v>0</v>
      </c>
      <c r="AT175">
        <f>COUNTIF(Table67[[#This Row],[The mechanism of digital assets is difficult to understand, which discourages me from exploring it (E.g, Tokenization, Blockchain)]:[If I want to try different ways to invest, I will explore digital assets.]], 3)</f>
        <v>10</v>
      </c>
      <c r="AU175">
        <f>Table67[[#This Row],[Midpoint]]/21</f>
        <v>0.47619047619047616</v>
      </c>
      <c r="AV175">
        <f>_xlfn.PERCENTILE.INC(Table67[Midpoint ratio],0.9)</f>
        <v>0.5714285714285714</v>
      </c>
      <c r="AW175" t="b">
        <f>Table67[[#This Row],[Midpoint ratio]]&gt;=Table67[[#This Row],[Threshold of Midpoint ratio]]</f>
        <v>0</v>
      </c>
      <c r="AX175" t="b">
        <f>OR(Table67[[#This Row],[Extreme Response Style]],Table67[[#This Row],[Mid-point Response Style]])</f>
        <v>0</v>
      </c>
      <c r="AY175" t="b">
        <f>OR(Table67[[#This Row],[Delete? (Stage 1)]],Table67[[#This Row],[Delete? (Stage 2)]])</f>
        <v>1</v>
      </c>
      <c r="AZ175" t="s">
        <v>81</v>
      </c>
    </row>
    <row r="176" spans="1:52">
      <c r="A176">
        <f t="shared" si="11"/>
        <v>175</v>
      </c>
      <c r="B176" s="3">
        <v>46035.701979166697</v>
      </c>
      <c r="C176" s="3">
        <v>46035.703009259298</v>
      </c>
      <c r="D176" t="s">
        <v>53</v>
      </c>
      <c r="G176" t="s">
        <v>54</v>
      </c>
      <c r="H176" t="s">
        <v>63</v>
      </c>
      <c r="I176" t="s">
        <v>56</v>
      </c>
      <c r="J176" t="s">
        <v>62</v>
      </c>
      <c r="K176" t="s">
        <v>62</v>
      </c>
      <c r="L176" t="s">
        <v>58</v>
      </c>
      <c r="M176" t="s">
        <v>58</v>
      </c>
      <c r="N176">
        <v>3</v>
      </c>
      <c r="O176">
        <v>3</v>
      </c>
      <c r="P176">
        <v>3</v>
      </c>
      <c r="Q176">
        <v>3</v>
      </c>
      <c r="R176">
        <v>3</v>
      </c>
      <c r="S176">
        <v>3</v>
      </c>
      <c r="T176">
        <v>3</v>
      </c>
      <c r="U176">
        <v>3</v>
      </c>
      <c r="V176">
        <v>3</v>
      </c>
      <c r="W176">
        <v>3</v>
      </c>
      <c r="X176">
        <v>3</v>
      </c>
      <c r="Y176">
        <v>3</v>
      </c>
      <c r="Z176">
        <v>3</v>
      </c>
      <c r="AA176">
        <v>3</v>
      </c>
      <c r="AB176">
        <v>3</v>
      </c>
      <c r="AC176">
        <v>3</v>
      </c>
      <c r="AD176">
        <v>3</v>
      </c>
      <c r="AE176">
        <v>3</v>
      </c>
      <c r="AF176">
        <v>3</v>
      </c>
      <c r="AG176">
        <v>3</v>
      </c>
      <c r="AH176">
        <v>3</v>
      </c>
      <c r="AI176">
        <v>3</v>
      </c>
      <c r="AJ176">
        <v>3</v>
      </c>
      <c r="AK176" t="b">
        <f>Table67[[#This Row],[What is your age?]]&lt;&gt;"18 - 25"</f>
        <v>0</v>
      </c>
      <c r="AL176" t="b">
        <f t="shared" si="8"/>
        <v>1</v>
      </c>
      <c r="AM176" t="b">
        <f t="shared" si="9"/>
        <v>0</v>
      </c>
      <c r="AN176" t="b">
        <f t="shared" si="10"/>
        <v>0</v>
      </c>
      <c r="AO176" t="b">
        <f>OR(Table67[[#This Row],[Ineligible respondents]:[Inconsistent response on opposite question (3)]])</f>
        <v>1</v>
      </c>
      <c r="AP17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76">
        <f>Table67[[#This Row],[Extreme Response]]/21</f>
        <v>0</v>
      </c>
      <c r="AR176">
        <f>_xlfn.PERCENTILE.INC(Table67[Extrem Response Ratio (ERS)],0.9)</f>
        <v>0.61904761904761907</v>
      </c>
      <c r="AS176" t="b">
        <f>Table67[[#This Row],[Extrem Response Ratio (ERS)]]&gt;=Table67[[#This Row],[Threshold of ERS]]</f>
        <v>0</v>
      </c>
      <c r="AT176">
        <f>COUNTIF(Table67[[#This Row],[The mechanism of digital assets is difficult to understand, which discourages me from exploring it (E.g, Tokenization, Blockchain)]:[If I want to try different ways to invest, I will explore digital assets.]], 3)</f>
        <v>21</v>
      </c>
      <c r="AU176">
        <f>Table67[[#This Row],[Midpoint]]/21</f>
        <v>1</v>
      </c>
      <c r="AV176">
        <f>_xlfn.PERCENTILE.INC(Table67[Midpoint ratio],0.9)</f>
        <v>0.5714285714285714</v>
      </c>
      <c r="AW176" t="b">
        <f>Table67[[#This Row],[Midpoint ratio]]&gt;=Table67[[#This Row],[Threshold of Midpoint ratio]]</f>
        <v>1</v>
      </c>
      <c r="AX176" t="b">
        <f>OR(Table67[[#This Row],[Extreme Response Style]],Table67[[#This Row],[Mid-point Response Style]])</f>
        <v>1</v>
      </c>
      <c r="AY176" t="b">
        <f>OR(Table67[[#This Row],[Delete? (Stage 1)]],Table67[[#This Row],[Delete? (Stage 2)]])</f>
        <v>1</v>
      </c>
      <c r="AZ176" t="s">
        <v>81</v>
      </c>
    </row>
    <row r="177" spans="1:52">
      <c r="A177">
        <f t="shared" si="11"/>
        <v>176</v>
      </c>
      <c r="B177" s="3">
        <v>46035.7023148148</v>
      </c>
      <c r="C177" s="3">
        <v>46035.703726851803</v>
      </c>
      <c r="D177" t="s">
        <v>53</v>
      </c>
      <c r="G177" t="s">
        <v>74</v>
      </c>
      <c r="H177" t="s">
        <v>55</v>
      </c>
      <c r="I177" t="s">
        <v>75</v>
      </c>
      <c r="J177" t="s">
        <v>68</v>
      </c>
      <c r="K177" t="s">
        <v>72</v>
      </c>
      <c r="L177" t="s">
        <v>58</v>
      </c>
      <c r="M177" t="s">
        <v>58</v>
      </c>
      <c r="N177">
        <v>2</v>
      </c>
      <c r="O177">
        <v>3</v>
      </c>
      <c r="P177">
        <v>3</v>
      </c>
      <c r="Q177">
        <v>3</v>
      </c>
      <c r="R177">
        <v>3</v>
      </c>
      <c r="S177">
        <v>3</v>
      </c>
      <c r="T177">
        <v>3</v>
      </c>
      <c r="U177">
        <v>3</v>
      </c>
      <c r="V177">
        <v>3</v>
      </c>
      <c r="W177">
        <v>2</v>
      </c>
      <c r="X177">
        <v>3</v>
      </c>
      <c r="Y177">
        <v>2</v>
      </c>
      <c r="Z177">
        <v>2</v>
      </c>
      <c r="AA177">
        <v>2</v>
      </c>
      <c r="AB177">
        <v>2</v>
      </c>
      <c r="AC177">
        <v>2</v>
      </c>
      <c r="AD177">
        <v>3</v>
      </c>
      <c r="AE177">
        <v>2</v>
      </c>
      <c r="AF177">
        <v>2</v>
      </c>
      <c r="AG177">
        <v>2</v>
      </c>
      <c r="AH177">
        <v>2</v>
      </c>
      <c r="AI177">
        <v>4</v>
      </c>
      <c r="AJ177">
        <v>4</v>
      </c>
      <c r="AK177" t="b">
        <f>Table67[[#This Row],[What is your age?]]&lt;&gt;"18 - 25"</f>
        <v>1</v>
      </c>
      <c r="AL177" t="b">
        <f t="shared" si="8"/>
        <v>0</v>
      </c>
      <c r="AM177" t="b">
        <f t="shared" si="9"/>
        <v>1</v>
      </c>
      <c r="AN177" t="b">
        <f t="shared" si="10"/>
        <v>0</v>
      </c>
      <c r="AO177" t="b">
        <f>OR(Table67[[#This Row],[Ineligible respondents]:[Inconsistent response on opposite question (3)]])</f>
        <v>1</v>
      </c>
      <c r="AP17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77">
        <f>Table67[[#This Row],[Extreme Response]]/21</f>
        <v>0</v>
      </c>
      <c r="AR177">
        <f>_xlfn.PERCENTILE.INC(Table67[Extrem Response Ratio (ERS)],0.9)</f>
        <v>0.61904761904761907</v>
      </c>
      <c r="AS177" t="b">
        <f>Table67[[#This Row],[Extrem Response Ratio (ERS)]]&gt;=Table67[[#This Row],[Threshold of ERS]]</f>
        <v>0</v>
      </c>
      <c r="AT177">
        <f>COUNTIF(Table67[[#This Row],[The mechanism of digital assets is difficult to understand, which discourages me from exploring it (E.g, Tokenization, Blockchain)]:[If I want to try different ways to invest, I will explore digital assets.]], 3)</f>
        <v>10</v>
      </c>
      <c r="AU177">
        <f>Table67[[#This Row],[Midpoint]]/21</f>
        <v>0.47619047619047616</v>
      </c>
      <c r="AV177">
        <f>_xlfn.PERCENTILE.INC(Table67[Midpoint ratio],0.9)</f>
        <v>0.5714285714285714</v>
      </c>
      <c r="AW177" t="b">
        <f>Table67[[#This Row],[Midpoint ratio]]&gt;=Table67[[#This Row],[Threshold of Midpoint ratio]]</f>
        <v>0</v>
      </c>
      <c r="AX177" t="b">
        <f>OR(Table67[[#This Row],[Extreme Response Style]],Table67[[#This Row],[Mid-point Response Style]])</f>
        <v>0</v>
      </c>
      <c r="AY177" t="b">
        <f>OR(Table67[[#This Row],[Delete? (Stage 1)]],Table67[[#This Row],[Delete? (Stage 2)]])</f>
        <v>1</v>
      </c>
      <c r="AZ177" t="s">
        <v>81</v>
      </c>
    </row>
    <row r="178" spans="1:52">
      <c r="A178">
        <f t="shared" si="11"/>
        <v>177</v>
      </c>
      <c r="B178" s="3">
        <v>46035.702442129601</v>
      </c>
      <c r="C178" s="3">
        <v>46035.704074074099</v>
      </c>
      <c r="D178" t="s">
        <v>53</v>
      </c>
      <c r="G178" t="s">
        <v>54</v>
      </c>
      <c r="H178" t="s">
        <v>55</v>
      </c>
      <c r="I178" t="s">
        <v>56</v>
      </c>
      <c r="J178" t="s">
        <v>65</v>
      </c>
      <c r="K178" t="s">
        <v>60</v>
      </c>
      <c r="L178" t="s">
        <v>58</v>
      </c>
      <c r="M178" t="s">
        <v>61</v>
      </c>
      <c r="N178">
        <v>4</v>
      </c>
      <c r="O178">
        <v>4</v>
      </c>
      <c r="P178">
        <v>4</v>
      </c>
      <c r="Q178">
        <v>4</v>
      </c>
      <c r="R178">
        <v>4</v>
      </c>
      <c r="S178">
        <v>4</v>
      </c>
      <c r="T178">
        <v>3</v>
      </c>
      <c r="U178">
        <v>4</v>
      </c>
      <c r="V178">
        <v>4</v>
      </c>
      <c r="W178">
        <v>4</v>
      </c>
      <c r="X178">
        <v>4</v>
      </c>
      <c r="Y178">
        <v>4</v>
      </c>
      <c r="Z178">
        <v>4</v>
      </c>
      <c r="AA178">
        <v>4</v>
      </c>
      <c r="AB178">
        <v>4</v>
      </c>
      <c r="AC178">
        <v>4</v>
      </c>
      <c r="AD178">
        <v>4</v>
      </c>
      <c r="AE178">
        <v>4</v>
      </c>
      <c r="AF178">
        <v>4</v>
      </c>
      <c r="AG178">
        <v>2</v>
      </c>
      <c r="AH178">
        <v>4</v>
      </c>
      <c r="AI178">
        <v>2</v>
      </c>
      <c r="AJ178">
        <v>2</v>
      </c>
      <c r="AK178" t="b">
        <f>Table67[[#This Row],[What is your age?]]&lt;&gt;"18 - 25"</f>
        <v>0</v>
      </c>
      <c r="AL178" t="b">
        <f t="shared" si="8"/>
        <v>0</v>
      </c>
      <c r="AM178" t="b">
        <f t="shared" si="9"/>
        <v>0</v>
      </c>
      <c r="AN178" t="b">
        <f t="shared" si="10"/>
        <v>0</v>
      </c>
      <c r="AO178" t="b">
        <f>OR(Table67[[#This Row],[Ineligible respondents]:[Inconsistent response on opposite question (3)]])</f>
        <v>0</v>
      </c>
      <c r="AP17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78">
        <f>Table67[[#This Row],[Extreme Response]]/21</f>
        <v>0</v>
      </c>
      <c r="AR178">
        <f>_xlfn.PERCENTILE.INC(Table67[Extrem Response Ratio (ERS)],0.9)</f>
        <v>0.61904761904761907</v>
      </c>
      <c r="AS178" t="b">
        <f>Table67[[#This Row],[Extrem Response Ratio (ERS)]]&gt;=Table67[[#This Row],[Threshold of ERS]]</f>
        <v>0</v>
      </c>
      <c r="AT178">
        <f>COUNTIF(Table67[[#This Row],[The mechanism of digital assets is difficult to understand, which discourages me from exploring it (E.g, Tokenization, Blockchain)]:[If I want to try different ways to invest, I will explore digital assets.]], 3)</f>
        <v>1</v>
      </c>
      <c r="AU178">
        <f>Table67[[#This Row],[Midpoint]]/21</f>
        <v>4.7619047619047616E-2</v>
      </c>
      <c r="AV178">
        <f>_xlfn.PERCENTILE.INC(Table67[Midpoint ratio],0.9)</f>
        <v>0.5714285714285714</v>
      </c>
      <c r="AW178" t="b">
        <f>Table67[[#This Row],[Midpoint ratio]]&gt;=Table67[[#This Row],[Threshold of Midpoint ratio]]</f>
        <v>0</v>
      </c>
      <c r="AX178" t="b">
        <f>OR(Table67[[#This Row],[Extreme Response Style]],Table67[[#This Row],[Mid-point Response Style]])</f>
        <v>0</v>
      </c>
      <c r="AY178" t="b">
        <f>OR(Table67[[#This Row],[Delete? (Stage 1)]],Table67[[#This Row],[Delete? (Stage 2)]])</f>
        <v>0</v>
      </c>
      <c r="AZ178" t="s">
        <v>81</v>
      </c>
    </row>
    <row r="179" spans="1:52">
      <c r="A179">
        <f t="shared" si="11"/>
        <v>178</v>
      </c>
      <c r="B179" s="3">
        <v>46035.702789351897</v>
      </c>
      <c r="C179" s="3">
        <v>46035.704120370399</v>
      </c>
      <c r="D179" t="s">
        <v>53</v>
      </c>
      <c r="G179" t="s">
        <v>54</v>
      </c>
      <c r="H179" t="s">
        <v>63</v>
      </c>
      <c r="I179" t="s">
        <v>56</v>
      </c>
      <c r="J179" t="s">
        <v>62</v>
      </c>
      <c r="K179" t="s">
        <v>57</v>
      </c>
      <c r="L179" t="s">
        <v>61</v>
      </c>
      <c r="M179" t="s">
        <v>61</v>
      </c>
      <c r="N179">
        <v>3</v>
      </c>
      <c r="O179">
        <v>2</v>
      </c>
      <c r="P179">
        <v>3</v>
      </c>
      <c r="Q179">
        <v>3</v>
      </c>
      <c r="R179">
        <v>2</v>
      </c>
      <c r="S179">
        <v>1</v>
      </c>
      <c r="T179">
        <v>4</v>
      </c>
      <c r="U179">
        <v>2</v>
      </c>
      <c r="V179">
        <v>2</v>
      </c>
      <c r="W179">
        <v>2</v>
      </c>
      <c r="X179">
        <v>5</v>
      </c>
      <c r="Y179">
        <v>5</v>
      </c>
      <c r="Z179">
        <v>5</v>
      </c>
      <c r="AA179">
        <v>4</v>
      </c>
      <c r="AB179">
        <v>4</v>
      </c>
      <c r="AC179">
        <v>4</v>
      </c>
      <c r="AD179">
        <v>2</v>
      </c>
      <c r="AE179">
        <v>1</v>
      </c>
      <c r="AF179">
        <v>4</v>
      </c>
      <c r="AG179">
        <v>3</v>
      </c>
      <c r="AH179">
        <v>2</v>
      </c>
      <c r="AI179">
        <v>4</v>
      </c>
      <c r="AJ179">
        <v>2</v>
      </c>
      <c r="AK179" t="b">
        <f>Table67[[#This Row],[What is your age?]]&lt;&gt;"18 - 25"</f>
        <v>0</v>
      </c>
      <c r="AL179" t="b">
        <f t="shared" si="8"/>
        <v>0</v>
      </c>
      <c r="AM179" t="b">
        <f t="shared" si="9"/>
        <v>0</v>
      </c>
      <c r="AN179" t="b">
        <f t="shared" si="10"/>
        <v>1</v>
      </c>
      <c r="AO179" t="b">
        <f>OR(Table67[[#This Row],[Ineligible respondents]:[Inconsistent response on opposite question (3)]])</f>
        <v>1</v>
      </c>
      <c r="AP17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79">
        <f>Table67[[#This Row],[Extreme Response]]/21</f>
        <v>0.23809523809523808</v>
      </c>
      <c r="AR179">
        <f>_xlfn.PERCENTILE.INC(Table67[Extrem Response Ratio (ERS)],0.9)</f>
        <v>0.61904761904761907</v>
      </c>
      <c r="AS179" t="b">
        <f>Table67[[#This Row],[Extrem Response Ratio (ERS)]]&gt;=Table67[[#This Row],[Threshold of ERS]]</f>
        <v>0</v>
      </c>
      <c r="AT179">
        <f>COUNTIF(Table67[[#This Row],[The mechanism of digital assets is difficult to understand, which discourages me from exploring it (E.g, Tokenization, Blockchain)]:[If I want to try different ways to invest, I will explore digital assets.]], 3)</f>
        <v>4</v>
      </c>
      <c r="AU179">
        <f>Table67[[#This Row],[Midpoint]]/21</f>
        <v>0.19047619047619047</v>
      </c>
      <c r="AV179">
        <f>_xlfn.PERCENTILE.INC(Table67[Midpoint ratio],0.9)</f>
        <v>0.5714285714285714</v>
      </c>
      <c r="AW179" t="b">
        <f>Table67[[#This Row],[Midpoint ratio]]&gt;=Table67[[#This Row],[Threshold of Midpoint ratio]]</f>
        <v>0</v>
      </c>
      <c r="AX179" t="b">
        <f>OR(Table67[[#This Row],[Extreme Response Style]],Table67[[#This Row],[Mid-point Response Style]])</f>
        <v>0</v>
      </c>
      <c r="AY179" t="b">
        <f>OR(Table67[[#This Row],[Delete? (Stage 1)]],Table67[[#This Row],[Delete? (Stage 2)]])</f>
        <v>1</v>
      </c>
      <c r="AZ179" t="s">
        <v>81</v>
      </c>
    </row>
    <row r="180" spans="1:52">
      <c r="A180">
        <f t="shared" si="11"/>
        <v>179</v>
      </c>
      <c r="B180" s="3">
        <v>46035.703518518501</v>
      </c>
      <c r="C180" s="3">
        <v>46035.710590277798</v>
      </c>
      <c r="D180" t="s">
        <v>53</v>
      </c>
      <c r="G180" t="s">
        <v>54</v>
      </c>
      <c r="H180" t="s">
        <v>63</v>
      </c>
      <c r="I180" t="s">
        <v>69</v>
      </c>
      <c r="J180" t="s">
        <v>62</v>
      </c>
      <c r="K180" t="s">
        <v>57</v>
      </c>
      <c r="L180" t="s">
        <v>58</v>
      </c>
      <c r="M180" t="s">
        <v>58</v>
      </c>
      <c r="N180">
        <v>3</v>
      </c>
      <c r="O180">
        <v>3</v>
      </c>
      <c r="P180">
        <v>2</v>
      </c>
      <c r="Q180">
        <v>3</v>
      </c>
      <c r="R180">
        <v>3</v>
      </c>
      <c r="S180">
        <v>3</v>
      </c>
      <c r="T180">
        <v>3</v>
      </c>
      <c r="U180">
        <v>3</v>
      </c>
      <c r="V180">
        <v>5</v>
      </c>
      <c r="W180">
        <v>5</v>
      </c>
      <c r="X180">
        <v>3</v>
      </c>
      <c r="Y180">
        <v>5</v>
      </c>
      <c r="Z180">
        <v>4</v>
      </c>
      <c r="AA180">
        <v>3</v>
      </c>
      <c r="AB180">
        <v>3</v>
      </c>
      <c r="AC180">
        <v>3</v>
      </c>
      <c r="AD180">
        <v>2</v>
      </c>
      <c r="AE180">
        <v>4</v>
      </c>
      <c r="AF180">
        <v>2</v>
      </c>
      <c r="AG180">
        <v>3</v>
      </c>
      <c r="AH180">
        <v>3</v>
      </c>
      <c r="AI180">
        <v>3</v>
      </c>
      <c r="AJ180">
        <v>4</v>
      </c>
      <c r="AK180" t="b">
        <f>Table67[[#This Row],[What is your age?]]&lt;&gt;"18 - 25"</f>
        <v>0</v>
      </c>
      <c r="AL180" t="b">
        <f t="shared" si="8"/>
        <v>0</v>
      </c>
      <c r="AM180" t="b">
        <f t="shared" si="9"/>
        <v>0</v>
      </c>
      <c r="AN180" t="b">
        <f t="shared" si="10"/>
        <v>0</v>
      </c>
      <c r="AO180" t="b">
        <f>OR(Table67[[#This Row],[Ineligible respondents]:[Inconsistent response on opposite question (3)]])</f>
        <v>0</v>
      </c>
      <c r="AP18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80">
        <f>Table67[[#This Row],[Extreme Response]]/21</f>
        <v>0.14285714285714285</v>
      </c>
      <c r="AR180">
        <f>_xlfn.PERCENTILE.INC(Table67[Extrem Response Ratio (ERS)],0.9)</f>
        <v>0.61904761904761907</v>
      </c>
      <c r="AS180" t="b">
        <f>Table67[[#This Row],[Extrem Response Ratio (ERS)]]&gt;=Table67[[#This Row],[Threshold of ERS]]</f>
        <v>0</v>
      </c>
      <c r="AT180">
        <f>COUNTIF(Table67[[#This Row],[The mechanism of digital assets is difficult to understand, which discourages me from exploring it (E.g, Tokenization, Blockchain)]:[If I want to try different ways to invest, I will explore digital assets.]], 3)</f>
        <v>13</v>
      </c>
      <c r="AU180">
        <f>Table67[[#This Row],[Midpoint]]/21</f>
        <v>0.61904761904761907</v>
      </c>
      <c r="AV180">
        <f>_xlfn.PERCENTILE.INC(Table67[Midpoint ratio],0.9)</f>
        <v>0.5714285714285714</v>
      </c>
      <c r="AW180" t="b">
        <f>Table67[[#This Row],[Midpoint ratio]]&gt;=Table67[[#This Row],[Threshold of Midpoint ratio]]</f>
        <v>1</v>
      </c>
      <c r="AX180" t="b">
        <f>OR(Table67[[#This Row],[Extreme Response Style]],Table67[[#This Row],[Mid-point Response Style]])</f>
        <v>1</v>
      </c>
      <c r="AY180" t="b">
        <f>OR(Table67[[#This Row],[Delete? (Stage 1)]],Table67[[#This Row],[Delete? (Stage 2)]])</f>
        <v>1</v>
      </c>
      <c r="AZ180" t="s">
        <v>81</v>
      </c>
    </row>
    <row r="181" spans="1:52">
      <c r="A181">
        <f t="shared" si="11"/>
        <v>180</v>
      </c>
      <c r="B181" s="3">
        <v>46035.7038425926</v>
      </c>
      <c r="C181" s="3">
        <v>46035.704826388901</v>
      </c>
      <c r="D181" t="s">
        <v>53</v>
      </c>
      <c r="G181" t="s">
        <v>54</v>
      </c>
      <c r="H181" t="s">
        <v>63</v>
      </c>
      <c r="I181" t="s">
        <v>56</v>
      </c>
      <c r="J181" t="s">
        <v>57</v>
      </c>
      <c r="K181" t="s">
        <v>57</v>
      </c>
      <c r="L181" t="s">
        <v>58</v>
      </c>
      <c r="M181" t="s">
        <v>58</v>
      </c>
      <c r="N181">
        <v>3</v>
      </c>
      <c r="O181">
        <v>3</v>
      </c>
      <c r="P181">
        <v>4</v>
      </c>
      <c r="Q181">
        <v>3</v>
      </c>
      <c r="R181">
        <v>3</v>
      </c>
      <c r="S181">
        <v>4</v>
      </c>
      <c r="T181">
        <v>3</v>
      </c>
      <c r="U181">
        <v>4</v>
      </c>
      <c r="V181">
        <v>4</v>
      </c>
      <c r="W181">
        <v>5</v>
      </c>
      <c r="X181">
        <v>3</v>
      </c>
      <c r="Y181">
        <v>3</v>
      </c>
      <c r="Z181">
        <v>4</v>
      </c>
      <c r="AA181">
        <v>4</v>
      </c>
      <c r="AB181">
        <v>4</v>
      </c>
      <c r="AC181">
        <v>4</v>
      </c>
      <c r="AD181">
        <v>4</v>
      </c>
      <c r="AE181">
        <v>4</v>
      </c>
      <c r="AF181">
        <v>4</v>
      </c>
      <c r="AG181">
        <v>4</v>
      </c>
      <c r="AH181">
        <v>4</v>
      </c>
      <c r="AI181">
        <v>2</v>
      </c>
      <c r="AJ181">
        <v>2</v>
      </c>
      <c r="AK181" t="b">
        <f>Table67[[#This Row],[What is your age?]]&lt;&gt;"18 - 25"</f>
        <v>0</v>
      </c>
      <c r="AL181" t="b">
        <f t="shared" si="8"/>
        <v>0</v>
      </c>
      <c r="AM181" t="b">
        <f t="shared" si="9"/>
        <v>1</v>
      </c>
      <c r="AN181" t="b">
        <f t="shared" si="10"/>
        <v>0</v>
      </c>
      <c r="AO181" t="b">
        <f>OR(Table67[[#This Row],[Ineligible respondents]:[Inconsistent response on opposite question (3)]])</f>
        <v>1</v>
      </c>
      <c r="AP18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81">
        <f>Table67[[#This Row],[Extreme Response]]/21</f>
        <v>4.7619047619047616E-2</v>
      </c>
      <c r="AR181">
        <f>_xlfn.PERCENTILE.INC(Table67[Extrem Response Ratio (ERS)],0.9)</f>
        <v>0.61904761904761907</v>
      </c>
      <c r="AS181" t="b">
        <f>Table67[[#This Row],[Extrem Response Ratio (ERS)]]&gt;=Table67[[#This Row],[Threshold of ERS]]</f>
        <v>0</v>
      </c>
      <c r="AT181">
        <f>COUNTIF(Table67[[#This Row],[The mechanism of digital assets is difficult to understand, which discourages me from exploring it (E.g, Tokenization, Blockchain)]:[If I want to try different ways to invest, I will explore digital assets.]], 3)</f>
        <v>7</v>
      </c>
      <c r="AU181">
        <f>Table67[[#This Row],[Midpoint]]/21</f>
        <v>0.33333333333333331</v>
      </c>
      <c r="AV181">
        <f>_xlfn.PERCENTILE.INC(Table67[Midpoint ratio],0.9)</f>
        <v>0.5714285714285714</v>
      </c>
      <c r="AW181" t="b">
        <f>Table67[[#This Row],[Midpoint ratio]]&gt;=Table67[[#This Row],[Threshold of Midpoint ratio]]</f>
        <v>0</v>
      </c>
      <c r="AX181" t="b">
        <f>OR(Table67[[#This Row],[Extreme Response Style]],Table67[[#This Row],[Mid-point Response Style]])</f>
        <v>0</v>
      </c>
      <c r="AY181" t="b">
        <f>OR(Table67[[#This Row],[Delete? (Stage 1)]],Table67[[#This Row],[Delete? (Stage 2)]])</f>
        <v>1</v>
      </c>
      <c r="AZ181" t="s">
        <v>81</v>
      </c>
    </row>
    <row r="182" spans="1:52">
      <c r="A182">
        <f t="shared" si="11"/>
        <v>181</v>
      </c>
      <c r="B182" s="3">
        <v>46035.703877314802</v>
      </c>
      <c r="C182" s="3">
        <v>46035.705150463</v>
      </c>
      <c r="D182" t="s">
        <v>53</v>
      </c>
      <c r="G182" t="s">
        <v>54</v>
      </c>
      <c r="H182" t="s">
        <v>63</v>
      </c>
      <c r="I182" t="s">
        <v>56</v>
      </c>
      <c r="J182" t="s">
        <v>57</v>
      </c>
      <c r="K182" t="s">
        <v>67</v>
      </c>
      <c r="L182" t="s">
        <v>58</v>
      </c>
      <c r="M182" t="s">
        <v>58</v>
      </c>
      <c r="N182">
        <v>3</v>
      </c>
      <c r="O182">
        <v>3</v>
      </c>
      <c r="P182">
        <v>3</v>
      </c>
      <c r="Q182">
        <v>3</v>
      </c>
      <c r="R182">
        <v>3</v>
      </c>
      <c r="S182">
        <v>3</v>
      </c>
      <c r="T182">
        <v>3</v>
      </c>
      <c r="U182">
        <v>3</v>
      </c>
      <c r="V182">
        <v>3</v>
      </c>
      <c r="W182">
        <v>3</v>
      </c>
      <c r="X182">
        <v>3</v>
      </c>
      <c r="Y182">
        <v>3</v>
      </c>
      <c r="Z182">
        <v>3</v>
      </c>
      <c r="AA182">
        <v>3</v>
      </c>
      <c r="AB182">
        <v>3</v>
      </c>
      <c r="AC182">
        <v>2</v>
      </c>
      <c r="AD182">
        <v>3</v>
      </c>
      <c r="AE182">
        <v>3</v>
      </c>
      <c r="AF182">
        <v>3</v>
      </c>
      <c r="AG182">
        <v>3</v>
      </c>
      <c r="AH182">
        <v>3</v>
      </c>
      <c r="AI182">
        <v>3</v>
      </c>
      <c r="AJ182">
        <v>3</v>
      </c>
      <c r="AK182" t="b">
        <f>Table67[[#This Row],[What is your age?]]&lt;&gt;"18 - 25"</f>
        <v>0</v>
      </c>
      <c r="AL182" t="b">
        <f t="shared" si="8"/>
        <v>0</v>
      </c>
      <c r="AM182" t="b">
        <f t="shared" si="9"/>
        <v>0</v>
      </c>
      <c r="AN182" t="b">
        <f t="shared" si="10"/>
        <v>0</v>
      </c>
      <c r="AO182" t="b">
        <f>OR(Table67[[#This Row],[Ineligible respondents]:[Inconsistent response on opposite question (3)]])</f>
        <v>0</v>
      </c>
      <c r="AP18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82">
        <f>Table67[[#This Row],[Extreme Response]]/21</f>
        <v>0</v>
      </c>
      <c r="AR182">
        <f>_xlfn.PERCENTILE.INC(Table67[Extrem Response Ratio (ERS)],0.9)</f>
        <v>0.61904761904761907</v>
      </c>
      <c r="AS182" t="b">
        <f>Table67[[#This Row],[Extrem Response Ratio (ERS)]]&gt;=Table67[[#This Row],[Threshold of ERS]]</f>
        <v>0</v>
      </c>
      <c r="AT182">
        <f>COUNTIF(Table67[[#This Row],[The mechanism of digital assets is difficult to understand, which discourages me from exploring it (E.g, Tokenization, Blockchain)]:[If I want to try different ways to invest, I will explore digital assets.]], 3)</f>
        <v>20</v>
      </c>
      <c r="AU182">
        <f>Table67[[#This Row],[Midpoint]]/21</f>
        <v>0.95238095238095233</v>
      </c>
      <c r="AV182">
        <f>_xlfn.PERCENTILE.INC(Table67[Midpoint ratio],0.9)</f>
        <v>0.5714285714285714</v>
      </c>
      <c r="AW182" t="b">
        <f>Table67[[#This Row],[Midpoint ratio]]&gt;=Table67[[#This Row],[Threshold of Midpoint ratio]]</f>
        <v>1</v>
      </c>
      <c r="AX182" t="b">
        <f>OR(Table67[[#This Row],[Extreme Response Style]],Table67[[#This Row],[Mid-point Response Style]])</f>
        <v>1</v>
      </c>
      <c r="AY182" t="b">
        <f>OR(Table67[[#This Row],[Delete? (Stage 1)]],Table67[[#This Row],[Delete? (Stage 2)]])</f>
        <v>1</v>
      </c>
      <c r="AZ182" t="s">
        <v>81</v>
      </c>
    </row>
    <row r="183" spans="1:52">
      <c r="A183">
        <f t="shared" si="11"/>
        <v>182</v>
      </c>
      <c r="B183" s="3">
        <v>46035.7038888889</v>
      </c>
      <c r="C183" s="3">
        <v>46035.705185185201</v>
      </c>
      <c r="D183" t="s">
        <v>53</v>
      </c>
      <c r="G183" t="s">
        <v>54</v>
      </c>
      <c r="H183" t="s">
        <v>63</v>
      </c>
      <c r="I183" t="s">
        <v>56</v>
      </c>
      <c r="J183" t="s">
        <v>57</v>
      </c>
      <c r="K183" t="s">
        <v>60</v>
      </c>
      <c r="L183" t="s">
        <v>58</v>
      </c>
      <c r="M183" t="s">
        <v>58</v>
      </c>
      <c r="N183">
        <v>3</v>
      </c>
      <c r="O183">
        <v>3</v>
      </c>
      <c r="P183">
        <v>3</v>
      </c>
      <c r="Q183">
        <v>3</v>
      </c>
      <c r="R183">
        <v>3</v>
      </c>
      <c r="S183">
        <v>3</v>
      </c>
      <c r="T183">
        <v>3</v>
      </c>
      <c r="U183">
        <v>3</v>
      </c>
      <c r="V183">
        <v>3</v>
      </c>
      <c r="W183">
        <v>3</v>
      </c>
      <c r="X183">
        <v>3</v>
      </c>
      <c r="Y183">
        <v>3</v>
      </c>
      <c r="Z183">
        <v>3</v>
      </c>
      <c r="AA183">
        <v>3</v>
      </c>
      <c r="AB183">
        <v>3</v>
      </c>
      <c r="AC183">
        <v>3</v>
      </c>
      <c r="AD183">
        <v>3</v>
      </c>
      <c r="AE183">
        <v>3</v>
      </c>
      <c r="AF183">
        <v>3</v>
      </c>
      <c r="AG183">
        <v>3</v>
      </c>
      <c r="AH183">
        <v>3</v>
      </c>
      <c r="AI183">
        <v>3</v>
      </c>
      <c r="AJ183">
        <v>3</v>
      </c>
      <c r="AK183" t="b">
        <f>Table67[[#This Row],[What is your age?]]&lt;&gt;"18 - 25"</f>
        <v>0</v>
      </c>
      <c r="AL183" t="b">
        <f t="shared" si="8"/>
        <v>1</v>
      </c>
      <c r="AM183" t="b">
        <f t="shared" si="9"/>
        <v>0</v>
      </c>
      <c r="AN183" t="b">
        <f t="shared" si="10"/>
        <v>0</v>
      </c>
      <c r="AO183" t="b">
        <f>OR(Table67[[#This Row],[Ineligible respondents]:[Inconsistent response on opposite question (3)]])</f>
        <v>1</v>
      </c>
      <c r="AP18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83">
        <f>Table67[[#This Row],[Extreme Response]]/21</f>
        <v>0</v>
      </c>
      <c r="AR183">
        <f>_xlfn.PERCENTILE.INC(Table67[Extrem Response Ratio (ERS)],0.9)</f>
        <v>0.61904761904761907</v>
      </c>
      <c r="AS183" t="b">
        <f>Table67[[#This Row],[Extrem Response Ratio (ERS)]]&gt;=Table67[[#This Row],[Threshold of ERS]]</f>
        <v>0</v>
      </c>
      <c r="AT183">
        <f>COUNTIF(Table67[[#This Row],[The mechanism of digital assets is difficult to understand, which discourages me from exploring it (E.g, Tokenization, Blockchain)]:[If I want to try different ways to invest, I will explore digital assets.]], 3)</f>
        <v>21</v>
      </c>
      <c r="AU183">
        <f>Table67[[#This Row],[Midpoint]]/21</f>
        <v>1</v>
      </c>
      <c r="AV183">
        <f>_xlfn.PERCENTILE.INC(Table67[Midpoint ratio],0.9)</f>
        <v>0.5714285714285714</v>
      </c>
      <c r="AW183" t="b">
        <f>Table67[[#This Row],[Midpoint ratio]]&gt;=Table67[[#This Row],[Threshold of Midpoint ratio]]</f>
        <v>1</v>
      </c>
      <c r="AX183" t="b">
        <f>OR(Table67[[#This Row],[Extreme Response Style]],Table67[[#This Row],[Mid-point Response Style]])</f>
        <v>1</v>
      </c>
      <c r="AY183" t="b">
        <f>OR(Table67[[#This Row],[Delete? (Stage 1)]],Table67[[#This Row],[Delete? (Stage 2)]])</f>
        <v>1</v>
      </c>
      <c r="AZ183" t="s">
        <v>81</v>
      </c>
    </row>
    <row r="184" spans="1:52">
      <c r="A184">
        <f t="shared" si="11"/>
        <v>183</v>
      </c>
      <c r="B184" s="3">
        <v>46035.704131944403</v>
      </c>
      <c r="C184" s="3">
        <v>46035.707418981503</v>
      </c>
      <c r="D184" t="s">
        <v>53</v>
      </c>
      <c r="G184" t="s">
        <v>54</v>
      </c>
      <c r="H184" t="s">
        <v>63</v>
      </c>
      <c r="I184" t="s">
        <v>56</v>
      </c>
      <c r="J184" t="s">
        <v>62</v>
      </c>
      <c r="K184" t="s">
        <v>57</v>
      </c>
      <c r="L184" t="s">
        <v>58</v>
      </c>
      <c r="M184" t="s">
        <v>61</v>
      </c>
      <c r="N184">
        <v>4</v>
      </c>
      <c r="O184">
        <v>3</v>
      </c>
      <c r="P184">
        <v>2</v>
      </c>
      <c r="Q184">
        <v>2</v>
      </c>
      <c r="R184">
        <v>4</v>
      </c>
      <c r="S184">
        <v>4</v>
      </c>
      <c r="T184">
        <v>3</v>
      </c>
      <c r="U184">
        <v>2</v>
      </c>
      <c r="V184">
        <v>2</v>
      </c>
      <c r="W184">
        <v>2</v>
      </c>
      <c r="X184">
        <v>3</v>
      </c>
      <c r="Y184">
        <v>4</v>
      </c>
      <c r="Z184">
        <v>3</v>
      </c>
      <c r="AA184">
        <v>2</v>
      </c>
      <c r="AB184">
        <v>4</v>
      </c>
      <c r="AC184">
        <v>3</v>
      </c>
      <c r="AD184">
        <v>4</v>
      </c>
      <c r="AE184">
        <v>3</v>
      </c>
      <c r="AF184">
        <v>3</v>
      </c>
      <c r="AG184">
        <v>4</v>
      </c>
      <c r="AH184">
        <v>3</v>
      </c>
      <c r="AI184">
        <v>3</v>
      </c>
      <c r="AJ184">
        <v>3</v>
      </c>
      <c r="AK184" t="b">
        <f>Table67[[#This Row],[What is your age?]]&lt;&gt;"18 - 25"</f>
        <v>0</v>
      </c>
      <c r="AL184" t="b">
        <f t="shared" si="8"/>
        <v>0</v>
      </c>
      <c r="AM184" t="b">
        <f t="shared" si="9"/>
        <v>0</v>
      </c>
      <c r="AN184" t="b">
        <f t="shared" si="10"/>
        <v>1</v>
      </c>
      <c r="AO184" t="b">
        <f>OR(Table67[[#This Row],[Ineligible respondents]:[Inconsistent response on opposite question (3)]])</f>
        <v>1</v>
      </c>
      <c r="AP18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84">
        <f>Table67[[#This Row],[Extreme Response]]/21</f>
        <v>0</v>
      </c>
      <c r="AR184">
        <f>_xlfn.PERCENTILE.INC(Table67[Extrem Response Ratio (ERS)],0.9)</f>
        <v>0.61904761904761907</v>
      </c>
      <c r="AS184" t="b">
        <f>Table67[[#This Row],[Extrem Response Ratio (ERS)]]&gt;=Table67[[#This Row],[Threshold of ERS]]</f>
        <v>0</v>
      </c>
      <c r="AT184">
        <f>COUNTIF(Table67[[#This Row],[The mechanism of digital assets is difficult to understand, which discourages me from exploring it (E.g, Tokenization, Blockchain)]:[If I want to try different ways to invest, I will explore digital assets.]], 3)</f>
        <v>8</v>
      </c>
      <c r="AU184">
        <f>Table67[[#This Row],[Midpoint]]/21</f>
        <v>0.38095238095238093</v>
      </c>
      <c r="AV184">
        <f>_xlfn.PERCENTILE.INC(Table67[Midpoint ratio],0.9)</f>
        <v>0.5714285714285714</v>
      </c>
      <c r="AW184" t="b">
        <f>Table67[[#This Row],[Midpoint ratio]]&gt;=Table67[[#This Row],[Threshold of Midpoint ratio]]</f>
        <v>0</v>
      </c>
      <c r="AX184" t="b">
        <f>OR(Table67[[#This Row],[Extreme Response Style]],Table67[[#This Row],[Mid-point Response Style]])</f>
        <v>0</v>
      </c>
      <c r="AY184" t="b">
        <f>OR(Table67[[#This Row],[Delete? (Stage 1)]],Table67[[#This Row],[Delete? (Stage 2)]])</f>
        <v>1</v>
      </c>
      <c r="AZ184" t="s">
        <v>81</v>
      </c>
    </row>
    <row r="185" spans="1:52">
      <c r="A185">
        <f t="shared" si="11"/>
        <v>184</v>
      </c>
      <c r="B185" s="3">
        <v>46035.704456018502</v>
      </c>
      <c r="C185" s="3">
        <v>46035.708078703698</v>
      </c>
      <c r="D185" t="s">
        <v>53</v>
      </c>
      <c r="G185" t="s">
        <v>54</v>
      </c>
      <c r="H185" t="s">
        <v>55</v>
      </c>
      <c r="I185" t="s">
        <v>56</v>
      </c>
      <c r="J185" t="s">
        <v>57</v>
      </c>
      <c r="K185" t="s">
        <v>57</v>
      </c>
      <c r="L185" t="s">
        <v>58</v>
      </c>
      <c r="M185" t="s">
        <v>58</v>
      </c>
      <c r="N185">
        <v>3</v>
      </c>
      <c r="O185">
        <v>3</v>
      </c>
      <c r="P185">
        <v>4</v>
      </c>
      <c r="Q185">
        <v>3</v>
      </c>
      <c r="R185">
        <v>3</v>
      </c>
      <c r="S185">
        <v>2</v>
      </c>
      <c r="T185">
        <v>2</v>
      </c>
      <c r="U185">
        <v>3</v>
      </c>
      <c r="V185">
        <v>2</v>
      </c>
      <c r="W185">
        <v>2</v>
      </c>
      <c r="X185">
        <v>2</v>
      </c>
      <c r="Y185">
        <v>3</v>
      </c>
      <c r="Z185">
        <v>2</v>
      </c>
      <c r="AA185">
        <v>2</v>
      </c>
      <c r="AB185">
        <v>2</v>
      </c>
      <c r="AC185">
        <v>1</v>
      </c>
      <c r="AD185">
        <v>3</v>
      </c>
      <c r="AE185">
        <v>3</v>
      </c>
      <c r="AF185">
        <v>4</v>
      </c>
      <c r="AG185">
        <v>2</v>
      </c>
      <c r="AH185">
        <v>4</v>
      </c>
      <c r="AI185">
        <v>2</v>
      </c>
      <c r="AJ185">
        <v>2</v>
      </c>
      <c r="AK185" t="b">
        <f>Table67[[#This Row],[What is your age?]]&lt;&gt;"18 - 25"</f>
        <v>0</v>
      </c>
      <c r="AL185" t="b">
        <f t="shared" si="8"/>
        <v>0</v>
      </c>
      <c r="AM185" t="b">
        <f t="shared" si="9"/>
        <v>0</v>
      </c>
      <c r="AN185" t="b">
        <f t="shared" si="10"/>
        <v>0</v>
      </c>
      <c r="AO185" t="b">
        <f>OR(Table67[[#This Row],[Ineligible respondents]:[Inconsistent response on opposite question (3)]])</f>
        <v>0</v>
      </c>
      <c r="AP18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85">
        <f>Table67[[#This Row],[Extreme Response]]/21</f>
        <v>4.7619047619047616E-2</v>
      </c>
      <c r="AR185">
        <f>_xlfn.PERCENTILE.INC(Table67[Extrem Response Ratio (ERS)],0.9)</f>
        <v>0.61904761904761907</v>
      </c>
      <c r="AS185" t="b">
        <f>Table67[[#This Row],[Extrem Response Ratio (ERS)]]&gt;=Table67[[#This Row],[Threshold of ERS]]</f>
        <v>0</v>
      </c>
      <c r="AT185">
        <f>COUNTIF(Table67[[#This Row],[The mechanism of digital assets is difficult to understand, which discourages me from exploring it (E.g, Tokenization, Blockchain)]:[If I want to try different ways to invest, I will explore digital assets.]], 3)</f>
        <v>8</v>
      </c>
      <c r="AU185">
        <f>Table67[[#This Row],[Midpoint]]/21</f>
        <v>0.38095238095238093</v>
      </c>
      <c r="AV185">
        <f>_xlfn.PERCENTILE.INC(Table67[Midpoint ratio],0.9)</f>
        <v>0.5714285714285714</v>
      </c>
      <c r="AW185" t="b">
        <f>Table67[[#This Row],[Midpoint ratio]]&gt;=Table67[[#This Row],[Threshold of Midpoint ratio]]</f>
        <v>0</v>
      </c>
      <c r="AX185" t="b">
        <f>OR(Table67[[#This Row],[Extreme Response Style]],Table67[[#This Row],[Mid-point Response Style]])</f>
        <v>0</v>
      </c>
      <c r="AY185" t="b">
        <f>OR(Table67[[#This Row],[Delete? (Stage 1)]],Table67[[#This Row],[Delete? (Stage 2)]])</f>
        <v>0</v>
      </c>
      <c r="AZ185" t="s">
        <v>81</v>
      </c>
    </row>
    <row r="186" spans="1:52">
      <c r="A186">
        <f t="shared" si="11"/>
        <v>185</v>
      </c>
      <c r="B186" s="3">
        <v>46035.705520833297</v>
      </c>
      <c r="C186" s="3">
        <v>46035.707731481503</v>
      </c>
      <c r="D186" t="s">
        <v>53</v>
      </c>
      <c r="G186" t="s">
        <v>54</v>
      </c>
      <c r="H186" t="s">
        <v>63</v>
      </c>
      <c r="I186" t="s">
        <v>56</v>
      </c>
      <c r="J186" t="s">
        <v>64</v>
      </c>
      <c r="K186" t="s">
        <v>64</v>
      </c>
      <c r="L186" t="s">
        <v>58</v>
      </c>
      <c r="M186" t="s">
        <v>61</v>
      </c>
      <c r="N186">
        <v>5</v>
      </c>
      <c r="O186">
        <v>1</v>
      </c>
      <c r="P186">
        <v>5</v>
      </c>
      <c r="Q186">
        <v>4</v>
      </c>
      <c r="R186">
        <v>2</v>
      </c>
      <c r="S186">
        <v>4</v>
      </c>
      <c r="T186">
        <v>2</v>
      </c>
      <c r="U186">
        <v>4</v>
      </c>
      <c r="V186">
        <v>5</v>
      </c>
      <c r="W186">
        <v>4</v>
      </c>
      <c r="X186">
        <v>4</v>
      </c>
      <c r="Y186">
        <v>4</v>
      </c>
      <c r="Z186">
        <v>5</v>
      </c>
      <c r="AA186">
        <v>4</v>
      </c>
      <c r="AB186">
        <v>2</v>
      </c>
      <c r="AC186">
        <v>4</v>
      </c>
      <c r="AD186">
        <v>3</v>
      </c>
      <c r="AE186">
        <v>1</v>
      </c>
      <c r="AF186">
        <v>3</v>
      </c>
      <c r="AG186">
        <v>4</v>
      </c>
      <c r="AH186">
        <v>3</v>
      </c>
      <c r="AI186">
        <v>3</v>
      </c>
      <c r="AJ186">
        <v>3</v>
      </c>
      <c r="AK186" t="b">
        <f>Table67[[#This Row],[What is your age?]]&lt;&gt;"18 - 25"</f>
        <v>0</v>
      </c>
      <c r="AL186" t="b">
        <f t="shared" si="8"/>
        <v>0</v>
      </c>
      <c r="AM186" t="b">
        <f t="shared" si="9"/>
        <v>0</v>
      </c>
      <c r="AN186" t="b">
        <f t="shared" si="10"/>
        <v>1</v>
      </c>
      <c r="AO186" t="b">
        <f>OR(Table67[[#This Row],[Ineligible respondents]:[Inconsistent response on opposite question (3)]])</f>
        <v>1</v>
      </c>
      <c r="AP18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86">
        <f>Table67[[#This Row],[Extreme Response]]/21</f>
        <v>0.2857142857142857</v>
      </c>
      <c r="AR186">
        <f>_xlfn.PERCENTILE.INC(Table67[Extrem Response Ratio (ERS)],0.9)</f>
        <v>0.61904761904761907</v>
      </c>
      <c r="AS186" t="b">
        <f>Table67[[#This Row],[Extrem Response Ratio (ERS)]]&gt;=Table67[[#This Row],[Threshold of ERS]]</f>
        <v>0</v>
      </c>
      <c r="AT186">
        <f>COUNTIF(Table67[[#This Row],[The mechanism of digital assets is difficult to understand, which discourages me from exploring it (E.g, Tokenization, Blockchain)]:[If I want to try different ways to invest, I will explore digital assets.]], 3)</f>
        <v>3</v>
      </c>
      <c r="AU186">
        <f>Table67[[#This Row],[Midpoint]]/21</f>
        <v>0.14285714285714285</v>
      </c>
      <c r="AV186">
        <f>_xlfn.PERCENTILE.INC(Table67[Midpoint ratio],0.9)</f>
        <v>0.5714285714285714</v>
      </c>
      <c r="AW186" t="b">
        <f>Table67[[#This Row],[Midpoint ratio]]&gt;=Table67[[#This Row],[Threshold of Midpoint ratio]]</f>
        <v>0</v>
      </c>
      <c r="AX186" t="b">
        <f>OR(Table67[[#This Row],[Extreme Response Style]],Table67[[#This Row],[Mid-point Response Style]])</f>
        <v>0</v>
      </c>
      <c r="AY186" t="b">
        <f>OR(Table67[[#This Row],[Delete? (Stage 1)]],Table67[[#This Row],[Delete? (Stage 2)]])</f>
        <v>1</v>
      </c>
      <c r="AZ186" t="s">
        <v>81</v>
      </c>
    </row>
    <row r="187" spans="1:52">
      <c r="A187">
        <f t="shared" si="11"/>
        <v>186</v>
      </c>
      <c r="B187" s="3">
        <v>46035.706365740698</v>
      </c>
      <c r="C187" s="3">
        <v>46035.709467592598</v>
      </c>
      <c r="D187" t="s">
        <v>53</v>
      </c>
      <c r="G187" t="s">
        <v>54</v>
      </c>
      <c r="H187" t="s">
        <v>55</v>
      </c>
      <c r="I187" t="s">
        <v>56</v>
      </c>
      <c r="J187" t="s">
        <v>62</v>
      </c>
      <c r="K187" t="s">
        <v>62</v>
      </c>
      <c r="L187" t="s">
        <v>58</v>
      </c>
      <c r="M187" t="s">
        <v>61</v>
      </c>
      <c r="N187">
        <v>2</v>
      </c>
      <c r="O187">
        <v>2</v>
      </c>
      <c r="P187">
        <v>3</v>
      </c>
      <c r="Q187">
        <v>3</v>
      </c>
      <c r="R187">
        <v>3</v>
      </c>
      <c r="S187">
        <v>3</v>
      </c>
      <c r="T187">
        <v>2</v>
      </c>
      <c r="U187">
        <v>3</v>
      </c>
      <c r="V187">
        <v>3</v>
      </c>
      <c r="W187">
        <v>4</v>
      </c>
      <c r="X187">
        <v>3</v>
      </c>
      <c r="Y187">
        <v>4</v>
      </c>
      <c r="Z187">
        <v>4</v>
      </c>
      <c r="AA187">
        <v>3</v>
      </c>
      <c r="AB187">
        <v>3</v>
      </c>
      <c r="AC187">
        <v>3</v>
      </c>
      <c r="AD187">
        <v>3</v>
      </c>
      <c r="AE187">
        <v>3</v>
      </c>
      <c r="AF187">
        <v>4</v>
      </c>
      <c r="AG187">
        <v>3</v>
      </c>
      <c r="AH187">
        <v>3</v>
      </c>
      <c r="AI187">
        <v>3</v>
      </c>
      <c r="AJ187">
        <v>2</v>
      </c>
      <c r="AK187" t="b">
        <f>Table67[[#This Row],[What is your age?]]&lt;&gt;"18 - 25"</f>
        <v>0</v>
      </c>
      <c r="AL187" t="b">
        <f t="shared" si="8"/>
        <v>0</v>
      </c>
      <c r="AM187" t="b">
        <f t="shared" si="9"/>
        <v>0</v>
      </c>
      <c r="AN187" t="b">
        <f t="shared" si="10"/>
        <v>0</v>
      </c>
      <c r="AO187" t="b">
        <f>OR(Table67[[#This Row],[Ineligible respondents]:[Inconsistent response on opposite question (3)]])</f>
        <v>0</v>
      </c>
      <c r="AP18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87">
        <f>Table67[[#This Row],[Extreme Response]]/21</f>
        <v>0</v>
      </c>
      <c r="AR187">
        <f>_xlfn.PERCENTILE.INC(Table67[Extrem Response Ratio (ERS)],0.9)</f>
        <v>0.61904761904761907</v>
      </c>
      <c r="AS187" t="b">
        <f>Table67[[#This Row],[Extrem Response Ratio (ERS)]]&gt;=Table67[[#This Row],[Threshold of ERS]]</f>
        <v>0</v>
      </c>
      <c r="AT187">
        <f>COUNTIF(Table67[[#This Row],[The mechanism of digital assets is difficult to understand, which discourages me from exploring it (E.g, Tokenization, Blockchain)]:[If I want to try different ways to invest, I will explore digital assets.]], 3)</f>
        <v>14</v>
      </c>
      <c r="AU187">
        <f>Table67[[#This Row],[Midpoint]]/21</f>
        <v>0.66666666666666663</v>
      </c>
      <c r="AV187">
        <f>_xlfn.PERCENTILE.INC(Table67[Midpoint ratio],0.9)</f>
        <v>0.5714285714285714</v>
      </c>
      <c r="AW187" t="b">
        <f>Table67[[#This Row],[Midpoint ratio]]&gt;=Table67[[#This Row],[Threshold of Midpoint ratio]]</f>
        <v>1</v>
      </c>
      <c r="AX187" t="b">
        <f>OR(Table67[[#This Row],[Extreme Response Style]],Table67[[#This Row],[Mid-point Response Style]])</f>
        <v>1</v>
      </c>
      <c r="AY187" t="b">
        <f>OR(Table67[[#This Row],[Delete? (Stage 1)]],Table67[[#This Row],[Delete? (Stage 2)]])</f>
        <v>1</v>
      </c>
      <c r="AZ187" t="s">
        <v>81</v>
      </c>
    </row>
    <row r="188" spans="1:52">
      <c r="A188">
        <f t="shared" si="11"/>
        <v>187</v>
      </c>
      <c r="B188" s="3">
        <v>46035.706458333298</v>
      </c>
      <c r="C188" s="3">
        <v>46035.708310185197</v>
      </c>
      <c r="D188" t="s">
        <v>53</v>
      </c>
      <c r="G188" t="s">
        <v>80</v>
      </c>
      <c r="H188" t="s">
        <v>63</v>
      </c>
      <c r="I188" t="s">
        <v>56</v>
      </c>
      <c r="J188" t="s">
        <v>66</v>
      </c>
      <c r="K188" t="s">
        <v>65</v>
      </c>
      <c r="L188" t="s">
        <v>58</v>
      </c>
      <c r="M188" t="s">
        <v>58</v>
      </c>
      <c r="N188">
        <v>5</v>
      </c>
      <c r="O188">
        <v>5</v>
      </c>
      <c r="P188">
        <v>5</v>
      </c>
      <c r="Q188">
        <v>5</v>
      </c>
      <c r="R188">
        <v>5</v>
      </c>
      <c r="S188">
        <v>1</v>
      </c>
      <c r="T188">
        <v>3</v>
      </c>
      <c r="U188">
        <v>1</v>
      </c>
      <c r="V188">
        <v>3</v>
      </c>
      <c r="W188">
        <v>3</v>
      </c>
      <c r="X188">
        <v>5</v>
      </c>
      <c r="Y188">
        <v>5</v>
      </c>
      <c r="Z188">
        <v>3</v>
      </c>
      <c r="AA188">
        <v>3</v>
      </c>
      <c r="AB188">
        <v>3</v>
      </c>
      <c r="AC188">
        <v>3</v>
      </c>
      <c r="AD188">
        <v>2</v>
      </c>
      <c r="AE188">
        <v>2</v>
      </c>
      <c r="AF188">
        <v>3</v>
      </c>
      <c r="AG188">
        <v>1</v>
      </c>
      <c r="AH188">
        <v>4</v>
      </c>
      <c r="AI188">
        <v>2</v>
      </c>
      <c r="AJ188">
        <v>3</v>
      </c>
      <c r="AK188" t="b">
        <f>Table67[[#This Row],[What is your age?]]&lt;&gt;"18 - 25"</f>
        <v>1</v>
      </c>
      <c r="AL188" t="b">
        <f t="shared" si="8"/>
        <v>0</v>
      </c>
      <c r="AM188" t="b">
        <f t="shared" si="9"/>
        <v>0</v>
      </c>
      <c r="AN188" t="b">
        <f t="shared" si="10"/>
        <v>0</v>
      </c>
      <c r="AO188" t="b">
        <f>OR(Table67[[#This Row],[Ineligible respondents]:[Inconsistent response on opposite question (3)]])</f>
        <v>1</v>
      </c>
      <c r="AP18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10</v>
      </c>
      <c r="AQ188">
        <f>Table67[[#This Row],[Extreme Response]]/21</f>
        <v>0.47619047619047616</v>
      </c>
      <c r="AR188">
        <f>_xlfn.PERCENTILE.INC(Table67[Extrem Response Ratio (ERS)],0.9)</f>
        <v>0.61904761904761907</v>
      </c>
      <c r="AS188" t="b">
        <f>Table67[[#This Row],[Extrem Response Ratio (ERS)]]&gt;=Table67[[#This Row],[Threshold of ERS]]</f>
        <v>0</v>
      </c>
      <c r="AT188">
        <f>COUNTIF(Table67[[#This Row],[The mechanism of digital assets is difficult to understand, which discourages me from exploring it (E.g, Tokenization, Blockchain)]:[If I want to try different ways to invest, I will explore digital assets.]], 3)</f>
        <v>8</v>
      </c>
      <c r="AU188">
        <f>Table67[[#This Row],[Midpoint]]/21</f>
        <v>0.38095238095238093</v>
      </c>
      <c r="AV188">
        <f>_xlfn.PERCENTILE.INC(Table67[Midpoint ratio],0.9)</f>
        <v>0.5714285714285714</v>
      </c>
      <c r="AW188" t="b">
        <f>Table67[[#This Row],[Midpoint ratio]]&gt;=Table67[[#This Row],[Threshold of Midpoint ratio]]</f>
        <v>0</v>
      </c>
      <c r="AX188" t="b">
        <f>OR(Table67[[#This Row],[Extreme Response Style]],Table67[[#This Row],[Mid-point Response Style]])</f>
        <v>0</v>
      </c>
      <c r="AY188" t="b">
        <f>OR(Table67[[#This Row],[Delete? (Stage 1)]],Table67[[#This Row],[Delete? (Stage 2)]])</f>
        <v>1</v>
      </c>
      <c r="AZ188" t="s">
        <v>81</v>
      </c>
    </row>
    <row r="189" spans="1:52">
      <c r="A189">
        <f t="shared" si="11"/>
        <v>188</v>
      </c>
      <c r="B189" s="3">
        <v>46035.706481481502</v>
      </c>
      <c r="C189" s="3">
        <v>46035.707777777803</v>
      </c>
      <c r="D189" t="s">
        <v>53</v>
      </c>
      <c r="G189" t="s">
        <v>79</v>
      </c>
      <c r="H189" t="s">
        <v>63</v>
      </c>
      <c r="I189" t="s">
        <v>56</v>
      </c>
      <c r="J189" t="s">
        <v>64</v>
      </c>
      <c r="K189" t="s">
        <v>64</v>
      </c>
      <c r="L189" t="s">
        <v>58</v>
      </c>
      <c r="M189" t="s">
        <v>58</v>
      </c>
      <c r="N189">
        <v>3</v>
      </c>
      <c r="O189">
        <v>3</v>
      </c>
      <c r="P189">
        <v>5</v>
      </c>
      <c r="Q189">
        <v>4</v>
      </c>
      <c r="R189">
        <v>5</v>
      </c>
      <c r="S189">
        <v>5</v>
      </c>
      <c r="T189">
        <v>5</v>
      </c>
      <c r="U189">
        <v>5</v>
      </c>
      <c r="V189">
        <v>5</v>
      </c>
      <c r="W189">
        <v>5</v>
      </c>
      <c r="X189">
        <v>5</v>
      </c>
      <c r="Y189">
        <v>5</v>
      </c>
      <c r="Z189">
        <v>5</v>
      </c>
      <c r="AA189">
        <v>5</v>
      </c>
      <c r="AB189">
        <v>5</v>
      </c>
      <c r="AC189">
        <v>5</v>
      </c>
      <c r="AD189">
        <v>5</v>
      </c>
      <c r="AE189">
        <v>4</v>
      </c>
      <c r="AF189">
        <v>3</v>
      </c>
      <c r="AG189">
        <v>5</v>
      </c>
      <c r="AH189">
        <v>5</v>
      </c>
      <c r="AI189">
        <v>1</v>
      </c>
      <c r="AJ189">
        <v>3</v>
      </c>
      <c r="AK189" t="b">
        <f>Table67[[#This Row],[What is your age?]]&lt;&gt;"18 - 25"</f>
        <v>1</v>
      </c>
      <c r="AL189" t="b">
        <f t="shared" si="8"/>
        <v>0</v>
      </c>
      <c r="AM189" t="b">
        <f t="shared" si="9"/>
        <v>1</v>
      </c>
      <c r="AN189" t="b">
        <f t="shared" si="10"/>
        <v>0</v>
      </c>
      <c r="AO189" t="b">
        <f>OR(Table67[[#This Row],[Ineligible respondents]:[Inconsistent response on opposite question (3)]])</f>
        <v>1</v>
      </c>
      <c r="AP18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16</v>
      </c>
      <c r="AQ189">
        <f>Table67[[#This Row],[Extreme Response]]/21</f>
        <v>0.76190476190476186</v>
      </c>
      <c r="AR189">
        <f>_xlfn.PERCENTILE.INC(Table67[Extrem Response Ratio (ERS)],0.9)</f>
        <v>0.61904761904761907</v>
      </c>
      <c r="AS189" t="b">
        <f>Table67[[#This Row],[Extrem Response Ratio (ERS)]]&gt;=Table67[[#This Row],[Threshold of ERS]]</f>
        <v>1</v>
      </c>
      <c r="AT189">
        <f>COUNTIF(Table67[[#This Row],[The mechanism of digital assets is difficult to understand, which discourages me from exploring it (E.g, Tokenization, Blockchain)]:[If I want to try different ways to invest, I will explore digital assets.]], 3)</f>
        <v>3</v>
      </c>
      <c r="AU189">
        <f>Table67[[#This Row],[Midpoint]]/21</f>
        <v>0.14285714285714285</v>
      </c>
      <c r="AV189">
        <f>_xlfn.PERCENTILE.INC(Table67[Midpoint ratio],0.9)</f>
        <v>0.5714285714285714</v>
      </c>
      <c r="AW189" t="b">
        <f>Table67[[#This Row],[Midpoint ratio]]&gt;=Table67[[#This Row],[Threshold of Midpoint ratio]]</f>
        <v>0</v>
      </c>
      <c r="AX189" t="b">
        <f>OR(Table67[[#This Row],[Extreme Response Style]],Table67[[#This Row],[Mid-point Response Style]])</f>
        <v>1</v>
      </c>
      <c r="AY189" t="b">
        <f>OR(Table67[[#This Row],[Delete? (Stage 1)]],Table67[[#This Row],[Delete? (Stage 2)]])</f>
        <v>1</v>
      </c>
      <c r="AZ189" t="s">
        <v>81</v>
      </c>
    </row>
    <row r="190" spans="1:52">
      <c r="A190">
        <f t="shared" si="11"/>
        <v>189</v>
      </c>
      <c r="B190" s="3">
        <v>46035.707233796304</v>
      </c>
      <c r="C190" s="3">
        <v>46035.708680555603</v>
      </c>
      <c r="D190" t="s">
        <v>53</v>
      </c>
      <c r="G190" t="s">
        <v>54</v>
      </c>
      <c r="H190" t="s">
        <v>63</v>
      </c>
      <c r="I190" t="s">
        <v>56</v>
      </c>
      <c r="J190" t="s">
        <v>62</v>
      </c>
      <c r="K190" t="s">
        <v>57</v>
      </c>
      <c r="L190" t="s">
        <v>58</v>
      </c>
      <c r="M190" t="s">
        <v>58</v>
      </c>
      <c r="N190">
        <v>4</v>
      </c>
      <c r="O190">
        <v>2</v>
      </c>
      <c r="P190">
        <v>4</v>
      </c>
      <c r="Q190">
        <v>3</v>
      </c>
      <c r="R190">
        <v>4</v>
      </c>
      <c r="S190">
        <v>4</v>
      </c>
      <c r="T190">
        <v>3</v>
      </c>
      <c r="U190">
        <v>5</v>
      </c>
      <c r="V190">
        <v>4</v>
      </c>
      <c r="W190">
        <v>4</v>
      </c>
      <c r="X190">
        <v>3</v>
      </c>
      <c r="Y190">
        <v>4</v>
      </c>
      <c r="Z190">
        <v>4</v>
      </c>
      <c r="AA190">
        <v>3</v>
      </c>
      <c r="AB190">
        <v>2</v>
      </c>
      <c r="AC190">
        <v>4</v>
      </c>
      <c r="AD190">
        <v>3</v>
      </c>
      <c r="AE190">
        <v>1</v>
      </c>
      <c r="AF190">
        <v>2</v>
      </c>
      <c r="AG190">
        <v>3</v>
      </c>
      <c r="AH190">
        <v>3</v>
      </c>
      <c r="AI190">
        <v>3</v>
      </c>
      <c r="AJ190">
        <v>4</v>
      </c>
      <c r="AK190" t="b">
        <f>Table67[[#This Row],[What is your age?]]&lt;&gt;"18 - 25"</f>
        <v>0</v>
      </c>
      <c r="AL190" t="b">
        <f t="shared" si="8"/>
        <v>0</v>
      </c>
      <c r="AM190" t="b">
        <f t="shared" si="9"/>
        <v>0</v>
      </c>
      <c r="AN190" t="b">
        <f t="shared" si="10"/>
        <v>0</v>
      </c>
      <c r="AO190" t="b">
        <f>OR(Table67[[#This Row],[Ineligible respondents]:[Inconsistent response on opposite question (3)]])</f>
        <v>0</v>
      </c>
      <c r="AP19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90">
        <f>Table67[[#This Row],[Extreme Response]]/21</f>
        <v>9.5238095238095233E-2</v>
      </c>
      <c r="AR190">
        <f>_xlfn.PERCENTILE.INC(Table67[Extrem Response Ratio (ERS)],0.9)</f>
        <v>0.61904761904761907</v>
      </c>
      <c r="AS190" t="b">
        <f>Table67[[#This Row],[Extrem Response Ratio (ERS)]]&gt;=Table67[[#This Row],[Threshold of ERS]]</f>
        <v>0</v>
      </c>
      <c r="AT190">
        <f>COUNTIF(Table67[[#This Row],[The mechanism of digital assets is difficult to understand, which discourages me from exploring it (E.g, Tokenization, Blockchain)]:[If I want to try different ways to invest, I will explore digital assets.]], 3)</f>
        <v>7</v>
      </c>
      <c r="AU190">
        <f>Table67[[#This Row],[Midpoint]]/21</f>
        <v>0.33333333333333331</v>
      </c>
      <c r="AV190">
        <f>_xlfn.PERCENTILE.INC(Table67[Midpoint ratio],0.9)</f>
        <v>0.5714285714285714</v>
      </c>
      <c r="AW190" t="b">
        <f>Table67[[#This Row],[Midpoint ratio]]&gt;=Table67[[#This Row],[Threshold of Midpoint ratio]]</f>
        <v>0</v>
      </c>
      <c r="AX190" t="b">
        <f>OR(Table67[[#This Row],[Extreme Response Style]],Table67[[#This Row],[Mid-point Response Style]])</f>
        <v>0</v>
      </c>
      <c r="AY190" t="b">
        <f>OR(Table67[[#This Row],[Delete? (Stage 1)]],Table67[[#This Row],[Delete? (Stage 2)]])</f>
        <v>0</v>
      </c>
      <c r="AZ190" t="s">
        <v>81</v>
      </c>
    </row>
    <row r="191" spans="1:52">
      <c r="A191">
        <f t="shared" si="11"/>
        <v>190</v>
      </c>
      <c r="B191" s="3">
        <v>46035.707326388903</v>
      </c>
      <c r="C191" s="3">
        <v>46035.7084606481</v>
      </c>
      <c r="D191" t="s">
        <v>53</v>
      </c>
      <c r="G191" t="s">
        <v>54</v>
      </c>
      <c r="H191" t="s">
        <v>55</v>
      </c>
      <c r="I191" t="s">
        <v>75</v>
      </c>
      <c r="J191" t="s">
        <v>60</v>
      </c>
      <c r="K191" t="s">
        <v>57</v>
      </c>
      <c r="L191" t="s">
        <v>61</v>
      </c>
      <c r="M191" t="s">
        <v>61</v>
      </c>
      <c r="N191">
        <v>3</v>
      </c>
      <c r="O191">
        <v>2</v>
      </c>
      <c r="P191">
        <v>3</v>
      </c>
      <c r="Q191">
        <v>4</v>
      </c>
      <c r="R191">
        <v>3</v>
      </c>
      <c r="S191">
        <v>2</v>
      </c>
      <c r="T191">
        <v>2</v>
      </c>
      <c r="U191">
        <v>4</v>
      </c>
      <c r="V191">
        <v>4</v>
      </c>
      <c r="W191">
        <v>4</v>
      </c>
      <c r="X191">
        <v>3</v>
      </c>
      <c r="Y191">
        <v>4</v>
      </c>
      <c r="Z191">
        <v>2</v>
      </c>
      <c r="AA191">
        <v>2</v>
      </c>
      <c r="AB191">
        <v>4</v>
      </c>
      <c r="AC191">
        <v>4</v>
      </c>
      <c r="AD191">
        <v>2</v>
      </c>
      <c r="AE191">
        <v>2</v>
      </c>
      <c r="AF191">
        <v>4</v>
      </c>
      <c r="AG191">
        <v>3</v>
      </c>
      <c r="AH191">
        <v>3</v>
      </c>
      <c r="AI191">
        <v>3</v>
      </c>
      <c r="AJ191">
        <v>2</v>
      </c>
      <c r="AK191" t="b">
        <f>Table67[[#This Row],[What is your age?]]&lt;&gt;"18 - 25"</f>
        <v>0</v>
      </c>
      <c r="AL191" t="b">
        <f t="shared" si="8"/>
        <v>0</v>
      </c>
      <c r="AM191" t="b">
        <f t="shared" si="9"/>
        <v>0</v>
      </c>
      <c r="AN191" t="b">
        <f t="shared" si="10"/>
        <v>0</v>
      </c>
      <c r="AO191" t="b">
        <f>OR(Table67[[#This Row],[Ineligible respondents]:[Inconsistent response on opposite question (3)]])</f>
        <v>0</v>
      </c>
      <c r="AP19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91">
        <f>Table67[[#This Row],[Extreme Response]]/21</f>
        <v>0</v>
      </c>
      <c r="AR191">
        <f>_xlfn.PERCENTILE.INC(Table67[Extrem Response Ratio (ERS)],0.9)</f>
        <v>0.61904761904761907</v>
      </c>
      <c r="AS191" t="b">
        <f>Table67[[#This Row],[Extrem Response Ratio (ERS)]]&gt;=Table67[[#This Row],[Threshold of ERS]]</f>
        <v>0</v>
      </c>
      <c r="AT191">
        <f>COUNTIF(Table67[[#This Row],[The mechanism of digital assets is difficult to understand, which discourages me from exploring it (E.g, Tokenization, Blockchain)]:[If I want to try different ways to invest, I will explore digital assets.]], 3)</f>
        <v>6</v>
      </c>
      <c r="AU191">
        <f>Table67[[#This Row],[Midpoint]]/21</f>
        <v>0.2857142857142857</v>
      </c>
      <c r="AV191">
        <f>_xlfn.PERCENTILE.INC(Table67[Midpoint ratio],0.9)</f>
        <v>0.5714285714285714</v>
      </c>
      <c r="AW191" t="b">
        <f>Table67[[#This Row],[Midpoint ratio]]&gt;=Table67[[#This Row],[Threshold of Midpoint ratio]]</f>
        <v>0</v>
      </c>
      <c r="AX191" t="b">
        <f>OR(Table67[[#This Row],[Extreme Response Style]],Table67[[#This Row],[Mid-point Response Style]])</f>
        <v>0</v>
      </c>
      <c r="AY191" t="b">
        <f>OR(Table67[[#This Row],[Delete? (Stage 1)]],Table67[[#This Row],[Delete? (Stage 2)]])</f>
        <v>0</v>
      </c>
      <c r="AZ191" t="s">
        <v>81</v>
      </c>
    </row>
    <row r="192" spans="1:52">
      <c r="A192">
        <f t="shared" si="11"/>
        <v>191</v>
      </c>
      <c r="B192" s="3">
        <v>46035.708171296297</v>
      </c>
      <c r="C192" s="3">
        <v>46035.711805555598</v>
      </c>
      <c r="D192" t="s">
        <v>53</v>
      </c>
      <c r="G192" t="s">
        <v>54</v>
      </c>
      <c r="H192" t="s">
        <v>55</v>
      </c>
      <c r="I192" t="s">
        <v>56</v>
      </c>
      <c r="J192" t="s">
        <v>60</v>
      </c>
      <c r="K192" t="s">
        <v>57</v>
      </c>
      <c r="L192" t="s">
        <v>58</v>
      </c>
      <c r="M192" t="s">
        <v>61</v>
      </c>
      <c r="N192">
        <v>3</v>
      </c>
      <c r="O192">
        <v>3</v>
      </c>
      <c r="P192">
        <v>4</v>
      </c>
      <c r="Q192">
        <v>3</v>
      </c>
      <c r="R192">
        <v>3</v>
      </c>
      <c r="S192">
        <v>4</v>
      </c>
      <c r="T192">
        <v>3</v>
      </c>
      <c r="U192">
        <v>4</v>
      </c>
      <c r="V192">
        <v>5</v>
      </c>
      <c r="W192">
        <v>5</v>
      </c>
      <c r="X192">
        <v>5</v>
      </c>
      <c r="Y192">
        <v>5</v>
      </c>
      <c r="Z192">
        <v>5</v>
      </c>
      <c r="AA192">
        <v>5</v>
      </c>
      <c r="AB192">
        <v>1</v>
      </c>
      <c r="AC192">
        <v>3</v>
      </c>
      <c r="AD192">
        <v>2</v>
      </c>
      <c r="AE192">
        <v>4</v>
      </c>
      <c r="AF192">
        <v>2</v>
      </c>
      <c r="AG192">
        <v>3</v>
      </c>
      <c r="AH192">
        <v>3</v>
      </c>
      <c r="AI192">
        <v>3</v>
      </c>
      <c r="AJ192">
        <v>4</v>
      </c>
      <c r="AK192" t="b">
        <f>Table67[[#This Row],[What is your age?]]&lt;&gt;"18 - 25"</f>
        <v>0</v>
      </c>
      <c r="AL192" t="b">
        <f t="shared" si="8"/>
        <v>0</v>
      </c>
      <c r="AM192" t="b">
        <f t="shared" si="9"/>
        <v>0</v>
      </c>
      <c r="AN192" t="b">
        <f t="shared" si="10"/>
        <v>0</v>
      </c>
      <c r="AO192" t="b">
        <f>OR(Table67[[#This Row],[Ineligible respondents]:[Inconsistent response on opposite question (3)]])</f>
        <v>0</v>
      </c>
      <c r="AP19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92">
        <f>Table67[[#This Row],[Extreme Response]]/21</f>
        <v>0.33333333333333331</v>
      </c>
      <c r="AR192">
        <f>_xlfn.PERCENTILE.INC(Table67[Extrem Response Ratio (ERS)],0.9)</f>
        <v>0.61904761904761907</v>
      </c>
      <c r="AS192" t="b">
        <f>Table67[[#This Row],[Extrem Response Ratio (ERS)]]&gt;=Table67[[#This Row],[Threshold of ERS]]</f>
        <v>0</v>
      </c>
      <c r="AT192">
        <f>COUNTIF(Table67[[#This Row],[The mechanism of digital assets is difficult to understand, which discourages me from exploring it (E.g, Tokenization, Blockchain)]:[If I want to try different ways to invest, I will explore digital assets.]], 3)</f>
        <v>8</v>
      </c>
      <c r="AU192">
        <f>Table67[[#This Row],[Midpoint]]/21</f>
        <v>0.38095238095238093</v>
      </c>
      <c r="AV192">
        <f>_xlfn.PERCENTILE.INC(Table67[Midpoint ratio],0.9)</f>
        <v>0.5714285714285714</v>
      </c>
      <c r="AW192" t="b">
        <f>Table67[[#This Row],[Midpoint ratio]]&gt;=Table67[[#This Row],[Threshold of Midpoint ratio]]</f>
        <v>0</v>
      </c>
      <c r="AX192" t="b">
        <f>OR(Table67[[#This Row],[Extreme Response Style]],Table67[[#This Row],[Mid-point Response Style]])</f>
        <v>0</v>
      </c>
      <c r="AY192" t="b">
        <f>OR(Table67[[#This Row],[Delete? (Stage 1)]],Table67[[#This Row],[Delete? (Stage 2)]])</f>
        <v>0</v>
      </c>
      <c r="AZ192" t="s">
        <v>81</v>
      </c>
    </row>
    <row r="193" spans="1:52">
      <c r="A193">
        <f t="shared" si="11"/>
        <v>192</v>
      </c>
      <c r="B193" s="3">
        <v>46035.712094907401</v>
      </c>
      <c r="C193" s="3">
        <v>46035.713576388902</v>
      </c>
      <c r="D193" t="s">
        <v>53</v>
      </c>
      <c r="G193" t="s">
        <v>54</v>
      </c>
      <c r="H193" t="s">
        <v>55</v>
      </c>
      <c r="I193" t="s">
        <v>56</v>
      </c>
      <c r="J193" t="s">
        <v>60</v>
      </c>
      <c r="K193" t="s">
        <v>57</v>
      </c>
      <c r="L193" t="s">
        <v>58</v>
      </c>
      <c r="M193" t="s">
        <v>61</v>
      </c>
      <c r="N193">
        <v>5</v>
      </c>
      <c r="O193">
        <v>2</v>
      </c>
      <c r="P193">
        <v>5</v>
      </c>
      <c r="Q193">
        <v>5</v>
      </c>
      <c r="R193">
        <v>5</v>
      </c>
      <c r="S193">
        <v>5</v>
      </c>
      <c r="T193">
        <v>5</v>
      </c>
      <c r="U193">
        <v>5</v>
      </c>
      <c r="V193">
        <v>3</v>
      </c>
      <c r="W193">
        <v>3</v>
      </c>
      <c r="X193">
        <v>5</v>
      </c>
      <c r="Y193">
        <v>5</v>
      </c>
      <c r="Z193">
        <v>5</v>
      </c>
      <c r="AA193">
        <v>5</v>
      </c>
      <c r="AB193">
        <v>5</v>
      </c>
      <c r="AC193">
        <v>5</v>
      </c>
      <c r="AD193">
        <v>5</v>
      </c>
      <c r="AE193">
        <v>3</v>
      </c>
      <c r="AF193">
        <v>2</v>
      </c>
      <c r="AG193">
        <v>3</v>
      </c>
      <c r="AH193">
        <v>3</v>
      </c>
      <c r="AI193">
        <v>3</v>
      </c>
      <c r="AJ193">
        <v>4</v>
      </c>
      <c r="AK193" t="b">
        <f>Table67[[#This Row],[What is your age?]]&lt;&gt;"18 - 25"</f>
        <v>0</v>
      </c>
      <c r="AL193" t="b">
        <f t="shared" si="8"/>
        <v>0</v>
      </c>
      <c r="AM193" t="b">
        <f t="shared" si="9"/>
        <v>0</v>
      </c>
      <c r="AN193" t="b">
        <f t="shared" si="10"/>
        <v>0</v>
      </c>
      <c r="AO193" t="b">
        <f>OR(Table67[[#This Row],[Ineligible respondents]:[Inconsistent response on opposite question (3)]])</f>
        <v>0</v>
      </c>
      <c r="AP19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193">
        <f>Table67[[#This Row],[Extreme Response]]/21</f>
        <v>0.66666666666666663</v>
      </c>
      <c r="AR193">
        <f>_xlfn.PERCENTILE.INC(Table67[Extrem Response Ratio (ERS)],0.9)</f>
        <v>0.61904761904761907</v>
      </c>
      <c r="AS193" t="b">
        <f>Table67[[#This Row],[Extrem Response Ratio (ERS)]]&gt;=Table67[[#This Row],[Threshold of ERS]]</f>
        <v>1</v>
      </c>
      <c r="AT193">
        <f>COUNTIF(Table67[[#This Row],[The mechanism of digital assets is difficult to understand, which discourages me from exploring it (E.g, Tokenization, Blockchain)]:[If I want to try different ways to invest, I will explore digital assets.]], 3)</f>
        <v>5</v>
      </c>
      <c r="AU193">
        <f>Table67[[#This Row],[Midpoint]]/21</f>
        <v>0.23809523809523808</v>
      </c>
      <c r="AV193">
        <f>_xlfn.PERCENTILE.INC(Table67[Midpoint ratio],0.9)</f>
        <v>0.5714285714285714</v>
      </c>
      <c r="AW193" t="b">
        <f>Table67[[#This Row],[Midpoint ratio]]&gt;=Table67[[#This Row],[Threshold of Midpoint ratio]]</f>
        <v>0</v>
      </c>
      <c r="AX193" t="b">
        <f>OR(Table67[[#This Row],[Extreme Response Style]],Table67[[#This Row],[Mid-point Response Style]])</f>
        <v>1</v>
      </c>
      <c r="AY193" t="b">
        <f>OR(Table67[[#This Row],[Delete? (Stage 1)]],Table67[[#This Row],[Delete? (Stage 2)]])</f>
        <v>1</v>
      </c>
      <c r="AZ193" t="s">
        <v>81</v>
      </c>
    </row>
    <row r="194" spans="1:52">
      <c r="A194">
        <f t="shared" si="11"/>
        <v>193</v>
      </c>
      <c r="B194" s="3">
        <v>46035.712337962999</v>
      </c>
      <c r="C194" s="3">
        <v>46035.713113425903</v>
      </c>
      <c r="D194" t="s">
        <v>53</v>
      </c>
      <c r="G194" t="s">
        <v>54</v>
      </c>
      <c r="H194" t="s">
        <v>55</v>
      </c>
      <c r="I194" t="s">
        <v>56</v>
      </c>
      <c r="J194" t="s">
        <v>62</v>
      </c>
      <c r="K194" t="s">
        <v>64</v>
      </c>
      <c r="L194" t="s">
        <v>58</v>
      </c>
      <c r="M194" t="s">
        <v>61</v>
      </c>
      <c r="N194">
        <v>4</v>
      </c>
      <c r="O194">
        <v>3</v>
      </c>
      <c r="P194">
        <v>3</v>
      </c>
      <c r="Q194">
        <v>3</v>
      </c>
      <c r="R194">
        <v>3</v>
      </c>
      <c r="S194">
        <v>3</v>
      </c>
      <c r="T194">
        <v>3</v>
      </c>
      <c r="U194">
        <v>4</v>
      </c>
      <c r="V194">
        <v>4</v>
      </c>
      <c r="W194">
        <v>4</v>
      </c>
      <c r="X194">
        <v>2</v>
      </c>
      <c r="Y194">
        <v>4</v>
      </c>
      <c r="Z194">
        <v>4</v>
      </c>
      <c r="AA194">
        <v>4</v>
      </c>
      <c r="AB194">
        <v>4</v>
      </c>
      <c r="AC194">
        <v>2</v>
      </c>
      <c r="AD194">
        <v>4</v>
      </c>
      <c r="AE194">
        <v>4</v>
      </c>
      <c r="AF194">
        <v>4</v>
      </c>
      <c r="AG194">
        <v>4</v>
      </c>
      <c r="AH194">
        <v>4</v>
      </c>
      <c r="AI194">
        <v>2</v>
      </c>
      <c r="AJ194">
        <v>2</v>
      </c>
      <c r="AK194" t="b">
        <f>Table67[[#This Row],[What is your age?]]&lt;&gt;"18 - 25"</f>
        <v>0</v>
      </c>
      <c r="AL194" t="b">
        <f t="shared" si="8"/>
        <v>0</v>
      </c>
      <c r="AM194" t="b">
        <f t="shared" si="9"/>
        <v>1</v>
      </c>
      <c r="AN194" t="b">
        <f t="shared" si="10"/>
        <v>0</v>
      </c>
      <c r="AO194" t="b">
        <f>OR(Table67[[#This Row],[Ineligible respondents]:[Inconsistent response on opposite question (3)]])</f>
        <v>1</v>
      </c>
      <c r="AP19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94">
        <f>Table67[[#This Row],[Extreme Response]]/21</f>
        <v>0</v>
      </c>
      <c r="AR194">
        <f>_xlfn.PERCENTILE.INC(Table67[Extrem Response Ratio (ERS)],0.9)</f>
        <v>0.61904761904761907</v>
      </c>
      <c r="AS194" t="b">
        <f>Table67[[#This Row],[Extrem Response Ratio (ERS)]]&gt;=Table67[[#This Row],[Threshold of ERS]]</f>
        <v>0</v>
      </c>
      <c r="AT194">
        <f>COUNTIF(Table67[[#This Row],[The mechanism of digital assets is difficult to understand, which discourages me from exploring it (E.g, Tokenization, Blockchain)]:[If I want to try different ways to invest, I will explore digital assets.]], 3)</f>
        <v>6</v>
      </c>
      <c r="AU194">
        <f>Table67[[#This Row],[Midpoint]]/21</f>
        <v>0.2857142857142857</v>
      </c>
      <c r="AV194">
        <f>_xlfn.PERCENTILE.INC(Table67[Midpoint ratio],0.9)</f>
        <v>0.5714285714285714</v>
      </c>
      <c r="AW194" t="b">
        <f>Table67[[#This Row],[Midpoint ratio]]&gt;=Table67[[#This Row],[Threshold of Midpoint ratio]]</f>
        <v>0</v>
      </c>
      <c r="AX194" t="b">
        <f>OR(Table67[[#This Row],[Extreme Response Style]],Table67[[#This Row],[Mid-point Response Style]])</f>
        <v>0</v>
      </c>
      <c r="AY194" t="b">
        <f>OR(Table67[[#This Row],[Delete? (Stage 1)]],Table67[[#This Row],[Delete? (Stage 2)]])</f>
        <v>1</v>
      </c>
      <c r="AZ194" t="s">
        <v>81</v>
      </c>
    </row>
    <row r="195" spans="1:52">
      <c r="A195">
        <f t="shared" si="11"/>
        <v>194</v>
      </c>
      <c r="B195" s="3">
        <v>46035.712754629603</v>
      </c>
      <c r="C195" s="3">
        <v>46035.716481481497</v>
      </c>
      <c r="D195" t="s">
        <v>53</v>
      </c>
      <c r="G195" t="s">
        <v>54</v>
      </c>
      <c r="H195" t="s">
        <v>55</v>
      </c>
      <c r="I195" t="s">
        <v>56</v>
      </c>
      <c r="J195" t="s">
        <v>57</v>
      </c>
      <c r="K195" t="s">
        <v>64</v>
      </c>
      <c r="L195" t="s">
        <v>58</v>
      </c>
      <c r="M195" t="s">
        <v>61</v>
      </c>
      <c r="N195">
        <v>2</v>
      </c>
      <c r="O195">
        <v>1</v>
      </c>
      <c r="P195">
        <v>5</v>
      </c>
      <c r="Q195">
        <v>4</v>
      </c>
      <c r="R195">
        <v>3</v>
      </c>
      <c r="S195">
        <v>2</v>
      </c>
      <c r="T195">
        <v>3</v>
      </c>
      <c r="U195">
        <v>2</v>
      </c>
      <c r="V195">
        <v>5</v>
      </c>
      <c r="W195">
        <v>1</v>
      </c>
      <c r="X195">
        <v>2</v>
      </c>
      <c r="Y195">
        <v>1</v>
      </c>
      <c r="Z195">
        <v>1</v>
      </c>
      <c r="AA195">
        <v>1</v>
      </c>
      <c r="AB195">
        <v>1</v>
      </c>
      <c r="AC195">
        <v>1</v>
      </c>
      <c r="AD195">
        <v>2</v>
      </c>
      <c r="AE195">
        <v>5</v>
      </c>
      <c r="AF195">
        <v>4</v>
      </c>
      <c r="AG195">
        <v>1</v>
      </c>
      <c r="AH195">
        <v>1</v>
      </c>
      <c r="AI195">
        <v>5</v>
      </c>
      <c r="AJ195">
        <v>2</v>
      </c>
      <c r="AK195" t="b">
        <f>Table67[[#This Row],[What is your age?]]&lt;&gt;"18 - 25"</f>
        <v>0</v>
      </c>
      <c r="AL195" t="b">
        <f t="shared" ref="AL195:AL258" si="12">COUNTIF(N195:AH195, N195) = COLUMNS(N195:AH195)</f>
        <v>0</v>
      </c>
      <c r="AM195" t="b">
        <f t="shared" ref="AM195:AM258" si="13">OR(AND(AG195=AH195, AG195&lt;&gt;3), AND(OR(AG195=1, AG195=2), OR(AH195=1, AH195=2)), AND(OR(AG195=4, AG195=5), OR(AH195=4, AH195=5)))</f>
        <v>1</v>
      </c>
      <c r="AN195" t="b">
        <f t="shared" ref="AN195:AN258" si="14">OR(AND(AG195=3, AH195&lt;&gt;3), AND(AH195=3, AG195&lt;&gt;3))</f>
        <v>0</v>
      </c>
      <c r="AO195" t="b">
        <f>OR(Table67[[#This Row],[Ineligible respondents]:[Inconsistent response on opposite question (3)]])</f>
        <v>1</v>
      </c>
      <c r="AP19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12</v>
      </c>
      <c r="AQ195">
        <f>Table67[[#This Row],[Extreme Response]]/21</f>
        <v>0.5714285714285714</v>
      </c>
      <c r="AR195">
        <f>_xlfn.PERCENTILE.INC(Table67[Extrem Response Ratio (ERS)],0.9)</f>
        <v>0.61904761904761907</v>
      </c>
      <c r="AS195" t="b">
        <f>Table67[[#This Row],[Extrem Response Ratio (ERS)]]&gt;=Table67[[#This Row],[Threshold of ERS]]</f>
        <v>0</v>
      </c>
      <c r="AT195">
        <f>COUNTIF(Table67[[#This Row],[The mechanism of digital assets is difficult to understand, which discourages me from exploring it (E.g, Tokenization, Blockchain)]:[If I want to try different ways to invest, I will explore digital assets.]], 3)</f>
        <v>2</v>
      </c>
      <c r="AU195">
        <f>Table67[[#This Row],[Midpoint]]/21</f>
        <v>9.5238095238095233E-2</v>
      </c>
      <c r="AV195">
        <f>_xlfn.PERCENTILE.INC(Table67[Midpoint ratio],0.9)</f>
        <v>0.5714285714285714</v>
      </c>
      <c r="AW195" t="b">
        <f>Table67[[#This Row],[Midpoint ratio]]&gt;=Table67[[#This Row],[Threshold of Midpoint ratio]]</f>
        <v>0</v>
      </c>
      <c r="AX195" t="b">
        <f>OR(Table67[[#This Row],[Extreme Response Style]],Table67[[#This Row],[Mid-point Response Style]])</f>
        <v>0</v>
      </c>
      <c r="AY195" t="b">
        <f>OR(Table67[[#This Row],[Delete? (Stage 1)]],Table67[[#This Row],[Delete? (Stage 2)]])</f>
        <v>1</v>
      </c>
      <c r="AZ195" t="s">
        <v>81</v>
      </c>
    </row>
    <row r="196" spans="1:52">
      <c r="A196">
        <f t="shared" ref="A196:A259" si="15">1+A195</f>
        <v>195</v>
      </c>
      <c r="B196" s="3">
        <v>46035.713194444397</v>
      </c>
      <c r="C196" s="3">
        <v>46035.715682870403</v>
      </c>
      <c r="D196" t="s">
        <v>53</v>
      </c>
      <c r="G196" t="s">
        <v>54</v>
      </c>
      <c r="H196" t="s">
        <v>55</v>
      </c>
      <c r="I196" t="s">
        <v>56</v>
      </c>
      <c r="J196" t="s">
        <v>62</v>
      </c>
      <c r="K196" t="s">
        <v>57</v>
      </c>
      <c r="L196" t="s">
        <v>61</v>
      </c>
      <c r="M196" t="s">
        <v>61</v>
      </c>
      <c r="N196">
        <v>2</v>
      </c>
      <c r="O196">
        <v>2</v>
      </c>
      <c r="P196">
        <v>3</v>
      </c>
      <c r="Q196">
        <v>2</v>
      </c>
      <c r="R196">
        <v>2</v>
      </c>
      <c r="S196">
        <v>2</v>
      </c>
      <c r="T196">
        <v>3</v>
      </c>
      <c r="U196">
        <v>2</v>
      </c>
      <c r="V196">
        <v>3</v>
      </c>
      <c r="W196">
        <v>4</v>
      </c>
      <c r="X196">
        <v>2</v>
      </c>
      <c r="Y196">
        <v>3</v>
      </c>
      <c r="Z196">
        <v>3</v>
      </c>
      <c r="AA196">
        <v>2</v>
      </c>
      <c r="AB196">
        <v>2</v>
      </c>
      <c r="AC196">
        <v>2</v>
      </c>
      <c r="AD196">
        <v>2</v>
      </c>
      <c r="AE196">
        <v>2</v>
      </c>
      <c r="AF196">
        <v>4</v>
      </c>
      <c r="AG196">
        <v>2</v>
      </c>
      <c r="AH196">
        <v>4</v>
      </c>
      <c r="AI196">
        <v>2</v>
      </c>
      <c r="AJ196">
        <v>2</v>
      </c>
      <c r="AK196" t="b">
        <f>Table67[[#This Row],[What is your age?]]&lt;&gt;"18 - 25"</f>
        <v>0</v>
      </c>
      <c r="AL196" t="b">
        <f t="shared" si="12"/>
        <v>0</v>
      </c>
      <c r="AM196" t="b">
        <f t="shared" si="13"/>
        <v>0</v>
      </c>
      <c r="AN196" t="b">
        <f t="shared" si="14"/>
        <v>0</v>
      </c>
      <c r="AO196" t="b">
        <f>OR(Table67[[#This Row],[Ineligible respondents]:[Inconsistent response on opposite question (3)]])</f>
        <v>0</v>
      </c>
      <c r="AP19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96">
        <f>Table67[[#This Row],[Extreme Response]]/21</f>
        <v>0</v>
      </c>
      <c r="AR196">
        <f>_xlfn.PERCENTILE.INC(Table67[Extrem Response Ratio (ERS)],0.9)</f>
        <v>0.61904761904761907</v>
      </c>
      <c r="AS196" t="b">
        <f>Table67[[#This Row],[Extrem Response Ratio (ERS)]]&gt;=Table67[[#This Row],[Threshold of ERS]]</f>
        <v>0</v>
      </c>
      <c r="AT196">
        <f>COUNTIF(Table67[[#This Row],[The mechanism of digital assets is difficult to understand, which discourages me from exploring it (E.g, Tokenization, Blockchain)]:[If I want to try different ways to invest, I will explore digital assets.]], 3)</f>
        <v>5</v>
      </c>
      <c r="AU196">
        <f>Table67[[#This Row],[Midpoint]]/21</f>
        <v>0.23809523809523808</v>
      </c>
      <c r="AV196">
        <f>_xlfn.PERCENTILE.INC(Table67[Midpoint ratio],0.9)</f>
        <v>0.5714285714285714</v>
      </c>
      <c r="AW196" t="b">
        <f>Table67[[#This Row],[Midpoint ratio]]&gt;=Table67[[#This Row],[Threshold of Midpoint ratio]]</f>
        <v>0</v>
      </c>
      <c r="AX196" t="b">
        <f>OR(Table67[[#This Row],[Extreme Response Style]],Table67[[#This Row],[Mid-point Response Style]])</f>
        <v>0</v>
      </c>
      <c r="AY196" t="b">
        <f>OR(Table67[[#This Row],[Delete? (Stage 1)]],Table67[[#This Row],[Delete? (Stage 2)]])</f>
        <v>0</v>
      </c>
      <c r="AZ196" t="s">
        <v>81</v>
      </c>
    </row>
    <row r="197" spans="1:52">
      <c r="A197">
        <f t="shared" si="15"/>
        <v>196</v>
      </c>
      <c r="B197" s="3">
        <v>46035.7132291667</v>
      </c>
      <c r="C197" s="3">
        <v>46035.715196759302</v>
      </c>
      <c r="D197" t="s">
        <v>53</v>
      </c>
      <c r="G197" t="s">
        <v>54</v>
      </c>
      <c r="H197" t="s">
        <v>63</v>
      </c>
      <c r="I197" t="s">
        <v>56</v>
      </c>
      <c r="J197" t="s">
        <v>60</v>
      </c>
      <c r="K197" t="s">
        <v>57</v>
      </c>
      <c r="L197" t="s">
        <v>58</v>
      </c>
      <c r="M197" t="s">
        <v>61</v>
      </c>
      <c r="N197">
        <v>4</v>
      </c>
      <c r="O197">
        <v>3</v>
      </c>
      <c r="P197">
        <v>3</v>
      </c>
      <c r="Q197">
        <v>3</v>
      </c>
      <c r="R197">
        <v>4</v>
      </c>
      <c r="S197">
        <v>3</v>
      </c>
      <c r="T197">
        <v>3</v>
      </c>
      <c r="U197">
        <v>4</v>
      </c>
      <c r="V197">
        <v>1</v>
      </c>
      <c r="W197">
        <v>3</v>
      </c>
      <c r="X197">
        <v>4</v>
      </c>
      <c r="Y197">
        <v>4</v>
      </c>
      <c r="Z197">
        <v>4</v>
      </c>
      <c r="AA197">
        <v>3</v>
      </c>
      <c r="AB197">
        <v>3</v>
      </c>
      <c r="AC197">
        <v>3</v>
      </c>
      <c r="AD197">
        <v>4</v>
      </c>
      <c r="AE197">
        <v>4</v>
      </c>
      <c r="AF197">
        <v>2</v>
      </c>
      <c r="AG197">
        <v>4</v>
      </c>
      <c r="AH197">
        <v>3</v>
      </c>
      <c r="AI197">
        <v>3</v>
      </c>
      <c r="AJ197">
        <v>4</v>
      </c>
      <c r="AK197" t="b">
        <f>Table67[[#This Row],[What is your age?]]&lt;&gt;"18 - 25"</f>
        <v>0</v>
      </c>
      <c r="AL197" t="b">
        <f t="shared" si="12"/>
        <v>0</v>
      </c>
      <c r="AM197" t="b">
        <f t="shared" si="13"/>
        <v>0</v>
      </c>
      <c r="AN197" t="b">
        <f t="shared" si="14"/>
        <v>1</v>
      </c>
      <c r="AO197" t="b">
        <f>OR(Table67[[#This Row],[Ineligible respondents]:[Inconsistent response on opposite question (3)]])</f>
        <v>1</v>
      </c>
      <c r="AP19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97">
        <f>Table67[[#This Row],[Extreme Response]]/21</f>
        <v>4.7619047619047616E-2</v>
      </c>
      <c r="AR197">
        <f>_xlfn.PERCENTILE.INC(Table67[Extrem Response Ratio (ERS)],0.9)</f>
        <v>0.61904761904761907</v>
      </c>
      <c r="AS197" t="b">
        <f>Table67[[#This Row],[Extrem Response Ratio (ERS)]]&gt;=Table67[[#This Row],[Threshold of ERS]]</f>
        <v>0</v>
      </c>
      <c r="AT197">
        <f>COUNTIF(Table67[[#This Row],[The mechanism of digital assets is difficult to understand, which discourages me from exploring it (E.g, Tokenization, Blockchain)]:[If I want to try different ways to invest, I will explore digital assets.]], 3)</f>
        <v>10</v>
      </c>
      <c r="AU197">
        <f>Table67[[#This Row],[Midpoint]]/21</f>
        <v>0.47619047619047616</v>
      </c>
      <c r="AV197">
        <f>_xlfn.PERCENTILE.INC(Table67[Midpoint ratio],0.9)</f>
        <v>0.5714285714285714</v>
      </c>
      <c r="AW197" t="b">
        <f>Table67[[#This Row],[Midpoint ratio]]&gt;=Table67[[#This Row],[Threshold of Midpoint ratio]]</f>
        <v>0</v>
      </c>
      <c r="AX197" t="b">
        <f>OR(Table67[[#This Row],[Extreme Response Style]],Table67[[#This Row],[Mid-point Response Style]])</f>
        <v>0</v>
      </c>
      <c r="AY197" t="b">
        <f>OR(Table67[[#This Row],[Delete? (Stage 1)]],Table67[[#This Row],[Delete? (Stage 2)]])</f>
        <v>1</v>
      </c>
      <c r="AZ197" t="s">
        <v>81</v>
      </c>
    </row>
    <row r="198" spans="1:52">
      <c r="A198">
        <f t="shared" si="15"/>
        <v>197</v>
      </c>
      <c r="B198" s="3">
        <v>46035.713310185201</v>
      </c>
      <c r="C198" s="3">
        <v>46035.714571759301</v>
      </c>
      <c r="D198" t="s">
        <v>53</v>
      </c>
      <c r="G198" t="s">
        <v>54</v>
      </c>
      <c r="H198" t="s">
        <v>63</v>
      </c>
      <c r="I198" t="s">
        <v>56</v>
      </c>
      <c r="J198" t="s">
        <v>62</v>
      </c>
      <c r="K198" t="s">
        <v>60</v>
      </c>
      <c r="L198" t="s">
        <v>58</v>
      </c>
      <c r="M198" t="s">
        <v>61</v>
      </c>
      <c r="N198">
        <v>3</v>
      </c>
      <c r="O198">
        <v>3</v>
      </c>
      <c r="P198">
        <v>4</v>
      </c>
      <c r="Q198">
        <v>3</v>
      </c>
      <c r="R198">
        <v>3</v>
      </c>
      <c r="S198">
        <v>5</v>
      </c>
      <c r="T198">
        <v>3</v>
      </c>
      <c r="U198">
        <v>4</v>
      </c>
      <c r="V198">
        <v>4</v>
      </c>
      <c r="W198">
        <v>4</v>
      </c>
      <c r="X198">
        <v>4</v>
      </c>
      <c r="Y198">
        <v>4</v>
      </c>
      <c r="Z198">
        <v>4</v>
      </c>
      <c r="AA198">
        <v>4</v>
      </c>
      <c r="AB198">
        <v>4</v>
      </c>
      <c r="AC198">
        <v>4</v>
      </c>
      <c r="AD198">
        <v>4</v>
      </c>
      <c r="AE198">
        <v>2</v>
      </c>
      <c r="AF198">
        <v>4</v>
      </c>
      <c r="AG198">
        <v>3</v>
      </c>
      <c r="AH198">
        <v>4</v>
      </c>
      <c r="AI198">
        <v>2</v>
      </c>
      <c r="AJ198">
        <v>2</v>
      </c>
      <c r="AK198" t="b">
        <f>Table67[[#This Row],[What is your age?]]&lt;&gt;"18 - 25"</f>
        <v>0</v>
      </c>
      <c r="AL198" t="b">
        <f t="shared" si="12"/>
        <v>0</v>
      </c>
      <c r="AM198" t="b">
        <f t="shared" si="13"/>
        <v>0</v>
      </c>
      <c r="AN198" t="b">
        <f t="shared" si="14"/>
        <v>1</v>
      </c>
      <c r="AO198" t="b">
        <f>OR(Table67[[#This Row],[Ineligible respondents]:[Inconsistent response on opposite question (3)]])</f>
        <v>1</v>
      </c>
      <c r="AP19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98">
        <f>Table67[[#This Row],[Extreme Response]]/21</f>
        <v>4.7619047619047616E-2</v>
      </c>
      <c r="AR198">
        <f>_xlfn.PERCENTILE.INC(Table67[Extrem Response Ratio (ERS)],0.9)</f>
        <v>0.61904761904761907</v>
      </c>
      <c r="AS198" t="b">
        <f>Table67[[#This Row],[Extrem Response Ratio (ERS)]]&gt;=Table67[[#This Row],[Threshold of ERS]]</f>
        <v>0</v>
      </c>
      <c r="AT198">
        <f>COUNTIF(Table67[[#This Row],[The mechanism of digital assets is difficult to understand, which discourages me from exploring it (E.g, Tokenization, Blockchain)]:[If I want to try different ways to invest, I will explore digital assets.]], 3)</f>
        <v>6</v>
      </c>
      <c r="AU198">
        <f>Table67[[#This Row],[Midpoint]]/21</f>
        <v>0.2857142857142857</v>
      </c>
      <c r="AV198">
        <f>_xlfn.PERCENTILE.INC(Table67[Midpoint ratio],0.9)</f>
        <v>0.5714285714285714</v>
      </c>
      <c r="AW198" t="b">
        <f>Table67[[#This Row],[Midpoint ratio]]&gt;=Table67[[#This Row],[Threshold of Midpoint ratio]]</f>
        <v>0</v>
      </c>
      <c r="AX198" t="b">
        <f>OR(Table67[[#This Row],[Extreme Response Style]],Table67[[#This Row],[Mid-point Response Style]])</f>
        <v>0</v>
      </c>
      <c r="AY198" t="b">
        <f>OR(Table67[[#This Row],[Delete? (Stage 1)]],Table67[[#This Row],[Delete? (Stage 2)]])</f>
        <v>1</v>
      </c>
      <c r="AZ198" t="s">
        <v>81</v>
      </c>
    </row>
    <row r="199" spans="1:52">
      <c r="A199">
        <f t="shared" si="15"/>
        <v>198</v>
      </c>
      <c r="B199" s="3">
        <v>46035.713356481501</v>
      </c>
      <c r="C199" s="3">
        <v>46035.716412037</v>
      </c>
      <c r="D199" t="s">
        <v>53</v>
      </c>
      <c r="G199" t="s">
        <v>54</v>
      </c>
      <c r="H199" t="s">
        <v>55</v>
      </c>
      <c r="I199" t="s">
        <v>56</v>
      </c>
      <c r="J199" t="s">
        <v>57</v>
      </c>
      <c r="K199" t="s">
        <v>60</v>
      </c>
      <c r="L199" t="s">
        <v>58</v>
      </c>
      <c r="M199" t="s">
        <v>61</v>
      </c>
      <c r="N199">
        <v>4</v>
      </c>
      <c r="O199">
        <v>4</v>
      </c>
      <c r="P199">
        <v>5</v>
      </c>
      <c r="Q199">
        <v>4</v>
      </c>
      <c r="R199">
        <v>2</v>
      </c>
      <c r="S199">
        <v>2</v>
      </c>
      <c r="T199">
        <v>4</v>
      </c>
      <c r="U199">
        <v>4</v>
      </c>
      <c r="V199">
        <v>5</v>
      </c>
      <c r="W199">
        <v>5</v>
      </c>
      <c r="X199">
        <v>4</v>
      </c>
      <c r="Y199">
        <v>4</v>
      </c>
      <c r="Z199">
        <v>5</v>
      </c>
      <c r="AA199">
        <v>4</v>
      </c>
      <c r="AB199">
        <v>2</v>
      </c>
      <c r="AC199">
        <v>4</v>
      </c>
      <c r="AD199">
        <v>5</v>
      </c>
      <c r="AE199">
        <v>2</v>
      </c>
      <c r="AF199">
        <v>3</v>
      </c>
      <c r="AG199">
        <v>3</v>
      </c>
      <c r="AH199">
        <v>4</v>
      </c>
      <c r="AI199">
        <v>2</v>
      </c>
      <c r="AJ199">
        <v>3</v>
      </c>
      <c r="AK199" t="b">
        <f>Table67[[#This Row],[What is your age?]]&lt;&gt;"18 - 25"</f>
        <v>0</v>
      </c>
      <c r="AL199" t="b">
        <f t="shared" si="12"/>
        <v>0</v>
      </c>
      <c r="AM199" t="b">
        <f t="shared" si="13"/>
        <v>0</v>
      </c>
      <c r="AN199" t="b">
        <f t="shared" si="14"/>
        <v>1</v>
      </c>
      <c r="AO199" t="b">
        <f>OR(Table67[[#This Row],[Ineligible respondents]:[Inconsistent response on opposite question (3)]])</f>
        <v>1</v>
      </c>
      <c r="AP19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99">
        <f>Table67[[#This Row],[Extreme Response]]/21</f>
        <v>0.23809523809523808</v>
      </c>
      <c r="AR199">
        <f>_xlfn.PERCENTILE.INC(Table67[Extrem Response Ratio (ERS)],0.9)</f>
        <v>0.61904761904761907</v>
      </c>
      <c r="AS199" t="b">
        <f>Table67[[#This Row],[Extrem Response Ratio (ERS)]]&gt;=Table67[[#This Row],[Threshold of ERS]]</f>
        <v>0</v>
      </c>
      <c r="AT199">
        <f>COUNTIF(Table67[[#This Row],[The mechanism of digital assets is difficult to understand, which discourages me from exploring it (E.g, Tokenization, Blockchain)]:[If I want to try different ways to invest, I will explore digital assets.]], 3)</f>
        <v>2</v>
      </c>
      <c r="AU199">
        <f>Table67[[#This Row],[Midpoint]]/21</f>
        <v>9.5238095238095233E-2</v>
      </c>
      <c r="AV199">
        <f>_xlfn.PERCENTILE.INC(Table67[Midpoint ratio],0.9)</f>
        <v>0.5714285714285714</v>
      </c>
      <c r="AW199" t="b">
        <f>Table67[[#This Row],[Midpoint ratio]]&gt;=Table67[[#This Row],[Threshold of Midpoint ratio]]</f>
        <v>0</v>
      </c>
      <c r="AX199" t="b">
        <f>OR(Table67[[#This Row],[Extreme Response Style]],Table67[[#This Row],[Mid-point Response Style]])</f>
        <v>0</v>
      </c>
      <c r="AY199" t="b">
        <f>OR(Table67[[#This Row],[Delete? (Stage 1)]],Table67[[#This Row],[Delete? (Stage 2)]])</f>
        <v>1</v>
      </c>
      <c r="AZ199" t="s">
        <v>81</v>
      </c>
    </row>
    <row r="200" spans="1:52">
      <c r="A200">
        <f t="shared" si="15"/>
        <v>199</v>
      </c>
      <c r="B200" s="3">
        <v>46035.713564814803</v>
      </c>
      <c r="C200" s="3">
        <v>46035.714791666702</v>
      </c>
      <c r="D200" t="s">
        <v>53</v>
      </c>
      <c r="G200" t="s">
        <v>54</v>
      </c>
      <c r="H200" t="s">
        <v>63</v>
      </c>
      <c r="I200" t="s">
        <v>56</v>
      </c>
      <c r="J200" t="s">
        <v>60</v>
      </c>
      <c r="K200" t="s">
        <v>65</v>
      </c>
      <c r="L200" t="s">
        <v>58</v>
      </c>
      <c r="M200" t="s">
        <v>61</v>
      </c>
      <c r="N200">
        <v>3</v>
      </c>
      <c r="O200">
        <v>3</v>
      </c>
      <c r="P200">
        <v>3</v>
      </c>
      <c r="Q200">
        <v>3</v>
      </c>
      <c r="R200">
        <v>3</v>
      </c>
      <c r="S200">
        <v>3</v>
      </c>
      <c r="T200">
        <v>3</v>
      </c>
      <c r="U200">
        <v>3</v>
      </c>
      <c r="V200">
        <v>3</v>
      </c>
      <c r="W200">
        <v>4</v>
      </c>
      <c r="X200">
        <v>3</v>
      </c>
      <c r="Y200">
        <v>3</v>
      </c>
      <c r="Z200">
        <v>3</v>
      </c>
      <c r="AA200">
        <v>3</v>
      </c>
      <c r="AB200">
        <v>3</v>
      </c>
      <c r="AC200">
        <v>3</v>
      </c>
      <c r="AD200">
        <v>3</v>
      </c>
      <c r="AE200">
        <v>3</v>
      </c>
      <c r="AF200">
        <v>3</v>
      </c>
      <c r="AG200">
        <v>2</v>
      </c>
      <c r="AH200">
        <v>3</v>
      </c>
      <c r="AI200">
        <v>3</v>
      </c>
      <c r="AJ200">
        <v>3</v>
      </c>
      <c r="AK200" t="b">
        <f>Table67[[#This Row],[What is your age?]]&lt;&gt;"18 - 25"</f>
        <v>0</v>
      </c>
      <c r="AL200" t="b">
        <f t="shared" si="12"/>
        <v>0</v>
      </c>
      <c r="AM200" t="b">
        <f t="shared" si="13"/>
        <v>0</v>
      </c>
      <c r="AN200" t="b">
        <f t="shared" si="14"/>
        <v>1</v>
      </c>
      <c r="AO200" t="b">
        <f>OR(Table67[[#This Row],[Ineligible respondents]:[Inconsistent response on opposite question (3)]])</f>
        <v>1</v>
      </c>
      <c r="AP20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00">
        <f>Table67[[#This Row],[Extreme Response]]/21</f>
        <v>0</v>
      </c>
      <c r="AR200">
        <f>_xlfn.PERCENTILE.INC(Table67[Extrem Response Ratio (ERS)],0.9)</f>
        <v>0.61904761904761907</v>
      </c>
      <c r="AS200" t="b">
        <f>Table67[[#This Row],[Extrem Response Ratio (ERS)]]&gt;=Table67[[#This Row],[Threshold of ERS]]</f>
        <v>0</v>
      </c>
      <c r="AT200">
        <f>COUNTIF(Table67[[#This Row],[The mechanism of digital assets is difficult to understand, which discourages me from exploring it (E.g, Tokenization, Blockchain)]:[If I want to try different ways to invest, I will explore digital assets.]], 3)</f>
        <v>19</v>
      </c>
      <c r="AU200">
        <f>Table67[[#This Row],[Midpoint]]/21</f>
        <v>0.90476190476190477</v>
      </c>
      <c r="AV200">
        <f>_xlfn.PERCENTILE.INC(Table67[Midpoint ratio],0.9)</f>
        <v>0.5714285714285714</v>
      </c>
      <c r="AW200" t="b">
        <f>Table67[[#This Row],[Midpoint ratio]]&gt;=Table67[[#This Row],[Threshold of Midpoint ratio]]</f>
        <v>1</v>
      </c>
      <c r="AX200" t="b">
        <f>OR(Table67[[#This Row],[Extreme Response Style]],Table67[[#This Row],[Mid-point Response Style]])</f>
        <v>1</v>
      </c>
      <c r="AY200" t="b">
        <f>OR(Table67[[#This Row],[Delete? (Stage 1)]],Table67[[#This Row],[Delete? (Stage 2)]])</f>
        <v>1</v>
      </c>
      <c r="AZ200" t="s">
        <v>81</v>
      </c>
    </row>
    <row r="201" spans="1:52">
      <c r="A201">
        <f t="shared" si="15"/>
        <v>200</v>
      </c>
      <c r="B201" s="3">
        <v>46035.713622685202</v>
      </c>
      <c r="C201" s="3">
        <v>46035.714872685203</v>
      </c>
      <c r="D201" t="s">
        <v>53</v>
      </c>
      <c r="G201" t="s">
        <v>54</v>
      </c>
      <c r="H201" t="s">
        <v>63</v>
      </c>
      <c r="I201" t="s">
        <v>56</v>
      </c>
      <c r="J201" t="s">
        <v>62</v>
      </c>
      <c r="K201" t="s">
        <v>57</v>
      </c>
      <c r="L201" t="s">
        <v>58</v>
      </c>
      <c r="M201" t="s">
        <v>61</v>
      </c>
      <c r="N201">
        <v>3</v>
      </c>
      <c r="O201">
        <v>3</v>
      </c>
      <c r="P201">
        <v>2</v>
      </c>
      <c r="Q201">
        <v>3</v>
      </c>
      <c r="R201">
        <v>3</v>
      </c>
      <c r="S201">
        <v>3</v>
      </c>
      <c r="T201">
        <v>3</v>
      </c>
      <c r="U201">
        <v>3</v>
      </c>
      <c r="V201">
        <v>3</v>
      </c>
      <c r="W201">
        <v>3</v>
      </c>
      <c r="X201">
        <v>3</v>
      </c>
      <c r="Y201">
        <v>3</v>
      </c>
      <c r="Z201">
        <v>3</v>
      </c>
      <c r="AA201">
        <v>3</v>
      </c>
      <c r="AB201">
        <v>3</v>
      </c>
      <c r="AC201">
        <v>3</v>
      </c>
      <c r="AD201">
        <v>3</v>
      </c>
      <c r="AE201">
        <v>3</v>
      </c>
      <c r="AF201">
        <v>3</v>
      </c>
      <c r="AG201">
        <v>3</v>
      </c>
      <c r="AH201">
        <v>3</v>
      </c>
      <c r="AI201">
        <v>3</v>
      </c>
      <c r="AJ201">
        <v>3</v>
      </c>
      <c r="AK201" t="b">
        <f>Table67[[#This Row],[What is your age?]]&lt;&gt;"18 - 25"</f>
        <v>0</v>
      </c>
      <c r="AL201" t="b">
        <f t="shared" si="12"/>
        <v>0</v>
      </c>
      <c r="AM201" t="b">
        <f t="shared" si="13"/>
        <v>0</v>
      </c>
      <c r="AN201" t="b">
        <f t="shared" si="14"/>
        <v>0</v>
      </c>
      <c r="AO201" t="b">
        <f>OR(Table67[[#This Row],[Ineligible respondents]:[Inconsistent response on opposite question (3)]])</f>
        <v>0</v>
      </c>
      <c r="AP20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01">
        <f>Table67[[#This Row],[Extreme Response]]/21</f>
        <v>0</v>
      </c>
      <c r="AR201">
        <f>_xlfn.PERCENTILE.INC(Table67[Extrem Response Ratio (ERS)],0.9)</f>
        <v>0.61904761904761907</v>
      </c>
      <c r="AS201" t="b">
        <f>Table67[[#This Row],[Extrem Response Ratio (ERS)]]&gt;=Table67[[#This Row],[Threshold of ERS]]</f>
        <v>0</v>
      </c>
      <c r="AT201">
        <f>COUNTIF(Table67[[#This Row],[The mechanism of digital assets is difficult to understand, which discourages me from exploring it (E.g, Tokenization, Blockchain)]:[If I want to try different ways to invest, I will explore digital assets.]], 3)</f>
        <v>20</v>
      </c>
      <c r="AU201">
        <f>Table67[[#This Row],[Midpoint]]/21</f>
        <v>0.95238095238095233</v>
      </c>
      <c r="AV201">
        <f>_xlfn.PERCENTILE.INC(Table67[Midpoint ratio],0.9)</f>
        <v>0.5714285714285714</v>
      </c>
      <c r="AW201" t="b">
        <f>Table67[[#This Row],[Midpoint ratio]]&gt;=Table67[[#This Row],[Threshold of Midpoint ratio]]</f>
        <v>1</v>
      </c>
      <c r="AX201" t="b">
        <f>OR(Table67[[#This Row],[Extreme Response Style]],Table67[[#This Row],[Mid-point Response Style]])</f>
        <v>1</v>
      </c>
      <c r="AY201" t="b">
        <f>OR(Table67[[#This Row],[Delete? (Stage 1)]],Table67[[#This Row],[Delete? (Stage 2)]])</f>
        <v>1</v>
      </c>
      <c r="AZ201" t="s">
        <v>81</v>
      </c>
    </row>
    <row r="202" spans="1:52">
      <c r="A202">
        <f t="shared" si="15"/>
        <v>201</v>
      </c>
      <c r="B202" s="3">
        <v>46035.720243055599</v>
      </c>
      <c r="C202" s="3">
        <v>46035.722476851799</v>
      </c>
      <c r="D202" t="s">
        <v>53</v>
      </c>
      <c r="G202" t="s">
        <v>54</v>
      </c>
      <c r="H202" t="s">
        <v>63</v>
      </c>
      <c r="I202" t="s">
        <v>56</v>
      </c>
      <c r="J202" t="s">
        <v>57</v>
      </c>
      <c r="K202" t="s">
        <v>67</v>
      </c>
      <c r="L202" t="s">
        <v>58</v>
      </c>
      <c r="M202" t="s">
        <v>61</v>
      </c>
      <c r="N202">
        <v>2</v>
      </c>
      <c r="O202">
        <v>2</v>
      </c>
      <c r="P202">
        <v>4</v>
      </c>
      <c r="Q202">
        <v>3</v>
      </c>
      <c r="R202">
        <v>2</v>
      </c>
      <c r="S202">
        <v>3</v>
      </c>
      <c r="T202">
        <v>4</v>
      </c>
      <c r="U202">
        <v>3</v>
      </c>
      <c r="V202">
        <v>4</v>
      </c>
      <c r="W202">
        <v>3</v>
      </c>
      <c r="X202">
        <v>2</v>
      </c>
      <c r="Y202">
        <v>1</v>
      </c>
      <c r="Z202">
        <v>4</v>
      </c>
      <c r="AA202">
        <v>2</v>
      </c>
      <c r="AB202">
        <v>2</v>
      </c>
      <c r="AC202">
        <v>2</v>
      </c>
      <c r="AD202">
        <v>2</v>
      </c>
      <c r="AE202">
        <v>2</v>
      </c>
      <c r="AF202">
        <v>4</v>
      </c>
      <c r="AG202">
        <v>3</v>
      </c>
      <c r="AH202">
        <v>5</v>
      </c>
      <c r="AI202">
        <v>1</v>
      </c>
      <c r="AJ202">
        <v>2</v>
      </c>
      <c r="AK202" t="b">
        <f>Table67[[#This Row],[What is your age?]]&lt;&gt;"18 - 25"</f>
        <v>0</v>
      </c>
      <c r="AL202" t="b">
        <f t="shared" si="12"/>
        <v>0</v>
      </c>
      <c r="AM202" t="b">
        <f t="shared" si="13"/>
        <v>0</v>
      </c>
      <c r="AN202" t="b">
        <f t="shared" si="14"/>
        <v>1</v>
      </c>
      <c r="AO202" t="b">
        <f>OR(Table67[[#This Row],[Ineligible respondents]:[Inconsistent response on opposite question (3)]])</f>
        <v>1</v>
      </c>
      <c r="AP20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202">
        <f>Table67[[#This Row],[Extreme Response]]/21</f>
        <v>9.5238095238095233E-2</v>
      </c>
      <c r="AR202">
        <f>_xlfn.PERCENTILE.INC(Table67[Extrem Response Ratio (ERS)],0.9)</f>
        <v>0.61904761904761907</v>
      </c>
      <c r="AS202" t="b">
        <f>Table67[[#This Row],[Extrem Response Ratio (ERS)]]&gt;=Table67[[#This Row],[Threshold of ERS]]</f>
        <v>0</v>
      </c>
      <c r="AT202">
        <f>COUNTIF(Table67[[#This Row],[The mechanism of digital assets is difficult to understand, which discourages me from exploring it (E.g, Tokenization, Blockchain)]:[If I want to try different ways to invest, I will explore digital assets.]], 3)</f>
        <v>5</v>
      </c>
      <c r="AU202">
        <f>Table67[[#This Row],[Midpoint]]/21</f>
        <v>0.23809523809523808</v>
      </c>
      <c r="AV202">
        <f>_xlfn.PERCENTILE.INC(Table67[Midpoint ratio],0.9)</f>
        <v>0.5714285714285714</v>
      </c>
      <c r="AW202" t="b">
        <f>Table67[[#This Row],[Midpoint ratio]]&gt;=Table67[[#This Row],[Threshold of Midpoint ratio]]</f>
        <v>0</v>
      </c>
      <c r="AX202" t="b">
        <f>OR(Table67[[#This Row],[Extreme Response Style]],Table67[[#This Row],[Mid-point Response Style]])</f>
        <v>0</v>
      </c>
      <c r="AY202" t="b">
        <f>OR(Table67[[#This Row],[Delete? (Stage 1)]],Table67[[#This Row],[Delete? (Stage 2)]])</f>
        <v>1</v>
      </c>
      <c r="AZ202" t="s">
        <v>81</v>
      </c>
    </row>
    <row r="203" spans="1:52">
      <c r="A203">
        <f t="shared" si="15"/>
        <v>202</v>
      </c>
      <c r="B203" s="3">
        <v>46035.7281365741</v>
      </c>
      <c r="C203" s="3">
        <v>46035.729814814797</v>
      </c>
      <c r="D203" t="s">
        <v>53</v>
      </c>
      <c r="G203" t="s">
        <v>54</v>
      </c>
      <c r="H203" t="s">
        <v>55</v>
      </c>
      <c r="I203" t="s">
        <v>56</v>
      </c>
      <c r="J203" t="s">
        <v>57</v>
      </c>
      <c r="K203" t="s">
        <v>62</v>
      </c>
      <c r="L203" t="s">
        <v>58</v>
      </c>
      <c r="M203" t="s">
        <v>58</v>
      </c>
      <c r="N203">
        <v>3</v>
      </c>
      <c r="O203">
        <v>4</v>
      </c>
      <c r="P203">
        <v>4</v>
      </c>
      <c r="Q203">
        <v>3</v>
      </c>
      <c r="R203">
        <v>3</v>
      </c>
      <c r="S203">
        <v>3</v>
      </c>
      <c r="T203">
        <v>3</v>
      </c>
      <c r="U203">
        <v>4</v>
      </c>
      <c r="V203">
        <v>5</v>
      </c>
      <c r="W203">
        <v>5</v>
      </c>
      <c r="X203">
        <v>5</v>
      </c>
      <c r="Y203">
        <v>5</v>
      </c>
      <c r="Z203">
        <v>5</v>
      </c>
      <c r="AA203">
        <v>4</v>
      </c>
      <c r="AB203">
        <v>2</v>
      </c>
      <c r="AC203">
        <v>4</v>
      </c>
      <c r="AD203">
        <v>5</v>
      </c>
      <c r="AE203">
        <v>5</v>
      </c>
      <c r="AF203">
        <v>1</v>
      </c>
      <c r="AG203">
        <v>3</v>
      </c>
      <c r="AH203">
        <v>4</v>
      </c>
      <c r="AI203">
        <v>2</v>
      </c>
      <c r="AJ203">
        <v>5</v>
      </c>
      <c r="AK203" t="b">
        <f>Table67[[#This Row],[What is your age?]]&lt;&gt;"18 - 25"</f>
        <v>0</v>
      </c>
      <c r="AL203" t="b">
        <f t="shared" si="12"/>
        <v>0</v>
      </c>
      <c r="AM203" t="b">
        <f t="shared" si="13"/>
        <v>0</v>
      </c>
      <c r="AN203" t="b">
        <f t="shared" si="14"/>
        <v>1</v>
      </c>
      <c r="AO203" t="b">
        <f>OR(Table67[[#This Row],[Ineligible respondents]:[Inconsistent response on opposite question (3)]])</f>
        <v>1</v>
      </c>
      <c r="AP20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203">
        <f>Table67[[#This Row],[Extreme Response]]/21</f>
        <v>0.38095238095238093</v>
      </c>
      <c r="AR203">
        <f>_xlfn.PERCENTILE.INC(Table67[Extrem Response Ratio (ERS)],0.9)</f>
        <v>0.61904761904761907</v>
      </c>
      <c r="AS203" t="b">
        <f>Table67[[#This Row],[Extrem Response Ratio (ERS)]]&gt;=Table67[[#This Row],[Threshold of ERS]]</f>
        <v>0</v>
      </c>
      <c r="AT203">
        <f>COUNTIF(Table67[[#This Row],[The mechanism of digital assets is difficult to understand, which discourages me from exploring it (E.g, Tokenization, Blockchain)]:[If I want to try different ways to invest, I will explore digital assets.]], 3)</f>
        <v>6</v>
      </c>
      <c r="AU203">
        <f>Table67[[#This Row],[Midpoint]]/21</f>
        <v>0.2857142857142857</v>
      </c>
      <c r="AV203">
        <f>_xlfn.PERCENTILE.INC(Table67[Midpoint ratio],0.9)</f>
        <v>0.5714285714285714</v>
      </c>
      <c r="AW203" t="b">
        <f>Table67[[#This Row],[Midpoint ratio]]&gt;=Table67[[#This Row],[Threshold of Midpoint ratio]]</f>
        <v>0</v>
      </c>
      <c r="AX203" t="b">
        <f>OR(Table67[[#This Row],[Extreme Response Style]],Table67[[#This Row],[Mid-point Response Style]])</f>
        <v>0</v>
      </c>
      <c r="AY203" t="b">
        <f>OR(Table67[[#This Row],[Delete? (Stage 1)]],Table67[[#This Row],[Delete? (Stage 2)]])</f>
        <v>1</v>
      </c>
      <c r="AZ203" t="s">
        <v>81</v>
      </c>
    </row>
    <row r="204" spans="1:52">
      <c r="A204">
        <f t="shared" si="15"/>
        <v>203</v>
      </c>
      <c r="B204" s="3">
        <v>46035.728171296301</v>
      </c>
      <c r="C204" s="3">
        <v>46035.730752314797</v>
      </c>
      <c r="D204" t="s">
        <v>53</v>
      </c>
      <c r="G204" t="s">
        <v>54</v>
      </c>
      <c r="H204" t="s">
        <v>55</v>
      </c>
      <c r="I204" t="s">
        <v>56</v>
      </c>
      <c r="J204" t="s">
        <v>60</v>
      </c>
      <c r="K204" t="s">
        <v>57</v>
      </c>
      <c r="L204" t="s">
        <v>58</v>
      </c>
      <c r="M204" t="s">
        <v>61</v>
      </c>
      <c r="N204">
        <v>4</v>
      </c>
      <c r="O204">
        <v>1</v>
      </c>
      <c r="P204">
        <v>3</v>
      </c>
      <c r="Q204">
        <v>4</v>
      </c>
      <c r="R204">
        <v>4</v>
      </c>
      <c r="S204">
        <v>3</v>
      </c>
      <c r="T204">
        <v>4</v>
      </c>
      <c r="U204">
        <v>4</v>
      </c>
      <c r="V204">
        <v>5</v>
      </c>
      <c r="W204">
        <v>5</v>
      </c>
      <c r="X204">
        <v>4</v>
      </c>
      <c r="Y204">
        <v>4</v>
      </c>
      <c r="Z204">
        <v>4</v>
      </c>
      <c r="AA204">
        <v>4</v>
      </c>
      <c r="AB204">
        <v>3</v>
      </c>
      <c r="AC204">
        <v>4</v>
      </c>
      <c r="AD204">
        <v>4</v>
      </c>
      <c r="AE204">
        <v>4</v>
      </c>
      <c r="AF204">
        <v>2</v>
      </c>
      <c r="AG204">
        <v>4</v>
      </c>
      <c r="AH204">
        <v>3</v>
      </c>
      <c r="AI204">
        <v>3</v>
      </c>
      <c r="AJ204">
        <v>4</v>
      </c>
      <c r="AK204" t="b">
        <f>Table67[[#This Row],[What is your age?]]&lt;&gt;"18 - 25"</f>
        <v>0</v>
      </c>
      <c r="AL204" t="b">
        <f t="shared" si="12"/>
        <v>0</v>
      </c>
      <c r="AM204" t="b">
        <f t="shared" si="13"/>
        <v>0</v>
      </c>
      <c r="AN204" t="b">
        <f t="shared" si="14"/>
        <v>1</v>
      </c>
      <c r="AO204" t="b">
        <f>OR(Table67[[#This Row],[Ineligible respondents]:[Inconsistent response on opposite question (3)]])</f>
        <v>1</v>
      </c>
      <c r="AP20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204">
        <f>Table67[[#This Row],[Extreme Response]]/21</f>
        <v>0.14285714285714285</v>
      </c>
      <c r="AR204">
        <f>_xlfn.PERCENTILE.INC(Table67[Extrem Response Ratio (ERS)],0.9)</f>
        <v>0.61904761904761907</v>
      </c>
      <c r="AS204" t="b">
        <f>Table67[[#This Row],[Extrem Response Ratio (ERS)]]&gt;=Table67[[#This Row],[Threshold of ERS]]</f>
        <v>0</v>
      </c>
      <c r="AT204">
        <f>COUNTIF(Table67[[#This Row],[The mechanism of digital assets is difficult to understand, which discourages me from exploring it (E.g, Tokenization, Blockchain)]:[If I want to try different ways to invest, I will explore digital assets.]], 3)</f>
        <v>4</v>
      </c>
      <c r="AU204">
        <f>Table67[[#This Row],[Midpoint]]/21</f>
        <v>0.19047619047619047</v>
      </c>
      <c r="AV204">
        <f>_xlfn.PERCENTILE.INC(Table67[Midpoint ratio],0.9)</f>
        <v>0.5714285714285714</v>
      </c>
      <c r="AW204" t="b">
        <f>Table67[[#This Row],[Midpoint ratio]]&gt;=Table67[[#This Row],[Threshold of Midpoint ratio]]</f>
        <v>0</v>
      </c>
      <c r="AX204" t="b">
        <f>OR(Table67[[#This Row],[Extreme Response Style]],Table67[[#This Row],[Mid-point Response Style]])</f>
        <v>0</v>
      </c>
      <c r="AY204" t="b">
        <f>OR(Table67[[#This Row],[Delete? (Stage 1)]],Table67[[#This Row],[Delete? (Stage 2)]])</f>
        <v>1</v>
      </c>
      <c r="AZ204" t="s">
        <v>81</v>
      </c>
    </row>
    <row r="205" spans="1:52">
      <c r="A205">
        <f t="shared" si="15"/>
        <v>204</v>
      </c>
      <c r="B205" s="3">
        <v>46035.728321759299</v>
      </c>
      <c r="C205" s="3">
        <v>46035.729826388902</v>
      </c>
      <c r="D205" t="s">
        <v>53</v>
      </c>
      <c r="G205" t="s">
        <v>54</v>
      </c>
      <c r="H205" t="s">
        <v>63</v>
      </c>
      <c r="I205" t="s">
        <v>56</v>
      </c>
      <c r="J205" t="s">
        <v>60</v>
      </c>
      <c r="K205" t="s">
        <v>57</v>
      </c>
      <c r="L205" t="s">
        <v>61</v>
      </c>
      <c r="M205" t="s">
        <v>61</v>
      </c>
      <c r="N205">
        <v>3</v>
      </c>
      <c r="O205">
        <v>4</v>
      </c>
      <c r="P205">
        <v>3</v>
      </c>
      <c r="Q205">
        <v>3</v>
      </c>
      <c r="R205">
        <v>4</v>
      </c>
      <c r="S205">
        <v>3</v>
      </c>
      <c r="T205">
        <v>3</v>
      </c>
      <c r="U205">
        <v>3</v>
      </c>
      <c r="V205">
        <v>4</v>
      </c>
      <c r="W205">
        <v>4</v>
      </c>
      <c r="X205">
        <v>4</v>
      </c>
      <c r="Y205">
        <v>3</v>
      </c>
      <c r="Z205">
        <v>4</v>
      </c>
      <c r="AA205">
        <v>4</v>
      </c>
      <c r="AB205">
        <v>3</v>
      </c>
      <c r="AC205">
        <v>4</v>
      </c>
      <c r="AD205">
        <v>3</v>
      </c>
      <c r="AE205">
        <v>3</v>
      </c>
      <c r="AF205">
        <v>2</v>
      </c>
      <c r="AG205">
        <v>4</v>
      </c>
      <c r="AH205">
        <v>2</v>
      </c>
      <c r="AI205">
        <v>4</v>
      </c>
      <c r="AJ205">
        <v>4</v>
      </c>
      <c r="AK205" t="b">
        <f>Table67[[#This Row],[What is your age?]]&lt;&gt;"18 - 25"</f>
        <v>0</v>
      </c>
      <c r="AL205" t="b">
        <f t="shared" si="12"/>
        <v>0</v>
      </c>
      <c r="AM205" t="b">
        <f t="shared" si="13"/>
        <v>0</v>
      </c>
      <c r="AN205" t="b">
        <f t="shared" si="14"/>
        <v>0</v>
      </c>
      <c r="AO205" t="b">
        <f>OR(Table67[[#This Row],[Ineligible respondents]:[Inconsistent response on opposite question (3)]])</f>
        <v>0</v>
      </c>
      <c r="AP20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05">
        <f>Table67[[#This Row],[Extreme Response]]/21</f>
        <v>0</v>
      </c>
      <c r="AR205">
        <f>_xlfn.PERCENTILE.INC(Table67[Extrem Response Ratio (ERS)],0.9)</f>
        <v>0.61904761904761907</v>
      </c>
      <c r="AS205" t="b">
        <f>Table67[[#This Row],[Extrem Response Ratio (ERS)]]&gt;=Table67[[#This Row],[Threshold of ERS]]</f>
        <v>0</v>
      </c>
      <c r="AT205">
        <f>COUNTIF(Table67[[#This Row],[The mechanism of digital assets is difficult to understand, which discourages me from exploring it (E.g, Tokenization, Blockchain)]:[If I want to try different ways to invest, I will explore digital assets.]], 3)</f>
        <v>10</v>
      </c>
      <c r="AU205">
        <f>Table67[[#This Row],[Midpoint]]/21</f>
        <v>0.47619047619047616</v>
      </c>
      <c r="AV205">
        <f>_xlfn.PERCENTILE.INC(Table67[Midpoint ratio],0.9)</f>
        <v>0.5714285714285714</v>
      </c>
      <c r="AW205" t="b">
        <f>Table67[[#This Row],[Midpoint ratio]]&gt;=Table67[[#This Row],[Threshold of Midpoint ratio]]</f>
        <v>0</v>
      </c>
      <c r="AX205" t="b">
        <f>OR(Table67[[#This Row],[Extreme Response Style]],Table67[[#This Row],[Mid-point Response Style]])</f>
        <v>0</v>
      </c>
      <c r="AY205" t="b">
        <f>OR(Table67[[#This Row],[Delete? (Stage 1)]],Table67[[#This Row],[Delete? (Stage 2)]])</f>
        <v>0</v>
      </c>
      <c r="AZ205" t="s">
        <v>81</v>
      </c>
    </row>
    <row r="206" spans="1:52">
      <c r="A206">
        <f t="shared" si="15"/>
        <v>205</v>
      </c>
      <c r="B206" s="3">
        <v>46035.728333333303</v>
      </c>
      <c r="C206" s="3">
        <v>46035.729976851799</v>
      </c>
      <c r="D206" t="s">
        <v>53</v>
      </c>
      <c r="G206" t="s">
        <v>54</v>
      </c>
      <c r="H206" t="s">
        <v>55</v>
      </c>
      <c r="I206" t="s">
        <v>56</v>
      </c>
      <c r="J206" t="s">
        <v>62</v>
      </c>
      <c r="K206" t="s">
        <v>57</v>
      </c>
      <c r="L206" t="s">
        <v>58</v>
      </c>
      <c r="M206" t="s">
        <v>61</v>
      </c>
      <c r="N206">
        <v>3</v>
      </c>
      <c r="O206">
        <v>3</v>
      </c>
      <c r="P206">
        <v>3</v>
      </c>
      <c r="Q206">
        <v>2</v>
      </c>
      <c r="R206">
        <v>3</v>
      </c>
      <c r="S206">
        <v>3</v>
      </c>
      <c r="T206">
        <v>3</v>
      </c>
      <c r="U206">
        <v>4</v>
      </c>
      <c r="V206">
        <v>4</v>
      </c>
      <c r="W206">
        <v>5</v>
      </c>
      <c r="X206">
        <v>5</v>
      </c>
      <c r="Y206">
        <v>5</v>
      </c>
      <c r="Z206">
        <v>4</v>
      </c>
      <c r="AA206">
        <v>3</v>
      </c>
      <c r="AB206">
        <v>3</v>
      </c>
      <c r="AC206">
        <v>4</v>
      </c>
      <c r="AD206">
        <v>1</v>
      </c>
      <c r="AE206">
        <v>5</v>
      </c>
      <c r="AF206">
        <v>1</v>
      </c>
      <c r="AG206">
        <v>5</v>
      </c>
      <c r="AH206">
        <v>1</v>
      </c>
      <c r="AI206">
        <v>5</v>
      </c>
      <c r="AJ206">
        <v>5</v>
      </c>
      <c r="AK206" t="b">
        <f>Table67[[#This Row],[What is your age?]]&lt;&gt;"18 - 25"</f>
        <v>0</v>
      </c>
      <c r="AL206" t="b">
        <f t="shared" si="12"/>
        <v>0</v>
      </c>
      <c r="AM206" t="b">
        <f t="shared" si="13"/>
        <v>0</v>
      </c>
      <c r="AN206" t="b">
        <f t="shared" si="14"/>
        <v>0</v>
      </c>
      <c r="AO206" t="b">
        <f>OR(Table67[[#This Row],[Ineligible respondents]:[Inconsistent response on opposite question (3)]])</f>
        <v>0</v>
      </c>
      <c r="AP20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206">
        <f>Table67[[#This Row],[Extreme Response]]/21</f>
        <v>0.38095238095238093</v>
      </c>
      <c r="AR206">
        <f>_xlfn.PERCENTILE.INC(Table67[Extrem Response Ratio (ERS)],0.9)</f>
        <v>0.61904761904761907</v>
      </c>
      <c r="AS206" t="b">
        <f>Table67[[#This Row],[Extrem Response Ratio (ERS)]]&gt;=Table67[[#This Row],[Threshold of ERS]]</f>
        <v>0</v>
      </c>
      <c r="AT206">
        <f>COUNTIF(Table67[[#This Row],[The mechanism of digital assets is difficult to understand, which discourages me from exploring it (E.g, Tokenization, Blockchain)]:[If I want to try different ways to invest, I will explore digital assets.]], 3)</f>
        <v>8</v>
      </c>
      <c r="AU206">
        <f>Table67[[#This Row],[Midpoint]]/21</f>
        <v>0.38095238095238093</v>
      </c>
      <c r="AV206">
        <f>_xlfn.PERCENTILE.INC(Table67[Midpoint ratio],0.9)</f>
        <v>0.5714285714285714</v>
      </c>
      <c r="AW206" t="b">
        <f>Table67[[#This Row],[Midpoint ratio]]&gt;=Table67[[#This Row],[Threshold of Midpoint ratio]]</f>
        <v>0</v>
      </c>
      <c r="AX206" t="b">
        <f>OR(Table67[[#This Row],[Extreme Response Style]],Table67[[#This Row],[Mid-point Response Style]])</f>
        <v>0</v>
      </c>
      <c r="AY206" t="b">
        <f>OR(Table67[[#This Row],[Delete? (Stage 1)]],Table67[[#This Row],[Delete? (Stage 2)]])</f>
        <v>0</v>
      </c>
      <c r="AZ206" t="s">
        <v>81</v>
      </c>
    </row>
    <row r="207" spans="1:52">
      <c r="A207">
        <f t="shared" si="15"/>
        <v>206</v>
      </c>
      <c r="B207" s="3">
        <v>46035.728356481501</v>
      </c>
      <c r="C207" s="3">
        <v>46035.730208333298</v>
      </c>
      <c r="D207" t="s">
        <v>53</v>
      </c>
      <c r="G207" t="s">
        <v>54</v>
      </c>
      <c r="H207" t="s">
        <v>63</v>
      </c>
      <c r="I207" t="s">
        <v>56</v>
      </c>
      <c r="J207" t="s">
        <v>60</v>
      </c>
      <c r="K207" t="s">
        <v>57</v>
      </c>
      <c r="L207" t="s">
        <v>58</v>
      </c>
      <c r="M207" t="s">
        <v>58</v>
      </c>
      <c r="N207">
        <v>3</v>
      </c>
      <c r="O207">
        <v>4</v>
      </c>
      <c r="P207">
        <v>3</v>
      </c>
      <c r="Q207">
        <v>2</v>
      </c>
      <c r="R207">
        <v>3</v>
      </c>
      <c r="S207">
        <v>4</v>
      </c>
      <c r="T207">
        <v>2</v>
      </c>
      <c r="U207">
        <v>4</v>
      </c>
      <c r="V207">
        <v>4</v>
      </c>
      <c r="W207">
        <v>4</v>
      </c>
      <c r="X207">
        <v>2</v>
      </c>
      <c r="Y207">
        <v>4</v>
      </c>
      <c r="Z207">
        <v>3</v>
      </c>
      <c r="AA207">
        <v>3</v>
      </c>
      <c r="AB207">
        <v>2</v>
      </c>
      <c r="AC207">
        <v>3</v>
      </c>
      <c r="AD207">
        <v>2</v>
      </c>
      <c r="AE207">
        <v>2</v>
      </c>
      <c r="AF207">
        <v>3</v>
      </c>
      <c r="AG207">
        <v>2</v>
      </c>
      <c r="AH207">
        <v>2</v>
      </c>
      <c r="AI207">
        <v>4</v>
      </c>
      <c r="AJ207">
        <v>3</v>
      </c>
      <c r="AK207" t="b">
        <f>Table67[[#This Row],[What is your age?]]&lt;&gt;"18 - 25"</f>
        <v>0</v>
      </c>
      <c r="AL207" t="b">
        <f t="shared" si="12"/>
        <v>0</v>
      </c>
      <c r="AM207" t="b">
        <f t="shared" si="13"/>
        <v>1</v>
      </c>
      <c r="AN207" t="b">
        <f t="shared" si="14"/>
        <v>0</v>
      </c>
      <c r="AO207" t="b">
        <f>OR(Table67[[#This Row],[Ineligible respondents]:[Inconsistent response on opposite question (3)]])</f>
        <v>1</v>
      </c>
      <c r="AP20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07">
        <f>Table67[[#This Row],[Extreme Response]]/21</f>
        <v>0</v>
      </c>
      <c r="AR207">
        <f>_xlfn.PERCENTILE.INC(Table67[Extrem Response Ratio (ERS)],0.9)</f>
        <v>0.61904761904761907</v>
      </c>
      <c r="AS207" t="b">
        <f>Table67[[#This Row],[Extrem Response Ratio (ERS)]]&gt;=Table67[[#This Row],[Threshold of ERS]]</f>
        <v>0</v>
      </c>
      <c r="AT207">
        <f>COUNTIF(Table67[[#This Row],[The mechanism of digital assets is difficult to understand, which discourages me from exploring it (E.g, Tokenization, Blockchain)]:[If I want to try different ways to invest, I will explore digital assets.]], 3)</f>
        <v>7</v>
      </c>
      <c r="AU207">
        <f>Table67[[#This Row],[Midpoint]]/21</f>
        <v>0.33333333333333331</v>
      </c>
      <c r="AV207">
        <f>_xlfn.PERCENTILE.INC(Table67[Midpoint ratio],0.9)</f>
        <v>0.5714285714285714</v>
      </c>
      <c r="AW207" t="b">
        <f>Table67[[#This Row],[Midpoint ratio]]&gt;=Table67[[#This Row],[Threshold of Midpoint ratio]]</f>
        <v>0</v>
      </c>
      <c r="AX207" t="b">
        <f>OR(Table67[[#This Row],[Extreme Response Style]],Table67[[#This Row],[Mid-point Response Style]])</f>
        <v>0</v>
      </c>
      <c r="AY207" t="b">
        <f>OR(Table67[[#This Row],[Delete? (Stage 1)]],Table67[[#This Row],[Delete? (Stage 2)]])</f>
        <v>1</v>
      </c>
      <c r="AZ207" t="s">
        <v>81</v>
      </c>
    </row>
    <row r="208" spans="1:52">
      <c r="A208">
        <f t="shared" si="15"/>
        <v>207</v>
      </c>
      <c r="B208" s="3">
        <v>46035.728368055599</v>
      </c>
      <c r="C208" s="3">
        <v>46035.732384259303</v>
      </c>
      <c r="D208" t="s">
        <v>53</v>
      </c>
      <c r="G208" t="s">
        <v>54</v>
      </c>
      <c r="H208" t="s">
        <v>55</v>
      </c>
      <c r="I208" t="s">
        <v>56</v>
      </c>
      <c r="J208" t="s">
        <v>62</v>
      </c>
      <c r="K208" t="s">
        <v>57</v>
      </c>
      <c r="L208" t="s">
        <v>58</v>
      </c>
      <c r="M208" t="s">
        <v>61</v>
      </c>
      <c r="N208">
        <v>4</v>
      </c>
      <c r="O208">
        <v>2</v>
      </c>
      <c r="P208">
        <v>4</v>
      </c>
      <c r="Q208">
        <v>4</v>
      </c>
      <c r="R208">
        <v>2</v>
      </c>
      <c r="S208">
        <v>4</v>
      </c>
      <c r="T208">
        <v>2</v>
      </c>
      <c r="U208">
        <v>4</v>
      </c>
      <c r="V208">
        <v>4</v>
      </c>
      <c r="W208">
        <v>4</v>
      </c>
      <c r="X208">
        <v>3</v>
      </c>
      <c r="Y208">
        <v>4</v>
      </c>
      <c r="Z208">
        <v>4</v>
      </c>
      <c r="AA208">
        <v>4</v>
      </c>
      <c r="AB208">
        <v>2</v>
      </c>
      <c r="AC208">
        <v>5</v>
      </c>
      <c r="AD208">
        <v>4</v>
      </c>
      <c r="AE208">
        <v>4</v>
      </c>
      <c r="AF208">
        <v>3</v>
      </c>
      <c r="AG208">
        <v>2</v>
      </c>
      <c r="AH208">
        <v>3</v>
      </c>
      <c r="AI208">
        <v>3</v>
      </c>
      <c r="AJ208">
        <v>3</v>
      </c>
      <c r="AK208" t="b">
        <f>Table67[[#This Row],[What is your age?]]&lt;&gt;"18 - 25"</f>
        <v>0</v>
      </c>
      <c r="AL208" t="b">
        <f t="shared" si="12"/>
        <v>0</v>
      </c>
      <c r="AM208" t="b">
        <f t="shared" si="13"/>
        <v>0</v>
      </c>
      <c r="AN208" t="b">
        <f t="shared" si="14"/>
        <v>1</v>
      </c>
      <c r="AO208" t="b">
        <f>OR(Table67[[#This Row],[Ineligible respondents]:[Inconsistent response on opposite question (3)]])</f>
        <v>1</v>
      </c>
      <c r="AP20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208">
        <f>Table67[[#This Row],[Extreme Response]]/21</f>
        <v>4.7619047619047616E-2</v>
      </c>
      <c r="AR208">
        <f>_xlfn.PERCENTILE.INC(Table67[Extrem Response Ratio (ERS)],0.9)</f>
        <v>0.61904761904761907</v>
      </c>
      <c r="AS208" t="b">
        <f>Table67[[#This Row],[Extrem Response Ratio (ERS)]]&gt;=Table67[[#This Row],[Threshold of ERS]]</f>
        <v>0</v>
      </c>
      <c r="AT208">
        <f>COUNTIF(Table67[[#This Row],[The mechanism of digital assets is difficult to understand, which discourages me from exploring it (E.g, Tokenization, Blockchain)]:[If I want to try different ways to invest, I will explore digital assets.]], 3)</f>
        <v>3</v>
      </c>
      <c r="AU208">
        <f>Table67[[#This Row],[Midpoint]]/21</f>
        <v>0.14285714285714285</v>
      </c>
      <c r="AV208">
        <f>_xlfn.PERCENTILE.INC(Table67[Midpoint ratio],0.9)</f>
        <v>0.5714285714285714</v>
      </c>
      <c r="AW208" t="b">
        <f>Table67[[#This Row],[Midpoint ratio]]&gt;=Table67[[#This Row],[Threshold of Midpoint ratio]]</f>
        <v>0</v>
      </c>
      <c r="AX208" t="b">
        <f>OR(Table67[[#This Row],[Extreme Response Style]],Table67[[#This Row],[Mid-point Response Style]])</f>
        <v>0</v>
      </c>
      <c r="AY208" t="b">
        <f>OR(Table67[[#This Row],[Delete? (Stage 1)]],Table67[[#This Row],[Delete? (Stage 2)]])</f>
        <v>1</v>
      </c>
      <c r="AZ208" t="s">
        <v>81</v>
      </c>
    </row>
    <row r="209" spans="1:52">
      <c r="A209">
        <f t="shared" si="15"/>
        <v>208</v>
      </c>
      <c r="B209" s="3">
        <v>46035.728553240697</v>
      </c>
      <c r="C209" s="3">
        <v>46035.729965277802</v>
      </c>
      <c r="D209" t="s">
        <v>53</v>
      </c>
      <c r="G209" t="s">
        <v>54</v>
      </c>
      <c r="H209" t="s">
        <v>55</v>
      </c>
      <c r="I209" t="s">
        <v>56</v>
      </c>
      <c r="J209" t="s">
        <v>57</v>
      </c>
      <c r="K209" t="s">
        <v>57</v>
      </c>
      <c r="L209" t="s">
        <v>58</v>
      </c>
      <c r="M209" t="s">
        <v>58</v>
      </c>
      <c r="N209">
        <v>5</v>
      </c>
      <c r="O209">
        <v>2</v>
      </c>
      <c r="P209">
        <v>5</v>
      </c>
      <c r="Q209">
        <v>5</v>
      </c>
      <c r="R209">
        <v>3</v>
      </c>
      <c r="S209">
        <v>5</v>
      </c>
      <c r="T209">
        <v>5</v>
      </c>
      <c r="U209">
        <v>5</v>
      </c>
      <c r="V209">
        <v>5</v>
      </c>
      <c r="W209">
        <v>5</v>
      </c>
      <c r="X209">
        <v>4</v>
      </c>
      <c r="Y209">
        <v>5</v>
      </c>
      <c r="Z209">
        <v>5</v>
      </c>
      <c r="AA209">
        <v>5</v>
      </c>
      <c r="AB209">
        <v>5</v>
      </c>
      <c r="AC209">
        <v>5</v>
      </c>
      <c r="AD209">
        <v>4</v>
      </c>
      <c r="AE209">
        <v>2</v>
      </c>
      <c r="AF209">
        <v>3</v>
      </c>
      <c r="AG209">
        <v>5</v>
      </c>
      <c r="AH209">
        <v>4</v>
      </c>
      <c r="AI209">
        <v>2</v>
      </c>
      <c r="AJ209">
        <v>3</v>
      </c>
      <c r="AK209" t="b">
        <f>Table67[[#This Row],[What is your age?]]&lt;&gt;"18 - 25"</f>
        <v>0</v>
      </c>
      <c r="AL209" t="b">
        <f t="shared" si="12"/>
        <v>0</v>
      </c>
      <c r="AM209" t="b">
        <f t="shared" si="13"/>
        <v>1</v>
      </c>
      <c r="AN209" t="b">
        <f t="shared" si="14"/>
        <v>0</v>
      </c>
      <c r="AO209" t="b">
        <f>OR(Table67[[#This Row],[Ineligible respondents]:[Inconsistent response on opposite question (3)]])</f>
        <v>1</v>
      </c>
      <c r="AP20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209">
        <f>Table67[[#This Row],[Extreme Response]]/21</f>
        <v>0.66666666666666663</v>
      </c>
      <c r="AR209">
        <f>_xlfn.PERCENTILE.INC(Table67[Extrem Response Ratio (ERS)],0.9)</f>
        <v>0.61904761904761907</v>
      </c>
      <c r="AS209" t="b">
        <f>Table67[[#This Row],[Extrem Response Ratio (ERS)]]&gt;=Table67[[#This Row],[Threshold of ERS]]</f>
        <v>1</v>
      </c>
      <c r="AT209">
        <f>COUNTIF(Table67[[#This Row],[The mechanism of digital assets is difficult to understand, which discourages me from exploring it (E.g, Tokenization, Blockchain)]:[If I want to try different ways to invest, I will explore digital assets.]], 3)</f>
        <v>2</v>
      </c>
      <c r="AU209">
        <f>Table67[[#This Row],[Midpoint]]/21</f>
        <v>9.5238095238095233E-2</v>
      </c>
      <c r="AV209">
        <f>_xlfn.PERCENTILE.INC(Table67[Midpoint ratio],0.9)</f>
        <v>0.5714285714285714</v>
      </c>
      <c r="AW209" t="b">
        <f>Table67[[#This Row],[Midpoint ratio]]&gt;=Table67[[#This Row],[Threshold of Midpoint ratio]]</f>
        <v>0</v>
      </c>
      <c r="AX209" t="b">
        <f>OR(Table67[[#This Row],[Extreme Response Style]],Table67[[#This Row],[Mid-point Response Style]])</f>
        <v>1</v>
      </c>
      <c r="AY209" t="b">
        <f>OR(Table67[[#This Row],[Delete? (Stage 1)]],Table67[[#This Row],[Delete? (Stage 2)]])</f>
        <v>1</v>
      </c>
      <c r="AZ209" t="s">
        <v>81</v>
      </c>
    </row>
    <row r="210" spans="1:52">
      <c r="A210">
        <f t="shared" si="15"/>
        <v>209</v>
      </c>
      <c r="B210" s="3">
        <v>46035.728564814803</v>
      </c>
      <c r="C210" s="3">
        <v>46035.730914351901</v>
      </c>
      <c r="D210" t="s">
        <v>53</v>
      </c>
      <c r="G210" t="s">
        <v>54</v>
      </c>
      <c r="H210" t="s">
        <v>63</v>
      </c>
      <c r="I210" t="s">
        <v>56</v>
      </c>
      <c r="J210" t="s">
        <v>62</v>
      </c>
      <c r="K210" t="s">
        <v>62</v>
      </c>
      <c r="L210" t="s">
        <v>58</v>
      </c>
      <c r="M210" t="s">
        <v>61</v>
      </c>
      <c r="N210">
        <v>4</v>
      </c>
      <c r="O210">
        <v>4</v>
      </c>
      <c r="P210">
        <v>4</v>
      </c>
      <c r="Q210">
        <v>4</v>
      </c>
      <c r="R210">
        <v>4</v>
      </c>
      <c r="S210">
        <v>4</v>
      </c>
      <c r="T210">
        <v>4</v>
      </c>
      <c r="U210">
        <v>4</v>
      </c>
      <c r="V210">
        <v>5</v>
      </c>
      <c r="W210">
        <v>4</v>
      </c>
      <c r="X210">
        <v>3</v>
      </c>
      <c r="Y210">
        <v>5</v>
      </c>
      <c r="Z210">
        <v>4</v>
      </c>
      <c r="AA210">
        <v>4</v>
      </c>
      <c r="AB210">
        <v>2</v>
      </c>
      <c r="AC210">
        <v>4</v>
      </c>
      <c r="AD210">
        <v>5</v>
      </c>
      <c r="AE210">
        <v>1</v>
      </c>
      <c r="AF210">
        <v>3</v>
      </c>
      <c r="AG210">
        <v>3</v>
      </c>
      <c r="AH210">
        <v>4</v>
      </c>
      <c r="AI210">
        <v>2</v>
      </c>
      <c r="AJ210">
        <v>3</v>
      </c>
      <c r="AK210" t="b">
        <f>Table67[[#This Row],[What is your age?]]&lt;&gt;"18 - 25"</f>
        <v>0</v>
      </c>
      <c r="AL210" t="b">
        <f t="shared" si="12"/>
        <v>0</v>
      </c>
      <c r="AM210" t="b">
        <f t="shared" si="13"/>
        <v>0</v>
      </c>
      <c r="AN210" t="b">
        <f t="shared" si="14"/>
        <v>1</v>
      </c>
      <c r="AO210" t="b">
        <f>OR(Table67[[#This Row],[Ineligible respondents]:[Inconsistent response on opposite question (3)]])</f>
        <v>1</v>
      </c>
      <c r="AP21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210">
        <f>Table67[[#This Row],[Extreme Response]]/21</f>
        <v>0.19047619047619047</v>
      </c>
      <c r="AR210">
        <f>_xlfn.PERCENTILE.INC(Table67[Extrem Response Ratio (ERS)],0.9)</f>
        <v>0.61904761904761907</v>
      </c>
      <c r="AS210" t="b">
        <f>Table67[[#This Row],[Extrem Response Ratio (ERS)]]&gt;=Table67[[#This Row],[Threshold of ERS]]</f>
        <v>0</v>
      </c>
      <c r="AT210">
        <f>COUNTIF(Table67[[#This Row],[The mechanism of digital assets is difficult to understand, which discourages me from exploring it (E.g, Tokenization, Blockchain)]:[If I want to try different ways to invest, I will explore digital assets.]], 3)</f>
        <v>3</v>
      </c>
      <c r="AU210">
        <f>Table67[[#This Row],[Midpoint]]/21</f>
        <v>0.14285714285714285</v>
      </c>
      <c r="AV210">
        <f>_xlfn.PERCENTILE.INC(Table67[Midpoint ratio],0.9)</f>
        <v>0.5714285714285714</v>
      </c>
      <c r="AW210" t="b">
        <f>Table67[[#This Row],[Midpoint ratio]]&gt;=Table67[[#This Row],[Threshold of Midpoint ratio]]</f>
        <v>0</v>
      </c>
      <c r="AX210" t="b">
        <f>OR(Table67[[#This Row],[Extreme Response Style]],Table67[[#This Row],[Mid-point Response Style]])</f>
        <v>0</v>
      </c>
      <c r="AY210" t="b">
        <f>OR(Table67[[#This Row],[Delete? (Stage 1)]],Table67[[#This Row],[Delete? (Stage 2)]])</f>
        <v>1</v>
      </c>
      <c r="AZ210" t="s">
        <v>81</v>
      </c>
    </row>
    <row r="211" spans="1:52">
      <c r="A211">
        <f t="shared" si="15"/>
        <v>210</v>
      </c>
      <c r="B211" s="3">
        <v>46035.728599536997</v>
      </c>
      <c r="C211" s="3">
        <v>46035.729675925897</v>
      </c>
      <c r="D211" t="s">
        <v>53</v>
      </c>
      <c r="G211" t="s">
        <v>54</v>
      </c>
      <c r="H211" t="s">
        <v>55</v>
      </c>
      <c r="I211" t="s">
        <v>56</v>
      </c>
      <c r="J211" t="s">
        <v>64</v>
      </c>
      <c r="K211" t="s">
        <v>57</v>
      </c>
      <c r="L211" t="s">
        <v>58</v>
      </c>
      <c r="M211" t="s">
        <v>58</v>
      </c>
      <c r="N211">
        <v>3</v>
      </c>
      <c r="O211">
        <v>4</v>
      </c>
      <c r="P211">
        <v>4</v>
      </c>
      <c r="Q211">
        <v>4</v>
      </c>
      <c r="R211">
        <v>4</v>
      </c>
      <c r="S211">
        <v>4</v>
      </c>
      <c r="T211">
        <v>4</v>
      </c>
      <c r="U211">
        <v>4</v>
      </c>
      <c r="V211">
        <v>4</v>
      </c>
      <c r="W211">
        <v>4</v>
      </c>
      <c r="X211">
        <v>4</v>
      </c>
      <c r="Y211">
        <v>4</v>
      </c>
      <c r="Z211">
        <v>4</v>
      </c>
      <c r="AA211">
        <v>4</v>
      </c>
      <c r="AB211">
        <v>4</v>
      </c>
      <c r="AC211">
        <v>4</v>
      </c>
      <c r="AD211">
        <v>4</v>
      </c>
      <c r="AE211">
        <v>4</v>
      </c>
      <c r="AF211">
        <v>4</v>
      </c>
      <c r="AG211">
        <v>4</v>
      </c>
      <c r="AH211">
        <v>4</v>
      </c>
      <c r="AI211">
        <v>2</v>
      </c>
      <c r="AJ211">
        <v>2</v>
      </c>
      <c r="AK211" t="b">
        <f>Table67[[#This Row],[What is your age?]]&lt;&gt;"18 - 25"</f>
        <v>0</v>
      </c>
      <c r="AL211" t="b">
        <f t="shared" si="12"/>
        <v>0</v>
      </c>
      <c r="AM211" t="b">
        <f t="shared" si="13"/>
        <v>1</v>
      </c>
      <c r="AN211" t="b">
        <f t="shared" si="14"/>
        <v>0</v>
      </c>
      <c r="AO211" t="b">
        <f>OR(Table67[[#This Row],[Ineligible respondents]:[Inconsistent response on opposite question (3)]])</f>
        <v>1</v>
      </c>
      <c r="AP21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11">
        <f>Table67[[#This Row],[Extreme Response]]/21</f>
        <v>0</v>
      </c>
      <c r="AR211">
        <f>_xlfn.PERCENTILE.INC(Table67[Extrem Response Ratio (ERS)],0.9)</f>
        <v>0.61904761904761907</v>
      </c>
      <c r="AS211" t="b">
        <f>Table67[[#This Row],[Extrem Response Ratio (ERS)]]&gt;=Table67[[#This Row],[Threshold of ERS]]</f>
        <v>0</v>
      </c>
      <c r="AT211">
        <f>COUNTIF(Table67[[#This Row],[The mechanism of digital assets is difficult to understand, which discourages me from exploring it (E.g, Tokenization, Blockchain)]:[If I want to try different ways to invest, I will explore digital assets.]], 3)</f>
        <v>1</v>
      </c>
      <c r="AU211">
        <f>Table67[[#This Row],[Midpoint]]/21</f>
        <v>4.7619047619047616E-2</v>
      </c>
      <c r="AV211">
        <f>_xlfn.PERCENTILE.INC(Table67[Midpoint ratio],0.9)</f>
        <v>0.5714285714285714</v>
      </c>
      <c r="AW211" t="b">
        <f>Table67[[#This Row],[Midpoint ratio]]&gt;=Table67[[#This Row],[Threshold of Midpoint ratio]]</f>
        <v>0</v>
      </c>
      <c r="AX211" t="b">
        <f>OR(Table67[[#This Row],[Extreme Response Style]],Table67[[#This Row],[Mid-point Response Style]])</f>
        <v>0</v>
      </c>
      <c r="AY211" t="b">
        <f>OR(Table67[[#This Row],[Delete? (Stage 1)]],Table67[[#This Row],[Delete? (Stage 2)]])</f>
        <v>1</v>
      </c>
      <c r="AZ211" t="s">
        <v>81</v>
      </c>
    </row>
    <row r="212" spans="1:52">
      <c r="A212">
        <f t="shared" si="15"/>
        <v>211</v>
      </c>
      <c r="B212" s="3">
        <v>46035.728599536997</v>
      </c>
      <c r="C212" s="3">
        <v>46035.734814814801</v>
      </c>
      <c r="D212" t="s">
        <v>53</v>
      </c>
      <c r="G212" t="s">
        <v>54</v>
      </c>
      <c r="H212" t="s">
        <v>63</v>
      </c>
      <c r="I212" t="s">
        <v>56</v>
      </c>
      <c r="J212" t="s">
        <v>62</v>
      </c>
      <c r="K212" t="s">
        <v>57</v>
      </c>
      <c r="L212" t="s">
        <v>58</v>
      </c>
      <c r="M212" t="s">
        <v>61</v>
      </c>
      <c r="N212">
        <v>3</v>
      </c>
      <c r="O212">
        <v>2</v>
      </c>
      <c r="P212">
        <v>4</v>
      </c>
      <c r="Q212">
        <v>2</v>
      </c>
      <c r="R212">
        <v>2</v>
      </c>
      <c r="S212">
        <v>4</v>
      </c>
      <c r="T212">
        <v>2</v>
      </c>
      <c r="U212">
        <v>4</v>
      </c>
      <c r="V212">
        <v>4</v>
      </c>
      <c r="W212">
        <v>4</v>
      </c>
      <c r="X212">
        <v>3</v>
      </c>
      <c r="Y212">
        <v>5</v>
      </c>
      <c r="Z212">
        <v>4</v>
      </c>
      <c r="AA212">
        <v>4</v>
      </c>
      <c r="AB212">
        <v>2</v>
      </c>
      <c r="AC212">
        <v>4</v>
      </c>
      <c r="AD212">
        <v>4</v>
      </c>
      <c r="AE212">
        <v>3</v>
      </c>
      <c r="AF212">
        <v>2</v>
      </c>
      <c r="AG212">
        <v>2</v>
      </c>
      <c r="AH212">
        <v>3</v>
      </c>
      <c r="AI212">
        <v>3</v>
      </c>
      <c r="AJ212">
        <v>4</v>
      </c>
      <c r="AK212" t="b">
        <f>Table67[[#This Row],[What is your age?]]&lt;&gt;"18 - 25"</f>
        <v>0</v>
      </c>
      <c r="AL212" t="b">
        <f t="shared" si="12"/>
        <v>0</v>
      </c>
      <c r="AM212" t="b">
        <f t="shared" si="13"/>
        <v>0</v>
      </c>
      <c r="AN212" t="b">
        <f t="shared" si="14"/>
        <v>1</v>
      </c>
      <c r="AO212" t="b">
        <f>OR(Table67[[#This Row],[Ineligible respondents]:[Inconsistent response on opposite question (3)]])</f>
        <v>1</v>
      </c>
      <c r="AP21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212">
        <f>Table67[[#This Row],[Extreme Response]]/21</f>
        <v>4.7619047619047616E-2</v>
      </c>
      <c r="AR212">
        <f>_xlfn.PERCENTILE.INC(Table67[Extrem Response Ratio (ERS)],0.9)</f>
        <v>0.61904761904761907</v>
      </c>
      <c r="AS212" t="b">
        <f>Table67[[#This Row],[Extrem Response Ratio (ERS)]]&gt;=Table67[[#This Row],[Threshold of ERS]]</f>
        <v>0</v>
      </c>
      <c r="AT212">
        <f>COUNTIF(Table67[[#This Row],[The mechanism of digital assets is difficult to understand, which discourages me from exploring it (E.g, Tokenization, Blockchain)]:[If I want to try different ways to invest, I will explore digital assets.]], 3)</f>
        <v>4</v>
      </c>
      <c r="AU212">
        <f>Table67[[#This Row],[Midpoint]]/21</f>
        <v>0.19047619047619047</v>
      </c>
      <c r="AV212">
        <f>_xlfn.PERCENTILE.INC(Table67[Midpoint ratio],0.9)</f>
        <v>0.5714285714285714</v>
      </c>
      <c r="AW212" t="b">
        <f>Table67[[#This Row],[Midpoint ratio]]&gt;=Table67[[#This Row],[Threshold of Midpoint ratio]]</f>
        <v>0</v>
      </c>
      <c r="AX212" t="b">
        <f>OR(Table67[[#This Row],[Extreme Response Style]],Table67[[#This Row],[Mid-point Response Style]])</f>
        <v>0</v>
      </c>
      <c r="AY212" t="b">
        <f>OR(Table67[[#This Row],[Delete? (Stage 1)]],Table67[[#This Row],[Delete? (Stage 2)]])</f>
        <v>1</v>
      </c>
      <c r="AZ212" t="s">
        <v>81</v>
      </c>
    </row>
    <row r="213" spans="1:52">
      <c r="A213">
        <f t="shared" si="15"/>
        <v>212</v>
      </c>
      <c r="B213" s="3">
        <v>46035.728657407402</v>
      </c>
      <c r="C213" s="3">
        <v>46035.733842592599</v>
      </c>
      <c r="D213" t="s">
        <v>53</v>
      </c>
      <c r="G213" t="s">
        <v>54</v>
      </c>
      <c r="H213" t="s">
        <v>55</v>
      </c>
      <c r="I213" t="s">
        <v>56</v>
      </c>
      <c r="J213" t="s">
        <v>57</v>
      </c>
      <c r="K213" t="s">
        <v>64</v>
      </c>
      <c r="L213" t="s">
        <v>61</v>
      </c>
      <c r="M213" t="s">
        <v>61</v>
      </c>
      <c r="N213">
        <v>2</v>
      </c>
      <c r="O213">
        <v>2</v>
      </c>
      <c r="P213">
        <v>3</v>
      </c>
      <c r="Q213">
        <v>3</v>
      </c>
      <c r="R213">
        <v>2</v>
      </c>
      <c r="S213">
        <v>3</v>
      </c>
      <c r="T213">
        <v>2</v>
      </c>
      <c r="U213">
        <v>2</v>
      </c>
      <c r="V213">
        <v>3</v>
      </c>
      <c r="W213">
        <v>4</v>
      </c>
      <c r="X213">
        <v>3</v>
      </c>
      <c r="Y213">
        <v>4</v>
      </c>
      <c r="Z213">
        <v>4</v>
      </c>
      <c r="AA213">
        <v>3</v>
      </c>
      <c r="AB213">
        <v>2</v>
      </c>
      <c r="AC213">
        <v>3</v>
      </c>
      <c r="AD213">
        <v>4</v>
      </c>
      <c r="AE213">
        <v>2</v>
      </c>
      <c r="AF213">
        <v>4</v>
      </c>
      <c r="AG213">
        <v>2</v>
      </c>
      <c r="AH213">
        <v>4</v>
      </c>
      <c r="AI213">
        <v>2</v>
      </c>
      <c r="AJ213">
        <v>2</v>
      </c>
      <c r="AK213" t="b">
        <f>Table67[[#This Row],[What is your age?]]&lt;&gt;"18 - 25"</f>
        <v>0</v>
      </c>
      <c r="AL213" t="b">
        <f t="shared" si="12"/>
        <v>0</v>
      </c>
      <c r="AM213" t="b">
        <f t="shared" si="13"/>
        <v>0</v>
      </c>
      <c r="AN213" t="b">
        <f t="shared" si="14"/>
        <v>0</v>
      </c>
      <c r="AO213" t="b">
        <f>OR(Table67[[#This Row],[Ineligible respondents]:[Inconsistent response on opposite question (3)]])</f>
        <v>0</v>
      </c>
      <c r="AP21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13">
        <f>Table67[[#This Row],[Extreme Response]]/21</f>
        <v>0</v>
      </c>
      <c r="AR213">
        <f>_xlfn.PERCENTILE.INC(Table67[Extrem Response Ratio (ERS)],0.9)</f>
        <v>0.61904761904761907</v>
      </c>
      <c r="AS213" t="b">
        <f>Table67[[#This Row],[Extrem Response Ratio (ERS)]]&gt;=Table67[[#This Row],[Threshold of ERS]]</f>
        <v>0</v>
      </c>
      <c r="AT213">
        <f>COUNTIF(Table67[[#This Row],[The mechanism of digital assets is difficult to understand, which discourages me from exploring it (E.g, Tokenization, Blockchain)]:[If I want to try different ways to invest, I will explore digital assets.]], 3)</f>
        <v>7</v>
      </c>
      <c r="AU213">
        <f>Table67[[#This Row],[Midpoint]]/21</f>
        <v>0.33333333333333331</v>
      </c>
      <c r="AV213">
        <f>_xlfn.PERCENTILE.INC(Table67[Midpoint ratio],0.9)</f>
        <v>0.5714285714285714</v>
      </c>
      <c r="AW213" t="b">
        <f>Table67[[#This Row],[Midpoint ratio]]&gt;=Table67[[#This Row],[Threshold of Midpoint ratio]]</f>
        <v>0</v>
      </c>
      <c r="AX213" t="b">
        <f>OR(Table67[[#This Row],[Extreme Response Style]],Table67[[#This Row],[Mid-point Response Style]])</f>
        <v>0</v>
      </c>
      <c r="AY213" t="b">
        <f>OR(Table67[[#This Row],[Delete? (Stage 1)]],Table67[[#This Row],[Delete? (Stage 2)]])</f>
        <v>0</v>
      </c>
      <c r="AZ213" t="s">
        <v>81</v>
      </c>
    </row>
    <row r="214" spans="1:52">
      <c r="A214">
        <f t="shared" si="15"/>
        <v>213</v>
      </c>
      <c r="B214" s="3">
        <v>46035.7286805556</v>
      </c>
      <c r="C214" s="3">
        <v>46035.730243055601</v>
      </c>
      <c r="D214" t="s">
        <v>53</v>
      </c>
      <c r="G214" t="s">
        <v>54</v>
      </c>
      <c r="H214" t="s">
        <v>63</v>
      </c>
      <c r="I214" t="s">
        <v>56</v>
      </c>
      <c r="J214" t="s">
        <v>64</v>
      </c>
      <c r="K214" t="s">
        <v>60</v>
      </c>
      <c r="L214" t="s">
        <v>58</v>
      </c>
      <c r="M214" t="s">
        <v>61</v>
      </c>
      <c r="N214">
        <v>4</v>
      </c>
      <c r="O214">
        <v>1</v>
      </c>
      <c r="P214">
        <v>4</v>
      </c>
      <c r="Q214">
        <v>2</v>
      </c>
      <c r="R214">
        <v>4</v>
      </c>
      <c r="S214">
        <v>4</v>
      </c>
      <c r="T214">
        <v>4</v>
      </c>
      <c r="U214">
        <v>1</v>
      </c>
      <c r="V214">
        <v>3</v>
      </c>
      <c r="W214">
        <v>5</v>
      </c>
      <c r="X214">
        <v>4</v>
      </c>
      <c r="Y214">
        <v>4</v>
      </c>
      <c r="Z214">
        <v>5</v>
      </c>
      <c r="AA214">
        <v>4</v>
      </c>
      <c r="AB214">
        <v>4</v>
      </c>
      <c r="AC214">
        <v>2</v>
      </c>
      <c r="AD214">
        <v>2</v>
      </c>
      <c r="AE214">
        <v>3</v>
      </c>
      <c r="AF214">
        <v>3</v>
      </c>
      <c r="AG214">
        <v>2</v>
      </c>
      <c r="AH214">
        <v>2</v>
      </c>
      <c r="AI214">
        <v>4</v>
      </c>
      <c r="AJ214">
        <v>3</v>
      </c>
      <c r="AK214" t="b">
        <f>Table67[[#This Row],[What is your age?]]&lt;&gt;"18 - 25"</f>
        <v>0</v>
      </c>
      <c r="AL214" t="b">
        <f t="shared" si="12"/>
        <v>0</v>
      </c>
      <c r="AM214" t="b">
        <f t="shared" si="13"/>
        <v>1</v>
      </c>
      <c r="AN214" t="b">
        <f t="shared" si="14"/>
        <v>0</v>
      </c>
      <c r="AO214" t="b">
        <f>OR(Table67[[#This Row],[Ineligible respondents]:[Inconsistent response on opposite question (3)]])</f>
        <v>1</v>
      </c>
      <c r="AP21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214">
        <f>Table67[[#This Row],[Extreme Response]]/21</f>
        <v>0.19047619047619047</v>
      </c>
      <c r="AR214">
        <f>_xlfn.PERCENTILE.INC(Table67[Extrem Response Ratio (ERS)],0.9)</f>
        <v>0.61904761904761907</v>
      </c>
      <c r="AS214" t="b">
        <f>Table67[[#This Row],[Extrem Response Ratio (ERS)]]&gt;=Table67[[#This Row],[Threshold of ERS]]</f>
        <v>0</v>
      </c>
      <c r="AT214">
        <f>COUNTIF(Table67[[#This Row],[The mechanism of digital assets is difficult to understand, which discourages me from exploring it (E.g, Tokenization, Blockchain)]:[If I want to try different ways to invest, I will explore digital assets.]], 3)</f>
        <v>3</v>
      </c>
      <c r="AU214">
        <f>Table67[[#This Row],[Midpoint]]/21</f>
        <v>0.14285714285714285</v>
      </c>
      <c r="AV214">
        <f>_xlfn.PERCENTILE.INC(Table67[Midpoint ratio],0.9)</f>
        <v>0.5714285714285714</v>
      </c>
      <c r="AW214" t="b">
        <f>Table67[[#This Row],[Midpoint ratio]]&gt;=Table67[[#This Row],[Threshold of Midpoint ratio]]</f>
        <v>0</v>
      </c>
      <c r="AX214" t="b">
        <f>OR(Table67[[#This Row],[Extreme Response Style]],Table67[[#This Row],[Mid-point Response Style]])</f>
        <v>0</v>
      </c>
      <c r="AY214" t="b">
        <f>OR(Table67[[#This Row],[Delete? (Stage 1)]],Table67[[#This Row],[Delete? (Stage 2)]])</f>
        <v>1</v>
      </c>
      <c r="AZ214" t="s">
        <v>81</v>
      </c>
    </row>
    <row r="215" spans="1:52">
      <c r="A215">
        <f t="shared" si="15"/>
        <v>214</v>
      </c>
      <c r="B215" s="3">
        <v>46035.728761574101</v>
      </c>
      <c r="C215" s="3">
        <v>46035.730717592603</v>
      </c>
      <c r="D215" t="s">
        <v>53</v>
      </c>
      <c r="G215" t="s">
        <v>54</v>
      </c>
      <c r="H215" t="s">
        <v>55</v>
      </c>
      <c r="I215" t="s">
        <v>56</v>
      </c>
      <c r="J215" t="s">
        <v>57</v>
      </c>
      <c r="K215" t="s">
        <v>57</v>
      </c>
      <c r="L215" t="s">
        <v>58</v>
      </c>
      <c r="M215" t="s">
        <v>58</v>
      </c>
      <c r="N215">
        <v>5</v>
      </c>
      <c r="O215">
        <v>5</v>
      </c>
      <c r="P215">
        <v>5</v>
      </c>
      <c r="Q215">
        <v>5</v>
      </c>
      <c r="R215">
        <v>5</v>
      </c>
      <c r="S215">
        <v>5</v>
      </c>
      <c r="T215">
        <v>3</v>
      </c>
      <c r="U215">
        <v>3</v>
      </c>
      <c r="V215">
        <v>5</v>
      </c>
      <c r="W215">
        <v>5</v>
      </c>
      <c r="X215">
        <v>5</v>
      </c>
      <c r="Y215">
        <v>5</v>
      </c>
      <c r="Z215">
        <v>5</v>
      </c>
      <c r="AA215">
        <v>5</v>
      </c>
      <c r="AB215">
        <v>5</v>
      </c>
      <c r="AC215">
        <v>5</v>
      </c>
      <c r="AD215">
        <v>4</v>
      </c>
      <c r="AE215">
        <v>3</v>
      </c>
      <c r="AF215">
        <v>3</v>
      </c>
      <c r="AG215">
        <v>3</v>
      </c>
      <c r="AH215">
        <v>4</v>
      </c>
      <c r="AI215">
        <v>2</v>
      </c>
      <c r="AJ215">
        <v>3</v>
      </c>
      <c r="AK215" t="b">
        <f>Table67[[#This Row],[What is your age?]]&lt;&gt;"18 - 25"</f>
        <v>0</v>
      </c>
      <c r="AL215" t="b">
        <f t="shared" si="12"/>
        <v>0</v>
      </c>
      <c r="AM215" t="b">
        <f t="shared" si="13"/>
        <v>0</v>
      </c>
      <c r="AN215" t="b">
        <f t="shared" si="14"/>
        <v>1</v>
      </c>
      <c r="AO215" t="b">
        <f>OR(Table67[[#This Row],[Ineligible respondents]:[Inconsistent response on opposite question (3)]])</f>
        <v>1</v>
      </c>
      <c r="AP21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215">
        <f>Table67[[#This Row],[Extreme Response]]/21</f>
        <v>0.66666666666666663</v>
      </c>
      <c r="AR215">
        <f>_xlfn.PERCENTILE.INC(Table67[Extrem Response Ratio (ERS)],0.9)</f>
        <v>0.61904761904761907</v>
      </c>
      <c r="AS215" t="b">
        <f>Table67[[#This Row],[Extrem Response Ratio (ERS)]]&gt;=Table67[[#This Row],[Threshold of ERS]]</f>
        <v>1</v>
      </c>
      <c r="AT215">
        <f>COUNTIF(Table67[[#This Row],[The mechanism of digital assets is difficult to understand, which discourages me from exploring it (E.g, Tokenization, Blockchain)]:[If I want to try different ways to invest, I will explore digital assets.]], 3)</f>
        <v>5</v>
      </c>
      <c r="AU215">
        <f>Table67[[#This Row],[Midpoint]]/21</f>
        <v>0.23809523809523808</v>
      </c>
      <c r="AV215">
        <f>_xlfn.PERCENTILE.INC(Table67[Midpoint ratio],0.9)</f>
        <v>0.5714285714285714</v>
      </c>
      <c r="AW215" t="b">
        <f>Table67[[#This Row],[Midpoint ratio]]&gt;=Table67[[#This Row],[Threshold of Midpoint ratio]]</f>
        <v>0</v>
      </c>
      <c r="AX215" t="b">
        <f>OR(Table67[[#This Row],[Extreme Response Style]],Table67[[#This Row],[Mid-point Response Style]])</f>
        <v>1</v>
      </c>
      <c r="AY215" t="b">
        <f>OR(Table67[[#This Row],[Delete? (Stage 1)]],Table67[[#This Row],[Delete? (Stage 2)]])</f>
        <v>1</v>
      </c>
      <c r="AZ215" t="s">
        <v>81</v>
      </c>
    </row>
    <row r="216" spans="1:52">
      <c r="A216">
        <f t="shared" si="15"/>
        <v>215</v>
      </c>
      <c r="B216" s="3">
        <v>46035.728773148097</v>
      </c>
      <c r="C216" s="3">
        <v>46035.730624999997</v>
      </c>
      <c r="D216" t="s">
        <v>53</v>
      </c>
      <c r="G216" t="s">
        <v>54</v>
      </c>
      <c r="H216" t="s">
        <v>63</v>
      </c>
      <c r="I216" t="s">
        <v>56</v>
      </c>
      <c r="J216" t="s">
        <v>62</v>
      </c>
      <c r="K216" t="s">
        <v>57</v>
      </c>
      <c r="L216" t="s">
        <v>58</v>
      </c>
      <c r="M216" t="s">
        <v>58</v>
      </c>
      <c r="N216">
        <v>4</v>
      </c>
      <c r="O216">
        <v>2</v>
      </c>
      <c r="P216">
        <v>4</v>
      </c>
      <c r="Q216">
        <v>2</v>
      </c>
      <c r="R216">
        <v>4</v>
      </c>
      <c r="S216">
        <v>4</v>
      </c>
      <c r="T216">
        <v>4</v>
      </c>
      <c r="U216">
        <v>4</v>
      </c>
      <c r="V216">
        <v>4</v>
      </c>
      <c r="W216">
        <v>3</v>
      </c>
      <c r="X216">
        <v>3</v>
      </c>
      <c r="Y216">
        <v>4</v>
      </c>
      <c r="Z216">
        <v>4</v>
      </c>
      <c r="AA216">
        <v>4</v>
      </c>
      <c r="AB216">
        <v>3</v>
      </c>
      <c r="AC216">
        <v>4</v>
      </c>
      <c r="AD216">
        <v>4</v>
      </c>
      <c r="AE216">
        <v>4</v>
      </c>
      <c r="AF216">
        <v>2</v>
      </c>
      <c r="AG216">
        <v>3</v>
      </c>
      <c r="AH216">
        <v>4</v>
      </c>
      <c r="AI216">
        <v>2</v>
      </c>
      <c r="AJ216">
        <v>4</v>
      </c>
      <c r="AK216" t="b">
        <f>Table67[[#This Row],[What is your age?]]&lt;&gt;"18 - 25"</f>
        <v>0</v>
      </c>
      <c r="AL216" t="b">
        <f t="shared" si="12"/>
        <v>0</v>
      </c>
      <c r="AM216" t="b">
        <f t="shared" si="13"/>
        <v>0</v>
      </c>
      <c r="AN216" t="b">
        <f t="shared" si="14"/>
        <v>1</v>
      </c>
      <c r="AO216" t="b">
        <f>OR(Table67[[#This Row],[Ineligible respondents]:[Inconsistent response on opposite question (3)]])</f>
        <v>1</v>
      </c>
      <c r="AP21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16">
        <f>Table67[[#This Row],[Extreme Response]]/21</f>
        <v>0</v>
      </c>
      <c r="AR216">
        <f>_xlfn.PERCENTILE.INC(Table67[Extrem Response Ratio (ERS)],0.9)</f>
        <v>0.61904761904761907</v>
      </c>
      <c r="AS216" t="b">
        <f>Table67[[#This Row],[Extrem Response Ratio (ERS)]]&gt;=Table67[[#This Row],[Threshold of ERS]]</f>
        <v>0</v>
      </c>
      <c r="AT216">
        <f>COUNTIF(Table67[[#This Row],[The mechanism of digital assets is difficult to understand, which discourages me from exploring it (E.g, Tokenization, Blockchain)]:[If I want to try different ways to invest, I will explore digital assets.]], 3)</f>
        <v>4</v>
      </c>
      <c r="AU216">
        <f>Table67[[#This Row],[Midpoint]]/21</f>
        <v>0.19047619047619047</v>
      </c>
      <c r="AV216">
        <f>_xlfn.PERCENTILE.INC(Table67[Midpoint ratio],0.9)</f>
        <v>0.5714285714285714</v>
      </c>
      <c r="AW216" t="b">
        <f>Table67[[#This Row],[Midpoint ratio]]&gt;=Table67[[#This Row],[Threshold of Midpoint ratio]]</f>
        <v>0</v>
      </c>
      <c r="AX216" t="b">
        <f>OR(Table67[[#This Row],[Extreme Response Style]],Table67[[#This Row],[Mid-point Response Style]])</f>
        <v>0</v>
      </c>
      <c r="AY216" t="b">
        <f>OR(Table67[[#This Row],[Delete? (Stage 1)]],Table67[[#This Row],[Delete? (Stage 2)]])</f>
        <v>1</v>
      </c>
      <c r="AZ216" t="s">
        <v>81</v>
      </c>
    </row>
    <row r="217" spans="1:52">
      <c r="A217">
        <f t="shared" si="15"/>
        <v>216</v>
      </c>
      <c r="B217" s="3">
        <v>46035.728784722203</v>
      </c>
      <c r="C217" s="3">
        <v>46035.7328009259</v>
      </c>
      <c r="D217" t="s">
        <v>53</v>
      </c>
      <c r="G217" t="s">
        <v>54</v>
      </c>
      <c r="H217" t="s">
        <v>63</v>
      </c>
      <c r="I217" t="s">
        <v>56</v>
      </c>
      <c r="J217" t="s">
        <v>65</v>
      </c>
      <c r="K217" t="s">
        <v>57</v>
      </c>
      <c r="L217" t="s">
        <v>58</v>
      </c>
      <c r="M217" t="s">
        <v>61</v>
      </c>
      <c r="N217">
        <v>4</v>
      </c>
      <c r="O217">
        <v>4</v>
      </c>
      <c r="P217">
        <v>4</v>
      </c>
      <c r="Q217">
        <v>4</v>
      </c>
      <c r="R217">
        <v>4</v>
      </c>
      <c r="S217">
        <v>4</v>
      </c>
      <c r="T217">
        <v>4</v>
      </c>
      <c r="U217">
        <v>4</v>
      </c>
      <c r="V217">
        <v>4</v>
      </c>
      <c r="W217">
        <v>4</v>
      </c>
      <c r="X217">
        <v>4</v>
      </c>
      <c r="Y217">
        <v>4</v>
      </c>
      <c r="Z217">
        <v>4</v>
      </c>
      <c r="AA217">
        <v>4</v>
      </c>
      <c r="AB217">
        <v>4</v>
      </c>
      <c r="AC217">
        <v>4</v>
      </c>
      <c r="AD217">
        <v>4</v>
      </c>
      <c r="AE217">
        <v>4</v>
      </c>
      <c r="AF217">
        <v>4</v>
      </c>
      <c r="AG217">
        <v>4</v>
      </c>
      <c r="AH217">
        <v>4</v>
      </c>
      <c r="AI217">
        <v>2</v>
      </c>
      <c r="AJ217">
        <v>2</v>
      </c>
      <c r="AK217" t="b">
        <f>Table67[[#This Row],[What is your age?]]&lt;&gt;"18 - 25"</f>
        <v>0</v>
      </c>
      <c r="AL217" t="b">
        <f t="shared" si="12"/>
        <v>1</v>
      </c>
      <c r="AM217" t="b">
        <f t="shared" si="13"/>
        <v>1</v>
      </c>
      <c r="AN217" t="b">
        <f t="shared" si="14"/>
        <v>0</v>
      </c>
      <c r="AO217" t="b">
        <f>OR(Table67[[#This Row],[Ineligible respondents]:[Inconsistent response on opposite question (3)]])</f>
        <v>1</v>
      </c>
      <c r="AP21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17">
        <f>Table67[[#This Row],[Extreme Response]]/21</f>
        <v>0</v>
      </c>
      <c r="AR217">
        <f>_xlfn.PERCENTILE.INC(Table67[Extrem Response Ratio (ERS)],0.9)</f>
        <v>0.61904761904761907</v>
      </c>
      <c r="AS217" t="b">
        <f>Table67[[#This Row],[Extrem Response Ratio (ERS)]]&gt;=Table67[[#This Row],[Threshold of ERS]]</f>
        <v>0</v>
      </c>
      <c r="AT217">
        <f>COUNTIF(Table67[[#This Row],[The mechanism of digital assets is difficult to understand, which discourages me from exploring it (E.g, Tokenization, Blockchain)]:[If I want to try different ways to invest, I will explore digital assets.]], 3)</f>
        <v>0</v>
      </c>
      <c r="AU217">
        <f>Table67[[#This Row],[Midpoint]]/21</f>
        <v>0</v>
      </c>
      <c r="AV217">
        <f>_xlfn.PERCENTILE.INC(Table67[Midpoint ratio],0.9)</f>
        <v>0.5714285714285714</v>
      </c>
      <c r="AW217" t="b">
        <f>Table67[[#This Row],[Midpoint ratio]]&gt;=Table67[[#This Row],[Threshold of Midpoint ratio]]</f>
        <v>0</v>
      </c>
      <c r="AX217" t="b">
        <f>OR(Table67[[#This Row],[Extreme Response Style]],Table67[[#This Row],[Mid-point Response Style]])</f>
        <v>0</v>
      </c>
      <c r="AY217" t="b">
        <f>OR(Table67[[#This Row],[Delete? (Stage 1)]],Table67[[#This Row],[Delete? (Stage 2)]])</f>
        <v>1</v>
      </c>
      <c r="AZ217" t="s">
        <v>81</v>
      </c>
    </row>
    <row r="218" spans="1:52">
      <c r="A218">
        <f t="shared" si="15"/>
        <v>217</v>
      </c>
      <c r="B218" s="3">
        <v>46035.728831018503</v>
      </c>
      <c r="C218" s="3">
        <v>46035.7336574074</v>
      </c>
      <c r="D218" t="s">
        <v>53</v>
      </c>
      <c r="G218" t="s">
        <v>54</v>
      </c>
      <c r="H218" t="s">
        <v>63</v>
      </c>
      <c r="I218" t="s">
        <v>56</v>
      </c>
      <c r="J218" t="s">
        <v>57</v>
      </c>
      <c r="K218" t="s">
        <v>57</v>
      </c>
      <c r="L218" t="s">
        <v>58</v>
      </c>
      <c r="M218" t="s">
        <v>61</v>
      </c>
      <c r="N218">
        <v>3</v>
      </c>
      <c r="O218">
        <v>2</v>
      </c>
      <c r="P218">
        <v>4</v>
      </c>
      <c r="Q218">
        <v>4</v>
      </c>
      <c r="R218">
        <v>5</v>
      </c>
      <c r="S218">
        <v>3</v>
      </c>
      <c r="T218">
        <v>4</v>
      </c>
      <c r="U218">
        <v>4</v>
      </c>
      <c r="V218">
        <v>4</v>
      </c>
      <c r="W218">
        <v>4</v>
      </c>
      <c r="X218">
        <v>4</v>
      </c>
      <c r="Y218">
        <v>4</v>
      </c>
      <c r="Z218">
        <v>4</v>
      </c>
      <c r="AA218">
        <v>3</v>
      </c>
      <c r="AB218">
        <v>2</v>
      </c>
      <c r="AC218">
        <v>4</v>
      </c>
      <c r="AD218">
        <v>4</v>
      </c>
      <c r="AE218">
        <v>3</v>
      </c>
      <c r="AF218">
        <v>2</v>
      </c>
      <c r="AG218">
        <v>2</v>
      </c>
      <c r="AH218">
        <v>4</v>
      </c>
      <c r="AI218">
        <v>2</v>
      </c>
      <c r="AJ218">
        <v>4</v>
      </c>
      <c r="AK218" t="b">
        <f>Table67[[#This Row],[What is your age?]]&lt;&gt;"18 - 25"</f>
        <v>0</v>
      </c>
      <c r="AL218" t="b">
        <f t="shared" si="12"/>
        <v>0</v>
      </c>
      <c r="AM218" t="b">
        <f t="shared" si="13"/>
        <v>0</v>
      </c>
      <c r="AN218" t="b">
        <f t="shared" si="14"/>
        <v>0</v>
      </c>
      <c r="AO218" t="b">
        <f>OR(Table67[[#This Row],[Ineligible respondents]:[Inconsistent response on opposite question (3)]])</f>
        <v>0</v>
      </c>
      <c r="AP21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218">
        <f>Table67[[#This Row],[Extreme Response]]/21</f>
        <v>4.7619047619047616E-2</v>
      </c>
      <c r="AR218">
        <f>_xlfn.PERCENTILE.INC(Table67[Extrem Response Ratio (ERS)],0.9)</f>
        <v>0.61904761904761907</v>
      </c>
      <c r="AS218" t="b">
        <f>Table67[[#This Row],[Extrem Response Ratio (ERS)]]&gt;=Table67[[#This Row],[Threshold of ERS]]</f>
        <v>0</v>
      </c>
      <c r="AT218">
        <f>COUNTIF(Table67[[#This Row],[The mechanism of digital assets is difficult to understand, which discourages me from exploring it (E.g, Tokenization, Blockchain)]:[If I want to try different ways to invest, I will explore digital assets.]], 3)</f>
        <v>4</v>
      </c>
      <c r="AU218">
        <f>Table67[[#This Row],[Midpoint]]/21</f>
        <v>0.19047619047619047</v>
      </c>
      <c r="AV218">
        <f>_xlfn.PERCENTILE.INC(Table67[Midpoint ratio],0.9)</f>
        <v>0.5714285714285714</v>
      </c>
      <c r="AW218" t="b">
        <f>Table67[[#This Row],[Midpoint ratio]]&gt;=Table67[[#This Row],[Threshold of Midpoint ratio]]</f>
        <v>0</v>
      </c>
      <c r="AX218" t="b">
        <f>OR(Table67[[#This Row],[Extreme Response Style]],Table67[[#This Row],[Mid-point Response Style]])</f>
        <v>0</v>
      </c>
      <c r="AY218" t="b">
        <f>OR(Table67[[#This Row],[Delete? (Stage 1)]],Table67[[#This Row],[Delete? (Stage 2)]])</f>
        <v>0</v>
      </c>
      <c r="AZ218" t="s">
        <v>81</v>
      </c>
    </row>
    <row r="219" spans="1:52">
      <c r="A219">
        <f t="shared" si="15"/>
        <v>218</v>
      </c>
      <c r="B219" s="3">
        <v>46035.728877314803</v>
      </c>
      <c r="C219" s="3">
        <v>46035.733634259297</v>
      </c>
      <c r="D219" t="s">
        <v>53</v>
      </c>
      <c r="G219" t="s">
        <v>54</v>
      </c>
      <c r="H219" t="s">
        <v>63</v>
      </c>
      <c r="I219" t="s">
        <v>56</v>
      </c>
      <c r="J219" t="s">
        <v>62</v>
      </c>
      <c r="K219" t="s">
        <v>62</v>
      </c>
      <c r="L219" t="s">
        <v>61</v>
      </c>
      <c r="M219" t="s">
        <v>61</v>
      </c>
      <c r="N219">
        <v>3</v>
      </c>
      <c r="O219">
        <v>3</v>
      </c>
      <c r="P219">
        <v>3</v>
      </c>
      <c r="Q219">
        <v>2</v>
      </c>
      <c r="R219">
        <v>2</v>
      </c>
      <c r="S219">
        <v>4</v>
      </c>
      <c r="T219">
        <v>2</v>
      </c>
      <c r="U219">
        <v>3</v>
      </c>
      <c r="V219">
        <v>4</v>
      </c>
      <c r="W219">
        <v>5</v>
      </c>
      <c r="X219">
        <v>4</v>
      </c>
      <c r="Y219">
        <v>4</v>
      </c>
      <c r="Z219">
        <v>4</v>
      </c>
      <c r="AA219">
        <v>3</v>
      </c>
      <c r="AB219">
        <v>3</v>
      </c>
      <c r="AC219">
        <v>2</v>
      </c>
      <c r="AD219">
        <v>4</v>
      </c>
      <c r="AE219">
        <v>4</v>
      </c>
      <c r="AF219">
        <v>4</v>
      </c>
      <c r="AG219">
        <v>2</v>
      </c>
      <c r="AH219">
        <v>3</v>
      </c>
      <c r="AI219">
        <v>3</v>
      </c>
      <c r="AJ219">
        <v>2</v>
      </c>
      <c r="AK219" t="b">
        <f>Table67[[#This Row],[What is your age?]]&lt;&gt;"18 - 25"</f>
        <v>0</v>
      </c>
      <c r="AL219" t="b">
        <f t="shared" si="12"/>
        <v>0</v>
      </c>
      <c r="AM219" t="b">
        <f t="shared" si="13"/>
        <v>0</v>
      </c>
      <c r="AN219" t="b">
        <f t="shared" si="14"/>
        <v>1</v>
      </c>
      <c r="AO219" t="b">
        <f>OR(Table67[[#This Row],[Ineligible respondents]:[Inconsistent response on opposite question (3)]])</f>
        <v>1</v>
      </c>
      <c r="AP21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219">
        <f>Table67[[#This Row],[Extreme Response]]/21</f>
        <v>4.7619047619047616E-2</v>
      </c>
      <c r="AR219">
        <f>_xlfn.PERCENTILE.INC(Table67[Extrem Response Ratio (ERS)],0.9)</f>
        <v>0.61904761904761907</v>
      </c>
      <c r="AS219" t="b">
        <f>Table67[[#This Row],[Extrem Response Ratio (ERS)]]&gt;=Table67[[#This Row],[Threshold of ERS]]</f>
        <v>0</v>
      </c>
      <c r="AT219">
        <f>COUNTIF(Table67[[#This Row],[The mechanism of digital assets is difficult to understand, which discourages me from exploring it (E.g, Tokenization, Blockchain)]:[If I want to try different ways to invest, I will explore digital assets.]], 3)</f>
        <v>7</v>
      </c>
      <c r="AU219">
        <f>Table67[[#This Row],[Midpoint]]/21</f>
        <v>0.33333333333333331</v>
      </c>
      <c r="AV219">
        <f>_xlfn.PERCENTILE.INC(Table67[Midpoint ratio],0.9)</f>
        <v>0.5714285714285714</v>
      </c>
      <c r="AW219" t="b">
        <f>Table67[[#This Row],[Midpoint ratio]]&gt;=Table67[[#This Row],[Threshold of Midpoint ratio]]</f>
        <v>0</v>
      </c>
      <c r="AX219" t="b">
        <f>OR(Table67[[#This Row],[Extreme Response Style]],Table67[[#This Row],[Mid-point Response Style]])</f>
        <v>0</v>
      </c>
      <c r="AY219" t="b">
        <f>OR(Table67[[#This Row],[Delete? (Stage 1)]],Table67[[#This Row],[Delete? (Stage 2)]])</f>
        <v>1</v>
      </c>
      <c r="AZ219" t="s">
        <v>81</v>
      </c>
    </row>
    <row r="220" spans="1:52">
      <c r="A220">
        <f t="shared" si="15"/>
        <v>219</v>
      </c>
      <c r="B220" s="3">
        <v>46035.728912036997</v>
      </c>
      <c r="C220" s="3">
        <v>46035.731076388904</v>
      </c>
      <c r="D220" t="s">
        <v>53</v>
      </c>
      <c r="G220" t="s">
        <v>54</v>
      </c>
      <c r="H220" t="s">
        <v>55</v>
      </c>
      <c r="I220" t="s">
        <v>56</v>
      </c>
      <c r="J220" t="s">
        <v>60</v>
      </c>
      <c r="K220" t="s">
        <v>62</v>
      </c>
      <c r="L220" t="s">
        <v>58</v>
      </c>
      <c r="M220" t="s">
        <v>61</v>
      </c>
      <c r="N220">
        <v>4</v>
      </c>
      <c r="O220">
        <v>5</v>
      </c>
      <c r="P220">
        <v>4</v>
      </c>
      <c r="Q220">
        <v>4</v>
      </c>
      <c r="R220">
        <v>4</v>
      </c>
      <c r="S220">
        <v>4</v>
      </c>
      <c r="T220">
        <v>5</v>
      </c>
      <c r="U220">
        <v>5</v>
      </c>
      <c r="V220">
        <v>4</v>
      </c>
      <c r="W220">
        <v>4</v>
      </c>
      <c r="X220">
        <v>5</v>
      </c>
      <c r="Y220">
        <v>5</v>
      </c>
      <c r="Z220">
        <v>4</v>
      </c>
      <c r="AA220">
        <v>5</v>
      </c>
      <c r="AB220">
        <v>4</v>
      </c>
      <c r="AC220">
        <v>5</v>
      </c>
      <c r="AD220">
        <v>4</v>
      </c>
      <c r="AE220">
        <v>4</v>
      </c>
      <c r="AF220">
        <v>5</v>
      </c>
      <c r="AG220">
        <v>4</v>
      </c>
      <c r="AH220">
        <v>4</v>
      </c>
      <c r="AI220">
        <v>2</v>
      </c>
      <c r="AJ220">
        <v>1</v>
      </c>
      <c r="AK220" t="b">
        <f>Table67[[#This Row],[What is your age?]]&lt;&gt;"18 - 25"</f>
        <v>0</v>
      </c>
      <c r="AL220" t="b">
        <f t="shared" si="12"/>
        <v>0</v>
      </c>
      <c r="AM220" t="b">
        <f t="shared" si="13"/>
        <v>1</v>
      </c>
      <c r="AN220" t="b">
        <f t="shared" si="14"/>
        <v>0</v>
      </c>
      <c r="AO220" t="b">
        <f>OR(Table67[[#This Row],[Ineligible respondents]:[Inconsistent response on opposite question (3)]])</f>
        <v>1</v>
      </c>
      <c r="AP22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220">
        <f>Table67[[#This Row],[Extreme Response]]/21</f>
        <v>0.38095238095238093</v>
      </c>
      <c r="AR220">
        <f>_xlfn.PERCENTILE.INC(Table67[Extrem Response Ratio (ERS)],0.9)</f>
        <v>0.61904761904761907</v>
      </c>
      <c r="AS220" t="b">
        <f>Table67[[#This Row],[Extrem Response Ratio (ERS)]]&gt;=Table67[[#This Row],[Threshold of ERS]]</f>
        <v>0</v>
      </c>
      <c r="AT220">
        <f>COUNTIF(Table67[[#This Row],[The mechanism of digital assets is difficult to understand, which discourages me from exploring it (E.g, Tokenization, Blockchain)]:[If I want to try different ways to invest, I will explore digital assets.]], 3)</f>
        <v>0</v>
      </c>
      <c r="AU220">
        <f>Table67[[#This Row],[Midpoint]]/21</f>
        <v>0</v>
      </c>
      <c r="AV220">
        <f>_xlfn.PERCENTILE.INC(Table67[Midpoint ratio],0.9)</f>
        <v>0.5714285714285714</v>
      </c>
      <c r="AW220" t="b">
        <f>Table67[[#This Row],[Midpoint ratio]]&gt;=Table67[[#This Row],[Threshold of Midpoint ratio]]</f>
        <v>0</v>
      </c>
      <c r="AX220" t="b">
        <f>OR(Table67[[#This Row],[Extreme Response Style]],Table67[[#This Row],[Mid-point Response Style]])</f>
        <v>0</v>
      </c>
      <c r="AY220" t="b">
        <f>OR(Table67[[#This Row],[Delete? (Stage 1)]],Table67[[#This Row],[Delete? (Stage 2)]])</f>
        <v>1</v>
      </c>
      <c r="AZ220" t="s">
        <v>81</v>
      </c>
    </row>
    <row r="221" spans="1:52">
      <c r="A221">
        <f t="shared" si="15"/>
        <v>220</v>
      </c>
      <c r="B221" s="3">
        <v>46035.729131944398</v>
      </c>
      <c r="C221" s="3">
        <v>46035.729942129597</v>
      </c>
      <c r="D221" t="s">
        <v>53</v>
      </c>
      <c r="G221" t="s">
        <v>54</v>
      </c>
      <c r="H221" t="s">
        <v>63</v>
      </c>
      <c r="I221" t="s">
        <v>56</v>
      </c>
      <c r="J221" t="s">
        <v>60</v>
      </c>
      <c r="K221" t="s">
        <v>57</v>
      </c>
      <c r="L221" t="s">
        <v>61</v>
      </c>
      <c r="M221" t="s">
        <v>61</v>
      </c>
      <c r="N221">
        <v>3</v>
      </c>
      <c r="O221">
        <v>3</v>
      </c>
      <c r="P221">
        <v>3</v>
      </c>
      <c r="Q221">
        <v>3</v>
      </c>
      <c r="R221">
        <v>3</v>
      </c>
      <c r="S221">
        <v>3</v>
      </c>
      <c r="T221">
        <v>3</v>
      </c>
      <c r="U221">
        <v>3</v>
      </c>
      <c r="V221">
        <v>3</v>
      </c>
      <c r="W221">
        <v>3</v>
      </c>
      <c r="X221">
        <v>4</v>
      </c>
      <c r="Y221">
        <v>2</v>
      </c>
      <c r="Z221">
        <v>4</v>
      </c>
      <c r="AA221">
        <v>4</v>
      </c>
      <c r="AB221">
        <v>4</v>
      </c>
      <c r="AC221">
        <v>4</v>
      </c>
      <c r="AD221">
        <v>4</v>
      </c>
      <c r="AE221">
        <v>4</v>
      </c>
      <c r="AF221">
        <v>4</v>
      </c>
      <c r="AG221">
        <v>4</v>
      </c>
      <c r="AH221">
        <v>4</v>
      </c>
      <c r="AI221">
        <v>2</v>
      </c>
      <c r="AJ221">
        <v>2</v>
      </c>
      <c r="AK221" t="b">
        <f>Table67[[#This Row],[What is your age?]]&lt;&gt;"18 - 25"</f>
        <v>0</v>
      </c>
      <c r="AL221" t="b">
        <f t="shared" si="12"/>
        <v>0</v>
      </c>
      <c r="AM221" t="b">
        <f t="shared" si="13"/>
        <v>1</v>
      </c>
      <c r="AN221" t="b">
        <f t="shared" si="14"/>
        <v>0</v>
      </c>
      <c r="AO221" t="b">
        <f>OR(Table67[[#This Row],[Ineligible respondents]:[Inconsistent response on opposite question (3)]])</f>
        <v>1</v>
      </c>
      <c r="AP22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21">
        <f>Table67[[#This Row],[Extreme Response]]/21</f>
        <v>0</v>
      </c>
      <c r="AR221">
        <f>_xlfn.PERCENTILE.INC(Table67[Extrem Response Ratio (ERS)],0.9)</f>
        <v>0.61904761904761907</v>
      </c>
      <c r="AS221" t="b">
        <f>Table67[[#This Row],[Extrem Response Ratio (ERS)]]&gt;=Table67[[#This Row],[Threshold of ERS]]</f>
        <v>0</v>
      </c>
      <c r="AT221">
        <f>COUNTIF(Table67[[#This Row],[The mechanism of digital assets is difficult to understand, which discourages me from exploring it (E.g, Tokenization, Blockchain)]:[If I want to try different ways to invest, I will explore digital assets.]], 3)</f>
        <v>10</v>
      </c>
      <c r="AU221">
        <f>Table67[[#This Row],[Midpoint]]/21</f>
        <v>0.47619047619047616</v>
      </c>
      <c r="AV221">
        <f>_xlfn.PERCENTILE.INC(Table67[Midpoint ratio],0.9)</f>
        <v>0.5714285714285714</v>
      </c>
      <c r="AW221" t="b">
        <f>Table67[[#This Row],[Midpoint ratio]]&gt;=Table67[[#This Row],[Threshold of Midpoint ratio]]</f>
        <v>0</v>
      </c>
      <c r="AX221" t="b">
        <f>OR(Table67[[#This Row],[Extreme Response Style]],Table67[[#This Row],[Mid-point Response Style]])</f>
        <v>0</v>
      </c>
      <c r="AY221" t="b">
        <f>OR(Table67[[#This Row],[Delete? (Stage 1)]],Table67[[#This Row],[Delete? (Stage 2)]])</f>
        <v>1</v>
      </c>
      <c r="AZ221" t="s">
        <v>81</v>
      </c>
    </row>
    <row r="222" spans="1:52">
      <c r="A222">
        <f t="shared" si="15"/>
        <v>221</v>
      </c>
      <c r="B222" s="3">
        <v>46035.729212963</v>
      </c>
      <c r="C222" s="3">
        <v>46035.732326388897</v>
      </c>
      <c r="D222" t="s">
        <v>53</v>
      </c>
      <c r="G222" t="s">
        <v>54</v>
      </c>
      <c r="H222" t="s">
        <v>55</v>
      </c>
      <c r="I222" t="s">
        <v>56</v>
      </c>
      <c r="J222" t="s">
        <v>57</v>
      </c>
      <c r="K222" t="s">
        <v>62</v>
      </c>
      <c r="L222" t="s">
        <v>58</v>
      </c>
      <c r="M222" t="s">
        <v>58</v>
      </c>
      <c r="N222">
        <v>5</v>
      </c>
      <c r="O222">
        <v>4</v>
      </c>
      <c r="P222">
        <v>4</v>
      </c>
      <c r="Q222">
        <v>2</v>
      </c>
      <c r="R222">
        <v>3</v>
      </c>
      <c r="S222">
        <v>3</v>
      </c>
      <c r="T222">
        <v>2</v>
      </c>
      <c r="U222">
        <v>2</v>
      </c>
      <c r="V222">
        <v>3</v>
      </c>
      <c r="W222">
        <v>3</v>
      </c>
      <c r="X222">
        <v>3</v>
      </c>
      <c r="Y222">
        <v>2</v>
      </c>
      <c r="Z222">
        <v>3</v>
      </c>
      <c r="AA222">
        <v>3</v>
      </c>
      <c r="AB222">
        <v>3</v>
      </c>
      <c r="AC222">
        <v>4</v>
      </c>
      <c r="AD222">
        <v>2</v>
      </c>
      <c r="AE222">
        <v>1</v>
      </c>
      <c r="AF222">
        <v>4</v>
      </c>
      <c r="AG222">
        <v>4</v>
      </c>
      <c r="AH222">
        <v>4</v>
      </c>
      <c r="AI222">
        <v>2</v>
      </c>
      <c r="AJ222">
        <v>2</v>
      </c>
      <c r="AK222" t="b">
        <f>Table67[[#This Row],[What is your age?]]&lt;&gt;"18 - 25"</f>
        <v>0</v>
      </c>
      <c r="AL222" t="b">
        <f t="shared" si="12"/>
        <v>0</v>
      </c>
      <c r="AM222" t="b">
        <f t="shared" si="13"/>
        <v>1</v>
      </c>
      <c r="AN222" t="b">
        <f t="shared" si="14"/>
        <v>0</v>
      </c>
      <c r="AO222" t="b">
        <f>OR(Table67[[#This Row],[Ineligible respondents]:[Inconsistent response on opposite question (3)]])</f>
        <v>1</v>
      </c>
      <c r="AP22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222">
        <f>Table67[[#This Row],[Extreme Response]]/21</f>
        <v>9.5238095238095233E-2</v>
      </c>
      <c r="AR222">
        <f>_xlfn.PERCENTILE.INC(Table67[Extrem Response Ratio (ERS)],0.9)</f>
        <v>0.61904761904761907</v>
      </c>
      <c r="AS222" t="b">
        <f>Table67[[#This Row],[Extrem Response Ratio (ERS)]]&gt;=Table67[[#This Row],[Threshold of ERS]]</f>
        <v>0</v>
      </c>
      <c r="AT222">
        <f>COUNTIF(Table67[[#This Row],[The mechanism of digital assets is difficult to understand, which discourages me from exploring it (E.g, Tokenization, Blockchain)]:[If I want to try different ways to invest, I will explore digital assets.]], 3)</f>
        <v>8</v>
      </c>
      <c r="AU222">
        <f>Table67[[#This Row],[Midpoint]]/21</f>
        <v>0.38095238095238093</v>
      </c>
      <c r="AV222">
        <f>_xlfn.PERCENTILE.INC(Table67[Midpoint ratio],0.9)</f>
        <v>0.5714285714285714</v>
      </c>
      <c r="AW222" t="b">
        <f>Table67[[#This Row],[Midpoint ratio]]&gt;=Table67[[#This Row],[Threshold of Midpoint ratio]]</f>
        <v>0</v>
      </c>
      <c r="AX222" t="b">
        <f>OR(Table67[[#This Row],[Extreme Response Style]],Table67[[#This Row],[Mid-point Response Style]])</f>
        <v>0</v>
      </c>
      <c r="AY222" t="b">
        <f>OR(Table67[[#This Row],[Delete? (Stage 1)]],Table67[[#This Row],[Delete? (Stage 2)]])</f>
        <v>1</v>
      </c>
      <c r="AZ222" t="s">
        <v>81</v>
      </c>
    </row>
    <row r="223" spans="1:52">
      <c r="A223">
        <f t="shared" si="15"/>
        <v>222</v>
      </c>
      <c r="B223" s="3">
        <v>46035.730300925898</v>
      </c>
      <c r="C223" s="3">
        <v>46035.731817129599</v>
      </c>
      <c r="D223" t="s">
        <v>53</v>
      </c>
      <c r="G223" t="s">
        <v>54</v>
      </c>
      <c r="H223" t="s">
        <v>63</v>
      </c>
      <c r="I223" t="s">
        <v>56</v>
      </c>
      <c r="J223" t="s">
        <v>62</v>
      </c>
      <c r="K223" t="s">
        <v>57</v>
      </c>
      <c r="L223" t="s">
        <v>58</v>
      </c>
      <c r="M223" t="s">
        <v>61</v>
      </c>
      <c r="N223">
        <v>4</v>
      </c>
      <c r="O223">
        <v>3</v>
      </c>
      <c r="P223">
        <v>4</v>
      </c>
      <c r="Q223">
        <v>3</v>
      </c>
      <c r="R223">
        <v>4</v>
      </c>
      <c r="S223">
        <v>4</v>
      </c>
      <c r="T223">
        <v>4</v>
      </c>
      <c r="U223">
        <v>4</v>
      </c>
      <c r="V223">
        <v>5</v>
      </c>
      <c r="W223">
        <v>4</v>
      </c>
      <c r="X223">
        <v>4</v>
      </c>
      <c r="Y223">
        <v>4</v>
      </c>
      <c r="Z223">
        <v>4</v>
      </c>
      <c r="AA223">
        <v>4</v>
      </c>
      <c r="AB223">
        <v>4</v>
      </c>
      <c r="AC223">
        <v>4</v>
      </c>
      <c r="AD223">
        <v>4</v>
      </c>
      <c r="AE223">
        <v>4</v>
      </c>
      <c r="AF223">
        <v>3</v>
      </c>
      <c r="AG223">
        <v>4</v>
      </c>
      <c r="AH223">
        <v>4</v>
      </c>
      <c r="AI223">
        <v>2</v>
      </c>
      <c r="AJ223">
        <v>3</v>
      </c>
      <c r="AK223" t="b">
        <f>Table67[[#This Row],[What is your age?]]&lt;&gt;"18 - 25"</f>
        <v>0</v>
      </c>
      <c r="AL223" t="b">
        <f t="shared" si="12"/>
        <v>0</v>
      </c>
      <c r="AM223" t="b">
        <f t="shared" si="13"/>
        <v>1</v>
      </c>
      <c r="AN223" t="b">
        <f t="shared" si="14"/>
        <v>0</v>
      </c>
      <c r="AO223" t="b">
        <f>OR(Table67[[#This Row],[Ineligible respondents]:[Inconsistent response on opposite question (3)]])</f>
        <v>1</v>
      </c>
      <c r="AP22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223">
        <f>Table67[[#This Row],[Extreme Response]]/21</f>
        <v>4.7619047619047616E-2</v>
      </c>
      <c r="AR223">
        <f>_xlfn.PERCENTILE.INC(Table67[Extrem Response Ratio (ERS)],0.9)</f>
        <v>0.61904761904761907</v>
      </c>
      <c r="AS223" t="b">
        <f>Table67[[#This Row],[Extrem Response Ratio (ERS)]]&gt;=Table67[[#This Row],[Threshold of ERS]]</f>
        <v>0</v>
      </c>
      <c r="AT223">
        <f>COUNTIF(Table67[[#This Row],[The mechanism of digital assets is difficult to understand, which discourages me from exploring it (E.g, Tokenization, Blockchain)]:[If I want to try different ways to invest, I will explore digital assets.]], 3)</f>
        <v>3</v>
      </c>
      <c r="AU223">
        <f>Table67[[#This Row],[Midpoint]]/21</f>
        <v>0.14285714285714285</v>
      </c>
      <c r="AV223">
        <f>_xlfn.PERCENTILE.INC(Table67[Midpoint ratio],0.9)</f>
        <v>0.5714285714285714</v>
      </c>
      <c r="AW223" t="b">
        <f>Table67[[#This Row],[Midpoint ratio]]&gt;=Table67[[#This Row],[Threshold of Midpoint ratio]]</f>
        <v>0</v>
      </c>
      <c r="AX223" t="b">
        <f>OR(Table67[[#This Row],[Extreme Response Style]],Table67[[#This Row],[Mid-point Response Style]])</f>
        <v>0</v>
      </c>
      <c r="AY223" t="b">
        <f>OR(Table67[[#This Row],[Delete? (Stage 1)]],Table67[[#This Row],[Delete? (Stage 2)]])</f>
        <v>1</v>
      </c>
      <c r="AZ223" t="s">
        <v>81</v>
      </c>
    </row>
    <row r="224" spans="1:52">
      <c r="A224">
        <f t="shared" si="15"/>
        <v>223</v>
      </c>
      <c r="B224" s="3">
        <v>46035.730439814797</v>
      </c>
      <c r="C224" s="3">
        <v>46035.7319444444</v>
      </c>
      <c r="D224" t="s">
        <v>53</v>
      </c>
      <c r="G224" t="s">
        <v>54</v>
      </c>
      <c r="H224" t="s">
        <v>55</v>
      </c>
      <c r="I224" t="s">
        <v>56</v>
      </c>
      <c r="J224" t="s">
        <v>57</v>
      </c>
      <c r="K224" t="s">
        <v>64</v>
      </c>
      <c r="L224" t="s">
        <v>61</v>
      </c>
      <c r="M224" t="s">
        <v>58</v>
      </c>
      <c r="N224">
        <v>2</v>
      </c>
      <c r="O224">
        <v>2</v>
      </c>
      <c r="P224">
        <v>4</v>
      </c>
      <c r="Q224">
        <v>2</v>
      </c>
      <c r="R224">
        <v>4</v>
      </c>
      <c r="S224">
        <v>4</v>
      </c>
      <c r="T224">
        <v>4</v>
      </c>
      <c r="U224">
        <v>3</v>
      </c>
      <c r="V224">
        <v>5</v>
      </c>
      <c r="W224">
        <v>5</v>
      </c>
      <c r="X224">
        <v>5</v>
      </c>
      <c r="Y224">
        <v>5</v>
      </c>
      <c r="Z224">
        <v>4</v>
      </c>
      <c r="AA224">
        <v>3</v>
      </c>
      <c r="AB224">
        <v>4</v>
      </c>
      <c r="AC224">
        <v>2</v>
      </c>
      <c r="AD224">
        <v>2</v>
      </c>
      <c r="AE224">
        <v>2</v>
      </c>
      <c r="AF224">
        <v>4</v>
      </c>
      <c r="AG224">
        <v>2</v>
      </c>
      <c r="AH224">
        <v>4</v>
      </c>
      <c r="AI224">
        <v>2</v>
      </c>
      <c r="AJ224">
        <v>2</v>
      </c>
      <c r="AK224" t="b">
        <f>Table67[[#This Row],[What is your age?]]&lt;&gt;"18 - 25"</f>
        <v>0</v>
      </c>
      <c r="AL224" t="b">
        <f t="shared" si="12"/>
        <v>0</v>
      </c>
      <c r="AM224" t="b">
        <f t="shared" si="13"/>
        <v>0</v>
      </c>
      <c r="AN224" t="b">
        <f t="shared" si="14"/>
        <v>0</v>
      </c>
      <c r="AO224" t="b">
        <f>OR(Table67[[#This Row],[Ineligible respondents]:[Inconsistent response on opposite question (3)]])</f>
        <v>0</v>
      </c>
      <c r="AP22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224">
        <f>Table67[[#This Row],[Extreme Response]]/21</f>
        <v>0.19047619047619047</v>
      </c>
      <c r="AR224">
        <f>_xlfn.PERCENTILE.INC(Table67[Extrem Response Ratio (ERS)],0.9)</f>
        <v>0.61904761904761907</v>
      </c>
      <c r="AS224" t="b">
        <f>Table67[[#This Row],[Extrem Response Ratio (ERS)]]&gt;=Table67[[#This Row],[Threshold of ERS]]</f>
        <v>0</v>
      </c>
      <c r="AT224">
        <f>COUNTIF(Table67[[#This Row],[The mechanism of digital assets is difficult to understand, which discourages me from exploring it (E.g, Tokenization, Blockchain)]:[If I want to try different ways to invest, I will explore digital assets.]], 3)</f>
        <v>2</v>
      </c>
      <c r="AU224">
        <f>Table67[[#This Row],[Midpoint]]/21</f>
        <v>9.5238095238095233E-2</v>
      </c>
      <c r="AV224">
        <f>_xlfn.PERCENTILE.INC(Table67[Midpoint ratio],0.9)</f>
        <v>0.5714285714285714</v>
      </c>
      <c r="AW224" t="b">
        <f>Table67[[#This Row],[Midpoint ratio]]&gt;=Table67[[#This Row],[Threshold of Midpoint ratio]]</f>
        <v>0</v>
      </c>
      <c r="AX224" t="b">
        <f>OR(Table67[[#This Row],[Extreme Response Style]],Table67[[#This Row],[Mid-point Response Style]])</f>
        <v>0</v>
      </c>
      <c r="AY224" t="b">
        <f>OR(Table67[[#This Row],[Delete? (Stage 1)]],Table67[[#This Row],[Delete? (Stage 2)]])</f>
        <v>0</v>
      </c>
      <c r="AZ224" t="s">
        <v>81</v>
      </c>
    </row>
    <row r="225" spans="1:52">
      <c r="A225">
        <f t="shared" si="15"/>
        <v>224</v>
      </c>
      <c r="B225" s="3">
        <v>46035.743217592601</v>
      </c>
      <c r="C225" s="3">
        <v>46035.753217592603</v>
      </c>
      <c r="D225" t="s">
        <v>53</v>
      </c>
      <c r="G225" t="s">
        <v>54</v>
      </c>
      <c r="H225" t="s">
        <v>63</v>
      </c>
      <c r="I225" t="s">
        <v>56</v>
      </c>
      <c r="J225" t="s">
        <v>65</v>
      </c>
      <c r="K225" t="s">
        <v>57</v>
      </c>
      <c r="L225" t="s">
        <v>61</v>
      </c>
      <c r="M225" t="s">
        <v>58</v>
      </c>
      <c r="N225">
        <v>4</v>
      </c>
      <c r="O225">
        <v>3</v>
      </c>
      <c r="P225">
        <v>5</v>
      </c>
      <c r="Q225">
        <v>3</v>
      </c>
      <c r="R225">
        <v>4</v>
      </c>
      <c r="S225">
        <v>3</v>
      </c>
      <c r="T225">
        <v>3</v>
      </c>
      <c r="U225">
        <v>4</v>
      </c>
      <c r="V225">
        <v>5</v>
      </c>
      <c r="W225">
        <v>5</v>
      </c>
      <c r="X225">
        <v>4</v>
      </c>
      <c r="Y225">
        <v>3</v>
      </c>
      <c r="Z225">
        <v>3</v>
      </c>
      <c r="AA225">
        <v>3</v>
      </c>
      <c r="AB225">
        <v>3</v>
      </c>
      <c r="AC225">
        <v>3</v>
      </c>
      <c r="AD225">
        <v>5</v>
      </c>
      <c r="AE225">
        <v>3</v>
      </c>
      <c r="AF225">
        <v>3</v>
      </c>
      <c r="AG225">
        <v>3</v>
      </c>
      <c r="AH225">
        <v>3</v>
      </c>
      <c r="AI225">
        <v>3</v>
      </c>
      <c r="AJ225">
        <v>3</v>
      </c>
      <c r="AK225" t="b">
        <f>Table67[[#This Row],[What is your age?]]&lt;&gt;"18 - 25"</f>
        <v>0</v>
      </c>
      <c r="AL225" t="b">
        <f t="shared" si="12"/>
        <v>0</v>
      </c>
      <c r="AM225" t="b">
        <f t="shared" si="13"/>
        <v>0</v>
      </c>
      <c r="AN225" t="b">
        <f t="shared" si="14"/>
        <v>0</v>
      </c>
      <c r="AO225" t="b">
        <f>OR(Table67[[#This Row],[Ineligible respondents]:[Inconsistent response on opposite question (3)]])</f>
        <v>0</v>
      </c>
      <c r="AP22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225">
        <f>Table67[[#This Row],[Extreme Response]]/21</f>
        <v>0.19047619047619047</v>
      </c>
      <c r="AR225">
        <f>_xlfn.PERCENTILE.INC(Table67[Extrem Response Ratio (ERS)],0.9)</f>
        <v>0.61904761904761907</v>
      </c>
      <c r="AS225" t="b">
        <f>Table67[[#This Row],[Extrem Response Ratio (ERS)]]&gt;=Table67[[#This Row],[Threshold of ERS]]</f>
        <v>0</v>
      </c>
      <c r="AT225">
        <f>COUNTIF(Table67[[#This Row],[The mechanism of digital assets is difficult to understand, which discourages me from exploring it (E.g, Tokenization, Blockchain)]:[If I want to try different ways to invest, I will explore digital assets.]], 3)</f>
        <v>13</v>
      </c>
      <c r="AU225">
        <f>Table67[[#This Row],[Midpoint]]/21</f>
        <v>0.61904761904761907</v>
      </c>
      <c r="AV225">
        <f>_xlfn.PERCENTILE.INC(Table67[Midpoint ratio],0.9)</f>
        <v>0.5714285714285714</v>
      </c>
      <c r="AW225" t="b">
        <f>Table67[[#This Row],[Midpoint ratio]]&gt;=Table67[[#This Row],[Threshold of Midpoint ratio]]</f>
        <v>1</v>
      </c>
      <c r="AX225" t="b">
        <f>OR(Table67[[#This Row],[Extreme Response Style]],Table67[[#This Row],[Mid-point Response Style]])</f>
        <v>1</v>
      </c>
      <c r="AY225" t="b">
        <f>OR(Table67[[#This Row],[Delete? (Stage 1)]],Table67[[#This Row],[Delete? (Stage 2)]])</f>
        <v>1</v>
      </c>
      <c r="AZ225" t="s">
        <v>81</v>
      </c>
    </row>
    <row r="226" spans="1:52">
      <c r="A226">
        <f t="shared" si="15"/>
        <v>225</v>
      </c>
      <c r="B226" s="3">
        <v>46035.775451388901</v>
      </c>
      <c r="C226" s="3">
        <v>46035.778900463003</v>
      </c>
      <c r="D226" t="s">
        <v>53</v>
      </c>
      <c r="G226" t="s">
        <v>54</v>
      </c>
      <c r="H226" t="s">
        <v>63</v>
      </c>
      <c r="I226" t="s">
        <v>56</v>
      </c>
      <c r="J226" t="s">
        <v>65</v>
      </c>
      <c r="K226" t="s">
        <v>57</v>
      </c>
      <c r="L226" t="s">
        <v>58</v>
      </c>
      <c r="M226" t="s">
        <v>58</v>
      </c>
      <c r="N226">
        <v>3</v>
      </c>
      <c r="O226">
        <v>1</v>
      </c>
      <c r="P226">
        <v>4</v>
      </c>
      <c r="Q226">
        <v>4</v>
      </c>
      <c r="R226">
        <v>2</v>
      </c>
      <c r="S226">
        <v>3</v>
      </c>
      <c r="T226">
        <v>4</v>
      </c>
      <c r="U226">
        <v>4</v>
      </c>
      <c r="V226">
        <v>5</v>
      </c>
      <c r="W226">
        <v>4</v>
      </c>
      <c r="X226">
        <v>2</v>
      </c>
      <c r="Y226">
        <v>3</v>
      </c>
      <c r="Z226">
        <v>4</v>
      </c>
      <c r="AA226">
        <v>3</v>
      </c>
      <c r="AB226">
        <v>3</v>
      </c>
      <c r="AC226">
        <v>3</v>
      </c>
      <c r="AD226">
        <v>3</v>
      </c>
      <c r="AE226">
        <v>2</v>
      </c>
      <c r="AF226">
        <v>3</v>
      </c>
      <c r="AG226">
        <v>4</v>
      </c>
      <c r="AH226">
        <v>2</v>
      </c>
      <c r="AI226">
        <v>4</v>
      </c>
      <c r="AJ226">
        <v>3</v>
      </c>
      <c r="AK226" t="b">
        <f>Table67[[#This Row],[What is your age?]]&lt;&gt;"18 - 25"</f>
        <v>0</v>
      </c>
      <c r="AL226" t="b">
        <f t="shared" si="12"/>
        <v>0</v>
      </c>
      <c r="AM226" t="b">
        <f t="shared" si="13"/>
        <v>0</v>
      </c>
      <c r="AN226" t="b">
        <f t="shared" si="14"/>
        <v>0</v>
      </c>
      <c r="AO226" t="b">
        <f>OR(Table67[[#This Row],[Ineligible respondents]:[Inconsistent response on opposite question (3)]])</f>
        <v>0</v>
      </c>
      <c r="AP22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226">
        <f>Table67[[#This Row],[Extreme Response]]/21</f>
        <v>9.5238095238095233E-2</v>
      </c>
      <c r="AR226">
        <f>_xlfn.PERCENTILE.INC(Table67[Extrem Response Ratio (ERS)],0.9)</f>
        <v>0.61904761904761907</v>
      </c>
      <c r="AS226" t="b">
        <f>Table67[[#This Row],[Extrem Response Ratio (ERS)]]&gt;=Table67[[#This Row],[Threshold of ERS]]</f>
        <v>0</v>
      </c>
      <c r="AT226">
        <f>COUNTIF(Table67[[#This Row],[The mechanism of digital assets is difficult to understand, which discourages me from exploring it (E.g, Tokenization, Blockchain)]:[If I want to try different ways to invest, I will explore digital assets.]], 3)</f>
        <v>8</v>
      </c>
      <c r="AU226">
        <f>Table67[[#This Row],[Midpoint]]/21</f>
        <v>0.38095238095238093</v>
      </c>
      <c r="AV226">
        <f>_xlfn.PERCENTILE.INC(Table67[Midpoint ratio],0.9)</f>
        <v>0.5714285714285714</v>
      </c>
      <c r="AW226" t="b">
        <f>Table67[[#This Row],[Midpoint ratio]]&gt;=Table67[[#This Row],[Threshold of Midpoint ratio]]</f>
        <v>0</v>
      </c>
      <c r="AX226" t="b">
        <f>OR(Table67[[#This Row],[Extreme Response Style]],Table67[[#This Row],[Mid-point Response Style]])</f>
        <v>0</v>
      </c>
      <c r="AY226" t="b">
        <f>OR(Table67[[#This Row],[Delete? (Stage 1)]],Table67[[#This Row],[Delete? (Stage 2)]])</f>
        <v>0</v>
      </c>
      <c r="AZ226" t="s">
        <v>81</v>
      </c>
    </row>
    <row r="227" spans="1:52">
      <c r="A227">
        <f t="shared" si="15"/>
        <v>226</v>
      </c>
      <c r="B227" s="3">
        <v>46035.798321759299</v>
      </c>
      <c r="C227" s="3">
        <v>46035.806597222203</v>
      </c>
      <c r="D227" t="s">
        <v>53</v>
      </c>
      <c r="G227" t="s">
        <v>74</v>
      </c>
      <c r="H227" t="s">
        <v>63</v>
      </c>
      <c r="I227" t="s">
        <v>82</v>
      </c>
      <c r="J227" t="s">
        <v>66</v>
      </c>
      <c r="K227" t="s">
        <v>66</v>
      </c>
      <c r="L227" t="s">
        <v>58</v>
      </c>
      <c r="M227" t="s">
        <v>61</v>
      </c>
      <c r="N227">
        <v>4</v>
      </c>
      <c r="O227">
        <v>3</v>
      </c>
      <c r="P227">
        <v>5</v>
      </c>
      <c r="Q227">
        <v>5</v>
      </c>
      <c r="R227">
        <v>3</v>
      </c>
      <c r="S227">
        <v>2</v>
      </c>
      <c r="T227">
        <v>2</v>
      </c>
      <c r="U227">
        <v>3</v>
      </c>
      <c r="V227">
        <v>5</v>
      </c>
      <c r="W227">
        <v>4</v>
      </c>
      <c r="X227">
        <v>4</v>
      </c>
      <c r="Y227">
        <v>4</v>
      </c>
      <c r="Z227">
        <v>5</v>
      </c>
      <c r="AA227">
        <v>4</v>
      </c>
      <c r="AB227">
        <v>1</v>
      </c>
      <c r="AC227">
        <v>5</v>
      </c>
      <c r="AD227">
        <v>4</v>
      </c>
      <c r="AE227">
        <v>1</v>
      </c>
      <c r="AF227">
        <v>3</v>
      </c>
      <c r="AG227">
        <v>4</v>
      </c>
      <c r="AH227">
        <v>5</v>
      </c>
      <c r="AI227">
        <v>1</v>
      </c>
      <c r="AJ227">
        <v>3</v>
      </c>
      <c r="AK227" t="b">
        <f>Table67[[#This Row],[What is your age?]]&lt;&gt;"18 - 25"</f>
        <v>1</v>
      </c>
      <c r="AL227" t="b">
        <f t="shared" si="12"/>
        <v>0</v>
      </c>
      <c r="AM227" t="b">
        <f t="shared" si="13"/>
        <v>1</v>
      </c>
      <c r="AN227" t="b">
        <f t="shared" si="14"/>
        <v>0</v>
      </c>
      <c r="AO227" t="b">
        <f>OR(Table67[[#This Row],[Ineligible respondents]:[Inconsistent response on opposite question (3)]])</f>
        <v>1</v>
      </c>
      <c r="AP22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227">
        <f>Table67[[#This Row],[Extreme Response]]/21</f>
        <v>0.38095238095238093</v>
      </c>
      <c r="AR227">
        <f>_xlfn.PERCENTILE.INC(Table67[Extrem Response Ratio (ERS)],0.9)</f>
        <v>0.61904761904761907</v>
      </c>
      <c r="AS227" t="b">
        <f>Table67[[#This Row],[Extrem Response Ratio (ERS)]]&gt;=Table67[[#This Row],[Threshold of ERS]]</f>
        <v>0</v>
      </c>
      <c r="AT227">
        <f>COUNTIF(Table67[[#This Row],[The mechanism of digital assets is difficult to understand, which discourages me from exploring it (E.g, Tokenization, Blockchain)]:[If I want to try different ways to invest, I will explore digital assets.]], 3)</f>
        <v>4</v>
      </c>
      <c r="AU227">
        <f>Table67[[#This Row],[Midpoint]]/21</f>
        <v>0.19047619047619047</v>
      </c>
      <c r="AV227">
        <f>_xlfn.PERCENTILE.INC(Table67[Midpoint ratio],0.9)</f>
        <v>0.5714285714285714</v>
      </c>
      <c r="AW227" t="b">
        <f>Table67[[#This Row],[Midpoint ratio]]&gt;=Table67[[#This Row],[Threshold of Midpoint ratio]]</f>
        <v>0</v>
      </c>
      <c r="AX227" t="b">
        <f>OR(Table67[[#This Row],[Extreme Response Style]],Table67[[#This Row],[Mid-point Response Style]])</f>
        <v>0</v>
      </c>
      <c r="AY227" t="b">
        <f>OR(Table67[[#This Row],[Delete? (Stage 1)]],Table67[[#This Row],[Delete? (Stage 2)]])</f>
        <v>1</v>
      </c>
      <c r="AZ227" t="s">
        <v>81</v>
      </c>
    </row>
    <row r="228" spans="1:52">
      <c r="A228">
        <f t="shared" si="15"/>
        <v>227</v>
      </c>
      <c r="B228" s="3">
        <v>46035.799432870401</v>
      </c>
      <c r="C228" s="3">
        <v>46035.802268518499</v>
      </c>
      <c r="D228" t="s">
        <v>53</v>
      </c>
      <c r="G228" t="s">
        <v>54</v>
      </c>
      <c r="H228" t="s">
        <v>55</v>
      </c>
      <c r="I228" t="s">
        <v>75</v>
      </c>
      <c r="J228" t="s">
        <v>67</v>
      </c>
      <c r="K228" t="s">
        <v>66</v>
      </c>
      <c r="L228" t="s">
        <v>58</v>
      </c>
      <c r="M228" t="s">
        <v>61</v>
      </c>
      <c r="N228">
        <v>3</v>
      </c>
      <c r="O228">
        <v>3</v>
      </c>
      <c r="P228">
        <v>5</v>
      </c>
      <c r="Q228">
        <v>3</v>
      </c>
      <c r="R228">
        <v>3</v>
      </c>
      <c r="S228">
        <v>4</v>
      </c>
      <c r="T228">
        <v>3</v>
      </c>
      <c r="U228">
        <v>5</v>
      </c>
      <c r="V228">
        <v>5</v>
      </c>
      <c r="W228">
        <v>5</v>
      </c>
      <c r="X228">
        <v>4</v>
      </c>
      <c r="Y228">
        <v>4</v>
      </c>
      <c r="Z228">
        <v>5</v>
      </c>
      <c r="AA228">
        <v>4</v>
      </c>
      <c r="AB228">
        <v>2</v>
      </c>
      <c r="AC228">
        <v>3</v>
      </c>
      <c r="AD228">
        <v>3</v>
      </c>
      <c r="AE228">
        <v>2</v>
      </c>
      <c r="AF228">
        <v>3</v>
      </c>
      <c r="AG228">
        <v>3</v>
      </c>
      <c r="AH228">
        <v>4</v>
      </c>
      <c r="AI228">
        <v>2</v>
      </c>
      <c r="AJ228">
        <v>3</v>
      </c>
      <c r="AK228" t="b">
        <f>Table67[[#This Row],[What is your age?]]&lt;&gt;"18 - 25"</f>
        <v>0</v>
      </c>
      <c r="AL228" t="b">
        <f t="shared" si="12"/>
        <v>0</v>
      </c>
      <c r="AM228" t="b">
        <f t="shared" si="13"/>
        <v>0</v>
      </c>
      <c r="AN228" t="b">
        <f t="shared" si="14"/>
        <v>1</v>
      </c>
      <c r="AO228" t="b">
        <f>OR(Table67[[#This Row],[Ineligible respondents]:[Inconsistent response on opposite question (3)]])</f>
        <v>1</v>
      </c>
      <c r="AP22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228">
        <f>Table67[[#This Row],[Extreme Response]]/21</f>
        <v>0.23809523809523808</v>
      </c>
      <c r="AR228">
        <f>_xlfn.PERCENTILE.INC(Table67[Extrem Response Ratio (ERS)],0.9)</f>
        <v>0.61904761904761907</v>
      </c>
      <c r="AS228" t="b">
        <f>Table67[[#This Row],[Extrem Response Ratio (ERS)]]&gt;=Table67[[#This Row],[Threshold of ERS]]</f>
        <v>0</v>
      </c>
      <c r="AT228">
        <f>COUNTIF(Table67[[#This Row],[The mechanism of digital assets is difficult to understand, which discourages me from exploring it (E.g, Tokenization, Blockchain)]:[If I want to try different ways to invest, I will explore digital assets.]], 3)</f>
        <v>9</v>
      </c>
      <c r="AU228">
        <f>Table67[[#This Row],[Midpoint]]/21</f>
        <v>0.42857142857142855</v>
      </c>
      <c r="AV228">
        <f>_xlfn.PERCENTILE.INC(Table67[Midpoint ratio],0.9)</f>
        <v>0.5714285714285714</v>
      </c>
      <c r="AW228" t="b">
        <f>Table67[[#This Row],[Midpoint ratio]]&gt;=Table67[[#This Row],[Threshold of Midpoint ratio]]</f>
        <v>0</v>
      </c>
      <c r="AX228" t="b">
        <f>OR(Table67[[#This Row],[Extreme Response Style]],Table67[[#This Row],[Mid-point Response Style]])</f>
        <v>0</v>
      </c>
      <c r="AY228" t="b">
        <f>OR(Table67[[#This Row],[Delete? (Stage 1)]],Table67[[#This Row],[Delete? (Stage 2)]])</f>
        <v>1</v>
      </c>
      <c r="AZ228" t="s">
        <v>81</v>
      </c>
    </row>
    <row r="229" spans="1:52">
      <c r="A229">
        <f t="shared" si="15"/>
        <v>228</v>
      </c>
      <c r="B229" s="3">
        <v>46035.804490740702</v>
      </c>
      <c r="C229" s="3">
        <v>46035.805613425902</v>
      </c>
      <c r="D229" t="s">
        <v>53</v>
      </c>
      <c r="G229" t="s">
        <v>73</v>
      </c>
      <c r="H229" t="s">
        <v>55</v>
      </c>
      <c r="I229" t="s">
        <v>56</v>
      </c>
      <c r="J229" t="s">
        <v>57</v>
      </c>
      <c r="K229" t="s">
        <v>66</v>
      </c>
      <c r="L229" t="s">
        <v>58</v>
      </c>
      <c r="M229" t="s">
        <v>61</v>
      </c>
      <c r="N229">
        <v>2</v>
      </c>
      <c r="O229">
        <v>1</v>
      </c>
      <c r="P229">
        <v>4</v>
      </c>
      <c r="Q229">
        <v>3</v>
      </c>
      <c r="R229">
        <v>2</v>
      </c>
      <c r="S229">
        <v>2</v>
      </c>
      <c r="T229">
        <v>2</v>
      </c>
      <c r="U229">
        <v>4</v>
      </c>
      <c r="V229">
        <v>4</v>
      </c>
      <c r="W229">
        <v>4</v>
      </c>
      <c r="X229">
        <v>4</v>
      </c>
      <c r="Y229">
        <v>4</v>
      </c>
      <c r="Z229">
        <v>4</v>
      </c>
      <c r="AA229">
        <v>4</v>
      </c>
      <c r="AB229">
        <v>2</v>
      </c>
      <c r="AC229">
        <v>2</v>
      </c>
      <c r="AD229">
        <v>4</v>
      </c>
      <c r="AE229">
        <v>2</v>
      </c>
      <c r="AF229">
        <v>3</v>
      </c>
      <c r="AG229">
        <v>3</v>
      </c>
      <c r="AH229">
        <v>3</v>
      </c>
      <c r="AI229">
        <v>3</v>
      </c>
      <c r="AJ229">
        <v>3</v>
      </c>
      <c r="AK229" t="b">
        <f>Table67[[#This Row],[What is your age?]]&lt;&gt;"18 - 25"</f>
        <v>1</v>
      </c>
      <c r="AL229" t="b">
        <f t="shared" si="12"/>
        <v>0</v>
      </c>
      <c r="AM229" t="b">
        <f t="shared" si="13"/>
        <v>0</v>
      </c>
      <c r="AN229" t="b">
        <f t="shared" si="14"/>
        <v>0</v>
      </c>
      <c r="AO229" t="b">
        <f>OR(Table67[[#This Row],[Ineligible respondents]:[Inconsistent response on opposite question (3)]])</f>
        <v>1</v>
      </c>
      <c r="AP22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229">
        <f>Table67[[#This Row],[Extreme Response]]/21</f>
        <v>4.7619047619047616E-2</v>
      </c>
      <c r="AR229">
        <f>_xlfn.PERCENTILE.INC(Table67[Extrem Response Ratio (ERS)],0.9)</f>
        <v>0.61904761904761907</v>
      </c>
      <c r="AS229" t="b">
        <f>Table67[[#This Row],[Extrem Response Ratio (ERS)]]&gt;=Table67[[#This Row],[Threshold of ERS]]</f>
        <v>0</v>
      </c>
      <c r="AT229">
        <f>COUNTIF(Table67[[#This Row],[The mechanism of digital assets is difficult to understand, which discourages me from exploring it (E.g, Tokenization, Blockchain)]:[If I want to try different ways to invest, I will explore digital assets.]], 3)</f>
        <v>4</v>
      </c>
      <c r="AU229">
        <f>Table67[[#This Row],[Midpoint]]/21</f>
        <v>0.19047619047619047</v>
      </c>
      <c r="AV229">
        <f>_xlfn.PERCENTILE.INC(Table67[Midpoint ratio],0.9)</f>
        <v>0.5714285714285714</v>
      </c>
      <c r="AW229" t="b">
        <f>Table67[[#This Row],[Midpoint ratio]]&gt;=Table67[[#This Row],[Threshold of Midpoint ratio]]</f>
        <v>0</v>
      </c>
      <c r="AX229" t="b">
        <f>OR(Table67[[#This Row],[Extreme Response Style]],Table67[[#This Row],[Mid-point Response Style]])</f>
        <v>0</v>
      </c>
      <c r="AY229" t="b">
        <f>OR(Table67[[#This Row],[Delete? (Stage 1)]],Table67[[#This Row],[Delete? (Stage 2)]])</f>
        <v>1</v>
      </c>
      <c r="AZ229" t="s">
        <v>81</v>
      </c>
    </row>
    <row r="230" spans="1:52">
      <c r="A230">
        <f t="shared" si="15"/>
        <v>229</v>
      </c>
      <c r="B230" s="3">
        <v>46035.932870370401</v>
      </c>
      <c r="C230" s="3">
        <v>46035.948645833298</v>
      </c>
      <c r="D230" t="s">
        <v>53</v>
      </c>
      <c r="G230" t="s">
        <v>54</v>
      </c>
      <c r="H230" t="s">
        <v>55</v>
      </c>
      <c r="I230" t="s">
        <v>56</v>
      </c>
      <c r="J230" t="s">
        <v>60</v>
      </c>
      <c r="K230" t="s">
        <v>57</v>
      </c>
      <c r="L230" t="s">
        <v>58</v>
      </c>
      <c r="M230" t="s">
        <v>58</v>
      </c>
      <c r="N230">
        <v>4</v>
      </c>
      <c r="O230">
        <v>4</v>
      </c>
      <c r="P230">
        <v>4</v>
      </c>
      <c r="Q230">
        <v>3</v>
      </c>
      <c r="R230">
        <v>2</v>
      </c>
      <c r="S230">
        <v>2</v>
      </c>
      <c r="T230">
        <v>3</v>
      </c>
      <c r="U230">
        <v>4</v>
      </c>
      <c r="V230">
        <v>5</v>
      </c>
      <c r="W230">
        <v>4</v>
      </c>
      <c r="X230">
        <v>3</v>
      </c>
      <c r="Y230">
        <v>4</v>
      </c>
      <c r="Z230">
        <v>4</v>
      </c>
      <c r="AA230">
        <v>4</v>
      </c>
      <c r="AB230">
        <v>2</v>
      </c>
      <c r="AC230">
        <v>4</v>
      </c>
      <c r="AD230">
        <v>3</v>
      </c>
      <c r="AE230">
        <v>2</v>
      </c>
      <c r="AF230">
        <v>4</v>
      </c>
      <c r="AG230">
        <v>3</v>
      </c>
      <c r="AH230">
        <v>4</v>
      </c>
      <c r="AI230">
        <v>2</v>
      </c>
      <c r="AJ230">
        <v>2</v>
      </c>
      <c r="AK230" t="b">
        <f>Table67[[#This Row],[What is your age?]]&lt;&gt;"18 - 25"</f>
        <v>0</v>
      </c>
      <c r="AL230" t="b">
        <f t="shared" si="12"/>
        <v>0</v>
      </c>
      <c r="AM230" t="b">
        <f t="shared" si="13"/>
        <v>0</v>
      </c>
      <c r="AN230" t="b">
        <f t="shared" si="14"/>
        <v>1</v>
      </c>
      <c r="AO230" t="b">
        <f>OR(Table67[[#This Row],[Ineligible respondents]:[Inconsistent response on opposite question (3)]])</f>
        <v>1</v>
      </c>
      <c r="AP23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230">
        <f>Table67[[#This Row],[Extreme Response]]/21</f>
        <v>4.7619047619047616E-2</v>
      </c>
      <c r="AR230">
        <f>_xlfn.PERCENTILE.INC(Table67[Extrem Response Ratio (ERS)],0.9)</f>
        <v>0.61904761904761907</v>
      </c>
      <c r="AS230" t="b">
        <f>Table67[[#This Row],[Extrem Response Ratio (ERS)]]&gt;=Table67[[#This Row],[Threshold of ERS]]</f>
        <v>0</v>
      </c>
      <c r="AT230">
        <f>COUNTIF(Table67[[#This Row],[The mechanism of digital assets is difficult to understand, which discourages me from exploring it (E.g, Tokenization, Blockchain)]:[If I want to try different ways to invest, I will explore digital assets.]], 3)</f>
        <v>5</v>
      </c>
      <c r="AU230">
        <f>Table67[[#This Row],[Midpoint]]/21</f>
        <v>0.23809523809523808</v>
      </c>
      <c r="AV230">
        <f>_xlfn.PERCENTILE.INC(Table67[Midpoint ratio],0.9)</f>
        <v>0.5714285714285714</v>
      </c>
      <c r="AW230" t="b">
        <f>Table67[[#This Row],[Midpoint ratio]]&gt;=Table67[[#This Row],[Threshold of Midpoint ratio]]</f>
        <v>0</v>
      </c>
      <c r="AX230" t="b">
        <f>OR(Table67[[#This Row],[Extreme Response Style]],Table67[[#This Row],[Mid-point Response Style]])</f>
        <v>0</v>
      </c>
      <c r="AY230" t="b">
        <f>OR(Table67[[#This Row],[Delete? (Stage 1)]],Table67[[#This Row],[Delete? (Stage 2)]])</f>
        <v>1</v>
      </c>
      <c r="AZ230" t="s">
        <v>81</v>
      </c>
    </row>
    <row r="231" spans="1:52">
      <c r="A231">
        <f t="shared" si="15"/>
        <v>230</v>
      </c>
      <c r="B231" s="3">
        <v>46035.964305555601</v>
      </c>
      <c r="C231" s="3">
        <v>46035.966851851903</v>
      </c>
      <c r="D231" t="s">
        <v>53</v>
      </c>
      <c r="G231" t="s">
        <v>54</v>
      </c>
      <c r="H231" t="s">
        <v>55</v>
      </c>
      <c r="I231" t="s">
        <v>56</v>
      </c>
      <c r="J231" t="s">
        <v>57</v>
      </c>
      <c r="K231" t="s">
        <v>57</v>
      </c>
      <c r="L231" t="s">
        <v>58</v>
      </c>
      <c r="M231" t="s">
        <v>58</v>
      </c>
      <c r="N231">
        <v>2</v>
      </c>
      <c r="O231">
        <v>3</v>
      </c>
      <c r="P231">
        <v>4</v>
      </c>
      <c r="Q231">
        <v>3</v>
      </c>
      <c r="R231">
        <v>3</v>
      </c>
      <c r="S231">
        <v>4</v>
      </c>
      <c r="T231">
        <v>4</v>
      </c>
      <c r="U231">
        <v>4</v>
      </c>
      <c r="V231">
        <v>5</v>
      </c>
      <c r="W231">
        <v>4</v>
      </c>
      <c r="X231">
        <v>4</v>
      </c>
      <c r="Y231">
        <v>4</v>
      </c>
      <c r="Z231">
        <v>4</v>
      </c>
      <c r="AA231">
        <v>4</v>
      </c>
      <c r="AB231">
        <v>3</v>
      </c>
      <c r="AC231">
        <v>3</v>
      </c>
      <c r="AD231">
        <v>4</v>
      </c>
      <c r="AE231">
        <v>4</v>
      </c>
      <c r="AF231">
        <v>2</v>
      </c>
      <c r="AG231">
        <v>4</v>
      </c>
      <c r="AH231">
        <v>4</v>
      </c>
      <c r="AI231">
        <v>2</v>
      </c>
      <c r="AJ231">
        <v>4</v>
      </c>
      <c r="AK231" t="b">
        <f>Table67[[#This Row],[What is your age?]]&lt;&gt;"18 - 25"</f>
        <v>0</v>
      </c>
      <c r="AL231" t="b">
        <f t="shared" si="12"/>
        <v>0</v>
      </c>
      <c r="AM231" t="b">
        <f t="shared" si="13"/>
        <v>1</v>
      </c>
      <c r="AN231" t="b">
        <f t="shared" si="14"/>
        <v>0</v>
      </c>
      <c r="AO231" t="b">
        <f>OR(Table67[[#This Row],[Ineligible respondents]:[Inconsistent response on opposite question (3)]])</f>
        <v>1</v>
      </c>
      <c r="AP23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231">
        <f>Table67[[#This Row],[Extreme Response]]/21</f>
        <v>4.7619047619047616E-2</v>
      </c>
      <c r="AR231">
        <f>_xlfn.PERCENTILE.INC(Table67[Extrem Response Ratio (ERS)],0.9)</f>
        <v>0.61904761904761907</v>
      </c>
      <c r="AS231" t="b">
        <f>Table67[[#This Row],[Extrem Response Ratio (ERS)]]&gt;=Table67[[#This Row],[Threshold of ERS]]</f>
        <v>0</v>
      </c>
      <c r="AT231">
        <f>COUNTIF(Table67[[#This Row],[The mechanism of digital assets is difficult to understand, which discourages me from exploring it (E.g, Tokenization, Blockchain)]:[If I want to try different ways to invest, I will explore digital assets.]], 3)</f>
        <v>5</v>
      </c>
      <c r="AU231">
        <f>Table67[[#This Row],[Midpoint]]/21</f>
        <v>0.23809523809523808</v>
      </c>
      <c r="AV231">
        <f>_xlfn.PERCENTILE.INC(Table67[Midpoint ratio],0.9)</f>
        <v>0.5714285714285714</v>
      </c>
      <c r="AW231" t="b">
        <f>Table67[[#This Row],[Midpoint ratio]]&gt;=Table67[[#This Row],[Threshold of Midpoint ratio]]</f>
        <v>0</v>
      </c>
      <c r="AX231" t="b">
        <f>OR(Table67[[#This Row],[Extreme Response Style]],Table67[[#This Row],[Mid-point Response Style]])</f>
        <v>0</v>
      </c>
      <c r="AY231" t="b">
        <f>OR(Table67[[#This Row],[Delete? (Stage 1)]],Table67[[#This Row],[Delete? (Stage 2)]])</f>
        <v>1</v>
      </c>
      <c r="AZ231" t="s">
        <v>81</v>
      </c>
    </row>
    <row r="232" spans="1:52">
      <c r="A232">
        <f t="shared" si="15"/>
        <v>231</v>
      </c>
      <c r="B232" s="3">
        <v>46035.990763888898</v>
      </c>
      <c r="C232" s="3">
        <v>46035.9928587963</v>
      </c>
      <c r="D232" t="s">
        <v>53</v>
      </c>
      <c r="G232" t="s">
        <v>73</v>
      </c>
      <c r="H232" t="s">
        <v>55</v>
      </c>
      <c r="I232" t="s">
        <v>75</v>
      </c>
      <c r="J232" t="s">
        <v>66</v>
      </c>
      <c r="K232" t="s">
        <v>66</v>
      </c>
      <c r="L232" t="s">
        <v>61</v>
      </c>
      <c r="M232" t="s">
        <v>61</v>
      </c>
      <c r="N232">
        <v>2</v>
      </c>
      <c r="O232">
        <v>2</v>
      </c>
      <c r="P232">
        <v>4</v>
      </c>
      <c r="Q232">
        <v>2</v>
      </c>
      <c r="R232">
        <v>2</v>
      </c>
      <c r="S232">
        <v>4</v>
      </c>
      <c r="T232">
        <v>2</v>
      </c>
      <c r="U232">
        <v>1</v>
      </c>
      <c r="V232">
        <v>1</v>
      </c>
      <c r="W232">
        <v>1</v>
      </c>
      <c r="X232">
        <v>4</v>
      </c>
      <c r="Y232">
        <v>2</v>
      </c>
      <c r="Z232">
        <v>4</v>
      </c>
      <c r="AA232">
        <v>2</v>
      </c>
      <c r="AB232">
        <v>2</v>
      </c>
      <c r="AC232">
        <v>2</v>
      </c>
      <c r="AD232">
        <v>2</v>
      </c>
      <c r="AE232">
        <v>2</v>
      </c>
      <c r="AF232">
        <v>4</v>
      </c>
      <c r="AG232">
        <v>2</v>
      </c>
      <c r="AH232">
        <v>4</v>
      </c>
      <c r="AI232">
        <v>2</v>
      </c>
      <c r="AJ232">
        <v>2</v>
      </c>
      <c r="AK232" t="b">
        <f>Table67[[#This Row],[What is your age?]]&lt;&gt;"18 - 25"</f>
        <v>1</v>
      </c>
      <c r="AL232" t="b">
        <f t="shared" si="12"/>
        <v>0</v>
      </c>
      <c r="AM232" t="b">
        <f t="shared" si="13"/>
        <v>0</v>
      </c>
      <c r="AN232" t="b">
        <f t="shared" si="14"/>
        <v>0</v>
      </c>
      <c r="AO232" t="b">
        <f>OR(Table67[[#This Row],[Ineligible respondents]:[Inconsistent response on opposite question (3)]])</f>
        <v>1</v>
      </c>
      <c r="AP23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232">
        <f>Table67[[#This Row],[Extreme Response]]/21</f>
        <v>0.14285714285714285</v>
      </c>
      <c r="AR232">
        <f>_xlfn.PERCENTILE.INC(Table67[Extrem Response Ratio (ERS)],0.9)</f>
        <v>0.61904761904761907</v>
      </c>
      <c r="AS232" t="b">
        <f>Table67[[#This Row],[Extrem Response Ratio (ERS)]]&gt;=Table67[[#This Row],[Threshold of ERS]]</f>
        <v>0</v>
      </c>
      <c r="AT232">
        <f>COUNTIF(Table67[[#This Row],[The mechanism of digital assets is difficult to understand, which discourages me from exploring it (E.g, Tokenization, Blockchain)]:[If I want to try different ways to invest, I will explore digital assets.]], 3)</f>
        <v>0</v>
      </c>
      <c r="AU232">
        <f>Table67[[#This Row],[Midpoint]]/21</f>
        <v>0</v>
      </c>
      <c r="AV232">
        <f>_xlfn.PERCENTILE.INC(Table67[Midpoint ratio],0.9)</f>
        <v>0.5714285714285714</v>
      </c>
      <c r="AW232" t="b">
        <f>Table67[[#This Row],[Midpoint ratio]]&gt;=Table67[[#This Row],[Threshold of Midpoint ratio]]</f>
        <v>0</v>
      </c>
      <c r="AX232" t="b">
        <f>OR(Table67[[#This Row],[Extreme Response Style]],Table67[[#This Row],[Mid-point Response Style]])</f>
        <v>0</v>
      </c>
      <c r="AY232" t="b">
        <f>OR(Table67[[#This Row],[Delete? (Stage 1)]],Table67[[#This Row],[Delete? (Stage 2)]])</f>
        <v>1</v>
      </c>
      <c r="AZ232" t="s">
        <v>81</v>
      </c>
    </row>
    <row r="233" spans="1:52">
      <c r="A233">
        <f t="shared" si="15"/>
        <v>232</v>
      </c>
      <c r="B233" s="3">
        <v>46036.029456018499</v>
      </c>
      <c r="C233" s="3">
        <v>46036.032164351796</v>
      </c>
      <c r="D233" t="s">
        <v>53</v>
      </c>
      <c r="G233" t="s">
        <v>73</v>
      </c>
      <c r="H233" t="s">
        <v>55</v>
      </c>
      <c r="I233" t="s">
        <v>56</v>
      </c>
      <c r="J233" t="s">
        <v>65</v>
      </c>
      <c r="K233" t="s">
        <v>64</v>
      </c>
      <c r="L233" t="s">
        <v>58</v>
      </c>
      <c r="M233" t="s">
        <v>61</v>
      </c>
      <c r="N233">
        <v>2</v>
      </c>
      <c r="O233">
        <v>2</v>
      </c>
      <c r="P233">
        <v>4</v>
      </c>
      <c r="Q233">
        <v>4</v>
      </c>
      <c r="R233">
        <v>4</v>
      </c>
      <c r="S233">
        <v>3</v>
      </c>
      <c r="T233">
        <v>2</v>
      </c>
      <c r="U233">
        <v>3</v>
      </c>
      <c r="V233">
        <v>4</v>
      </c>
      <c r="W233">
        <v>2</v>
      </c>
      <c r="X233">
        <v>4</v>
      </c>
      <c r="Y233">
        <v>5</v>
      </c>
      <c r="Z233">
        <v>4</v>
      </c>
      <c r="AA233">
        <v>2</v>
      </c>
      <c r="AB233">
        <v>2</v>
      </c>
      <c r="AC233">
        <v>1</v>
      </c>
      <c r="AD233">
        <v>2</v>
      </c>
      <c r="AE233">
        <v>1</v>
      </c>
      <c r="AF233">
        <v>4</v>
      </c>
      <c r="AG233">
        <v>2</v>
      </c>
      <c r="AH233">
        <v>5</v>
      </c>
      <c r="AI233">
        <v>1</v>
      </c>
      <c r="AJ233">
        <v>2</v>
      </c>
      <c r="AK233" t="b">
        <f>Table67[[#This Row],[What is your age?]]&lt;&gt;"18 - 25"</f>
        <v>1</v>
      </c>
      <c r="AL233" t="b">
        <f t="shared" si="12"/>
        <v>0</v>
      </c>
      <c r="AM233" t="b">
        <f t="shared" si="13"/>
        <v>0</v>
      </c>
      <c r="AN233" t="b">
        <f t="shared" si="14"/>
        <v>0</v>
      </c>
      <c r="AO233" t="b">
        <f>OR(Table67[[#This Row],[Ineligible respondents]:[Inconsistent response on opposite question (3)]])</f>
        <v>1</v>
      </c>
      <c r="AP23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233">
        <f>Table67[[#This Row],[Extreme Response]]/21</f>
        <v>0.19047619047619047</v>
      </c>
      <c r="AR233">
        <f>_xlfn.PERCENTILE.INC(Table67[Extrem Response Ratio (ERS)],0.9)</f>
        <v>0.61904761904761907</v>
      </c>
      <c r="AS233" t="b">
        <f>Table67[[#This Row],[Extrem Response Ratio (ERS)]]&gt;=Table67[[#This Row],[Threshold of ERS]]</f>
        <v>0</v>
      </c>
      <c r="AT233">
        <f>COUNTIF(Table67[[#This Row],[The mechanism of digital assets is difficult to understand, which discourages me from exploring it (E.g, Tokenization, Blockchain)]:[If I want to try different ways to invest, I will explore digital assets.]], 3)</f>
        <v>2</v>
      </c>
      <c r="AU233">
        <f>Table67[[#This Row],[Midpoint]]/21</f>
        <v>9.5238095238095233E-2</v>
      </c>
      <c r="AV233">
        <f>_xlfn.PERCENTILE.INC(Table67[Midpoint ratio],0.9)</f>
        <v>0.5714285714285714</v>
      </c>
      <c r="AW233" t="b">
        <f>Table67[[#This Row],[Midpoint ratio]]&gt;=Table67[[#This Row],[Threshold of Midpoint ratio]]</f>
        <v>0</v>
      </c>
      <c r="AX233" t="b">
        <f>OR(Table67[[#This Row],[Extreme Response Style]],Table67[[#This Row],[Mid-point Response Style]])</f>
        <v>0</v>
      </c>
      <c r="AY233" t="b">
        <f>OR(Table67[[#This Row],[Delete? (Stage 1)]],Table67[[#This Row],[Delete? (Stage 2)]])</f>
        <v>1</v>
      </c>
      <c r="AZ233" t="s">
        <v>81</v>
      </c>
    </row>
    <row r="234" spans="1:52">
      <c r="A234">
        <f t="shared" si="15"/>
        <v>233</v>
      </c>
      <c r="B234" s="3">
        <v>46036.039618055598</v>
      </c>
      <c r="C234" s="3">
        <v>46036.041782407403</v>
      </c>
      <c r="D234" t="s">
        <v>53</v>
      </c>
      <c r="G234" t="s">
        <v>54</v>
      </c>
      <c r="H234" t="s">
        <v>63</v>
      </c>
      <c r="I234" t="s">
        <v>56</v>
      </c>
      <c r="J234" t="s">
        <v>57</v>
      </c>
      <c r="K234" t="s">
        <v>57</v>
      </c>
      <c r="L234" t="s">
        <v>58</v>
      </c>
      <c r="M234" t="s">
        <v>61</v>
      </c>
      <c r="N234">
        <v>3</v>
      </c>
      <c r="O234">
        <v>4</v>
      </c>
      <c r="P234">
        <v>4</v>
      </c>
      <c r="Q234">
        <v>4</v>
      </c>
      <c r="R234">
        <v>4</v>
      </c>
      <c r="S234">
        <v>4</v>
      </c>
      <c r="T234">
        <v>4</v>
      </c>
      <c r="U234">
        <v>3</v>
      </c>
      <c r="V234">
        <v>5</v>
      </c>
      <c r="W234">
        <v>5</v>
      </c>
      <c r="X234">
        <v>3</v>
      </c>
      <c r="Y234">
        <v>4</v>
      </c>
      <c r="Z234">
        <v>3</v>
      </c>
      <c r="AA234">
        <v>3</v>
      </c>
      <c r="AB234">
        <v>2</v>
      </c>
      <c r="AC234">
        <v>3</v>
      </c>
      <c r="AD234">
        <v>5</v>
      </c>
      <c r="AE234">
        <v>4</v>
      </c>
      <c r="AF234">
        <v>3</v>
      </c>
      <c r="AG234">
        <v>3</v>
      </c>
      <c r="AH234">
        <v>3</v>
      </c>
      <c r="AI234">
        <v>3</v>
      </c>
      <c r="AJ234">
        <v>3</v>
      </c>
      <c r="AK234" t="b">
        <f>Table67[[#This Row],[What is your age?]]&lt;&gt;"18 - 25"</f>
        <v>0</v>
      </c>
      <c r="AL234" t="b">
        <f t="shared" si="12"/>
        <v>0</v>
      </c>
      <c r="AM234" t="b">
        <f t="shared" si="13"/>
        <v>0</v>
      </c>
      <c r="AN234" t="b">
        <f t="shared" si="14"/>
        <v>0</v>
      </c>
      <c r="AO234" t="b">
        <f>OR(Table67[[#This Row],[Ineligible respondents]:[Inconsistent response on opposite question (3)]])</f>
        <v>0</v>
      </c>
      <c r="AP23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234">
        <f>Table67[[#This Row],[Extreme Response]]/21</f>
        <v>0.14285714285714285</v>
      </c>
      <c r="AR234">
        <f>_xlfn.PERCENTILE.INC(Table67[Extrem Response Ratio (ERS)],0.9)</f>
        <v>0.61904761904761907</v>
      </c>
      <c r="AS234" t="b">
        <f>Table67[[#This Row],[Extrem Response Ratio (ERS)]]&gt;=Table67[[#This Row],[Threshold of ERS]]</f>
        <v>0</v>
      </c>
      <c r="AT234">
        <f>COUNTIF(Table67[[#This Row],[The mechanism of digital assets is difficult to understand, which discourages me from exploring it (E.g, Tokenization, Blockchain)]:[If I want to try different ways to invest, I will explore digital assets.]], 3)</f>
        <v>9</v>
      </c>
      <c r="AU234">
        <f>Table67[[#This Row],[Midpoint]]/21</f>
        <v>0.42857142857142855</v>
      </c>
      <c r="AV234">
        <f>_xlfn.PERCENTILE.INC(Table67[Midpoint ratio],0.9)</f>
        <v>0.5714285714285714</v>
      </c>
      <c r="AW234" t="b">
        <f>Table67[[#This Row],[Midpoint ratio]]&gt;=Table67[[#This Row],[Threshold of Midpoint ratio]]</f>
        <v>0</v>
      </c>
      <c r="AX234" t="b">
        <f>OR(Table67[[#This Row],[Extreme Response Style]],Table67[[#This Row],[Mid-point Response Style]])</f>
        <v>0</v>
      </c>
      <c r="AY234" t="b">
        <f>OR(Table67[[#This Row],[Delete? (Stage 1)]],Table67[[#This Row],[Delete? (Stage 2)]])</f>
        <v>0</v>
      </c>
      <c r="AZ234" t="s">
        <v>81</v>
      </c>
    </row>
    <row r="235" spans="1:52">
      <c r="A235">
        <f t="shared" si="15"/>
        <v>234</v>
      </c>
      <c r="B235" s="3">
        <v>46036.449502314797</v>
      </c>
      <c r="C235" s="3">
        <v>46036.452025462997</v>
      </c>
      <c r="D235" t="s">
        <v>53</v>
      </c>
      <c r="G235" t="s">
        <v>73</v>
      </c>
      <c r="H235" t="s">
        <v>63</v>
      </c>
      <c r="I235" t="s">
        <v>56</v>
      </c>
      <c r="J235" t="s">
        <v>67</v>
      </c>
      <c r="K235" t="s">
        <v>57</v>
      </c>
      <c r="L235" t="s">
        <v>58</v>
      </c>
      <c r="M235" t="s">
        <v>61</v>
      </c>
      <c r="N235">
        <v>4</v>
      </c>
      <c r="O235">
        <v>2</v>
      </c>
      <c r="P235">
        <v>4</v>
      </c>
      <c r="Q235">
        <v>3</v>
      </c>
      <c r="R235">
        <v>4</v>
      </c>
      <c r="S235">
        <v>3</v>
      </c>
      <c r="T235">
        <v>2</v>
      </c>
      <c r="U235">
        <v>3</v>
      </c>
      <c r="V235">
        <v>4</v>
      </c>
      <c r="W235">
        <v>4</v>
      </c>
      <c r="X235">
        <v>3</v>
      </c>
      <c r="Y235">
        <v>3</v>
      </c>
      <c r="Z235">
        <v>3</v>
      </c>
      <c r="AA235">
        <v>3</v>
      </c>
      <c r="AB235">
        <v>2</v>
      </c>
      <c r="AC235">
        <v>4</v>
      </c>
      <c r="AD235">
        <v>4</v>
      </c>
      <c r="AE235">
        <v>3</v>
      </c>
      <c r="AF235">
        <v>2</v>
      </c>
      <c r="AG235">
        <v>3</v>
      </c>
      <c r="AH235">
        <v>2</v>
      </c>
      <c r="AI235">
        <v>4</v>
      </c>
      <c r="AJ235">
        <v>4</v>
      </c>
      <c r="AK235" t="b">
        <f>Table67[[#This Row],[What is your age?]]&lt;&gt;"18 - 25"</f>
        <v>1</v>
      </c>
      <c r="AL235" t="b">
        <f t="shared" si="12"/>
        <v>0</v>
      </c>
      <c r="AM235" t="b">
        <f t="shared" si="13"/>
        <v>0</v>
      </c>
      <c r="AN235" t="b">
        <f t="shared" si="14"/>
        <v>1</v>
      </c>
      <c r="AO235" t="b">
        <f>OR(Table67[[#This Row],[Ineligible respondents]:[Inconsistent response on opposite question (3)]])</f>
        <v>1</v>
      </c>
      <c r="AP23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35">
        <f>Table67[[#This Row],[Extreme Response]]/21</f>
        <v>0</v>
      </c>
      <c r="AR235">
        <f>_xlfn.PERCENTILE.INC(Table67[Extrem Response Ratio (ERS)],0.9)</f>
        <v>0.61904761904761907</v>
      </c>
      <c r="AS235" t="b">
        <f>Table67[[#This Row],[Extrem Response Ratio (ERS)]]&gt;=Table67[[#This Row],[Threshold of ERS]]</f>
        <v>0</v>
      </c>
      <c r="AT235">
        <f>COUNTIF(Table67[[#This Row],[The mechanism of digital assets is difficult to understand, which discourages me from exploring it (E.g, Tokenization, Blockchain)]:[If I want to try different ways to invest, I will explore digital assets.]], 3)</f>
        <v>9</v>
      </c>
      <c r="AU235">
        <f>Table67[[#This Row],[Midpoint]]/21</f>
        <v>0.42857142857142855</v>
      </c>
      <c r="AV235">
        <f>_xlfn.PERCENTILE.INC(Table67[Midpoint ratio],0.9)</f>
        <v>0.5714285714285714</v>
      </c>
      <c r="AW235" t="b">
        <f>Table67[[#This Row],[Midpoint ratio]]&gt;=Table67[[#This Row],[Threshold of Midpoint ratio]]</f>
        <v>0</v>
      </c>
      <c r="AX235" t="b">
        <f>OR(Table67[[#This Row],[Extreme Response Style]],Table67[[#This Row],[Mid-point Response Style]])</f>
        <v>0</v>
      </c>
      <c r="AY235" t="b">
        <f>OR(Table67[[#This Row],[Delete? (Stage 1)]],Table67[[#This Row],[Delete? (Stage 2)]])</f>
        <v>1</v>
      </c>
      <c r="AZ235" t="s">
        <v>81</v>
      </c>
    </row>
    <row r="236" spans="1:52">
      <c r="A236">
        <f t="shared" si="15"/>
        <v>235</v>
      </c>
      <c r="B236" s="3">
        <v>46036.463761574101</v>
      </c>
      <c r="C236" s="3">
        <v>46036.464606481502</v>
      </c>
      <c r="D236" t="s">
        <v>53</v>
      </c>
      <c r="G236" t="s">
        <v>54</v>
      </c>
      <c r="H236" t="s">
        <v>55</v>
      </c>
      <c r="I236" t="s">
        <v>56</v>
      </c>
      <c r="J236" t="s">
        <v>64</v>
      </c>
      <c r="K236" t="s">
        <v>62</v>
      </c>
      <c r="L236" t="s">
        <v>58</v>
      </c>
      <c r="M236" t="s">
        <v>58</v>
      </c>
      <c r="N236">
        <v>3</v>
      </c>
      <c r="O236">
        <v>3</v>
      </c>
      <c r="P236">
        <v>4</v>
      </c>
      <c r="Q236">
        <v>4</v>
      </c>
      <c r="R236">
        <v>4</v>
      </c>
      <c r="S236">
        <v>4</v>
      </c>
      <c r="T236">
        <v>4</v>
      </c>
      <c r="U236">
        <v>4</v>
      </c>
      <c r="V236">
        <v>4</v>
      </c>
      <c r="W236">
        <v>4</v>
      </c>
      <c r="X236">
        <v>4</v>
      </c>
      <c r="Y236">
        <v>4</v>
      </c>
      <c r="Z236">
        <v>4</v>
      </c>
      <c r="AA236">
        <v>4</v>
      </c>
      <c r="AB236">
        <v>3</v>
      </c>
      <c r="AC236">
        <v>4</v>
      </c>
      <c r="AD236">
        <v>4</v>
      </c>
      <c r="AE236">
        <v>4</v>
      </c>
      <c r="AF236">
        <v>4</v>
      </c>
      <c r="AG236">
        <v>4</v>
      </c>
      <c r="AH236">
        <v>4</v>
      </c>
      <c r="AI236">
        <v>2</v>
      </c>
      <c r="AJ236">
        <v>2</v>
      </c>
      <c r="AK236" t="b">
        <f>Table67[[#This Row],[What is your age?]]&lt;&gt;"18 - 25"</f>
        <v>0</v>
      </c>
      <c r="AL236" t="b">
        <f t="shared" si="12"/>
        <v>0</v>
      </c>
      <c r="AM236" t="b">
        <f t="shared" si="13"/>
        <v>1</v>
      </c>
      <c r="AN236" t="b">
        <f t="shared" si="14"/>
        <v>0</v>
      </c>
      <c r="AO236" t="b">
        <f>OR(Table67[[#This Row],[Ineligible respondents]:[Inconsistent response on opposite question (3)]])</f>
        <v>1</v>
      </c>
      <c r="AP23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36">
        <f>Table67[[#This Row],[Extreme Response]]/21</f>
        <v>0</v>
      </c>
      <c r="AR236">
        <f>_xlfn.PERCENTILE.INC(Table67[Extrem Response Ratio (ERS)],0.9)</f>
        <v>0.61904761904761907</v>
      </c>
      <c r="AS236" t="b">
        <f>Table67[[#This Row],[Extrem Response Ratio (ERS)]]&gt;=Table67[[#This Row],[Threshold of ERS]]</f>
        <v>0</v>
      </c>
      <c r="AT236">
        <f>COUNTIF(Table67[[#This Row],[The mechanism of digital assets is difficult to understand, which discourages me from exploring it (E.g, Tokenization, Blockchain)]:[If I want to try different ways to invest, I will explore digital assets.]], 3)</f>
        <v>3</v>
      </c>
      <c r="AU236">
        <f>Table67[[#This Row],[Midpoint]]/21</f>
        <v>0.14285714285714285</v>
      </c>
      <c r="AV236">
        <f>_xlfn.PERCENTILE.INC(Table67[Midpoint ratio],0.9)</f>
        <v>0.5714285714285714</v>
      </c>
      <c r="AW236" t="b">
        <f>Table67[[#This Row],[Midpoint ratio]]&gt;=Table67[[#This Row],[Threshold of Midpoint ratio]]</f>
        <v>0</v>
      </c>
      <c r="AX236" t="b">
        <f>OR(Table67[[#This Row],[Extreme Response Style]],Table67[[#This Row],[Mid-point Response Style]])</f>
        <v>0</v>
      </c>
      <c r="AY236" t="b">
        <f>OR(Table67[[#This Row],[Delete? (Stage 1)]],Table67[[#This Row],[Delete? (Stage 2)]])</f>
        <v>1</v>
      </c>
      <c r="AZ236" t="s">
        <v>81</v>
      </c>
    </row>
    <row r="237" spans="1:52">
      <c r="A237">
        <f t="shared" si="15"/>
        <v>236</v>
      </c>
      <c r="B237" s="3">
        <v>46036.468692129602</v>
      </c>
      <c r="C237" s="3">
        <v>46036.659733796303</v>
      </c>
      <c r="D237" t="s">
        <v>53</v>
      </c>
      <c r="G237" t="s">
        <v>54</v>
      </c>
      <c r="H237" t="s">
        <v>63</v>
      </c>
      <c r="I237" t="s">
        <v>56</v>
      </c>
      <c r="J237" t="s">
        <v>62</v>
      </c>
      <c r="K237" t="s">
        <v>57</v>
      </c>
      <c r="L237" t="s">
        <v>58</v>
      </c>
      <c r="M237" t="s">
        <v>58</v>
      </c>
      <c r="N237">
        <v>4</v>
      </c>
      <c r="O237">
        <v>2</v>
      </c>
      <c r="P237">
        <v>4</v>
      </c>
      <c r="Q237">
        <v>3</v>
      </c>
      <c r="R237">
        <v>4</v>
      </c>
      <c r="S237">
        <v>4</v>
      </c>
      <c r="T237">
        <v>4</v>
      </c>
      <c r="U237">
        <v>4</v>
      </c>
      <c r="V237">
        <v>4</v>
      </c>
      <c r="W237">
        <v>4</v>
      </c>
      <c r="X237">
        <v>5</v>
      </c>
      <c r="Y237">
        <v>5</v>
      </c>
      <c r="Z237">
        <v>5</v>
      </c>
      <c r="AA237">
        <v>5</v>
      </c>
      <c r="AB237">
        <v>3</v>
      </c>
      <c r="AC237">
        <v>4</v>
      </c>
      <c r="AD237">
        <v>4</v>
      </c>
      <c r="AE237">
        <v>4</v>
      </c>
      <c r="AF237">
        <v>2</v>
      </c>
      <c r="AG237">
        <v>4</v>
      </c>
      <c r="AH237">
        <v>2</v>
      </c>
      <c r="AI237">
        <v>4</v>
      </c>
      <c r="AJ237">
        <v>4</v>
      </c>
      <c r="AK237" t="b">
        <f>Table67[[#This Row],[What is your age?]]&lt;&gt;"18 - 25"</f>
        <v>0</v>
      </c>
      <c r="AL237" t="b">
        <f t="shared" si="12"/>
        <v>0</v>
      </c>
      <c r="AM237" t="b">
        <f t="shared" si="13"/>
        <v>0</v>
      </c>
      <c r="AN237" t="b">
        <f t="shared" si="14"/>
        <v>0</v>
      </c>
      <c r="AO237" t="b">
        <f>OR(Table67[[#This Row],[Ineligible respondents]:[Inconsistent response on opposite question (3)]])</f>
        <v>0</v>
      </c>
      <c r="AP23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237">
        <f>Table67[[#This Row],[Extreme Response]]/21</f>
        <v>0.19047619047619047</v>
      </c>
      <c r="AR237">
        <f>_xlfn.PERCENTILE.INC(Table67[Extrem Response Ratio (ERS)],0.9)</f>
        <v>0.61904761904761907</v>
      </c>
      <c r="AS237" t="b">
        <f>Table67[[#This Row],[Extrem Response Ratio (ERS)]]&gt;=Table67[[#This Row],[Threshold of ERS]]</f>
        <v>0</v>
      </c>
      <c r="AT237">
        <f>COUNTIF(Table67[[#This Row],[The mechanism of digital assets is difficult to understand, which discourages me from exploring it (E.g, Tokenization, Blockchain)]:[If I want to try different ways to invest, I will explore digital assets.]], 3)</f>
        <v>2</v>
      </c>
      <c r="AU237">
        <f>Table67[[#This Row],[Midpoint]]/21</f>
        <v>9.5238095238095233E-2</v>
      </c>
      <c r="AV237">
        <f>_xlfn.PERCENTILE.INC(Table67[Midpoint ratio],0.9)</f>
        <v>0.5714285714285714</v>
      </c>
      <c r="AW237" t="b">
        <f>Table67[[#This Row],[Midpoint ratio]]&gt;=Table67[[#This Row],[Threshold of Midpoint ratio]]</f>
        <v>0</v>
      </c>
      <c r="AX237" t="b">
        <f>OR(Table67[[#This Row],[Extreme Response Style]],Table67[[#This Row],[Mid-point Response Style]])</f>
        <v>0</v>
      </c>
      <c r="AY237" t="b">
        <f>OR(Table67[[#This Row],[Delete? (Stage 1)]],Table67[[#This Row],[Delete? (Stage 2)]])</f>
        <v>0</v>
      </c>
      <c r="AZ237" t="s">
        <v>81</v>
      </c>
    </row>
    <row r="238" spans="1:52">
      <c r="A238">
        <f t="shared" si="15"/>
        <v>237</v>
      </c>
      <c r="B238" s="3">
        <v>46036.468946759298</v>
      </c>
      <c r="C238" s="3">
        <v>46036.470127314802</v>
      </c>
      <c r="D238" t="s">
        <v>53</v>
      </c>
      <c r="G238" t="s">
        <v>54</v>
      </c>
      <c r="H238" t="s">
        <v>63</v>
      </c>
      <c r="I238" t="s">
        <v>56</v>
      </c>
      <c r="J238" t="s">
        <v>60</v>
      </c>
      <c r="K238" t="s">
        <v>62</v>
      </c>
      <c r="L238" t="s">
        <v>61</v>
      </c>
      <c r="M238" t="s">
        <v>61</v>
      </c>
      <c r="N238">
        <v>3</v>
      </c>
      <c r="O238">
        <v>3</v>
      </c>
      <c r="P238">
        <v>3</v>
      </c>
      <c r="Q238">
        <v>3</v>
      </c>
      <c r="R238">
        <v>3</v>
      </c>
      <c r="S238">
        <v>3</v>
      </c>
      <c r="T238">
        <v>3</v>
      </c>
      <c r="U238">
        <v>3</v>
      </c>
      <c r="V238">
        <v>3</v>
      </c>
      <c r="W238">
        <v>3</v>
      </c>
      <c r="X238">
        <v>3</v>
      </c>
      <c r="Y238">
        <v>3</v>
      </c>
      <c r="Z238">
        <v>3</v>
      </c>
      <c r="AA238">
        <v>3</v>
      </c>
      <c r="AB238">
        <v>3</v>
      </c>
      <c r="AC238">
        <v>3</v>
      </c>
      <c r="AD238">
        <v>3</v>
      </c>
      <c r="AE238">
        <v>3</v>
      </c>
      <c r="AF238">
        <v>3</v>
      </c>
      <c r="AG238">
        <v>3</v>
      </c>
      <c r="AH238">
        <v>3</v>
      </c>
      <c r="AI238">
        <v>3</v>
      </c>
      <c r="AJ238">
        <v>3</v>
      </c>
      <c r="AK238" t="b">
        <f>Table67[[#This Row],[What is your age?]]&lt;&gt;"18 - 25"</f>
        <v>0</v>
      </c>
      <c r="AL238" t="b">
        <f t="shared" si="12"/>
        <v>1</v>
      </c>
      <c r="AM238" t="b">
        <f t="shared" si="13"/>
        <v>0</v>
      </c>
      <c r="AN238" t="b">
        <f t="shared" si="14"/>
        <v>0</v>
      </c>
      <c r="AO238" t="b">
        <f>OR(Table67[[#This Row],[Ineligible respondents]:[Inconsistent response on opposite question (3)]])</f>
        <v>1</v>
      </c>
      <c r="AP23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38">
        <f>Table67[[#This Row],[Extreme Response]]/21</f>
        <v>0</v>
      </c>
      <c r="AR238">
        <f>_xlfn.PERCENTILE.INC(Table67[Extrem Response Ratio (ERS)],0.9)</f>
        <v>0.61904761904761907</v>
      </c>
      <c r="AS238" t="b">
        <f>Table67[[#This Row],[Extrem Response Ratio (ERS)]]&gt;=Table67[[#This Row],[Threshold of ERS]]</f>
        <v>0</v>
      </c>
      <c r="AT238">
        <f>COUNTIF(Table67[[#This Row],[The mechanism of digital assets is difficult to understand, which discourages me from exploring it (E.g, Tokenization, Blockchain)]:[If I want to try different ways to invest, I will explore digital assets.]], 3)</f>
        <v>21</v>
      </c>
      <c r="AU238">
        <f>Table67[[#This Row],[Midpoint]]/21</f>
        <v>1</v>
      </c>
      <c r="AV238">
        <f>_xlfn.PERCENTILE.INC(Table67[Midpoint ratio],0.9)</f>
        <v>0.5714285714285714</v>
      </c>
      <c r="AW238" t="b">
        <f>Table67[[#This Row],[Midpoint ratio]]&gt;=Table67[[#This Row],[Threshold of Midpoint ratio]]</f>
        <v>1</v>
      </c>
      <c r="AX238" t="b">
        <f>OR(Table67[[#This Row],[Extreme Response Style]],Table67[[#This Row],[Mid-point Response Style]])</f>
        <v>1</v>
      </c>
      <c r="AY238" t="b">
        <f>OR(Table67[[#This Row],[Delete? (Stage 1)]],Table67[[#This Row],[Delete? (Stage 2)]])</f>
        <v>1</v>
      </c>
      <c r="AZ238" t="s">
        <v>81</v>
      </c>
    </row>
    <row r="239" spans="1:52">
      <c r="A239">
        <f t="shared" si="15"/>
        <v>238</v>
      </c>
      <c r="B239" s="3">
        <v>46036.494444444397</v>
      </c>
      <c r="C239" s="3">
        <v>46036.4990972222</v>
      </c>
      <c r="D239" t="s">
        <v>53</v>
      </c>
      <c r="G239" t="s">
        <v>76</v>
      </c>
      <c r="H239" t="s">
        <v>63</v>
      </c>
      <c r="I239" t="s">
        <v>82</v>
      </c>
      <c r="J239" t="s">
        <v>66</v>
      </c>
      <c r="K239" t="s">
        <v>66</v>
      </c>
      <c r="L239" t="s">
        <v>61</v>
      </c>
      <c r="M239" t="s">
        <v>61</v>
      </c>
      <c r="N239">
        <v>2</v>
      </c>
      <c r="O239">
        <v>1</v>
      </c>
      <c r="P239">
        <v>2</v>
      </c>
      <c r="Q239">
        <v>3</v>
      </c>
      <c r="R239">
        <v>1</v>
      </c>
      <c r="S239">
        <v>3</v>
      </c>
      <c r="T239">
        <v>1</v>
      </c>
      <c r="U239">
        <v>3</v>
      </c>
      <c r="V239">
        <v>4</v>
      </c>
      <c r="W239">
        <v>4</v>
      </c>
      <c r="X239">
        <v>4</v>
      </c>
      <c r="Y239">
        <v>4</v>
      </c>
      <c r="Z239">
        <v>3</v>
      </c>
      <c r="AA239">
        <v>4</v>
      </c>
      <c r="AB239">
        <v>1</v>
      </c>
      <c r="AC239">
        <v>2</v>
      </c>
      <c r="AD239">
        <v>2</v>
      </c>
      <c r="AE239">
        <v>3</v>
      </c>
      <c r="AF239">
        <v>4</v>
      </c>
      <c r="AG239">
        <v>2</v>
      </c>
      <c r="AH239">
        <v>4</v>
      </c>
      <c r="AI239">
        <v>2</v>
      </c>
      <c r="AJ239">
        <v>2</v>
      </c>
      <c r="AK239" t="b">
        <f>Table67[[#This Row],[What is your age?]]&lt;&gt;"18 - 25"</f>
        <v>1</v>
      </c>
      <c r="AL239" t="b">
        <f t="shared" si="12"/>
        <v>0</v>
      </c>
      <c r="AM239" t="b">
        <f t="shared" si="13"/>
        <v>0</v>
      </c>
      <c r="AN239" t="b">
        <f t="shared" si="14"/>
        <v>0</v>
      </c>
      <c r="AO239" t="b">
        <f>OR(Table67[[#This Row],[Ineligible respondents]:[Inconsistent response on opposite question (3)]])</f>
        <v>1</v>
      </c>
      <c r="AP23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239">
        <f>Table67[[#This Row],[Extreme Response]]/21</f>
        <v>0.19047619047619047</v>
      </c>
      <c r="AR239">
        <f>_xlfn.PERCENTILE.INC(Table67[Extrem Response Ratio (ERS)],0.9)</f>
        <v>0.61904761904761907</v>
      </c>
      <c r="AS239" t="b">
        <f>Table67[[#This Row],[Extrem Response Ratio (ERS)]]&gt;=Table67[[#This Row],[Threshold of ERS]]</f>
        <v>0</v>
      </c>
      <c r="AT239">
        <f>COUNTIF(Table67[[#This Row],[The mechanism of digital assets is difficult to understand, which discourages me from exploring it (E.g, Tokenization, Blockchain)]:[If I want to try different ways to invest, I will explore digital assets.]], 3)</f>
        <v>5</v>
      </c>
      <c r="AU239">
        <f>Table67[[#This Row],[Midpoint]]/21</f>
        <v>0.23809523809523808</v>
      </c>
      <c r="AV239">
        <f>_xlfn.PERCENTILE.INC(Table67[Midpoint ratio],0.9)</f>
        <v>0.5714285714285714</v>
      </c>
      <c r="AW239" t="b">
        <f>Table67[[#This Row],[Midpoint ratio]]&gt;=Table67[[#This Row],[Threshold of Midpoint ratio]]</f>
        <v>0</v>
      </c>
      <c r="AX239" t="b">
        <f>OR(Table67[[#This Row],[Extreme Response Style]],Table67[[#This Row],[Mid-point Response Style]])</f>
        <v>0</v>
      </c>
      <c r="AY239" t="b">
        <f>OR(Table67[[#This Row],[Delete? (Stage 1)]],Table67[[#This Row],[Delete? (Stage 2)]])</f>
        <v>1</v>
      </c>
      <c r="AZ239" t="s">
        <v>81</v>
      </c>
    </row>
    <row r="240" spans="1:52">
      <c r="A240">
        <f t="shared" si="15"/>
        <v>239</v>
      </c>
      <c r="B240" s="3">
        <v>46036.626296296301</v>
      </c>
      <c r="C240" s="3">
        <v>46036.628888888903</v>
      </c>
      <c r="D240" t="s">
        <v>53</v>
      </c>
      <c r="G240" t="s">
        <v>54</v>
      </c>
      <c r="H240" t="s">
        <v>55</v>
      </c>
      <c r="I240" t="s">
        <v>56</v>
      </c>
      <c r="J240" t="s">
        <v>62</v>
      </c>
      <c r="K240" t="s">
        <v>57</v>
      </c>
      <c r="L240" t="s">
        <v>58</v>
      </c>
      <c r="M240" t="s">
        <v>61</v>
      </c>
      <c r="N240">
        <v>4</v>
      </c>
      <c r="O240">
        <v>5</v>
      </c>
      <c r="P240">
        <v>4</v>
      </c>
      <c r="Q240">
        <v>4</v>
      </c>
      <c r="R240">
        <v>4</v>
      </c>
      <c r="S240">
        <v>4</v>
      </c>
      <c r="T240">
        <v>2</v>
      </c>
      <c r="U240">
        <v>4</v>
      </c>
      <c r="V240">
        <v>5</v>
      </c>
      <c r="W240">
        <v>4</v>
      </c>
      <c r="X240">
        <v>4</v>
      </c>
      <c r="Y240">
        <v>5</v>
      </c>
      <c r="Z240">
        <v>3</v>
      </c>
      <c r="AA240">
        <v>4</v>
      </c>
      <c r="AB240">
        <v>2</v>
      </c>
      <c r="AC240">
        <v>4</v>
      </c>
      <c r="AD240">
        <v>4</v>
      </c>
      <c r="AE240">
        <v>4</v>
      </c>
      <c r="AF240">
        <v>4</v>
      </c>
      <c r="AG240">
        <v>2</v>
      </c>
      <c r="AH240">
        <v>4</v>
      </c>
      <c r="AI240">
        <v>2</v>
      </c>
      <c r="AJ240">
        <v>2</v>
      </c>
      <c r="AK240" t="b">
        <f>Table67[[#This Row],[What is your age?]]&lt;&gt;"18 - 25"</f>
        <v>0</v>
      </c>
      <c r="AL240" t="b">
        <f t="shared" si="12"/>
        <v>0</v>
      </c>
      <c r="AM240" t="b">
        <f t="shared" si="13"/>
        <v>0</v>
      </c>
      <c r="AN240" t="b">
        <f t="shared" si="14"/>
        <v>0</v>
      </c>
      <c r="AO240" t="b">
        <f>OR(Table67[[#This Row],[Ineligible respondents]:[Inconsistent response on opposite question (3)]])</f>
        <v>0</v>
      </c>
      <c r="AP24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240">
        <f>Table67[[#This Row],[Extreme Response]]/21</f>
        <v>0.14285714285714285</v>
      </c>
      <c r="AR240">
        <f>_xlfn.PERCENTILE.INC(Table67[Extrem Response Ratio (ERS)],0.9)</f>
        <v>0.61904761904761907</v>
      </c>
      <c r="AS240" t="b">
        <f>Table67[[#This Row],[Extrem Response Ratio (ERS)]]&gt;=Table67[[#This Row],[Threshold of ERS]]</f>
        <v>0</v>
      </c>
      <c r="AT240">
        <f>COUNTIF(Table67[[#This Row],[The mechanism of digital assets is difficult to understand, which discourages me from exploring it (E.g, Tokenization, Blockchain)]:[If I want to try different ways to invest, I will explore digital assets.]], 3)</f>
        <v>1</v>
      </c>
      <c r="AU240">
        <f>Table67[[#This Row],[Midpoint]]/21</f>
        <v>4.7619047619047616E-2</v>
      </c>
      <c r="AV240">
        <f>_xlfn.PERCENTILE.INC(Table67[Midpoint ratio],0.9)</f>
        <v>0.5714285714285714</v>
      </c>
      <c r="AW240" t="b">
        <f>Table67[[#This Row],[Midpoint ratio]]&gt;=Table67[[#This Row],[Threshold of Midpoint ratio]]</f>
        <v>0</v>
      </c>
      <c r="AX240" t="b">
        <f>OR(Table67[[#This Row],[Extreme Response Style]],Table67[[#This Row],[Mid-point Response Style]])</f>
        <v>0</v>
      </c>
      <c r="AY240" t="b">
        <f>OR(Table67[[#This Row],[Delete? (Stage 1)]],Table67[[#This Row],[Delete? (Stage 2)]])</f>
        <v>0</v>
      </c>
      <c r="AZ240" t="s">
        <v>81</v>
      </c>
    </row>
    <row r="241" spans="1:52">
      <c r="A241">
        <f t="shared" si="15"/>
        <v>240</v>
      </c>
      <c r="B241" s="3">
        <v>46036.626435185201</v>
      </c>
      <c r="C241" s="3">
        <v>46036.6312384259</v>
      </c>
      <c r="D241" t="s">
        <v>53</v>
      </c>
      <c r="G241" t="s">
        <v>54</v>
      </c>
      <c r="H241" t="s">
        <v>63</v>
      </c>
      <c r="I241" t="s">
        <v>56</v>
      </c>
      <c r="J241" t="s">
        <v>62</v>
      </c>
      <c r="K241" t="s">
        <v>57</v>
      </c>
      <c r="L241" t="s">
        <v>58</v>
      </c>
      <c r="M241" t="s">
        <v>58</v>
      </c>
      <c r="N241">
        <v>4</v>
      </c>
      <c r="O241">
        <v>1</v>
      </c>
      <c r="P241">
        <v>5</v>
      </c>
      <c r="Q241">
        <v>4</v>
      </c>
      <c r="R241">
        <v>4</v>
      </c>
      <c r="S241">
        <v>3</v>
      </c>
      <c r="T241">
        <v>4</v>
      </c>
      <c r="U241">
        <v>4</v>
      </c>
      <c r="V241">
        <v>5</v>
      </c>
      <c r="W241">
        <v>4</v>
      </c>
      <c r="X241">
        <v>2</v>
      </c>
      <c r="Y241">
        <v>4</v>
      </c>
      <c r="Z241">
        <v>4</v>
      </c>
      <c r="AA241">
        <v>2</v>
      </c>
      <c r="AB241">
        <v>2</v>
      </c>
      <c r="AC241">
        <v>3</v>
      </c>
      <c r="AD241">
        <v>4</v>
      </c>
      <c r="AE241">
        <v>1</v>
      </c>
      <c r="AF241">
        <v>2</v>
      </c>
      <c r="AG241">
        <v>4</v>
      </c>
      <c r="AH241">
        <v>3</v>
      </c>
      <c r="AI241">
        <v>3</v>
      </c>
      <c r="AJ241">
        <v>4</v>
      </c>
      <c r="AK241" t="b">
        <f>Table67[[#This Row],[What is your age?]]&lt;&gt;"18 - 25"</f>
        <v>0</v>
      </c>
      <c r="AL241" t="b">
        <f t="shared" si="12"/>
        <v>0</v>
      </c>
      <c r="AM241" t="b">
        <f t="shared" si="13"/>
        <v>0</v>
      </c>
      <c r="AN241" t="b">
        <f t="shared" si="14"/>
        <v>1</v>
      </c>
      <c r="AO241" t="b">
        <f>OR(Table67[[#This Row],[Ineligible respondents]:[Inconsistent response on opposite question (3)]])</f>
        <v>1</v>
      </c>
      <c r="AP24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241">
        <f>Table67[[#This Row],[Extreme Response]]/21</f>
        <v>0.19047619047619047</v>
      </c>
      <c r="AR241">
        <f>_xlfn.PERCENTILE.INC(Table67[Extrem Response Ratio (ERS)],0.9)</f>
        <v>0.61904761904761907</v>
      </c>
      <c r="AS241" t="b">
        <f>Table67[[#This Row],[Extrem Response Ratio (ERS)]]&gt;=Table67[[#This Row],[Threshold of ERS]]</f>
        <v>0</v>
      </c>
      <c r="AT241">
        <f>COUNTIF(Table67[[#This Row],[The mechanism of digital assets is difficult to understand, which discourages me from exploring it (E.g, Tokenization, Blockchain)]:[If I want to try different ways to invest, I will explore digital assets.]], 3)</f>
        <v>3</v>
      </c>
      <c r="AU241">
        <f>Table67[[#This Row],[Midpoint]]/21</f>
        <v>0.14285714285714285</v>
      </c>
      <c r="AV241">
        <f>_xlfn.PERCENTILE.INC(Table67[Midpoint ratio],0.9)</f>
        <v>0.5714285714285714</v>
      </c>
      <c r="AW241" t="b">
        <f>Table67[[#This Row],[Midpoint ratio]]&gt;=Table67[[#This Row],[Threshold of Midpoint ratio]]</f>
        <v>0</v>
      </c>
      <c r="AX241" t="b">
        <f>OR(Table67[[#This Row],[Extreme Response Style]],Table67[[#This Row],[Mid-point Response Style]])</f>
        <v>0</v>
      </c>
      <c r="AY241" t="b">
        <f>OR(Table67[[#This Row],[Delete? (Stage 1)]],Table67[[#This Row],[Delete? (Stage 2)]])</f>
        <v>1</v>
      </c>
      <c r="AZ241" t="s">
        <v>81</v>
      </c>
    </row>
    <row r="242" spans="1:52">
      <c r="A242">
        <f t="shared" si="15"/>
        <v>241</v>
      </c>
      <c r="B242" s="3">
        <v>46036.626458333303</v>
      </c>
      <c r="C242" s="3">
        <v>46036.628807870402</v>
      </c>
      <c r="D242" t="s">
        <v>53</v>
      </c>
      <c r="G242" t="s">
        <v>54</v>
      </c>
      <c r="H242" t="s">
        <v>55</v>
      </c>
      <c r="I242" t="s">
        <v>56</v>
      </c>
      <c r="J242" t="s">
        <v>57</v>
      </c>
      <c r="K242" t="s">
        <v>62</v>
      </c>
      <c r="L242" t="s">
        <v>58</v>
      </c>
      <c r="M242" t="s">
        <v>58</v>
      </c>
      <c r="N242">
        <v>2</v>
      </c>
      <c r="O242">
        <v>2</v>
      </c>
      <c r="P242">
        <v>2</v>
      </c>
      <c r="Q242">
        <v>2</v>
      </c>
      <c r="R242">
        <v>2</v>
      </c>
      <c r="S242">
        <v>2</v>
      </c>
      <c r="T242">
        <v>2</v>
      </c>
      <c r="U242">
        <v>2</v>
      </c>
      <c r="V242">
        <v>2</v>
      </c>
      <c r="W242">
        <v>2</v>
      </c>
      <c r="X242">
        <v>3</v>
      </c>
      <c r="Y242">
        <v>3</v>
      </c>
      <c r="Z242">
        <v>3</v>
      </c>
      <c r="AA242">
        <v>3</v>
      </c>
      <c r="AB242">
        <v>3</v>
      </c>
      <c r="AC242">
        <v>2</v>
      </c>
      <c r="AD242">
        <v>3</v>
      </c>
      <c r="AE242">
        <v>3</v>
      </c>
      <c r="AF242">
        <v>3</v>
      </c>
      <c r="AG242">
        <v>3</v>
      </c>
      <c r="AH242">
        <v>3</v>
      </c>
      <c r="AI242">
        <v>3</v>
      </c>
      <c r="AJ242">
        <v>3</v>
      </c>
      <c r="AK242" t="b">
        <f>Table67[[#This Row],[What is your age?]]&lt;&gt;"18 - 25"</f>
        <v>0</v>
      </c>
      <c r="AL242" t="b">
        <f t="shared" si="12"/>
        <v>0</v>
      </c>
      <c r="AM242" t="b">
        <f t="shared" si="13"/>
        <v>0</v>
      </c>
      <c r="AN242" t="b">
        <f t="shared" si="14"/>
        <v>0</v>
      </c>
      <c r="AO242" t="b">
        <f>OR(Table67[[#This Row],[Ineligible respondents]:[Inconsistent response on opposite question (3)]])</f>
        <v>0</v>
      </c>
      <c r="AP24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42">
        <f>Table67[[#This Row],[Extreme Response]]/21</f>
        <v>0</v>
      </c>
      <c r="AR242">
        <f>_xlfn.PERCENTILE.INC(Table67[Extrem Response Ratio (ERS)],0.9)</f>
        <v>0.61904761904761907</v>
      </c>
      <c r="AS242" t="b">
        <f>Table67[[#This Row],[Extrem Response Ratio (ERS)]]&gt;=Table67[[#This Row],[Threshold of ERS]]</f>
        <v>0</v>
      </c>
      <c r="AT242">
        <f>COUNTIF(Table67[[#This Row],[The mechanism of digital assets is difficult to understand, which discourages me from exploring it (E.g, Tokenization, Blockchain)]:[If I want to try different ways to invest, I will explore digital assets.]], 3)</f>
        <v>10</v>
      </c>
      <c r="AU242">
        <f>Table67[[#This Row],[Midpoint]]/21</f>
        <v>0.47619047619047616</v>
      </c>
      <c r="AV242">
        <f>_xlfn.PERCENTILE.INC(Table67[Midpoint ratio],0.9)</f>
        <v>0.5714285714285714</v>
      </c>
      <c r="AW242" t="b">
        <f>Table67[[#This Row],[Midpoint ratio]]&gt;=Table67[[#This Row],[Threshold of Midpoint ratio]]</f>
        <v>0</v>
      </c>
      <c r="AX242" t="b">
        <f>OR(Table67[[#This Row],[Extreme Response Style]],Table67[[#This Row],[Mid-point Response Style]])</f>
        <v>0</v>
      </c>
      <c r="AY242" t="b">
        <f>OR(Table67[[#This Row],[Delete? (Stage 1)]],Table67[[#This Row],[Delete? (Stage 2)]])</f>
        <v>0</v>
      </c>
      <c r="AZ242" t="s">
        <v>81</v>
      </c>
    </row>
    <row r="243" spans="1:52">
      <c r="A243">
        <f t="shared" si="15"/>
        <v>242</v>
      </c>
      <c r="B243" s="3">
        <v>46036.626493055599</v>
      </c>
      <c r="C243" s="3">
        <v>46036.627569444398</v>
      </c>
      <c r="D243" t="s">
        <v>53</v>
      </c>
      <c r="G243" t="s">
        <v>54</v>
      </c>
      <c r="H243" t="s">
        <v>63</v>
      </c>
      <c r="I243" t="s">
        <v>56</v>
      </c>
      <c r="J243" t="s">
        <v>57</v>
      </c>
      <c r="K243" t="s">
        <v>65</v>
      </c>
      <c r="L243" t="s">
        <v>58</v>
      </c>
      <c r="M243" t="s">
        <v>58</v>
      </c>
      <c r="N243">
        <v>2</v>
      </c>
      <c r="O243">
        <v>1</v>
      </c>
      <c r="P243">
        <v>3</v>
      </c>
      <c r="Q243">
        <v>3</v>
      </c>
      <c r="R243">
        <v>3</v>
      </c>
      <c r="S243">
        <v>3</v>
      </c>
      <c r="T243">
        <v>3</v>
      </c>
      <c r="U243">
        <v>3</v>
      </c>
      <c r="V243">
        <v>3</v>
      </c>
      <c r="W243">
        <v>3</v>
      </c>
      <c r="X243">
        <v>3</v>
      </c>
      <c r="Y243">
        <v>3</v>
      </c>
      <c r="Z243">
        <v>3</v>
      </c>
      <c r="AA243">
        <v>3</v>
      </c>
      <c r="AB243">
        <v>3</v>
      </c>
      <c r="AC243">
        <v>3</v>
      </c>
      <c r="AD243">
        <v>1</v>
      </c>
      <c r="AE243">
        <v>1</v>
      </c>
      <c r="AF243">
        <v>5</v>
      </c>
      <c r="AG243">
        <v>1</v>
      </c>
      <c r="AH243">
        <v>5</v>
      </c>
      <c r="AI243">
        <v>1</v>
      </c>
      <c r="AJ243">
        <v>1</v>
      </c>
      <c r="AK243" t="b">
        <f>Table67[[#This Row],[What is your age?]]&lt;&gt;"18 - 25"</f>
        <v>0</v>
      </c>
      <c r="AL243" t="b">
        <f t="shared" si="12"/>
        <v>0</v>
      </c>
      <c r="AM243" t="b">
        <f t="shared" si="13"/>
        <v>0</v>
      </c>
      <c r="AN243" t="b">
        <f t="shared" si="14"/>
        <v>0</v>
      </c>
      <c r="AO243" t="b">
        <f>OR(Table67[[#This Row],[Ineligible respondents]:[Inconsistent response on opposite question (3)]])</f>
        <v>0</v>
      </c>
      <c r="AP24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243">
        <f>Table67[[#This Row],[Extreme Response]]/21</f>
        <v>0.2857142857142857</v>
      </c>
      <c r="AR243">
        <f>_xlfn.PERCENTILE.INC(Table67[Extrem Response Ratio (ERS)],0.9)</f>
        <v>0.61904761904761907</v>
      </c>
      <c r="AS243" t="b">
        <f>Table67[[#This Row],[Extrem Response Ratio (ERS)]]&gt;=Table67[[#This Row],[Threshold of ERS]]</f>
        <v>0</v>
      </c>
      <c r="AT243">
        <f>COUNTIF(Table67[[#This Row],[The mechanism of digital assets is difficult to understand, which discourages me from exploring it (E.g, Tokenization, Blockchain)]:[If I want to try different ways to invest, I will explore digital assets.]], 3)</f>
        <v>14</v>
      </c>
      <c r="AU243">
        <f>Table67[[#This Row],[Midpoint]]/21</f>
        <v>0.66666666666666663</v>
      </c>
      <c r="AV243">
        <f>_xlfn.PERCENTILE.INC(Table67[Midpoint ratio],0.9)</f>
        <v>0.5714285714285714</v>
      </c>
      <c r="AW243" t="b">
        <f>Table67[[#This Row],[Midpoint ratio]]&gt;=Table67[[#This Row],[Threshold of Midpoint ratio]]</f>
        <v>1</v>
      </c>
      <c r="AX243" t="b">
        <f>OR(Table67[[#This Row],[Extreme Response Style]],Table67[[#This Row],[Mid-point Response Style]])</f>
        <v>1</v>
      </c>
      <c r="AY243" t="b">
        <f>OR(Table67[[#This Row],[Delete? (Stage 1)]],Table67[[#This Row],[Delete? (Stage 2)]])</f>
        <v>1</v>
      </c>
      <c r="AZ243" t="s">
        <v>81</v>
      </c>
    </row>
    <row r="244" spans="1:52">
      <c r="A244">
        <f t="shared" si="15"/>
        <v>243</v>
      </c>
      <c r="B244" s="3">
        <v>46036.626504629603</v>
      </c>
      <c r="C244" s="3">
        <v>46036.629108796304</v>
      </c>
      <c r="D244" t="s">
        <v>53</v>
      </c>
      <c r="G244" t="s">
        <v>54</v>
      </c>
      <c r="H244" t="s">
        <v>55</v>
      </c>
      <c r="I244" t="s">
        <v>56</v>
      </c>
      <c r="J244" t="s">
        <v>60</v>
      </c>
      <c r="K244" t="s">
        <v>62</v>
      </c>
      <c r="L244" t="s">
        <v>61</v>
      </c>
      <c r="M244" t="s">
        <v>61</v>
      </c>
      <c r="N244">
        <v>3</v>
      </c>
      <c r="O244">
        <v>1</v>
      </c>
      <c r="P244">
        <v>5</v>
      </c>
      <c r="Q244">
        <v>1</v>
      </c>
      <c r="R244">
        <v>1</v>
      </c>
      <c r="S244">
        <v>3</v>
      </c>
      <c r="T244">
        <v>1</v>
      </c>
      <c r="U244">
        <v>1</v>
      </c>
      <c r="V244">
        <v>3</v>
      </c>
      <c r="W244">
        <v>1</v>
      </c>
      <c r="X244">
        <v>1</v>
      </c>
      <c r="Y244">
        <v>1</v>
      </c>
      <c r="Z244">
        <v>1</v>
      </c>
      <c r="AA244">
        <v>3</v>
      </c>
      <c r="AB244">
        <v>1</v>
      </c>
      <c r="AC244">
        <v>1</v>
      </c>
      <c r="AD244">
        <v>1</v>
      </c>
      <c r="AE244">
        <v>5</v>
      </c>
      <c r="AF244">
        <v>5</v>
      </c>
      <c r="AG244">
        <v>1</v>
      </c>
      <c r="AH244">
        <v>5</v>
      </c>
      <c r="AI244">
        <v>1</v>
      </c>
      <c r="AJ244">
        <v>1</v>
      </c>
      <c r="AK244" t="b">
        <f>Table67[[#This Row],[What is your age?]]&lt;&gt;"18 - 25"</f>
        <v>0</v>
      </c>
      <c r="AL244" t="b">
        <f t="shared" si="12"/>
        <v>0</v>
      </c>
      <c r="AM244" t="b">
        <f t="shared" si="13"/>
        <v>0</v>
      </c>
      <c r="AN244" t="b">
        <f t="shared" si="14"/>
        <v>0</v>
      </c>
      <c r="AO244" t="b">
        <f>OR(Table67[[#This Row],[Ineligible respondents]:[Inconsistent response on opposite question (3)]])</f>
        <v>0</v>
      </c>
      <c r="AP24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17</v>
      </c>
      <c r="AQ244">
        <f>Table67[[#This Row],[Extreme Response]]/21</f>
        <v>0.80952380952380953</v>
      </c>
      <c r="AR244">
        <f>_xlfn.PERCENTILE.INC(Table67[Extrem Response Ratio (ERS)],0.9)</f>
        <v>0.61904761904761907</v>
      </c>
      <c r="AS244" t="b">
        <f>Table67[[#This Row],[Extrem Response Ratio (ERS)]]&gt;=Table67[[#This Row],[Threshold of ERS]]</f>
        <v>1</v>
      </c>
      <c r="AT244">
        <f>COUNTIF(Table67[[#This Row],[The mechanism of digital assets is difficult to understand, which discourages me from exploring it (E.g, Tokenization, Blockchain)]:[If I want to try different ways to invest, I will explore digital assets.]], 3)</f>
        <v>4</v>
      </c>
      <c r="AU244">
        <f>Table67[[#This Row],[Midpoint]]/21</f>
        <v>0.19047619047619047</v>
      </c>
      <c r="AV244">
        <f>_xlfn.PERCENTILE.INC(Table67[Midpoint ratio],0.9)</f>
        <v>0.5714285714285714</v>
      </c>
      <c r="AW244" t="b">
        <f>Table67[[#This Row],[Midpoint ratio]]&gt;=Table67[[#This Row],[Threshold of Midpoint ratio]]</f>
        <v>0</v>
      </c>
      <c r="AX244" t="b">
        <f>OR(Table67[[#This Row],[Extreme Response Style]],Table67[[#This Row],[Mid-point Response Style]])</f>
        <v>1</v>
      </c>
      <c r="AY244" t="b">
        <f>OR(Table67[[#This Row],[Delete? (Stage 1)]],Table67[[#This Row],[Delete? (Stage 2)]])</f>
        <v>1</v>
      </c>
      <c r="AZ244" t="s">
        <v>81</v>
      </c>
    </row>
    <row r="245" spans="1:52">
      <c r="A245">
        <f t="shared" si="15"/>
        <v>244</v>
      </c>
      <c r="B245" s="3">
        <v>46036.6265277778</v>
      </c>
      <c r="C245" s="3">
        <v>46036.629803240699</v>
      </c>
      <c r="D245" t="s">
        <v>53</v>
      </c>
      <c r="G245" t="s">
        <v>54</v>
      </c>
      <c r="H245" t="s">
        <v>55</v>
      </c>
      <c r="I245" t="s">
        <v>56</v>
      </c>
      <c r="J245" t="s">
        <v>64</v>
      </c>
      <c r="K245" t="s">
        <v>66</v>
      </c>
      <c r="L245" t="s">
        <v>61</v>
      </c>
      <c r="M245" t="s">
        <v>61</v>
      </c>
      <c r="N245">
        <v>2</v>
      </c>
      <c r="O245">
        <v>1</v>
      </c>
      <c r="P245">
        <v>4</v>
      </c>
      <c r="Q245">
        <v>4</v>
      </c>
      <c r="R245">
        <v>2</v>
      </c>
      <c r="S245">
        <v>4</v>
      </c>
      <c r="T245">
        <v>4</v>
      </c>
      <c r="U245">
        <v>4</v>
      </c>
      <c r="V245">
        <v>5</v>
      </c>
      <c r="W245">
        <v>5</v>
      </c>
      <c r="X245">
        <v>3</v>
      </c>
      <c r="Y245">
        <v>3</v>
      </c>
      <c r="Z245">
        <v>4</v>
      </c>
      <c r="AA245">
        <v>5</v>
      </c>
      <c r="AB245">
        <v>4</v>
      </c>
      <c r="AC245">
        <v>5</v>
      </c>
      <c r="AD245">
        <v>2</v>
      </c>
      <c r="AE245">
        <v>3</v>
      </c>
      <c r="AF245">
        <v>2</v>
      </c>
      <c r="AG245">
        <v>4</v>
      </c>
      <c r="AH245">
        <v>2</v>
      </c>
      <c r="AI245">
        <v>4</v>
      </c>
      <c r="AJ245">
        <v>4</v>
      </c>
      <c r="AK245" t="b">
        <f>Table67[[#This Row],[What is your age?]]&lt;&gt;"18 - 25"</f>
        <v>0</v>
      </c>
      <c r="AL245" t="b">
        <f t="shared" si="12"/>
        <v>0</v>
      </c>
      <c r="AM245" t="b">
        <f t="shared" si="13"/>
        <v>0</v>
      </c>
      <c r="AN245" t="b">
        <f t="shared" si="14"/>
        <v>0</v>
      </c>
      <c r="AO245" t="b">
        <f>OR(Table67[[#This Row],[Ineligible respondents]:[Inconsistent response on opposite question (3)]])</f>
        <v>0</v>
      </c>
      <c r="AP24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245">
        <f>Table67[[#This Row],[Extreme Response]]/21</f>
        <v>0.23809523809523808</v>
      </c>
      <c r="AR245">
        <f>_xlfn.PERCENTILE.INC(Table67[Extrem Response Ratio (ERS)],0.9)</f>
        <v>0.61904761904761907</v>
      </c>
      <c r="AS245" t="b">
        <f>Table67[[#This Row],[Extrem Response Ratio (ERS)]]&gt;=Table67[[#This Row],[Threshold of ERS]]</f>
        <v>0</v>
      </c>
      <c r="AT245">
        <f>COUNTIF(Table67[[#This Row],[The mechanism of digital assets is difficult to understand, which discourages me from exploring it (E.g, Tokenization, Blockchain)]:[If I want to try different ways to invest, I will explore digital assets.]], 3)</f>
        <v>3</v>
      </c>
      <c r="AU245">
        <f>Table67[[#This Row],[Midpoint]]/21</f>
        <v>0.14285714285714285</v>
      </c>
      <c r="AV245">
        <f>_xlfn.PERCENTILE.INC(Table67[Midpoint ratio],0.9)</f>
        <v>0.5714285714285714</v>
      </c>
      <c r="AW245" t="b">
        <f>Table67[[#This Row],[Midpoint ratio]]&gt;=Table67[[#This Row],[Threshold of Midpoint ratio]]</f>
        <v>0</v>
      </c>
      <c r="AX245" t="b">
        <f>OR(Table67[[#This Row],[Extreme Response Style]],Table67[[#This Row],[Mid-point Response Style]])</f>
        <v>0</v>
      </c>
      <c r="AY245" t="b">
        <f>OR(Table67[[#This Row],[Delete? (Stage 1)]],Table67[[#This Row],[Delete? (Stage 2)]])</f>
        <v>0</v>
      </c>
      <c r="AZ245" t="s">
        <v>81</v>
      </c>
    </row>
    <row r="246" spans="1:52">
      <c r="A246">
        <f t="shared" si="15"/>
        <v>245</v>
      </c>
      <c r="B246" s="3">
        <v>46036.626562500001</v>
      </c>
      <c r="C246" s="3">
        <v>46036.627326388902</v>
      </c>
      <c r="D246" t="s">
        <v>53</v>
      </c>
      <c r="G246" t="s">
        <v>54</v>
      </c>
      <c r="H246" t="s">
        <v>55</v>
      </c>
      <c r="I246" t="s">
        <v>56</v>
      </c>
      <c r="J246" t="s">
        <v>60</v>
      </c>
      <c r="K246" t="s">
        <v>57</v>
      </c>
      <c r="L246" t="s">
        <v>58</v>
      </c>
      <c r="M246" t="s">
        <v>58</v>
      </c>
      <c r="N246">
        <v>3</v>
      </c>
      <c r="O246">
        <v>3</v>
      </c>
      <c r="P246">
        <v>3</v>
      </c>
      <c r="Q246">
        <v>3</v>
      </c>
      <c r="R246">
        <v>3</v>
      </c>
      <c r="S246">
        <v>3</v>
      </c>
      <c r="T246">
        <v>3</v>
      </c>
      <c r="U246">
        <v>3</v>
      </c>
      <c r="V246">
        <v>3</v>
      </c>
      <c r="W246">
        <v>3</v>
      </c>
      <c r="X246">
        <v>3</v>
      </c>
      <c r="Y246">
        <v>3</v>
      </c>
      <c r="Z246">
        <v>3</v>
      </c>
      <c r="AA246">
        <v>3</v>
      </c>
      <c r="AB246">
        <v>3</v>
      </c>
      <c r="AC246">
        <v>3</v>
      </c>
      <c r="AD246">
        <v>3</v>
      </c>
      <c r="AE246">
        <v>3</v>
      </c>
      <c r="AF246">
        <v>3</v>
      </c>
      <c r="AG246">
        <v>3</v>
      </c>
      <c r="AH246">
        <v>3</v>
      </c>
      <c r="AI246">
        <v>3</v>
      </c>
      <c r="AJ246">
        <v>3</v>
      </c>
      <c r="AK246" t="b">
        <f>Table67[[#This Row],[What is your age?]]&lt;&gt;"18 - 25"</f>
        <v>0</v>
      </c>
      <c r="AL246" t="b">
        <f t="shared" si="12"/>
        <v>1</v>
      </c>
      <c r="AM246" t="b">
        <f t="shared" si="13"/>
        <v>0</v>
      </c>
      <c r="AN246" t="b">
        <f t="shared" si="14"/>
        <v>0</v>
      </c>
      <c r="AO246" t="b">
        <f>OR(Table67[[#This Row],[Ineligible respondents]:[Inconsistent response on opposite question (3)]])</f>
        <v>1</v>
      </c>
      <c r="AP24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46">
        <f>Table67[[#This Row],[Extreme Response]]/21</f>
        <v>0</v>
      </c>
      <c r="AR246">
        <f>_xlfn.PERCENTILE.INC(Table67[Extrem Response Ratio (ERS)],0.9)</f>
        <v>0.61904761904761907</v>
      </c>
      <c r="AS246" t="b">
        <f>Table67[[#This Row],[Extrem Response Ratio (ERS)]]&gt;=Table67[[#This Row],[Threshold of ERS]]</f>
        <v>0</v>
      </c>
      <c r="AT246">
        <f>COUNTIF(Table67[[#This Row],[The mechanism of digital assets is difficult to understand, which discourages me from exploring it (E.g, Tokenization, Blockchain)]:[If I want to try different ways to invest, I will explore digital assets.]], 3)</f>
        <v>21</v>
      </c>
      <c r="AU246">
        <f>Table67[[#This Row],[Midpoint]]/21</f>
        <v>1</v>
      </c>
      <c r="AV246">
        <f>_xlfn.PERCENTILE.INC(Table67[Midpoint ratio],0.9)</f>
        <v>0.5714285714285714</v>
      </c>
      <c r="AW246" t="b">
        <f>Table67[[#This Row],[Midpoint ratio]]&gt;=Table67[[#This Row],[Threshold of Midpoint ratio]]</f>
        <v>1</v>
      </c>
      <c r="AX246" t="b">
        <f>OR(Table67[[#This Row],[Extreme Response Style]],Table67[[#This Row],[Mid-point Response Style]])</f>
        <v>1</v>
      </c>
      <c r="AY246" t="b">
        <f>OR(Table67[[#This Row],[Delete? (Stage 1)]],Table67[[#This Row],[Delete? (Stage 2)]])</f>
        <v>1</v>
      </c>
      <c r="AZ246" t="s">
        <v>81</v>
      </c>
    </row>
    <row r="247" spans="1:52">
      <c r="A247">
        <f t="shared" si="15"/>
        <v>246</v>
      </c>
      <c r="B247" s="3">
        <v>46036.626759259299</v>
      </c>
      <c r="C247" s="3">
        <v>46036.628935185203</v>
      </c>
      <c r="D247" t="s">
        <v>53</v>
      </c>
      <c r="G247" t="s">
        <v>54</v>
      </c>
      <c r="H247" t="s">
        <v>55</v>
      </c>
      <c r="I247" t="s">
        <v>56</v>
      </c>
      <c r="J247" t="s">
        <v>57</v>
      </c>
      <c r="K247" t="s">
        <v>57</v>
      </c>
      <c r="L247" t="s">
        <v>58</v>
      </c>
      <c r="M247" t="s">
        <v>58</v>
      </c>
      <c r="N247">
        <v>4</v>
      </c>
      <c r="O247">
        <v>3</v>
      </c>
      <c r="P247">
        <v>4</v>
      </c>
      <c r="Q247">
        <v>1</v>
      </c>
      <c r="R247">
        <v>3</v>
      </c>
      <c r="S247">
        <v>3</v>
      </c>
      <c r="T247">
        <v>3</v>
      </c>
      <c r="U247">
        <v>3</v>
      </c>
      <c r="V247">
        <v>3</v>
      </c>
      <c r="W247">
        <v>3</v>
      </c>
      <c r="X247">
        <v>3</v>
      </c>
      <c r="Y247">
        <v>3</v>
      </c>
      <c r="Z247">
        <v>3</v>
      </c>
      <c r="AA247">
        <v>3</v>
      </c>
      <c r="AB247">
        <v>3</v>
      </c>
      <c r="AC247">
        <v>3</v>
      </c>
      <c r="AD247">
        <v>3</v>
      </c>
      <c r="AE247">
        <v>3</v>
      </c>
      <c r="AF247">
        <v>3</v>
      </c>
      <c r="AG247">
        <v>3</v>
      </c>
      <c r="AH247">
        <v>3</v>
      </c>
      <c r="AI247">
        <v>3</v>
      </c>
      <c r="AJ247">
        <v>3</v>
      </c>
      <c r="AK247" t="b">
        <f>Table67[[#This Row],[What is your age?]]&lt;&gt;"18 - 25"</f>
        <v>0</v>
      </c>
      <c r="AL247" t="b">
        <f t="shared" si="12"/>
        <v>0</v>
      </c>
      <c r="AM247" t="b">
        <f t="shared" si="13"/>
        <v>0</v>
      </c>
      <c r="AN247" t="b">
        <f t="shared" si="14"/>
        <v>0</v>
      </c>
      <c r="AO247" t="b">
        <f>OR(Table67[[#This Row],[Ineligible respondents]:[Inconsistent response on opposite question (3)]])</f>
        <v>0</v>
      </c>
      <c r="AP24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247">
        <f>Table67[[#This Row],[Extreme Response]]/21</f>
        <v>4.7619047619047616E-2</v>
      </c>
      <c r="AR247">
        <f>_xlfn.PERCENTILE.INC(Table67[Extrem Response Ratio (ERS)],0.9)</f>
        <v>0.61904761904761907</v>
      </c>
      <c r="AS247" t="b">
        <f>Table67[[#This Row],[Extrem Response Ratio (ERS)]]&gt;=Table67[[#This Row],[Threshold of ERS]]</f>
        <v>0</v>
      </c>
      <c r="AT247">
        <f>COUNTIF(Table67[[#This Row],[The mechanism of digital assets is difficult to understand, which discourages me from exploring it (E.g, Tokenization, Blockchain)]:[If I want to try different ways to invest, I will explore digital assets.]], 3)</f>
        <v>18</v>
      </c>
      <c r="AU247">
        <f>Table67[[#This Row],[Midpoint]]/21</f>
        <v>0.8571428571428571</v>
      </c>
      <c r="AV247">
        <f>_xlfn.PERCENTILE.INC(Table67[Midpoint ratio],0.9)</f>
        <v>0.5714285714285714</v>
      </c>
      <c r="AW247" t="b">
        <f>Table67[[#This Row],[Midpoint ratio]]&gt;=Table67[[#This Row],[Threshold of Midpoint ratio]]</f>
        <v>1</v>
      </c>
      <c r="AX247" t="b">
        <f>OR(Table67[[#This Row],[Extreme Response Style]],Table67[[#This Row],[Mid-point Response Style]])</f>
        <v>1</v>
      </c>
      <c r="AY247" t="b">
        <f>OR(Table67[[#This Row],[Delete? (Stage 1)]],Table67[[#This Row],[Delete? (Stage 2)]])</f>
        <v>1</v>
      </c>
      <c r="AZ247" t="s">
        <v>81</v>
      </c>
    </row>
    <row r="248" spans="1:52">
      <c r="A248">
        <f t="shared" si="15"/>
        <v>247</v>
      </c>
      <c r="B248" s="3">
        <v>46036.626782407402</v>
      </c>
      <c r="C248" s="3">
        <v>46036.629351851901</v>
      </c>
      <c r="D248" t="s">
        <v>53</v>
      </c>
      <c r="G248" t="s">
        <v>54</v>
      </c>
      <c r="H248" t="s">
        <v>55</v>
      </c>
      <c r="I248" t="s">
        <v>56</v>
      </c>
      <c r="J248" t="s">
        <v>62</v>
      </c>
      <c r="K248" t="s">
        <v>57</v>
      </c>
      <c r="L248" t="s">
        <v>61</v>
      </c>
      <c r="M248" t="s">
        <v>61</v>
      </c>
      <c r="N248">
        <v>3</v>
      </c>
      <c r="O248">
        <v>3</v>
      </c>
      <c r="P248">
        <v>3</v>
      </c>
      <c r="Q248">
        <v>3</v>
      </c>
      <c r="R248">
        <v>3</v>
      </c>
      <c r="S248">
        <v>3</v>
      </c>
      <c r="T248">
        <v>3</v>
      </c>
      <c r="U248">
        <v>3</v>
      </c>
      <c r="V248">
        <v>3</v>
      </c>
      <c r="W248">
        <v>3</v>
      </c>
      <c r="X248">
        <v>4</v>
      </c>
      <c r="Y248">
        <v>4</v>
      </c>
      <c r="Z248">
        <v>4</v>
      </c>
      <c r="AA248">
        <v>5</v>
      </c>
      <c r="AB248">
        <v>4</v>
      </c>
      <c r="AC248">
        <v>4</v>
      </c>
      <c r="AD248">
        <v>4</v>
      </c>
      <c r="AE248">
        <v>4</v>
      </c>
      <c r="AF248">
        <v>4</v>
      </c>
      <c r="AG248">
        <v>4</v>
      </c>
      <c r="AH248">
        <v>4</v>
      </c>
      <c r="AI248">
        <v>2</v>
      </c>
      <c r="AJ248">
        <v>2</v>
      </c>
      <c r="AK248" t="b">
        <f>Table67[[#This Row],[What is your age?]]&lt;&gt;"18 - 25"</f>
        <v>0</v>
      </c>
      <c r="AL248" t="b">
        <f t="shared" si="12"/>
        <v>0</v>
      </c>
      <c r="AM248" t="b">
        <f t="shared" si="13"/>
        <v>1</v>
      </c>
      <c r="AN248" t="b">
        <f t="shared" si="14"/>
        <v>0</v>
      </c>
      <c r="AO248" t="b">
        <f>OR(Table67[[#This Row],[Ineligible respondents]:[Inconsistent response on opposite question (3)]])</f>
        <v>1</v>
      </c>
      <c r="AP24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248">
        <f>Table67[[#This Row],[Extreme Response]]/21</f>
        <v>4.7619047619047616E-2</v>
      </c>
      <c r="AR248">
        <f>_xlfn.PERCENTILE.INC(Table67[Extrem Response Ratio (ERS)],0.9)</f>
        <v>0.61904761904761907</v>
      </c>
      <c r="AS248" t="b">
        <f>Table67[[#This Row],[Extrem Response Ratio (ERS)]]&gt;=Table67[[#This Row],[Threshold of ERS]]</f>
        <v>0</v>
      </c>
      <c r="AT248">
        <f>COUNTIF(Table67[[#This Row],[The mechanism of digital assets is difficult to understand, which discourages me from exploring it (E.g, Tokenization, Blockchain)]:[If I want to try different ways to invest, I will explore digital assets.]], 3)</f>
        <v>10</v>
      </c>
      <c r="AU248">
        <f>Table67[[#This Row],[Midpoint]]/21</f>
        <v>0.47619047619047616</v>
      </c>
      <c r="AV248">
        <f>_xlfn.PERCENTILE.INC(Table67[Midpoint ratio],0.9)</f>
        <v>0.5714285714285714</v>
      </c>
      <c r="AW248" t="b">
        <f>Table67[[#This Row],[Midpoint ratio]]&gt;=Table67[[#This Row],[Threshold of Midpoint ratio]]</f>
        <v>0</v>
      </c>
      <c r="AX248" t="b">
        <f>OR(Table67[[#This Row],[Extreme Response Style]],Table67[[#This Row],[Mid-point Response Style]])</f>
        <v>0</v>
      </c>
      <c r="AY248" t="b">
        <f>OR(Table67[[#This Row],[Delete? (Stage 1)]],Table67[[#This Row],[Delete? (Stage 2)]])</f>
        <v>1</v>
      </c>
      <c r="AZ248" t="s">
        <v>81</v>
      </c>
    </row>
    <row r="249" spans="1:52">
      <c r="A249">
        <f t="shared" si="15"/>
        <v>248</v>
      </c>
      <c r="B249" s="3">
        <v>46036.626782407402</v>
      </c>
      <c r="C249" s="3">
        <v>46036.630243055602</v>
      </c>
      <c r="D249" t="s">
        <v>53</v>
      </c>
      <c r="G249" t="s">
        <v>54</v>
      </c>
      <c r="H249" t="s">
        <v>63</v>
      </c>
      <c r="I249" t="s">
        <v>56</v>
      </c>
      <c r="J249" t="s">
        <v>62</v>
      </c>
      <c r="K249" t="s">
        <v>57</v>
      </c>
      <c r="L249" t="s">
        <v>58</v>
      </c>
      <c r="M249" t="s">
        <v>58</v>
      </c>
      <c r="N249">
        <v>2</v>
      </c>
      <c r="O249">
        <v>2</v>
      </c>
      <c r="P249">
        <v>4</v>
      </c>
      <c r="Q249">
        <v>2</v>
      </c>
      <c r="R249">
        <v>2</v>
      </c>
      <c r="S249">
        <v>2</v>
      </c>
      <c r="T249">
        <v>3</v>
      </c>
      <c r="U249">
        <v>4</v>
      </c>
      <c r="V249">
        <v>4</v>
      </c>
      <c r="W249">
        <v>2</v>
      </c>
      <c r="X249">
        <v>4</v>
      </c>
      <c r="Y249">
        <v>3</v>
      </c>
      <c r="Z249">
        <v>4</v>
      </c>
      <c r="AA249">
        <v>2</v>
      </c>
      <c r="AB249">
        <v>2</v>
      </c>
      <c r="AC249">
        <v>4</v>
      </c>
      <c r="AD249">
        <v>2</v>
      </c>
      <c r="AE249">
        <v>2</v>
      </c>
      <c r="AF249">
        <v>2</v>
      </c>
      <c r="AG249">
        <v>4</v>
      </c>
      <c r="AH249">
        <v>4</v>
      </c>
      <c r="AI249">
        <v>2</v>
      </c>
      <c r="AJ249">
        <v>4</v>
      </c>
      <c r="AK249" t="b">
        <f>Table67[[#This Row],[What is your age?]]&lt;&gt;"18 - 25"</f>
        <v>0</v>
      </c>
      <c r="AL249" t="b">
        <f t="shared" si="12"/>
        <v>0</v>
      </c>
      <c r="AM249" t="b">
        <f t="shared" si="13"/>
        <v>1</v>
      </c>
      <c r="AN249" t="b">
        <f t="shared" si="14"/>
        <v>0</v>
      </c>
      <c r="AO249" t="b">
        <f>OR(Table67[[#This Row],[Ineligible respondents]:[Inconsistent response on opposite question (3)]])</f>
        <v>1</v>
      </c>
      <c r="AP24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49">
        <f>Table67[[#This Row],[Extreme Response]]/21</f>
        <v>0</v>
      </c>
      <c r="AR249">
        <f>_xlfn.PERCENTILE.INC(Table67[Extrem Response Ratio (ERS)],0.9)</f>
        <v>0.61904761904761907</v>
      </c>
      <c r="AS249" t="b">
        <f>Table67[[#This Row],[Extrem Response Ratio (ERS)]]&gt;=Table67[[#This Row],[Threshold of ERS]]</f>
        <v>0</v>
      </c>
      <c r="AT249">
        <f>COUNTIF(Table67[[#This Row],[The mechanism of digital assets is difficult to understand, which discourages me from exploring it (E.g, Tokenization, Blockchain)]:[If I want to try different ways to invest, I will explore digital assets.]], 3)</f>
        <v>2</v>
      </c>
      <c r="AU249">
        <f>Table67[[#This Row],[Midpoint]]/21</f>
        <v>9.5238095238095233E-2</v>
      </c>
      <c r="AV249">
        <f>_xlfn.PERCENTILE.INC(Table67[Midpoint ratio],0.9)</f>
        <v>0.5714285714285714</v>
      </c>
      <c r="AW249" t="b">
        <f>Table67[[#This Row],[Midpoint ratio]]&gt;=Table67[[#This Row],[Threshold of Midpoint ratio]]</f>
        <v>0</v>
      </c>
      <c r="AX249" t="b">
        <f>OR(Table67[[#This Row],[Extreme Response Style]],Table67[[#This Row],[Mid-point Response Style]])</f>
        <v>0</v>
      </c>
      <c r="AY249" t="b">
        <f>OR(Table67[[#This Row],[Delete? (Stage 1)]],Table67[[#This Row],[Delete? (Stage 2)]])</f>
        <v>1</v>
      </c>
      <c r="AZ249" t="s">
        <v>81</v>
      </c>
    </row>
    <row r="250" spans="1:52">
      <c r="A250">
        <f t="shared" si="15"/>
        <v>249</v>
      </c>
      <c r="B250" s="3">
        <v>46036.626990740697</v>
      </c>
      <c r="C250" s="3">
        <v>46036.628113425897</v>
      </c>
      <c r="D250" t="s">
        <v>53</v>
      </c>
      <c r="G250" t="s">
        <v>54</v>
      </c>
      <c r="H250" t="s">
        <v>55</v>
      </c>
      <c r="I250" t="s">
        <v>56</v>
      </c>
      <c r="J250" t="s">
        <v>62</v>
      </c>
      <c r="K250" t="s">
        <v>57</v>
      </c>
      <c r="L250" t="s">
        <v>58</v>
      </c>
      <c r="M250" t="s">
        <v>61</v>
      </c>
      <c r="N250">
        <v>3</v>
      </c>
      <c r="O250">
        <v>5</v>
      </c>
      <c r="P250">
        <v>3</v>
      </c>
      <c r="Q250">
        <v>3</v>
      </c>
      <c r="R250">
        <v>3</v>
      </c>
      <c r="S250">
        <v>3</v>
      </c>
      <c r="T250">
        <v>3</v>
      </c>
      <c r="U250">
        <v>3</v>
      </c>
      <c r="V250">
        <v>3</v>
      </c>
      <c r="W250">
        <v>3</v>
      </c>
      <c r="X250">
        <v>4</v>
      </c>
      <c r="Y250">
        <v>4</v>
      </c>
      <c r="Z250">
        <v>4</v>
      </c>
      <c r="AA250">
        <v>4</v>
      </c>
      <c r="AB250">
        <v>4</v>
      </c>
      <c r="AC250">
        <v>4</v>
      </c>
      <c r="AD250">
        <v>4</v>
      </c>
      <c r="AE250">
        <v>4</v>
      </c>
      <c r="AF250">
        <v>4</v>
      </c>
      <c r="AG250">
        <v>4</v>
      </c>
      <c r="AH250">
        <v>4</v>
      </c>
      <c r="AI250">
        <v>2</v>
      </c>
      <c r="AJ250">
        <v>2</v>
      </c>
      <c r="AK250" t="b">
        <f>Table67[[#This Row],[What is your age?]]&lt;&gt;"18 - 25"</f>
        <v>0</v>
      </c>
      <c r="AL250" t="b">
        <f t="shared" si="12"/>
        <v>0</v>
      </c>
      <c r="AM250" t="b">
        <f t="shared" si="13"/>
        <v>1</v>
      </c>
      <c r="AN250" t="b">
        <f t="shared" si="14"/>
        <v>0</v>
      </c>
      <c r="AO250" t="b">
        <f>OR(Table67[[#This Row],[Ineligible respondents]:[Inconsistent response on opposite question (3)]])</f>
        <v>1</v>
      </c>
      <c r="AP25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250">
        <f>Table67[[#This Row],[Extreme Response]]/21</f>
        <v>4.7619047619047616E-2</v>
      </c>
      <c r="AR250">
        <f>_xlfn.PERCENTILE.INC(Table67[Extrem Response Ratio (ERS)],0.9)</f>
        <v>0.61904761904761907</v>
      </c>
      <c r="AS250" t="b">
        <f>Table67[[#This Row],[Extrem Response Ratio (ERS)]]&gt;=Table67[[#This Row],[Threshold of ERS]]</f>
        <v>0</v>
      </c>
      <c r="AT250">
        <f>COUNTIF(Table67[[#This Row],[The mechanism of digital assets is difficult to understand, which discourages me from exploring it (E.g, Tokenization, Blockchain)]:[If I want to try different ways to invest, I will explore digital assets.]], 3)</f>
        <v>9</v>
      </c>
      <c r="AU250">
        <f>Table67[[#This Row],[Midpoint]]/21</f>
        <v>0.42857142857142855</v>
      </c>
      <c r="AV250">
        <f>_xlfn.PERCENTILE.INC(Table67[Midpoint ratio],0.9)</f>
        <v>0.5714285714285714</v>
      </c>
      <c r="AW250" t="b">
        <f>Table67[[#This Row],[Midpoint ratio]]&gt;=Table67[[#This Row],[Threshold of Midpoint ratio]]</f>
        <v>0</v>
      </c>
      <c r="AX250" t="b">
        <f>OR(Table67[[#This Row],[Extreme Response Style]],Table67[[#This Row],[Mid-point Response Style]])</f>
        <v>0</v>
      </c>
      <c r="AY250" t="b">
        <f>OR(Table67[[#This Row],[Delete? (Stage 1)]],Table67[[#This Row],[Delete? (Stage 2)]])</f>
        <v>1</v>
      </c>
      <c r="AZ250" t="s">
        <v>81</v>
      </c>
    </row>
    <row r="251" spans="1:52">
      <c r="A251">
        <f t="shared" si="15"/>
        <v>250</v>
      </c>
      <c r="B251" s="3">
        <v>46036.627025463</v>
      </c>
      <c r="C251" s="3">
        <v>46036.629699074103</v>
      </c>
      <c r="D251" t="s">
        <v>53</v>
      </c>
      <c r="G251" t="s">
        <v>54</v>
      </c>
      <c r="H251" t="s">
        <v>63</v>
      </c>
      <c r="I251" t="s">
        <v>56</v>
      </c>
      <c r="J251" t="s">
        <v>57</v>
      </c>
      <c r="K251" t="s">
        <v>57</v>
      </c>
      <c r="L251" t="s">
        <v>58</v>
      </c>
      <c r="M251" t="s">
        <v>58</v>
      </c>
      <c r="N251">
        <v>3</v>
      </c>
      <c r="O251">
        <v>3</v>
      </c>
      <c r="P251">
        <v>4</v>
      </c>
      <c r="Q251">
        <v>3</v>
      </c>
      <c r="R251">
        <v>4</v>
      </c>
      <c r="S251">
        <v>4</v>
      </c>
      <c r="T251">
        <v>3</v>
      </c>
      <c r="U251">
        <v>2</v>
      </c>
      <c r="V251">
        <v>4</v>
      </c>
      <c r="W251">
        <v>4</v>
      </c>
      <c r="X251">
        <v>4</v>
      </c>
      <c r="Y251">
        <v>4</v>
      </c>
      <c r="Z251">
        <v>3</v>
      </c>
      <c r="AA251">
        <v>4</v>
      </c>
      <c r="AB251">
        <v>3</v>
      </c>
      <c r="AC251">
        <v>3</v>
      </c>
      <c r="AD251">
        <v>3</v>
      </c>
      <c r="AE251">
        <v>2</v>
      </c>
      <c r="AF251">
        <v>3</v>
      </c>
      <c r="AG251">
        <v>3</v>
      </c>
      <c r="AH251">
        <v>3</v>
      </c>
      <c r="AI251">
        <v>3</v>
      </c>
      <c r="AJ251">
        <v>3</v>
      </c>
      <c r="AK251" t="b">
        <f>Table67[[#This Row],[What is your age?]]&lt;&gt;"18 - 25"</f>
        <v>0</v>
      </c>
      <c r="AL251" t="b">
        <f t="shared" si="12"/>
        <v>0</v>
      </c>
      <c r="AM251" t="b">
        <f t="shared" si="13"/>
        <v>0</v>
      </c>
      <c r="AN251" t="b">
        <f t="shared" si="14"/>
        <v>0</v>
      </c>
      <c r="AO251" t="b">
        <f>OR(Table67[[#This Row],[Ineligible respondents]:[Inconsistent response on opposite question (3)]])</f>
        <v>0</v>
      </c>
      <c r="AP25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51">
        <f>Table67[[#This Row],[Extreme Response]]/21</f>
        <v>0</v>
      </c>
      <c r="AR251">
        <f>_xlfn.PERCENTILE.INC(Table67[Extrem Response Ratio (ERS)],0.9)</f>
        <v>0.61904761904761907</v>
      </c>
      <c r="AS251" t="b">
        <f>Table67[[#This Row],[Extrem Response Ratio (ERS)]]&gt;=Table67[[#This Row],[Threshold of ERS]]</f>
        <v>0</v>
      </c>
      <c r="AT251">
        <f>COUNTIF(Table67[[#This Row],[The mechanism of digital assets is difficult to understand, which discourages me from exploring it (E.g, Tokenization, Blockchain)]:[If I want to try different ways to invest, I will explore digital assets.]], 3)</f>
        <v>11</v>
      </c>
      <c r="AU251">
        <f>Table67[[#This Row],[Midpoint]]/21</f>
        <v>0.52380952380952384</v>
      </c>
      <c r="AV251">
        <f>_xlfn.PERCENTILE.INC(Table67[Midpoint ratio],0.9)</f>
        <v>0.5714285714285714</v>
      </c>
      <c r="AW251" t="b">
        <f>Table67[[#This Row],[Midpoint ratio]]&gt;=Table67[[#This Row],[Threshold of Midpoint ratio]]</f>
        <v>0</v>
      </c>
      <c r="AX251" t="b">
        <f>OR(Table67[[#This Row],[Extreme Response Style]],Table67[[#This Row],[Mid-point Response Style]])</f>
        <v>0</v>
      </c>
      <c r="AY251" t="b">
        <f>OR(Table67[[#This Row],[Delete? (Stage 1)]],Table67[[#This Row],[Delete? (Stage 2)]])</f>
        <v>0</v>
      </c>
      <c r="AZ251" t="s">
        <v>81</v>
      </c>
    </row>
    <row r="252" spans="1:52">
      <c r="A252">
        <f t="shared" si="15"/>
        <v>251</v>
      </c>
      <c r="B252" s="3">
        <v>46036.6270717593</v>
      </c>
      <c r="C252" s="3">
        <v>46036.628634259301</v>
      </c>
      <c r="D252" t="s">
        <v>53</v>
      </c>
      <c r="G252" t="s">
        <v>54</v>
      </c>
      <c r="H252" t="s">
        <v>55</v>
      </c>
      <c r="I252" t="s">
        <v>56</v>
      </c>
      <c r="J252" t="s">
        <v>62</v>
      </c>
      <c r="K252" t="s">
        <v>57</v>
      </c>
      <c r="L252" t="s">
        <v>61</v>
      </c>
      <c r="M252" t="s">
        <v>61</v>
      </c>
      <c r="N252">
        <v>4</v>
      </c>
      <c r="O252">
        <v>2</v>
      </c>
      <c r="P252">
        <v>3</v>
      </c>
      <c r="Q252">
        <v>4</v>
      </c>
      <c r="R252">
        <v>4</v>
      </c>
      <c r="S252">
        <v>4</v>
      </c>
      <c r="T252">
        <v>4</v>
      </c>
      <c r="U252">
        <v>2</v>
      </c>
      <c r="V252">
        <v>4</v>
      </c>
      <c r="W252">
        <v>5</v>
      </c>
      <c r="X252">
        <v>4</v>
      </c>
      <c r="Y252">
        <v>4</v>
      </c>
      <c r="Z252">
        <v>5</v>
      </c>
      <c r="AA252">
        <v>4</v>
      </c>
      <c r="AB252">
        <v>4</v>
      </c>
      <c r="AC252">
        <v>3</v>
      </c>
      <c r="AD252">
        <v>4</v>
      </c>
      <c r="AE252">
        <v>3</v>
      </c>
      <c r="AF252">
        <v>2</v>
      </c>
      <c r="AG252">
        <v>4</v>
      </c>
      <c r="AH252">
        <v>4</v>
      </c>
      <c r="AI252">
        <v>2</v>
      </c>
      <c r="AJ252">
        <v>4</v>
      </c>
      <c r="AK252" t="b">
        <f>Table67[[#This Row],[What is your age?]]&lt;&gt;"18 - 25"</f>
        <v>0</v>
      </c>
      <c r="AL252" t="b">
        <f t="shared" si="12"/>
        <v>0</v>
      </c>
      <c r="AM252" t="b">
        <f t="shared" si="13"/>
        <v>1</v>
      </c>
      <c r="AN252" t="b">
        <f t="shared" si="14"/>
        <v>0</v>
      </c>
      <c r="AO252" t="b">
        <f>OR(Table67[[#This Row],[Ineligible respondents]:[Inconsistent response on opposite question (3)]])</f>
        <v>1</v>
      </c>
      <c r="AP25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252">
        <f>Table67[[#This Row],[Extreme Response]]/21</f>
        <v>9.5238095238095233E-2</v>
      </c>
      <c r="AR252">
        <f>_xlfn.PERCENTILE.INC(Table67[Extrem Response Ratio (ERS)],0.9)</f>
        <v>0.61904761904761907</v>
      </c>
      <c r="AS252" t="b">
        <f>Table67[[#This Row],[Extrem Response Ratio (ERS)]]&gt;=Table67[[#This Row],[Threshold of ERS]]</f>
        <v>0</v>
      </c>
      <c r="AT252">
        <f>COUNTIF(Table67[[#This Row],[The mechanism of digital assets is difficult to understand, which discourages me from exploring it (E.g, Tokenization, Blockchain)]:[If I want to try different ways to invest, I will explore digital assets.]], 3)</f>
        <v>3</v>
      </c>
      <c r="AU252">
        <f>Table67[[#This Row],[Midpoint]]/21</f>
        <v>0.14285714285714285</v>
      </c>
      <c r="AV252">
        <f>_xlfn.PERCENTILE.INC(Table67[Midpoint ratio],0.9)</f>
        <v>0.5714285714285714</v>
      </c>
      <c r="AW252" t="b">
        <f>Table67[[#This Row],[Midpoint ratio]]&gt;=Table67[[#This Row],[Threshold of Midpoint ratio]]</f>
        <v>0</v>
      </c>
      <c r="AX252" t="b">
        <f>OR(Table67[[#This Row],[Extreme Response Style]],Table67[[#This Row],[Mid-point Response Style]])</f>
        <v>0</v>
      </c>
      <c r="AY252" t="b">
        <f>OR(Table67[[#This Row],[Delete? (Stage 1)]],Table67[[#This Row],[Delete? (Stage 2)]])</f>
        <v>1</v>
      </c>
      <c r="AZ252" t="s">
        <v>81</v>
      </c>
    </row>
    <row r="253" spans="1:52">
      <c r="A253">
        <f t="shared" si="15"/>
        <v>252</v>
      </c>
      <c r="B253" s="3">
        <v>46036.6270717593</v>
      </c>
      <c r="C253" s="3">
        <v>46036.629490740699</v>
      </c>
      <c r="D253" t="s">
        <v>53</v>
      </c>
      <c r="G253" t="s">
        <v>54</v>
      </c>
      <c r="H253" t="s">
        <v>55</v>
      </c>
      <c r="I253" t="s">
        <v>56</v>
      </c>
      <c r="J253" t="s">
        <v>62</v>
      </c>
      <c r="K253" t="s">
        <v>57</v>
      </c>
      <c r="L253" t="s">
        <v>58</v>
      </c>
      <c r="M253" t="s">
        <v>58</v>
      </c>
      <c r="N253">
        <v>3</v>
      </c>
      <c r="O253">
        <v>2</v>
      </c>
      <c r="P253">
        <v>4</v>
      </c>
      <c r="Q253">
        <v>3</v>
      </c>
      <c r="R253">
        <v>3</v>
      </c>
      <c r="S253">
        <v>5</v>
      </c>
      <c r="T253">
        <v>2</v>
      </c>
      <c r="U253">
        <v>3</v>
      </c>
      <c r="V253">
        <v>3</v>
      </c>
      <c r="W253">
        <v>4</v>
      </c>
      <c r="X253">
        <v>3</v>
      </c>
      <c r="Y253">
        <v>3</v>
      </c>
      <c r="Z253">
        <v>3</v>
      </c>
      <c r="AA253">
        <v>3</v>
      </c>
      <c r="AB253">
        <v>3</v>
      </c>
      <c r="AC253">
        <v>3</v>
      </c>
      <c r="AD253">
        <v>3</v>
      </c>
      <c r="AE253">
        <v>3</v>
      </c>
      <c r="AF253">
        <v>3</v>
      </c>
      <c r="AG253">
        <v>3</v>
      </c>
      <c r="AH253">
        <v>3</v>
      </c>
      <c r="AI253">
        <v>3</v>
      </c>
      <c r="AJ253">
        <v>3</v>
      </c>
      <c r="AK253" t="b">
        <f>Table67[[#This Row],[What is your age?]]&lt;&gt;"18 - 25"</f>
        <v>0</v>
      </c>
      <c r="AL253" t="b">
        <f t="shared" si="12"/>
        <v>0</v>
      </c>
      <c r="AM253" t="b">
        <f t="shared" si="13"/>
        <v>0</v>
      </c>
      <c r="AN253" t="b">
        <f t="shared" si="14"/>
        <v>0</v>
      </c>
      <c r="AO253" t="b">
        <f>OR(Table67[[#This Row],[Ineligible respondents]:[Inconsistent response on opposite question (3)]])</f>
        <v>0</v>
      </c>
      <c r="AP25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253">
        <f>Table67[[#This Row],[Extreme Response]]/21</f>
        <v>4.7619047619047616E-2</v>
      </c>
      <c r="AR253">
        <f>_xlfn.PERCENTILE.INC(Table67[Extrem Response Ratio (ERS)],0.9)</f>
        <v>0.61904761904761907</v>
      </c>
      <c r="AS253" t="b">
        <f>Table67[[#This Row],[Extrem Response Ratio (ERS)]]&gt;=Table67[[#This Row],[Threshold of ERS]]</f>
        <v>0</v>
      </c>
      <c r="AT253">
        <f>COUNTIF(Table67[[#This Row],[The mechanism of digital assets is difficult to understand, which discourages me from exploring it (E.g, Tokenization, Blockchain)]:[If I want to try different ways to invest, I will explore digital assets.]], 3)</f>
        <v>16</v>
      </c>
      <c r="AU253">
        <f>Table67[[#This Row],[Midpoint]]/21</f>
        <v>0.76190476190476186</v>
      </c>
      <c r="AV253">
        <f>_xlfn.PERCENTILE.INC(Table67[Midpoint ratio],0.9)</f>
        <v>0.5714285714285714</v>
      </c>
      <c r="AW253" t="b">
        <f>Table67[[#This Row],[Midpoint ratio]]&gt;=Table67[[#This Row],[Threshold of Midpoint ratio]]</f>
        <v>1</v>
      </c>
      <c r="AX253" t="b">
        <f>OR(Table67[[#This Row],[Extreme Response Style]],Table67[[#This Row],[Mid-point Response Style]])</f>
        <v>1</v>
      </c>
      <c r="AY253" t="b">
        <f>OR(Table67[[#This Row],[Delete? (Stage 1)]],Table67[[#This Row],[Delete? (Stage 2)]])</f>
        <v>1</v>
      </c>
      <c r="AZ253" t="s">
        <v>81</v>
      </c>
    </row>
    <row r="254" spans="1:52">
      <c r="A254">
        <f t="shared" si="15"/>
        <v>253</v>
      </c>
      <c r="B254" s="3">
        <v>46036.6271180556</v>
      </c>
      <c r="C254" s="3">
        <v>46036.6277430556</v>
      </c>
      <c r="D254" t="s">
        <v>53</v>
      </c>
      <c r="G254" t="s">
        <v>54</v>
      </c>
      <c r="H254" t="s">
        <v>55</v>
      </c>
      <c r="I254" t="s">
        <v>56</v>
      </c>
      <c r="J254" t="s">
        <v>57</v>
      </c>
      <c r="K254" t="s">
        <v>57</v>
      </c>
      <c r="L254" t="s">
        <v>61</v>
      </c>
      <c r="M254" t="s">
        <v>61</v>
      </c>
      <c r="N254">
        <v>4</v>
      </c>
      <c r="O254">
        <v>3</v>
      </c>
      <c r="P254">
        <v>3</v>
      </c>
      <c r="Q254">
        <v>3</v>
      </c>
      <c r="R254">
        <v>4</v>
      </c>
      <c r="S254">
        <v>4</v>
      </c>
      <c r="T254">
        <v>4</v>
      </c>
      <c r="U254">
        <v>4</v>
      </c>
      <c r="V254">
        <v>4</v>
      </c>
      <c r="W254">
        <v>3</v>
      </c>
      <c r="X254">
        <v>3</v>
      </c>
      <c r="Y254">
        <v>3</v>
      </c>
      <c r="Z254">
        <v>3</v>
      </c>
      <c r="AA254">
        <v>3</v>
      </c>
      <c r="AB254">
        <v>3</v>
      </c>
      <c r="AC254">
        <v>3</v>
      </c>
      <c r="AD254">
        <v>3</v>
      </c>
      <c r="AE254">
        <v>3</v>
      </c>
      <c r="AF254">
        <v>3</v>
      </c>
      <c r="AG254">
        <v>3</v>
      </c>
      <c r="AH254">
        <v>3</v>
      </c>
      <c r="AI254">
        <v>3</v>
      </c>
      <c r="AJ254">
        <v>3</v>
      </c>
      <c r="AK254" t="b">
        <f>Table67[[#This Row],[What is your age?]]&lt;&gt;"18 - 25"</f>
        <v>0</v>
      </c>
      <c r="AL254" t="b">
        <f t="shared" si="12"/>
        <v>0</v>
      </c>
      <c r="AM254" t="b">
        <f t="shared" si="13"/>
        <v>0</v>
      </c>
      <c r="AN254" t="b">
        <f t="shared" si="14"/>
        <v>0</v>
      </c>
      <c r="AO254" t="b">
        <f>OR(Table67[[#This Row],[Ineligible respondents]:[Inconsistent response on opposite question (3)]])</f>
        <v>0</v>
      </c>
      <c r="AP25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54">
        <f>Table67[[#This Row],[Extreme Response]]/21</f>
        <v>0</v>
      </c>
      <c r="AR254">
        <f>_xlfn.PERCENTILE.INC(Table67[Extrem Response Ratio (ERS)],0.9)</f>
        <v>0.61904761904761907</v>
      </c>
      <c r="AS254" t="b">
        <f>Table67[[#This Row],[Extrem Response Ratio (ERS)]]&gt;=Table67[[#This Row],[Threshold of ERS]]</f>
        <v>0</v>
      </c>
      <c r="AT254">
        <f>COUNTIF(Table67[[#This Row],[The mechanism of digital assets is difficult to understand, which discourages me from exploring it (E.g, Tokenization, Blockchain)]:[If I want to try different ways to invest, I will explore digital assets.]], 3)</f>
        <v>15</v>
      </c>
      <c r="AU254">
        <f>Table67[[#This Row],[Midpoint]]/21</f>
        <v>0.7142857142857143</v>
      </c>
      <c r="AV254">
        <f>_xlfn.PERCENTILE.INC(Table67[Midpoint ratio],0.9)</f>
        <v>0.5714285714285714</v>
      </c>
      <c r="AW254" t="b">
        <f>Table67[[#This Row],[Midpoint ratio]]&gt;=Table67[[#This Row],[Threshold of Midpoint ratio]]</f>
        <v>1</v>
      </c>
      <c r="AX254" t="b">
        <f>OR(Table67[[#This Row],[Extreme Response Style]],Table67[[#This Row],[Mid-point Response Style]])</f>
        <v>1</v>
      </c>
      <c r="AY254" t="b">
        <f>OR(Table67[[#This Row],[Delete? (Stage 1)]],Table67[[#This Row],[Delete? (Stage 2)]])</f>
        <v>1</v>
      </c>
      <c r="AZ254" t="s">
        <v>81</v>
      </c>
    </row>
    <row r="255" spans="1:52">
      <c r="A255">
        <f t="shared" si="15"/>
        <v>254</v>
      </c>
      <c r="B255" s="3">
        <v>46036.6272916667</v>
      </c>
      <c r="C255" s="3">
        <v>46036.628796296303</v>
      </c>
      <c r="D255" t="s">
        <v>53</v>
      </c>
      <c r="G255" t="s">
        <v>54</v>
      </c>
      <c r="H255" t="s">
        <v>55</v>
      </c>
      <c r="I255" t="s">
        <v>56</v>
      </c>
      <c r="J255" t="s">
        <v>62</v>
      </c>
      <c r="K255" t="s">
        <v>66</v>
      </c>
      <c r="L255" t="s">
        <v>61</v>
      </c>
      <c r="M255" t="s">
        <v>61</v>
      </c>
      <c r="N255">
        <v>2</v>
      </c>
      <c r="O255">
        <v>2</v>
      </c>
      <c r="P255">
        <v>4</v>
      </c>
      <c r="Q255">
        <v>3</v>
      </c>
      <c r="R255">
        <v>2</v>
      </c>
      <c r="S255">
        <v>4</v>
      </c>
      <c r="T255">
        <v>3</v>
      </c>
      <c r="U255">
        <v>4</v>
      </c>
      <c r="V255">
        <v>3</v>
      </c>
      <c r="W255">
        <v>4</v>
      </c>
      <c r="X255">
        <v>3</v>
      </c>
      <c r="Y255">
        <v>3</v>
      </c>
      <c r="Z255">
        <v>3</v>
      </c>
      <c r="AA255">
        <v>3</v>
      </c>
      <c r="AB255">
        <v>3</v>
      </c>
      <c r="AC255">
        <v>3</v>
      </c>
      <c r="AD255">
        <v>2</v>
      </c>
      <c r="AE255">
        <v>2</v>
      </c>
      <c r="AF255">
        <v>4</v>
      </c>
      <c r="AG255">
        <v>2</v>
      </c>
      <c r="AH255">
        <v>4</v>
      </c>
      <c r="AI255">
        <v>2</v>
      </c>
      <c r="AJ255">
        <v>2</v>
      </c>
      <c r="AK255" t="b">
        <f>Table67[[#This Row],[What is your age?]]&lt;&gt;"18 - 25"</f>
        <v>0</v>
      </c>
      <c r="AL255" t="b">
        <f t="shared" si="12"/>
        <v>0</v>
      </c>
      <c r="AM255" t="b">
        <f t="shared" si="13"/>
        <v>0</v>
      </c>
      <c r="AN255" t="b">
        <f t="shared" si="14"/>
        <v>0</v>
      </c>
      <c r="AO255" t="b">
        <f>OR(Table67[[#This Row],[Ineligible respondents]:[Inconsistent response on opposite question (3)]])</f>
        <v>0</v>
      </c>
      <c r="AP25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55">
        <f>Table67[[#This Row],[Extreme Response]]/21</f>
        <v>0</v>
      </c>
      <c r="AR255">
        <f>_xlfn.PERCENTILE.INC(Table67[Extrem Response Ratio (ERS)],0.9)</f>
        <v>0.61904761904761907</v>
      </c>
      <c r="AS255" t="b">
        <f>Table67[[#This Row],[Extrem Response Ratio (ERS)]]&gt;=Table67[[#This Row],[Threshold of ERS]]</f>
        <v>0</v>
      </c>
      <c r="AT255">
        <f>COUNTIF(Table67[[#This Row],[The mechanism of digital assets is difficult to understand, which discourages me from exploring it (E.g, Tokenization, Blockchain)]:[If I want to try different ways to invest, I will explore digital assets.]], 3)</f>
        <v>9</v>
      </c>
      <c r="AU255">
        <f>Table67[[#This Row],[Midpoint]]/21</f>
        <v>0.42857142857142855</v>
      </c>
      <c r="AV255">
        <f>_xlfn.PERCENTILE.INC(Table67[Midpoint ratio],0.9)</f>
        <v>0.5714285714285714</v>
      </c>
      <c r="AW255" t="b">
        <f>Table67[[#This Row],[Midpoint ratio]]&gt;=Table67[[#This Row],[Threshold of Midpoint ratio]]</f>
        <v>0</v>
      </c>
      <c r="AX255" t="b">
        <f>OR(Table67[[#This Row],[Extreme Response Style]],Table67[[#This Row],[Mid-point Response Style]])</f>
        <v>0</v>
      </c>
      <c r="AY255" t="b">
        <f>OR(Table67[[#This Row],[Delete? (Stage 1)]],Table67[[#This Row],[Delete? (Stage 2)]])</f>
        <v>0</v>
      </c>
      <c r="AZ255" t="s">
        <v>81</v>
      </c>
    </row>
    <row r="256" spans="1:52">
      <c r="A256">
        <f t="shared" si="15"/>
        <v>255</v>
      </c>
      <c r="B256" s="3">
        <v>46036.627337963</v>
      </c>
      <c r="C256" s="3">
        <v>46036.629803240699</v>
      </c>
      <c r="D256" t="s">
        <v>53</v>
      </c>
      <c r="G256" t="s">
        <v>54</v>
      </c>
      <c r="H256" t="s">
        <v>55</v>
      </c>
      <c r="I256" t="s">
        <v>56</v>
      </c>
      <c r="J256" t="s">
        <v>60</v>
      </c>
      <c r="K256" t="s">
        <v>62</v>
      </c>
      <c r="L256" t="s">
        <v>61</v>
      </c>
      <c r="M256" t="s">
        <v>61</v>
      </c>
      <c r="N256">
        <v>3</v>
      </c>
      <c r="O256">
        <v>4</v>
      </c>
      <c r="P256">
        <v>4</v>
      </c>
      <c r="Q256">
        <v>4</v>
      </c>
      <c r="R256">
        <v>2</v>
      </c>
      <c r="S256">
        <v>3</v>
      </c>
      <c r="T256">
        <v>3</v>
      </c>
      <c r="U256">
        <v>3</v>
      </c>
      <c r="V256">
        <v>3</v>
      </c>
      <c r="W256">
        <v>3</v>
      </c>
      <c r="X256">
        <v>5</v>
      </c>
      <c r="Y256">
        <v>5</v>
      </c>
      <c r="Z256">
        <v>4</v>
      </c>
      <c r="AA256">
        <v>4</v>
      </c>
      <c r="AB256">
        <v>4</v>
      </c>
      <c r="AC256">
        <v>4</v>
      </c>
      <c r="AD256">
        <v>4</v>
      </c>
      <c r="AE256">
        <v>4</v>
      </c>
      <c r="AF256">
        <v>5</v>
      </c>
      <c r="AG256">
        <v>4</v>
      </c>
      <c r="AH256">
        <v>3</v>
      </c>
      <c r="AI256">
        <v>3</v>
      </c>
      <c r="AJ256">
        <v>1</v>
      </c>
      <c r="AK256" t="b">
        <f>Table67[[#This Row],[What is your age?]]&lt;&gt;"18 - 25"</f>
        <v>0</v>
      </c>
      <c r="AL256" t="b">
        <f t="shared" si="12"/>
        <v>0</v>
      </c>
      <c r="AM256" t="b">
        <f t="shared" si="13"/>
        <v>0</v>
      </c>
      <c r="AN256" t="b">
        <f t="shared" si="14"/>
        <v>1</v>
      </c>
      <c r="AO256" t="b">
        <f>OR(Table67[[#This Row],[Ineligible respondents]:[Inconsistent response on opposite question (3)]])</f>
        <v>1</v>
      </c>
      <c r="AP25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256">
        <f>Table67[[#This Row],[Extreme Response]]/21</f>
        <v>0.14285714285714285</v>
      </c>
      <c r="AR256">
        <f>_xlfn.PERCENTILE.INC(Table67[Extrem Response Ratio (ERS)],0.9)</f>
        <v>0.61904761904761907</v>
      </c>
      <c r="AS256" t="b">
        <f>Table67[[#This Row],[Extrem Response Ratio (ERS)]]&gt;=Table67[[#This Row],[Threshold of ERS]]</f>
        <v>0</v>
      </c>
      <c r="AT256">
        <f>COUNTIF(Table67[[#This Row],[The mechanism of digital assets is difficult to understand, which discourages me from exploring it (E.g, Tokenization, Blockchain)]:[If I want to try different ways to invest, I will explore digital assets.]], 3)</f>
        <v>7</v>
      </c>
      <c r="AU256">
        <f>Table67[[#This Row],[Midpoint]]/21</f>
        <v>0.33333333333333331</v>
      </c>
      <c r="AV256">
        <f>_xlfn.PERCENTILE.INC(Table67[Midpoint ratio],0.9)</f>
        <v>0.5714285714285714</v>
      </c>
      <c r="AW256" t="b">
        <f>Table67[[#This Row],[Midpoint ratio]]&gt;=Table67[[#This Row],[Threshold of Midpoint ratio]]</f>
        <v>0</v>
      </c>
      <c r="AX256" t="b">
        <f>OR(Table67[[#This Row],[Extreme Response Style]],Table67[[#This Row],[Mid-point Response Style]])</f>
        <v>0</v>
      </c>
      <c r="AY256" t="b">
        <f>OR(Table67[[#This Row],[Delete? (Stage 1)]],Table67[[#This Row],[Delete? (Stage 2)]])</f>
        <v>1</v>
      </c>
      <c r="AZ256" t="s">
        <v>81</v>
      </c>
    </row>
    <row r="257" spans="1:52">
      <c r="A257">
        <f t="shared" si="15"/>
        <v>256</v>
      </c>
      <c r="B257" s="3">
        <v>46036.627592592602</v>
      </c>
      <c r="C257" s="3">
        <v>46036.628518518497</v>
      </c>
      <c r="D257" t="s">
        <v>53</v>
      </c>
      <c r="G257" t="s">
        <v>54</v>
      </c>
      <c r="H257" t="s">
        <v>63</v>
      </c>
      <c r="I257" t="s">
        <v>56</v>
      </c>
      <c r="J257" t="s">
        <v>64</v>
      </c>
      <c r="K257" t="s">
        <v>60</v>
      </c>
      <c r="L257" t="s">
        <v>61</v>
      </c>
      <c r="M257" t="s">
        <v>58</v>
      </c>
      <c r="N257">
        <v>4</v>
      </c>
      <c r="O257">
        <v>4</v>
      </c>
      <c r="P257">
        <v>4</v>
      </c>
      <c r="Q257">
        <v>4</v>
      </c>
      <c r="R257">
        <v>4</v>
      </c>
      <c r="S257">
        <v>4</v>
      </c>
      <c r="T257">
        <v>4</v>
      </c>
      <c r="U257">
        <v>4</v>
      </c>
      <c r="V257">
        <v>4</v>
      </c>
      <c r="W257">
        <v>4</v>
      </c>
      <c r="X257">
        <v>4</v>
      </c>
      <c r="Y257">
        <v>4</v>
      </c>
      <c r="Z257">
        <v>4</v>
      </c>
      <c r="AA257">
        <v>4</v>
      </c>
      <c r="AB257">
        <v>4</v>
      </c>
      <c r="AC257">
        <v>4</v>
      </c>
      <c r="AD257">
        <v>4</v>
      </c>
      <c r="AE257">
        <v>4</v>
      </c>
      <c r="AF257">
        <v>4</v>
      </c>
      <c r="AG257">
        <v>4</v>
      </c>
      <c r="AH257">
        <v>4</v>
      </c>
      <c r="AI257">
        <v>2</v>
      </c>
      <c r="AJ257">
        <v>2</v>
      </c>
      <c r="AK257" t="b">
        <f>Table67[[#This Row],[What is your age?]]&lt;&gt;"18 - 25"</f>
        <v>0</v>
      </c>
      <c r="AL257" t="b">
        <f t="shared" si="12"/>
        <v>1</v>
      </c>
      <c r="AM257" t="b">
        <f t="shared" si="13"/>
        <v>1</v>
      </c>
      <c r="AN257" t="b">
        <f t="shared" si="14"/>
        <v>0</v>
      </c>
      <c r="AO257" t="b">
        <f>OR(Table67[[#This Row],[Ineligible respondents]:[Inconsistent response on opposite question (3)]])</f>
        <v>1</v>
      </c>
      <c r="AP25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57">
        <f>Table67[[#This Row],[Extreme Response]]/21</f>
        <v>0</v>
      </c>
      <c r="AR257">
        <f>_xlfn.PERCENTILE.INC(Table67[Extrem Response Ratio (ERS)],0.9)</f>
        <v>0.61904761904761907</v>
      </c>
      <c r="AS257" t="b">
        <f>Table67[[#This Row],[Extrem Response Ratio (ERS)]]&gt;=Table67[[#This Row],[Threshold of ERS]]</f>
        <v>0</v>
      </c>
      <c r="AT257">
        <f>COUNTIF(Table67[[#This Row],[The mechanism of digital assets is difficult to understand, which discourages me from exploring it (E.g, Tokenization, Blockchain)]:[If I want to try different ways to invest, I will explore digital assets.]], 3)</f>
        <v>0</v>
      </c>
      <c r="AU257">
        <f>Table67[[#This Row],[Midpoint]]/21</f>
        <v>0</v>
      </c>
      <c r="AV257">
        <f>_xlfn.PERCENTILE.INC(Table67[Midpoint ratio],0.9)</f>
        <v>0.5714285714285714</v>
      </c>
      <c r="AW257" t="b">
        <f>Table67[[#This Row],[Midpoint ratio]]&gt;=Table67[[#This Row],[Threshold of Midpoint ratio]]</f>
        <v>0</v>
      </c>
      <c r="AX257" t="b">
        <f>OR(Table67[[#This Row],[Extreme Response Style]],Table67[[#This Row],[Mid-point Response Style]])</f>
        <v>0</v>
      </c>
      <c r="AY257" t="b">
        <f>OR(Table67[[#This Row],[Delete? (Stage 1)]],Table67[[#This Row],[Delete? (Stage 2)]])</f>
        <v>1</v>
      </c>
      <c r="AZ257" t="s">
        <v>81</v>
      </c>
    </row>
    <row r="258" spans="1:52">
      <c r="A258">
        <f t="shared" si="15"/>
        <v>257</v>
      </c>
      <c r="B258" s="3">
        <v>46036.629120370402</v>
      </c>
      <c r="C258" s="3">
        <v>46036.630162037</v>
      </c>
      <c r="D258" t="s">
        <v>53</v>
      </c>
      <c r="G258" t="s">
        <v>54</v>
      </c>
      <c r="H258" t="s">
        <v>55</v>
      </c>
      <c r="I258" t="s">
        <v>56</v>
      </c>
      <c r="J258" t="s">
        <v>57</v>
      </c>
      <c r="K258" t="s">
        <v>57</v>
      </c>
      <c r="L258" t="s">
        <v>61</v>
      </c>
      <c r="M258" t="s">
        <v>58</v>
      </c>
      <c r="N258">
        <v>3</v>
      </c>
      <c r="O258">
        <v>3</v>
      </c>
      <c r="P258">
        <v>3</v>
      </c>
      <c r="Q258">
        <v>3</v>
      </c>
      <c r="R258">
        <v>3</v>
      </c>
      <c r="S258">
        <v>3</v>
      </c>
      <c r="T258">
        <v>3</v>
      </c>
      <c r="U258">
        <v>3</v>
      </c>
      <c r="V258">
        <v>3</v>
      </c>
      <c r="W258">
        <v>3</v>
      </c>
      <c r="X258">
        <v>3</v>
      </c>
      <c r="Y258">
        <v>3</v>
      </c>
      <c r="Z258">
        <v>3</v>
      </c>
      <c r="AA258">
        <v>3</v>
      </c>
      <c r="AB258">
        <v>3</v>
      </c>
      <c r="AC258">
        <v>3</v>
      </c>
      <c r="AD258">
        <v>3</v>
      </c>
      <c r="AE258">
        <v>3</v>
      </c>
      <c r="AF258">
        <v>3</v>
      </c>
      <c r="AG258">
        <v>3</v>
      </c>
      <c r="AH258">
        <v>3</v>
      </c>
      <c r="AI258">
        <v>3</v>
      </c>
      <c r="AJ258">
        <v>3</v>
      </c>
      <c r="AK258" t="b">
        <f>Table67[[#This Row],[What is your age?]]&lt;&gt;"18 - 25"</f>
        <v>0</v>
      </c>
      <c r="AL258" t="b">
        <f t="shared" si="12"/>
        <v>1</v>
      </c>
      <c r="AM258" t="b">
        <f t="shared" si="13"/>
        <v>0</v>
      </c>
      <c r="AN258" t="b">
        <f t="shared" si="14"/>
        <v>0</v>
      </c>
      <c r="AO258" t="b">
        <f>OR(Table67[[#This Row],[Ineligible respondents]:[Inconsistent response on opposite question (3)]])</f>
        <v>1</v>
      </c>
      <c r="AP25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58">
        <f>Table67[[#This Row],[Extreme Response]]/21</f>
        <v>0</v>
      </c>
      <c r="AR258">
        <f>_xlfn.PERCENTILE.INC(Table67[Extrem Response Ratio (ERS)],0.9)</f>
        <v>0.61904761904761907</v>
      </c>
      <c r="AS258" t="b">
        <f>Table67[[#This Row],[Extrem Response Ratio (ERS)]]&gt;=Table67[[#This Row],[Threshold of ERS]]</f>
        <v>0</v>
      </c>
      <c r="AT258">
        <f>COUNTIF(Table67[[#This Row],[The mechanism of digital assets is difficult to understand, which discourages me from exploring it (E.g, Tokenization, Blockchain)]:[If I want to try different ways to invest, I will explore digital assets.]], 3)</f>
        <v>21</v>
      </c>
      <c r="AU258">
        <f>Table67[[#This Row],[Midpoint]]/21</f>
        <v>1</v>
      </c>
      <c r="AV258">
        <f>_xlfn.PERCENTILE.INC(Table67[Midpoint ratio],0.9)</f>
        <v>0.5714285714285714</v>
      </c>
      <c r="AW258" t="b">
        <f>Table67[[#This Row],[Midpoint ratio]]&gt;=Table67[[#This Row],[Threshold of Midpoint ratio]]</f>
        <v>1</v>
      </c>
      <c r="AX258" t="b">
        <f>OR(Table67[[#This Row],[Extreme Response Style]],Table67[[#This Row],[Mid-point Response Style]])</f>
        <v>1</v>
      </c>
      <c r="AY258" t="b">
        <f>OR(Table67[[#This Row],[Delete? (Stage 1)]],Table67[[#This Row],[Delete? (Stage 2)]])</f>
        <v>1</v>
      </c>
      <c r="AZ258" t="s">
        <v>81</v>
      </c>
    </row>
    <row r="259" spans="1:52">
      <c r="A259">
        <f t="shared" si="15"/>
        <v>258</v>
      </c>
      <c r="B259" s="3">
        <v>46036.662546296298</v>
      </c>
      <c r="C259" s="3">
        <v>46036.664652777799</v>
      </c>
      <c r="D259" t="s">
        <v>53</v>
      </c>
      <c r="G259" t="s">
        <v>54</v>
      </c>
      <c r="H259" t="s">
        <v>63</v>
      </c>
      <c r="I259" t="s">
        <v>56</v>
      </c>
      <c r="J259" t="s">
        <v>57</v>
      </c>
      <c r="K259" t="s">
        <v>57</v>
      </c>
      <c r="L259" t="s">
        <v>58</v>
      </c>
      <c r="M259" t="s">
        <v>58</v>
      </c>
      <c r="N259">
        <v>3</v>
      </c>
      <c r="O259">
        <v>4</v>
      </c>
      <c r="P259">
        <v>1</v>
      </c>
      <c r="Q259">
        <v>3</v>
      </c>
      <c r="R259">
        <v>3</v>
      </c>
      <c r="S259">
        <v>2</v>
      </c>
      <c r="T259">
        <v>2</v>
      </c>
      <c r="U259">
        <v>4</v>
      </c>
      <c r="V259">
        <v>4</v>
      </c>
      <c r="W259">
        <v>4</v>
      </c>
      <c r="X259">
        <v>3</v>
      </c>
      <c r="Y259">
        <v>3</v>
      </c>
      <c r="Z259">
        <v>2</v>
      </c>
      <c r="AA259">
        <v>4</v>
      </c>
      <c r="AB259">
        <v>2</v>
      </c>
      <c r="AC259">
        <v>2</v>
      </c>
      <c r="AD259">
        <v>3</v>
      </c>
      <c r="AE259">
        <v>2</v>
      </c>
      <c r="AF259">
        <v>4</v>
      </c>
      <c r="AG259">
        <v>2</v>
      </c>
      <c r="AH259">
        <v>3</v>
      </c>
      <c r="AI259">
        <v>3</v>
      </c>
      <c r="AJ259">
        <v>2</v>
      </c>
      <c r="AK259" t="b">
        <f>Table67[[#This Row],[What is your age?]]&lt;&gt;"18 - 25"</f>
        <v>0</v>
      </c>
      <c r="AL259" t="b">
        <f t="shared" ref="AL259:AL322" si="16">COUNTIF(N259:AH259, N259) = COLUMNS(N259:AH259)</f>
        <v>0</v>
      </c>
      <c r="AM259" t="b">
        <f t="shared" ref="AM259:AM322" si="17">OR(AND(AG259=AH259, AG259&lt;&gt;3), AND(OR(AG259=1, AG259=2), OR(AH259=1, AH259=2)), AND(OR(AG259=4, AG259=5), OR(AH259=4, AH259=5)))</f>
        <v>0</v>
      </c>
      <c r="AN259" t="b">
        <f t="shared" ref="AN259:AN322" si="18">OR(AND(AG259=3, AH259&lt;&gt;3), AND(AH259=3, AG259&lt;&gt;3))</f>
        <v>1</v>
      </c>
      <c r="AO259" t="b">
        <f>OR(Table67[[#This Row],[Ineligible respondents]:[Inconsistent response on opposite question (3)]])</f>
        <v>1</v>
      </c>
      <c r="AP25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259">
        <f>Table67[[#This Row],[Extreme Response]]/21</f>
        <v>4.7619047619047616E-2</v>
      </c>
      <c r="AR259">
        <f>_xlfn.PERCENTILE.INC(Table67[Extrem Response Ratio (ERS)],0.9)</f>
        <v>0.61904761904761907</v>
      </c>
      <c r="AS259" t="b">
        <f>Table67[[#This Row],[Extrem Response Ratio (ERS)]]&gt;=Table67[[#This Row],[Threshold of ERS]]</f>
        <v>0</v>
      </c>
      <c r="AT259">
        <f>COUNTIF(Table67[[#This Row],[The mechanism of digital assets is difficult to understand, which discourages me from exploring it (E.g, Tokenization, Blockchain)]:[If I want to try different ways to invest, I will explore digital assets.]], 3)</f>
        <v>7</v>
      </c>
      <c r="AU259">
        <f>Table67[[#This Row],[Midpoint]]/21</f>
        <v>0.33333333333333331</v>
      </c>
      <c r="AV259">
        <f>_xlfn.PERCENTILE.INC(Table67[Midpoint ratio],0.9)</f>
        <v>0.5714285714285714</v>
      </c>
      <c r="AW259" t="b">
        <f>Table67[[#This Row],[Midpoint ratio]]&gt;=Table67[[#This Row],[Threshold of Midpoint ratio]]</f>
        <v>0</v>
      </c>
      <c r="AX259" t="b">
        <f>OR(Table67[[#This Row],[Extreme Response Style]],Table67[[#This Row],[Mid-point Response Style]])</f>
        <v>0</v>
      </c>
      <c r="AY259" t="b">
        <f>OR(Table67[[#This Row],[Delete? (Stage 1)]],Table67[[#This Row],[Delete? (Stage 2)]])</f>
        <v>1</v>
      </c>
      <c r="AZ259" t="s">
        <v>81</v>
      </c>
    </row>
    <row r="260" spans="1:52">
      <c r="A260">
        <f t="shared" ref="A260:A323" si="19">1+A259</f>
        <v>259</v>
      </c>
      <c r="B260" s="3">
        <v>46036.662662037001</v>
      </c>
      <c r="C260" s="3">
        <v>46036.664756944403</v>
      </c>
      <c r="D260" t="s">
        <v>53</v>
      </c>
      <c r="G260" t="s">
        <v>54</v>
      </c>
      <c r="H260" t="s">
        <v>55</v>
      </c>
      <c r="I260" t="s">
        <v>56</v>
      </c>
      <c r="J260" t="s">
        <v>62</v>
      </c>
      <c r="K260" t="s">
        <v>57</v>
      </c>
      <c r="L260" t="s">
        <v>58</v>
      </c>
      <c r="M260" t="s">
        <v>58</v>
      </c>
      <c r="N260">
        <v>3</v>
      </c>
      <c r="O260">
        <v>3</v>
      </c>
      <c r="P260">
        <v>3</v>
      </c>
      <c r="Q260">
        <v>2</v>
      </c>
      <c r="R260">
        <v>2</v>
      </c>
      <c r="S260">
        <v>3</v>
      </c>
      <c r="T260">
        <v>4</v>
      </c>
      <c r="U260">
        <v>4</v>
      </c>
      <c r="V260">
        <v>2</v>
      </c>
      <c r="W260">
        <v>3</v>
      </c>
      <c r="X260">
        <v>3</v>
      </c>
      <c r="Y260">
        <v>4</v>
      </c>
      <c r="Z260">
        <v>3</v>
      </c>
      <c r="AA260">
        <v>3</v>
      </c>
      <c r="AB260">
        <v>3</v>
      </c>
      <c r="AC260">
        <v>2</v>
      </c>
      <c r="AD260">
        <v>2</v>
      </c>
      <c r="AE260">
        <v>3</v>
      </c>
      <c r="AF260">
        <v>3</v>
      </c>
      <c r="AG260">
        <v>2</v>
      </c>
      <c r="AH260">
        <v>4</v>
      </c>
      <c r="AI260">
        <v>2</v>
      </c>
      <c r="AJ260">
        <v>3</v>
      </c>
      <c r="AK260" t="b">
        <f>Table67[[#This Row],[What is your age?]]&lt;&gt;"18 - 25"</f>
        <v>0</v>
      </c>
      <c r="AL260" t="b">
        <f t="shared" si="16"/>
        <v>0</v>
      </c>
      <c r="AM260" t="b">
        <f t="shared" si="17"/>
        <v>0</v>
      </c>
      <c r="AN260" t="b">
        <f t="shared" si="18"/>
        <v>0</v>
      </c>
      <c r="AO260" t="b">
        <f>OR(Table67[[#This Row],[Ineligible respondents]:[Inconsistent response on opposite question (3)]])</f>
        <v>0</v>
      </c>
      <c r="AP26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60">
        <f>Table67[[#This Row],[Extreme Response]]/21</f>
        <v>0</v>
      </c>
      <c r="AR260">
        <f>_xlfn.PERCENTILE.INC(Table67[Extrem Response Ratio (ERS)],0.9)</f>
        <v>0.61904761904761907</v>
      </c>
      <c r="AS260" t="b">
        <f>Table67[[#This Row],[Extrem Response Ratio (ERS)]]&gt;=Table67[[#This Row],[Threshold of ERS]]</f>
        <v>0</v>
      </c>
      <c r="AT260">
        <f>COUNTIF(Table67[[#This Row],[The mechanism of digital assets is difficult to understand, which discourages me from exploring it (E.g, Tokenization, Blockchain)]:[If I want to try different ways to invest, I will explore digital assets.]], 3)</f>
        <v>11</v>
      </c>
      <c r="AU260">
        <f>Table67[[#This Row],[Midpoint]]/21</f>
        <v>0.52380952380952384</v>
      </c>
      <c r="AV260">
        <f>_xlfn.PERCENTILE.INC(Table67[Midpoint ratio],0.9)</f>
        <v>0.5714285714285714</v>
      </c>
      <c r="AW260" t="b">
        <f>Table67[[#This Row],[Midpoint ratio]]&gt;=Table67[[#This Row],[Threshold of Midpoint ratio]]</f>
        <v>0</v>
      </c>
      <c r="AX260" t="b">
        <f>OR(Table67[[#This Row],[Extreme Response Style]],Table67[[#This Row],[Mid-point Response Style]])</f>
        <v>0</v>
      </c>
      <c r="AY260" t="b">
        <f>OR(Table67[[#This Row],[Delete? (Stage 1)]],Table67[[#This Row],[Delete? (Stage 2)]])</f>
        <v>0</v>
      </c>
      <c r="AZ260" t="s">
        <v>81</v>
      </c>
    </row>
    <row r="261" spans="1:52">
      <c r="A261">
        <f t="shared" si="19"/>
        <v>260</v>
      </c>
      <c r="B261" s="3">
        <v>46036.662719907399</v>
      </c>
      <c r="C261" s="3">
        <v>46036.666122685201</v>
      </c>
      <c r="D261" t="s">
        <v>53</v>
      </c>
      <c r="G261" t="s">
        <v>54</v>
      </c>
      <c r="H261" t="s">
        <v>55</v>
      </c>
      <c r="I261" t="s">
        <v>56</v>
      </c>
      <c r="J261" t="s">
        <v>57</v>
      </c>
      <c r="K261" t="s">
        <v>62</v>
      </c>
      <c r="L261" t="s">
        <v>61</v>
      </c>
      <c r="M261" t="s">
        <v>61</v>
      </c>
      <c r="N261">
        <v>1</v>
      </c>
      <c r="O261">
        <v>2</v>
      </c>
      <c r="P261">
        <v>2</v>
      </c>
      <c r="Q261">
        <v>2</v>
      </c>
      <c r="R261">
        <v>2</v>
      </c>
      <c r="S261">
        <v>1</v>
      </c>
      <c r="T261">
        <v>2</v>
      </c>
      <c r="U261">
        <v>2</v>
      </c>
      <c r="V261">
        <v>3</v>
      </c>
      <c r="W261">
        <v>3</v>
      </c>
      <c r="X261">
        <v>3</v>
      </c>
      <c r="Y261">
        <v>4</v>
      </c>
      <c r="Z261">
        <v>2</v>
      </c>
      <c r="AA261">
        <v>2</v>
      </c>
      <c r="AB261">
        <v>2</v>
      </c>
      <c r="AC261">
        <v>2</v>
      </c>
      <c r="AD261">
        <v>1</v>
      </c>
      <c r="AE261">
        <v>1</v>
      </c>
      <c r="AF261">
        <v>4</v>
      </c>
      <c r="AG261">
        <v>2</v>
      </c>
      <c r="AH261">
        <v>4</v>
      </c>
      <c r="AI261">
        <v>2</v>
      </c>
      <c r="AJ261">
        <v>2</v>
      </c>
      <c r="AK261" t="b">
        <f>Table67[[#This Row],[What is your age?]]&lt;&gt;"18 - 25"</f>
        <v>0</v>
      </c>
      <c r="AL261" t="b">
        <f t="shared" si="16"/>
        <v>0</v>
      </c>
      <c r="AM261" t="b">
        <f t="shared" si="17"/>
        <v>0</v>
      </c>
      <c r="AN261" t="b">
        <f t="shared" si="18"/>
        <v>0</v>
      </c>
      <c r="AO261" t="b">
        <f>OR(Table67[[#This Row],[Ineligible respondents]:[Inconsistent response on opposite question (3)]])</f>
        <v>0</v>
      </c>
      <c r="AP26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261">
        <f>Table67[[#This Row],[Extreme Response]]/21</f>
        <v>0.19047619047619047</v>
      </c>
      <c r="AR261">
        <f>_xlfn.PERCENTILE.INC(Table67[Extrem Response Ratio (ERS)],0.9)</f>
        <v>0.61904761904761907</v>
      </c>
      <c r="AS261" t="b">
        <f>Table67[[#This Row],[Extrem Response Ratio (ERS)]]&gt;=Table67[[#This Row],[Threshold of ERS]]</f>
        <v>0</v>
      </c>
      <c r="AT261">
        <f>COUNTIF(Table67[[#This Row],[The mechanism of digital assets is difficult to understand, which discourages me from exploring it (E.g, Tokenization, Blockchain)]:[If I want to try different ways to invest, I will explore digital assets.]], 3)</f>
        <v>3</v>
      </c>
      <c r="AU261">
        <f>Table67[[#This Row],[Midpoint]]/21</f>
        <v>0.14285714285714285</v>
      </c>
      <c r="AV261">
        <f>_xlfn.PERCENTILE.INC(Table67[Midpoint ratio],0.9)</f>
        <v>0.5714285714285714</v>
      </c>
      <c r="AW261" t="b">
        <f>Table67[[#This Row],[Midpoint ratio]]&gt;=Table67[[#This Row],[Threshold of Midpoint ratio]]</f>
        <v>0</v>
      </c>
      <c r="AX261" t="b">
        <f>OR(Table67[[#This Row],[Extreme Response Style]],Table67[[#This Row],[Mid-point Response Style]])</f>
        <v>0</v>
      </c>
      <c r="AY261" t="b">
        <f>OR(Table67[[#This Row],[Delete? (Stage 1)]],Table67[[#This Row],[Delete? (Stage 2)]])</f>
        <v>0</v>
      </c>
      <c r="AZ261" t="s">
        <v>81</v>
      </c>
    </row>
    <row r="262" spans="1:52">
      <c r="A262">
        <f t="shared" si="19"/>
        <v>261</v>
      </c>
      <c r="B262" s="3">
        <v>46036.663379629601</v>
      </c>
      <c r="C262" s="3">
        <v>46036.665740740696</v>
      </c>
      <c r="D262" t="s">
        <v>53</v>
      </c>
      <c r="G262" t="s">
        <v>54</v>
      </c>
      <c r="H262" t="s">
        <v>63</v>
      </c>
      <c r="I262" t="s">
        <v>56</v>
      </c>
      <c r="J262" t="s">
        <v>62</v>
      </c>
      <c r="K262" t="s">
        <v>57</v>
      </c>
      <c r="L262" t="s">
        <v>58</v>
      </c>
      <c r="M262" t="s">
        <v>58</v>
      </c>
      <c r="N262">
        <v>4</v>
      </c>
      <c r="O262">
        <v>4</v>
      </c>
      <c r="P262">
        <v>4</v>
      </c>
      <c r="Q262">
        <v>3</v>
      </c>
      <c r="R262">
        <v>3</v>
      </c>
      <c r="S262">
        <v>3</v>
      </c>
      <c r="T262">
        <v>2</v>
      </c>
      <c r="U262">
        <v>2</v>
      </c>
      <c r="V262">
        <v>4</v>
      </c>
      <c r="W262">
        <v>3</v>
      </c>
      <c r="X262">
        <v>3</v>
      </c>
      <c r="Y262">
        <v>4</v>
      </c>
      <c r="Z262">
        <v>4</v>
      </c>
      <c r="AA262">
        <v>4</v>
      </c>
      <c r="AB262">
        <v>3</v>
      </c>
      <c r="AC262">
        <v>2</v>
      </c>
      <c r="AD262">
        <v>3</v>
      </c>
      <c r="AE262">
        <v>2</v>
      </c>
      <c r="AF262">
        <v>4</v>
      </c>
      <c r="AG262">
        <v>2</v>
      </c>
      <c r="AH262">
        <v>4</v>
      </c>
      <c r="AI262">
        <v>2</v>
      </c>
      <c r="AJ262">
        <v>2</v>
      </c>
      <c r="AK262" t="b">
        <f>Table67[[#This Row],[What is your age?]]&lt;&gt;"18 - 25"</f>
        <v>0</v>
      </c>
      <c r="AL262" t="b">
        <f t="shared" si="16"/>
        <v>0</v>
      </c>
      <c r="AM262" t="b">
        <f t="shared" si="17"/>
        <v>0</v>
      </c>
      <c r="AN262" t="b">
        <f t="shared" si="18"/>
        <v>0</v>
      </c>
      <c r="AO262" t="b">
        <f>OR(Table67[[#This Row],[Ineligible respondents]:[Inconsistent response on opposite question (3)]])</f>
        <v>0</v>
      </c>
      <c r="AP26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62">
        <f>Table67[[#This Row],[Extreme Response]]/21</f>
        <v>0</v>
      </c>
      <c r="AR262">
        <f>_xlfn.PERCENTILE.INC(Table67[Extrem Response Ratio (ERS)],0.9)</f>
        <v>0.61904761904761907</v>
      </c>
      <c r="AS262" t="b">
        <f>Table67[[#This Row],[Extrem Response Ratio (ERS)]]&gt;=Table67[[#This Row],[Threshold of ERS]]</f>
        <v>0</v>
      </c>
      <c r="AT262">
        <f>COUNTIF(Table67[[#This Row],[The mechanism of digital assets is difficult to understand, which discourages me from exploring it (E.g, Tokenization, Blockchain)]:[If I want to try different ways to invest, I will explore digital assets.]], 3)</f>
        <v>7</v>
      </c>
      <c r="AU262">
        <f>Table67[[#This Row],[Midpoint]]/21</f>
        <v>0.33333333333333331</v>
      </c>
      <c r="AV262">
        <f>_xlfn.PERCENTILE.INC(Table67[Midpoint ratio],0.9)</f>
        <v>0.5714285714285714</v>
      </c>
      <c r="AW262" t="b">
        <f>Table67[[#This Row],[Midpoint ratio]]&gt;=Table67[[#This Row],[Threshold of Midpoint ratio]]</f>
        <v>0</v>
      </c>
      <c r="AX262" t="b">
        <f>OR(Table67[[#This Row],[Extreme Response Style]],Table67[[#This Row],[Mid-point Response Style]])</f>
        <v>0</v>
      </c>
      <c r="AY262" t="b">
        <f>OR(Table67[[#This Row],[Delete? (Stage 1)]],Table67[[#This Row],[Delete? (Stage 2)]])</f>
        <v>0</v>
      </c>
      <c r="AZ262" t="s">
        <v>81</v>
      </c>
    </row>
    <row r="263" spans="1:52">
      <c r="A263">
        <f t="shared" si="19"/>
        <v>262</v>
      </c>
      <c r="B263" s="3">
        <v>46036.6639699074</v>
      </c>
      <c r="C263" s="3">
        <v>46036.665740740696</v>
      </c>
      <c r="D263" t="s">
        <v>53</v>
      </c>
      <c r="G263" t="s">
        <v>54</v>
      </c>
      <c r="H263" t="s">
        <v>55</v>
      </c>
      <c r="I263" t="s">
        <v>56</v>
      </c>
      <c r="J263" t="s">
        <v>57</v>
      </c>
      <c r="K263" t="s">
        <v>57</v>
      </c>
      <c r="L263" t="s">
        <v>58</v>
      </c>
      <c r="M263" t="s">
        <v>58</v>
      </c>
      <c r="N263">
        <v>3</v>
      </c>
      <c r="O263">
        <v>3</v>
      </c>
      <c r="P263">
        <v>4</v>
      </c>
      <c r="Q263">
        <v>4</v>
      </c>
      <c r="R263">
        <v>2</v>
      </c>
      <c r="S263">
        <v>4</v>
      </c>
      <c r="T263">
        <v>3</v>
      </c>
      <c r="U263">
        <v>3</v>
      </c>
      <c r="V263">
        <v>4</v>
      </c>
      <c r="W263">
        <v>3</v>
      </c>
      <c r="X263">
        <v>2</v>
      </c>
      <c r="Y263">
        <v>4</v>
      </c>
      <c r="Z263">
        <v>4</v>
      </c>
      <c r="AA263">
        <v>4</v>
      </c>
      <c r="AB263">
        <v>2</v>
      </c>
      <c r="AC263">
        <v>3</v>
      </c>
      <c r="AD263">
        <v>4</v>
      </c>
      <c r="AE263">
        <v>3</v>
      </c>
      <c r="AF263">
        <v>2</v>
      </c>
      <c r="AG263">
        <v>4</v>
      </c>
      <c r="AH263">
        <v>3</v>
      </c>
      <c r="AI263">
        <v>3</v>
      </c>
      <c r="AJ263">
        <v>4</v>
      </c>
      <c r="AK263" t="b">
        <f>Table67[[#This Row],[What is your age?]]&lt;&gt;"18 - 25"</f>
        <v>0</v>
      </c>
      <c r="AL263" t="b">
        <f t="shared" si="16"/>
        <v>0</v>
      </c>
      <c r="AM263" t="b">
        <f t="shared" si="17"/>
        <v>0</v>
      </c>
      <c r="AN263" t="b">
        <f t="shared" si="18"/>
        <v>1</v>
      </c>
      <c r="AO263" t="b">
        <f>OR(Table67[[#This Row],[Ineligible respondents]:[Inconsistent response on opposite question (3)]])</f>
        <v>1</v>
      </c>
      <c r="AP26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63">
        <f>Table67[[#This Row],[Extreme Response]]/21</f>
        <v>0</v>
      </c>
      <c r="AR263">
        <f>_xlfn.PERCENTILE.INC(Table67[Extrem Response Ratio (ERS)],0.9)</f>
        <v>0.61904761904761907</v>
      </c>
      <c r="AS263" t="b">
        <f>Table67[[#This Row],[Extrem Response Ratio (ERS)]]&gt;=Table67[[#This Row],[Threshold of ERS]]</f>
        <v>0</v>
      </c>
      <c r="AT263">
        <f>COUNTIF(Table67[[#This Row],[The mechanism of digital assets is difficult to understand, which discourages me from exploring it (E.g, Tokenization, Blockchain)]:[If I want to try different ways to invest, I will explore digital assets.]], 3)</f>
        <v>8</v>
      </c>
      <c r="AU263">
        <f>Table67[[#This Row],[Midpoint]]/21</f>
        <v>0.38095238095238093</v>
      </c>
      <c r="AV263">
        <f>_xlfn.PERCENTILE.INC(Table67[Midpoint ratio],0.9)</f>
        <v>0.5714285714285714</v>
      </c>
      <c r="AW263" t="b">
        <f>Table67[[#This Row],[Midpoint ratio]]&gt;=Table67[[#This Row],[Threshold of Midpoint ratio]]</f>
        <v>0</v>
      </c>
      <c r="AX263" t="b">
        <f>OR(Table67[[#This Row],[Extreme Response Style]],Table67[[#This Row],[Mid-point Response Style]])</f>
        <v>0</v>
      </c>
      <c r="AY263" t="b">
        <f>OR(Table67[[#This Row],[Delete? (Stage 1)]],Table67[[#This Row],[Delete? (Stage 2)]])</f>
        <v>1</v>
      </c>
      <c r="AZ263" t="s">
        <v>81</v>
      </c>
    </row>
    <row r="264" spans="1:52">
      <c r="A264">
        <f t="shared" si="19"/>
        <v>263</v>
      </c>
      <c r="B264" s="3">
        <v>46036.664398148103</v>
      </c>
      <c r="C264" s="3">
        <v>46036.6651388889</v>
      </c>
      <c r="D264" t="s">
        <v>53</v>
      </c>
      <c r="G264" t="s">
        <v>54</v>
      </c>
      <c r="H264" t="s">
        <v>63</v>
      </c>
      <c r="I264" t="s">
        <v>56</v>
      </c>
      <c r="J264" t="s">
        <v>57</v>
      </c>
      <c r="K264" t="s">
        <v>57</v>
      </c>
      <c r="L264" t="s">
        <v>61</v>
      </c>
      <c r="M264" t="s">
        <v>61</v>
      </c>
      <c r="N264">
        <v>5</v>
      </c>
      <c r="O264">
        <v>5</v>
      </c>
      <c r="P264">
        <v>5</v>
      </c>
      <c r="Q264">
        <v>5</v>
      </c>
      <c r="R264">
        <v>5</v>
      </c>
      <c r="S264">
        <v>5</v>
      </c>
      <c r="T264">
        <v>5</v>
      </c>
      <c r="U264">
        <v>5</v>
      </c>
      <c r="V264">
        <v>5</v>
      </c>
      <c r="W264">
        <v>5</v>
      </c>
      <c r="X264">
        <v>5</v>
      </c>
      <c r="Y264">
        <v>5</v>
      </c>
      <c r="Z264">
        <v>5</v>
      </c>
      <c r="AA264">
        <v>5</v>
      </c>
      <c r="AB264">
        <v>5</v>
      </c>
      <c r="AC264">
        <v>5</v>
      </c>
      <c r="AD264">
        <v>5</v>
      </c>
      <c r="AE264">
        <v>5</v>
      </c>
      <c r="AF264">
        <v>5</v>
      </c>
      <c r="AG264">
        <v>5</v>
      </c>
      <c r="AH264">
        <v>5</v>
      </c>
      <c r="AI264">
        <v>1</v>
      </c>
      <c r="AJ264">
        <v>1</v>
      </c>
      <c r="AK264" t="b">
        <f>Table67[[#This Row],[What is your age?]]&lt;&gt;"18 - 25"</f>
        <v>0</v>
      </c>
      <c r="AL264" t="b">
        <f t="shared" si="16"/>
        <v>1</v>
      </c>
      <c r="AM264" t="b">
        <f t="shared" si="17"/>
        <v>1</v>
      </c>
      <c r="AN264" t="b">
        <f t="shared" si="18"/>
        <v>0</v>
      </c>
      <c r="AO264" t="b">
        <f>OR(Table67[[#This Row],[Ineligible respondents]:[Inconsistent response on opposite question (3)]])</f>
        <v>1</v>
      </c>
      <c r="AP26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21</v>
      </c>
      <c r="AQ264">
        <f>Table67[[#This Row],[Extreme Response]]/21</f>
        <v>1</v>
      </c>
      <c r="AR264">
        <f>_xlfn.PERCENTILE.INC(Table67[Extrem Response Ratio (ERS)],0.9)</f>
        <v>0.61904761904761907</v>
      </c>
      <c r="AS264" t="b">
        <f>Table67[[#This Row],[Extrem Response Ratio (ERS)]]&gt;=Table67[[#This Row],[Threshold of ERS]]</f>
        <v>1</v>
      </c>
      <c r="AT264">
        <f>COUNTIF(Table67[[#This Row],[The mechanism of digital assets is difficult to understand, which discourages me from exploring it (E.g, Tokenization, Blockchain)]:[If I want to try different ways to invest, I will explore digital assets.]], 3)</f>
        <v>0</v>
      </c>
      <c r="AU264">
        <f>Table67[[#This Row],[Midpoint]]/21</f>
        <v>0</v>
      </c>
      <c r="AV264">
        <f>_xlfn.PERCENTILE.INC(Table67[Midpoint ratio],0.9)</f>
        <v>0.5714285714285714</v>
      </c>
      <c r="AW264" t="b">
        <f>Table67[[#This Row],[Midpoint ratio]]&gt;=Table67[[#This Row],[Threshold of Midpoint ratio]]</f>
        <v>0</v>
      </c>
      <c r="AX264" t="b">
        <f>OR(Table67[[#This Row],[Extreme Response Style]],Table67[[#This Row],[Mid-point Response Style]])</f>
        <v>1</v>
      </c>
      <c r="AY264" t="b">
        <f>OR(Table67[[#This Row],[Delete? (Stage 1)]],Table67[[#This Row],[Delete? (Stage 2)]])</f>
        <v>1</v>
      </c>
      <c r="AZ264" t="s">
        <v>81</v>
      </c>
    </row>
    <row r="265" spans="1:52">
      <c r="A265">
        <f t="shared" si="19"/>
        <v>264</v>
      </c>
      <c r="B265" s="3">
        <v>46036.666145833296</v>
      </c>
      <c r="C265" s="3">
        <v>46036.670891203699</v>
      </c>
      <c r="D265" t="s">
        <v>53</v>
      </c>
      <c r="G265" t="s">
        <v>54</v>
      </c>
      <c r="H265" t="s">
        <v>63</v>
      </c>
      <c r="I265" t="s">
        <v>56</v>
      </c>
      <c r="J265" t="s">
        <v>62</v>
      </c>
      <c r="K265" t="s">
        <v>57</v>
      </c>
      <c r="L265" t="s">
        <v>58</v>
      </c>
      <c r="M265" t="s">
        <v>58</v>
      </c>
      <c r="N265">
        <v>3</v>
      </c>
      <c r="O265">
        <v>3</v>
      </c>
      <c r="P265">
        <v>4</v>
      </c>
      <c r="Q265">
        <v>3</v>
      </c>
      <c r="R265">
        <v>4</v>
      </c>
      <c r="S265">
        <v>4</v>
      </c>
      <c r="T265">
        <v>3</v>
      </c>
      <c r="U265">
        <v>4</v>
      </c>
      <c r="V265">
        <v>4</v>
      </c>
      <c r="W265">
        <v>4</v>
      </c>
      <c r="X265">
        <v>2</v>
      </c>
      <c r="Y265">
        <v>3</v>
      </c>
      <c r="Z265">
        <v>3</v>
      </c>
      <c r="AA265">
        <v>3</v>
      </c>
      <c r="AB265">
        <v>2</v>
      </c>
      <c r="AC265">
        <v>3</v>
      </c>
      <c r="AD265">
        <v>3</v>
      </c>
      <c r="AE265">
        <v>2</v>
      </c>
      <c r="AF265">
        <v>2</v>
      </c>
      <c r="AG265">
        <v>3</v>
      </c>
      <c r="AH265">
        <v>3</v>
      </c>
      <c r="AI265">
        <v>3</v>
      </c>
      <c r="AJ265">
        <v>4</v>
      </c>
      <c r="AK265" t="b">
        <f>Table67[[#This Row],[What is your age?]]&lt;&gt;"18 - 25"</f>
        <v>0</v>
      </c>
      <c r="AL265" t="b">
        <f t="shared" si="16"/>
        <v>0</v>
      </c>
      <c r="AM265" t="b">
        <f t="shared" si="17"/>
        <v>0</v>
      </c>
      <c r="AN265" t="b">
        <f t="shared" si="18"/>
        <v>0</v>
      </c>
      <c r="AO265" t="b">
        <f>OR(Table67[[#This Row],[Ineligible respondents]:[Inconsistent response on opposite question (3)]])</f>
        <v>0</v>
      </c>
      <c r="AP26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65">
        <f>Table67[[#This Row],[Extreme Response]]/21</f>
        <v>0</v>
      </c>
      <c r="AR265">
        <f>_xlfn.PERCENTILE.INC(Table67[Extrem Response Ratio (ERS)],0.9)</f>
        <v>0.61904761904761907</v>
      </c>
      <c r="AS265" t="b">
        <f>Table67[[#This Row],[Extrem Response Ratio (ERS)]]&gt;=Table67[[#This Row],[Threshold of ERS]]</f>
        <v>0</v>
      </c>
      <c r="AT265">
        <f>COUNTIF(Table67[[#This Row],[The mechanism of digital assets is difficult to understand, which discourages me from exploring it (E.g, Tokenization, Blockchain)]:[If I want to try different ways to invest, I will explore digital assets.]], 3)</f>
        <v>11</v>
      </c>
      <c r="AU265">
        <f>Table67[[#This Row],[Midpoint]]/21</f>
        <v>0.52380952380952384</v>
      </c>
      <c r="AV265">
        <f>_xlfn.PERCENTILE.INC(Table67[Midpoint ratio],0.9)</f>
        <v>0.5714285714285714</v>
      </c>
      <c r="AW265" t="b">
        <f>Table67[[#This Row],[Midpoint ratio]]&gt;=Table67[[#This Row],[Threshold of Midpoint ratio]]</f>
        <v>0</v>
      </c>
      <c r="AX265" t="b">
        <f>OR(Table67[[#This Row],[Extreme Response Style]],Table67[[#This Row],[Mid-point Response Style]])</f>
        <v>0</v>
      </c>
      <c r="AY265" t="b">
        <f>OR(Table67[[#This Row],[Delete? (Stage 1)]],Table67[[#This Row],[Delete? (Stage 2)]])</f>
        <v>0</v>
      </c>
      <c r="AZ265" t="s">
        <v>81</v>
      </c>
    </row>
    <row r="266" spans="1:52">
      <c r="A266">
        <f t="shared" si="19"/>
        <v>265</v>
      </c>
      <c r="B266" s="3">
        <v>46036.757210648102</v>
      </c>
      <c r="C266" s="3">
        <v>46036.761597222197</v>
      </c>
      <c r="D266" t="s">
        <v>53</v>
      </c>
      <c r="G266" t="s">
        <v>79</v>
      </c>
      <c r="H266" t="s">
        <v>55</v>
      </c>
      <c r="I266" t="s">
        <v>83</v>
      </c>
      <c r="J266" t="s">
        <v>60</v>
      </c>
      <c r="K266" t="s">
        <v>57</v>
      </c>
      <c r="L266" t="s">
        <v>61</v>
      </c>
      <c r="M266" t="s">
        <v>61</v>
      </c>
      <c r="N266">
        <v>1</v>
      </c>
      <c r="O266">
        <v>1</v>
      </c>
      <c r="P266">
        <v>5</v>
      </c>
      <c r="Q266">
        <v>4</v>
      </c>
      <c r="R266">
        <v>5</v>
      </c>
      <c r="S266">
        <v>2</v>
      </c>
      <c r="T266">
        <v>2</v>
      </c>
      <c r="U266">
        <v>2</v>
      </c>
      <c r="V266">
        <v>1</v>
      </c>
      <c r="W266">
        <v>1</v>
      </c>
      <c r="X266">
        <v>1</v>
      </c>
      <c r="Y266">
        <v>1</v>
      </c>
      <c r="Z266">
        <v>1</v>
      </c>
      <c r="AA266">
        <v>1</v>
      </c>
      <c r="AB266">
        <v>1</v>
      </c>
      <c r="AC266">
        <v>1</v>
      </c>
      <c r="AD266">
        <v>1</v>
      </c>
      <c r="AE266">
        <v>1</v>
      </c>
      <c r="AF266">
        <v>1</v>
      </c>
      <c r="AG266">
        <v>1</v>
      </c>
      <c r="AH266">
        <v>1</v>
      </c>
      <c r="AI266">
        <v>5</v>
      </c>
      <c r="AJ266">
        <v>5</v>
      </c>
      <c r="AK266" t="b">
        <f>Table67[[#This Row],[What is your age?]]&lt;&gt;"18 - 25"</f>
        <v>1</v>
      </c>
      <c r="AL266" t="b">
        <f t="shared" si="16"/>
        <v>0</v>
      </c>
      <c r="AM266" t="b">
        <f t="shared" si="17"/>
        <v>1</v>
      </c>
      <c r="AN266" t="b">
        <f t="shared" si="18"/>
        <v>0</v>
      </c>
      <c r="AO266" t="b">
        <f>OR(Table67[[#This Row],[Ineligible respondents]:[Inconsistent response on opposite question (3)]])</f>
        <v>1</v>
      </c>
      <c r="AP26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17</v>
      </c>
      <c r="AQ266">
        <f>Table67[[#This Row],[Extreme Response]]/21</f>
        <v>0.80952380952380953</v>
      </c>
      <c r="AR266">
        <f>_xlfn.PERCENTILE.INC(Table67[Extrem Response Ratio (ERS)],0.9)</f>
        <v>0.61904761904761907</v>
      </c>
      <c r="AS266" t="b">
        <f>Table67[[#This Row],[Extrem Response Ratio (ERS)]]&gt;=Table67[[#This Row],[Threshold of ERS]]</f>
        <v>1</v>
      </c>
      <c r="AT266">
        <f>COUNTIF(Table67[[#This Row],[The mechanism of digital assets is difficult to understand, which discourages me from exploring it (E.g, Tokenization, Blockchain)]:[If I want to try different ways to invest, I will explore digital assets.]], 3)</f>
        <v>0</v>
      </c>
      <c r="AU266">
        <f>Table67[[#This Row],[Midpoint]]/21</f>
        <v>0</v>
      </c>
      <c r="AV266">
        <f>_xlfn.PERCENTILE.INC(Table67[Midpoint ratio],0.9)</f>
        <v>0.5714285714285714</v>
      </c>
      <c r="AW266" t="b">
        <f>Table67[[#This Row],[Midpoint ratio]]&gt;=Table67[[#This Row],[Threshold of Midpoint ratio]]</f>
        <v>0</v>
      </c>
      <c r="AX266" t="b">
        <f>OR(Table67[[#This Row],[Extreme Response Style]],Table67[[#This Row],[Mid-point Response Style]])</f>
        <v>1</v>
      </c>
      <c r="AY266" t="b">
        <f>OR(Table67[[#This Row],[Delete? (Stage 1)]],Table67[[#This Row],[Delete? (Stage 2)]])</f>
        <v>1</v>
      </c>
      <c r="AZ266" t="s">
        <v>81</v>
      </c>
    </row>
    <row r="267" spans="1:52">
      <c r="A267">
        <f t="shared" si="19"/>
        <v>266</v>
      </c>
      <c r="B267" s="3">
        <v>46036.799722222197</v>
      </c>
      <c r="C267" s="3">
        <v>46036.801597222198</v>
      </c>
      <c r="D267" t="s">
        <v>53</v>
      </c>
      <c r="G267" t="s">
        <v>73</v>
      </c>
      <c r="H267" t="s">
        <v>55</v>
      </c>
      <c r="I267" t="s">
        <v>56</v>
      </c>
      <c r="J267" t="s">
        <v>72</v>
      </c>
      <c r="K267" t="s">
        <v>72</v>
      </c>
      <c r="L267" t="s">
        <v>58</v>
      </c>
      <c r="M267" t="s">
        <v>61</v>
      </c>
      <c r="N267">
        <v>3</v>
      </c>
      <c r="O267">
        <v>2</v>
      </c>
      <c r="P267">
        <v>3</v>
      </c>
      <c r="Q267">
        <v>3</v>
      </c>
      <c r="R267">
        <v>3</v>
      </c>
      <c r="S267">
        <v>2</v>
      </c>
      <c r="T267">
        <v>2</v>
      </c>
      <c r="U267">
        <v>3</v>
      </c>
      <c r="V267">
        <v>4</v>
      </c>
      <c r="W267">
        <v>4</v>
      </c>
      <c r="X267">
        <v>3</v>
      </c>
      <c r="Y267">
        <v>4</v>
      </c>
      <c r="Z267">
        <v>4</v>
      </c>
      <c r="AA267">
        <v>4</v>
      </c>
      <c r="AB267">
        <v>3</v>
      </c>
      <c r="AC267">
        <v>3</v>
      </c>
      <c r="AD267">
        <v>3</v>
      </c>
      <c r="AE267">
        <v>2</v>
      </c>
      <c r="AF267">
        <v>3</v>
      </c>
      <c r="AG267">
        <v>3</v>
      </c>
      <c r="AH267">
        <v>3</v>
      </c>
      <c r="AI267">
        <v>3</v>
      </c>
      <c r="AJ267">
        <v>3</v>
      </c>
      <c r="AK267" t="b">
        <f>Table67[[#This Row],[What is your age?]]&lt;&gt;"18 - 25"</f>
        <v>1</v>
      </c>
      <c r="AL267" t="b">
        <f t="shared" si="16"/>
        <v>0</v>
      </c>
      <c r="AM267" t="b">
        <f t="shared" si="17"/>
        <v>0</v>
      </c>
      <c r="AN267" t="b">
        <f t="shared" si="18"/>
        <v>0</v>
      </c>
      <c r="AO267" t="b">
        <f>OR(Table67[[#This Row],[Ineligible respondents]:[Inconsistent response on opposite question (3)]])</f>
        <v>1</v>
      </c>
      <c r="AP26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67">
        <f>Table67[[#This Row],[Extreme Response]]/21</f>
        <v>0</v>
      </c>
      <c r="AR267">
        <f>_xlfn.PERCENTILE.INC(Table67[Extrem Response Ratio (ERS)],0.9)</f>
        <v>0.61904761904761907</v>
      </c>
      <c r="AS267" t="b">
        <f>Table67[[#This Row],[Extrem Response Ratio (ERS)]]&gt;=Table67[[#This Row],[Threshold of ERS]]</f>
        <v>0</v>
      </c>
      <c r="AT267">
        <f>COUNTIF(Table67[[#This Row],[The mechanism of digital assets is difficult to understand, which discourages me from exploring it (E.g, Tokenization, Blockchain)]:[If I want to try different ways to invest, I will explore digital assets.]], 3)</f>
        <v>12</v>
      </c>
      <c r="AU267">
        <f>Table67[[#This Row],[Midpoint]]/21</f>
        <v>0.5714285714285714</v>
      </c>
      <c r="AV267">
        <f>_xlfn.PERCENTILE.INC(Table67[Midpoint ratio],0.9)</f>
        <v>0.5714285714285714</v>
      </c>
      <c r="AW267" t="b">
        <f>Table67[[#This Row],[Midpoint ratio]]&gt;=Table67[[#This Row],[Threshold of Midpoint ratio]]</f>
        <v>1</v>
      </c>
      <c r="AX267" t="b">
        <f>OR(Table67[[#This Row],[Extreme Response Style]],Table67[[#This Row],[Mid-point Response Style]])</f>
        <v>1</v>
      </c>
      <c r="AY267" t="b">
        <f>OR(Table67[[#This Row],[Delete? (Stage 1)]],Table67[[#This Row],[Delete? (Stage 2)]])</f>
        <v>1</v>
      </c>
      <c r="AZ267" t="s">
        <v>81</v>
      </c>
    </row>
    <row r="268" spans="1:52">
      <c r="A268">
        <f t="shared" si="19"/>
        <v>267</v>
      </c>
      <c r="B268" s="3">
        <v>46036.8450115741</v>
      </c>
      <c r="C268" s="3">
        <v>46036.850115740701</v>
      </c>
      <c r="D268" t="s">
        <v>53</v>
      </c>
      <c r="G268" t="s">
        <v>54</v>
      </c>
      <c r="H268" t="s">
        <v>55</v>
      </c>
      <c r="I268" t="s">
        <v>56</v>
      </c>
      <c r="J268" t="s">
        <v>65</v>
      </c>
      <c r="K268" t="s">
        <v>68</v>
      </c>
      <c r="L268" t="s">
        <v>61</v>
      </c>
      <c r="M268" t="s">
        <v>61</v>
      </c>
      <c r="N268">
        <v>3</v>
      </c>
      <c r="O268">
        <v>3</v>
      </c>
      <c r="P268">
        <v>4</v>
      </c>
      <c r="Q268">
        <v>4</v>
      </c>
      <c r="R268">
        <v>5</v>
      </c>
      <c r="S268">
        <v>4</v>
      </c>
      <c r="T268">
        <v>2</v>
      </c>
      <c r="U268">
        <v>4</v>
      </c>
      <c r="V268">
        <v>4</v>
      </c>
      <c r="W268">
        <v>4</v>
      </c>
      <c r="X268">
        <v>4</v>
      </c>
      <c r="Y268">
        <v>4</v>
      </c>
      <c r="Z268">
        <v>4</v>
      </c>
      <c r="AA268">
        <v>4</v>
      </c>
      <c r="AB268">
        <v>4</v>
      </c>
      <c r="AC268">
        <v>4</v>
      </c>
      <c r="AD268">
        <v>1</v>
      </c>
      <c r="AE268">
        <v>2</v>
      </c>
      <c r="AF268">
        <v>4</v>
      </c>
      <c r="AG268">
        <v>4</v>
      </c>
      <c r="AH268">
        <v>4</v>
      </c>
      <c r="AI268">
        <v>2</v>
      </c>
      <c r="AJ268">
        <v>2</v>
      </c>
      <c r="AK268" t="b">
        <f>Table67[[#This Row],[What is your age?]]&lt;&gt;"18 - 25"</f>
        <v>0</v>
      </c>
      <c r="AL268" t="b">
        <f t="shared" si="16"/>
        <v>0</v>
      </c>
      <c r="AM268" t="b">
        <f t="shared" si="17"/>
        <v>1</v>
      </c>
      <c r="AN268" t="b">
        <f t="shared" si="18"/>
        <v>0</v>
      </c>
      <c r="AO268" t="b">
        <f>OR(Table67[[#This Row],[Ineligible respondents]:[Inconsistent response on opposite question (3)]])</f>
        <v>1</v>
      </c>
      <c r="AP26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268">
        <f>Table67[[#This Row],[Extreme Response]]/21</f>
        <v>9.5238095238095233E-2</v>
      </c>
      <c r="AR268">
        <f>_xlfn.PERCENTILE.INC(Table67[Extrem Response Ratio (ERS)],0.9)</f>
        <v>0.61904761904761907</v>
      </c>
      <c r="AS268" t="b">
        <f>Table67[[#This Row],[Extrem Response Ratio (ERS)]]&gt;=Table67[[#This Row],[Threshold of ERS]]</f>
        <v>0</v>
      </c>
      <c r="AT268">
        <f>COUNTIF(Table67[[#This Row],[The mechanism of digital assets is difficult to understand, which discourages me from exploring it (E.g, Tokenization, Blockchain)]:[If I want to try different ways to invest, I will explore digital assets.]], 3)</f>
        <v>2</v>
      </c>
      <c r="AU268">
        <f>Table67[[#This Row],[Midpoint]]/21</f>
        <v>9.5238095238095233E-2</v>
      </c>
      <c r="AV268">
        <f>_xlfn.PERCENTILE.INC(Table67[Midpoint ratio],0.9)</f>
        <v>0.5714285714285714</v>
      </c>
      <c r="AW268" t="b">
        <f>Table67[[#This Row],[Midpoint ratio]]&gt;=Table67[[#This Row],[Threshold of Midpoint ratio]]</f>
        <v>0</v>
      </c>
      <c r="AX268" t="b">
        <f>OR(Table67[[#This Row],[Extreme Response Style]],Table67[[#This Row],[Mid-point Response Style]])</f>
        <v>0</v>
      </c>
      <c r="AY268" t="b">
        <f>OR(Table67[[#This Row],[Delete? (Stage 1)]],Table67[[#This Row],[Delete? (Stage 2)]])</f>
        <v>1</v>
      </c>
      <c r="AZ268" t="s">
        <v>81</v>
      </c>
    </row>
    <row r="269" spans="1:52">
      <c r="A269">
        <f t="shared" si="19"/>
        <v>268</v>
      </c>
      <c r="B269" s="3">
        <v>46037.479780092603</v>
      </c>
      <c r="C269" s="3">
        <v>46037.4859953704</v>
      </c>
      <c r="D269" t="s">
        <v>53</v>
      </c>
      <c r="G269" t="s">
        <v>54</v>
      </c>
      <c r="H269" t="s">
        <v>63</v>
      </c>
      <c r="I269" t="s">
        <v>56</v>
      </c>
      <c r="J269" t="s">
        <v>62</v>
      </c>
      <c r="K269" t="s">
        <v>57</v>
      </c>
      <c r="L269" t="s">
        <v>58</v>
      </c>
      <c r="M269" t="s">
        <v>58</v>
      </c>
      <c r="N269">
        <v>4</v>
      </c>
      <c r="O269">
        <v>2</v>
      </c>
      <c r="P269">
        <v>4</v>
      </c>
      <c r="Q269">
        <v>3</v>
      </c>
      <c r="R269">
        <v>2</v>
      </c>
      <c r="S269">
        <v>3</v>
      </c>
      <c r="T269">
        <v>4</v>
      </c>
      <c r="U269">
        <v>5</v>
      </c>
      <c r="V269">
        <v>5</v>
      </c>
      <c r="W269">
        <v>5</v>
      </c>
      <c r="X269">
        <v>5</v>
      </c>
      <c r="Y269">
        <v>5</v>
      </c>
      <c r="Z269">
        <v>4</v>
      </c>
      <c r="AA269">
        <v>3</v>
      </c>
      <c r="AB269">
        <v>3</v>
      </c>
      <c r="AC269">
        <v>4</v>
      </c>
      <c r="AD269">
        <v>4</v>
      </c>
      <c r="AE269">
        <v>3</v>
      </c>
      <c r="AF269">
        <v>2</v>
      </c>
      <c r="AG269">
        <v>4</v>
      </c>
      <c r="AH269">
        <v>2</v>
      </c>
      <c r="AI269">
        <v>4</v>
      </c>
      <c r="AJ269">
        <v>4</v>
      </c>
      <c r="AK269" t="b">
        <f>Table67[[#This Row],[What is your age?]]&lt;&gt;"18 - 25"</f>
        <v>0</v>
      </c>
      <c r="AL269" t="b">
        <f t="shared" si="16"/>
        <v>0</v>
      </c>
      <c r="AM269" t="b">
        <f t="shared" si="17"/>
        <v>0</v>
      </c>
      <c r="AN269" t="b">
        <f t="shared" si="18"/>
        <v>0</v>
      </c>
      <c r="AO269" t="b">
        <f>OR(Table67[[#This Row],[Ineligible respondents]:[Inconsistent response on opposite question (3)]])</f>
        <v>0</v>
      </c>
      <c r="AP26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269">
        <f>Table67[[#This Row],[Extreme Response]]/21</f>
        <v>0.23809523809523808</v>
      </c>
      <c r="AR269">
        <f>_xlfn.PERCENTILE.INC(Table67[Extrem Response Ratio (ERS)],0.9)</f>
        <v>0.61904761904761907</v>
      </c>
      <c r="AS269" t="b">
        <f>Table67[[#This Row],[Extrem Response Ratio (ERS)]]&gt;=Table67[[#This Row],[Threshold of ERS]]</f>
        <v>0</v>
      </c>
      <c r="AT269">
        <f>COUNTIF(Table67[[#This Row],[The mechanism of digital assets is difficult to understand, which discourages me from exploring it (E.g, Tokenization, Blockchain)]:[If I want to try different ways to invest, I will explore digital assets.]], 3)</f>
        <v>5</v>
      </c>
      <c r="AU269">
        <f>Table67[[#This Row],[Midpoint]]/21</f>
        <v>0.23809523809523808</v>
      </c>
      <c r="AV269">
        <f>_xlfn.PERCENTILE.INC(Table67[Midpoint ratio],0.9)</f>
        <v>0.5714285714285714</v>
      </c>
      <c r="AW269" t="b">
        <f>Table67[[#This Row],[Midpoint ratio]]&gt;=Table67[[#This Row],[Threshold of Midpoint ratio]]</f>
        <v>0</v>
      </c>
      <c r="AX269" t="b">
        <f>OR(Table67[[#This Row],[Extreme Response Style]],Table67[[#This Row],[Mid-point Response Style]])</f>
        <v>0</v>
      </c>
      <c r="AY269" t="b">
        <f>OR(Table67[[#This Row],[Delete? (Stage 1)]],Table67[[#This Row],[Delete? (Stage 2)]])</f>
        <v>0</v>
      </c>
      <c r="AZ269" t="s">
        <v>81</v>
      </c>
    </row>
    <row r="270" spans="1:52">
      <c r="A270">
        <f t="shared" si="19"/>
        <v>269</v>
      </c>
      <c r="B270" s="3">
        <v>46037.574062500003</v>
      </c>
      <c r="C270" s="3">
        <v>46037.576064814799</v>
      </c>
      <c r="D270" t="s">
        <v>53</v>
      </c>
      <c r="G270" t="s">
        <v>54</v>
      </c>
      <c r="H270" t="s">
        <v>63</v>
      </c>
      <c r="I270" t="s">
        <v>56</v>
      </c>
      <c r="J270" t="s">
        <v>60</v>
      </c>
      <c r="K270" t="s">
        <v>57</v>
      </c>
      <c r="L270" t="s">
        <v>61</v>
      </c>
      <c r="M270" t="s">
        <v>61</v>
      </c>
      <c r="N270">
        <v>4</v>
      </c>
      <c r="O270">
        <v>4</v>
      </c>
      <c r="P270">
        <v>4</v>
      </c>
      <c r="Q270">
        <v>3</v>
      </c>
      <c r="R270">
        <v>4</v>
      </c>
      <c r="S270">
        <v>4</v>
      </c>
      <c r="T270">
        <v>3</v>
      </c>
      <c r="U270">
        <v>4</v>
      </c>
      <c r="V270">
        <v>4</v>
      </c>
      <c r="W270">
        <v>4</v>
      </c>
      <c r="X270">
        <v>3</v>
      </c>
      <c r="Y270">
        <v>4</v>
      </c>
      <c r="Z270">
        <v>5</v>
      </c>
      <c r="AA270">
        <v>4</v>
      </c>
      <c r="AB270">
        <v>2</v>
      </c>
      <c r="AC270">
        <v>3</v>
      </c>
      <c r="AD270">
        <v>4</v>
      </c>
      <c r="AE270">
        <v>4</v>
      </c>
      <c r="AF270">
        <v>2</v>
      </c>
      <c r="AG270">
        <v>4</v>
      </c>
      <c r="AH270">
        <v>3</v>
      </c>
      <c r="AI270">
        <v>3</v>
      </c>
      <c r="AJ270">
        <v>4</v>
      </c>
      <c r="AK270" t="b">
        <f>Table67[[#This Row],[What is your age?]]&lt;&gt;"18 - 25"</f>
        <v>0</v>
      </c>
      <c r="AL270" t="b">
        <f t="shared" si="16"/>
        <v>0</v>
      </c>
      <c r="AM270" t="b">
        <f t="shared" si="17"/>
        <v>0</v>
      </c>
      <c r="AN270" t="b">
        <f t="shared" si="18"/>
        <v>1</v>
      </c>
      <c r="AO270" t="b">
        <f>OR(Table67[[#This Row],[Ineligible respondents]:[Inconsistent response on opposite question (3)]])</f>
        <v>1</v>
      </c>
      <c r="AP27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270">
        <f>Table67[[#This Row],[Extreme Response]]/21</f>
        <v>4.7619047619047616E-2</v>
      </c>
      <c r="AR270">
        <f>_xlfn.PERCENTILE.INC(Table67[Extrem Response Ratio (ERS)],0.9)</f>
        <v>0.61904761904761907</v>
      </c>
      <c r="AS270" t="b">
        <f>Table67[[#This Row],[Extrem Response Ratio (ERS)]]&gt;=Table67[[#This Row],[Threshold of ERS]]</f>
        <v>0</v>
      </c>
      <c r="AT270">
        <f>COUNTIF(Table67[[#This Row],[The mechanism of digital assets is difficult to understand, which discourages me from exploring it (E.g, Tokenization, Blockchain)]:[If I want to try different ways to invest, I will explore digital assets.]], 3)</f>
        <v>5</v>
      </c>
      <c r="AU270">
        <f>Table67[[#This Row],[Midpoint]]/21</f>
        <v>0.23809523809523808</v>
      </c>
      <c r="AV270">
        <f>_xlfn.PERCENTILE.INC(Table67[Midpoint ratio],0.9)</f>
        <v>0.5714285714285714</v>
      </c>
      <c r="AW270" t="b">
        <f>Table67[[#This Row],[Midpoint ratio]]&gt;=Table67[[#This Row],[Threshold of Midpoint ratio]]</f>
        <v>0</v>
      </c>
      <c r="AX270" t="b">
        <f>OR(Table67[[#This Row],[Extreme Response Style]],Table67[[#This Row],[Mid-point Response Style]])</f>
        <v>0</v>
      </c>
      <c r="AY270" t="b">
        <f>OR(Table67[[#This Row],[Delete? (Stage 1)]],Table67[[#This Row],[Delete? (Stage 2)]])</f>
        <v>1</v>
      </c>
      <c r="AZ270" t="s">
        <v>81</v>
      </c>
    </row>
    <row r="271" spans="1:52">
      <c r="A271">
        <f t="shared" si="19"/>
        <v>270</v>
      </c>
      <c r="B271" s="3">
        <v>46037.574212963002</v>
      </c>
      <c r="C271" s="3">
        <v>46037.579270833303</v>
      </c>
      <c r="D271" t="s">
        <v>53</v>
      </c>
      <c r="G271" t="s">
        <v>54</v>
      </c>
      <c r="H271" t="s">
        <v>63</v>
      </c>
      <c r="I271" t="s">
        <v>56</v>
      </c>
      <c r="J271" t="s">
        <v>62</v>
      </c>
      <c r="K271" t="s">
        <v>57</v>
      </c>
      <c r="L271" t="s">
        <v>58</v>
      </c>
      <c r="M271" t="s">
        <v>61</v>
      </c>
      <c r="N271">
        <v>3</v>
      </c>
      <c r="O271">
        <v>2</v>
      </c>
      <c r="P271">
        <v>4</v>
      </c>
      <c r="Q271">
        <v>4</v>
      </c>
      <c r="R271">
        <v>3</v>
      </c>
      <c r="S271">
        <v>4</v>
      </c>
      <c r="T271">
        <v>4</v>
      </c>
      <c r="U271">
        <v>4</v>
      </c>
      <c r="V271">
        <v>4</v>
      </c>
      <c r="W271">
        <v>4</v>
      </c>
      <c r="X271">
        <v>4</v>
      </c>
      <c r="Y271">
        <v>4</v>
      </c>
      <c r="Z271">
        <v>4</v>
      </c>
      <c r="AA271">
        <v>4</v>
      </c>
      <c r="AB271">
        <v>3</v>
      </c>
      <c r="AC271">
        <v>4</v>
      </c>
      <c r="AD271">
        <v>4</v>
      </c>
      <c r="AE271">
        <v>2</v>
      </c>
      <c r="AF271">
        <v>3</v>
      </c>
      <c r="AG271">
        <v>3</v>
      </c>
      <c r="AH271">
        <v>3</v>
      </c>
      <c r="AI271">
        <v>3</v>
      </c>
      <c r="AJ271">
        <v>3</v>
      </c>
      <c r="AK271" t="b">
        <f>Table67[[#This Row],[What is your age?]]&lt;&gt;"18 - 25"</f>
        <v>0</v>
      </c>
      <c r="AL271" t="b">
        <f t="shared" si="16"/>
        <v>0</v>
      </c>
      <c r="AM271" t="b">
        <f t="shared" si="17"/>
        <v>0</v>
      </c>
      <c r="AN271" t="b">
        <f t="shared" si="18"/>
        <v>0</v>
      </c>
      <c r="AO271" t="b">
        <f>OR(Table67[[#This Row],[Ineligible respondents]:[Inconsistent response on opposite question (3)]])</f>
        <v>0</v>
      </c>
      <c r="AP27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71">
        <f>Table67[[#This Row],[Extreme Response]]/21</f>
        <v>0</v>
      </c>
      <c r="AR271">
        <f>_xlfn.PERCENTILE.INC(Table67[Extrem Response Ratio (ERS)],0.9)</f>
        <v>0.61904761904761907</v>
      </c>
      <c r="AS271" t="b">
        <f>Table67[[#This Row],[Extrem Response Ratio (ERS)]]&gt;=Table67[[#This Row],[Threshold of ERS]]</f>
        <v>0</v>
      </c>
      <c r="AT271">
        <f>COUNTIF(Table67[[#This Row],[The mechanism of digital assets is difficult to understand, which discourages me from exploring it (E.g, Tokenization, Blockchain)]:[If I want to try different ways to invest, I will explore digital assets.]], 3)</f>
        <v>6</v>
      </c>
      <c r="AU271">
        <f>Table67[[#This Row],[Midpoint]]/21</f>
        <v>0.2857142857142857</v>
      </c>
      <c r="AV271">
        <f>_xlfn.PERCENTILE.INC(Table67[Midpoint ratio],0.9)</f>
        <v>0.5714285714285714</v>
      </c>
      <c r="AW271" t="b">
        <f>Table67[[#This Row],[Midpoint ratio]]&gt;=Table67[[#This Row],[Threshold of Midpoint ratio]]</f>
        <v>0</v>
      </c>
      <c r="AX271" t="b">
        <f>OR(Table67[[#This Row],[Extreme Response Style]],Table67[[#This Row],[Mid-point Response Style]])</f>
        <v>0</v>
      </c>
      <c r="AY271" t="b">
        <f>OR(Table67[[#This Row],[Delete? (Stage 1)]],Table67[[#This Row],[Delete? (Stage 2)]])</f>
        <v>0</v>
      </c>
      <c r="AZ271" t="s">
        <v>81</v>
      </c>
    </row>
    <row r="272" spans="1:52">
      <c r="A272">
        <f t="shared" si="19"/>
        <v>271</v>
      </c>
      <c r="B272" s="3">
        <v>46037.574467592603</v>
      </c>
      <c r="C272" s="3">
        <v>46037.5777199074</v>
      </c>
      <c r="D272" t="s">
        <v>53</v>
      </c>
      <c r="G272" t="s">
        <v>54</v>
      </c>
      <c r="H272" t="s">
        <v>63</v>
      </c>
      <c r="I272" t="s">
        <v>56</v>
      </c>
      <c r="J272" t="s">
        <v>62</v>
      </c>
      <c r="K272" t="s">
        <v>57</v>
      </c>
      <c r="L272" t="s">
        <v>58</v>
      </c>
      <c r="M272" t="s">
        <v>61</v>
      </c>
      <c r="N272">
        <v>4</v>
      </c>
      <c r="O272">
        <v>4</v>
      </c>
      <c r="P272">
        <v>3</v>
      </c>
      <c r="Q272">
        <v>4</v>
      </c>
      <c r="R272">
        <v>4</v>
      </c>
      <c r="S272">
        <v>5</v>
      </c>
      <c r="T272">
        <v>4</v>
      </c>
      <c r="U272">
        <v>5</v>
      </c>
      <c r="V272">
        <v>5</v>
      </c>
      <c r="W272">
        <v>5</v>
      </c>
      <c r="X272">
        <v>5</v>
      </c>
      <c r="Y272">
        <v>5</v>
      </c>
      <c r="Z272">
        <v>5</v>
      </c>
      <c r="AA272">
        <v>5</v>
      </c>
      <c r="AB272">
        <v>5</v>
      </c>
      <c r="AC272">
        <v>5</v>
      </c>
      <c r="AD272">
        <v>5</v>
      </c>
      <c r="AE272">
        <v>5</v>
      </c>
      <c r="AF272">
        <v>1</v>
      </c>
      <c r="AG272">
        <v>5</v>
      </c>
      <c r="AH272">
        <v>2</v>
      </c>
      <c r="AI272">
        <v>4</v>
      </c>
      <c r="AJ272">
        <v>5</v>
      </c>
      <c r="AK272" t="b">
        <f>Table67[[#This Row],[What is your age?]]&lt;&gt;"18 - 25"</f>
        <v>0</v>
      </c>
      <c r="AL272" t="b">
        <f t="shared" si="16"/>
        <v>0</v>
      </c>
      <c r="AM272" t="b">
        <f t="shared" si="17"/>
        <v>0</v>
      </c>
      <c r="AN272" t="b">
        <f t="shared" si="18"/>
        <v>0</v>
      </c>
      <c r="AO272" t="b">
        <f>OR(Table67[[#This Row],[Ineligible respondents]:[Inconsistent response on opposite question (3)]])</f>
        <v>0</v>
      </c>
      <c r="AP27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272">
        <f>Table67[[#This Row],[Extreme Response]]/21</f>
        <v>0.66666666666666663</v>
      </c>
      <c r="AR272">
        <f>_xlfn.PERCENTILE.INC(Table67[Extrem Response Ratio (ERS)],0.9)</f>
        <v>0.61904761904761907</v>
      </c>
      <c r="AS272" t="b">
        <f>Table67[[#This Row],[Extrem Response Ratio (ERS)]]&gt;=Table67[[#This Row],[Threshold of ERS]]</f>
        <v>1</v>
      </c>
      <c r="AT272">
        <f>COUNTIF(Table67[[#This Row],[The mechanism of digital assets is difficult to understand, which discourages me from exploring it (E.g, Tokenization, Blockchain)]:[If I want to try different ways to invest, I will explore digital assets.]], 3)</f>
        <v>1</v>
      </c>
      <c r="AU272">
        <f>Table67[[#This Row],[Midpoint]]/21</f>
        <v>4.7619047619047616E-2</v>
      </c>
      <c r="AV272">
        <f>_xlfn.PERCENTILE.INC(Table67[Midpoint ratio],0.9)</f>
        <v>0.5714285714285714</v>
      </c>
      <c r="AW272" t="b">
        <f>Table67[[#This Row],[Midpoint ratio]]&gt;=Table67[[#This Row],[Threshold of Midpoint ratio]]</f>
        <v>0</v>
      </c>
      <c r="AX272" t="b">
        <f>OR(Table67[[#This Row],[Extreme Response Style]],Table67[[#This Row],[Mid-point Response Style]])</f>
        <v>1</v>
      </c>
      <c r="AY272" t="b">
        <f>OR(Table67[[#This Row],[Delete? (Stage 1)]],Table67[[#This Row],[Delete? (Stage 2)]])</f>
        <v>1</v>
      </c>
      <c r="AZ272" t="s">
        <v>81</v>
      </c>
    </row>
    <row r="273" spans="1:52">
      <c r="A273">
        <f t="shared" si="19"/>
        <v>272</v>
      </c>
      <c r="B273" s="3">
        <v>46037.575300925899</v>
      </c>
      <c r="C273" s="3">
        <v>46037.5793402778</v>
      </c>
      <c r="D273" t="s">
        <v>53</v>
      </c>
      <c r="G273" t="s">
        <v>54</v>
      </c>
      <c r="H273" t="s">
        <v>63</v>
      </c>
      <c r="I273" t="s">
        <v>56</v>
      </c>
      <c r="J273" t="s">
        <v>62</v>
      </c>
      <c r="K273" t="s">
        <v>57</v>
      </c>
      <c r="L273" t="s">
        <v>58</v>
      </c>
      <c r="M273" t="s">
        <v>61</v>
      </c>
      <c r="N273">
        <v>4</v>
      </c>
      <c r="O273">
        <v>4</v>
      </c>
      <c r="P273">
        <v>4</v>
      </c>
      <c r="Q273">
        <v>4</v>
      </c>
      <c r="R273">
        <v>4</v>
      </c>
      <c r="S273">
        <v>4</v>
      </c>
      <c r="T273">
        <v>2</v>
      </c>
      <c r="U273">
        <v>2</v>
      </c>
      <c r="V273">
        <v>4</v>
      </c>
      <c r="W273">
        <v>4</v>
      </c>
      <c r="X273">
        <v>4</v>
      </c>
      <c r="Y273">
        <v>4</v>
      </c>
      <c r="Z273">
        <v>4</v>
      </c>
      <c r="AA273">
        <v>4</v>
      </c>
      <c r="AB273">
        <v>3</v>
      </c>
      <c r="AC273">
        <v>2</v>
      </c>
      <c r="AD273">
        <v>4</v>
      </c>
      <c r="AE273">
        <v>2</v>
      </c>
      <c r="AF273">
        <v>2</v>
      </c>
      <c r="AG273">
        <v>4</v>
      </c>
      <c r="AH273">
        <v>4</v>
      </c>
      <c r="AI273">
        <v>2</v>
      </c>
      <c r="AJ273">
        <v>4</v>
      </c>
      <c r="AK273" t="b">
        <f>Table67[[#This Row],[What is your age?]]&lt;&gt;"18 - 25"</f>
        <v>0</v>
      </c>
      <c r="AL273" t="b">
        <f t="shared" si="16"/>
        <v>0</v>
      </c>
      <c r="AM273" t="b">
        <f t="shared" si="17"/>
        <v>1</v>
      </c>
      <c r="AN273" t="b">
        <f t="shared" si="18"/>
        <v>0</v>
      </c>
      <c r="AO273" t="b">
        <f>OR(Table67[[#This Row],[Ineligible respondents]:[Inconsistent response on opposite question (3)]])</f>
        <v>1</v>
      </c>
      <c r="AP27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73">
        <f>Table67[[#This Row],[Extreme Response]]/21</f>
        <v>0</v>
      </c>
      <c r="AR273">
        <f>_xlfn.PERCENTILE.INC(Table67[Extrem Response Ratio (ERS)],0.9)</f>
        <v>0.61904761904761907</v>
      </c>
      <c r="AS273" t="b">
        <f>Table67[[#This Row],[Extrem Response Ratio (ERS)]]&gt;=Table67[[#This Row],[Threshold of ERS]]</f>
        <v>0</v>
      </c>
      <c r="AT273">
        <f>COUNTIF(Table67[[#This Row],[The mechanism of digital assets is difficult to understand, which discourages me from exploring it (E.g, Tokenization, Blockchain)]:[If I want to try different ways to invest, I will explore digital assets.]], 3)</f>
        <v>1</v>
      </c>
      <c r="AU273">
        <f>Table67[[#This Row],[Midpoint]]/21</f>
        <v>4.7619047619047616E-2</v>
      </c>
      <c r="AV273">
        <f>_xlfn.PERCENTILE.INC(Table67[Midpoint ratio],0.9)</f>
        <v>0.5714285714285714</v>
      </c>
      <c r="AW273" t="b">
        <f>Table67[[#This Row],[Midpoint ratio]]&gt;=Table67[[#This Row],[Threshold of Midpoint ratio]]</f>
        <v>0</v>
      </c>
      <c r="AX273" t="b">
        <f>OR(Table67[[#This Row],[Extreme Response Style]],Table67[[#This Row],[Mid-point Response Style]])</f>
        <v>0</v>
      </c>
      <c r="AY273" t="b">
        <f>OR(Table67[[#This Row],[Delete? (Stage 1)]],Table67[[#This Row],[Delete? (Stage 2)]])</f>
        <v>1</v>
      </c>
      <c r="AZ273" t="s">
        <v>81</v>
      </c>
    </row>
    <row r="274" spans="1:52">
      <c r="A274">
        <f t="shared" si="19"/>
        <v>273</v>
      </c>
      <c r="B274" s="3">
        <v>46037.781909722202</v>
      </c>
      <c r="C274" s="3">
        <v>46037.783449074101</v>
      </c>
      <c r="D274" t="s">
        <v>53</v>
      </c>
      <c r="G274" t="s">
        <v>54</v>
      </c>
      <c r="H274" t="s">
        <v>63</v>
      </c>
      <c r="I274" t="s">
        <v>56</v>
      </c>
      <c r="J274" t="s">
        <v>64</v>
      </c>
      <c r="K274" t="s">
        <v>62</v>
      </c>
      <c r="L274" t="s">
        <v>58</v>
      </c>
      <c r="M274" t="s">
        <v>61</v>
      </c>
      <c r="N274">
        <v>4</v>
      </c>
      <c r="O274">
        <v>3</v>
      </c>
      <c r="P274">
        <v>5</v>
      </c>
      <c r="Q274">
        <v>3</v>
      </c>
      <c r="R274">
        <v>5</v>
      </c>
      <c r="S274">
        <v>5</v>
      </c>
      <c r="T274">
        <v>5</v>
      </c>
      <c r="U274">
        <v>5</v>
      </c>
      <c r="V274">
        <v>5</v>
      </c>
      <c r="W274">
        <v>5</v>
      </c>
      <c r="X274">
        <v>5</v>
      </c>
      <c r="Y274">
        <v>5</v>
      </c>
      <c r="Z274">
        <v>5</v>
      </c>
      <c r="AA274">
        <v>5</v>
      </c>
      <c r="AB274">
        <v>5</v>
      </c>
      <c r="AC274">
        <v>5</v>
      </c>
      <c r="AD274">
        <v>5</v>
      </c>
      <c r="AE274">
        <v>3</v>
      </c>
      <c r="AF274">
        <v>1</v>
      </c>
      <c r="AG274">
        <v>4</v>
      </c>
      <c r="AH274">
        <v>3</v>
      </c>
      <c r="AI274">
        <v>3</v>
      </c>
      <c r="AJ274">
        <v>5</v>
      </c>
      <c r="AK274" t="b">
        <f>Table67[[#This Row],[What is your age?]]&lt;&gt;"18 - 25"</f>
        <v>0</v>
      </c>
      <c r="AL274" t="b">
        <f t="shared" si="16"/>
        <v>0</v>
      </c>
      <c r="AM274" t="b">
        <f t="shared" si="17"/>
        <v>0</v>
      </c>
      <c r="AN274" t="b">
        <f t="shared" si="18"/>
        <v>1</v>
      </c>
      <c r="AO274" t="b">
        <f>OR(Table67[[#This Row],[Ineligible respondents]:[Inconsistent response on opposite question (3)]])</f>
        <v>1</v>
      </c>
      <c r="AP27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274">
        <f>Table67[[#This Row],[Extreme Response]]/21</f>
        <v>0.7142857142857143</v>
      </c>
      <c r="AR274">
        <f>_xlfn.PERCENTILE.INC(Table67[Extrem Response Ratio (ERS)],0.9)</f>
        <v>0.61904761904761907</v>
      </c>
      <c r="AS274" t="b">
        <f>Table67[[#This Row],[Extrem Response Ratio (ERS)]]&gt;=Table67[[#This Row],[Threshold of ERS]]</f>
        <v>1</v>
      </c>
      <c r="AT274">
        <f>COUNTIF(Table67[[#This Row],[The mechanism of digital assets is difficult to understand, which discourages me from exploring it (E.g, Tokenization, Blockchain)]:[If I want to try different ways to invest, I will explore digital assets.]], 3)</f>
        <v>4</v>
      </c>
      <c r="AU274">
        <f>Table67[[#This Row],[Midpoint]]/21</f>
        <v>0.19047619047619047</v>
      </c>
      <c r="AV274">
        <f>_xlfn.PERCENTILE.INC(Table67[Midpoint ratio],0.9)</f>
        <v>0.5714285714285714</v>
      </c>
      <c r="AW274" t="b">
        <f>Table67[[#This Row],[Midpoint ratio]]&gt;=Table67[[#This Row],[Threshold of Midpoint ratio]]</f>
        <v>0</v>
      </c>
      <c r="AX274" t="b">
        <f>OR(Table67[[#This Row],[Extreme Response Style]],Table67[[#This Row],[Mid-point Response Style]])</f>
        <v>1</v>
      </c>
      <c r="AY274" t="b">
        <f>OR(Table67[[#This Row],[Delete? (Stage 1)]],Table67[[#This Row],[Delete? (Stage 2)]])</f>
        <v>1</v>
      </c>
      <c r="AZ274" t="s">
        <v>81</v>
      </c>
    </row>
    <row r="275" spans="1:52">
      <c r="A275">
        <f t="shared" si="19"/>
        <v>274</v>
      </c>
      <c r="B275" s="3">
        <v>46038.4139699074</v>
      </c>
      <c r="C275" s="3">
        <v>46038.414664351803</v>
      </c>
      <c r="D275" t="s">
        <v>53</v>
      </c>
      <c r="G275" t="s">
        <v>77</v>
      </c>
      <c r="H275" t="s">
        <v>55</v>
      </c>
      <c r="I275" t="s">
        <v>56</v>
      </c>
      <c r="J275" t="s">
        <v>60</v>
      </c>
      <c r="K275" t="s">
        <v>57</v>
      </c>
      <c r="L275" t="s">
        <v>61</v>
      </c>
      <c r="M275" t="s">
        <v>61</v>
      </c>
      <c r="N275">
        <v>3</v>
      </c>
      <c r="O275">
        <v>3</v>
      </c>
      <c r="P275">
        <v>1</v>
      </c>
      <c r="Q275">
        <v>1</v>
      </c>
      <c r="R275">
        <v>1</v>
      </c>
      <c r="S275">
        <v>1</v>
      </c>
      <c r="T275">
        <v>1</v>
      </c>
      <c r="U275">
        <v>1</v>
      </c>
      <c r="V275">
        <v>4</v>
      </c>
      <c r="W275">
        <v>1</v>
      </c>
      <c r="X275">
        <v>1</v>
      </c>
      <c r="Y275">
        <v>1</v>
      </c>
      <c r="Z275">
        <v>1</v>
      </c>
      <c r="AA275">
        <v>1</v>
      </c>
      <c r="AB275">
        <v>1</v>
      </c>
      <c r="AC275">
        <v>4</v>
      </c>
      <c r="AD275">
        <v>1</v>
      </c>
      <c r="AE275">
        <v>4</v>
      </c>
      <c r="AF275">
        <v>1</v>
      </c>
      <c r="AG275">
        <v>4</v>
      </c>
      <c r="AH275">
        <v>5</v>
      </c>
      <c r="AI275">
        <v>1</v>
      </c>
      <c r="AJ275">
        <v>5</v>
      </c>
      <c r="AK275" t="b">
        <f>Table67[[#This Row],[What is your age?]]&lt;&gt;"18 - 25"</f>
        <v>1</v>
      </c>
      <c r="AL275" t="b">
        <f t="shared" si="16"/>
        <v>0</v>
      </c>
      <c r="AM275" t="b">
        <f t="shared" si="17"/>
        <v>1</v>
      </c>
      <c r="AN275" t="b">
        <f t="shared" si="18"/>
        <v>0</v>
      </c>
      <c r="AO275" t="b">
        <f>OR(Table67[[#This Row],[Ineligible respondents]:[Inconsistent response on opposite question (3)]])</f>
        <v>1</v>
      </c>
      <c r="AP27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275">
        <f>Table67[[#This Row],[Extreme Response]]/21</f>
        <v>0.7142857142857143</v>
      </c>
      <c r="AR275">
        <f>_xlfn.PERCENTILE.INC(Table67[Extrem Response Ratio (ERS)],0.9)</f>
        <v>0.61904761904761907</v>
      </c>
      <c r="AS275" t="b">
        <f>Table67[[#This Row],[Extrem Response Ratio (ERS)]]&gt;=Table67[[#This Row],[Threshold of ERS]]</f>
        <v>1</v>
      </c>
      <c r="AT275">
        <f>COUNTIF(Table67[[#This Row],[The mechanism of digital assets is difficult to understand, which discourages me from exploring it (E.g, Tokenization, Blockchain)]:[If I want to try different ways to invest, I will explore digital assets.]], 3)</f>
        <v>2</v>
      </c>
      <c r="AU275">
        <f>Table67[[#This Row],[Midpoint]]/21</f>
        <v>9.5238095238095233E-2</v>
      </c>
      <c r="AV275">
        <f>_xlfn.PERCENTILE.INC(Table67[Midpoint ratio],0.9)</f>
        <v>0.5714285714285714</v>
      </c>
      <c r="AW275" t="b">
        <f>Table67[[#This Row],[Midpoint ratio]]&gt;=Table67[[#This Row],[Threshold of Midpoint ratio]]</f>
        <v>0</v>
      </c>
      <c r="AX275" t="b">
        <f>OR(Table67[[#This Row],[Extreme Response Style]],Table67[[#This Row],[Mid-point Response Style]])</f>
        <v>1</v>
      </c>
      <c r="AY275" t="b">
        <f>OR(Table67[[#This Row],[Delete? (Stage 1)]],Table67[[#This Row],[Delete? (Stage 2)]])</f>
        <v>1</v>
      </c>
      <c r="AZ275" t="s">
        <v>81</v>
      </c>
    </row>
    <row r="276" spans="1:52">
      <c r="A276">
        <f t="shared" si="19"/>
        <v>275</v>
      </c>
      <c r="B276" s="3">
        <v>46038.722037036998</v>
      </c>
      <c r="C276" s="3">
        <v>46038.722696759301</v>
      </c>
      <c r="D276" t="s">
        <v>53</v>
      </c>
      <c r="G276" t="s">
        <v>54</v>
      </c>
      <c r="H276" t="s">
        <v>55</v>
      </c>
      <c r="I276" t="s">
        <v>56</v>
      </c>
      <c r="J276" t="s">
        <v>65</v>
      </c>
      <c r="K276" t="s">
        <v>66</v>
      </c>
      <c r="L276" t="s">
        <v>61</v>
      </c>
      <c r="M276" t="s">
        <v>61</v>
      </c>
      <c r="N276">
        <v>5</v>
      </c>
      <c r="O276">
        <v>4</v>
      </c>
      <c r="P276">
        <v>5</v>
      </c>
      <c r="Q276">
        <v>4</v>
      </c>
      <c r="R276">
        <v>4</v>
      </c>
      <c r="S276">
        <v>4</v>
      </c>
      <c r="T276">
        <v>5</v>
      </c>
      <c r="U276">
        <v>4</v>
      </c>
      <c r="V276">
        <v>5</v>
      </c>
      <c r="W276">
        <v>5</v>
      </c>
      <c r="X276">
        <v>5</v>
      </c>
      <c r="Y276">
        <v>5</v>
      </c>
      <c r="Z276">
        <v>4</v>
      </c>
      <c r="AA276">
        <v>3</v>
      </c>
      <c r="AB276">
        <v>4</v>
      </c>
      <c r="AC276">
        <v>5</v>
      </c>
      <c r="AD276">
        <v>2</v>
      </c>
      <c r="AE276">
        <v>5</v>
      </c>
      <c r="AF276">
        <v>5</v>
      </c>
      <c r="AG276">
        <v>5</v>
      </c>
      <c r="AH276">
        <v>5</v>
      </c>
      <c r="AI276">
        <v>1</v>
      </c>
      <c r="AJ276">
        <v>1</v>
      </c>
      <c r="AK276" t="b">
        <f>Table67[[#This Row],[What is your age?]]&lt;&gt;"18 - 25"</f>
        <v>0</v>
      </c>
      <c r="AL276" t="b">
        <f t="shared" si="16"/>
        <v>0</v>
      </c>
      <c r="AM276" t="b">
        <f t="shared" si="17"/>
        <v>1</v>
      </c>
      <c r="AN276" t="b">
        <f t="shared" si="18"/>
        <v>0</v>
      </c>
      <c r="AO276" t="b">
        <f>OR(Table67[[#This Row],[Ineligible respondents]:[Inconsistent response on opposite question (3)]])</f>
        <v>1</v>
      </c>
      <c r="AP27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12</v>
      </c>
      <c r="AQ276">
        <f>Table67[[#This Row],[Extreme Response]]/21</f>
        <v>0.5714285714285714</v>
      </c>
      <c r="AR276">
        <f>_xlfn.PERCENTILE.INC(Table67[Extrem Response Ratio (ERS)],0.9)</f>
        <v>0.61904761904761907</v>
      </c>
      <c r="AS276" t="b">
        <f>Table67[[#This Row],[Extrem Response Ratio (ERS)]]&gt;=Table67[[#This Row],[Threshold of ERS]]</f>
        <v>0</v>
      </c>
      <c r="AT276">
        <f>COUNTIF(Table67[[#This Row],[The mechanism of digital assets is difficult to understand, which discourages me from exploring it (E.g, Tokenization, Blockchain)]:[If I want to try different ways to invest, I will explore digital assets.]], 3)</f>
        <v>1</v>
      </c>
      <c r="AU276">
        <f>Table67[[#This Row],[Midpoint]]/21</f>
        <v>4.7619047619047616E-2</v>
      </c>
      <c r="AV276">
        <f>_xlfn.PERCENTILE.INC(Table67[Midpoint ratio],0.9)</f>
        <v>0.5714285714285714</v>
      </c>
      <c r="AW276" t="b">
        <f>Table67[[#This Row],[Midpoint ratio]]&gt;=Table67[[#This Row],[Threshold of Midpoint ratio]]</f>
        <v>0</v>
      </c>
      <c r="AX276" t="b">
        <f>OR(Table67[[#This Row],[Extreme Response Style]],Table67[[#This Row],[Mid-point Response Style]])</f>
        <v>0</v>
      </c>
      <c r="AY276" t="b">
        <f>OR(Table67[[#This Row],[Delete? (Stage 1)]],Table67[[#This Row],[Delete? (Stage 2)]])</f>
        <v>1</v>
      </c>
      <c r="AZ276" t="s">
        <v>81</v>
      </c>
    </row>
    <row r="277" spans="1:52">
      <c r="A277">
        <f t="shared" si="19"/>
        <v>276</v>
      </c>
      <c r="B277" s="3">
        <v>46040.455740740697</v>
      </c>
      <c r="C277" s="3">
        <v>46040.4585069444</v>
      </c>
      <c r="D277" t="s">
        <v>53</v>
      </c>
      <c r="G277" t="s">
        <v>74</v>
      </c>
      <c r="H277" t="s">
        <v>55</v>
      </c>
      <c r="I277" t="s">
        <v>71</v>
      </c>
      <c r="J277" t="s">
        <v>68</v>
      </c>
      <c r="K277" t="s">
        <v>57</v>
      </c>
      <c r="L277" t="s">
        <v>58</v>
      </c>
      <c r="M277" t="s">
        <v>58</v>
      </c>
      <c r="N277">
        <v>3</v>
      </c>
      <c r="O277">
        <v>3</v>
      </c>
      <c r="P277">
        <v>3</v>
      </c>
      <c r="Q277">
        <v>3</v>
      </c>
      <c r="R277">
        <v>3</v>
      </c>
      <c r="S277">
        <v>3</v>
      </c>
      <c r="T277">
        <v>3</v>
      </c>
      <c r="U277">
        <v>3</v>
      </c>
      <c r="V277">
        <v>3</v>
      </c>
      <c r="W277">
        <v>3</v>
      </c>
      <c r="X277">
        <v>3</v>
      </c>
      <c r="Y277">
        <v>3</v>
      </c>
      <c r="Z277">
        <v>3</v>
      </c>
      <c r="AA277">
        <v>3</v>
      </c>
      <c r="AB277">
        <v>3</v>
      </c>
      <c r="AC277">
        <v>3</v>
      </c>
      <c r="AD277">
        <v>3</v>
      </c>
      <c r="AE277">
        <v>3</v>
      </c>
      <c r="AF277">
        <v>3</v>
      </c>
      <c r="AG277">
        <v>3</v>
      </c>
      <c r="AH277">
        <v>3</v>
      </c>
      <c r="AI277">
        <v>3</v>
      </c>
      <c r="AJ277">
        <v>3</v>
      </c>
      <c r="AK277" t="b">
        <f>Table67[[#This Row],[What is your age?]]&lt;&gt;"18 - 25"</f>
        <v>1</v>
      </c>
      <c r="AL277" t="b">
        <f t="shared" si="16"/>
        <v>1</v>
      </c>
      <c r="AM277" t="b">
        <f t="shared" si="17"/>
        <v>0</v>
      </c>
      <c r="AN277" t="b">
        <f t="shared" si="18"/>
        <v>0</v>
      </c>
      <c r="AO277" t="b">
        <f>OR(Table67[[#This Row],[Ineligible respondents]:[Inconsistent response on opposite question (3)]])</f>
        <v>1</v>
      </c>
      <c r="AP27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77">
        <f>Table67[[#This Row],[Extreme Response]]/21</f>
        <v>0</v>
      </c>
      <c r="AR277">
        <f>_xlfn.PERCENTILE.INC(Table67[Extrem Response Ratio (ERS)],0.9)</f>
        <v>0.61904761904761907</v>
      </c>
      <c r="AS277" t="b">
        <f>Table67[[#This Row],[Extrem Response Ratio (ERS)]]&gt;=Table67[[#This Row],[Threshold of ERS]]</f>
        <v>0</v>
      </c>
      <c r="AT277">
        <f>COUNTIF(Table67[[#This Row],[The mechanism of digital assets is difficult to understand, which discourages me from exploring it (E.g, Tokenization, Blockchain)]:[If I want to try different ways to invest, I will explore digital assets.]], 3)</f>
        <v>21</v>
      </c>
      <c r="AU277">
        <f>Table67[[#This Row],[Midpoint]]/21</f>
        <v>1</v>
      </c>
      <c r="AV277">
        <f>_xlfn.PERCENTILE.INC(Table67[Midpoint ratio],0.9)</f>
        <v>0.5714285714285714</v>
      </c>
      <c r="AW277" t="b">
        <f>Table67[[#This Row],[Midpoint ratio]]&gt;=Table67[[#This Row],[Threshold of Midpoint ratio]]</f>
        <v>1</v>
      </c>
      <c r="AX277" t="b">
        <f>OR(Table67[[#This Row],[Extreme Response Style]],Table67[[#This Row],[Mid-point Response Style]])</f>
        <v>1</v>
      </c>
      <c r="AY277" t="b">
        <f>OR(Table67[[#This Row],[Delete? (Stage 1)]],Table67[[#This Row],[Delete? (Stage 2)]])</f>
        <v>1</v>
      </c>
      <c r="AZ277" t="s">
        <v>84</v>
      </c>
    </row>
    <row r="278" spans="1:52">
      <c r="A278">
        <f t="shared" si="19"/>
        <v>277</v>
      </c>
      <c r="B278" s="3">
        <v>46040.760682870401</v>
      </c>
      <c r="C278" s="3">
        <v>46040.7645486111</v>
      </c>
      <c r="D278" t="s">
        <v>53</v>
      </c>
      <c r="G278" t="s">
        <v>54</v>
      </c>
      <c r="H278" t="s">
        <v>63</v>
      </c>
      <c r="I278" t="s">
        <v>56</v>
      </c>
      <c r="J278" t="s">
        <v>60</v>
      </c>
      <c r="K278" t="s">
        <v>62</v>
      </c>
      <c r="L278" t="s">
        <v>61</v>
      </c>
      <c r="M278" t="s">
        <v>61</v>
      </c>
      <c r="N278">
        <v>4</v>
      </c>
      <c r="O278">
        <v>4</v>
      </c>
      <c r="P278">
        <v>4</v>
      </c>
      <c r="Q278">
        <v>5</v>
      </c>
      <c r="R278">
        <v>4</v>
      </c>
      <c r="S278">
        <v>4</v>
      </c>
      <c r="T278">
        <v>2</v>
      </c>
      <c r="U278">
        <v>5</v>
      </c>
      <c r="V278">
        <v>3</v>
      </c>
      <c r="W278">
        <v>4</v>
      </c>
      <c r="X278">
        <v>3</v>
      </c>
      <c r="Y278">
        <v>3</v>
      </c>
      <c r="Z278">
        <v>3</v>
      </c>
      <c r="AA278">
        <v>3</v>
      </c>
      <c r="AB278">
        <v>2</v>
      </c>
      <c r="AC278">
        <v>4</v>
      </c>
      <c r="AD278">
        <v>3</v>
      </c>
      <c r="AE278">
        <v>1</v>
      </c>
      <c r="AF278">
        <v>3</v>
      </c>
      <c r="AG278">
        <v>2</v>
      </c>
      <c r="AH278">
        <v>3</v>
      </c>
      <c r="AI278">
        <v>3</v>
      </c>
      <c r="AJ278">
        <v>3</v>
      </c>
      <c r="AK278" t="b">
        <f>Table67[[#This Row],[What is your age?]]&lt;&gt;"18 - 25"</f>
        <v>0</v>
      </c>
      <c r="AL278" t="b">
        <f t="shared" si="16"/>
        <v>0</v>
      </c>
      <c r="AM278" t="b">
        <f t="shared" si="17"/>
        <v>0</v>
      </c>
      <c r="AN278" t="b">
        <f t="shared" si="18"/>
        <v>1</v>
      </c>
      <c r="AO278" t="b">
        <f>OR(Table67[[#This Row],[Ineligible respondents]:[Inconsistent response on opposite question (3)]])</f>
        <v>1</v>
      </c>
      <c r="AP27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278">
        <f>Table67[[#This Row],[Extreme Response]]/21</f>
        <v>0.14285714285714285</v>
      </c>
      <c r="AR278">
        <f>_xlfn.PERCENTILE.INC(Table67[Extrem Response Ratio (ERS)],0.9)</f>
        <v>0.61904761904761907</v>
      </c>
      <c r="AS278" t="b">
        <f>Table67[[#This Row],[Extrem Response Ratio (ERS)]]&gt;=Table67[[#This Row],[Threshold of ERS]]</f>
        <v>0</v>
      </c>
      <c r="AT278">
        <f>COUNTIF(Table67[[#This Row],[The mechanism of digital assets is difficult to understand, which discourages me from exploring it (E.g, Tokenization, Blockchain)]:[If I want to try different ways to invest, I will explore digital assets.]], 3)</f>
        <v>8</v>
      </c>
      <c r="AU278">
        <f>Table67[[#This Row],[Midpoint]]/21</f>
        <v>0.38095238095238093</v>
      </c>
      <c r="AV278">
        <f>_xlfn.PERCENTILE.INC(Table67[Midpoint ratio],0.9)</f>
        <v>0.5714285714285714</v>
      </c>
      <c r="AW278" t="b">
        <f>Table67[[#This Row],[Midpoint ratio]]&gt;=Table67[[#This Row],[Threshold of Midpoint ratio]]</f>
        <v>0</v>
      </c>
      <c r="AX278" t="b">
        <f>OR(Table67[[#This Row],[Extreme Response Style]],Table67[[#This Row],[Mid-point Response Style]])</f>
        <v>0</v>
      </c>
      <c r="AY278" t="b">
        <f>OR(Table67[[#This Row],[Delete? (Stage 1)]],Table67[[#This Row],[Delete? (Stage 2)]])</f>
        <v>1</v>
      </c>
      <c r="AZ278" t="s">
        <v>84</v>
      </c>
    </row>
    <row r="279" spans="1:52">
      <c r="A279">
        <f t="shared" si="19"/>
        <v>278</v>
      </c>
      <c r="B279" s="3">
        <v>46040.760694444398</v>
      </c>
      <c r="C279" s="3">
        <v>46040.763888888898</v>
      </c>
      <c r="D279" t="s">
        <v>53</v>
      </c>
      <c r="G279" t="s">
        <v>54</v>
      </c>
      <c r="H279" t="s">
        <v>55</v>
      </c>
      <c r="I279" t="s">
        <v>56</v>
      </c>
      <c r="J279" t="s">
        <v>60</v>
      </c>
      <c r="K279" t="s">
        <v>64</v>
      </c>
      <c r="L279" t="s">
        <v>58</v>
      </c>
      <c r="M279" t="s">
        <v>58</v>
      </c>
      <c r="N279">
        <v>4</v>
      </c>
      <c r="O279">
        <v>3</v>
      </c>
      <c r="P279">
        <v>3</v>
      </c>
      <c r="Q279">
        <v>4</v>
      </c>
      <c r="R279">
        <v>4</v>
      </c>
      <c r="S279">
        <v>4</v>
      </c>
      <c r="T279">
        <v>3</v>
      </c>
      <c r="U279">
        <v>5</v>
      </c>
      <c r="V279">
        <v>4</v>
      </c>
      <c r="W279">
        <v>4</v>
      </c>
      <c r="X279">
        <v>3</v>
      </c>
      <c r="Y279">
        <v>4</v>
      </c>
      <c r="Z279">
        <v>4</v>
      </c>
      <c r="AA279">
        <v>3</v>
      </c>
      <c r="AB279">
        <v>4</v>
      </c>
      <c r="AC279">
        <v>4</v>
      </c>
      <c r="AD279">
        <v>5</v>
      </c>
      <c r="AE279">
        <v>4</v>
      </c>
      <c r="AF279">
        <v>4</v>
      </c>
      <c r="AG279">
        <v>3</v>
      </c>
      <c r="AH279">
        <v>4</v>
      </c>
      <c r="AI279">
        <v>2</v>
      </c>
      <c r="AJ279">
        <v>2</v>
      </c>
      <c r="AK279" t="b">
        <f>Table67[[#This Row],[What is your age?]]&lt;&gt;"18 - 25"</f>
        <v>0</v>
      </c>
      <c r="AL279" t="b">
        <f t="shared" si="16"/>
        <v>0</v>
      </c>
      <c r="AM279" t="b">
        <f t="shared" si="17"/>
        <v>0</v>
      </c>
      <c r="AN279" t="b">
        <f t="shared" si="18"/>
        <v>1</v>
      </c>
      <c r="AO279" t="b">
        <f>OR(Table67[[#This Row],[Ineligible respondents]:[Inconsistent response on opposite question (3)]])</f>
        <v>1</v>
      </c>
      <c r="AP27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279">
        <f>Table67[[#This Row],[Extreme Response]]/21</f>
        <v>9.5238095238095233E-2</v>
      </c>
      <c r="AR279">
        <f>_xlfn.PERCENTILE.INC(Table67[Extrem Response Ratio (ERS)],0.9)</f>
        <v>0.61904761904761907</v>
      </c>
      <c r="AS279" t="b">
        <f>Table67[[#This Row],[Extrem Response Ratio (ERS)]]&gt;=Table67[[#This Row],[Threshold of ERS]]</f>
        <v>0</v>
      </c>
      <c r="AT279">
        <f>COUNTIF(Table67[[#This Row],[The mechanism of digital assets is difficult to understand, which discourages me from exploring it (E.g, Tokenization, Blockchain)]:[If I want to try different ways to invest, I will explore digital assets.]], 3)</f>
        <v>6</v>
      </c>
      <c r="AU279">
        <f>Table67[[#This Row],[Midpoint]]/21</f>
        <v>0.2857142857142857</v>
      </c>
      <c r="AV279">
        <f>_xlfn.PERCENTILE.INC(Table67[Midpoint ratio],0.9)</f>
        <v>0.5714285714285714</v>
      </c>
      <c r="AW279" t="b">
        <f>Table67[[#This Row],[Midpoint ratio]]&gt;=Table67[[#This Row],[Threshold of Midpoint ratio]]</f>
        <v>0</v>
      </c>
      <c r="AX279" t="b">
        <f>OR(Table67[[#This Row],[Extreme Response Style]],Table67[[#This Row],[Mid-point Response Style]])</f>
        <v>0</v>
      </c>
      <c r="AY279" t="b">
        <f>OR(Table67[[#This Row],[Delete? (Stage 1)]],Table67[[#This Row],[Delete? (Stage 2)]])</f>
        <v>1</v>
      </c>
      <c r="AZ279" t="s">
        <v>84</v>
      </c>
    </row>
    <row r="280" spans="1:52">
      <c r="A280">
        <f t="shared" si="19"/>
        <v>279</v>
      </c>
      <c r="B280" s="3">
        <v>46040.7608680556</v>
      </c>
      <c r="C280" s="3">
        <v>46040.763796296298</v>
      </c>
      <c r="D280" t="s">
        <v>53</v>
      </c>
      <c r="G280" t="s">
        <v>54</v>
      </c>
      <c r="H280" t="s">
        <v>63</v>
      </c>
      <c r="I280" t="s">
        <v>75</v>
      </c>
      <c r="J280" t="s">
        <v>66</v>
      </c>
      <c r="K280" t="s">
        <v>66</v>
      </c>
      <c r="L280" t="s">
        <v>58</v>
      </c>
      <c r="M280" t="s">
        <v>58</v>
      </c>
      <c r="N280">
        <v>5</v>
      </c>
      <c r="O280">
        <v>5</v>
      </c>
      <c r="P280">
        <v>3</v>
      </c>
      <c r="Q280">
        <v>5</v>
      </c>
      <c r="R280">
        <v>5</v>
      </c>
      <c r="S280">
        <v>4</v>
      </c>
      <c r="T280">
        <v>5</v>
      </c>
      <c r="U280">
        <v>4</v>
      </c>
      <c r="V280">
        <v>4</v>
      </c>
      <c r="W280">
        <v>4</v>
      </c>
      <c r="X280">
        <v>1</v>
      </c>
      <c r="Y280">
        <v>2</v>
      </c>
      <c r="Z280">
        <v>3</v>
      </c>
      <c r="AA280">
        <v>4</v>
      </c>
      <c r="AB280">
        <v>3</v>
      </c>
      <c r="AC280">
        <v>4</v>
      </c>
      <c r="AD280">
        <v>2</v>
      </c>
      <c r="AE280">
        <v>4</v>
      </c>
      <c r="AF280">
        <v>5</v>
      </c>
      <c r="AG280">
        <v>1</v>
      </c>
      <c r="AH280">
        <v>5</v>
      </c>
      <c r="AI280">
        <v>1</v>
      </c>
      <c r="AJ280">
        <v>1</v>
      </c>
      <c r="AK280" t="b">
        <f>Table67[[#This Row],[What is your age?]]&lt;&gt;"18 - 25"</f>
        <v>0</v>
      </c>
      <c r="AL280" t="b">
        <f t="shared" si="16"/>
        <v>0</v>
      </c>
      <c r="AM280" t="b">
        <f t="shared" si="17"/>
        <v>0</v>
      </c>
      <c r="AN280" t="b">
        <f t="shared" si="18"/>
        <v>0</v>
      </c>
      <c r="AO280" t="b">
        <f>OR(Table67[[#This Row],[Ineligible respondents]:[Inconsistent response on opposite question (3)]])</f>
        <v>0</v>
      </c>
      <c r="AP28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280">
        <f>Table67[[#This Row],[Extreme Response]]/21</f>
        <v>0.42857142857142855</v>
      </c>
      <c r="AR280">
        <f>_xlfn.PERCENTILE.INC(Table67[Extrem Response Ratio (ERS)],0.9)</f>
        <v>0.61904761904761907</v>
      </c>
      <c r="AS280" t="b">
        <f>Table67[[#This Row],[Extrem Response Ratio (ERS)]]&gt;=Table67[[#This Row],[Threshold of ERS]]</f>
        <v>0</v>
      </c>
      <c r="AT280">
        <f>COUNTIF(Table67[[#This Row],[The mechanism of digital assets is difficult to understand, which discourages me from exploring it (E.g, Tokenization, Blockchain)]:[If I want to try different ways to invest, I will explore digital assets.]], 3)</f>
        <v>3</v>
      </c>
      <c r="AU280">
        <f>Table67[[#This Row],[Midpoint]]/21</f>
        <v>0.14285714285714285</v>
      </c>
      <c r="AV280">
        <f>_xlfn.PERCENTILE.INC(Table67[Midpoint ratio],0.9)</f>
        <v>0.5714285714285714</v>
      </c>
      <c r="AW280" t="b">
        <f>Table67[[#This Row],[Midpoint ratio]]&gt;=Table67[[#This Row],[Threshold of Midpoint ratio]]</f>
        <v>0</v>
      </c>
      <c r="AX280" t="b">
        <f>OR(Table67[[#This Row],[Extreme Response Style]],Table67[[#This Row],[Mid-point Response Style]])</f>
        <v>0</v>
      </c>
      <c r="AY280" t="b">
        <f>OR(Table67[[#This Row],[Delete? (Stage 1)]],Table67[[#This Row],[Delete? (Stage 2)]])</f>
        <v>0</v>
      </c>
      <c r="AZ280" t="s">
        <v>84</v>
      </c>
    </row>
    <row r="281" spans="1:52">
      <c r="A281">
        <f t="shared" si="19"/>
        <v>280</v>
      </c>
      <c r="B281" s="3">
        <v>46040.761030092603</v>
      </c>
      <c r="C281" s="3">
        <v>46040.764872685198</v>
      </c>
      <c r="D281" t="s">
        <v>53</v>
      </c>
      <c r="G281" t="s">
        <v>54</v>
      </c>
      <c r="H281" t="s">
        <v>63</v>
      </c>
      <c r="I281" t="s">
        <v>75</v>
      </c>
      <c r="J281" t="s">
        <v>62</v>
      </c>
      <c r="K281" t="s">
        <v>62</v>
      </c>
      <c r="L281" t="s">
        <v>61</v>
      </c>
      <c r="M281" t="s">
        <v>61</v>
      </c>
      <c r="N281">
        <v>4</v>
      </c>
      <c r="O281">
        <v>3</v>
      </c>
      <c r="P281">
        <v>5</v>
      </c>
      <c r="Q281">
        <v>4</v>
      </c>
      <c r="R281">
        <v>4</v>
      </c>
      <c r="S281">
        <v>4</v>
      </c>
      <c r="T281">
        <v>4</v>
      </c>
      <c r="U281">
        <v>4</v>
      </c>
      <c r="V281">
        <v>3</v>
      </c>
      <c r="W281">
        <v>3</v>
      </c>
      <c r="X281">
        <v>4</v>
      </c>
      <c r="Y281">
        <v>4</v>
      </c>
      <c r="Z281">
        <v>4</v>
      </c>
      <c r="AA281">
        <v>4</v>
      </c>
      <c r="AB281">
        <v>4</v>
      </c>
      <c r="AC281">
        <v>3</v>
      </c>
      <c r="AD281">
        <v>4</v>
      </c>
      <c r="AE281">
        <v>4</v>
      </c>
      <c r="AF281">
        <v>4</v>
      </c>
      <c r="AG281">
        <v>3</v>
      </c>
      <c r="AH281">
        <v>3</v>
      </c>
      <c r="AI281">
        <v>3</v>
      </c>
      <c r="AJ281">
        <v>2</v>
      </c>
      <c r="AK281" t="b">
        <f>Table67[[#This Row],[What is your age?]]&lt;&gt;"18 - 25"</f>
        <v>0</v>
      </c>
      <c r="AL281" t="b">
        <f t="shared" si="16"/>
        <v>0</v>
      </c>
      <c r="AM281" t="b">
        <f t="shared" si="17"/>
        <v>0</v>
      </c>
      <c r="AN281" t="b">
        <f t="shared" si="18"/>
        <v>0</v>
      </c>
      <c r="AO281" t="b">
        <f>OR(Table67[[#This Row],[Ineligible respondents]:[Inconsistent response on opposite question (3)]])</f>
        <v>0</v>
      </c>
      <c r="AP28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281">
        <f>Table67[[#This Row],[Extreme Response]]/21</f>
        <v>4.7619047619047616E-2</v>
      </c>
      <c r="AR281">
        <f>_xlfn.PERCENTILE.INC(Table67[Extrem Response Ratio (ERS)],0.9)</f>
        <v>0.61904761904761907</v>
      </c>
      <c r="AS281" t="b">
        <f>Table67[[#This Row],[Extrem Response Ratio (ERS)]]&gt;=Table67[[#This Row],[Threshold of ERS]]</f>
        <v>0</v>
      </c>
      <c r="AT281">
        <f>COUNTIF(Table67[[#This Row],[The mechanism of digital assets is difficult to understand, which discourages me from exploring it (E.g, Tokenization, Blockchain)]:[If I want to try different ways to invest, I will explore digital assets.]], 3)</f>
        <v>6</v>
      </c>
      <c r="AU281">
        <f>Table67[[#This Row],[Midpoint]]/21</f>
        <v>0.2857142857142857</v>
      </c>
      <c r="AV281">
        <f>_xlfn.PERCENTILE.INC(Table67[Midpoint ratio],0.9)</f>
        <v>0.5714285714285714</v>
      </c>
      <c r="AW281" t="b">
        <f>Table67[[#This Row],[Midpoint ratio]]&gt;=Table67[[#This Row],[Threshold of Midpoint ratio]]</f>
        <v>0</v>
      </c>
      <c r="AX281" t="b">
        <f>OR(Table67[[#This Row],[Extreme Response Style]],Table67[[#This Row],[Mid-point Response Style]])</f>
        <v>0</v>
      </c>
      <c r="AY281" t="b">
        <f>OR(Table67[[#This Row],[Delete? (Stage 1)]],Table67[[#This Row],[Delete? (Stage 2)]])</f>
        <v>0</v>
      </c>
      <c r="AZ281" t="s">
        <v>84</v>
      </c>
    </row>
    <row r="282" spans="1:52">
      <c r="A282">
        <f t="shared" si="19"/>
        <v>281</v>
      </c>
      <c r="B282" s="3">
        <v>46040.761064814797</v>
      </c>
      <c r="C282" s="3">
        <v>46040.7703356481</v>
      </c>
      <c r="D282" t="s">
        <v>53</v>
      </c>
      <c r="G282" t="s">
        <v>73</v>
      </c>
      <c r="H282" t="s">
        <v>55</v>
      </c>
      <c r="I282" t="s">
        <v>75</v>
      </c>
      <c r="J282" t="s">
        <v>60</v>
      </c>
      <c r="K282" t="s">
        <v>62</v>
      </c>
      <c r="L282" t="s">
        <v>61</v>
      </c>
      <c r="M282" t="s">
        <v>61</v>
      </c>
      <c r="N282">
        <v>2</v>
      </c>
      <c r="O282">
        <v>3</v>
      </c>
      <c r="P282">
        <v>4</v>
      </c>
      <c r="Q282">
        <v>3</v>
      </c>
      <c r="R282">
        <v>4</v>
      </c>
      <c r="S282">
        <v>3</v>
      </c>
      <c r="T282">
        <v>4</v>
      </c>
      <c r="U282">
        <v>4</v>
      </c>
      <c r="V282">
        <v>4</v>
      </c>
      <c r="W282">
        <v>2</v>
      </c>
      <c r="X282">
        <v>3</v>
      </c>
      <c r="Y282">
        <v>4</v>
      </c>
      <c r="Z282">
        <v>2</v>
      </c>
      <c r="AA282">
        <v>4</v>
      </c>
      <c r="AB282">
        <v>4</v>
      </c>
      <c r="AC282">
        <v>3</v>
      </c>
      <c r="AD282">
        <v>4</v>
      </c>
      <c r="AE282">
        <v>3</v>
      </c>
      <c r="AF282">
        <v>4</v>
      </c>
      <c r="AG282">
        <v>2</v>
      </c>
      <c r="AH282">
        <v>4</v>
      </c>
      <c r="AI282">
        <v>2</v>
      </c>
      <c r="AJ282">
        <v>2</v>
      </c>
      <c r="AK282" t="b">
        <f>Table67[[#This Row],[What is your age?]]&lt;&gt;"18 - 25"</f>
        <v>1</v>
      </c>
      <c r="AL282" t="b">
        <f t="shared" si="16"/>
        <v>0</v>
      </c>
      <c r="AM282" t="b">
        <f t="shared" si="17"/>
        <v>0</v>
      </c>
      <c r="AN282" t="b">
        <f t="shared" si="18"/>
        <v>0</v>
      </c>
      <c r="AO282" t="b">
        <f>OR(Table67[[#This Row],[Ineligible respondents]:[Inconsistent response on opposite question (3)]])</f>
        <v>1</v>
      </c>
      <c r="AP28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82">
        <f>Table67[[#This Row],[Extreme Response]]/21</f>
        <v>0</v>
      </c>
      <c r="AR282">
        <f>_xlfn.PERCENTILE.INC(Table67[Extrem Response Ratio (ERS)],0.9)</f>
        <v>0.61904761904761907</v>
      </c>
      <c r="AS282" t="b">
        <f>Table67[[#This Row],[Extrem Response Ratio (ERS)]]&gt;=Table67[[#This Row],[Threshold of ERS]]</f>
        <v>0</v>
      </c>
      <c r="AT282">
        <f>COUNTIF(Table67[[#This Row],[The mechanism of digital assets is difficult to understand, which discourages me from exploring it (E.g, Tokenization, Blockchain)]:[If I want to try different ways to invest, I will explore digital assets.]], 3)</f>
        <v>6</v>
      </c>
      <c r="AU282">
        <f>Table67[[#This Row],[Midpoint]]/21</f>
        <v>0.2857142857142857</v>
      </c>
      <c r="AV282">
        <f>_xlfn.PERCENTILE.INC(Table67[Midpoint ratio],0.9)</f>
        <v>0.5714285714285714</v>
      </c>
      <c r="AW282" t="b">
        <f>Table67[[#This Row],[Midpoint ratio]]&gt;=Table67[[#This Row],[Threshold of Midpoint ratio]]</f>
        <v>0</v>
      </c>
      <c r="AX282" t="b">
        <f>OR(Table67[[#This Row],[Extreme Response Style]],Table67[[#This Row],[Mid-point Response Style]])</f>
        <v>0</v>
      </c>
      <c r="AY282" t="b">
        <f>OR(Table67[[#This Row],[Delete? (Stage 1)]],Table67[[#This Row],[Delete? (Stage 2)]])</f>
        <v>1</v>
      </c>
      <c r="AZ282" t="s">
        <v>84</v>
      </c>
    </row>
    <row r="283" spans="1:52">
      <c r="A283">
        <f t="shared" si="19"/>
        <v>282</v>
      </c>
      <c r="B283" s="3">
        <v>46040.761157407404</v>
      </c>
      <c r="C283" s="3">
        <v>46040.765069444402</v>
      </c>
      <c r="D283" t="s">
        <v>53</v>
      </c>
      <c r="G283" t="s">
        <v>54</v>
      </c>
      <c r="H283" t="s">
        <v>55</v>
      </c>
      <c r="I283" t="s">
        <v>56</v>
      </c>
      <c r="J283" t="s">
        <v>65</v>
      </c>
      <c r="K283" t="s">
        <v>66</v>
      </c>
      <c r="L283" t="s">
        <v>61</v>
      </c>
      <c r="M283" t="s">
        <v>58</v>
      </c>
      <c r="N283">
        <v>3</v>
      </c>
      <c r="O283">
        <v>4</v>
      </c>
      <c r="P283">
        <v>2</v>
      </c>
      <c r="Q283">
        <v>3</v>
      </c>
      <c r="R283">
        <v>4</v>
      </c>
      <c r="S283">
        <v>4</v>
      </c>
      <c r="T283">
        <v>4</v>
      </c>
      <c r="U283">
        <v>4</v>
      </c>
      <c r="V283">
        <v>4</v>
      </c>
      <c r="W283">
        <v>3</v>
      </c>
      <c r="X283">
        <v>4</v>
      </c>
      <c r="Y283">
        <v>4</v>
      </c>
      <c r="Z283">
        <v>5</v>
      </c>
      <c r="AA283">
        <v>4</v>
      </c>
      <c r="AB283">
        <v>4</v>
      </c>
      <c r="AC283">
        <v>4</v>
      </c>
      <c r="AD283">
        <v>5</v>
      </c>
      <c r="AE283">
        <v>4</v>
      </c>
      <c r="AF283">
        <v>2</v>
      </c>
      <c r="AG283">
        <v>5</v>
      </c>
      <c r="AH283">
        <v>2</v>
      </c>
      <c r="AI283">
        <v>4</v>
      </c>
      <c r="AJ283">
        <v>4</v>
      </c>
      <c r="AK283" t="b">
        <f>Table67[[#This Row],[What is your age?]]&lt;&gt;"18 - 25"</f>
        <v>0</v>
      </c>
      <c r="AL283" t="b">
        <f t="shared" si="16"/>
        <v>0</v>
      </c>
      <c r="AM283" t="b">
        <f t="shared" si="17"/>
        <v>0</v>
      </c>
      <c r="AN283" t="b">
        <f t="shared" si="18"/>
        <v>0</v>
      </c>
      <c r="AO283" t="b">
        <f>OR(Table67[[#This Row],[Ineligible respondents]:[Inconsistent response on opposite question (3)]])</f>
        <v>0</v>
      </c>
      <c r="AP28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283">
        <f>Table67[[#This Row],[Extreme Response]]/21</f>
        <v>0.14285714285714285</v>
      </c>
      <c r="AR283">
        <f>_xlfn.PERCENTILE.INC(Table67[Extrem Response Ratio (ERS)],0.9)</f>
        <v>0.61904761904761907</v>
      </c>
      <c r="AS283" t="b">
        <f>Table67[[#This Row],[Extrem Response Ratio (ERS)]]&gt;=Table67[[#This Row],[Threshold of ERS]]</f>
        <v>0</v>
      </c>
      <c r="AT283">
        <f>COUNTIF(Table67[[#This Row],[The mechanism of digital assets is difficult to understand, which discourages me from exploring it (E.g, Tokenization, Blockchain)]:[If I want to try different ways to invest, I will explore digital assets.]], 3)</f>
        <v>3</v>
      </c>
      <c r="AU283">
        <f>Table67[[#This Row],[Midpoint]]/21</f>
        <v>0.14285714285714285</v>
      </c>
      <c r="AV283">
        <f>_xlfn.PERCENTILE.INC(Table67[Midpoint ratio],0.9)</f>
        <v>0.5714285714285714</v>
      </c>
      <c r="AW283" t="b">
        <f>Table67[[#This Row],[Midpoint ratio]]&gt;=Table67[[#This Row],[Threshold of Midpoint ratio]]</f>
        <v>0</v>
      </c>
      <c r="AX283" t="b">
        <f>OR(Table67[[#This Row],[Extreme Response Style]],Table67[[#This Row],[Mid-point Response Style]])</f>
        <v>0</v>
      </c>
      <c r="AY283" t="b">
        <f>OR(Table67[[#This Row],[Delete? (Stage 1)]],Table67[[#This Row],[Delete? (Stage 2)]])</f>
        <v>0</v>
      </c>
      <c r="AZ283" t="s">
        <v>84</v>
      </c>
    </row>
    <row r="284" spans="1:52">
      <c r="A284">
        <f t="shared" si="19"/>
        <v>283</v>
      </c>
      <c r="B284" s="3">
        <v>46040.761168981502</v>
      </c>
      <c r="C284" s="3">
        <v>46040.773518518501</v>
      </c>
      <c r="D284" t="s">
        <v>53</v>
      </c>
      <c r="G284" t="s">
        <v>54</v>
      </c>
      <c r="H284" t="s">
        <v>55</v>
      </c>
      <c r="I284" t="s">
        <v>56</v>
      </c>
      <c r="J284" t="s">
        <v>62</v>
      </c>
      <c r="K284" t="s">
        <v>57</v>
      </c>
      <c r="L284" t="s">
        <v>58</v>
      </c>
      <c r="M284" t="s">
        <v>58</v>
      </c>
      <c r="N284">
        <v>3</v>
      </c>
      <c r="O284">
        <v>4</v>
      </c>
      <c r="P284">
        <v>4</v>
      </c>
      <c r="Q284">
        <v>4</v>
      </c>
      <c r="R284">
        <v>2</v>
      </c>
      <c r="S284">
        <v>3</v>
      </c>
      <c r="T284">
        <v>3</v>
      </c>
      <c r="U284">
        <v>4</v>
      </c>
      <c r="V284">
        <v>1</v>
      </c>
      <c r="W284">
        <v>2</v>
      </c>
      <c r="X284">
        <v>4</v>
      </c>
      <c r="Y284">
        <v>3</v>
      </c>
      <c r="Z284">
        <v>4</v>
      </c>
      <c r="AA284">
        <v>4</v>
      </c>
      <c r="AB284">
        <v>2</v>
      </c>
      <c r="AC284">
        <v>2</v>
      </c>
      <c r="AD284">
        <v>4</v>
      </c>
      <c r="AE284">
        <v>4</v>
      </c>
      <c r="AF284">
        <v>3</v>
      </c>
      <c r="AG284">
        <v>2</v>
      </c>
      <c r="AH284">
        <v>3</v>
      </c>
      <c r="AI284">
        <v>3</v>
      </c>
      <c r="AJ284">
        <v>3</v>
      </c>
      <c r="AK284" t="b">
        <f>Table67[[#This Row],[What is your age?]]&lt;&gt;"18 - 25"</f>
        <v>0</v>
      </c>
      <c r="AL284" t="b">
        <f t="shared" si="16"/>
        <v>0</v>
      </c>
      <c r="AM284" t="b">
        <f t="shared" si="17"/>
        <v>0</v>
      </c>
      <c r="AN284" t="b">
        <f t="shared" si="18"/>
        <v>1</v>
      </c>
      <c r="AO284" t="b">
        <f>OR(Table67[[#This Row],[Ineligible respondents]:[Inconsistent response on opposite question (3)]])</f>
        <v>1</v>
      </c>
      <c r="AP28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284">
        <f>Table67[[#This Row],[Extreme Response]]/21</f>
        <v>4.7619047619047616E-2</v>
      </c>
      <c r="AR284">
        <f>_xlfn.PERCENTILE.INC(Table67[Extrem Response Ratio (ERS)],0.9)</f>
        <v>0.61904761904761907</v>
      </c>
      <c r="AS284" t="b">
        <f>Table67[[#This Row],[Extrem Response Ratio (ERS)]]&gt;=Table67[[#This Row],[Threshold of ERS]]</f>
        <v>0</v>
      </c>
      <c r="AT284">
        <f>COUNTIF(Table67[[#This Row],[The mechanism of digital assets is difficult to understand, which discourages me from exploring it (E.g, Tokenization, Blockchain)]:[If I want to try different ways to invest, I will explore digital assets.]], 3)</f>
        <v>6</v>
      </c>
      <c r="AU284">
        <f>Table67[[#This Row],[Midpoint]]/21</f>
        <v>0.2857142857142857</v>
      </c>
      <c r="AV284">
        <f>_xlfn.PERCENTILE.INC(Table67[Midpoint ratio],0.9)</f>
        <v>0.5714285714285714</v>
      </c>
      <c r="AW284" t="b">
        <f>Table67[[#This Row],[Midpoint ratio]]&gt;=Table67[[#This Row],[Threshold of Midpoint ratio]]</f>
        <v>0</v>
      </c>
      <c r="AX284" t="b">
        <f>OR(Table67[[#This Row],[Extreme Response Style]],Table67[[#This Row],[Mid-point Response Style]])</f>
        <v>0</v>
      </c>
      <c r="AY284" t="b">
        <f>OR(Table67[[#This Row],[Delete? (Stage 1)]],Table67[[#This Row],[Delete? (Stage 2)]])</f>
        <v>1</v>
      </c>
      <c r="AZ284" t="s">
        <v>84</v>
      </c>
    </row>
    <row r="285" spans="1:52">
      <c r="A285">
        <f t="shared" si="19"/>
        <v>284</v>
      </c>
      <c r="B285" s="3">
        <v>46040.761226851799</v>
      </c>
      <c r="C285" s="3">
        <v>46040.768530092602</v>
      </c>
      <c r="D285" t="s">
        <v>53</v>
      </c>
      <c r="G285" t="s">
        <v>54</v>
      </c>
      <c r="H285" t="s">
        <v>55</v>
      </c>
      <c r="I285" t="s">
        <v>56</v>
      </c>
      <c r="J285" t="s">
        <v>57</v>
      </c>
      <c r="K285" t="s">
        <v>57</v>
      </c>
      <c r="L285" t="s">
        <v>58</v>
      </c>
      <c r="M285" t="s">
        <v>58</v>
      </c>
      <c r="N285">
        <v>2</v>
      </c>
      <c r="O285">
        <v>1</v>
      </c>
      <c r="P285">
        <v>5</v>
      </c>
      <c r="Q285">
        <v>4</v>
      </c>
      <c r="R285">
        <v>1</v>
      </c>
      <c r="S285">
        <v>1</v>
      </c>
      <c r="T285">
        <v>2</v>
      </c>
      <c r="U285">
        <v>4</v>
      </c>
      <c r="V285">
        <v>4</v>
      </c>
      <c r="W285">
        <v>5</v>
      </c>
      <c r="X285">
        <v>4</v>
      </c>
      <c r="Y285">
        <v>3</v>
      </c>
      <c r="Z285">
        <v>4</v>
      </c>
      <c r="AA285">
        <v>2</v>
      </c>
      <c r="AB285">
        <v>1</v>
      </c>
      <c r="AC285">
        <v>2</v>
      </c>
      <c r="AD285">
        <v>5</v>
      </c>
      <c r="AE285">
        <v>4</v>
      </c>
      <c r="AF285">
        <v>5</v>
      </c>
      <c r="AG285">
        <v>3</v>
      </c>
      <c r="AH285">
        <v>4</v>
      </c>
      <c r="AI285">
        <v>2</v>
      </c>
      <c r="AJ285">
        <v>1</v>
      </c>
      <c r="AK285" t="b">
        <f>Table67[[#This Row],[What is your age?]]&lt;&gt;"18 - 25"</f>
        <v>0</v>
      </c>
      <c r="AL285" t="b">
        <f t="shared" si="16"/>
        <v>0</v>
      </c>
      <c r="AM285" t="b">
        <f t="shared" si="17"/>
        <v>0</v>
      </c>
      <c r="AN285" t="b">
        <f t="shared" si="18"/>
        <v>1</v>
      </c>
      <c r="AO285" t="b">
        <f>OR(Table67[[#This Row],[Ineligible respondents]:[Inconsistent response on opposite question (3)]])</f>
        <v>1</v>
      </c>
      <c r="AP28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285">
        <f>Table67[[#This Row],[Extreme Response]]/21</f>
        <v>0.38095238095238093</v>
      </c>
      <c r="AR285">
        <f>_xlfn.PERCENTILE.INC(Table67[Extrem Response Ratio (ERS)],0.9)</f>
        <v>0.61904761904761907</v>
      </c>
      <c r="AS285" t="b">
        <f>Table67[[#This Row],[Extrem Response Ratio (ERS)]]&gt;=Table67[[#This Row],[Threshold of ERS]]</f>
        <v>0</v>
      </c>
      <c r="AT285">
        <f>COUNTIF(Table67[[#This Row],[The mechanism of digital assets is difficult to understand, which discourages me from exploring it (E.g, Tokenization, Blockchain)]:[If I want to try different ways to invest, I will explore digital assets.]], 3)</f>
        <v>2</v>
      </c>
      <c r="AU285">
        <f>Table67[[#This Row],[Midpoint]]/21</f>
        <v>9.5238095238095233E-2</v>
      </c>
      <c r="AV285">
        <f>_xlfn.PERCENTILE.INC(Table67[Midpoint ratio],0.9)</f>
        <v>0.5714285714285714</v>
      </c>
      <c r="AW285" t="b">
        <f>Table67[[#This Row],[Midpoint ratio]]&gt;=Table67[[#This Row],[Threshold of Midpoint ratio]]</f>
        <v>0</v>
      </c>
      <c r="AX285" t="b">
        <f>OR(Table67[[#This Row],[Extreme Response Style]],Table67[[#This Row],[Mid-point Response Style]])</f>
        <v>0</v>
      </c>
      <c r="AY285" t="b">
        <f>OR(Table67[[#This Row],[Delete? (Stage 1)]],Table67[[#This Row],[Delete? (Stage 2)]])</f>
        <v>1</v>
      </c>
      <c r="AZ285" t="s">
        <v>84</v>
      </c>
    </row>
    <row r="286" spans="1:52">
      <c r="A286">
        <f t="shared" si="19"/>
        <v>285</v>
      </c>
      <c r="B286" s="3">
        <v>46040.761238425897</v>
      </c>
      <c r="C286" s="3">
        <v>46040.763136574104</v>
      </c>
      <c r="D286" t="s">
        <v>53</v>
      </c>
      <c r="G286" t="s">
        <v>54</v>
      </c>
      <c r="H286" t="s">
        <v>63</v>
      </c>
      <c r="I286" t="s">
        <v>56</v>
      </c>
      <c r="J286" t="s">
        <v>62</v>
      </c>
      <c r="K286" t="s">
        <v>62</v>
      </c>
      <c r="L286" t="s">
        <v>61</v>
      </c>
      <c r="M286" t="s">
        <v>58</v>
      </c>
      <c r="N286">
        <v>4</v>
      </c>
      <c r="O286">
        <v>4</v>
      </c>
      <c r="P286">
        <v>5</v>
      </c>
      <c r="Q286">
        <v>4</v>
      </c>
      <c r="R286">
        <v>3</v>
      </c>
      <c r="S286">
        <v>4</v>
      </c>
      <c r="T286">
        <v>2</v>
      </c>
      <c r="U286">
        <v>2</v>
      </c>
      <c r="V286">
        <v>5</v>
      </c>
      <c r="W286">
        <v>3</v>
      </c>
      <c r="X286">
        <v>4</v>
      </c>
      <c r="Y286">
        <v>3</v>
      </c>
      <c r="Z286">
        <v>5</v>
      </c>
      <c r="AA286">
        <v>4</v>
      </c>
      <c r="AB286">
        <v>5</v>
      </c>
      <c r="AC286">
        <v>3</v>
      </c>
      <c r="AD286">
        <v>4</v>
      </c>
      <c r="AE286">
        <v>2</v>
      </c>
      <c r="AF286">
        <v>5</v>
      </c>
      <c r="AG286">
        <v>4</v>
      </c>
      <c r="AH286">
        <v>3</v>
      </c>
      <c r="AI286">
        <v>3</v>
      </c>
      <c r="AJ286">
        <v>1</v>
      </c>
      <c r="AK286" t="b">
        <f>Table67[[#This Row],[What is your age?]]&lt;&gt;"18 - 25"</f>
        <v>0</v>
      </c>
      <c r="AL286" t="b">
        <f t="shared" si="16"/>
        <v>0</v>
      </c>
      <c r="AM286" t="b">
        <f t="shared" si="17"/>
        <v>0</v>
      </c>
      <c r="AN286" t="b">
        <f t="shared" si="18"/>
        <v>1</v>
      </c>
      <c r="AO286" t="b">
        <f>OR(Table67[[#This Row],[Ineligible respondents]:[Inconsistent response on opposite question (3)]])</f>
        <v>1</v>
      </c>
      <c r="AP28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286">
        <f>Table67[[#This Row],[Extreme Response]]/21</f>
        <v>0.23809523809523808</v>
      </c>
      <c r="AR286">
        <f>_xlfn.PERCENTILE.INC(Table67[Extrem Response Ratio (ERS)],0.9)</f>
        <v>0.61904761904761907</v>
      </c>
      <c r="AS286" t="b">
        <f>Table67[[#This Row],[Extrem Response Ratio (ERS)]]&gt;=Table67[[#This Row],[Threshold of ERS]]</f>
        <v>0</v>
      </c>
      <c r="AT286">
        <f>COUNTIF(Table67[[#This Row],[The mechanism of digital assets is difficult to understand, which discourages me from exploring it (E.g, Tokenization, Blockchain)]:[If I want to try different ways to invest, I will explore digital assets.]], 3)</f>
        <v>5</v>
      </c>
      <c r="AU286">
        <f>Table67[[#This Row],[Midpoint]]/21</f>
        <v>0.23809523809523808</v>
      </c>
      <c r="AV286">
        <f>_xlfn.PERCENTILE.INC(Table67[Midpoint ratio],0.9)</f>
        <v>0.5714285714285714</v>
      </c>
      <c r="AW286" t="b">
        <f>Table67[[#This Row],[Midpoint ratio]]&gt;=Table67[[#This Row],[Threshold of Midpoint ratio]]</f>
        <v>0</v>
      </c>
      <c r="AX286" t="b">
        <f>OR(Table67[[#This Row],[Extreme Response Style]],Table67[[#This Row],[Mid-point Response Style]])</f>
        <v>0</v>
      </c>
      <c r="AY286" t="b">
        <f>OR(Table67[[#This Row],[Delete? (Stage 1)]],Table67[[#This Row],[Delete? (Stage 2)]])</f>
        <v>1</v>
      </c>
      <c r="AZ286" t="s">
        <v>84</v>
      </c>
    </row>
    <row r="287" spans="1:52">
      <c r="A287">
        <f t="shared" si="19"/>
        <v>286</v>
      </c>
      <c r="B287" s="3">
        <v>46040.761250000003</v>
      </c>
      <c r="C287" s="3">
        <v>46040.763900462996</v>
      </c>
      <c r="D287" t="s">
        <v>53</v>
      </c>
      <c r="G287" t="s">
        <v>54</v>
      </c>
      <c r="H287" t="s">
        <v>55</v>
      </c>
      <c r="I287" t="s">
        <v>69</v>
      </c>
      <c r="J287" t="s">
        <v>62</v>
      </c>
      <c r="K287" t="s">
        <v>57</v>
      </c>
      <c r="L287" t="s">
        <v>58</v>
      </c>
      <c r="M287" t="s">
        <v>58</v>
      </c>
      <c r="N287">
        <v>5</v>
      </c>
      <c r="O287">
        <v>2</v>
      </c>
      <c r="P287">
        <v>5</v>
      </c>
      <c r="Q287">
        <v>5</v>
      </c>
      <c r="R287">
        <v>3</v>
      </c>
      <c r="S287">
        <v>4</v>
      </c>
      <c r="T287">
        <v>5</v>
      </c>
      <c r="U287">
        <v>4</v>
      </c>
      <c r="V287">
        <v>4</v>
      </c>
      <c r="W287">
        <v>1</v>
      </c>
      <c r="X287">
        <v>5</v>
      </c>
      <c r="Y287">
        <v>3</v>
      </c>
      <c r="Z287">
        <v>5</v>
      </c>
      <c r="AA287">
        <v>4</v>
      </c>
      <c r="AB287">
        <v>3</v>
      </c>
      <c r="AC287">
        <v>3</v>
      </c>
      <c r="AD287">
        <v>4</v>
      </c>
      <c r="AE287">
        <v>5</v>
      </c>
      <c r="AF287">
        <v>1</v>
      </c>
      <c r="AG287">
        <v>5</v>
      </c>
      <c r="AH287">
        <v>3</v>
      </c>
      <c r="AI287">
        <v>3</v>
      </c>
      <c r="AJ287">
        <v>5</v>
      </c>
      <c r="AK287" t="b">
        <f>Table67[[#This Row],[What is your age?]]&lt;&gt;"18 - 25"</f>
        <v>0</v>
      </c>
      <c r="AL287" t="b">
        <f t="shared" si="16"/>
        <v>0</v>
      </c>
      <c r="AM287" t="b">
        <f t="shared" si="17"/>
        <v>0</v>
      </c>
      <c r="AN287" t="b">
        <f t="shared" si="18"/>
        <v>1</v>
      </c>
      <c r="AO287" t="b">
        <f>OR(Table67[[#This Row],[Ineligible respondents]:[Inconsistent response on opposite question (3)]])</f>
        <v>1</v>
      </c>
      <c r="AP28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10</v>
      </c>
      <c r="AQ287">
        <f>Table67[[#This Row],[Extreme Response]]/21</f>
        <v>0.47619047619047616</v>
      </c>
      <c r="AR287">
        <f>_xlfn.PERCENTILE.INC(Table67[Extrem Response Ratio (ERS)],0.9)</f>
        <v>0.61904761904761907</v>
      </c>
      <c r="AS287" t="b">
        <f>Table67[[#This Row],[Extrem Response Ratio (ERS)]]&gt;=Table67[[#This Row],[Threshold of ERS]]</f>
        <v>0</v>
      </c>
      <c r="AT287">
        <f>COUNTIF(Table67[[#This Row],[The mechanism of digital assets is difficult to understand, which discourages me from exploring it (E.g, Tokenization, Blockchain)]:[If I want to try different ways to invest, I will explore digital assets.]], 3)</f>
        <v>5</v>
      </c>
      <c r="AU287">
        <f>Table67[[#This Row],[Midpoint]]/21</f>
        <v>0.23809523809523808</v>
      </c>
      <c r="AV287">
        <f>_xlfn.PERCENTILE.INC(Table67[Midpoint ratio],0.9)</f>
        <v>0.5714285714285714</v>
      </c>
      <c r="AW287" t="b">
        <f>Table67[[#This Row],[Midpoint ratio]]&gt;=Table67[[#This Row],[Threshold of Midpoint ratio]]</f>
        <v>0</v>
      </c>
      <c r="AX287" t="b">
        <f>OR(Table67[[#This Row],[Extreme Response Style]],Table67[[#This Row],[Mid-point Response Style]])</f>
        <v>0</v>
      </c>
      <c r="AY287" t="b">
        <f>OR(Table67[[#This Row],[Delete? (Stage 1)]],Table67[[#This Row],[Delete? (Stage 2)]])</f>
        <v>1</v>
      </c>
      <c r="AZ287" t="s">
        <v>84</v>
      </c>
    </row>
    <row r="288" spans="1:52">
      <c r="A288">
        <f t="shared" si="19"/>
        <v>287</v>
      </c>
      <c r="B288" s="3">
        <v>46040.761261574102</v>
      </c>
      <c r="C288" s="3">
        <v>46040.765729166698</v>
      </c>
      <c r="D288" t="s">
        <v>53</v>
      </c>
      <c r="G288" t="s">
        <v>54</v>
      </c>
      <c r="H288" t="s">
        <v>63</v>
      </c>
      <c r="I288" t="s">
        <v>71</v>
      </c>
      <c r="J288" t="s">
        <v>64</v>
      </c>
      <c r="K288" t="s">
        <v>60</v>
      </c>
      <c r="L288" t="s">
        <v>61</v>
      </c>
      <c r="M288" t="s">
        <v>61</v>
      </c>
      <c r="N288">
        <v>4</v>
      </c>
      <c r="O288">
        <v>4</v>
      </c>
      <c r="P288">
        <v>4</v>
      </c>
      <c r="Q288">
        <v>4</v>
      </c>
      <c r="R288">
        <v>4</v>
      </c>
      <c r="S288">
        <v>4</v>
      </c>
      <c r="T288">
        <v>3</v>
      </c>
      <c r="U288">
        <v>4</v>
      </c>
      <c r="V288">
        <v>3</v>
      </c>
      <c r="W288">
        <v>4</v>
      </c>
      <c r="X288">
        <v>2</v>
      </c>
      <c r="Y288">
        <v>4</v>
      </c>
      <c r="Z288">
        <v>4</v>
      </c>
      <c r="AA288">
        <v>4</v>
      </c>
      <c r="AB288">
        <v>3</v>
      </c>
      <c r="AC288">
        <v>3</v>
      </c>
      <c r="AD288">
        <v>4</v>
      </c>
      <c r="AE288">
        <v>3</v>
      </c>
      <c r="AF288">
        <v>4</v>
      </c>
      <c r="AG288">
        <v>4</v>
      </c>
      <c r="AH288">
        <v>4</v>
      </c>
      <c r="AI288">
        <v>2</v>
      </c>
      <c r="AJ288">
        <v>2</v>
      </c>
      <c r="AK288" t="b">
        <f>Table67[[#This Row],[What is your age?]]&lt;&gt;"18 - 25"</f>
        <v>0</v>
      </c>
      <c r="AL288" t="b">
        <f t="shared" si="16"/>
        <v>0</v>
      </c>
      <c r="AM288" t="b">
        <f t="shared" si="17"/>
        <v>1</v>
      </c>
      <c r="AN288" t="b">
        <f t="shared" si="18"/>
        <v>0</v>
      </c>
      <c r="AO288" t="b">
        <f>OR(Table67[[#This Row],[Ineligible respondents]:[Inconsistent response on opposite question (3)]])</f>
        <v>1</v>
      </c>
      <c r="AP28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88">
        <f>Table67[[#This Row],[Extreme Response]]/21</f>
        <v>0</v>
      </c>
      <c r="AR288">
        <f>_xlfn.PERCENTILE.INC(Table67[Extrem Response Ratio (ERS)],0.9)</f>
        <v>0.61904761904761907</v>
      </c>
      <c r="AS288" t="b">
        <f>Table67[[#This Row],[Extrem Response Ratio (ERS)]]&gt;=Table67[[#This Row],[Threshold of ERS]]</f>
        <v>0</v>
      </c>
      <c r="AT288">
        <f>COUNTIF(Table67[[#This Row],[The mechanism of digital assets is difficult to understand, which discourages me from exploring it (E.g, Tokenization, Blockchain)]:[If I want to try different ways to invest, I will explore digital assets.]], 3)</f>
        <v>5</v>
      </c>
      <c r="AU288">
        <f>Table67[[#This Row],[Midpoint]]/21</f>
        <v>0.23809523809523808</v>
      </c>
      <c r="AV288">
        <f>_xlfn.PERCENTILE.INC(Table67[Midpoint ratio],0.9)</f>
        <v>0.5714285714285714</v>
      </c>
      <c r="AW288" t="b">
        <f>Table67[[#This Row],[Midpoint ratio]]&gt;=Table67[[#This Row],[Threshold of Midpoint ratio]]</f>
        <v>0</v>
      </c>
      <c r="AX288" t="b">
        <f>OR(Table67[[#This Row],[Extreme Response Style]],Table67[[#This Row],[Mid-point Response Style]])</f>
        <v>0</v>
      </c>
      <c r="AY288" t="b">
        <f>OR(Table67[[#This Row],[Delete? (Stage 1)]],Table67[[#This Row],[Delete? (Stage 2)]])</f>
        <v>1</v>
      </c>
      <c r="AZ288" t="s">
        <v>84</v>
      </c>
    </row>
    <row r="289" spans="1:52">
      <c r="A289">
        <f t="shared" si="19"/>
        <v>288</v>
      </c>
      <c r="B289" s="3">
        <v>46040.761273148099</v>
      </c>
      <c r="C289" s="3">
        <v>46040.762650463003</v>
      </c>
      <c r="D289" t="s">
        <v>53</v>
      </c>
      <c r="G289" t="s">
        <v>54</v>
      </c>
      <c r="H289" t="s">
        <v>55</v>
      </c>
      <c r="I289" t="s">
        <v>56</v>
      </c>
      <c r="J289" t="s">
        <v>60</v>
      </c>
      <c r="K289" t="s">
        <v>62</v>
      </c>
      <c r="L289" t="s">
        <v>58</v>
      </c>
      <c r="M289" t="s">
        <v>61</v>
      </c>
      <c r="N289">
        <v>3</v>
      </c>
      <c r="O289">
        <v>4</v>
      </c>
      <c r="P289">
        <v>3</v>
      </c>
      <c r="Q289">
        <v>4</v>
      </c>
      <c r="R289">
        <v>4</v>
      </c>
      <c r="S289">
        <v>4</v>
      </c>
      <c r="T289">
        <v>4</v>
      </c>
      <c r="U289">
        <v>4</v>
      </c>
      <c r="V289">
        <v>4</v>
      </c>
      <c r="W289">
        <v>4</v>
      </c>
      <c r="X289">
        <v>4</v>
      </c>
      <c r="Y289">
        <v>3</v>
      </c>
      <c r="Z289">
        <v>4</v>
      </c>
      <c r="AA289">
        <v>3</v>
      </c>
      <c r="AB289">
        <v>3</v>
      </c>
      <c r="AC289">
        <v>4</v>
      </c>
      <c r="AD289">
        <v>4</v>
      </c>
      <c r="AE289">
        <v>5</v>
      </c>
      <c r="AF289">
        <v>5</v>
      </c>
      <c r="AG289">
        <v>5</v>
      </c>
      <c r="AH289">
        <v>5</v>
      </c>
      <c r="AI289">
        <v>1</v>
      </c>
      <c r="AJ289">
        <v>1</v>
      </c>
      <c r="AK289" t="b">
        <f>Table67[[#This Row],[What is your age?]]&lt;&gt;"18 - 25"</f>
        <v>0</v>
      </c>
      <c r="AL289" t="b">
        <f t="shared" si="16"/>
        <v>0</v>
      </c>
      <c r="AM289" t="b">
        <f t="shared" si="17"/>
        <v>1</v>
      </c>
      <c r="AN289" t="b">
        <f t="shared" si="18"/>
        <v>0</v>
      </c>
      <c r="AO289" t="b">
        <f>OR(Table67[[#This Row],[Ineligible respondents]:[Inconsistent response on opposite question (3)]])</f>
        <v>1</v>
      </c>
      <c r="AP28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289">
        <f>Table67[[#This Row],[Extreme Response]]/21</f>
        <v>0.19047619047619047</v>
      </c>
      <c r="AR289">
        <f>_xlfn.PERCENTILE.INC(Table67[Extrem Response Ratio (ERS)],0.9)</f>
        <v>0.61904761904761907</v>
      </c>
      <c r="AS289" t="b">
        <f>Table67[[#This Row],[Extrem Response Ratio (ERS)]]&gt;=Table67[[#This Row],[Threshold of ERS]]</f>
        <v>0</v>
      </c>
      <c r="AT289">
        <f>COUNTIF(Table67[[#This Row],[The mechanism of digital assets is difficult to understand, which discourages me from exploring it (E.g, Tokenization, Blockchain)]:[If I want to try different ways to invest, I will explore digital assets.]], 3)</f>
        <v>5</v>
      </c>
      <c r="AU289">
        <f>Table67[[#This Row],[Midpoint]]/21</f>
        <v>0.23809523809523808</v>
      </c>
      <c r="AV289">
        <f>_xlfn.PERCENTILE.INC(Table67[Midpoint ratio],0.9)</f>
        <v>0.5714285714285714</v>
      </c>
      <c r="AW289" t="b">
        <f>Table67[[#This Row],[Midpoint ratio]]&gt;=Table67[[#This Row],[Threshold of Midpoint ratio]]</f>
        <v>0</v>
      </c>
      <c r="AX289" t="b">
        <f>OR(Table67[[#This Row],[Extreme Response Style]],Table67[[#This Row],[Mid-point Response Style]])</f>
        <v>0</v>
      </c>
      <c r="AY289" t="b">
        <f>OR(Table67[[#This Row],[Delete? (Stage 1)]],Table67[[#This Row],[Delete? (Stage 2)]])</f>
        <v>1</v>
      </c>
      <c r="AZ289" t="s">
        <v>84</v>
      </c>
    </row>
    <row r="290" spans="1:52">
      <c r="A290">
        <f t="shared" si="19"/>
        <v>289</v>
      </c>
      <c r="B290" s="3">
        <v>46040.761296296303</v>
      </c>
      <c r="C290" s="3">
        <v>46040.7648148148</v>
      </c>
      <c r="D290" t="s">
        <v>53</v>
      </c>
      <c r="G290" t="s">
        <v>54</v>
      </c>
      <c r="H290" t="s">
        <v>55</v>
      </c>
      <c r="I290" t="s">
        <v>56</v>
      </c>
      <c r="J290" t="s">
        <v>60</v>
      </c>
      <c r="K290" t="s">
        <v>57</v>
      </c>
      <c r="L290" t="s">
        <v>58</v>
      </c>
      <c r="M290" t="s">
        <v>58</v>
      </c>
      <c r="N290">
        <v>5</v>
      </c>
      <c r="O290">
        <v>4</v>
      </c>
      <c r="P290">
        <v>5</v>
      </c>
      <c r="Q290">
        <v>5</v>
      </c>
      <c r="R290">
        <v>5</v>
      </c>
      <c r="S290">
        <v>5</v>
      </c>
      <c r="T290">
        <v>2</v>
      </c>
      <c r="U290">
        <v>2</v>
      </c>
      <c r="V290">
        <v>5</v>
      </c>
      <c r="W290">
        <v>5</v>
      </c>
      <c r="X290">
        <v>5</v>
      </c>
      <c r="Y290">
        <v>5</v>
      </c>
      <c r="Z290">
        <v>5</v>
      </c>
      <c r="AA290">
        <v>5</v>
      </c>
      <c r="AB290">
        <v>4</v>
      </c>
      <c r="AC290">
        <v>4</v>
      </c>
      <c r="AD290">
        <v>4</v>
      </c>
      <c r="AE290">
        <v>4</v>
      </c>
      <c r="AF290">
        <v>5</v>
      </c>
      <c r="AG290">
        <v>2</v>
      </c>
      <c r="AH290">
        <v>5</v>
      </c>
      <c r="AI290">
        <v>1</v>
      </c>
      <c r="AJ290">
        <v>1</v>
      </c>
      <c r="AK290" t="b">
        <f>Table67[[#This Row],[What is your age?]]&lt;&gt;"18 - 25"</f>
        <v>0</v>
      </c>
      <c r="AL290" t="b">
        <f t="shared" si="16"/>
        <v>0</v>
      </c>
      <c r="AM290" t="b">
        <f t="shared" si="17"/>
        <v>0</v>
      </c>
      <c r="AN290" t="b">
        <f t="shared" si="18"/>
        <v>0</v>
      </c>
      <c r="AO290" t="b">
        <f>OR(Table67[[#This Row],[Ineligible respondents]:[Inconsistent response on opposite question (3)]])</f>
        <v>0</v>
      </c>
      <c r="AP29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290">
        <f>Table67[[#This Row],[Extreme Response]]/21</f>
        <v>0.61904761904761907</v>
      </c>
      <c r="AR290">
        <f>_xlfn.PERCENTILE.INC(Table67[Extrem Response Ratio (ERS)],0.9)</f>
        <v>0.61904761904761907</v>
      </c>
      <c r="AS290" t="b">
        <f>Table67[[#This Row],[Extrem Response Ratio (ERS)]]&gt;=Table67[[#This Row],[Threshold of ERS]]</f>
        <v>1</v>
      </c>
      <c r="AT290">
        <f>COUNTIF(Table67[[#This Row],[The mechanism of digital assets is difficult to understand, which discourages me from exploring it (E.g, Tokenization, Blockchain)]:[If I want to try different ways to invest, I will explore digital assets.]], 3)</f>
        <v>0</v>
      </c>
      <c r="AU290">
        <f>Table67[[#This Row],[Midpoint]]/21</f>
        <v>0</v>
      </c>
      <c r="AV290">
        <f>_xlfn.PERCENTILE.INC(Table67[Midpoint ratio],0.9)</f>
        <v>0.5714285714285714</v>
      </c>
      <c r="AW290" t="b">
        <f>Table67[[#This Row],[Midpoint ratio]]&gt;=Table67[[#This Row],[Threshold of Midpoint ratio]]</f>
        <v>0</v>
      </c>
      <c r="AX290" t="b">
        <f>OR(Table67[[#This Row],[Extreme Response Style]],Table67[[#This Row],[Mid-point Response Style]])</f>
        <v>1</v>
      </c>
      <c r="AY290" t="b">
        <f>OR(Table67[[#This Row],[Delete? (Stage 1)]],Table67[[#This Row],[Delete? (Stage 2)]])</f>
        <v>1</v>
      </c>
      <c r="AZ290" t="s">
        <v>84</v>
      </c>
    </row>
    <row r="291" spans="1:52">
      <c r="A291">
        <f t="shared" si="19"/>
        <v>290</v>
      </c>
      <c r="B291" s="3">
        <v>46040.761469907397</v>
      </c>
      <c r="C291" s="3">
        <v>46040.7659375</v>
      </c>
      <c r="D291" t="s">
        <v>53</v>
      </c>
      <c r="G291" t="s">
        <v>54</v>
      </c>
      <c r="H291" t="s">
        <v>63</v>
      </c>
      <c r="I291" t="s">
        <v>56</v>
      </c>
      <c r="J291" t="s">
        <v>66</v>
      </c>
      <c r="K291" t="s">
        <v>66</v>
      </c>
      <c r="L291" t="s">
        <v>61</v>
      </c>
      <c r="M291" t="s">
        <v>61</v>
      </c>
      <c r="N291">
        <v>1</v>
      </c>
      <c r="O291">
        <v>1</v>
      </c>
      <c r="P291">
        <v>2</v>
      </c>
      <c r="Q291">
        <v>3</v>
      </c>
      <c r="R291">
        <v>5</v>
      </c>
      <c r="S291">
        <v>4</v>
      </c>
      <c r="T291">
        <v>1</v>
      </c>
      <c r="U291">
        <v>1</v>
      </c>
      <c r="V291">
        <v>1</v>
      </c>
      <c r="W291">
        <v>4</v>
      </c>
      <c r="X291">
        <v>1</v>
      </c>
      <c r="Y291">
        <v>4</v>
      </c>
      <c r="Z291">
        <v>5</v>
      </c>
      <c r="AA291">
        <v>2</v>
      </c>
      <c r="AB291">
        <v>3</v>
      </c>
      <c r="AC291">
        <v>2</v>
      </c>
      <c r="AD291">
        <v>4</v>
      </c>
      <c r="AE291">
        <v>3</v>
      </c>
      <c r="AF291">
        <v>5</v>
      </c>
      <c r="AG291">
        <v>5</v>
      </c>
      <c r="AH291">
        <v>3</v>
      </c>
      <c r="AI291">
        <v>3</v>
      </c>
      <c r="AJ291">
        <v>1</v>
      </c>
      <c r="AK291" t="b">
        <f>Table67[[#This Row],[What is your age?]]&lt;&gt;"18 - 25"</f>
        <v>0</v>
      </c>
      <c r="AL291" t="b">
        <f t="shared" si="16"/>
        <v>0</v>
      </c>
      <c r="AM291" t="b">
        <f t="shared" si="17"/>
        <v>0</v>
      </c>
      <c r="AN291" t="b">
        <f t="shared" si="18"/>
        <v>1</v>
      </c>
      <c r="AO291" t="b">
        <f>OR(Table67[[#This Row],[Ineligible respondents]:[Inconsistent response on opposite question (3)]])</f>
        <v>1</v>
      </c>
      <c r="AP29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10</v>
      </c>
      <c r="AQ291">
        <f>Table67[[#This Row],[Extreme Response]]/21</f>
        <v>0.47619047619047616</v>
      </c>
      <c r="AR291">
        <f>_xlfn.PERCENTILE.INC(Table67[Extrem Response Ratio (ERS)],0.9)</f>
        <v>0.61904761904761907</v>
      </c>
      <c r="AS291" t="b">
        <f>Table67[[#This Row],[Extrem Response Ratio (ERS)]]&gt;=Table67[[#This Row],[Threshold of ERS]]</f>
        <v>0</v>
      </c>
      <c r="AT291">
        <f>COUNTIF(Table67[[#This Row],[The mechanism of digital assets is difficult to understand, which discourages me from exploring it (E.g, Tokenization, Blockchain)]:[If I want to try different ways to invest, I will explore digital assets.]], 3)</f>
        <v>4</v>
      </c>
      <c r="AU291">
        <f>Table67[[#This Row],[Midpoint]]/21</f>
        <v>0.19047619047619047</v>
      </c>
      <c r="AV291">
        <f>_xlfn.PERCENTILE.INC(Table67[Midpoint ratio],0.9)</f>
        <v>0.5714285714285714</v>
      </c>
      <c r="AW291" t="b">
        <f>Table67[[#This Row],[Midpoint ratio]]&gt;=Table67[[#This Row],[Threshold of Midpoint ratio]]</f>
        <v>0</v>
      </c>
      <c r="AX291" t="b">
        <f>OR(Table67[[#This Row],[Extreme Response Style]],Table67[[#This Row],[Mid-point Response Style]])</f>
        <v>0</v>
      </c>
      <c r="AY291" t="b">
        <f>OR(Table67[[#This Row],[Delete? (Stage 1)]],Table67[[#This Row],[Delete? (Stage 2)]])</f>
        <v>1</v>
      </c>
      <c r="AZ291" t="s">
        <v>84</v>
      </c>
    </row>
    <row r="292" spans="1:52">
      <c r="A292">
        <f t="shared" si="19"/>
        <v>291</v>
      </c>
      <c r="B292" s="3">
        <v>46040.761481481502</v>
      </c>
      <c r="C292" s="3">
        <v>46040.772395833301</v>
      </c>
      <c r="D292" t="s">
        <v>53</v>
      </c>
      <c r="G292" t="s">
        <v>54</v>
      </c>
      <c r="H292" t="s">
        <v>63</v>
      </c>
      <c r="I292" t="s">
        <v>56</v>
      </c>
      <c r="J292" t="s">
        <v>66</v>
      </c>
      <c r="K292" t="s">
        <v>66</v>
      </c>
      <c r="L292" t="s">
        <v>58</v>
      </c>
      <c r="M292" t="s">
        <v>58</v>
      </c>
      <c r="N292">
        <v>1</v>
      </c>
      <c r="O292">
        <v>3</v>
      </c>
      <c r="P292">
        <v>4</v>
      </c>
      <c r="Q292">
        <v>3</v>
      </c>
      <c r="R292">
        <v>5</v>
      </c>
      <c r="S292">
        <v>5</v>
      </c>
      <c r="T292">
        <v>1</v>
      </c>
      <c r="U292">
        <v>3</v>
      </c>
      <c r="V292">
        <v>5</v>
      </c>
      <c r="W292">
        <v>5</v>
      </c>
      <c r="X292">
        <v>3</v>
      </c>
      <c r="Y292">
        <v>5</v>
      </c>
      <c r="Z292">
        <v>5</v>
      </c>
      <c r="AA292">
        <v>4</v>
      </c>
      <c r="AB292">
        <v>3</v>
      </c>
      <c r="AC292">
        <v>1</v>
      </c>
      <c r="AD292">
        <v>3</v>
      </c>
      <c r="AE292">
        <v>5</v>
      </c>
      <c r="AF292">
        <v>5</v>
      </c>
      <c r="AG292">
        <v>1</v>
      </c>
      <c r="AH292">
        <v>5</v>
      </c>
      <c r="AI292">
        <v>1</v>
      </c>
      <c r="AJ292">
        <v>1</v>
      </c>
      <c r="AK292" t="b">
        <f>Table67[[#This Row],[What is your age?]]&lt;&gt;"18 - 25"</f>
        <v>0</v>
      </c>
      <c r="AL292" t="b">
        <f t="shared" si="16"/>
        <v>0</v>
      </c>
      <c r="AM292" t="b">
        <f t="shared" si="17"/>
        <v>0</v>
      </c>
      <c r="AN292" t="b">
        <f t="shared" si="18"/>
        <v>0</v>
      </c>
      <c r="AO292" t="b">
        <f>OR(Table67[[#This Row],[Ineligible respondents]:[Inconsistent response on opposite question (3)]])</f>
        <v>0</v>
      </c>
      <c r="AP29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292">
        <f>Table67[[#This Row],[Extreme Response]]/21</f>
        <v>0.61904761904761907</v>
      </c>
      <c r="AR292">
        <f>_xlfn.PERCENTILE.INC(Table67[Extrem Response Ratio (ERS)],0.9)</f>
        <v>0.61904761904761907</v>
      </c>
      <c r="AS292" t="b">
        <f>Table67[[#This Row],[Extrem Response Ratio (ERS)]]&gt;=Table67[[#This Row],[Threshold of ERS]]</f>
        <v>1</v>
      </c>
      <c r="AT292">
        <f>COUNTIF(Table67[[#This Row],[The mechanism of digital assets is difficult to understand, which discourages me from exploring it (E.g, Tokenization, Blockchain)]:[If I want to try different ways to invest, I will explore digital assets.]], 3)</f>
        <v>6</v>
      </c>
      <c r="AU292">
        <f>Table67[[#This Row],[Midpoint]]/21</f>
        <v>0.2857142857142857</v>
      </c>
      <c r="AV292">
        <f>_xlfn.PERCENTILE.INC(Table67[Midpoint ratio],0.9)</f>
        <v>0.5714285714285714</v>
      </c>
      <c r="AW292" t="b">
        <f>Table67[[#This Row],[Midpoint ratio]]&gt;=Table67[[#This Row],[Threshold of Midpoint ratio]]</f>
        <v>0</v>
      </c>
      <c r="AX292" t="b">
        <f>OR(Table67[[#This Row],[Extreme Response Style]],Table67[[#This Row],[Mid-point Response Style]])</f>
        <v>1</v>
      </c>
      <c r="AY292" t="b">
        <f>OR(Table67[[#This Row],[Delete? (Stage 1)]],Table67[[#This Row],[Delete? (Stage 2)]])</f>
        <v>1</v>
      </c>
      <c r="AZ292" t="s">
        <v>84</v>
      </c>
    </row>
    <row r="293" spans="1:52">
      <c r="A293">
        <f t="shared" si="19"/>
        <v>292</v>
      </c>
      <c r="B293" s="3">
        <v>46040.761886574102</v>
      </c>
      <c r="C293" s="3">
        <v>46040.764178240701</v>
      </c>
      <c r="D293" t="s">
        <v>53</v>
      </c>
      <c r="G293" t="s">
        <v>54</v>
      </c>
      <c r="H293" t="s">
        <v>55</v>
      </c>
      <c r="I293" t="s">
        <v>71</v>
      </c>
      <c r="J293" t="s">
        <v>62</v>
      </c>
      <c r="K293" t="s">
        <v>62</v>
      </c>
      <c r="L293" t="s">
        <v>58</v>
      </c>
      <c r="M293" t="s">
        <v>58</v>
      </c>
      <c r="N293">
        <v>2</v>
      </c>
      <c r="O293">
        <v>3</v>
      </c>
      <c r="P293">
        <v>4</v>
      </c>
      <c r="Q293">
        <v>4</v>
      </c>
      <c r="R293">
        <v>2</v>
      </c>
      <c r="S293">
        <v>4</v>
      </c>
      <c r="T293">
        <v>3</v>
      </c>
      <c r="U293">
        <v>4</v>
      </c>
      <c r="V293">
        <v>5</v>
      </c>
      <c r="W293">
        <v>5</v>
      </c>
      <c r="X293">
        <v>4</v>
      </c>
      <c r="Y293">
        <v>5</v>
      </c>
      <c r="Z293">
        <v>5</v>
      </c>
      <c r="AA293">
        <v>3</v>
      </c>
      <c r="AB293">
        <v>4</v>
      </c>
      <c r="AC293">
        <v>2</v>
      </c>
      <c r="AD293">
        <v>5</v>
      </c>
      <c r="AE293">
        <v>5</v>
      </c>
      <c r="AF293">
        <v>3</v>
      </c>
      <c r="AG293">
        <v>3</v>
      </c>
      <c r="AH293">
        <v>4</v>
      </c>
      <c r="AI293">
        <v>2</v>
      </c>
      <c r="AJ293">
        <v>3</v>
      </c>
      <c r="AK293" t="b">
        <f>Table67[[#This Row],[What is your age?]]&lt;&gt;"18 - 25"</f>
        <v>0</v>
      </c>
      <c r="AL293" t="b">
        <f t="shared" si="16"/>
        <v>0</v>
      </c>
      <c r="AM293" t="b">
        <f t="shared" si="17"/>
        <v>0</v>
      </c>
      <c r="AN293" t="b">
        <f t="shared" si="18"/>
        <v>1</v>
      </c>
      <c r="AO293" t="b">
        <f>OR(Table67[[#This Row],[Ineligible respondents]:[Inconsistent response on opposite question (3)]])</f>
        <v>1</v>
      </c>
      <c r="AP29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293">
        <f>Table67[[#This Row],[Extreme Response]]/21</f>
        <v>0.2857142857142857</v>
      </c>
      <c r="AR293">
        <f>_xlfn.PERCENTILE.INC(Table67[Extrem Response Ratio (ERS)],0.9)</f>
        <v>0.61904761904761907</v>
      </c>
      <c r="AS293" t="b">
        <f>Table67[[#This Row],[Extrem Response Ratio (ERS)]]&gt;=Table67[[#This Row],[Threshold of ERS]]</f>
        <v>0</v>
      </c>
      <c r="AT293">
        <f>COUNTIF(Table67[[#This Row],[The mechanism of digital assets is difficult to understand, which discourages me from exploring it (E.g, Tokenization, Blockchain)]:[If I want to try different ways to invest, I will explore digital assets.]], 3)</f>
        <v>5</v>
      </c>
      <c r="AU293">
        <f>Table67[[#This Row],[Midpoint]]/21</f>
        <v>0.23809523809523808</v>
      </c>
      <c r="AV293">
        <f>_xlfn.PERCENTILE.INC(Table67[Midpoint ratio],0.9)</f>
        <v>0.5714285714285714</v>
      </c>
      <c r="AW293" t="b">
        <f>Table67[[#This Row],[Midpoint ratio]]&gt;=Table67[[#This Row],[Threshold of Midpoint ratio]]</f>
        <v>0</v>
      </c>
      <c r="AX293" t="b">
        <f>OR(Table67[[#This Row],[Extreme Response Style]],Table67[[#This Row],[Mid-point Response Style]])</f>
        <v>0</v>
      </c>
      <c r="AY293" t="b">
        <f>OR(Table67[[#This Row],[Delete? (Stage 1)]],Table67[[#This Row],[Delete? (Stage 2)]])</f>
        <v>1</v>
      </c>
      <c r="AZ293" t="s">
        <v>84</v>
      </c>
    </row>
    <row r="294" spans="1:52">
      <c r="A294">
        <f t="shared" si="19"/>
        <v>293</v>
      </c>
      <c r="B294" s="3">
        <v>46040.762256944399</v>
      </c>
      <c r="C294" s="3">
        <v>46040.764282407399</v>
      </c>
      <c r="D294" t="s">
        <v>53</v>
      </c>
      <c r="G294" t="s">
        <v>54</v>
      </c>
      <c r="H294" t="s">
        <v>55</v>
      </c>
      <c r="I294" t="s">
        <v>71</v>
      </c>
      <c r="J294" t="s">
        <v>64</v>
      </c>
      <c r="K294" t="s">
        <v>60</v>
      </c>
      <c r="L294" t="s">
        <v>61</v>
      </c>
      <c r="M294" t="s">
        <v>61</v>
      </c>
      <c r="N294">
        <v>4</v>
      </c>
      <c r="O294">
        <v>3</v>
      </c>
      <c r="P294">
        <v>5</v>
      </c>
      <c r="Q294">
        <v>4</v>
      </c>
      <c r="R294">
        <v>4</v>
      </c>
      <c r="S294">
        <v>5</v>
      </c>
      <c r="T294">
        <v>3</v>
      </c>
      <c r="U294">
        <v>5</v>
      </c>
      <c r="V294">
        <v>4</v>
      </c>
      <c r="W294">
        <v>5</v>
      </c>
      <c r="X294">
        <v>5</v>
      </c>
      <c r="Y294">
        <v>5</v>
      </c>
      <c r="Z294">
        <v>5</v>
      </c>
      <c r="AA294">
        <v>5</v>
      </c>
      <c r="AB294">
        <v>2</v>
      </c>
      <c r="AC294">
        <v>2</v>
      </c>
      <c r="AD294">
        <v>4</v>
      </c>
      <c r="AE294">
        <v>4</v>
      </c>
      <c r="AF294">
        <v>5</v>
      </c>
      <c r="AG294">
        <v>2</v>
      </c>
      <c r="AH294">
        <v>3</v>
      </c>
      <c r="AI294">
        <v>3</v>
      </c>
      <c r="AJ294">
        <v>1</v>
      </c>
      <c r="AK294" t="b">
        <f>Table67[[#This Row],[What is your age?]]&lt;&gt;"18 - 25"</f>
        <v>0</v>
      </c>
      <c r="AL294" t="b">
        <f t="shared" si="16"/>
        <v>0</v>
      </c>
      <c r="AM294" t="b">
        <f t="shared" si="17"/>
        <v>0</v>
      </c>
      <c r="AN294" t="b">
        <f t="shared" si="18"/>
        <v>1</v>
      </c>
      <c r="AO294" t="b">
        <f>OR(Table67[[#This Row],[Ineligible respondents]:[Inconsistent response on opposite question (3)]])</f>
        <v>1</v>
      </c>
      <c r="AP29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294">
        <f>Table67[[#This Row],[Extreme Response]]/21</f>
        <v>0.42857142857142855</v>
      </c>
      <c r="AR294">
        <f>_xlfn.PERCENTILE.INC(Table67[Extrem Response Ratio (ERS)],0.9)</f>
        <v>0.61904761904761907</v>
      </c>
      <c r="AS294" t="b">
        <f>Table67[[#This Row],[Extrem Response Ratio (ERS)]]&gt;=Table67[[#This Row],[Threshold of ERS]]</f>
        <v>0</v>
      </c>
      <c r="AT294">
        <f>COUNTIF(Table67[[#This Row],[The mechanism of digital assets is difficult to understand, which discourages me from exploring it (E.g, Tokenization, Blockchain)]:[If I want to try different ways to invest, I will explore digital assets.]], 3)</f>
        <v>3</v>
      </c>
      <c r="AU294">
        <f>Table67[[#This Row],[Midpoint]]/21</f>
        <v>0.14285714285714285</v>
      </c>
      <c r="AV294">
        <f>_xlfn.PERCENTILE.INC(Table67[Midpoint ratio],0.9)</f>
        <v>0.5714285714285714</v>
      </c>
      <c r="AW294" t="b">
        <f>Table67[[#This Row],[Midpoint ratio]]&gt;=Table67[[#This Row],[Threshold of Midpoint ratio]]</f>
        <v>0</v>
      </c>
      <c r="AX294" t="b">
        <f>OR(Table67[[#This Row],[Extreme Response Style]],Table67[[#This Row],[Mid-point Response Style]])</f>
        <v>0</v>
      </c>
      <c r="AY294" t="b">
        <f>OR(Table67[[#This Row],[Delete? (Stage 1)]],Table67[[#This Row],[Delete? (Stage 2)]])</f>
        <v>1</v>
      </c>
      <c r="AZ294" t="s">
        <v>84</v>
      </c>
    </row>
    <row r="295" spans="1:52">
      <c r="A295">
        <f t="shared" si="19"/>
        <v>294</v>
      </c>
      <c r="B295" s="3">
        <v>46040.762256944399</v>
      </c>
      <c r="C295" s="3">
        <v>46040.765949074099</v>
      </c>
      <c r="D295" t="s">
        <v>53</v>
      </c>
      <c r="G295" t="s">
        <v>54</v>
      </c>
      <c r="H295" t="s">
        <v>55</v>
      </c>
      <c r="I295" t="s">
        <v>56</v>
      </c>
      <c r="J295" t="s">
        <v>62</v>
      </c>
      <c r="K295" t="s">
        <v>62</v>
      </c>
      <c r="L295" t="s">
        <v>58</v>
      </c>
      <c r="M295" t="s">
        <v>58</v>
      </c>
      <c r="N295">
        <v>4</v>
      </c>
      <c r="O295">
        <v>3</v>
      </c>
      <c r="P295">
        <v>3</v>
      </c>
      <c r="Q295">
        <v>2</v>
      </c>
      <c r="R295">
        <v>2</v>
      </c>
      <c r="S295">
        <v>3</v>
      </c>
      <c r="T295">
        <v>4</v>
      </c>
      <c r="U295">
        <v>4</v>
      </c>
      <c r="V295">
        <v>3</v>
      </c>
      <c r="W295">
        <v>3</v>
      </c>
      <c r="X295">
        <v>4</v>
      </c>
      <c r="Y295">
        <v>3</v>
      </c>
      <c r="Z295">
        <v>4</v>
      </c>
      <c r="AA295">
        <v>4</v>
      </c>
      <c r="AB295">
        <v>4</v>
      </c>
      <c r="AC295">
        <v>3</v>
      </c>
      <c r="AD295">
        <v>4</v>
      </c>
      <c r="AE295">
        <v>4</v>
      </c>
      <c r="AF295">
        <v>4</v>
      </c>
      <c r="AG295">
        <v>4</v>
      </c>
      <c r="AH295">
        <v>3</v>
      </c>
      <c r="AI295">
        <v>3</v>
      </c>
      <c r="AJ295">
        <v>2</v>
      </c>
      <c r="AK295" t="b">
        <f>Table67[[#This Row],[What is your age?]]&lt;&gt;"18 - 25"</f>
        <v>0</v>
      </c>
      <c r="AL295" t="b">
        <f t="shared" si="16"/>
        <v>0</v>
      </c>
      <c r="AM295" t="b">
        <f t="shared" si="17"/>
        <v>0</v>
      </c>
      <c r="AN295" t="b">
        <f t="shared" si="18"/>
        <v>1</v>
      </c>
      <c r="AO295" t="b">
        <f>OR(Table67[[#This Row],[Ineligible respondents]:[Inconsistent response on opposite question (3)]])</f>
        <v>1</v>
      </c>
      <c r="AP29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95">
        <f>Table67[[#This Row],[Extreme Response]]/21</f>
        <v>0</v>
      </c>
      <c r="AR295">
        <f>_xlfn.PERCENTILE.INC(Table67[Extrem Response Ratio (ERS)],0.9)</f>
        <v>0.61904761904761907</v>
      </c>
      <c r="AS295" t="b">
        <f>Table67[[#This Row],[Extrem Response Ratio (ERS)]]&gt;=Table67[[#This Row],[Threshold of ERS]]</f>
        <v>0</v>
      </c>
      <c r="AT295">
        <f>COUNTIF(Table67[[#This Row],[The mechanism of digital assets is difficult to understand, which discourages me from exploring it (E.g, Tokenization, Blockchain)]:[If I want to try different ways to invest, I will explore digital assets.]], 3)</f>
        <v>8</v>
      </c>
      <c r="AU295">
        <f>Table67[[#This Row],[Midpoint]]/21</f>
        <v>0.38095238095238093</v>
      </c>
      <c r="AV295">
        <f>_xlfn.PERCENTILE.INC(Table67[Midpoint ratio],0.9)</f>
        <v>0.5714285714285714</v>
      </c>
      <c r="AW295" t="b">
        <f>Table67[[#This Row],[Midpoint ratio]]&gt;=Table67[[#This Row],[Threshold of Midpoint ratio]]</f>
        <v>0</v>
      </c>
      <c r="AX295" t="b">
        <f>OR(Table67[[#This Row],[Extreme Response Style]],Table67[[#This Row],[Mid-point Response Style]])</f>
        <v>0</v>
      </c>
      <c r="AY295" t="b">
        <f>OR(Table67[[#This Row],[Delete? (Stage 1)]],Table67[[#This Row],[Delete? (Stage 2)]])</f>
        <v>1</v>
      </c>
      <c r="AZ295" t="s">
        <v>84</v>
      </c>
    </row>
    <row r="296" spans="1:52">
      <c r="A296">
        <f t="shared" si="19"/>
        <v>295</v>
      </c>
      <c r="B296" s="3">
        <v>46040.763043981497</v>
      </c>
      <c r="C296" s="3">
        <v>46040.767384259299</v>
      </c>
      <c r="D296" t="s">
        <v>53</v>
      </c>
      <c r="G296" t="s">
        <v>54</v>
      </c>
      <c r="H296" t="s">
        <v>55</v>
      </c>
      <c r="I296" t="s">
        <v>56</v>
      </c>
      <c r="J296" t="s">
        <v>67</v>
      </c>
      <c r="K296" t="s">
        <v>62</v>
      </c>
      <c r="L296" t="s">
        <v>58</v>
      </c>
      <c r="M296" t="s">
        <v>58</v>
      </c>
      <c r="N296">
        <v>5</v>
      </c>
      <c r="O296">
        <v>5</v>
      </c>
      <c r="P296">
        <v>2</v>
      </c>
      <c r="Q296">
        <v>4</v>
      </c>
      <c r="R296">
        <v>4</v>
      </c>
      <c r="S296">
        <v>2</v>
      </c>
      <c r="T296">
        <v>4</v>
      </c>
      <c r="U296">
        <v>3</v>
      </c>
      <c r="V296">
        <v>3</v>
      </c>
      <c r="W296">
        <v>5</v>
      </c>
      <c r="X296">
        <v>5</v>
      </c>
      <c r="Y296">
        <v>4</v>
      </c>
      <c r="Z296">
        <v>5</v>
      </c>
      <c r="AA296">
        <v>4</v>
      </c>
      <c r="AB296">
        <v>5</v>
      </c>
      <c r="AC296">
        <v>4</v>
      </c>
      <c r="AD296">
        <v>5</v>
      </c>
      <c r="AE296">
        <v>4</v>
      </c>
      <c r="AF296">
        <v>3</v>
      </c>
      <c r="AG296">
        <v>4</v>
      </c>
      <c r="AH296">
        <v>4</v>
      </c>
      <c r="AI296">
        <v>2</v>
      </c>
      <c r="AJ296">
        <v>3</v>
      </c>
      <c r="AK296" t="b">
        <f>Table67[[#This Row],[What is your age?]]&lt;&gt;"18 - 25"</f>
        <v>0</v>
      </c>
      <c r="AL296" t="b">
        <f t="shared" si="16"/>
        <v>0</v>
      </c>
      <c r="AM296" t="b">
        <f t="shared" si="17"/>
        <v>1</v>
      </c>
      <c r="AN296" t="b">
        <f t="shared" si="18"/>
        <v>0</v>
      </c>
      <c r="AO296" t="b">
        <f>OR(Table67[[#This Row],[Ineligible respondents]:[Inconsistent response on opposite question (3)]])</f>
        <v>1</v>
      </c>
      <c r="AP29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296">
        <f>Table67[[#This Row],[Extreme Response]]/21</f>
        <v>0.33333333333333331</v>
      </c>
      <c r="AR296">
        <f>_xlfn.PERCENTILE.INC(Table67[Extrem Response Ratio (ERS)],0.9)</f>
        <v>0.61904761904761907</v>
      </c>
      <c r="AS296" t="b">
        <f>Table67[[#This Row],[Extrem Response Ratio (ERS)]]&gt;=Table67[[#This Row],[Threshold of ERS]]</f>
        <v>0</v>
      </c>
      <c r="AT296">
        <f>COUNTIF(Table67[[#This Row],[The mechanism of digital assets is difficult to understand, which discourages me from exploring it (E.g, Tokenization, Blockchain)]:[If I want to try different ways to invest, I will explore digital assets.]], 3)</f>
        <v>3</v>
      </c>
      <c r="AU296">
        <f>Table67[[#This Row],[Midpoint]]/21</f>
        <v>0.14285714285714285</v>
      </c>
      <c r="AV296">
        <f>_xlfn.PERCENTILE.INC(Table67[Midpoint ratio],0.9)</f>
        <v>0.5714285714285714</v>
      </c>
      <c r="AW296" t="b">
        <f>Table67[[#This Row],[Midpoint ratio]]&gt;=Table67[[#This Row],[Threshold of Midpoint ratio]]</f>
        <v>0</v>
      </c>
      <c r="AX296" t="b">
        <f>OR(Table67[[#This Row],[Extreme Response Style]],Table67[[#This Row],[Mid-point Response Style]])</f>
        <v>0</v>
      </c>
      <c r="AY296" t="b">
        <f>OR(Table67[[#This Row],[Delete? (Stage 1)]],Table67[[#This Row],[Delete? (Stage 2)]])</f>
        <v>1</v>
      </c>
      <c r="AZ296" t="s">
        <v>84</v>
      </c>
    </row>
    <row r="297" spans="1:52">
      <c r="A297">
        <f t="shared" si="19"/>
        <v>296</v>
      </c>
      <c r="B297" s="3">
        <v>46040.7632407407</v>
      </c>
      <c r="C297" s="3">
        <v>46040.772858796299</v>
      </c>
      <c r="D297" t="s">
        <v>53</v>
      </c>
      <c r="G297" t="s">
        <v>54</v>
      </c>
      <c r="H297" t="s">
        <v>63</v>
      </c>
      <c r="I297" t="s">
        <v>56</v>
      </c>
      <c r="J297" t="s">
        <v>62</v>
      </c>
      <c r="K297" t="s">
        <v>62</v>
      </c>
      <c r="L297" t="s">
        <v>61</v>
      </c>
      <c r="M297" t="s">
        <v>61</v>
      </c>
      <c r="N297">
        <v>3</v>
      </c>
      <c r="O297">
        <v>4</v>
      </c>
      <c r="P297">
        <v>4</v>
      </c>
      <c r="Q297">
        <v>3</v>
      </c>
      <c r="R297">
        <v>4</v>
      </c>
      <c r="S297">
        <v>4</v>
      </c>
      <c r="T297">
        <v>3</v>
      </c>
      <c r="U297">
        <v>4</v>
      </c>
      <c r="V297">
        <v>4</v>
      </c>
      <c r="W297">
        <v>4</v>
      </c>
      <c r="X297">
        <v>2</v>
      </c>
      <c r="Y297">
        <v>3</v>
      </c>
      <c r="Z297">
        <v>4</v>
      </c>
      <c r="AA297">
        <v>4</v>
      </c>
      <c r="AB297">
        <v>2</v>
      </c>
      <c r="AC297">
        <v>2</v>
      </c>
      <c r="AD297">
        <v>2</v>
      </c>
      <c r="AE297">
        <v>3</v>
      </c>
      <c r="AF297">
        <v>4</v>
      </c>
      <c r="AG297">
        <v>3</v>
      </c>
      <c r="AH297">
        <v>3</v>
      </c>
      <c r="AI297">
        <v>3</v>
      </c>
      <c r="AJ297">
        <v>2</v>
      </c>
      <c r="AK297" t="b">
        <f>Table67[[#This Row],[What is your age?]]&lt;&gt;"18 - 25"</f>
        <v>0</v>
      </c>
      <c r="AL297" t="b">
        <f t="shared" si="16"/>
        <v>0</v>
      </c>
      <c r="AM297" t="b">
        <f t="shared" si="17"/>
        <v>0</v>
      </c>
      <c r="AN297" t="b">
        <f t="shared" si="18"/>
        <v>0</v>
      </c>
      <c r="AO297" t="b">
        <f>OR(Table67[[#This Row],[Ineligible respondents]:[Inconsistent response on opposite question (3)]])</f>
        <v>0</v>
      </c>
      <c r="AP29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297">
        <f>Table67[[#This Row],[Extreme Response]]/21</f>
        <v>0</v>
      </c>
      <c r="AR297">
        <f>_xlfn.PERCENTILE.INC(Table67[Extrem Response Ratio (ERS)],0.9)</f>
        <v>0.61904761904761907</v>
      </c>
      <c r="AS297" t="b">
        <f>Table67[[#This Row],[Extrem Response Ratio (ERS)]]&gt;=Table67[[#This Row],[Threshold of ERS]]</f>
        <v>0</v>
      </c>
      <c r="AT297">
        <f>COUNTIF(Table67[[#This Row],[The mechanism of digital assets is difficult to understand, which discourages me from exploring it (E.g, Tokenization, Blockchain)]:[If I want to try different ways to invest, I will explore digital assets.]], 3)</f>
        <v>7</v>
      </c>
      <c r="AU297">
        <f>Table67[[#This Row],[Midpoint]]/21</f>
        <v>0.33333333333333331</v>
      </c>
      <c r="AV297">
        <f>_xlfn.PERCENTILE.INC(Table67[Midpoint ratio],0.9)</f>
        <v>0.5714285714285714</v>
      </c>
      <c r="AW297" t="b">
        <f>Table67[[#This Row],[Midpoint ratio]]&gt;=Table67[[#This Row],[Threshold of Midpoint ratio]]</f>
        <v>0</v>
      </c>
      <c r="AX297" t="b">
        <f>OR(Table67[[#This Row],[Extreme Response Style]],Table67[[#This Row],[Mid-point Response Style]])</f>
        <v>0</v>
      </c>
      <c r="AY297" t="b">
        <f>OR(Table67[[#This Row],[Delete? (Stage 1)]],Table67[[#This Row],[Delete? (Stage 2)]])</f>
        <v>0</v>
      </c>
      <c r="AZ297" t="s">
        <v>84</v>
      </c>
    </row>
    <row r="298" spans="1:52">
      <c r="A298">
        <f t="shared" si="19"/>
        <v>297</v>
      </c>
      <c r="B298" s="3">
        <v>46040.7635532407</v>
      </c>
      <c r="C298" s="3">
        <v>46040.777939814798</v>
      </c>
      <c r="D298" t="s">
        <v>53</v>
      </c>
      <c r="G298" t="s">
        <v>54</v>
      </c>
      <c r="H298" t="s">
        <v>63</v>
      </c>
      <c r="I298" t="s">
        <v>56</v>
      </c>
      <c r="J298" t="s">
        <v>60</v>
      </c>
      <c r="K298" t="s">
        <v>62</v>
      </c>
      <c r="L298" t="s">
        <v>61</v>
      </c>
      <c r="M298" t="s">
        <v>61</v>
      </c>
      <c r="N298">
        <v>2</v>
      </c>
      <c r="O298">
        <v>2</v>
      </c>
      <c r="P298">
        <v>3</v>
      </c>
      <c r="Q298">
        <v>2</v>
      </c>
      <c r="R298">
        <v>1</v>
      </c>
      <c r="S298">
        <v>2</v>
      </c>
      <c r="T298">
        <v>1</v>
      </c>
      <c r="U298">
        <v>3</v>
      </c>
      <c r="V298">
        <v>4</v>
      </c>
      <c r="W298">
        <v>4</v>
      </c>
      <c r="X298">
        <v>3</v>
      </c>
      <c r="Y298">
        <v>4</v>
      </c>
      <c r="Z298">
        <v>4</v>
      </c>
      <c r="AA298">
        <v>3</v>
      </c>
      <c r="AB298">
        <v>2</v>
      </c>
      <c r="AC298">
        <v>2</v>
      </c>
      <c r="AD298">
        <v>4</v>
      </c>
      <c r="AE298">
        <v>2</v>
      </c>
      <c r="AF298">
        <v>4</v>
      </c>
      <c r="AG298">
        <v>4</v>
      </c>
      <c r="AH298">
        <v>3</v>
      </c>
      <c r="AI298">
        <v>3</v>
      </c>
      <c r="AJ298">
        <v>2</v>
      </c>
      <c r="AK298" t="b">
        <f>Table67[[#This Row],[What is your age?]]&lt;&gt;"18 - 25"</f>
        <v>0</v>
      </c>
      <c r="AL298" t="b">
        <f t="shared" si="16"/>
        <v>0</v>
      </c>
      <c r="AM298" t="b">
        <f t="shared" si="17"/>
        <v>0</v>
      </c>
      <c r="AN298" t="b">
        <f t="shared" si="18"/>
        <v>1</v>
      </c>
      <c r="AO298" t="b">
        <f>OR(Table67[[#This Row],[Ineligible respondents]:[Inconsistent response on opposite question (3)]])</f>
        <v>1</v>
      </c>
      <c r="AP29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298">
        <f>Table67[[#This Row],[Extreme Response]]/21</f>
        <v>9.5238095238095233E-2</v>
      </c>
      <c r="AR298">
        <f>_xlfn.PERCENTILE.INC(Table67[Extrem Response Ratio (ERS)],0.9)</f>
        <v>0.61904761904761907</v>
      </c>
      <c r="AS298" t="b">
        <f>Table67[[#This Row],[Extrem Response Ratio (ERS)]]&gt;=Table67[[#This Row],[Threshold of ERS]]</f>
        <v>0</v>
      </c>
      <c r="AT298">
        <f>COUNTIF(Table67[[#This Row],[The mechanism of digital assets is difficult to understand, which discourages me from exploring it (E.g, Tokenization, Blockchain)]:[If I want to try different ways to invest, I will explore digital assets.]], 3)</f>
        <v>5</v>
      </c>
      <c r="AU298">
        <f>Table67[[#This Row],[Midpoint]]/21</f>
        <v>0.23809523809523808</v>
      </c>
      <c r="AV298">
        <f>_xlfn.PERCENTILE.INC(Table67[Midpoint ratio],0.9)</f>
        <v>0.5714285714285714</v>
      </c>
      <c r="AW298" t="b">
        <f>Table67[[#This Row],[Midpoint ratio]]&gt;=Table67[[#This Row],[Threshold of Midpoint ratio]]</f>
        <v>0</v>
      </c>
      <c r="AX298" t="b">
        <f>OR(Table67[[#This Row],[Extreme Response Style]],Table67[[#This Row],[Mid-point Response Style]])</f>
        <v>0</v>
      </c>
      <c r="AY298" t="b">
        <f>OR(Table67[[#This Row],[Delete? (Stage 1)]],Table67[[#This Row],[Delete? (Stage 2)]])</f>
        <v>1</v>
      </c>
      <c r="AZ298" t="s">
        <v>84</v>
      </c>
    </row>
    <row r="299" spans="1:52">
      <c r="A299">
        <f t="shared" si="19"/>
        <v>298</v>
      </c>
      <c r="B299" s="3">
        <v>46040.7643171296</v>
      </c>
      <c r="C299" s="3">
        <v>46040.772326388898</v>
      </c>
      <c r="D299" t="s">
        <v>53</v>
      </c>
      <c r="G299" t="s">
        <v>54</v>
      </c>
      <c r="H299" t="s">
        <v>63</v>
      </c>
      <c r="I299" t="s">
        <v>75</v>
      </c>
      <c r="J299" t="s">
        <v>62</v>
      </c>
      <c r="K299" t="s">
        <v>62</v>
      </c>
      <c r="L299" t="s">
        <v>58</v>
      </c>
      <c r="M299" t="s">
        <v>58</v>
      </c>
      <c r="N299">
        <v>4</v>
      </c>
      <c r="O299">
        <v>3</v>
      </c>
      <c r="P299">
        <v>5</v>
      </c>
      <c r="Q299">
        <v>4</v>
      </c>
      <c r="R299">
        <v>4</v>
      </c>
      <c r="S299">
        <v>5</v>
      </c>
      <c r="T299">
        <v>2</v>
      </c>
      <c r="U299">
        <v>4</v>
      </c>
      <c r="V299">
        <v>5</v>
      </c>
      <c r="W299">
        <v>4</v>
      </c>
      <c r="X299">
        <v>5</v>
      </c>
      <c r="Y299">
        <v>5</v>
      </c>
      <c r="Z299">
        <v>5</v>
      </c>
      <c r="AA299">
        <v>4</v>
      </c>
      <c r="AB299">
        <v>2</v>
      </c>
      <c r="AC299">
        <v>4</v>
      </c>
      <c r="AD299">
        <v>5</v>
      </c>
      <c r="AE299">
        <v>5</v>
      </c>
      <c r="AF299">
        <v>4</v>
      </c>
      <c r="AG299">
        <v>2</v>
      </c>
      <c r="AH299">
        <v>4</v>
      </c>
      <c r="AI299">
        <v>2</v>
      </c>
      <c r="AJ299">
        <v>2</v>
      </c>
      <c r="AK299" t="b">
        <f>Table67[[#This Row],[What is your age?]]&lt;&gt;"18 - 25"</f>
        <v>0</v>
      </c>
      <c r="AL299" t="b">
        <f t="shared" si="16"/>
        <v>0</v>
      </c>
      <c r="AM299" t="b">
        <f t="shared" si="17"/>
        <v>0</v>
      </c>
      <c r="AN299" t="b">
        <f t="shared" si="18"/>
        <v>0</v>
      </c>
      <c r="AO299" t="b">
        <f>OR(Table67[[#This Row],[Ineligible respondents]:[Inconsistent response on opposite question (3)]])</f>
        <v>0</v>
      </c>
      <c r="AP29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299">
        <f>Table67[[#This Row],[Extreme Response]]/21</f>
        <v>0.38095238095238093</v>
      </c>
      <c r="AR299">
        <f>_xlfn.PERCENTILE.INC(Table67[Extrem Response Ratio (ERS)],0.9)</f>
        <v>0.61904761904761907</v>
      </c>
      <c r="AS299" t="b">
        <f>Table67[[#This Row],[Extrem Response Ratio (ERS)]]&gt;=Table67[[#This Row],[Threshold of ERS]]</f>
        <v>0</v>
      </c>
      <c r="AT299">
        <f>COUNTIF(Table67[[#This Row],[The mechanism of digital assets is difficult to understand, which discourages me from exploring it (E.g, Tokenization, Blockchain)]:[If I want to try different ways to invest, I will explore digital assets.]], 3)</f>
        <v>1</v>
      </c>
      <c r="AU299">
        <f>Table67[[#This Row],[Midpoint]]/21</f>
        <v>4.7619047619047616E-2</v>
      </c>
      <c r="AV299">
        <f>_xlfn.PERCENTILE.INC(Table67[Midpoint ratio],0.9)</f>
        <v>0.5714285714285714</v>
      </c>
      <c r="AW299" t="b">
        <f>Table67[[#This Row],[Midpoint ratio]]&gt;=Table67[[#This Row],[Threshold of Midpoint ratio]]</f>
        <v>0</v>
      </c>
      <c r="AX299" t="b">
        <f>OR(Table67[[#This Row],[Extreme Response Style]],Table67[[#This Row],[Mid-point Response Style]])</f>
        <v>0</v>
      </c>
      <c r="AY299" t="b">
        <f>OR(Table67[[#This Row],[Delete? (Stage 1)]],Table67[[#This Row],[Delete? (Stage 2)]])</f>
        <v>0</v>
      </c>
      <c r="AZ299" t="s">
        <v>84</v>
      </c>
    </row>
    <row r="300" spans="1:52">
      <c r="A300">
        <f t="shared" si="19"/>
        <v>299</v>
      </c>
      <c r="B300" s="3">
        <v>46040.764351851903</v>
      </c>
      <c r="C300" s="3">
        <v>46040.768310185202</v>
      </c>
      <c r="D300" t="s">
        <v>53</v>
      </c>
      <c r="G300" t="s">
        <v>54</v>
      </c>
      <c r="H300" t="s">
        <v>55</v>
      </c>
      <c r="I300" t="s">
        <v>56</v>
      </c>
      <c r="J300" t="s">
        <v>62</v>
      </c>
      <c r="K300" t="s">
        <v>62</v>
      </c>
      <c r="L300" t="s">
        <v>58</v>
      </c>
      <c r="M300" t="s">
        <v>58</v>
      </c>
      <c r="N300">
        <v>5</v>
      </c>
      <c r="O300">
        <v>4</v>
      </c>
      <c r="P300">
        <v>4</v>
      </c>
      <c r="Q300">
        <v>4</v>
      </c>
      <c r="R300">
        <v>3</v>
      </c>
      <c r="S300">
        <v>4</v>
      </c>
      <c r="T300">
        <v>4</v>
      </c>
      <c r="U300">
        <v>5</v>
      </c>
      <c r="V300">
        <v>5</v>
      </c>
      <c r="W300">
        <v>4</v>
      </c>
      <c r="X300">
        <v>2</v>
      </c>
      <c r="Y300">
        <v>2</v>
      </c>
      <c r="Z300">
        <v>4</v>
      </c>
      <c r="AA300">
        <v>4</v>
      </c>
      <c r="AB300">
        <v>4</v>
      </c>
      <c r="AC300">
        <v>4</v>
      </c>
      <c r="AD300">
        <v>4</v>
      </c>
      <c r="AE300">
        <v>3</v>
      </c>
      <c r="AF300">
        <v>4</v>
      </c>
      <c r="AG300">
        <v>4</v>
      </c>
      <c r="AH300">
        <v>4</v>
      </c>
      <c r="AI300">
        <v>2</v>
      </c>
      <c r="AJ300">
        <v>2</v>
      </c>
      <c r="AK300" t="b">
        <f>Table67[[#This Row],[What is your age?]]&lt;&gt;"18 - 25"</f>
        <v>0</v>
      </c>
      <c r="AL300" t="b">
        <f t="shared" si="16"/>
        <v>0</v>
      </c>
      <c r="AM300" t="b">
        <f t="shared" si="17"/>
        <v>1</v>
      </c>
      <c r="AN300" t="b">
        <f t="shared" si="18"/>
        <v>0</v>
      </c>
      <c r="AO300" t="b">
        <f>OR(Table67[[#This Row],[Ineligible respondents]:[Inconsistent response on opposite question (3)]])</f>
        <v>1</v>
      </c>
      <c r="AP30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300">
        <f>Table67[[#This Row],[Extreme Response]]/21</f>
        <v>0.14285714285714285</v>
      </c>
      <c r="AR300">
        <f>_xlfn.PERCENTILE.INC(Table67[Extrem Response Ratio (ERS)],0.9)</f>
        <v>0.61904761904761907</v>
      </c>
      <c r="AS300" t="b">
        <f>Table67[[#This Row],[Extrem Response Ratio (ERS)]]&gt;=Table67[[#This Row],[Threshold of ERS]]</f>
        <v>0</v>
      </c>
      <c r="AT300">
        <f>COUNTIF(Table67[[#This Row],[The mechanism of digital assets is difficult to understand, which discourages me from exploring it (E.g, Tokenization, Blockchain)]:[If I want to try different ways to invest, I will explore digital assets.]], 3)</f>
        <v>2</v>
      </c>
      <c r="AU300">
        <f>Table67[[#This Row],[Midpoint]]/21</f>
        <v>9.5238095238095233E-2</v>
      </c>
      <c r="AV300">
        <f>_xlfn.PERCENTILE.INC(Table67[Midpoint ratio],0.9)</f>
        <v>0.5714285714285714</v>
      </c>
      <c r="AW300" t="b">
        <f>Table67[[#This Row],[Midpoint ratio]]&gt;=Table67[[#This Row],[Threshold of Midpoint ratio]]</f>
        <v>0</v>
      </c>
      <c r="AX300" t="b">
        <f>OR(Table67[[#This Row],[Extreme Response Style]],Table67[[#This Row],[Mid-point Response Style]])</f>
        <v>0</v>
      </c>
      <c r="AY300" t="b">
        <f>OR(Table67[[#This Row],[Delete? (Stage 1)]],Table67[[#This Row],[Delete? (Stage 2)]])</f>
        <v>1</v>
      </c>
      <c r="AZ300" t="s">
        <v>84</v>
      </c>
    </row>
    <row r="301" spans="1:52">
      <c r="A301">
        <f t="shared" si="19"/>
        <v>300</v>
      </c>
      <c r="B301" s="3">
        <v>46040.765462962998</v>
      </c>
      <c r="C301" s="3">
        <v>46040.767569444397</v>
      </c>
      <c r="D301" t="s">
        <v>53</v>
      </c>
      <c r="G301" t="s">
        <v>54</v>
      </c>
      <c r="H301" t="s">
        <v>63</v>
      </c>
      <c r="I301" t="s">
        <v>75</v>
      </c>
      <c r="J301" t="s">
        <v>65</v>
      </c>
      <c r="K301" t="s">
        <v>57</v>
      </c>
      <c r="L301" t="s">
        <v>58</v>
      </c>
      <c r="M301" t="s">
        <v>58</v>
      </c>
      <c r="N301">
        <v>5</v>
      </c>
      <c r="O301">
        <v>1</v>
      </c>
      <c r="P301">
        <v>5</v>
      </c>
      <c r="Q301">
        <v>5</v>
      </c>
      <c r="R301">
        <v>3</v>
      </c>
      <c r="S301">
        <v>4</v>
      </c>
      <c r="T301">
        <v>1</v>
      </c>
      <c r="U301">
        <v>2</v>
      </c>
      <c r="V301">
        <v>3</v>
      </c>
      <c r="W301">
        <v>3</v>
      </c>
      <c r="X301">
        <v>5</v>
      </c>
      <c r="Y301">
        <v>5</v>
      </c>
      <c r="Z301">
        <v>5</v>
      </c>
      <c r="AA301">
        <v>5</v>
      </c>
      <c r="AB301">
        <v>4</v>
      </c>
      <c r="AC301">
        <v>1</v>
      </c>
      <c r="AD301">
        <v>1</v>
      </c>
      <c r="AE301">
        <v>5</v>
      </c>
      <c r="AF301">
        <v>5</v>
      </c>
      <c r="AG301">
        <v>1</v>
      </c>
      <c r="AH301">
        <v>5</v>
      </c>
      <c r="AI301">
        <v>1</v>
      </c>
      <c r="AJ301">
        <v>1</v>
      </c>
      <c r="AK301" t="b">
        <f>Table67[[#This Row],[What is your age?]]&lt;&gt;"18 - 25"</f>
        <v>0</v>
      </c>
      <c r="AL301" t="b">
        <f t="shared" si="16"/>
        <v>0</v>
      </c>
      <c r="AM301" t="b">
        <f t="shared" si="17"/>
        <v>0</v>
      </c>
      <c r="AN301" t="b">
        <f t="shared" si="18"/>
        <v>0</v>
      </c>
      <c r="AO301" t="b">
        <f>OR(Table67[[#This Row],[Ineligible respondents]:[Inconsistent response on opposite question (3)]])</f>
        <v>0</v>
      </c>
      <c r="AP30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301">
        <f>Table67[[#This Row],[Extreme Response]]/21</f>
        <v>0.7142857142857143</v>
      </c>
      <c r="AR301">
        <f>_xlfn.PERCENTILE.INC(Table67[Extrem Response Ratio (ERS)],0.9)</f>
        <v>0.61904761904761907</v>
      </c>
      <c r="AS301" t="b">
        <f>Table67[[#This Row],[Extrem Response Ratio (ERS)]]&gt;=Table67[[#This Row],[Threshold of ERS]]</f>
        <v>1</v>
      </c>
      <c r="AT301">
        <f>COUNTIF(Table67[[#This Row],[The mechanism of digital assets is difficult to understand, which discourages me from exploring it (E.g, Tokenization, Blockchain)]:[If I want to try different ways to invest, I will explore digital assets.]], 3)</f>
        <v>3</v>
      </c>
      <c r="AU301">
        <f>Table67[[#This Row],[Midpoint]]/21</f>
        <v>0.14285714285714285</v>
      </c>
      <c r="AV301">
        <f>_xlfn.PERCENTILE.INC(Table67[Midpoint ratio],0.9)</f>
        <v>0.5714285714285714</v>
      </c>
      <c r="AW301" t="b">
        <f>Table67[[#This Row],[Midpoint ratio]]&gt;=Table67[[#This Row],[Threshold of Midpoint ratio]]</f>
        <v>0</v>
      </c>
      <c r="AX301" t="b">
        <f>OR(Table67[[#This Row],[Extreme Response Style]],Table67[[#This Row],[Mid-point Response Style]])</f>
        <v>1</v>
      </c>
      <c r="AY301" t="b">
        <f>OR(Table67[[#This Row],[Delete? (Stage 1)]],Table67[[#This Row],[Delete? (Stage 2)]])</f>
        <v>1</v>
      </c>
      <c r="AZ301" t="s">
        <v>84</v>
      </c>
    </row>
    <row r="302" spans="1:52">
      <c r="A302">
        <f t="shared" si="19"/>
        <v>301</v>
      </c>
      <c r="B302" s="3">
        <v>46040.7676967593</v>
      </c>
      <c r="C302" s="3">
        <v>46040.771539351903</v>
      </c>
      <c r="D302" t="s">
        <v>53</v>
      </c>
      <c r="G302" t="s">
        <v>54</v>
      </c>
      <c r="H302" t="s">
        <v>55</v>
      </c>
      <c r="I302" t="s">
        <v>75</v>
      </c>
      <c r="J302" t="s">
        <v>62</v>
      </c>
      <c r="K302" t="s">
        <v>62</v>
      </c>
      <c r="L302" t="s">
        <v>58</v>
      </c>
      <c r="M302" t="s">
        <v>58</v>
      </c>
      <c r="N302">
        <v>3</v>
      </c>
      <c r="O302">
        <v>2</v>
      </c>
      <c r="P302">
        <v>3</v>
      </c>
      <c r="Q302">
        <v>3</v>
      </c>
      <c r="R302">
        <v>2</v>
      </c>
      <c r="S302">
        <v>3</v>
      </c>
      <c r="T302">
        <v>2</v>
      </c>
      <c r="U302">
        <v>3</v>
      </c>
      <c r="V302">
        <v>5</v>
      </c>
      <c r="W302">
        <v>4</v>
      </c>
      <c r="X302">
        <v>4</v>
      </c>
      <c r="Y302">
        <v>4</v>
      </c>
      <c r="Z302">
        <v>4</v>
      </c>
      <c r="AA302">
        <v>3</v>
      </c>
      <c r="AB302">
        <v>3</v>
      </c>
      <c r="AC302">
        <v>2</v>
      </c>
      <c r="AD302">
        <v>4</v>
      </c>
      <c r="AE302">
        <v>3</v>
      </c>
      <c r="AF302">
        <v>3</v>
      </c>
      <c r="AG302">
        <v>3</v>
      </c>
      <c r="AH302">
        <v>4</v>
      </c>
      <c r="AI302">
        <v>2</v>
      </c>
      <c r="AJ302">
        <v>3</v>
      </c>
      <c r="AK302" t="b">
        <f>Table67[[#This Row],[What is your age?]]&lt;&gt;"18 - 25"</f>
        <v>0</v>
      </c>
      <c r="AL302" t="b">
        <f t="shared" si="16"/>
        <v>0</v>
      </c>
      <c r="AM302" t="b">
        <f t="shared" si="17"/>
        <v>0</v>
      </c>
      <c r="AN302" t="b">
        <f t="shared" si="18"/>
        <v>1</v>
      </c>
      <c r="AO302" t="b">
        <f>OR(Table67[[#This Row],[Ineligible respondents]:[Inconsistent response on opposite question (3)]])</f>
        <v>1</v>
      </c>
      <c r="AP30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302">
        <f>Table67[[#This Row],[Extreme Response]]/21</f>
        <v>4.7619047619047616E-2</v>
      </c>
      <c r="AR302">
        <f>_xlfn.PERCENTILE.INC(Table67[Extrem Response Ratio (ERS)],0.9)</f>
        <v>0.61904761904761907</v>
      </c>
      <c r="AS302" t="b">
        <f>Table67[[#This Row],[Extrem Response Ratio (ERS)]]&gt;=Table67[[#This Row],[Threshold of ERS]]</f>
        <v>0</v>
      </c>
      <c r="AT302">
        <f>COUNTIF(Table67[[#This Row],[The mechanism of digital assets is difficult to understand, which discourages me from exploring it (E.g, Tokenization, Blockchain)]:[If I want to try different ways to invest, I will explore digital assets.]], 3)</f>
        <v>10</v>
      </c>
      <c r="AU302">
        <f>Table67[[#This Row],[Midpoint]]/21</f>
        <v>0.47619047619047616</v>
      </c>
      <c r="AV302">
        <f>_xlfn.PERCENTILE.INC(Table67[Midpoint ratio],0.9)</f>
        <v>0.5714285714285714</v>
      </c>
      <c r="AW302" t="b">
        <f>Table67[[#This Row],[Midpoint ratio]]&gt;=Table67[[#This Row],[Threshold of Midpoint ratio]]</f>
        <v>0</v>
      </c>
      <c r="AX302" t="b">
        <f>OR(Table67[[#This Row],[Extreme Response Style]],Table67[[#This Row],[Mid-point Response Style]])</f>
        <v>0</v>
      </c>
      <c r="AY302" t="b">
        <f>OR(Table67[[#This Row],[Delete? (Stage 1)]],Table67[[#This Row],[Delete? (Stage 2)]])</f>
        <v>1</v>
      </c>
      <c r="AZ302" t="s">
        <v>84</v>
      </c>
    </row>
    <row r="303" spans="1:52">
      <c r="A303">
        <f t="shared" si="19"/>
        <v>302</v>
      </c>
      <c r="B303" s="3">
        <v>46040.767812500002</v>
      </c>
      <c r="C303" s="3">
        <v>46040.777905092596</v>
      </c>
      <c r="D303" t="s">
        <v>53</v>
      </c>
      <c r="G303" t="s">
        <v>54</v>
      </c>
      <c r="H303" t="s">
        <v>63</v>
      </c>
      <c r="I303" t="s">
        <v>56</v>
      </c>
      <c r="J303" t="s">
        <v>62</v>
      </c>
      <c r="K303" t="s">
        <v>62</v>
      </c>
      <c r="L303" t="s">
        <v>58</v>
      </c>
      <c r="M303" t="s">
        <v>58</v>
      </c>
      <c r="N303">
        <v>4</v>
      </c>
      <c r="O303">
        <v>1</v>
      </c>
      <c r="P303">
        <v>5</v>
      </c>
      <c r="Q303">
        <v>5</v>
      </c>
      <c r="R303">
        <v>5</v>
      </c>
      <c r="S303">
        <v>5</v>
      </c>
      <c r="T303">
        <v>3</v>
      </c>
      <c r="U303">
        <v>3</v>
      </c>
      <c r="V303">
        <v>5</v>
      </c>
      <c r="W303">
        <v>5</v>
      </c>
      <c r="X303">
        <v>5</v>
      </c>
      <c r="Y303">
        <v>5</v>
      </c>
      <c r="Z303">
        <v>5</v>
      </c>
      <c r="AA303">
        <v>5</v>
      </c>
      <c r="AB303">
        <v>3</v>
      </c>
      <c r="AC303">
        <v>1</v>
      </c>
      <c r="AD303">
        <v>4</v>
      </c>
      <c r="AE303">
        <v>5</v>
      </c>
      <c r="AF303">
        <v>5</v>
      </c>
      <c r="AG303">
        <v>1</v>
      </c>
      <c r="AH303">
        <v>5</v>
      </c>
      <c r="AI303">
        <v>1</v>
      </c>
      <c r="AJ303">
        <v>1</v>
      </c>
      <c r="AK303" t="b">
        <f>Table67[[#This Row],[What is your age?]]&lt;&gt;"18 - 25"</f>
        <v>0</v>
      </c>
      <c r="AL303" t="b">
        <f t="shared" si="16"/>
        <v>0</v>
      </c>
      <c r="AM303" t="b">
        <f t="shared" si="17"/>
        <v>0</v>
      </c>
      <c r="AN303" t="b">
        <f t="shared" si="18"/>
        <v>0</v>
      </c>
      <c r="AO303" t="b">
        <f>OR(Table67[[#This Row],[Ineligible respondents]:[Inconsistent response on opposite question (3)]])</f>
        <v>0</v>
      </c>
      <c r="AP30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16</v>
      </c>
      <c r="AQ303">
        <f>Table67[[#This Row],[Extreme Response]]/21</f>
        <v>0.76190476190476186</v>
      </c>
      <c r="AR303">
        <f>_xlfn.PERCENTILE.INC(Table67[Extrem Response Ratio (ERS)],0.9)</f>
        <v>0.61904761904761907</v>
      </c>
      <c r="AS303" t="b">
        <f>Table67[[#This Row],[Extrem Response Ratio (ERS)]]&gt;=Table67[[#This Row],[Threshold of ERS]]</f>
        <v>1</v>
      </c>
      <c r="AT303">
        <f>COUNTIF(Table67[[#This Row],[The mechanism of digital assets is difficult to understand, which discourages me from exploring it (E.g, Tokenization, Blockchain)]:[If I want to try different ways to invest, I will explore digital assets.]], 3)</f>
        <v>3</v>
      </c>
      <c r="AU303">
        <f>Table67[[#This Row],[Midpoint]]/21</f>
        <v>0.14285714285714285</v>
      </c>
      <c r="AV303">
        <f>_xlfn.PERCENTILE.INC(Table67[Midpoint ratio],0.9)</f>
        <v>0.5714285714285714</v>
      </c>
      <c r="AW303" t="b">
        <f>Table67[[#This Row],[Midpoint ratio]]&gt;=Table67[[#This Row],[Threshold of Midpoint ratio]]</f>
        <v>0</v>
      </c>
      <c r="AX303" t="b">
        <f>OR(Table67[[#This Row],[Extreme Response Style]],Table67[[#This Row],[Mid-point Response Style]])</f>
        <v>1</v>
      </c>
      <c r="AY303" t="b">
        <f>OR(Table67[[#This Row],[Delete? (Stage 1)]],Table67[[#This Row],[Delete? (Stage 2)]])</f>
        <v>1</v>
      </c>
      <c r="AZ303" t="s">
        <v>84</v>
      </c>
    </row>
    <row r="304" spans="1:52">
      <c r="A304">
        <f t="shared" si="19"/>
        <v>303</v>
      </c>
      <c r="B304" s="3">
        <v>46040.767928240697</v>
      </c>
      <c r="C304" s="3">
        <v>46040.777256944399</v>
      </c>
      <c r="D304" t="s">
        <v>53</v>
      </c>
      <c r="G304" t="s">
        <v>54</v>
      </c>
      <c r="H304" t="s">
        <v>55</v>
      </c>
      <c r="I304" t="s">
        <v>71</v>
      </c>
      <c r="J304" t="s">
        <v>57</v>
      </c>
      <c r="K304" t="s">
        <v>57</v>
      </c>
      <c r="L304" t="s">
        <v>58</v>
      </c>
      <c r="M304" t="s">
        <v>58</v>
      </c>
      <c r="N304">
        <v>4</v>
      </c>
      <c r="O304">
        <v>3</v>
      </c>
      <c r="P304">
        <v>5</v>
      </c>
      <c r="Q304">
        <v>4</v>
      </c>
      <c r="R304">
        <v>4</v>
      </c>
      <c r="S304">
        <v>5</v>
      </c>
      <c r="T304">
        <v>2</v>
      </c>
      <c r="U304">
        <v>4</v>
      </c>
      <c r="V304">
        <v>5</v>
      </c>
      <c r="W304">
        <v>5</v>
      </c>
      <c r="X304">
        <v>1</v>
      </c>
      <c r="Y304">
        <v>5</v>
      </c>
      <c r="Z304">
        <v>4</v>
      </c>
      <c r="AA304">
        <v>5</v>
      </c>
      <c r="AB304">
        <v>4</v>
      </c>
      <c r="AC304">
        <v>5</v>
      </c>
      <c r="AD304">
        <v>4</v>
      </c>
      <c r="AE304">
        <v>5</v>
      </c>
      <c r="AF304">
        <v>4</v>
      </c>
      <c r="AG304">
        <v>3</v>
      </c>
      <c r="AH304">
        <v>4</v>
      </c>
      <c r="AI304">
        <v>2</v>
      </c>
      <c r="AJ304">
        <v>2</v>
      </c>
      <c r="AK304" t="b">
        <f>Table67[[#This Row],[What is your age?]]&lt;&gt;"18 - 25"</f>
        <v>0</v>
      </c>
      <c r="AL304" t="b">
        <f t="shared" si="16"/>
        <v>0</v>
      </c>
      <c r="AM304" t="b">
        <f t="shared" si="17"/>
        <v>0</v>
      </c>
      <c r="AN304" t="b">
        <f t="shared" si="18"/>
        <v>1</v>
      </c>
      <c r="AO304" t="b">
        <f>OR(Table67[[#This Row],[Ineligible respondents]:[Inconsistent response on opposite question (3)]])</f>
        <v>1</v>
      </c>
      <c r="AP30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304">
        <f>Table67[[#This Row],[Extreme Response]]/21</f>
        <v>0.42857142857142855</v>
      </c>
      <c r="AR304">
        <f>_xlfn.PERCENTILE.INC(Table67[Extrem Response Ratio (ERS)],0.9)</f>
        <v>0.61904761904761907</v>
      </c>
      <c r="AS304" t="b">
        <f>Table67[[#This Row],[Extrem Response Ratio (ERS)]]&gt;=Table67[[#This Row],[Threshold of ERS]]</f>
        <v>0</v>
      </c>
      <c r="AT304">
        <f>COUNTIF(Table67[[#This Row],[The mechanism of digital assets is difficult to understand, which discourages me from exploring it (E.g, Tokenization, Blockchain)]:[If I want to try different ways to invest, I will explore digital assets.]], 3)</f>
        <v>2</v>
      </c>
      <c r="AU304">
        <f>Table67[[#This Row],[Midpoint]]/21</f>
        <v>9.5238095238095233E-2</v>
      </c>
      <c r="AV304">
        <f>_xlfn.PERCENTILE.INC(Table67[Midpoint ratio],0.9)</f>
        <v>0.5714285714285714</v>
      </c>
      <c r="AW304" t="b">
        <f>Table67[[#This Row],[Midpoint ratio]]&gt;=Table67[[#This Row],[Threshold of Midpoint ratio]]</f>
        <v>0</v>
      </c>
      <c r="AX304" t="b">
        <f>OR(Table67[[#This Row],[Extreme Response Style]],Table67[[#This Row],[Mid-point Response Style]])</f>
        <v>0</v>
      </c>
      <c r="AY304" t="b">
        <f>OR(Table67[[#This Row],[Delete? (Stage 1)]],Table67[[#This Row],[Delete? (Stage 2)]])</f>
        <v>1</v>
      </c>
      <c r="AZ304" t="s">
        <v>84</v>
      </c>
    </row>
    <row r="305" spans="1:52">
      <c r="A305">
        <f t="shared" si="19"/>
        <v>304</v>
      </c>
      <c r="B305" s="3">
        <v>46040.772696759297</v>
      </c>
      <c r="C305" s="3">
        <v>46040.7745601852</v>
      </c>
      <c r="D305" t="s">
        <v>53</v>
      </c>
      <c r="G305" t="s">
        <v>54</v>
      </c>
      <c r="H305" t="s">
        <v>63</v>
      </c>
      <c r="I305" t="s">
        <v>69</v>
      </c>
      <c r="J305" t="s">
        <v>62</v>
      </c>
      <c r="K305" t="s">
        <v>57</v>
      </c>
      <c r="L305" t="s">
        <v>58</v>
      </c>
      <c r="M305" t="s">
        <v>58</v>
      </c>
      <c r="N305">
        <v>4</v>
      </c>
      <c r="O305">
        <v>3</v>
      </c>
      <c r="P305">
        <v>5</v>
      </c>
      <c r="Q305">
        <v>3</v>
      </c>
      <c r="R305">
        <v>1</v>
      </c>
      <c r="S305">
        <v>3</v>
      </c>
      <c r="T305">
        <v>3</v>
      </c>
      <c r="U305">
        <v>3</v>
      </c>
      <c r="V305">
        <v>4</v>
      </c>
      <c r="W305">
        <v>4</v>
      </c>
      <c r="X305">
        <v>4</v>
      </c>
      <c r="Y305">
        <v>5</v>
      </c>
      <c r="Z305">
        <v>5</v>
      </c>
      <c r="AA305">
        <v>4</v>
      </c>
      <c r="AB305">
        <v>4</v>
      </c>
      <c r="AC305">
        <v>3</v>
      </c>
      <c r="AD305">
        <v>5</v>
      </c>
      <c r="AE305">
        <v>4</v>
      </c>
      <c r="AF305">
        <v>3</v>
      </c>
      <c r="AG305">
        <v>4</v>
      </c>
      <c r="AH305">
        <v>3</v>
      </c>
      <c r="AI305">
        <v>3</v>
      </c>
      <c r="AJ305">
        <v>3</v>
      </c>
      <c r="AK305" t="b">
        <f>Table67[[#This Row],[What is your age?]]&lt;&gt;"18 - 25"</f>
        <v>0</v>
      </c>
      <c r="AL305" t="b">
        <f t="shared" si="16"/>
        <v>0</v>
      </c>
      <c r="AM305" t="b">
        <f t="shared" si="17"/>
        <v>0</v>
      </c>
      <c r="AN305" t="b">
        <f t="shared" si="18"/>
        <v>1</v>
      </c>
      <c r="AO305" t="b">
        <f>OR(Table67[[#This Row],[Ineligible respondents]:[Inconsistent response on opposite question (3)]])</f>
        <v>1</v>
      </c>
      <c r="AP30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305">
        <f>Table67[[#This Row],[Extreme Response]]/21</f>
        <v>0.23809523809523808</v>
      </c>
      <c r="AR305">
        <f>_xlfn.PERCENTILE.INC(Table67[Extrem Response Ratio (ERS)],0.9)</f>
        <v>0.61904761904761907</v>
      </c>
      <c r="AS305" t="b">
        <f>Table67[[#This Row],[Extrem Response Ratio (ERS)]]&gt;=Table67[[#This Row],[Threshold of ERS]]</f>
        <v>0</v>
      </c>
      <c r="AT305">
        <f>COUNTIF(Table67[[#This Row],[The mechanism of digital assets is difficult to understand, which discourages me from exploring it (E.g, Tokenization, Blockchain)]:[If I want to try different ways to invest, I will explore digital assets.]], 3)</f>
        <v>8</v>
      </c>
      <c r="AU305">
        <f>Table67[[#This Row],[Midpoint]]/21</f>
        <v>0.38095238095238093</v>
      </c>
      <c r="AV305">
        <f>_xlfn.PERCENTILE.INC(Table67[Midpoint ratio],0.9)</f>
        <v>0.5714285714285714</v>
      </c>
      <c r="AW305" t="b">
        <f>Table67[[#This Row],[Midpoint ratio]]&gt;=Table67[[#This Row],[Threshold of Midpoint ratio]]</f>
        <v>0</v>
      </c>
      <c r="AX305" t="b">
        <f>OR(Table67[[#This Row],[Extreme Response Style]],Table67[[#This Row],[Mid-point Response Style]])</f>
        <v>0</v>
      </c>
      <c r="AY305" t="b">
        <f>OR(Table67[[#This Row],[Delete? (Stage 1)]],Table67[[#This Row],[Delete? (Stage 2)]])</f>
        <v>1</v>
      </c>
      <c r="AZ305" t="s">
        <v>84</v>
      </c>
    </row>
    <row r="306" spans="1:52">
      <c r="A306">
        <f t="shared" si="19"/>
        <v>305</v>
      </c>
      <c r="B306" s="3">
        <v>46040.772754629601</v>
      </c>
      <c r="C306" s="3">
        <v>46040.777025463001</v>
      </c>
      <c r="D306" t="s">
        <v>53</v>
      </c>
      <c r="G306" t="s">
        <v>54</v>
      </c>
      <c r="H306" t="s">
        <v>63</v>
      </c>
      <c r="I306" t="s">
        <v>56</v>
      </c>
      <c r="J306" t="s">
        <v>62</v>
      </c>
      <c r="K306" t="s">
        <v>62</v>
      </c>
      <c r="L306" t="s">
        <v>58</v>
      </c>
      <c r="M306" t="s">
        <v>58</v>
      </c>
      <c r="N306">
        <v>4</v>
      </c>
      <c r="O306">
        <v>2</v>
      </c>
      <c r="P306">
        <v>4</v>
      </c>
      <c r="Q306">
        <v>3</v>
      </c>
      <c r="R306">
        <v>4</v>
      </c>
      <c r="S306">
        <v>4</v>
      </c>
      <c r="T306">
        <v>2</v>
      </c>
      <c r="U306">
        <v>4</v>
      </c>
      <c r="V306">
        <v>4</v>
      </c>
      <c r="W306">
        <v>4</v>
      </c>
      <c r="X306">
        <v>5</v>
      </c>
      <c r="Y306">
        <v>4</v>
      </c>
      <c r="Z306">
        <v>2</v>
      </c>
      <c r="AA306">
        <v>3</v>
      </c>
      <c r="AB306">
        <v>2</v>
      </c>
      <c r="AC306">
        <v>3</v>
      </c>
      <c r="AD306">
        <v>4</v>
      </c>
      <c r="AE306">
        <v>4</v>
      </c>
      <c r="AF306">
        <v>2</v>
      </c>
      <c r="AG306">
        <v>3</v>
      </c>
      <c r="AH306">
        <v>4</v>
      </c>
      <c r="AI306">
        <v>2</v>
      </c>
      <c r="AJ306">
        <v>4</v>
      </c>
      <c r="AK306" t="b">
        <f>Table67[[#This Row],[What is your age?]]&lt;&gt;"18 - 25"</f>
        <v>0</v>
      </c>
      <c r="AL306" t="b">
        <f t="shared" si="16"/>
        <v>0</v>
      </c>
      <c r="AM306" t="b">
        <f t="shared" si="17"/>
        <v>0</v>
      </c>
      <c r="AN306" t="b">
        <f t="shared" si="18"/>
        <v>1</v>
      </c>
      <c r="AO306" t="b">
        <f>OR(Table67[[#This Row],[Ineligible respondents]:[Inconsistent response on opposite question (3)]])</f>
        <v>1</v>
      </c>
      <c r="AP30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306">
        <f>Table67[[#This Row],[Extreme Response]]/21</f>
        <v>4.7619047619047616E-2</v>
      </c>
      <c r="AR306">
        <f>_xlfn.PERCENTILE.INC(Table67[Extrem Response Ratio (ERS)],0.9)</f>
        <v>0.61904761904761907</v>
      </c>
      <c r="AS306" t="b">
        <f>Table67[[#This Row],[Extrem Response Ratio (ERS)]]&gt;=Table67[[#This Row],[Threshold of ERS]]</f>
        <v>0</v>
      </c>
      <c r="AT306">
        <f>COUNTIF(Table67[[#This Row],[The mechanism of digital assets is difficult to understand, which discourages me from exploring it (E.g, Tokenization, Blockchain)]:[If I want to try different ways to invest, I will explore digital assets.]], 3)</f>
        <v>4</v>
      </c>
      <c r="AU306">
        <f>Table67[[#This Row],[Midpoint]]/21</f>
        <v>0.19047619047619047</v>
      </c>
      <c r="AV306">
        <f>_xlfn.PERCENTILE.INC(Table67[Midpoint ratio],0.9)</f>
        <v>0.5714285714285714</v>
      </c>
      <c r="AW306" t="b">
        <f>Table67[[#This Row],[Midpoint ratio]]&gt;=Table67[[#This Row],[Threshold of Midpoint ratio]]</f>
        <v>0</v>
      </c>
      <c r="AX306" t="b">
        <f>OR(Table67[[#This Row],[Extreme Response Style]],Table67[[#This Row],[Mid-point Response Style]])</f>
        <v>0</v>
      </c>
      <c r="AY306" t="b">
        <f>OR(Table67[[#This Row],[Delete? (Stage 1)]],Table67[[#This Row],[Delete? (Stage 2)]])</f>
        <v>1</v>
      </c>
      <c r="AZ306" t="s">
        <v>84</v>
      </c>
    </row>
    <row r="307" spans="1:52">
      <c r="A307">
        <f t="shared" si="19"/>
        <v>306</v>
      </c>
      <c r="B307" s="3">
        <v>46040.774861111102</v>
      </c>
      <c r="C307" s="3">
        <v>46040.785138888903</v>
      </c>
      <c r="D307" t="s">
        <v>53</v>
      </c>
      <c r="G307" t="s">
        <v>54</v>
      </c>
      <c r="H307" t="s">
        <v>55</v>
      </c>
      <c r="I307" t="s">
        <v>56</v>
      </c>
      <c r="J307" t="s">
        <v>62</v>
      </c>
      <c r="K307" t="s">
        <v>57</v>
      </c>
      <c r="L307" t="s">
        <v>58</v>
      </c>
      <c r="M307" t="s">
        <v>58</v>
      </c>
      <c r="N307">
        <v>3</v>
      </c>
      <c r="O307">
        <v>4</v>
      </c>
      <c r="P307">
        <v>5</v>
      </c>
      <c r="Q307">
        <v>5</v>
      </c>
      <c r="R307">
        <v>5</v>
      </c>
      <c r="S307">
        <v>5</v>
      </c>
      <c r="T307">
        <v>2</v>
      </c>
      <c r="U307">
        <v>5</v>
      </c>
      <c r="V307">
        <v>5</v>
      </c>
      <c r="W307">
        <v>4</v>
      </c>
      <c r="X307">
        <v>5</v>
      </c>
      <c r="Y307">
        <v>5</v>
      </c>
      <c r="Z307">
        <v>5</v>
      </c>
      <c r="AA307">
        <v>5</v>
      </c>
      <c r="AB307">
        <v>3</v>
      </c>
      <c r="AC307">
        <v>3</v>
      </c>
      <c r="AD307">
        <v>5</v>
      </c>
      <c r="AE307">
        <v>5</v>
      </c>
      <c r="AF307">
        <v>3</v>
      </c>
      <c r="AG307">
        <v>4</v>
      </c>
      <c r="AH307">
        <v>4</v>
      </c>
      <c r="AI307">
        <v>2</v>
      </c>
      <c r="AJ307">
        <v>3</v>
      </c>
      <c r="AK307" t="b">
        <f>Table67[[#This Row],[What is your age?]]&lt;&gt;"18 - 25"</f>
        <v>0</v>
      </c>
      <c r="AL307" t="b">
        <f t="shared" si="16"/>
        <v>0</v>
      </c>
      <c r="AM307" t="b">
        <f t="shared" si="17"/>
        <v>1</v>
      </c>
      <c r="AN307" t="b">
        <f t="shared" si="18"/>
        <v>0</v>
      </c>
      <c r="AO307" t="b">
        <f>OR(Table67[[#This Row],[Ineligible respondents]:[Inconsistent response on opposite question (3)]])</f>
        <v>1</v>
      </c>
      <c r="AP30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12</v>
      </c>
      <c r="AQ307">
        <f>Table67[[#This Row],[Extreme Response]]/21</f>
        <v>0.5714285714285714</v>
      </c>
      <c r="AR307">
        <f>_xlfn.PERCENTILE.INC(Table67[Extrem Response Ratio (ERS)],0.9)</f>
        <v>0.61904761904761907</v>
      </c>
      <c r="AS307" t="b">
        <f>Table67[[#This Row],[Extrem Response Ratio (ERS)]]&gt;=Table67[[#This Row],[Threshold of ERS]]</f>
        <v>0</v>
      </c>
      <c r="AT307">
        <f>COUNTIF(Table67[[#This Row],[The mechanism of digital assets is difficult to understand, which discourages me from exploring it (E.g, Tokenization, Blockchain)]:[If I want to try different ways to invest, I will explore digital assets.]], 3)</f>
        <v>4</v>
      </c>
      <c r="AU307">
        <f>Table67[[#This Row],[Midpoint]]/21</f>
        <v>0.19047619047619047</v>
      </c>
      <c r="AV307">
        <f>_xlfn.PERCENTILE.INC(Table67[Midpoint ratio],0.9)</f>
        <v>0.5714285714285714</v>
      </c>
      <c r="AW307" t="b">
        <f>Table67[[#This Row],[Midpoint ratio]]&gt;=Table67[[#This Row],[Threshold of Midpoint ratio]]</f>
        <v>0</v>
      </c>
      <c r="AX307" t="b">
        <f>OR(Table67[[#This Row],[Extreme Response Style]],Table67[[#This Row],[Mid-point Response Style]])</f>
        <v>0</v>
      </c>
      <c r="AY307" t="b">
        <f>OR(Table67[[#This Row],[Delete? (Stage 1)]],Table67[[#This Row],[Delete? (Stage 2)]])</f>
        <v>1</v>
      </c>
      <c r="AZ307" t="s">
        <v>84</v>
      </c>
    </row>
    <row r="308" spans="1:52">
      <c r="A308">
        <f t="shared" si="19"/>
        <v>307</v>
      </c>
      <c r="B308" s="3">
        <v>46040.7755555556</v>
      </c>
      <c r="C308" s="3">
        <v>46040.777800925898</v>
      </c>
      <c r="D308" t="s">
        <v>53</v>
      </c>
      <c r="G308" t="s">
        <v>54</v>
      </c>
      <c r="H308" t="s">
        <v>63</v>
      </c>
      <c r="I308" t="s">
        <v>56</v>
      </c>
      <c r="J308" t="s">
        <v>57</v>
      </c>
      <c r="K308" t="s">
        <v>57</v>
      </c>
      <c r="L308" t="s">
        <v>58</v>
      </c>
      <c r="M308" t="s">
        <v>58</v>
      </c>
      <c r="N308">
        <v>5</v>
      </c>
      <c r="O308">
        <v>4</v>
      </c>
      <c r="P308">
        <v>4</v>
      </c>
      <c r="Q308">
        <v>4</v>
      </c>
      <c r="R308">
        <v>4</v>
      </c>
      <c r="S308">
        <v>4</v>
      </c>
      <c r="T308">
        <v>5</v>
      </c>
      <c r="U308">
        <v>5</v>
      </c>
      <c r="V308">
        <v>4</v>
      </c>
      <c r="W308">
        <v>4</v>
      </c>
      <c r="X308">
        <v>4</v>
      </c>
      <c r="Y308">
        <v>5</v>
      </c>
      <c r="Z308">
        <v>4</v>
      </c>
      <c r="AA308">
        <v>5</v>
      </c>
      <c r="AB308">
        <v>3</v>
      </c>
      <c r="AC308">
        <v>4</v>
      </c>
      <c r="AD308">
        <v>5</v>
      </c>
      <c r="AE308">
        <v>4</v>
      </c>
      <c r="AF308">
        <v>2</v>
      </c>
      <c r="AG308">
        <v>5</v>
      </c>
      <c r="AH308">
        <v>1</v>
      </c>
      <c r="AI308">
        <v>5</v>
      </c>
      <c r="AJ308">
        <v>4</v>
      </c>
      <c r="AK308" t="b">
        <f>Table67[[#This Row],[What is your age?]]&lt;&gt;"18 - 25"</f>
        <v>0</v>
      </c>
      <c r="AL308" t="b">
        <f t="shared" si="16"/>
        <v>0</v>
      </c>
      <c r="AM308" t="b">
        <f t="shared" si="17"/>
        <v>0</v>
      </c>
      <c r="AN308" t="b">
        <f t="shared" si="18"/>
        <v>0</v>
      </c>
      <c r="AO308" t="b">
        <f>OR(Table67[[#This Row],[Ineligible respondents]:[Inconsistent response on opposite question (3)]])</f>
        <v>0</v>
      </c>
      <c r="AP30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308">
        <f>Table67[[#This Row],[Extreme Response]]/21</f>
        <v>0.38095238095238093</v>
      </c>
      <c r="AR308">
        <f>_xlfn.PERCENTILE.INC(Table67[Extrem Response Ratio (ERS)],0.9)</f>
        <v>0.61904761904761907</v>
      </c>
      <c r="AS308" t="b">
        <f>Table67[[#This Row],[Extrem Response Ratio (ERS)]]&gt;=Table67[[#This Row],[Threshold of ERS]]</f>
        <v>0</v>
      </c>
      <c r="AT308">
        <f>COUNTIF(Table67[[#This Row],[The mechanism of digital assets is difficult to understand, which discourages me from exploring it (E.g, Tokenization, Blockchain)]:[If I want to try different ways to invest, I will explore digital assets.]], 3)</f>
        <v>1</v>
      </c>
      <c r="AU308">
        <f>Table67[[#This Row],[Midpoint]]/21</f>
        <v>4.7619047619047616E-2</v>
      </c>
      <c r="AV308">
        <f>_xlfn.PERCENTILE.INC(Table67[Midpoint ratio],0.9)</f>
        <v>0.5714285714285714</v>
      </c>
      <c r="AW308" t="b">
        <f>Table67[[#This Row],[Midpoint ratio]]&gt;=Table67[[#This Row],[Threshold of Midpoint ratio]]</f>
        <v>0</v>
      </c>
      <c r="AX308" t="b">
        <f>OR(Table67[[#This Row],[Extreme Response Style]],Table67[[#This Row],[Mid-point Response Style]])</f>
        <v>0</v>
      </c>
      <c r="AY308" t="b">
        <f>OR(Table67[[#This Row],[Delete? (Stage 1)]],Table67[[#This Row],[Delete? (Stage 2)]])</f>
        <v>0</v>
      </c>
      <c r="AZ308" t="s">
        <v>84</v>
      </c>
    </row>
    <row r="309" spans="1:52">
      <c r="A309">
        <f t="shared" si="19"/>
        <v>308</v>
      </c>
      <c r="B309" s="3">
        <v>46040.778738425899</v>
      </c>
      <c r="C309" s="3">
        <v>46040.793506944399</v>
      </c>
      <c r="D309" t="s">
        <v>53</v>
      </c>
      <c r="G309" t="s">
        <v>54</v>
      </c>
      <c r="H309" t="s">
        <v>55</v>
      </c>
      <c r="I309" t="s">
        <v>82</v>
      </c>
      <c r="J309" t="s">
        <v>60</v>
      </c>
      <c r="K309" t="s">
        <v>62</v>
      </c>
      <c r="L309" t="s">
        <v>61</v>
      </c>
      <c r="M309" t="s">
        <v>61</v>
      </c>
      <c r="N309">
        <v>1</v>
      </c>
      <c r="O309">
        <v>1</v>
      </c>
      <c r="P309">
        <v>2</v>
      </c>
      <c r="Q309">
        <v>1</v>
      </c>
      <c r="R309">
        <v>3</v>
      </c>
      <c r="S309">
        <v>2</v>
      </c>
      <c r="T309">
        <v>1</v>
      </c>
      <c r="U309">
        <v>1</v>
      </c>
      <c r="V309">
        <v>4</v>
      </c>
      <c r="W309">
        <v>3</v>
      </c>
      <c r="X309">
        <v>4</v>
      </c>
      <c r="Y309">
        <v>5</v>
      </c>
      <c r="Z309">
        <v>4</v>
      </c>
      <c r="AA309">
        <v>2</v>
      </c>
      <c r="AB309">
        <v>2</v>
      </c>
      <c r="AC309">
        <v>1</v>
      </c>
      <c r="AD309">
        <v>5</v>
      </c>
      <c r="AE309">
        <v>4</v>
      </c>
      <c r="AF309">
        <v>4</v>
      </c>
      <c r="AG309">
        <v>4</v>
      </c>
      <c r="AH309">
        <v>4</v>
      </c>
      <c r="AI309">
        <v>2</v>
      </c>
      <c r="AJ309">
        <v>2</v>
      </c>
      <c r="AK309" t="b">
        <f>Table67[[#This Row],[What is your age?]]&lt;&gt;"18 - 25"</f>
        <v>0</v>
      </c>
      <c r="AL309" t="b">
        <f t="shared" si="16"/>
        <v>0</v>
      </c>
      <c r="AM309" t="b">
        <f t="shared" si="17"/>
        <v>1</v>
      </c>
      <c r="AN309" t="b">
        <f t="shared" si="18"/>
        <v>0</v>
      </c>
      <c r="AO309" t="b">
        <f>OR(Table67[[#This Row],[Ineligible respondents]:[Inconsistent response on opposite question (3)]])</f>
        <v>1</v>
      </c>
      <c r="AP30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309">
        <f>Table67[[#This Row],[Extreme Response]]/21</f>
        <v>0.38095238095238093</v>
      </c>
      <c r="AR309">
        <f>_xlfn.PERCENTILE.INC(Table67[Extrem Response Ratio (ERS)],0.9)</f>
        <v>0.61904761904761907</v>
      </c>
      <c r="AS309" t="b">
        <f>Table67[[#This Row],[Extrem Response Ratio (ERS)]]&gt;=Table67[[#This Row],[Threshold of ERS]]</f>
        <v>0</v>
      </c>
      <c r="AT309">
        <f>COUNTIF(Table67[[#This Row],[The mechanism of digital assets is difficult to understand, which discourages me from exploring it (E.g, Tokenization, Blockchain)]:[If I want to try different ways to invest, I will explore digital assets.]], 3)</f>
        <v>2</v>
      </c>
      <c r="AU309">
        <f>Table67[[#This Row],[Midpoint]]/21</f>
        <v>9.5238095238095233E-2</v>
      </c>
      <c r="AV309">
        <f>_xlfn.PERCENTILE.INC(Table67[Midpoint ratio],0.9)</f>
        <v>0.5714285714285714</v>
      </c>
      <c r="AW309" t="b">
        <f>Table67[[#This Row],[Midpoint ratio]]&gt;=Table67[[#This Row],[Threshold of Midpoint ratio]]</f>
        <v>0</v>
      </c>
      <c r="AX309" t="b">
        <f>OR(Table67[[#This Row],[Extreme Response Style]],Table67[[#This Row],[Mid-point Response Style]])</f>
        <v>0</v>
      </c>
      <c r="AY309" t="b">
        <f>OR(Table67[[#This Row],[Delete? (Stage 1)]],Table67[[#This Row],[Delete? (Stage 2)]])</f>
        <v>1</v>
      </c>
      <c r="AZ309" t="s">
        <v>84</v>
      </c>
    </row>
    <row r="310" spans="1:52">
      <c r="A310">
        <f t="shared" si="19"/>
        <v>309</v>
      </c>
      <c r="B310" s="3">
        <v>46040.815185185202</v>
      </c>
      <c r="C310" s="3">
        <v>46040.817349536999</v>
      </c>
      <c r="D310" t="s">
        <v>53</v>
      </c>
      <c r="G310" t="s">
        <v>54</v>
      </c>
      <c r="H310" t="s">
        <v>63</v>
      </c>
      <c r="I310" t="s">
        <v>56</v>
      </c>
      <c r="J310" t="s">
        <v>62</v>
      </c>
      <c r="K310" t="s">
        <v>62</v>
      </c>
      <c r="L310" t="s">
        <v>61</v>
      </c>
      <c r="M310" t="s">
        <v>58</v>
      </c>
      <c r="N310">
        <v>4</v>
      </c>
      <c r="O310">
        <v>4</v>
      </c>
      <c r="P310">
        <v>2</v>
      </c>
      <c r="Q310">
        <v>2</v>
      </c>
      <c r="R310">
        <v>4</v>
      </c>
      <c r="S310">
        <v>4</v>
      </c>
      <c r="T310">
        <v>4</v>
      </c>
      <c r="U310">
        <v>3</v>
      </c>
      <c r="V310">
        <v>4</v>
      </c>
      <c r="W310">
        <v>4</v>
      </c>
      <c r="X310">
        <v>3</v>
      </c>
      <c r="Y310">
        <v>3</v>
      </c>
      <c r="Z310">
        <v>4</v>
      </c>
      <c r="AA310">
        <v>3</v>
      </c>
      <c r="AB310">
        <v>4</v>
      </c>
      <c r="AC310">
        <v>3</v>
      </c>
      <c r="AD310">
        <v>3</v>
      </c>
      <c r="AE310">
        <v>4</v>
      </c>
      <c r="AF310">
        <v>4</v>
      </c>
      <c r="AG310">
        <v>3</v>
      </c>
      <c r="AH310">
        <v>3</v>
      </c>
      <c r="AI310">
        <v>3</v>
      </c>
      <c r="AJ310">
        <v>2</v>
      </c>
      <c r="AK310" t="b">
        <f>Table67[[#This Row],[What is your age?]]&lt;&gt;"18 - 25"</f>
        <v>0</v>
      </c>
      <c r="AL310" t="b">
        <f t="shared" si="16"/>
        <v>0</v>
      </c>
      <c r="AM310" t="b">
        <f t="shared" si="17"/>
        <v>0</v>
      </c>
      <c r="AN310" t="b">
        <f t="shared" si="18"/>
        <v>0</v>
      </c>
      <c r="AO310" t="b">
        <f>OR(Table67[[#This Row],[Ineligible respondents]:[Inconsistent response on opposite question (3)]])</f>
        <v>0</v>
      </c>
      <c r="AP31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10">
        <f>Table67[[#This Row],[Extreme Response]]/21</f>
        <v>0</v>
      </c>
      <c r="AR310">
        <f>_xlfn.PERCENTILE.INC(Table67[Extrem Response Ratio (ERS)],0.9)</f>
        <v>0.61904761904761907</v>
      </c>
      <c r="AS310" t="b">
        <f>Table67[[#This Row],[Extrem Response Ratio (ERS)]]&gt;=Table67[[#This Row],[Threshold of ERS]]</f>
        <v>0</v>
      </c>
      <c r="AT310">
        <f>COUNTIF(Table67[[#This Row],[The mechanism of digital assets is difficult to understand, which discourages me from exploring it (E.g, Tokenization, Blockchain)]:[If I want to try different ways to invest, I will explore digital assets.]], 3)</f>
        <v>8</v>
      </c>
      <c r="AU310">
        <f>Table67[[#This Row],[Midpoint]]/21</f>
        <v>0.38095238095238093</v>
      </c>
      <c r="AV310">
        <f>_xlfn.PERCENTILE.INC(Table67[Midpoint ratio],0.9)</f>
        <v>0.5714285714285714</v>
      </c>
      <c r="AW310" t="b">
        <f>Table67[[#This Row],[Midpoint ratio]]&gt;=Table67[[#This Row],[Threshold of Midpoint ratio]]</f>
        <v>0</v>
      </c>
      <c r="AX310" t="b">
        <f>OR(Table67[[#This Row],[Extreme Response Style]],Table67[[#This Row],[Mid-point Response Style]])</f>
        <v>0</v>
      </c>
      <c r="AY310" t="b">
        <f>OR(Table67[[#This Row],[Delete? (Stage 1)]],Table67[[#This Row],[Delete? (Stage 2)]])</f>
        <v>0</v>
      </c>
      <c r="AZ310" t="s">
        <v>84</v>
      </c>
    </row>
    <row r="311" spans="1:52">
      <c r="A311">
        <f t="shared" si="19"/>
        <v>310</v>
      </c>
      <c r="B311" s="3">
        <v>46042.486990740697</v>
      </c>
      <c r="C311" s="3">
        <v>46042.502453703702</v>
      </c>
      <c r="D311" t="s">
        <v>53</v>
      </c>
      <c r="G311" t="s">
        <v>54</v>
      </c>
      <c r="H311" t="s">
        <v>63</v>
      </c>
      <c r="I311" t="s">
        <v>56</v>
      </c>
      <c r="J311" t="s">
        <v>62</v>
      </c>
      <c r="K311" t="s">
        <v>57</v>
      </c>
      <c r="L311" t="s">
        <v>61</v>
      </c>
      <c r="M311" t="s">
        <v>61</v>
      </c>
      <c r="N311">
        <v>2</v>
      </c>
      <c r="O311">
        <v>4</v>
      </c>
      <c r="P311">
        <v>2</v>
      </c>
      <c r="Q311">
        <v>2</v>
      </c>
      <c r="R311">
        <v>2</v>
      </c>
      <c r="S311">
        <v>2</v>
      </c>
      <c r="T311">
        <v>2</v>
      </c>
      <c r="U311">
        <v>3</v>
      </c>
      <c r="V311">
        <v>2</v>
      </c>
      <c r="W311">
        <v>3</v>
      </c>
      <c r="X311">
        <v>3</v>
      </c>
      <c r="Y311">
        <v>3</v>
      </c>
      <c r="Z311">
        <v>3</v>
      </c>
      <c r="AA311">
        <v>2</v>
      </c>
      <c r="AB311">
        <v>2</v>
      </c>
      <c r="AC311">
        <v>3</v>
      </c>
      <c r="AD311">
        <v>4</v>
      </c>
      <c r="AE311">
        <v>3</v>
      </c>
      <c r="AF311">
        <v>4</v>
      </c>
      <c r="AG311">
        <v>3</v>
      </c>
      <c r="AH311">
        <v>4</v>
      </c>
      <c r="AI311">
        <v>2</v>
      </c>
      <c r="AJ311">
        <v>2</v>
      </c>
      <c r="AK311" t="b">
        <f>Table67[[#This Row],[What is your age?]]&lt;&gt;"18 - 25"</f>
        <v>0</v>
      </c>
      <c r="AL311" t="b">
        <f t="shared" si="16"/>
        <v>0</v>
      </c>
      <c r="AM311" t="b">
        <f t="shared" si="17"/>
        <v>0</v>
      </c>
      <c r="AN311" t="b">
        <f t="shared" si="18"/>
        <v>1</v>
      </c>
      <c r="AO311" t="b">
        <f>OR(Table67[[#This Row],[Ineligible respondents]:[Inconsistent response on opposite question (3)]])</f>
        <v>1</v>
      </c>
      <c r="AP31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11">
        <f>Table67[[#This Row],[Extreme Response]]/21</f>
        <v>0</v>
      </c>
      <c r="AR311">
        <f>_xlfn.PERCENTILE.INC(Table67[Extrem Response Ratio (ERS)],0.9)</f>
        <v>0.61904761904761907</v>
      </c>
      <c r="AS311" t="b">
        <f>Table67[[#This Row],[Extrem Response Ratio (ERS)]]&gt;=Table67[[#This Row],[Threshold of ERS]]</f>
        <v>0</v>
      </c>
      <c r="AT311">
        <f>COUNTIF(Table67[[#This Row],[The mechanism of digital assets is difficult to understand, which discourages me from exploring it (E.g, Tokenization, Blockchain)]:[If I want to try different ways to invest, I will explore digital assets.]], 3)</f>
        <v>8</v>
      </c>
      <c r="AU311">
        <f>Table67[[#This Row],[Midpoint]]/21</f>
        <v>0.38095238095238093</v>
      </c>
      <c r="AV311">
        <f>_xlfn.PERCENTILE.INC(Table67[Midpoint ratio],0.9)</f>
        <v>0.5714285714285714</v>
      </c>
      <c r="AW311" t="b">
        <f>Table67[[#This Row],[Midpoint ratio]]&gt;=Table67[[#This Row],[Threshold of Midpoint ratio]]</f>
        <v>0</v>
      </c>
      <c r="AX311" t="b">
        <f>OR(Table67[[#This Row],[Extreme Response Style]],Table67[[#This Row],[Mid-point Response Style]])</f>
        <v>0</v>
      </c>
      <c r="AY311" t="b">
        <f>OR(Table67[[#This Row],[Delete? (Stage 1)]],Table67[[#This Row],[Delete? (Stage 2)]])</f>
        <v>1</v>
      </c>
      <c r="AZ311" t="s">
        <v>81</v>
      </c>
    </row>
    <row r="312" spans="1:52">
      <c r="A312">
        <f t="shared" si="19"/>
        <v>311</v>
      </c>
      <c r="B312" s="3">
        <v>46042.493587962999</v>
      </c>
      <c r="C312" s="3">
        <v>46042.494872685202</v>
      </c>
      <c r="D312" t="s">
        <v>53</v>
      </c>
      <c r="G312" t="s">
        <v>54</v>
      </c>
      <c r="H312" t="s">
        <v>55</v>
      </c>
      <c r="I312" t="s">
        <v>56</v>
      </c>
      <c r="J312" t="s">
        <v>62</v>
      </c>
      <c r="K312" t="s">
        <v>60</v>
      </c>
      <c r="L312" t="s">
        <v>61</v>
      </c>
      <c r="M312" t="s">
        <v>61</v>
      </c>
      <c r="N312">
        <v>3</v>
      </c>
      <c r="O312">
        <v>3</v>
      </c>
      <c r="P312">
        <v>4</v>
      </c>
      <c r="Q312">
        <v>3</v>
      </c>
      <c r="R312">
        <v>3</v>
      </c>
      <c r="S312">
        <v>3</v>
      </c>
      <c r="T312">
        <v>3</v>
      </c>
      <c r="U312">
        <v>3</v>
      </c>
      <c r="V312">
        <v>3</v>
      </c>
      <c r="W312">
        <v>3</v>
      </c>
      <c r="X312">
        <v>1</v>
      </c>
      <c r="Y312">
        <v>5</v>
      </c>
      <c r="Z312">
        <v>5</v>
      </c>
      <c r="AA312">
        <v>3</v>
      </c>
      <c r="AB312">
        <v>3</v>
      </c>
      <c r="AC312">
        <v>3</v>
      </c>
      <c r="AD312">
        <v>3</v>
      </c>
      <c r="AE312">
        <v>5</v>
      </c>
      <c r="AF312">
        <v>5</v>
      </c>
      <c r="AG312">
        <v>3</v>
      </c>
      <c r="AH312">
        <v>3</v>
      </c>
      <c r="AI312">
        <v>3</v>
      </c>
      <c r="AJ312">
        <v>1</v>
      </c>
      <c r="AK312" t="b">
        <f>Table67[[#This Row],[What is your age?]]&lt;&gt;"18 - 25"</f>
        <v>0</v>
      </c>
      <c r="AL312" t="b">
        <f t="shared" si="16"/>
        <v>0</v>
      </c>
      <c r="AM312" t="b">
        <f t="shared" si="17"/>
        <v>0</v>
      </c>
      <c r="AN312" t="b">
        <f t="shared" si="18"/>
        <v>0</v>
      </c>
      <c r="AO312" t="b">
        <f>OR(Table67[[#This Row],[Ineligible respondents]:[Inconsistent response on opposite question (3)]])</f>
        <v>0</v>
      </c>
      <c r="AP31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312">
        <f>Table67[[#This Row],[Extreme Response]]/21</f>
        <v>0.23809523809523808</v>
      </c>
      <c r="AR312">
        <f>_xlfn.PERCENTILE.INC(Table67[Extrem Response Ratio (ERS)],0.9)</f>
        <v>0.61904761904761907</v>
      </c>
      <c r="AS312" t="b">
        <f>Table67[[#This Row],[Extrem Response Ratio (ERS)]]&gt;=Table67[[#This Row],[Threshold of ERS]]</f>
        <v>0</v>
      </c>
      <c r="AT312">
        <f>COUNTIF(Table67[[#This Row],[The mechanism of digital assets is difficult to understand, which discourages me from exploring it (E.g, Tokenization, Blockchain)]:[If I want to try different ways to invest, I will explore digital assets.]], 3)</f>
        <v>15</v>
      </c>
      <c r="AU312">
        <f>Table67[[#This Row],[Midpoint]]/21</f>
        <v>0.7142857142857143</v>
      </c>
      <c r="AV312">
        <f>_xlfn.PERCENTILE.INC(Table67[Midpoint ratio],0.9)</f>
        <v>0.5714285714285714</v>
      </c>
      <c r="AW312" t="b">
        <f>Table67[[#This Row],[Midpoint ratio]]&gt;=Table67[[#This Row],[Threshold of Midpoint ratio]]</f>
        <v>1</v>
      </c>
      <c r="AX312" t="b">
        <f>OR(Table67[[#This Row],[Extreme Response Style]],Table67[[#This Row],[Mid-point Response Style]])</f>
        <v>1</v>
      </c>
      <c r="AY312" t="b">
        <f>OR(Table67[[#This Row],[Delete? (Stage 1)]],Table67[[#This Row],[Delete? (Stage 2)]])</f>
        <v>1</v>
      </c>
      <c r="AZ312" t="s">
        <v>81</v>
      </c>
    </row>
    <row r="313" spans="1:52">
      <c r="A313">
        <f t="shared" si="19"/>
        <v>312</v>
      </c>
      <c r="B313" s="3">
        <v>46042.493877314802</v>
      </c>
      <c r="C313" s="3">
        <v>46042.495138888902</v>
      </c>
      <c r="D313" t="s">
        <v>53</v>
      </c>
      <c r="G313" t="s">
        <v>54</v>
      </c>
      <c r="H313" t="s">
        <v>55</v>
      </c>
      <c r="I313" t="s">
        <v>56</v>
      </c>
      <c r="J313" t="s">
        <v>64</v>
      </c>
      <c r="K313" t="s">
        <v>62</v>
      </c>
      <c r="L313" t="s">
        <v>61</v>
      </c>
      <c r="M313" t="s">
        <v>61</v>
      </c>
      <c r="N313">
        <v>3</v>
      </c>
      <c r="O313">
        <v>4</v>
      </c>
      <c r="P313">
        <v>4</v>
      </c>
      <c r="Q313">
        <v>4</v>
      </c>
      <c r="R313">
        <v>3</v>
      </c>
      <c r="S313">
        <v>4</v>
      </c>
      <c r="T313">
        <v>4</v>
      </c>
      <c r="U313">
        <v>3</v>
      </c>
      <c r="V313">
        <v>4</v>
      </c>
      <c r="W313">
        <v>3</v>
      </c>
      <c r="X313">
        <v>3</v>
      </c>
      <c r="Y313">
        <v>4</v>
      </c>
      <c r="Z313">
        <v>2</v>
      </c>
      <c r="AA313">
        <v>3</v>
      </c>
      <c r="AB313">
        <v>2</v>
      </c>
      <c r="AC313">
        <v>4</v>
      </c>
      <c r="AD313">
        <v>3</v>
      </c>
      <c r="AE313">
        <v>4</v>
      </c>
      <c r="AF313">
        <v>3</v>
      </c>
      <c r="AG313">
        <v>4</v>
      </c>
      <c r="AH313">
        <v>4</v>
      </c>
      <c r="AI313">
        <v>2</v>
      </c>
      <c r="AJ313">
        <v>3</v>
      </c>
      <c r="AK313" t="b">
        <f>Table67[[#This Row],[What is your age?]]&lt;&gt;"18 - 25"</f>
        <v>0</v>
      </c>
      <c r="AL313" t="b">
        <f t="shared" si="16"/>
        <v>0</v>
      </c>
      <c r="AM313" t="b">
        <f t="shared" si="17"/>
        <v>1</v>
      </c>
      <c r="AN313" t="b">
        <f t="shared" si="18"/>
        <v>0</v>
      </c>
      <c r="AO313" t="b">
        <f>OR(Table67[[#This Row],[Ineligible respondents]:[Inconsistent response on opposite question (3)]])</f>
        <v>1</v>
      </c>
      <c r="AP31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13">
        <f>Table67[[#This Row],[Extreme Response]]/21</f>
        <v>0</v>
      </c>
      <c r="AR313">
        <f>_xlfn.PERCENTILE.INC(Table67[Extrem Response Ratio (ERS)],0.9)</f>
        <v>0.61904761904761907</v>
      </c>
      <c r="AS313" t="b">
        <f>Table67[[#This Row],[Extrem Response Ratio (ERS)]]&gt;=Table67[[#This Row],[Threshold of ERS]]</f>
        <v>0</v>
      </c>
      <c r="AT313">
        <f>COUNTIF(Table67[[#This Row],[The mechanism of digital assets is difficult to understand, which discourages me from exploring it (E.g, Tokenization, Blockchain)]:[If I want to try different ways to invest, I will explore digital assets.]], 3)</f>
        <v>8</v>
      </c>
      <c r="AU313">
        <f>Table67[[#This Row],[Midpoint]]/21</f>
        <v>0.38095238095238093</v>
      </c>
      <c r="AV313">
        <f>_xlfn.PERCENTILE.INC(Table67[Midpoint ratio],0.9)</f>
        <v>0.5714285714285714</v>
      </c>
      <c r="AW313" t="b">
        <f>Table67[[#This Row],[Midpoint ratio]]&gt;=Table67[[#This Row],[Threshold of Midpoint ratio]]</f>
        <v>0</v>
      </c>
      <c r="AX313" t="b">
        <f>OR(Table67[[#This Row],[Extreme Response Style]],Table67[[#This Row],[Mid-point Response Style]])</f>
        <v>0</v>
      </c>
      <c r="AY313" t="b">
        <f>OR(Table67[[#This Row],[Delete? (Stage 1)]],Table67[[#This Row],[Delete? (Stage 2)]])</f>
        <v>1</v>
      </c>
      <c r="AZ313" t="s">
        <v>81</v>
      </c>
    </row>
    <row r="314" spans="1:52">
      <c r="A314">
        <f t="shared" si="19"/>
        <v>313</v>
      </c>
      <c r="B314" s="3">
        <v>46042.496331018498</v>
      </c>
      <c r="C314" s="3">
        <v>46042.5021180556</v>
      </c>
      <c r="D314" t="s">
        <v>53</v>
      </c>
      <c r="G314" t="s">
        <v>54</v>
      </c>
      <c r="H314" t="s">
        <v>55</v>
      </c>
      <c r="I314" t="s">
        <v>56</v>
      </c>
      <c r="J314" t="s">
        <v>57</v>
      </c>
      <c r="K314" t="s">
        <v>57</v>
      </c>
      <c r="L314" t="s">
        <v>58</v>
      </c>
      <c r="M314" t="s">
        <v>58</v>
      </c>
      <c r="N314">
        <v>4</v>
      </c>
      <c r="O314">
        <v>3</v>
      </c>
      <c r="P314">
        <v>5</v>
      </c>
      <c r="Q314">
        <v>3</v>
      </c>
      <c r="R314">
        <v>4</v>
      </c>
      <c r="S314">
        <v>4</v>
      </c>
      <c r="T314">
        <v>4</v>
      </c>
      <c r="U314">
        <v>5</v>
      </c>
      <c r="V314">
        <v>4</v>
      </c>
      <c r="W314">
        <v>4</v>
      </c>
      <c r="X314">
        <v>5</v>
      </c>
      <c r="Y314">
        <v>4</v>
      </c>
      <c r="Z314">
        <v>5</v>
      </c>
      <c r="AA314">
        <v>4</v>
      </c>
      <c r="AB314">
        <v>2</v>
      </c>
      <c r="AC314">
        <v>3</v>
      </c>
      <c r="AD314">
        <v>4</v>
      </c>
      <c r="AE314">
        <v>4</v>
      </c>
      <c r="AF314">
        <v>4</v>
      </c>
      <c r="AG314">
        <v>4</v>
      </c>
      <c r="AH314">
        <v>3</v>
      </c>
      <c r="AI314">
        <v>3</v>
      </c>
      <c r="AJ314">
        <v>2</v>
      </c>
      <c r="AK314" t="b">
        <f>Table67[[#This Row],[What is your age?]]&lt;&gt;"18 - 25"</f>
        <v>0</v>
      </c>
      <c r="AL314" t="b">
        <f t="shared" si="16"/>
        <v>0</v>
      </c>
      <c r="AM314" t="b">
        <f t="shared" si="17"/>
        <v>0</v>
      </c>
      <c r="AN314" t="b">
        <f t="shared" si="18"/>
        <v>1</v>
      </c>
      <c r="AO314" t="b">
        <f>OR(Table67[[#This Row],[Ineligible respondents]:[Inconsistent response on opposite question (3)]])</f>
        <v>1</v>
      </c>
      <c r="AP31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314">
        <f>Table67[[#This Row],[Extreme Response]]/21</f>
        <v>0.19047619047619047</v>
      </c>
      <c r="AR314">
        <f>_xlfn.PERCENTILE.INC(Table67[Extrem Response Ratio (ERS)],0.9)</f>
        <v>0.61904761904761907</v>
      </c>
      <c r="AS314" t="b">
        <f>Table67[[#This Row],[Extrem Response Ratio (ERS)]]&gt;=Table67[[#This Row],[Threshold of ERS]]</f>
        <v>0</v>
      </c>
      <c r="AT314">
        <f>COUNTIF(Table67[[#This Row],[The mechanism of digital assets is difficult to understand, which discourages me from exploring it (E.g, Tokenization, Blockchain)]:[If I want to try different ways to invest, I will explore digital assets.]], 3)</f>
        <v>4</v>
      </c>
      <c r="AU314">
        <f>Table67[[#This Row],[Midpoint]]/21</f>
        <v>0.19047619047619047</v>
      </c>
      <c r="AV314">
        <f>_xlfn.PERCENTILE.INC(Table67[Midpoint ratio],0.9)</f>
        <v>0.5714285714285714</v>
      </c>
      <c r="AW314" t="b">
        <f>Table67[[#This Row],[Midpoint ratio]]&gt;=Table67[[#This Row],[Threshold of Midpoint ratio]]</f>
        <v>0</v>
      </c>
      <c r="AX314" t="b">
        <f>OR(Table67[[#This Row],[Extreme Response Style]],Table67[[#This Row],[Mid-point Response Style]])</f>
        <v>0</v>
      </c>
      <c r="AY314" t="b">
        <f>OR(Table67[[#This Row],[Delete? (Stage 1)]],Table67[[#This Row],[Delete? (Stage 2)]])</f>
        <v>1</v>
      </c>
      <c r="AZ314" t="s">
        <v>81</v>
      </c>
    </row>
    <row r="315" spans="1:52">
      <c r="A315">
        <f t="shared" si="19"/>
        <v>314</v>
      </c>
      <c r="B315" s="3">
        <v>46042.498773148101</v>
      </c>
      <c r="C315" s="3">
        <v>46042.501111111102</v>
      </c>
      <c r="D315" t="s">
        <v>53</v>
      </c>
      <c r="G315" t="s">
        <v>54</v>
      </c>
      <c r="H315" t="s">
        <v>55</v>
      </c>
      <c r="I315" t="s">
        <v>56</v>
      </c>
      <c r="J315" t="s">
        <v>62</v>
      </c>
      <c r="K315" t="s">
        <v>66</v>
      </c>
      <c r="L315" t="s">
        <v>58</v>
      </c>
      <c r="M315" t="s">
        <v>61</v>
      </c>
      <c r="N315">
        <v>4</v>
      </c>
      <c r="O315">
        <v>4</v>
      </c>
      <c r="P315">
        <v>5</v>
      </c>
      <c r="Q315">
        <v>4</v>
      </c>
      <c r="R315">
        <v>4</v>
      </c>
      <c r="S315">
        <v>5</v>
      </c>
      <c r="T315">
        <v>2</v>
      </c>
      <c r="U315">
        <v>2</v>
      </c>
      <c r="V315">
        <v>4</v>
      </c>
      <c r="W315">
        <v>4</v>
      </c>
      <c r="X315">
        <v>5</v>
      </c>
      <c r="Y315">
        <v>3</v>
      </c>
      <c r="Z315">
        <v>5</v>
      </c>
      <c r="AA315">
        <v>4</v>
      </c>
      <c r="AB315">
        <v>4</v>
      </c>
      <c r="AC315">
        <v>3</v>
      </c>
      <c r="AD315">
        <v>5</v>
      </c>
      <c r="AE315">
        <v>2</v>
      </c>
      <c r="AF315">
        <v>3</v>
      </c>
      <c r="AG315">
        <v>3</v>
      </c>
      <c r="AH315">
        <v>2</v>
      </c>
      <c r="AI315">
        <v>4</v>
      </c>
      <c r="AJ315">
        <v>3</v>
      </c>
      <c r="AK315" t="b">
        <f>Table67[[#This Row],[What is your age?]]&lt;&gt;"18 - 25"</f>
        <v>0</v>
      </c>
      <c r="AL315" t="b">
        <f t="shared" si="16"/>
        <v>0</v>
      </c>
      <c r="AM315" t="b">
        <f t="shared" si="17"/>
        <v>0</v>
      </c>
      <c r="AN315" t="b">
        <f t="shared" si="18"/>
        <v>1</v>
      </c>
      <c r="AO315" t="b">
        <f>OR(Table67[[#This Row],[Ineligible respondents]:[Inconsistent response on opposite question (3)]])</f>
        <v>1</v>
      </c>
      <c r="AP31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315">
        <f>Table67[[#This Row],[Extreme Response]]/21</f>
        <v>0.23809523809523808</v>
      </c>
      <c r="AR315">
        <f>_xlfn.PERCENTILE.INC(Table67[Extrem Response Ratio (ERS)],0.9)</f>
        <v>0.61904761904761907</v>
      </c>
      <c r="AS315" t="b">
        <f>Table67[[#This Row],[Extrem Response Ratio (ERS)]]&gt;=Table67[[#This Row],[Threshold of ERS]]</f>
        <v>0</v>
      </c>
      <c r="AT315">
        <f>COUNTIF(Table67[[#This Row],[The mechanism of digital assets is difficult to understand, which discourages me from exploring it (E.g, Tokenization, Blockchain)]:[If I want to try different ways to invest, I will explore digital assets.]], 3)</f>
        <v>4</v>
      </c>
      <c r="AU315">
        <f>Table67[[#This Row],[Midpoint]]/21</f>
        <v>0.19047619047619047</v>
      </c>
      <c r="AV315">
        <f>_xlfn.PERCENTILE.INC(Table67[Midpoint ratio],0.9)</f>
        <v>0.5714285714285714</v>
      </c>
      <c r="AW315" t="b">
        <f>Table67[[#This Row],[Midpoint ratio]]&gt;=Table67[[#This Row],[Threshold of Midpoint ratio]]</f>
        <v>0</v>
      </c>
      <c r="AX315" t="b">
        <f>OR(Table67[[#This Row],[Extreme Response Style]],Table67[[#This Row],[Mid-point Response Style]])</f>
        <v>0</v>
      </c>
      <c r="AY315" t="b">
        <f>OR(Table67[[#This Row],[Delete? (Stage 1)]],Table67[[#This Row],[Delete? (Stage 2)]])</f>
        <v>1</v>
      </c>
      <c r="AZ315" t="s">
        <v>81</v>
      </c>
    </row>
    <row r="316" spans="1:52">
      <c r="A316">
        <f t="shared" si="19"/>
        <v>315</v>
      </c>
      <c r="B316" s="3">
        <v>46042.502175925903</v>
      </c>
      <c r="C316" s="3">
        <v>46042.502824074101</v>
      </c>
      <c r="D316" t="s">
        <v>53</v>
      </c>
      <c r="G316" t="s">
        <v>79</v>
      </c>
      <c r="H316" t="s">
        <v>55</v>
      </c>
      <c r="I316" t="s">
        <v>56</v>
      </c>
      <c r="J316" t="s">
        <v>57</v>
      </c>
      <c r="K316" t="s">
        <v>57</v>
      </c>
      <c r="L316" t="s">
        <v>58</v>
      </c>
      <c r="M316" t="s">
        <v>58</v>
      </c>
      <c r="N316">
        <v>1</v>
      </c>
      <c r="O316">
        <v>5</v>
      </c>
      <c r="P316">
        <v>1</v>
      </c>
      <c r="Q316">
        <v>1</v>
      </c>
      <c r="R316">
        <v>1</v>
      </c>
      <c r="S316">
        <v>1</v>
      </c>
      <c r="T316">
        <v>1</v>
      </c>
      <c r="U316">
        <v>1</v>
      </c>
      <c r="V316">
        <v>1</v>
      </c>
      <c r="W316">
        <v>1</v>
      </c>
      <c r="X316">
        <v>1</v>
      </c>
      <c r="Y316">
        <v>1</v>
      </c>
      <c r="Z316">
        <v>1</v>
      </c>
      <c r="AA316">
        <v>1</v>
      </c>
      <c r="AB316">
        <v>1</v>
      </c>
      <c r="AC316">
        <v>1</v>
      </c>
      <c r="AD316">
        <v>1</v>
      </c>
      <c r="AE316">
        <v>1</v>
      </c>
      <c r="AF316">
        <v>1</v>
      </c>
      <c r="AG316">
        <v>1</v>
      </c>
      <c r="AH316">
        <v>1</v>
      </c>
      <c r="AI316">
        <v>5</v>
      </c>
      <c r="AJ316">
        <v>5</v>
      </c>
      <c r="AK316" t="b">
        <f>Table67[[#This Row],[What is your age?]]&lt;&gt;"18 - 25"</f>
        <v>1</v>
      </c>
      <c r="AL316" t="b">
        <f t="shared" si="16"/>
        <v>0</v>
      </c>
      <c r="AM316" t="b">
        <f t="shared" si="17"/>
        <v>1</v>
      </c>
      <c r="AN316" t="b">
        <f t="shared" si="18"/>
        <v>0</v>
      </c>
      <c r="AO316" t="b">
        <f>OR(Table67[[#This Row],[Ineligible respondents]:[Inconsistent response on opposite question (3)]])</f>
        <v>1</v>
      </c>
      <c r="AP31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21</v>
      </c>
      <c r="AQ316">
        <f>Table67[[#This Row],[Extreme Response]]/21</f>
        <v>1</v>
      </c>
      <c r="AR316">
        <f>_xlfn.PERCENTILE.INC(Table67[Extrem Response Ratio (ERS)],0.9)</f>
        <v>0.61904761904761907</v>
      </c>
      <c r="AS316" t="b">
        <f>Table67[[#This Row],[Extrem Response Ratio (ERS)]]&gt;=Table67[[#This Row],[Threshold of ERS]]</f>
        <v>1</v>
      </c>
      <c r="AT316">
        <f>COUNTIF(Table67[[#This Row],[The mechanism of digital assets is difficult to understand, which discourages me from exploring it (E.g, Tokenization, Blockchain)]:[If I want to try different ways to invest, I will explore digital assets.]], 3)</f>
        <v>0</v>
      </c>
      <c r="AU316">
        <f>Table67[[#This Row],[Midpoint]]/21</f>
        <v>0</v>
      </c>
      <c r="AV316">
        <f>_xlfn.PERCENTILE.INC(Table67[Midpoint ratio],0.9)</f>
        <v>0.5714285714285714</v>
      </c>
      <c r="AW316" t="b">
        <f>Table67[[#This Row],[Midpoint ratio]]&gt;=Table67[[#This Row],[Threshold of Midpoint ratio]]</f>
        <v>0</v>
      </c>
      <c r="AX316" t="b">
        <f>OR(Table67[[#This Row],[Extreme Response Style]],Table67[[#This Row],[Mid-point Response Style]])</f>
        <v>1</v>
      </c>
      <c r="AY316" t="b">
        <f>OR(Table67[[#This Row],[Delete? (Stage 1)]],Table67[[#This Row],[Delete? (Stage 2)]])</f>
        <v>1</v>
      </c>
      <c r="AZ316" t="s">
        <v>81</v>
      </c>
    </row>
    <row r="317" spans="1:52">
      <c r="A317">
        <f t="shared" si="19"/>
        <v>316</v>
      </c>
      <c r="B317" s="3">
        <v>46042.503078703703</v>
      </c>
      <c r="C317" s="3">
        <v>46042.504907407398</v>
      </c>
      <c r="D317" t="s">
        <v>53</v>
      </c>
      <c r="G317" t="s">
        <v>54</v>
      </c>
      <c r="H317" t="s">
        <v>63</v>
      </c>
      <c r="I317" t="s">
        <v>56</v>
      </c>
      <c r="J317" t="s">
        <v>62</v>
      </c>
      <c r="K317" t="s">
        <v>60</v>
      </c>
      <c r="L317" t="s">
        <v>58</v>
      </c>
      <c r="M317" t="s">
        <v>61</v>
      </c>
      <c r="N317">
        <v>3</v>
      </c>
      <c r="O317">
        <v>3</v>
      </c>
      <c r="P317">
        <v>2</v>
      </c>
      <c r="Q317">
        <v>3</v>
      </c>
      <c r="R317">
        <v>3</v>
      </c>
      <c r="S317">
        <v>3</v>
      </c>
      <c r="T317">
        <v>3</v>
      </c>
      <c r="U317">
        <v>3</v>
      </c>
      <c r="V317">
        <v>3</v>
      </c>
      <c r="W317">
        <v>3</v>
      </c>
      <c r="X317">
        <v>3</v>
      </c>
      <c r="Y317">
        <v>3</v>
      </c>
      <c r="Z317">
        <v>3</v>
      </c>
      <c r="AA317">
        <v>3</v>
      </c>
      <c r="AB317">
        <v>3</v>
      </c>
      <c r="AC317">
        <v>3</v>
      </c>
      <c r="AD317">
        <v>3</v>
      </c>
      <c r="AE317">
        <v>2</v>
      </c>
      <c r="AF317">
        <v>4</v>
      </c>
      <c r="AG317">
        <v>4</v>
      </c>
      <c r="AH317">
        <v>3</v>
      </c>
      <c r="AI317">
        <v>3</v>
      </c>
      <c r="AJ317">
        <v>2</v>
      </c>
      <c r="AK317" t="b">
        <f>Table67[[#This Row],[What is your age?]]&lt;&gt;"18 - 25"</f>
        <v>0</v>
      </c>
      <c r="AL317" t="b">
        <f t="shared" si="16"/>
        <v>0</v>
      </c>
      <c r="AM317" t="b">
        <f t="shared" si="17"/>
        <v>0</v>
      </c>
      <c r="AN317" t="b">
        <f t="shared" si="18"/>
        <v>1</v>
      </c>
      <c r="AO317" t="b">
        <f>OR(Table67[[#This Row],[Ineligible respondents]:[Inconsistent response on opposite question (3)]])</f>
        <v>1</v>
      </c>
      <c r="AP31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17">
        <f>Table67[[#This Row],[Extreme Response]]/21</f>
        <v>0</v>
      </c>
      <c r="AR317">
        <f>_xlfn.PERCENTILE.INC(Table67[Extrem Response Ratio (ERS)],0.9)</f>
        <v>0.61904761904761907</v>
      </c>
      <c r="AS317" t="b">
        <f>Table67[[#This Row],[Extrem Response Ratio (ERS)]]&gt;=Table67[[#This Row],[Threshold of ERS]]</f>
        <v>0</v>
      </c>
      <c r="AT317">
        <f>COUNTIF(Table67[[#This Row],[The mechanism of digital assets is difficult to understand, which discourages me from exploring it (E.g, Tokenization, Blockchain)]:[If I want to try different ways to invest, I will explore digital assets.]], 3)</f>
        <v>17</v>
      </c>
      <c r="AU317">
        <f>Table67[[#This Row],[Midpoint]]/21</f>
        <v>0.80952380952380953</v>
      </c>
      <c r="AV317">
        <f>_xlfn.PERCENTILE.INC(Table67[Midpoint ratio],0.9)</f>
        <v>0.5714285714285714</v>
      </c>
      <c r="AW317" t="b">
        <f>Table67[[#This Row],[Midpoint ratio]]&gt;=Table67[[#This Row],[Threshold of Midpoint ratio]]</f>
        <v>1</v>
      </c>
      <c r="AX317" t="b">
        <f>OR(Table67[[#This Row],[Extreme Response Style]],Table67[[#This Row],[Mid-point Response Style]])</f>
        <v>1</v>
      </c>
      <c r="AY317" t="b">
        <f>OR(Table67[[#This Row],[Delete? (Stage 1)]],Table67[[#This Row],[Delete? (Stage 2)]])</f>
        <v>1</v>
      </c>
      <c r="AZ317" t="s">
        <v>81</v>
      </c>
    </row>
    <row r="318" spans="1:52">
      <c r="A318">
        <f t="shared" si="19"/>
        <v>317</v>
      </c>
      <c r="B318" s="3">
        <v>46042.504803240699</v>
      </c>
      <c r="C318" s="3">
        <v>46042.507199074098</v>
      </c>
      <c r="D318" t="s">
        <v>53</v>
      </c>
      <c r="G318" t="s">
        <v>54</v>
      </c>
      <c r="H318" t="s">
        <v>63</v>
      </c>
      <c r="I318" t="s">
        <v>69</v>
      </c>
      <c r="J318" t="s">
        <v>60</v>
      </c>
      <c r="K318" t="s">
        <v>62</v>
      </c>
      <c r="L318" t="s">
        <v>61</v>
      </c>
      <c r="M318" t="s">
        <v>61</v>
      </c>
      <c r="N318">
        <v>3</v>
      </c>
      <c r="O318">
        <v>1</v>
      </c>
      <c r="P318">
        <v>4</v>
      </c>
      <c r="Q318">
        <v>2</v>
      </c>
      <c r="R318">
        <v>2</v>
      </c>
      <c r="S318">
        <v>3</v>
      </c>
      <c r="T318">
        <v>2</v>
      </c>
      <c r="U318">
        <v>3</v>
      </c>
      <c r="V318">
        <v>3</v>
      </c>
      <c r="W318">
        <v>3</v>
      </c>
      <c r="X318">
        <v>3</v>
      </c>
      <c r="Y318">
        <v>3</v>
      </c>
      <c r="Z318">
        <v>3</v>
      </c>
      <c r="AA318">
        <v>3</v>
      </c>
      <c r="AB318">
        <v>3</v>
      </c>
      <c r="AC318">
        <v>3</v>
      </c>
      <c r="AD318">
        <v>3</v>
      </c>
      <c r="AE318">
        <v>3</v>
      </c>
      <c r="AF318">
        <v>3</v>
      </c>
      <c r="AG318">
        <v>3</v>
      </c>
      <c r="AH318">
        <v>3</v>
      </c>
      <c r="AI318">
        <v>3</v>
      </c>
      <c r="AJ318">
        <v>3</v>
      </c>
      <c r="AK318" t="b">
        <f>Table67[[#This Row],[What is your age?]]&lt;&gt;"18 - 25"</f>
        <v>0</v>
      </c>
      <c r="AL318" t="b">
        <f t="shared" si="16"/>
        <v>0</v>
      </c>
      <c r="AM318" t="b">
        <f t="shared" si="17"/>
        <v>0</v>
      </c>
      <c r="AN318" t="b">
        <f t="shared" si="18"/>
        <v>0</v>
      </c>
      <c r="AO318" t="b">
        <f>OR(Table67[[#This Row],[Ineligible respondents]:[Inconsistent response on opposite question (3)]])</f>
        <v>0</v>
      </c>
      <c r="AP31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318">
        <f>Table67[[#This Row],[Extreme Response]]/21</f>
        <v>4.7619047619047616E-2</v>
      </c>
      <c r="AR318">
        <f>_xlfn.PERCENTILE.INC(Table67[Extrem Response Ratio (ERS)],0.9)</f>
        <v>0.61904761904761907</v>
      </c>
      <c r="AS318" t="b">
        <f>Table67[[#This Row],[Extrem Response Ratio (ERS)]]&gt;=Table67[[#This Row],[Threshold of ERS]]</f>
        <v>0</v>
      </c>
      <c r="AT318">
        <f>COUNTIF(Table67[[#This Row],[The mechanism of digital assets is difficult to understand, which discourages me from exploring it (E.g, Tokenization, Blockchain)]:[If I want to try different ways to invest, I will explore digital assets.]], 3)</f>
        <v>16</v>
      </c>
      <c r="AU318">
        <f>Table67[[#This Row],[Midpoint]]/21</f>
        <v>0.76190476190476186</v>
      </c>
      <c r="AV318">
        <f>_xlfn.PERCENTILE.INC(Table67[Midpoint ratio],0.9)</f>
        <v>0.5714285714285714</v>
      </c>
      <c r="AW318" t="b">
        <f>Table67[[#This Row],[Midpoint ratio]]&gt;=Table67[[#This Row],[Threshold of Midpoint ratio]]</f>
        <v>1</v>
      </c>
      <c r="AX318" t="b">
        <f>OR(Table67[[#This Row],[Extreme Response Style]],Table67[[#This Row],[Mid-point Response Style]])</f>
        <v>1</v>
      </c>
      <c r="AY318" t="b">
        <f>OR(Table67[[#This Row],[Delete? (Stage 1)]],Table67[[#This Row],[Delete? (Stage 2)]])</f>
        <v>1</v>
      </c>
      <c r="AZ318" t="s">
        <v>81</v>
      </c>
    </row>
    <row r="319" spans="1:52">
      <c r="A319">
        <f t="shared" si="19"/>
        <v>318</v>
      </c>
      <c r="B319" s="3">
        <v>46042.504976851902</v>
      </c>
      <c r="C319" s="3">
        <v>46042.505543981497</v>
      </c>
      <c r="D319" t="s">
        <v>53</v>
      </c>
      <c r="G319" t="s">
        <v>73</v>
      </c>
      <c r="H319" t="s">
        <v>55</v>
      </c>
      <c r="I319" t="s">
        <v>56</v>
      </c>
      <c r="J319" t="s">
        <v>64</v>
      </c>
      <c r="K319" t="s">
        <v>64</v>
      </c>
      <c r="L319" t="s">
        <v>61</v>
      </c>
      <c r="M319" t="s">
        <v>61</v>
      </c>
      <c r="N319">
        <v>4</v>
      </c>
      <c r="O319">
        <v>3</v>
      </c>
      <c r="P319">
        <v>3</v>
      </c>
      <c r="Q319">
        <v>3</v>
      </c>
      <c r="R319">
        <v>3</v>
      </c>
      <c r="S319">
        <v>4</v>
      </c>
      <c r="T319">
        <v>2</v>
      </c>
      <c r="U319">
        <v>4</v>
      </c>
      <c r="V319">
        <v>4</v>
      </c>
      <c r="W319">
        <v>2</v>
      </c>
      <c r="X319">
        <v>4</v>
      </c>
      <c r="Y319">
        <v>4</v>
      </c>
      <c r="Z319">
        <v>3</v>
      </c>
      <c r="AA319">
        <v>4</v>
      </c>
      <c r="AB319">
        <v>3</v>
      </c>
      <c r="AC319">
        <v>4</v>
      </c>
      <c r="AD319">
        <v>3</v>
      </c>
      <c r="AE319">
        <v>3</v>
      </c>
      <c r="AF319">
        <v>4</v>
      </c>
      <c r="AG319">
        <v>1</v>
      </c>
      <c r="AH319">
        <v>5</v>
      </c>
      <c r="AI319">
        <v>1</v>
      </c>
      <c r="AJ319">
        <v>2</v>
      </c>
      <c r="AK319" t="b">
        <f>Table67[[#This Row],[What is your age?]]&lt;&gt;"18 - 25"</f>
        <v>1</v>
      </c>
      <c r="AL319" t="b">
        <f t="shared" si="16"/>
        <v>0</v>
      </c>
      <c r="AM319" t="b">
        <f t="shared" si="17"/>
        <v>0</v>
      </c>
      <c r="AN319" t="b">
        <f t="shared" si="18"/>
        <v>0</v>
      </c>
      <c r="AO319" t="b">
        <f>OR(Table67[[#This Row],[Ineligible respondents]:[Inconsistent response on opposite question (3)]])</f>
        <v>1</v>
      </c>
      <c r="AP31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319">
        <f>Table67[[#This Row],[Extreme Response]]/21</f>
        <v>9.5238095238095233E-2</v>
      </c>
      <c r="AR319">
        <f>_xlfn.PERCENTILE.INC(Table67[Extrem Response Ratio (ERS)],0.9)</f>
        <v>0.61904761904761907</v>
      </c>
      <c r="AS319" t="b">
        <f>Table67[[#This Row],[Extrem Response Ratio (ERS)]]&gt;=Table67[[#This Row],[Threshold of ERS]]</f>
        <v>0</v>
      </c>
      <c r="AT319">
        <f>COUNTIF(Table67[[#This Row],[The mechanism of digital assets is difficult to understand, which discourages me from exploring it (E.g, Tokenization, Blockchain)]:[If I want to try different ways to invest, I will explore digital assets.]], 3)</f>
        <v>8</v>
      </c>
      <c r="AU319">
        <f>Table67[[#This Row],[Midpoint]]/21</f>
        <v>0.38095238095238093</v>
      </c>
      <c r="AV319">
        <f>_xlfn.PERCENTILE.INC(Table67[Midpoint ratio],0.9)</f>
        <v>0.5714285714285714</v>
      </c>
      <c r="AW319" t="b">
        <f>Table67[[#This Row],[Midpoint ratio]]&gt;=Table67[[#This Row],[Threshold of Midpoint ratio]]</f>
        <v>0</v>
      </c>
      <c r="AX319" t="b">
        <f>OR(Table67[[#This Row],[Extreme Response Style]],Table67[[#This Row],[Mid-point Response Style]])</f>
        <v>0</v>
      </c>
      <c r="AY319" t="b">
        <f>OR(Table67[[#This Row],[Delete? (Stage 1)]],Table67[[#This Row],[Delete? (Stage 2)]])</f>
        <v>1</v>
      </c>
      <c r="AZ319" t="s">
        <v>81</v>
      </c>
    </row>
    <row r="320" spans="1:52">
      <c r="A320">
        <f t="shared" si="19"/>
        <v>319</v>
      </c>
      <c r="B320" s="3">
        <v>46042.509062500001</v>
      </c>
      <c r="C320" s="3">
        <v>46042.511469907397</v>
      </c>
      <c r="D320" t="s">
        <v>53</v>
      </c>
      <c r="G320" t="s">
        <v>54</v>
      </c>
      <c r="H320" t="s">
        <v>55</v>
      </c>
      <c r="I320" t="s">
        <v>56</v>
      </c>
      <c r="J320" t="s">
        <v>62</v>
      </c>
      <c r="K320" t="s">
        <v>57</v>
      </c>
      <c r="L320" t="s">
        <v>58</v>
      </c>
      <c r="M320" t="s">
        <v>61</v>
      </c>
      <c r="N320">
        <v>5</v>
      </c>
      <c r="O320">
        <v>4</v>
      </c>
      <c r="P320">
        <v>5</v>
      </c>
      <c r="Q320">
        <v>3</v>
      </c>
      <c r="R320">
        <v>3</v>
      </c>
      <c r="S320">
        <v>4</v>
      </c>
      <c r="T320">
        <v>2</v>
      </c>
      <c r="U320">
        <v>5</v>
      </c>
      <c r="V320">
        <v>5</v>
      </c>
      <c r="W320">
        <v>5</v>
      </c>
      <c r="X320">
        <v>3</v>
      </c>
      <c r="Y320">
        <v>3</v>
      </c>
      <c r="Z320">
        <v>5</v>
      </c>
      <c r="AA320">
        <v>2</v>
      </c>
      <c r="AB320">
        <v>2</v>
      </c>
      <c r="AC320">
        <v>3</v>
      </c>
      <c r="AD320">
        <v>5</v>
      </c>
      <c r="AE320">
        <v>3</v>
      </c>
      <c r="AF320">
        <v>2</v>
      </c>
      <c r="AG320">
        <v>3</v>
      </c>
      <c r="AH320">
        <v>5</v>
      </c>
      <c r="AI320">
        <v>1</v>
      </c>
      <c r="AJ320">
        <v>4</v>
      </c>
      <c r="AK320" t="b">
        <f>Table67[[#This Row],[What is your age?]]&lt;&gt;"18 - 25"</f>
        <v>0</v>
      </c>
      <c r="AL320" t="b">
        <f t="shared" si="16"/>
        <v>0</v>
      </c>
      <c r="AM320" t="b">
        <f t="shared" si="17"/>
        <v>0</v>
      </c>
      <c r="AN320" t="b">
        <f t="shared" si="18"/>
        <v>1</v>
      </c>
      <c r="AO320" t="b">
        <f>OR(Table67[[#This Row],[Ineligible respondents]:[Inconsistent response on opposite question (3)]])</f>
        <v>1</v>
      </c>
      <c r="AP32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320">
        <f>Table67[[#This Row],[Extreme Response]]/21</f>
        <v>0.38095238095238093</v>
      </c>
      <c r="AR320">
        <f>_xlfn.PERCENTILE.INC(Table67[Extrem Response Ratio (ERS)],0.9)</f>
        <v>0.61904761904761907</v>
      </c>
      <c r="AS320" t="b">
        <f>Table67[[#This Row],[Extrem Response Ratio (ERS)]]&gt;=Table67[[#This Row],[Threshold of ERS]]</f>
        <v>0</v>
      </c>
      <c r="AT320">
        <f>COUNTIF(Table67[[#This Row],[The mechanism of digital assets is difficult to understand, which discourages me from exploring it (E.g, Tokenization, Blockchain)]:[If I want to try different ways to invest, I will explore digital assets.]], 3)</f>
        <v>7</v>
      </c>
      <c r="AU320">
        <f>Table67[[#This Row],[Midpoint]]/21</f>
        <v>0.33333333333333331</v>
      </c>
      <c r="AV320">
        <f>_xlfn.PERCENTILE.INC(Table67[Midpoint ratio],0.9)</f>
        <v>0.5714285714285714</v>
      </c>
      <c r="AW320" t="b">
        <f>Table67[[#This Row],[Midpoint ratio]]&gt;=Table67[[#This Row],[Threshold of Midpoint ratio]]</f>
        <v>0</v>
      </c>
      <c r="AX320" t="b">
        <f>OR(Table67[[#This Row],[Extreme Response Style]],Table67[[#This Row],[Mid-point Response Style]])</f>
        <v>0</v>
      </c>
      <c r="AY320" t="b">
        <f>OR(Table67[[#This Row],[Delete? (Stage 1)]],Table67[[#This Row],[Delete? (Stage 2)]])</f>
        <v>1</v>
      </c>
      <c r="AZ320" t="s">
        <v>81</v>
      </c>
    </row>
    <row r="321" spans="1:52">
      <c r="A321">
        <f t="shared" si="19"/>
        <v>320</v>
      </c>
      <c r="B321" s="3">
        <v>46042.512060185203</v>
      </c>
      <c r="C321" s="3">
        <v>46042.515625</v>
      </c>
      <c r="D321" t="s">
        <v>53</v>
      </c>
      <c r="G321" t="s">
        <v>54</v>
      </c>
      <c r="H321" t="s">
        <v>55</v>
      </c>
      <c r="I321" t="s">
        <v>56</v>
      </c>
      <c r="J321" t="s">
        <v>57</v>
      </c>
      <c r="K321" t="s">
        <v>57</v>
      </c>
      <c r="L321" t="s">
        <v>61</v>
      </c>
      <c r="M321" t="s">
        <v>61</v>
      </c>
      <c r="N321">
        <v>3</v>
      </c>
      <c r="O321">
        <v>2</v>
      </c>
      <c r="P321">
        <v>4</v>
      </c>
      <c r="Q321">
        <v>3</v>
      </c>
      <c r="R321">
        <v>1</v>
      </c>
      <c r="S321">
        <v>5</v>
      </c>
      <c r="T321">
        <v>4</v>
      </c>
      <c r="U321">
        <v>5</v>
      </c>
      <c r="V321">
        <v>5</v>
      </c>
      <c r="W321">
        <v>4</v>
      </c>
      <c r="X321">
        <v>3</v>
      </c>
      <c r="Y321">
        <v>4</v>
      </c>
      <c r="Z321">
        <v>4</v>
      </c>
      <c r="AA321">
        <v>4</v>
      </c>
      <c r="AB321">
        <v>2</v>
      </c>
      <c r="AC321">
        <v>5</v>
      </c>
      <c r="AD321">
        <v>3</v>
      </c>
      <c r="AE321">
        <v>2</v>
      </c>
      <c r="AF321">
        <v>2</v>
      </c>
      <c r="AG321">
        <v>4</v>
      </c>
      <c r="AH321">
        <v>3</v>
      </c>
      <c r="AI321">
        <v>3</v>
      </c>
      <c r="AJ321">
        <v>4</v>
      </c>
      <c r="AK321" t="b">
        <f>Table67[[#This Row],[What is your age?]]&lt;&gt;"18 - 25"</f>
        <v>0</v>
      </c>
      <c r="AL321" t="b">
        <f t="shared" si="16"/>
        <v>0</v>
      </c>
      <c r="AM321" t="b">
        <f t="shared" si="17"/>
        <v>0</v>
      </c>
      <c r="AN321" t="b">
        <f t="shared" si="18"/>
        <v>1</v>
      </c>
      <c r="AO321" t="b">
        <f>OR(Table67[[#This Row],[Ineligible respondents]:[Inconsistent response on opposite question (3)]])</f>
        <v>1</v>
      </c>
      <c r="AP32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321">
        <f>Table67[[#This Row],[Extreme Response]]/21</f>
        <v>0.23809523809523808</v>
      </c>
      <c r="AR321">
        <f>_xlfn.PERCENTILE.INC(Table67[Extrem Response Ratio (ERS)],0.9)</f>
        <v>0.61904761904761907</v>
      </c>
      <c r="AS321" t="b">
        <f>Table67[[#This Row],[Extrem Response Ratio (ERS)]]&gt;=Table67[[#This Row],[Threshold of ERS]]</f>
        <v>0</v>
      </c>
      <c r="AT321">
        <f>COUNTIF(Table67[[#This Row],[The mechanism of digital assets is difficult to understand, which discourages me from exploring it (E.g, Tokenization, Blockchain)]:[If I want to try different ways to invest, I will explore digital assets.]], 3)</f>
        <v>5</v>
      </c>
      <c r="AU321">
        <f>Table67[[#This Row],[Midpoint]]/21</f>
        <v>0.23809523809523808</v>
      </c>
      <c r="AV321">
        <f>_xlfn.PERCENTILE.INC(Table67[Midpoint ratio],0.9)</f>
        <v>0.5714285714285714</v>
      </c>
      <c r="AW321" t="b">
        <f>Table67[[#This Row],[Midpoint ratio]]&gt;=Table67[[#This Row],[Threshold of Midpoint ratio]]</f>
        <v>0</v>
      </c>
      <c r="AX321" t="b">
        <f>OR(Table67[[#This Row],[Extreme Response Style]],Table67[[#This Row],[Mid-point Response Style]])</f>
        <v>0</v>
      </c>
      <c r="AY321" t="b">
        <f>OR(Table67[[#This Row],[Delete? (Stage 1)]],Table67[[#This Row],[Delete? (Stage 2)]])</f>
        <v>1</v>
      </c>
      <c r="AZ321" t="s">
        <v>81</v>
      </c>
    </row>
    <row r="322" spans="1:52">
      <c r="A322">
        <f t="shared" si="19"/>
        <v>321</v>
      </c>
      <c r="B322" s="3">
        <v>46042.516064814801</v>
      </c>
      <c r="C322" s="3">
        <v>46042.517210648097</v>
      </c>
      <c r="D322" t="s">
        <v>53</v>
      </c>
      <c r="G322" t="s">
        <v>54</v>
      </c>
      <c r="H322" t="s">
        <v>55</v>
      </c>
      <c r="I322" t="s">
        <v>56</v>
      </c>
      <c r="J322" t="s">
        <v>62</v>
      </c>
      <c r="K322" t="s">
        <v>62</v>
      </c>
      <c r="L322" t="s">
        <v>58</v>
      </c>
      <c r="M322" t="s">
        <v>61</v>
      </c>
      <c r="N322">
        <v>3</v>
      </c>
      <c r="O322">
        <v>4</v>
      </c>
      <c r="P322">
        <v>2</v>
      </c>
      <c r="Q322">
        <v>2</v>
      </c>
      <c r="R322">
        <v>2</v>
      </c>
      <c r="S322">
        <v>2</v>
      </c>
      <c r="T322">
        <v>2</v>
      </c>
      <c r="U322">
        <v>2</v>
      </c>
      <c r="V322">
        <v>2</v>
      </c>
      <c r="W322">
        <v>2</v>
      </c>
      <c r="X322">
        <v>4</v>
      </c>
      <c r="Y322">
        <v>4</v>
      </c>
      <c r="Z322">
        <v>4</v>
      </c>
      <c r="AA322">
        <v>4</v>
      </c>
      <c r="AB322">
        <v>4</v>
      </c>
      <c r="AC322">
        <v>4</v>
      </c>
      <c r="AD322">
        <v>3</v>
      </c>
      <c r="AE322">
        <v>3</v>
      </c>
      <c r="AF322">
        <v>2</v>
      </c>
      <c r="AG322">
        <v>4</v>
      </c>
      <c r="AH322">
        <v>3</v>
      </c>
      <c r="AI322">
        <v>3</v>
      </c>
      <c r="AJ322">
        <v>4</v>
      </c>
      <c r="AK322" t="b">
        <f>Table67[[#This Row],[What is your age?]]&lt;&gt;"18 - 25"</f>
        <v>0</v>
      </c>
      <c r="AL322" t="b">
        <f t="shared" si="16"/>
        <v>0</v>
      </c>
      <c r="AM322" t="b">
        <f t="shared" si="17"/>
        <v>0</v>
      </c>
      <c r="AN322" t="b">
        <f t="shared" si="18"/>
        <v>1</v>
      </c>
      <c r="AO322" t="b">
        <f>OR(Table67[[#This Row],[Ineligible respondents]:[Inconsistent response on opposite question (3)]])</f>
        <v>1</v>
      </c>
      <c r="AP32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22">
        <f>Table67[[#This Row],[Extreme Response]]/21</f>
        <v>0</v>
      </c>
      <c r="AR322">
        <f>_xlfn.PERCENTILE.INC(Table67[Extrem Response Ratio (ERS)],0.9)</f>
        <v>0.61904761904761907</v>
      </c>
      <c r="AS322" t="b">
        <f>Table67[[#This Row],[Extrem Response Ratio (ERS)]]&gt;=Table67[[#This Row],[Threshold of ERS]]</f>
        <v>0</v>
      </c>
      <c r="AT322">
        <f>COUNTIF(Table67[[#This Row],[The mechanism of digital assets is difficult to understand, which discourages me from exploring it (E.g, Tokenization, Blockchain)]:[If I want to try different ways to invest, I will explore digital assets.]], 3)</f>
        <v>4</v>
      </c>
      <c r="AU322">
        <f>Table67[[#This Row],[Midpoint]]/21</f>
        <v>0.19047619047619047</v>
      </c>
      <c r="AV322">
        <f>_xlfn.PERCENTILE.INC(Table67[Midpoint ratio],0.9)</f>
        <v>0.5714285714285714</v>
      </c>
      <c r="AW322" t="b">
        <f>Table67[[#This Row],[Midpoint ratio]]&gt;=Table67[[#This Row],[Threshold of Midpoint ratio]]</f>
        <v>0</v>
      </c>
      <c r="AX322" t="b">
        <f>OR(Table67[[#This Row],[Extreme Response Style]],Table67[[#This Row],[Mid-point Response Style]])</f>
        <v>0</v>
      </c>
      <c r="AY322" t="b">
        <f>OR(Table67[[#This Row],[Delete? (Stage 1)]],Table67[[#This Row],[Delete? (Stage 2)]])</f>
        <v>1</v>
      </c>
      <c r="AZ322" t="s">
        <v>81</v>
      </c>
    </row>
    <row r="323" spans="1:52">
      <c r="A323">
        <f t="shared" si="19"/>
        <v>322</v>
      </c>
      <c r="B323" s="3">
        <v>46042.517418981501</v>
      </c>
      <c r="C323" s="3">
        <v>46042.519050925897</v>
      </c>
      <c r="D323" t="s">
        <v>53</v>
      </c>
      <c r="G323" t="s">
        <v>54</v>
      </c>
      <c r="H323" t="s">
        <v>63</v>
      </c>
      <c r="I323" t="s">
        <v>56</v>
      </c>
      <c r="J323" t="s">
        <v>62</v>
      </c>
      <c r="K323" t="s">
        <v>57</v>
      </c>
      <c r="L323" t="s">
        <v>58</v>
      </c>
      <c r="M323" t="s">
        <v>58</v>
      </c>
      <c r="N323">
        <v>4</v>
      </c>
      <c r="O323">
        <v>3</v>
      </c>
      <c r="P323">
        <v>4</v>
      </c>
      <c r="Q323">
        <v>4</v>
      </c>
      <c r="R323">
        <v>3</v>
      </c>
      <c r="S323">
        <v>4</v>
      </c>
      <c r="T323">
        <v>4</v>
      </c>
      <c r="U323">
        <v>5</v>
      </c>
      <c r="V323">
        <v>4</v>
      </c>
      <c r="W323">
        <v>4</v>
      </c>
      <c r="X323">
        <v>4</v>
      </c>
      <c r="Y323">
        <v>5</v>
      </c>
      <c r="Z323">
        <v>4</v>
      </c>
      <c r="AA323">
        <v>4</v>
      </c>
      <c r="AB323">
        <v>3</v>
      </c>
      <c r="AC323">
        <v>4</v>
      </c>
      <c r="AD323">
        <v>4</v>
      </c>
      <c r="AE323">
        <v>4</v>
      </c>
      <c r="AF323">
        <v>2</v>
      </c>
      <c r="AG323">
        <v>4</v>
      </c>
      <c r="AH323">
        <v>3</v>
      </c>
      <c r="AI323">
        <v>3</v>
      </c>
      <c r="AJ323">
        <v>4</v>
      </c>
      <c r="AK323" t="b">
        <f>Table67[[#This Row],[What is your age?]]&lt;&gt;"18 - 25"</f>
        <v>0</v>
      </c>
      <c r="AL323" t="b">
        <f t="shared" ref="AL323:AL386" si="20">COUNTIF(N323:AH323, N323) = COLUMNS(N323:AH323)</f>
        <v>0</v>
      </c>
      <c r="AM323" t="b">
        <f t="shared" ref="AM323:AM386" si="21">OR(AND(AG323=AH323, AG323&lt;&gt;3), AND(OR(AG323=1, AG323=2), OR(AH323=1, AH323=2)), AND(OR(AG323=4, AG323=5), OR(AH323=4, AH323=5)))</f>
        <v>0</v>
      </c>
      <c r="AN323" t="b">
        <f t="shared" ref="AN323:AN386" si="22">OR(AND(AG323=3, AH323&lt;&gt;3), AND(AH323=3, AG323&lt;&gt;3))</f>
        <v>1</v>
      </c>
      <c r="AO323" t="b">
        <f>OR(Table67[[#This Row],[Ineligible respondents]:[Inconsistent response on opposite question (3)]])</f>
        <v>1</v>
      </c>
      <c r="AP32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323">
        <f>Table67[[#This Row],[Extreme Response]]/21</f>
        <v>9.5238095238095233E-2</v>
      </c>
      <c r="AR323">
        <f>_xlfn.PERCENTILE.INC(Table67[Extrem Response Ratio (ERS)],0.9)</f>
        <v>0.61904761904761907</v>
      </c>
      <c r="AS323" t="b">
        <f>Table67[[#This Row],[Extrem Response Ratio (ERS)]]&gt;=Table67[[#This Row],[Threshold of ERS]]</f>
        <v>0</v>
      </c>
      <c r="AT323">
        <f>COUNTIF(Table67[[#This Row],[The mechanism of digital assets is difficult to understand, which discourages me from exploring it (E.g, Tokenization, Blockchain)]:[If I want to try different ways to invest, I will explore digital assets.]], 3)</f>
        <v>4</v>
      </c>
      <c r="AU323">
        <f>Table67[[#This Row],[Midpoint]]/21</f>
        <v>0.19047619047619047</v>
      </c>
      <c r="AV323">
        <f>_xlfn.PERCENTILE.INC(Table67[Midpoint ratio],0.9)</f>
        <v>0.5714285714285714</v>
      </c>
      <c r="AW323" t="b">
        <f>Table67[[#This Row],[Midpoint ratio]]&gt;=Table67[[#This Row],[Threshold of Midpoint ratio]]</f>
        <v>0</v>
      </c>
      <c r="AX323" t="b">
        <f>OR(Table67[[#This Row],[Extreme Response Style]],Table67[[#This Row],[Mid-point Response Style]])</f>
        <v>0</v>
      </c>
      <c r="AY323" t="b">
        <f>OR(Table67[[#This Row],[Delete? (Stage 1)]],Table67[[#This Row],[Delete? (Stage 2)]])</f>
        <v>1</v>
      </c>
      <c r="AZ323" t="s">
        <v>81</v>
      </c>
    </row>
    <row r="324" spans="1:52">
      <c r="A324">
        <f t="shared" ref="A324:A387" si="23">1+A323</f>
        <v>323</v>
      </c>
      <c r="B324" s="3">
        <v>46042.5226736111</v>
      </c>
      <c r="C324" s="3">
        <v>46042.541111111103</v>
      </c>
      <c r="D324" t="s">
        <v>53</v>
      </c>
      <c r="G324" t="s">
        <v>54</v>
      </c>
      <c r="H324" t="s">
        <v>63</v>
      </c>
      <c r="I324" t="s">
        <v>56</v>
      </c>
      <c r="J324" t="s">
        <v>65</v>
      </c>
      <c r="K324" t="s">
        <v>57</v>
      </c>
      <c r="L324" t="s">
        <v>58</v>
      </c>
      <c r="M324" t="s">
        <v>58</v>
      </c>
      <c r="N324">
        <v>2</v>
      </c>
      <c r="O324">
        <v>3</v>
      </c>
      <c r="P324">
        <v>3</v>
      </c>
      <c r="Q324">
        <v>3</v>
      </c>
      <c r="R324">
        <v>2</v>
      </c>
      <c r="S324">
        <v>2</v>
      </c>
      <c r="T324">
        <v>2</v>
      </c>
      <c r="U324">
        <v>2</v>
      </c>
      <c r="V324">
        <v>2</v>
      </c>
      <c r="W324">
        <v>3</v>
      </c>
      <c r="X324">
        <v>4</v>
      </c>
      <c r="Y324">
        <v>4</v>
      </c>
      <c r="Z324">
        <v>5</v>
      </c>
      <c r="AA324">
        <v>2</v>
      </c>
      <c r="AB324">
        <v>4</v>
      </c>
      <c r="AC324">
        <v>4</v>
      </c>
      <c r="AD324">
        <v>3</v>
      </c>
      <c r="AE324">
        <v>2</v>
      </c>
      <c r="AF324">
        <v>2</v>
      </c>
      <c r="AG324">
        <v>2</v>
      </c>
      <c r="AH324">
        <v>2</v>
      </c>
      <c r="AI324">
        <v>4</v>
      </c>
      <c r="AJ324">
        <v>4</v>
      </c>
      <c r="AK324" t="b">
        <f>Table67[[#This Row],[What is your age?]]&lt;&gt;"18 - 25"</f>
        <v>0</v>
      </c>
      <c r="AL324" t="b">
        <f t="shared" si="20"/>
        <v>0</v>
      </c>
      <c r="AM324" t="b">
        <f t="shared" si="21"/>
        <v>1</v>
      </c>
      <c r="AN324" t="b">
        <f t="shared" si="22"/>
        <v>0</v>
      </c>
      <c r="AO324" t="b">
        <f>OR(Table67[[#This Row],[Ineligible respondents]:[Inconsistent response on opposite question (3)]])</f>
        <v>1</v>
      </c>
      <c r="AP32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324">
        <f>Table67[[#This Row],[Extreme Response]]/21</f>
        <v>4.7619047619047616E-2</v>
      </c>
      <c r="AR324">
        <f>_xlfn.PERCENTILE.INC(Table67[Extrem Response Ratio (ERS)],0.9)</f>
        <v>0.61904761904761907</v>
      </c>
      <c r="AS324" t="b">
        <f>Table67[[#This Row],[Extrem Response Ratio (ERS)]]&gt;=Table67[[#This Row],[Threshold of ERS]]</f>
        <v>0</v>
      </c>
      <c r="AT324">
        <f>COUNTIF(Table67[[#This Row],[The mechanism of digital assets is difficult to understand, which discourages me from exploring it (E.g, Tokenization, Blockchain)]:[If I want to try different ways to invest, I will explore digital assets.]], 3)</f>
        <v>5</v>
      </c>
      <c r="AU324">
        <f>Table67[[#This Row],[Midpoint]]/21</f>
        <v>0.23809523809523808</v>
      </c>
      <c r="AV324">
        <f>_xlfn.PERCENTILE.INC(Table67[Midpoint ratio],0.9)</f>
        <v>0.5714285714285714</v>
      </c>
      <c r="AW324" t="b">
        <f>Table67[[#This Row],[Midpoint ratio]]&gt;=Table67[[#This Row],[Threshold of Midpoint ratio]]</f>
        <v>0</v>
      </c>
      <c r="AX324" t="b">
        <f>OR(Table67[[#This Row],[Extreme Response Style]],Table67[[#This Row],[Mid-point Response Style]])</f>
        <v>0</v>
      </c>
      <c r="AY324" t="b">
        <f>OR(Table67[[#This Row],[Delete? (Stage 1)]],Table67[[#This Row],[Delete? (Stage 2)]])</f>
        <v>1</v>
      </c>
      <c r="AZ324" t="s">
        <v>81</v>
      </c>
    </row>
    <row r="325" spans="1:52">
      <c r="A325">
        <f t="shared" si="23"/>
        <v>324</v>
      </c>
      <c r="B325" s="3">
        <v>46042.5374884259</v>
      </c>
      <c r="C325" s="3">
        <v>46042.539085648103</v>
      </c>
      <c r="D325" t="s">
        <v>53</v>
      </c>
      <c r="G325" t="s">
        <v>54</v>
      </c>
      <c r="H325" t="s">
        <v>63</v>
      </c>
      <c r="I325" t="s">
        <v>56</v>
      </c>
      <c r="J325" t="s">
        <v>62</v>
      </c>
      <c r="K325" t="s">
        <v>57</v>
      </c>
      <c r="L325" t="s">
        <v>58</v>
      </c>
      <c r="M325" t="s">
        <v>61</v>
      </c>
      <c r="N325">
        <v>3</v>
      </c>
      <c r="O325">
        <v>3</v>
      </c>
      <c r="P325">
        <v>2</v>
      </c>
      <c r="Q325">
        <v>2</v>
      </c>
      <c r="R325">
        <v>3</v>
      </c>
      <c r="S325">
        <v>3</v>
      </c>
      <c r="T325">
        <v>3</v>
      </c>
      <c r="U325">
        <v>3</v>
      </c>
      <c r="V325">
        <v>3</v>
      </c>
      <c r="W325">
        <v>3</v>
      </c>
      <c r="X325">
        <v>2</v>
      </c>
      <c r="Y325">
        <v>4</v>
      </c>
      <c r="Z325">
        <v>3</v>
      </c>
      <c r="AA325">
        <v>3</v>
      </c>
      <c r="AB325">
        <v>3</v>
      </c>
      <c r="AC325">
        <v>3</v>
      </c>
      <c r="AD325">
        <v>4</v>
      </c>
      <c r="AE325">
        <v>2</v>
      </c>
      <c r="AF325">
        <v>4</v>
      </c>
      <c r="AG325">
        <v>3</v>
      </c>
      <c r="AH325">
        <v>3</v>
      </c>
      <c r="AI325">
        <v>3</v>
      </c>
      <c r="AJ325">
        <v>2</v>
      </c>
      <c r="AK325" t="b">
        <f>Table67[[#This Row],[What is your age?]]&lt;&gt;"18 - 25"</f>
        <v>0</v>
      </c>
      <c r="AL325" t="b">
        <f t="shared" si="20"/>
        <v>0</v>
      </c>
      <c r="AM325" t="b">
        <f t="shared" si="21"/>
        <v>0</v>
      </c>
      <c r="AN325" t="b">
        <f t="shared" si="22"/>
        <v>0</v>
      </c>
      <c r="AO325" t="b">
        <f>OR(Table67[[#This Row],[Ineligible respondents]:[Inconsistent response on opposite question (3)]])</f>
        <v>0</v>
      </c>
      <c r="AP32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25">
        <f>Table67[[#This Row],[Extreme Response]]/21</f>
        <v>0</v>
      </c>
      <c r="AR325">
        <f>_xlfn.PERCENTILE.INC(Table67[Extrem Response Ratio (ERS)],0.9)</f>
        <v>0.61904761904761907</v>
      </c>
      <c r="AS325" t="b">
        <f>Table67[[#This Row],[Extrem Response Ratio (ERS)]]&gt;=Table67[[#This Row],[Threshold of ERS]]</f>
        <v>0</v>
      </c>
      <c r="AT325">
        <f>COUNTIF(Table67[[#This Row],[The mechanism of digital assets is difficult to understand, which discourages me from exploring it (E.g, Tokenization, Blockchain)]:[If I want to try different ways to invest, I will explore digital assets.]], 3)</f>
        <v>14</v>
      </c>
      <c r="AU325">
        <f>Table67[[#This Row],[Midpoint]]/21</f>
        <v>0.66666666666666663</v>
      </c>
      <c r="AV325">
        <f>_xlfn.PERCENTILE.INC(Table67[Midpoint ratio],0.9)</f>
        <v>0.5714285714285714</v>
      </c>
      <c r="AW325" t="b">
        <f>Table67[[#This Row],[Midpoint ratio]]&gt;=Table67[[#This Row],[Threshold of Midpoint ratio]]</f>
        <v>1</v>
      </c>
      <c r="AX325" t="b">
        <f>OR(Table67[[#This Row],[Extreme Response Style]],Table67[[#This Row],[Mid-point Response Style]])</f>
        <v>1</v>
      </c>
      <c r="AY325" t="b">
        <f>OR(Table67[[#This Row],[Delete? (Stage 1)]],Table67[[#This Row],[Delete? (Stage 2)]])</f>
        <v>1</v>
      </c>
      <c r="AZ325" t="s">
        <v>81</v>
      </c>
    </row>
    <row r="326" spans="1:52">
      <c r="A326">
        <f t="shared" si="23"/>
        <v>325</v>
      </c>
      <c r="B326" s="3">
        <v>46042.538067129601</v>
      </c>
      <c r="C326" s="3">
        <v>46042.540046296301</v>
      </c>
      <c r="D326" t="s">
        <v>53</v>
      </c>
      <c r="G326" t="s">
        <v>54</v>
      </c>
      <c r="H326" t="s">
        <v>55</v>
      </c>
      <c r="I326" t="s">
        <v>56</v>
      </c>
      <c r="J326" t="s">
        <v>62</v>
      </c>
      <c r="K326" t="s">
        <v>57</v>
      </c>
      <c r="L326" t="s">
        <v>58</v>
      </c>
      <c r="M326" t="s">
        <v>61</v>
      </c>
      <c r="N326">
        <v>2</v>
      </c>
      <c r="O326">
        <v>2</v>
      </c>
      <c r="P326">
        <v>4</v>
      </c>
      <c r="Q326">
        <v>4</v>
      </c>
      <c r="R326">
        <v>4</v>
      </c>
      <c r="S326">
        <v>4</v>
      </c>
      <c r="T326">
        <v>3</v>
      </c>
      <c r="U326">
        <v>5</v>
      </c>
      <c r="V326">
        <v>5</v>
      </c>
      <c r="W326">
        <v>5</v>
      </c>
      <c r="X326">
        <v>3</v>
      </c>
      <c r="Y326">
        <v>4</v>
      </c>
      <c r="Z326">
        <v>4</v>
      </c>
      <c r="AA326">
        <v>4</v>
      </c>
      <c r="AB326">
        <v>4</v>
      </c>
      <c r="AC326">
        <v>3</v>
      </c>
      <c r="AD326">
        <v>3</v>
      </c>
      <c r="AE326">
        <v>3</v>
      </c>
      <c r="AF326">
        <v>3</v>
      </c>
      <c r="AG326">
        <v>4</v>
      </c>
      <c r="AH326">
        <v>3</v>
      </c>
      <c r="AI326">
        <v>3</v>
      </c>
      <c r="AJ326">
        <v>3</v>
      </c>
      <c r="AK326" t="b">
        <f>Table67[[#This Row],[What is your age?]]&lt;&gt;"18 - 25"</f>
        <v>0</v>
      </c>
      <c r="AL326" t="b">
        <f t="shared" si="20"/>
        <v>0</v>
      </c>
      <c r="AM326" t="b">
        <f t="shared" si="21"/>
        <v>0</v>
      </c>
      <c r="AN326" t="b">
        <f t="shared" si="22"/>
        <v>1</v>
      </c>
      <c r="AO326" t="b">
        <f>OR(Table67[[#This Row],[Ineligible respondents]:[Inconsistent response on opposite question (3)]])</f>
        <v>1</v>
      </c>
      <c r="AP32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326">
        <f>Table67[[#This Row],[Extreme Response]]/21</f>
        <v>0.14285714285714285</v>
      </c>
      <c r="AR326">
        <f>_xlfn.PERCENTILE.INC(Table67[Extrem Response Ratio (ERS)],0.9)</f>
        <v>0.61904761904761907</v>
      </c>
      <c r="AS326" t="b">
        <f>Table67[[#This Row],[Extrem Response Ratio (ERS)]]&gt;=Table67[[#This Row],[Threshold of ERS]]</f>
        <v>0</v>
      </c>
      <c r="AT326">
        <f>COUNTIF(Table67[[#This Row],[The mechanism of digital assets is difficult to understand, which discourages me from exploring it (E.g, Tokenization, Blockchain)]:[If I want to try different ways to invest, I will explore digital assets.]], 3)</f>
        <v>7</v>
      </c>
      <c r="AU326">
        <f>Table67[[#This Row],[Midpoint]]/21</f>
        <v>0.33333333333333331</v>
      </c>
      <c r="AV326">
        <f>_xlfn.PERCENTILE.INC(Table67[Midpoint ratio],0.9)</f>
        <v>0.5714285714285714</v>
      </c>
      <c r="AW326" t="b">
        <f>Table67[[#This Row],[Midpoint ratio]]&gt;=Table67[[#This Row],[Threshold of Midpoint ratio]]</f>
        <v>0</v>
      </c>
      <c r="AX326" t="b">
        <f>OR(Table67[[#This Row],[Extreme Response Style]],Table67[[#This Row],[Mid-point Response Style]])</f>
        <v>0</v>
      </c>
      <c r="AY326" t="b">
        <f>OR(Table67[[#This Row],[Delete? (Stage 1)]],Table67[[#This Row],[Delete? (Stage 2)]])</f>
        <v>1</v>
      </c>
      <c r="AZ326" t="s">
        <v>81</v>
      </c>
    </row>
    <row r="327" spans="1:52">
      <c r="A327">
        <f t="shared" si="23"/>
        <v>326</v>
      </c>
      <c r="B327" s="3">
        <v>46042.539976851796</v>
      </c>
      <c r="C327" s="3">
        <v>46042.540763888901</v>
      </c>
      <c r="D327" t="s">
        <v>53</v>
      </c>
      <c r="G327" t="s">
        <v>54</v>
      </c>
      <c r="H327" t="s">
        <v>63</v>
      </c>
      <c r="I327" t="s">
        <v>56</v>
      </c>
      <c r="J327" t="s">
        <v>60</v>
      </c>
      <c r="K327" t="s">
        <v>57</v>
      </c>
      <c r="L327" t="s">
        <v>58</v>
      </c>
      <c r="M327" t="s">
        <v>58</v>
      </c>
      <c r="N327">
        <v>4</v>
      </c>
      <c r="O327">
        <v>4</v>
      </c>
      <c r="P327">
        <v>4</v>
      </c>
      <c r="Q327">
        <v>3</v>
      </c>
      <c r="R327">
        <v>4</v>
      </c>
      <c r="S327">
        <v>4</v>
      </c>
      <c r="T327">
        <v>4</v>
      </c>
      <c r="U327">
        <v>4</v>
      </c>
      <c r="V327">
        <v>4</v>
      </c>
      <c r="W327">
        <v>4</v>
      </c>
      <c r="X327">
        <v>4</v>
      </c>
      <c r="Y327">
        <v>4</v>
      </c>
      <c r="Z327">
        <v>4</v>
      </c>
      <c r="AA327">
        <v>4</v>
      </c>
      <c r="AB327">
        <v>4</v>
      </c>
      <c r="AC327">
        <v>4</v>
      </c>
      <c r="AD327">
        <v>4</v>
      </c>
      <c r="AE327">
        <v>4</v>
      </c>
      <c r="AF327">
        <v>4</v>
      </c>
      <c r="AG327">
        <v>4</v>
      </c>
      <c r="AH327">
        <v>4</v>
      </c>
      <c r="AI327">
        <v>2</v>
      </c>
      <c r="AJ327">
        <v>2</v>
      </c>
      <c r="AK327" t="b">
        <f>Table67[[#This Row],[What is your age?]]&lt;&gt;"18 - 25"</f>
        <v>0</v>
      </c>
      <c r="AL327" t="b">
        <f t="shared" si="20"/>
        <v>0</v>
      </c>
      <c r="AM327" t="b">
        <f t="shared" si="21"/>
        <v>1</v>
      </c>
      <c r="AN327" t="b">
        <f t="shared" si="22"/>
        <v>0</v>
      </c>
      <c r="AO327" t="b">
        <f>OR(Table67[[#This Row],[Ineligible respondents]:[Inconsistent response on opposite question (3)]])</f>
        <v>1</v>
      </c>
      <c r="AP32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27">
        <f>Table67[[#This Row],[Extreme Response]]/21</f>
        <v>0</v>
      </c>
      <c r="AR327">
        <f>_xlfn.PERCENTILE.INC(Table67[Extrem Response Ratio (ERS)],0.9)</f>
        <v>0.61904761904761907</v>
      </c>
      <c r="AS327" t="b">
        <f>Table67[[#This Row],[Extrem Response Ratio (ERS)]]&gt;=Table67[[#This Row],[Threshold of ERS]]</f>
        <v>0</v>
      </c>
      <c r="AT327">
        <f>COUNTIF(Table67[[#This Row],[The mechanism of digital assets is difficult to understand, which discourages me from exploring it (E.g, Tokenization, Blockchain)]:[If I want to try different ways to invest, I will explore digital assets.]], 3)</f>
        <v>1</v>
      </c>
      <c r="AU327">
        <f>Table67[[#This Row],[Midpoint]]/21</f>
        <v>4.7619047619047616E-2</v>
      </c>
      <c r="AV327">
        <f>_xlfn.PERCENTILE.INC(Table67[Midpoint ratio],0.9)</f>
        <v>0.5714285714285714</v>
      </c>
      <c r="AW327" t="b">
        <f>Table67[[#This Row],[Midpoint ratio]]&gt;=Table67[[#This Row],[Threshold of Midpoint ratio]]</f>
        <v>0</v>
      </c>
      <c r="AX327" t="b">
        <f>OR(Table67[[#This Row],[Extreme Response Style]],Table67[[#This Row],[Mid-point Response Style]])</f>
        <v>0</v>
      </c>
      <c r="AY327" t="b">
        <f>OR(Table67[[#This Row],[Delete? (Stage 1)]],Table67[[#This Row],[Delete? (Stage 2)]])</f>
        <v>1</v>
      </c>
      <c r="AZ327" t="s">
        <v>81</v>
      </c>
    </row>
    <row r="328" spans="1:52">
      <c r="A328">
        <f t="shared" si="23"/>
        <v>327</v>
      </c>
      <c r="B328" s="3">
        <v>46042.544872685197</v>
      </c>
      <c r="C328" s="3">
        <v>46042.546249999999</v>
      </c>
      <c r="D328" t="s">
        <v>53</v>
      </c>
      <c r="G328" t="s">
        <v>54</v>
      </c>
      <c r="H328" t="s">
        <v>63</v>
      </c>
      <c r="I328" t="s">
        <v>56</v>
      </c>
      <c r="J328" t="s">
        <v>62</v>
      </c>
      <c r="K328" t="s">
        <v>62</v>
      </c>
      <c r="L328" t="s">
        <v>58</v>
      </c>
      <c r="M328" t="s">
        <v>61</v>
      </c>
      <c r="N328">
        <v>3</v>
      </c>
      <c r="O328">
        <v>3</v>
      </c>
      <c r="P328">
        <v>4</v>
      </c>
      <c r="Q328">
        <v>3</v>
      </c>
      <c r="R328">
        <v>4</v>
      </c>
      <c r="S328">
        <v>4</v>
      </c>
      <c r="T328">
        <v>3</v>
      </c>
      <c r="U328">
        <v>4</v>
      </c>
      <c r="V328">
        <v>4</v>
      </c>
      <c r="W328">
        <v>3</v>
      </c>
      <c r="X328">
        <v>4</v>
      </c>
      <c r="Y328">
        <v>4</v>
      </c>
      <c r="Z328">
        <v>4</v>
      </c>
      <c r="AA328">
        <v>4</v>
      </c>
      <c r="AB328">
        <v>3</v>
      </c>
      <c r="AC328">
        <v>4</v>
      </c>
      <c r="AD328">
        <v>4</v>
      </c>
      <c r="AE328">
        <v>4</v>
      </c>
      <c r="AF328">
        <v>2</v>
      </c>
      <c r="AG328">
        <v>4</v>
      </c>
      <c r="AH328">
        <v>3</v>
      </c>
      <c r="AI328">
        <v>3</v>
      </c>
      <c r="AJ328">
        <v>4</v>
      </c>
      <c r="AK328" t="b">
        <f>Table67[[#This Row],[What is your age?]]&lt;&gt;"18 - 25"</f>
        <v>0</v>
      </c>
      <c r="AL328" t="b">
        <f t="shared" si="20"/>
        <v>0</v>
      </c>
      <c r="AM328" t="b">
        <f t="shared" si="21"/>
        <v>0</v>
      </c>
      <c r="AN328" t="b">
        <f t="shared" si="22"/>
        <v>1</v>
      </c>
      <c r="AO328" t="b">
        <f>OR(Table67[[#This Row],[Ineligible respondents]:[Inconsistent response on opposite question (3)]])</f>
        <v>1</v>
      </c>
      <c r="AP32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28">
        <f>Table67[[#This Row],[Extreme Response]]/21</f>
        <v>0</v>
      </c>
      <c r="AR328">
        <f>_xlfn.PERCENTILE.INC(Table67[Extrem Response Ratio (ERS)],0.9)</f>
        <v>0.61904761904761907</v>
      </c>
      <c r="AS328" t="b">
        <f>Table67[[#This Row],[Extrem Response Ratio (ERS)]]&gt;=Table67[[#This Row],[Threshold of ERS]]</f>
        <v>0</v>
      </c>
      <c r="AT328">
        <f>COUNTIF(Table67[[#This Row],[The mechanism of digital assets is difficult to understand, which discourages me from exploring it (E.g, Tokenization, Blockchain)]:[If I want to try different ways to invest, I will explore digital assets.]], 3)</f>
        <v>7</v>
      </c>
      <c r="AU328">
        <f>Table67[[#This Row],[Midpoint]]/21</f>
        <v>0.33333333333333331</v>
      </c>
      <c r="AV328">
        <f>_xlfn.PERCENTILE.INC(Table67[Midpoint ratio],0.9)</f>
        <v>0.5714285714285714</v>
      </c>
      <c r="AW328" t="b">
        <f>Table67[[#This Row],[Midpoint ratio]]&gt;=Table67[[#This Row],[Threshold of Midpoint ratio]]</f>
        <v>0</v>
      </c>
      <c r="AX328" t="b">
        <f>OR(Table67[[#This Row],[Extreme Response Style]],Table67[[#This Row],[Mid-point Response Style]])</f>
        <v>0</v>
      </c>
      <c r="AY328" t="b">
        <f>OR(Table67[[#This Row],[Delete? (Stage 1)]],Table67[[#This Row],[Delete? (Stage 2)]])</f>
        <v>1</v>
      </c>
      <c r="AZ328" t="s">
        <v>81</v>
      </c>
    </row>
    <row r="329" spans="1:52">
      <c r="A329">
        <f t="shared" si="23"/>
        <v>328</v>
      </c>
      <c r="B329" s="3">
        <v>46042.5466087963</v>
      </c>
      <c r="C329" s="3">
        <v>46042.548206018502</v>
      </c>
      <c r="D329" t="s">
        <v>53</v>
      </c>
      <c r="G329" t="s">
        <v>54</v>
      </c>
      <c r="H329" t="s">
        <v>55</v>
      </c>
      <c r="I329" t="s">
        <v>56</v>
      </c>
      <c r="J329" t="s">
        <v>57</v>
      </c>
      <c r="K329" t="s">
        <v>57</v>
      </c>
      <c r="L329" t="s">
        <v>58</v>
      </c>
      <c r="M329" t="s">
        <v>58</v>
      </c>
      <c r="N329">
        <v>5</v>
      </c>
      <c r="O329">
        <v>4</v>
      </c>
      <c r="P329">
        <v>3</v>
      </c>
      <c r="Q329">
        <v>3</v>
      </c>
      <c r="R329">
        <v>5</v>
      </c>
      <c r="S329">
        <v>4</v>
      </c>
      <c r="T329">
        <v>1</v>
      </c>
      <c r="U329">
        <v>1</v>
      </c>
      <c r="V329">
        <v>5</v>
      </c>
      <c r="W329">
        <v>5</v>
      </c>
      <c r="X329">
        <v>5</v>
      </c>
      <c r="Y329">
        <v>5</v>
      </c>
      <c r="Z329">
        <v>5</v>
      </c>
      <c r="AA329">
        <v>5</v>
      </c>
      <c r="AB329">
        <v>5</v>
      </c>
      <c r="AC329">
        <v>5</v>
      </c>
      <c r="AD329">
        <v>5</v>
      </c>
      <c r="AE329">
        <v>4</v>
      </c>
      <c r="AF329">
        <v>1</v>
      </c>
      <c r="AG329">
        <v>4</v>
      </c>
      <c r="AH329">
        <v>5</v>
      </c>
      <c r="AI329">
        <v>1</v>
      </c>
      <c r="AJ329">
        <v>5</v>
      </c>
      <c r="AK329" t="b">
        <f>Table67[[#This Row],[What is your age?]]&lt;&gt;"18 - 25"</f>
        <v>0</v>
      </c>
      <c r="AL329" t="b">
        <f t="shared" si="20"/>
        <v>0</v>
      </c>
      <c r="AM329" t="b">
        <f t="shared" si="21"/>
        <v>1</v>
      </c>
      <c r="AN329" t="b">
        <f t="shared" si="22"/>
        <v>0</v>
      </c>
      <c r="AO329" t="b">
        <f>OR(Table67[[#This Row],[Ineligible respondents]:[Inconsistent response on opposite question (3)]])</f>
        <v>1</v>
      </c>
      <c r="AP32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329">
        <f>Table67[[#This Row],[Extreme Response]]/21</f>
        <v>0.7142857142857143</v>
      </c>
      <c r="AR329">
        <f>_xlfn.PERCENTILE.INC(Table67[Extrem Response Ratio (ERS)],0.9)</f>
        <v>0.61904761904761907</v>
      </c>
      <c r="AS329" t="b">
        <f>Table67[[#This Row],[Extrem Response Ratio (ERS)]]&gt;=Table67[[#This Row],[Threshold of ERS]]</f>
        <v>1</v>
      </c>
      <c r="AT329">
        <f>COUNTIF(Table67[[#This Row],[The mechanism of digital assets is difficult to understand, which discourages me from exploring it (E.g, Tokenization, Blockchain)]:[If I want to try different ways to invest, I will explore digital assets.]], 3)</f>
        <v>2</v>
      </c>
      <c r="AU329">
        <f>Table67[[#This Row],[Midpoint]]/21</f>
        <v>9.5238095238095233E-2</v>
      </c>
      <c r="AV329">
        <f>_xlfn.PERCENTILE.INC(Table67[Midpoint ratio],0.9)</f>
        <v>0.5714285714285714</v>
      </c>
      <c r="AW329" t="b">
        <f>Table67[[#This Row],[Midpoint ratio]]&gt;=Table67[[#This Row],[Threshold of Midpoint ratio]]</f>
        <v>0</v>
      </c>
      <c r="AX329" t="b">
        <f>OR(Table67[[#This Row],[Extreme Response Style]],Table67[[#This Row],[Mid-point Response Style]])</f>
        <v>1</v>
      </c>
      <c r="AY329" t="b">
        <f>OR(Table67[[#This Row],[Delete? (Stage 1)]],Table67[[#This Row],[Delete? (Stage 2)]])</f>
        <v>1</v>
      </c>
      <c r="AZ329" t="s">
        <v>81</v>
      </c>
    </row>
    <row r="330" spans="1:52">
      <c r="A330">
        <f t="shared" si="23"/>
        <v>329</v>
      </c>
      <c r="B330" s="3">
        <v>46042.546944444402</v>
      </c>
      <c r="C330" s="3">
        <v>46042.549502314803</v>
      </c>
      <c r="D330" t="s">
        <v>53</v>
      </c>
      <c r="G330" t="s">
        <v>54</v>
      </c>
      <c r="H330" t="s">
        <v>55</v>
      </c>
      <c r="I330" t="s">
        <v>56</v>
      </c>
      <c r="J330" t="s">
        <v>57</v>
      </c>
      <c r="K330" t="s">
        <v>62</v>
      </c>
      <c r="L330" t="s">
        <v>58</v>
      </c>
      <c r="M330" t="s">
        <v>58</v>
      </c>
      <c r="N330">
        <v>4</v>
      </c>
      <c r="O330">
        <v>3</v>
      </c>
      <c r="P330">
        <v>4</v>
      </c>
      <c r="Q330">
        <v>4</v>
      </c>
      <c r="R330">
        <v>2</v>
      </c>
      <c r="S330">
        <v>4</v>
      </c>
      <c r="T330">
        <v>3</v>
      </c>
      <c r="U330">
        <v>4</v>
      </c>
      <c r="V330">
        <v>4</v>
      </c>
      <c r="W330">
        <v>4</v>
      </c>
      <c r="X330">
        <v>4</v>
      </c>
      <c r="Y330">
        <v>3</v>
      </c>
      <c r="Z330">
        <v>4</v>
      </c>
      <c r="AA330">
        <v>3</v>
      </c>
      <c r="AB330">
        <v>4</v>
      </c>
      <c r="AC330">
        <v>4</v>
      </c>
      <c r="AD330">
        <v>4</v>
      </c>
      <c r="AE330">
        <v>2</v>
      </c>
      <c r="AF330">
        <v>3</v>
      </c>
      <c r="AG330">
        <v>2</v>
      </c>
      <c r="AH330">
        <v>4</v>
      </c>
      <c r="AI330">
        <v>2</v>
      </c>
      <c r="AJ330">
        <v>3</v>
      </c>
      <c r="AK330" t="b">
        <f>Table67[[#This Row],[What is your age?]]&lt;&gt;"18 - 25"</f>
        <v>0</v>
      </c>
      <c r="AL330" t="b">
        <f t="shared" si="20"/>
        <v>0</v>
      </c>
      <c r="AM330" t="b">
        <f t="shared" si="21"/>
        <v>0</v>
      </c>
      <c r="AN330" t="b">
        <f t="shared" si="22"/>
        <v>0</v>
      </c>
      <c r="AO330" t="b">
        <f>OR(Table67[[#This Row],[Ineligible respondents]:[Inconsistent response on opposite question (3)]])</f>
        <v>0</v>
      </c>
      <c r="AP33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30">
        <f>Table67[[#This Row],[Extreme Response]]/21</f>
        <v>0</v>
      </c>
      <c r="AR330">
        <f>_xlfn.PERCENTILE.INC(Table67[Extrem Response Ratio (ERS)],0.9)</f>
        <v>0.61904761904761907</v>
      </c>
      <c r="AS330" t="b">
        <f>Table67[[#This Row],[Extrem Response Ratio (ERS)]]&gt;=Table67[[#This Row],[Threshold of ERS]]</f>
        <v>0</v>
      </c>
      <c r="AT330">
        <f>COUNTIF(Table67[[#This Row],[The mechanism of digital assets is difficult to understand, which discourages me from exploring it (E.g, Tokenization, Blockchain)]:[If I want to try different ways to invest, I will explore digital assets.]], 3)</f>
        <v>5</v>
      </c>
      <c r="AU330">
        <f>Table67[[#This Row],[Midpoint]]/21</f>
        <v>0.23809523809523808</v>
      </c>
      <c r="AV330">
        <f>_xlfn.PERCENTILE.INC(Table67[Midpoint ratio],0.9)</f>
        <v>0.5714285714285714</v>
      </c>
      <c r="AW330" t="b">
        <f>Table67[[#This Row],[Midpoint ratio]]&gt;=Table67[[#This Row],[Threshold of Midpoint ratio]]</f>
        <v>0</v>
      </c>
      <c r="AX330" t="b">
        <f>OR(Table67[[#This Row],[Extreme Response Style]],Table67[[#This Row],[Mid-point Response Style]])</f>
        <v>0</v>
      </c>
      <c r="AY330" t="b">
        <f>OR(Table67[[#This Row],[Delete? (Stage 1)]],Table67[[#This Row],[Delete? (Stage 2)]])</f>
        <v>0</v>
      </c>
      <c r="AZ330" t="s">
        <v>81</v>
      </c>
    </row>
    <row r="331" spans="1:52">
      <c r="A331">
        <f t="shared" si="23"/>
        <v>330</v>
      </c>
      <c r="B331" s="3">
        <v>46042.5470138889</v>
      </c>
      <c r="C331" s="3">
        <v>46042.547939814802</v>
      </c>
      <c r="D331" t="s">
        <v>53</v>
      </c>
      <c r="G331" t="s">
        <v>54</v>
      </c>
      <c r="H331" t="s">
        <v>63</v>
      </c>
      <c r="I331" t="s">
        <v>56</v>
      </c>
      <c r="J331" t="s">
        <v>57</v>
      </c>
      <c r="K331" t="s">
        <v>57</v>
      </c>
      <c r="L331" t="s">
        <v>61</v>
      </c>
      <c r="M331" t="s">
        <v>58</v>
      </c>
      <c r="N331">
        <v>3</v>
      </c>
      <c r="O331">
        <v>3</v>
      </c>
      <c r="P331">
        <v>3</v>
      </c>
      <c r="Q331">
        <v>3</v>
      </c>
      <c r="R331">
        <v>3</v>
      </c>
      <c r="S331">
        <v>3</v>
      </c>
      <c r="T331">
        <v>3</v>
      </c>
      <c r="U331">
        <v>3</v>
      </c>
      <c r="V331">
        <v>3</v>
      </c>
      <c r="W331">
        <v>3</v>
      </c>
      <c r="X331">
        <v>3</v>
      </c>
      <c r="Y331">
        <v>3</v>
      </c>
      <c r="Z331">
        <v>3</v>
      </c>
      <c r="AA331">
        <v>3</v>
      </c>
      <c r="AB331">
        <v>3</v>
      </c>
      <c r="AC331">
        <v>3</v>
      </c>
      <c r="AD331">
        <v>3</v>
      </c>
      <c r="AE331">
        <v>3</v>
      </c>
      <c r="AF331">
        <v>3</v>
      </c>
      <c r="AG331">
        <v>3</v>
      </c>
      <c r="AH331">
        <v>3</v>
      </c>
      <c r="AI331">
        <v>3</v>
      </c>
      <c r="AJ331">
        <v>3</v>
      </c>
      <c r="AK331" t="b">
        <f>Table67[[#This Row],[What is your age?]]&lt;&gt;"18 - 25"</f>
        <v>0</v>
      </c>
      <c r="AL331" t="b">
        <f t="shared" si="20"/>
        <v>1</v>
      </c>
      <c r="AM331" t="b">
        <f t="shared" si="21"/>
        <v>0</v>
      </c>
      <c r="AN331" t="b">
        <f t="shared" si="22"/>
        <v>0</v>
      </c>
      <c r="AO331" t="b">
        <f>OR(Table67[[#This Row],[Ineligible respondents]:[Inconsistent response on opposite question (3)]])</f>
        <v>1</v>
      </c>
      <c r="AP33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31">
        <f>Table67[[#This Row],[Extreme Response]]/21</f>
        <v>0</v>
      </c>
      <c r="AR331">
        <f>_xlfn.PERCENTILE.INC(Table67[Extrem Response Ratio (ERS)],0.9)</f>
        <v>0.61904761904761907</v>
      </c>
      <c r="AS331" t="b">
        <f>Table67[[#This Row],[Extrem Response Ratio (ERS)]]&gt;=Table67[[#This Row],[Threshold of ERS]]</f>
        <v>0</v>
      </c>
      <c r="AT331">
        <f>COUNTIF(Table67[[#This Row],[The mechanism of digital assets is difficult to understand, which discourages me from exploring it (E.g, Tokenization, Blockchain)]:[If I want to try different ways to invest, I will explore digital assets.]], 3)</f>
        <v>21</v>
      </c>
      <c r="AU331">
        <f>Table67[[#This Row],[Midpoint]]/21</f>
        <v>1</v>
      </c>
      <c r="AV331">
        <f>_xlfn.PERCENTILE.INC(Table67[Midpoint ratio],0.9)</f>
        <v>0.5714285714285714</v>
      </c>
      <c r="AW331" t="b">
        <f>Table67[[#This Row],[Midpoint ratio]]&gt;=Table67[[#This Row],[Threshold of Midpoint ratio]]</f>
        <v>1</v>
      </c>
      <c r="AX331" t="b">
        <f>OR(Table67[[#This Row],[Extreme Response Style]],Table67[[#This Row],[Mid-point Response Style]])</f>
        <v>1</v>
      </c>
      <c r="AY331" t="b">
        <f>OR(Table67[[#This Row],[Delete? (Stage 1)]],Table67[[#This Row],[Delete? (Stage 2)]])</f>
        <v>1</v>
      </c>
      <c r="AZ331" t="s">
        <v>81</v>
      </c>
    </row>
    <row r="332" spans="1:52">
      <c r="A332">
        <f t="shared" si="23"/>
        <v>331</v>
      </c>
      <c r="B332" s="3">
        <v>46042.547037037002</v>
      </c>
      <c r="C332" s="3">
        <v>46042.551192129598</v>
      </c>
      <c r="D332" t="s">
        <v>53</v>
      </c>
      <c r="G332" t="s">
        <v>54</v>
      </c>
      <c r="H332" t="s">
        <v>63</v>
      </c>
      <c r="I332" t="s">
        <v>56</v>
      </c>
      <c r="J332" t="s">
        <v>62</v>
      </c>
      <c r="K332" t="s">
        <v>57</v>
      </c>
      <c r="L332" t="s">
        <v>58</v>
      </c>
      <c r="M332" t="s">
        <v>61</v>
      </c>
      <c r="N332">
        <v>4</v>
      </c>
      <c r="O332">
        <v>3</v>
      </c>
      <c r="P332">
        <v>3</v>
      </c>
      <c r="Q332">
        <v>4</v>
      </c>
      <c r="R332">
        <v>3</v>
      </c>
      <c r="S332">
        <v>4</v>
      </c>
      <c r="T332">
        <v>4</v>
      </c>
      <c r="U332">
        <v>4</v>
      </c>
      <c r="V332">
        <v>5</v>
      </c>
      <c r="W332">
        <v>5</v>
      </c>
      <c r="X332">
        <v>5</v>
      </c>
      <c r="Y332">
        <v>5</v>
      </c>
      <c r="Z332">
        <v>4</v>
      </c>
      <c r="AA332">
        <v>4</v>
      </c>
      <c r="AB332">
        <v>3</v>
      </c>
      <c r="AC332">
        <v>3</v>
      </c>
      <c r="AD332">
        <v>4</v>
      </c>
      <c r="AE332">
        <v>4</v>
      </c>
      <c r="AF332">
        <v>3</v>
      </c>
      <c r="AG332">
        <v>3</v>
      </c>
      <c r="AH332">
        <v>3</v>
      </c>
      <c r="AI332">
        <v>3</v>
      </c>
      <c r="AJ332">
        <v>3</v>
      </c>
      <c r="AK332" t="b">
        <f>Table67[[#This Row],[What is your age?]]&lt;&gt;"18 - 25"</f>
        <v>0</v>
      </c>
      <c r="AL332" t="b">
        <f t="shared" si="20"/>
        <v>0</v>
      </c>
      <c r="AM332" t="b">
        <f t="shared" si="21"/>
        <v>0</v>
      </c>
      <c r="AN332" t="b">
        <f t="shared" si="22"/>
        <v>0</v>
      </c>
      <c r="AO332" t="b">
        <f>OR(Table67[[#This Row],[Ineligible respondents]:[Inconsistent response on opposite question (3)]])</f>
        <v>0</v>
      </c>
      <c r="AP33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332">
        <f>Table67[[#This Row],[Extreme Response]]/21</f>
        <v>0.19047619047619047</v>
      </c>
      <c r="AR332">
        <f>_xlfn.PERCENTILE.INC(Table67[Extrem Response Ratio (ERS)],0.9)</f>
        <v>0.61904761904761907</v>
      </c>
      <c r="AS332" t="b">
        <f>Table67[[#This Row],[Extrem Response Ratio (ERS)]]&gt;=Table67[[#This Row],[Threshold of ERS]]</f>
        <v>0</v>
      </c>
      <c r="AT332">
        <f>COUNTIF(Table67[[#This Row],[The mechanism of digital assets is difficult to understand, which discourages me from exploring it (E.g, Tokenization, Blockchain)]:[If I want to try different ways to invest, I will explore digital assets.]], 3)</f>
        <v>8</v>
      </c>
      <c r="AU332">
        <f>Table67[[#This Row],[Midpoint]]/21</f>
        <v>0.38095238095238093</v>
      </c>
      <c r="AV332">
        <f>_xlfn.PERCENTILE.INC(Table67[Midpoint ratio],0.9)</f>
        <v>0.5714285714285714</v>
      </c>
      <c r="AW332" t="b">
        <f>Table67[[#This Row],[Midpoint ratio]]&gt;=Table67[[#This Row],[Threshold of Midpoint ratio]]</f>
        <v>0</v>
      </c>
      <c r="AX332" t="b">
        <f>OR(Table67[[#This Row],[Extreme Response Style]],Table67[[#This Row],[Mid-point Response Style]])</f>
        <v>0</v>
      </c>
      <c r="AY332" t="b">
        <f>OR(Table67[[#This Row],[Delete? (Stage 1)]],Table67[[#This Row],[Delete? (Stage 2)]])</f>
        <v>0</v>
      </c>
      <c r="AZ332" t="s">
        <v>81</v>
      </c>
    </row>
    <row r="333" spans="1:52">
      <c r="A333">
        <f t="shared" si="23"/>
        <v>332</v>
      </c>
      <c r="B333" s="3">
        <v>46042.547453703701</v>
      </c>
      <c r="C333" s="3">
        <v>46042.549351851798</v>
      </c>
      <c r="D333" t="s">
        <v>53</v>
      </c>
      <c r="G333" t="s">
        <v>54</v>
      </c>
      <c r="H333" t="s">
        <v>55</v>
      </c>
      <c r="I333" t="s">
        <v>56</v>
      </c>
      <c r="J333" t="s">
        <v>65</v>
      </c>
      <c r="K333" t="s">
        <v>57</v>
      </c>
      <c r="L333" t="s">
        <v>58</v>
      </c>
      <c r="M333" t="s">
        <v>61</v>
      </c>
      <c r="N333">
        <v>3</v>
      </c>
      <c r="O333">
        <v>2</v>
      </c>
      <c r="P333">
        <v>4</v>
      </c>
      <c r="Q333">
        <v>3</v>
      </c>
      <c r="R333">
        <v>3</v>
      </c>
      <c r="S333">
        <v>4</v>
      </c>
      <c r="T333">
        <v>3</v>
      </c>
      <c r="U333">
        <v>4</v>
      </c>
      <c r="V333">
        <v>4</v>
      </c>
      <c r="W333">
        <v>3</v>
      </c>
      <c r="X333">
        <v>3</v>
      </c>
      <c r="Y333">
        <v>3</v>
      </c>
      <c r="Z333">
        <v>3</v>
      </c>
      <c r="AA333">
        <v>3</v>
      </c>
      <c r="AB333">
        <v>3</v>
      </c>
      <c r="AC333">
        <v>3</v>
      </c>
      <c r="AD333">
        <v>3</v>
      </c>
      <c r="AE333">
        <v>4</v>
      </c>
      <c r="AF333">
        <v>2</v>
      </c>
      <c r="AG333">
        <v>4</v>
      </c>
      <c r="AH333">
        <v>3</v>
      </c>
      <c r="AI333">
        <v>3</v>
      </c>
      <c r="AJ333">
        <v>4</v>
      </c>
      <c r="AK333" t="b">
        <f>Table67[[#This Row],[What is your age?]]&lt;&gt;"18 - 25"</f>
        <v>0</v>
      </c>
      <c r="AL333" t="b">
        <f t="shared" si="20"/>
        <v>0</v>
      </c>
      <c r="AM333" t="b">
        <f t="shared" si="21"/>
        <v>0</v>
      </c>
      <c r="AN333" t="b">
        <f t="shared" si="22"/>
        <v>1</v>
      </c>
      <c r="AO333" t="b">
        <f>OR(Table67[[#This Row],[Ineligible respondents]:[Inconsistent response on opposite question (3)]])</f>
        <v>1</v>
      </c>
      <c r="AP33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33">
        <f>Table67[[#This Row],[Extreme Response]]/21</f>
        <v>0</v>
      </c>
      <c r="AR333">
        <f>_xlfn.PERCENTILE.INC(Table67[Extrem Response Ratio (ERS)],0.9)</f>
        <v>0.61904761904761907</v>
      </c>
      <c r="AS333" t="b">
        <f>Table67[[#This Row],[Extrem Response Ratio (ERS)]]&gt;=Table67[[#This Row],[Threshold of ERS]]</f>
        <v>0</v>
      </c>
      <c r="AT333">
        <f>COUNTIF(Table67[[#This Row],[The mechanism of digital assets is difficult to understand, which discourages me from exploring it (E.g, Tokenization, Blockchain)]:[If I want to try different ways to invest, I will explore digital assets.]], 3)</f>
        <v>13</v>
      </c>
      <c r="AU333">
        <f>Table67[[#This Row],[Midpoint]]/21</f>
        <v>0.61904761904761907</v>
      </c>
      <c r="AV333">
        <f>_xlfn.PERCENTILE.INC(Table67[Midpoint ratio],0.9)</f>
        <v>0.5714285714285714</v>
      </c>
      <c r="AW333" t="b">
        <f>Table67[[#This Row],[Midpoint ratio]]&gt;=Table67[[#This Row],[Threshold of Midpoint ratio]]</f>
        <v>1</v>
      </c>
      <c r="AX333" t="b">
        <f>OR(Table67[[#This Row],[Extreme Response Style]],Table67[[#This Row],[Mid-point Response Style]])</f>
        <v>1</v>
      </c>
      <c r="AY333" t="b">
        <f>OR(Table67[[#This Row],[Delete? (Stage 1)]],Table67[[#This Row],[Delete? (Stage 2)]])</f>
        <v>1</v>
      </c>
      <c r="AZ333" t="s">
        <v>81</v>
      </c>
    </row>
    <row r="334" spans="1:52">
      <c r="A334">
        <f t="shared" si="23"/>
        <v>333</v>
      </c>
      <c r="B334" s="3">
        <v>46042.548310185201</v>
      </c>
      <c r="C334" s="3">
        <v>46042.550324074102</v>
      </c>
      <c r="D334" t="s">
        <v>53</v>
      </c>
      <c r="G334" t="s">
        <v>54</v>
      </c>
      <c r="H334" t="s">
        <v>55</v>
      </c>
      <c r="I334" t="s">
        <v>56</v>
      </c>
      <c r="J334" t="s">
        <v>57</v>
      </c>
      <c r="K334" t="s">
        <v>57</v>
      </c>
      <c r="L334" t="s">
        <v>58</v>
      </c>
      <c r="M334" t="s">
        <v>58</v>
      </c>
      <c r="N334">
        <v>1</v>
      </c>
      <c r="O334">
        <v>5</v>
      </c>
      <c r="P334">
        <v>5</v>
      </c>
      <c r="Q334">
        <v>2</v>
      </c>
      <c r="R334">
        <v>4</v>
      </c>
      <c r="S334">
        <v>3</v>
      </c>
      <c r="T334">
        <v>5</v>
      </c>
      <c r="U334">
        <v>5</v>
      </c>
      <c r="V334">
        <v>5</v>
      </c>
      <c r="W334">
        <v>5</v>
      </c>
      <c r="X334">
        <v>3</v>
      </c>
      <c r="Y334">
        <v>3</v>
      </c>
      <c r="Z334">
        <v>5</v>
      </c>
      <c r="AA334">
        <v>5</v>
      </c>
      <c r="AB334">
        <v>5</v>
      </c>
      <c r="AC334">
        <v>5</v>
      </c>
      <c r="AD334">
        <v>5</v>
      </c>
      <c r="AE334">
        <v>3</v>
      </c>
      <c r="AF334">
        <v>4</v>
      </c>
      <c r="AG334">
        <v>4</v>
      </c>
      <c r="AH334">
        <v>4</v>
      </c>
      <c r="AI334">
        <v>2</v>
      </c>
      <c r="AJ334">
        <v>2</v>
      </c>
      <c r="AK334" t="b">
        <f>Table67[[#This Row],[What is your age?]]&lt;&gt;"18 - 25"</f>
        <v>0</v>
      </c>
      <c r="AL334" t="b">
        <f t="shared" si="20"/>
        <v>0</v>
      </c>
      <c r="AM334" t="b">
        <f t="shared" si="21"/>
        <v>1</v>
      </c>
      <c r="AN334" t="b">
        <f t="shared" si="22"/>
        <v>0</v>
      </c>
      <c r="AO334" t="b">
        <f>OR(Table67[[#This Row],[Ineligible respondents]:[Inconsistent response on opposite question (3)]])</f>
        <v>1</v>
      </c>
      <c r="AP33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12</v>
      </c>
      <c r="AQ334">
        <f>Table67[[#This Row],[Extreme Response]]/21</f>
        <v>0.5714285714285714</v>
      </c>
      <c r="AR334">
        <f>_xlfn.PERCENTILE.INC(Table67[Extrem Response Ratio (ERS)],0.9)</f>
        <v>0.61904761904761907</v>
      </c>
      <c r="AS334" t="b">
        <f>Table67[[#This Row],[Extrem Response Ratio (ERS)]]&gt;=Table67[[#This Row],[Threshold of ERS]]</f>
        <v>0</v>
      </c>
      <c r="AT334">
        <f>COUNTIF(Table67[[#This Row],[The mechanism of digital assets is difficult to understand, which discourages me from exploring it (E.g, Tokenization, Blockchain)]:[If I want to try different ways to invest, I will explore digital assets.]], 3)</f>
        <v>4</v>
      </c>
      <c r="AU334">
        <f>Table67[[#This Row],[Midpoint]]/21</f>
        <v>0.19047619047619047</v>
      </c>
      <c r="AV334">
        <f>_xlfn.PERCENTILE.INC(Table67[Midpoint ratio],0.9)</f>
        <v>0.5714285714285714</v>
      </c>
      <c r="AW334" t="b">
        <f>Table67[[#This Row],[Midpoint ratio]]&gt;=Table67[[#This Row],[Threshold of Midpoint ratio]]</f>
        <v>0</v>
      </c>
      <c r="AX334" t="b">
        <f>OR(Table67[[#This Row],[Extreme Response Style]],Table67[[#This Row],[Mid-point Response Style]])</f>
        <v>0</v>
      </c>
      <c r="AY334" t="b">
        <f>OR(Table67[[#This Row],[Delete? (Stage 1)]],Table67[[#This Row],[Delete? (Stage 2)]])</f>
        <v>1</v>
      </c>
      <c r="AZ334" t="s">
        <v>81</v>
      </c>
    </row>
    <row r="335" spans="1:52">
      <c r="A335">
        <f t="shared" si="23"/>
        <v>334</v>
      </c>
      <c r="B335" s="3">
        <v>46042.549178240697</v>
      </c>
      <c r="C335" s="3">
        <v>46042.550046296303</v>
      </c>
      <c r="D335" t="s">
        <v>53</v>
      </c>
      <c r="G335" t="s">
        <v>54</v>
      </c>
      <c r="H335" t="s">
        <v>63</v>
      </c>
      <c r="I335" t="s">
        <v>56</v>
      </c>
      <c r="J335" t="s">
        <v>60</v>
      </c>
      <c r="K335" t="s">
        <v>57</v>
      </c>
      <c r="L335" t="s">
        <v>58</v>
      </c>
      <c r="M335" t="s">
        <v>58</v>
      </c>
      <c r="N335">
        <v>3</v>
      </c>
      <c r="O335">
        <v>4</v>
      </c>
      <c r="P335">
        <v>4</v>
      </c>
      <c r="Q335">
        <v>4</v>
      </c>
      <c r="R335">
        <v>4</v>
      </c>
      <c r="S335">
        <v>4</v>
      </c>
      <c r="T335">
        <v>4</v>
      </c>
      <c r="U335">
        <v>4</v>
      </c>
      <c r="V335">
        <v>4</v>
      </c>
      <c r="W335">
        <v>4</v>
      </c>
      <c r="X335">
        <v>4</v>
      </c>
      <c r="Y335">
        <v>4</v>
      </c>
      <c r="Z335">
        <v>4</v>
      </c>
      <c r="AA335">
        <v>4</v>
      </c>
      <c r="AB335">
        <v>4</v>
      </c>
      <c r="AC335">
        <v>4</v>
      </c>
      <c r="AD335">
        <v>4</v>
      </c>
      <c r="AE335">
        <v>4</v>
      </c>
      <c r="AF335">
        <v>4</v>
      </c>
      <c r="AG335">
        <v>4</v>
      </c>
      <c r="AH335">
        <v>4</v>
      </c>
      <c r="AI335">
        <v>2</v>
      </c>
      <c r="AJ335">
        <v>2</v>
      </c>
      <c r="AK335" t="b">
        <f>Table67[[#This Row],[What is your age?]]&lt;&gt;"18 - 25"</f>
        <v>0</v>
      </c>
      <c r="AL335" t="b">
        <f t="shared" si="20"/>
        <v>0</v>
      </c>
      <c r="AM335" t="b">
        <f t="shared" si="21"/>
        <v>1</v>
      </c>
      <c r="AN335" t="b">
        <f t="shared" si="22"/>
        <v>0</v>
      </c>
      <c r="AO335" t="b">
        <f>OR(Table67[[#This Row],[Ineligible respondents]:[Inconsistent response on opposite question (3)]])</f>
        <v>1</v>
      </c>
      <c r="AP33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35">
        <f>Table67[[#This Row],[Extreme Response]]/21</f>
        <v>0</v>
      </c>
      <c r="AR335">
        <f>_xlfn.PERCENTILE.INC(Table67[Extrem Response Ratio (ERS)],0.9)</f>
        <v>0.61904761904761907</v>
      </c>
      <c r="AS335" t="b">
        <f>Table67[[#This Row],[Extrem Response Ratio (ERS)]]&gt;=Table67[[#This Row],[Threshold of ERS]]</f>
        <v>0</v>
      </c>
      <c r="AT335">
        <f>COUNTIF(Table67[[#This Row],[The mechanism of digital assets is difficult to understand, which discourages me from exploring it (E.g, Tokenization, Blockchain)]:[If I want to try different ways to invest, I will explore digital assets.]], 3)</f>
        <v>1</v>
      </c>
      <c r="AU335">
        <f>Table67[[#This Row],[Midpoint]]/21</f>
        <v>4.7619047619047616E-2</v>
      </c>
      <c r="AV335">
        <f>_xlfn.PERCENTILE.INC(Table67[Midpoint ratio],0.9)</f>
        <v>0.5714285714285714</v>
      </c>
      <c r="AW335" t="b">
        <f>Table67[[#This Row],[Midpoint ratio]]&gt;=Table67[[#This Row],[Threshold of Midpoint ratio]]</f>
        <v>0</v>
      </c>
      <c r="AX335" t="b">
        <f>OR(Table67[[#This Row],[Extreme Response Style]],Table67[[#This Row],[Mid-point Response Style]])</f>
        <v>0</v>
      </c>
      <c r="AY335" t="b">
        <f>OR(Table67[[#This Row],[Delete? (Stage 1)]],Table67[[#This Row],[Delete? (Stage 2)]])</f>
        <v>1</v>
      </c>
      <c r="AZ335" t="s">
        <v>81</v>
      </c>
    </row>
    <row r="336" spans="1:52">
      <c r="A336">
        <f t="shared" si="23"/>
        <v>335</v>
      </c>
      <c r="B336" s="3">
        <v>46042.549513888902</v>
      </c>
      <c r="C336" s="3">
        <v>46042.552002314798</v>
      </c>
      <c r="D336" t="s">
        <v>53</v>
      </c>
      <c r="G336" t="s">
        <v>54</v>
      </c>
      <c r="H336" t="s">
        <v>55</v>
      </c>
      <c r="I336" t="s">
        <v>56</v>
      </c>
      <c r="J336" t="s">
        <v>57</v>
      </c>
      <c r="K336" t="s">
        <v>57</v>
      </c>
      <c r="L336" t="s">
        <v>58</v>
      </c>
      <c r="M336" t="s">
        <v>61</v>
      </c>
      <c r="N336">
        <v>4</v>
      </c>
      <c r="O336">
        <v>3</v>
      </c>
      <c r="P336">
        <v>3</v>
      </c>
      <c r="Q336">
        <v>4</v>
      </c>
      <c r="R336">
        <v>3</v>
      </c>
      <c r="S336">
        <v>4</v>
      </c>
      <c r="T336">
        <v>4</v>
      </c>
      <c r="U336">
        <v>3</v>
      </c>
      <c r="V336">
        <v>3</v>
      </c>
      <c r="W336">
        <v>4</v>
      </c>
      <c r="X336">
        <v>4</v>
      </c>
      <c r="Y336">
        <v>3</v>
      </c>
      <c r="Z336">
        <v>3</v>
      </c>
      <c r="AA336">
        <v>4</v>
      </c>
      <c r="AB336">
        <v>3</v>
      </c>
      <c r="AC336">
        <v>4</v>
      </c>
      <c r="AD336">
        <v>3</v>
      </c>
      <c r="AE336">
        <v>4</v>
      </c>
      <c r="AF336">
        <v>3</v>
      </c>
      <c r="AG336">
        <v>4</v>
      </c>
      <c r="AH336">
        <v>4</v>
      </c>
      <c r="AI336">
        <v>2</v>
      </c>
      <c r="AJ336">
        <v>3</v>
      </c>
      <c r="AK336" t="b">
        <f>Table67[[#This Row],[What is your age?]]&lt;&gt;"18 - 25"</f>
        <v>0</v>
      </c>
      <c r="AL336" t="b">
        <f t="shared" si="20"/>
        <v>0</v>
      </c>
      <c r="AM336" t="b">
        <f t="shared" si="21"/>
        <v>1</v>
      </c>
      <c r="AN336" t="b">
        <f t="shared" si="22"/>
        <v>0</v>
      </c>
      <c r="AO336" t="b">
        <f>OR(Table67[[#This Row],[Ineligible respondents]:[Inconsistent response on opposite question (3)]])</f>
        <v>1</v>
      </c>
      <c r="AP33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36">
        <f>Table67[[#This Row],[Extreme Response]]/21</f>
        <v>0</v>
      </c>
      <c r="AR336">
        <f>_xlfn.PERCENTILE.INC(Table67[Extrem Response Ratio (ERS)],0.9)</f>
        <v>0.61904761904761907</v>
      </c>
      <c r="AS336" t="b">
        <f>Table67[[#This Row],[Extrem Response Ratio (ERS)]]&gt;=Table67[[#This Row],[Threshold of ERS]]</f>
        <v>0</v>
      </c>
      <c r="AT336">
        <f>COUNTIF(Table67[[#This Row],[The mechanism of digital assets is difficult to understand, which discourages me from exploring it (E.g, Tokenization, Blockchain)]:[If I want to try different ways to invest, I will explore digital assets.]], 3)</f>
        <v>10</v>
      </c>
      <c r="AU336">
        <f>Table67[[#This Row],[Midpoint]]/21</f>
        <v>0.47619047619047616</v>
      </c>
      <c r="AV336">
        <f>_xlfn.PERCENTILE.INC(Table67[Midpoint ratio],0.9)</f>
        <v>0.5714285714285714</v>
      </c>
      <c r="AW336" t="b">
        <f>Table67[[#This Row],[Midpoint ratio]]&gt;=Table67[[#This Row],[Threshold of Midpoint ratio]]</f>
        <v>0</v>
      </c>
      <c r="AX336" t="b">
        <f>OR(Table67[[#This Row],[Extreme Response Style]],Table67[[#This Row],[Mid-point Response Style]])</f>
        <v>0</v>
      </c>
      <c r="AY336" t="b">
        <f>OR(Table67[[#This Row],[Delete? (Stage 1)]],Table67[[#This Row],[Delete? (Stage 2)]])</f>
        <v>1</v>
      </c>
      <c r="AZ336" t="s">
        <v>81</v>
      </c>
    </row>
    <row r="337" spans="1:52">
      <c r="A337">
        <f t="shared" si="23"/>
        <v>336</v>
      </c>
      <c r="B337" s="3">
        <v>46042.550115740698</v>
      </c>
      <c r="C337" s="3">
        <v>46042.551412036999</v>
      </c>
      <c r="D337" t="s">
        <v>53</v>
      </c>
      <c r="G337" t="s">
        <v>54</v>
      </c>
      <c r="H337" t="s">
        <v>55</v>
      </c>
      <c r="I337" t="s">
        <v>56</v>
      </c>
      <c r="J337" t="s">
        <v>57</v>
      </c>
      <c r="K337" t="s">
        <v>57</v>
      </c>
      <c r="L337" t="s">
        <v>58</v>
      </c>
      <c r="M337" t="s">
        <v>58</v>
      </c>
      <c r="N337">
        <v>4</v>
      </c>
      <c r="O337">
        <v>4</v>
      </c>
      <c r="P337">
        <v>4</v>
      </c>
      <c r="Q337">
        <v>4</v>
      </c>
      <c r="R337">
        <v>4</v>
      </c>
      <c r="S337">
        <v>4</v>
      </c>
      <c r="T337">
        <v>4</v>
      </c>
      <c r="U337">
        <v>4</v>
      </c>
      <c r="V337">
        <v>4</v>
      </c>
      <c r="W337">
        <v>4</v>
      </c>
      <c r="X337">
        <v>4</v>
      </c>
      <c r="Y337">
        <v>4</v>
      </c>
      <c r="Z337">
        <v>4</v>
      </c>
      <c r="AA337">
        <v>4</v>
      </c>
      <c r="AB337">
        <v>4</v>
      </c>
      <c r="AC337">
        <v>4</v>
      </c>
      <c r="AD337">
        <v>4</v>
      </c>
      <c r="AE337">
        <v>4</v>
      </c>
      <c r="AF337">
        <v>4</v>
      </c>
      <c r="AG337">
        <v>4</v>
      </c>
      <c r="AH337">
        <v>4</v>
      </c>
      <c r="AI337">
        <v>2</v>
      </c>
      <c r="AJ337">
        <v>2</v>
      </c>
      <c r="AK337" t="b">
        <f>Table67[[#This Row],[What is your age?]]&lt;&gt;"18 - 25"</f>
        <v>0</v>
      </c>
      <c r="AL337" t="b">
        <f t="shared" si="20"/>
        <v>1</v>
      </c>
      <c r="AM337" t="b">
        <f t="shared" si="21"/>
        <v>1</v>
      </c>
      <c r="AN337" t="b">
        <f t="shared" si="22"/>
        <v>0</v>
      </c>
      <c r="AO337" t="b">
        <f>OR(Table67[[#This Row],[Ineligible respondents]:[Inconsistent response on opposite question (3)]])</f>
        <v>1</v>
      </c>
      <c r="AP33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37">
        <f>Table67[[#This Row],[Extreme Response]]/21</f>
        <v>0</v>
      </c>
      <c r="AR337">
        <f>_xlfn.PERCENTILE.INC(Table67[Extrem Response Ratio (ERS)],0.9)</f>
        <v>0.61904761904761907</v>
      </c>
      <c r="AS337" t="b">
        <f>Table67[[#This Row],[Extrem Response Ratio (ERS)]]&gt;=Table67[[#This Row],[Threshold of ERS]]</f>
        <v>0</v>
      </c>
      <c r="AT337">
        <f>COUNTIF(Table67[[#This Row],[The mechanism of digital assets is difficult to understand, which discourages me from exploring it (E.g, Tokenization, Blockchain)]:[If I want to try different ways to invest, I will explore digital assets.]], 3)</f>
        <v>0</v>
      </c>
      <c r="AU337">
        <f>Table67[[#This Row],[Midpoint]]/21</f>
        <v>0</v>
      </c>
      <c r="AV337">
        <f>_xlfn.PERCENTILE.INC(Table67[Midpoint ratio],0.9)</f>
        <v>0.5714285714285714</v>
      </c>
      <c r="AW337" t="b">
        <f>Table67[[#This Row],[Midpoint ratio]]&gt;=Table67[[#This Row],[Threshold of Midpoint ratio]]</f>
        <v>0</v>
      </c>
      <c r="AX337" t="b">
        <f>OR(Table67[[#This Row],[Extreme Response Style]],Table67[[#This Row],[Mid-point Response Style]])</f>
        <v>0</v>
      </c>
      <c r="AY337" t="b">
        <f>OR(Table67[[#This Row],[Delete? (Stage 1)]],Table67[[#This Row],[Delete? (Stage 2)]])</f>
        <v>1</v>
      </c>
      <c r="AZ337" t="s">
        <v>81</v>
      </c>
    </row>
    <row r="338" spans="1:52">
      <c r="A338">
        <f t="shared" si="23"/>
        <v>337</v>
      </c>
      <c r="B338" s="3">
        <v>46042.559178240699</v>
      </c>
      <c r="C338" s="3">
        <v>46042.562210648102</v>
      </c>
      <c r="D338" t="s">
        <v>53</v>
      </c>
      <c r="G338" t="s">
        <v>54</v>
      </c>
      <c r="H338" t="s">
        <v>63</v>
      </c>
      <c r="I338" t="s">
        <v>56</v>
      </c>
      <c r="J338" t="s">
        <v>60</v>
      </c>
      <c r="K338" t="s">
        <v>66</v>
      </c>
      <c r="L338" t="s">
        <v>61</v>
      </c>
      <c r="M338" t="s">
        <v>58</v>
      </c>
      <c r="N338">
        <v>4</v>
      </c>
      <c r="O338">
        <v>4</v>
      </c>
      <c r="P338">
        <v>4</v>
      </c>
      <c r="Q338">
        <v>3</v>
      </c>
      <c r="R338">
        <v>4</v>
      </c>
      <c r="S338">
        <v>2</v>
      </c>
      <c r="T338">
        <v>1</v>
      </c>
      <c r="U338">
        <v>2</v>
      </c>
      <c r="V338">
        <v>5</v>
      </c>
      <c r="W338">
        <v>4</v>
      </c>
      <c r="X338">
        <v>3</v>
      </c>
      <c r="Y338">
        <v>4</v>
      </c>
      <c r="Z338">
        <v>3</v>
      </c>
      <c r="AA338">
        <v>2</v>
      </c>
      <c r="AB338">
        <v>2</v>
      </c>
      <c r="AC338">
        <v>4</v>
      </c>
      <c r="AD338">
        <v>2</v>
      </c>
      <c r="AE338">
        <v>2</v>
      </c>
      <c r="AF338">
        <v>4</v>
      </c>
      <c r="AG338">
        <v>3</v>
      </c>
      <c r="AH338">
        <v>4</v>
      </c>
      <c r="AI338">
        <v>2</v>
      </c>
      <c r="AJ338">
        <v>2</v>
      </c>
      <c r="AK338" t="b">
        <f>Table67[[#This Row],[What is your age?]]&lt;&gt;"18 - 25"</f>
        <v>0</v>
      </c>
      <c r="AL338" t="b">
        <f t="shared" si="20"/>
        <v>0</v>
      </c>
      <c r="AM338" t="b">
        <f t="shared" si="21"/>
        <v>0</v>
      </c>
      <c r="AN338" t="b">
        <f t="shared" si="22"/>
        <v>1</v>
      </c>
      <c r="AO338" t="b">
        <f>OR(Table67[[#This Row],[Ineligible respondents]:[Inconsistent response on opposite question (3)]])</f>
        <v>1</v>
      </c>
      <c r="AP33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338">
        <f>Table67[[#This Row],[Extreme Response]]/21</f>
        <v>9.5238095238095233E-2</v>
      </c>
      <c r="AR338">
        <f>_xlfn.PERCENTILE.INC(Table67[Extrem Response Ratio (ERS)],0.9)</f>
        <v>0.61904761904761907</v>
      </c>
      <c r="AS338" t="b">
        <f>Table67[[#This Row],[Extrem Response Ratio (ERS)]]&gt;=Table67[[#This Row],[Threshold of ERS]]</f>
        <v>0</v>
      </c>
      <c r="AT338">
        <f>COUNTIF(Table67[[#This Row],[The mechanism of digital assets is difficult to understand, which discourages me from exploring it (E.g, Tokenization, Blockchain)]:[If I want to try different ways to invest, I will explore digital assets.]], 3)</f>
        <v>4</v>
      </c>
      <c r="AU338">
        <f>Table67[[#This Row],[Midpoint]]/21</f>
        <v>0.19047619047619047</v>
      </c>
      <c r="AV338">
        <f>_xlfn.PERCENTILE.INC(Table67[Midpoint ratio],0.9)</f>
        <v>0.5714285714285714</v>
      </c>
      <c r="AW338" t="b">
        <f>Table67[[#This Row],[Midpoint ratio]]&gt;=Table67[[#This Row],[Threshold of Midpoint ratio]]</f>
        <v>0</v>
      </c>
      <c r="AX338" t="b">
        <f>OR(Table67[[#This Row],[Extreme Response Style]],Table67[[#This Row],[Mid-point Response Style]])</f>
        <v>0</v>
      </c>
      <c r="AY338" t="b">
        <f>OR(Table67[[#This Row],[Delete? (Stage 1)]],Table67[[#This Row],[Delete? (Stage 2)]])</f>
        <v>1</v>
      </c>
      <c r="AZ338" t="s">
        <v>81</v>
      </c>
    </row>
    <row r="339" spans="1:52">
      <c r="A339">
        <f t="shared" si="23"/>
        <v>338</v>
      </c>
      <c r="B339" s="3">
        <v>46042.559189814798</v>
      </c>
      <c r="C339" s="3">
        <v>46042.560578703698</v>
      </c>
      <c r="D339" t="s">
        <v>53</v>
      </c>
      <c r="G339" t="s">
        <v>54</v>
      </c>
      <c r="H339" t="s">
        <v>55</v>
      </c>
      <c r="I339" t="s">
        <v>56</v>
      </c>
      <c r="J339" t="s">
        <v>57</v>
      </c>
      <c r="K339" t="s">
        <v>57</v>
      </c>
      <c r="L339" t="s">
        <v>58</v>
      </c>
      <c r="M339" t="s">
        <v>61</v>
      </c>
      <c r="N339">
        <v>3</v>
      </c>
      <c r="O339">
        <v>2</v>
      </c>
      <c r="P339">
        <v>4</v>
      </c>
      <c r="Q339">
        <v>4</v>
      </c>
      <c r="R339">
        <v>4</v>
      </c>
      <c r="S339">
        <v>3</v>
      </c>
      <c r="T339">
        <v>3</v>
      </c>
      <c r="U339">
        <v>3</v>
      </c>
      <c r="V339">
        <v>3</v>
      </c>
      <c r="W339">
        <v>3</v>
      </c>
      <c r="X339">
        <v>3</v>
      </c>
      <c r="Y339">
        <v>3</v>
      </c>
      <c r="Z339">
        <v>3</v>
      </c>
      <c r="AA339">
        <v>3</v>
      </c>
      <c r="AB339">
        <v>3</v>
      </c>
      <c r="AC339">
        <v>3</v>
      </c>
      <c r="AD339">
        <v>3</v>
      </c>
      <c r="AE339">
        <v>3</v>
      </c>
      <c r="AF339">
        <v>3</v>
      </c>
      <c r="AG339">
        <v>3</v>
      </c>
      <c r="AH339">
        <v>3</v>
      </c>
      <c r="AI339">
        <v>3</v>
      </c>
      <c r="AJ339">
        <v>3</v>
      </c>
      <c r="AK339" t="b">
        <f>Table67[[#This Row],[What is your age?]]&lt;&gt;"18 - 25"</f>
        <v>0</v>
      </c>
      <c r="AL339" t="b">
        <f t="shared" si="20"/>
        <v>0</v>
      </c>
      <c r="AM339" t="b">
        <f t="shared" si="21"/>
        <v>0</v>
      </c>
      <c r="AN339" t="b">
        <f t="shared" si="22"/>
        <v>0</v>
      </c>
      <c r="AO339" t="b">
        <f>OR(Table67[[#This Row],[Ineligible respondents]:[Inconsistent response on opposite question (3)]])</f>
        <v>0</v>
      </c>
      <c r="AP33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39">
        <f>Table67[[#This Row],[Extreme Response]]/21</f>
        <v>0</v>
      </c>
      <c r="AR339">
        <f>_xlfn.PERCENTILE.INC(Table67[Extrem Response Ratio (ERS)],0.9)</f>
        <v>0.61904761904761907</v>
      </c>
      <c r="AS339" t="b">
        <f>Table67[[#This Row],[Extrem Response Ratio (ERS)]]&gt;=Table67[[#This Row],[Threshold of ERS]]</f>
        <v>0</v>
      </c>
      <c r="AT339">
        <f>COUNTIF(Table67[[#This Row],[The mechanism of digital assets is difficult to understand, which discourages me from exploring it (E.g, Tokenization, Blockchain)]:[If I want to try different ways to invest, I will explore digital assets.]], 3)</f>
        <v>17</v>
      </c>
      <c r="AU339">
        <f>Table67[[#This Row],[Midpoint]]/21</f>
        <v>0.80952380952380953</v>
      </c>
      <c r="AV339">
        <f>_xlfn.PERCENTILE.INC(Table67[Midpoint ratio],0.9)</f>
        <v>0.5714285714285714</v>
      </c>
      <c r="AW339" t="b">
        <f>Table67[[#This Row],[Midpoint ratio]]&gt;=Table67[[#This Row],[Threshold of Midpoint ratio]]</f>
        <v>1</v>
      </c>
      <c r="AX339" t="b">
        <f>OR(Table67[[#This Row],[Extreme Response Style]],Table67[[#This Row],[Mid-point Response Style]])</f>
        <v>1</v>
      </c>
      <c r="AY339" t="b">
        <f>OR(Table67[[#This Row],[Delete? (Stage 1)]],Table67[[#This Row],[Delete? (Stage 2)]])</f>
        <v>1</v>
      </c>
      <c r="AZ339" t="s">
        <v>81</v>
      </c>
    </row>
    <row r="340" spans="1:52">
      <c r="A340">
        <f t="shared" si="23"/>
        <v>339</v>
      </c>
      <c r="B340" s="3">
        <v>46042.566550925898</v>
      </c>
      <c r="C340" s="3">
        <v>46042.567222222198</v>
      </c>
      <c r="D340" t="s">
        <v>53</v>
      </c>
      <c r="G340" t="s">
        <v>54</v>
      </c>
      <c r="H340" t="s">
        <v>55</v>
      </c>
      <c r="I340" t="s">
        <v>56</v>
      </c>
      <c r="J340" t="s">
        <v>57</v>
      </c>
      <c r="K340" t="s">
        <v>57</v>
      </c>
      <c r="L340" t="s">
        <v>61</v>
      </c>
      <c r="M340" t="s">
        <v>61</v>
      </c>
      <c r="N340">
        <v>4</v>
      </c>
      <c r="O340">
        <v>2</v>
      </c>
      <c r="P340">
        <v>4</v>
      </c>
      <c r="Q340">
        <v>3</v>
      </c>
      <c r="R340">
        <v>4</v>
      </c>
      <c r="S340">
        <v>3</v>
      </c>
      <c r="T340">
        <v>4</v>
      </c>
      <c r="U340">
        <v>3</v>
      </c>
      <c r="V340">
        <v>4</v>
      </c>
      <c r="W340">
        <v>4</v>
      </c>
      <c r="X340">
        <v>3</v>
      </c>
      <c r="Y340">
        <v>3</v>
      </c>
      <c r="Z340">
        <v>3</v>
      </c>
      <c r="AA340">
        <v>3</v>
      </c>
      <c r="AB340">
        <v>3</v>
      </c>
      <c r="AC340">
        <v>3</v>
      </c>
      <c r="AD340">
        <v>4</v>
      </c>
      <c r="AE340">
        <v>4</v>
      </c>
      <c r="AF340">
        <v>2</v>
      </c>
      <c r="AG340">
        <v>3</v>
      </c>
      <c r="AH340">
        <v>4</v>
      </c>
      <c r="AI340">
        <v>2</v>
      </c>
      <c r="AJ340">
        <v>4</v>
      </c>
      <c r="AK340" t="b">
        <f>Table67[[#This Row],[What is your age?]]&lt;&gt;"18 - 25"</f>
        <v>0</v>
      </c>
      <c r="AL340" t="b">
        <f t="shared" si="20"/>
        <v>0</v>
      </c>
      <c r="AM340" t="b">
        <f t="shared" si="21"/>
        <v>0</v>
      </c>
      <c r="AN340" t="b">
        <f t="shared" si="22"/>
        <v>1</v>
      </c>
      <c r="AO340" t="b">
        <f>OR(Table67[[#This Row],[Ineligible respondents]:[Inconsistent response on opposite question (3)]])</f>
        <v>1</v>
      </c>
      <c r="AP34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40">
        <f>Table67[[#This Row],[Extreme Response]]/21</f>
        <v>0</v>
      </c>
      <c r="AR340">
        <f>_xlfn.PERCENTILE.INC(Table67[Extrem Response Ratio (ERS)],0.9)</f>
        <v>0.61904761904761907</v>
      </c>
      <c r="AS340" t="b">
        <f>Table67[[#This Row],[Extrem Response Ratio (ERS)]]&gt;=Table67[[#This Row],[Threshold of ERS]]</f>
        <v>0</v>
      </c>
      <c r="AT340">
        <f>COUNTIF(Table67[[#This Row],[The mechanism of digital assets is difficult to understand, which discourages me from exploring it (E.g, Tokenization, Blockchain)]:[If I want to try different ways to invest, I will explore digital assets.]], 3)</f>
        <v>10</v>
      </c>
      <c r="AU340">
        <f>Table67[[#This Row],[Midpoint]]/21</f>
        <v>0.47619047619047616</v>
      </c>
      <c r="AV340">
        <f>_xlfn.PERCENTILE.INC(Table67[Midpoint ratio],0.9)</f>
        <v>0.5714285714285714</v>
      </c>
      <c r="AW340" t="b">
        <f>Table67[[#This Row],[Midpoint ratio]]&gt;=Table67[[#This Row],[Threshold of Midpoint ratio]]</f>
        <v>0</v>
      </c>
      <c r="AX340" t="b">
        <f>OR(Table67[[#This Row],[Extreme Response Style]],Table67[[#This Row],[Mid-point Response Style]])</f>
        <v>0</v>
      </c>
      <c r="AY340" t="b">
        <f>OR(Table67[[#This Row],[Delete? (Stage 1)]],Table67[[#This Row],[Delete? (Stage 2)]])</f>
        <v>1</v>
      </c>
      <c r="AZ340" t="s">
        <v>81</v>
      </c>
    </row>
    <row r="341" spans="1:52">
      <c r="A341">
        <f t="shared" si="23"/>
        <v>340</v>
      </c>
      <c r="B341" s="3">
        <v>46042.577499999999</v>
      </c>
      <c r="C341" s="3">
        <v>46042.580115740697</v>
      </c>
      <c r="D341" t="s">
        <v>53</v>
      </c>
      <c r="G341" t="s">
        <v>54</v>
      </c>
      <c r="H341" t="s">
        <v>63</v>
      </c>
      <c r="I341" t="s">
        <v>75</v>
      </c>
      <c r="J341" t="s">
        <v>57</v>
      </c>
      <c r="K341" t="s">
        <v>57</v>
      </c>
      <c r="L341" t="s">
        <v>58</v>
      </c>
      <c r="M341" t="s">
        <v>58</v>
      </c>
      <c r="N341">
        <v>1</v>
      </c>
      <c r="O341">
        <v>1</v>
      </c>
      <c r="P341">
        <v>4</v>
      </c>
      <c r="Q341">
        <v>1</v>
      </c>
      <c r="R341">
        <v>2</v>
      </c>
      <c r="S341">
        <v>2</v>
      </c>
      <c r="T341">
        <v>4</v>
      </c>
      <c r="U341">
        <v>4</v>
      </c>
      <c r="V341">
        <v>2</v>
      </c>
      <c r="W341">
        <v>2</v>
      </c>
      <c r="X341">
        <v>4</v>
      </c>
      <c r="Y341">
        <v>3</v>
      </c>
      <c r="Z341">
        <v>1</v>
      </c>
      <c r="AA341">
        <v>2</v>
      </c>
      <c r="AB341">
        <v>2</v>
      </c>
      <c r="AC341">
        <v>4</v>
      </c>
      <c r="AD341">
        <v>2</v>
      </c>
      <c r="AE341">
        <v>5</v>
      </c>
      <c r="AF341">
        <v>3</v>
      </c>
      <c r="AG341">
        <v>5</v>
      </c>
      <c r="AH341">
        <v>4</v>
      </c>
      <c r="AI341">
        <v>2</v>
      </c>
      <c r="AJ341">
        <v>3</v>
      </c>
      <c r="AK341" t="b">
        <f>Table67[[#This Row],[What is your age?]]&lt;&gt;"18 - 25"</f>
        <v>0</v>
      </c>
      <c r="AL341" t="b">
        <f t="shared" si="20"/>
        <v>0</v>
      </c>
      <c r="AM341" t="b">
        <f t="shared" si="21"/>
        <v>1</v>
      </c>
      <c r="AN341" t="b">
        <f t="shared" si="22"/>
        <v>0</v>
      </c>
      <c r="AO341" t="b">
        <f>OR(Table67[[#This Row],[Ineligible respondents]:[Inconsistent response on opposite question (3)]])</f>
        <v>1</v>
      </c>
      <c r="AP34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341">
        <f>Table67[[#This Row],[Extreme Response]]/21</f>
        <v>0.2857142857142857</v>
      </c>
      <c r="AR341">
        <f>_xlfn.PERCENTILE.INC(Table67[Extrem Response Ratio (ERS)],0.9)</f>
        <v>0.61904761904761907</v>
      </c>
      <c r="AS341" t="b">
        <f>Table67[[#This Row],[Extrem Response Ratio (ERS)]]&gt;=Table67[[#This Row],[Threshold of ERS]]</f>
        <v>0</v>
      </c>
      <c r="AT341">
        <f>COUNTIF(Table67[[#This Row],[The mechanism of digital assets is difficult to understand, which discourages me from exploring it (E.g, Tokenization, Blockchain)]:[If I want to try different ways to invest, I will explore digital assets.]], 3)</f>
        <v>2</v>
      </c>
      <c r="AU341">
        <f>Table67[[#This Row],[Midpoint]]/21</f>
        <v>9.5238095238095233E-2</v>
      </c>
      <c r="AV341">
        <f>_xlfn.PERCENTILE.INC(Table67[Midpoint ratio],0.9)</f>
        <v>0.5714285714285714</v>
      </c>
      <c r="AW341" t="b">
        <f>Table67[[#This Row],[Midpoint ratio]]&gt;=Table67[[#This Row],[Threshold of Midpoint ratio]]</f>
        <v>0</v>
      </c>
      <c r="AX341" t="b">
        <f>OR(Table67[[#This Row],[Extreme Response Style]],Table67[[#This Row],[Mid-point Response Style]])</f>
        <v>0</v>
      </c>
      <c r="AY341" t="b">
        <f>OR(Table67[[#This Row],[Delete? (Stage 1)]],Table67[[#This Row],[Delete? (Stage 2)]])</f>
        <v>1</v>
      </c>
      <c r="AZ341" t="s">
        <v>81</v>
      </c>
    </row>
    <row r="342" spans="1:52">
      <c r="A342">
        <f t="shared" si="23"/>
        <v>341</v>
      </c>
      <c r="B342" s="3">
        <v>46042.5858912037</v>
      </c>
      <c r="C342" s="3">
        <v>46042.586944444403</v>
      </c>
      <c r="D342" t="s">
        <v>53</v>
      </c>
      <c r="G342" t="s">
        <v>54</v>
      </c>
      <c r="H342" t="s">
        <v>63</v>
      </c>
      <c r="I342" t="s">
        <v>56</v>
      </c>
      <c r="J342" t="s">
        <v>62</v>
      </c>
      <c r="K342" t="s">
        <v>62</v>
      </c>
      <c r="L342" t="s">
        <v>58</v>
      </c>
      <c r="M342" t="s">
        <v>61</v>
      </c>
      <c r="N342">
        <v>4</v>
      </c>
      <c r="O342">
        <v>4</v>
      </c>
      <c r="P342">
        <v>4</v>
      </c>
      <c r="Q342">
        <v>4</v>
      </c>
      <c r="R342">
        <v>3</v>
      </c>
      <c r="S342">
        <v>3</v>
      </c>
      <c r="T342">
        <v>4</v>
      </c>
      <c r="U342">
        <v>4</v>
      </c>
      <c r="V342">
        <v>4</v>
      </c>
      <c r="W342">
        <v>4</v>
      </c>
      <c r="X342">
        <v>4</v>
      </c>
      <c r="Y342">
        <v>4</v>
      </c>
      <c r="Z342">
        <v>4</v>
      </c>
      <c r="AA342">
        <v>4</v>
      </c>
      <c r="AB342">
        <v>4</v>
      </c>
      <c r="AC342">
        <v>4</v>
      </c>
      <c r="AD342">
        <v>3</v>
      </c>
      <c r="AE342">
        <v>3</v>
      </c>
      <c r="AF342">
        <v>2</v>
      </c>
      <c r="AG342">
        <v>4</v>
      </c>
      <c r="AH342">
        <v>2</v>
      </c>
      <c r="AI342">
        <v>4</v>
      </c>
      <c r="AJ342">
        <v>4</v>
      </c>
      <c r="AK342" t="b">
        <f>Table67[[#This Row],[What is your age?]]&lt;&gt;"18 - 25"</f>
        <v>0</v>
      </c>
      <c r="AL342" t="b">
        <f t="shared" si="20"/>
        <v>0</v>
      </c>
      <c r="AM342" t="b">
        <f t="shared" si="21"/>
        <v>0</v>
      </c>
      <c r="AN342" t="b">
        <f t="shared" si="22"/>
        <v>0</v>
      </c>
      <c r="AO342" t="b">
        <f>OR(Table67[[#This Row],[Ineligible respondents]:[Inconsistent response on opposite question (3)]])</f>
        <v>0</v>
      </c>
      <c r="AP34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42">
        <f>Table67[[#This Row],[Extreme Response]]/21</f>
        <v>0</v>
      </c>
      <c r="AR342">
        <f>_xlfn.PERCENTILE.INC(Table67[Extrem Response Ratio (ERS)],0.9)</f>
        <v>0.61904761904761907</v>
      </c>
      <c r="AS342" t="b">
        <f>Table67[[#This Row],[Extrem Response Ratio (ERS)]]&gt;=Table67[[#This Row],[Threshold of ERS]]</f>
        <v>0</v>
      </c>
      <c r="AT342">
        <f>COUNTIF(Table67[[#This Row],[The mechanism of digital assets is difficult to understand, which discourages me from exploring it (E.g, Tokenization, Blockchain)]:[If I want to try different ways to invest, I will explore digital assets.]], 3)</f>
        <v>4</v>
      </c>
      <c r="AU342">
        <f>Table67[[#This Row],[Midpoint]]/21</f>
        <v>0.19047619047619047</v>
      </c>
      <c r="AV342">
        <f>_xlfn.PERCENTILE.INC(Table67[Midpoint ratio],0.9)</f>
        <v>0.5714285714285714</v>
      </c>
      <c r="AW342" t="b">
        <f>Table67[[#This Row],[Midpoint ratio]]&gt;=Table67[[#This Row],[Threshold of Midpoint ratio]]</f>
        <v>0</v>
      </c>
      <c r="AX342" t="b">
        <f>OR(Table67[[#This Row],[Extreme Response Style]],Table67[[#This Row],[Mid-point Response Style]])</f>
        <v>0</v>
      </c>
      <c r="AY342" t="b">
        <f>OR(Table67[[#This Row],[Delete? (Stage 1)]],Table67[[#This Row],[Delete? (Stage 2)]])</f>
        <v>0</v>
      </c>
      <c r="AZ342" t="s">
        <v>81</v>
      </c>
    </row>
    <row r="343" spans="1:52">
      <c r="A343">
        <f t="shared" si="23"/>
        <v>342</v>
      </c>
      <c r="B343" s="3">
        <v>46042.662870370397</v>
      </c>
      <c r="C343" s="3">
        <v>46042.666724536997</v>
      </c>
      <c r="D343" t="s">
        <v>53</v>
      </c>
      <c r="G343" t="s">
        <v>54</v>
      </c>
      <c r="H343" t="s">
        <v>63</v>
      </c>
      <c r="I343" t="s">
        <v>56</v>
      </c>
      <c r="J343" t="s">
        <v>66</v>
      </c>
      <c r="K343" t="s">
        <v>66</v>
      </c>
      <c r="L343" t="s">
        <v>61</v>
      </c>
      <c r="M343" t="s">
        <v>61</v>
      </c>
      <c r="N343">
        <v>1</v>
      </c>
      <c r="O343">
        <v>1</v>
      </c>
      <c r="P343">
        <v>5</v>
      </c>
      <c r="Q343">
        <v>3</v>
      </c>
      <c r="R343">
        <v>2</v>
      </c>
      <c r="S343">
        <v>2</v>
      </c>
      <c r="T343">
        <v>2</v>
      </c>
      <c r="U343">
        <v>3</v>
      </c>
      <c r="V343">
        <v>5</v>
      </c>
      <c r="W343">
        <v>5</v>
      </c>
      <c r="X343">
        <v>5</v>
      </c>
      <c r="Y343">
        <v>4</v>
      </c>
      <c r="Z343">
        <v>5</v>
      </c>
      <c r="AA343">
        <v>2</v>
      </c>
      <c r="AB343">
        <v>2</v>
      </c>
      <c r="AC343">
        <v>3</v>
      </c>
      <c r="AD343">
        <v>4</v>
      </c>
      <c r="AE343">
        <v>2</v>
      </c>
      <c r="AF343">
        <v>4</v>
      </c>
      <c r="AG343">
        <v>2</v>
      </c>
      <c r="AH343">
        <v>4</v>
      </c>
      <c r="AI343">
        <v>2</v>
      </c>
      <c r="AJ343">
        <v>2</v>
      </c>
      <c r="AK343" t="b">
        <f>Table67[[#This Row],[What is your age?]]&lt;&gt;"18 - 25"</f>
        <v>0</v>
      </c>
      <c r="AL343" t="b">
        <f t="shared" si="20"/>
        <v>0</v>
      </c>
      <c r="AM343" t="b">
        <f t="shared" si="21"/>
        <v>0</v>
      </c>
      <c r="AN343" t="b">
        <f t="shared" si="22"/>
        <v>0</v>
      </c>
      <c r="AO343" t="b">
        <f>OR(Table67[[#This Row],[Ineligible respondents]:[Inconsistent response on opposite question (3)]])</f>
        <v>0</v>
      </c>
      <c r="AP34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343">
        <f>Table67[[#This Row],[Extreme Response]]/21</f>
        <v>0.33333333333333331</v>
      </c>
      <c r="AR343">
        <f>_xlfn.PERCENTILE.INC(Table67[Extrem Response Ratio (ERS)],0.9)</f>
        <v>0.61904761904761907</v>
      </c>
      <c r="AS343" t="b">
        <f>Table67[[#This Row],[Extrem Response Ratio (ERS)]]&gt;=Table67[[#This Row],[Threshold of ERS]]</f>
        <v>0</v>
      </c>
      <c r="AT343">
        <f>COUNTIF(Table67[[#This Row],[The mechanism of digital assets is difficult to understand, which discourages me from exploring it (E.g, Tokenization, Blockchain)]:[If I want to try different ways to invest, I will explore digital assets.]], 3)</f>
        <v>3</v>
      </c>
      <c r="AU343">
        <f>Table67[[#This Row],[Midpoint]]/21</f>
        <v>0.14285714285714285</v>
      </c>
      <c r="AV343">
        <f>_xlfn.PERCENTILE.INC(Table67[Midpoint ratio],0.9)</f>
        <v>0.5714285714285714</v>
      </c>
      <c r="AW343" t="b">
        <f>Table67[[#This Row],[Midpoint ratio]]&gt;=Table67[[#This Row],[Threshold of Midpoint ratio]]</f>
        <v>0</v>
      </c>
      <c r="AX343" t="b">
        <f>OR(Table67[[#This Row],[Extreme Response Style]],Table67[[#This Row],[Mid-point Response Style]])</f>
        <v>0</v>
      </c>
      <c r="AY343" t="b">
        <f>OR(Table67[[#This Row],[Delete? (Stage 1)]],Table67[[#This Row],[Delete? (Stage 2)]])</f>
        <v>0</v>
      </c>
      <c r="AZ343" t="s">
        <v>81</v>
      </c>
    </row>
    <row r="344" spans="1:52">
      <c r="A344">
        <f t="shared" si="23"/>
        <v>343</v>
      </c>
      <c r="B344" s="3">
        <v>46042.667199074102</v>
      </c>
      <c r="C344" s="3">
        <v>46042.669432870403</v>
      </c>
      <c r="D344" t="s">
        <v>53</v>
      </c>
      <c r="G344" t="s">
        <v>54</v>
      </c>
      <c r="H344" t="s">
        <v>55</v>
      </c>
      <c r="I344" t="s">
        <v>56</v>
      </c>
      <c r="J344" t="s">
        <v>62</v>
      </c>
      <c r="K344" t="s">
        <v>60</v>
      </c>
      <c r="L344" t="s">
        <v>61</v>
      </c>
      <c r="M344" t="s">
        <v>61</v>
      </c>
      <c r="N344">
        <v>2</v>
      </c>
      <c r="O344">
        <v>2</v>
      </c>
      <c r="P344">
        <v>4</v>
      </c>
      <c r="Q344">
        <v>2</v>
      </c>
      <c r="R344">
        <v>3</v>
      </c>
      <c r="S344">
        <v>5</v>
      </c>
      <c r="T344">
        <v>3</v>
      </c>
      <c r="U344">
        <v>2</v>
      </c>
      <c r="V344">
        <v>4</v>
      </c>
      <c r="W344">
        <v>4</v>
      </c>
      <c r="X344">
        <v>3</v>
      </c>
      <c r="Y344">
        <v>4</v>
      </c>
      <c r="Z344">
        <v>4</v>
      </c>
      <c r="AA344">
        <v>5</v>
      </c>
      <c r="AB344">
        <v>2</v>
      </c>
      <c r="AC344">
        <v>2</v>
      </c>
      <c r="AD344">
        <v>2</v>
      </c>
      <c r="AE344">
        <v>2</v>
      </c>
      <c r="AF344">
        <v>4</v>
      </c>
      <c r="AG344">
        <v>2</v>
      </c>
      <c r="AH344">
        <v>4</v>
      </c>
      <c r="AI344">
        <v>2</v>
      </c>
      <c r="AJ344">
        <v>2</v>
      </c>
      <c r="AK344" t="b">
        <f>Table67[[#This Row],[What is your age?]]&lt;&gt;"18 - 25"</f>
        <v>0</v>
      </c>
      <c r="AL344" t="b">
        <f t="shared" si="20"/>
        <v>0</v>
      </c>
      <c r="AM344" t="b">
        <f t="shared" si="21"/>
        <v>0</v>
      </c>
      <c r="AN344" t="b">
        <f t="shared" si="22"/>
        <v>0</v>
      </c>
      <c r="AO344" t="b">
        <f>OR(Table67[[#This Row],[Ineligible respondents]:[Inconsistent response on opposite question (3)]])</f>
        <v>0</v>
      </c>
      <c r="AP34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344">
        <f>Table67[[#This Row],[Extreme Response]]/21</f>
        <v>9.5238095238095233E-2</v>
      </c>
      <c r="AR344">
        <f>_xlfn.PERCENTILE.INC(Table67[Extrem Response Ratio (ERS)],0.9)</f>
        <v>0.61904761904761907</v>
      </c>
      <c r="AS344" t="b">
        <f>Table67[[#This Row],[Extrem Response Ratio (ERS)]]&gt;=Table67[[#This Row],[Threshold of ERS]]</f>
        <v>0</v>
      </c>
      <c r="AT344">
        <f>COUNTIF(Table67[[#This Row],[The mechanism of digital assets is difficult to understand, which discourages me from exploring it (E.g, Tokenization, Blockchain)]:[If I want to try different ways to invest, I will explore digital assets.]], 3)</f>
        <v>3</v>
      </c>
      <c r="AU344">
        <f>Table67[[#This Row],[Midpoint]]/21</f>
        <v>0.14285714285714285</v>
      </c>
      <c r="AV344">
        <f>_xlfn.PERCENTILE.INC(Table67[Midpoint ratio],0.9)</f>
        <v>0.5714285714285714</v>
      </c>
      <c r="AW344" t="b">
        <f>Table67[[#This Row],[Midpoint ratio]]&gt;=Table67[[#This Row],[Threshold of Midpoint ratio]]</f>
        <v>0</v>
      </c>
      <c r="AX344" t="b">
        <f>OR(Table67[[#This Row],[Extreme Response Style]],Table67[[#This Row],[Mid-point Response Style]])</f>
        <v>0</v>
      </c>
      <c r="AY344" t="b">
        <f>OR(Table67[[#This Row],[Delete? (Stage 1)]],Table67[[#This Row],[Delete? (Stage 2)]])</f>
        <v>0</v>
      </c>
      <c r="AZ344" t="s">
        <v>81</v>
      </c>
    </row>
    <row r="345" spans="1:52">
      <c r="A345">
        <f t="shared" si="23"/>
        <v>344</v>
      </c>
      <c r="B345" s="3">
        <v>46042.6863773148</v>
      </c>
      <c r="C345" s="3">
        <v>46042.687349537002</v>
      </c>
      <c r="D345" t="s">
        <v>53</v>
      </c>
      <c r="G345" t="s">
        <v>54</v>
      </c>
      <c r="H345" t="s">
        <v>63</v>
      </c>
      <c r="I345" t="s">
        <v>56</v>
      </c>
      <c r="J345" t="s">
        <v>62</v>
      </c>
      <c r="K345" t="s">
        <v>62</v>
      </c>
      <c r="L345" t="s">
        <v>58</v>
      </c>
      <c r="M345" t="s">
        <v>58</v>
      </c>
      <c r="N345">
        <v>3</v>
      </c>
      <c r="O345">
        <v>3</v>
      </c>
      <c r="P345">
        <v>3</v>
      </c>
      <c r="Q345">
        <v>3</v>
      </c>
      <c r="R345">
        <v>3</v>
      </c>
      <c r="S345">
        <v>3</v>
      </c>
      <c r="T345">
        <v>3</v>
      </c>
      <c r="U345">
        <v>3</v>
      </c>
      <c r="V345">
        <v>3</v>
      </c>
      <c r="W345">
        <v>3</v>
      </c>
      <c r="X345">
        <v>3</v>
      </c>
      <c r="Y345">
        <v>3</v>
      </c>
      <c r="Z345">
        <v>3</v>
      </c>
      <c r="AA345">
        <v>3</v>
      </c>
      <c r="AB345">
        <v>3</v>
      </c>
      <c r="AC345">
        <v>3</v>
      </c>
      <c r="AD345">
        <v>3</v>
      </c>
      <c r="AE345">
        <v>3</v>
      </c>
      <c r="AF345">
        <v>3</v>
      </c>
      <c r="AG345">
        <v>3</v>
      </c>
      <c r="AH345">
        <v>3</v>
      </c>
      <c r="AI345">
        <v>3</v>
      </c>
      <c r="AJ345">
        <v>3</v>
      </c>
      <c r="AK345" t="b">
        <f>Table67[[#This Row],[What is your age?]]&lt;&gt;"18 - 25"</f>
        <v>0</v>
      </c>
      <c r="AL345" t="b">
        <f t="shared" si="20"/>
        <v>1</v>
      </c>
      <c r="AM345" t="b">
        <f t="shared" si="21"/>
        <v>0</v>
      </c>
      <c r="AN345" t="b">
        <f t="shared" si="22"/>
        <v>0</v>
      </c>
      <c r="AO345" t="b">
        <f>OR(Table67[[#This Row],[Ineligible respondents]:[Inconsistent response on opposite question (3)]])</f>
        <v>1</v>
      </c>
      <c r="AP34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45">
        <f>Table67[[#This Row],[Extreme Response]]/21</f>
        <v>0</v>
      </c>
      <c r="AR345">
        <f>_xlfn.PERCENTILE.INC(Table67[Extrem Response Ratio (ERS)],0.9)</f>
        <v>0.61904761904761907</v>
      </c>
      <c r="AS345" t="b">
        <f>Table67[[#This Row],[Extrem Response Ratio (ERS)]]&gt;=Table67[[#This Row],[Threshold of ERS]]</f>
        <v>0</v>
      </c>
      <c r="AT345">
        <f>COUNTIF(Table67[[#This Row],[The mechanism of digital assets is difficult to understand, which discourages me from exploring it (E.g, Tokenization, Blockchain)]:[If I want to try different ways to invest, I will explore digital assets.]], 3)</f>
        <v>21</v>
      </c>
      <c r="AU345">
        <f>Table67[[#This Row],[Midpoint]]/21</f>
        <v>1</v>
      </c>
      <c r="AV345">
        <f>_xlfn.PERCENTILE.INC(Table67[Midpoint ratio],0.9)</f>
        <v>0.5714285714285714</v>
      </c>
      <c r="AW345" t="b">
        <f>Table67[[#This Row],[Midpoint ratio]]&gt;=Table67[[#This Row],[Threshold of Midpoint ratio]]</f>
        <v>1</v>
      </c>
      <c r="AX345" t="b">
        <f>OR(Table67[[#This Row],[Extreme Response Style]],Table67[[#This Row],[Mid-point Response Style]])</f>
        <v>1</v>
      </c>
      <c r="AY345" t="b">
        <f>OR(Table67[[#This Row],[Delete? (Stage 1)]],Table67[[#This Row],[Delete? (Stage 2)]])</f>
        <v>1</v>
      </c>
      <c r="AZ345" t="s">
        <v>81</v>
      </c>
    </row>
    <row r="346" spans="1:52">
      <c r="A346">
        <f t="shared" si="23"/>
        <v>345</v>
      </c>
      <c r="B346" s="3">
        <v>46042.686817129601</v>
      </c>
      <c r="C346" s="3">
        <v>46042.689085648097</v>
      </c>
      <c r="D346" t="s">
        <v>53</v>
      </c>
      <c r="G346" t="s">
        <v>54</v>
      </c>
      <c r="H346" t="s">
        <v>55</v>
      </c>
      <c r="I346" t="s">
        <v>83</v>
      </c>
      <c r="J346" t="s">
        <v>57</v>
      </c>
      <c r="K346" t="s">
        <v>57</v>
      </c>
      <c r="L346" t="s">
        <v>58</v>
      </c>
      <c r="M346" t="s">
        <v>58</v>
      </c>
      <c r="N346">
        <v>3</v>
      </c>
      <c r="O346">
        <v>1</v>
      </c>
      <c r="P346">
        <v>2</v>
      </c>
      <c r="Q346">
        <v>2</v>
      </c>
      <c r="R346">
        <v>3</v>
      </c>
      <c r="S346">
        <v>4</v>
      </c>
      <c r="T346">
        <v>4</v>
      </c>
      <c r="U346">
        <v>4</v>
      </c>
      <c r="V346">
        <v>2</v>
      </c>
      <c r="W346">
        <v>2</v>
      </c>
      <c r="X346">
        <v>2</v>
      </c>
      <c r="Y346">
        <v>2</v>
      </c>
      <c r="Z346">
        <v>4</v>
      </c>
      <c r="AA346">
        <v>3</v>
      </c>
      <c r="AB346">
        <v>3</v>
      </c>
      <c r="AC346">
        <v>2</v>
      </c>
      <c r="AD346">
        <v>2</v>
      </c>
      <c r="AE346">
        <v>2</v>
      </c>
      <c r="AF346">
        <v>3</v>
      </c>
      <c r="AG346">
        <v>3</v>
      </c>
      <c r="AH346">
        <v>2</v>
      </c>
      <c r="AI346">
        <v>4</v>
      </c>
      <c r="AJ346">
        <v>3</v>
      </c>
      <c r="AK346" t="b">
        <f>Table67[[#This Row],[What is your age?]]&lt;&gt;"18 - 25"</f>
        <v>0</v>
      </c>
      <c r="AL346" t="b">
        <f t="shared" si="20"/>
        <v>0</v>
      </c>
      <c r="AM346" t="b">
        <f t="shared" si="21"/>
        <v>0</v>
      </c>
      <c r="AN346" t="b">
        <f t="shared" si="22"/>
        <v>1</v>
      </c>
      <c r="AO346" t="b">
        <f>OR(Table67[[#This Row],[Ineligible respondents]:[Inconsistent response on opposite question (3)]])</f>
        <v>1</v>
      </c>
      <c r="AP34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346">
        <f>Table67[[#This Row],[Extreme Response]]/21</f>
        <v>4.7619047619047616E-2</v>
      </c>
      <c r="AR346">
        <f>_xlfn.PERCENTILE.INC(Table67[Extrem Response Ratio (ERS)],0.9)</f>
        <v>0.61904761904761907</v>
      </c>
      <c r="AS346" t="b">
        <f>Table67[[#This Row],[Extrem Response Ratio (ERS)]]&gt;=Table67[[#This Row],[Threshold of ERS]]</f>
        <v>0</v>
      </c>
      <c r="AT346">
        <f>COUNTIF(Table67[[#This Row],[The mechanism of digital assets is difficult to understand, which discourages me from exploring it (E.g, Tokenization, Blockchain)]:[If I want to try different ways to invest, I will explore digital assets.]], 3)</f>
        <v>6</v>
      </c>
      <c r="AU346">
        <f>Table67[[#This Row],[Midpoint]]/21</f>
        <v>0.2857142857142857</v>
      </c>
      <c r="AV346">
        <f>_xlfn.PERCENTILE.INC(Table67[Midpoint ratio],0.9)</f>
        <v>0.5714285714285714</v>
      </c>
      <c r="AW346" t="b">
        <f>Table67[[#This Row],[Midpoint ratio]]&gt;=Table67[[#This Row],[Threshold of Midpoint ratio]]</f>
        <v>0</v>
      </c>
      <c r="AX346" t="b">
        <f>OR(Table67[[#This Row],[Extreme Response Style]],Table67[[#This Row],[Mid-point Response Style]])</f>
        <v>0</v>
      </c>
      <c r="AY346" t="b">
        <f>OR(Table67[[#This Row],[Delete? (Stage 1)]],Table67[[#This Row],[Delete? (Stage 2)]])</f>
        <v>1</v>
      </c>
      <c r="AZ346" t="s">
        <v>81</v>
      </c>
    </row>
    <row r="347" spans="1:52">
      <c r="A347">
        <f t="shared" si="23"/>
        <v>346</v>
      </c>
      <c r="B347" s="3">
        <v>46042.686840277798</v>
      </c>
      <c r="C347" s="3">
        <v>46042.688333333303</v>
      </c>
      <c r="D347" t="s">
        <v>53</v>
      </c>
      <c r="G347" t="s">
        <v>54</v>
      </c>
      <c r="H347" t="s">
        <v>63</v>
      </c>
      <c r="I347" t="s">
        <v>56</v>
      </c>
      <c r="J347" t="s">
        <v>57</v>
      </c>
      <c r="K347" t="s">
        <v>57</v>
      </c>
      <c r="L347" t="s">
        <v>58</v>
      </c>
      <c r="M347" t="s">
        <v>58</v>
      </c>
      <c r="N347">
        <v>2</v>
      </c>
      <c r="O347">
        <v>2</v>
      </c>
      <c r="P347">
        <v>3</v>
      </c>
      <c r="Q347">
        <v>3</v>
      </c>
      <c r="R347">
        <v>2</v>
      </c>
      <c r="S347">
        <v>2</v>
      </c>
      <c r="T347">
        <v>2</v>
      </c>
      <c r="U347">
        <v>2</v>
      </c>
      <c r="V347">
        <v>3</v>
      </c>
      <c r="W347">
        <v>3</v>
      </c>
      <c r="X347">
        <v>2</v>
      </c>
      <c r="Y347">
        <v>2</v>
      </c>
      <c r="Z347">
        <v>3</v>
      </c>
      <c r="AA347">
        <v>2</v>
      </c>
      <c r="AB347">
        <v>2</v>
      </c>
      <c r="AC347">
        <v>2</v>
      </c>
      <c r="AD347">
        <v>3</v>
      </c>
      <c r="AE347">
        <v>3</v>
      </c>
      <c r="AF347">
        <v>3</v>
      </c>
      <c r="AG347">
        <v>3</v>
      </c>
      <c r="AH347">
        <v>3</v>
      </c>
      <c r="AI347">
        <v>3</v>
      </c>
      <c r="AJ347">
        <v>3</v>
      </c>
      <c r="AK347" t="b">
        <f>Table67[[#This Row],[What is your age?]]&lt;&gt;"18 - 25"</f>
        <v>0</v>
      </c>
      <c r="AL347" t="b">
        <f t="shared" si="20"/>
        <v>0</v>
      </c>
      <c r="AM347" t="b">
        <f t="shared" si="21"/>
        <v>0</v>
      </c>
      <c r="AN347" t="b">
        <f t="shared" si="22"/>
        <v>0</v>
      </c>
      <c r="AO347" t="b">
        <f>OR(Table67[[#This Row],[Ineligible respondents]:[Inconsistent response on opposite question (3)]])</f>
        <v>0</v>
      </c>
      <c r="AP34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47">
        <f>Table67[[#This Row],[Extreme Response]]/21</f>
        <v>0</v>
      </c>
      <c r="AR347">
        <f>_xlfn.PERCENTILE.INC(Table67[Extrem Response Ratio (ERS)],0.9)</f>
        <v>0.61904761904761907</v>
      </c>
      <c r="AS347" t="b">
        <f>Table67[[#This Row],[Extrem Response Ratio (ERS)]]&gt;=Table67[[#This Row],[Threshold of ERS]]</f>
        <v>0</v>
      </c>
      <c r="AT347">
        <f>COUNTIF(Table67[[#This Row],[The mechanism of digital assets is difficult to understand, which discourages me from exploring it (E.g, Tokenization, Blockchain)]:[If I want to try different ways to invest, I will explore digital assets.]], 3)</f>
        <v>10</v>
      </c>
      <c r="AU347">
        <f>Table67[[#This Row],[Midpoint]]/21</f>
        <v>0.47619047619047616</v>
      </c>
      <c r="AV347">
        <f>_xlfn.PERCENTILE.INC(Table67[Midpoint ratio],0.9)</f>
        <v>0.5714285714285714</v>
      </c>
      <c r="AW347" t="b">
        <f>Table67[[#This Row],[Midpoint ratio]]&gt;=Table67[[#This Row],[Threshold of Midpoint ratio]]</f>
        <v>0</v>
      </c>
      <c r="AX347" t="b">
        <f>OR(Table67[[#This Row],[Extreme Response Style]],Table67[[#This Row],[Mid-point Response Style]])</f>
        <v>0</v>
      </c>
      <c r="AY347" t="b">
        <f>OR(Table67[[#This Row],[Delete? (Stage 1)]],Table67[[#This Row],[Delete? (Stage 2)]])</f>
        <v>0</v>
      </c>
      <c r="AZ347" t="s">
        <v>81</v>
      </c>
    </row>
    <row r="348" spans="1:52">
      <c r="A348">
        <f t="shared" si="23"/>
        <v>347</v>
      </c>
      <c r="B348" s="3">
        <v>46042.686886574098</v>
      </c>
      <c r="C348" s="3">
        <v>46042.689282407402</v>
      </c>
      <c r="D348" t="s">
        <v>53</v>
      </c>
      <c r="G348" t="s">
        <v>54</v>
      </c>
      <c r="H348" t="s">
        <v>55</v>
      </c>
      <c r="I348" t="s">
        <v>71</v>
      </c>
      <c r="J348" t="s">
        <v>60</v>
      </c>
      <c r="K348" t="s">
        <v>57</v>
      </c>
      <c r="L348" t="s">
        <v>61</v>
      </c>
      <c r="M348" t="s">
        <v>61</v>
      </c>
      <c r="N348">
        <v>2</v>
      </c>
      <c r="O348">
        <v>2</v>
      </c>
      <c r="P348">
        <v>4</v>
      </c>
      <c r="Q348">
        <v>4</v>
      </c>
      <c r="R348">
        <v>2</v>
      </c>
      <c r="S348">
        <v>4</v>
      </c>
      <c r="T348">
        <v>5</v>
      </c>
      <c r="U348">
        <v>4</v>
      </c>
      <c r="V348">
        <v>4</v>
      </c>
      <c r="W348">
        <v>4</v>
      </c>
      <c r="X348">
        <v>3</v>
      </c>
      <c r="Y348">
        <v>3</v>
      </c>
      <c r="Z348">
        <v>1</v>
      </c>
      <c r="AA348">
        <v>4</v>
      </c>
      <c r="AB348">
        <v>1</v>
      </c>
      <c r="AC348">
        <v>4</v>
      </c>
      <c r="AD348">
        <v>2</v>
      </c>
      <c r="AE348">
        <v>1</v>
      </c>
      <c r="AF348">
        <v>2</v>
      </c>
      <c r="AG348">
        <v>4</v>
      </c>
      <c r="AH348">
        <v>2</v>
      </c>
      <c r="AI348">
        <v>4</v>
      </c>
      <c r="AJ348">
        <v>4</v>
      </c>
      <c r="AK348" t="b">
        <f>Table67[[#This Row],[What is your age?]]&lt;&gt;"18 - 25"</f>
        <v>0</v>
      </c>
      <c r="AL348" t="b">
        <f t="shared" si="20"/>
        <v>0</v>
      </c>
      <c r="AM348" t="b">
        <f t="shared" si="21"/>
        <v>0</v>
      </c>
      <c r="AN348" t="b">
        <f t="shared" si="22"/>
        <v>0</v>
      </c>
      <c r="AO348" t="b">
        <f>OR(Table67[[#This Row],[Ineligible respondents]:[Inconsistent response on opposite question (3)]])</f>
        <v>0</v>
      </c>
      <c r="AP34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348">
        <f>Table67[[#This Row],[Extreme Response]]/21</f>
        <v>0.19047619047619047</v>
      </c>
      <c r="AR348">
        <f>_xlfn.PERCENTILE.INC(Table67[Extrem Response Ratio (ERS)],0.9)</f>
        <v>0.61904761904761907</v>
      </c>
      <c r="AS348" t="b">
        <f>Table67[[#This Row],[Extrem Response Ratio (ERS)]]&gt;=Table67[[#This Row],[Threshold of ERS]]</f>
        <v>0</v>
      </c>
      <c r="AT348">
        <f>COUNTIF(Table67[[#This Row],[The mechanism of digital assets is difficult to understand, which discourages me from exploring it (E.g, Tokenization, Blockchain)]:[If I want to try different ways to invest, I will explore digital assets.]], 3)</f>
        <v>2</v>
      </c>
      <c r="AU348">
        <f>Table67[[#This Row],[Midpoint]]/21</f>
        <v>9.5238095238095233E-2</v>
      </c>
      <c r="AV348">
        <f>_xlfn.PERCENTILE.INC(Table67[Midpoint ratio],0.9)</f>
        <v>0.5714285714285714</v>
      </c>
      <c r="AW348" t="b">
        <f>Table67[[#This Row],[Midpoint ratio]]&gt;=Table67[[#This Row],[Threshold of Midpoint ratio]]</f>
        <v>0</v>
      </c>
      <c r="AX348" t="b">
        <f>OR(Table67[[#This Row],[Extreme Response Style]],Table67[[#This Row],[Mid-point Response Style]])</f>
        <v>0</v>
      </c>
      <c r="AY348" t="b">
        <f>OR(Table67[[#This Row],[Delete? (Stage 1)]],Table67[[#This Row],[Delete? (Stage 2)]])</f>
        <v>0</v>
      </c>
      <c r="AZ348" t="s">
        <v>81</v>
      </c>
    </row>
    <row r="349" spans="1:52">
      <c r="A349">
        <f t="shared" si="23"/>
        <v>348</v>
      </c>
      <c r="B349" s="3">
        <v>46042.686979166698</v>
      </c>
      <c r="C349" s="3">
        <v>46042.687939814801</v>
      </c>
      <c r="D349" t="s">
        <v>53</v>
      </c>
      <c r="G349" t="s">
        <v>54</v>
      </c>
      <c r="H349" t="s">
        <v>63</v>
      </c>
      <c r="I349" t="s">
        <v>56</v>
      </c>
      <c r="J349" t="s">
        <v>57</v>
      </c>
      <c r="K349" t="s">
        <v>57</v>
      </c>
      <c r="L349" t="s">
        <v>61</v>
      </c>
      <c r="M349" t="s">
        <v>61</v>
      </c>
      <c r="N349">
        <v>5</v>
      </c>
      <c r="O349">
        <v>3</v>
      </c>
      <c r="P349">
        <v>5</v>
      </c>
      <c r="Q349">
        <v>5</v>
      </c>
      <c r="R349">
        <v>5</v>
      </c>
      <c r="S349">
        <v>5</v>
      </c>
      <c r="T349">
        <v>5</v>
      </c>
      <c r="U349">
        <v>5</v>
      </c>
      <c r="V349">
        <v>5</v>
      </c>
      <c r="W349">
        <v>5</v>
      </c>
      <c r="X349">
        <v>5</v>
      </c>
      <c r="Y349">
        <v>5</v>
      </c>
      <c r="Z349">
        <v>3</v>
      </c>
      <c r="AA349">
        <v>3</v>
      </c>
      <c r="AB349">
        <v>3</v>
      </c>
      <c r="AC349">
        <v>3</v>
      </c>
      <c r="AD349">
        <v>3</v>
      </c>
      <c r="AE349">
        <v>3</v>
      </c>
      <c r="AF349">
        <v>4</v>
      </c>
      <c r="AG349">
        <v>3</v>
      </c>
      <c r="AH349">
        <v>4</v>
      </c>
      <c r="AI349">
        <v>2</v>
      </c>
      <c r="AJ349">
        <v>2</v>
      </c>
      <c r="AK349" t="b">
        <f>Table67[[#This Row],[What is your age?]]&lt;&gt;"18 - 25"</f>
        <v>0</v>
      </c>
      <c r="AL349" t="b">
        <f t="shared" si="20"/>
        <v>0</v>
      </c>
      <c r="AM349" t="b">
        <f t="shared" si="21"/>
        <v>0</v>
      </c>
      <c r="AN349" t="b">
        <f t="shared" si="22"/>
        <v>1</v>
      </c>
      <c r="AO349" t="b">
        <f>OR(Table67[[#This Row],[Ineligible respondents]:[Inconsistent response on opposite question (3)]])</f>
        <v>1</v>
      </c>
      <c r="AP34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349">
        <f>Table67[[#This Row],[Extreme Response]]/21</f>
        <v>0.52380952380952384</v>
      </c>
      <c r="AR349">
        <f>_xlfn.PERCENTILE.INC(Table67[Extrem Response Ratio (ERS)],0.9)</f>
        <v>0.61904761904761907</v>
      </c>
      <c r="AS349" t="b">
        <f>Table67[[#This Row],[Extrem Response Ratio (ERS)]]&gt;=Table67[[#This Row],[Threshold of ERS]]</f>
        <v>0</v>
      </c>
      <c r="AT349">
        <f>COUNTIF(Table67[[#This Row],[The mechanism of digital assets is difficult to understand, which discourages me from exploring it (E.g, Tokenization, Blockchain)]:[If I want to try different ways to invest, I will explore digital assets.]], 3)</f>
        <v>8</v>
      </c>
      <c r="AU349">
        <f>Table67[[#This Row],[Midpoint]]/21</f>
        <v>0.38095238095238093</v>
      </c>
      <c r="AV349">
        <f>_xlfn.PERCENTILE.INC(Table67[Midpoint ratio],0.9)</f>
        <v>0.5714285714285714</v>
      </c>
      <c r="AW349" t="b">
        <f>Table67[[#This Row],[Midpoint ratio]]&gt;=Table67[[#This Row],[Threshold of Midpoint ratio]]</f>
        <v>0</v>
      </c>
      <c r="AX349" t="b">
        <f>OR(Table67[[#This Row],[Extreme Response Style]],Table67[[#This Row],[Mid-point Response Style]])</f>
        <v>0</v>
      </c>
      <c r="AY349" t="b">
        <f>OR(Table67[[#This Row],[Delete? (Stage 1)]],Table67[[#This Row],[Delete? (Stage 2)]])</f>
        <v>1</v>
      </c>
      <c r="AZ349" t="s">
        <v>81</v>
      </c>
    </row>
    <row r="350" spans="1:52">
      <c r="A350">
        <f t="shared" si="23"/>
        <v>349</v>
      </c>
      <c r="B350" s="3">
        <v>46042.687152777798</v>
      </c>
      <c r="C350" s="3">
        <v>46042.69</v>
      </c>
      <c r="D350" t="s">
        <v>53</v>
      </c>
      <c r="G350" t="s">
        <v>54</v>
      </c>
      <c r="H350" t="s">
        <v>55</v>
      </c>
      <c r="I350" t="s">
        <v>56</v>
      </c>
      <c r="J350" t="s">
        <v>57</v>
      </c>
      <c r="K350" t="s">
        <v>62</v>
      </c>
      <c r="L350" t="s">
        <v>58</v>
      </c>
      <c r="M350" t="s">
        <v>61</v>
      </c>
      <c r="N350">
        <v>3</v>
      </c>
      <c r="O350">
        <v>1</v>
      </c>
      <c r="P350">
        <v>3</v>
      </c>
      <c r="Q350">
        <v>3</v>
      </c>
      <c r="R350">
        <v>3</v>
      </c>
      <c r="S350">
        <v>3</v>
      </c>
      <c r="T350">
        <v>3</v>
      </c>
      <c r="U350">
        <v>5</v>
      </c>
      <c r="V350">
        <v>5</v>
      </c>
      <c r="W350">
        <v>5</v>
      </c>
      <c r="X350">
        <v>3</v>
      </c>
      <c r="Y350">
        <v>5</v>
      </c>
      <c r="Z350">
        <v>4</v>
      </c>
      <c r="AA350">
        <v>4</v>
      </c>
      <c r="AB350">
        <v>3</v>
      </c>
      <c r="AC350">
        <v>5</v>
      </c>
      <c r="AD350">
        <v>3</v>
      </c>
      <c r="AE350">
        <v>3</v>
      </c>
      <c r="AF350">
        <v>4</v>
      </c>
      <c r="AG350">
        <v>3</v>
      </c>
      <c r="AH350">
        <v>3</v>
      </c>
      <c r="AI350">
        <v>3</v>
      </c>
      <c r="AJ350">
        <v>2</v>
      </c>
      <c r="AK350" t="b">
        <f>Table67[[#This Row],[What is your age?]]&lt;&gt;"18 - 25"</f>
        <v>0</v>
      </c>
      <c r="AL350" t="b">
        <f t="shared" si="20"/>
        <v>0</v>
      </c>
      <c r="AM350" t="b">
        <f t="shared" si="21"/>
        <v>0</v>
      </c>
      <c r="AN350" t="b">
        <f t="shared" si="22"/>
        <v>0</v>
      </c>
      <c r="AO350" t="b">
        <f>OR(Table67[[#This Row],[Ineligible respondents]:[Inconsistent response on opposite question (3)]])</f>
        <v>0</v>
      </c>
      <c r="AP35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350">
        <f>Table67[[#This Row],[Extreme Response]]/21</f>
        <v>0.2857142857142857</v>
      </c>
      <c r="AR350">
        <f>_xlfn.PERCENTILE.INC(Table67[Extrem Response Ratio (ERS)],0.9)</f>
        <v>0.61904761904761907</v>
      </c>
      <c r="AS350" t="b">
        <f>Table67[[#This Row],[Extrem Response Ratio (ERS)]]&gt;=Table67[[#This Row],[Threshold of ERS]]</f>
        <v>0</v>
      </c>
      <c r="AT350">
        <f>COUNTIF(Table67[[#This Row],[The mechanism of digital assets is difficult to understand, which discourages me from exploring it (E.g, Tokenization, Blockchain)]:[If I want to try different ways to invest, I will explore digital assets.]], 3)</f>
        <v>12</v>
      </c>
      <c r="AU350">
        <f>Table67[[#This Row],[Midpoint]]/21</f>
        <v>0.5714285714285714</v>
      </c>
      <c r="AV350">
        <f>_xlfn.PERCENTILE.INC(Table67[Midpoint ratio],0.9)</f>
        <v>0.5714285714285714</v>
      </c>
      <c r="AW350" t="b">
        <f>Table67[[#This Row],[Midpoint ratio]]&gt;=Table67[[#This Row],[Threshold of Midpoint ratio]]</f>
        <v>1</v>
      </c>
      <c r="AX350" t="b">
        <f>OR(Table67[[#This Row],[Extreme Response Style]],Table67[[#This Row],[Mid-point Response Style]])</f>
        <v>1</v>
      </c>
      <c r="AY350" t="b">
        <f>OR(Table67[[#This Row],[Delete? (Stage 1)]],Table67[[#This Row],[Delete? (Stage 2)]])</f>
        <v>1</v>
      </c>
      <c r="AZ350" t="s">
        <v>81</v>
      </c>
    </row>
    <row r="351" spans="1:52">
      <c r="A351">
        <f t="shared" si="23"/>
        <v>350</v>
      </c>
      <c r="B351" s="3">
        <v>46042.687384259298</v>
      </c>
      <c r="C351" s="3">
        <v>46042.688773148097</v>
      </c>
      <c r="D351" t="s">
        <v>53</v>
      </c>
      <c r="G351" t="s">
        <v>54</v>
      </c>
      <c r="H351" t="s">
        <v>63</v>
      </c>
      <c r="I351" t="s">
        <v>56</v>
      </c>
      <c r="J351" t="s">
        <v>57</v>
      </c>
      <c r="K351" t="s">
        <v>57</v>
      </c>
      <c r="L351" t="s">
        <v>58</v>
      </c>
      <c r="M351" t="s">
        <v>58</v>
      </c>
      <c r="N351">
        <v>5</v>
      </c>
      <c r="O351">
        <v>5</v>
      </c>
      <c r="P351">
        <v>5</v>
      </c>
      <c r="Q351">
        <v>5</v>
      </c>
      <c r="R351">
        <v>5</v>
      </c>
      <c r="S351">
        <v>5</v>
      </c>
      <c r="T351">
        <v>5</v>
      </c>
      <c r="U351">
        <v>5</v>
      </c>
      <c r="V351">
        <v>5</v>
      </c>
      <c r="W351">
        <v>5</v>
      </c>
      <c r="X351">
        <v>5</v>
      </c>
      <c r="Y351">
        <v>5</v>
      </c>
      <c r="Z351">
        <v>5</v>
      </c>
      <c r="AA351">
        <v>5</v>
      </c>
      <c r="AB351">
        <v>5</v>
      </c>
      <c r="AC351">
        <v>5</v>
      </c>
      <c r="AD351">
        <v>5</v>
      </c>
      <c r="AE351">
        <v>5</v>
      </c>
      <c r="AF351">
        <v>1</v>
      </c>
      <c r="AG351">
        <v>5</v>
      </c>
      <c r="AH351">
        <v>1</v>
      </c>
      <c r="AI351">
        <v>5</v>
      </c>
      <c r="AJ351">
        <v>5</v>
      </c>
      <c r="AK351" t="b">
        <f>Table67[[#This Row],[What is your age?]]&lt;&gt;"18 - 25"</f>
        <v>0</v>
      </c>
      <c r="AL351" t="b">
        <f t="shared" si="20"/>
        <v>0</v>
      </c>
      <c r="AM351" t="b">
        <f t="shared" si="21"/>
        <v>0</v>
      </c>
      <c r="AN351" t="b">
        <f t="shared" si="22"/>
        <v>0</v>
      </c>
      <c r="AO351" t="b">
        <f>OR(Table67[[#This Row],[Ineligible respondents]:[Inconsistent response on opposite question (3)]])</f>
        <v>0</v>
      </c>
      <c r="AP35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21</v>
      </c>
      <c r="AQ351">
        <f>Table67[[#This Row],[Extreme Response]]/21</f>
        <v>1</v>
      </c>
      <c r="AR351">
        <f>_xlfn.PERCENTILE.INC(Table67[Extrem Response Ratio (ERS)],0.9)</f>
        <v>0.61904761904761907</v>
      </c>
      <c r="AS351" t="b">
        <f>Table67[[#This Row],[Extrem Response Ratio (ERS)]]&gt;=Table67[[#This Row],[Threshold of ERS]]</f>
        <v>1</v>
      </c>
      <c r="AT351">
        <f>COUNTIF(Table67[[#This Row],[The mechanism of digital assets is difficult to understand, which discourages me from exploring it (E.g, Tokenization, Blockchain)]:[If I want to try different ways to invest, I will explore digital assets.]], 3)</f>
        <v>0</v>
      </c>
      <c r="AU351">
        <f>Table67[[#This Row],[Midpoint]]/21</f>
        <v>0</v>
      </c>
      <c r="AV351">
        <f>_xlfn.PERCENTILE.INC(Table67[Midpoint ratio],0.9)</f>
        <v>0.5714285714285714</v>
      </c>
      <c r="AW351" t="b">
        <f>Table67[[#This Row],[Midpoint ratio]]&gt;=Table67[[#This Row],[Threshold of Midpoint ratio]]</f>
        <v>0</v>
      </c>
      <c r="AX351" t="b">
        <f>OR(Table67[[#This Row],[Extreme Response Style]],Table67[[#This Row],[Mid-point Response Style]])</f>
        <v>1</v>
      </c>
      <c r="AY351" t="b">
        <f>OR(Table67[[#This Row],[Delete? (Stage 1)]],Table67[[#This Row],[Delete? (Stage 2)]])</f>
        <v>1</v>
      </c>
      <c r="AZ351" t="s">
        <v>81</v>
      </c>
    </row>
    <row r="352" spans="1:52">
      <c r="A352">
        <f t="shared" si="23"/>
        <v>351</v>
      </c>
      <c r="B352" s="3">
        <v>46042.6875462963</v>
      </c>
      <c r="C352" s="3">
        <v>46042.688599537003</v>
      </c>
      <c r="D352" t="s">
        <v>53</v>
      </c>
      <c r="G352" t="s">
        <v>54</v>
      </c>
      <c r="H352" t="s">
        <v>55</v>
      </c>
      <c r="I352" t="s">
        <v>56</v>
      </c>
      <c r="J352" t="s">
        <v>60</v>
      </c>
      <c r="K352" t="s">
        <v>57</v>
      </c>
      <c r="L352" t="s">
        <v>58</v>
      </c>
      <c r="M352" t="s">
        <v>61</v>
      </c>
      <c r="N352">
        <v>3</v>
      </c>
      <c r="O352">
        <v>2</v>
      </c>
      <c r="P352">
        <v>3</v>
      </c>
      <c r="Q352">
        <v>2</v>
      </c>
      <c r="R352">
        <v>2</v>
      </c>
      <c r="S352">
        <v>4</v>
      </c>
      <c r="T352">
        <v>3</v>
      </c>
      <c r="U352">
        <v>4</v>
      </c>
      <c r="V352">
        <v>3</v>
      </c>
      <c r="W352">
        <v>3</v>
      </c>
      <c r="X352">
        <v>4</v>
      </c>
      <c r="Y352">
        <v>4</v>
      </c>
      <c r="Z352">
        <v>4</v>
      </c>
      <c r="AA352">
        <v>4</v>
      </c>
      <c r="AB352">
        <v>4</v>
      </c>
      <c r="AC352">
        <v>4</v>
      </c>
      <c r="AD352">
        <v>4</v>
      </c>
      <c r="AE352">
        <v>3</v>
      </c>
      <c r="AF352">
        <v>3</v>
      </c>
      <c r="AG352">
        <v>3</v>
      </c>
      <c r="AH352">
        <v>3</v>
      </c>
      <c r="AI352">
        <v>3</v>
      </c>
      <c r="AJ352">
        <v>3</v>
      </c>
      <c r="AK352" t="b">
        <f>Table67[[#This Row],[What is your age?]]&lt;&gt;"18 - 25"</f>
        <v>0</v>
      </c>
      <c r="AL352" t="b">
        <f t="shared" si="20"/>
        <v>0</v>
      </c>
      <c r="AM352" t="b">
        <f t="shared" si="21"/>
        <v>0</v>
      </c>
      <c r="AN352" t="b">
        <f t="shared" si="22"/>
        <v>0</v>
      </c>
      <c r="AO352" t="b">
        <f>OR(Table67[[#This Row],[Ineligible respondents]:[Inconsistent response on opposite question (3)]])</f>
        <v>0</v>
      </c>
      <c r="AP35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52">
        <f>Table67[[#This Row],[Extreme Response]]/21</f>
        <v>0</v>
      </c>
      <c r="AR352">
        <f>_xlfn.PERCENTILE.INC(Table67[Extrem Response Ratio (ERS)],0.9)</f>
        <v>0.61904761904761907</v>
      </c>
      <c r="AS352" t="b">
        <f>Table67[[#This Row],[Extrem Response Ratio (ERS)]]&gt;=Table67[[#This Row],[Threshold of ERS]]</f>
        <v>0</v>
      </c>
      <c r="AT352">
        <f>COUNTIF(Table67[[#This Row],[The mechanism of digital assets is difficult to understand, which discourages me from exploring it (E.g, Tokenization, Blockchain)]:[If I want to try different ways to invest, I will explore digital assets.]], 3)</f>
        <v>9</v>
      </c>
      <c r="AU352">
        <f>Table67[[#This Row],[Midpoint]]/21</f>
        <v>0.42857142857142855</v>
      </c>
      <c r="AV352">
        <f>_xlfn.PERCENTILE.INC(Table67[Midpoint ratio],0.9)</f>
        <v>0.5714285714285714</v>
      </c>
      <c r="AW352" t="b">
        <f>Table67[[#This Row],[Midpoint ratio]]&gt;=Table67[[#This Row],[Threshold of Midpoint ratio]]</f>
        <v>0</v>
      </c>
      <c r="AX352" t="b">
        <f>OR(Table67[[#This Row],[Extreme Response Style]],Table67[[#This Row],[Mid-point Response Style]])</f>
        <v>0</v>
      </c>
      <c r="AY352" t="b">
        <f>OR(Table67[[#This Row],[Delete? (Stage 1)]],Table67[[#This Row],[Delete? (Stage 2)]])</f>
        <v>0</v>
      </c>
      <c r="AZ352" t="s">
        <v>81</v>
      </c>
    </row>
    <row r="353" spans="1:52">
      <c r="A353">
        <f t="shared" si="23"/>
        <v>352</v>
      </c>
      <c r="B353" s="3">
        <v>46042.687650462998</v>
      </c>
      <c r="C353" s="3">
        <v>46042.688449074099</v>
      </c>
      <c r="D353" t="s">
        <v>53</v>
      </c>
      <c r="G353" t="s">
        <v>54</v>
      </c>
      <c r="H353" t="s">
        <v>63</v>
      </c>
      <c r="I353" t="s">
        <v>56</v>
      </c>
      <c r="J353" t="s">
        <v>62</v>
      </c>
      <c r="K353" t="s">
        <v>64</v>
      </c>
      <c r="L353" t="s">
        <v>58</v>
      </c>
      <c r="M353" t="s">
        <v>58</v>
      </c>
      <c r="N353">
        <v>4</v>
      </c>
      <c r="O353">
        <v>3</v>
      </c>
      <c r="P353">
        <v>4</v>
      </c>
      <c r="Q353">
        <v>3</v>
      </c>
      <c r="R353">
        <v>3</v>
      </c>
      <c r="S353">
        <v>3</v>
      </c>
      <c r="T353">
        <v>3</v>
      </c>
      <c r="U353">
        <v>3</v>
      </c>
      <c r="V353">
        <v>4</v>
      </c>
      <c r="W353">
        <v>3</v>
      </c>
      <c r="X353">
        <v>3</v>
      </c>
      <c r="Y353">
        <v>3</v>
      </c>
      <c r="Z353">
        <v>3</v>
      </c>
      <c r="AA353">
        <v>3</v>
      </c>
      <c r="AB353">
        <v>4</v>
      </c>
      <c r="AC353">
        <v>3</v>
      </c>
      <c r="AD353">
        <v>3</v>
      </c>
      <c r="AE353">
        <v>3</v>
      </c>
      <c r="AF353">
        <v>4</v>
      </c>
      <c r="AG353">
        <v>4</v>
      </c>
      <c r="AH353">
        <v>3</v>
      </c>
      <c r="AI353">
        <v>3</v>
      </c>
      <c r="AJ353">
        <v>2</v>
      </c>
      <c r="AK353" t="b">
        <f>Table67[[#This Row],[What is your age?]]&lt;&gt;"18 - 25"</f>
        <v>0</v>
      </c>
      <c r="AL353" t="b">
        <f t="shared" si="20"/>
        <v>0</v>
      </c>
      <c r="AM353" t="b">
        <f t="shared" si="21"/>
        <v>0</v>
      </c>
      <c r="AN353" t="b">
        <f t="shared" si="22"/>
        <v>1</v>
      </c>
      <c r="AO353" t="b">
        <f>OR(Table67[[#This Row],[Ineligible respondents]:[Inconsistent response on opposite question (3)]])</f>
        <v>1</v>
      </c>
      <c r="AP35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53">
        <f>Table67[[#This Row],[Extreme Response]]/21</f>
        <v>0</v>
      </c>
      <c r="AR353">
        <f>_xlfn.PERCENTILE.INC(Table67[Extrem Response Ratio (ERS)],0.9)</f>
        <v>0.61904761904761907</v>
      </c>
      <c r="AS353" t="b">
        <f>Table67[[#This Row],[Extrem Response Ratio (ERS)]]&gt;=Table67[[#This Row],[Threshold of ERS]]</f>
        <v>0</v>
      </c>
      <c r="AT353">
        <f>COUNTIF(Table67[[#This Row],[The mechanism of digital assets is difficult to understand, which discourages me from exploring it (E.g, Tokenization, Blockchain)]:[If I want to try different ways to invest, I will explore digital assets.]], 3)</f>
        <v>15</v>
      </c>
      <c r="AU353">
        <f>Table67[[#This Row],[Midpoint]]/21</f>
        <v>0.7142857142857143</v>
      </c>
      <c r="AV353">
        <f>_xlfn.PERCENTILE.INC(Table67[Midpoint ratio],0.9)</f>
        <v>0.5714285714285714</v>
      </c>
      <c r="AW353" t="b">
        <f>Table67[[#This Row],[Midpoint ratio]]&gt;=Table67[[#This Row],[Threshold of Midpoint ratio]]</f>
        <v>1</v>
      </c>
      <c r="AX353" t="b">
        <f>OR(Table67[[#This Row],[Extreme Response Style]],Table67[[#This Row],[Mid-point Response Style]])</f>
        <v>1</v>
      </c>
      <c r="AY353" t="b">
        <f>OR(Table67[[#This Row],[Delete? (Stage 1)]],Table67[[#This Row],[Delete? (Stage 2)]])</f>
        <v>1</v>
      </c>
      <c r="AZ353" t="s">
        <v>81</v>
      </c>
    </row>
    <row r="354" spans="1:52">
      <c r="A354">
        <f t="shared" si="23"/>
        <v>353</v>
      </c>
      <c r="B354" s="3">
        <v>46042.687708333302</v>
      </c>
      <c r="C354" s="3">
        <v>46042.689340277801</v>
      </c>
      <c r="D354" t="s">
        <v>53</v>
      </c>
      <c r="G354" t="s">
        <v>54</v>
      </c>
      <c r="H354" t="s">
        <v>63</v>
      </c>
      <c r="I354" t="s">
        <v>56</v>
      </c>
      <c r="J354" t="s">
        <v>57</v>
      </c>
      <c r="K354" t="s">
        <v>66</v>
      </c>
      <c r="L354" t="s">
        <v>58</v>
      </c>
      <c r="M354" t="s">
        <v>58</v>
      </c>
      <c r="N354">
        <v>3</v>
      </c>
      <c r="O354">
        <v>1</v>
      </c>
      <c r="P354">
        <v>5</v>
      </c>
      <c r="Q354">
        <v>3</v>
      </c>
      <c r="R354">
        <v>3</v>
      </c>
      <c r="S354">
        <v>3</v>
      </c>
      <c r="T354">
        <v>3</v>
      </c>
      <c r="U354">
        <v>4</v>
      </c>
      <c r="V354">
        <v>5</v>
      </c>
      <c r="W354">
        <v>5</v>
      </c>
      <c r="X354">
        <v>4</v>
      </c>
      <c r="Y354">
        <v>4</v>
      </c>
      <c r="Z354">
        <v>5</v>
      </c>
      <c r="AA354">
        <v>4</v>
      </c>
      <c r="AB354">
        <v>2</v>
      </c>
      <c r="AC354">
        <v>5</v>
      </c>
      <c r="AD354">
        <v>4</v>
      </c>
      <c r="AE354">
        <v>3</v>
      </c>
      <c r="AF354">
        <v>2</v>
      </c>
      <c r="AG354">
        <v>5</v>
      </c>
      <c r="AH354">
        <v>4</v>
      </c>
      <c r="AI354">
        <v>2</v>
      </c>
      <c r="AJ354">
        <v>4</v>
      </c>
      <c r="AK354" t="b">
        <f>Table67[[#This Row],[What is your age?]]&lt;&gt;"18 - 25"</f>
        <v>0</v>
      </c>
      <c r="AL354" t="b">
        <f t="shared" si="20"/>
        <v>0</v>
      </c>
      <c r="AM354" t="b">
        <f t="shared" si="21"/>
        <v>1</v>
      </c>
      <c r="AN354" t="b">
        <f t="shared" si="22"/>
        <v>0</v>
      </c>
      <c r="AO354" t="b">
        <f>OR(Table67[[#This Row],[Ineligible respondents]:[Inconsistent response on opposite question (3)]])</f>
        <v>1</v>
      </c>
      <c r="AP35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354">
        <f>Table67[[#This Row],[Extreme Response]]/21</f>
        <v>0.33333333333333331</v>
      </c>
      <c r="AR354">
        <f>_xlfn.PERCENTILE.INC(Table67[Extrem Response Ratio (ERS)],0.9)</f>
        <v>0.61904761904761907</v>
      </c>
      <c r="AS354" t="b">
        <f>Table67[[#This Row],[Extrem Response Ratio (ERS)]]&gt;=Table67[[#This Row],[Threshold of ERS]]</f>
        <v>0</v>
      </c>
      <c r="AT354">
        <f>COUNTIF(Table67[[#This Row],[The mechanism of digital assets is difficult to understand, which discourages me from exploring it (E.g, Tokenization, Blockchain)]:[If I want to try different ways to invest, I will explore digital assets.]], 3)</f>
        <v>6</v>
      </c>
      <c r="AU354">
        <f>Table67[[#This Row],[Midpoint]]/21</f>
        <v>0.2857142857142857</v>
      </c>
      <c r="AV354">
        <f>_xlfn.PERCENTILE.INC(Table67[Midpoint ratio],0.9)</f>
        <v>0.5714285714285714</v>
      </c>
      <c r="AW354" t="b">
        <f>Table67[[#This Row],[Midpoint ratio]]&gt;=Table67[[#This Row],[Threshold of Midpoint ratio]]</f>
        <v>0</v>
      </c>
      <c r="AX354" t="b">
        <f>OR(Table67[[#This Row],[Extreme Response Style]],Table67[[#This Row],[Mid-point Response Style]])</f>
        <v>0</v>
      </c>
      <c r="AY354" t="b">
        <f>OR(Table67[[#This Row],[Delete? (Stage 1)]],Table67[[#This Row],[Delete? (Stage 2)]])</f>
        <v>1</v>
      </c>
      <c r="AZ354" t="s">
        <v>81</v>
      </c>
    </row>
    <row r="355" spans="1:52">
      <c r="A355">
        <f t="shared" si="23"/>
        <v>354</v>
      </c>
      <c r="B355" s="3">
        <v>46042.688252314802</v>
      </c>
      <c r="C355" s="3">
        <v>46042.692245370403</v>
      </c>
      <c r="D355" t="s">
        <v>53</v>
      </c>
      <c r="G355" t="s">
        <v>54</v>
      </c>
      <c r="H355" t="s">
        <v>55</v>
      </c>
      <c r="I355" t="s">
        <v>56</v>
      </c>
      <c r="J355" t="s">
        <v>57</v>
      </c>
      <c r="K355" t="s">
        <v>57</v>
      </c>
      <c r="L355" t="s">
        <v>58</v>
      </c>
      <c r="M355" t="s">
        <v>58</v>
      </c>
      <c r="N355">
        <v>3</v>
      </c>
      <c r="O355">
        <v>3</v>
      </c>
      <c r="P355">
        <v>5</v>
      </c>
      <c r="Q355">
        <v>4</v>
      </c>
      <c r="R355">
        <v>3</v>
      </c>
      <c r="S355">
        <v>4</v>
      </c>
      <c r="T355">
        <v>1</v>
      </c>
      <c r="U355">
        <v>3</v>
      </c>
      <c r="V355">
        <v>5</v>
      </c>
      <c r="W355">
        <v>5</v>
      </c>
      <c r="X355">
        <v>5</v>
      </c>
      <c r="Y355">
        <v>5</v>
      </c>
      <c r="Z355">
        <v>4</v>
      </c>
      <c r="AA355">
        <v>4</v>
      </c>
      <c r="AB355">
        <v>4</v>
      </c>
      <c r="AC355">
        <v>3</v>
      </c>
      <c r="AD355">
        <v>4</v>
      </c>
      <c r="AE355">
        <v>4</v>
      </c>
      <c r="AF355">
        <v>3</v>
      </c>
      <c r="AG355">
        <v>3</v>
      </c>
      <c r="AH355">
        <v>3</v>
      </c>
      <c r="AI355">
        <v>3</v>
      </c>
      <c r="AJ355">
        <v>3</v>
      </c>
      <c r="AK355" t="b">
        <f>Table67[[#This Row],[What is your age?]]&lt;&gt;"18 - 25"</f>
        <v>0</v>
      </c>
      <c r="AL355" t="b">
        <f t="shared" si="20"/>
        <v>0</v>
      </c>
      <c r="AM355" t="b">
        <f t="shared" si="21"/>
        <v>0</v>
      </c>
      <c r="AN355" t="b">
        <f t="shared" si="22"/>
        <v>0</v>
      </c>
      <c r="AO355" t="b">
        <f>OR(Table67[[#This Row],[Ineligible respondents]:[Inconsistent response on opposite question (3)]])</f>
        <v>0</v>
      </c>
      <c r="AP35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355">
        <f>Table67[[#This Row],[Extreme Response]]/21</f>
        <v>0.2857142857142857</v>
      </c>
      <c r="AR355">
        <f>_xlfn.PERCENTILE.INC(Table67[Extrem Response Ratio (ERS)],0.9)</f>
        <v>0.61904761904761907</v>
      </c>
      <c r="AS355" t="b">
        <f>Table67[[#This Row],[Extrem Response Ratio (ERS)]]&gt;=Table67[[#This Row],[Threshold of ERS]]</f>
        <v>0</v>
      </c>
      <c r="AT355">
        <f>COUNTIF(Table67[[#This Row],[The mechanism of digital assets is difficult to understand, which discourages me from exploring it (E.g, Tokenization, Blockchain)]:[If I want to try different ways to invest, I will explore digital assets.]], 3)</f>
        <v>8</v>
      </c>
      <c r="AU355">
        <f>Table67[[#This Row],[Midpoint]]/21</f>
        <v>0.38095238095238093</v>
      </c>
      <c r="AV355">
        <f>_xlfn.PERCENTILE.INC(Table67[Midpoint ratio],0.9)</f>
        <v>0.5714285714285714</v>
      </c>
      <c r="AW355" t="b">
        <f>Table67[[#This Row],[Midpoint ratio]]&gt;=Table67[[#This Row],[Threshold of Midpoint ratio]]</f>
        <v>0</v>
      </c>
      <c r="AX355" t="b">
        <f>OR(Table67[[#This Row],[Extreme Response Style]],Table67[[#This Row],[Mid-point Response Style]])</f>
        <v>0</v>
      </c>
      <c r="AY355" t="b">
        <f>OR(Table67[[#This Row],[Delete? (Stage 1)]],Table67[[#This Row],[Delete? (Stage 2)]])</f>
        <v>0</v>
      </c>
      <c r="AZ355" t="s">
        <v>81</v>
      </c>
    </row>
    <row r="356" spans="1:52">
      <c r="A356">
        <f t="shared" si="23"/>
        <v>355</v>
      </c>
      <c r="B356" s="3">
        <v>46042.688958333303</v>
      </c>
      <c r="C356" s="3">
        <v>46042.691053240698</v>
      </c>
      <c r="D356" t="s">
        <v>53</v>
      </c>
      <c r="G356" t="s">
        <v>54</v>
      </c>
      <c r="H356" t="s">
        <v>55</v>
      </c>
      <c r="I356" t="s">
        <v>56</v>
      </c>
      <c r="J356" t="s">
        <v>62</v>
      </c>
      <c r="K356" t="s">
        <v>57</v>
      </c>
      <c r="L356" t="s">
        <v>58</v>
      </c>
      <c r="M356" t="s">
        <v>61</v>
      </c>
      <c r="N356">
        <v>3</v>
      </c>
      <c r="O356">
        <v>2</v>
      </c>
      <c r="P356">
        <v>4</v>
      </c>
      <c r="Q356">
        <v>3</v>
      </c>
      <c r="R356">
        <v>4</v>
      </c>
      <c r="S356">
        <v>4</v>
      </c>
      <c r="T356">
        <v>3</v>
      </c>
      <c r="U356">
        <v>4</v>
      </c>
      <c r="V356">
        <v>5</v>
      </c>
      <c r="W356">
        <v>5</v>
      </c>
      <c r="X356">
        <v>4</v>
      </c>
      <c r="Y356">
        <v>5</v>
      </c>
      <c r="Z356">
        <v>5</v>
      </c>
      <c r="AA356">
        <v>4</v>
      </c>
      <c r="AB356">
        <v>4</v>
      </c>
      <c r="AC356">
        <v>4</v>
      </c>
      <c r="AD356">
        <v>5</v>
      </c>
      <c r="AE356">
        <v>2</v>
      </c>
      <c r="AF356">
        <v>3</v>
      </c>
      <c r="AG356">
        <v>3</v>
      </c>
      <c r="AH356">
        <v>4</v>
      </c>
      <c r="AI356">
        <v>2</v>
      </c>
      <c r="AJ356">
        <v>3</v>
      </c>
      <c r="AK356" t="b">
        <f>Table67[[#This Row],[What is your age?]]&lt;&gt;"18 - 25"</f>
        <v>0</v>
      </c>
      <c r="AL356" t="b">
        <f t="shared" si="20"/>
        <v>0</v>
      </c>
      <c r="AM356" t="b">
        <f t="shared" si="21"/>
        <v>0</v>
      </c>
      <c r="AN356" t="b">
        <f t="shared" si="22"/>
        <v>1</v>
      </c>
      <c r="AO356" t="b">
        <f>OR(Table67[[#This Row],[Ineligible respondents]:[Inconsistent response on opposite question (3)]])</f>
        <v>1</v>
      </c>
      <c r="AP35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356">
        <f>Table67[[#This Row],[Extreme Response]]/21</f>
        <v>0.23809523809523808</v>
      </c>
      <c r="AR356">
        <f>_xlfn.PERCENTILE.INC(Table67[Extrem Response Ratio (ERS)],0.9)</f>
        <v>0.61904761904761907</v>
      </c>
      <c r="AS356" t="b">
        <f>Table67[[#This Row],[Extrem Response Ratio (ERS)]]&gt;=Table67[[#This Row],[Threshold of ERS]]</f>
        <v>0</v>
      </c>
      <c r="AT356">
        <f>COUNTIF(Table67[[#This Row],[The mechanism of digital assets is difficult to understand, which discourages me from exploring it (E.g, Tokenization, Blockchain)]:[If I want to try different ways to invest, I will explore digital assets.]], 3)</f>
        <v>5</v>
      </c>
      <c r="AU356">
        <f>Table67[[#This Row],[Midpoint]]/21</f>
        <v>0.23809523809523808</v>
      </c>
      <c r="AV356">
        <f>_xlfn.PERCENTILE.INC(Table67[Midpoint ratio],0.9)</f>
        <v>0.5714285714285714</v>
      </c>
      <c r="AW356" t="b">
        <f>Table67[[#This Row],[Midpoint ratio]]&gt;=Table67[[#This Row],[Threshold of Midpoint ratio]]</f>
        <v>0</v>
      </c>
      <c r="AX356" t="b">
        <f>OR(Table67[[#This Row],[Extreme Response Style]],Table67[[#This Row],[Mid-point Response Style]])</f>
        <v>0</v>
      </c>
      <c r="AY356" t="b">
        <f>OR(Table67[[#This Row],[Delete? (Stage 1)]],Table67[[#This Row],[Delete? (Stage 2)]])</f>
        <v>1</v>
      </c>
      <c r="AZ356" t="s">
        <v>81</v>
      </c>
    </row>
    <row r="357" spans="1:52">
      <c r="A357">
        <f t="shared" si="23"/>
        <v>356</v>
      </c>
      <c r="B357" s="3">
        <v>46042.689317129603</v>
      </c>
      <c r="C357" s="3">
        <v>46042.691805555602</v>
      </c>
      <c r="D357" t="s">
        <v>53</v>
      </c>
      <c r="G357" t="s">
        <v>54</v>
      </c>
      <c r="H357" t="s">
        <v>63</v>
      </c>
      <c r="I357" t="s">
        <v>56</v>
      </c>
      <c r="J357" t="s">
        <v>62</v>
      </c>
      <c r="K357" t="s">
        <v>57</v>
      </c>
      <c r="L357" t="s">
        <v>58</v>
      </c>
      <c r="M357" t="s">
        <v>58</v>
      </c>
      <c r="N357">
        <v>3</v>
      </c>
      <c r="O357">
        <v>2</v>
      </c>
      <c r="P357">
        <v>4</v>
      </c>
      <c r="Q357">
        <v>4</v>
      </c>
      <c r="R357">
        <v>4</v>
      </c>
      <c r="S357">
        <v>5</v>
      </c>
      <c r="T357">
        <v>4</v>
      </c>
      <c r="U357">
        <v>5</v>
      </c>
      <c r="V357">
        <v>1</v>
      </c>
      <c r="W357">
        <v>1</v>
      </c>
      <c r="X357">
        <v>4</v>
      </c>
      <c r="Y357">
        <v>1</v>
      </c>
      <c r="Z357">
        <v>5</v>
      </c>
      <c r="AA357">
        <v>5</v>
      </c>
      <c r="AB357">
        <v>3</v>
      </c>
      <c r="AC357">
        <v>5</v>
      </c>
      <c r="AD357">
        <v>2</v>
      </c>
      <c r="AE357">
        <v>2</v>
      </c>
      <c r="AF357">
        <v>3</v>
      </c>
      <c r="AG357">
        <v>3</v>
      </c>
      <c r="AH357">
        <v>3</v>
      </c>
      <c r="AI357">
        <v>3</v>
      </c>
      <c r="AJ357">
        <v>3</v>
      </c>
      <c r="AK357" t="b">
        <f>Table67[[#This Row],[What is your age?]]&lt;&gt;"18 - 25"</f>
        <v>0</v>
      </c>
      <c r="AL357" t="b">
        <f t="shared" si="20"/>
        <v>0</v>
      </c>
      <c r="AM357" t="b">
        <f t="shared" si="21"/>
        <v>0</v>
      </c>
      <c r="AN357" t="b">
        <f t="shared" si="22"/>
        <v>0</v>
      </c>
      <c r="AO357" t="b">
        <f>OR(Table67[[#This Row],[Ineligible respondents]:[Inconsistent response on opposite question (3)]])</f>
        <v>0</v>
      </c>
      <c r="AP35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357">
        <f>Table67[[#This Row],[Extreme Response]]/21</f>
        <v>0.38095238095238093</v>
      </c>
      <c r="AR357">
        <f>_xlfn.PERCENTILE.INC(Table67[Extrem Response Ratio (ERS)],0.9)</f>
        <v>0.61904761904761907</v>
      </c>
      <c r="AS357" t="b">
        <f>Table67[[#This Row],[Extrem Response Ratio (ERS)]]&gt;=Table67[[#This Row],[Threshold of ERS]]</f>
        <v>0</v>
      </c>
      <c r="AT357">
        <f>COUNTIF(Table67[[#This Row],[The mechanism of digital assets is difficult to understand, which discourages me from exploring it (E.g, Tokenization, Blockchain)]:[If I want to try different ways to invest, I will explore digital assets.]], 3)</f>
        <v>5</v>
      </c>
      <c r="AU357">
        <f>Table67[[#This Row],[Midpoint]]/21</f>
        <v>0.23809523809523808</v>
      </c>
      <c r="AV357">
        <f>_xlfn.PERCENTILE.INC(Table67[Midpoint ratio],0.9)</f>
        <v>0.5714285714285714</v>
      </c>
      <c r="AW357" t="b">
        <f>Table67[[#This Row],[Midpoint ratio]]&gt;=Table67[[#This Row],[Threshold of Midpoint ratio]]</f>
        <v>0</v>
      </c>
      <c r="AX357" t="b">
        <f>OR(Table67[[#This Row],[Extreme Response Style]],Table67[[#This Row],[Mid-point Response Style]])</f>
        <v>0</v>
      </c>
      <c r="AY357" t="b">
        <f>OR(Table67[[#This Row],[Delete? (Stage 1)]],Table67[[#This Row],[Delete? (Stage 2)]])</f>
        <v>0</v>
      </c>
      <c r="AZ357" t="s">
        <v>81</v>
      </c>
    </row>
    <row r="358" spans="1:52">
      <c r="A358">
        <f t="shared" si="23"/>
        <v>357</v>
      </c>
      <c r="B358" s="3">
        <v>46042.689687500002</v>
      </c>
      <c r="C358" s="3">
        <v>46042.692499999997</v>
      </c>
      <c r="D358" t="s">
        <v>53</v>
      </c>
      <c r="G358" t="s">
        <v>54</v>
      </c>
      <c r="H358" t="s">
        <v>55</v>
      </c>
      <c r="I358" t="s">
        <v>56</v>
      </c>
      <c r="J358" t="s">
        <v>57</v>
      </c>
      <c r="K358" t="s">
        <v>57</v>
      </c>
      <c r="L358" t="s">
        <v>61</v>
      </c>
      <c r="M358" t="s">
        <v>61</v>
      </c>
      <c r="N358">
        <v>1</v>
      </c>
      <c r="O358">
        <v>2</v>
      </c>
      <c r="P358">
        <v>1</v>
      </c>
      <c r="Q358">
        <v>3</v>
      </c>
      <c r="R358">
        <v>1</v>
      </c>
      <c r="S358">
        <v>1</v>
      </c>
      <c r="T358">
        <v>1</v>
      </c>
      <c r="U358">
        <v>3</v>
      </c>
      <c r="V358">
        <v>5</v>
      </c>
      <c r="W358">
        <v>4</v>
      </c>
      <c r="X358">
        <v>3</v>
      </c>
      <c r="Y358">
        <v>5</v>
      </c>
      <c r="Z358">
        <v>1</v>
      </c>
      <c r="AA358">
        <v>1</v>
      </c>
      <c r="AB358">
        <v>1</v>
      </c>
      <c r="AC358">
        <v>1</v>
      </c>
      <c r="AD358">
        <v>1</v>
      </c>
      <c r="AE358">
        <v>1</v>
      </c>
      <c r="AF358">
        <v>4</v>
      </c>
      <c r="AG358">
        <v>2</v>
      </c>
      <c r="AH358">
        <v>5</v>
      </c>
      <c r="AI358">
        <v>1</v>
      </c>
      <c r="AJ358">
        <v>2</v>
      </c>
      <c r="AK358" t="b">
        <f>Table67[[#This Row],[What is your age?]]&lt;&gt;"18 - 25"</f>
        <v>0</v>
      </c>
      <c r="AL358" t="b">
        <f t="shared" si="20"/>
        <v>0</v>
      </c>
      <c r="AM358" t="b">
        <f t="shared" si="21"/>
        <v>0</v>
      </c>
      <c r="AN358" t="b">
        <f t="shared" si="22"/>
        <v>0</v>
      </c>
      <c r="AO358" t="b">
        <f>OR(Table67[[#This Row],[Ineligible respondents]:[Inconsistent response on opposite question (3)]])</f>
        <v>0</v>
      </c>
      <c r="AP35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358">
        <f>Table67[[#This Row],[Extreme Response]]/21</f>
        <v>0.66666666666666663</v>
      </c>
      <c r="AR358">
        <f>_xlfn.PERCENTILE.INC(Table67[Extrem Response Ratio (ERS)],0.9)</f>
        <v>0.61904761904761907</v>
      </c>
      <c r="AS358" t="b">
        <f>Table67[[#This Row],[Extrem Response Ratio (ERS)]]&gt;=Table67[[#This Row],[Threshold of ERS]]</f>
        <v>1</v>
      </c>
      <c r="AT358">
        <f>COUNTIF(Table67[[#This Row],[The mechanism of digital assets is difficult to understand, which discourages me from exploring it (E.g, Tokenization, Blockchain)]:[If I want to try different ways to invest, I will explore digital assets.]], 3)</f>
        <v>3</v>
      </c>
      <c r="AU358">
        <f>Table67[[#This Row],[Midpoint]]/21</f>
        <v>0.14285714285714285</v>
      </c>
      <c r="AV358">
        <f>_xlfn.PERCENTILE.INC(Table67[Midpoint ratio],0.9)</f>
        <v>0.5714285714285714</v>
      </c>
      <c r="AW358" t="b">
        <f>Table67[[#This Row],[Midpoint ratio]]&gt;=Table67[[#This Row],[Threshold of Midpoint ratio]]</f>
        <v>0</v>
      </c>
      <c r="AX358" t="b">
        <f>OR(Table67[[#This Row],[Extreme Response Style]],Table67[[#This Row],[Mid-point Response Style]])</f>
        <v>1</v>
      </c>
      <c r="AY358" t="b">
        <f>OR(Table67[[#This Row],[Delete? (Stage 1)]],Table67[[#This Row],[Delete? (Stage 2)]])</f>
        <v>1</v>
      </c>
      <c r="AZ358" t="s">
        <v>81</v>
      </c>
    </row>
    <row r="359" spans="1:52">
      <c r="A359">
        <f t="shared" si="23"/>
        <v>358</v>
      </c>
      <c r="B359" s="3">
        <v>46042.690405092602</v>
      </c>
      <c r="C359" s="3">
        <v>46042.694571759297</v>
      </c>
      <c r="D359" t="s">
        <v>53</v>
      </c>
      <c r="G359" t="s">
        <v>54</v>
      </c>
      <c r="H359" t="s">
        <v>63</v>
      </c>
      <c r="I359" t="s">
        <v>56</v>
      </c>
      <c r="J359" t="s">
        <v>57</v>
      </c>
      <c r="K359" t="s">
        <v>57</v>
      </c>
      <c r="L359" t="s">
        <v>58</v>
      </c>
      <c r="M359" t="s">
        <v>58</v>
      </c>
      <c r="N359">
        <v>3</v>
      </c>
      <c r="O359">
        <v>3</v>
      </c>
      <c r="P359">
        <v>2</v>
      </c>
      <c r="Q359">
        <v>3</v>
      </c>
      <c r="R359">
        <v>3</v>
      </c>
      <c r="S359">
        <v>3</v>
      </c>
      <c r="T359">
        <v>3</v>
      </c>
      <c r="U359">
        <v>3</v>
      </c>
      <c r="V359">
        <v>3</v>
      </c>
      <c r="W359">
        <v>3</v>
      </c>
      <c r="X359">
        <v>4</v>
      </c>
      <c r="Y359">
        <v>3</v>
      </c>
      <c r="Z359">
        <v>4</v>
      </c>
      <c r="AA359">
        <v>4</v>
      </c>
      <c r="AB359">
        <v>4</v>
      </c>
      <c r="AC359">
        <v>4</v>
      </c>
      <c r="AD359">
        <v>4</v>
      </c>
      <c r="AE359">
        <v>4</v>
      </c>
      <c r="AF359">
        <v>2</v>
      </c>
      <c r="AG359">
        <v>4</v>
      </c>
      <c r="AH359">
        <v>4</v>
      </c>
      <c r="AI359">
        <v>2</v>
      </c>
      <c r="AJ359">
        <v>4</v>
      </c>
      <c r="AK359" t="b">
        <f>Table67[[#This Row],[What is your age?]]&lt;&gt;"18 - 25"</f>
        <v>0</v>
      </c>
      <c r="AL359" t="b">
        <f t="shared" si="20"/>
        <v>0</v>
      </c>
      <c r="AM359" t="b">
        <f t="shared" si="21"/>
        <v>1</v>
      </c>
      <c r="AN359" t="b">
        <f t="shared" si="22"/>
        <v>0</v>
      </c>
      <c r="AO359" t="b">
        <f>OR(Table67[[#This Row],[Ineligible respondents]:[Inconsistent response on opposite question (3)]])</f>
        <v>1</v>
      </c>
      <c r="AP35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59">
        <f>Table67[[#This Row],[Extreme Response]]/21</f>
        <v>0</v>
      </c>
      <c r="AR359">
        <f>_xlfn.PERCENTILE.INC(Table67[Extrem Response Ratio (ERS)],0.9)</f>
        <v>0.61904761904761907</v>
      </c>
      <c r="AS359" t="b">
        <f>Table67[[#This Row],[Extrem Response Ratio (ERS)]]&gt;=Table67[[#This Row],[Threshold of ERS]]</f>
        <v>0</v>
      </c>
      <c r="AT359">
        <f>COUNTIF(Table67[[#This Row],[The mechanism of digital assets is difficult to understand, which discourages me from exploring it (E.g, Tokenization, Blockchain)]:[If I want to try different ways to invest, I will explore digital assets.]], 3)</f>
        <v>10</v>
      </c>
      <c r="AU359">
        <f>Table67[[#This Row],[Midpoint]]/21</f>
        <v>0.47619047619047616</v>
      </c>
      <c r="AV359">
        <f>_xlfn.PERCENTILE.INC(Table67[Midpoint ratio],0.9)</f>
        <v>0.5714285714285714</v>
      </c>
      <c r="AW359" t="b">
        <f>Table67[[#This Row],[Midpoint ratio]]&gt;=Table67[[#This Row],[Threshold of Midpoint ratio]]</f>
        <v>0</v>
      </c>
      <c r="AX359" t="b">
        <f>OR(Table67[[#This Row],[Extreme Response Style]],Table67[[#This Row],[Mid-point Response Style]])</f>
        <v>0</v>
      </c>
      <c r="AY359" t="b">
        <f>OR(Table67[[#This Row],[Delete? (Stage 1)]],Table67[[#This Row],[Delete? (Stage 2)]])</f>
        <v>1</v>
      </c>
      <c r="AZ359" t="s">
        <v>81</v>
      </c>
    </row>
    <row r="360" spans="1:52">
      <c r="A360">
        <f t="shared" si="23"/>
        <v>359</v>
      </c>
      <c r="B360" s="3">
        <v>46042.693287037</v>
      </c>
      <c r="C360" s="3">
        <v>46042.694479166697</v>
      </c>
      <c r="D360" t="s">
        <v>53</v>
      </c>
      <c r="G360" t="s">
        <v>54</v>
      </c>
      <c r="H360" t="s">
        <v>63</v>
      </c>
      <c r="I360" t="s">
        <v>71</v>
      </c>
      <c r="J360" t="s">
        <v>62</v>
      </c>
      <c r="K360" t="s">
        <v>57</v>
      </c>
      <c r="L360" t="s">
        <v>58</v>
      </c>
      <c r="M360" t="s">
        <v>61</v>
      </c>
      <c r="N360">
        <v>4</v>
      </c>
      <c r="O360">
        <v>2</v>
      </c>
      <c r="P360">
        <v>3</v>
      </c>
      <c r="Q360">
        <v>4</v>
      </c>
      <c r="R360">
        <v>4</v>
      </c>
      <c r="S360">
        <v>3</v>
      </c>
      <c r="T360">
        <v>4</v>
      </c>
      <c r="U360">
        <v>4</v>
      </c>
      <c r="V360">
        <v>4</v>
      </c>
      <c r="W360">
        <v>5</v>
      </c>
      <c r="X360">
        <v>4</v>
      </c>
      <c r="Y360">
        <v>4</v>
      </c>
      <c r="Z360">
        <v>4</v>
      </c>
      <c r="AA360">
        <v>4</v>
      </c>
      <c r="AB360">
        <v>3</v>
      </c>
      <c r="AC360">
        <v>4</v>
      </c>
      <c r="AD360">
        <v>4</v>
      </c>
      <c r="AE360">
        <v>4</v>
      </c>
      <c r="AF360">
        <v>2</v>
      </c>
      <c r="AG360">
        <v>2</v>
      </c>
      <c r="AH360">
        <v>2</v>
      </c>
      <c r="AI360">
        <v>4</v>
      </c>
      <c r="AJ360">
        <v>4</v>
      </c>
      <c r="AK360" t="b">
        <f>Table67[[#This Row],[What is your age?]]&lt;&gt;"18 - 25"</f>
        <v>0</v>
      </c>
      <c r="AL360" t="b">
        <f t="shared" si="20"/>
        <v>0</v>
      </c>
      <c r="AM360" t="b">
        <f t="shared" si="21"/>
        <v>1</v>
      </c>
      <c r="AN360" t="b">
        <f t="shared" si="22"/>
        <v>0</v>
      </c>
      <c r="AO360" t="b">
        <f>OR(Table67[[#This Row],[Ineligible respondents]:[Inconsistent response on opposite question (3)]])</f>
        <v>1</v>
      </c>
      <c r="AP36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360">
        <f>Table67[[#This Row],[Extreme Response]]/21</f>
        <v>4.7619047619047616E-2</v>
      </c>
      <c r="AR360">
        <f>_xlfn.PERCENTILE.INC(Table67[Extrem Response Ratio (ERS)],0.9)</f>
        <v>0.61904761904761907</v>
      </c>
      <c r="AS360" t="b">
        <f>Table67[[#This Row],[Extrem Response Ratio (ERS)]]&gt;=Table67[[#This Row],[Threshold of ERS]]</f>
        <v>0</v>
      </c>
      <c r="AT360">
        <f>COUNTIF(Table67[[#This Row],[The mechanism of digital assets is difficult to understand, which discourages me from exploring it (E.g, Tokenization, Blockchain)]:[If I want to try different ways to invest, I will explore digital assets.]], 3)</f>
        <v>3</v>
      </c>
      <c r="AU360">
        <f>Table67[[#This Row],[Midpoint]]/21</f>
        <v>0.14285714285714285</v>
      </c>
      <c r="AV360">
        <f>_xlfn.PERCENTILE.INC(Table67[Midpoint ratio],0.9)</f>
        <v>0.5714285714285714</v>
      </c>
      <c r="AW360" t="b">
        <f>Table67[[#This Row],[Midpoint ratio]]&gt;=Table67[[#This Row],[Threshold of Midpoint ratio]]</f>
        <v>0</v>
      </c>
      <c r="AX360" t="b">
        <f>OR(Table67[[#This Row],[Extreme Response Style]],Table67[[#This Row],[Mid-point Response Style]])</f>
        <v>0</v>
      </c>
      <c r="AY360" t="b">
        <f>OR(Table67[[#This Row],[Delete? (Stage 1)]],Table67[[#This Row],[Delete? (Stage 2)]])</f>
        <v>1</v>
      </c>
      <c r="AZ360" t="s">
        <v>81</v>
      </c>
    </row>
    <row r="361" spans="1:52">
      <c r="A361">
        <f t="shared" si="23"/>
        <v>360</v>
      </c>
      <c r="B361" s="3">
        <v>46042.693923611099</v>
      </c>
      <c r="C361" s="3">
        <v>46042.699062500003</v>
      </c>
      <c r="D361" t="s">
        <v>53</v>
      </c>
      <c r="G361" t="s">
        <v>54</v>
      </c>
      <c r="H361" t="s">
        <v>55</v>
      </c>
      <c r="I361" t="s">
        <v>71</v>
      </c>
      <c r="J361" t="s">
        <v>62</v>
      </c>
      <c r="K361" t="s">
        <v>57</v>
      </c>
      <c r="L361" t="s">
        <v>58</v>
      </c>
      <c r="M361" t="s">
        <v>58</v>
      </c>
      <c r="N361">
        <v>4</v>
      </c>
      <c r="O361">
        <v>4</v>
      </c>
      <c r="P361">
        <v>5</v>
      </c>
      <c r="Q361">
        <v>3</v>
      </c>
      <c r="R361">
        <v>3</v>
      </c>
      <c r="S361">
        <v>5</v>
      </c>
      <c r="T361">
        <v>2</v>
      </c>
      <c r="U361">
        <v>5</v>
      </c>
      <c r="V361">
        <v>5</v>
      </c>
      <c r="W361">
        <v>5</v>
      </c>
      <c r="X361">
        <v>2</v>
      </c>
      <c r="Y361">
        <v>4</v>
      </c>
      <c r="Z361">
        <v>3</v>
      </c>
      <c r="AA361">
        <v>4</v>
      </c>
      <c r="AB361">
        <v>3</v>
      </c>
      <c r="AC361">
        <v>4</v>
      </c>
      <c r="AD361">
        <v>2</v>
      </c>
      <c r="AE361">
        <v>2</v>
      </c>
      <c r="AF361">
        <v>3</v>
      </c>
      <c r="AG361">
        <v>4</v>
      </c>
      <c r="AH361">
        <v>2</v>
      </c>
      <c r="AI361">
        <v>4</v>
      </c>
      <c r="AJ361">
        <v>3</v>
      </c>
      <c r="AK361" t="b">
        <f>Table67[[#This Row],[What is your age?]]&lt;&gt;"18 - 25"</f>
        <v>0</v>
      </c>
      <c r="AL361" t="b">
        <f t="shared" si="20"/>
        <v>0</v>
      </c>
      <c r="AM361" t="b">
        <f t="shared" si="21"/>
        <v>0</v>
      </c>
      <c r="AN361" t="b">
        <f t="shared" si="22"/>
        <v>0</v>
      </c>
      <c r="AO361" t="b">
        <f>OR(Table67[[#This Row],[Ineligible respondents]:[Inconsistent response on opposite question (3)]])</f>
        <v>0</v>
      </c>
      <c r="AP36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361">
        <f>Table67[[#This Row],[Extreme Response]]/21</f>
        <v>0.23809523809523808</v>
      </c>
      <c r="AR361">
        <f>_xlfn.PERCENTILE.INC(Table67[Extrem Response Ratio (ERS)],0.9)</f>
        <v>0.61904761904761907</v>
      </c>
      <c r="AS361" t="b">
        <f>Table67[[#This Row],[Extrem Response Ratio (ERS)]]&gt;=Table67[[#This Row],[Threshold of ERS]]</f>
        <v>0</v>
      </c>
      <c r="AT361">
        <f>COUNTIF(Table67[[#This Row],[The mechanism of digital assets is difficult to understand, which discourages me from exploring it (E.g, Tokenization, Blockchain)]:[If I want to try different ways to invest, I will explore digital assets.]], 3)</f>
        <v>5</v>
      </c>
      <c r="AU361">
        <f>Table67[[#This Row],[Midpoint]]/21</f>
        <v>0.23809523809523808</v>
      </c>
      <c r="AV361">
        <f>_xlfn.PERCENTILE.INC(Table67[Midpoint ratio],0.9)</f>
        <v>0.5714285714285714</v>
      </c>
      <c r="AW361" t="b">
        <f>Table67[[#This Row],[Midpoint ratio]]&gt;=Table67[[#This Row],[Threshold of Midpoint ratio]]</f>
        <v>0</v>
      </c>
      <c r="AX361" t="b">
        <f>OR(Table67[[#This Row],[Extreme Response Style]],Table67[[#This Row],[Mid-point Response Style]])</f>
        <v>0</v>
      </c>
      <c r="AY361" t="b">
        <f>OR(Table67[[#This Row],[Delete? (Stage 1)]],Table67[[#This Row],[Delete? (Stage 2)]])</f>
        <v>0</v>
      </c>
      <c r="AZ361" t="s">
        <v>81</v>
      </c>
    </row>
    <row r="362" spans="1:52">
      <c r="A362">
        <f t="shared" si="23"/>
        <v>361</v>
      </c>
      <c r="B362" s="3">
        <v>46042.699884259302</v>
      </c>
      <c r="C362" s="3">
        <v>46042.7038888889</v>
      </c>
      <c r="D362" t="s">
        <v>53</v>
      </c>
      <c r="G362" t="s">
        <v>54</v>
      </c>
      <c r="H362" t="s">
        <v>63</v>
      </c>
      <c r="I362" t="s">
        <v>56</v>
      </c>
      <c r="J362" t="s">
        <v>64</v>
      </c>
      <c r="K362" t="s">
        <v>62</v>
      </c>
      <c r="L362" t="s">
        <v>58</v>
      </c>
      <c r="M362" t="s">
        <v>58</v>
      </c>
      <c r="N362">
        <v>5</v>
      </c>
      <c r="O362">
        <v>3</v>
      </c>
      <c r="P362">
        <v>3</v>
      </c>
      <c r="Q362">
        <v>4</v>
      </c>
      <c r="R362">
        <v>4</v>
      </c>
      <c r="S362">
        <v>5</v>
      </c>
      <c r="T362">
        <v>3</v>
      </c>
      <c r="U362">
        <v>2</v>
      </c>
      <c r="V362">
        <v>4</v>
      </c>
      <c r="W362">
        <v>5</v>
      </c>
      <c r="X362">
        <v>5</v>
      </c>
      <c r="Y362">
        <v>5</v>
      </c>
      <c r="Z362">
        <v>4</v>
      </c>
      <c r="AA362">
        <v>4</v>
      </c>
      <c r="AB362">
        <v>2</v>
      </c>
      <c r="AC362">
        <v>3</v>
      </c>
      <c r="AD362">
        <v>3</v>
      </c>
      <c r="AE362">
        <v>4</v>
      </c>
      <c r="AF362">
        <v>4</v>
      </c>
      <c r="AG362">
        <v>3</v>
      </c>
      <c r="AH362">
        <v>4</v>
      </c>
      <c r="AI362">
        <v>2</v>
      </c>
      <c r="AJ362">
        <v>2</v>
      </c>
      <c r="AK362" t="b">
        <f>Table67[[#This Row],[What is your age?]]&lt;&gt;"18 - 25"</f>
        <v>0</v>
      </c>
      <c r="AL362" t="b">
        <f t="shared" si="20"/>
        <v>0</v>
      </c>
      <c r="AM362" t="b">
        <f t="shared" si="21"/>
        <v>0</v>
      </c>
      <c r="AN362" t="b">
        <f t="shared" si="22"/>
        <v>1</v>
      </c>
      <c r="AO362" t="b">
        <f>OR(Table67[[#This Row],[Ineligible respondents]:[Inconsistent response on opposite question (3)]])</f>
        <v>1</v>
      </c>
      <c r="AP36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362">
        <f>Table67[[#This Row],[Extreme Response]]/21</f>
        <v>0.23809523809523808</v>
      </c>
      <c r="AR362">
        <f>_xlfn.PERCENTILE.INC(Table67[Extrem Response Ratio (ERS)],0.9)</f>
        <v>0.61904761904761907</v>
      </c>
      <c r="AS362" t="b">
        <f>Table67[[#This Row],[Extrem Response Ratio (ERS)]]&gt;=Table67[[#This Row],[Threshold of ERS]]</f>
        <v>0</v>
      </c>
      <c r="AT362">
        <f>COUNTIF(Table67[[#This Row],[The mechanism of digital assets is difficult to understand, which discourages me from exploring it (E.g, Tokenization, Blockchain)]:[If I want to try different ways to invest, I will explore digital assets.]], 3)</f>
        <v>6</v>
      </c>
      <c r="AU362">
        <f>Table67[[#This Row],[Midpoint]]/21</f>
        <v>0.2857142857142857</v>
      </c>
      <c r="AV362">
        <f>_xlfn.PERCENTILE.INC(Table67[Midpoint ratio],0.9)</f>
        <v>0.5714285714285714</v>
      </c>
      <c r="AW362" t="b">
        <f>Table67[[#This Row],[Midpoint ratio]]&gt;=Table67[[#This Row],[Threshold of Midpoint ratio]]</f>
        <v>0</v>
      </c>
      <c r="AX362" t="b">
        <f>OR(Table67[[#This Row],[Extreme Response Style]],Table67[[#This Row],[Mid-point Response Style]])</f>
        <v>0</v>
      </c>
      <c r="AY362" t="b">
        <f>OR(Table67[[#This Row],[Delete? (Stage 1)]],Table67[[#This Row],[Delete? (Stage 2)]])</f>
        <v>1</v>
      </c>
      <c r="AZ362" t="s">
        <v>81</v>
      </c>
    </row>
    <row r="363" spans="1:52">
      <c r="A363">
        <f t="shared" si="23"/>
        <v>362</v>
      </c>
      <c r="B363" s="3">
        <v>46042.701134259303</v>
      </c>
      <c r="C363" s="3">
        <v>46042.7035300926</v>
      </c>
      <c r="D363" t="s">
        <v>53</v>
      </c>
      <c r="G363" t="s">
        <v>54</v>
      </c>
      <c r="H363" t="s">
        <v>63</v>
      </c>
      <c r="I363" t="s">
        <v>75</v>
      </c>
      <c r="J363" t="s">
        <v>57</v>
      </c>
      <c r="K363" t="s">
        <v>62</v>
      </c>
      <c r="L363" t="s">
        <v>58</v>
      </c>
      <c r="M363" t="s">
        <v>58</v>
      </c>
      <c r="N363">
        <v>4</v>
      </c>
      <c r="O363">
        <v>3</v>
      </c>
      <c r="P363">
        <v>3</v>
      </c>
      <c r="Q363">
        <v>4</v>
      </c>
      <c r="R363">
        <v>4</v>
      </c>
      <c r="S363">
        <v>4</v>
      </c>
      <c r="T363">
        <v>3</v>
      </c>
      <c r="U363">
        <v>4</v>
      </c>
      <c r="V363">
        <v>2</v>
      </c>
      <c r="W363">
        <v>3</v>
      </c>
      <c r="X363">
        <v>4</v>
      </c>
      <c r="Y363">
        <v>4</v>
      </c>
      <c r="Z363">
        <v>4</v>
      </c>
      <c r="AA363">
        <v>3</v>
      </c>
      <c r="AB363">
        <v>4</v>
      </c>
      <c r="AC363">
        <v>2</v>
      </c>
      <c r="AD363">
        <v>3</v>
      </c>
      <c r="AE363">
        <v>4</v>
      </c>
      <c r="AF363">
        <v>2</v>
      </c>
      <c r="AG363">
        <v>2</v>
      </c>
      <c r="AH363">
        <v>4</v>
      </c>
      <c r="AI363">
        <v>2</v>
      </c>
      <c r="AJ363">
        <v>4</v>
      </c>
      <c r="AK363" t="b">
        <f>Table67[[#This Row],[What is your age?]]&lt;&gt;"18 - 25"</f>
        <v>0</v>
      </c>
      <c r="AL363" t="b">
        <f t="shared" si="20"/>
        <v>0</v>
      </c>
      <c r="AM363" t="b">
        <f t="shared" si="21"/>
        <v>0</v>
      </c>
      <c r="AN363" t="b">
        <f t="shared" si="22"/>
        <v>0</v>
      </c>
      <c r="AO363" t="b">
        <f>OR(Table67[[#This Row],[Ineligible respondents]:[Inconsistent response on opposite question (3)]])</f>
        <v>0</v>
      </c>
      <c r="AP36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63">
        <f>Table67[[#This Row],[Extreme Response]]/21</f>
        <v>0</v>
      </c>
      <c r="AR363">
        <f>_xlfn.PERCENTILE.INC(Table67[Extrem Response Ratio (ERS)],0.9)</f>
        <v>0.61904761904761907</v>
      </c>
      <c r="AS363" t="b">
        <f>Table67[[#This Row],[Extrem Response Ratio (ERS)]]&gt;=Table67[[#This Row],[Threshold of ERS]]</f>
        <v>0</v>
      </c>
      <c r="AT363">
        <f>COUNTIF(Table67[[#This Row],[The mechanism of digital assets is difficult to understand, which discourages me from exploring it (E.g, Tokenization, Blockchain)]:[If I want to try different ways to invest, I will explore digital assets.]], 3)</f>
        <v>6</v>
      </c>
      <c r="AU363">
        <f>Table67[[#This Row],[Midpoint]]/21</f>
        <v>0.2857142857142857</v>
      </c>
      <c r="AV363">
        <f>_xlfn.PERCENTILE.INC(Table67[Midpoint ratio],0.9)</f>
        <v>0.5714285714285714</v>
      </c>
      <c r="AW363" t="b">
        <f>Table67[[#This Row],[Midpoint ratio]]&gt;=Table67[[#This Row],[Threshold of Midpoint ratio]]</f>
        <v>0</v>
      </c>
      <c r="AX363" t="b">
        <f>OR(Table67[[#This Row],[Extreme Response Style]],Table67[[#This Row],[Mid-point Response Style]])</f>
        <v>0</v>
      </c>
      <c r="AY363" t="b">
        <f>OR(Table67[[#This Row],[Delete? (Stage 1)]],Table67[[#This Row],[Delete? (Stage 2)]])</f>
        <v>0</v>
      </c>
      <c r="AZ363" t="s">
        <v>81</v>
      </c>
    </row>
    <row r="364" spans="1:52">
      <c r="A364">
        <f t="shared" si="23"/>
        <v>363</v>
      </c>
      <c r="B364" s="3">
        <v>46042.701608796298</v>
      </c>
      <c r="C364" s="3">
        <v>46042.704155092601</v>
      </c>
      <c r="D364" t="s">
        <v>53</v>
      </c>
      <c r="G364" t="s">
        <v>54</v>
      </c>
      <c r="H364" t="s">
        <v>55</v>
      </c>
      <c r="I364" t="s">
        <v>56</v>
      </c>
      <c r="J364" t="s">
        <v>62</v>
      </c>
      <c r="K364" t="s">
        <v>57</v>
      </c>
      <c r="L364" t="s">
        <v>58</v>
      </c>
      <c r="M364" t="s">
        <v>58</v>
      </c>
      <c r="N364">
        <v>3</v>
      </c>
      <c r="O364">
        <v>1</v>
      </c>
      <c r="P364">
        <v>2</v>
      </c>
      <c r="Q364">
        <v>2</v>
      </c>
      <c r="R364">
        <v>2</v>
      </c>
      <c r="S364">
        <v>4</v>
      </c>
      <c r="T364">
        <v>4</v>
      </c>
      <c r="U364">
        <v>5</v>
      </c>
      <c r="V364">
        <v>4</v>
      </c>
      <c r="W364">
        <v>4</v>
      </c>
      <c r="X364">
        <v>4</v>
      </c>
      <c r="Y364">
        <v>4</v>
      </c>
      <c r="Z364">
        <v>4</v>
      </c>
      <c r="AA364">
        <v>4</v>
      </c>
      <c r="AB364">
        <v>2</v>
      </c>
      <c r="AC364">
        <v>4</v>
      </c>
      <c r="AD364">
        <v>2</v>
      </c>
      <c r="AE364">
        <v>2</v>
      </c>
      <c r="AF364">
        <v>2</v>
      </c>
      <c r="AG364">
        <v>2</v>
      </c>
      <c r="AH364">
        <v>3</v>
      </c>
      <c r="AI364">
        <v>3</v>
      </c>
      <c r="AJ364">
        <v>4</v>
      </c>
      <c r="AK364" t="b">
        <f>Table67[[#This Row],[What is your age?]]&lt;&gt;"18 - 25"</f>
        <v>0</v>
      </c>
      <c r="AL364" t="b">
        <f t="shared" si="20"/>
        <v>0</v>
      </c>
      <c r="AM364" t="b">
        <f t="shared" si="21"/>
        <v>0</v>
      </c>
      <c r="AN364" t="b">
        <f t="shared" si="22"/>
        <v>1</v>
      </c>
      <c r="AO364" t="b">
        <f>OR(Table67[[#This Row],[Ineligible respondents]:[Inconsistent response on opposite question (3)]])</f>
        <v>1</v>
      </c>
      <c r="AP36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364">
        <f>Table67[[#This Row],[Extreme Response]]/21</f>
        <v>9.5238095238095233E-2</v>
      </c>
      <c r="AR364">
        <f>_xlfn.PERCENTILE.INC(Table67[Extrem Response Ratio (ERS)],0.9)</f>
        <v>0.61904761904761907</v>
      </c>
      <c r="AS364" t="b">
        <f>Table67[[#This Row],[Extrem Response Ratio (ERS)]]&gt;=Table67[[#This Row],[Threshold of ERS]]</f>
        <v>0</v>
      </c>
      <c r="AT364">
        <f>COUNTIF(Table67[[#This Row],[The mechanism of digital assets is difficult to understand, which discourages me from exploring it (E.g, Tokenization, Blockchain)]:[If I want to try different ways to invest, I will explore digital assets.]], 3)</f>
        <v>2</v>
      </c>
      <c r="AU364">
        <f>Table67[[#This Row],[Midpoint]]/21</f>
        <v>9.5238095238095233E-2</v>
      </c>
      <c r="AV364">
        <f>_xlfn.PERCENTILE.INC(Table67[Midpoint ratio],0.9)</f>
        <v>0.5714285714285714</v>
      </c>
      <c r="AW364" t="b">
        <f>Table67[[#This Row],[Midpoint ratio]]&gt;=Table67[[#This Row],[Threshold of Midpoint ratio]]</f>
        <v>0</v>
      </c>
      <c r="AX364" t="b">
        <f>OR(Table67[[#This Row],[Extreme Response Style]],Table67[[#This Row],[Mid-point Response Style]])</f>
        <v>0</v>
      </c>
      <c r="AY364" t="b">
        <f>OR(Table67[[#This Row],[Delete? (Stage 1)]],Table67[[#This Row],[Delete? (Stage 2)]])</f>
        <v>1</v>
      </c>
      <c r="AZ364" t="s">
        <v>81</v>
      </c>
    </row>
    <row r="365" spans="1:52">
      <c r="A365">
        <f t="shared" si="23"/>
        <v>364</v>
      </c>
      <c r="B365" s="3">
        <v>46042.704016203701</v>
      </c>
      <c r="C365" s="3">
        <v>46042.705613425896</v>
      </c>
      <c r="D365" t="s">
        <v>53</v>
      </c>
      <c r="G365" t="s">
        <v>54</v>
      </c>
      <c r="H365" t="s">
        <v>63</v>
      </c>
      <c r="I365" t="s">
        <v>56</v>
      </c>
      <c r="J365" t="s">
        <v>60</v>
      </c>
      <c r="K365" t="s">
        <v>57</v>
      </c>
      <c r="L365" t="s">
        <v>58</v>
      </c>
      <c r="M365" t="s">
        <v>58</v>
      </c>
      <c r="N365">
        <v>3</v>
      </c>
      <c r="O365">
        <v>3</v>
      </c>
      <c r="P365">
        <v>3</v>
      </c>
      <c r="Q365">
        <v>3</v>
      </c>
      <c r="R365">
        <v>3</v>
      </c>
      <c r="S365">
        <v>3</v>
      </c>
      <c r="T365">
        <v>3</v>
      </c>
      <c r="U365">
        <v>3</v>
      </c>
      <c r="V365">
        <v>3</v>
      </c>
      <c r="W365">
        <v>4</v>
      </c>
      <c r="X365">
        <v>3</v>
      </c>
      <c r="Y365">
        <v>3</v>
      </c>
      <c r="Z365">
        <v>3</v>
      </c>
      <c r="AA365">
        <v>3</v>
      </c>
      <c r="AB365">
        <v>3</v>
      </c>
      <c r="AC365">
        <v>3</v>
      </c>
      <c r="AD365">
        <v>3</v>
      </c>
      <c r="AE365">
        <v>3</v>
      </c>
      <c r="AF365">
        <v>3</v>
      </c>
      <c r="AG365">
        <v>3</v>
      </c>
      <c r="AH365">
        <v>3</v>
      </c>
      <c r="AI365">
        <v>3</v>
      </c>
      <c r="AJ365">
        <v>3</v>
      </c>
      <c r="AK365" t="b">
        <f>Table67[[#This Row],[What is your age?]]&lt;&gt;"18 - 25"</f>
        <v>0</v>
      </c>
      <c r="AL365" t="b">
        <f t="shared" si="20"/>
        <v>0</v>
      </c>
      <c r="AM365" t="b">
        <f t="shared" si="21"/>
        <v>0</v>
      </c>
      <c r="AN365" t="b">
        <f t="shared" si="22"/>
        <v>0</v>
      </c>
      <c r="AO365" t="b">
        <f>OR(Table67[[#This Row],[Ineligible respondents]:[Inconsistent response on opposite question (3)]])</f>
        <v>0</v>
      </c>
      <c r="AP36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65">
        <f>Table67[[#This Row],[Extreme Response]]/21</f>
        <v>0</v>
      </c>
      <c r="AR365">
        <f>_xlfn.PERCENTILE.INC(Table67[Extrem Response Ratio (ERS)],0.9)</f>
        <v>0.61904761904761907</v>
      </c>
      <c r="AS365" t="b">
        <f>Table67[[#This Row],[Extrem Response Ratio (ERS)]]&gt;=Table67[[#This Row],[Threshold of ERS]]</f>
        <v>0</v>
      </c>
      <c r="AT365">
        <f>COUNTIF(Table67[[#This Row],[The mechanism of digital assets is difficult to understand, which discourages me from exploring it (E.g, Tokenization, Blockchain)]:[If I want to try different ways to invest, I will explore digital assets.]], 3)</f>
        <v>20</v>
      </c>
      <c r="AU365">
        <f>Table67[[#This Row],[Midpoint]]/21</f>
        <v>0.95238095238095233</v>
      </c>
      <c r="AV365">
        <f>_xlfn.PERCENTILE.INC(Table67[Midpoint ratio],0.9)</f>
        <v>0.5714285714285714</v>
      </c>
      <c r="AW365" t="b">
        <f>Table67[[#This Row],[Midpoint ratio]]&gt;=Table67[[#This Row],[Threshold of Midpoint ratio]]</f>
        <v>1</v>
      </c>
      <c r="AX365" t="b">
        <f>OR(Table67[[#This Row],[Extreme Response Style]],Table67[[#This Row],[Mid-point Response Style]])</f>
        <v>1</v>
      </c>
      <c r="AY365" t="b">
        <f>OR(Table67[[#This Row],[Delete? (Stage 1)]],Table67[[#This Row],[Delete? (Stage 2)]])</f>
        <v>1</v>
      </c>
      <c r="AZ365" t="s">
        <v>81</v>
      </c>
    </row>
    <row r="366" spans="1:52">
      <c r="A366">
        <f t="shared" si="23"/>
        <v>365</v>
      </c>
      <c r="B366" s="3">
        <v>46042.704953703702</v>
      </c>
      <c r="C366" s="3">
        <v>46042.706203703703</v>
      </c>
      <c r="D366" t="s">
        <v>53</v>
      </c>
      <c r="G366" t="s">
        <v>79</v>
      </c>
      <c r="H366" t="s">
        <v>63</v>
      </c>
      <c r="I366" t="s">
        <v>56</v>
      </c>
      <c r="J366" t="s">
        <v>62</v>
      </c>
      <c r="K366" t="s">
        <v>62</v>
      </c>
      <c r="L366" t="s">
        <v>58</v>
      </c>
      <c r="M366" t="s">
        <v>58</v>
      </c>
      <c r="N366">
        <v>4</v>
      </c>
      <c r="O366">
        <v>3</v>
      </c>
      <c r="P366">
        <v>3</v>
      </c>
      <c r="Q366">
        <v>3</v>
      </c>
      <c r="R366">
        <v>3</v>
      </c>
      <c r="S366">
        <v>4</v>
      </c>
      <c r="T366">
        <v>4</v>
      </c>
      <c r="U366">
        <v>4</v>
      </c>
      <c r="V366">
        <v>4</v>
      </c>
      <c r="W366">
        <v>4</v>
      </c>
      <c r="X366">
        <v>3</v>
      </c>
      <c r="Y366">
        <v>4</v>
      </c>
      <c r="Z366">
        <v>4</v>
      </c>
      <c r="AA366">
        <v>4</v>
      </c>
      <c r="AB366">
        <v>3</v>
      </c>
      <c r="AC366">
        <v>4</v>
      </c>
      <c r="AD366">
        <v>4</v>
      </c>
      <c r="AE366">
        <v>3</v>
      </c>
      <c r="AF366">
        <v>3</v>
      </c>
      <c r="AG366">
        <v>3</v>
      </c>
      <c r="AH366">
        <v>3</v>
      </c>
      <c r="AI366">
        <v>3</v>
      </c>
      <c r="AJ366">
        <v>3</v>
      </c>
      <c r="AK366" t="b">
        <f>Table67[[#This Row],[What is your age?]]&lt;&gt;"18 - 25"</f>
        <v>1</v>
      </c>
      <c r="AL366" t="b">
        <f t="shared" si="20"/>
        <v>0</v>
      </c>
      <c r="AM366" t="b">
        <f t="shared" si="21"/>
        <v>0</v>
      </c>
      <c r="AN366" t="b">
        <f t="shared" si="22"/>
        <v>0</v>
      </c>
      <c r="AO366" t="b">
        <f>OR(Table67[[#This Row],[Ineligible respondents]:[Inconsistent response on opposite question (3)]])</f>
        <v>1</v>
      </c>
      <c r="AP36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66">
        <f>Table67[[#This Row],[Extreme Response]]/21</f>
        <v>0</v>
      </c>
      <c r="AR366">
        <f>_xlfn.PERCENTILE.INC(Table67[Extrem Response Ratio (ERS)],0.9)</f>
        <v>0.61904761904761907</v>
      </c>
      <c r="AS366" t="b">
        <f>Table67[[#This Row],[Extrem Response Ratio (ERS)]]&gt;=Table67[[#This Row],[Threshold of ERS]]</f>
        <v>0</v>
      </c>
      <c r="AT366">
        <f>COUNTIF(Table67[[#This Row],[The mechanism of digital assets is difficult to understand, which discourages me from exploring it (E.g, Tokenization, Blockchain)]:[If I want to try different ways to invest, I will explore digital assets.]], 3)</f>
        <v>10</v>
      </c>
      <c r="AU366">
        <f>Table67[[#This Row],[Midpoint]]/21</f>
        <v>0.47619047619047616</v>
      </c>
      <c r="AV366">
        <f>_xlfn.PERCENTILE.INC(Table67[Midpoint ratio],0.9)</f>
        <v>0.5714285714285714</v>
      </c>
      <c r="AW366" t="b">
        <f>Table67[[#This Row],[Midpoint ratio]]&gt;=Table67[[#This Row],[Threshold of Midpoint ratio]]</f>
        <v>0</v>
      </c>
      <c r="AX366" t="b">
        <f>OR(Table67[[#This Row],[Extreme Response Style]],Table67[[#This Row],[Mid-point Response Style]])</f>
        <v>0</v>
      </c>
      <c r="AY366" t="b">
        <f>OR(Table67[[#This Row],[Delete? (Stage 1)]],Table67[[#This Row],[Delete? (Stage 2)]])</f>
        <v>1</v>
      </c>
      <c r="AZ366" t="s">
        <v>81</v>
      </c>
    </row>
    <row r="367" spans="1:52">
      <c r="A367">
        <f t="shared" si="23"/>
        <v>366</v>
      </c>
      <c r="B367" s="3">
        <v>46042.705185185201</v>
      </c>
      <c r="C367" s="3">
        <v>46042.709733796299</v>
      </c>
      <c r="D367" t="s">
        <v>53</v>
      </c>
      <c r="G367" t="s">
        <v>54</v>
      </c>
      <c r="H367" t="s">
        <v>55</v>
      </c>
      <c r="I367" t="s">
        <v>56</v>
      </c>
      <c r="J367" t="s">
        <v>57</v>
      </c>
      <c r="K367" t="s">
        <v>57</v>
      </c>
      <c r="L367" t="s">
        <v>58</v>
      </c>
      <c r="M367" t="s">
        <v>58</v>
      </c>
      <c r="N367">
        <v>3</v>
      </c>
      <c r="O367">
        <v>4</v>
      </c>
      <c r="P367">
        <v>4</v>
      </c>
      <c r="Q367">
        <v>4</v>
      </c>
      <c r="R367">
        <v>4</v>
      </c>
      <c r="S367">
        <v>4</v>
      </c>
      <c r="T367">
        <v>2</v>
      </c>
      <c r="U367">
        <v>4</v>
      </c>
      <c r="V367">
        <v>2</v>
      </c>
      <c r="W367">
        <v>2</v>
      </c>
      <c r="X367">
        <v>3</v>
      </c>
      <c r="Y367">
        <v>4</v>
      </c>
      <c r="Z367">
        <v>2</v>
      </c>
      <c r="AA367">
        <v>2</v>
      </c>
      <c r="AB367">
        <v>2</v>
      </c>
      <c r="AC367">
        <v>3</v>
      </c>
      <c r="AD367">
        <v>2</v>
      </c>
      <c r="AE367">
        <v>3</v>
      </c>
      <c r="AF367">
        <v>3</v>
      </c>
      <c r="AG367">
        <v>2</v>
      </c>
      <c r="AH367">
        <v>4</v>
      </c>
      <c r="AI367">
        <v>2</v>
      </c>
      <c r="AJ367">
        <v>3</v>
      </c>
      <c r="AK367" t="b">
        <f>Table67[[#This Row],[What is your age?]]&lt;&gt;"18 - 25"</f>
        <v>0</v>
      </c>
      <c r="AL367" t="b">
        <f t="shared" si="20"/>
        <v>0</v>
      </c>
      <c r="AM367" t="b">
        <f t="shared" si="21"/>
        <v>0</v>
      </c>
      <c r="AN367" t="b">
        <f t="shared" si="22"/>
        <v>0</v>
      </c>
      <c r="AO367" t="b">
        <f>OR(Table67[[#This Row],[Ineligible respondents]:[Inconsistent response on opposite question (3)]])</f>
        <v>0</v>
      </c>
      <c r="AP36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67">
        <f>Table67[[#This Row],[Extreme Response]]/21</f>
        <v>0</v>
      </c>
      <c r="AR367">
        <f>_xlfn.PERCENTILE.INC(Table67[Extrem Response Ratio (ERS)],0.9)</f>
        <v>0.61904761904761907</v>
      </c>
      <c r="AS367" t="b">
        <f>Table67[[#This Row],[Extrem Response Ratio (ERS)]]&gt;=Table67[[#This Row],[Threshold of ERS]]</f>
        <v>0</v>
      </c>
      <c r="AT367">
        <f>COUNTIF(Table67[[#This Row],[The mechanism of digital assets is difficult to understand, which discourages me from exploring it (E.g, Tokenization, Blockchain)]:[If I want to try different ways to invest, I will explore digital assets.]], 3)</f>
        <v>5</v>
      </c>
      <c r="AU367">
        <f>Table67[[#This Row],[Midpoint]]/21</f>
        <v>0.23809523809523808</v>
      </c>
      <c r="AV367">
        <f>_xlfn.PERCENTILE.INC(Table67[Midpoint ratio],0.9)</f>
        <v>0.5714285714285714</v>
      </c>
      <c r="AW367" t="b">
        <f>Table67[[#This Row],[Midpoint ratio]]&gt;=Table67[[#This Row],[Threshold of Midpoint ratio]]</f>
        <v>0</v>
      </c>
      <c r="AX367" t="b">
        <f>OR(Table67[[#This Row],[Extreme Response Style]],Table67[[#This Row],[Mid-point Response Style]])</f>
        <v>0</v>
      </c>
      <c r="AY367" t="b">
        <f>OR(Table67[[#This Row],[Delete? (Stage 1)]],Table67[[#This Row],[Delete? (Stage 2)]])</f>
        <v>0</v>
      </c>
      <c r="AZ367" t="s">
        <v>81</v>
      </c>
    </row>
    <row r="368" spans="1:52">
      <c r="A368">
        <f t="shared" si="23"/>
        <v>367</v>
      </c>
      <c r="B368" s="3">
        <v>46042.705208333296</v>
      </c>
      <c r="C368" s="3">
        <v>46042.706817129598</v>
      </c>
      <c r="D368" t="s">
        <v>53</v>
      </c>
      <c r="G368" t="s">
        <v>54</v>
      </c>
      <c r="H368" t="s">
        <v>63</v>
      </c>
      <c r="I368" t="s">
        <v>56</v>
      </c>
      <c r="J368" t="s">
        <v>57</v>
      </c>
      <c r="K368" t="s">
        <v>57</v>
      </c>
      <c r="L368" t="s">
        <v>58</v>
      </c>
      <c r="M368" t="s">
        <v>61</v>
      </c>
      <c r="N368">
        <v>4</v>
      </c>
      <c r="O368">
        <v>1</v>
      </c>
      <c r="P368">
        <v>4</v>
      </c>
      <c r="Q368">
        <v>3</v>
      </c>
      <c r="R368">
        <v>4</v>
      </c>
      <c r="S368">
        <v>4</v>
      </c>
      <c r="T368">
        <v>4</v>
      </c>
      <c r="U368">
        <v>5</v>
      </c>
      <c r="V368">
        <v>5</v>
      </c>
      <c r="W368">
        <v>5</v>
      </c>
      <c r="X368">
        <v>5</v>
      </c>
      <c r="Y368">
        <v>5</v>
      </c>
      <c r="Z368">
        <v>5</v>
      </c>
      <c r="AA368">
        <v>5</v>
      </c>
      <c r="AB368">
        <v>5</v>
      </c>
      <c r="AC368">
        <v>5</v>
      </c>
      <c r="AD368">
        <v>5</v>
      </c>
      <c r="AE368">
        <v>5</v>
      </c>
      <c r="AF368">
        <v>1</v>
      </c>
      <c r="AG368">
        <v>4</v>
      </c>
      <c r="AH368">
        <v>2</v>
      </c>
      <c r="AI368">
        <v>4</v>
      </c>
      <c r="AJ368">
        <v>5</v>
      </c>
      <c r="AK368" t="b">
        <f>Table67[[#This Row],[What is your age?]]&lt;&gt;"18 - 25"</f>
        <v>0</v>
      </c>
      <c r="AL368" t="b">
        <f t="shared" si="20"/>
        <v>0</v>
      </c>
      <c r="AM368" t="b">
        <f t="shared" si="21"/>
        <v>0</v>
      </c>
      <c r="AN368" t="b">
        <f t="shared" si="22"/>
        <v>0</v>
      </c>
      <c r="AO368" t="b">
        <f>OR(Table67[[#This Row],[Ineligible respondents]:[Inconsistent response on opposite question (3)]])</f>
        <v>0</v>
      </c>
      <c r="AP36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368">
        <f>Table67[[#This Row],[Extreme Response]]/21</f>
        <v>0.61904761904761907</v>
      </c>
      <c r="AR368">
        <f>_xlfn.PERCENTILE.INC(Table67[Extrem Response Ratio (ERS)],0.9)</f>
        <v>0.61904761904761907</v>
      </c>
      <c r="AS368" t="b">
        <f>Table67[[#This Row],[Extrem Response Ratio (ERS)]]&gt;=Table67[[#This Row],[Threshold of ERS]]</f>
        <v>1</v>
      </c>
      <c r="AT368">
        <f>COUNTIF(Table67[[#This Row],[The mechanism of digital assets is difficult to understand, which discourages me from exploring it (E.g, Tokenization, Blockchain)]:[If I want to try different ways to invest, I will explore digital assets.]], 3)</f>
        <v>1</v>
      </c>
      <c r="AU368">
        <f>Table67[[#This Row],[Midpoint]]/21</f>
        <v>4.7619047619047616E-2</v>
      </c>
      <c r="AV368">
        <f>_xlfn.PERCENTILE.INC(Table67[Midpoint ratio],0.9)</f>
        <v>0.5714285714285714</v>
      </c>
      <c r="AW368" t="b">
        <f>Table67[[#This Row],[Midpoint ratio]]&gt;=Table67[[#This Row],[Threshold of Midpoint ratio]]</f>
        <v>0</v>
      </c>
      <c r="AX368" t="b">
        <f>OR(Table67[[#This Row],[Extreme Response Style]],Table67[[#This Row],[Mid-point Response Style]])</f>
        <v>1</v>
      </c>
      <c r="AY368" t="b">
        <f>OR(Table67[[#This Row],[Delete? (Stage 1)]],Table67[[#This Row],[Delete? (Stage 2)]])</f>
        <v>1</v>
      </c>
      <c r="AZ368" t="s">
        <v>81</v>
      </c>
    </row>
    <row r="369" spans="1:52">
      <c r="A369">
        <f t="shared" si="23"/>
        <v>368</v>
      </c>
      <c r="B369" s="3">
        <v>46042.705312500002</v>
      </c>
      <c r="C369" s="3">
        <v>46042.709618055596</v>
      </c>
      <c r="D369" t="s">
        <v>53</v>
      </c>
      <c r="G369" t="s">
        <v>54</v>
      </c>
      <c r="H369" t="s">
        <v>55</v>
      </c>
      <c r="I369" t="s">
        <v>56</v>
      </c>
      <c r="J369" t="s">
        <v>64</v>
      </c>
      <c r="K369" t="s">
        <v>57</v>
      </c>
      <c r="L369" t="s">
        <v>61</v>
      </c>
      <c r="M369" t="s">
        <v>61</v>
      </c>
      <c r="N369">
        <v>4</v>
      </c>
      <c r="O369">
        <v>2</v>
      </c>
      <c r="P369">
        <v>2</v>
      </c>
      <c r="Q369">
        <v>1</v>
      </c>
      <c r="R369">
        <v>1</v>
      </c>
      <c r="S369">
        <v>1</v>
      </c>
      <c r="T369">
        <v>1</v>
      </c>
      <c r="U369">
        <v>3</v>
      </c>
      <c r="V369">
        <v>4</v>
      </c>
      <c r="W369">
        <v>5</v>
      </c>
      <c r="X369">
        <v>2</v>
      </c>
      <c r="Y369">
        <v>1</v>
      </c>
      <c r="Z369">
        <v>4</v>
      </c>
      <c r="AA369">
        <v>4</v>
      </c>
      <c r="AB369">
        <v>2</v>
      </c>
      <c r="AC369">
        <v>2</v>
      </c>
      <c r="AD369">
        <v>2</v>
      </c>
      <c r="AE369">
        <v>1</v>
      </c>
      <c r="AF369">
        <v>4</v>
      </c>
      <c r="AG369">
        <v>2</v>
      </c>
      <c r="AH369">
        <v>2</v>
      </c>
      <c r="AI369">
        <v>4</v>
      </c>
      <c r="AJ369">
        <v>2</v>
      </c>
      <c r="AK369" t="b">
        <f>Table67[[#This Row],[What is your age?]]&lt;&gt;"18 - 25"</f>
        <v>0</v>
      </c>
      <c r="AL369" t="b">
        <f t="shared" si="20"/>
        <v>0</v>
      </c>
      <c r="AM369" t="b">
        <f t="shared" si="21"/>
        <v>1</v>
      </c>
      <c r="AN369" t="b">
        <f t="shared" si="22"/>
        <v>0</v>
      </c>
      <c r="AO369" t="b">
        <f>OR(Table67[[#This Row],[Ineligible respondents]:[Inconsistent response on opposite question (3)]])</f>
        <v>1</v>
      </c>
      <c r="AP36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369">
        <f>Table67[[#This Row],[Extreme Response]]/21</f>
        <v>0.33333333333333331</v>
      </c>
      <c r="AR369">
        <f>_xlfn.PERCENTILE.INC(Table67[Extrem Response Ratio (ERS)],0.9)</f>
        <v>0.61904761904761907</v>
      </c>
      <c r="AS369" t="b">
        <f>Table67[[#This Row],[Extrem Response Ratio (ERS)]]&gt;=Table67[[#This Row],[Threshold of ERS]]</f>
        <v>0</v>
      </c>
      <c r="AT369">
        <f>COUNTIF(Table67[[#This Row],[The mechanism of digital assets is difficult to understand, which discourages me from exploring it (E.g, Tokenization, Blockchain)]:[If I want to try different ways to invest, I will explore digital assets.]], 3)</f>
        <v>1</v>
      </c>
      <c r="AU369">
        <f>Table67[[#This Row],[Midpoint]]/21</f>
        <v>4.7619047619047616E-2</v>
      </c>
      <c r="AV369">
        <f>_xlfn.PERCENTILE.INC(Table67[Midpoint ratio],0.9)</f>
        <v>0.5714285714285714</v>
      </c>
      <c r="AW369" t="b">
        <f>Table67[[#This Row],[Midpoint ratio]]&gt;=Table67[[#This Row],[Threshold of Midpoint ratio]]</f>
        <v>0</v>
      </c>
      <c r="AX369" t="b">
        <f>OR(Table67[[#This Row],[Extreme Response Style]],Table67[[#This Row],[Mid-point Response Style]])</f>
        <v>0</v>
      </c>
      <c r="AY369" t="b">
        <f>OR(Table67[[#This Row],[Delete? (Stage 1)]],Table67[[#This Row],[Delete? (Stage 2)]])</f>
        <v>1</v>
      </c>
      <c r="AZ369" t="s">
        <v>81</v>
      </c>
    </row>
    <row r="370" spans="1:52">
      <c r="A370">
        <f t="shared" si="23"/>
        <v>369</v>
      </c>
      <c r="B370" s="3">
        <v>46042.705312500002</v>
      </c>
      <c r="C370" s="3">
        <v>46042.713611111103</v>
      </c>
      <c r="D370" t="s">
        <v>53</v>
      </c>
      <c r="G370" t="s">
        <v>54</v>
      </c>
      <c r="H370" t="s">
        <v>63</v>
      </c>
      <c r="I370" t="s">
        <v>56</v>
      </c>
      <c r="J370" t="s">
        <v>62</v>
      </c>
      <c r="K370" t="s">
        <v>57</v>
      </c>
      <c r="L370" t="s">
        <v>58</v>
      </c>
      <c r="M370" t="s">
        <v>61</v>
      </c>
      <c r="N370">
        <v>4</v>
      </c>
      <c r="O370">
        <v>2</v>
      </c>
      <c r="P370">
        <v>4</v>
      </c>
      <c r="Q370">
        <v>3</v>
      </c>
      <c r="R370">
        <v>1</v>
      </c>
      <c r="S370">
        <v>2</v>
      </c>
      <c r="T370">
        <v>4</v>
      </c>
      <c r="U370">
        <v>4</v>
      </c>
      <c r="V370">
        <v>2</v>
      </c>
      <c r="W370">
        <v>3</v>
      </c>
      <c r="X370">
        <v>2</v>
      </c>
      <c r="Y370">
        <v>3</v>
      </c>
      <c r="Z370">
        <v>5</v>
      </c>
      <c r="AA370">
        <v>3</v>
      </c>
      <c r="AB370">
        <v>4</v>
      </c>
      <c r="AC370">
        <v>3</v>
      </c>
      <c r="AD370">
        <v>3</v>
      </c>
      <c r="AE370">
        <v>2</v>
      </c>
      <c r="AF370">
        <v>3</v>
      </c>
      <c r="AG370">
        <v>4</v>
      </c>
      <c r="AH370">
        <v>3</v>
      </c>
      <c r="AI370">
        <v>3</v>
      </c>
      <c r="AJ370">
        <v>3</v>
      </c>
      <c r="AK370" t="b">
        <f>Table67[[#This Row],[What is your age?]]&lt;&gt;"18 - 25"</f>
        <v>0</v>
      </c>
      <c r="AL370" t="b">
        <f t="shared" si="20"/>
        <v>0</v>
      </c>
      <c r="AM370" t="b">
        <f t="shared" si="21"/>
        <v>0</v>
      </c>
      <c r="AN370" t="b">
        <f t="shared" si="22"/>
        <v>1</v>
      </c>
      <c r="AO370" t="b">
        <f>OR(Table67[[#This Row],[Ineligible respondents]:[Inconsistent response on opposite question (3)]])</f>
        <v>1</v>
      </c>
      <c r="AP37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370">
        <f>Table67[[#This Row],[Extreme Response]]/21</f>
        <v>9.5238095238095233E-2</v>
      </c>
      <c r="AR370">
        <f>_xlfn.PERCENTILE.INC(Table67[Extrem Response Ratio (ERS)],0.9)</f>
        <v>0.61904761904761907</v>
      </c>
      <c r="AS370" t="b">
        <f>Table67[[#This Row],[Extrem Response Ratio (ERS)]]&gt;=Table67[[#This Row],[Threshold of ERS]]</f>
        <v>0</v>
      </c>
      <c r="AT370">
        <f>COUNTIF(Table67[[#This Row],[The mechanism of digital assets is difficult to understand, which discourages me from exploring it (E.g, Tokenization, Blockchain)]:[If I want to try different ways to invest, I will explore digital assets.]], 3)</f>
        <v>8</v>
      </c>
      <c r="AU370">
        <f>Table67[[#This Row],[Midpoint]]/21</f>
        <v>0.38095238095238093</v>
      </c>
      <c r="AV370">
        <f>_xlfn.PERCENTILE.INC(Table67[Midpoint ratio],0.9)</f>
        <v>0.5714285714285714</v>
      </c>
      <c r="AW370" t="b">
        <f>Table67[[#This Row],[Midpoint ratio]]&gt;=Table67[[#This Row],[Threshold of Midpoint ratio]]</f>
        <v>0</v>
      </c>
      <c r="AX370" t="b">
        <f>OR(Table67[[#This Row],[Extreme Response Style]],Table67[[#This Row],[Mid-point Response Style]])</f>
        <v>0</v>
      </c>
      <c r="AY370" t="b">
        <f>OR(Table67[[#This Row],[Delete? (Stage 1)]],Table67[[#This Row],[Delete? (Stage 2)]])</f>
        <v>1</v>
      </c>
      <c r="AZ370" t="s">
        <v>81</v>
      </c>
    </row>
    <row r="371" spans="1:52">
      <c r="A371">
        <f t="shared" si="23"/>
        <v>370</v>
      </c>
      <c r="B371" s="3">
        <v>46042.710555555597</v>
      </c>
      <c r="C371" s="3">
        <v>46042.711354166699</v>
      </c>
      <c r="D371" t="s">
        <v>53</v>
      </c>
      <c r="G371" t="s">
        <v>54</v>
      </c>
      <c r="H371" t="s">
        <v>63</v>
      </c>
      <c r="I371" t="s">
        <v>56</v>
      </c>
      <c r="J371" t="s">
        <v>62</v>
      </c>
      <c r="K371" t="s">
        <v>62</v>
      </c>
      <c r="L371" t="s">
        <v>58</v>
      </c>
      <c r="M371" t="s">
        <v>58</v>
      </c>
      <c r="N371">
        <v>4</v>
      </c>
      <c r="O371">
        <v>2</v>
      </c>
      <c r="P371">
        <v>4</v>
      </c>
      <c r="Q371">
        <v>4</v>
      </c>
      <c r="R371">
        <v>3</v>
      </c>
      <c r="S371">
        <v>4</v>
      </c>
      <c r="T371">
        <v>4</v>
      </c>
      <c r="U371">
        <v>4</v>
      </c>
      <c r="V371">
        <v>4</v>
      </c>
      <c r="W371">
        <v>4</v>
      </c>
      <c r="X371">
        <v>3</v>
      </c>
      <c r="Y371">
        <v>4</v>
      </c>
      <c r="Z371">
        <v>5</v>
      </c>
      <c r="AA371">
        <v>4</v>
      </c>
      <c r="AB371">
        <v>5</v>
      </c>
      <c r="AC371">
        <v>3</v>
      </c>
      <c r="AD371">
        <v>5</v>
      </c>
      <c r="AE371">
        <v>4</v>
      </c>
      <c r="AF371">
        <v>5</v>
      </c>
      <c r="AG371">
        <v>5</v>
      </c>
      <c r="AH371">
        <v>5</v>
      </c>
      <c r="AI371">
        <v>1</v>
      </c>
      <c r="AJ371">
        <v>1</v>
      </c>
      <c r="AK371" t="b">
        <f>Table67[[#This Row],[What is your age?]]&lt;&gt;"18 - 25"</f>
        <v>0</v>
      </c>
      <c r="AL371" t="b">
        <f t="shared" si="20"/>
        <v>0</v>
      </c>
      <c r="AM371" t="b">
        <f t="shared" si="21"/>
        <v>1</v>
      </c>
      <c r="AN371" t="b">
        <f t="shared" si="22"/>
        <v>0</v>
      </c>
      <c r="AO371" t="b">
        <f>OR(Table67[[#This Row],[Ineligible respondents]:[Inconsistent response on opposite question (3)]])</f>
        <v>1</v>
      </c>
      <c r="AP37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371">
        <f>Table67[[#This Row],[Extreme Response]]/21</f>
        <v>0.2857142857142857</v>
      </c>
      <c r="AR371">
        <f>_xlfn.PERCENTILE.INC(Table67[Extrem Response Ratio (ERS)],0.9)</f>
        <v>0.61904761904761907</v>
      </c>
      <c r="AS371" t="b">
        <f>Table67[[#This Row],[Extrem Response Ratio (ERS)]]&gt;=Table67[[#This Row],[Threshold of ERS]]</f>
        <v>0</v>
      </c>
      <c r="AT371">
        <f>COUNTIF(Table67[[#This Row],[The mechanism of digital assets is difficult to understand, which discourages me from exploring it (E.g, Tokenization, Blockchain)]:[If I want to try different ways to invest, I will explore digital assets.]], 3)</f>
        <v>3</v>
      </c>
      <c r="AU371">
        <f>Table67[[#This Row],[Midpoint]]/21</f>
        <v>0.14285714285714285</v>
      </c>
      <c r="AV371">
        <f>_xlfn.PERCENTILE.INC(Table67[Midpoint ratio],0.9)</f>
        <v>0.5714285714285714</v>
      </c>
      <c r="AW371" t="b">
        <f>Table67[[#This Row],[Midpoint ratio]]&gt;=Table67[[#This Row],[Threshold of Midpoint ratio]]</f>
        <v>0</v>
      </c>
      <c r="AX371" t="b">
        <f>OR(Table67[[#This Row],[Extreme Response Style]],Table67[[#This Row],[Mid-point Response Style]])</f>
        <v>0</v>
      </c>
      <c r="AY371" t="b">
        <f>OR(Table67[[#This Row],[Delete? (Stage 1)]],Table67[[#This Row],[Delete? (Stage 2)]])</f>
        <v>1</v>
      </c>
      <c r="AZ371" t="s">
        <v>81</v>
      </c>
    </row>
    <row r="372" spans="1:52">
      <c r="A372">
        <f t="shared" si="23"/>
        <v>371</v>
      </c>
      <c r="B372" s="3">
        <v>46042.7110300926</v>
      </c>
      <c r="C372" s="3">
        <v>46042.715300925898</v>
      </c>
      <c r="D372" t="s">
        <v>53</v>
      </c>
      <c r="G372" t="s">
        <v>54</v>
      </c>
      <c r="H372" t="s">
        <v>55</v>
      </c>
      <c r="I372" t="s">
        <v>56</v>
      </c>
      <c r="J372" t="s">
        <v>60</v>
      </c>
      <c r="K372" t="s">
        <v>57</v>
      </c>
      <c r="L372" t="s">
        <v>58</v>
      </c>
      <c r="M372" t="s">
        <v>58</v>
      </c>
      <c r="N372">
        <v>3</v>
      </c>
      <c r="O372">
        <v>2</v>
      </c>
      <c r="P372">
        <v>4</v>
      </c>
      <c r="Q372">
        <v>3</v>
      </c>
      <c r="R372">
        <v>3</v>
      </c>
      <c r="S372">
        <v>3</v>
      </c>
      <c r="T372">
        <v>4</v>
      </c>
      <c r="U372">
        <v>3</v>
      </c>
      <c r="V372">
        <v>4</v>
      </c>
      <c r="W372">
        <v>2</v>
      </c>
      <c r="X372">
        <v>3</v>
      </c>
      <c r="Y372">
        <v>2</v>
      </c>
      <c r="Z372">
        <v>4</v>
      </c>
      <c r="AA372">
        <v>3</v>
      </c>
      <c r="AB372">
        <v>4</v>
      </c>
      <c r="AC372">
        <v>4</v>
      </c>
      <c r="AD372">
        <v>5</v>
      </c>
      <c r="AE372">
        <v>3</v>
      </c>
      <c r="AF372">
        <v>3</v>
      </c>
      <c r="AG372">
        <v>4</v>
      </c>
      <c r="AH372">
        <v>2</v>
      </c>
      <c r="AI372">
        <v>4</v>
      </c>
      <c r="AJ372">
        <v>3</v>
      </c>
      <c r="AK372" t="b">
        <f>Table67[[#This Row],[What is your age?]]&lt;&gt;"18 - 25"</f>
        <v>0</v>
      </c>
      <c r="AL372" t="b">
        <f t="shared" si="20"/>
        <v>0</v>
      </c>
      <c r="AM372" t="b">
        <f t="shared" si="21"/>
        <v>0</v>
      </c>
      <c r="AN372" t="b">
        <f t="shared" si="22"/>
        <v>0</v>
      </c>
      <c r="AO372" t="b">
        <f>OR(Table67[[#This Row],[Ineligible respondents]:[Inconsistent response on opposite question (3)]])</f>
        <v>0</v>
      </c>
      <c r="AP37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372">
        <f>Table67[[#This Row],[Extreme Response]]/21</f>
        <v>4.7619047619047616E-2</v>
      </c>
      <c r="AR372">
        <f>_xlfn.PERCENTILE.INC(Table67[Extrem Response Ratio (ERS)],0.9)</f>
        <v>0.61904761904761907</v>
      </c>
      <c r="AS372" t="b">
        <f>Table67[[#This Row],[Extrem Response Ratio (ERS)]]&gt;=Table67[[#This Row],[Threshold of ERS]]</f>
        <v>0</v>
      </c>
      <c r="AT372">
        <f>COUNTIF(Table67[[#This Row],[The mechanism of digital assets is difficult to understand, which discourages me from exploring it (E.g, Tokenization, Blockchain)]:[If I want to try different ways to invest, I will explore digital assets.]], 3)</f>
        <v>9</v>
      </c>
      <c r="AU372">
        <f>Table67[[#This Row],[Midpoint]]/21</f>
        <v>0.42857142857142855</v>
      </c>
      <c r="AV372">
        <f>_xlfn.PERCENTILE.INC(Table67[Midpoint ratio],0.9)</f>
        <v>0.5714285714285714</v>
      </c>
      <c r="AW372" t="b">
        <f>Table67[[#This Row],[Midpoint ratio]]&gt;=Table67[[#This Row],[Threshold of Midpoint ratio]]</f>
        <v>0</v>
      </c>
      <c r="AX372" t="b">
        <f>OR(Table67[[#This Row],[Extreme Response Style]],Table67[[#This Row],[Mid-point Response Style]])</f>
        <v>0</v>
      </c>
      <c r="AY372" t="b">
        <f>OR(Table67[[#This Row],[Delete? (Stage 1)]],Table67[[#This Row],[Delete? (Stage 2)]])</f>
        <v>0</v>
      </c>
      <c r="AZ372" t="s">
        <v>81</v>
      </c>
    </row>
    <row r="373" spans="1:52">
      <c r="A373">
        <f t="shared" si="23"/>
        <v>372</v>
      </c>
      <c r="B373" s="3">
        <v>46042.715208333299</v>
      </c>
      <c r="C373" s="3">
        <v>46042.716481481497</v>
      </c>
      <c r="D373" t="s">
        <v>53</v>
      </c>
      <c r="G373" t="s">
        <v>54</v>
      </c>
      <c r="H373" t="s">
        <v>63</v>
      </c>
      <c r="I373" t="s">
        <v>56</v>
      </c>
      <c r="J373" t="s">
        <v>60</v>
      </c>
      <c r="K373" t="s">
        <v>57</v>
      </c>
      <c r="L373" t="s">
        <v>58</v>
      </c>
      <c r="M373" t="s">
        <v>61</v>
      </c>
      <c r="N373">
        <v>2</v>
      </c>
      <c r="O373">
        <v>3</v>
      </c>
      <c r="P373">
        <v>2</v>
      </c>
      <c r="Q373">
        <v>4</v>
      </c>
      <c r="R373">
        <v>2</v>
      </c>
      <c r="S373">
        <v>2</v>
      </c>
      <c r="T373">
        <v>2</v>
      </c>
      <c r="U373">
        <v>2</v>
      </c>
      <c r="V373">
        <v>2</v>
      </c>
      <c r="W373">
        <v>2</v>
      </c>
      <c r="X373">
        <v>2</v>
      </c>
      <c r="Y373">
        <v>2</v>
      </c>
      <c r="Z373">
        <v>2</v>
      </c>
      <c r="AA373">
        <v>2</v>
      </c>
      <c r="AB373">
        <v>3</v>
      </c>
      <c r="AC373">
        <v>2</v>
      </c>
      <c r="AD373">
        <v>2</v>
      </c>
      <c r="AE373">
        <v>3</v>
      </c>
      <c r="AF373">
        <v>2</v>
      </c>
      <c r="AG373">
        <v>2</v>
      </c>
      <c r="AH373">
        <v>3</v>
      </c>
      <c r="AI373">
        <v>3</v>
      </c>
      <c r="AJ373">
        <v>4</v>
      </c>
      <c r="AK373" t="b">
        <f>Table67[[#This Row],[What is your age?]]&lt;&gt;"18 - 25"</f>
        <v>0</v>
      </c>
      <c r="AL373" t="b">
        <f t="shared" si="20"/>
        <v>0</v>
      </c>
      <c r="AM373" t="b">
        <f t="shared" si="21"/>
        <v>0</v>
      </c>
      <c r="AN373" t="b">
        <f t="shared" si="22"/>
        <v>1</v>
      </c>
      <c r="AO373" t="b">
        <f>OR(Table67[[#This Row],[Ineligible respondents]:[Inconsistent response on opposite question (3)]])</f>
        <v>1</v>
      </c>
      <c r="AP37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73">
        <f>Table67[[#This Row],[Extreme Response]]/21</f>
        <v>0</v>
      </c>
      <c r="AR373">
        <f>_xlfn.PERCENTILE.INC(Table67[Extrem Response Ratio (ERS)],0.9)</f>
        <v>0.61904761904761907</v>
      </c>
      <c r="AS373" t="b">
        <f>Table67[[#This Row],[Extrem Response Ratio (ERS)]]&gt;=Table67[[#This Row],[Threshold of ERS]]</f>
        <v>0</v>
      </c>
      <c r="AT373">
        <f>COUNTIF(Table67[[#This Row],[The mechanism of digital assets is difficult to understand, which discourages me from exploring it (E.g, Tokenization, Blockchain)]:[If I want to try different ways to invest, I will explore digital assets.]], 3)</f>
        <v>4</v>
      </c>
      <c r="AU373">
        <f>Table67[[#This Row],[Midpoint]]/21</f>
        <v>0.19047619047619047</v>
      </c>
      <c r="AV373">
        <f>_xlfn.PERCENTILE.INC(Table67[Midpoint ratio],0.9)</f>
        <v>0.5714285714285714</v>
      </c>
      <c r="AW373" t="b">
        <f>Table67[[#This Row],[Midpoint ratio]]&gt;=Table67[[#This Row],[Threshold of Midpoint ratio]]</f>
        <v>0</v>
      </c>
      <c r="AX373" t="b">
        <f>OR(Table67[[#This Row],[Extreme Response Style]],Table67[[#This Row],[Mid-point Response Style]])</f>
        <v>0</v>
      </c>
      <c r="AY373" t="b">
        <f>OR(Table67[[#This Row],[Delete? (Stage 1)]],Table67[[#This Row],[Delete? (Stage 2)]])</f>
        <v>1</v>
      </c>
      <c r="AZ373" t="s">
        <v>81</v>
      </c>
    </row>
    <row r="374" spans="1:52">
      <c r="A374">
        <f t="shared" si="23"/>
        <v>373</v>
      </c>
      <c r="B374" s="3">
        <v>46042.715520833299</v>
      </c>
      <c r="C374" s="3">
        <v>46042.7166319444</v>
      </c>
      <c r="D374" t="s">
        <v>53</v>
      </c>
      <c r="G374" t="s">
        <v>54</v>
      </c>
      <c r="H374" t="s">
        <v>63</v>
      </c>
      <c r="I374" t="s">
        <v>56</v>
      </c>
      <c r="J374" t="s">
        <v>62</v>
      </c>
      <c r="K374" t="s">
        <v>57</v>
      </c>
      <c r="L374" t="s">
        <v>61</v>
      </c>
      <c r="M374" t="s">
        <v>58</v>
      </c>
      <c r="N374">
        <v>3</v>
      </c>
      <c r="O374">
        <v>3</v>
      </c>
      <c r="P374">
        <v>3</v>
      </c>
      <c r="Q374">
        <v>3</v>
      </c>
      <c r="R374">
        <v>3</v>
      </c>
      <c r="S374">
        <v>3</v>
      </c>
      <c r="T374">
        <v>3</v>
      </c>
      <c r="U374">
        <v>3</v>
      </c>
      <c r="V374">
        <v>3</v>
      </c>
      <c r="W374">
        <v>4</v>
      </c>
      <c r="X374">
        <v>5</v>
      </c>
      <c r="Y374">
        <v>3</v>
      </c>
      <c r="Z374">
        <v>4</v>
      </c>
      <c r="AA374">
        <v>4</v>
      </c>
      <c r="AB374">
        <v>3</v>
      </c>
      <c r="AC374">
        <v>4</v>
      </c>
      <c r="AD374">
        <v>4</v>
      </c>
      <c r="AE374">
        <v>3</v>
      </c>
      <c r="AF374">
        <v>4</v>
      </c>
      <c r="AG374">
        <v>4</v>
      </c>
      <c r="AH374">
        <v>4</v>
      </c>
      <c r="AI374">
        <v>2</v>
      </c>
      <c r="AJ374">
        <v>2</v>
      </c>
      <c r="AK374" t="b">
        <f>Table67[[#This Row],[What is your age?]]&lt;&gt;"18 - 25"</f>
        <v>0</v>
      </c>
      <c r="AL374" t="b">
        <f t="shared" si="20"/>
        <v>0</v>
      </c>
      <c r="AM374" t="b">
        <f t="shared" si="21"/>
        <v>1</v>
      </c>
      <c r="AN374" t="b">
        <f t="shared" si="22"/>
        <v>0</v>
      </c>
      <c r="AO374" t="b">
        <f>OR(Table67[[#This Row],[Ineligible respondents]:[Inconsistent response on opposite question (3)]])</f>
        <v>1</v>
      </c>
      <c r="AP37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374">
        <f>Table67[[#This Row],[Extreme Response]]/21</f>
        <v>4.7619047619047616E-2</v>
      </c>
      <c r="AR374">
        <f>_xlfn.PERCENTILE.INC(Table67[Extrem Response Ratio (ERS)],0.9)</f>
        <v>0.61904761904761907</v>
      </c>
      <c r="AS374" t="b">
        <f>Table67[[#This Row],[Extrem Response Ratio (ERS)]]&gt;=Table67[[#This Row],[Threshold of ERS]]</f>
        <v>0</v>
      </c>
      <c r="AT374">
        <f>COUNTIF(Table67[[#This Row],[The mechanism of digital assets is difficult to understand, which discourages me from exploring it (E.g, Tokenization, Blockchain)]:[If I want to try different ways to invest, I will explore digital assets.]], 3)</f>
        <v>12</v>
      </c>
      <c r="AU374">
        <f>Table67[[#This Row],[Midpoint]]/21</f>
        <v>0.5714285714285714</v>
      </c>
      <c r="AV374">
        <f>_xlfn.PERCENTILE.INC(Table67[Midpoint ratio],0.9)</f>
        <v>0.5714285714285714</v>
      </c>
      <c r="AW374" t="b">
        <f>Table67[[#This Row],[Midpoint ratio]]&gt;=Table67[[#This Row],[Threshold of Midpoint ratio]]</f>
        <v>1</v>
      </c>
      <c r="AX374" t="b">
        <f>OR(Table67[[#This Row],[Extreme Response Style]],Table67[[#This Row],[Mid-point Response Style]])</f>
        <v>1</v>
      </c>
      <c r="AY374" t="b">
        <f>OR(Table67[[#This Row],[Delete? (Stage 1)]],Table67[[#This Row],[Delete? (Stage 2)]])</f>
        <v>1</v>
      </c>
      <c r="AZ374" t="s">
        <v>81</v>
      </c>
    </row>
    <row r="375" spans="1:52">
      <c r="A375">
        <f t="shared" si="23"/>
        <v>374</v>
      </c>
      <c r="B375" s="3">
        <v>46042.715590277803</v>
      </c>
      <c r="C375" s="3">
        <v>46042.716331018499</v>
      </c>
      <c r="D375" t="s">
        <v>53</v>
      </c>
      <c r="G375" t="s">
        <v>54</v>
      </c>
      <c r="H375" t="s">
        <v>63</v>
      </c>
      <c r="I375" t="s">
        <v>56</v>
      </c>
      <c r="J375" t="s">
        <v>62</v>
      </c>
      <c r="K375" t="s">
        <v>57</v>
      </c>
      <c r="L375" t="s">
        <v>58</v>
      </c>
      <c r="M375" t="s">
        <v>58</v>
      </c>
      <c r="N375">
        <v>3</v>
      </c>
      <c r="O375">
        <v>3</v>
      </c>
      <c r="P375">
        <v>3</v>
      </c>
      <c r="Q375">
        <v>3</v>
      </c>
      <c r="R375">
        <v>3</v>
      </c>
      <c r="S375">
        <v>3</v>
      </c>
      <c r="T375">
        <v>3</v>
      </c>
      <c r="U375">
        <v>3</v>
      </c>
      <c r="V375">
        <v>3</v>
      </c>
      <c r="W375">
        <v>3</v>
      </c>
      <c r="X375">
        <v>3</v>
      </c>
      <c r="Y375">
        <v>3</v>
      </c>
      <c r="Z375">
        <v>3</v>
      </c>
      <c r="AA375">
        <v>3</v>
      </c>
      <c r="AB375">
        <v>3</v>
      </c>
      <c r="AC375">
        <v>3</v>
      </c>
      <c r="AD375">
        <v>3</v>
      </c>
      <c r="AE375">
        <v>3</v>
      </c>
      <c r="AF375">
        <v>3</v>
      </c>
      <c r="AG375">
        <v>3</v>
      </c>
      <c r="AH375">
        <v>3</v>
      </c>
      <c r="AI375">
        <v>3</v>
      </c>
      <c r="AJ375">
        <v>3</v>
      </c>
      <c r="AK375" t="b">
        <f>Table67[[#This Row],[What is your age?]]&lt;&gt;"18 - 25"</f>
        <v>0</v>
      </c>
      <c r="AL375" t="b">
        <f t="shared" si="20"/>
        <v>1</v>
      </c>
      <c r="AM375" t="b">
        <f t="shared" si="21"/>
        <v>0</v>
      </c>
      <c r="AN375" t="b">
        <f t="shared" si="22"/>
        <v>0</v>
      </c>
      <c r="AO375" t="b">
        <f>OR(Table67[[#This Row],[Ineligible respondents]:[Inconsistent response on opposite question (3)]])</f>
        <v>1</v>
      </c>
      <c r="AP37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75">
        <f>Table67[[#This Row],[Extreme Response]]/21</f>
        <v>0</v>
      </c>
      <c r="AR375">
        <f>_xlfn.PERCENTILE.INC(Table67[Extrem Response Ratio (ERS)],0.9)</f>
        <v>0.61904761904761907</v>
      </c>
      <c r="AS375" t="b">
        <f>Table67[[#This Row],[Extrem Response Ratio (ERS)]]&gt;=Table67[[#This Row],[Threshold of ERS]]</f>
        <v>0</v>
      </c>
      <c r="AT375">
        <f>COUNTIF(Table67[[#This Row],[The mechanism of digital assets is difficult to understand, which discourages me from exploring it (E.g, Tokenization, Blockchain)]:[If I want to try different ways to invest, I will explore digital assets.]], 3)</f>
        <v>21</v>
      </c>
      <c r="AU375">
        <f>Table67[[#This Row],[Midpoint]]/21</f>
        <v>1</v>
      </c>
      <c r="AV375">
        <f>_xlfn.PERCENTILE.INC(Table67[Midpoint ratio],0.9)</f>
        <v>0.5714285714285714</v>
      </c>
      <c r="AW375" t="b">
        <f>Table67[[#This Row],[Midpoint ratio]]&gt;=Table67[[#This Row],[Threshold of Midpoint ratio]]</f>
        <v>1</v>
      </c>
      <c r="AX375" t="b">
        <f>OR(Table67[[#This Row],[Extreme Response Style]],Table67[[#This Row],[Mid-point Response Style]])</f>
        <v>1</v>
      </c>
      <c r="AY375" t="b">
        <f>OR(Table67[[#This Row],[Delete? (Stage 1)]],Table67[[#This Row],[Delete? (Stage 2)]])</f>
        <v>1</v>
      </c>
      <c r="AZ375" t="s">
        <v>81</v>
      </c>
    </row>
    <row r="376" spans="1:52">
      <c r="A376">
        <f t="shared" si="23"/>
        <v>375</v>
      </c>
      <c r="B376" s="3">
        <v>46042.715856481504</v>
      </c>
      <c r="C376" s="3">
        <v>46042.717453703699</v>
      </c>
      <c r="D376" t="s">
        <v>53</v>
      </c>
      <c r="G376" t="s">
        <v>54</v>
      </c>
      <c r="H376" t="s">
        <v>63</v>
      </c>
      <c r="I376" t="s">
        <v>69</v>
      </c>
      <c r="J376" t="s">
        <v>62</v>
      </c>
      <c r="K376" t="s">
        <v>57</v>
      </c>
      <c r="L376" t="s">
        <v>58</v>
      </c>
      <c r="M376" t="s">
        <v>61</v>
      </c>
      <c r="N376">
        <v>5</v>
      </c>
      <c r="O376">
        <v>2</v>
      </c>
      <c r="P376">
        <v>2</v>
      </c>
      <c r="Q376">
        <v>1</v>
      </c>
      <c r="R376">
        <v>5</v>
      </c>
      <c r="S376">
        <v>1</v>
      </c>
      <c r="T376">
        <v>5</v>
      </c>
      <c r="U376">
        <v>5</v>
      </c>
      <c r="V376">
        <v>5</v>
      </c>
      <c r="W376">
        <v>5</v>
      </c>
      <c r="X376">
        <v>4</v>
      </c>
      <c r="Y376">
        <v>4</v>
      </c>
      <c r="Z376">
        <v>5</v>
      </c>
      <c r="AA376">
        <v>5</v>
      </c>
      <c r="AB376">
        <v>4</v>
      </c>
      <c r="AC376">
        <v>5</v>
      </c>
      <c r="AD376">
        <v>4</v>
      </c>
      <c r="AE376">
        <v>3</v>
      </c>
      <c r="AF376">
        <v>1</v>
      </c>
      <c r="AG376">
        <v>3</v>
      </c>
      <c r="AH376">
        <v>1</v>
      </c>
      <c r="AI376">
        <v>5</v>
      </c>
      <c r="AJ376">
        <v>5</v>
      </c>
      <c r="AK376" t="b">
        <f>Table67[[#This Row],[What is your age?]]&lt;&gt;"18 - 25"</f>
        <v>0</v>
      </c>
      <c r="AL376" t="b">
        <f t="shared" si="20"/>
        <v>0</v>
      </c>
      <c r="AM376" t="b">
        <f t="shared" si="21"/>
        <v>0</v>
      </c>
      <c r="AN376" t="b">
        <f t="shared" si="22"/>
        <v>1</v>
      </c>
      <c r="AO376" t="b">
        <f>OR(Table67[[#This Row],[Ineligible respondents]:[Inconsistent response on opposite question (3)]])</f>
        <v>1</v>
      </c>
      <c r="AP37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376">
        <f>Table67[[#This Row],[Extreme Response]]/21</f>
        <v>0.61904761904761907</v>
      </c>
      <c r="AR376">
        <f>_xlfn.PERCENTILE.INC(Table67[Extrem Response Ratio (ERS)],0.9)</f>
        <v>0.61904761904761907</v>
      </c>
      <c r="AS376" t="b">
        <f>Table67[[#This Row],[Extrem Response Ratio (ERS)]]&gt;=Table67[[#This Row],[Threshold of ERS]]</f>
        <v>1</v>
      </c>
      <c r="AT376">
        <f>COUNTIF(Table67[[#This Row],[The mechanism of digital assets is difficult to understand, which discourages me from exploring it (E.g, Tokenization, Blockchain)]:[If I want to try different ways to invest, I will explore digital assets.]], 3)</f>
        <v>2</v>
      </c>
      <c r="AU376">
        <f>Table67[[#This Row],[Midpoint]]/21</f>
        <v>9.5238095238095233E-2</v>
      </c>
      <c r="AV376">
        <f>_xlfn.PERCENTILE.INC(Table67[Midpoint ratio],0.9)</f>
        <v>0.5714285714285714</v>
      </c>
      <c r="AW376" t="b">
        <f>Table67[[#This Row],[Midpoint ratio]]&gt;=Table67[[#This Row],[Threshold of Midpoint ratio]]</f>
        <v>0</v>
      </c>
      <c r="AX376" t="b">
        <f>OR(Table67[[#This Row],[Extreme Response Style]],Table67[[#This Row],[Mid-point Response Style]])</f>
        <v>1</v>
      </c>
      <c r="AY376" t="b">
        <f>OR(Table67[[#This Row],[Delete? (Stage 1)]],Table67[[#This Row],[Delete? (Stage 2)]])</f>
        <v>1</v>
      </c>
      <c r="AZ376" t="s">
        <v>81</v>
      </c>
    </row>
    <row r="377" spans="1:52">
      <c r="A377">
        <f t="shared" si="23"/>
        <v>376</v>
      </c>
      <c r="B377" s="3">
        <v>46042.728368055599</v>
      </c>
      <c r="C377" s="3">
        <v>46042.730173611097</v>
      </c>
      <c r="D377" t="s">
        <v>53</v>
      </c>
      <c r="G377" t="s">
        <v>73</v>
      </c>
      <c r="H377" t="s">
        <v>55</v>
      </c>
      <c r="I377" t="s">
        <v>69</v>
      </c>
      <c r="J377" t="s">
        <v>72</v>
      </c>
      <c r="K377" t="s">
        <v>57</v>
      </c>
      <c r="L377" t="s">
        <v>58</v>
      </c>
      <c r="M377" t="s">
        <v>58</v>
      </c>
      <c r="N377">
        <v>3</v>
      </c>
      <c r="O377">
        <v>3</v>
      </c>
      <c r="P377">
        <v>4</v>
      </c>
      <c r="Q377">
        <v>4</v>
      </c>
      <c r="R377">
        <v>3</v>
      </c>
      <c r="S377">
        <v>3</v>
      </c>
      <c r="T377">
        <v>3</v>
      </c>
      <c r="U377">
        <v>4</v>
      </c>
      <c r="V377">
        <v>3</v>
      </c>
      <c r="W377">
        <v>2</v>
      </c>
      <c r="X377">
        <v>3</v>
      </c>
      <c r="Y377">
        <v>4</v>
      </c>
      <c r="Z377">
        <v>3</v>
      </c>
      <c r="AA377">
        <v>4</v>
      </c>
      <c r="AB377">
        <v>2</v>
      </c>
      <c r="AC377">
        <v>4</v>
      </c>
      <c r="AD377">
        <v>2</v>
      </c>
      <c r="AE377">
        <v>2</v>
      </c>
      <c r="AF377">
        <v>4</v>
      </c>
      <c r="AG377">
        <v>4</v>
      </c>
      <c r="AH377">
        <v>3</v>
      </c>
      <c r="AI377">
        <v>3</v>
      </c>
      <c r="AJ377">
        <v>2</v>
      </c>
      <c r="AK377" t="b">
        <f>Table67[[#This Row],[What is your age?]]&lt;&gt;"18 - 25"</f>
        <v>1</v>
      </c>
      <c r="AL377" t="b">
        <f t="shared" si="20"/>
        <v>0</v>
      </c>
      <c r="AM377" t="b">
        <f t="shared" si="21"/>
        <v>0</v>
      </c>
      <c r="AN377" t="b">
        <f t="shared" si="22"/>
        <v>1</v>
      </c>
      <c r="AO377" t="b">
        <f>OR(Table67[[#This Row],[Ineligible respondents]:[Inconsistent response on opposite question (3)]])</f>
        <v>1</v>
      </c>
      <c r="AP37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77">
        <f>Table67[[#This Row],[Extreme Response]]/21</f>
        <v>0</v>
      </c>
      <c r="AR377">
        <f>_xlfn.PERCENTILE.INC(Table67[Extrem Response Ratio (ERS)],0.9)</f>
        <v>0.61904761904761907</v>
      </c>
      <c r="AS377" t="b">
        <f>Table67[[#This Row],[Extrem Response Ratio (ERS)]]&gt;=Table67[[#This Row],[Threshold of ERS]]</f>
        <v>0</v>
      </c>
      <c r="AT377">
        <f>COUNTIF(Table67[[#This Row],[The mechanism of digital assets is difficult to understand, which discourages me from exploring it (E.g, Tokenization, Blockchain)]:[If I want to try different ways to invest, I will explore digital assets.]], 3)</f>
        <v>9</v>
      </c>
      <c r="AU377">
        <f>Table67[[#This Row],[Midpoint]]/21</f>
        <v>0.42857142857142855</v>
      </c>
      <c r="AV377">
        <f>_xlfn.PERCENTILE.INC(Table67[Midpoint ratio],0.9)</f>
        <v>0.5714285714285714</v>
      </c>
      <c r="AW377" t="b">
        <f>Table67[[#This Row],[Midpoint ratio]]&gt;=Table67[[#This Row],[Threshold of Midpoint ratio]]</f>
        <v>0</v>
      </c>
      <c r="AX377" t="b">
        <f>OR(Table67[[#This Row],[Extreme Response Style]],Table67[[#This Row],[Mid-point Response Style]])</f>
        <v>0</v>
      </c>
      <c r="AY377" t="b">
        <f>OR(Table67[[#This Row],[Delete? (Stage 1)]],Table67[[#This Row],[Delete? (Stage 2)]])</f>
        <v>1</v>
      </c>
      <c r="AZ377" t="s">
        <v>81</v>
      </c>
    </row>
    <row r="378" spans="1:52">
      <c r="A378">
        <f t="shared" si="23"/>
        <v>377</v>
      </c>
      <c r="B378" s="3">
        <v>46042.740949074097</v>
      </c>
      <c r="C378" s="3">
        <v>46042.742118055598</v>
      </c>
      <c r="D378" t="s">
        <v>53</v>
      </c>
      <c r="G378" t="s">
        <v>54</v>
      </c>
      <c r="H378" t="s">
        <v>63</v>
      </c>
      <c r="I378" t="s">
        <v>56</v>
      </c>
      <c r="J378" t="s">
        <v>62</v>
      </c>
      <c r="K378" t="s">
        <v>57</v>
      </c>
      <c r="L378" t="s">
        <v>58</v>
      </c>
      <c r="M378" t="s">
        <v>61</v>
      </c>
      <c r="N378">
        <v>4</v>
      </c>
      <c r="O378">
        <v>3</v>
      </c>
      <c r="P378">
        <v>4</v>
      </c>
      <c r="Q378">
        <v>3</v>
      </c>
      <c r="R378">
        <v>3</v>
      </c>
      <c r="S378">
        <v>3</v>
      </c>
      <c r="T378">
        <v>3</v>
      </c>
      <c r="U378">
        <v>3</v>
      </c>
      <c r="V378">
        <v>3</v>
      </c>
      <c r="W378">
        <v>3</v>
      </c>
      <c r="X378">
        <v>3</v>
      </c>
      <c r="Y378">
        <v>3</v>
      </c>
      <c r="Z378">
        <v>3</v>
      </c>
      <c r="AA378">
        <v>3</v>
      </c>
      <c r="AB378">
        <v>3</v>
      </c>
      <c r="AC378">
        <v>3</v>
      </c>
      <c r="AD378">
        <v>3</v>
      </c>
      <c r="AE378">
        <v>3</v>
      </c>
      <c r="AF378">
        <v>3</v>
      </c>
      <c r="AG378">
        <v>3</v>
      </c>
      <c r="AH378">
        <v>3</v>
      </c>
      <c r="AI378">
        <v>3</v>
      </c>
      <c r="AJ378">
        <v>3</v>
      </c>
      <c r="AK378" t="b">
        <f>Table67[[#This Row],[What is your age?]]&lt;&gt;"18 - 25"</f>
        <v>0</v>
      </c>
      <c r="AL378" t="b">
        <f t="shared" si="20"/>
        <v>0</v>
      </c>
      <c r="AM378" t="b">
        <f t="shared" si="21"/>
        <v>0</v>
      </c>
      <c r="AN378" t="b">
        <f t="shared" si="22"/>
        <v>0</v>
      </c>
      <c r="AO378" t="b">
        <f>OR(Table67[[#This Row],[Ineligible respondents]:[Inconsistent response on opposite question (3)]])</f>
        <v>0</v>
      </c>
      <c r="AP37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78">
        <f>Table67[[#This Row],[Extreme Response]]/21</f>
        <v>0</v>
      </c>
      <c r="AR378">
        <f>_xlfn.PERCENTILE.INC(Table67[Extrem Response Ratio (ERS)],0.9)</f>
        <v>0.61904761904761907</v>
      </c>
      <c r="AS378" t="b">
        <f>Table67[[#This Row],[Extrem Response Ratio (ERS)]]&gt;=Table67[[#This Row],[Threshold of ERS]]</f>
        <v>0</v>
      </c>
      <c r="AT378">
        <f>COUNTIF(Table67[[#This Row],[The mechanism of digital assets is difficult to understand, which discourages me from exploring it (E.g, Tokenization, Blockchain)]:[If I want to try different ways to invest, I will explore digital assets.]], 3)</f>
        <v>19</v>
      </c>
      <c r="AU378">
        <f>Table67[[#This Row],[Midpoint]]/21</f>
        <v>0.90476190476190477</v>
      </c>
      <c r="AV378">
        <f>_xlfn.PERCENTILE.INC(Table67[Midpoint ratio],0.9)</f>
        <v>0.5714285714285714</v>
      </c>
      <c r="AW378" t="b">
        <f>Table67[[#This Row],[Midpoint ratio]]&gt;=Table67[[#This Row],[Threshold of Midpoint ratio]]</f>
        <v>1</v>
      </c>
      <c r="AX378" t="b">
        <f>OR(Table67[[#This Row],[Extreme Response Style]],Table67[[#This Row],[Mid-point Response Style]])</f>
        <v>1</v>
      </c>
      <c r="AY378" t="b">
        <f>OR(Table67[[#This Row],[Delete? (Stage 1)]],Table67[[#This Row],[Delete? (Stage 2)]])</f>
        <v>1</v>
      </c>
      <c r="AZ378" t="s">
        <v>81</v>
      </c>
    </row>
    <row r="379" spans="1:52">
      <c r="A379">
        <f t="shared" si="23"/>
        <v>378</v>
      </c>
      <c r="B379" s="3">
        <v>46042.742754629602</v>
      </c>
      <c r="C379" s="3">
        <v>46042.743645833303</v>
      </c>
      <c r="D379" t="s">
        <v>53</v>
      </c>
      <c r="G379" t="s">
        <v>54</v>
      </c>
      <c r="H379" t="s">
        <v>55</v>
      </c>
      <c r="I379" t="s">
        <v>56</v>
      </c>
      <c r="J379" t="s">
        <v>60</v>
      </c>
      <c r="K379" t="s">
        <v>57</v>
      </c>
      <c r="L379" t="s">
        <v>58</v>
      </c>
      <c r="M379" t="s">
        <v>61</v>
      </c>
      <c r="N379">
        <v>4</v>
      </c>
      <c r="O379">
        <v>3</v>
      </c>
      <c r="P379">
        <v>3</v>
      </c>
      <c r="Q379">
        <v>3</v>
      </c>
      <c r="R379">
        <v>3</v>
      </c>
      <c r="S379">
        <v>3</v>
      </c>
      <c r="T379">
        <v>3</v>
      </c>
      <c r="U379">
        <v>3</v>
      </c>
      <c r="V379">
        <v>3</v>
      </c>
      <c r="W379">
        <v>3</v>
      </c>
      <c r="X379">
        <v>3</v>
      </c>
      <c r="Y379">
        <v>3</v>
      </c>
      <c r="Z379">
        <v>3</v>
      </c>
      <c r="AA379">
        <v>3</v>
      </c>
      <c r="AB379">
        <v>3</v>
      </c>
      <c r="AC379">
        <v>3</v>
      </c>
      <c r="AD379">
        <v>4</v>
      </c>
      <c r="AE379">
        <v>3</v>
      </c>
      <c r="AF379">
        <v>3</v>
      </c>
      <c r="AG379">
        <v>3</v>
      </c>
      <c r="AH379">
        <v>3</v>
      </c>
      <c r="AI379">
        <v>3</v>
      </c>
      <c r="AJ379">
        <v>3</v>
      </c>
      <c r="AK379" t="b">
        <f>Table67[[#This Row],[What is your age?]]&lt;&gt;"18 - 25"</f>
        <v>0</v>
      </c>
      <c r="AL379" t="b">
        <f t="shared" si="20"/>
        <v>0</v>
      </c>
      <c r="AM379" t="b">
        <f t="shared" si="21"/>
        <v>0</v>
      </c>
      <c r="AN379" t="b">
        <f t="shared" si="22"/>
        <v>0</v>
      </c>
      <c r="AO379" t="b">
        <f>OR(Table67[[#This Row],[Ineligible respondents]:[Inconsistent response on opposite question (3)]])</f>
        <v>0</v>
      </c>
      <c r="AP37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79">
        <f>Table67[[#This Row],[Extreme Response]]/21</f>
        <v>0</v>
      </c>
      <c r="AR379">
        <f>_xlfn.PERCENTILE.INC(Table67[Extrem Response Ratio (ERS)],0.9)</f>
        <v>0.61904761904761907</v>
      </c>
      <c r="AS379" t="b">
        <f>Table67[[#This Row],[Extrem Response Ratio (ERS)]]&gt;=Table67[[#This Row],[Threshold of ERS]]</f>
        <v>0</v>
      </c>
      <c r="AT379">
        <f>COUNTIF(Table67[[#This Row],[The mechanism of digital assets is difficult to understand, which discourages me from exploring it (E.g, Tokenization, Blockchain)]:[If I want to try different ways to invest, I will explore digital assets.]], 3)</f>
        <v>19</v>
      </c>
      <c r="AU379">
        <f>Table67[[#This Row],[Midpoint]]/21</f>
        <v>0.90476190476190477</v>
      </c>
      <c r="AV379">
        <f>_xlfn.PERCENTILE.INC(Table67[Midpoint ratio],0.9)</f>
        <v>0.5714285714285714</v>
      </c>
      <c r="AW379" t="b">
        <f>Table67[[#This Row],[Midpoint ratio]]&gt;=Table67[[#This Row],[Threshold of Midpoint ratio]]</f>
        <v>1</v>
      </c>
      <c r="AX379" t="b">
        <f>OR(Table67[[#This Row],[Extreme Response Style]],Table67[[#This Row],[Mid-point Response Style]])</f>
        <v>1</v>
      </c>
      <c r="AY379" t="b">
        <f>OR(Table67[[#This Row],[Delete? (Stage 1)]],Table67[[#This Row],[Delete? (Stage 2)]])</f>
        <v>1</v>
      </c>
      <c r="AZ379" t="s">
        <v>81</v>
      </c>
    </row>
    <row r="380" spans="1:52">
      <c r="A380">
        <f t="shared" si="23"/>
        <v>379</v>
      </c>
      <c r="B380" s="3">
        <v>46042.742800925902</v>
      </c>
      <c r="C380" s="3">
        <v>46042.744155092601</v>
      </c>
      <c r="D380" t="s">
        <v>53</v>
      </c>
      <c r="G380" t="s">
        <v>54</v>
      </c>
      <c r="H380" t="s">
        <v>63</v>
      </c>
      <c r="I380" t="s">
        <v>56</v>
      </c>
      <c r="J380" t="s">
        <v>60</v>
      </c>
      <c r="K380" t="s">
        <v>57</v>
      </c>
      <c r="L380" t="s">
        <v>61</v>
      </c>
      <c r="M380" t="s">
        <v>61</v>
      </c>
      <c r="N380">
        <v>4</v>
      </c>
      <c r="O380">
        <v>3</v>
      </c>
      <c r="P380">
        <v>3</v>
      </c>
      <c r="Q380">
        <v>4</v>
      </c>
      <c r="R380">
        <v>3</v>
      </c>
      <c r="S380">
        <v>3</v>
      </c>
      <c r="T380">
        <v>3</v>
      </c>
      <c r="U380">
        <v>4</v>
      </c>
      <c r="V380">
        <v>5</v>
      </c>
      <c r="W380">
        <v>4</v>
      </c>
      <c r="X380">
        <v>4</v>
      </c>
      <c r="Y380">
        <v>4</v>
      </c>
      <c r="Z380">
        <v>5</v>
      </c>
      <c r="AA380">
        <v>5</v>
      </c>
      <c r="AB380">
        <v>5</v>
      </c>
      <c r="AC380">
        <v>5</v>
      </c>
      <c r="AD380">
        <v>3</v>
      </c>
      <c r="AE380">
        <v>4</v>
      </c>
      <c r="AF380">
        <v>3</v>
      </c>
      <c r="AG380">
        <v>3</v>
      </c>
      <c r="AH380">
        <v>4</v>
      </c>
      <c r="AI380">
        <v>2</v>
      </c>
      <c r="AJ380">
        <v>3</v>
      </c>
      <c r="AK380" t="b">
        <f>Table67[[#This Row],[What is your age?]]&lt;&gt;"18 - 25"</f>
        <v>0</v>
      </c>
      <c r="AL380" t="b">
        <f t="shared" si="20"/>
        <v>0</v>
      </c>
      <c r="AM380" t="b">
        <f t="shared" si="21"/>
        <v>0</v>
      </c>
      <c r="AN380" t="b">
        <f t="shared" si="22"/>
        <v>1</v>
      </c>
      <c r="AO380" t="b">
        <f>OR(Table67[[#This Row],[Ineligible respondents]:[Inconsistent response on opposite question (3)]])</f>
        <v>1</v>
      </c>
      <c r="AP38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380">
        <f>Table67[[#This Row],[Extreme Response]]/21</f>
        <v>0.23809523809523808</v>
      </c>
      <c r="AR380">
        <f>_xlfn.PERCENTILE.INC(Table67[Extrem Response Ratio (ERS)],0.9)</f>
        <v>0.61904761904761907</v>
      </c>
      <c r="AS380" t="b">
        <f>Table67[[#This Row],[Extrem Response Ratio (ERS)]]&gt;=Table67[[#This Row],[Threshold of ERS]]</f>
        <v>0</v>
      </c>
      <c r="AT380">
        <f>COUNTIF(Table67[[#This Row],[The mechanism of digital assets is difficult to understand, which discourages me from exploring it (E.g, Tokenization, Blockchain)]:[If I want to try different ways to invest, I will explore digital assets.]], 3)</f>
        <v>8</v>
      </c>
      <c r="AU380">
        <f>Table67[[#This Row],[Midpoint]]/21</f>
        <v>0.38095238095238093</v>
      </c>
      <c r="AV380">
        <f>_xlfn.PERCENTILE.INC(Table67[Midpoint ratio],0.9)</f>
        <v>0.5714285714285714</v>
      </c>
      <c r="AW380" t="b">
        <f>Table67[[#This Row],[Midpoint ratio]]&gt;=Table67[[#This Row],[Threshold of Midpoint ratio]]</f>
        <v>0</v>
      </c>
      <c r="AX380" t="b">
        <f>OR(Table67[[#This Row],[Extreme Response Style]],Table67[[#This Row],[Mid-point Response Style]])</f>
        <v>0</v>
      </c>
      <c r="AY380" t="b">
        <f>OR(Table67[[#This Row],[Delete? (Stage 1)]],Table67[[#This Row],[Delete? (Stage 2)]])</f>
        <v>1</v>
      </c>
      <c r="AZ380" t="s">
        <v>81</v>
      </c>
    </row>
    <row r="381" spans="1:52">
      <c r="A381">
        <f t="shared" si="23"/>
        <v>380</v>
      </c>
      <c r="B381" s="3">
        <v>46042.7475694444</v>
      </c>
      <c r="C381" s="3">
        <v>46042.749930555598</v>
      </c>
      <c r="D381" t="s">
        <v>53</v>
      </c>
      <c r="G381" t="s">
        <v>54</v>
      </c>
      <c r="H381" t="s">
        <v>55</v>
      </c>
      <c r="I381" t="s">
        <v>56</v>
      </c>
      <c r="J381" t="s">
        <v>57</v>
      </c>
      <c r="K381" t="s">
        <v>57</v>
      </c>
      <c r="L381" t="s">
        <v>58</v>
      </c>
      <c r="M381" t="s">
        <v>61</v>
      </c>
      <c r="N381">
        <v>5</v>
      </c>
      <c r="O381">
        <v>4</v>
      </c>
      <c r="P381">
        <v>5</v>
      </c>
      <c r="Q381">
        <v>3</v>
      </c>
      <c r="R381">
        <v>5</v>
      </c>
      <c r="S381">
        <v>5</v>
      </c>
      <c r="T381">
        <v>4</v>
      </c>
      <c r="U381">
        <v>5</v>
      </c>
      <c r="V381">
        <v>4</v>
      </c>
      <c r="W381">
        <v>5</v>
      </c>
      <c r="X381">
        <v>4</v>
      </c>
      <c r="Y381">
        <v>5</v>
      </c>
      <c r="Z381">
        <v>3</v>
      </c>
      <c r="AA381">
        <v>3</v>
      </c>
      <c r="AB381">
        <v>3</v>
      </c>
      <c r="AC381">
        <v>5</v>
      </c>
      <c r="AD381">
        <v>2</v>
      </c>
      <c r="AE381">
        <v>4</v>
      </c>
      <c r="AF381">
        <v>2</v>
      </c>
      <c r="AG381">
        <v>3</v>
      </c>
      <c r="AH381">
        <v>4</v>
      </c>
      <c r="AI381">
        <v>2</v>
      </c>
      <c r="AJ381">
        <v>4</v>
      </c>
      <c r="AK381" t="b">
        <f>Table67[[#This Row],[What is your age?]]&lt;&gt;"18 - 25"</f>
        <v>0</v>
      </c>
      <c r="AL381" t="b">
        <f t="shared" si="20"/>
        <v>0</v>
      </c>
      <c r="AM381" t="b">
        <f t="shared" si="21"/>
        <v>0</v>
      </c>
      <c r="AN381" t="b">
        <f t="shared" si="22"/>
        <v>1</v>
      </c>
      <c r="AO381" t="b">
        <f>OR(Table67[[#This Row],[Ineligible respondents]:[Inconsistent response on opposite question (3)]])</f>
        <v>1</v>
      </c>
      <c r="AP38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381">
        <f>Table67[[#This Row],[Extreme Response]]/21</f>
        <v>0.38095238095238093</v>
      </c>
      <c r="AR381">
        <f>_xlfn.PERCENTILE.INC(Table67[Extrem Response Ratio (ERS)],0.9)</f>
        <v>0.61904761904761907</v>
      </c>
      <c r="AS381" t="b">
        <f>Table67[[#This Row],[Extrem Response Ratio (ERS)]]&gt;=Table67[[#This Row],[Threshold of ERS]]</f>
        <v>0</v>
      </c>
      <c r="AT381">
        <f>COUNTIF(Table67[[#This Row],[The mechanism of digital assets is difficult to understand, which discourages me from exploring it (E.g, Tokenization, Blockchain)]:[If I want to try different ways to invest, I will explore digital assets.]], 3)</f>
        <v>5</v>
      </c>
      <c r="AU381">
        <f>Table67[[#This Row],[Midpoint]]/21</f>
        <v>0.23809523809523808</v>
      </c>
      <c r="AV381">
        <f>_xlfn.PERCENTILE.INC(Table67[Midpoint ratio],0.9)</f>
        <v>0.5714285714285714</v>
      </c>
      <c r="AW381" t="b">
        <f>Table67[[#This Row],[Midpoint ratio]]&gt;=Table67[[#This Row],[Threshold of Midpoint ratio]]</f>
        <v>0</v>
      </c>
      <c r="AX381" t="b">
        <f>OR(Table67[[#This Row],[Extreme Response Style]],Table67[[#This Row],[Mid-point Response Style]])</f>
        <v>0</v>
      </c>
      <c r="AY381" t="b">
        <f>OR(Table67[[#This Row],[Delete? (Stage 1)]],Table67[[#This Row],[Delete? (Stage 2)]])</f>
        <v>1</v>
      </c>
      <c r="AZ381" t="s">
        <v>81</v>
      </c>
    </row>
    <row r="382" spans="1:52">
      <c r="A382">
        <f t="shared" si="23"/>
        <v>381</v>
      </c>
      <c r="B382" s="3">
        <v>46042.7480671296</v>
      </c>
      <c r="C382" s="3">
        <v>46042.749016203699</v>
      </c>
      <c r="D382" t="s">
        <v>53</v>
      </c>
      <c r="G382" t="s">
        <v>54</v>
      </c>
      <c r="H382" t="s">
        <v>63</v>
      </c>
      <c r="I382" t="s">
        <v>56</v>
      </c>
      <c r="J382" t="s">
        <v>57</v>
      </c>
      <c r="K382" t="s">
        <v>57</v>
      </c>
      <c r="L382" t="s">
        <v>61</v>
      </c>
      <c r="M382" t="s">
        <v>58</v>
      </c>
      <c r="N382">
        <v>3</v>
      </c>
      <c r="O382">
        <v>3</v>
      </c>
      <c r="P382">
        <v>3</v>
      </c>
      <c r="Q382">
        <v>3</v>
      </c>
      <c r="R382">
        <v>3</v>
      </c>
      <c r="S382">
        <v>3</v>
      </c>
      <c r="T382">
        <v>3</v>
      </c>
      <c r="U382">
        <v>3</v>
      </c>
      <c r="V382">
        <v>3</v>
      </c>
      <c r="W382">
        <v>3</v>
      </c>
      <c r="X382">
        <v>4</v>
      </c>
      <c r="Y382">
        <v>4</v>
      </c>
      <c r="Z382">
        <v>3</v>
      </c>
      <c r="AA382">
        <v>3</v>
      </c>
      <c r="AB382">
        <v>3</v>
      </c>
      <c r="AC382">
        <v>3</v>
      </c>
      <c r="AD382">
        <v>3</v>
      </c>
      <c r="AE382">
        <v>3</v>
      </c>
      <c r="AF382">
        <v>3</v>
      </c>
      <c r="AG382">
        <v>3</v>
      </c>
      <c r="AH382">
        <v>3</v>
      </c>
      <c r="AI382">
        <v>3</v>
      </c>
      <c r="AJ382">
        <v>3</v>
      </c>
      <c r="AK382" t="b">
        <f>Table67[[#This Row],[What is your age?]]&lt;&gt;"18 - 25"</f>
        <v>0</v>
      </c>
      <c r="AL382" t="b">
        <f t="shared" si="20"/>
        <v>0</v>
      </c>
      <c r="AM382" t="b">
        <f t="shared" si="21"/>
        <v>0</v>
      </c>
      <c r="AN382" t="b">
        <f t="shared" si="22"/>
        <v>0</v>
      </c>
      <c r="AO382" t="b">
        <f>OR(Table67[[#This Row],[Ineligible respondents]:[Inconsistent response on opposite question (3)]])</f>
        <v>0</v>
      </c>
      <c r="AP38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82">
        <f>Table67[[#This Row],[Extreme Response]]/21</f>
        <v>0</v>
      </c>
      <c r="AR382">
        <f>_xlfn.PERCENTILE.INC(Table67[Extrem Response Ratio (ERS)],0.9)</f>
        <v>0.61904761904761907</v>
      </c>
      <c r="AS382" t="b">
        <f>Table67[[#This Row],[Extrem Response Ratio (ERS)]]&gt;=Table67[[#This Row],[Threshold of ERS]]</f>
        <v>0</v>
      </c>
      <c r="AT382">
        <f>COUNTIF(Table67[[#This Row],[The mechanism of digital assets is difficult to understand, which discourages me from exploring it (E.g, Tokenization, Blockchain)]:[If I want to try different ways to invest, I will explore digital assets.]], 3)</f>
        <v>19</v>
      </c>
      <c r="AU382">
        <f>Table67[[#This Row],[Midpoint]]/21</f>
        <v>0.90476190476190477</v>
      </c>
      <c r="AV382">
        <f>_xlfn.PERCENTILE.INC(Table67[Midpoint ratio],0.9)</f>
        <v>0.5714285714285714</v>
      </c>
      <c r="AW382" t="b">
        <f>Table67[[#This Row],[Midpoint ratio]]&gt;=Table67[[#This Row],[Threshold of Midpoint ratio]]</f>
        <v>1</v>
      </c>
      <c r="AX382" t="b">
        <f>OR(Table67[[#This Row],[Extreme Response Style]],Table67[[#This Row],[Mid-point Response Style]])</f>
        <v>1</v>
      </c>
      <c r="AY382" t="b">
        <f>OR(Table67[[#This Row],[Delete? (Stage 1)]],Table67[[#This Row],[Delete? (Stage 2)]])</f>
        <v>1</v>
      </c>
      <c r="AZ382" t="s">
        <v>81</v>
      </c>
    </row>
    <row r="383" spans="1:52">
      <c r="A383">
        <f t="shared" si="23"/>
        <v>382</v>
      </c>
      <c r="B383" s="3">
        <v>46042.772557870398</v>
      </c>
      <c r="C383" s="3">
        <v>46042.775694444397</v>
      </c>
      <c r="D383" t="s">
        <v>53</v>
      </c>
      <c r="G383" t="s">
        <v>54</v>
      </c>
      <c r="H383" t="s">
        <v>63</v>
      </c>
      <c r="I383" t="s">
        <v>75</v>
      </c>
      <c r="J383" t="s">
        <v>62</v>
      </c>
      <c r="K383" t="s">
        <v>57</v>
      </c>
      <c r="L383" t="s">
        <v>58</v>
      </c>
      <c r="M383" t="s">
        <v>58</v>
      </c>
      <c r="N383">
        <v>3</v>
      </c>
      <c r="O383">
        <v>5</v>
      </c>
      <c r="P383">
        <v>4</v>
      </c>
      <c r="Q383">
        <v>3</v>
      </c>
      <c r="R383">
        <v>4</v>
      </c>
      <c r="S383">
        <v>4</v>
      </c>
      <c r="T383">
        <v>4</v>
      </c>
      <c r="U383">
        <v>4</v>
      </c>
      <c r="V383">
        <v>5</v>
      </c>
      <c r="W383">
        <v>5</v>
      </c>
      <c r="X383">
        <v>3</v>
      </c>
      <c r="Y383">
        <v>4</v>
      </c>
      <c r="Z383">
        <v>3</v>
      </c>
      <c r="AA383">
        <v>2</v>
      </c>
      <c r="AB383">
        <v>2</v>
      </c>
      <c r="AC383">
        <v>3</v>
      </c>
      <c r="AD383">
        <v>3</v>
      </c>
      <c r="AE383">
        <v>3</v>
      </c>
      <c r="AF383">
        <v>3</v>
      </c>
      <c r="AG383">
        <v>3</v>
      </c>
      <c r="AH383">
        <v>3</v>
      </c>
      <c r="AI383">
        <v>3</v>
      </c>
      <c r="AJ383">
        <v>3</v>
      </c>
      <c r="AK383" t="b">
        <f>Table67[[#This Row],[What is your age?]]&lt;&gt;"18 - 25"</f>
        <v>0</v>
      </c>
      <c r="AL383" t="b">
        <f t="shared" si="20"/>
        <v>0</v>
      </c>
      <c r="AM383" t="b">
        <f t="shared" si="21"/>
        <v>0</v>
      </c>
      <c r="AN383" t="b">
        <f t="shared" si="22"/>
        <v>0</v>
      </c>
      <c r="AO383" t="b">
        <f>OR(Table67[[#This Row],[Ineligible respondents]:[Inconsistent response on opposite question (3)]])</f>
        <v>0</v>
      </c>
      <c r="AP38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383">
        <f>Table67[[#This Row],[Extreme Response]]/21</f>
        <v>0.14285714285714285</v>
      </c>
      <c r="AR383">
        <f>_xlfn.PERCENTILE.INC(Table67[Extrem Response Ratio (ERS)],0.9)</f>
        <v>0.61904761904761907</v>
      </c>
      <c r="AS383" t="b">
        <f>Table67[[#This Row],[Extrem Response Ratio (ERS)]]&gt;=Table67[[#This Row],[Threshold of ERS]]</f>
        <v>0</v>
      </c>
      <c r="AT383">
        <f>COUNTIF(Table67[[#This Row],[The mechanism of digital assets is difficult to understand, which discourages me from exploring it (E.g, Tokenization, Blockchain)]:[If I want to try different ways to invest, I will explore digital assets.]], 3)</f>
        <v>10</v>
      </c>
      <c r="AU383">
        <f>Table67[[#This Row],[Midpoint]]/21</f>
        <v>0.47619047619047616</v>
      </c>
      <c r="AV383">
        <f>_xlfn.PERCENTILE.INC(Table67[Midpoint ratio],0.9)</f>
        <v>0.5714285714285714</v>
      </c>
      <c r="AW383" t="b">
        <f>Table67[[#This Row],[Midpoint ratio]]&gt;=Table67[[#This Row],[Threshold of Midpoint ratio]]</f>
        <v>0</v>
      </c>
      <c r="AX383" t="b">
        <f>OR(Table67[[#This Row],[Extreme Response Style]],Table67[[#This Row],[Mid-point Response Style]])</f>
        <v>0</v>
      </c>
      <c r="AY383" t="b">
        <f>OR(Table67[[#This Row],[Delete? (Stage 1)]],Table67[[#This Row],[Delete? (Stage 2)]])</f>
        <v>0</v>
      </c>
      <c r="AZ383" t="s">
        <v>81</v>
      </c>
    </row>
    <row r="384" spans="1:52">
      <c r="A384">
        <f t="shared" si="23"/>
        <v>383</v>
      </c>
      <c r="B384" s="3">
        <v>46042.776851851799</v>
      </c>
      <c r="C384" s="3">
        <v>46042.777754629598</v>
      </c>
      <c r="D384" t="s">
        <v>53</v>
      </c>
      <c r="G384" t="s">
        <v>54</v>
      </c>
      <c r="H384" t="s">
        <v>55</v>
      </c>
      <c r="I384" t="s">
        <v>69</v>
      </c>
      <c r="J384" t="s">
        <v>62</v>
      </c>
      <c r="K384" t="s">
        <v>57</v>
      </c>
      <c r="L384" t="s">
        <v>61</v>
      </c>
      <c r="M384" t="s">
        <v>61</v>
      </c>
      <c r="N384">
        <v>3</v>
      </c>
      <c r="O384">
        <v>3</v>
      </c>
      <c r="P384">
        <v>3</v>
      </c>
      <c r="Q384">
        <v>3</v>
      </c>
      <c r="R384">
        <v>3</v>
      </c>
      <c r="S384">
        <v>3</v>
      </c>
      <c r="T384">
        <v>3</v>
      </c>
      <c r="U384">
        <v>3</v>
      </c>
      <c r="V384">
        <v>3</v>
      </c>
      <c r="W384">
        <v>3</v>
      </c>
      <c r="X384">
        <v>3</v>
      </c>
      <c r="Y384">
        <v>3</v>
      </c>
      <c r="Z384">
        <v>3</v>
      </c>
      <c r="AA384">
        <v>3</v>
      </c>
      <c r="AB384">
        <v>3</v>
      </c>
      <c r="AC384">
        <v>3</v>
      </c>
      <c r="AD384">
        <v>3</v>
      </c>
      <c r="AE384">
        <v>3</v>
      </c>
      <c r="AF384">
        <v>3</v>
      </c>
      <c r="AG384">
        <v>3</v>
      </c>
      <c r="AH384">
        <v>3</v>
      </c>
      <c r="AI384">
        <v>3</v>
      </c>
      <c r="AJ384">
        <v>3</v>
      </c>
      <c r="AK384" t="b">
        <f>Table67[[#This Row],[What is your age?]]&lt;&gt;"18 - 25"</f>
        <v>0</v>
      </c>
      <c r="AL384" t="b">
        <f t="shared" si="20"/>
        <v>1</v>
      </c>
      <c r="AM384" t="b">
        <f t="shared" si="21"/>
        <v>0</v>
      </c>
      <c r="AN384" t="b">
        <f t="shared" si="22"/>
        <v>0</v>
      </c>
      <c r="AO384" t="b">
        <f>OR(Table67[[#This Row],[Ineligible respondents]:[Inconsistent response on opposite question (3)]])</f>
        <v>1</v>
      </c>
      <c r="AP38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84">
        <f>Table67[[#This Row],[Extreme Response]]/21</f>
        <v>0</v>
      </c>
      <c r="AR384">
        <f>_xlfn.PERCENTILE.INC(Table67[Extrem Response Ratio (ERS)],0.9)</f>
        <v>0.61904761904761907</v>
      </c>
      <c r="AS384" t="b">
        <f>Table67[[#This Row],[Extrem Response Ratio (ERS)]]&gt;=Table67[[#This Row],[Threshold of ERS]]</f>
        <v>0</v>
      </c>
      <c r="AT384">
        <f>COUNTIF(Table67[[#This Row],[The mechanism of digital assets is difficult to understand, which discourages me from exploring it (E.g, Tokenization, Blockchain)]:[If I want to try different ways to invest, I will explore digital assets.]], 3)</f>
        <v>21</v>
      </c>
      <c r="AU384">
        <f>Table67[[#This Row],[Midpoint]]/21</f>
        <v>1</v>
      </c>
      <c r="AV384">
        <f>_xlfn.PERCENTILE.INC(Table67[Midpoint ratio],0.9)</f>
        <v>0.5714285714285714</v>
      </c>
      <c r="AW384" t="b">
        <f>Table67[[#This Row],[Midpoint ratio]]&gt;=Table67[[#This Row],[Threshold of Midpoint ratio]]</f>
        <v>1</v>
      </c>
      <c r="AX384" t="b">
        <f>OR(Table67[[#This Row],[Extreme Response Style]],Table67[[#This Row],[Mid-point Response Style]])</f>
        <v>1</v>
      </c>
      <c r="AY384" t="b">
        <f>OR(Table67[[#This Row],[Delete? (Stage 1)]],Table67[[#This Row],[Delete? (Stage 2)]])</f>
        <v>1</v>
      </c>
      <c r="AZ384" t="s">
        <v>81</v>
      </c>
    </row>
    <row r="385" spans="1:52">
      <c r="A385">
        <f t="shared" si="23"/>
        <v>384</v>
      </c>
      <c r="B385" s="3">
        <v>46042.777060185203</v>
      </c>
      <c r="C385" s="3">
        <v>46042.779236111099</v>
      </c>
      <c r="D385" t="s">
        <v>53</v>
      </c>
      <c r="G385" t="s">
        <v>54</v>
      </c>
      <c r="H385" t="s">
        <v>63</v>
      </c>
      <c r="I385" t="s">
        <v>69</v>
      </c>
      <c r="J385" t="s">
        <v>57</v>
      </c>
      <c r="K385" t="s">
        <v>57</v>
      </c>
      <c r="L385" t="s">
        <v>58</v>
      </c>
      <c r="M385" t="s">
        <v>58</v>
      </c>
      <c r="N385">
        <v>3</v>
      </c>
      <c r="O385">
        <v>3</v>
      </c>
      <c r="P385">
        <v>5</v>
      </c>
      <c r="Q385">
        <v>3</v>
      </c>
      <c r="R385">
        <v>5</v>
      </c>
      <c r="S385">
        <v>5</v>
      </c>
      <c r="T385">
        <v>5</v>
      </c>
      <c r="U385">
        <v>5</v>
      </c>
      <c r="V385">
        <v>5</v>
      </c>
      <c r="W385">
        <v>5</v>
      </c>
      <c r="X385">
        <v>5</v>
      </c>
      <c r="Y385">
        <v>5</v>
      </c>
      <c r="Z385">
        <v>5</v>
      </c>
      <c r="AA385">
        <v>5</v>
      </c>
      <c r="AB385">
        <v>5</v>
      </c>
      <c r="AC385">
        <v>5</v>
      </c>
      <c r="AD385">
        <v>5</v>
      </c>
      <c r="AE385">
        <v>5</v>
      </c>
      <c r="AF385">
        <v>5</v>
      </c>
      <c r="AG385">
        <v>5</v>
      </c>
      <c r="AH385">
        <v>5</v>
      </c>
      <c r="AI385">
        <v>1</v>
      </c>
      <c r="AJ385">
        <v>1</v>
      </c>
      <c r="AK385" t="b">
        <f>Table67[[#This Row],[What is your age?]]&lt;&gt;"18 - 25"</f>
        <v>0</v>
      </c>
      <c r="AL385" t="b">
        <f t="shared" si="20"/>
        <v>0</v>
      </c>
      <c r="AM385" t="b">
        <f t="shared" si="21"/>
        <v>1</v>
      </c>
      <c r="AN385" t="b">
        <f t="shared" si="22"/>
        <v>0</v>
      </c>
      <c r="AO385" t="b">
        <f>OR(Table67[[#This Row],[Ineligible respondents]:[Inconsistent response on opposite question (3)]])</f>
        <v>1</v>
      </c>
      <c r="AP38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18</v>
      </c>
      <c r="AQ385">
        <f>Table67[[#This Row],[Extreme Response]]/21</f>
        <v>0.8571428571428571</v>
      </c>
      <c r="AR385">
        <f>_xlfn.PERCENTILE.INC(Table67[Extrem Response Ratio (ERS)],0.9)</f>
        <v>0.61904761904761907</v>
      </c>
      <c r="AS385" t="b">
        <f>Table67[[#This Row],[Extrem Response Ratio (ERS)]]&gt;=Table67[[#This Row],[Threshold of ERS]]</f>
        <v>1</v>
      </c>
      <c r="AT385">
        <f>COUNTIF(Table67[[#This Row],[The mechanism of digital assets is difficult to understand, which discourages me from exploring it (E.g, Tokenization, Blockchain)]:[If I want to try different ways to invest, I will explore digital assets.]], 3)</f>
        <v>3</v>
      </c>
      <c r="AU385">
        <f>Table67[[#This Row],[Midpoint]]/21</f>
        <v>0.14285714285714285</v>
      </c>
      <c r="AV385">
        <f>_xlfn.PERCENTILE.INC(Table67[Midpoint ratio],0.9)</f>
        <v>0.5714285714285714</v>
      </c>
      <c r="AW385" t="b">
        <f>Table67[[#This Row],[Midpoint ratio]]&gt;=Table67[[#This Row],[Threshold of Midpoint ratio]]</f>
        <v>0</v>
      </c>
      <c r="AX385" t="b">
        <f>OR(Table67[[#This Row],[Extreme Response Style]],Table67[[#This Row],[Mid-point Response Style]])</f>
        <v>1</v>
      </c>
      <c r="AY385" t="b">
        <f>OR(Table67[[#This Row],[Delete? (Stage 1)]],Table67[[#This Row],[Delete? (Stage 2)]])</f>
        <v>1</v>
      </c>
      <c r="AZ385" t="s">
        <v>81</v>
      </c>
    </row>
    <row r="386" spans="1:52">
      <c r="A386">
        <f t="shared" si="23"/>
        <v>385</v>
      </c>
      <c r="B386" s="3">
        <v>46042.795138888898</v>
      </c>
      <c r="C386" s="3">
        <v>46042.796898148103</v>
      </c>
      <c r="D386" t="s">
        <v>53</v>
      </c>
      <c r="G386" t="s">
        <v>54</v>
      </c>
      <c r="H386" t="s">
        <v>63</v>
      </c>
      <c r="I386" t="s">
        <v>56</v>
      </c>
      <c r="J386" t="s">
        <v>62</v>
      </c>
      <c r="K386" t="s">
        <v>57</v>
      </c>
      <c r="L386" t="s">
        <v>58</v>
      </c>
      <c r="M386" t="s">
        <v>58</v>
      </c>
      <c r="N386">
        <v>2</v>
      </c>
      <c r="O386">
        <v>1</v>
      </c>
      <c r="P386">
        <v>4</v>
      </c>
      <c r="Q386">
        <v>3</v>
      </c>
      <c r="R386">
        <v>4</v>
      </c>
      <c r="S386">
        <v>3</v>
      </c>
      <c r="T386">
        <v>2</v>
      </c>
      <c r="U386">
        <v>2</v>
      </c>
      <c r="V386">
        <v>4</v>
      </c>
      <c r="W386">
        <v>4</v>
      </c>
      <c r="X386">
        <v>4</v>
      </c>
      <c r="Y386">
        <v>4</v>
      </c>
      <c r="Z386">
        <v>4</v>
      </c>
      <c r="AA386">
        <v>4</v>
      </c>
      <c r="AB386">
        <v>2</v>
      </c>
      <c r="AC386">
        <v>4</v>
      </c>
      <c r="AD386">
        <v>2</v>
      </c>
      <c r="AE386">
        <v>2</v>
      </c>
      <c r="AF386">
        <v>1</v>
      </c>
      <c r="AG386">
        <v>1</v>
      </c>
      <c r="AH386">
        <v>1</v>
      </c>
      <c r="AI386">
        <v>5</v>
      </c>
      <c r="AJ386">
        <v>5</v>
      </c>
      <c r="AK386" t="b">
        <f>Table67[[#This Row],[What is your age?]]&lt;&gt;"18 - 25"</f>
        <v>0</v>
      </c>
      <c r="AL386" t="b">
        <f t="shared" si="20"/>
        <v>0</v>
      </c>
      <c r="AM386" t="b">
        <f t="shared" si="21"/>
        <v>1</v>
      </c>
      <c r="AN386" t="b">
        <f t="shared" si="22"/>
        <v>0</v>
      </c>
      <c r="AO386" t="b">
        <f>OR(Table67[[#This Row],[Ineligible respondents]:[Inconsistent response on opposite question (3)]])</f>
        <v>1</v>
      </c>
      <c r="AP38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386">
        <f>Table67[[#This Row],[Extreme Response]]/21</f>
        <v>0.19047619047619047</v>
      </c>
      <c r="AR386">
        <f>_xlfn.PERCENTILE.INC(Table67[Extrem Response Ratio (ERS)],0.9)</f>
        <v>0.61904761904761907</v>
      </c>
      <c r="AS386" t="b">
        <f>Table67[[#This Row],[Extrem Response Ratio (ERS)]]&gt;=Table67[[#This Row],[Threshold of ERS]]</f>
        <v>0</v>
      </c>
      <c r="AT386">
        <f>COUNTIF(Table67[[#This Row],[The mechanism of digital assets is difficult to understand, which discourages me from exploring it (E.g, Tokenization, Blockchain)]:[If I want to try different ways to invest, I will explore digital assets.]], 3)</f>
        <v>2</v>
      </c>
      <c r="AU386">
        <f>Table67[[#This Row],[Midpoint]]/21</f>
        <v>9.5238095238095233E-2</v>
      </c>
      <c r="AV386">
        <f>_xlfn.PERCENTILE.INC(Table67[Midpoint ratio],0.9)</f>
        <v>0.5714285714285714</v>
      </c>
      <c r="AW386" t="b">
        <f>Table67[[#This Row],[Midpoint ratio]]&gt;=Table67[[#This Row],[Threshold of Midpoint ratio]]</f>
        <v>0</v>
      </c>
      <c r="AX386" t="b">
        <f>OR(Table67[[#This Row],[Extreme Response Style]],Table67[[#This Row],[Mid-point Response Style]])</f>
        <v>0</v>
      </c>
      <c r="AY386" t="b">
        <f>OR(Table67[[#This Row],[Delete? (Stage 1)]],Table67[[#This Row],[Delete? (Stage 2)]])</f>
        <v>1</v>
      </c>
      <c r="AZ386" t="s">
        <v>81</v>
      </c>
    </row>
    <row r="387" spans="1:52">
      <c r="A387">
        <f t="shared" si="23"/>
        <v>386</v>
      </c>
      <c r="B387" s="3">
        <v>46042.808587963002</v>
      </c>
      <c r="C387" s="3">
        <v>46042.8093981481</v>
      </c>
      <c r="D387" t="s">
        <v>53</v>
      </c>
      <c r="G387" t="s">
        <v>54</v>
      </c>
      <c r="H387" t="s">
        <v>55</v>
      </c>
      <c r="I387" t="s">
        <v>69</v>
      </c>
      <c r="J387" t="s">
        <v>57</v>
      </c>
      <c r="K387" t="s">
        <v>57</v>
      </c>
      <c r="L387" t="s">
        <v>58</v>
      </c>
      <c r="M387" t="s">
        <v>61</v>
      </c>
      <c r="N387">
        <v>4</v>
      </c>
      <c r="O387">
        <v>3</v>
      </c>
      <c r="P387">
        <v>3</v>
      </c>
      <c r="Q387">
        <v>3</v>
      </c>
      <c r="R387">
        <v>4</v>
      </c>
      <c r="S387">
        <v>2</v>
      </c>
      <c r="T387">
        <v>4</v>
      </c>
      <c r="U387">
        <v>3</v>
      </c>
      <c r="V387">
        <v>5</v>
      </c>
      <c r="W387">
        <v>5</v>
      </c>
      <c r="X387">
        <v>5</v>
      </c>
      <c r="Y387">
        <v>2</v>
      </c>
      <c r="Z387">
        <v>5</v>
      </c>
      <c r="AA387">
        <v>4</v>
      </c>
      <c r="AB387">
        <v>3</v>
      </c>
      <c r="AC387">
        <v>5</v>
      </c>
      <c r="AD387">
        <v>5</v>
      </c>
      <c r="AE387">
        <v>4</v>
      </c>
      <c r="AF387">
        <v>1</v>
      </c>
      <c r="AG387">
        <v>2</v>
      </c>
      <c r="AH387">
        <v>2</v>
      </c>
      <c r="AI387">
        <v>4</v>
      </c>
      <c r="AJ387">
        <v>5</v>
      </c>
      <c r="AK387" t="b">
        <f>Table67[[#This Row],[What is your age?]]&lt;&gt;"18 - 25"</f>
        <v>0</v>
      </c>
      <c r="AL387" t="b">
        <f t="shared" ref="AL387:AL450" si="24">COUNTIF(N387:AH387, N387) = COLUMNS(N387:AH387)</f>
        <v>0</v>
      </c>
      <c r="AM387" t="b">
        <f t="shared" ref="AM387:AM450" si="25">OR(AND(AG387=AH387, AG387&lt;&gt;3), AND(OR(AG387=1, AG387=2), OR(AH387=1, AH387=2)), AND(OR(AG387=4, AG387=5), OR(AH387=4, AH387=5)))</f>
        <v>1</v>
      </c>
      <c r="AN387" t="b">
        <f t="shared" ref="AN387:AN450" si="26">OR(AND(AG387=3, AH387&lt;&gt;3), AND(AH387=3, AG387&lt;&gt;3))</f>
        <v>0</v>
      </c>
      <c r="AO387" t="b">
        <f>OR(Table67[[#This Row],[Ineligible respondents]:[Inconsistent response on opposite question (3)]])</f>
        <v>1</v>
      </c>
      <c r="AP38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387">
        <f>Table67[[#This Row],[Extreme Response]]/21</f>
        <v>0.33333333333333331</v>
      </c>
      <c r="AR387">
        <f>_xlfn.PERCENTILE.INC(Table67[Extrem Response Ratio (ERS)],0.9)</f>
        <v>0.61904761904761907</v>
      </c>
      <c r="AS387" t="b">
        <f>Table67[[#This Row],[Extrem Response Ratio (ERS)]]&gt;=Table67[[#This Row],[Threshold of ERS]]</f>
        <v>0</v>
      </c>
      <c r="AT387">
        <f>COUNTIF(Table67[[#This Row],[The mechanism of digital assets is difficult to understand, which discourages me from exploring it (E.g, Tokenization, Blockchain)]:[If I want to try different ways to invest, I will explore digital assets.]], 3)</f>
        <v>5</v>
      </c>
      <c r="AU387">
        <f>Table67[[#This Row],[Midpoint]]/21</f>
        <v>0.23809523809523808</v>
      </c>
      <c r="AV387">
        <f>_xlfn.PERCENTILE.INC(Table67[Midpoint ratio],0.9)</f>
        <v>0.5714285714285714</v>
      </c>
      <c r="AW387" t="b">
        <f>Table67[[#This Row],[Midpoint ratio]]&gt;=Table67[[#This Row],[Threshold of Midpoint ratio]]</f>
        <v>0</v>
      </c>
      <c r="AX387" t="b">
        <f>OR(Table67[[#This Row],[Extreme Response Style]],Table67[[#This Row],[Mid-point Response Style]])</f>
        <v>0</v>
      </c>
      <c r="AY387" t="b">
        <f>OR(Table67[[#This Row],[Delete? (Stage 1)]],Table67[[#This Row],[Delete? (Stage 2)]])</f>
        <v>1</v>
      </c>
      <c r="AZ387" t="s">
        <v>81</v>
      </c>
    </row>
    <row r="388" spans="1:52">
      <c r="A388">
        <f t="shared" ref="A388:A451" si="27">1+A387</f>
        <v>387</v>
      </c>
      <c r="B388" s="3">
        <v>46042.812222222201</v>
      </c>
      <c r="C388" s="3">
        <v>46042.8140740741</v>
      </c>
      <c r="D388" t="s">
        <v>53</v>
      </c>
      <c r="G388" t="s">
        <v>54</v>
      </c>
      <c r="H388" t="s">
        <v>63</v>
      </c>
      <c r="I388" t="s">
        <v>69</v>
      </c>
      <c r="J388" t="s">
        <v>60</v>
      </c>
      <c r="K388" t="s">
        <v>57</v>
      </c>
      <c r="L388" t="s">
        <v>58</v>
      </c>
      <c r="M388" t="s">
        <v>58</v>
      </c>
      <c r="N388">
        <v>5</v>
      </c>
      <c r="O388">
        <v>4</v>
      </c>
      <c r="P388">
        <v>4</v>
      </c>
      <c r="Q388">
        <v>5</v>
      </c>
      <c r="R388">
        <v>5</v>
      </c>
      <c r="S388">
        <v>2</v>
      </c>
      <c r="T388">
        <v>3</v>
      </c>
      <c r="U388">
        <v>3</v>
      </c>
      <c r="V388">
        <v>4</v>
      </c>
      <c r="W388">
        <v>4</v>
      </c>
      <c r="X388">
        <v>4</v>
      </c>
      <c r="Y388">
        <v>4</v>
      </c>
      <c r="Z388">
        <v>5</v>
      </c>
      <c r="AA388">
        <v>5</v>
      </c>
      <c r="AB388">
        <v>3</v>
      </c>
      <c r="AC388">
        <v>4</v>
      </c>
      <c r="AD388">
        <v>3</v>
      </c>
      <c r="AE388">
        <v>2</v>
      </c>
      <c r="AF388">
        <v>3</v>
      </c>
      <c r="AG388">
        <v>3</v>
      </c>
      <c r="AH388">
        <v>4</v>
      </c>
      <c r="AI388">
        <v>2</v>
      </c>
      <c r="AJ388">
        <v>3</v>
      </c>
      <c r="AK388" t="b">
        <f>Table67[[#This Row],[What is your age?]]&lt;&gt;"18 - 25"</f>
        <v>0</v>
      </c>
      <c r="AL388" t="b">
        <f t="shared" si="24"/>
        <v>0</v>
      </c>
      <c r="AM388" t="b">
        <f t="shared" si="25"/>
        <v>0</v>
      </c>
      <c r="AN388" t="b">
        <f t="shared" si="26"/>
        <v>1</v>
      </c>
      <c r="AO388" t="b">
        <f>OR(Table67[[#This Row],[Ineligible respondents]:[Inconsistent response on opposite question (3)]])</f>
        <v>1</v>
      </c>
      <c r="AP38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388">
        <f>Table67[[#This Row],[Extreme Response]]/21</f>
        <v>0.23809523809523808</v>
      </c>
      <c r="AR388">
        <f>_xlfn.PERCENTILE.INC(Table67[Extrem Response Ratio (ERS)],0.9)</f>
        <v>0.61904761904761907</v>
      </c>
      <c r="AS388" t="b">
        <f>Table67[[#This Row],[Extrem Response Ratio (ERS)]]&gt;=Table67[[#This Row],[Threshold of ERS]]</f>
        <v>0</v>
      </c>
      <c r="AT388">
        <f>COUNTIF(Table67[[#This Row],[The mechanism of digital assets is difficult to understand, which discourages me from exploring it (E.g, Tokenization, Blockchain)]:[If I want to try different ways to invest, I will explore digital assets.]], 3)</f>
        <v>6</v>
      </c>
      <c r="AU388">
        <f>Table67[[#This Row],[Midpoint]]/21</f>
        <v>0.2857142857142857</v>
      </c>
      <c r="AV388">
        <f>_xlfn.PERCENTILE.INC(Table67[Midpoint ratio],0.9)</f>
        <v>0.5714285714285714</v>
      </c>
      <c r="AW388" t="b">
        <f>Table67[[#This Row],[Midpoint ratio]]&gt;=Table67[[#This Row],[Threshold of Midpoint ratio]]</f>
        <v>0</v>
      </c>
      <c r="AX388" t="b">
        <f>OR(Table67[[#This Row],[Extreme Response Style]],Table67[[#This Row],[Mid-point Response Style]])</f>
        <v>0</v>
      </c>
      <c r="AY388" t="b">
        <f>OR(Table67[[#This Row],[Delete? (Stage 1)]],Table67[[#This Row],[Delete? (Stage 2)]])</f>
        <v>1</v>
      </c>
      <c r="AZ388" t="s">
        <v>81</v>
      </c>
    </row>
    <row r="389" spans="1:52">
      <c r="A389">
        <f t="shared" si="27"/>
        <v>388</v>
      </c>
      <c r="B389" s="3">
        <v>46042.826319444401</v>
      </c>
      <c r="C389" s="3">
        <v>46042.828738425902</v>
      </c>
      <c r="D389" t="s">
        <v>53</v>
      </c>
      <c r="G389" t="s">
        <v>54</v>
      </c>
      <c r="H389" t="s">
        <v>63</v>
      </c>
      <c r="I389" t="s">
        <v>56</v>
      </c>
      <c r="J389" t="s">
        <v>62</v>
      </c>
      <c r="K389" t="s">
        <v>57</v>
      </c>
      <c r="L389" t="s">
        <v>58</v>
      </c>
      <c r="M389" t="s">
        <v>61</v>
      </c>
      <c r="N389">
        <v>3</v>
      </c>
      <c r="O389">
        <v>2</v>
      </c>
      <c r="P389">
        <v>4</v>
      </c>
      <c r="Q389">
        <v>3</v>
      </c>
      <c r="R389">
        <v>2</v>
      </c>
      <c r="S389">
        <v>3</v>
      </c>
      <c r="T389">
        <v>4</v>
      </c>
      <c r="U389">
        <v>5</v>
      </c>
      <c r="V389">
        <v>4</v>
      </c>
      <c r="W389">
        <v>4</v>
      </c>
      <c r="X389">
        <v>4</v>
      </c>
      <c r="Y389">
        <v>4</v>
      </c>
      <c r="Z389">
        <v>4</v>
      </c>
      <c r="AA389">
        <v>4</v>
      </c>
      <c r="AB389">
        <v>4</v>
      </c>
      <c r="AC389">
        <v>4</v>
      </c>
      <c r="AD389">
        <v>4</v>
      </c>
      <c r="AE389">
        <v>2</v>
      </c>
      <c r="AF389">
        <v>2</v>
      </c>
      <c r="AG389">
        <v>2</v>
      </c>
      <c r="AH389">
        <v>4</v>
      </c>
      <c r="AI389">
        <v>2</v>
      </c>
      <c r="AJ389">
        <v>4</v>
      </c>
      <c r="AK389" t="b">
        <f>Table67[[#This Row],[What is your age?]]&lt;&gt;"18 - 25"</f>
        <v>0</v>
      </c>
      <c r="AL389" t="b">
        <f t="shared" si="24"/>
        <v>0</v>
      </c>
      <c r="AM389" t="b">
        <f t="shared" si="25"/>
        <v>0</v>
      </c>
      <c r="AN389" t="b">
        <f t="shared" si="26"/>
        <v>0</v>
      </c>
      <c r="AO389" t="b">
        <f>OR(Table67[[#This Row],[Ineligible respondents]:[Inconsistent response on opposite question (3)]])</f>
        <v>0</v>
      </c>
      <c r="AP38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389">
        <f>Table67[[#This Row],[Extreme Response]]/21</f>
        <v>4.7619047619047616E-2</v>
      </c>
      <c r="AR389">
        <f>_xlfn.PERCENTILE.INC(Table67[Extrem Response Ratio (ERS)],0.9)</f>
        <v>0.61904761904761907</v>
      </c>
      <c r="AS389" t="b">
        <f>Table67[[#This Row],[Extrem Response Ratio (ERS)]]&gt;=Table67[[#This Row],[Threshold of ERS]]</f>
        <v>0</v>
      </c>
      <c r="AT389">
        <f>COUNTIF(Table67[[#This Row],[The mechanism of digital assets is difficult to understand, which discourages me from exploring it (E.g, Tokenization, Blockchain)]:[If I want to try different ways to invest, I will explore digital assets.]], 3)</f>
        <v>3</v>
      </c>
      <c r="AU389">
        <f>Table67[[#This Row],[Midpoint]]/21</f>
        <v>0.14285714285714285</v>
      </c>
      <c r="AV389">
        <f>_xlfn.PERCENTILE.INC(Table67[Midpoint ratio],0.9)</f>
        <v>0.5714285714285714</v>
      </c>
      <c r="AW389" t="b">
        <f>Table67[[#This Row],[Midpoint ratio]]&gt;=Table67[[#This Row],[Threshold of Midpoint ratio]]</f>
        <v>0</v>
      </c>
      <c r="AX389" t="b">
        <f>OR(Table67[[#This Row],[Extreme Response Style]],Table67[[#This Row],[Mid-point Response Style]])</f>
        <v>0</v>
      </c>
      <c r="AY389" t="b">
        <f>OR(Table67[[#This Row],[Delete? (Stage 1)]],Table67[[#This Row],[Delete? (Stage 2)]])</f>
        <v>0</v>
      </c>
      <c r="AZ389" t="s">
        <v>81</v>
      </c>
    </row>
    <row r="390" spans="1:52">
      <c r="A390">
        <f t="shared" si="27"/>
        <v>389</v>
      </c>
      <c r="B390" s="3">
        <v>46042.832013888903</v>
      </c>
      <c r="C390" s="3">
        <v>46042.833854166704</v>
      </c>
      <c r="D390" t="s">
        <v>53</v>
      </c>
      <c r="G390" t="s">
        <v>54</v>
      </c>
      <c r="H390" t="s">
        <v>55</v>
      </c>
      <c r="I390" t="s">
        <v>56</v>
      </c>
      <c r="J390" t="s">
        <v>57</v>
      </c>
      <c r="K390" t="s">
        <v>66</v>
      </c>
      <c r="L390" t="s">
        <v>58</v>
      </c>
      <c r="M390" t="s">
        <v>61</v>
      </c>
      <c r="N390">
        <v>4</v>
      </c>
      <c r="O390">
        <v>3</v>
      </c>
      <c r="P390">
        <v>4</v>
      </c>
      <c r="Q390">
        <v>3</v>
      </c>
      <c r="R390">
        <v>3</v>
      </c>
      <c r="S390">
        <v>4</v>
      </c>
      <c r="T390">
        <v>4</v>
      </c>
      <c r="U390">
        <v>4</v>
      </c>
      <c r="V390">
        <v>4</v>
      </c>
      <c r="W390">
        <v>4</v>
      </c>
      <c r="X390">
        <v>4</v>
      </c>
      <c r="Y390">
        <v>4</v>
      </c>
      <c r="Z390">
        <v>4</v>
      </c>
      <c r="AA390">
        <v>4</v>
      </c>
      <c r="AB390">
        <v>2</v>
      </c>
      <c r="AC390">
        <v>5</v>
      </c>
      <c r="AD390">
        <v>4</v>
      </c>
      <c r="AE390">
        <v>4</v>
      </c>
      <c r="AF390">
        <v>3</v>
      </c>
      <c r="AG390">
        <v>5</v>
      </c>
      <c r="AH390">
        <v>1</v>
      </c>
      <c r="AI390">
        <v>5</v>
      </c>
      <c r="AJ390">
        <v>3</v>
      </c>
      <c r="AK390" t="b">
        <f>Table67[[#This Row],[What is your age?]]&lt;&gt;"18 - 25"</f>
        <v>0</v>
      </c>
      <c r="AL390" t="b">
        <f t="shared" si="24"/>
        <v>0</v>
      </c>
      <c r="AM390" t="b">
        <f t="shared" si="25"/>
        <v>0</v>
      </c>
      <c r="AN390" t="b">
        <f t="shared" si="26"/>
        <v>0</v>
      </c>
      <c r="AO390" t="b">
        <f>OR(Table67[[#This Row],[Ineligible respondents]:[Inconsistent response on opposite question (3)]])</f>
        <v>0</v>
      </c>
      <c r="AP39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390">
        <f>Table67[[#This Row],[Extreme Response]]/21</f>
        <v>0.14285714285714285</v>
      </c>
      <c r="AR390">
        <f>_xlfn.PERCENTILE.INC(Table67[Extrem Response Ratio (ERS)],0.9)</f>
        <v>0.61904761904761907</v>
      </c>
      <c r="AS390" t="b">
        <f>Table67[[#This Row],[Extrem Response Ratio (ERS)]]&gt;=Table67[[#This Row],[Threshold of ERS]]</f>
        <v>0</v>
      </c>
      <c r="AT390">
        <f>COUNTIF(Table67[[#This Row],[The mechanism of digital assets is difficult to understand, which discourages me from exploring it (E.g, Tokenization, Blockchain)]:[If I want to try different ways to invest, I will explore digital assets.]], 3)</f>
        <v>4</v>
      </c>
      <c r="AU390">
        <f>Table67[[#This Row],[Midpoint]]/21</f>
        <v>0.19047619047619047</v>
      </c>
      <c r="AV390">
        <f>_xlfn.PERCENTILE.INC(Table67[Midpoint ratio],0.9)</f>
        <v>0.5714285714285714</v>
      </c>
      <c r="AW390" t="b">
        <f>Table67[[#This Row],[Midpoint ratio]]&gt;=Table67[[#This Row],[Threshold of Midpoint ratio]]</f>
        <v>0</v>
      </c>
      <c r="AX390" t="b">
        <f>OR(Table67[[#This Row],[Extreme Response Style]],Table67[[#This Row],[Mid-point Response Style]])</f>
        <v>0</v>
      </c>
      <c r="AY390" t="b">
        <f>OR(Table67[[#This Row],[Delete? (Stage 1)]],Table67[[#This Row],[Delete? (Stage 2)]])</f>
        <v>0</v>
      </c>
      <c r="AZ390" t="s">
        <v>81</v>
      </c>
    </row>
    <row r="391" spans="1:52">
      <c r="A391">
        <f t="shared" si="27"/>
        <v>390</v>
      </c>
      <c r="B391" s="3">
        <v>46042.861932870401</v>
      </c>
      <c r="C391" s="3">
        <v>46042.862442129597</v>
      </c>
      <c r="D391" t="s">
        <v>53</v>
      </c>
      <c r="G391" t="s">
        <v>54</v>
      </c>
      <c r="H391" t="s">
        <v>55</v>
      </c>
      <c r="I391" t="s">
        <v>56</v>
      </c>
      <c r="J391" t="s">
        <v>57</v>
      </c>
      <c r="K391" t="s">
        <v>57</v>
      </c>
      <c r="L391" t="s">
        <v>58</v>
      </c>
      <c r="M391" t="s">
        <v>58</v>
      </c>
      <c r="N391">
        <v>3</v>
      </c>
      <c r="O391">
        <v>4</v>
      </c>
      <c r="P391">
        <v>2</v>
      </c>
      <c r="Q391">
        <v>4</v>
      </c>
      <c r="R391">
        <v>2</v>
      </c>
      <c r="S391">
        <v>3</v>
      </c>
      <c r="T391">
        <v>4</v>
      </c>
      <c r="U391">
        <v>4</v>
      </c>
      <c r="V391">
        <v>3</v>
      </c>
      <c r="W391">
        <v>4</v>
      </c>
      <c r="X391">
        <v>4</v>
      </c>
      <c r="Y391">
        <v>3</v>
      </c>
      <c r="Z391">
        <v>4</v>
      </c>
      <c r="AA391">
        <v>4</v>
      </c>
      <c r="AB391">
        <v>4</v>
      </c>
      <c r="AC391">
        <v>3</v>
      </c>
      <c r="AD391">
        <v>4</v>
      </c>
      <c r="AE391">
        <v>4</v>
      </c>
      <c r="AF391">
        <v>4</v>
      </c>
      <c r="AG391">
        <v>4</v>
      </c>
      <c r="AH391">
        <v>4</v>
      </c>
      <c r="AI391">
        <v>2</v>
      </c>
      <c r="AJ391">
        <v>2</v>
      </c>
      <c r="AK391" t="b">
        <f>Table67[[#This Row],[What is your age?]]&lt;&gt;"18 - 25"</f>
        <v>0</v>
      </c>
      <c r="AL391" t="b">
        <f t="shared" si="24"/>
        <v>0</v>
      </c>
      <c r="AM391" t="b">
        <f t="shared" si="25"/>
        <v>1</v>
      </c>
      <c r="AN391" t="b">
        <f t="shared" si="26"/>
        <v>0</v>
      </c>
      <c r="AO391" t="b">
        <f>OR(Table67[[#This Row],[Ineligible respondents]:[Inconsistent response on opposite question (3)]])</f>
        <v>1</v>
      </c>
      <c r="AP39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91">
        <f>Table67[[#This Row],[Extreme Response]]/21</f>
        <v>0</v>
      </c>
      <c r="AR391">
        <f>_xlfn.PERCENTILE.INC(Table67[Extrem Response Ratio (ERS)],0.9)</f>
        <v>0.61904761904761907</v>
      </c>
      <c r="AS391" t="b">
        <f>Table67[[#This Row],[Extrem Response Ratio (ERS)]]&gt;=Table67[[#This Row],[Threshold of ERS]]</f>
        <v>0</v>
      </c>
      <c r="AT391">
        <f>COUNTIF(Table67[[#This Row],[The mechanism of digital assets is difficult to understand, which discourages me from exploring it (E.g, Tokenization, Blockchain)]:[If I want to try different ways to invest, I will explore digital assets.]], 3)</f>
        <v>5</v>
      </c>
      <c r="AU391">
        <f>Table67[[#This Row],[Midpoint]]/21</f>
        <v>0.23809523809523808</v>
      </c>
      <c r="AV391">
        <f>_xlfn.PERCENTILE.INC(Table67[Midpoint ratio],0.9)</f>
        <v>0.5714285714285714</v>
      </c>
      <c r="AW391" t="b">
        <f>Table67[[#This Row],[Midpoint ratio]]&gt;=Table67[[#This Row],[Threshold of Midpoint ratio]]</f>
        <v>0</v>
      </c>
      <c r="AX391" t="b">
        <f>OR(Table67[[#This Row],[Extreme Response Style]],Table67[[#This Row],[Mid-point Response Style]])</f>
        <v>0</v>
      </c>
      <c r="AY391" t="b">
        <f>OR(Table67[[#This Row],[Delete? (Stage 1)]],Table67[[#This Row],[Delete? (Stage 2)]])</f>
        <v>1</v>
      </c>
      <c r="AZ391" t="s">
        <v>81</v>
      </c>
    </row>
    <row r="392" spans="1:52">
      <c r="A392">
        <f t="shared" si="27"/>
        <v>391</v>
      </c>
      <c r="B392" s="3">
        <v>46042.886608796303</v>
      </c>
      <c r="C392" s="3">
        <v>46042.887465277803</v>
      </c>
      <c r="D392" t="s">
        <v>53</v>
      </c>
      <c r="G392" t="s">
        <v>54</v>
      </c>
      <c r="H392" t="s">
        <v>55</v>
      </c>
      <c r="I392" t="s">
        <v>56</v>
      </c>
      <c r="J392" t="s">
        <v>57</v>
      </c>
      <c r="K392" t="s">
        <v>57</v>
      </c>
      <c r="L392" t="s">
        <v>58</v>
      </c>
      <c r="M392" t="s">
        <v>61</v>
      </c>
      <c r="N392">
        <v>4</v>
      </c>
      <c r="O392">
        <v>4</v>
      </c>
      <c r="P392">
        <v>4</v>
      </c>
      <c r="Q392">
        <v>4</v>
      </c>
      <c r="R392">
        <v>4</v>
      </c>
      <c r="S392">
        <v>3</v>
      </c>
      <c r="T392">
        <v>2</v>
      </c>
      <c r="U392">
        <v>3</v>
      </c>
      <c r="V392">
        <v>4</v>
      </c>
      <c r="W392">
        <v>4</v>
      </c>
      <c r="X392">
        <v>3</v>
      </c>
      <c r="Y392">
        <v>3</v>
      </c>
      <c r="Z392">
        <v>4</v>
      </c>
      <c r="AA392">
        <v>3</v>
      </c>
      <c r="AB392">
        <v>3</v>
      </c>
      <c r="AC392">
        <v>4</v>
      </c>
      <c r="AD392">
        <v>4</v>
      </c>
      <c r="AE392">
        <v>4</v>
      </c>
      <c r="AF392">
        <v>3</v>
      </c>
      <c r="AG392">
        <v>3</v>
      </c>
      <c r="AH392">
        <v>4</v>
      </c>
      <c r="AI392">
        <v>2</v>
      </c>
      <c r="AJ392">
        <v>3</v>
      </c>
      <c r="AK392" t="b">
        <f>Table67[[#This Row],[What is your age?]]&lt;&gt;"18 - 25"</f>
        <v>0</v>
      </c>
      <c r="AL392" t="b">
        <f t="shared" si="24"/>
        <v>0</v>
      </c>
      <c r="AM392" t="b">
        <f t="shared" si="25"/>
        <v>0</v>
      </c>
      <c r="AN392" t="b">
        <f t="shared" si="26"/>
        <v>1</v>
      </c>
      <c r="AO392" t="b">
        <f>OR(Table67[[#This Row],[Ineligible respondents]:[Inconsistent response on opposite question (3)]])</f>
        <v>1</v>
      </c>
      <c r="AP39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92">
        <f>Table67[[#This Row],[Extreme Response]]/21</f>
        <v>0</v>
      </c>
      <c r="AR392">
        <f>_xlfn.PERCENTILE.INC(Table67[Extrem Response Ratio (ERS)],0.9)</f>
        <v>0.61904761904761907</v>
      </c>
      <c r="AS392" t="b">
        <f>Table67[[#This Row],[Extrem Response Ratio (ERS)]]&gt;=Table67[[#This Row],[Threshold of ERS]]</f>
        <v>0</v>
      </c>
      <c r="AT392">
        <f>COUNTIF(Table67[[#This Row],[The mechanism of digital assets is difficult to understand, which discourages me from exploring it (E.g, Tokenization, Blockchain)]:[If I want to try different ways to invest, I will explore digital assets.]], 3)</f>
        <v>8</v>
      </c>
      <c r="AU392">
        <f>Table67[[#This Row],[Midpoint]]/21</f>
        <v>0.38095238095238093</v>
      </c>
      <c r="AV392">
        <f>_xlfn.PERCENTILE.INC(Table67[Midpoint ratio],0.9)</f>
        <v>0.5714285714285714</v>
      </c>
      <c r="AW392" t="b">
        <f>Table67[[#This Row],[Midpoint ratio]]&gt;=Table67[[#This Row],[Threshold of Midpoint ratio]]</f>
        <v>0</v>
      </c>
      <c r="AX392" t="b">
        <f>OR(Table67[[#This Row],[Extreme Response Style]],Table67[[#This Row],[Mid-point Response Style]])</f>
        <v>0</v>
      </c>
      <c r="AY392" t="b">
        <f>OR(Table67[[#This Row],[Delete? (Stage 1)]],Table67[[#This Row],[Delete? (Stage 2)]])</f>
        <v>1</v>
      </c>
      <c r="AZ392" t="s">
        <v>81</v>
      </c>
    </row>
    <row r="393" spans="1:52">
      <c r="A393">
        <f t="shared" si="27"/>
        <v>392</v>
      </c>
      <c r="B393" s="3">
        <v>46042.984386574099</v>
      </c>
      <c r="C393" s="3">
        <v>46042.986157407402</v>
      </c>
      <c r="D393" t="s">
        <v>53</v>
      </c>
      <c r="G393" t="s">
        <v>54</v>
      </c>
      <c r="H393" t="s">
        <v>63</v>
      </c>
      <c r="I393" t="s">
        <v>56</v>
      </c>
      <c r="J393" t="s">
        <v>57</v>
      </c>
      <c r="K393" t="s">
        <v>57</v>
      </c>
      <c r="L393" t="s">
        <v>58</v>
      </c>
      <c r="M393" t="s">
        <v>58</v>
      </c>
      <c r="N393">
        <v>4</v>
      </c>
      <c r="O393">
        <v>3</v>
      </c>
      <c r="P393">
        <v>4</v>
      </c>
      <c r="Q393">
        <v>4</v>
      </c>
      <c r="R393">
        <v>5</v>
      </c>
      <c r="S393">
        <v>5</v>
      </c>
      <c r="T393">
        <v>5</v>
      </c>
      <c r="U393">
        <v>5</v>
      </c>
      <c r="V393">
        <v>5</v>
      </c>
      <c r="W393">
        <v>5</v>
      </c>
      <c r="X393">
        <v>5</v>
      </c>
      <c r="Y393">
        <v>5</v>
      </c>
      <c r="Z393">
        <v>5</v>
      </c>
      <c r="AA393">
        <v>4</v>
      </c>
      <c r="AB393">
        <v>4</v>
      </c>
      <c r="AC393">
        <v>5</v>
      </c>
      <c r="AD393">
        <v>4</v>
      </c>
      <c r="AE393">
        <v>5</v>
      </c>
      <c r="AF393">
        <v>2</v>
      </c>
      <c r="AG393">
        <v>4</v>
      </c>
      <c r="AH393">
        <v>4</v>
      </c>
      <c r="AI393">
        <v>2</v>
      </c>
      <c r="AJ393">
        <v>4</v>
      </c>
      <c r="AK393" t="b">
        <f>Table67[[#This Row],[What is your age?]]&lt;&gt;"18 - 25"</f>
        <v>0</v>
      </c>
      <c r="AL393" t="b">
        <f t="shared" si="24"/>
        <v>0</v>
      </c>
      <c r="AM393" t="b">
        <f t="shared" si="25"/>
        <v>1</v>
      </c>
      <c r="AN393" t="b">
        <f t="shared" si="26"/>
        <v>0</v>
      </c>
      <c r="AO393" t="b">
        <f>OR(Table67[[#This Row],[Ineligible respondents]:[Inconsistent response on opposite question (3)]])</f>
        <v>1</v>
      </c>
      <c r="AP39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393">
        <f>Table67[[#This Row],[Extreme Response]]/21</f>
        <v>0.52380952380952384</v>
      </c>
      <c r="AR393">
        <f>_xlfn.PERCENTILE.INC(Table67[Extrem Response Ratio (ERS)],0.9)</f>
        <v>0.61904761904761907</v>
      </c>
      <c r="AS393" t="b">
        <f>Table67[[#This Row],[Extrem Response Ratio (ERS)]]&gt;=Table67[[#This Row],[Threshold of ERS]]</f>
        <v>0</v>
      </c>
      <c r="AT393">
        <f>COUNTIF(Table67[[#This Row],[The mechanism of digital assets is difficult to understand, which discourages me from exploring it (E.g, Tokenization, Blockchain)]:[If I want to try different ways to invest, I will explore digital assets.]], 3)</f>
        <v>1</v>
      </c>
      <c r="AU393">
        <f>Table67[[#This Row],[Midpoint]]/21</f>
        <v>4.7619047619047616E-2</v>
      </c>
      <c r="AV393">
        <f>_xlfn.PERCENTILE.INC(Table67[Midpoint ratio],0.9)</f>
        <v>0.5714285714285714</v>
      </c>
      <c r="AW393" t="b">
        <f>Table67[[#This Row],[Midpoint ratio]]&gt;=Table67[[#This Row],[Threshold of Midpoint ratio]]</f>
        <v>0</v>
      </c>
      <c r="AX393" t="b">
        <f>OR(Table67[[#This Row],[Extreme Response Style]],Table67[[#This Row],[Mid-point Response Style]])</f>
        <v>0</v>
      </c>
      <c r="AY393" t="b">
        <f>OR(Table67[[#This Row],[Delete? (Stage 1)]],Table67[[#This Row],[Delete? (Stage 2)]])</f>
        <v>1</v>
      </c>
      <c r="AZ393" t="s">
        <v>81</v>
      </c>
    </row>
    <row r="394" spans="1:52">
      <c r="A394">
        <f t="shared" si="27"/>
        <v>393</v>
      </c>
      <c r="B394" s="3">
        <v>46043.039618055598</v>
      </c>
      <c r="C394" s="3">
        <v>46043.041365740697</v>
      </c>
      <c r="D394" t="s">
        <v>53</v>
      </c>
      <c r="G394" t="s">
        <v>54</v>
      </c>
      <c r="H394" t="s">
        <v>55</v>
      </c>
      <c r="I394" t="s">
        <v>56</v>
      </c>
      <c r="J394" t="s">
        <v>60</v>
      </c>
      <c r="K394" t="s">
        <v>57</v>
      </c>
      <c r="L394" t="s">
        <v>61</v>
      </c>
      <c r="M394" t="s">
        <v>61</v>
      </c>
      <c r="N394">
        <v>4</v>
      </c>
      <c r="O394">
        <v>2</v>
      </c>
      <c r="P394">
        <v>5</v>
      </c>
      <c r="Q394">
        <v>5</v>
      </c>
      <c r="R394">
        <v>4</v>
      </c>
      <c r="S394">
        <v>5</v>
      </c>
      <c r="T394">
        <v>5</v>
      </c>
      <c r="U394">
        <v>5</v>
      </c>
      <c r="V394">
        <v>4</v>
      </c>
      <c r="W394">
        <v>4</v>
      </c>
      <c r="X394">
        <v>3</v>
      </c>
      <c r="Y394">
        <v>4</v>
      </c>
      <c r="Z394">
        <v>4</v>
      </c>
      <c r="AA394">
        <v>4</v>
      </c>
      <c r="AB394">
        <v>4</v>
      </c>
      <c r="AC394">
        <v>5</v>
      </c>
      <c r="AD394">
        <v>5</v>
      </c>
      <c r="AE394">
        <v>4</v>
      </c>
      <c r="AF394">
        <v>2</v>
      </c>
      <c r="AG394">
        <v>4</v>
      </c>
      <c r="AH394">
        <v>3</v>
      </c>
      <c r="AI394">
        <v>3</v>
      </c>
      <c r="AJ394">
        <v>4</v>
      </c>
      <c r="AK394" t="b">
        <f>Table67[[#This Row],[What is your age?]]&lt;&gt;"18 - 25"</f>
        <v>0</v>
      </c>
      <c r="AL394" t="b">
        <f t="shared" si="24"/>
        <v>0</v>
      </c>
      <c r="AM394" t="b">
        <f t="shared" si="25"/>
        <v>0</v>
      </c>
      <c r="AN394" t="b">
        <f t="shared" si="26"/>
        <v>1</v>
      </c>
      <c r="AO394" t="b">
        <f>OR(Table67[[#This Row],[Ineligible respondents]:[Inconsistent response on opposite question (3)]])</f>
        <v>1</v>
      </c>
      <c r="AP39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394">
        <f>Table67[[#This Row],[Extreme Response]]/21</f>
        <v>0.33333333333333331</v>
      </c>
      <c r="AR394">
        <f>_xlfn.PERCENTILE.INC(Table67[Extrem Response Ratio (ERS)],0.9)</f>
        <v>0.61904761904761907</v>
      </c>
      <c r="AS394" t="b">
        <f>Table67[[#This Row],[Extrem Response Ratio (ERS)]]&gt;=Table67[[#This Row],[Threshold of ERS]]</f>
        <v>0</v>
      </c>
      <c r="AT394">
        <f>COUNTIF(Table67[[#This Row],[The mechanism of digital assets is difficult to understand, which discourages me from exploring it (E.g, Tokenization, Blockchain)]:[If I want to try different ways to invest, I will explore digital assets.]], 3)</f>
        <v>2</v>
      </c>
      <c r="AU394">
        <f>Table67[[#This Row],[Midpoint]]/21</f>
        <v>9.5238095238095233E-2</v>
      </c>
      <c r="AV394">
        <f>_xlfn.PERCENTILE.INC(Table67[Midpoint ratio],0.9)</f>
        <v>0.5714285714285714</v>
      </c>
      <c r="AW394" t="b">
        <f>Table67[[#This Row],[Midpoint ratio]]&gt;=Table67[[#This Row],[Threshold of Midpoint ratio]]</f>
        <v>0</v>
      </c>
      <c r="AX394" t="b">
        <f>OR(Table67[[#This Row],[Extreme Response Style]],Table67[[#This Row],[Mid-point Response Style]])</f>
        <v>0</v>
      </c>
      <c r="AY394" t="b">
        <f>OR(Table67[[#This Row],[Delete? (Stage 1)]],Table67[[#This Row],[Delete? (Stage 2)]])</f>
        <v>1</v>
      </c>
      <c r="AZ394" t="s">
        <v>81</v>
      </c>
    </row>
    <row r="395" spans="1:52">
      <c r="A395">
        <f t="shared" si="27"/>
        <v>394</v>
      </c>
      <c r="B395" s="3">
        <v>46043.5007638889</v>
      </c>
      <c r="C395" s="3">
        <v>46043.503159722197</v>
      </c>
      <c r="D395" t="s">
        <v>53</v>
      </c>
      <c r="G395" t="s">
        <v>54</v>
      </c>
      <c r="H395" t="s">
        <v>63</v>
      </c>
      <c r="I395" t="s">
        <v>56</v>
      </c>
      <c r="J395" t="s">
        <v>62</v>
      </c>
      <c r="K395" t="s">
        <v>57</v>
      </c>
      <c r="L395" t="s">
        <v>58</v>
      </c>
      <c r="M395" t="s">
        <v>61</v>
      </c>
      <c r="N395">
        <v>4</v>
      </c>
      <c r="O395">
        <v>2</v>
      </c>
      <c r="P395">
        <v>3</v>
      </c>
      <c r="Q395">
        <v>3</v>
      </c>
      <c r="R395">
        <v>2</v>
      </c>
      <c r="S395">
        <v>4</v>
      </c>
      <c r="T395">
        <v>2</v>
      </c>
      <c r="U395">
        <v>4</v>
      </c>
      <c r="V395">
        <v>4</v>
      </c>
      <c r="W395">
        <v>4</v>
      </c>
      <c r="X395">
        <v>2</v>
      </c>
      <c r="Y395">
        <v>4</v>
      </c>
      <c r="Z395">
        <v>4</v>
      </c>
      <c r="AA395">
        <v>4</v>
      </c>
      <c r="AB395">
        <v>3</v>
      </c>
      <c r="AC395">
        <v>2</v>
      </c>
      <c r="AD395">
        <v>4</v>
      </c>
      <c r="AE395">
        <v>4</v>
      </c>
      <c r="AF395">
        <v>4</v>
      </c>
      <c r="AG395">
        <v>2</v>
      </c>
      <c r="AH395">
        <v>3</v>
      </c>
      <c r="AI395">
        <v>3</v>
      </c>
      <c r="AJ395">
        <v>2</v>
      </c>
      <c r="AK395" t="b">
        <f>Table67[[#This Row],[What is your age?]]&lt;&gt;"18 - 25"</f>
        <v>0</v>
      </c>
      <c r="AL395" t="b">
        <f t="shared" si="24"/>
        <v>0</v>
      </c>
      <c r="AM395" t="b">
        <f t="shared" si="25"/>
        <v>0</v>
      </c>
      <c r="AN395" t="b">
        <f t="shared" si="26"/>
        <v>1</v>
      </c>
      <c r="AO395" t="b">
        <f>OR(Table67[[#This Row],[Ineligible respondents]:[Inconsistent response on opposite question (3)]])</f>
        <v>1</v>
      </c>
      <c r="AP39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95">
        <f>Table67[[#This Row],[Extreme Response]]/21</f>
        <v>0</v>
      </c>
      <c r="AR395">
        <f>_xlfn.PERCENTILE.INC(Table67[Extrem Response Ratio (ERS)],0.9)</f>
        <v>0.61904761904761907</v>
      </c>
      <c r="AS395" t="b">
        <f>Table67[[#This Row],[Extrem Response Ratio (ERS)]]&gt;=Table67[[#This Row],[Threshold of ERS]]</f>
        <v>0</v>
      </c>
      <c r="AT395">
        <f>COUNTIF(Table67[[#This Row],[The mechanism of digital assets is difficult to understand, which discourages me from exploring it (E.g, Tokenization, Blockchain)]:[If I want to try different ways to invest, I will explore digital assets.]], 3)</f>
        <v>4</v>
      </c>
      <c r="AU395">
        <f>Table67[[#This Row],[Midpoint]]/21</f>
        <v>0.19047619047619047</v>
      </c>
      <c r="AV395">
        <f>_xlfn.PERCENTILE.INC(Table67[Midpoint ratio],0.9)</f>
        <v>0.5714285714285714</v>
      </c>
      <c r="AW395" t="b">
        <f>Table67[[#This Row],[Midpoint ratio]]&gt;=Table67[[#This Row],[Threshold of Midpoint ratio]]</f>
        <v>0</v>
      </c>
      <c r="AX395" t="b">
        <f>OR(Table67[[#This Row],[Extreme Response Style]],Table67[[#This Row],[Mid-point Response Style]])</f>
        <v>0</v>
      </c>
      <c r="AY395" t="b">
        <f>OR(Table67[[#This Row],[Delete? (Stage 1)]],Table67[[#This Row],[Delete? (Stage 2)]])</f>
        <v>1</v>
      </c>
      <c r="AZ395" t="s">
        <v>81</v>
      </c>
    </row>
    <row r="396" spans="1:52">
      <c r="A396">
        <f t="shared" si="27"/>
        <v>395</v>
      </c>
      <c r="B396" s="3">
        <v>46043.500914351796</v>
      </c>
      <c r="C396" s="3">
        <v>46043.5020717593</v>
      </c>
      <c r="D396" t="s">
        <v>53</v>
      </c>
      <c r="G396" t="s">
        <v>54</v>
      </c>
      <c r="H396" t="s">
        <v>55</v>
      </c>
      <c r="I396" t="s">
        <v>71</v>
      </c>
      <c r="J396" t="s">
        <v>57</v>
      </c>
      <c r="K396" t="s">
        <v>62</v>
      </c>
      <c r="L396" t="s">
        <v>58</v>
      </c>
      <c r="M396" t="s">
        <v>58</v>
      </c>
      <c r="N396">
        <v>3</v>
      </c>
      <c r="O396">
        <v>3</v>
      </c>
      <c r="P396">
        <v>3</v>
      </c>
      <c r="Q396">
        <v>3</v>
      </c>
      <c r="R396">
        <v>3</v>
      </c>
      <c r="S396">
        <v>3</v>
      </c>
      <c r="T396">
        <v>3</v>
      </c>
      <c r="U396">
        <v>3</v>
      </c>
      <c r="V396">
        <v>3</v>
      </c>
      <c r="W396">
        <v>3</v>
      </c>
      <c r="X396">
        <v>3</v>
      </c>
      <c r="Y396">
        <v>3</v>
      </c>
      <c r="Z396">
        <v>3</v>
      </c>
      <c r="AA396">
        <v>3</v>
      </c>
      <c r="AB396">
        <v>3</v>
      </c>
      <c r="AC396">
        <v>3</v>
      </c>
      <c r="AD396">
        <v>3</v>
      </c>
      <c r="AE396">
        <v>3</v>
      </c>
      <c r="AF396">
        <v>3</v>
      </c>
      <c r="AG396">
        <v>3</v>
      </c>
      <c r="AH396">
        <v>3</v>
      </c>
      <c r="AI396">
        <v>3</v>
      </c>
      <c r="AJ396">
        <v>3</v>
      </c>
      <c r="AK396" t="b">
        <f>Table67[[#This Row],[What is your age?]]&lt;&gt;"18 - 25"</f>
        <v>0</v>
      </c>
      <c r="AL396" t="b">
        <f t="shared" si="24"/>
        <v>1</v>
      </c>
      <c r="AM396" t="b">
        <f t="shared" si="25"/>
        <v>0</v>
      </c>
      <c r="AN396" t="b">
        <f t="shared" si="26"/>
        <v>0</v>
      </c>
      <c r="AO396" t="b">
        <f>OR(Table67[[#This Row],[Ineligible respondents]:[Inconsistent response on opposite question (3)]])</f>
        <v>1</v>
      </c>
      <c r="AP39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96">
        <f>Table67[[#This Row],[Extreme Response]]/21</f>
        <v>0</v>
      </c>
      <c r="AR396">
        <f>_xlfn.PERCENTILE.INC(Table67[Extrem Response Ratio (ERS)],0.9)</f>
        <v>0.61904761904761907</v>
      </c>
      <c r="AS396" t="b">
        <f>Table67[[#This Row],[Extrem Response Ratio (ERS)]]&gt;=Table67[[#This Row],[Threshold of ERS]]</f>
        <v>0</v>
      </c>
      <c r="AT396">
        <f>COUNTIF(Table67[[#This Row],[The mechanism of digital assets is difficult to understand, which discourages me from exploring it (E.g, Tokenization, Blockchain)]:[If I want to try different ways to invest, I will explore digital assets.]], 3)</f>
        <v>21</v>
      </c>
      <c r="AU396">
        <f>Table67[[#This Row],[Midpoint]]/21</f>
        <v>1</v>
      </c>
      <c r="AV396">
        <f>_xlfn.PERCENTILE.INC(Table67[Midpoint ratio],0.9)</f>
        <v>0.5714285714285714</v>
      </c>
      <c r="AW396" t="b">
        <f>Table67[[#This Row],[Midpoint ratio]]&gt;=Table67[[#This Row],[Threshold of Midpoint ratio]]</f>
        <v>1</v>
      </c>
      <c r="AX396" t="b">
        <f>OR(Table67[[#This Row],[Extreme Response Style]],Table67[[#This Row],[Mid-point Response Style]])</f>
        <v>1</v>
      </c>
      <c r="AY396" t="b">
        <f>OR(Table67[[#This Row],[Delete? (Stage 1)]],Table67[[#This Row],[Delete? (Stage 2)]])</f>
        <v>1</v>
      </c>
      <c r="AZ396" t="s">
        <v>81</v>
      </c>
    </row>
    <row r="397" spans="1:52">
      <c r="A397">
        <f t="shared" si="27"/>
        <v>396</v>
      </c>
      <c r="B397" s="3">
        <v>46043.501342592601</v>
      </c>
      <c r="C397" s="3">
        <v>46043.503020833297</v>
      </c>
      <c r="D397" t="s">
        <v>53</v>
      </c>
      <c r="G397" t="s">
        <v>54</v>
      </c>
      <c r="H397" t="s">
        <v>63</v>
      </c>
      <c r="I397" t="s">
        <v>56</v>
      </c>
      <c r="J397" t="s">
        <v>60</v>
      </c>
      <c r="K397" t="s">
        <v>57</v>
      </c>
      <c r="L397" t="s">
        <v>61</v>
      </c>
      <c r="M397" t="s">
        <v>61</v>
      </c>
      <c r="N397">
        <v>4</v>
      </c>
      <c r="O397">
        <v>2</v>
      </c>
      <c r="P397">
        <v>4</v>
      </c>
      <c r="Q397">
        <v>3</v>
      </c>
      <c r="R397">
        <v>3</v>
      </c>
      <c r="S397">
        <v>3</v>
      </c>
      <c r="T397">
        <v>3</v>
      </c>
      <c r="U397">
        <v>3</v>
      </c>
      <c r="V397">
        <v>3</v>
      </c>
      <c r="W397">
        <v>3</v>
      </c>
      <c r="X397">
        <v>4</v>
      </c>
      <c r="Y397">
        <v>3</v>
      </c>
      <c r="Z397">
        <v>3</v>
      </c>
      <c r="AA397">
        <v>3</v>
      </c>
      <c r="AB397">
        <v>3</v>
      </c>
      <c r="AC397">
        <v>4</v>
      </c>
      <c r="AD397">
        <v>3</v>
      </c>
      <c r="AE397">
        <v>3</v>
      </c>
      <c r="AF397">
        <v>3</v>
      </c>
      <c r="AG397">
        <v>3</v>
      </c>
      <c r="AH397">
        <v>3</v>
      </c>
      <c r="AI397">
        <v>3</v>
      </c>
      <c r="AJ397">
        <v>3</v>
      </c>
      <c r="AK397" t="b">
        <f>Table67[[#This Row],[What is your age?]]&lt;&gt;"18 - 25"</f>
        <v>0</v>
      </c>
      <c r="AL397" t="b">
        <f t="shared" si="24"/>
        <v>0</v>
      </c>
      <c r="AM397" t="b">
        <f t="shared" si="25"/>
        <v>0</v>
      </c>
      <c r="AN397" t="b">
        <f t="shared" si="26"/>
        <v>0</v>
      </c>
      <c r="AO397" t="b">
        <f>OR(Table67[[#This Row],[Ineligible respondents]:[Inconsistent response on opposite question (3)]])</f>
        <v>0</v>
      </c>
      <c r="AP39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97">
        <f>Table67[[#This Row],[Extreme Response]]/21</f>
        <v>0</v>
      </c>
      <c r="AR397">
        <f>_xlfn.PERCENTILE.INC(Table67[Extrem Response Ratio (ERS)],0.9)</f>
        <v>0.61904761904761907</v>
      </c>
      <c r="AS397" t="b">
        <f>Table67[[#This Row],[Extrem Response Ratio (ERS)]]&gt;=Table67[[#This Row],[Threshold of ERS]]</f>
        <v>0</v>
      </c>
      <c r="AT397">
        <f>COUNTIF(Table67[[#This Row],[The mechanism of digital assets is difficult to understand, which discourages me from exploring it (E.g, Tokenization, Blockchain)]:[If I want to try different ways to invest, I will explore digital assets.]], 3)</f>
        <v>16</v>
      </c>
      <c r="AU397">
        <f>Table67[[#This Row],[Midpoint]]/21</f>
        <v>0.76190476190476186</v>
      </c>
      <c r="AV397">
        <f>_xlfn.PERCENTILE.INC(Table67[Midpoint ratio],0.9)</f>
        <v>0.5714285714285714</v>
      </c>
      <c r="AW397" t="b">
        <f>Table67[[#This Row],[Midpoint ratio]]&gt;=Table67[[#This Row],[Threshold of Midpoint ratio]]</f>
        <v>1</v>
      </c>
      <c r="AX397" t="b">
        <f>OR(Table67[[#This Row],[Extreme Response Style]],Table67[[#This Row],[Mid-point Response Style]])</f>
        <v>1</v>
      </c>
      <c r="AY397" t="b">
        <f>OR(Table67[[#This Row],[Delete? (Stage 1)]],Table67[[#This Row],[Delete? (Stage 2)]])</f>
        <v>1</v>
      </c>
      <c r="AZ397" t="s">
        <v>81</v>
      </c>
    </row>
    <row r="398" spans="1:52">
      <c r="A398">
        <f t="shared" si="27"/>
        <v>397</v>
      </c>
      <c r="B398" s="3">
        <v>46043.5047569444</v>
      </c>
      <c r="C398" s="3">
        <v>46043.5080787037</v>
      </c>
      <c r="D398" t="s">
        <v>53</v>
      </c>
      <c r="G398" t="s">
        <v>54</v>
      </c>
      <c r="H398" t="s">
        <v>63</v>
      </c>
      <c r="I398" t="s">
        <v>56</v>
      </c>
      <c r="J398" t="s">
        <v>62</v>
      </c>
      <c r="K398" t="s">
        <v>57</v>
      </c>
      <c r="L398" t="s">
        <v>58</v>
      </c>
      <c r="M398" t="s">
        <v>58</v>
      </c>
      <c r="N398">
        <v>3</v>
      </c>
      <c r="O398">
        <v>1</v>
      </c>
      <c r="P398">
        <v>4</v>
      </c>
      <c r="Q398">
        <v>4</v>
      </c>
      <c r="R398">
        <v>1</v>
      </c>
      <c r="S398">
        <v>2</v>
      </c>
      <c r="T398">
        <v>5</v>
      </c>
      <c r="U398">
        <v>5</v>
      </c>
      <c r="V398">
        <v>5</v>
      </c>
      <c r="W398">
        <v>4</v>
      </c>
      <c r="X398">
        <v>3</v>
      </c>
      <c r="Y398">
        <v>2</v>
      </c>
      <c r="Z398">
        <v>3</v>
      </c>
      <c r="AA398">
        <v>4</v>
      </c>
      <c r="AB398">
        <v>2</v>
      </c>
      <c r="AC398">
        <v>4</v>
      </c>
      <c r="AD398">
        <v>4</v>
      </c>
      <c r="AE398">
        <v>1</v>
      </c>
      <c r="AF398">
        <v>2</v>
      </c>
      <c r="AG398">
        <v>4</v>
      </c>
      <c r="AH398">
        <v>4</v>
      </c>
      <c r="AI398">
        <v>2</v>
      </c>
      <c r="AJ398">
        <v>4</v>
      </c>
      <c r="AK398" t="b">
        <f>Table67[[#This Row],[What is your age?]]&lt;&gt;"18 - 25"</f>
        <v>0</v>
      </c>
      <c r="AL398" t="b">
        <f t="shared" si="24"/>
        <v>0</v>
      </c>
      <c r="AM398" t="b">
        <f t="shared" si="25"/>
        <v>1</v>
      </c>
      <c r="AN398" t="b">
        <f t="shared" si="26"/>
        <v>0</v>
      </c>
      <c r="AO398" t="b">
        <f>OR(Table67[[#This Row],[Ineligible respondents]:[Inconsistent response on opposite question (3)]])</f>
        <v>1</v>
      </c>
      <c r="AP39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398">
        <f>Table67[[#This Row],[Extreme Response]]/21</f>
        <v>0.2857142857142857</v>
      </c>
      <c r="AR398">
        <f>_xlfn.PERCENTILE.INC(Table67[Extrem Response Ratio (ERS)],0.9)</f>
        <v>0.61904761904761907</v>
      </c>
      <c r="AS398" t="b">
        <f>Table67[[#This Row],[Extrem Response Ratio (ERS)]]&gt;=Table67[[#This Row],[Threshold of ERS]]</f>
        <v>0</v>
      </c>
      <c r="AT398">
        <f>COUNTIF(Table67[[#This Row],[The mechanism of digital assets is difficult to understand, which discourages me from exploring it (E.g, Tokenization, Blockchain)]:[If I want to try different ways to invest, I will explore digital assets.]], 3)</f>
        <v>3</v>
      </c>
      <c r="AU398">
        <f>Table67[[#This Row],[Midpoint]]/21</f>
        <v>0.14285714285714285</v>
      </c>
      <c r="AV398">
        <f>_xlfn.PERCENTILE.INC(Table67[Midpoint ratio],0.9)</f>
        <v>0.5714285714285714</v>
      </c>
      <c r="AW398" t="b">
        <f>Table67[[#This Row],[Midpoint ratio]]&gt;=Table67[[#This Row],[Threshold of Midpoint ratio]]</f>
        <v>0</v>
      </c>
      <c r="AX398" t="b">
        <f>OR(Table67[[#This Row],[Extreme Response Style]],Table67[[#This Row],[Mid-point Response Style]])</f>
        <v>0</v>
      </c>
      <c r="AY398" t="b">
        <f>OR(Table67[[#This Row],[Delete? (Stage 1)]],Table67[[#This Row],[Delete? (Stage 2)]])</f>
        <v>1</v>
      </c>
      <c r="AZ398" t="s">
        <v>81</v>
      </c>
    </row>
    <row r="399" spans="1:52">
      <c r="A399">
        <f t="shared" si="27"/>
        <v>398</v>
      </c>
      <c r="B399" s="3">
        <v>46043.510659722197</v>
      </c>
      <c r="C399" s="3">
        <v>46043.513275463003</v>
      </c>
      <c r="D399" t="s">
        <v>53</v>
      </c>
      <c r="G399" t="s">
        <v>54</v>
      </c>
      <c r="H399" t="s">
        <v>55</v>
      </c>
      <c r="I399" t="s">
        <v>56</v>
      </c>
      <c r="J399" t="s">
        <v>62</v>
      </c>
      <c r="K399" t="s">
        <v>64</v>
      </c>
      <c r="L399" t="s">
        <v>61</v>
      </c>
      <c r="M399" t="s">
        <v>61</v>
      </c>
      <c r="N399">
        <v>3</v>
      </c>
      <c r="O399">
        <v>3</v>
      </c>
      <c r="P399">
        <v>3</v>
      </c>
      <c r="Q399">
        <v>3</v>
      </c>
      <c r="R399">
        <v>3</v>
      </c>
      <c r="S399">
        <v>3</v>
      </c>
      <c r="T399">
        <v>3</v>
      </c>
      <c r="U399">
        <v>3</v>
      </c>
      <c r="V399">
        <v>3</v>
      </c>
      <c r="W399">
        <v>3</v>
      </c>
      <c r="X399">
        <v>2</v>
      </c>
      <c r="Y399">
        <v>4</v>
      </c>
      <c r="Z399">
        <v>4</v>
      </c>
      <c r="AA399">
        <v>3</v>
      </c>
      <c r="AB399">
        <v>2</v>
      </c>
      <c r="AC399">
        <v>3</v>
      </c>
      <c r="AD399">
        <v>3</v>
      </c>
      <c r="AE399">
        <v>2</v>
      </c>
      <c r="AF399">
        <v>3</v>
      </c>
      <c r="AG399">
        <v>3</v>
      </c>
      <c r="AH399">
        <v>3</v>
      </c>
      <c r="AI399">
        <v>3</v>
      </c>
      <c r="AJ399">
        <v>3</v>
      </c>
      <c r="AK399" t="b">
        <f>Table67[[#This Row],[What is your age?]]&lt;&gt;"18 - 25"</f>
        <v>0</v>
      </c>
      <c r="AL399" t="b">
        <f t="shared" si="24"/>
        <v>0</v>
      </c>
      <c r="AM399" t="b">
        <f t="shared" si="25"/>
        <v>0</v>
      </c>
      <c r="AN399" t="b">
        <f t="shared" si="26"/>
        <v>0</v>
      </c>
      <c r="AO399" t="b">
        <f>OR(Table67[[#This Row],[Ineligible respondents]:[Inconsistent response on opposite question (3)]])</f>
        <v>0</v>
      </c>
      <c r="AP39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399">
        <f>Table67[[#This Row],[Extreme Response]]/21</f>
        <v>0</v>
      </c>
      <c r="AR399">
        <f>_xlfn.PERCENTILE.INC(Table67[Extrem Response Ratio (ERS)],0.9)</f>
        <v>0.61904761904761907</v>
      </c>
      <c r="AS399" t="b">
        <f>Table67[[#This Row],[Extrem Response Ratio (ERS)]]&gt;=Table67[[#This Row],[Threshold of ERS]]</f>
        <v>0</v>
      </c>
      <c r="AT399">
        <f>COUNTIF(Table67[[#This Row],[The mechanism of digital assets is difficult to understand, which discourages me from exploring it (E.g, Tokenization, Blockchain)]:[If I want to try different ways to invest, I will explore digital assets.]], 3)</f>
        <v>16</v>
      </c>
      <c r="AU399">
        <f>Table67[[#This Row],[Midpoint]]/21</f>
        <v>0.76190476190476186</v>
      </c>
      <c r="AV399">
        <f>_xlfn.PERCENTILE.INC(Table67[Midpoint ratio],0.9)</f>
        <v>0.5714285714285714</v>
      </c>
      <c r="AW399" t="b">
        <f>Table67[[#This Row],[Midpoint ratio]]&gt;=Table67[[#This Row],[Threshold of Midpoint ratio]]</f>
        <v>1</v>
      </c>
      <c r="AX399" t="b">
        <f>OR(Table67[[#This Row],[Extreme Response Style]],Table67[[#This Row],[Mid-point Response Style]])</f>
        <v>1</v>
      </c>
      <c r="AY399" t="b">
        <f>OR(Table67[[#This Row],[Delete? (Stage 1)]],Table67[[#This Row],[Delete? (Stage 2)]])</f>
        <v>1</v>
      </c>
      <c r="AZ399" t="s">
        <v>81</v>
      </c>
    </row>
    <row r="400" spans="1:52">
      <c r="A400">
        <f t="shared" si="27"/>
        <v>399</v>
      </c>
      <c r="B400" s="3">
        <v>46043.510833333297</v>
      </c>
      <c r="C400" s="3">
        <v>46043.512060185203</v>
      </c>
      <c r="D400" t="s">
        <v>53</v>
      </c>
      <c r="G400" t="s">
        <v>54</v>
      </c>
      <c r="H400" t="s">
        <v>55</v>
      </c>
      <c r="I400" t="s">
        <v>56</v>
      </c>
      <c r="J400" t="s">
        <v>62</v>
      </c>
      <c r="K400" t="s">
        <v>57</v>
      </c>
      <c r="L400" t="s">
        <v>58</v>
      </c>
      <c r="M400" t="s">
        <v>61</v>
      </c>
      <c r="N400">
        <v>4</v>
      </c>
      <c r="O400">
        <v>3</v>
      </c>
      <c r="P400">
        <v>4</v>
      </c>
      <c r="Q400">
        <v>4</v>
      </c>
      <c r="R400">
        <v>4</v>
      </c>
      <c r="S400">
        <v>4</v>
      </c>
      <c r="T400">
        <v>4</v>
      </c>
      <c r="U400">
        <v>4</v>
      </c>
      <c r="V400">
        <v>4</v>
      </c>
      <c r="W400">
        <v>4</v>
      </c>
      <c r="X400">
        <v>4</v>
      </c>
      <c r="Y400">
        <v>4</v>
      </c>
      <c r="Z400">
        <v>4</v>
      </c>
      <c r="AA400">
        <v>4</v>
      </c>
      <c r="AB400">
        <v>4</v>
      </c>
      <c r="AC400">
        <v>4</v>
      </c>
      <c r="AD400">
        <v>2</v>
      </c>
      <c r="AE400">
        <v>2</v>
      </c>
      <c r="AF400">
        <v>3</v>
      </c>
      <c r="AG400">
        <v>2</v>
      </c>
      <c r="AH400">
        <v>2</v>
      </c>
      <c r="AI400">
        <v>4</v>
      </c>
      <c r="AJ400">
        <v>3</v>
      </c>
      <c r="AK400" t="b">
        <f>Table67[[#This Row],[What is your age?]]&lt;&gt;"18 - 25"</f>
        <v>0</v>
      </c>
      <c r="AL400" t="b">
        <f t="shared" si="24"/>
        <v>0</v>
      </c>
      <c r="AM400" t="b">
        <f t="shared" si="25"/>
        <v>1</v>
      </c>
      <c r="AN400" t="b">
        <f t="shared" si="26"/>
        <v>0</v>
      </c>
      <c r="AO400" t="b">
        <f>OR(Table67[[#This Row],[Ineligible respondents]:[Inconsistent response on opposite question (3)]])</f>
        <v>1</v>
      </c>
      <c r="AP40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00">
        <f>Table67[[#This Row],[Extreme Response]]/21</f>
        <v>0</v>
      </c>
      <c r="AR400">
        <f>_xlfn.PERCENTILE.INC(Table67[Extrem Response Ratio (ERS)],0.9)</f>
        <v>0.61904761904761907</v>
      </c>
      <c r="AS400" t="b">
        <f>Table67[[#This Row],[Extrem Response Ratio (ERS)]]&gt;=Table67[[#This Row],[Threshold of ERS]]</f>
        <v>0</v>
      </c>
      <c r="AT400">
        <f>COUNTIF(Table67[[#This Row],[The mechanism of digital assets is difficult to understand, which discourages me from exploring it (E.g, Tokenization, Blockchain)]:[If I want to try different ways to invest, I will explore digital assets.]], 3)</f>
        <v>2</v>
      </c>
      <c r="AU400">
        <f>Table67[[#This Row],[Midpoint]]/21</f>
        <v>9.5238095238095233E-2</v>
      </c>
      <c r="AV400">
        <f>_xlfn.PERCENTILE.INC(Table67[Midpoint ratio],0.9)</f>
        <v>0.5714285714285714</v>
      </c>
      <c r="AW400" t="b">
        <f>Table67[[#This Row],[Midpoint ratio]]&gt;=Table67[[#This Row],[Threshold of Midpoint ratio]]</f>
        <v>0</v>
      </c>
      <c r="AX400" t="b">
        <f>OR(Table67[[#This Row],[Extreme Response Style]],Table67[[#This Row],[Mid-point Response Style]])</f>
        <v>0</v>
      </c>
      <c r="AY400" t="b">
        <f>OR(Table67[[#This Row],[Delete? (Stage 1)]],Table67[[#This Row],[Delete? (Stage 2)]])</f>
        <v>1</v>
      </c>
      <c r="AZ400" t="s">
        <v>81</v>
      </c>
    </row>
    <row r="401" spans="1:52">
      <c r="A401">
        <f t="shared" si="27"/>
        <v>400</v>
      </c>
      <c r="B401" s="3">
        <v>46043.511354166701</v>
      </c>
      <c r="C401" s="3">
        <v>46043.513171296298</v>
      </c>
      <c r="D401" t="s">
        <v>53</v>
      </c>
      <c r="G401" t="s">
        <v>54</v>
      </c>
      <c r="H401" t="s">
        <v>63</v>
      </c>
      <c r="I401" t="s">
        <v>71</v>
      </c>
      <c r="J401" t="s">
        <v>62</v>
      </c>
      <c r="K401" t="s">
        <v>57</v>
      </c>
      <c r="L401" t="s">
        <v>58</v>
      </c>
      <c r="M401" t="s">
        <v>61</v>
      </c>
      <c r="N401">
        <v>3</v>
      </c>
      <c r="O401">
        <v>3</v>
      </c>
      <c r="P401">
        <v>4</v>
      </c>
      <c r="Q401">
        <v>4</v>
      </c>
      <c r="R401">
        <v>4</v>
      </c>
      <c r="S401">
        <v>4</v>
      </c>
      <c r="T401">
        <v>3</v>
      </c>
      <c r="U401">
        <v>4</v>
      </c>
      <c r="V401">
        <v>4</v>
      </c>
      <c r="W401">
        <v>4</v>
      </c>
      <c r="X401">
        <v>3</v>
      </c>
      <c r="Y401">
        <v>4</v>
      </c>
      <c r="Z401">
        <v>4</v>
      </c>
      <c r="AA401">
        <v>3</v>
      </c>
      <c r="AB401">
        <v>3</v>
      </c>
      <c r="AC401">
        <v>3</v>
      </c>
      <c r="AD401">
        <v>4</v>
      </c>
      <c r="AE401">
        <v>4</v>
      </c>
      <c r="AF401">
        <v>2</v>
      </c>
      <c r="AG401">
        <v>3</v>
      </c>
      <c r="AH401">
        <v>4</v>
      </c>
      <c r="AI401">
        <v>2</v>
      </c>
      <c r="AJ401">
        <v>4</v>
      </c>
      <c r="AK401" t="b">
        <f>Table67[[#This Row],[What is your age?]]&lt;&gt;"18 - 25"</f>
        <v>0</v>
      </c>
      <c r="AL401" t="b">
        <f t="shared" si="24"/>
        <v>0</v>
      </c>
      <c r="AM401" t="b">
        <f t="shared" si="25"/>
        <v>0</v>
      </c>
      <c r="AN401" t="b">
        <f t="shared" si="26"/>
        <v>1</v>
      </c>
      <c r="AO401" t="b">
        <f>OR(Table67[[#This Row],[Ineligible respondents]:[Inconsistent response on opposite question (3)]])</f>
        <v>1</v>
      </c>
      <c r="AP40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01">
        <f>Table67[[#This Row],[Extreme Response]]/21</f>
        <v>0</v>
      </c>
      <c r="AR401">
        <f>_xlfn.PERCENTILE.INC(Table67[Extrem Response Ratio (ERS)],0.9)</f>
        <v>0.61904761904761907</v>
      </c>
      <c r="AS401" t="b">
        <f>Table67[[#This Row],[Extrem Response Ratio (ERS)]]&gt;=Table67[[#This Row],[Threshold of ERS]]</f>
        <v>0</v>
      </c>
      <c r="AT401">
        <f>COUNTIF(Table67[[#This Row],[The mechanism of digital assets is difficult to understand, which discourages me from exploring it (E.g, Tokenization, Blockchain)]:[If I want to try different ways to invest, I will explore digital assets.]], 3)</f>
        <v>8</v>
      </c>
      <c r="AU401">
        <f>Table67[[#This Row],[Midpoint]]/21</f>
        <v>0.38095238095238093</v>
      </c>
      <c r="AV401">
        <f>_xlfn.PERCENTILE.INC(Table67[Midpoint ratio],0.9)</f>
        <v>0.5714285714285714</v>
      </c>
      <c r="AW401" t="b">
        <f>Table67[[#This Row],[Midpoint ratio]]&gt;=Table67[[#This Row],[Threshold of Midpoint ratio]]</f>
        <v>0</v>
      </c>
      <c r="AX401" t="b">
        <f>OR(Table67[[#This Row],[Extreme Response Style]],Table67[[#This Row],[Mid-point Response Style]])</f>
        <v>0</v>
      </c>
      <c r="AY401" t="b">
        <f>OR(Table67[[#This Row],[Delete? (Stage 1)]],Table67[[#This Row],[Delete? (Stage 2)]])</f>
        <v>1</v>
      </c>
      <c r="AZ401" t="s">
        <v>81</v>
      </c>
    </row>
    <row r="402" spans="1:52">
      <c r="A402">
        <f t="shared" si="27"/>
        <v>401</v>
      </c>
      <c r="B402" s="3">
        <v>46043.511585648099</v>
      </c>
      <c r="C402" s="3">
        <v>46043.517418981501</v>
      </c>
      <c r="D402" t="s">
        <v>53</v>
      </c>
      <c r="G402" t="s">
        <v>54</v>
      </c>
      <c r="H402" t="s">
        <v>63</v>
      </c>
      <c r="I402" t="s">
        <v>56</v>
      </c>
      <c r="J402" t="s">
        <v>60</v>
      </c>
      <c r="K402" t="s">
        <v>57</v>
      </c>
      <c r="L402" t="s">
        <v>58</v>
      </c>
      <c r="M402" t="s">
        <v>61</v>
      </c>
      <c r="N402">
        <v>3</v>
      </c>
      <c r="O402">
        <v>3</v>
      </c>
      <c r="P402">
        <v>3</v>
      </c>
      <c r="Q402">
        <v>3</v>
      </c>
      <c r="R402">
        <v>4</v>
      </c>
      <c r="S402">
        <v>4</v>
      </c>
      <c r="T402">
        <v>3</v>
      </c>
      <c r="U402">
        <v>4</v>
      </c>
      <c r="V402">
        <v>4</v>
      </c>
      <c r="W402">
        <v>4</v>
      </c>
      <c r="X402">
        <v>4</v>
      </c>
      <c r="Y402">
        <v>4</v>
      </c>
      <c r="Z402">
        <v>4</v>
      </c>
      <c r="AA402">
        <v>4</v>
      </c>
      <c r="AB402">
        <v>3</v>
      </c>
      <c r="AC402">
        <v>3</v>
      </c>
      <c r="AD402">
        <v>4</v>
      </c>
      <c r="AE402">
        <v>2</v>
      </c>
      <c r="AF402">
        <v>3</v>
      </c>
      <c r="AG402">
        <v>2</v>
      </c>
      <c r="AH402">
        <v>3</v>
      </c>
      <c r="AI402">
        <v>3</v>
      </c>
      <c r="AJ402">
        <v>3</v>
      </c>
      <c r="AK402" t="b">
        <f>Table67[[#This Row],[What is your age?]]&lt;&gt;"18 - 25"</f>
        <v>0</v>
      </c>
      <c r="AL402" t="b">
        <f t="shared" si="24"/>
        <v>0</v>
      </c>
      <c r="AM402" t="b">
        <f t="shared" si="25"/>
        <v>0</v>
      </c>
      <c r="AN402" t="b">
        <f t="shared" si="26"/>
        <v>1</v>
      </c>
      <c r="AO402" t="b">
        <f>OR(Table67[[#This Row],[Ineligible respondents]:[Inconsistent response on opposite question (3)]])</f>
        <v>1</v>
      </c>
      <c r="AP40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02">
        <f>Table67[[#This Row],[Extreme Response]]/21</f>
        <v>0</v>
      </c>
      <c r="AR402">
        <f>_xlfn.PERCENTILE.INC(Table67[Extrem Response Ratio (ERS)],0.9)</f>
        <v>0.61904761904761907</v>
      </c>
      <c r="AS402" t="b">
        <f>Table67[[#This Row],[Extrem Response Ratio (ERS)]]&gt;=Table67[[#This Row],[Threshold of ERS]]</f>
        <v>0</v>
      </c>
      <c r="AT402">
        <f>COUNTIF(Table67[[#This Row],[The mechanism of digital assets is difficult to understand, which discourages me from exploring it (E.g, Tokenization, Blockchain)]:[If I want to try different ways to invest, I will explore digital assets.]], 3)</f>
        <v>9</v>
      </c>
      <c r="AU402">
        <f>Table67[[#This Row],[Midpoint]]/21</f>
        <v>0.42857142857142855</v>
      </c>
      <c r="AV402">
        <f>_xlfn.PERCENTILE.INC(Table67[Midpoint ratio],0.9)</f>
        <v>0.5714285714285714</v>
      </c>
      <c r="AW402" t="b">
        <f>Table67[[#This Row],[Midpoint ratio]]&gt;=Table67[[#This Row],[Threshold of Midpoint ratio]]</f>
        <v>0</v>
      </c>
      <c r="AX402" t="b">
        <f>OR(Table67[[#This Row],[Extreme Response Style]],Table67[[#This Row],[Mid-point Response Style]])</f>
        <v>0</v>
      </c>
      <c r="AY402" t="b">
        <f>OR(Table67[[#This Row],[Delete? (Stage 1)]],Table67[[#This Row],[Delete? (Stage 2)]])</f>
        <v>1</v>
      </c>
      <c r="AZ402" t="s">
        <v>81</v>
      </c>
    </row>
    <row r="403" spans="1:52">
      <c r="A403">
        <f t="shared" si="27"/>
        <v>402</v>
      </c>
      <c r="B403" s="3">
        <v>46043.511736111097</v>
      </c>
      <c r="C403" s="3">
        <v>46043.5128819444</v>
      </c>
      <c r="D403" t="s">
        <v>53</v>
      </c>
      <c r="G403" t="s">
        <v>54</v>
      </c>
      <c r="H403" t="s">
        <v>63</v>
      </c>
      <c r="I403" t="s">
        <v>56</v>
      </c>
      <c r="J403" t="s">
        <v>64</v>
      </c>
      <c r="K403" t="s">
        <v>57</v>
      </c>
      <c r="L403" t="s">
        <v>58</v>
      </c>
      <c r="M403" t="s">
        <v>58</v>
      </c>
      <c r="N403">
        <v>5</v>
      </c>
      <c r="O403">
        <v>4</v>
      </c>
      <c r="P403">
        <v>5</v>
      </c>
      <c r="Q403">
        <v>5</v>
      </c>
      <c r="R403">
        <v>5</v>
      </c>
      <c r="S403">
        <v>5</v>
      </c>
      <c r="T403">
        <v>4</v>
      </c>
      <c r="U403">
        <v>2</v>
      </c>
      <c r="V403">
        <v>5</v>
      </c>
      <c r="W403">
        <v>2</v>
      </c>
      <c r="X403">
        <v>3</v>
      </c>
      <c r="Y403">
        <v>3</v>
      </c>
      <c r="Z403">
        <v>4</v>
      </c>
      <c r="AA403">
        <v>4</v>
      </c>
      <c r="AB403">
        <v>4</v>
      </c>
      <c r="AC403">
        <v>4</v>
      </c>
      <c r="AD403">
        <v>3</v>
      </c>
      <c r="AE403">
        <v>3</v>
      </c>
      <c r="AF403">
        <v>1</v>
      </c>
      <c r="AG403">
        <v>3</v>
      </c>
      <c r="AH403">
        <v>2</v>
      </c>
      <c r="AI403">
        <v>4</v>
      </c>
      <c r="AJ403">
        <v>5</v>
      </c>
      <c r="AK403" t="b">
        <f>Table67[[#This Row],[What is your age?]]&lt;&gt;"18 - 25"</f>
        <v>0</v>
      </c>
      <c r="AL403" t="b">
        <f t="shared" si="24"/>
        <v>0</v>
      </c>
      <c r="AM403" t="b">
        <f t="shared" si="25"/>
        <v>0</v>
      </c>
      <c r="AN403" t="b">
        <f t="shared" si="26"/>
        <v>1</v>
      </c>
      <c r="AO403" t="b">
        <f>OR(Table67[[#This Row],[Ineligible respondents]:[Inconsistent response on opposite question (3)]])</f>
        <v>1</v>
      </c>
      <c r="AP40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403">
        <f>Table67[[#This Row],[Extreme Response]]/21</f>
        <v>0.33333333333333331</v>
      </c>
      <c r="AR403">
        <f>_xlfn.PERCENTILE.INC(Table67[Extrem Response Ratio (ERS)],0.9)</f>
        <v>0.61904761904761907</v>
      </c>
      <c r="AS403" t="b">
        <f>Table67[[#This Row],[Extrem Response Ratio (ERS)]]&gt;=Table67[[#This Row],[Threshold of ERS]]</f>
        <v>0</v>
      </c>
      <c r="AT403">
        <f>COUNTIF(Table67[[#This Row],[The mechanism of digital assets is difficult to understand, which discourages me from exploring it (E.g, Tokenization, Blockchain)]:[If I want to try different ways to invest, I will explore digital assets.]], 3)</f>
        <v>5</v>
      </c>
      <c r="AU403">
        <f>Table67[[#This Row],[Midpoint]]/21</f>
        <v>0.23809523809523808</v>
      </c>
      <c r="AV403">
        <f>_xlfn.PERCENTILE.INC(Table67[Midpoint ratio],0.9)</f>
        <v>0.5714285714285714</v>
      </c>
      <c r="AW403" t="b">
        <f>Table67[[#This Row],[Midpoint ratio]]&gt;=Table67[[#This Row],[Threshold of Midpoint ratio]]</f>
        <v>0</v>
      </c>
      <c r="AX403" t="b">
        <f>OR(Table67[[#This Row],[Extreme Response Style]],Table67[[#This Row],[Mid-point Response Style]])</f>
        <v>0</v>
      </c>
      <c r="AY403" t="b">
        <f>OR(Table67[[#This Row],[Delete? (Stage 1)]],Table67[[#This Row],[Delete? (Stage 2)]])</f>
        <v>1</v>
      </c>
      <c r="AZ403" t="s">
        <v>81</v>
      </c>
    </row>
    <row r="404" spans="1:52">
      <c r="A404">
        <f t="shared" si="27"/>
        <v>403</v>
      </c>
      <c r="B404" s="3">
        <v>46043.511805555601</v>
      </c>
      <c r="C404" s="3">
        <v>46043.518599536997</v>
      </c>
      <c r="D404" t="s">
        <v>53</v>
      </c>
      <c r="G404" t="s">
        <v>54</v>
      </c>
      <c r="H404" t="s">
        <v>63</v>
      </c>
      <c r="I404" t="s">
        <v>56</v>
      </c>
      <c r="J404" t="s">
        <v>57</v>
      </c>
      <c r="K404" t="s">
        <v>57</v>
      </c>
      <c r="L404" t="s">
        <v>58</v>
      </c>
      <c r="M404" t="s">
        <v>61</v>
      </c>
      <c r="N404">
        <v>3</v>
      </c>
      <c r="O404">
        <v>2</v>
      </c>
      <c r="P404">
        <v>4</v>
      </c>
      <c r="Q404">
        <v>2</v>
      </c>
      <c r="R404">
        <v>3</v>
      </c>
      <c r="S404">
        <v>4</v>
      </c>
      <c r="T404">
        <v>2</v>
      </c>
      <c r="U404">
        <v>4</v>
      </c>
      <c r="V404">
        <v>4</v>
      </c>
      <c r="W404">
        <v>4</v>
      </c>
      <c r="X404">
        <v>3</v>
      </c>
      <c r="Y404">
        <v>3</v>
      </c>
      <c r="Z404">
        <v>4</v>
      </c>
      <c r="AA404">
        <v>3</v>
      </c>
      <c r="AB404">
        <v>3</v>
      </c>
      <c r="AC404">
        <v>3</v>
      </c>
      <c r="AD404">
        <v>2</v>
      </c>
      <c r="AE404">
        <v>3</v>
      </c>
      <c r="AF404">
        <v>4</v>
      </c>
      <c r="AG404">
        <v>3</v>
      </c>
      <c r="AH404">
        <v>3</v>
      </c>
      <c r="AI404">
        <v>3</v>
      </c>
      <c r="AJ404">
        <v>2</v>
      </c>
      <c r="AK404" t="b">
        <f>Table67[[#This Row],[What is your age?]]&lt;&gt;"18 - 25"</f>
        <v>0</v>
      </c>
      <c r="AL404" t="b">
        <f t="shared" si="24"/>
        <v>0</v>
      </c>
      <c r="AM404" t="b">
        <f t="shared" si="25"/>
        <v>0</v>
      </c>
      <c r="AN404" t="b">
        <f t="shared" si="26"/>
        <v>0</v>
      </c>
      <c r="AO404" t="b">
        <f>OR(Table67[[#This Row],[Ineligible respondents]:[Inconsistent response on opposite question (3)]])</f>
        <v>0</v>
      </c>
      <c r="AP40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04">
        <f>Table67[[#This Row],[Extreme Response]]/21</f>
        <v>0</v>
      </c>
      <c r="AR404">
        <f>_xlfn.PERCENTILE.INC(Table67[Extrem Response Ratio (ERS)],0.9)</f>
        <v>0.61904761904761907</v>
      </c>
      <c r="AS404" t="b">
        <f>Table67[[#This Row],[Extrem Response Ratio (ERS)]]&gt;=Table67[[#This Row],[Threshold of ERS]]</f>
        <v>0</v>
      </c>
      <c r="AT404">
        <f>COUNTIF(Table67[[#This Row],[The mechanism of digital assets is difficult to understand, which discourages me from exploring it (E.g, Tokenization, Blockchain)]:[If I want to try different ways to invest, I will explore digital assets.]], 3)</f>
        <v>10</v>
      </c>
      <c r="AU404">
        <f>Table67[[#This Row],[Midpoint]]/21</f>
        <v>0.47619047619047616</v>
      </c>
      <c r="AV404">
        <f>_xlfn.PERCENTILE.INC(Table67[Midpoint ratio],0.9)</f>
        <v>0.5714285714285714</v>
      </c>
      <c r="AW404" t="b">
        <f>Table67[[#This Row],[Midpoint ratio]]&gt;=Table67[[#This Row],[Threshold of Midpoint ratio]]</f>
        <v>0</v>
      </c>
      <c r="AX404" t="b">
        <f>OR(Table67[[#This Row],[Extreme Response Style]],Table67[[#This Row],[Mid-point Response Style]])</f>
        <v>0</v>
      </c>
      <c r="AY404" t="b">
        <f>OR(Table67[[#This Row],[Delete? (Stage 1)]],Table67[[#This Row],[Delete? (Stage 2)]])</f>
        <v>0</v>
      </c>
      <c r="AZ404" t="s">
        <v>81</v>
      </c>
    </row>
    <row r="405" spans="1:52">
      <c r="A405">
        <f t="shared" si="27"/>
        <v>404</v>
      </c>
      <c r="B405" s="3">
        <v>46043.513310185197</v>
      </c>
      <c r="C405" s="3">
        <v>46043.514652777798</v>
      </c>
      <c r="D405" t="s">
        <v>53</v>
      </c>
      <c r="G405" t="s">
        <v>54</v>
      </c>
      <c r="H405" t="s">
        <v>55</v>
      </c>
      <c r="I405" t="s">
        <v>56</v>
      </c>
      <c r="J405" t="s">
        <v>57</v>
      </c>
      <c r="K405" t="s">
        <v>57</v>
      </c>
      <c r="L405" t="s">
        <v>61</v>
      </c>
      <c r="M405" t="s">
        <v>61</v>
      </c>
      <c r="N405">
        <v>4</v>
      </c>
      <c r="O405">
        <v>1</v>
      </c>
      <c r="P405">
        <v>4</v>
      </c>
      <c r="Q405">
        <v>3</v>
      </c>
      <c r="R405">
        <v>4</v>
      </c>
      <c r="S405">
        <v>4</v>
      </c>
      <c r="T405">
        <v>2</v>
      </c>
      <c r="U405">
        <v>1</v>
      </c>
      <c r="V405">
        <v>4</v>
      </c>
      <c r="W405">
        <v>5</v>
      </c>
      <c r="X405">
        <v>3</v>
      </c>
      <c r="Y405">
        <v>4</v>
      </c>
      <c r="Z405">
        <v>4</v>
      </c>
      <c r="AA405">
        <v>5</v>
      </c>
      <c r="AB405">
        <v>3</v>
      </c>
      <c r="AC405">
        <v>5</v>
      </c>
      <c r="AD405">
        <v>2</v>
      </c>
      <c r="AE405">
        <v>1</v>
      </c>
      <c r="AF405">
        <v>4</v>
      </c>
      <c r="AG405">
        <v>5</v>
      </c>
      <c r="AH405">
        <v>4</v>
      </c>
      <c r="AI405">
        <v>2</v>
      </c>
      <c r="AJ405">
        <v>2</v>
      </c>
      <c r="AK405" t="b">
        <f>Table67[[#This Row],[What is your age?]]&lt;&gt;"18 - 25"</f>
        <v>0</v>
      </c>
      <c r="AL405" t="b">
        <f t="shared" si="24"/>
        <v>0</v>
      </c>
      <c r="AM405" t="b">
        <f t="shared" si="25"/>
        <v>1</v>
      </c>
      <c r="AN405" t="b">
        <f t="shared" si="26"/>
        <v>0</v>
      </c>
      <c r="AO405" t="b">
        <f>OR(Table67[[#This Row],[Ineligible respondents]:[Inconsistent response on opposite question (3)]])</f>
        <v>1</v>
      </c>
      <c r="AP40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405">
        <f>Table67[[#This Row],[Extreme Response]]/21</f>
        <v>0.33333333333333331</v>
      </c>
      <c r="AR405">
        <f>_xlfn.PERCENTILE.INC(Table67[Extrem Response Ratio (ERS)],0.9)</f>
        <v>0.61904761904761907</v>
      </c>
      <c r="AS405" t="b">
        <f>Table67[[#This Row],[Extrem Response Ratio (ERS)]]&gt;=Table67[[#This Row],[Threshold of ERS]]</f>
        <v>0</v>
      </c>
      <c r="AT405">
        <f>COUNTIF(Table67[[#This Row],[The mechanism of digital assets is difficult to understand, which discourages me from exploring it (E.g, Tokenization, Blockchain)]:[If I want to try different ways to invest, I will explore digital assets.]], 3)</f>
        <v>3</v>
      </c>
      <c r="AU405">
        <f>Table67[[#This Row],[Midpoint]]/21</f>
        <v>0.14285714285714285</v>
      </c>
      <c r="AV405">
        <f>_xlfn.PERCENTILE.INC(Table67[Midpoint ratio],0.9)</f>
        <v>0.5714285714285714</v>
      </c>
      <c r="AW405" t="b">
        <f>Table67[[#This Row],[Midpoint ratio]]&gt;=Table67[[#This Row],[Threshold of Midpoint ratio]]</f>
        <v>0</v>
      </c>
      <c r="AX405" t="b">
        <f>OR(Table67[[#This Row],[Extreme Response Style]],Table67[[#This Row],[Mid-point Response Style]])</f>
        <v>0</v>
      </c>
      <c r="AY405" t="b">
        <f>OR(Table67[[#This Row],[Delete? (Stage 1)]],Table67[[#This Row],[Delete? (Stage 2)]])</f>
        <v>1</v>
      </c>
      <c r="AZ405" t="s">
        <v>81</v>
      </c>
    </row>
    <row r="406" spans="1:52">
      <c r="A406">
        <f t="shared" si="27"/>
        <v>405</v>
      </c>
      <c r="B406" s="3">
        <v>46043.515057870398</v>
      </c>
      <c r="C406" s="3">
        <v>46043.515821759298</v>
      </c>
      <c r="D406" t="s">
        <v>53</v>
      </c>
      <c r="G406" t="s">
        <v>79</v>
      </c>
      <c r="H406" t="s">
        <v>63</v>
      </c>
      <c r="I406" t="s">
        <v>56</v>
      </c>
      <c r="J406" t="s">
        <v>57</v>
      </c>
      <c r="K406" t="s">
        <v>57</v>
      </c>
      <c r="L406" t="s">
        <v>58</v>
      </c>
      <c r="M406" t="s">
        <v>58</v>
      </c>
      <c r="N406">
        <v>3</v>
      </c>
      <c r="O406">
        <v>3</v>
      </c>
      <c r="P406">
        <v>3</v>
      </c>
      <c r="Q406">
        <v>3</v>
      </c>
      <c r="R406">
        <v>3</v>
      </c>
      <c r="S406">
        <v>3</v>
      </c>
      <c r="T406">
        <v>3</v>
      </c>
      <c r="U406">
        <v>3</v>
      </c>
      <c r="V406">
        <v>3</v>
      </c>
      <c r="W406">
        <v>3</v>
      </c>
      <c r="X406">
        <v>3</v>
      </c>
      <c r="Y406">
        <v>3</v>
      </c>
      <c r="Z406">
        <v>3</v>
      </c>
      <c r="AA406">
        <v>3</v>
      </c>
      <c r="AB406">
        <v>3</v>
      </c>
      <c r="AC406">
        <v>3</v>
      </c>
      <c r="AD406">
        <v>3</v>
      </c>
      <c r="AE406">
        <v>3</v>
      </c>
      <c r="AF406">
        <v>3</v>
      </c>
      <c r="AG406">
        <v>3</v>
      </c>
      <c r="AH406">
        <v>3</v>
      </c>
      <c r="AI406">
        <v>3</v>
      </c>
      <c r="AJ406">
        <v>3</v>
      </c>
      <c r="AK406" t="b">
        <f>Table67[[#This Row],[What is your age?]]&lt;&gt;"18 - 25"</f>
        <v>1</v>
      </c>
      <c r="AL406" t="b">
        <f t="shared" si="24"/>
        <v>1</v>
      </c>
      <c r="AM406" t="b">
        <f t="shared" si="25"/>
        <v>0</v>
      </c>
      <c r="AN406" t="b">
        <f t="shared" si="26"/>
        <v>0</v>
      </c>
      <c r="AO406" t="b">
        <f>OR(Table67[[#This Row],[Ineligible respondents]:[Inconsistent response on opposite question (3)]])</f>
        <v>1</v>
      </c>
      <c r="AP40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06">
        <f>Table67[[#This Row],[Extreme Response]]/21</f>
        <v>0</v>
      </c>
      <c r="AR406">
        <f>_xlfn.PERCENTILE.INC(Table67[Extrem Response Ratio (ERS)],0.9)</f>
        <v>0.61904761904761907</v>
      </c>
      <c r="AS406" t="b">
        <f>Table67[[#This Row],[Extrem Response Ratio (ERS)]]&gt;=Table67[[#This Row],[Threshold of ERS]]</f>
        <v>0</v>
      </c>
      <c r="AT406">
        <f>COUNTIF(Table67[[#This Row],[The mechanism of digital assets is difficult to understand, which discourages me from exploring it (E.g, Tokenization, Blockchain)]:[If I want to try different ways to invest, I will explore digital assets.]], 3)</f>
        <v>21</v>
      </c>
      <c r="AU406">
        <f>Table67[[#This Row],[Midpoint]]/21</f>
        <v>1</v>
      </c>
      <c r="AV406">
        <f>_xlfn.PERCENTILE.INC(Table67[Midpoint ratio],0.9)</f>
        <v>0.5714285714285714</v>
      </c>
      <c r="AW406" t="b">
        <f>Table67[[#This Row],[Midpoint ratio]]&gt;=Table67[[#This Row],[Threshold of Midpoint ratio]]</f>
        <v>1</v>
      </c>
      <c r="AX406" t="b">
        <f>OR(Table67[[#This Row],[Extreme Response Style]],Table67[[#This Row],[Mid-point Response Style]])</f>
        <v>1</v>
      </c>
      <c r="AY406" t="b">
        <f>OR(Table67[[#This Row],[Delete? (Stage 1)]],Table67[[#This Row],[Delete? (Stage 2)]])</f>
        <v>1</v>
      </c>
      <c r="AZ406" t="s">
        <v>81</v>
      </c>
    </row>
    <row r="407" spans="1:52">
      <c r="A407">
        <f t="shared" si="27"/>
        <v>406</v>
      </c>
      <c r="B407" s="3">
        <v>46043.515289351897</v>
      </c>
      <c r="C407" s="3">
        <v>46043.5168402778</v>
      </c>
      <c r="D407" t="s">
        <v>53</v>
      </c>
      <c r="G407" t="s">
        <v>54</v>
      </c>
      <c r="H407" t="s">
        <v>63</v>
      </c>
      <c r="I407" t="s">
        <v>56</v>
      </c>
      <c r="J407" t="s">
        <v>57</v>
      </c>
      <c r="K407" t="s">
        <v>57</v>
      </c>
      <c r="L407" t="s">
        <v>58</v>
      </c>
      <c r="M407" t="s">
        <v>61</v>
      </c>
      <c r="N407">
        <v>4</v>
      </c>
      <c r="O407">
        <v>2</v>
      </c>
      <c r="P407">
        <v>3</v>
      </c>
      <c r="Q407">
        <v>3</v>
      </c>
      <c r="R407">
        <v>4</v>
      </c>
      <c r="S407">
        <v>3</v>
      </c>
      <c r="T407">
        <v>2</v>
      </c>
      <c r="U407">
        <v>4</v>
      </c>
      <c r="V407">
        <v>4</v>
      </c>
      <c r="W407">
        <v>4</v>
      </c>
      <c r="X407">
        <v>2</v>
      </c>
      <c r="Y407">
        <v>4</v>
      </c>
      <c r="Z407">
        <v>4</v>
      </c>
      <c r="AA407">
        <v>3</v>
      </c>
      <c r="AB407">
        <v>3</v>
      </c>
      <c r="AC407">
        <v>3</v>
      </c>
      <c r="AD407">
        <v>2</v>
      </c>
      <c r="AE407">
        <v>1</v>
      </c>
      <c r="AF407">
        <v>3</v>
      </c>
      <c r="AG407">
        <v>2</v>
      </c>
      <c r="AH407">
        <v>3</v>
      </c>
      <c r="AI407">
        <v>3</v>
      </c>
      <c r="AJ407">
        <v>3</v>
      </c>
      <c r="AK407" t="b">
        <f>Table67[[#This Row],[What is your age?]]&lt;&gt;"18 - 25"</f>
        <v>0</v>
      </c>
      <c r="AL407" t="b">
        <f t="shared" si="24"/>
        <v>0</v>
      </c>
      <c r="AM407" t="b">
        <f t="shared" si="25"/>
        <v>0</v>
      </c>
      <c r="AN407" t="b">
        <f t="shared" si="26"/>
        <v>1</v>
      </c>
      <c r="AO407" t="b">
        <f>OR(Table67[[#This Row],[Ineligible respondents]:[Inconsistent response on opposite question (3)]])</f>
        <v>1</v>
      </c>
      <c r="AP40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407">
        <f>Table67[[#This Row],[Extreme Response]]/21</f>
        <v>4.7619047619047616E-2</v>
      </c>
      <c r="AR407">
        <f>_xlfn.PERCENTILE.INC(Table67[Extrem Response Ratio (ERS)],0.9)</f>
        <v>0.61904761904761907</v>
      </c>
      <c r="AS407" t="b">
        <f>Table67[[#This Row],[Extrem Response Ratio (ERS)]]&gt;=Table67[[#This Row],[Threshold of ERS]]</f>
        <v>0</v>
      </c>
      <c r="AT407">
        <f>COUNTIF(Table67[[#This Row],[The mechanism of digital assets is difficult to understand, which discourages me from exploring it (E.g, Tokenization, Blockchain)]:[If I want to try different ways to invest, I will explore digital assets.]], 3)</f>
        <v>8</v>
      </c>
      <c r="AU407">
        <f>Table67[[#This Row],[Midpoint]]/21</f>
        <v>0.38095238095238093</v>
      </c>
      <c r="AV407">
        <f>_xlfn.PERCENTILE.INC(Table67[Midpoint ratio],0.9)</f>
        <v>0.5714285714285714</v>
      </c>
      <c r="AW407" t="b">
        <f>Table67[[#This Row],[Midpoint ratio]]&gt;=Table67[[#This Row],[Threshold of Midpoint ratio]]</f>
        <v>0</v>
      </c>
      <c r="AX407" t="b">
        <f>OR(Table67[[#This Row],[Extreme Response Style]],Table67[[#This Row],[Mid-point Response Style]])</f>
        <v>0</v>
      </c>
      <c r="AY407" t="b">
        <f>OR(Table67[[#This Row],[Delete? (Stage 1)]],Table67[[#This Row],[Delete? (Stage 2)]])</f>
        <v>1</v>
      </c>
      <c r="AZ407" t="s">
        <v>81</v>
      </c>
    </row>
    <row r="408" spans="1:52">
      <c r="A408">
        <f t="shared" si="27"/>
        <v>407</v>
      </c>
      <c r="B408" s="3">
        <v>46043.5229861111</v>
      </c>
      <c r="C408" s="3">
        <v>46043.524004629602</v>
      </c>
      <c r="D408" t="s">
        <v>53</v>
      </c>
      <c r="G408" t="s">
        <v>54</v>
      </c>
      <c r="H408" t="s">
        <v>55</v>
      </c>
      <c r="I408" t="s">
        <v>56</v>
      </c>
      <c r="J408" t="s">
        <v>62</v>
      </c>
      <c r="K408" t="s">
        <v>66</v>
      </c>
      <c r="L408" t="s">
        <v>61</v>
      </c>
      <c r="M408" t="s">
        <v>61</v>
      </c>
      <c r="N408">
        <v>4</v>
      </c>
      <c r="O408">
        <v>2</v>
      </c>
      <c r="P408">
        <v>4</v>
      </c>
      <c r="Q408">
        <v>5</v>
      </c>
      <c r="R408">
        <v>4</v>
      </c>
      <c r="S408">
        <v>4</v>
      </c>
      <c r="T408">
        <v>5</v>
      </c>
      <c r="U408">
        <v>5</v>
      </c>
      <c r="V408">
        <v>4</v>
      </c>
      <c r="W408">
        <v>4</v>
      </c>
      <c r="X408">
        <v>5</v>
      </c>
      <c r="Y408">
        <v>3</v>
      </c>
      <c r="Z408">
        <v>4</v>
      </c>
      <c r="AA408">
        <v>3</v>
      </c>
      <c r="AB408">
        <v>4</v>
      </c>
      <c r="AC408">
        <v>4</v>
      </c>
      <c r="AD408">
        <v>5</v>
      </c>
      <c r="AE408">
        <v>2</v>
      </c>
      <c r="AF408">
        <v>3</v>
      </c>
      <c r="AG408">
        <v>4</v>
      </c>
      <c r="AH408">
        <v>5</v>
      </c>
      <c r="AI408">
        <v>1</v>
      </c>
      <c r="AJ408">
        <v>3</v>
      </c>
      <c r="AK408" t="b">
        <f>Table67[[#This Row],[What is your age?]]&lt;&gt;"18 - 25"</f>
        <v>0</v>
      </c>
      <c r="AL408" t="b">
        <f t="shared" si="24"/>
        <v>0</v>
      </c>
      <c r="AM408" t="b">
        <f t="shared" si="25"/>
        <v>1</v>
      </c>
      <c r="AN408" t="b">
        <f t="shared" si="26"/>
        <v>0</v>
      </c>
      <c r="AO408" t="b">
        <f>OR(Table67[[#This Row],[Ineligible respondents]:[Inconsistent response on opposite question (3)]])</f>
        <v>1</v>
      </c>
      <c r="AP40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408">
        <f>Table67[[#This Row],[Extreme Response]]/21</f>
        <v>0.2857142857142857</v>
      </c>
      <c r="AR408">
        <f>_xlfn.PERCENTILE.INC(Table67[Extrem Response Ratio (ERS)],0.9)</f>
        <v>0.61904761904761907</v>
      </c>
      <c r="AS408" t="b">
        <f>Table67[[#This Row],[Extrem Response Ratio (ERS)]]&gt;=Table67[[#This Row],[Threshold of ERS]]</f>
        <v>0</v>
      </c>
      <c r="AT408">
        <f>COUNTIF(Table67[[#This Row],[The mechanism of digital assets is difficult to understand, which discourages me from exploring it (E.g, Tokenization, Blockchain)]:[If I want to try different ways to invest, I will explore digital assets.]], 3)</f>
        <v>3</v>
      </c>
      <c r="AU408">
        <f>Table67[[#This Row],[Midpoint]]/21</f>
        <v>0.14285714285714285</v>
      </c>
      <c r="AV408">
        <f>_xlfn.PERCENTILE.INC(Table67[Midpoint ratio],0.9)</f>
        <v>0.5714285714285714</v>
      </c>
      <c r="AW408" t="b">
        <f>Table67[[#This Row],[Midpoint ratio]]&gt;=Table67[[#This Row],[Threshold of Midpoint ratio]]</f>
        <v>0</v>
      </c>
      <c r="AX408" t="b">
        <f>OR(Table67[[#This Row],[Extreme Response Style]],Table67[[#This Row],[Mid-point Response Style]])</f>
        <v>0</v>
      </c>
      <c r="AY408" t="b">
        <f>OR(Table67[[#This Row],[Delete? (Stage 1)]],Table67[[#This Row],[Delete? (Stage 2)]])</f>
        <v>1</v>
      </c>
      <c r="AZ408" t="s">
        <v>81</v>
      </c>
    </row>
    <row r="409" spans="1:52">
      <c r="A409">
        <f t="shared" si="27"/>
        <v>408</v>
      </c>
      <c r="B409" s="3">
        <v>46043.524039351803</v>
      </c>
      <c r="C409" s="3">
        <v>46043.5250115741</v>
      </c>
      <c r="D409" t="s">
        <v>53</v>
      </c>
      <c r="G409" t="s">
        <v>54</v>
      </c>
      <c r="H409" t="s">
        <v>55</v>
      </c>
      <c r="I409" t="s">
        <v>56</v>
      </c>
      <c r="J409" t="s">
        <v>57</v>
      </c>
      <c r="K409" t="s">
        <v>57</v>
      </c>
      <c r="L409" t="s">
        <v>58</v>
      </c>
      <c r="M409" t="s">
        <v>58</v>
      </c>
      <c r="N409">
        <v>4</v>
      </c>
      <c r="O409">
        <v>4</v>
      </c>
      <c r="P409">
        <v>4</v>
      </c>
      <c r="Q409">
        <v>3</v>
      </c>
      <c r="R409">
        <v>4</v>
      </c>
      <c r="S409">
        <v>3</v>
      </c>
      <c r="T409">
        <v>4</v>
      </c>
      <c r="U409">
        <v>4</v>
      </c>
      <c r="V409">
        <v>4</v>
      </c>
      <c r="W409">
        <v>4</v>
      </c>
      <c r="X409">
        <v>4</v>
      </c>
      <c r="Y409">
        <v>4</v>
      </c>
      <c r="Z409">
        <v>4</v>
      </c>
      <c r="AA409">
        <v>3</v>
      </c>
      <c r="AB409">
        <v>4</v>
      </c>
      <c r="AC409">
        <v>4</v>
      </c>
      <c r="AD409">
        <v>4</v>
      </c>
      <c r="AE409">
        <v>4</v>
      </c>
      <c r="AF409">
        <v>3</v>
      </c>
      <c r="AG409">
        <v>4</v>
      </c>
      <c r="AH409">
        <v>4</v>
      </c>
      <c r="AI409">
        <v>2</v>
      </c>
      <c r="AJ409">
        <v>3</v>
      </c>
      <c r="AK409" t="b">
        <f>Table67[[#This Row],[What is your age?]]&lt;&gt;"18 - 25"</f>
        <v>0</v>
      </c>
      <c r="AL409" t="b">
        <f t="shared" si="24"/>
        <v>0</v>
      </c>
      <c r="AM409" t="b">
        <f t="shared" si="25"/>
        <v>1</v>
      </c>
      <c r="AN409" t="b">
        <f t="shared" si="26"/>
        <v>0</v>
      </c>
      <c r="AO409" t="b">
        <f>OR(Table67[[#This Row],[Ineligible respondents]:[Inconsistent response on opposite question (3)]])</f>
        <v>1</v>
      </c>
      <c r="AP40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09">
        <f>Table67[[#This Row],[Extreme Response]]/21</f>
        <v>0</v>
      </c>
      <c r="AR409">
        <f>_xlfn.PERCENTILE.INC(Table67[Extrem Response Ratio (ERS)],0.9)</f>
        <v>0.61904761904761907</v>
      </c>
      <c r="AS409" t="b">
        <f>Table67[[#This Row],[Extrem Response Ratio (ERS)]]&gt;=Table67[[#This Row],[Threshold of ERS]]</f>
        <v>0</v>
      </c>
      <c r="AT409">
        <f>COUNTIF(Table67[[#This Row],[The mechanism of digital assets is difficult to understand, which discourages me from exploring it (E.g, Tokenization, Blockchain)]:[If I want to try different ways to invest, I will explore digital assets.]], 3)</f>
        <v>4</v>
      </c>
      <c r="AU409">
        <f>Table67[[#This Row],[Midpoint]]/21</f>
        <v>0.19047619047619047</v>
      </c>
      <c r="AV409">
        <f>_xlfn.PERCENTILE.INC(Table67[Midpoint ratio],0.9)</f>
        <v>0.5714285714285714</v>
      </c>
      <c r="AW409" t="b">
        <f>Table67[[#This Row],[Midpoint ratio]]&gt;=Table67[[#This Row],[Threshold of Midpoint ratio]]</f>
        <v>0</v>
      </c>
      <c r="AX409" t="b">
        <f>OR(Table67[[#This Row],[Extreme Response Style]],Table67[[#This Row],[Mid-point Response Style]])</f>
        <v>0</v>
      </c>
      <c r="AY409" t="b">
        <f>OR(Table67[[#This Row],[Delete? (Stage 1)]],Table67[[#This Row],[Delete? (Stage 2)]])</f>
        <v>1</v>
      </c>
      <c r="AZ409" t="s">
        <v>81</v>
      </c>
    </row>
    <row r="410" spans="1:52">
      <c r="A410">
        <f t="shared" si="27"/>
        <v>409</v>
      </c>
      <c r="B410" s="3">
        <v>46043.5241087963</v>
      </c>
      <c r="C410" s="3">
        <v>46043.539143518501</v>
      </c>
      <c r="D410" t="s">
        <v>53</v>
      </c>
      <c r="G410" t="s">
        <v>54</v>
      </c>
      <c r="H410" t="s">
        <v>55</v>
      </c>
      <c r="I410" t="s">
        <v>56</v>
      </c>
      <c r="J410" t="s">
        <v>60</v>
      </c>
      <c r="K410" t="s">
        <v>57</v>
      </c>
      <c r="L410" t="s">
        <v>58</v>
      </c>
      <c r="M410" t="s">
        <v>61</v>
      </c>
      <c r="N410">
        <v>5</v>
      </c>
      <c r="O410">
        <v>2</v>
      </c>
      <c r="P410">
        <v>4</v>
      </c>
      <c r="Q410">
        <v>4</v>
      </c>
      <c r="R410">
        <v>4</v>
      </c>
      <c r="S410">
        <v>4</v>
      </c>
      <c r="T410">
        <v>4</v>
      </c>
      <c r="U410">
        <v>4</v>
      </c>
      <c r="V410">
        <v>4</v>
      </c>
      <c r="W410">
        <v>5</v>
      </c>
      <c r="X410">
        <v>4</v>
      </c>
      <c r="Y410">
        <v>4</v>
      </c>
      <c r="Z410">
        <v>4</v>
      </c>
      <c r="AA410">
        <v>4</v>
      </c>
      <c r="AB410">
        <v>4</v>
      </c>
      <c r="AC410">
        <v>4</v>
      </c>
      <c r="AD410">
        <v>4</v>
      </c>
      <c r="AE410">
        <v>2</v>
      </c>
      <c r="AF410">
        <v>2</v>
      </c>
      <c r="AG410">
        <v>4</v>
      </c>
      <c r="AH410">
        <v>2</v>
      </c>
      <c r="AI410">
        <v>4</v>
      </c>
      <c r="AJ410">
        <v>4</v>
      </c>
      <c r="AK410" t="b">
        <f>Table67[[#This Row],[What is your age?]]&lt;&gt;"18 - 25"</f>
        <v>0</v>
      </c>
      <c r="AL410" t="b">
        <f t="shared" si="24"/>
        <v>0</v>
      </c>
      <c r="AM410" t="b">
        <f t="shared" si="25"/>
        <v>0</v>
      </c>
      <c r="AN410" t="b">
        <f t="shared" si="26"/>
        <v>0</v>
      </c>
      <c r="AO410" t="b">
        <f>OR(Table67[[#This Row],[Ineligible respondents]:[Inconsistent response on opposite question (3)]])</f>
        <v>0</v>
      </c>
      <c r="AP41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410">
        <f>Table67[[#This Row],[Extreme Response]]/21</f>
        <v>9.5238095238095233E-2</v>
      </c>
      <c r="AR410">
        <f>_xlfn.PERCENTILE.INC(Table67[Extrem Response Ratio (ERS)],0.9)</f>
        <v>0.61904761904761907</v>
      </c>
      <c r="AS410" t="b">
        <f>Table67[[#This Row],[Extrem Response Ratio (ERS)]]&gt;=Table67[[#This Row],[Threshold of ERS]]</f>
        <v>0</v>
      </c>
      <c r="AT410">
        <f>COUNTIF(Table67[[#This Row],[The mechanism of digital assets is difficult to understand, which discourages me from exploring it (E.g, Tokenization, Blockchain)]:[If I want to try different ways to invest, I will explore digital assets.]], 3)</f>
        <v>0</v>
      </c>
      <c r="AU410">
        <f>Table67[[#This Row],[Midpoint]]/21</f>
        <v>0</v>
      </c>
      <c r="AV410">
        <f>_xlfn.PERCENTILE.INC(Table67[Midpoint ratio],0.9)</f>
        <v>0.5714285714285714</v>
      </c>
      <c r="AW410" t="b">
        <f>Table67[[#This Row],[Midpoint ratio]]&gt;=Table67[[#This Row],[Threshold of Midpoint ratio]]</f>
        <v>0</v>
      </c>
      <c r="AX410" t="b">
        <f>OR(Table67[[#This Row],[Extreme Response Style]],Table67[[#This Row],[Mid-point Response Style]])</f>
        <v>0</v>
      </c>
      <c r="AY410" t="b">
        <f>OR(Table67[[#This Row],[Delete? (Stage 1)]],Table67[[#This Row],[Delete? (Stage 2)]])</f>
        <v>0</v>
      </c>
      <c r="AZ410" t="s">
        <v>81</v>
      </c>
    </row>
    <row r="411" spans="1:52">
      <c r="A411">
        <f t="shared" si="27"/>
        <v>410</v>
      </c>
      <c r="B411" s="3">
        <v>46043.524675925903</v>
      </c>
      <c r="C411" s="3">
        <v>46043.527928240699</v>
      </c>
      <c r="D411" t="s">
        <v>53</v>
      </c>
      <c r="G411" t="s">
        <v>54</v>
      </c>
      <c r="H411" t="s">
        <v>63</v>
      </c>
      <c r="I411" t="s">
        <v>56</v>
      </c>
      <c r="J411" t="s">
        <v>57</v>
      </c>
      <c r="K411" t="s">
        <v>57</v>
      </c>
      <c r="L411" t="s">
        <v>58</v>
      </c>
      <c r="M411" t="s">
        <v>61</v>
      </c>
      <c r="N411">
        <v>3</v>
      </c>
      <c r="O411">
        <v>3</v>
      </c>
      <c r="P411">
        <v>2</v>
      </c>
      <c r="Q411">
        <v>3</v>
      </c>
      <c r="R411">
        <v>2</v>
      </c>
      <c r="S411">
        <v>3</v>
      </c>
      <c r="T411">
        <v>2</v>
      </c>
      <c r="U411">
        <v>4</v>
      </c>
      <c r="V411">
        <v>4</v>
      </c>
      <c r="W411">
        <v>4</v>
      </c>
      <c r="X411">
        <v>3</v>
      </c>
      <c r="Y411">
        <v>4</v>
      </c>
      <c r="Z411">
        <v>4</v>
      </c>
      <c r="AA411">
        <v>3</v>
      </c>
      <c r="AB411">
        <v>2</v>
      </c>
      <c r="AC411">
        <v>3</v>
      </c>
      <c r="AD411">
        <v>4</v>
      </c>
      <c r="AE411">
        <v>4</v>
      </c>
      <c r="AF411">
        <v>2</v>
      </c>
      <c r="AG411">
        <v>3</v>
      </c>
      <c r="AH411">
        <v>3</v>
      </c>
      <c r="AI411">
        <v>3</v>
      </c>
      <c r="AJ411">
        <v>4</v>
      </c>
      <c r="AK411" t="b">
        <f>Table67[[#This Row],[What is your age?]]&lt;&gt;"18 - 25"</f>
        <v>0</v>
      </c>
      <c r="AL411" t="b">
        <f t="shared" si="24"/>
        <v>0</v>
      </c>
      <c r="AM411" t="b">
        <f t="shared" si="25"/>
        <v>0</v>
      </c>
      <c r="AN411" t="b">
        <f t="shared" si="26"/>
        <v>0</v>
      </c>
      <c r="AO411" t="b">
        <f>OR(Table67[[#This Row],[Ineligible respondents]:[Inconsistent response on opposite question (3)]])</f>
        <v>0</v>
      </c>
      <c r="AP41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11">
        <f>Table67[[#This Row],[Extreme Response]]/21</f>
        <v>0</v>
      </c>
      <c r="AR411">
        <f>_xlfn.PERCENTILE.INC(Table67[Extrem Response Ratio (ERS)],0.9)</f>
        <v>0.61904761904761907</v>
      </c>
      <c r="AS411" t="b">
        <f>Table67[[#This Row],[Extrem Response Ratio (ERS)]]&gt;=Table67[[#This Row],[Threshold of ERS]]</f>
        <v>0</v>
      </c>
      <c r="AT411">
        <f>COUNTIF(Table67[[#This Row],[The mechanism of digital assets is difficult to understand, which discourages me from exploring it (E.g, Tokenization, Blockchain)]:[If I want to try different ways to invest, I will explore digital assets.]], 3)</f>
        <v>9</v>
      </c>
      <c r="AU411">
        <f>Table67[[#This Row],[Midpoint]]/21</f>
        <v>0.42857142857142855</v>
      </c>
      <c r="AV411">
        <f>_xlfn.PERCENTILE.INC(Table67[Midpoint ratio],0.9)</f>
        <v>0.5714285714285714</v>
      </c>
      <c r="AW411" t="b">
        <f>Table67[[#This Row],[Midpoint ratio]]&gt;=Table67[[#This Row],[Threshold of Midpoint ratio]]</f>
        <v>0</v>
      </c>
      <c r="AX411" t="b">
        <f>OR(Table67[[#This Row],[Extreme Response Style]],Table67[[#This Row],[Mid-point Response Style]])</f>
        <v>0</v>
      </c>
      <c r="AY411" t="b">
        <f>OR(Table67[[#This Row],[Delete? (Stage 1)]],Table67[[#This Row],[Delete? (Stage 2)]])</f>
        <v>0</v>
      </c>
      <c r="AZ411" t="s">
        <v>81</v>
      </c>
    </row>
    <row r="412" spans="1:52">
      <c r="A412">
        <f t="shared" si="27"/>
        <v>411</v>
      </c>
      <c r="B412" s="3">
        <v>46043.524884259299</v>
      </c>
      <c r="C412" s="3">
        <v>46043.527210648099</v>
      </c>
      <c r="D412" t="s">
        <v>53</v>
      </c>
      <c r="G412" t="s">
        <v>54</v>
      </c>
      <c r="H412" t="s">
        <v>63</v>
      </c>
      <c r="I412" t="s">
        <v>69</v>
      </c>
      <c r="J412" t="s">
        <v>60</v>
      </c>
      <c r="K412" t="s">
        <v>62</v>
      </c>
      <c r="L412" t="s">
        <v>58</v>
      </c>
      <c r="M412" t="s">
        <v>61</v>
      </c>
      <c r="N412">
        <v>3</v>
      </c>
      <c r="O412">
        <v>1</v>
      </c>
      <c r="P412">
        <v>4</v>
      </c>
      <c r="Q412">
        <v>4</v>
      </c>
      <c r="R412">
        <v>3</v>
      </c>
      <c r="S412">
        <v>4</v>
      </c>
      <c r="T412">
        <v>4</v>
      </c>
      <c r="U412">
        <v>4</v>
      </c>
      <c r="V412">
        <v>5</v>
      </c>
      <c r="W412">
        <v>5</v>
      </c>
      <c r="X412">
        <v>4</v>
      </c>
      <c r="Y412">
        <v>4</v>
      </c>
      <c r="Z412">
        <v>4</v>
      </c>
      <c r="AA412">
        <v>4</v>
      </c>
      <c r="AB412">
        <v>4</v>
      </c>
      <c r="AC412">
        <v>4</v>
      </c>
      <c r="AD412">
        <v>4</v>
      </c>
      <c r="AE412">
        <v>4</v>
      </c>
      <c r="AF412">
        <v>2</v>
      </c>
      <c r="AG412">
        <v>4</v>
      </c>
      <c r="AH412">
        <v>2</v>
      </c>
      <c r="AI412">
        <v>4</v>
      </c>
      <c r="AJ412">
        <v>4</v>
      </c>
      <c r="AK412" t="b">
        <f>Table67[[#This Row],[What is your age?]]&lt;&gt;"18 - 25"</f>
        <v>0</v>
      </c>
      <c r="AL412" t="b">
        <f t="shared" si="24"/>
        <v>0</v>
      </c>
      <c r="AM412" t="b">
        <f t="shared" si="25"/>
        <v>0</v>
      </c>
      <c r="AN412" t="b">
        <f t="shared" si="26"/>
        <v>0</v>
      </c>
      <c r="AO412" t="b">
        <f>OR(Table67[[#This Row],[Ineligible respondents]:[Inconsistent response on opposite question (3)]])</f>
        <v>0</v>
      </c>
      <c r="AP41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412">
        <f>Table67[[#This Row],[Extreme Response]]/21</f>
        <v>0.14285714285714285</v>
      </c>
      <c r="AR412">
        <f>_xlfn.PERCENTILE.INC(Table67[Extrem Response Ratio (ERS)],0.9)</f>
        <v>0.61904761904761907</v>
      </c>
      <c r="AS412" t="b">
        <f>Table67[[#This Row],[Extrem Response Ratio (ERS)]]&gt;=Table67[[#This Row],[Threshold of ERS]]</f>
        <v>0</v>
      </c>
      <c r="AT412">
        <f>COUNTIF(Table67[[#This Row],[The mechanism of digital assets is difficult to understand, which discourages me from exploring it (E.g, Tokenization, Blockchain)]:[If I want to try different ways to invest, I will explore digital assets.]], 3)</f>
        <v>2</v>
      </c>
      <c r="AU412">
        <f>Table67[[#This Row],[Midpoint]]/21</f>
        <v>9.5238095238095233E-2</v>
      </c>
      <c r="AV412">
        <f>_xlfn.PERCENTILE.INC(Table67[Midpoint ratio],0.9)</f>
        <v>0.5714285714285714</v>
      </c>
      <c r="AW412" t="b">
        <f>Table67[[#This Row],[Midpoint ratio]]&gt;=Table67[[#This Row],[Threshold of Midpoint ratio]]</f>
        <v>0</v>
      </c>
      <c r="AX412" t="b">
        <f>OR(Table67[[#This Row],[Extreme Response Style]],Table67[[#This Row],[Mid-point Response Style]])</f>
        <v>0</v>
      </c>
      <c r="AY412" t="b">
        <f>OR(Table67[[#This Row],[Delete? (Stage 1)]],Table67[[#This Row],[Delete? (Stage 2)]])</f>
        <v>0</v>
      </c>
      <c r="AZ412" t="s">
        <v>81</v>
      </c>
    </row>
    <row r="413" spans="1:52">
      <c r="A413">
        <f t="shared" si="27"/>
        <v>412</v>
      </c>
      <c r="B413" s="3">
        <v>46043.525254629603</v>
      </c>
      <c r="C413" s="3">
        <v>46043.526932870402</v>
      </c>
      <c r="D413" t="s">
        <v>53</v>
      </c>
      <c r="G413" t="s">
        <v>54</v>
      </c>
      <c r="H413" t="s">
        <v>63</v>
      </c>
      <c r="I413" t="s">
        <v>71</v>
      </c>
      <c r="J413" t="s">
        <v>57</v>
      </c>
      <c r="K413" t="s">
        <v>60</v>
      </c>
      <c r="L413" t="s">
        <v>61</v>
      </c>
      <c r="M413" t="s">
        <v>58</v>
      </c>
      <c r="N413">
        <v>3</v>
      </c>
      <c r="O413">
        <v>2</v>
      </c>
      <c r="P413">
        <v>2</v>
      </c>
      <c r="Q413">
        <v>3</v>
      </c>
      <c r="R413">
        <v>4</v>
      </c>
      <c r="S413">
        <v>3</v>
      </c>
      <c r="T413">
        <v>3</v>
      </c>
      <c r="U413">
        <v>4</v>
      </c>
      <c r="V413">
        <v>4</v>
      </c>
      <c r="W413">
        <v>4</v>
      </c>
      <c r="X413">
        <v>4</v>
      </c>
      <c r="Y413">
        <v>4</v>
      </c>
      <c r="Z413">
        <v>3</v>
      </c>
      <c r="AA413">
        <v>3</v>
      </c>
      <c r="AB413">
        <v>4</v>
      </c>
      <c r="AC413">
        <v>4</v>
      </c>
      <c r="AD413">
        <v>3</v>
      </c>
      <c r="AE413">
        <v>2</v>
      </c>
      <c r="AF413">
        <v>2</v>
      </c>
      <c r="AG413">
        <v>3</v>
      </c>
      <c r="AH413">
        <v>3</v>
      </c>
      <c r="AI413">
        <v>3</v>
      </c>
      <c r="AJ413">
        <v>4</v>
      </c>
      <c r="AK413" t="b">
        <f>Table67[[#This Row],[What is your age?]]&lt;&gt;"18 - 25"</f>
        <v>0</v>
      </c>
      <c r="AL413" t="b">
        <f t="shared" si="24"/>
        <v>0</v>
      </c>
      <c r="AM413" t="b">
        <f t="shared" si="25"/>
        <v>0</v>
      </c>
      <c r="AN413" t="b">
        <f t="shared" si="26"/>
        <v>0</v>
      </c>
      <c r="AO413" t="b">
        <f>OR(Table67[[#This Row],[Ineligible respondents]:[Inconsistent response on opposite question (3)]])</f>
        <v>0</v>
      </c>
      <c r="AP41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13">
        <f>Table67[[#This Row],[Extreme Response]]/21</f>
        <v>0</v>
      </c>
      <c r="AR413">
        <f>_xlfn.PERCENTILE.INC(Table67[Extrem Response Ratio (ERS)],0.9)</f>
        <v>0.61904761904761907</v>
      </c>
      <c r="AS413" t="b">
        <f>Table67[[#This Row],[Extrem Response Ratio (ERS)]]&gt;=Table67[[#This Row],[Threshold of ERS]]</f>
        <v>0</v>
      </c>
      <c r="AT413">
        <f>COUNTIF(Table67[[#This Row],[The mechanism of digital assets is difficult to understand, which discourages me from exploring it (E.g, Tokenization, Blockchain)]:[If I want to try different ways to invest, I will explore digital assets.]], 3)</f>
        <v>9</v>
      </c>
      <c r="AU413">
        <f>Table67[[#This Row],[Midpoint]]/21</f>
        <v>0.42857142857142855</v>
      </c>
      <c r="AV413">
        <f>_xlfn.PERCENTILE.INC(Table67[Midpoint ratio],0.9)</f>
        <v>0.5714285714285714</v>
      </c>
      <c r="AW413" t="b">
        <f>Table67[[#This Row],[Midpoint ratio]]&gt;=Table67[[#This Row],[Threshold of Midpoint ratio]]</f>
        <v>0</v>
      </c>
      <c r="AX413" t="b">
        <f>OR(Table67[[#This Row],[Extreme Response Style]],Table67[[#This Row],[Mid-point Response Style]])</f>
        <v>0</v>
      </c>
      <c r="AY413" t="b">
        <f>OR(Table67[[#This Row],[Delete? (Stage 1)]],Table67[[#This Row],[Delete? (Stage 2)]])</f>
        <v>0</v>
      </c>
      <c r="AZ413" t="s">
        <v>81</v>
      </c>
    </row>
    <row r="414" spans="1:52">
      <c r="A414">
        <f t="shared" si="27"/>
        <v>413</v>
      </c>
      <c r="B414" s="3">
        <v>46043.525844907403</v>
      </c>
      <c r="C414" s="3">
        <v>46043.528344907398</v>
      </c>
      <c r="D414" t="s">
        <v>53</v>
      </c>
      <c r="G414" t="s">
        <v>54</v>
      </c>
      <c r="H414" t="s">
        <v>63</v>
      </c>
      <c r="I414" t="s">
        <v>56</v>
      </c>
      <c r="J414" t="s">
        <v>57</v>
      </c>
      <c r="K414" t="s">
        <v>57</v>
      </c>
      <c r="L414" t="s">
        <v>58</v>
      </c>
      <c r="M414" t="s">
        <v>58</v>
      </c>
      <c r="N414">
        <v>3</v>
      </c>
      <c r="O414">
        <v>3</v>
      </c>
      <c r="P414">
        <v>3</v>
      </c>
      <c r="Q414">
        <v>2</v>
      </c>
      <c r="R414">
        <v>4</v>
      </c>
      <c r="S414">
        <v>4</v>
      </c>
      <c r="T414">
        <v>3</v>
      </c>
      <c r="U414">
        <v>3</v>
      </c>
      <c r="V414">
        <v>4</v>
      </c>
      <c r="W414">
        <v>4</v>
      </c>
      <c r="X414">
        <v>3</v>
      </c>
      <c r="Y414">
        <v>4</v>
      </c>
      <c r="Z414">
        <v>3</v>
      </c>
      <c r="AA414">
        <v>3</v>
      </c>
      <c r="AB414">
        <v>4</v>
      </c>
      <c r="AC414">
        <v>2</v>
      </c>
      <c r="AD414">
        <v>2</v>
      </c>
      <c r="AE414">
        <v>4</v>
      </c>
      <c r="AF414">
        <v>3</v>
      </c>
      <c r="AG414">
        <v>2</v>
      </c>
      <c r="AH414">
        <v>4</v>
      </c>
      <c r="AI414">
        <v>2</v>
      </c>
      <c r="AJ414">
        <v>3</v>
      </c>
      <c r="AK414" t="b">
        <f>Table67[[#This Row],[What is your age?]]&lt;&gt;"18 - 25"</f>
        <v>0</v>
      </c>
      <c r="AL414" t="b">
        <f t="shared" si="24"/>
        <v>0</v>
      </c>
      <c r="AM414" t="b">
        <f t="shared" si="25"/>
        <v>0</v>
      </c>
      <c r="AN414" t="b">
        <f t="shared" si="26"/>
        <v>0</v>
      </c>
      <c r="AO414" t="b">
        <f>OR(Table67[[#This Row],[Ineligible respondents]:[Inconsistent response on opposite question (3)]])</f>
        <v>0</v>
      </c>
      <c r="AP41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14">
        <f>Table67[[#This Row],[Extreme Response]]/21</f>
        <v>0</v>
      </c>
      <c r="AR414">
        <f>_xlfn.PERCENTILE.INC(Table67[Extrem Response Ratio (ERS)],0.9)</f>
        <v>0.61904761904761907</v>
      </c>
      <c r="AS414" t="b">
        <f>Table67[[#This Row],[Extrem Response Ratio (ERS)]]&gt;=Table67[[#This Row],[Threshold of ERS]]</f>
        <v>0</v>
      </c>
      <c r="AT414">
        <f>COUNTIF(Table67[[#This Row],[The mechanism of digital assets is difficult to understand, which discourages me from exploring it (E.g, Tokenization, Blockchain)]:[If I want to try different ways to invest, I will explore digital assets.]], 3)</f>
        <v>9</v>
      </c>
      <c r="AU414">
        <f>Table67[[#This Row],[Midpoint]]/21</f>
        <v>0.42857142857142855</v>
      </c>
      <c r="AV414">
        <f>_xlfn.PERCENTILE.INC(Table67[Midpoint ratio],0.9)</f>
        <v>0.5714285714285714</v>
      </c>
      <c r="AW414" t="b">
        <f>Table67[[#This Row],[Midpoint ratio]]&gt;=Table67[[#This Row],[Threshold of Midpoint ratio]]</f>
        <v>0</v>
      </c>
      <c r="AX414" t="b">
        <f>OR(Table67[[#This Row],[Extreme Response Style]],Table67[[#This Row],[Mid-point Response Style]])</f>
        <v>0</v>
      </c>
      <c r="AY414" t="b">
        <f>OR(Table67[[#This Row],[Delete? (Stage 1)]],Table67[[#This Row],[Delete? (Stage 2)]])</f>
        <v>0</v>
      </c>
      <c r="AZ414" t="s">
        <v>81</v>
      </c>
    </row>
    <row r="415" spans="1:52">
      <c r="A415">
        <f t="shared" si="27"/>
        <v>414</v>
      </c>
      <c r="B415" s="3">
        <v>46043.527604166702</v>
      </c>
      <c r="C415" s="3">
        <v>46043.5299421296</v>
      </c>
      <c r="D415" t="s">
        <v>53</v>
      </c>
      <c r="G415" t="s">
        <v>54</v>
      </c>
      <c r="H415" t="s">
        <v>55</v>
      </c>
      <c r="I415" t="s">
        <v>56</v>
      </c>
      <c r="J415" t="s">
        <v>62</v>
      </c>
      <c r="K415" t="s">
        <v>62</v>
      </c>
      <c r="L415" t="s">
        <v>58</v>
      </c>
      <c r="M415" t="s">
        <v>61</v>
      </c>
      <c r="N415">
        <v>3</v>
      </c>
      <c r="O415">
        <v>3</v>
      </c>
      <c r="P415">
        <v>3</v>
      </c>
      <c r="Q415">
        <v>4</v>
      </c>
      <c r="R415">
        <v>4</v>
      </c>
      <c r="S415">
        <v>3</v>
      </c>
      <c r="T415">
        <v>2</v>
      </c>
      <c r="U415">
        <v>2</v>
      </c>
      <c r="V415">
        <v>4</v>
      </c>
      <c r="W415">
        <v>4</v>
      </c>
      <c r="X415">
        <v>3</v>
      </c>
      <c r="Y415">
        <v>4</v>
      </c>
      <c r="Z415">
        <v>4</v>
      </c>
      <c r="AA415">
        <v>3</v>
      </c>
      <c r="AB415">
        <v>3</v>
      </c>
      <c r="AC415">
        <v>4</v>
      </c>
      <c r="AD415">
        <v>4</v>
      </c>
      <c r="AE415">
        <v>2</v>
      </c>
      <c r="AF415">
        <v>3</v>
      </c>
      <c r="AG415">
        <v>3</v>
      </c>
      <c r="AH415">
        <v>2</v>
      </c>
      <c r="AI415">
        <v>4</v>
      </c>
      <c r="AJ415">
        <v>3</v>
      </c>
      <c r="AK415" t="b">
        <f>Table67[[#This Row],[What is your age?]]&lt;&gt;"18 - 25"</f>
        <v>0</v>
      </c>
      <c r="AL415" t="b">
        <f t="shared" si="24"/>
        <v>0</v>
      </c>
      <c r="AM415" t="b">
        <f t="shared" si="25"/>
        <v>0</v>
      </c>
      <c r="AN415" t="b">
        <f t="shared" si="26"/>
        <v>1</v>
      </c>
      <c r="AO415" t="b">
        <f>OR(Table67[[#This Row],[Ineligible respondents]:[Inconsistent response on opposite question (3)]])</f>
        <v>1</v>
      </c>
      <c r="AP41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15">
        <f>Table67[[#This Row],[Extreme Response]]/21</f>
        <v>0</v>
      </c>
      <c r="AR415">
        <f>_xlfn.PERCENTILE.INC(Table67[Extrem Response Ratio (ERS)],0.9)</f>
        <v>0.61904761904761907</v>
      </c>
      <c r="AS415" t="b">
        <f>Table67[[#This Row],[Extrem Response Ratio (ERS)]]&gt;=Table67[[#This Row],[Threshold of ERS]]</f>
        <v>0</v>
      </c>
      <c r="AT415">
        <f>COUNTIF(Table67[[#This Row],[The mechanism of digital assets is difficult to understand, which discourages me from exploring it (E.g, Tokenization, Blockchain)]:[If I want to try different ways to invest, I will explore digital assets.]], 3)</f>
        <v>9</v>
      </c>
      <c r="AU415">
        <f>Table67[[#This Row],[Midpoint]]/21</f>
        <v>0.42857142857142855</v>
      </c>
      <c r="AV415">
        <f>_xlfn.PERCENTILE.INC(Table67[Midpoint ratio],0.9)</f>
        <v>0.5714285714285714</v>
      </c>
      <c r="AW415" t="b">
        <f>Table67[[#This Row],[Midpoint ratio]]&gt;=Table67[[#This Row],[Threshold of Midpoint ratio]]</f>
        <v>0</v>
      </c>
      <c r="AX415" t="b">
        <f>OR(Table67[[#This Row],[Extreme Response Style]],Table67[[#This Row],[Mid-point Response Style]])</f>
        <v>0</v>
      </c>
      <c r="AY415" t="b">
        <f>OR(Table67[[#This Row],[Delete? (Stage 1)]],Table67[[#This Row],[Delete? (Stage 2)]])</f>
        <v>1</v>
      </c>
      <c r="AZ415" t="s">
        <v>81</v>
      </c>
    </row>
    <row r="416" spans="1:52">
      <c r="A416">
        <f t="shared" si="27"/>
        <v>415</v>
      </c>
      <c r="B416" s="3">
        <v>46043.551817129599</v>
      </c>
      <c r="C416" s="3">
        <v>46043.557280092602</v>
      </c>
      <c r="D416" t="s">
        <v>53</v>
      </c>
      <c r="G416" t="s">
        <v>54</v>
      </c>
      <c r="H416" t="s">
        <v>55</v>
      </c>
      <c r="I416" t="s">
        <v>56</v>
      </c>
      <c r="J416" t="s">
        <v>67</v>
      </c>
      <c r="K416" t="s">
        <v>64</v>
      </c>
      <c r="L416" t="s">
        <v>58</v>
      </c>
      <c r="M416" t="s">
        <v>61</v>
      </c>
      <c r="N416">
        <v>4</v>
      </c>
      <c r="O416">
        <v>2</v>
      </c>
      <c r="P416">
        <v>4</v>
      </c>
      <c r="Q416">
        <v>3</v>
      </c>
      <c r="R416">
        <v>4</v>
      </c>
      <c r="S416">
        <v>4</v>
      </c>
      <c r="T416">
        <v>4</v>
      </c>
      <c r="U416">
        <v>5</v>
      </c>
      <c r="V416">
        <v>5</v>
      </c>
      <c r="W416">
        <v>5</v>
      </c>
      <c r="X416">
        <v>4</v>
      </c>
      <c r="Y416">
        <v>5</v>
      </c>
      <c r="Z416">
        <v>4</v>
      </c>
      <c r="AA416">
        <v>3</v>
      </c>
      <c r="AB416">
        <v>2</v>
      </c>
      <c r="AC416">
        <v>3</v>
      </c>
      <c r="AD416">
        <v>4</v>
      </c>
      <c r="AE416">
        <v>3</v>
      </c>
      <c r="AF416">
        <v>2</v>
      </c>
      <c r="AG416">
        <v>4</v>
      </c>
      <c r="AH416">
        <v>3</v>
      </c>
      <c r="AI416">
        <v>3</v>
      </c>
      <c r="AJ416">
        <v>4</v>
      </c>
      <c r="AK416" t="b">
        <f>Table67[[#This Row],[What is your age?]]&lt;&gt;"18 - 25"</f>
        <v>0</v>
      </c>
      <c r="AL416" t="b">
        <f t="shared" si="24"/>
        <v>0</v>
      </c>
      <c r="AM416" t="b">
        <f t="shared" si="25"/>
        <v>0</v>
      </c>
      <c r="AN416" t="b">
        <f t="shared" si="26"/>
        <v>1</v>
      </c>
      <c r="AO416" t="b">
        <f>OR(Table67[[#This Row],[Ineligible respondents]:[Inconsistent response on opposite question (3)]])</f>
        <v>1</v>
      </c>
      <c r="AP41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416">
        <f>Table67[[#This Row],[Extreme Response]]/21</f>
        <v>0.19047619047619047</v>
      </c>
      <c r="AR416">
        <f>_xlfn.PERCENTILE.INC(Table67[Extrem Response Ratio (ERS)],0.9)</f>
        <v>0.61904761904761907</v>
      </c>
      <c r="AS416" t="b">
        <f>Table67[[#This Row],[Extrem Response Ratio (ERS)]]&gt;=Table67[[#This Row],[Threshold of ERS]]</f>
        <v>0</v>
      </c>
      <c r="AT416">
        <f>COUNTIF(Table67[[#This Row],[The mechanism of digital assets is difficult to understand, which discourages me from exploring it (E.g, Tokenization, Blockchain)]:[If I want to try different ways to invest, I will explore digital assets.]], 3)</f>
        <v>5</v>
      </c>
      <c r="AU416">
        <f>Table67[[#This Row],[Midpoint]]/21</f>
        <v>0.23809523809523808</v>
      </c>
      <c r="AV416">
        <f>_xlfn.PERCENTILE.INC(Table67[Midpoint ratio],0.9)</f>
        <v>0.5714285714285714</v>
      </c>
      <c r="AW416" t="b">
        <f>Table67[[#This Row],[Midpoint ratio]]&gt;=Table67[[#This Row],[Threshold of Midpoint ratio]]</f>
        <v>0</v>
      </c>
      <c r="AX416" t="b">
        <f>OR(Table67[[#This Row],[Extreme Response Style]],Table67[[#This Row],[Mid-point Response Style]])</f>
        <v>0</v>
      </c>
      <c r="AY416" t="b">
        <f>OR(Table67[[#This Row],[Delete? (Stage 1)]],Table67[[#This Row],[Delete? (Stage 2)]])</f>
        <v>1</v>
      </c>
      <c r="AZ416" t="s">
        <v>81</v>
      </c>
    </row>
    <row r="417" spans="1:52">
      <c r="A417">
        <f t="shared" si="27"/>
        <v>416</v>
      </c>
      <c r="B417" s="3">
        <v>46043.577534722201</v>
      </c>
      <c r="C417" s="3">
        <v>46043.579178240703</v>
      </c>
      <c r="D417" t="s">
        <v>53</v>
      </c>
      <c r="G417" t="s">
        <v>54</v>
      </c>
      <c r="H417" t="s">
        <v>55</v>
      </c>
      <c r="I417" t="s">
        <v>56</v>
      </c>
      <c r="J417" t="s">
        <v>57</v>
      </c>
      <c r="K417" t="s">
        <v>57</v>
      </c>
      <c r="L417" t="s">
        <v>58</v>
      </c>
      <c r="M417" t="s">
        <v>58</v>
      </c>
      <c r="N417">
        <v>3</v>
      </c>
      <c r="O417">
        <v>3</v>
      </c>
      <c r="P417">
        <v>3</v>
      </c>
      <c r="Q417">
        <v>3</v>
      </c>
      <c r="R417">
        <v>3</v>
      </c>
      <c r="S417">
        <v>3</v>
      </c>
      <c r="T417">
        <v>3</v>
      </c>
      <c r="U417">
        <v>3</v>
      </c>
      <c r="V417">
        <v>3</v>
      </c>
      <c r="W417">
        <v>3</v>
      </c>
      <c r="X417">
        <v>3</v>
      </c>
      <c r="Y417">
        <v>3</v>
      </c>
      <c r="Z417">
        <v>3</v>
      </c>
      <c r="AA417">
        <v>3</v>
      </c>
      <c r="AB417">
        <v>3</v>
      </c>
      <c r="AC417">
        <v>3</v>
      </c>
      <c r="AD417">
        <v>3</v>
      </c>
      <c r="AE417">
        <v>3</v>
      </c>
      <c r="AF417">
        <v>3</v>
      </c>
      <c r="AG417">
        <v>3</v>
      </c>
      <c r="AH417">
        <v>3</v>
      </c>
      <c r="AI417">
        <v>3</v>
      </c>
      <c r="AJ417">
        <v>3</v>
      </c>
      <c r="AK417" t="b">
        <f>Table67[[#This Row],[What is your age?]]&lt;&gt;"18 - 25"</f>
        <v>0</v>
      </c>
      <c r="AL417" t="b">
        <f t="shared" si="24"/>
        <v>1</v>
      </c>
      <c r="AM417" t="b">
        <f t="shared" si="25"/>
        <v>0</v>
      </c>
      <c r="AN417" t="b">
        <f t="shared" si="26"/>
        <v>0</v>
      </c>
      <c r="AO417" t="b">
        <f>OR(Table67[[#This Row],[Ineligible respondents]:[Inconsistent response on opposite question (3)]])</f>
        <v>1</v>
      </c>
      <c r="AP41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17">
        <f>Table67[[#This Row],[Extreme Response]]/21</f>
        <v>0</v>
      </c>
      <c r="AR417">
        <f>_xlfn.PERCENTILE.INC(Table67[Extrem Response Ratio (ERS)],0.9)</f>
        <v>0.61904761904761907</v>
      </c>
      <c r="AS417" t="b">
        <f>Table67[[#This Row],[Extrem Response Ratio (ERS)]]&gt;=Table67[[#This Row],[Threshold of ERS]]</f>
        <v>0</v>
      </c>
      <c r="AT417">
        <f>COUNTIF(Table67[[#This Row],[The mechanism of digital assets is difficult to understand, which discourages me from exploring it (E.g, Tokenization, Blockchain)]:[If I want to try different ways to invest, I will explore digital assets.]], 3)</f>
        <v>21</v>
      </c>
      <c r="AU417">
        <f>Table67[[#This Row],[Midpoint]]/21</f>
        <v>1</v>
      </c>
      <c r="AV417">
        <f>_xlfn.PERCENTILE.INC(Table67[Midpoint ratio],0.9)</f>
        <v>0.5714285714285714</v>
      </c>
      <c r="AW417" t="b">
        <f>Table67[[#This Row],[Midpoint ratio]]&gt;=Table67[[#This Row],[Threshold of Midpoint ratio]]</f>
        <v>1</v>
      </c>
      <c r="AX417" t="b">
        <f>OR(Table67[[#This Row],[Extreme Response Style]],Table67[[#This Row],[Mid-point Response Style]])</f>
        <v>1</v>
      </c>
      <c r="AY417" t="b">
        <f>OR(Table67[[#This Row],[Delete? (Stage 1)]],Table67[[#This Row],[Delete? (Stage 2)]])</f>
        <v>1</v>
      </c>
      <c r="AZ417" t="s">
        <v>81</v>
      </c>
    </row>
    <row r="418" spans="1:52">
      <c r="A418">
        <f t="shared" si="27"/>
        <v>417</v>
      </c>
      <c r="B418" s="3">
        <v>46043.577534722201</v>
      </c>
      <c r="C418" s="3">
        <v>46043.582268518498</v>
      </c>
      <c r="D418" t="s">
        <v>53</v>
      </c>
      <c r="G418" t="s">
        <v>54</v>
      </c>
      <c r="H418" t="s">
        <v>63</v>
      </c>
      <c r="I418" t="s">
        <v>56</v>
      </c>
      <c r="J418" t="s">
        <v>57</v>
      </c>
      <c r="K418" t="s">
        <v>57</v>
      </c>
      <c r="L418" t="s">
        <v>61</v>
      </c>
      <c r="M418" t="s">
        <v>61</v>
      </c>
      <c r="N418">
        <v>3</v>
      </c>
      <c r="O418">
        <v>2</v>
      </c>
      <c r="P418">
        <v>4</v>
      </c>
      <c r="Q418">
        <v>3</v>
      </c>
      <c r="R418">
        <v>4</v>
      </c>
      <c r="S418">
        <v>4</v>
      </c>
      <c r="T418">
        <v>3</v>
      </c>
      <c r="U418">
        <v>4</v>
      </c>
      <c r="V418">
        <v>5</v>
      </c>
      <c r="W418">
        <v>4</v>
      </c>
      <c r="X418">
        <v>4</v>
      </c>
      <c r="Y418">
        <v>4</v>
      </c>
      <c r="Z418">
        <v>5</v>
      </c>
      <c r="AA418">
        <v>4</v>
      </c>
      <c r="AB418">
        <v>4</v>
      </c>
      <c r="AC418">
        <v>3</v>
      </c>
      <c r="AD418">
        <v>3</v>
      </c>
      <c r="AE418">
        <v>4</v>
      </c>
      <c r="AF418">
        <v>4</v>
      </c>
      <c r="AG418">
        <v>3</v>
      </c>
      <c r="AH418">
        <v>2</v>
      </c>
      <c r="AI418">
        <v>4</v>
      </c>
      <c r="AJ418">
        <v>2</v>
      </c>
      <c r="AK418" t="b">
        <f>Table67[[#This Row],[What is your age?]]&lt;&gt;"18 - 25"</f>
        <v>0</v>
      </c>
      <c r="AL418" t="b">
        <f t="shared" si="24"/>
        <v>0</v>
      </c>
      <c r="AM418" t="b">
        <f t="shared" si="25"/>
        <v>0</v>
      </c>
      <c r="AN418" t="b">
        <f t="shared" si="26"/>
        <v>1</v>
      </c>
      <c r="AO418" t="b">
        <f>OR(Table67[[#This Row],[Ineligible respondents]:[Inconsistent response on opposite question (3)]])</f>
        <v>1</v>
      </c>
      <c r="AP41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418">
        <f>Table67[[#This Row],[Extreme Response]]/21</f>
        <v>9.5238095238095233E-2</v>
      </c>
      <c r="AR418">
        <f>_xlfn.PERCENTILE.INC(Table67[Extrem Response Ratio (ERS)],0.9)</f>
        <v>0.61904761904761907</v>
      </c>
      <c r="AS418" t="b">
        <f>Table67[[#This Row],[Extrem Response Ratio (ERS)]]&gt;=Table67[[#This Row],[Threshold of ERS]]</f>
        <v>0</v>
      </c>
      <c r="AT418">
        <f>COUNTIF(Table67[[#This Row],[The mechanism of digital assets is difficult to understand, which discourages me from exploring it (E.g, Tokenization, Blockchain)]:[If I want to try different ways to invest, I will explore digital assets.]], 3)</f>
        <v>6</v>
      </c>
      <c r="AU418">
        <f>Table67[[#This Row],[Midpoint]]/21</f>
        <v>0.2857142857142857</v>
      </c>
      <c r="AV418">
        <f>_xlfn.PERCENTILE.INC(Table67[Midpoint ratio],0.9)</f>
        <v>0.5714285714285714</v>
      </c>
      <c r="AW418" t="b">
        <f>Table67[[#This Row],[Midpoint ratio]]&gt;=Table67[[#This Row],[Threshold of Midpoint ratio]]</f>
        <v>0</v>
      </c>
      <c r="AX418" t="b">
        <f>OR(Table67[[#This Row],[Extreme Response Style]],Table67[[#This Row],[Mid-point Response Style]])</f>
        <v>0</v>
      </c>
      <c r="AY418" t="b">
        <f>OR(Table67[[#This Row],[Delete? (Stage 1)]],Table67[[#This Row],[Delete? (Stage 2)]])</f>
        <v>1</v>
      </c>
      <c r="AZ418" t="s">
        <v>81</v>
      </c>
    </row>
    <row r="419" spans="1:52">
      <c r="A419">
        <f t="shared" si="27"/>
        <v>418</v>
      </c>
      <c r="B419" s="3">
        <v>46043.577708333301</v>
      </c>
      <c r="C419" s="3">
        <v>46043.5786226852</v>
      </c>
      <c r="D419" t="s">
        <v>53</v>
      </c>
      <c r="G419" t="s">
        <v>54</v>
      </c>
      <c r="H419" t="s">
        <v>63</v>
      </c>
      <c r="I419" t="s">
        <v>56</v>
      </c>
      <c r="J419" t="s">
        <v>62</v>
      </c>
      <c r="K419" t="s">
        <v>57</v>
      </c>
      <c r="L419" t="s">
        <v>58</v>
      </c>
      <c r="M419" t="s">
        <v>61</v>
      </c>
      <c r="N419">
        <v>4</v>
      </c>
      <c r="O419">
        <v>3</v>
      </c>
      <c r="P419">
        <v>3</v>
      </c>
      <c r="Q419">
        <v>3</v>
      </c>
      <c r="R419">
        <v>5</v>
      </c>
      <c r="S419">
        <v>5</v>
      </c>
      <c r="T419">
        <v>3</v>
      </c>
      <c r="U419">
        <v>4</v>
      </c>
      <c r="V419">
        <v>5</v>
      </c>
      <c r="W419">
        <v>4</v>
      </c>
      <c r="X419">
        <v>5</v>
      </c>
      <c r="Y419">
        <v>5</v>
      </c>
      <c r="Z419">
        <v>5</v>
      </c>
      <c r="AA419">
        <v>5</v>
      </c>
      <c r="AB419">
        <v>5</v>
      </c>
      <c r="AC419">
        <v>5</v>
      </c>
      <c r="AD419">
        <v>4</v>
      </c>
      <c r="AE419">
        <v>4</v>
      </c>
      <c r="AF419">
        <v>3</v>
      </c>
      <c r="AG419">
        <v>3</v>
      </c>
      <c r="AH419">
        <v>3</v>
      </c>
      <c r="AI419">
        <v>3</v>
      </c>
      <c r="AJ419">
        <v>3</v>
      </c>
      <c r="AK419" t="b">
        <f>Table67[[#This Row],[What is your age?]]&lt;&gt;"18 - 25"</f>
        <v>0</v>
      </c>
      <c r="AL419" t="b">
        <f t="shared" si="24"/>
        <v>0</v>
      </c>
      <c r="AM419" t="b">
        <f t="shared" si="25"/>
        <v>0</v>
      </c>
      <c r="AN419" t="b">
        <f t="shared" si="26"/>
        <v>0</v>
      </c>
      <c r="AO419" t="b">
        <f>OR(Table67[[#This Row],[Ineligible respondents]:[Inconsistent response on opposite question (3)]])</f>
        <v>0</v>
      </c>
      <c r="AP41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419">
        <f>Table67[[#This Row],[Extreme Response]]/21</f>
        <v>0.42857142857142855</v>
      </c>
      <c r="AR419">
        <f>_xlfn.PERCENTILE.INC(Table67[Extrem Response Ratio (ERS)],0.9)</f>
        <v>0.61904761904761907</v>
      </c>
      <c r="AS419" t="b">
        <f>Table67[[#This Row],[Extrem Response Ratio (ERS)]]&gt;=Table67[[#This Row],[Threshold of ERS]]</f>
        <v>0</v>
      </c>
      <c r="AT419">
        <f>COUNTIF(Table67[[#This Row],[The mechanism of digital assets is difficult to understand, which discourages me from exploring it (E.g, Tokenization, Blockchain)]:[If I want to try different ways to invest, I will explore digital assets.]], 3)</f>
        <v>7</v>
      </c>
      <c r="AU419">
        <f>Table67[[#This Row],[Midpoint]]/21</f>
        <v>0.33333333333333331</v>
      </c>
      <c r="AV419">
        <f>_xlfn.PERCENTILE.INC(Table67[Midpoint ratio],0.9)</f>
        <v>0.5714285714285714</v>
      </c>
      <c r="AW419" t="b">
        <f>Table67[[#This Row],[Midpoint ratio]]&gt;=Table67[[#This Row],[Threshold of Midpoint ratio]]</f>
        <v>0</v>
      </c>
      <c r="AX419" t="b">
        <f>OR(Table67[[#This Row],[Extreme Response Style]],Table67[[#This Row],[Mid-point Response Style]])</f>
        <v>0</v>
      </c>
      <c r="AY419" t="b">
        <f>OR(Table67[[#This Row],[Delete? (Stage 1)]],Table67[[#This Row],[Delete? (Stage 2)]])</f>
        <v>0</v>
      </c>
      <c r="AZ419" t="s">
        <v>81</v>
      </c>
    </row>
    <row r="420" spans="1:52">
      <c r="A420">
        <f t="shared" si="27"/>
        <v>419</v>
      </c>
      <c r="B420" s="3">
        <v>46043.577881944402</v>
      </c>
      <c r="C420" s="3">
        <v>46043.580671296302</v>
      </c>
      <c r="D420" t="s">
        <v>53</v>
      </c>
      <c r="G420" t="s">
        <v>54</v>
      </c>
      <c r="H420" t="s">
        <v>63</v>
      </c>
      <c r="I420" t="s">
        <v>56</v>
      </c>
      <c r="J420" t="s">
        <v>60</v>
      </c>
      <c r="K420" t="s">
        <v>57</v>
      </c>
      <c r="L420" t="s">
        <v>58</v>
      </c>
      <c r="M420" t="s">
        <v>58</v>
      </c>
      <c r="N420">
        <v>4</v>
      </c>
      <c r="O420">
        <v>3</v>
      </c>
      <c r="P420">
        <v>3</v>
      </c>
      <c r="Q420">
        <v>3</v>
      </c>
      <c r="R420">
        <v>2</v>
      </c>
      <c r="S420">
        <v>2</v>
      </c>
      <c r="T420">
        <v>3</v>
      </c>
      <c r="U420">
        <v>3</v>
      </c>
      <c r="V420">
        <v>2</v>
      </c>
      <c r="W420">
        <v>3</v>
      </c>
      <c r="X420">
        <v>4</v>
      </c>
      <c r="Y420">
        <v>4</v>
      </c>
      <c r="Z420">
        <v>4</v>
      </c>
      <c r="AA420">
        <v>4</v>
      </c>
      <c r="AB420">
        <v>3</v>
      </c>
      <c r="AC420">
        <v>3</v>
      </c>
      <c r="AD420">
        <v>2</v>
      </c>
      <c r="AE420">
        <v>4</v>
      </c>
      <c r="AF420">
        <v>2</v>
      </c>
      <c r="AG420">
        <v>3</v>
      </c>
      <c r="AH420">
        <v>3</v>
      </c>
      <c r="AI420">
        <v>3</v>
      </c>
      <c r="AJ420">
        <v>4</v>
      </c>
      <c r="AK420" t="b">
        <f>Table67[[#This Row],[What is your age?]]&lt;&gt;"18 - 25"</f>
        <v>0</v>
      </c>
      <c r="AL420" t="b">
        <f t="shared" si="24"/>
        <v>0</v>
      </c>
      <c r="AM420" t="b">
        <f t="shared" si="25"/>
        <v>0</v>
      </c>
      <c r="AN420" t="b">
        <f t="shared" si="26"/>
        <v>0</v>
      </c>
      <c r="AO420" t="b">
        <f>OR(Table67[[#This Row],[Ineligible respondents]:[Inconsistent response on opposite question (3)]])</f>
        <v>0</v>
      </c>
      <c r="AP42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20">
        <f>Table67[[#This Row],[Extreme Response]]/21</f>
        <v>0</v>
      </c>
      <c r="AR420">
        <f>_xlfn.PERCENTILE.INC(Table67[Extrem Response Ratio (ERS)],0.9)</f>
        <v>0.61904761904761907</v>
      </c>
      <c r="AS420" t="b">
        <f>Table67[[#This Row],[Extrem Response Ratio (ERS)]]&gt;=Table67[[#This Row],[Threshold of ERS]]</f>
        <v>0</v>
      </c>
      <c r="AT420">
        <f>COUNTIF(Table67[[#This Row],[The mechanism of digital assets is difficult to understand, which discourages me from exploring it (E.g, Tokenization, Blockchain)]:[If I want to try different ways to invest, I will explore digital assets.]], 3)</f>
        <v>10</v>
      </c>
      <c r="AU420">
        <f>Table67[[#This Row],[Midpoint]]/21</f>
        <v>0.47619047619047616</v>
      </c>
      <c r="AV420">
        <f>_xlfn.PERCENTILE.INC(Table67[Midpoint ratio],0.9)</f>
        <v>0.5714285714285714</v>
      </c>
      <c r="AW420" t="b">
        <f>Table67[[#This Row],[Midpoint ratio]]&gt;=Table67[[#This Row],[Threshold of Midpoint ratio]]</f>
        <v>0</v>
      </c>
      <c r="AX420" t="b">
        <f>OR(Table67[[#This Row],[Extreme Response Style]],Table67[[#This Row],[Mid-point Response Style]])</f>
        <v>0</v>
      </c>
      <c r="AY420" t="b">
        <f>OR(Table67[[#This Row],[Delete? (Stage 1)]],Table67[[#This Row],[Delete? (Stage 2)]])</f>
        <v>0</v>
      </c>
      <c r="AZ420" t="s">
        <v>81</v>
      </c>
    </row>
    <row r="421" spans="1:52">
      <c r="A421">
        <f t="shared" si="27"/>
        <v>420</v>
      </c>
      <c r="B421" s="3">
        <v>46043.577905092599</v>
      </c>
      <c r="C421" s="3">
        <v>46043.580381944397</v>
      </c>
      <c r="D421" t="s">
        <v>53</v>
      </c>
      <c r="G421" t="s">
        <v>54</v>
      </c>
      <c r="H421" t="s">
        <v>63</v>
      </c>
      <c r="I421" t="s">
        <v>56</v>
      </c>
      <c r="J421" t="s">
        <v>60</v>
      </c>
      <c r="K421" t="s">
        <v>57</v>
      </c>
      <c r="L421" t="s">
        <v>58</v>
      </c>
      <c r="M421" t="s">
        <v>58</v>
      </c>
      <c r="N421">
        <v>4</v>
      </c>
      <c r="O421">
        <v>2</v>
      </c>
      <c r="P421">
        <v>4</v>
      </c>
      <c r="Q421">
        <v>4</v>
      </c>
      <c r="R421">
        <v>4</v>
      </c>
      <c r="S421">
        <v>4</v>
      </c>
      <c r="T421">
        <v>2</v>
      </c>
      <c r="U421">
        <v>4</v>
      </c>
      <c r="V421">
        <v>4</v>
      </c>
      <c r="W421">
        <v>4</v>
      </c>
      <c r="X421">
        <v>4</v>
      </c>
      <c r="Y421">
        <v>4</v>
      </c>
      <c r="Z421">
        <v>4</v>
      </c>
      <c r="AA421">
        <v>4</v>
      </c>
      <c r="AB421">
        <v>2</v>
      </c>
      <c r="AC421">
        <v>2</v>
      </c>
      <c r="AD421">
        <v>4</v>
      </c>
      <c r="AE421">
        <v>4</v>
      </c>
      <c r="AF421">
        <v>4</v>
      </c>
      <c r="AG421">
        <v>2</v>
      </c>
      <c r="AH421">
        <v>4</v>
      </c>
      <c r="AI421">
        <v>2</v>
      </c>
      <c r="AJ421">
        <v>2</v>
      </c>
      <c r="AK421" t="b">
        <f>Table67[[#This Row],[What is your age?]]&lt;&gt;"18 - 25"</f>
        <v>0</v>
      </c>
      <c r="AL421" t="b">
        <f t="shared" si="24"/>
        <v>0</v>
      </c>
      <c r="AM421" t="b">
        <f t="shared" si="25"/>
        <v>0</v>
      </c>
      <c r="AN421" t="b">
        <f t="shared" si="26"/>
        <v>0</v>
      </c>
      <c r="AO421" t="b">
        <f>OR(Table67[[#This Row],[Ineligible respondents]:[Inconsistent response on opposite question (3)]])</f>
        <v>0</v>
      </c>
      <c r="AP42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21">
        <f>Table67[[#This Row],[Extreme Response]]/21</f>
        <v>0</v>
      </c>
      <c r="AR421">
        <f>_xlfn.PERCENTILE.INC(Table67[Extrem Response Ratio (ERS)],0.9)</f>
        <v>0.61904761904761907</v>
      </c>
      <c r="AS421" t="b">
        <f>Table67[[#This Row],[Extrem Response Ratio (ERS)]]&gt;=Table67[[#This Row],[Threshold of ERS]]</f>
        <v>0</v>
      </c>
      <c r="AT421">
        <f>COUNTIF(Table67[[#This Row],[The mechanism of digital assets is difficult to understand, which discourages me from exploring it (E.g, Tokenization, Blockchain)]:[If I want to try different ways to invest, I will explore digital assets.]], 3)</f>
        <v>0</v>
      </c>
      <c r="AU421">
        <f>Table67[[#This Row],[Midpoint]]/21</f>
        <v>0</v>
      </c>
      <c r="AV421">
        <f>_xlfn.PERCENTILE.INC(Table67[Midpoint ratio],0.9)</f>
        <v>0.5714285714285714</v>
      </c>
      <c r="AW421" t="b">
        <f>Table67[[#This Row],[Midpoint ratio]]&gt;=Table67[[#This Row],[Threshold of Midpoint ratio]]</f>
        <v>0</v>
      </c>
      <c r="AX421" t="b">
        <f>OR(Table67[[#This Row],[Extreme Response Style]],Table67[[#This Row],[Mid-point Response Style]])</f>
        <v>0</v>
      </c>
      <c r="AY421" t="b">
        <f>OR(Table67[[#This Row],[Delete? (Stage 1)]],Table67[[#This Row],[Delete? (Stage 2)]])</f>
        <v>0</v>
      </c>
      <c r="AZ421" t="s">
        <v>81</v>
      </c>
    </row>
    <row r="422" spans="1:52">
      <c r="A422">
        <f t="shared" si="27"/>
        <v>421</v>
      </c>
      <c r="B422" s="3">
        <v>46043.577951388899</v>
      </c>
      <c r="C422" s="3">
        <v>46043.579733796301</v>
      </c>
      <c r="D422" t="s">
        <v>53</v>
      </c>
      <c r="G422" t="s">
        <v>54</v>
      </c>
      <c r="H422" t="s">
        <v>63</v>
      </c>
      <c r="I422" t="s">
        <v>56</v>
      </c>
      <c r="J422" t="s">
        <v>57</v>
      </c>
      <c r="K422" t="s">
        <v>57</v>
      </c>
      <c r="L422" t="s">
        <v>58</v>
      </c>
      <c r="M422" t="s">
        <v>61</v>
      </c>
      <c r="N422">
        <v>3</v>
      </c>
      <c r="O422">
        <v>4</v>
      </c>
      <c r="P422">
        <v>5</v>
      </c>
      <c r="Q422">
        <v>4</v>
      </c>
      <c r="R422">
        <v>4</v>
      </c>
      <c r="S422">
        <v>4</v>
      </c>
      <c r="T422">
        <v>4</v>
      </c>
      <c r="U422">
        <v>4</v>
      </c>
      <c r="V422">
        <v>4</v>
      </c>
      <c r="W422">
        <v>4</v>
      </c>
      <c r="X422">
        <v>4</v>
      </c>
      <c r="Y422">
        <v>4</v>
      </c>
      <c r="Z422">
        <v>4</v>
      </c>
      <c r="AA422">
        <v>4</v>
      </c>
      <c r="AB422">
        <v>4</v>
      </c>
      <c r="AC422">
        <v>4</v>
      </c>
      <c r="AD422">
        <v>4</v>
      </c>
      <c r="AE422">
        <v>4</v>
      </c>
      <c r="AF422">
        <v>4</v>
      </c>
      <c r="AG422">
        <v>4</v>
      </c>
      <c r="AH422">
        <v>4</v>
      </c>
      <c r="AI422">
        <v>2</v>
      </c>
      <c r="AJ422">
        <v>2</v>
      </c>
      <c r="AK422" t="b">
        <f>Table67[[#This Row],[What is your age?]]&lt;&gt;"18 - 25"</f>
        <v>0</v>
      </c>
      <c r="AL422" t="b">
        <f t="shared" si="24"/>
        <v>0</v>
      </c>
      <c r="AM422" t="b">
        <f t="shared" si="25"/>
        <v>1</v>
      </c>
      <c r="AN422" t="b">
        <f t="shared" si="26"/>
        <v>0</v>
      </c>
      <c r="AO422" t="b">
        <f>OR(Table67[[#This Row],[Ineligible respondents]:[Inconsistent response on opposite question (3)]])</f>
        <v>1</v>
      </c>
      <c r="AP42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422">
        <f>Table67[[#This Row],[Extreme Response]]/21</f>
        <v>4.7619047619047616E-2</v>
      </c>
      <c r="AR422">
        <f>_xlfn.PERCENTILE.INC(Table67[Extrem Response Ratio (ERS)],0.9)</f>
        <v>0.61904761904761907</v>
      </c>
      <c r="AS422" t="b">
        <f>Table67[[#This Row],[Extrem Response Ratio (ERS)]]&gt;=Table67[[#This Row],[Threshold of ERS]]</f>
        <v>0</v>
      </c>
      <c r="AT422">
        <f>COUNTIF(Table67[[#This Row],[The mechanism of digital assets is difficult to understand, which discourages me from exploring it (E.g, Tokenization, Blockchain)]:[If I want to try different ways to invest, I will explore digital assets.]], 3)</f>
        <v>1</v>
      </c>
      <c r="AU422">
        <f>Table67[[#This Row],[Midpoint]]/21</f>
        <v>4.7619047619047616E-2</v>
      </c>
      <c r="AV422">
        <f>_xlfn.PERCENTILE.INC(Table67[Midpoint ratio],0.9)</f>
        <v>0.5714285714285714</v>
      </c>
      <c r="AW422" t="b">
        <f>Table67[[#This Row],[Midpoint ratio]]&gt;=Table67[[#This Row],[Threshold of Midpoint ratio]]</f>
        <v>0</v>
      </c>
      <c r="AX422" t="b">
        <f>OR(Table67[[#This Row],[Extreme Response Style]],Table67[[#This Row],[Mid-point Response Style]])</f>
        <v>0</v>
      </c>
      <c r="AY422" t="b">
        <f>OR(Table67[[#This Row],[Delete? (Stage 1)]],Table67[[#This Row],[Delete? (Stage 2)]])</f>
        <v>1</v>
      </c>
      <c r="AZ422" t="s">
        <v>81</v>
      </c>
    </row>
    <row r="423" spans="1:52">
      <c r="A423">
        <f t="shared" si="27"/>
        <v>422</v>
      </c>
      <c r="B423" s="3">
        <v>46043.578240740702</v>
      </c>
      <c r="C423" s="3">
        <v>46043.581261574102</v>
      </c>
      <c r="D423" t="s">
        <v>53</v>
      </c>
      <c r="G423" t="s">
        <v>54</v>
      </c>
      <c r="H423" t="s">
        <v>63</v>
      </c>
      <c r="I423" t="s">
        <v>56</v>
      </c>
      <c r="J423" t="s">
        <v>60</v>
      </c>
      <c r="K423" t="s">
        <v>57</v>
      </c>
      <c r="L423" t="s">
        <v>58</v>
      </c>
      <c r="M423" t="s">
        <v>61</v>
      </c>
      <c r="N423">
        <v>4</v>
      </c>
      <c r="O423">
        <v>4</v>
      </c>
      <c r="P423">
        <v>2</v>
      </c>
      <c r="Q423">
        <v>4</v>
      </c>
      <c r="R423">
        <v>4</v>
      </c>
      <c r="S423">
        <v>4</v>
      </c>
      <c r="T423">
        <v>2</v>
      </c>
      <c r="U423">
        <v>2</v>
      </c>
      <c r="V423">
        <v>4</v>
      </c>
      <c r="W423">
        <v>4</v>
      </c>
      <c r="X423">
        <v>2</v>
      </c>
      <c r="Y423">
        <v>4</v>
      </c>
      <c r="Z423">
        <v>4</v>
      </c>
      <c r="AA423">
        <v>4</v>
      </c>
      <c r="AB423">
        <v>3</v>
      </c>
      <c r="AC423">
        <v>3</v>
      </c>
      <c r="AD423">
        <v>4</v>
      </c>
      <c r="AE423">
        <v>3</v>
      </c>
      <c r="AF423">
        <v>2</v>
      </c>
      <c r="AG423">
        <v>4</v>
      </c>
      <c r="AH423">
        <v>4</v>
      </c>
      <c r="AI423">
        <v>2</v>
      </c>
      <c r="AJ423">
        <v>4</v>
      </c>
      <c r="AK423" t="b">
        <f>Table67[[#This Row],[What is your age?]]&lt;&gt;"18 - 25"</f>
        <v>0</v>
      </c>
      <c r="AL423" t="b">
        <f t="shared" si="24"/>
        <v>0</v>
      </c>
      <c r="AM423" t="b">
        <f t="shared" si="25"/>
        <v>1</v>
      </c>
      <c r="AN423" t="b">
        <f t="shared" si="26"/>
        <v>0</v>
      </c>
      <c r="AO423" t="b">
        <f>OR(Table67[[#This Row],[Ineligible respondents]:[Inconsistent response on opposite question (3)]])</f>
        <v>1</v>
      </c>
      <c r="AP42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23">
        <f>Table67[[#This Row],[Extreme Response]]/21</f>
        <v>0</v>
      </c>
      <c r="AR423">
        <f>_xlfn.PERCENTILE.INC(Table67[Extrem Response Ratio (ERS)],0.9)</f>
        <v>0.61904761904761907</v>
      </c>
      <c r="AS423" t="b">
        <f>Table67[[#This Row],[Extrem Response Ratio (ERS)]]&gt;=Table67[[#This Row],[Threshold of ERS]]</f>
        <v>0</v>
      </c>
      <c r="AT423">
        <f>COUNTIF(Table67[[#This Row],[The mechanism of digital assets is difficult to understand, which discourages me from exploring it (E.g, Tokenization, Blockchain)]:[If I want to try different ways to invest, I will explore digital assets.]], 3)</f>
        <v>3</v>
      </c>
      <c r="AU423">
        <f>Table67[[#This Row],[Midpoint]]/21</f>
        <v>0.14285714285714285</v>
      </c>
      <c r="AV423">
        <f>_xlfn.PERCENTILE.INC(Table67[Midpoint ratio],0.9)</f>
        <v>0.5714285714285714</v>
      </c>
      <c r="AW423" t="b">
        <f>Table67[[#This Row],[Midpoint ratio]]&gt;=Table67[[#This Row],[Threshold of Midpoint ratio]]</f>
        <v>0</v>
      </c>
      <c r="AX423" t="b">
        <f>OR(Table67[[#This Row],[Extreme Response Style]],Table67[[#This Row],[Mid-point Response Style]])</f>
        <v>0</v>
      </c>
      <c r="AY423" t="b">
        <f>OR(Table67[[#This Row],[Delete? (Stage 1)]],Table67[[#This Row],[Delete? (Stage 2)]])</f>
        <v>1</v>
      </c>
      <c r="AZ423" t="s">
        <v>81</v>
      </c>
    </row>
    <row r="424" spans="1:52">
      <c r="A424">
        <f t="shared" si="27"/>
        <v>423</v>
      </c>
      <c r="B424" s="3">
        <v>46043.578310185199</v>
      </c>
      <c r="C424" s="3">
        <v>46043.5796064815</v>
      </c>
      <c r="D424" t="s">
        <v>53</v>
      </c>
      <c r="G424" t="s">
        <v>54</v>
      </c>
      <c r="H424" t="s">
        <v>63</v>
      </c>
      <c r="I424" t="s">
        <v>56</v>
      </c>
      <c r="J424" t="s">
        <v>60</v>
      </c>
      <c r="K424" t="s">
        <v>62</v>
      </c>
      <c r="L424" t="s">
        <v>58</v>
      </c>
      <c r="M424" t="s">
        <v>61</v>
      </c>
      <c r="N424">
        <v>4</v>
      </c>
      <c r="O424">
        <v>4</v>
      </c>
      <c r="P424">
        <v>4</v>
      </c>
      <c r="Q424">
        <v>4</v>
      </c>
      <c r="R424">
        <v>4</v>
      </c>
      <c r="S424">
        <v>4</v>
      </c>
      <c r="T424">
        <v>4</v>
      </c>
      <c r="U424">
        <v>3</v>
      </c>
      <c r="V424">
        <v>3</v>
      </c>
      <c r="W424">
        <v>2</v>
      </c>
      <c r="X424">
        <v>4</v>
      </c>
      <c r="Y424">
        <v>3</v>
      </c>
      <c r="Z424">
        <v>3</v>
      </c>
      <c r="AA424">
        <v>3</v>
      </c>
      <c r="AB424">
        <v>3</v>
      </c>
      <c r="AC424">
        <v>3</v>
      </c>
      <c r="AD424">
        <v>3</v>
      </c>
      <c r="AE424">
        <v>3</v>
      </c>
      <c r="AF424">
        <v>3</v>
      </c>
      <c r="AG424">
        <v>3</v>
      </c>
      <c r="AH424">
        <v>3</v>
      </c>
      <c r="AI424">
        <v>3</v>
      </c>
      <c r="AJ424">
        <v>3</v>
      </c>
      <c r="AK424" t="b">
        <f>Table67[[#This Row],[What is your age?]]&lt;&gt;"18 - 25"</f>
        <v>0</v>
      </c>
      <c r="AL424" t="b">
        <f t="shared" si="24"/>
        <v>0</v>
      </c>
      <c r="AM424" t="b">
        <f t="shared" si="25"/>
        <v>0</v>
      </c>
      <c r="AN424" t="b">
        <f t="shared" si="26"/>
        <v>0</v>
      </c>
      <c r="AO424" t="b">
        <f>OR(Table67[[#This Row],[Ineligible respondents]:[Inconsistent response on opposite question (3)]])</f>
        <v>0</v>
      </c>
      <c r="AP42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24">
        <f>Table67[[#This Row],[Extreme Response]]/21</f>
        <v>0</v>
      </c>
      <c r="AR424">
        <f>_xlfn.PERCENTILE.INC(Table67[Extrem Response Ratio (ERS)],0.9)</f>
        <v>0.61904761904761907</v>
      </c>
      <c r="AS424" t="b">
        <f>Table67[[#This Row],[Extrem Response Ratio (ERS)]]&gt;=Table67[[#This Row],[Threshold of ERS]]</f>
        <v>0</v>
      </c>
      <c r="AT424">
        <f>COUNTIF(Table67[[#This Row],[The mechanism of digital assets is difficult to understand, which discourages me from exploring it (E.g, Tokenization, Blockchain)]:[If I want to try different ways to invest, I will explore digital assets.]], 3)</f>
        <v>12</v>
      </c>
      <c r="AU424">
        <f>Table67[[#This Row],[Midpoint]]/21</f>
        <v>0.5714285714285714</v>
      </c>
      <c r="AV424">
        <f>_xlfn.PERCENTILE.INC(Table67[Midpoint ratio],0.9)</f>
        <v>0.5714285714285714</v>
      </c>
      <c r="AW424" t="b">
        <f>Table67[[#This Row],[Midpoint ratio]]&gt;=Table67[[#This Row],[Threshold of Midpoint ratio]]</f>
        <v>1</v>
      </c>
      <c r="AX424" t="b">
        <f>OR(Table67[[#This Row],[Extreme Response Style]],Table67[[#This Row],[Mid-point Response Style]])</f>
        <v>1</v>
      </c>
      <c r="AY424" t="b">
        <f>OR(Table67[[#This Row],[Delete? (Stage 1)]],Table67[[#This Row],[Delete? (Stage 2)]])</f>
        <v>1</v>
      </c>
      <c r="AZ424" t="s">
        <v>81</v>
      </c>
    </row>
    <row r="425" spans="1:52">
      <c r="A425">
        <f t="shared" si="27"/>
        <v>424</v>
      </c>
      <c r="B425" s="3">
        <v>46043.579108796301</v>
      </c>
      <c r="C425" s="3">
        <v>46043.580219907402</v>
      </c>
      <c r="D425" t="s">
        <v>53</v>
      </c>
      <c r="G425" t="s">
        <v>54</v>
      </c>
      <c r="H425" t="s">
        <v>63</v>
      </c>
      <c r="I425" t="s">
        <v>69</v>
      </c>
      <c r="J425" t="s">
        <v>62</v>
      </c>
      <c r="K425" t="s">
        <v>57</v>
      </c>
      <c r="L425" t="s">
        <v>58</v>
      </c>
      <c r="M425" t="s">
        <v>61</v>
      </c>
      <c r="N425">
        <v>4</v>
      </c>
      <c r="O425">
        <v>4</v>
      </c>
      <c r="P425">
        <v>3</v>
      </c>
      <c r="Q425">
        <v>2</v>
      </c>
      <c r="R425">
        <v>2</v>
      </c>
      <c r="S425">
        <v>3</v>
      </c>
      <c r="T425">
        <v>4</v>
      </c>
      <c r="U425">
        <v>4</v>
      </c>
      <c r="V425">
        <v>2</v>
      </c>
      <c r="W425">
        <v>4</v>
      </c>
      <c r="X425">
        <v>4</v>
      </c>
      <c r="Y425">
        <v>2</v>
      </c>
      <c r="Z425">
        <v>4</v>
      </c>
      <c r="AA425">
        <v>3</v>
      </c>
      <c r="AB425">
        <v>3</v>
      </c>
      <c r="AC425">
        <v>4</v>
      </c>
      <c r="AD425">
        <v>4</v>
      </c>
      <c r="AE425">
        <v>4</v>
      </c>
      <c r="AF425">
        <v>3</v>
      </c>
      <c r="AG425">
        <v>3</v>
      </c>
      <c r="AH425">
        <v>2</v>
      </c>
      <c r="AI425">
        <v>4</v>
      </c>
      <c r="AJ425">
        <v>3</v>
      </c>
      <c r="AK425" t="b">
        <f>Table67[[#This Row],[What is your age?]]&lt;&gt;"18 - 25"</f>
        <v>0</v>
      </c>
      <c r="AL425" t="b">
        <f t="shared" si="24"/>
        <v>0</v>
      </c>
      <c r="AM425" t="b">
        <f t="shared" si="25"/>
        <v>0</v>
      </c>
      <c r="AN425" t="b">
        <f t="shared" si="26"/>
        <v>1</v>
      </c>
      <c r="AO425" t="b">
        <f>OR(Table67[[#This Row],[Ineligible respondents]:[Inconsistent response on opposite question (3)]])</f>
        <v>1</v>
      </c>
      <c r="AP42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25">
        <f>Table67[[#This Row],[Extreme Response]]/21</f>
        <v>0</v>
      </c>
      <c r="AR425">
        <f>_xlfn.PERCENTILE.INC(Table67[Extrem Response Ratio (ERS)],0.9)</f>
        <v>0.61904761904761907</v>
      </c>
      <c r="AS425" t="b">
        <f>Table67[[#This Row],[Extrem Response Ratio (ERS)]]&gt;=Table67[[#This Row],[Threshold of ERS]]</f>
        <v>0</v>
      </c>
      <c r="AT425">
        <f>COUNTIF(Table67[[#This Row],[The mechanism of digital assets is difficult to understand, which discourages me from exploring it (E.g, Tokenization, Blockchain)]:[If I want to try different ways to invest, I will explore digital assets.]], 3)</f>
        <v>6</v>
      </c>
      <c r="AU425">
        <f>Table67[[#This Row],[Midpoint]]/21</f>
        <v>0.2857142857142857</v>
      </c>
      <c r="AV425">
        <f>_xlfn.PERCENTILE.INC(Table67[Midpoint ratio],0.9)</f>
        <v>0.5714285714285714</v>
      </c>
      <c r="AW425" t="b">
        <f>Table67[[#This Row],[Midpoint ratio]]&gt;=Table67[[#This Row],[Threshold of Midpoint ratio]]</f>
        <v>0</v>
      </c>
      <c r="AX425" t="b">
        <f>OR(Table67[[#This Row],[Extreme Response Style]],Table67[[#This Row],[Mid-point Response Style]])</f>
        <v>0</v>
      </c>
      <c r="AY425" t="b">
        <f>OR(Table67[[#This Row],[Delete? (Stage 1)]],Table67[[#This Row],[Delete? (Stage 2)]])</f>
        <v>1</v>
      </c>
      <c r="AZ425" t="s">
        <v>81</v>
      </c>
    </row>
    <row r="426" spans="1:52">
      <c r="A426">
        <f t="shared" si="27"/>
        <v>425</v>
      </c>
      <c r="B426" s="3">
        <v>46043.579259259299</v>
      </c>
      <c r="C426" s="3">
        <v>46043.582349536999</v>
      </c>
      <c r="D426" t="s">
        <v>53</v>
      </c>
      <c r="G426" t="s">
        <v>54</v>
      </c>
      <c r="H426" t="s">
        <v>55</v>
      </c>
      <c r="I426" t="s">
        <v>56</v>
      </c>
      <c r="J426" t="s">
        <v>62</v>
      </c>
      <c r="K426" t="s">
        <v>57</v>
      </c>
      <c r="L426" t="s">
        <v>58</v>
      </c>
      <c r="M426" t="s">
        <v>61</v>
      </c>
      <c r="N426">
        <v>4</v>
      </c>
      <c r="O426">
        <v>3</v>
      </c>
      <c r="P426">
        <v>4</v>
      </c>
      <c r="Q426">
        <v>4</v>
      </c>
      <c r="R426">
        <v>5</v>
      </c>
      <c r="S426">
        <v>3</v>
      </c>
      <c r="T426">
        <v>5</v>
      </c>
      <c r="U426">
        <v>5</v>
      </c>
      <c r="V426">
        <v>5</v>
      </c>
      <c r="W426">
        <v>5</v>
      </c>
      <c r="X426">
        <v>4</v>
      </c>
      <c r="Y426">
        <v>5</v>
      </c>
      <c r="Z426">
        <v>5</v>
      </c>
      <c r="AA426">
        <v>5</v>
      </c>
      <c r="AB426">
        <v>4</v>
      </c>
      <c r="AC426">
        <v>5</v>
      </c>
      <c r="AD426">
        <v>5</v>
      </c>
      <c r="AE426">
        <v>4</v>
      </c>
      <c r="AF426">
        <v>2</v>
      </c>
      <c r="AG426">
        <v>5</v>
      </c>
      <c r="AH426">
        <v>2</v>
      </c>
      <c r="AI426">
        <v>4</v>
      </c>
      <c r="AJ426">
        <v>4</v>
      </c>
      <c r="AK426" t="b">
        <f>Table67[[#This Row],[What is your age?]]&lt;&gt;"18 - 25"</f>
        <v>0</v>
      </c>
      <c r="AL426" t="b">
        <f t="shared" si="24"/>
        <v>0</v>
      </c>
      <c r="AM426" t="b">
        <f t="shared" si="25"/>
        <v>0</v>
      </c>
      <c r="AN426" t="b">
        <f t="shared" si="26"/>
        <v>0</v>
      </c>
      <c r="AO426" t="b">
        <f>OR(Table67[[#This Row],[Ineligible respondents]:[Inconsistent response on opposite question (3)]])</f>
        <v>0</v>
      </c>
      <c r="AP42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426">
        <f>Table67[[#This Row],[Extreme Response]]/21</f>
        <v>0.52380952380952384</v>
      </c>
      <c r="AR426">
        <f>_xlfn.PERCENTILE.INC(Table67[Extrem Response Ratio (ERS)],0.9)</f>
        <v>0.61904761904761907</v>
      </c>
      <c r="AS426" t="b">
        <f>Table67[[#This Row],[Extrem Response Ratio (ERS)]]&gt;=Table67[[#This Row],[Threshold of ERS]]</f>
        <v>0</v>
      </c>
      <c r="AT426">
        <f>COUNTIF(Table67[[#This Row],[The mechanism of digital assets is difficult to understand, which discourages me from exploring it (E.g, Tokenization, Blockchain)]:[If I want to try different ways to invest, I will explore digital assets.]], 3)</f>
        <v>2</v>
      </c>
      <c r="AU426">
        <f>Table67[[#This Row],[Midpoint]]/21</f>
        <v>9.5238095238095233E-2</v>
      </c>
      <c r="AV426">
        <f>_xlfn.PERCENTILE.INC(Table67[Midpoint ratio],0.9)</f>
        <v>0.5714285714285714</v>
      </c>
      <c r="AW426" t="b">
        <f>Table67[[#This Row],[Midpoint ratio]]&gt;=Table67[[#This Row],[Threshold of Midpoint ratio]]</f>
        <v>0</v>
      </c>
      <c r="AX426" t="b">
        <f>OR(Table67[[#This Row],[Extreme Response Style]],Table67[[#This Row],[Mid-point Response Style]])</f>
        <v>0</v>
      </c>
      <c r="AY426" t="b">
        <f>OR(Table67[[#This Row],[Delete? (Stage 1)]],Table67[[#This Row],[Delete? (Stage 2)]])</f>
        <v>0</v>
      </c>
      <c r="AZ426" t="s">
        <v>81</v>
      </c>
    </row>
    <row r="427" spans="1:52">
      <c r="A427">
        <f t="shared" si="27"/>
        <v>426</v>
      </c>
      <c r="B427" s="3">
        <v>46043.579444444404</v>
      </c>
      <c r="C427" s="3">
        <v>46043.581041666701</v>
      </c>
      <c r="D427" t="s">
        <v>53</v>
      </c>
      <c r="G427" t="s">
        <v>54</v>
      </c>
      <c r="H427" t="s">
        <v>55</v>
      </c>
      <c r="I427" t="s">
        <v>56</v>
      </c>
      <c r="J427" t="s">
        <v>62</v>
      </c>
      <c r="K427" t="s">
        <v>62</v>
      </c>
      <c r="L427" t="s">
        <v>61</v>
      </c>
      <c r="M427" t="s">
        <v>61</v>
      </c>
      <c r="N427">
        <v>3</v>
      </c>
      <c r="O427">
        <v>2</v>
      </c>
      <c r="P427">
        <v>4</v>
      </c>
      <c r="Q427">
        <v>4</v>
      </c>
      <c r="R427">
        <v>2</v>
      </c>
      <c r="S427">
        <v>2</v>
      </c>
      <c r="T427">
        <v>3</v>
      </c>
      <c r="U427">
        <v>3</v>
      </c>
      <c r="V427">
        <v>3</v>
      </c>
      <c r="W427">
        <v>4</v>
      </c>
      <c r="X427">
        <v>3</v>
      </c>
      <c r="Y427">
        <v>3</v>
      </c>
      <c r="Z427">
        <v>4</v>
      </c>
      <c r="AA427">
        <v>4</v>
      </c>
      <c r="AB427">
        <v>3</v>
      </c>
      <c r="AC427">
        <v>3</v>
      </c>
      <c r="AD427">
        <v>2</v>
      </c>
      <c r="AE427">
        <v>3</v>
      </c>
      <c r="AF427">
        <v>4</v>
      </c>
      <c r="AG427">
        <v>2</v>
      </c>
      <c r="AH427">
        <v>4</v>
      </c>
      <c r="AI427">
        <v>2</v>
      </c>
      <c r="AJ427">
        <v>2</v>
      </c>
      <c r="AK427" t="b">
        <f>Table67[[#This Row],[What is your age?]]&lt;&gt;"18 - 25"</f>
        <v>0</v>
      </c>
      <c r="AL427" t="b">
        <f t="shared" si="24"/>
        <v>0</v>
      </c>
      <c r="AM427" t="b">
        <f t="shared" si="25"/>
        <v>0</v>
      </c>
      <c r="AN427" t="b">
        <f t="shared" si="26"/>
        <v>0</v>
      </c>
      <c r="AO427" t="b">
        <f>OR(Table67[[#This Row],[Ineligible respondents]:[Inconsistent response on opposite question (3)]])</f>
        <v>0</v>
      </c>
      <c r="AP42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27">
        <f>Table67[[#This Row],[Extreme Response]]/21</f>
        <v>0</v>
      </c>
      <c r="AR427">
        <f>_xlfn.PERCENTILE.INC(Table67[Extrem Response Ratio (ERS)],0.9)</f>
        <v>0.61904761904761907</v>
      </c>
      <c r="AS427" t="b">
        <f>Table67[[#This Row],[Extrem Response Ratio (ERS)]]&gt;=Table67[[#This Row],[Threshold of ERS]]</f>
        <v>0</v>
      </c>
      <c r="AT427">
        <f>COUNTIF(Table67[[#This Row],[The mechanism of digital assets is difficult to understand, which discourages me from exploring it (E.g, Tokenization, Blockchain)]:[If I want to try different ways to invest, I will explore digital assets.]], 3)</f>
        <v>9</v>
      </c>
      <c r="AU427">
        <f>Table67[[#This Row],[Midpoint]]/21</f>
        <v>0.42857142857142855</v>
      </c>
      <c r="AV427">
        <f>_xlfn.PERCENTILE.INC(Table67[Midpoint ratio],0.9)</f>
        <v>0.5714285714285714</v>
      </c>
      <c r="AW427" t="b">
        <f>Table67[[#This Row],[Midpoint ratio]]&gt;=Table67[[#This Row],[Threshold of Midpoint ratio]]</f>
        <v>0</v>
      </c>
      <c r="AX427" t="b">
        <f>OR(Table67[[#This Row],[Extreme Response Style]],Table67[[#This Row],[Mid-point Response Style]])</f>
        <v>0</v>
      </c>
      <c r="AY427" t="b">
        <f>OR(Table67[[#This Row],[Delete? (Stage 1)]],Table67[[#This Row],[Delete? (Stage 2)]])</f>
        <v>0</v>
      </c>
      <c r="AZ427" t="s">
        <v>81</v>
      </c>
    </row>
    <row r="428" spans="1:52">
      <c r="A428">
        <f t="shared" si="27"/>
        <v>427</v>
      </c>
      <c r="B428" s="3">
        <v>46043.579629629603</v>
      </c>
      <c r="C428" s="3">
        <v>46043.582118055601</v>
      </c>
      <c r="D428" t="s">
        <v>53</v>
      </c>
      <c r="G428" t="s">
        <v>54</v>
      </c>
      <c r="H428" t="s">
        <v>55</v>
      </c>
      <c r="I428" t="s">
        <v>56</v>
      </c>
      <c r="J428" t="s">
        <v>62</v>
      </c>
      <c r="K428" t="s">
        <v>67</v>
      </c>
      <c r="L428" t="s">
        <v>61</v>
      </c>
      <c r="M428" t="s">
        <v>61</v>
      </c>
      <c r="N428">
        <v>4</v>
      </c>
      <c r="O428">
        <v>4</v>
      </c>
      <c r="P428">
        <v>5</v>
      </c>
      <c r="Q428">
        <v>5</v>
      </c>
      <c r="R428">
        <v>5</v>
      </c>
      <c r="S428">
        <v>5</v>
      </c>
      <c r="T428">
        <v>5</v>
      </c>
      <c r="U428">
        <v>5</v>
      </c>
      <c r="V428">
        <v>5</v>
      </c>
      <c r="W428">
        <v>2</v>
      </c>
      <c r="X428">
        <v>5</v>
      </c>
      <c r="Y428">
        <v>5</v>
      </c>
      <c r="Z428">
        <v>1</v>
      </c>
      <c r="AA428">
        <v>4</v>
      </c>
      <c r="AB428">
        <v>1</v>
      </c>
      <c r="AC428">
        <v>4</v>
      </c>
      <c r="AD428">
        <v>4</v>
      </c>
      <c r="AE428">
        <v>1</v>
      </c>
      <c r="AF428">
        <v>3</v>
      </c>
      <c r="AG428">
        <v>4</v>
      </c>
      <c r="AH428">
        <v>4</v>
      </c>
      <c r="AI428">
        <v>2</v>
      </c>
      <c r="AJ428">
        <v>3</v>
      </c>
      <c r="AK428" t="b">
        <f>Table67[[#This Row],[What is your age?]]&lt;&gt;"18 - 25"</f>
        <v>0</v>
      </c>
      <c r="AL428" t="b">
        <f t="shared" si="24"/>
        <v>0</v>
      </c>
      <c r="AM428" t="b">
        <f t="shared" si="25"/>
        <v>1</v>
      </c>
      <c r="AN428" t="b">
        <f t="shared" si="26"/>
        <v>0</v>
      </c>
      <c r="AO428" t="b">
        <f>OR(Table67[[#This Row],[Ineligible respondents]:[Inconsistent response on opposite question (3)]])</f>
        <v>1</v>
      </c>
      <c r="AP42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12</v>
      </c>
      <c r="AQ428">
        <f>Table67[[#This Row],[Extreme Response]]/21</f>
        <v>0.5714285714285714</v>
      </c>
      <c r="AR428">
        <f>_xlfn.PERCENTILE.INC(Table67[Extrem Response Ratio (ERS)],0.9)</f>
        <v>0.61904761904761907</v>
      </c>
      <c r="AS428" t="b">
        <f>Table67[[#This Row],[Extrem Response Ratio (ERS)]]&gt;=Table67[[#This Row],[Threshold of ERS]]</f>
        <v>0</v>
      </c>
      <c r="AT428">
        <f>COUNTIF(Table67[[#This Row],[The mechanism of digital assets is difficult to understand, which discourages me from exploring it (E.g, Tokenization, Blockchain)]:[If I want to try different ways to invest, I will explore digital assets.]], 3)</f>
        <v>1</v>
      </c>
      <c r="AU428">
        <f>Table67[[#This Row],[Midpoint]]/21</f>
        <v>4.7619047619047616E-2</v>
      </c>
      <c r="AV428">
        <f>_xlfn.PERCENTILE.INC(Table67[Midpoint ratio],0.9)</f>
        <v>0.5714285714285714</v>
      </c>
      <c r="AW428" t="b">
        <f>Table67[[#This Row],[Midpoint ratio]]&gt;=Table67[[#This Row],[Threshold of Midpoint ratio]]</f>
        <v>0</v>
      </c>
      <c r="AX428" t="b">
        <f>OR(Table67[[#This Row],[Extreme Response Style]],Table67[[#This Row],[Mid-point Response Style]])</f>
        <v>0</v>
      </c>
      <c r="AY428" t="b">
        <f>OR(Table67[[#This Row],[Delete? (Stage 1)]],Table67[[#This Row],[Delete? (Stage 2)]])</f>
        <v>1</v>
      </c>
      <c r="AZ428" t="s">
        <v>81</v>
      </c>
    </row>
    <row r="429" spans="1:52">
      <c r="A429">
        <f t="shared" si="27"/>
        <v>428</v>
      </c>
      <c r="B429" s="3">
        <v>46043.579965277801</v>
      </c>
      <c r="C429" s="3">
        <v>46043.5843634259</v>
      </c>
      <c r="D429" t="s">
        <v>53</v>
      </c>
      <c r="G429" t="s">
        <v>54</v>
      </c>
      <c r="H429" t="s">
        <v>55</v>
      </c>
      <c r="I429" t="s">
        <v>56</v>
      </c>
      <c r="J429" t="s">
        <v>62</v>
      </c>
      <c r="K429" t="s">
        <v>57</v>
      </c>
      <c r="L429" t="s">
        <v>58</v>
      </c>
      <c r="M429" t="s">
        <v>61</v>
      </c>
      <c r="N429">
        <v>3</v>
      </c>
      <c r="O429">
        <v>2</v>
      </c>
      <c r="P429">
        <v>4</v>
      </c>
      <c r="Q429">
        <v>4</v>
      </c>
      <c r="R429">
        <v>3</v>
      </c>
      <c r="S429">
        <v>3</v>
      </c>
      <c r="T429">
        <v>2</v>
      </c>
      <c r="U429">
        <v>4</v>
      </c>
      <c r="V429">
        <v>4</v>
      </c>
      <c r="W429">
        <v>3</v>
      </c>
      <c r="X429">
        <v>3</v>
      </c>
      <c r="Y429">
        <v>3</v>
      </c>
      <c r="Z429">
        <v>4</v>
      </c>
      <c r="AA429">
        <v>3</v>
      </c>
      <c r="AB429">
        <v>2</v>
      </c>
      <c r="AC429">
        <v>4</v>
      </c>
      <c r="AD429">
        <v>5</v>
      </c>
      <c r="AE429">
        <v>3</v>
      </c>
      <c r="AF429">
        <v>4</v>
      </c>
      <c r="AG429">
        <v>3</v>
      </c>
      <c r="AH429">
        <v>4</v>
      </c>
      <c r="AI429">
        <v>2</v>
      </c>
      <c r="AJ429">
        <v>2</v>
      </c>
      <c r="AK429" t="b">
        <f>Table67[[#This Row],[What is your age?]]&lt;&gt;"18 - 25"</f>
        <v>0</v>
      </c>
      <c r="AL429" t="b">
        <f t="shared" si="24"/>
        <v>0</v>
      </c>
      <c r="AM429" t="b">
        <f t="shared" si="25"/>
        <v>0</v>
      </c>
      <c r="AN429" t="b">
        <f t="shared" si="26"/>
        <v>1</v>
      </c>
      <c r="AO429" t="b">
        <f>OR(Table67[[#This Row],[Ineligible respondents]:[Inconsistent response on opposite question (3)]])</f>
        <v>1</v>
      </c>
      <c r="AP42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429">
        <f>Table67[[#This Row],[Extreme Response]]/21</f>
        <v>4.7619047619047616E-2</v>
      </c>
      <c r="AR429">
        <f>_xlfn.PERCENTILE.INC(Table67[Extrem Response Ratio (ERS)],0.9)</f>
        <v>0.61904761904761907</v>
      </c>
      <c r="AS429" t="b">
        <f>Table67[[#This Row],[Extrem Response Ratio (ERS)]]&gt;=Table67[[#This Row],[Threshold of ERS]]</f>
        <v>0</v>
      </c>
      <c r="AT429">
        <f>COUNTIF(Table67[[#This Row],[The mechanism of digital assets is difficult to understand, which discourages me from exploring it (E.g, Tokenization, Blockchain)]:[If I want to try different ways to invest, I will explore digital assets.]], 3)</f>
        <v>9</v>
      </c>
      <c r="AU429">
        <f>Table67[[#This Row],[Midpoint]]/21</f>
        <v>0.42857142857142855</v>
      </c>
      <c r="AV429">
        <f>_xlfn.PERCENTILE.INC(Table67[Midpoint ratio],0.9)</f>
        <v>0.5714285714285714</v>
      </c>
      <c r="AW429" t="b">
        <f>Table67[[#This Row],[Midpoint ratio]]&gt;=Table67[[#This Row],[Threshold of Midpoint ratio]]</f>
        <v>0</v>
      </c>
      <c r="AX429" t="b">
        <f>OR(Table67[[#This Row],[Extreme Response Style]],Table67[[#This Row],[Mid-point Response Style]])</f>
        <v>0</v>
      </c>
      <c r="AY429" t="b">
        <f>OR(Table67[[#This Row],[Delete? (Stage 1)]],Table67[[#This Row],[Delete? (Stage 2)]])</f>
        <v>1</v>
      </c>
      <c r="AZ429" t="s">
        <v>81</v>
      </c>
    </row>
    <row r="430" spans="1:52">
      <c r="A430">
        <f t="shared" si="27"/>
        <v>429</v>
      </c>
      <c r="B430" s="3">
        <v>46043.580231481501</v>
      </c>
      <c r="C430" s="3">
        <v>46043.582071759301</v>
      </c>
      <c r="D430" t="s">
        <v>53</v>
      </c>
      <c r="G430" t="s">
        <v>54</v>
      </c>
      <c r="H430" t="s">
        <v>63</v>
      </c>
      <c r="I430" t="s">
        <v>56</v>
      </c>
      <c r="J430" t="s">
        <v>62</v>
      </c>
      <c r="K430" t="s">
        <v>62</v>
      </c>
      <c r="L430" t="s">
        <v>58</v>
      </c>
      <c r="M430" t="s">
        <v>61</v>
      </c>
      <c r="N430">
        <v>4</v>
      </c>
      <c r="O430">
        <v>3</v>
      </c>
      <c r="P430">
        <v>4</v>
      </c>
      <c r="Q430">
        <v>3</v>
      </c>
      <c r="R430">
        <v>3</v>
      </c>
      <c r="S430">
        <v>4</v>
      </c>
      <c r="T430">
        <v>4</v>
      </c>
      <c r="U430">
        <v>5</v>
      </c>
      <c r="V430">
        <v>4</v>
      </c>
      <c r="W430">
        <v>4</v>
      </c>
      <c r="X430">
        <v>3</v>
      </c>
      <c r="Y430">
        <v>4</v>
      </c>
      <c r="Z430">
        <v>3</v>
      </c>
      <c r="AA430">
        <v>3</v>
      </c>
      <c r="AB430">
        <v>3</v>
      </c>
      <c r="AC430">
        <v>3</v>
      </c>
      <c r="AD430">
        <v>2</v>
      </c>
      <c r="AE430">
        <v>4</v>
      </c>
      <c r="AF430">
        <v>2</v>
      </c>
      <c r="AG430">
        <v>4</v>
      </c>
      <c r="AH430">
        <v>4</v>
      </c>
      <c r="AI430">
        <v>2</v>
      </c>
      <c r="AJ430">
        <v>4</v>
      </c>
      <c r="AK430" t="b">
        <f>Table67[[#This Row],[What is your age?]]&lt;&gt;"18 - 25"</f>
        <v>0</v>
      </c>
      <c r="AL430" t="b">
        <f t="shared" si="24"/>
        <v>0</v>
      </c>
      <c r="AM430" t="b">
        <f t="shared" si="25"/>
        <v>1</v>
      </c>
      <c r="AN430" t="b">
        <f t="shared" si="26"/>
        <v>0</v>
      </c>
      <c r="AO430" t="b">
        <f>OR(Table67[[#This Row],[Ineligible respondents]:[Inconsistent response on opposite question (3)]])</f>
        <v>1</v>
      </c>
      <c r="AP43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430">
        <f>Table67[[#This Row],[Extreme Response]]/21</f>
        <v>4.7619047619047616E-2</v>
      </c>
      <c r="AR430">
        <f>_xlfn.PERCENTILE.INC(Table67[Extrem Response Ratio (ERS)],0.9)</f>
        <v>0.61904761904761907</v>
      </c>
      <c r="AS430" t="b">
        <f>Table67[[#This Row],[Extrem Response Ratio (ERS)]]&gt;=Table67[[#This Row],[Threshold of ERS]]</f>
        <v>0</v>
      </c>
      <c r="AT430">
        <f>COUNTIF(Table67[[#This Row],[The mechanism of digital assets is difficult to understand, which discourages me from exploring it (E.g, Tokenization, Blockchain)]:[If I want to try different ways to invest, I will explore digital assets.]], 3)</f>
        <v>8</v>
      </c>
      <c r="AU430">
        <f>Table67[[#This Row],[Midpoint]]/21</f>
        <v>0.38095238095238093</v>
      </c>
      <c r="AV430">
        <f>_xlfn.PERCENTILE.INC(Table67[Midpoint ratio],0.9)</f>
        <v>0.5714285714285714</v>
      </c>
      <c r="AW430" t="b">
        <f>Table67[[#This Row],[Midpoint ratio]]&gt;=Table67[[#This Row],[Threshold of Midpoint ratio]]</f>
        <v>0</v>
      </c>
      <c r="AX430" t="b">
        <f>OR(Table67[[#This Row],[Extreme Response Style]],Table67[[#This Row],[Mid-point Response Style]])</f>
        <v>0</v>
      </c>
      <c r="AY430" t="b">
        <f>OR(Table67[[#This Row],[Delete? (Stage 1)]],Table67[[#This Row],[Delete? (Stage 2)]])</f>
        <v>1</v>
      </c>
      <c r="AZ430" t="s">
        <v>81</v>
      </c>
    </row>
    <row r="431" spans="1:52">
      <c r="A431">
        <f t="shared" si="27"/>
        <v>430</v>
      </c>
      <c r="B431" s="3">
        <v>46043.580625000002</v>
      </c>
      <c r="C431" s="3">
        <v>46043.581712963001</v>
      </c>
      <c r="D431" t="s">
        <v>53</v>
      </c>
      <c r="G431" t="s">
        <v>54</v>
      </c>
      <c r="H431" t="s">
        <v>55</v>
      </c>
      <c r="I431" t="s">
        <v>56</v>
      </c>
      <c r="J431" t="s">
        <v>62</v>
      </c>
      <c r="K431" t="s">
        <v>67</v>
      </c>
      <c r="L431" t="s">
        <v>61</v>
      </c>
      <c r="M431" t="s">
        <v>61</v>
      </c>
      <c r="N431">
        <v>3</v>
      </c>
      <c r="O431">
        <v>3</v>
      </c>
      <c r="P431">
        <v>3</v>
      </c>
      <c r="Q431">
        <v>3</v>
      </c>
      <c r="R431">
        <v>3</v>
      </c>
      <c r="S431">
        <v>3</v>
      </c>
      <c r="T431">
        <v>3</v>
      </c>
      <c r="U431">
        <v>3</v>
      </c>
      <c r="V431">
        <v>3</v>
      </c>
      <c r="W431">
        <v>3</v>
      </c>
      <c r="X431">
        <v>3</v>
      </c>
      <c r="Y431">
        <v>3</v>
      </c>
      <c r="Z431">
        <v>3</v>
      </c>
      <c r="AA431">
        <v>3</v>
      </c>
      <c r="AB431">
        <v>3</v>
      </c>
      <c r="AC431">
        <v>3</v>
      </c>
      <c r="AD431">
        <v>3</v>
      </c>
      <c r="AE431">
        <v>3</v>
      </c>
      <c r="AF431">
        <v>3</v>
      </c>
      <c r="AG431">
        <v>3</v>
      </c>
      <c r="AH431">
        <v>3</v>
      </c>
      <c r="AI431">
        <v>3</v>
      </c>
      <c r="AJ431">
        <v>3</v>
      </c>
      <c r="AK431" t="b">
        <f>Table67[[#This Row],[What is your age?]]&lt;&gt;"18 - 25"</f>
        <v>0</v>
      </c>
      <c r="AL431" t="b">
        <f t="shared" si="24"/>
        <v>1</v>
      </c>
      <c r="AM431" t="b">
        <f t="shared" si="25"/>
        <v>0</v>
      </c>
      <c r="AN431" t="b">
        <f t="shared" si="26"/>
        <v>0</v>
      </c>
      <c r="AO431" t="b">
        <f>OR(Table67[[#This Row],[Ineligible respondents]:[Inconsistent response on opposite question (3)]])</f>
        <v>1</v>
      </c>
      <c r="AP43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31">
        <f>Table67[[#This Row],[Extreme Response]]/21</f>
        <v>0</v>
      </c>
      <c r="AR431">
        <f>_xlfn.PERCENTILE.INC(Table67[Extrem Response Ratio (ERS)],0.9)</f>
        <v>0.61904761904761907</v>
      </c>
      <c r="AS431" t="b">
        <f>Table67[[#This Row],[Extrem Response Ratio (ERS)]]&gt;=Table67[[#This Row],[Threshold of ERS]]</f>
        <v>0</v>
      </c>
      <c r="AT431">
        <f>COUNTIF(Table67[[#This Row],[The mechanism of digital assets is difficult to understand, which discourages me from exploring it (E.g, Tokenization, Blockchain)]:[If I want to try different ways to invest, I will explore digital assets.]], 3)</f>
        <v>21</v>
      </c>
      <c r="AU431">
        <f>Table67[[#This Row],[Midpoint]]/21</f>
        <v>1</v>
      </c>
      <c r="AV431">
        <f>_xlfn.PERCENTILE.INC(Table67[Midpoint ratio],0.9)</f>
        <v>0.5714285714285714</v>
      </c>
      <c r="AW431" t="b">
        <f>Table67[[#This Row],[Midpoint ratio]]&gt;=Table67[[#This Row],[Threshold of Midpoint ratio]]</f>
        <v>1</v>
      </c>
      <c r="AX431" t="b">
        <f>OR(Table67[[#This Row],[Extreme Response Style]],Table67[[#This Row],[Mid-point Response Style]])</f>
        <v>1</v>
      </c>
      <c r="AY431" t="b">
        <f>OR(Table67[[#This Row],[Delete? (Stage 1)]],Table67[[#This Row],[Delete? (Stage 2)]])</f>
        <v>1</v>
      </c>
      <c r="AZ431" t="s">
        <v>81</v>
      </c>
    </row>
    <row r="432" spans="1:52">
      <c r="A432">
        <f t="shared" si="27"/>
        <v>431</v>
      </c>
      <c r="B432" s="3">
        <v>46043.581377314797</v>
      </c>
      <c r="C432" s="3">
        <v>46043.582349536999</v>
      </c>
      <c r="D432" t="s">
        <v>53</v>
      </c>
      <c r="G432" t="s">
        <v>54</v>
      </c>
      <c r="H432" t="s">
        <v>63</v>
      </c>
      <c r="I432" t="s">
        <v>56</v>
      </c>
      <c r="J432" t="s">
        <v>57</v>
      </c>
      <c r="K432" t="s">
        <v>57</v>
      </c>
      <c r="L432" t="s">
        <v>58</v>
      </c>
      <c r="M432" t="s">
        <v>58</v>
      </c>
      <c r="N432">
        <v>5</v>
      </c>
      <c r="O432">
        <v>2</v>
      </c>
      <c r="P432">
        <v>3</v>
      </c>
      <c r="Q432">
        <v>3</v>
      </c>
      <c r="R432">
        <v>3</v>
      </c>
      <c r="S432">
        <v>3</v>
      </c>
      <c r="T432">
        <v>3</v>
      </c>
      <c r="U432">
        <v>3</v>
      </c>
      <c r="V432">
        <v>3</v>
      </c>
      <c r="W432">
        <v>3</v>
      </c>
      <c r="X432">
        <v>3</v>
      </c>
      <c r="Y432">
        <v>3</v>
      </c>
      <c r="Z432">
        <v>3</v>
      </c>
      <c r="AA432">
        <v>3</v>
      </c>
      <c r="AB432">
        <v>3</v>
      </c>
      <c r="AC432">
        <v>3</v>
      </c>
      <c r="AD432">
        <v>3</v>
      </c>
      <c r="AE432">
        <v>3</v>
      </c>
      <c r="AF432">
        <v>3</v>
      </c>
      <c r="AG432">
        <v>3</v>
      </c>
      <c r="AH432">
        <v>3</v>
      </c>
      <c r="AI432">
        <v>3</v>
      </c>
      <c r="AJ432">
        <v>3</v>
      </c>
      <c r="AK432" t="b">
        <f>Table67[[#This Row],[What is your age?]]&lt;&gt;"18 - 25"</f>
        <v>0</v>
      </c>
      <c r="AL432" t="b">
        <f t="shared" si="24"/>
        <v>0</v>
      </c>
      <c r="AM432" t="b">
        <f t="shared" si="25"/>
        <v>0</v>
      </c>
      <c r="AN432" t="b">
        <f t="shared" si="26"/>
        <v>0</v>
      </c>
      <c r="AO432" t="b">
        <f>OR(Table67[[#This Row],[Ineligible respondents]:[Inconsistent response on opposite question (3)]])</f>
        <v>0</v>
      </c>
      <c r="AP43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432">
        <f>Table67[[#This Row],[Extreme Response]]/21</f>
        <v>4.7619047619047616E-2</v>
      </c>
      <c r="AR432">
        <f>_xlfn.PERCENTILE.INC(Table67[Extrem Response Ratio (ERS)],0.9)</f>
        <v>0.61904761904761907</v>
      </c>
      <c r="AS432" t="b">
        <f>Table67[[#This Row],[Extrem Response Ratio (ERS)]]&gt;=Table67[[#This Row],[Threshold of ERS]]</f>
        <v>0</v>
      </c>
      <c r="AT432">
        <f>COUNTIF(Table67[[#This Row],[The mechanism of digital assets is difficult to understand, which discourages me from exploring it (E.g, Tokenization, Blockchain)]:[If I want to try different ways to invest, I will explore digital assets.]], 3)</f>
        <v>19</v>
      </c>
      <c r="AU432">
        <f>Table67[[#This Row],[Midpoint]]/21</f>
        <v>0.90476190476190477</v>
      </c>
      <c r="AV432">
        <f>_xlfn.PERCENTILE.INC(Table67[Midpoint ratio],0.9)</f>
        <v>0.5714285714285714</v>
      </c>
      <c r="AW432" t="b">
        <f>Table67[[#This Row],[Midpoint ratio]]&gt;=Table67[[#This Row],[Threshold of Midpoint ratio]]</f>
        <v>1</v>
      </c>
      <c r="AX432" t="b">
        <f>OR(Table67[[#This Row],[Extreme Response Style]],Table67[[#This Row],[Mid-point Response Style]])</f>
        <v>1</v>
      </c>
      <c r="AY432" t="b">
        <f>OR(Table67[[#This Row],[Delete? (Stage 1)]],Table67[[#This Row],[Delete? (Stage 2)]])</f>
        <v>1</v>
      </c>
      <c r="AZ432" t="s">
        <v>81</v>
      </c>
    </row>
    <row r="433" spans="1:52">
      <c r="A433">
        <f t="shared" si="27"/>
        <v>432</v>
      </c>
      <c r="B433" s="3">
        <v>46043.581655092603</v>
      </c>
      <c r="C433" s="3">
        <v>46043.5886342593</v>
      </c>
      <c r="D433" t="s">
        <v>53</v>
      </c>
      <c r="G433" t="s">
        <v>54</v>
      </c>
      <c r="H433" t="s">
        <v>55</v>
      </c>
      <c r="I433" t="s">
        <v>71</v>
      </c>
      <c r="J433" t="s">
        <v>57</v>
      </c>
      <c r="K433" t="s">
        <v>62</v>
      </c>
      <c r="L433" t="s">
        <v>58</v>
      </c>
      <c r="M433" t="s">
        <v>58</v>
      </c>
      <c r="N433">
        <v>5</v>
      </c>
      <c r="O433">
        <v>5</v>
      </c>
      <c r="P433">
        <v>3</v>
      </c>
      <c r="Q433">
        <v>3</v>
      </c>
      <c r="R433">
        <v>4</v>
      </c>
      <c r="S433">
        <v>5</v>
      </c>
      <c r="T433">
        <v>5</v>
      </c>
      <c r="U433">
        <v>5</v>
      </c>
      <c r="V433">
        <v>5</v>
      </c>
      <c r="W433">
        <v>5</v>
      </c>
      <c r="X433">
        <v>5</v>
      </c>
      <c r="Y433">
        <v>5</v>
      </c>
      <c r="Z433">
        <v>4</v>
      </c>
      <c r="AA433">
        <v>5</v>
      </c>
      <c r="AB433">
        <v>5</v>
      </c>
      <c r="AC433">
        <v>4</v>
      </c>
      <c r="AD433">
        <v>3</v>
      </c>
      <c r="AE433">
        <v>3</v>
      </c>
      <c r="AF433">
        <v>1</v>
      </c>
      <c r="AG433">
        <v>2</v>
      </c>
      <c r="AH433">
        <v>3</v>
      </c>
      <c r="AI433">
        <v>3</v>
      </c>
      <c r="AJ433">
        <v>5</v>
      </c>
      <c r="AK433" t="b">
        <f>Table67[[#This Row],[What is your age?]]&lt;&gt;"18 - 25"</f>
        <v>0</v>
      </c>
      <c r="AL433" t="b">
        <f t="shared" si="24"/>
        <v>0</v>
      </c>
      <c r="AM433" t="b">
        <f t="shared" si="25"/>
        <v>0</v>
      </c>
      <c r="AN433" t="b">
        <f t="shared" si="26"/>
        <v>1</v>
      </c>
      <c r="AO433" t="b">
        <f>OR(Table67[[#This Row],[Ineligible respondents]:[Inconsistent response on opposite question (3)]])</f>
        <v>1</v>
      </c>
      <c r="AP43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12</v>
      </c>
      <c r="AQ433">
        <f>Table67[[#This Row],[Extreme Response]]/21</f>
        <v>0.5714285714285714</v>
      </c>
      <c r="AR433">
        <f>_xlfn.PERCENTILE.INC(Table67[Extrem Response Ratio (ERS)],0.9)</f>
        <v>0.61904761904761907</v>
      </c>
      <c r="AS433" t="b">
        <f>Table67[[#This Row],[Extrem Response Ratio (ERS)]]&gt;=Table67[[#This Row],[Threshold of ERS]]</f>
        <v>0</v>
      </c>
      <c r="AT433">
        <f>COUNTIF(Table67[[#This Row],[The mechanism of digital assets is difficult to understand, which discourages me from exploring it (E.g, Tokenization, Blockchain)]:[If I want to try different ways to invest, I will explore digital assets.]], 3)</f>
        <v>5</v>
      </c>
      <c r="AU433">
        <f>Table67[[#This Row],[Midpoint]]/21</f>
        <v>0.23809523809523808</v>
      </c>
      <c r="AV433">
        <f>_xlfn.PERCENTILE.INC(Table67[Midpoint ratio],0.9)</f>
        <v>0.5714285714285714</v>
      </c>
      <c r="AW433" t="b">
        <f>Table67[[#This Row],[Midpoint ratio]]&gt;=Table67[[#This Row],[Threshold of Midpoint ratio]]</f>
        <v>0</v>
      </c>
      <c r="AX433" t="b">
        <f>OR(Table67[[#This Row],[Extreme Response Style]],Table67[[#This Row],[Mid-point Response Style]])</f>
        <v>0</v>
      </c>
      <c r="AY433" t="b">
        <f>OR(Table67[[#This Row],[Delete? (Stage 1)]],Table67[[#This Row],[Delete? (Stage 2)]])</f>
        <v>1</v>
      </c>
      <c r="AZ433" t="s">
        <v>81</v>
      </c>
    </row>
    <row r="434" spans="1:52">
      <c r="A434">
        <f t="shared" si="27"/>
        <v>433</v>
      </c>
      <c r="B434" s="3">
        <v>46043.582662036999</v>
      </c>
      <c r="C434" s="3">
        <v>46043.584502314799</v>
      </c>
      <c r="D434" t="s">
        <v>53</v>
      </c>
      <c r="G434" t="s">
        <v>54</v>
      </c>
      <c r="H434" t="s">
        <v>63</v>
      </c>
      <c r="I434" t="s">
        <v>56</v>
      </c>
      <c r="J434" t="s">
        <v>57</v>
      </c>
      <c r="K434" t="s">
        <v>57</v>
      </c>
      <c r="L434" t="s">
        <v>58</v>
      </c>
      <c r="M434" t="s">
        <v>58</v>
      </c>
      <c r="N434">
        <v>2</v>
      </c>
      <c r="O434">
        <v>2</v>
      </c>
      <c r="P434">
        <v>3</v>
      </c>
      <c r="Q434">
        <v>3</v>
      </c>
      <c r="R434">
        <v>3</v>
      </c>
      <c r="S434">
        <v>3</v>
      </c>
      <c r="T434">
        <v>2</v>
      </c>
      <c r="U434">
        <v>3</v>
      </c>
      <c r="V434">
        <v>4</v>
      </c>
      <c r="W434">
        <v>4</v>
      </c>
      <c r="X434">
        <v>3</v>
      </c>
      <c r="Y434">
        <v>3</v>
      </c>
      <c r="Z434">
        <v>3</v>
      </c>
      <c r="AA434">
        <v>3</v>
      </c>
      <c r="AB434">
        <v>3</v>
      </c>
      <c r="AC434">
        <v>3</v>
      </c>
      <c r="AD434">
        <v>3</v>
      </c>
      <c r="AE434">
        <v>3</v>
      </c>
      <c r="AF434">
        <v>3</v>
      </c>
      <c r="AG434">
        <v>3</v>
      </c>
      <c r="AH434">
        <v>3</v>
      </c>
      <c r="AI434">
        <v>3</v>
      </c>
      <c r="AJ434">
        <v>3</v>
      </c>
      <c r="AK434" t="b">
        <f>Table67[[#This Row],[What is your age?]]&lt;&gt;"18 - 25"</f>
        <v>0</v>
      </c>
      <c r="AL434" t="b">
        <f t="shared" si="24"/>
        <v>0</v>
      </c>
      <c r="AM434" t="b">
        <f t="shared" si="25"/>
        <v>0</v>
      </c>
      <c r="AN434" t="b">
        <f t="shared" si="26"/>
        <v>0</v>
      </c>
      <c r="AO434" t="b">
        <f>OR(Table67[[#This Row],[Ineligible respondents]:[Inconsistent response on opposite question (3)]])</f>
        <v>0</v>
      </c>
      <c r="AP43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34">
        <f>Table67[[#This Row],[Extreme Response]]/21</f>
        <v>0</v>
      </c>
      <c r="AR434">
        <f>_xlfn.PERCENTILE.INC(Table67[Extrem Response Ratio (ERS)],0.9)</f>
        <v>0.61904761904761907</v>
      </c>
      <c r="AS434" t="b">
        <f>Table67[[#This Row],[Extrem Response Ratio (ERS)]]&gt;=Table67[[#This Row],[Threshold of ERS]]</f>
        <v>0</v>
      </c>
      <c r="AT434">
        <f>COUNTIF(Table67[[#This Row],[The mechanism of digital assets is difficult to understand, which discourages me from exploring it (E.g, Tokenization, Blockchain)]:[If I want to try different ways to invest, I will explore digital assets.]], 3)</f>
        <v>16</v>
      </c>
      <c r="AU434">
        <f>Table67[[#This Row],[Midpoint]]/21</f>
        <v>0.76190476190476186</v>
      </c>
      <c r="AV434">
        <f>_xlfn.PERCENTILE.INC(Table67[Midpoint ratio],0.9)</f>
        <v>0.5714285714285714</v>
      </c>
      <c r="AW434" t="b">
        <f>Table67[[#This Row],[Midpoint ratio]]&gt;=Table67[[#This Row],[Threshold of Midpoint ratio]]</f>
        <v>1</v>
      </c>
      <c r="AX434" t="b">
        <f>OR(Table67[[#This Row],[Extreme Response Style]],Table67[[#This Row],[Mid-point Response Style]])</f>
        <v>1</v>
      </c>
      <c r="AY434" t="b">
        <f>OR(Table67[[#This Row],[Delete? (Stage 1)]],Table67[[#This Row],[Delete? (Stage 2)]])</f>
        <v>1</v>
      </c>
      <c r="AZ434" t="s">
        <v>81</v>
      </c>
    </row>
    <row r="435" spans="1:52">
      <c r="A435">
        <f t="shared" si="27"/>
        <v>434</v>
      </c>
      <c r="B435" s="3">
        <v>46043.582893518498</v>
      </c>
      <c r="C435" s="3">
        <v>46043.5852662037</v>
      </c>
      <c r="D435" t="s">
        <v>53</v>
      </c>
      <c r="G435" t="s">
        <v>54</v>
      </c>
      <c r="H435" t="s">
        <v>55</v>
      </c>
      <c r="I435" t="s">
        <v>71</v>
      </c>
      <c r="J435" t="s">
        <v>60</v>
      </c>
      <c r="K435" t="s">
        <v>57</v>
      </c>
      <c r="L435" t="s">
        <v>58</v>
      </c>
      <c r="M435" t="s">
        <v>61</v>
      </c>
      <c r="N435">
        <v>2</v>
      </c>
      <c r="O435">
        <v>2</v>
      </c>
      <c r="P435">
        <v>3</v>
      </c>
      <c r="Q435">
        <v>2</v>
      </c>
      <c r="R435">
        <v>2</v>
      </c>
      <c r="S435">
        <v>4</v>
      </c>
      <c r="T435">
        <v>3</v>
      </c>
      <c r="U435">
        <v>4</v>
      </c>
      <c r="V435">
        <v>4</v>
      </c>
      <c r="W435">
        <v>5</v>
      </c>
      <c r="X435">
        <v>4</v>
      </c>
      <c r="Y435">
        <v>4</v>
      </c>
      <c r="Z435">
        <v>5</v>
      </c>
      <c r="AA435">
        <v>3</v>
      </c>
      <c r="AB435">
        <v>2</v>
      </c>
      <c r="AC435">
        <v>3</v>
      </c>
      <c r="AD435">
        <v>4</v>
      </c>
      <c r="AE435">
        <v>3</v>
      </c>
      <c r="AF435">
        <v>3</v>
      </c>
      <c r="AG435">
        <v>2</v>
      </c>
      <c r="AH435">
        <v>4</v>
      </c>
      <c r="AI435">
        <v>2</v>
      </c>
      <c r="AJ435">
        <v>3</v>
      </c>
      <c r="AK435" t="b">
        <f>Table67[[#This Row],[What is your age?]]&lt;&gt;"18 - 25"</f>
        <v>0</v>
      </c>
      <c r="AL435" t="b">
        <f t="shared" si="24"/>
        <v>0</v>
      </c>
      <c r="AM435" t="b">
        <f t="shared" si="25"/>
        <v>0</v>
      </c>
      <c r="AN435" t="b">
        <f t="shared" si="26"/>
        <v>0</v>
      </c>
      <c r="AO435" t="b">
        <f>OR(Table67[[#This Row],[Ineligible respondents]:[Inconsistent response on opposite question (3)]])</f>
        <v>0</v>
      </c>
      <c r="AP43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435">
        <f>Table67[[#This Row],[Extreme Response]]/21</f>
        <v>9.5238095238095233E-2</v>
      </c>
      <c r="AR435">
        <f>_xlfn.PERCENTILE.INC(Table67[Extrem Response Ratio (ERS)],0.9)</f>
        <v>0.61904761904761907</v>
      </c>
      <c r="AS435" t="b">
        <f>Table67[[#This Row],[Extrem Response Ratio (ERS)]]&gt;=Table67[[#This Row],[Threshold of ERS]]</f>
        <v>0</v>
      </c>
      <c r="AT435">
        <f>COUNTIF(Table67[[#This Row],[The mechanism of digital assets is difficult to understand, which discourages me from exploring it (E.g, Tokenization, Blockchain)]:[If I want to try different ways to invest, I will explore digital assets.]], 3)</f>
        <v>6</v>
      </c>
      <c r="AU435">
        <f>Table67[[#This Row],[Midpoint]]/21</f>
        <v>0.2857142857142857</v>
      </c>
      <c r="AV435">
        <f>_xlfn.PERCENTILE.INC(Table67[Midpoint ratio],0.9)</f>
        <v>0.5714285714285714</v>
      </c>
      <c r="AW435" t="b">
        <f>Table67[[#This Row],[Midpoint ratio]]&gt;=Table67[[#This Row],[Threshold of Midpoint ratio]]</f>
        <v>0</v>
      </c>
      <c r="AX435" t="b">
        <f>OR(Table67[[#This Row],[Extreme Response Style]],Table67[[#This Row],[Mid-point Response Style]])</f>
        <v>0</v>
      </c>
      <c r="AY435" t="b">
        <f>OR(Table67[[#This Row],[Delete? (Stage 1)]],Table67[[#This Row],[Delete? (Stage 2)]])</f>
        <v>0</v>
      </c>
      <c r="AZ435" t="s">
        <v>81</v>
      </c>
    </row>
    <row r="436" spans="1:52">
      <c r="A436">
        <f t="shared" si="27"/>
        <v>435</v>
      </c>
      <c r="B436" s="3">
        <v>46043.583124999997</v>
      </c>
      <c r="C436" s="3">
        <v>46043.585162037001</v>
      </c>
      <c r="D436" t="s">
        <v>53</v>
      </c>
      <c r="G436" t="s">
        <v>54</v>
      </c>
      <c r="H436" t="s">
        <v>63</v>
      </c>
      <c r="I436" t="s">
        <v>56</v>
      </c>
      <c r="J436" t="s">
        <v>60</v>
      </c>
      <c r="K436" t="s">
        <v>57</v>
      </c>
      <c r="L436" t="s">
        <v>58</v>
      </c>
      <c r="M436" t="s">
        <v>61</v>
      </c>
      <c r="N436">
        <v>3</v>
      </c>
      <c r="O436">
        <v>3</v>
      </c>
      <c r="P436">
        <v>4</v>
      </c>
      <c r="Q436">
        <v>4</v>
      </c>
      <c r="R436">
        <v>4</v>
      </c>
      <c r="S436">
        <v>4</v>
      </c>
      <c r="T436">
        <v>4</v>
      </c>
      <c r="U436">
        <v>4</v>
      </c>
      <c r="V436">
        <v>4</v>
      </c>
      <c r="W436">
        <v>4</v>
      </c>
      <c r="X436">
        <v>4</v>
      </c>
      <c r="Y436">
        <v>4</v>
      </c>
      <c r="Z436">
        <v>4</v>
      </c>
      <c r="AA436">
        <v>4</v>
      </c>
      <c r="AB436">
        <v>3</v>
      </c>
      <c r="AC436">
        <v>4</v>
      </c>
      <c r="AD436">
        <v>4</v>
      </c>
      <c r="AE436">
        <v>3</v>
      </c>
      <c r="AF436">
        <v>2</v>
      </c>
      <c r="AG436">
        <v>3</v>
      </c>
      <c r="AH436">
        <v>3</v>
      </c>
      <c r="AI436">
        <v>3</v>
      </c>
      <c r="AJ436">
        <v>4</v>
      </c>
      <c r="AK436" t="b">
        <f>Table67[[#This Row],[What is your age?]]&lt;&gt;"18 - 25"</f>
        <v>0</v>
      </c>
      <c r="AL436" t="b">
        <f t="shared" si="24"/>
        <v>0</v>
      </c>
      <c r="AM436" t="b">
        <f t="shared" si="25"/>
        <v>0</v>
      </c>
      <c r="AN436" t="b">
        <f t="shared" si="26"/>
        <v>0</v>
      </c>
      <c r="AO436" t="b">
        <f>OR(Table67[[#This Row],[Ineligible respondents]:[Inconsistent response on opposite question (3)]])</f>
        <v>0</v>
      </c>
      <c r="AP43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36">
        <f>Table67[[#This Row],[Extreme Response]]/21</f>
        <v>0</v>
      </c>
      <c r="AR436">
        <f>_xlfn.PERCENTILE.INC(Table67[Extrem Response Ratio (ERS)],0.9)</f>
        <v>0.61904761904761907</v>
      </c>
      <c r="AS436" t="b">
        <f>Table67[[#This Row],[Extrem Response Ratio (ERS)]]&gt;=Table67[[#This Row],[Threshold of ERS]]</f>
        <v>0</v>
      </c>
      <c r="AT436">
        <f>COUNTIF(Table67[[#This Row],[The mechanism of digital assets is difficult to understand, which discourages me from exploring it (E.g, Tokenization, Blockchain)]:[If I want to try different ways to invest, I will explore digital assets.]], 3)</f>
        <v>6</v>
      </c>
      <c r="AU436">
        <f>Table67[[#This Row],[Midpoint]]/21</f>
        <v>0.2857142857142857</v>
      </c>
      <c r="AV436">
        <f>_xlfn.PERCENTILE.INC(Table67[Midpoint ratio],0.9)</f>
        <v>0.5714285714285714</v>
      </c>
      <c r="AW436" t="b">
        <f>Table67[[#This Row],[Midpoint ratio]]&gt;=Table67[[#This Row],[Threshold of Midpoint ratio]]</f>
        <v>0</v>
      </c>
      <c r="AX436" t="b">
        <f>OR(Table67[[#This Row],[Extreme Response Style]],Table67[[#This Row],[Mid-point Response Style]])</f>
        <v>0</v>
      </c>
      <c r="AY436" t="b">
        <f>OR(Table67[[#This Row],[Delete? (Stage 1)]],Table67[[#This Row],[Delete? (Stage 2)]])</f>
        <v>0</v>
      </c>
      <c r="AZ436" t="s">
        <v>81</v>
      </c>
    </row>
    <row r="437" spans="1:52">
      <c r="A437">
        <f t="shared" si="27"/>
        <v>436</v>
      </c>
      <c r="B437" s="3">
        <v>46043.583854166704</v>
      </c>
      <c r="C437" s="3">
        <v>46043.586122685199</v>
      </c>
      <c r="D437" t="s">
        <v>53</v>
      </c>
      <c r="G437" t="s">
        <v>54</v>
      </c>
      <c r="H437" t="s">
        <v>55</v>
      </c>
      <c r="I437" t="s">
        <v>56</v>
      </c>
      <c r="J437" t="s">
        <v>57</v>
      </c>
      <c r="K437" t="s">
        <v>62</v>
      </c>
      <c r="L437" t="s">
        <v>61</v>
      </c>
      <c r="M437" t="s">
        <v>58</v>
      </c>
      <c r="N437">
        <v>2</v>
      </c>
      <c r="O437">
        <v>2</v>
      </c>
      <c r="P437">
        <v>3</v>
      </c>
      <c r="Q437">
        <v>3</v>
      </c>
      <c r="R437">
        <v>3</v>
      </c>
      <c r="S437">
        <v>3</v>
      </c>
      <c r="T437">
        <v>2</v>
      </c>
      <c r="U437">
        <v>2</v>
      </c>
      <c r="V437">
        <v>3</v>
      </c>
      <c r="W437">
        <v>3</v>
      </c>
      <c r="X437">
        <v>3</v>
      </c>
      <c r="Y437">
        <v>5</v>
      </c>
      <c r="Z437">
        <v>5</v>
      </c>
      <c r="AA437">
        <v>2</v>
      </c>
      <c r="AB437">
        <v>3</v>
      </c>
      <c r="AC437">
        <v>3</v>
      </c>
      <c r="AD437">
        <v>3</v>
      </c>
      <c r="AE437">
        <v>4</v>
      </c>
      <c r="AF437">
        <v>5</v>
      </c>
      <c r="AG437">
        <v>5</v>
      </c>
      <c r="AH437">
        <v>5</v>
      </c>
      <c r="AI437">
        <v>1</v>
      </c>
      <c r="AJ437">
        <v>1</v>
      </c>
      <c r="AK437" t="b">
        <f>Table67[[#This Row],[What is your age?]]&lt;&gt;"18 - 25"</f>
        <v>0</v>
      </c>
      <c r="AL437" t="b">
        <f t="shared" si="24"/>
        <v>0</v>
      </c>
      <c r="AM437" t="b">
        <f t="shared" si="25"/>
        <v>1</v>
      </c>
      <c r="AN437" t="b">
        <f t="shared" si="26"/>
        <v>0</v>
      </c>
      <c r="AO437" t="b">
        <f>OR(Table67[[#This Row],[Ineligible respondents]:[Inconsistent response on opposite question (3)]])</f>
        <v>1</v>
      </c>
      <c r="AP43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437">
        <f>Table67[[#This Row],[Extreme Response]]/21</f>
        <v>0.23809523809523808</v>
      </c>
      <c r="AR437">
        <f>_xlfn.PERCENTILE.INC(Table67[Extrem Response Ratio (ERS)],0.9)</f>
        <v>0.61904761904761907</v>
      </c>
      <c r="AS437" t="b">
        <f>Table67[[#This Row],[Extrem Response Ratio (ERS)]]&gt;=Table67[[#This Row],[Threshold of ERS]]</f>
        <v>0</v>
      </c>
      <c r="AT437">
        <f>COUNTIF(Table67[[#This Row],[The mechanism of digital assets is difficult to understand, which discourages me from exploring it (E.g, Tokenization, Blockchain)]:[If I want to try different ways to invest, I will explore digital assets.]], 3)</f>
        <v>10</v>
      </c>
      <c r="AU437">
        <f>Table67[[#This Row],[Midpoint]]/21</f>
        <v>0.47619047619047616</v>
      </c>
      <c r="AV437">
        <f>_xlfn.PERCENTILE.INC(Table67[Midpoint ratio],0.9)</f>
        <v>0.5714285714285714</v>
      </c>
      <c r="AW437" t="b">
        <f>Table67[[#This Row],[Midpoint ratio]]&gt;=Table67[[#This Row],[Threshold of Midpoint ratio]]</f>
        <v>0</v>
      </c>
      <c r="AX437" t="b">
        <f>OR(Table67[[#This Row],[Extreme Response Style]],Table67[[#This Row],[Mid-point Response Style]])</f>
        <v>0</v>
      </c>
      <c r="AY437" t="b">
        <f>OR(Table67[[#This Row],[Delete? (Stage 1)]],Table67[[#This Row],[Delete? (Stage 2)]])</f>
        <v>1</v>
      </c>
      <c r="AZ437" t="s">
        <v>81</v>
      </c>
    </row>
    <row r="438" spans="1:52">
      <c r="A438">
        <f t="shared" si="27"/>
        <v>437</v>
      </c>
      <c r="B438" s="3">
        <v>46043.583993055603</v>
      </c>
      <c r="C438" s="3">
        <v>46043.5872453704</v>
      </c>
      <c r="D438" t="s">
        <v>53</v>
      </c>
      <c r="G438" t="s">
        <v>54</v>
      </c>
      <c r="H438" t="s">
        <v>63</v>
      </c>
      <c r="I438" t="s">
        <v>56</v>
      </c>
      <c r="J438" t="s">
        <v>57</v>
      </c>
      <c r="K438" t="s">
        <v>57</v>
      </c>
      <c r="L438" t="s">
        <v>58</v>
      </c>
      <c r="M438" t="s">
        <v>61</v>
      </c>
      <c r="N438">
        <v>4</v>
      </c>
      <c r="O438">
        <v>1</v>
      </c>
      <c r="P438">
        <v>3</v>
      </c>
      <c r="Q438">
        <v>3</v>
      </c>
      <c r="R438">
        <v>3</v>
      </c>
      <c r="S438">
        <v>4</v>
      </c>
      <c r="T438">
        <v>5</v>
      </c>
      <c r="U438">
        <v>5</v>
      </c>
      <c r="V438">
        <v>4</v>
      </c>
      <c r="W438">
        <v>5</v>
      </c>
      <c r="X438">
        <v>4</v>
      </c>
      <c r="Y438">
        <v>4</v>
      </c>
      <c r="Z438">
        <v>4</v>
      </c>
      <c r="AA438">
        <v>3</v>
      </c>
      <c r="AB438">
        <v>3</v>
      </c>
      <c r="AC438">
        <v>3</v>
      </c>
      <c r="AD438">
        <v>4</v>
      </c>
      <c r="AE438">
        <v>3</v>
      </c>
      <c r="AF438">
        <v>2</v>
      </c>
      <c r="AG438">
        <v>4</v>
      </c>
      <c r="AH438">
        <v>3</v>
      </c>
      <c r="AI438">
        <v>3</v>
      </c>
      <c r="AJ438">
        <v>4</v>
      </c>
      <c r="AK438" t="b">
        <f>Table67[[#This Row],[What is your age?]]&lt;&gt;"18 - 25"</f>
        <v>0</v>
      </c>
      <c r="AL438" t="b">
        <f t="shared" si="24"/>
        <v>0</v>
      </c>
      <c r="AM438" t="b">
        <f t="shared" si="25"/>
        <v>0</v>
      </c>
      <c r="AN438" t="b">
        <f t="shared" si="26"/>
        <v>1</v>
      </c>
      <c r="AO438" t="b">
        <f>OR(Table67[[#This Row],[Ineligible respondents]:[Inconsistent response on opposite question (3)]])</f>
        <v>1</v>
      </c>
      <c r="AP43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438">
        <f>Table67[[#This Row],[Extreme Response]]/21</f>
        <v>0.19047619047619047</v>
      </c>
      <c r="AR438">
        <f>_xlfn.PERCENTILE.INC(Table67[Extrem Response Ratio (ERS)],0.9)</f>
        <v>0.61904761904761907</v>
      </c>
      <c r="AS438" t="b">
        <f>Table67[[#This Row],[Extrem Response Ratio (ERS)]]&gt;=Table67[[#This Row],[Threshold of ERS]]</f>
        <v>0</v>
      </c>
      <c r="AT438">
        <f>COUNTIF(Table67[[#This Row],[The mechanism of digital assets is difficult to understand, which discourages me from exploring it (E.g, Tokenization, Blockchain)]:[If I want to try different ways to invest, I will explore digital assets.]], 3)</f>
        <v>8</v>
      </c>
      <c r="AU438">
        <f>Table67[[#This Row],[Midpoint]]/21</f>
        <v>0.38095238095238093</v>
      </c>
      <c r="AV438">
        <f>_xlfn.PERCENTILE.INC(Table67[Midpoint ratio],0.9)</f>
        <v>0.5714285714285714</v>
      </c>
      <c r="AW438" t="b">
        <f>Table67[[#This Row],[Midpoint ratio]]&gt;=Table67[[#This Row],[Threshold of Midpoint ratio]]</f>
        <v>0</v>
      </c>
      <c r="AX438" t="b">
        <f>OR(Table67[[#This Row],[Extreme Response Style]],Table67[[#This Row],[Mid-point Response Style]])</f>
        <v>0</v>
      </c>
      <c r="AY438" t="b">
        <f>OR(Table67[[#This Row],[Delete? (Stage 1)]],Table67[[#This Row],[Delete? (Stage 2)]])</f>
        <v>1</v>
      </c>
      <c r="AZ438" t="s">
        <v>81</v>
      </c>
    </row>
    <row r="439" spans="1:52">
      <c r="A439">
        <f t="shared" si="27"/>
        <v>438</v>
      </c>
      <c r="B439" s="3">
        <v>46043.584247685198</v>
      </c>
      <c r="C439" s="3">
        <v>46043.585497685199</v>
      </c>
      <c r="D439" t="s">
        <v>53</v>
      </c>
      <c r="G439" t="s">
        <v>54</v>
      </c>
      <c r="H439" t="s">
        <v>55</v>
      </c>
      <c r="I439" t="s">
        <v>56</v>
      </c>
      <c r="J439" t="s">
        <v>57</v>
      </c>
      <c r="K439" t="s">
        <v>57</v>
      </c>
      <c r="L439" t="s">
        <v>58</v>
      </c>
      <c r="M439" t="s">
        <v>58</v>
      </c>
      <c r="N439">
        <v>4</v>
      </c>
      <c r="O439">
        <v>3</v>
      </c>
      <c r="P439">
        <v>4</v>
      </c>
      <c r="Q439">
        <v>4</v>
      </c>
      <c r="R439">
        <v>4</v>
      </c>
      <c r="S439">
        <v>4</v>
      </c>
      <c r="T439">
        <v>4</v>
      </c>
      <c r="U439">
        <v>4</v>
      </c>
      <c r="V439">
        <v>4</v>
      </c>
      <c r="W439">
        <v>4</v>
      </c>
      <c r="X439">
        <v>4</v>
      </c>
      <c r="Y439">
        <v>4</v>
      </c>
      <c r="Z439">
        <v>4</v>
      </c>
      <c r="AA439">
        <v>4</v>
      </c>
      <c r="AB439">
        <v>4</v>
      </c>
      <c r="AC439">
        <v>4</v>
      </c>
      <c r="AD439">
        <v>5</v>
      </c>
      <c r="AE439">
        <v>4</v>
      </c>
      <c r="AF439">
        <v>2</v>
      </c>
      <c r="AG439">
        <v>2</v>
      </c>
      <c r="AH439">
        <v>2</v>
      </c>
      <c r="AI439">
        <v>4</v>
      </c>
      <c r="AJ439">
        <v>4</v>
      </c>
      <c r="AK439" t="b">
        <f>Table67[[#This Row],[What is your age?]]&lt;&gt;"18 - 25"</f>
        <v>0</v>
      </c>
      <c r="AL439" t="b">
        <f t="shared" si="24"/>
        <v>0</v>
      </c>
      <c r="AM439" t="b">
        <f t="shared" si="25"/>
        <v>1</v>
      </c>
      <c r="AN439" t="b">
        <f t="shared" si="26"/>
        <v>0</v>
      </c>
      <c r="AO439" t="b">
        <f>OR(Table67[[#This Row],[Ineligible respondents]:[Inconsistent response on opposite question (3)]])</f>
        <v>1</v>
      </c>
      <c r="AP43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439">
        <f>Table67[[#This Row],[Extreme Response]]/21</f>
        <v>4.7619047619047616E-2</v>
      </c>
      <c r="AR439">
        <f>_xlfn.PERCENTILE.INC(Table67[Extrem Response Ratio (ERS)],0.9)</f>
        <v>0.61904761904761907</v>
      </c>
      <c r="AS439" t="b">
        <f>Table67[[#This Row],[Extrem Response Ratio (ERS)]]&gt;=Table67[[#This Row],[Threshold of ERS]]</f>
        <v>0</v>
      </c>
      <c r="AT439">
        <f>COUNTIF(Table67[[#This Row],[The mechanism of digital assets is difficult to understand, which discourages me from exploring it (E.g, Tokenization, Blockchain)]:[If I want to try different ways to invest, I will explore digital assets.]], 3)</f>
        <v>1</v>
      </c>
      <c r="AU439">
        <f>Table67[[#This Row],[Midpoint]]/21</f>
        <v>4.7619047619047616E-2</v>
      </c>
      <c r="AV439">
        <f>_xlfn.PERCENTILE.INC(Table67[Midpoint ratio],0.9)</f>
        <v>0.5714285714285714</v>
      </c>
      <c r="AW439" t="b">
        <f>Table67[[#This Row],[Midpoint ratio]]&gt;=Table67[[#This Row],[Threshold of Midpoint ratio]]</f>
        <v>0</v>
      </c>
      <c r="AX439" t="b">
        <f>OR(Table67[[#This Row],[Extreme Response Style]],Table67[[#This Row],[Mid-point Response Style]])</f>
        <v>0</v>
      </c>
      <c r="AY439" t="b">
        <f>OR(Table67[[#This Row],[Delete? (Stage 1)]],Table67[[#This Row],[Delete? (Stage 2)]])</f>
        <v>1</v>
      </c>
      <c r="AZ439" t="s">
        <v>81</v>
      </c>
    </row>
    <row r="440" spans="1:52">
      <c r="A440">
        <f t="shared" si="27"/>
        <v>439</v>
      </c>
      <c r="B440" s="3">
        <v>46043.584537037001</v>
      </c>
      <c r="C440" s="3">
        <v>46043.586400462998</v>
      </c>
      <c r="D440" t="s">
        <v>53</v>
      </c>
      <c r="G440" t="s">
        <v>54</v>
      </c>
      <c r="H440" t="s">
        <v>63</v>
      </c>
      <c r="I440" t="s">
        <v>56</v>
      </c>
      <c r="J440" t="s">
        <v>62</v>
      </c>
      <c r="K440" t="s">
        <v>62</v>
      </c>
      <c r="L440" t="s">
        <v>61</v>
      </c>
      <c r="M440" t="s">
        <v>61</v>
      </c>
      <c r="N440">
        <v>2</v>
      </c>
      <c r="O440">
        <v>3</v>
      </c>
      <c r="P440">
        <v>4</v>
      </c>
      <c r="Q440">
        <v>2</v>
      </c>
      <c r="R440">
        <v>1</v>
      </c>
      <c r="S440">
        <v>4</v>
      </c>
      <c r="T440">
        <v>3</v>
      </c>
      <c r="U440">
        <v>4</v>
      </c>
      <c r="V440">
        <v>3</v>
      </c>
      <c r="W440">
        <v>4</v>
      </c>
      <c r="X440">
        <v>3</v>
      </c>
      <c r="Y440">
        <v>3</v>
      </c>
      <c r="Z440">
        <v>4</v>
      </c>
      <c r="AA440">
        <v>3</v>
      </c>
      <c r="AB440">
        <v>3</v>
      </c>
      <c r="AC440">
        <v>5</v>
      </c>
      <c r="AD440">
        <v>3</v>
      </c>
      <c r="AE440">
        <v>5</v>
      </c>
      <c r="AF440">
        <v>4</v>
      </c>
      <c r="AG440">
        <v>4</v>
      </c>
      <c r="AH440">
        <v>3</v>
      </c>
      <c r="AI440">
        <v>3</v>
      </c>
      <c r="AJ440">
        <v>2</v>
      </c>
      <c r="AK440" t="b">
        <f>Table67[[#This Row],[What is your age?]]&lt;&gt;"18 - 25"</f>
        <v>0</v>
      </c>
      <c r="AL440" t="b">
        <f t="shared" si="24"/>
        <v>0</v>
      </c>
      <c r="AM440" t="b">
        <f t="shared" si="25"/>
        <v>0</v>
      </c>
      <c r="AN440" t="b">
        <f t="shared" si="26"/>
        <v>1</v>
      </c>
      <c r="AO440" t="b">
        <f>OR(Table67[[#This Row],[Ineligible respondents]:[Inconsistent response on opposite question (3)]])</f>
        <v>1</v>
      </c>
      <c r="AP44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440">
        <f>Table67[[#This Row],[Extreme Response]]/21</f>
        <v>0.14285714285714285</v>
      </c>
      <c r="AR440">
        <f>_xlfn.PERCENTILE.INC(Table67[Extrem Response Ratio (ERS)],0.9)</f>
        <v>0.61904761904761907</v>
      </c>
      <c r="AS440" t="b">
        <f>Table67[[#This Row],[Extrem Response Ratio (ERS)]]&gt;=Table67[[#This Row],[Threshold of ERS]]</f>
        <v>0</v>
      </c>
      <c r="AT440">
        <f>COUNTIF(Table67[[#This Row],[The mechanism of digital assets is difficult to understand, which discourages me from exploring it (E.g, Tokenization, Blockchain)]:[If I want to try different ways to invest, I will explore digital assets.]], 3)</f>
        <v>9</v>
      </c>
      <c r="AU440">
        <f>Table67[[#This Row],[Midpoint]]/21</f>
        <v>0.42857142857142855</v>
      </c>
      <c r="AV440">
        <f>_xlfn.PERCENTILE.INC(Table67[Midpoint ratio],0.9)</f>
        <v>0.5714285714285714</v>
      </c>
      <c r="AW440" t="b">
        <f>Table67[[#This Row],[Midpoint ratio]]&gt;=Table67[[#This Row],[Threshold of Midpoint ratio]]</f>
        <v>0</v>
      </c>
      <c r="AX440" t="b">
        <f>OR(Table67[[#This Row],[Extreme Response Style]],Table67[[#This Row],[Mid-point Response Style]])</f>
        <v>0</v>
      </c>
      <c r="AY440" t="b">
        <f>OR(Table67[[#This Row],[Delete? (Stage 1)]],Table67[[#This Row],[Delete? (Stage 2)]])</f>
        <v>1</v>
      </c>
      <c r="AZ440" t="s">
        <v>81</v>
      </c>
    </row>
    <row r="441" spans="1:52">
      <c r="A441">
        <f t="shared" si="27"/>
        <v>440</v>
      </c>
      <c r="B441" s="3">
        <v>46043.584699074097</v>
      </c>
      <c r="C441" s="3">
        <v>46043.586620370399</v>
      </c>
      <c r="D441" t="s">
        <v>53</v>
      </c>
      <c r="G441" t="s">
        <v>54</v>
      </c>
      <c r="H441" t="s">
        <v>55</v>
      </c>
      <c r="I441" t="s">
        <v>56</v>
      </c>
      <c r="J441" t="s">
        <v>60</v>
      </c>
      <c r="K441" t="s">
        <v>62</v>
      </c>
      <c r="L441" t="s">
        <v>61</v>
      </c>
      <c r="M441" t="s">
        <v>61</v>
      </c>
      <c r="N441">
        <v>3</v>
      </c>
      <c r="O441">
        <v>3</v>
      </c>
      <c r="P441">
        <v>4</v>
      </c>
      <c r="Q441">
        <v>4</v>
      </c>
      <c r="R441">
        <v>4</v>
      </c>
      <c r="S441">
        <v>3</v>
      </c>
      <c r="T441">
        <v>4</v>
      </c>
      <c r="U441">
        <v>3</v>
      </c>
      <c r="V441">
        <v>4</v>
      </c>
      <c r="W441">
        <v>3</v>
      </c>
      <c r="X441">
        <v>3</v>
      </c>
      <c r="Y441">
        <v>4</v>
      </c>
      <c r="Z441">
        <v>3</v>
      </c>
      <c r="AA441">
        <v>3</v>
      </c>
      <c r="AB441">
        <v>3</v>
      </c>
      <c r="AC441">
        <v>4</v>
      </c>
      <c r="AD441">
        <v>3</v>
      </c>
      <c r="AE441">
        <v>3</v>
      </c>
      <c r="AF441">
        <v>3</v>
      </c>
      <c r="AG441">
        <v>4</v>
      </c>
      <c r="AH441">
        <v>4</v>
      </c>
      <c r="AI441">
        <v>2</v>
      </c>
      <c r="AJ441">
        <v>3</v>
      </c>
      <c r="AK441" t="b">
        <f>Table67[[#This Row],[What is your age?]]&lt;&gt;"18 - 25"</f>
        <v>0</v>
      </c>
      <c r="AL441" t="b">
        <f t="shared" si="24"/>
        <v>0</v>
      </c>
      <c r="AM441" t="b">
        <f t="shared" si="25"/>
        <v>1</v>
      </c>
      <c r="AN441" t="b">
        <f t="shared" si="26"/>
        <v>0</v>
      </c>
      <c r="AO441" t="b">
        <f>OR(Table67[[#This Row],[Ineligible respondents]:[Inconsistent response on opposite question (3)]])</f>
        <v>1</v>
      </c>
      <c r="AP44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41">
        <f>Table67[[#This Row],[Extreme Response]]/21</f>
        <v>0</v>
      </c>
      <c r="AR441">
        <f>_xlfn.PERCENTILE.INC(Table67[Extrem Response Ratio (ERS)],0.9)</f>
        <v>0.61904761904761907</v>
      </c>
      <c r="AS441" t="b">
        <f>Table67[[#This Row],[Extrem Response Ratio (ERS)]]&gt;=Table67[[#This Row],[Threshold of ERS]]</f>
        <v>0</v>
      </c>
      <c r="AT441">
        <f>COUNTIF(Table67[[#This Row],[The mechanism of digital assets is difficult to understand, which discourages me from exploring it (E.g, Tokenization, Blockchain)]:[If I want to try different ways to invest, I will explore digital assets.]], 3)</f>
        <v>12</v>
      </c>
      <c r="AU441">
        <f>Table67[[#This Row],[Midpoint]]/21</f>
        <v>0.5714285714285714</v>
      </c>
      <c r="AV441">
        <f>_xlfn.PERCENTILE.INC(Table67[Midpoint ratio],0.9)</f>
        <v>0.5714285714285714</v>
      </c>
      <c r="AW441" t="b">
        <f>Table67[[#This Row],[Midpoint ratio]]&gt;=Table67[[#This Row],[Threshold of Midpoint ratio]]</f>
        <v>1</v>
      </c>
      <c r="AX441" t="b">
        <f>OR(Table67[[#This Row],[Extreme Response Style]],Table67[[#This Row],[Mid-point Response Style]])</f>
        <v>1</v>
      </c>
      <c r="AY441" t="b">
        <f>OR(Table67[[#This Row],[Delete? (Stage 1)]],Table67[[#This Row],[Delete? (Stage 2)]])</f>
        <v>1</v>
      </c>
      <c r="AZ441" t="s">
        <v>81</v>
      </c>
    </row>
    <row r="442" spans="1:52">
      <c r="A442">
        <f t="shared" si="27"/>
        <v>441</v>
      </c>
      <c r="B442" s="3">
        <v>46043.585057870398</v>
      </c>
      <c r="C442" s="3">
        <v>46043.587071759299</v>
      </c>
      <c r="D442" t="s">
        <v>53</v>
      </c>
      <c r="G442" t="s">
        <v>54</v>
      </c>
      <c r="H442" t="s">
        <v>55</v>
      </c>
      <c r="I442" t="s">
        <v>71</v>
      </c>
      <c r="J442" t="s">
        <v>57</v>
      </c>
      <c r="K442" t="s">
        <v>57</v>
      </c>
      <c r="L442" t="s">
        <v>58</v>
      </c>
      <c r="M442" t="s">
        <v>61</v>
      </c>
      <c r="N442">
        <v>3</v>
      </c>
      <c r="O442">
        <v>3</v>
      </c>
      <c r="P442">
        <v>3</v>
      </c>
      <c r="Q442">
        <v>3</v>
      </c>
      <c r="R442">
        <v>3</v>
      </c>
      <c r="S442">
        <v>3</v>
      </c>
      <c r="T442">
        <v>3</v>
      </c>
      <c r="U442">
        <v>3</v>
      </c>
      <c r="V442">
        <v>3</v>
      </c>
      <c r="W442">
        <v>3</v>
      </c>
      <c r="X442">
        <v>3</v>
      </c>
      <c r="Y442">
        <v>3</v>
      </c>
      <c r="Z442">
        <v>3</v>
      </c>
      <c r="AA442">
        <v>3</v>
      </c>
      <c r="AB442">
        <v>3</v>
      </c>
      <c r="AC442">
        <v>3</v>
      </c>
      <c r="AD442">
        <v>3</v>
      </c>
      <c r="AE442">
        <v>3</v>
      </c>
      <c r="AF442">
        <v>3</v>
      </c>
      <c r="AG442">
        <v>3</v>
      </c>
      <c r="AH442">
        <v>3</v>
      </c>
      <c r="AI442">
        <v>3</v>
      </c>
      <c r="AJ442">
        <v>3</v>
      </c>
      <c r="AK442" t="b">
        <f>Table67[[#This Row],[What is your age?]]&lt;&gt;"18 - 25"</f>
        <v>0</v>
      </c>
      <c r="AL442" t="b">
        <f t="shared" si="24"/>
        <v>1</v>
      </c>
      <c r="AM442" t="b">
        <f t="shared" si="25"/>
        <v>0</v>
      </c>
      <c r="AN442" t="b">
        <f t="shared" si="26"/>
        <v>0</v>
      </c>
      <c r="AO442" t="b">
        <f>OR(Table67[[#This Row],[Ineligible respondents]:[Inconsistent response on opposite question (3)]])</f>
        <v>1</v>
      </c>
      <c r="AP44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42">
        <f>Table67[[#This Row],[Extreme Response]]/21</f>
        <v>0</v>
      </c>
      <c r="AR442">
        <f>_xlfn.PERCENTILE.INC(Table67[Extrem Response Ratio (ERS)],0.9)</f>
        <v>0.61904761904761907</v>
      </c>
      <c r="AS442" t="b">
        <f>Table67[[#This Row],[Extrem Response Ratio (ERS)]]&gt;=Table67[[#This Row],[Threshold of ERS]]</f>
        <v>0</v>
      </c>
      <c r="AT442">
        <f>COUNTIF(Table67[[#This Row],[The mechanism of digital assets is difficult to understand, which discourages me from exploring it (E.g, Tokenization, Blockchain)]:[If I want to try different ways to invest, I will explore digital assets.]], 3)</f>
        <v>21</v>
      </c>
      <c r="AU442">
        <f>Table67[[#This Row],[Midpoint]]/21</f>
        <v>1</v>
      </c>
      <c r="AV442">
        <f>_xlfn.PERCENTILE.INC(Table67[Midpoint ratio],0.9)</f>
        <v>0.5714285714285714</v>
      </c>
      <c r="AW442" t="b">
        <f>Table67[[#This Row],[Midpoint ratio]]&gt;=Table67[[#This Row],[Threshold of Midpoint ratio]]</f>
        <v>1</v>
      </c>
      <c r="AX442" t="b">
        <f>OR(Table67[[#This Row],[Extreme Response Style]],Table67[[#This Row],[Mid-point Response Style]])</f>
        <v>1</v>
      </c>
      <c r="AY442" t="b">
        <f>OR(Table67[[#This Row],[Delete? (Stage 1)]],Table67[[#This Row],[Delete? (Stage 2)]])</f>
        <v>1</v>
      </c>
      <c r="AZ442" t="s">
        <v>81</v>
      </c>
    </row>
    <row r="443" spans="1:52">
      <c r="A443">
        <f t="shared" si="27"/>
        <v>442</v>
      </c>
      <c r="B443" s="3">
        <v>46043.585868055598</v>
      </c>
      <c r="C443" s="3">
        <v>46043.588125000002</v>
      </c>
      <c r="D443" t="s">
        <v>53</v>
      </c>
      <c r="G443" t="s">
        <v>54</v>
      </c>
      <c r="H443" t="s">
        <v>63</v>
      </c>
      <c r="I443" t="s">
        <v>56</v>
      </c>
      <c r="J443" t="s">
        <v>60</v>
      </c>
      <c r="K443" t="s">
        <v>66</v>
      </c>
      <c r="L443" t="s">
        <v>61</v>
      </c>
      <c r="M443" t="s">
        <v>61</v>
      </c>
      <c r="N443">
        <v>3</v>
      </c>
      <c r="O443">
        <v>2</v>
      </c>
      <c r="P443">
        <v>4</v>
      </c>
      <c r="Q443">
        <v>3</v>
      </c>
      <c r="R443">
        <v>3</v>
      </c>
      <c r="S443">
        <v>4</v>
      </c>
      <c r="T443">
        <v>2</v>
      </c>
      <c r="U443">
        <v>2</v>
      </c>
      <c r="V443">
        <v>4</v>
      </c>
      <c r="W443">
        <v>4</v>
      </c>
      <c r="X443">
        <v>3</v>
      </c>
      <c r="Y443">
        <v>3</v>
      </c>
      <c r="Z443">
        <v>4</v>
      </c>
      <c r="AA443">
        <v>3</v>
      </c>
      <c r="AB443">
        <v>2</v>
      </c>
      <c r="AC443">
        <v>2</v>
      </c>
      <c r="AD443">
        <v>2</v>
      </c>
      <c r="AE443">
        <v>2</v>
      </c>
      <c r="AF443">
        <v>4</v>
      </c>
      <c r="AG443">
        <v>2</v>
      </c>
      <c r="AH443">
        <v>4</v>
      </c>
      <c r="AI443">
        <v>2</v>
      </c>
      <c r="AJ443">
        <v>2</v>
      </c>
      <c r="AK443" t="b">
        <f>Table67[[#This Row],[What is your age?]]&lt;&gt;"18 - 25"</f>
        <v>0</v>
      </c>
      <c r="AL443" t="b">
        <f t="shared" si="24"/>
        <v>0</v>
      </c>
      <c r="AM443" t="b">
        <f t="shared" si="25"/>
        <v>0</v>
      </c>
      <c r="AN443" t="b">
        <f t="shared" si="26"/>
        <v>0</v>
      </c>
      <c r="AO443" t="b">
        <f>OR(Table67[[#This Row],[Ineligible respondents]:[Inconsistent response on opposite question (3)]])</f>
        <v>0</v>
      </c>
      <c r="AP44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43">
        <f>Table67[[#This Row],[Extreme Response]]/21</f>
        <v>0</v>
      </c>
      <c r="AR443">
        <f>_xlfn.PERCENTILE.INC(Table67[Extrem Response Ratio (ERS)],0.9)</f>
        <v>0.61904761904761907</v>
      </c>
      <c r="AS443" t="b">
        <f>Table67[[#This Row],[Extrem Response Ratio (ERS)]]&gt;=Table67[[#This Row],[Threshold of ERS]]</f>
        <v>0</v>
      </c>
      <c r="AT443">
        <f>COUNTIF(Table67[[#This Row],[The mechanism of digital assets is difficult to understand, which discourages me from exploring it (E.g, Tokenization, Blockchain)]:[If I want to try different ways to invest, I will explore digital assets.]], 3)</f>
        <v>6</v>
      </c>
      <c r="AU443">
        <f>Table67[[#This Row],[Midpoint]]/21</f>
        <v>0.2857142857142857</v>
      </c>
      <c r="AV443">
        <f>_xlfn.PERCENTILE.INC(Table67[Midpoint ratio],0.9)</f>
        <v>0.5714285714285714</v>
      </c>
      <c r="AW443" t="b">
        <f>Table67[[#This Row],[Midpoint ratio]]&gt;=Table67[[#This Row],[Threshold of Midpoint ratio]]</f>
        <v>0</v>
      </c>
      <c r="AX443" t="b">
        <f>OR(Table67[[#This Row],[Extreme Response Style]],Table67[[#This Row],[Mid-point Response Style]])</f>
        <v>0</v>
      </c>
      <c r="AY443" t="b">
        <f>OR(Table67[[#This Row],[Delete? (Stage 1)]],Table67[[#This Row],[Delete? (Stage 2)]])</f>
        <v>0</v>
      </c>
      <c r="AZ443" t="s">
        <v>81</v>
      </c>
    </row>
    <row r="444" spans="1:52">
      <c r="A444">
        <f t="shared" si="27"/>
        <v>443</v>
      </c>
      <c r="B444" s="3">
        <v>46043.586041666698</v>
      </c>
      <c r="C444" s="3">
        <v>46043.586944444403</v>
      </c>
      <c r="D444" t="s">
        <v>53</v>
      </c>
      <c r="G444" t="s">
        <v>54</v>
      </c>
      <c r="H444" t="s">
        <v>55</v>
      </c>
      <c r="I444" t="s">
        <v>56</v>
      </c>
      <c r="J444" t="s">
        <v>57</v>
      </c>
      <c r="K444" t="s">
        <v>60</v>
      </c>
      <c r="L444" t="s">
        <v>58</v>
      </c>
      <c r="M444" t="s">
        <v>61</v>
      </c>
      <c r="N444">
        <v>4</v>
      </c>
      <c r="O444">
        <v>3</v>
      </c>
      <c r="P444">
        <v>4</v>
      </c>
      <c r="Q444">
        <v>4</v>
      </c>
      <c r="R444">
        <v>4</v>
      </c>
      <c r="S444">
        <v>4</v>
      </c>
      <c r="T444">
        <v>4</v>
      </c>
      <c r="U444">
        <v>4</v>
      </c>
      <c r="V444">
        <v>4</v>
      </c>
      <c r="W444">
        <v>4</v>
      </c>
      <c r="X444">
        <v>4</v>
      </c>
      <c r="Y444">
        <v>4</v>
      </c>
      <c r="Z444">
        <v>4</v>
      </c>
      <c r="AA444">
        <v>4</v>
      </c>
      <c r="AB444">
        <v>4</v>
      </c>
      <c r="AC444">
        <v>4</v>
      </c>
      <c r="AD444">
        <v>4</v>
      </c>
      <c r="AE444">
        <v>4</v>
      </c>
      <c r="AF444">
        <v>4</v>
      </c>
      <c r="AG444">
        <v>4</v>
      </c>
      <c r="AH444">
        <v>4</v>
      </c>
      <c r="AI444">
        <v>2</v>
      </c>
      <c r="AJ444">
        <v>2</v>
      </c>
      <c r="AK444" t="b">
        <f>Table67[[#This Row],[What is your age?]]&lt;&gt;"18 - 25"</f>
        <v>0</v>
      </c>
      <c r="AL444" t="b">
        <f t="shared" si="24"/>
        <v>0</v>
      </c>
      <c r="AM444" t="b">
        <f t="shared" si="25"/>
        <v>1</v>
      </c>
      <c r="AN444" t="b">
        <f t="shared" si="26"/>
        <v>0</v>
      </c>
      <c r="AO444" t="b">
        <f>OR(Table67[[#This Row],[Ineligible respondents]:[Inconsistent response on opposite question (3)]])</f>
        <v>1</v>
      </c>
      <c r="AP44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44">
        <f>Table67[[#This Row],[Extreme Response]]/21</f>
        <v>0</v>
      </c>
      <c r="AR444">
        <f>_xlfn.PERCENTILE.INC(Table67[Extrem Response Ratio (ERS)],0.9)</f>
        <v>0.61904761904761907</v>
      </c>
      <c r="AS444" t="b">
        <f>Table67[[#This Row],[Extrem Response Ratio (ERS)]]&gt;=Table67[[#This Row],[Threshold of ERS]]</f>
        <v>0</v>
      </c>
      <c r="AT444">
        <f>COUNTIF(Table67[[#This Row],[The mechanism of digital assets is difficult to understand, which discourages me from exploring it (E.g, Tokenization, Blockchain)]:[If I want to try different ways to invest, I will explore digital assets.]], 3)</f>
        <v>1</v>
      </c>
      <c r="AU444">
        <f>Table67[[#This Row],[Midpoint]]/21</f>
        <v>4.7619047619047616E-2</v>
      </c>
      <c r="AV444">
        <f>_xlfn.PERCENTILE.INC(Table67[Midpoint ratio],0.9)</f>
        <v>0.5714285714285714</v>
      </c>
      <c r="AW444" t="b">
        <f>Table67[[#This Row],[Midpoint ratio]]&gt;=Table67[[#This Row],[Threshold of Midpoint ratio]]</f>
        <v>0</v>
      </c>
      <c r="AX444" t="b">
        <f>OR(Table67[[#This Row],[Extreme Response Style]],Table67[[#This Row],[Mid-point Response Style]])</f>
        <v>0</v>
      </c>
      <c r="AY444" t="b">
        <f>OR(Table67[[#This Row],[Delete? (Stage 1)]],Table67[[#This Row],[Delete? (Stage 2)]])</f>
        <v>1</v>
      </c>
      <c r="AZ444" t="s">
        <v>81</v>
      </c>
    </row>
    <row r="445" spans="1:52">
      <c r="A445">
        <f t="shared" si="27"/>
        <v>444</v>
      </c>
      <c r="B445" s="3">
        <v>46043.586273148103</v>
      </c>
      <c r="C445" s="3">
        <v>46043.588263888902</v>
      </c>
      <c r="D445" t="s">
        <v>53</v>
      </c>
      <c r="G445" t="s">
        <v>73</v>
      </c>
      <c r="H445" t="s">
        <v>55</v>
      </c>
      <c r="I445" t="s">
        <v>75</v>
      </c>
      <c r="J445" t="s">
        <v>57</v>
      </c>
      <c r="K445" t="s">
        <v>66</v>
      </c>
      <c r="L445" t="s">
        <v>61</v>
      </c>
      <c r="M445" t="s">
        <v>61</v>
      </c>
      <c r="N445">
        <v>1</v>
      </c>
      <c r="O445">
        <v>1</v>
      </c>
      <c r="P445">
        <v>1</v>
      </c>
      <c r="Q445">
        <v>1</v>
      </c>
      <c r="R445">
        <v>1</v>
      </c>
      <c r="S445">
        <v>1</v>
      </c>
      <c r="T445">
        <v>1</v>
      </c>
      <c r="U445">
        <v>1</v>
      </c>
      <c r="V445">
        <v>1</v>
      </c>
      <c r="W445">
        <v>1</v>
      </c>
      <c r="X445">
        <v>1</v>
      </c>
      <c r="Y445">
        <v>1</v>
      </c>
      <c r="Z445">
        <v>1</v>
      </c>
      <c r="AA445">
        <v>1</v>
      </c>
      <c r="AB445">
        <v>1</v>
      </c>
      <c r="AC445">
        <v>1</v>
      </c>
      <c r="AD445">
        <v>1</v>
      </c>
      <c r="AE445">
        <v>1</v>
      </c>
      <c r="AF445">
        <v>1</v>
      </c>
      <c r="AG445">
        <v>1</v>
      </c>
      <c r="AH445">
        <v>1</v>
      </c>
      <c r="AI445">
        <v>5</v>
      </c>
      <c r="AJ445">
        <v>5</v>
      </c>
      <c r="AK445" t="b">
        <f>Table67[[#This Row],[What is your age?]]&lt;&gt;"18 - 25"</f>
        <v>1</v>
      </c>
      <c r="AL445" t="b">
        <f t="shared" si="24"/>
        <v>1</v>
      </c>
      <c r="AM445" t="b">
        <f t="shared" si="25"/>
        <v>1</v>
      </c>
      <c r="AN445" t="b">
        <f t="shared" si="26"/>
        <v>0</v>
      </c>
      <c r="AO445" t="b">
        <f>OR(Table67[[#This Row],[Ineligible respondents]:[Inconsistent response on opposite question (3)]])</f>
        <v>1</v>
      </c>
      <c r="AP44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21</v>
      </c>
      <c r="AQ445">
        <f>Table67[[#This Row],[Extreme Response]]/21</f>
        <v>1</v>
      </c>
      <c r="AR445">
        <f>_xlfn.PERCENTILE.INC(Table67[Extrem Response Ratio (ERS)],0.9)</f>
        <v>0.61904761904761907</v>
      </c>
      <c r="AS445" t="b">
        <f>Table67[[#This Row],[Extrem Response Ratio (ERS)]]&gt;=Table67[[#This Row],[Threshold of ERS]]</f>
        <v>1</v>
      </c>
      <c r="AT445">
        <f>COUNTIF(Table67[[#This Row],[The mechanism of digital assets is difficult to understand, which discourages me from exploring it (E.g, Tokenization, Blockchain)]:[If I want to try different ways to invest, I will explore digital assets.]], 3)</f>
        <v>0</v>
      </c>
      <c r="AU445">
        <f>Table67[[#This Row],[Midpoint]]/21</f>
        <v>0</v>
      </c>
      <c r="AV445">
        <f>_xlfn.PERCENTILE.INC(Table67[Midpoint ratio],0.9)</f>
        <v>0.5714285714285714</v>
      </c>
      <c r="AW445" t="b">
        <f>Table67[[#This Row],[Midpoint ratio]]&gt;=Table67[[#This Row],[Threshold of Midpoint ratio]]</f>
        <v>0</v>
      </c>
      <c r="AX445" t="b">
        <f>OR(Table67[[#This Row],[Extreme Response Style]],Table67[[#This Row],[Mid-point Response Style]])</f>
        <v>1</v>
      </c>
      <c r="AY445" t="b">
        <f>OR(Table67[[#This Row],[Delete? (Stage 1)]],Table67[[#This Row],[Delete? (Stage 2)]])</f>
        <v>1</v>
      </c>
      <c r="AZ445" t="s">
        <v>81</v>
      </c>
    </row>
    <row r="446" spans="1:52">
      <c r="A446">
        <f t="shared" si="27"/>
        <v>445</v>
      </c>
      <c r="B446" s="3">
        <v>46043.586562500001</v>
      </c>
      <c r="C446" s="3">
        <v>46043.587280092601</v>
      </c>
      <c r="D446" t="s">
        <v>53</v>
      </c>
      <c r="G446" t="s">
        <v>54</v>
      </c>
      <c r="H446" t="s">
        <v>63</v>
      </c>
      <c r="I446" t="s">
        <v>56</v>
      </c>
      <c r="J446" t="s">
        <v>57</v>
      </c>
      <c r="K446" t="s">
        <v>57</v>
      </c>
      <c r="L446" t="s">
        <v>58</v>
      </c>
      <c r="M446" t="s">
        <v>58</v>
      </c>
      <c r="N446">
        <v>3</v>
      </c>
      <c r="O446">
        <v>3</v>
      </c>
      <c r="P446">
        <v>3</v>
      </c>
      <c r="Q446">
        <v>3</v>
      </c>
      <c r="R446">
        <v>3</v>
      </c>
      <c r="S446">
        <v>3</v>
      </c>
      <c r="T446">
        <v>3</v>
      </c>
      <c r="U446">
        <v>3</v>
      </c>
      <c r="V446">
        <v>3</v>
      </c>
      <c r="W446">
        <v>3</v>
      </c>
      <c r="X446">
        <v>3</v>
      </c>
      <c r="Y446">
        <v>3</v>
      </c>
      <c r="Z446">
        <v>3</v>
      </c>
      <c r="AA446">
        <v>3</v>
      </c>
      <c r="AB446">
        <v>3</v>
      </c>
      <c r="AC446">
        <v>3</v>
      </c>
      <c r="AD446">
        <v>3</v>
      </c>
      <c r="AE446">
        <v>3</v>
      </c>
      <c r="AF446">
        <v>3</v>
      </c>
      <c r="AG446">
        <v>3</v>
      </c>
      <c r="AH446">
        <v>3</v>
      </c>
      <c r="AI446">
        <v>3</v>
      </c>
      <c r="AJ446">
        <v>3</v>
      </c>
      <c r="AK446" t="b">
        <f>Table67[[#This Row],[What is your age?]]&lt;&gt;"18 - 25"</f>
        <v>0</v>
      </c>
      <c r="AL446" t="b">
        <f t="shared" si="24"/>
        <v>1</v>
      </c>
      <c r="AM446" t="b">
        <f t="shared" si="25"/>
        <v>0</v>
      </c>
      <c r="AN446" t="b">
        <f t="shared" si="26"/>
        <v>0</v>
      </c>
      <c r="AO446" t="b">
        <f>OR(Table67[[#This Row],[Ineligible respondents]:[Inconsistent response on opposite question (3)]])</f>
        <v>1</v>
      </c>
      <c r="AP44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46">
        <f>Table67[[#This Row],[Extreme Response]]/21</f>
        <v>0</v>
      </c>
      <c r="AR446">
        <f>_xlfn.PERCENTILE.INC(Table67[Extrem Response Ratio (ERS)],0.9)</f>
        <v>0.61904761904761907</v>
      </c>
      <c r="AS446" t="b">
        <f>Table67[[#This Row],[Extrem Response Ratio (ERS)]]&gt;=Table67[[#This Row],[Threshold of ERS]]</f>
        <v>0</v>
      </c>
      <c r="AT446">
        <f>COUNTIF(Table67[[#This Row],[The mechanism of digital assets is difficult to understand, which discourages me from exploring it (E.g, Tokenization, Blockchain)]:[If I want to try different ways to invest, I will explore digital assets.]], 3)</f>
        <v>21</v>
      </c>
      <c r="AU446">
        <f>Table67[[#This Row],[Midpoint]]/21</f>
        <v>1</v>
      </c>
      <c r="AV446">
        <f>_xlfn.PERCENTILE.INC(Table67[Midpoint ratio],0.9)</f>
        <v>0.5714285714285714</v>
      </c>
      <c r="AW446" t="b">
        <f>Table67[[#This Row],[Midpoint ratio]]&gt;=Table67[[#This Row],[Threshold of Midpoint ratio]]</f>
        <v>1</v>
      </c>
      <c r="AX446" t="b">
        <f>OR(Table67[[#This Row],[Extreme Response Style]],Table67[[#This Row],[Mid-point Response Style]])</f>
        <v>1</v>
      </c>
      <c r="AY446" t="b">
        <f>OR(Table67[[#This Row],[Delete? (Stage 1)]],Table67[[#This Row],[Delete? (Stage 2)]])</f>
        <v>1</v>
      </c>
      <c r="AZ446" t="s">
        <v>81</v>
      </c>
    </row>
    <row r="447" spans="1:52">
      <c r="A447">
        <f t="shared" si="27"/>
        <v>446</v>
      </c>
      <c r="B447" s="3">
        <v>46043.586886574099</v>
      </c>
      <c r="C447" s="3">
        <v>46043.588263888902</v>
      </c>
      <c r="D447" t="s">
        <v>53</v>
      </c>
      <c r="G447" t="s">
        <v>54</v>
      </c>
      <c r="H447" t="s">
        <v>63</v>
      </c>
      <c r="I447" t="s">
        <v>56</v>
      </c>
      <c r="J447" t="s">
        <v>57</v>
      </c>
      <c r="K447" t="s">
        <v>57</v>
      </c>
      <c r="L447" t="s">
        <v>61</v>
      </c>
      <c r="M447" t="s">
        <v>58</v>
      </c>
      <c r="N447">
        <v>5</v>
      </c>
      <c r="O447">
        <v>5</v>
      </c>
      <c r="P447">
        <v>5</v>
      </c>
      <c r="Q447">
        <v>5</v>
      </c>
      <c r="R447">
        <v>5</v>
      </c>
      <c r="S447">
        <v>5</v>
      </c>
      <c r="T447">
        <v>3</v>
      </c>
      <c r="U447">
        <v>5</v>
      </c>
      <c r="V447">
        <v>5</v>
      </c>
      <c r="W447">
        <v>5</v>
      </c>
      <c r="X447">
        <v>5</v>
      </c>
      <c r="Y447">
        <v>5</v>
      </c>
      <c r="Z447">
        <v>3</v>
      </c>
      <c r="AA447">
        <v>5</v>
      </c>
      <c r="AB447">
        <v>1</v>
      </c>
      <c r="AC447">
        <v>5</v>
      </c>
      <c r="AD447">
        <v>5</v>
      </c>
      <c r="AE447">
        <v>5</v>
      </c>
      <c r="AF447">
        <v>5</v>
      </c>
      <c r="AG447">
        <v>5</v>
      </c>
      <c r="AH447">
        <v>5</v>
      </c>
      <c r="AI447">
        <v>1</v>
      </c>
      <c r="AJ447">
        <v>1</v>
      </c>
      <c r="AK447" t="b">
        <f>Table67[[#This Row],[What is your age?]]&lt;&gt;"18 - 25"</f>
        <v>0</v>
      </c>
      <c r="AL447" t="b">
        <f t="shared" si="24"/>
        <v>0</v>
      </c>
      <c r="AM447" t="b">
        <f t="shared" si="25"/>
        <v>1</v>
      </c>
      <c r="AN447" t="b">
        <f t="shared" si="26"/>
        <v>0</v>
      </c>
      <c r="AO447" t="b">
        <f>OR(Table67[[#This Row],[Ineligible respondents]:[Inconsistent response on opposite question (3)]])</f>
        <v>1</v>
      </c>
      <c r="AP44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19</v>
      </c>
      <c r="AQ447">
        <f>Table67[[#This Row],[Extreme Response]]/21</f>
        <v>0.90476190476190477</v>
      </c>
      <c r="AR447">
        <f>_xlfn.PERCENTILE.INC(Table67[Extrem Response Ratio (ERS)],0.9)</f>
        <v>0.61904761904761907</v>
      </c>
      <c r="AS447" t="b">
        <f>Table67[[#This Row],[Extrem Response Ratio (ERS)]]&gt;=Table67[[#This Row],[Threshold of ERS]]</f>
        <v>1</v>
      </c>
      <c r="AT447">
        <f>COUNTIF(Table67[[#This Row],[The mechanism of digital assets is difficult to understand, which discourages me from exploring it (E.g, Tokenization, Blockchain)]:[If I want to try different ways to invest, I will explore digital assets.]], 3)</f>
        <v>2</v>
      </c>
      <c r="AU447">
        <f>Table67[[#This Row],[Midpoint]]/21</f>
        <v>9.5238095238095233E-2</v>
      </c>
      <c r="AV447">
        <f>_xlfn.PERCENTILE.INC(Table67[Midpoint ratio],0.9)</f>
        <v>0.5714285714285714</v>
      </c>
      <c r="AW447" t="b">
        <f>Table67[[#This Row],[Midpoint ratio]]&gt;=Table67[[#This Row],[Threshold of Midpoint ratio]]</f>
        <v>0</v>
      </c>
      <c r="AX447" t="b">
        <f>OR(Table67[[#This Row],[Extreme Response Style]],Table67[[#This Row],[Mid-point Response Style]])</f>
        <v>1</v>
      </c>
      <c r="AY447" t="b">
        <f>OR(Table67[[#This Row],[Delete? (Stage 1)]],Table67[[#This Row],[Delete? (Stage 2)]])</f>
        <v>1</v>
      </c>
      <c r="AZ447" t="s">
        <v>81</v>
      </c>
    </row>
    <row r="448" spans="1:52">
      <c r="A448">
        <f t="shared" si="27"/>
        <v>447</v>
      </c>
      <c r="B448" s="3">
        <v>46043.586909722202</v>
      </c>
      <c r="C448" s="3">
        <v>46043.589745370402</v>
      </c>
      <c r="D448" t="s">
        <v>53</v>
      </c>
      <c r="G448" t="s">
        <v>54</v>
      </c>
      <c r="H448" t="s">
        <v>55</v>
      </c>
      <c r="I448" t="s">
        <v>56</v>
      </c>
      <c r="J448" t="s">
        <v>60</v>
      </c>
      <c r="K448" t="s">
        <v>67</v>
      </c>
      <c r="L448" t="s">
        <v>61</v>
      </c>
      <c r="M448" t="s">
        <v>61</v>
      </c>
      <c r="N448">
        <v>2</v>
      </c>
      <c r="O448">
        <v>1</v>
      </c>
      <c r="P448">
        <v>4</v>
      </c>
      <c r="Q448">
        <v>2</v>
      </c>
      <c r="R448">
        <v>2</v>
      </c>
      <c r="S448">
        <v>4</v>
      </c>
      <c r="T448">
        <v>2</v>
      </c>
      <c r="U448">
        <v>4</v>
      </c>
      <c r="V448">
        <v>5</v>
      </c>
      <c r="W448">
        <v>5</v>
      </c>
      <c r="X448">
        <v>2</v>
      </c>
      <c r="Y448">
        <v>5</v>
      </c>
      <c r="Z448">
        <v>2</v>
      </c>
      <c r="AA448">
        <v>2</v>
      </c>
      <c r="AB448">
        <v>2</v>
      </c>
      <c r="AC448">
        <v>2</v>
      </c>
      <c r="AD448">
        <v>4</v>
      </c>
      <c r="AE448">
        <v>1</v>
      </c>
      <c r="AF448">
        <v>4</v>
      </c>
      <c r="AG448">
        <v>3</v>
      </c>
      <c r="AH448">
        <v>5</v>
      </c>
      <c r="AI448">
        <v>1</v>
      </c>
      <c r="AJ448">
        <v>2</v>
      </c>
      <c r="AK448" t="b">
        <f>Table67[[#This Row],[What is your age?]]&lt;&gt;"18 - 25"</f>
        <v>0</v>
      </c>
      <c r="AL448" t="b">
        <f t="shared" si="24"/>
        <v>0</v>
      </c>
      <c r="AM448" t="b">
        <f t="shared" si="25"/>
        <v>0</v>
      </c>
      <c r="AN448" t="b">
        <f t="shared" si="26"/>
        <v>1</v>
      </c>
      <c r="AO448" t="b">
        <f>OR(Table67[[#This Row],[Ineligible respondents]:[Inconsistent response on opposite question (3)]])</f>
        <v>1</v>
      </c>
      <c r="AP44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448">
        <f>Table67[[#This Row],[Extreme Response]]/21</f>
        <v>0.2857142857142857</v>
      </c>
      <c r="AR448">
        <f>_xlfn.PERCENTILE.INC(Table67[Extrem Response Ratio (ERS)],0.9)</f>
        <v>0.61904761904761907</v>
      </c>
      <c r="AS448" t="b">
        <f>Table67[[#This Row],[Extrem Response Ratio (ERS)]]&gt;=Table67[[#This Row],[Threshold of ERS]]</f>
        <v>0</v>
      </c>
      <c r="AT448">
        <f>COUNTIF(Table67[[#This Row],[The mechanism of digital assets is difficult to understand, which discourages me from exploring it (E.g, Tokenization, Blockchain)]:[If I want to try different ways to invest, I will explore digital assets.]], 3)</f>
        <v>1</v>
      </c>
      <c r="AU448">
        <f>Table67[[#This Row],[Midpoint]]/21</f>
        <v>4.7619047619047616E-2</v>
      </c>
      <c r="AV448">
        <f>_xlfn.PERCENTILE.INC(Table67[Midpoint ratio],0.9)</f>
        <v>0.5714285714285714</v>
      </c>
      <c r="AW448" t="b">
        <f>Table67[[#This Row],[Midpoint ratio]]&gt;=Table67[[#This Row],[Threshold of Midpoint ratio]]</f>
        <v>0</v>
      </c>
      <c r="AX448" t="b">
        <f>OR(Table67[[#This Row],[Extreme Response Style]],Table67[[#This Row],[Mid-point Response Style]])</f>
        <v>0</v>
      </c>
      <c r="AY448" t="b">
        <f>OR(Table67[[#This Row],[Delete? (Stage 1)]],Table67[[#This Row],[Delete? (Stage 2)]])</f>
        <v>1</v>
      </c>
      <c r="AZ448" t="s">
        <v>81</v>
      </c>
    </row>
    <row r="449" spans="1:52">
      <c r="A449">
        <f t="shared" si="27"/>
        <v>448</v>
      </c>
      <c r="B449" s="3">
        <v>46043.587256944404</v>
      </c>
      <c r="C449" s="3">
        <v>46043.588298611103</v>
      </c>
      <c r="D449" t="s">
        <v>53</v>
      </c>
      <c r="G449" t="s">
        <v>54</v>
      </c>
      <c r="H449" t="s">
        <v>55</v>
      </c>
      <c r="I449" t="s">
        <v>56</v>
      </c>
      <c r="J449" t="s">
        <v>60</v>
      </c>
      <c r="K449" t="s">
        <v>62</v>
      </c>
      <c r="L449" t="s">
        <v>58</v>
      </c>
      <c r="M449" t="s">
        <v>61</v>
      </c>
      <c r="N449">
        <v>3</v>
      </c>
      <c r="O449">
        <v>3</v>
      </c>
      <c r="P449">
        <v>2</v>
      </c>
      <c r="Q449">
        <v>3</v>
      </c>
      <c r="R449">
        <v>4</v>
      </c>
      <c r="S449">
        <v>4</v>
      </c>
      <c r="T449">
        <v>3</v>
      </c>
      <c r="U449">
        <v>3</v>
      </c>
      <c r="V449">
        <v>4</v>
      </c>
      <c r="W449">
        <v>3</v>
      </c>
      <c r="X449">
        <v>3</v>
      </c>
      <c r="Y449">
        <v>4</v>
      </c>
      <c r="Z449">
        <v>4</v>
      </c>
      <c r="AA449">
        <v>4</v>
      </c>
      <c r="AB449">
        <v>3</v>
      </c>
      <c r="AC449">
        <v>3</v>
      </c>
      <c r="AD449">
        <v>3</v>
      </c>
      <c r="AE449">
        <v>3</v>
      </c>
      <c r="AF449">
        <v>2</v>
      </c>
      <c r="AG449">
        <v>3</v>
      </c>
      <c r="AH449">
        <v>3</v>
      </c>
      <c r="AI449">
        <v>3</v>
      </c>
      <c r="AJ449">
        <v>4</v>
      </c>
      <c r="AK449" t="b">
        <f>Table67[[#This Row],[What is your age?]]&lt;&gt;"18 - 25"</f>
        <v>0</v>
      </c>
      <c r="AL449" t="b">
        <f t="shared" si="24"/>
        <v>0</v>
      </c>
      <c r="AM449" t="b">
        <f t="shared" si="25"/>
        <v>0</v>
      </c>
      <c r="AN449" t="b">
        <f t="shared" si="26"/>
        <v>0</v>
      </c>
      <c r="AO449" t="b">
        <f>OR(Table67[[#This Row],[Ineligible respondents]:[Inconsistent response on opposite question (3)]])</f>
        <v>0</v>
      </c>
      <c r="AP44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49">
        <f>Table67[[#This Row],[Extreme Response]]/21</f>
        <v>0</v>
      </c>
      <c r="AR449">
        <f>_xlfn.PERCENTILE.INC(Table67[Extrem Response Ratio (ERS)],0.9)</f>
        <v>0.61904761904761907</v>
      </c>
      <c r="AS449" t="b">
        <f>Table67[[#This Row],[Extrem Response Ratio (ERS)]]&gt;=Table67[[#This Row],[Threshold of ERS]]</f>
        <v>0</v>
      </c>
      <c r="AT449">
        <f>COUNTIF(Table67[[#This Row],[The mechanism of digital assets is difficult to understand, which discourages me from exploring it (E.g, Tokenization, Blockchain)]:[If I want to try different ways to invest, I will explore digital assets.]], 3)</f>
        <v>13</v>
      </c>
      <c r="AU449">
        <f>Table67[[#This Row],[Midpoint]]/21</f>
        <v>0.61904761904761907</v>
      </c>
      <c r="AV449">
        <f>_xlfn.PERCENTILE.INC(Table67[Midpoint ratio],0.9)</f>
        <v>0.5714285714285714</v>
      </c>
      <c r="AW449" t="b">
        <f>Table67[[#This Row],[Midpoint ratio]]&gt;=Table67[[#This Row],[Threshold of Midpoint ratio]]</f>
        <v>1</v>
      </c>
      <c r="AX449" t="b">
        <f>OR(Table67[[#This Row],[Extreme Response Style]],Table67[[#This Row],[Mid-point Response Style]])</f>
        <v>1</v>
      </c>
      <c r="AY449" t="b">
        <f>OR(Table67[[#This Row],[Delete? (Stage 1)]],Table67[[#This Row],[Delete? (Stage 2)]])</f>
        <v>1</v>
      </c>
      <c r="AZ449" t="s">
        <v>81</v>
      </c>
    </row>
    <row r="450" spans="1:52">
      <c r="A450">
        <f t="shared" si="27"/>
        <v>449</v>
      </c>
      <c r="B450" s="3">
        <v>46043.587395833303</v>
      </c>
      <c r="C450" s="3">
        <v>46043.589537036998</v>
      </c>
      <c r="D450" t="s">
        <v>53</v>
      </c>
      <c r="G450" t="s">
        <v>54</v>
      </c>
      <c r="H450" t="s">
        <v>63</v>
      </c>
      <c r="I450" t="s">
        <v>56</v>
      </c>
      <c r="J450" t="s">
        <v>57</v>
      </c>
      <c r="K450" t="s">
        <v>60</v>
      </c>
      <c r="L450" t="s">
        <v>58</v>
      </c>
      <c r="M450" t="s">
        <v>58</v>
      </c>
      <c r="N450">
        <v>3</v>
      </c>
      <c r="O450">
        <v>2</v>
      </c>
      <c r="P450">
        <v>3</v>
      </c>
      <c r="Q450">
        <v>3</v>
      </c>
      <c r="R450">
        <v>3</v>
      </c>
      <c r="S450">
        <v>3</v>
      </c>
      <c r="T450">
        <v>3</v>
      </c>
      <c r="U450">
        <v>3</v>
      </c>
      <c r="V450">
        <v>3</v>
      </c>
      <c r="W450">
        <v>3</v>
      </c>
      <c r="X450">
        <v>3</v>
      </c>
      <c r="Y450">
        <v>3</v>
      </c>
      <c r="Z450">
        <v>3</v>
      </c>
      <c r="AA450">
        <v>3</v>
      </c>
      <c r="AB450">
        <v>3</v>
      </c>
      <c r="AC450">
        <v>3</v>
      </c>
      <c r="AD450">
        <v>4</v>
      </c>
      <c r="AE450">
        <v>4</v>
      </c>
      <c r="AF450">
        <v>5</v>
      </c>
      <c r="AG450">
        <v>4</v>
      </c>
      <c r="AH450">
        <v>4</v>
      </c>
      <c r="AI450">
        <v>2</v>
      </c>
      <c r="AJ450">
        <v>1</v>
      </c>
      <c r="AK450" t="b">
        <f>Table67[[#This Row],[What is your age?]]&lt;&gt;"18 - 25"</f>
        <v>0</v>
      </c>
      <c r="AL450" t="b">
        <f t="shared" si="24"/>
        <v>0</v>
      </c>
      <c r="AM450" t="b">
        <f t="shared" si="25"/>
        <v>1</v>
      </c>
      <c r="AN450" t="b">
        <f t="shared" si="26"/>
        <v>0</v>
      </c>
      <c r="AO450" t="b">
        <f>OR(Table67[[#This Row],[Ineligible respondents]:[Inconsistent response on opposite question (3)]])</f>
        <v>1</v>
      </c>
      <c r="AP45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450">
        <f>Table67[[#This Row],[Extreme Response]]/21</f>
        <v>4.7619047619047616E-2</v>
      </c>
      <c r="AR450">
        <f>_xlfn.PERCENTILE.INC(Table67[Extrem Response Ratio (ERS)],0.9)</f>
        <v>0.61904761904761907</v>
      </c>
      <c r="AS450" t="b">
        <f>Table67[[#This Row],[Extrem Response Ratio (ERS)]]&gt;=Table67[[#This Row],[Threshold of ERS]]</f>
        <v>0</v>
      </c>
      <c r="AT450">
        <f>COUNTIF(Table67[[#This Row],[The mechanism of digital assets is difficult to understand, which discourages me from exploring it (E.g, Tokenization, Blockchain)]:[If I want to try different ways to invest, I will explore digital assets.]], 3)</f>
        <v>15</v>
      </c>
      <c r="AU450">
        <f>Table67[[#This Row],[Midpoint]]/21</f>
        <v>0.7142857142857143</v>
      </c>
      <c r="AV450">
        <f>_xlfn.PERCENTILE.INC(Table67[Midpoint ratio],0.9)</f>
        <v>0.5714285714285714</v>
      </c>
      <c r="AW450" t="b">
        <f>Table67[[#This Row],[Midpoint ratio]]&gt;=Table67[[#This Row],[Threshold of Midpoint ratio]]</f>
        <v>1</v>
      </c>
      <c r="AX450" t="b">
        <f>OR(Table67[[#This Row],[Extreme Response Style]],Table67[[#This Row],[Mid-point Response Style]])</f>
        <v>1</v>
      </c>
      <c r="AY450" t="b">
        <f>OR(Table67[[#This Row],[Delete? (Stage 1)]],Table67[[#This Row],[Delete? (Stage 2)]])</f>
        <v>1</v>
      </c>
      <c r="AZ450" t="s">
        <v>81</v>
      </c>
    </row>
    <row r="451" spans="1:52">
      <c r="A451">
        <f t="shared" si="27"/>
        <v>450</v>
      </c>
      <c r="B451" s="3">
        <v>46043.587812500002</v>
      </c>
      <c r="C451" s="3">
        <v>46043.588761574101</v>
      </c>
      <c r="D451" t="s">
        <v>53</v>
      </c>
      <c r="G451" t="s">
        <v>54</v>
      </c>
      <c r="H451" t="s">
        <v>63</v>
      </c>
      <c r="I451" t="s">
        <v>56</v>
      </c>
      <c r="J451" t="s">
        <v>60</v>
      </c>
      <c r="K451" t="s">
        <v>57</v>
      </c>
      <c r="L451" t="s">
        <v>58</v>
      </c>
      <c r="M451" t="s">
        <v>58</v>
      </c>
      <c r="N451">
        <v>3</v>
      </c>
      <c r="O451">
        <v>3</v>
      </c>
      <c r="P451">
        <v>4</v>
      </c>
      <c r="Q451">
        <v>3</v>
      </c>
      <c r="R451">
        <v>5</v>
      </c>
      <c r="S451">
        <v>5</v>
      </c>
      <c r="T451">
        <v>5</v>
      </c>
      <c r="U451">
        <v>5</v>
      </c>
      <c r="V451">
        <v>5</v>
      </c>
      <c r="W451">
        <v>5</v>
      </c>
      <c r="X451">
        <v>4</v>
      </c>
      <c r="Y451">
        <v>2</v>
      </c>
      <c r="Z451">
        <v>4</v>
      </c>
      <c r="AA451">
        <v>2</v>
      </c>
      <c r="AB451">
        <v>5</v>
      </c>
      <c r="AC451">
        <v>3</v>
      </c>
      <c r="AD451">
        <v>4</v>
      </c>
      <c r="AE451">
        <v>5</v>
      </c>
      <c r="AF451">
        <v>2</v>
      </c>
      <c r="AG451">
        <v>4</v>
      </c>
      <c r="AH451">
        <v>3</v>
      </c>
      <c r="AI451">
        <v>3</v>
      </c>
      <c r="AJ451">
        <v>4</v>
      </c>
      <c r="AK451" t="b">
        <f>Table67[[#This Row],[What is your age?]]&lt;&gt;"18 - 25"</f>
        <v>0</v>
      </c>
      <c r="AL451" t="b">
        <f t="shared" ref="AL451:AL514" si="28">COUNTIF(N451:AH451, N451) = COLUMNS(N451:AH451)</f>
        <v>0</v>
      </c>
      <c r="AM451" t="b">
        <f t="shared" ref="AM451:AM514" si="29">OR(AND(AG451=AH451, AG451&lt;&gt;3), AND(OR(AG451=1, AG451=2), OR(AH451=1, AH451=2)), AND(OR(AG451=4, AG451=5), OR(AH451=4, AH451=5)))</f>
        <v>0</v>
      </c>
      <c r="AN451" t="b">
        <f t="shared" ref="AN451:AN514" si="30">OR(AND(AG451=3, AH451&lt;&gt;3), AND(AH451=3, AG451&lt;&gt;3))</f>
        <v>1</v>
      </c>
      <c r="AO451" t="b">
        <f>OR(Table67[[#This Row],[Ineligible respondents]:[Inconsistent response on opposite question (3)]])</f>
        <v>1</v>
      </c>
      <c r="AP45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451">
        <f>Table67[[#This Row],[Extreme Response]]/21</f>
        <v>0.38095238095238093</v>
      </c>
      <c r="AR451">
        <f>_xlfn.PERCENTILE.INC(Table67[Extrem Response Ratio (ERS)],0.9)</f>
        <v>0.61904761904761907</v>
      </c>
      <c r="AS451" t="b">
        <f>Table67[[#This Row],[Extrem Response Ratio (ERS)]]&gt;=Table67[[#This Row],[Threshold of ERS]]</f>
        <v>0</v>
      </c>
      <c r="AT451">
        <f>COUNTIF(Table67[[#This Row],[The mechanism of digital assets is difficult to understand, which discourages me from exploring it (E.g, Tokenization, Blockchain)]:[If I want to try different ways to invest, I will explore digital assets.]], 3)</f>
        <v>5</v>
      </c>
      <c r="AU451">
        <f>Table67[[#This Row],[Midpoint]]/21</f>
        <v>0.23809523809523808</v>
      </c>
      <c r="AV451">
        <f>_xlfn.PERCENTILE.INC(Table67[Midpoint ratio],0.9)</f>
        <v>0.5714285714285714</v>
      </c>
      <c r="AW451" t="b">
        <f>Table67[[#This Row],[Midpoint ratio]]&gt;=Table67[[#This Row],[Threshold of Midpoint ratio]]</f>
        <v>0</v>
      </c>
      <c r="AX451" t="b">
        <f>OR(Table67[[#This Row],[Extreme Response Style]],Table67[[#This Row],[Mid-point Response Style]])</f>
        <v>0</v>
      </c>
      <c r="AY451" t="b">
        <f>OR(Table67[[#This Row],[Delete? (Stage 1)]],Table67[[#This Row],[Delete? (Stage 2)]])</f>
        <v>1</v>
      </c>
      <c r="AZ451" t="s">
        <v>81</v>
      </c>
    </row>
    <row r="452" spans="1:52">
      <c r="A452">
        <f t="shared" ref="A452:A515" si="31">1+A451</f>
        <v>451</v>
      </c>
      <c r="B452" s="3">
        <v>46043.587939814803</v>
      </c>
      <c r="C452" s="3">
        <v>46043.627638888902</v>
      </c>
      <c r="D452" t="s">
        <v>53</v>
      </c>
      <c r="G452" t="s">
        <v>54</v>
      </c>
      <c r="H452" t="s">
        <v>55</v>
      </c>
      <c r="I452" t="s">
        <v>56</v>
      </c>
      <c r="J452" t="s">
        <v>57</v>
      </c>
      <c r="K452" t="s">
        <v>57</v>
      </c>
      <c r="L452" t="s">
        <v>58</v>
      </c>
      <c r="M452" t="s">
        <v>61</v>
      </c>
      <c r="N452">
        <v>3</v>
      </c>
      <c r="O452">
        <v>4</v>
      </c>
      <c r="P452">
        <v>4</v>
      </c>
      <c r="Q452">
        <v>3</v>
      </c>
      <c r="R452">
        <v>5</v>
      </c>
      <c r="S452">
        <v>5</v>
      </c>
      <c r="T452">
        <v>5</v>
      </c>
      <c r="U452">
        <v>4</v>
      </c>
      <c r="V452">
        <v>5</v>
      </c>
      <c r="W452">
        <v>5</v>
      </c>
      <c r="X452">
        <v>5</v>
      </c>
      <c r="Y452">
        <v>5</v>
      </c>
      <c r="Z452">
        <v>5</v>
      </c>
      <c r="AA452">
        <v>4</v>
      </c>
      <c r="AB452">
        <v>2</v>
      </c>
      <c r="AC452">
        <v>4</v>
      </c>
      <c r="AD452">
        <v>2</v>
      </c>
      <c r="AE452">
        <v>3</v>
      </c>
      <c r="AF452">
        <v>1</v>
      </c>
      <c r="AG452">
        <v>1</v>
      </c>
      <c r="AH452">
        <v>2</v>
      </c>
      <c r="AI452">
        <v>4</v>
      </c>
      <c r="AJ452">
        <v>5</v>
      </c>
      <c r="AK452" t="b">
        <f>Table67[[#This Row],[What is your age?]]&lt;&gt;"18 - 25"</f>
        <v>0</v>
      </c>
      <c r="AL452" t="b">
        <f t="shared" si="28"/>
        <v>0</v>
      </c>
      <c r="AM452" t="b">
        <f t="shared" si="29"/>
        <v>1</v>
      </c>
      <c r="AN452" t="b">
        <f t="shared" si="30"/>
        <v>0</v>
      </c>
      <c r="AO452" t="b">
        <f>OR(Table67[[#This Row],[Ineligible respondents]:[Inconsistent response on opposite question (3)]])</f>
        <v>1</v>
      </c>
      <c r="AP45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10</v>
      </c>
      <c r="AQ452">
        <f>Table67[[#This Row],[Extreme Response]]/21</f>
        <v>0.47619047619047616</v>
      </c>
      <c r="AR452">
        <f>_xlfn.PERCENTILE.INC(Table67[Extrem Response Ratio (ERS)],0.9)</f>
        <v>0.61904761904761907</v>
      </c>
      <c r="AS452" t="b">
        <f>Table67[[#This Row],[Extrem Response Ratio (ERS)]]&gt;=Table67[[#This Row],[Threshold of ERS]]</f>
        <v>0</v>
      </c>
      <c r="AT452">
        <f>COUNTIF(Table67[[#This Row],[The mechanism of digital assets is difficult to understand, which discourages me from exploring it (E.g, Tokenization, Blockchain)]:[If I want to try different ways to invest, I will explore digital assets.]], 3)</f>
        <v>3</v>
      </c>
      <c r="AU452">
        <f>Table67[[#This Row],[Midpoint]]/21</f>
        <v>0.14285714285714285</v>
      </c>
      <c r="AV452">
        <f>_xlfn.PERCENTILE.INC(Table67[Midpoint ratio],0.9)</f>
        <v>0.5714285714285714</v>
      </c>
      <c r="AW452" t="b">
        <f>Table67[[#This Row],[Midpoint ratio]]&gt;=Table67[[#This Row],[Threshold of Midpoint ratio]]</f>
        <v>0</v>
      </c>
      <c r="AX452" t="b">
        <f>OR(Table67[[#This Row],[Extreme Response Style]],Table67[[#This Row],[Mid-point Response Style]])</f>
        <v>0</v>
      </c>
      <c r="AY452" t="b">
        <f>OR(Table67[[#This Row],[Delete? (Stage 1)]],Table67[[#This Row],[Delete? (Stage 2)]])</f>
        <v>1</v>
      </c>
      <c r="AZ452" t="s">
        <v>81</v>
      </c>
    </row>
    <row r="453" spans="1:52">
      <c r="A453">
        <f t="shared" si="31"/>
        <v>452</v>
      </c>
      <c r="B453" s="3">
        <v>46043.591666666704</v>
      </c>
      <c r="C453" s="3">
        <v>46043.595266203702</v>
      </c>
      <c r="D453" t="s">
        <v>53</v>
      </c>
      <c r="G453" t="s">
        <v>54</v>
      </c>
      <c r="H453" t="s">
        <v>55</v>
      </c>
      <c r="I453" t="s">
        <v>56</v>
      </c>
      <c r="J453" t="s">
        <v>64</v>
      </c>
      <c r="K453" t="s">
        <v>66</v>
      </c>
      <c r="L453" t="s">
        <v>61</v>
      </c>
      <c r="M453" t="s">
        <v>58</v>
      </c>
      <c r="N453">
        <v>3</v>
      </c>
      <c r="O453">
        <v>5</v>
      </c>
      <c r="P453">
        <v>5</v>
      </c>
      <c r="Q453">
        <v>5</v>
      </c>
      <c r="R453">
        <v>5</v>
      </c>
      <c r="S453">
        <v>5</v>
      </c>
      <c r="T453">
        <v>5</v>
      </c>
      <c r="U453">
        <v>5</v>
      </c>
      <c r="V453">
        <v>5</v>
      </c>
      <c r="W453">
        <v>5</v>
      </c>
      <c r="X453">
        <v>4</v>
      </c>
      <c r="Y453">
        <v>3</v>
      </c>
      <c r="Z453">
        <v>2</v>
      </c>
      <c r="AA453">
        <v>4</v>
      </c>
      <c r="AB453">
        <v>1</v>
      </c>
      <c r="AC453">
        <v>5</v>
      </c>
      <c r="AD453">
        <v>5</v>
      </c>
      <c r="AE453">
        <v>3</v>
      </c>
      <c r="AF453">
        <v>2</v>
      </c>
      <c r="AG453">
        <v>5</v>
      </c>
      <c r="AH453">
        <v>1</v>
      </c>
      <c r="AI453">
        <v>5</v>
      </c>
      <c r="AJ453">
        <v>4</v>
      </c>
      <c r="AK453" t="b">
        <f>Table67[[#This Row],[What is your age?]]&lt;&gt;"18 - 25"</f>
        <v>0</v>
      </c>
      <c r="AL453" t="b">
        <f t="shared" si="28"/>
        <v>0</v>
      </c>
      <c r="AM453" t="b">
        <f t="shared" si="29"/>
        <v>0</v>
      </c>
      <c r="AN453" t="b">
        <f t="shared" si="30"/>
        <v>0</v>
      </c>
      <c r="AO453" t="b">
        <f>OR(Table67[[#This Row],[Ineligible respondents]:[Inconsistent response on opposite question (3)]])</f>
        <v>0</v>
      </c>
      <c r="AP45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453">
        <f>Table67[[#This Row],[Extreme Response]]/21</f>
        <v>0.66666666666666663</v>
      </c>
      <c r="AR453">
        <f>_xlfn.PERCENTILE.INC(Table67[Extrem Response Ratio (ERS)],0.9)</f>
        <v>0.61904761904761907</v>
      </c>
      <c r="AS453" t="b">
        <f>Table67[[#This Row],[Extrem Response Ratio (ERS)]]&gt;=Table67[[#This Row],[Threshold of ERS]]</f>
        <v>1</v>
      </c>
      <c r="AT453">
        <f>COUNTIF(Table67[[#This Row],[The mechanism of digital assets is difficult to understand, which discourages me from exploring it (E.g, Tokenization, Blockchain)]:[If I want to try different ways to invest, I will explore digital assets.]], 3)</f>
        <v>3</v>
      </c>
      <c r="AU453">
        <f>Table67[[#This Row],[Midpoint]]/21</f>
        <v>0.14285714285714285</v>
      </c>
      <c r="AV453">
        <f>_xlfn.PERCENTILE.INC(Table67[Midpoint ratio],0.9)</f>
        <v>0.5714285714285714</v>
      </c>
      <c r="AW453" t="b">
        <f>Table67[[#This Row],[Midpoint ratio]]&gt;=Table67[[#This Row],[Threshold of Midpoint ratio]]</f>
        <v>0</v>
      </c>
      <c r="AX453" t="b">
        <f>OR(Table67[[#This Row],[Extreme Response Style]],Table67[[#This Row],[Mid-point Response Style]])</f>
        <v>1</v>
      </c>
      <c r="AY453" t="b">
        <f>OR(Table67[[#This Row],[Delete? (Stage 1)]],Table67[[#This Row],[Delete? (Stage 2)]])</f>
        <v>1</v>
      </c>
      <c r="AZ453" t="s">
        <v>81</v>
      </c>
    </row>
    <row r="454" spans="1:52">
      <c r="A454">
        <f t="shared" si="31"/>
        <v>453</v>
      </c>
      <c r="B454" s="3">
        <v>46043.5945601852</v>
      </c>
      <c r="C454" s="3">
        <v>46043.597326388903</v>
      </c>
      <c r="D454" t="s">
        <v>53</v>
      </c>
      <c r="G454" t="s">
        <v>54</v>
      </c>
      <c r="H454" t="s">
        <v>63</v>
      </c>
      <c r="I454" t="s">
        <v>69</v>
      </c>
      <c r="J454" t="s">
        <v>62</v>
      </c>
      <c r="K454" t="s">
        <v>57</v>
      </c>
      <c r="L454" t="s">
        <v>58</v>
      </c>
      <c r="M454" t="s">
        <v>58</v>
      </c>
      <c r="N454">
        <v>3</v>
      </c>
      <c r="O454">
        <v>3</v>
      </c>
      <c r="P454">
        <v>3</v>
      </c>
      <c r="Q454">
        <v>3</v>
      </c>
      <c r="R454">
        <v>3</v>
      </c>
      <c r="S454">
        <v>3</v>
      </c>
      <c r="T454">
        <v>3</v>
      </c>
      <c r="U454">
        <v>3</v>
      </c>
      <c r="V454">
        <v>4</v>
      </c>
      <c r="W454">
        <v>4</v>
      </c>
      <c r="X454">
        <v>4</v>
      </c>
      <c r="Y454">
        <v>3</v>
      </c>
      <c r="Z454">
        <v>3</v>
      </c>
      <c r="AA454">
        <v>3</v>
      </c>
      <c r="AB454">
        <v>3</v>
      </c>
      <c r="AC454">
        <v>3</v>
      </c>
      <c r="AD454">
        <v>3</v>
      </c>
      <c r="AE454">
        <v>4</v>
      </c>
      <c r="AF454">
        <v>3</v>
      </c>
      <c r="AG454">
        <v>3</v>
      </c>
      <c r="AH454">
        <v>3</v>
      </c>
      <c r="AI454">
        <v>3</v>
      </c>
      <c r="AJ454">
        <v>3</v>
      </c>
      <c r="AK454" t="b">
        <f>Table67[[#This Row],[What is your age?]]&lt;&gt;"18 - 25"</f>
        <v>0</v>
      </c>
      <c r="AL454" t="b">
        <f t="shared" si="28"/>
        <v>0</v>
      </c>
      <c r="AM454" t="b">
        <f t="shared" si="29"/>
        <v>0</v>
      </c>
      <c r="AN454" t="b">
        <f t="shared" si="30"/>
        <v>0</v>
      </c>
      <c r="AO454" t="b">
        <f>OR(Table67[[#This Row],[Ineligible respondents]:[Inconsistent response on opposite question (3)]])</f>
        <v>0</v>
      </c>
      <c r="AP45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54">
        <f>Table67[[#This Row],[Extreme Response]]/21</f>
        <v>0</v>
      </c>
      <c r="AR454">
        <f>_xlfn.PERCENTILE.INC(Table67[Extrem Response Ratio (ERS)],0.9)</f>
        <v>0.61904761904761907</v>
      </c>
      <c r="AS454" t="b">
        <f>Table67[[#This Row],[Extrem Response Ratio (ERS)]]&gt;=Table67[[#This Row],[Threshold of ERS]]</f>
        <v>0</v>
      </c>
      <c r="AT454">
        <f>COUNTIF(Table67[[#This Row],[The mechanism of digital assets is difficult to understand, which discourages me from exploring it (E.g, Tokenization, Blockchain)]:[If I want to try different ways to invest, I will explore digital assets.]], 3)</f>
        <v>17</v>
      </c>
      <c r="AU454">
        <f>Table67[[#This Row],[Midpoint]]/21</f>
        <v>0.80952380952380953</v>
      </c>
      <c r="AV454">
        <f>_xlfn.PERCENTILE.INC(Table67[Midpoint ratio],0.9)</f>
        <v>0.5714285714285714</v>
      </c>
      <c r="AW454" t="b">
        <f>Table67[[#This Row],[Midpoint ratio]]&gt;=Table67[[#This Row],[Threshold of Midpoint ratio]]</f>
        <v>1</v>
      </c>
      <c r="AX454" t="b">
        <f>OR(Table67[[#This Row],[Extreme Response Style]],Table67[[#This Row],[Mid-point Response Style]])</f>
        <v>1</v>
      </c>
      <c r="AY454" t="b">
        <f>OR(Table67[[#This Row],[Delete? (Stage 1)]],Table67[[#This Row],[Delete? (Stage 2)]])</f>
        <v>1</v>
      </c>
      <c r="AZ454" t="s">
        <v>81</v>
      </c>
    </row>
    <row r="455" spans="1:52">
      <c r="A455">
        <f t="shared" si="31"/>
        <v>454</v>
      </c>
      <c r="B455" s="3">
        <v>46043.595497685201</v>
      </c>
      <c r="C455" s="3">
        <v>46043.597847222198</v>
      </c>
      <c r="D455" t="s">
        <v>53</v>
      </c>
      <c r="G455" t="s">
        <v>54</v>
      </c>
      <c r="H455" t="s">
        <v>55</v>
      </c>
      <c r="I455" t="s">
        <v>56</v>
      </c>
      <c r="J455" t="s">
        <v>57</v>
      </c>
      <c r="K455" t="s">
        <v>57</v>
      </c>
      <c r="L455" t="s">
        <v>61</v>
      </c>
      <c r="M455" t="s">
        <v>61</v>
      </c>
      <c r="N455">
        <v>2</v>
      </c>
      <c r="O455">
        <v>3</v>
      </c>
      <c r="P455">
        <v>4</v>
      </c>
      <c r="Q455">
        <v>5</v>
      </c>
      <c r="R455">
        <v>3</v>
      </c>
      <c r="S455">
        <v>3</v>
      </c>
      <c r="T455">
        <v>3</v>
      </c>
      <c r="U455">
        <v>5</v>
      </c>
      <c r="V455">
        <v>5</v>
      </c>
      <c r="W455">
        <v>5</v>
      </c>
      <c r="X455">
        <v>4</v>
      </c>
      <c r="Y455">
        <v>4</v>
      </c>
      <c r="Z455">
        <v>3</v>
      </c>
      <c r="AA455">
        <v>3</v>
      </c>
      <c r="AB455">
        <v>2</v>
      </c>
      <c r="AC455">
        <v>2</v>
      </c>
      <c r="AD455">
        <v>5</v>
      </c>
      <c r="AE455">
        <v>3</v>
      </c>
      <c r="AF455">
        <v>4</v>
      </c>
      <c r="AG455">
        <v>4</v>
      </c>
      <c r="AH455">
        <v>4</v>
      </c>
      <c r="AI455">
        <v>2</v>
      </c>
      <c r="AJ455">
        <v>2</v>
      </c>
      <c r="AK455" t="b">
        <f>Table67[[#This Row],[What is your age?]]&lt;&gt;"18 - 25"</f>
        <v>0</v>
      </c>
      <c r="AL455" t="b">
        <f t="shared" si="28"/>
        <v>0</v>
      </c>
      <c r="AM455" t="b">
        <f t="shared" si="29"/>
        <v>1</v>
      </c>
      <c r="AN455" t="b">
        <f t="shared" si="30"/>
        <v>0</v>
      </c>
      <c r="AO455" t="b">
        <f>OR(Table67[[#This Row],[Ineligible respondents]:[Inconsistent response on opposite question (3)]])</f>
        <v>1</v>
      </c>
      <c r="AP45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455">
        <f>Table67[[#This Row],[Extreme Response]]/21</f>
        <v>0.23809523809523808</v>
      </c>
      <c r="AR455">
        <f>_xlfn.PERCENTILE.INC(Table67[Extrem Response Ratio (ERS)],0.9)</f>
        <v>0.61904761904761907</v>
      </c>
      <c r="AS455" t="b">
        <f>Table67[[#This Row],[Extrem Response Ratio (ERS)]]&gt;=Table67[[#This Row],[Threshold of ERS]]</f>
        <v>0</v>
      </c>
      <c r="AT455">
        <f>COUNTIF(Table67[[#This Row],[The mechanism of digital assets is difficult to understand, which discourages me from exploring it (E.g, Tokenization, Blockchain)]:[If I want to try different ways to invest, I will explore digital assets.]], 3)</f>
        <v>7</v>
      </c>
      <c r="AU455">
        <f>Table67[[#This Row],[Midpoint]]/21</f>
        <v>0.33333333333333331</v>
      </c>
      <c r="AV455">
        <f>_xlfn.PERCENTILE.INC(Table67[Midpoint ratio],0.9)</f>
        <v>0.5714285714285714</v>
      </c>
      <c r="AW455" t="b">
        <f>Table67[[#This Row],[Midpoint ratio]]&gt;=Table67[[#This Row],[Threshold of Midpoint ratio]]</f>
        <v>0</v>
      </c>
      <c r="AX455" t="b">
        <f>OR(Table67[[#This Row],[Extreme Response Style]],Table67[[#This Row],[Mid-point Response Style]])</f>
        <v>0</v>
      </c>
      <c r="AY455" t="b">
        <f>OR(Table67[[#This Row],[Delete? (Stage 1)]],Table67[[#This Row],[Delete? (Stage 2)]])</f>
        <v>1</v>
      </c>
      <c r="AZ455" t="s">
        <v>81</v>
      </c>
    </row>
    <row r="456" spans="1:52">
      <c r="A456">
        <f t="shared" si="31"/>
        <v>455</v>
      </c>
      <c r="B456" s="3">
        <v>46043.597546296303</v>
      </c>
      <c r="C456" s="3">
        <v>46043.599537037</v>
      </c>
      <c r="D456" t="s">
        <v>53</v>
      </c>
      <c r="G456" t="s">
        <v>54</v>
      </c>
      <c r="H456" t="s">
        <v>55</v>
      </c>
      <c r="I456" t="s">
        <v>56</v>
      </c>
      <c r="J456" t="s">
        <v>64</v>
      </c>
      <c r="K456" t="s">
        <v>57</v>
      </c>
      <c r="L456" t="s">
        <v>58</v>
      </c>
      <c r="M456" t="s">
        <v>61</v>
      </c>
      <c r="N456">
        <v>4</v>
      </c>
      <c r="O456">
        <v>3</v>
      </c>
      <c r="P456">
        <v>3</v>
      </c>
      <c r="Q456">
        <v>4</v>
      </c>
      <c r="R456">
        <v>3</v>
      </c>
      <c r="S456">
        <v>4</v>
      </c>
      <c r="T456">
        <v>2</v>
      </c>
      <c r="U456">
        <v>2</v>
      </c>
      <c r="V456">
        <v>4</v>
      </c>
      <c r="W456">
        <v>4</v>
      </c>
      <c r="X456">
        <v>4</v>
      </c>
      <c r="Y456">
        <v>4</v>
      </c>
      <c r="Z456">
        <v>4</v>
      </c>
      <c r="AA456">
        <v>4</v>
      </c>
      <c r="AB456">
        <v>3</v>
      </c>
      <c r="AC456">
        <v>2</v>
      </c>
      <c r="AD456">
        <v>3</v>
      </c>
      <c r="AE456">
        <v>4</v>
      </c>
      <c r="AF456">
        <v>3</v>
      </c>
      <c r="AG456">
        <v>2</v>
      </c>
      <c r="AH456">
        <v>4</v>
      </c>
      <c r="AI456">
        <v>2</v>
      </c>
      <c r="AJ456">
        <v>3</v>
      </c>
      <c r="AK456" t="b">
        <f>Table67[[#This Row],[What is your age?]]&lt;&gt;"18 - 25"</f>
        <v>0</v>
      </c>
      <c r="AL456" t="b">
        <f t="shared" si="28"/>
        <v>0</v>
      </c>
      <c r="AM456" t="b">
        <f t="shared" si="29"/>
        <v>0</v>
      </c>
      <c r="AN456" t="b">
        <f t="shared" si="30"/>
        <v>0</v>
      </c>
      <c r="AO456" t="b">
        <f>OR(Table67[[#This Row],[Ineligible respondents]:[Inconsistent response on opposite question (3)]])</f>
        <v>0</v>
      </c>
      <c r="AP45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56">
        <f>Table67[[#This Row],[Extreme Response]]/21</f>
        <v>0</v>
      </c>
      <c r="AR456">
        <f>_xlfn.PERCENTILE.INC(Table67[Extrem Response Ratio (ERS)],0.9)</f>
        <v>0.61904761904761907</v>
      </c>
      <c r="AS456" t="b">
        <f>Table67[[#This Row],[Extrem Response Ratio (ERS)]]&gt;=Table67[[#This Row],[Threshold of ERS]]</f>
        <v>0</v>
      </c>
      <c r="AT456">
        <f>COUNTIF(Table67[[#This Row],[The mechanism of digital assets is difficult to understand, which discourages me from exploring it (E.g, Tokenization, Blockchain)]:[If I want to try different ways to invest, I will explore digital assets.]], 3)</f>
        <v>6</v>
      </c>
      <c r="AU456">
        <f>Table67[[#This Row],[Midpoint]]/21</f>
        <v>0.2857142857142857</v>
      </c>
      <c r="AV456">
        <f>_xlfn.PERCENTILE.INC(Table67[Midpoint ratio],0.9)</f>
        <v>0.5714285714285714</v>
      </c>
      <c r="AW456" t="b">
        <f>Table67[[#This Row],[Midpoint ratio]]&gt;=Table67[[#This Row],[Threshold of Midpoint ratio]]</f>
        <v>0</v>
      </c>
      <c r="AX456" t="b">
        <f>OR(Table67[[#This Row],[Extreme Response Style]],Table67[[#This Row],[Mid-point Response Style]])</f>
        <v>0</v>
      </c>
      <c r="AY456" t="b">
        <f>OR(Table67[[#This Row],[Delete? (Stage 1)]],Table67[[#This Row],[Delete? (Stage 2)]])</f>
        <v>0</v>
      </c>
      <c r="AZ456" t="s">
        <v>81</v>
      </c>
    </row>
    <row r="457" spans="1:52">
      <c r="A457">
        <f t="shared" si="31"/>
        <v>456</v>
      </c>
      <c r="B457" s="3">
        <v>46043.597557870402</v>
      </c>
      <c r="C457" s="3">
        <v>46043.600150462997</v>
      </c>
      <c r="D457" t="s">
        <v>53</v>
      </c>
      <c r="G457" t="s">
        <v>54</v>
      </c>
      <c r="H457" t="s">
        <v>55</v>
      </c>
      <c r="I457" t="s">
        <v>56</v>
      </c>
      <c r="J457" t="s">
        <v>62</v>
      </c>
      <c r="K457" t="s">
        <v>57</v>
      </c>
      <c r="L457" t="s">
        <v>61</v>
      </c>
      <c r="M457" t="s">
        <v>61</v>
      </c>
      <c r="N457">
        <v>4</v>
      </c>
      <c r="O457">
        <v>2</v>
      </c>
      <c r="P457">
        <v>4</v>
      </c>
      <c r="Q457">
        <v>3</v>
      </c>
      <c r="R457">
        <v>3</v>
      </c>
      <c r="S457">
        <v>3</v>
      </c>
      <c r="T457">
        <v>4</v>
      </c>
      <c r="U457">
        <v>4</v>
      </c>
      <c r="V457">
        <v>4</v>
      </c>
      <c r="W457">
        <v>4</v>
      </c>
      <c r="X457">
        <v>3</v>
      </c>
      <c r="Y457">
        <v>3</v>
      </c>
      <c r="Z457">
        <v>3</v>
      </c>
      <c r="AA457">
        <v>3</v>
      </c>
      <c r="AB457">
        <v>3</v>
      </c>
      <c r="AC457">
        <v>4</v>
      </c>
      <c r="AD457">
        <v>4</v>
      </c>
      <c r="AE457">
        <v>3</v>
      </c>
      <c r="AF457">
        <v>3</v>
      </c>
      <c r="AG457">
        <v>4</v>
      </c>
      <c r="AH457">
        <v>2</v>
      </c>
      <c r="AI457">
        <v>4</v>
      </c>
      <c r="AJ457">
        <v>3</v>
      </c>
      <c r="AK457" t="b">
        <f>Table67[[#This Row],[What is your age?]]&lt;&gt;"18 - 25"</f>
        <v>0</v>
      </c>
      <c r="AL457" t="b">
        <f t="shared" si="28"/>
        <v>0</v>
      </c>
      <c r="AM457" t="b">
        <f t="shared" si="29"/>
        <v>0</v>
      </c>
      <c r="AN457" t="b">
        <f t="shared" si="30"/>
        <v>0</v>
      </c>
      <c r="AO457" t="b">
        <f>OR(Table67[[#This Row],[Ineligible respondents]:[Inconsistent response on opposite question (3)]])</f>
        <v>0</v>
      </c>
      <c r="AP45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57">
        <f>Table67[[#This Row],[Extreme Response]]/21</f>
        <v>0</v>
      </c>
      <c r="AR457">
        <f>_xlfn.PERCENTILE.INC(Table67[Extrem Response Ratio (ERS)],0.9)</f>
        <v>0.61904761904761907</v>
      </c>
      <c r="AS457" t="b">
        <f>Table67[[#This Row],[Extrem Response Ratio (ERS)]]&gt;=Table67[[#This Row],[Threshold of ERS]]</f>
        <v>0</v>
      </c>
      <c r="AT457">
        <f>COUNTIF(Table67[[#This Row],[The mechanism of digital assets is difficult to understand, which discourages me from exploring it (E.g, Tokenization, Blockchain)]:[If I want to try different ways to invest, I will explore digital assets.]], 3)</f>
        <v>10</v>
      </c>
      <c r="AU457">
        <f>Table67[[#This Row],[Midpoint]]/21</f>
        <v>0.47619047619047616</v>
      </c>
      <c r="AV457">
        <f>_xlfn.PERCENTILE.INC(Table67[Midpoint ratio],0.9)</f>
        <v>0.5714285714285714</v>
      </c>
      <c r="AW457" t="b">
        <f>Table67[[#This Row],[Midpoint ratio]]&gt;=Table67[[#This Row],[Threshold of Midpoint ratio]]</f>
        <v>0</v>
      </c>
      <c r="AX457" t="b">
        <f>OR(Table67[[#This Row],[Extreme Response Style]],Table67[[#This Row],[Mid-point Response Style]])</f>
        <v>0</v>
      </c>
      <c r="AY457" t="b">
        <f>OR(Table67[[#This Row],[Delete? (Stage 1)]],Table67[[#This Row],[Delete? (Stage 2)]])</f>
        <v>0</v>
      </c>
      <c r="AZ457" t="s">
        <v>81</v>
      </c>
    </row>
    <row r="458" spans="1:52">
      <c r="A458">
        <f t="shared" si="31"/>
        <v>457</v>
      </c>
      <c r="B458" s="3">
        <v>46043.597685185203</v>
      </c>
      <c r="C458" s="3">
        <v>46043.598356481503</v>
      </c>
      <c r="D458" t="s">
        <v>53</v>
      </c>
      <c r="G458" t="s">
        <v>54</v>
      </c>
      <c r="H458" t="s">
        <v>63</v>
      </c>
      <c r="I458" t="s">
        <v>56</v>
      </c>
      <c r="J458" t="s">
        <v>57</v>
      </c>
      <c r="K458" t="s">
        <v>57</v>
      </c>
      <c r="L458" t="s">
        <v>58</v>
      </c>
      <c r="M458" t="s">
        <v>58</v>
      </c>
      <c r="N458">
        <v>3</v>
      </c>
      <c r="O458">
        <v>3</v>
      </c>
      <c r="P458">
        <v>3</v>
      </c>
      <c r="Q458">
        <v>3</v>
      </c>
      <c r="R458">
        <v>3</v>
      </c>
      <c r="S458">
        <v>3</v>
      </c>
      <c r="T458">
        <v>3</v>
      </c>
      <c r="U458">
        <v>3</v>
      </c>
      <c r="V458">
        <v>3</v>
      </c>
      <c r="W458">
        <v>3</v>
      </c>
      <c r="X458">
        <v>3</v>
      </c>
      <c r="Y458">
        <v>3</v>
      </c>
      <c r="Z458">
        <v>3</v>
      </c>
      <c r="AA458">
        <v>3</v>
      </c>
      <c r="AB458">
        <v>3</v>
      </c>
      <c r="AC458">
        <v>3</v>
      </c>
      <c r="AD458">
        <v>3</v>
      </c>
      <c r="AE458">
        <v>3</v>
      </c>
      <c r="AF458">
        <v>3</v>
      </c>
      <c r="AG458">
        <v>3</v>
      </c>
      <c r="AH458">
        <v>3</v>
      </c>
      <c r="AI458">
        <v>3</v>
      </c>
      <c r="AJ458">
        <v>3</v>
      </c>
      <c r="AK458" t="b">
        <f>Table67[[#This Row],[What is your age?]]&lt;&gt;"18 - 25"</f>
        <v>0</v>
      </c>
      <c r="AL458" t="b">
        <f t="shared" si="28"/>
        <v>1</v>
      </c>
      <c r="AM458" t="b">
        <f t="shared" si="29"/>
        <v>0</v>
      </c>
      <c r="AN458" t="b">
        <f t="shared" si="30"/>
        <v>0</v>
      </c>
      <c r="AO458" t="b">
        <f>OR(Table67[[#This Row],[Ineligible respondents]:[Inconsistent response on opposite question (3)]])</f>
        <v>1</v>
      </c>
      <c r="AP45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58">
        <f>Table67[[#This Row],[Extreme Response]]/21</f>
        <v>0</v>
      </c>
      <c r="AR458">
        <f>_xlfn.PERCENTILE.INC(Table67[Extrem Response Ratio (ERS)],0.9)</f>
        <v>0.61904761904761907</v>
      </c>
      <c r="AS458" t="b">
        <f>Table67[[#This Row],[Extrem Response Ratio (ERS)]]&gt;=Table67[[#This Row],[Threshold of ERS]]</f>
        <v>0</v>
      </c>
      <c r="AT458">
        <f>COUNTIF(Table67[[#This Row],[The mechanism of digital assets is difficult to understand, which discourages me from exploring it (E.g, Tokenization, Blockchain)]:[If I want to try different ways to invest, I will explore digital assets.]], 3)</f>
        <v>21</v>
      </c>
      <c r="AU458">
        <f>Table67[[#This Row],[Midpoint]]/21</f>
        <v>1</v>
      </c>
      <c r="AV458">
        <f>_xlfn.PERCENTILE.INC(Table67[Midpoint ratio],0.9)</f>
        <v>0.5714285714285714</v>
      </c>
      <c r="AW458" t="b">
        <f>Table67[[#This Row],[Midpoint ratio]]&gt;=Table67[[#This Row],[Threshold of Midpoint ratio]]</f>
        <v>1</v>
      </c>
      <c r="AX458" t="b">
        <f>OR(Table67[[#This Row],[Extreme Response Style]],Table67[[#This Row],[Mid-point Response Style]])</f>
        <v>1</v>
      </c>
      <c r="AY458" t="b">
        <f>OR(Table67[[#This Row],[Delete? (Stage 1)]],Table67[[#This Row],[Delete? (Stage 2)]])</f>
        <v>1</v>
      </c>
      <c r="AZ458" t="s">
        <v>81</v>
      </c>
    </row>
    <row r="459" spans="1:52">
      <c r="A459">
        <f t="shared" si="31"/>
        <v>458</v>
      </c>
      <c r="B459" s="3">
        <v>46043.598321759302</v>
      </c>
      <c r="C459" s="3">
        <v>46043.601192129601</v>
      </c>
      <c r="D459" t="s">
        <v>53</v>
      </c>
      <c r="G459" t="s">
        <v>54</v>
      </c>
      <c r="H459" t="s">
        <v>63</v>
      </c>
      <c r="I459" t="s">
        <v>56</v>
      </c>
      <c r="J459" t="s">
        <v>62</v>
      </c>
      <c r="K459" t="s">
        <v>57</v>
      </c>
      <c r="L459" t="s">
        <v>58</v>
      </c>
      <c r="M459" t="s">
        <v>61</v>
      </c>
      <c r="N459">
        <v>2</v>
      </c>
      <c r="O459">
        <v>1</v>
      </c>
      <c r="P459">
        <v>5</v>
      </c>
      <c r="Q459">
        <v>3</v>
      </c>
      <c r="R459">
        <v>2</v>
      </c>
      <c r="S459">
        <v>2</v>
      </c>
      <c r="T459">
        <v>4</v>
      </c>
      <c r="U459">
        <v>4</v>
      </c>
      <c r="V459">
        <v>5</v>
      </c>
      <c r="W459">
        <v>4</v>
      </c>
      <c r="X459">
        <v>5</v>
      </c>
      <c r="Y459">
        <v>4</v>
      </c>
      <c r="Z459">
        <v>4</v>
      </c>
      <c r="AA459">
        <v>5</v>
      </c>
      <c r="AB459">
        <v>2</v>
      </c>
      <c r="AC459">
        <v>5</v>
      </c>
      <c r="AD459">
        <v>5</v>
      </c>
      <c r="AE459">
        <v>4</v>
      </c>
      <c r="AF459">
        <v>3</v>
      </c>
      <c r="AG459">
        <v>1</v>
      </c>
      <c r="AH459">
        <v>1</v>
      </c>
      <c r="AI459">
        <v>5</v>
      </c>
      <c r="AJ459">
        <v>3</v>
      </c>
      <c r="AK459" t="b">
        <f>Table67[[#This Row],[What is your age?]]&lt;&gt;"18 - 25"</f>
        <v>0</v>
      </c>
      <c r="AL459" t="b">
        <f t="shared" si="28"/>
        <v>0</v>
      </c>
      <c r="AM459" t="b">
        <f t="shared" si="29"/>
        <v>1</v>
      </c>
      <c r="AN459" t="b">
        <f t="shared" si="30"/>
        <v>0</v>
      </c>
      <c r="AO459" t="b">
        <f>OR(Table67[[#This Row],[Ineligible respondents]:[Inconsistent response on opposite question (3)]])</f>
        <v>1</v>
      </c>
      <c r="AP45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459">
        <f>Table67[[#This Row],[Extreme Response]]/21</f>
        <v>0.42857142857142855</v>
      </c>
      <c r="AR459">
        <f>_xlfn.PERCENTILE.INC(Table67[Extrem Response Ratio (ERS)],0.9)</f>
        <v>0.61904761904761907</v>
      </c>
      <c r="AS459" t="b">
        <f>Table67[[#This Row],[Extrem Response Ratio (ERS)]]&gt;=Table67[[#This Row],[Threshold of ERS]]</f>
        <v>0</v>
      </c>
      <c r="AT459">
        <f>COUNTIF(Table67[[#This Row],[The mechanism of digital assets is difficult to understand, which discourages me from exploring it (E.g, Tokenization, Blockchain)]:[If I want to try different ways to invest, I will explore digital assets.]], 3)</f>
        <v>2</v>
      </c>
      <c r="AU459">
        <f>Table67[[#This Row],[Midpoint]]/21</f>
        <v>9.5238095238095233E-2</v>
      </c>
      <c r="AV459">
        <f>_xlfn.PERCENTILE.INC(Table67[Midpoint ratio],0.9)</f>
        <v>0.5714285714285714</v>
      </c>
      <c r="AW459" t="b">
        <f>Table67[[#This Row],[Midpoint ratio]]&gt;=Table67[[#This Row],[Threshold of Midpoint ratio]]</f>
        <v>0</v>
      </c>
      <c r="AX459" t="b">
        <f>OR(Table67[[#This Row],[Extreme Response Style]],Table67[[#This Row],[Mid-point Response Style]])</f>
        <v>0</v>
      </c>
      <c r="AY459" t="b">
        <f>OR(Table67[[#This Row],[Delete? (Stage 1)]],Table67[[#This Row],[Delete? (Stage 2)]])</f>
        <v>1</v>
      </c>
      <c r="AZ459" t="s">
        <v>81</v>
      </c>
    </row>
    <row r="460" spans="1:52">
      <c r="A460">
        <f t="shared" si="31"/>
        <v>459</v>
      </c>
      <c r="B460" s="3">
        <v>46043.598518518498</v>
      </c>
      <c r="C460" s="3">
        <v>46043.599236111098</v>
      </c>
      <c r="D460" t="s">
        <v>53</v>
      </c>
      <c r="G460" t="s">
        <v>54</v>
      </c>
      <c r="H460" t="s">
        <v>55</v>
      </c>
      <c r="I460" t="s">
        <v>56</v>
      </c>
      <c r="J460" t="s">
        <v>62</v>
      </c>
      <c r="K460" t="s">
        <v>57</v>
      </c>
      <c r="L460" t="s">
        <v>58</v>
      </c>
      <c r="M460" t="s">
        <v>61</v>
      </c>
      <c r="N460">
        <v>3</v>
      </c>
      <c r="O460">
        <v>5</v>
      </c>
      <c r="P460">
        <v>3</v>
      </c>
      <c r="Q460">
        <v>3</v>
      </c>
      <c r="R460">
        <v>3</v>
      </c>
      <c r="S460">
        <v>3</v>
      </c>
      <c r="T460">
        <v>3</v>
      </c>
      <c r="U460">
        <v>3</v>
      </c>
      <c r="V460">
        <v>3</v>
      </c>
      <c r="W460">
        <v>3</v>
      </c>
      <c r="X460">
        <v>4</v>
      </c>
      <c r="Y460">
        <v>4</v>
      </c>
      <c r="Z460">
        <v>3</v>
      </c>
      <c r="AA460">
        <v>3</v>
      </c>
      <c r="AB460">
        <v>3</v>
      </c>
      <c r="AC460">
        <v>3</v>
      </c>
      <c r="AD460">
        <v>3</v>
      </c>
      <c r="AE460">
        <v>3</v>
      </c>
      <c r="AF460">
        <v>3</v>
      </c>
      <c r="AG460">
        <v>3</v>
      </c>
      <c r="AH460">
        <v>3</v>
      </c>
      <c r="AI460">
        <v>3</v>
      </c>
      <c r="AJ460">
        <v>3</v>
      </c>
      <c r="AK460" t="b">
        <f>Table67[[#This Row],[What is your age?]]&lt;&gt;"18 - 25"</f>
        <v>0</v>
      </c>
      <c r="AL460" t="b">
        <f t="shared" si="28"/>
        <v>0</v>
      </c>
      <c r="AM460" t="b">
        <f t="shared" si="29"/>
        <v>0</v>
      </c>
      <c r="AN460" t="b">
        <f t="shared" si="30"/>
        <v>0</v>
      </c>
      <c r="AO460" t="b">
        <f>OR(Table67[[#This Row],[Ineligible respondents]:[Inconsistent response on opposite question (3)]])</f>
        <v>0</v>
      </c>
      <c r="AP46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460">
        <f>Table67[[#This Row],[Extreme Response]]/21</f>
        <v>4.7619047619047616E-2</v>
      </c>
      <c r="AR460">
        <f>_xlfn.PERCENTILE.INC(Table67[Extrem Response Ratio (ERS)],0.9)</f>
        <v>0.61904761904761907</v>
      </c>
      <c r="AS460" t="b">
        <f>Table67[[#This Row],[Extrem Response Ratio (ERS)]]&gt;=Table67[[#This Row],[Threshold of ERS]]</f>
        <v>0</v>
      </c>
      <c r="AT460">
        <f>COUNTIF(Table67[[#This Row],[The mechanism of digital assets is difficult to understand, which discourages me from exploring it (E.g, Tokenization, Blockchain)]:[If I want to try different ways to invest, I will explore digital assets.]], 3)</f>
        <v>18</v>
      </c>
      <c r="AU460">
        <f>Table67[[#This Row],[Midpoint]]/21</f>
        <v>0.8571428571428571</v>
      </c>
      <c r="AV460">
        <f>_xlfn.PERCENTILE.INC(Table67[Midpoint ratio],0.9)</f>
        <v>0.5714285714285714</v>
      </c>
      <c r="AW460" t="b">
        <f>Table67[[#This Row],[Midpoint ratio]]&gt;=Table67[[#This Row],[Threshold of Midpoint ratio]]</f>
        <v>1</v>
      </c>
      <c r="AX460" t="b">
        <f>OR(Table67[[#This Row],[Extreme Response Style]],Table67[[#This Row],[Mid-point Response Style]])</f>
        <v>1</v>
      </c>
      <c r="AY460" t="b">
        <f>OR(Table67[[#This Row],[Delete? (Stage 1)]],Table67[[#This Row],[Delete? (Stage 2)]])</f>
        <v>1</v>
      </c>
      <c r="AZ460" t="s">
        <v>81</v>
      </c>
    </row>
    <row r="461" spans="1:52">
      <c r="A461">
        <f t="shared" si="31"/>
        <v>460</v>
      </c>
      <c r="B461" s="3">
        <v>46043.600636574098</v>
      </c>
      <c r="C461" s="3">
        <v>46043.604733796303</v>
      </c>
      <c r="D461" t="s">
        <v>53</v>
      </c>
      <c r="G461" t="s">
        <v>54</v>
      </c>
      <c r="H461" t="s">
        <v>63</v>
      </c>
      <c r="I461" t="s">
        <v>56</v>
      </c>
      <c r="J461" t="s">
        <v>62</v>
      </c>
      <c r="K461" t="s">
        <v>57</v>
      </c>
      <c r="L461" t="s">
        <v>58</v>
      </c>
      <c r="M461" t="s">
        <v>61</v>
      </c>
      <c r="N461">
        <v>5</v>
      </c>
      <c r="O461">
        <v>5</v>
      </c>
      <c r="P461">
        <v>3</v>
      </c>
      <c r="Q461">
        <v>4</v>
      </c>
      <c r="R461">
        <v>4</v>
      </c>
      <c r="S461">
        <v>3</v>
      </c>
      <c r="T461">
        <v>4</v>
      </c>
      <c r="U461">
        <v>5</v>
      </c>
      <c r="V461">
        <v>3</v>
      </c>
      <c r="W461">
        <v>4</v>
      </c>
      <c r="X461">
        <v>4</v>
      </c>
      <c r="Y461">
        <v>4</v>
      </c>
      <c r="Z461">
        <v>4</v>
      </c>
      <c r="AA461">
        <v>4</v>
      </c>
      <c r="AB461">
        <v>4</v>
      </c>
      <c r="AC461">
        <v>4</v>
      </c>
      <c r="AD461">
        <v>5</v>
      </c>
      <c r="AE461">
        <v>5</v>
      </c>
      <c r="AF461">
        <v>4</v>
      </c>
      <c r="AG461">
        <v>4</v>
      </c>
      <c r="AH461">
        <v>4</v>
      </c>
      <c r="AI461">
        <v>2</v>
      </c>
      <c r="AJ461">
        <v>2</v>
      </c>
      <c r="AK461" t="b">
        <f>Table67[[#This Row],[What is your age?]]&lt;&gt;"18 - 25"</f>
        <v>0</v>
      </c>
      <c r="AL461" t="b">
        <f t="shared" si="28"/>
        <v>0</v>
      </c>
      <c r="AM461" t="b">
        <f t="shared" si="29"/>
        <v>1</v>
      </c>
      <c r="AN461" t="b">
        <f t="shared" si="30"/>
        <v>0</v>
      </c>
      <c r="AO461" t="b">
        <f>OR(Table67[[#This Row],[Ineligible respondents]:[Inconsistent response on opposite question (3)]])</f>
        <v>1</v>
      </c>
      <c r="AP46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461">
        <f>Table67[[#This Row],[Extreme Response]]/21</f>
        <v>0.23809523809523808</v>
      </c>
      <c r="AR461">
        <f>_xlfn.PERCENTILE.INC(Table67[Extrem Response Ratio (ERS)],0.9)</f>
        <v>0.61904761904761907</v>
      </c>
      <c r="AS461" t="b">
        <f>Table67[[#This Row],[Extrem Response Ratio (ERS)]]&gt;=Table67[[#This Row],[Threshold of ERS]]</f>
        <v>0</v>
      </c>
      <c r="AT461">
        <f>COUNTIF(Table67[[#This Row],[The mechanism of digital assets is difficult to understand, which discourages me from exploring it (E.g, Tokenization, Blockchain)]:[If I want to try different ways to invest, I will explore digital assets.]], 3)</f>
        <v>3</v>
      </c>
      <c r="AU461">
        <f>Table67[[#This Row],[Midpoint]]/21</f>
        <v>0.14285714285714285</v>
      </c>
      <c r="AV461">
        <f>_xlfn.PERCENTILE.INC(Table67[Midpoint ratio],0.9)</f>
        <v>0.5714285714285714</v>
      </c>
      <c r="AW461" t="b">
        <f>Table67[[#This Row],[Midpoint ratio]]&gt;=Table67[[#This Row],[Threshold of Midpoint ratio]]</f>
        <v>0</v>
      </c>
      <c r="AX461" t="b">
        <f>OR(Table67[[#This Row],[Extreme Response Style]],Table67[[#This Row],[Mid-point Response Style]])</f>
        <v>0</v>
      </c>
      <c r="AY461" t="b">
        <f>OR(Table67[[#This Row],[Delete? (Stage 1)]],Table67[[#This Row],[Delete? (Stage 2)]])</f>
        <v>1</v>
      </c>
      <c r="AZ461" t="s">
        <v>81</v>
      </c>
    </row>
    <row r="462" spans="1:52">
      <c r="A462">
        <f t="shared" si="31"/>
        <v>461</v>
      </c>
      <c r="B462" s="3">
        <v>46043.600682870398</v>
      </c>
      <c r="C462" s="3">
        <v>46043.601990740703</v>
      </c>
      <c r="D462" t="s">
        <v>53</v>
      </c>
      <c r="G462" t="s">
        <v>54</v>
      </c>
      <c r="H462" t="s">
        <v>55</v>
      </c>
      <c r="I462" t="s">
        <v>56</v>
      </c>
      <c r="J462" t="s">
        <v>57</v>
      </c>
      <c r="K462" t="s">
        <v>64</v>
      </c>
      <c r="L462" t="s">
        <v>58</v>
      </c>
      <c r="M462" t="s">
        <v>58</v>
      </c>
      <c r="N462">
        <v>4</v>
      </c>
      <c r="O462">
        <v>3</v>
      </c>
      <c r="P462">
        <v>3</v>
      </c>
      <c r="Q462">
        <v>4</v>
      </c>
      <c r="R462">
        <v>4</v>
      </c>
      <c r="S462">
        <v>2</v>
      </c>
      <c r="T462">
        <v>3</v>
      </c>
      <c r="U462">
        <v>4</v>
      </c>
      <c r="V462">
        <v>3</v>
      </c>
      <c r="W462">
        <v>2</v>
      </c>
      <c r="X462">
        <v>5</v>
      </c>
      <c r="Y462">
        <v>3</v>
      </c>
      <c r="Z462">
        <v>5</v>
      </c>
      <c r="AA462">
        <v>5</v>
      </c>
      <c r="AB462">
        <v>2</v>
      </c>
      <c r="AC462">
        <v>3</v>
      </c>
      <c r="AD462">
        <v>5</v>
      </c>
      <c r="AE462">
        <v>3</v>
      </c>
      <c r="AF462">
        <v>3</v>
      </c>
      <c r="AG462">
        <v>3</v>
      </c>
      <c r="AH462">
        <v>3</v>
      </c>
      <c r="AI462">
        <v>3</v>
      </c>
      <c r="AJ462">
        <v>3</v>
      </c>
      <c r="AK462" t="b">
        <f>Table67[[#This Row],[What is your age?]]&lt;&gt;"18 - 25"</f>
        <v>0</v>
      </c>
      <c r="AL462" t="b">
        <f t="shared" si="28"/>
        <v>0</v>
      </c>
      <c r="AM462" t="b">
        <f t="shared" si="29"/>
        <v>0</v>
      </c>
      <c r="AN462" t="b">
        <f t="shared" si="30"/>
        <v>0</v>
      </c>
      <c r="AO462" t="b">
        <f>OR(Table67[[#This Row],[Ineligible respondents]:[Inconsistent response on opposite question (3)]])</f>
        <v>0</v>
      </c>
      <c r="AP46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462">
        <f>Table67[[#This Row],[Extreme Response]]/21</f>
        <v>0.19047619047619047</v>
      </c>
      <c r="AR462">
        <f>_xlfn.PERCENTILE.INC(Table67[Extrem Response Ratio (ERS)],0.9)</f>
        <v>0.61904761904761907</v>
      </c>
      <c r="AS462" t="b">
        <f>Table67[[#This Row],[Extrem Response Ratio (ERS)]]&gt;=Table67[[#This Row],[Threshold of ERS]]</f>
        <v>0</v>
      </c>
      <c r="AT462">
        <f>COUNTIF(Table67[[#This Row],[The mechanism of digital assets is difficult to understand, which discourages me from exploring it (E.g, Tokenization, Blockchain)]:[If I want to try different ways to invest, I will explore digital assets.]], 3)</f>
        <v>10</v>
      </c>
      <c r="AU462">
        <f>Table67[[#This Row],[Midpoint]]/21</f>
        <v>0.47619047619047616</v>
      </c>
      <c r="AV462">
        <f>_xlfn.PERCENTILE.INC(Table67[Midpoint ratio],0.9)</f>
        <v>0.5714285714285714</v>
      </c>
      <c r="AW462" t="b">
        <f>Table67[[#This Row],[Midpoint ratio]]&gt;=Table67[[#This Row],[Threshold of Midpoint ratio]]</f>
        <v>0</v>
      </c>
      <c r="AX462" t="b">
        <f>OR(Table67[[#This Row],[Extreme Response Style]],Table67[[#This Row],[Mid-point Response Style]])</f>
        <v>0</v>
      </c>
      <c r="AY462" t="b">
        <f>OR(Table67[[#This Row],[Delete? (Stage 1)]],Table67[[#This Row],[Delete? (Stage 2)]])</f>
        <v>0</v>
      </c>
      <c r="AZ462" t="s">
        <v>81</v>
      </c>
    </row>
    <row r="463" spans="1:52">
      <c r="A463">
        <f t="shared" si="31"/>
        <v>462</v>
      </c>
      <c r="B463" s="3">
        <v>46043.600694444402</v>
      </c>
      <c r="C463" s="3">
        <v>46043.602569444403</v>
      </c>
      <c r="D463" t="s">
        <v>53</v>
      </c>
      <c r="G463" t="s">
        <v>54</v>
      </c>
      <c r="H463" t="s">
        <v>63</v>
      </c>
      <c r="I463" t="s">
        <v>56</v>
      </c>
      <c r="J463" t="s">
        <v>60</v>
      </c>
      <c r="K463" t="s">
        <v>67</v>
      </c>
      <c r="L463" t="s">
        <v>58</v>
      </c>
      <c r="M463" t="s">
        <v>58</v>
      </c>
      <c r="N463">
        <v>4</v>
      </c>
      <c r="O463">
        <v>4</v>
      </c>
      <c r="P463">
        <v>4</v>
      </c>
      <c r="Q463">
        <v>4</v>
      </c>
      <c r="R463">
        <v>4</v>
      </c>
      <c r="S463">
        <v>4</v>
      </c>
      <c r="T463">
        <v>3</v>
      </c>
      <c r="U463">
        <v>5</v>
      </c>
      <c r="V463">
        <v>5</v>
      </c>
      <c r="W463">
        <v>5</v>
      </c>
      <c r="X463">
        <v>4</v>
      </c>
      <c r="Y463">
        <v>4</v>
      </c>
      <c r="Z463">
        <v>5</v>
      </c>
      <c r="AA463">
        <v>4</v>
      </c>
      <c r="AB463">
        <v>4</v>
      </c>
      <c r="AC463">
        <v>4</v>
      </c>
      <c r="AD463">
        <v>4</v>
      </c>
      <c r="AE463">
        <v>3</v>
      </c>
      <c r="AF463">
        <v>3</v>
      </c>
      <c r="AG463">
        <v>4</v>
      </c>
      <c r="AH463">
        <v>2</v>
      </c>
      <c r="AI463">
        <v>4</v>
      </c>
      <c r="AJ463">
        <v>3</v>
      </c>
      <c r="AK463" t="b">
        <f>Table67[[#This Row],[What is your age?]]&lt;&gt;"18 - 25"</f>
        <v>0</v>
      </c>
      <c r="AL463" t="b">
        <f t="shared" si="28"/>
        <v>0</v>
      </c>
      <c r="AM463" t="b">
        <f t="shared" si="29"/>
        <v>0</v>
      </c>
      <c r="AN463" t="b">
        <f t="shared" si="30"/>
        <v>0</v>
      </c>
      <c r="AO463" t="b">
        <f>OR(Table67[[#This Row],[Ineligible respondents]:[Inconsistent response on opposite question (3)]])</f>
        <v>0</v>
      </c>
      <c r="AP46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463">
        <f>Table67[[#This Row],[Extreme Response]]/21</f>
        <v>0.19047619047619047</v>
      </c>
      <c r="AR463">
        <f>_xlfn.PERCENTILE.INC(Table67[Extrem Response Ratio (ERS)],0.9)</f>
        <v>0.61904761904761907</v>
      </c>
      <c r="AS463" t="b">
        <f>Table67[[#This Row],[Extrem Response Ratio (ERS)]]&gt;=Table67[[#This Row],[Threshold of ERS]]</f>
        <v>0</v>
      </c>
      <c r="AT463">
        <f>COUNTIF(Table67[[#This Row],[The mechanism of digital assets is difficult to understand, which discourages me from exploring it (E.g, Tokenization, Blockchain)]:[If I want to try different ways to invest, I will explore digital assets.]], 3)</f>
        <v>3</v>
      </c>
      <c r="AU463">
        <f>Table67[[#This Row],[Midpoint]]/21</f>
        <v>0.14285714285714285</v>
      </c>
      <c r="AV463">
        <f>_xlfn.PERCENTILE.INC(Table67[Midpoint ratio],0.9)</f>
        <v>0.5714285714285714</v>
      </c>
      <c r="AW463" t="b">
        <f>Table67[[#This Row],[Midpoint ratio]]&gt;=Table67[[#This Row],[Threshold of Midpoint ratio]]</f>
        <v>0</v>
      </c>
      <c r="AX463" t="b">
        <f>OR(Table67[[#This Row],[Extreme Response Style]],Table67[[#This Row],[Mid-point Response Style]])</f>
        <v>0</v>
      </c>
      <c r="AY463" t="b">
        <f>OR(Table67[[#This Row],[Delete? (Stage 1)]],Table67[[#This Row],[Delete? (Stage 2)]])</f>
        <v>0</v>
      </c>
      <c r="AZ463" t="s">
        <v>81</v>
      </c>
    </row>
    <row r="464" spans="1:52">
      <c r="A464">
        <f t="shared" si="31"/>
        <v>463</v>
      </c>
      <c r="B464" s="3">
        <v>46043.6007060185</v>
      </c>
      <c r="C464" s="3">
        <v>46043.6022800926</v>
      </c>
      <c r="D464" t="s">
        <v>53</v>
      </c>
      <c r="G464" t="s">
        <v>54</v>
      </c>
      <c r="H464" t="s">
        <v>63</v>
      </c>
      <c r="I464" t="s">
        <v>56</v>
      </c>
      <c r="J464" t="s">
        <v>62</v>
      </c>
      <c r="K464" t="s">
        <v>60</v>
      </c>
      <c r="L464" t="s">
        <v>58</v>
      </c>
      <c r="M464" t="s">
        <v>58</v>
      </c>
      <c r="N464">
        <v>5</v>
      </c>
      <c r="O464">
        <v>4</v>
      </c>
      <c r="P464">
        <v>5</v>
      </c>
      <c r="Q464">
        <v>4</v>
      </c>
      <c r="R464">
        <v>4</v>
      </c>
      <c r="S464">
        <v>4</v>
      </c>
      <c r="T464">
        <v>3</v>
      </c>
      <c r="U464">
        <v>5</v>
      </c>
      <c r="V464">
        <v>5</v>
      </c>
      <c r="W464">
        <v>4</v>
      </c>
      <c r="X464">
        <v>4</v>
      </c>
      <c r="Y464">
        <v>4</v>
      </c>
      <c r="Z464">
        <v>4</v>
      </c>
      <c r="AA464">
        <v>5</v>
      </c>
      <c r="AB464">
        <v>4</v>
      </c>
      <c r="AC464">
        <v>4</v>
      </c>
      <c r="AD464">
        <v>2</v>
      </c>
      <c r="AE464">
        <v>3</v>
      </c>
      <c r="AF464">
        <v>2</v>
      </c>
      <c r="AG464">
        <v>5</v>
      </c>
      <c r="AH464">
        <v>2</v>
      </c>
      <c r="AI464">
        <v>4</v>
      </c>
      <c r="AJ464">
        <v>4</v>
      </c>
      <c r="AK464" t="b">
        <f>Table67[[#This Row],[What is your age?]]&lt;&gt;"18 - 25"</f>
        <v>0</v>
      </c>
      <c r="AL464" t="b">
        <f t="shared" si="28"/>
        <v>0</v>
      </c>
      <c r="AM464" t="b">
        <f t="shared" si="29"/>
        <v>0</v>
      </c>
      <c r="AN464" t="b">
        <f t="shared" si="30"/>
        <v>0</v>
      </c>
      <c r="AO464" t="b">
        <f>OR(Table67[[#This Row],[Ineligible respondents]:[Inconsistent response on opposite question (3)]])</f>
        <v>0</v>
      </c>
      <c r="AP46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464">
        <f>Table67[[#This Row],[Extreme Response]]/21</f>
        <v>0.2857142857142857</v>
      </c>
      <c r="AR464">
        <f>_xlfn.PERCENTILE.INC(Table67[Extrem Response Ratio (ERS)],0.9)</f>
        <v>0.61904761904761907</v>
      </c>
      <c r="AS464" t="b">
        <f>Table67[[#This Row],[Extrem Response Ratio (ERS)]]&gt;=Table67[[#This Row],[Threshold of ERS]]</f>
        <v>0</v>
      </c>
      <c r="AT464">
        <f>COUNTIF(Table67[[#This Row],[The mechanism of digital assets is difficult to understand, which discourages me from exploring it (E.g, Tokenization, Blockchain)]:[If I want to try different ways to invest, I will explore digital assets.]], 3)</f>
        <v>2</v>
      </c>
      <c r="AU464">
        <f>Table67[[#This Row],[Midpoint]]/21</f>
        <v>9.5238095238095233E-2</v>
      </c>
      <c r="AV464">
        <f>_xlfn.PERCENTILE.INC(Table67[Midpoint ratio],0.9)</f>
        <v>0.5714285714285714</v>
      </c>
      <c r="AW464" t="b">
        <f>Table67[[#This Row],[Midpoint ratio]]&gt;=Table67[[#This Row],[Threshold of Midpoint ratio]]</f>
        <v>0</v>
      </c>
      <c r="AX464" t="b">
        <f>OR(Table67[[#This Row],[Extreme Response Style]],Table67[[#This Row],[Mid-point Response Style]])</f>
        <v>0</v>
      </c>
      <c r="AY464" t="b">
        <f>OR(Table67[[#This Row],[Delete? (Stage 1)]],Table67[[#This Row],[Delete? (Stage 2)]])</f>
        <v>0</v>
      </c>
      <c r="AZ464" t="s">
        <v>81</v>
      </c>
    </row>
    <row r="465" spans="1:52">
      <c r="A465">
        <f t="shared" si="31"/>
        <v>464</v>
      </c>
      <c r="B465" s="3">
        <v>46043.601782407401</v>
      </c>
      <c r="C465" s="3">
        <v>46043.6034490741</v>
      </c>
      <c r="D465" t="s">
        <v>53</v>
      </c>
      <c r="G465" t="s">
        <v>54</v>
      </c>
      <c r="H465" t="s">
        <v>63</v>
      </c>
      <c r="I465" t="s">
        <v>69</v>
      </c>
      <c r="J465" t="s">
        <v>57</v>
      </c>
      <c r="K465" t="s">
        <v>57</v>
      </c>
      <c r="L465" t="s">
        <v>61</v>
      </c>
      <c r="M465" t="s">
        <v>61</v>
      </c>
      <c r="N465">
        <v>4</v>
      </c>
      <c r="O465">
        <v>3</v>
      </c>
      <c r="P465">
        <v>4</v>
      </c>
      <c r="Q465">
        <v>4</v>
      </c>
      <c r="R465">
        <v>4</v>
      </c>
      <c r="S465">
        <v>4</v>
      </c>
      <c r="T465">
        <v>4</v>
      </c>
      <c r="U465">
        <v>4</v>
      </c>
      <c r="V465">
        <v>4</v>
      </c>
      <c r="W465">
        <v>4</v>
      </c>
      <c r="X465">
        <v>4</v>
      </c>
      <c r="Y465">
        <v>4</v>
      </c>
      <c r="Z465">
        <v>4</v>
      </c>
      <c r="AA465">
        <v>4</v>
      </c>
      <c r="AB465">
        <v>4</v>
      </c>
      <c r="AC465">
        <v>4</v>
      </c>
      <c r="AD465">
        <v>4</v>
      </c>
      <c r="AE465">
        <v>4</v>
      </c>
      <c r="AF465">
        <v>4</v>
      </c>
      <c r="AG465">
        <v>4</v>
      </c>
      <c r="AH465">
        <v>4</v>
      </c>
      <c r="AI465">
        <v>2</v>
      </c>
      <c r="AJ465">
        <v>2</v>
      </c>
      <c r="AK465" t="b">
        <f>Table67[[#This Row],[What is your age?]]&lt;&gt;"18 - 25"</f>
        <v>0</v>
      </c>
      <c r="AL465" t="b">
        <f t="shared" si="28"/>
        <v>0</v>
      </c>
      <c r="AM465" t="b">
        <f t="shared" si="29"/>
        <v>1</v>
      </c>
      <c r="AN465" t="b">
        <f t="shared" si="30"/>
        <v>0</v>
      </c>
      <c r="AO465" t="b">
        <f>OR(Table67[[#This Row],[Ineligible respondents]:[Inconsistent response on opposite question (3)]])</f>
        <v>1</v>
      </c>
      <c r="AP46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65">
        <f>Table67[[#This Row],[Extreme Response]]/21</f>
        <v>0</v>
      </c>
      <c r="AR465">
        <f>_xlfn.PERCENTILE.INC(Table67[Extrem Response Ratio (ERS)],0.9)</f>
        <v>0.61904761904761907</v>
      </c>
      <c r="AS465" t="b">
        <f>Table67[[#This Row],[Extrem Response Ratio (ERS)]]&gt;=Table67[[#This Row],[Threshold of ERS]]</f>
        <v>0</v>
      </c>
      <c r="AT465">
        <f>COUNTIF(Table67[[#This Row],[The mechanism of digital assets is difficult to understand, which discourages me from exploring it (E.g, Tokenization, Blockchain)]:[If I want to try different ways to invest, I will explore digital assets.]], 3)</f>
        <v>1</v>
      </c>
      <c r="AU465">
        <f>Table67[[#This Row],[Midpoint]]/21</f>
        <v>4.7619047619047616E-2</v>
      </c>
      <c r="AV465">
        <f>_xlfn.PERCENTILE.INC(Table67[Midpoint ratio],0.9)</f>
        <v>0.5714285714285714</v>
      </c>
      <c r="AW465" t="b">
        <f>Table67[[#This Row],[Midpoint ratio]]&gt;=Table67[[#This Row],[Threshold of Midpoint ratio]]</f>
        <v>0</v>
      </c>
      <c r="AX465" t="b">
        <f>OR(Table67[[#This Row],[Extreme Response Style]],Table67[[#This Row],[Mid-point Response Style]])</f>
        <v>0</v>
      </c>
      <c r="AY465" t="b">
        <f>OR(Table67[[#This Row],[Delete? (Stage 1)]],Table67[[#This Row],[Delete? (Stage 2)]])</f>
        <v>1</v>
      </c>
      <c r="AZ465" t="s">
        <v>81</v>
      </c>
    </row>
    <row r="466" spans="1:52">
      <c r="A466">
        <f t="shared" si="31"/>
        <v>465</v>
      </c>
      <c r="B466" s="3">
        <v>46043.601875</v>
      </c>
      <c r="C466" s="3">
        <v>46043.603125000001</v>
      </c>
      <c r="D466" t="s">
        <v>53</v>
      </c>
      <c r="G466" t="s">
        <v>54</v>
      </c>
      <c r="H466" t="s">
        <v>63</v>
      </c>
      <c r="I466" t="s">
        <v>56</v>
      </c>
      <c r="J466" t="s">
        <v>60</v>
      </c>
      <c r="K466" t="s">
        <v>57</v>
      </c>
      <c r="L466" t="s">
        <v>58</v>
      </c>
      <c r="M466" t="s">
        <v>58</v>
      </c>
      <c r="N466">
        <v>3</v>
      </c>
      <c r="O466">
        <v>3</v>
      </c>
      <c r="P466">
        <v>3</v>
      </c>
      <c r="Q466">
        <v>3</v>
      </c>
      <c r="R466">
        <v>3</v>
      </c>
      <c r="S466">
        <v>4</v>
      </c>
      <c r="T466">
        <v>3</v>
      </c>
      <c r="U466">
        <v>4</v>
      </c>
      <c r="V466">
        <v>3</v>
      </c>
      <c r="W466">
        <v>2</v>
      </c>
      <c r="X466">
        <v>3</v>
      </c>
      <c r="Y466">
        <v>4</v>
      </c>
      <c r="Z466">
        <v>3</v>
      </c>
      <c r="AA466">
        <v>4</v>
      </c>
      <c r="AB466">
        <v>4</v>
      </c>
      <c r="AC466">
        <v>3</v>
      </c>
      <c r="AD466">
        <v>3</v>
      </c>
      <c r="AE466">
        <v>4</v>
      </c>
      <c r="AF466">
        <v>4</v>
      </c>
      <c r="AG466">
        <v>3</v>
      </c>
      <c r="AH466">
        <v>4</v>
      </c>
      <c r="AI466">
        <v>2</v>
      </c>
      <c r="AJ466">
        <v>2</v>
      </c>
      <c r="AK466" t="b">
        <f>Table67[[#This Row],[What is your age?]]&lt;&gt;"18 - 25"</f>
        <v>0</v>
      </c>
      <c r="AL466" t="b">
        <f t="shared" si="28"/>
        <v>0</v>
      </c>
      <c r="AM466" t="b">
        <f t="shared" si="29"/>
        <v>0</v>
      </c>
      <c r="AN466" t="b">
        <f t="shared" si="30"/>
        <v>1</v>
      </c>
      <c r="AO466" t="b">
        <f>OR(Table67[[#This Row],[Ineligible respondents]:[Inconsistent response on opposite question (3)]])</f>
        <v>1</v>
      </c>
      <c r="AP46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66">
        <f>Table67[[#This Row],[Extreme Response]]/21</f>
        <v>0</v>
      </c>
      <c r="AR466">
        <f>_xlfn.PERCENTILE.INC(Table67[Extrem Response Ratio (ERS)],0.9)</f>
        <v>0.61904761904761907</v>
      </c>
      <c r="AS466" t="b">
        <f>Table67[[#This Row],[Extrem Response Ratio (ERS)]]&gt;=Table67[[#This Row],[Threshold of ERS]]</f>
        <v>0</v>
      </c>
      <c r="AT466">
        <f>COUNTIF(Table67[[#This Row],[The mechanism of digital assets is difficult to understand, which discourages me from exploring it (E.g, Tokenization, Blockchain)]:[If I want to try different ways to invest, I will explore digital assets.]], 3)</f>
        <v>12</v>
      </c>
      <c r="AU466">
        <f>Table67[[#This Row],[Midpoint]]/21</f>
        <v>0.5714285714285714</v>
      </c>
      <c r="AV466">
        <f>_xlfn.PERCENTILE.INC(Table67[Midpoint ratio],0.9)</f>
        <v>0.5714285714285714</v>
      </c>
      <c r="AW466" t="b">
        <f>Table67[[#This Row],[Midpoint ratio]]&gt;=Table67[[#This Row],[Threshold of Midpoint ratio]]</f>
        <v>1</v>
      </c>
      <c r="AX466" t="b">
        <f>OR(Table67[[#This Row],[Extreme Response Style]],Table67[[#This Row],[Mid-point Response Style]])</f>
        <v>1</v>
      </c>
      <c r="AY466" t="b">
        <f>OR(Table67[[#This Row],[Delete? (Stage 1)]],Table67[[#This Row],[Delete? (Stage 2)]])</f>
        <v>1</v>
      </c>
      <c r="AZ466" t="s">
        <v>81</v>
      </c>
    </row>
    <row r="467" spans="1:52">
      <c r="A467">
        <f t="shared" si="31"/>
        <v>466</v>
      </c>
      <c r="B467" s="3">
        <v>46043.601979166699</v>
      </c>
      <c r="C467" s="3">
        <v>46043.603587963</v>
      </c>
      <c r="D467" t="s">
        <v>53</v>
      </c>
      <c r="G467" t="s">
        <v>54</v>
      </c>
      <c r="H467" t="s">
        <v>63</v>
      </c>
      <c r="I467" t="s">
        <v>56</v>
      </c>
      <c r="J467" t="s">
        <v>60</v>
      </c>
      <c r="K467" t="s">
        <v>57</v>
      </c>
      <c r="L467" t="s">
        <v>58</v>
      </c>
      <c r="M467" t="s">
        <v>58</v>
      </c>
      <c r="N467">
        <v>3</v>
      </c>
      <c r="O467">
        <v>4</v>
      </c>
      <c r="P467">
        <v>3</v>
      </c>
      <c r="Q467">
        <v>3</v>
      </c>
      <c r="R467">
        <v>3</v>
      </c>
      <c r="S467">
        <v>2</v>
      </c>
      <c r="T467">
        <v>3</v>
      </c>
      <c r="U467">
        <v>3</v>
      </c>
      <c r="V467">
        <v>3</v>
      </c>
      <c r="W467">
        <v>4</v>
      </c>
      <c r="X467">
        <v>3</v>
      </c>
      <c r="Y467">
        <v>3</v>
      </c>
      <c r="Z467">
        <v>3</v>
      </c>
      <c r="AA467">
        <v>3</v>
      </c>
      <c r="AB467">
        <v>3</v>
      </c>
      <c r="AC467">
        <v>3</v>
      </c>
      <c r="AD467">
        <v>3</v>
      </c>
      <c r="AE467">
        <v>3</v>
      </c>
      <c r="AF467">
        <v>3</v>
      </c>
      <c r="AG467">
        <v>3</v>
      </c>
      <c r="AH467">
        <v>3</v>
      </c>
      <c r="AI467">
        <v>3</v>
      </c>
      <c r="AJ467">
        <v>3</v>
      </c>
      <c r="AK467" t="b">
        <f>Table67[[#This Row],[What is your age?]]&lt;&gt;"18 - 25"</f>
        <v>0</v>
      </c>
      <c r="AL467" t="b">
        <f t="shared" si="28"/>
        <v>0</v>
      </c>
      <c r="AM467" t="b">
        <f t="shared" si="29"/>
        <v>0</v>
      </c>
      <c r="AN467" t="b">
        <f t="shared" si="30"/>
        <v>0</v>
      </c>
      <c r="AO467" t="b">
        <f>OR(Table67[[#This Row],[Ineligible respondents]:[Inconsistent response on opposite question (3)]])</f>
        <v>0</v>
      </c>
      <c r="AP46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67">
        <f>Table67[[#This Row],[Extreme Response]]/21</f>
        <v>0</v>
      </c>
      <c r="AR467">
        <f>_xlfn.PERCENTILE.INC(Table67[Extrem Response Ratio (ERS)],0.9)</f>
        <v>0.61904761904761907</v>
      </c>
      <c r="AS467" t="b">
        <f>Table67[[#This Row],[Extrem Response Ratio (ERS)]]&gt;=Table67[[#This Row],[Threshold of ERS]]</f>
        <v>0</v>
      </c>
      <c r="AT467">
        <f>COUNTIF(Table67[[#This Row],[The mechanism of digital assets is difficult to understand, which discourages me from exploring it (E.g, Tokenization, Blockchain)]:[If I want to try different ways to invest, I will explore digital assets.]], 3)</f>
        <v>18</v>
      </c>
      <c r="AU467">
        <f>Table67[[#This Row],[Midpoint]]/21</f>
        <v>0.8571428571428571</v>
      </c>
      <c r="AV467">
        <f>_xlfn.PERCENTILE.INC(Table67[Midpoint ratio],0.9)</f>
        <v>0.5714285714285714</v>
      </c>
      <c r="AW467" t="b">
        <f>Table67[[#This Row],[Midpoint ratio]]&gt;=Table67[[#This Row],[Threshold of Midpoint ratio]]</f>
        <v>1</v>
      </c>
      <c r="AX467" t="b">
        <f>OR(Table67[[#This Row],[Extreme Response Style]],Table67[[#This Row],[Mid-point Response Style]])</f>
        <v>1</v>
      </c>
      <c r="AY467" t="b">
        <f>OR(Table67[[#This Row],[Delete? (Stage 1)]],Table67[[#This Row],[Delete? (Stage 2)]])</f>
        <v>1</v>
      </c>
      <c r="AZ467" t="s">
        <v>81</v>
      </c>
    </row>
    <row r="468" spans="1:52">
      <c r="A468">
        <f t="shared" si="31"/>
        <v>467</v>
      </c>
      <c r="B468" s="3">
        <v>46043.602337962999</v>
      </c>
      <c r="C468" s="3">
        <v>46043.6030439815</v>
      </c>
      <c r="D468" t="s">
        <v>53</v>
      </c>
      <c r="G468" t="s">
        <v>54</v>
      </c>
      <c r="H468" t="s">
        <v>55</v>
      </c>
      <c r="I468" t="s">
        <v>56</v>
      </c>
      <c r="J468" t="s">
        <v>57</v>
      </c>
      <c r="K468" t="s">
        <v>57</v>
      </c>
      <c r="L468" t="s">
        <v>58</v>
      </c>
      <c r="M468" t="s">
        <v>58</v>
      </c>
      <c r="N468">
        <v>3</v>
      </c>
      <c r="O468">
        <v>3</v>
      </c>
      <c r="P468">
        <v>2</v>
      </c>
      <c r="Q468">
        <v>3</v>
      </c>
      <c r="R468">
        <v>2</v>
      </c>
      <c r="S468">
        <v>3</v>
      </c>
      <c r="T468">
        <v>3</v>
      </c>
      <c r="U468">
        <v>3</v>
      </c>
      <c r="V468">
        <v>3</v>
      </c>
      <c r="W468">
        <v>3</v>
      </c>
      <c r="X468">
        <v>3</v>
      </c>
      <c r="Y468">
        <v>3</v>
      </c>
      <c r="Z468">
        <v>3</v>
      </c>
      <c r="AA468">
        <v>3</v>
      </c>
      <c r="AB468">
        <v>3</v>
      </c>
      <c r="AC468">
        <v>3</v>
      </c>
      <c r="AD468">
        <v>3</v>
      </c>
      <c r="AE468">
        <v>3</v>
      </c>
      <c r="AF468">
        <v>4</v>
      </c>
      <c r="AG468">
        <v>2</v>
      </c>
      <c r="AH468">
        <v>3</v>
      </c>
      <c r="AI468">
        <v>3</v>
      </c>
      <c r="AJ468">
        <v>2</v>
      </c>
      <c r="AK468" t="b">
        <f>Table67[[#This Row],[What is your age?]]&lt;&gt;"18 - 25"</f>
        <v>0</v>
      </c>
      <c r="AL468" t="b">
        <f t="shared" si="28"/>
        <v>0</v>
      </c>
      <c r="AM468" t="b">
        <f t="shared" si="29"/>
        <v>0</v>
      </c>
      <c r="AN468" t="b">
        <f t="shared" si="30"/>
        <v>1</v>
      </c>
      <c r="AO468" t="b">
        <f>OR(Table67[[#This Row],[Ineligible respondents]:[Inconsistent response on opposite question (3)]])</f>
        <v>1</v>
      </c>
      <c r="AP46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68">
        <f>Table67[[#This Row],[Extreme Response]]/21</f>
        <v>0</v>
      </c>
      <c r="AR468">
        <f>_xlfn.PERCENTILE.INC(Table67[Extrem Response Ratio (ERS)],0.9)</f>
        <v>0.61904761904761907</v>
      </c>
      <c r="AS468" t="b">
        <f>Table67[[#This Row],[Extrem Response Ratio (ERS)]]&gt;=Table67[[#This Row],[Threshold of ERS]]</f>
        <v>0</v>
      </c>
      <c r="AT468">
        <f>COUNTIF(Table67[[#This Row],[The mechanism of digital assets is difficult to understand, which discourages me from exploring it (E.g, Tokenization, Blockchain)]:[If I want to try different ways to invest, I will explore digital assets.]], 3)</f>
        <v>17</v>
      </c>
      <c r="AU468">
        <f>Table67[[#This Row],[Midpoint]]/21</f>
        <v>0.80952380952380953</v>
      </c>
      <c r="AV468">
        <f>_xlfn.PERCENTILE.INC(Table67[Midpoint ratio],0.9)</f>
        <v>0.5714285714285714</v>
      </c>
      <c r="AW468" t="b">
        <f>Table67[[#This Row],[Midpoint ratio]]&gt;=Table67[[#This Row],[Threshold of Midpoint ratio]]</f>
        <v>1</v>
      </c>
      <c r="AX468" t="b">
        <f>OR(Table67[[#This Row],[Extreme Response Style]],Table67[[#This Row],[Mid-point Response Style]])</f>
        <v>1</v>
      </c>
      <c r="AY468" t="b">
        <f>OR(Table67[[#This Row],[Delete? (Stage 1)]],Table67[[#This Row],[Delete? (Stage 2)]])</f>
        <v>1</v>
      </c>
      <c r="AZ468" t="s">
        <v>81</v>
      </c>
    </row>
    <row r="469" spans="1:52">
      <c r="A469">
        <f t="shared" si="31"/>
        <v>468</v>
      </c>
      <c r="B469" s="3">
        <v>46043.602523148104</v>
      </c>
      <c r="C469" s="3">
        <v>46043.6034953704</v>
      </c>
      <c r="D469" t="s">
        <v>53</v>
      </c>
      <c r="G469" t="s">
        <v>54</v>
      </c>
      <c r="H469" t="s">
        <v>63</v>
      </c>
      <c r="I469" t="s">
        <v>56</v>
      </c>
      <c r="J469" t="s">
        <v>57</v>
      </c>
      <c r="K469" t="s">
        <v>57</v>
      </c>
      <c r="L469" t="s">
        <v>58</v>
      </c>
      <c r="M469" t="s">
        <v>58</v>
      </c>
      <c r="N469">
        <v>4</v>
      </c>
      <c r="O469">
        <v>4</v>
      </c>
      <c r="P469">
        <v>3</v>
      </c>
      <c r="Q469">
        <v>3</v>
      </c>
      <c r="R469">
        <v>3</v>
      </c>
      <c r="S469">
        <v>3</v>
      </c>
      <c r="T469">
        <v>3</v>
      </c>
      <c r="U469">
        <v>3</v>
      </c>
      <c r="V469">
        <v>3</v>
      </c>
      <c r="W469">
        <v>3</v>
      </c>
      <c r="X469">
        <v>3</v>
      </c>
      <c r="Y469">
        <v>3</v>
      </c>
      <c r="Z469">
        <v>3</v>
      </c>
      <c r="AA469">
        <v>3</v>
      </c>
      <c r="AB469">
        <v>3</v>
      </c>
      <c r="AC469">
        <v>3</v>
      </c>
      <c r="AD469">
        <v>3</v>
      </c>
      <c r="AE469">
        <v>3</v>
      </c>
      <c r="AF469">
        <v>3</v>
      </c>
      <c r="AG469">
        <v>3</v>
      </c>
      <c r="AH469">
        <v>3</v>
      </c>
      <c r="AI469">
        <v>3</v>
      </c>
      <c r="AJ469">
        <v>3</v>
      </c>
      <c r="AK469" t="b">
        <f>Table67[[#This Row],[What is your age?]]&lt;&gt;"18 - 25"</f>
        <v>0</v>
      </c>
      <c r="AL469" t="b">
        <f t="shared" si="28"/>
        <v>0</v>
      </c>
      <c r="AM469" t="b">
        <f t="shared" si="29"/>
        <v>0</v>
      </c>
      <c r="AN469" t="b">
        <f t="shared" si="30"/>
        <v>0</v>
      </c>
      <c r="AO469" t="b">
        <f>OR(Table67[[#This Row],[Ineligible respondents]:[Inconsistent response on opposite question (3)]])</f>
        <v>0</v>
      </c>
      <c r="AP46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69">
        <f>Table67[[#This Row],[Extreme Response]]/21</f>
        <v>0</v>
      </c>
      <c r="AR469">
        <f>_xlfn.PERCENTILE.INC(Table67[Extrem Response Ratio (ERS)],0.9)</f>
        <v>0.61904761904761907</v>
      </c>
      <c r="AS469" t="b">
        <f>Table67[[#This Row],[Extrem Response Ratio (ERS)]]&gt;=Table67[[#This Row],[Threshold of ERS]]</f>
        <v>0</v>
      </c>
      <c r="AT469">
        <f>COUNTIF(Table67[[#This Row],[The mechanism of digital assets is difficult to understand, which discourages me from exploring it (E.g, Tokenization, Blockchain)]:[If I want to try different ways to invest, I will explore digital assets.]], 3)</f>
        <v>19</v>
      </c>
      <c r="AU469">
        <f>Table67[[#This Row],[Midpoint]]/21</f>
        <v>0.90476190476190477</v>
      </c>
      <c r="AV469">
        <f>_xlfn.PERCENTILE.INC(Table67[Midpoint ratio],0.9)</f>
        <v>0.5714285714285714</v>
      </c>
      <c r="AW469" t="b">
        <f>Table67[[#This Row],[Midpoint ratio]]&gt;=Table67[[#This Row],[Threshold of Midpoint ratio]]</f>
        <v>1</v>
      </c>
      <c r="AX469" t="b">
        <f>OR(Table67[[#This Row],[Extreme Response Style]],Table67[[#This Row],[Mid-point Response Style]])</f>
        <v>1</v>
      </c>
      <c r="AY469" t="b">
        <f>OR(Table67[[#This Row],[Delete? (Stage 1)]],Table67[[#This Row],[Delete? (Stage 2)]])</f>
        <v>1</v>
      </c>
      <c r="AZ469" t="s">
        <v>81</v>
      </c>
    </row>
    <row r="470" spans="1:52">
      <c r="A470">
        <f t="shared" si="31"/>
        <v>469</v>
      </c>
      <c r="B470" s="3">
        <v>46043.602800925903</v>
      </c>
      <c r="C470" s="3">
        <v>46043.604467592602</v>
      </c>
      <c r="D470" t="s">
        <v>53</v>
      </c>
      <c r="G470" t="s">
        <v>54</v>
      </c>
      <c r="H470" t="s">
        <v>63</v>
      </c>
      <c r="I470" t="s">
        <v>56</v>
      </c>
      <c r="J470" t="s">
        <v>62</v>
      </c>
      <c r="K470" t="s">
        <v>57</v>
      </c>
      <c r="L470" t="s">
        <v>61</v>
      </c>
      <c r="M470" t="s">
        <v>61</v>
      </c>
      <c r="N470">
        <v>4</v>
      </c>
      <c r="O470">
        <v>4</v>
      </c>
      <c r="P470">
        <v>2</v>
      </c>
      <c r="Q470">
        <v>4</v>
      </c>
      <c r="R470">
        <v>2</v>
      </c>
      <c r="S470">
        <v>4</v>
      </c>
      <c r="T470">
        <v>2</v>
      </c>
      <c r="U470">
        <v>2</v>
      </c>
      <c r="V470">
        <v>4</v>
      </c>
      <c r="W470">
        <v>4</v>
      </c>
      <c r="X470">
        <v>4</v>
      </c>
      <c r="Y470">
        <v>4</v>
      </c>
      <c r="Z470">
        <v>5</v>
      </c>
      <c r="AA470">
        <v>5</v>
      </c>
      <c r="AB470">
        <v>4</v>
      </c>
      <c r="AC470">
        <v>4</v>
      </c>
      <c r="AD470">
        <v>4</v>
      </c>
      <c r="AE470">
        <v>4</v>
      </c>
      <c r="AF470">
        <v>4</v>
      </c>
      <c r="AG470">
        <v>3</v>
      </c>
      <c r="AH470">
        <v>3</v>
      </c>
      <c r="AI470">
        <v>3</v>
      </c>
      <c r="AJ470">
        <v>2</v>
      </c>
      <c r="AK470" t="b">
        <f>Table67[[#This Row],[What is your age?]]&lt;&gt;"18 - 25"</f>
        <v>0</v>
      </c>
      <c r="AL470" t="b">
        <f t="shared" si="28"/>
        <v>0</v>
      </c>
      <c r="AM470" t="b">
        <f t="shared" si="29"/>
        <v>0</v>
      </c>
      <c r="AN470" t="b">
        <f t="shared" si="30"/>
        <v>0</v>
      </c>
      <c r="AO470" t="b">
        <f>OR(Table67[[#This Row],[Ineligible respondents]:[Inconsistent response on opposite question (3)]])</f>
        <v>0</v>
      </c>
      <c r="AP47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470">
        <f>Table67[[#This Row],[Extreme Response]]/21</f>
        <v>9.5238095238095233E-2</v>
      </c>
      <c r="AR470">
        <f>_xlfn.PERCENTILE.INC(Table67[Extrem Response Ratio (ERS)],0.9)</f>
        <v>0.61904761904761907</v>
      </c>
      <c r="AS470" t="b">
        <f>Table67[[#This Row],[Extrem Response Ratio (ERS)]]&gt;=Table67[[#This Row],[Threshold of ERS]]</f>
        <v>0</v>
      </c>
      <c r="AT470">
        <f>COUNTIF(Table67[[#This Row],[The mechanism of digital assets is difficult to understand, which discourages me from exploring it (E.g, Tokenization, Blockchain)]:[If I want to try different ways to invest, I will explore digital assets.]], 3)</f>
        <v>2</v>
      </c>
      <c r="AU470">
        <f>Table67[[#This Row],[Midpoint]]/21</f>
        <v>9.5238095238095233E-2</v>
      </c>
      <c r="AV470">
        <f>_xlfn.PERCENTILE.INC(Table67[Midpoint ratio],0.9)</f>
        <v>0.5714285714285714</v>
      </c>
      <c r="AW470" t="b">
        <f>Table67[[#This Row],[Midpoint ratio]]&gt;=Table67[[#This Row],[Threshold of Midpoint ratio]]</f>
        <v>0</v>
      </c>
      <c r="AX470" t="b">
        <f>OR(Table67[[#This Row],[Extreme Response Style]],Table67[[#This Row],[Mid-point Response Style]])</f>
        <v>0</v>
      </c>
      <c r="AY470" t="b">
        <f>OR(Table67[[#This Row],[Delete? (Stage 1)]],Table67[[#This Row],[Delete? (Stage 2)]])</f>
        <v>0</v>
      </c>
      <c r="AZ470" t="s">
        <v>81</v>
      </c>
    </row>
    <row r="471" spans="1:52">
      <c r="A471">
        <f t="shared" si="31"/>
        <v>470</v>
      </c>
      <c r="B471" s="3">
        <v>46043.602812500001</v>
      </c>
      <c r="C471" s="3">
        <v>46043.603472222203</v>
      </c>
      <c r="D471" t="s">
        <v>53</v>
      </c>
      <c r="G471" t="s">
        <v>54</v>
      </c>
      <c r="H471" t="s">
        <v>63</v>
      </c>
      <c r="I471" t="s">
        <v>56</v>
      </c>
      <c r="J471" t="s">
        <v>62</v>
      </c>
      <c r="K471" t="s">
        <v>57</v>
      </c>
      <c r="L471" t="s">
        <v>58</v>
      </c>
      <c r="M471" t="s">
        <v>61</v>
      </c>
      <c r="N471">
        <v>3</v>
      </c>
      <c r="O471">
        <v>3</v>
      </c>
      <c r="P471">
        <v>3</v>
      </c>
      <c r="Q471">
        <v>3</v>
      </c>
      <c r="R471">
        <v>3</v>
      </c>
      <c r="S471">
        <v>3</v>
      </c>
      <c r="T471">
        <v>3</v>
      </c>
      <c r="U471">
        <v>3</v>
      </c>
      <c r="V471">
        <v>3</v>
      </c>
      <c r="W471">
        <v>3</v>
      </c>
      <c r="X471">
        <v>3</v>
      </c>
      <c r="Y471">
        <v>3</v>
      </c>
      <c r="Z471">
        <v>3</v>
      </c>
      <c r="AA471">
        <v>3</v>
      </c>
      <c r="AB471">
        <v>3</v>
      </c>
      <c r="AC471">
        <v>3</v>
      </c>
      <c r="AD471">
        <v>3</v>
      </c>
      <c r="AE471">
        <v>3</v>
      </c>
      <c r="AF471">
        <v>3</v>
      </c>
      <c r="AG471">
        <v>3</v>
      </c>
      <c r="AH471">
        <v>3</v>
      </c>
      <c r="AI471">
        <v>3</v>
      </c>
      <c r="AJ471">
        <v>3</v>
      </c>
      <c r="AK471" t="b">
        <f>Table67[[#This Row],[What is your age?]]&lt;&gt;"18 - 25"</f>
        <v>0</v>
      </c>
      <c r="AL471" t="b">
        <f t="shared" si="28"/>
        <v>1</v>
      </c>
      <c r="AM471" t="b">
        <f t="shared" si="29"/>
        <v>0</v>
      </c>
      <c r="AN471" t="b">
        <f t="shared" si="30"/>
        <v>0</v>
      </c>
      <c r="AO471" t="b">
        <f>OR(Table67[[#This Row],[Ineligible respondents]:[Inconsistent response on opposite question (3)]])</f>
        <v>1</v>
      </c>
      <c r="AP47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71">
        <f>Table67[[#This Row],[Extreme Response]]/21</f>
        <v>0</v>
      </c>
      <c r="AR471">
        <f>_xlfn.PERCENTILE.INC(Table67[Extrem Response Ratio (ERS)],0.9)</f>
        <v>0.61904761904761907</v>
      </c>
      <c r="AS471" t="b">
        <f>Table67[[#This Row],[Extrem Response Ratio (ERS)]]&gt;=Table67[[#This Row],[Threshold of ERS]]</f>
        <v>0</v>
      </c>
      <c r="AT471">
        <f>COUNTIF(Table67[[#This Row],[The mechanism of digital assets is difficult to understand, which discourages me from exploring it (E.g, Tokenization, Blockchain)]:[If I want to try different ways to invest, I will explore digital assets.]], 3)</f>
        <v>21</v>
      </c>
      <c r="AU471">
        <f>Table67[[#This Row],[Midpoint]]/21</f>
        <v>1</v>
      </c>
      <c r="AV471">
        <f>_xlfn.PERCENTILE.INC(Table67[Midpoint ratio],0.9)</f>
        <v>0.5714285714285714</v>
      </c>
      <c r="AW471" t="b">
        <f>Table67[[#This Row],[Midpoint ratio]]&gt;=Table67[[#This Row],[Threshold of Midpoint ratio]]</f>
        <v>1</v>
      </c>
      <c r="AX471" t="b">
        <f>OR(Table67[[#This Row],[Extreme Response Style]],Table67[[#This Row],[Mid-point Response Style]])</f>
        <v>1</v>
      </c>
      <c r="AY471" t="b">
        <f>OR(Table67[[#This Row],[Delete? (Stage 1)]],Table67[[#This Row],[Delete? (Stage 2)]])</f>
        <v>1</v>
      </c>
      <c r="AZ471" t="s">
        <v>81</v>
      </c>
    </row>
    <row r="472" spans="1:52">
      <c r="A472">
        <f t="shared" si="31"/>
        <v>471</v>
      </c>
      <c r="B472" s="3">
        <v>46043.6031365741</v>
      </c>
      <c r="C472" s="3">
        <v>46043.606157407397</v>
      </c>
      <c r="D472" t="s">
        <v>53</v>
      </c>
      <c r="G472" t="s">
        <v>54</v>
      </c>
      <c r="H472" t="s">
        <v>63</v>
      </c>
      <c r="I472" t="s">
        <v>56</v>
      </c>
      <c r="J472" t="s">
        <v>57</v>
      </c>
      <c r="K472" t="s">
        <v>57</v>
      </c>
      <c r="L472" t="s">
        <v>58</v>
      </c>
      <c r="M472" t="s">
        <v>58</v>
      </c>
      <c r="N472">
        <v>3</v>
      </c>
      <c r="O472">
        <v>3</v>
      </c>
      <c r="P472">
        <v>3</v>
      </c>
      <c r="Q472">
        <v>4</v>
      </c>
      <c r="R472">
        <v>4</v>
      </c>
      <c r="S472">
        <v>3</v>
      </c>
      <c r="T472">
        <v>2</v>
      </c>
      <c r="U472">
        <v>4</v>
      </c>
      <c r="V472">
        <v>4</v>
      </c>
      <c r="W472">
        <v>3</v>
      </c>
      <c r="X472">
        <v>4</v>
      </c>
      <c r="Y472">
        <v>3</v>
      </c>
      <c r="Z472">
        <v>4</v>
      </c>
      <c r="AA472">
        <v>4</v>
      </c>
      <c r="AB472">
        <v>2</v>
      </c>
      <c r="AC472">
        <v>2</v>
      </c>
      <c r="AD472">
        <v>2</v>
      </c>
      <c r="AE472">
        <v>3</v>
      </c>
      <c r="AF472">
        <v>2</v>
      </c>
      <c r="AG472">
        <v>4</v>
      </c>
      <c r="AH472">
        <v>3</v>
      </c>
      <c r="AI472">
        <v>3</v>
      </c>
      <c r="AJ472">
        <v>4</v>
      </c>
      <c r="AK472" t="b">
        <f>Table67[[#This Row],[What is your age?]]&lt;&gt;"18 - 25"</f>
        <v>0</v>
      </c>
      <c r="AL472" t="b">
        <f t="shared" si="28"/>
        <v>0</v>
      </c>
      <c r="AM472" t="b">
        <f t="shared" si="29"/>
        <v>0</v>
      </c>
      <c r="AN472" t="b">
        <f t="shared" si="30"/>
        <v>1</v>
      </c>
      <c r="AO472" t="b">
        <f>OR(Table67[[#This Row],[Ineligible respondents]:[Inconsistent response on opposite question (3)]])</f>
        <v>1</v>
      </c>
      <c r="AP47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72">
        <f>Table67[[#This Row],[Extreme Response]]/21</f>
        <v>0</v>
      </c>
      <c r="AR472">
        <f>_xlfn.PERCENTILE.INC(Table67[Extrem Response Ratio (ERS)],0.9)</f>
        <v>0.61904761904761907</v>
      </c>
      <c r="AS472" t="b">
        <f>Table67[[#This Row],[Extrem Response Ratio (ERS)]]&gt;=Table67[[#This Row],[Threshold of ERS]]</f>
        <v>0</v>
      </c>
      <c r="AT472">
        <f>COUNTIF(Table67[[#This Row],[The mechanism of digital assets is difficult to understand, which discourages me from exploring it (E.g, Tokenization, Blockchain)]:[If I want to try different ways to invest, I will explore digital assets.]], 3)</f>
        <v>8</v>
      </c>
      <c r="AU472">
        <f>Table67[[#This Row],[Midpoint]]/21</f>
        <v>0.38095238095238093</v>
      </c>
      <c r="AV472">
        <f>_xlfn.PERCENTILE.INC(Table67[Midpoint ratio],0.9)</f>
        <v>0.5714285714285714</v>
      </c>
      <c r="AW472" t="b">
        <f>Table67[[#This Row],[Midpoint ratio]]&gt;=Table67[[#This Row],[Threshold of Midpoint ratio]]</f>
        <v>0</v>
      </c>
      <c r="AX472" t="b">
        <f>OR(Table67[[#This Row],[Extreme Response Style]],Table67[[#This Row],[Mid-point Response Style]])</f>
        <v>0</v>
      </c>
      <c r="AY472" t="b">
        <f>OR(Table67[[#This Row],[Delete? (Stage 1)]],Table67[[#This Row],[Delete? (Stage 2)]])</f>
        <v>1</v>
      </c>
      <c r="AZ472" t="s">
        <v>81</v>
      </c>
    </row>
    <row r="473" spans="1:52">
      <c r="A473">
        <f t="shared" si="31"/>
        <v>472</v>
      </c>
      <c r="B473" s="3">
        <v>46043.603333333303</v>
      </c>
      <c r="C473" s="3">
        <v>46043.604629629597</v>
      </c>
      <c r="D473" t="s">
        <v>53</v>
      </c>
      <c r="G473" t="s">
        <v>54</v>
      </c>
      <c r="H473" t="s">
        <v>63</v>
      </c>
      <c r="I473" t="s">
        <v>69</v>
      </c>
      <c r="J473" t="s">
        <v>62</v>
      </c>
      <c r="K473" t="s">
        <v>57</v>
      </c>
      <c r="L473" t="s">
        <v>58</v>
      </c>
      <c r="M473" t="s">
        <v>58</v>
      </c>
      <c r="N473">
        <v>3</v>
      </c>
      <c r="O473">
        <v>3</v>
      </c>
      <c r="P473">
        <v>3</v>
      </c>
      <c r="Q473">
        <v>3</v>
      </c>
      <c r="R473">
        <v>3</v>
      </c>
      <c r="S473">
        <v>3</v>
      </c>
      <c r="T473">
        <v>3</v>
      </c>
      <c r="U473">
        <v>3</v>
      </c>
      <c r="V473">
        <v>3</v>
      </c>
      <c r="W473">
        <v>3</v>
      </c>
      <c r="X473">
        <v>3</v>
      </c>
      <c r="Y473">
        <v>3</v>
      </c>
      <c r="Z473">
        <v>3</v>
      </c>
      <c r="AA473">
        <v>3</v>
      </c>
      <c r="AB473">
        <v>3</v>
      </c>
      <c r="AC473">
        <v>3</v>
      </c>
      <c r="AD473">
        <v>3</v>
      </c>
      <c r="AE473">
        <v>3</v>
      </c>
      <c r="AF473">
        <v>3</v>
      </c>
      <c r="AG473">
        <v>3</v>
      </c>
      <c r="AH473">
        <v>3</v>
      </c>
      <c r="AI473">
        <v>3</v>
      </c>
      <c r="AJ473">
        <v>3</v>
      </c>
      <c r="AK473" t="b">
        <f>Table67[[#This Row],[What is your age?]]&lt;&gt;"18 - 25"</f>
        <v>0</v>
      </c>
      <c r="AL473" t="b">
        <f t="shared" si="28"/>
        <v>1</v>
      </c>
      <c r="AM473" t="b">
        <f t="shared" si="29"/>
        <v>0</v>
      </c>
      <c r="AN473" t="b">
        <f t="shared" si="30"/>
        <v>0</v>
      </c>
      <c r="AO473" t="b">
        <f>OR(Table67[[#This Row],[Ineligible respondents]:[Inconsistent response on opposite question (3)]])</f>
        <v>1</v>
      </c>
      <c r="AP47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73">
        <f>Table67[[#This Row],[Extreme Response]]/21</f>
        <v>0</v>
      </c>
      <c r="AR473">
        <f>_xlfn.PERCENTILE.INC(Table67[Extrem Response Ratio (ERS)],0.9)</f>
        <v>0.61904761904761907</v>
      </c>
      <c r="AS473" t="b">
        <f>Table67[[#This Row],[Extrem Response Ratio (ERS)]]&gt;=Table67[[#This Row],[Threshold of ERS]]</f>
        <v>0</v>
      </c>
      <c r="AT473">
        <f>COUNTIF(Table67[[#This Row],[The mechanism of digital assets is difficult to understand, which discourages me from exploring it (E.g, Tokenization, Blockchain)]:[If I want to try different ways to invest, I will explore digital assets.]], 3)</f>
        <v>21</v>
      </c>
      <c r="AU473">
        <f>Table67[[#This Row],[Midpoint]]/21</f>
        <v>1</v>
      </c>
      <c r="AV473">
        <f>_xlfn.PERCENTILE.INC(Table67[Midpoint ratio],0.9)</f>
        <v>0.5714285714285714</v>
      </c>
      <c r="AW473" t="b">
        <f>Table67[[#This Row],[Midpoint ratio]]&gt;=Table67[[#This Row],[Threshold of Midpoint ratio]]</f>
        <v>1</v>
      </c>
      <c r="AX473" t="b">
        <f>OR(Table67[[#This Row],[Extreme Response Style]],Table67[[#This Row],[Mid-point Response Style]])</f>
        <v>1</v>
      </c>
      <c r="AY473" t="b">
        <f>OR(Table67[[#This Row],[Delete? (Stage 1)]],Table67[[#This Row],[Delete? (Stage 2)]])</f>
        <v>1</v>
      </c>
      <c r="AZ473" t="s">
        <v>81</v>
      </c>
    </row>
    <row r="474" spans="1:52">
      <c r="A474">
        <f t="shared" si="31"/>
        <v>473</v>
      </c>
      <c r="B474" s="3">
        <v>46043.603576388901</v>
      </c>
      <c r="C474" s="3">
        <v>46043.605717592603</v>
      </c>
      <c r="D474" t="s">
        <v>53</v>
      </c>
      <c r="G474" t="s">
        <v>54</v>
      </c>
      <c r="H474" t="s">
        <v>63</v>
      </c>
      <c r="I474" t="s">
        <v>56</v>
      </c>
      <c r="J474" t="s">
        <v>62</v>
      </c>
      <c r="K474" t="s">
        <v>57</v>
      </c>
      <c r="L474" t="s">
        <v>58</v>
      </c>
      <c r="M474" t="s">
        <v>61</v>
      </c>
      <c r="N474">
        <v>3</v>
      </c>
      <c r="O474">
        <v>3</v>
      </c>
      <c r="P474">
        <v>3</v>
      </c>
      <c r="Q474">
        <v>3</v>
      </c>
      <c r="R474">
        <v>3</v>
      </c>
      <c r="S474">
        <v>3</v>
      </c>
      <c r="T474">
        <v>3</v>
      </c>
      <c r="U474">
        <v>3</v>
      </c>
      <c r="V474">
        <v>3</v>
      </c>
      <c r="W474">
        <v>3</v>
      </c>
      <c r="X474">
        <v>3</v>
      </c>
      <c r="Y474">
        <v>3</v>
      </c>
      <c r="Z474">
        <v>3</v>
      </c>
      <c r="AA474">
        <v>3</v>
      </c>
      <c r="AB474">
        <v>3</v>
      </c>
      <c r="AC474">
        <v>3</v>
      </c>
      <c r="AD474">
        <v>3</v>
      </c>
      <c r="AE474">
        <v>3</v>
      </c>
      <c r="AF474">
        <v>3</v>
      </c>
      <c r="AG474">
        <v>3</v>
      </c>
      <c r="AH474">
        <v>3</v>
      </c>
      <c r="AI474">
        <v>3</v>
      </c>
      <c r="AJ474">
        <v>3</v>
      </c>
      <c r="AK474" t="b">
        <f>Table67[[#This Row],[What is your age?]]&lt;&gt;"18 - 25"</f>
        <v>0</v>
      </c>
      <c r="AL474" t="b">
        <f t="shared" si="28"/>
        <v>1</v>
      </c>
      <c r="AM474" t="b">
        <f t="shared" si="29"/>
        <v>0</v>
      </c>
      <c r="AN474" t="b">
        <f t="shared" si="30"/>
        <v>0</v>
      </c>
      <c r="AO474" t="b">
        <f>OR(Table67[[#This Row],[Ineligible respondents]:[Inconsistent response on opposite question (3)]])</f>
        <v>1</v>
      </c>
      <c r="AP47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74">
        <f>Table67[[#This Row],[Extreme Response]]/21</f>
        <v>0</v>
      </c>
      <c r="AR474">
        <f>_xlfn.PERCENTILE.INC(Table67[Extrem Response Ratio (ERS)],0.9)</f>
        <v>0.61904761904761907</v>
      </c>
      <c r="AS474" t="b">
        <f>Table67[[#This Row],[Extrem Response Ratio (ERS)]]&gt;=Table67[[#This Row],[Threshold of ERS]]</f>
        <v>0</v>
      </c>
      <c r="AT474">
        <f>COUNTIF(Table67[[#This Row],[The mechanism of digital assets is difficult to understand, which discourages me from exploring it (E.g, Tokenization, Blockchain)]:[If I want to try different ways to invest, I will explore digital assets.]], 3)</f>
        <v>21</v>
      </c>
      <c r="AU474">
        <f>Table67[[#This Row],[Midpoint]]/21</f>
        <v>1</v>
      </c>
      <c r="AV474">
        <f>_xlfn.PERCENTILE.INC(Table67[Midpoint ratio],0.9)</f>
        <v>0.5714285714285714</v>
      </c>
      <c r="AW474" t="b">
        <f>Table67[[#This Row],[Midpoint ratio]]&gt;=Table67[[#This Row],[Threshold of Midpoint ratio]]</f>
        <v>1</v>
      </c>
      <c r="AX474" t="b">
        <f>OR(Table67[[#This Row],[Extreme Response Style]],Table67[[#This Row],[Mid-point Response Style]])</f>
        <v>1</v>
      </c>
      <c r="AY474" t="b">
        <f>OR(Table67[[#This Row],[Delete? (Stage 1)]],Table67[[#This Row],[Delete? (Stage 2)]])</f>
        <v>1</v>
      </c>
      <c r="AZ474" t="s">
        <v>81</v>
      </c>
    </row>
    <row r="475" spans="1:52">
      <c r="A475">
        <f t="shared" si="31"/>
        <v>474</v>
      </c>
      <c r="B475" s="3">
        <v>46043.609618055598</v>
      </c>
      <c r="C475" s="3">
        <v>46043.611574074101</v>
      </c>
      <c r="D475" t="s">
        <v>53</v>
      </c>
      <c r="G475" t="s">
        <v>54</v>
      </c>
      <c r="H475" t="s">
        <v>55</v>
      </c>
      <c r="I475" t="s">
        <v>69</v>
      </c>
      <c r="J475" t="s">
        <v>57</v>
      </c>
      <c r="K475" t="s">
        <v>57</v>
      </c>
      <c r="L475" t="s">
        <v>58</v>
      </c>
      <c r="M475" t="s">
        <v>61</v>
      </c>
      <c r="N475">
        <v>5</v>
      </c>
      <c r="O475">
        <v>5</v>
      </c>
      <c r="P475">
        <v>5</v>
      </c>
      <c r="Q475">
        <v>5</v>
      </c>
      <c r="R475">
        <v>5</v>
      </c>
      <c r="S475">
        <v>5</v>
      </c>
      <c r="T475">
        <v>5</v>
      </c>
      <c r="U475">
        <v>5</v>
      </c>
      <c r="V475">
        <v>5</v>
      </c>
      <c r="W475">
        <v>5</v>
      </c>
      <c r="X475">
        <v>5</v>
      </c>
      <c r="Y475">
        <v>5</v>
      </c>
      <c r="Z475">
        <v>5</v>
      </c>
      <c r="AA475">
        <v>5</v>
      </c>
      <c r="AB475">
        <v>5</v>
      </c>
      <c r="AC475">
        <v>5</v>
      </c>
      <c r="AD475">
        <v>5</v>
      </c>
      <c r="AE475">
        <v>3</v>
      </c>
      <c r="AF475">
        <v>2</v>
      </c>
      <c r="AG475">
        <v>4</v>
      </c>
      <c r="AH475">
        <v>2</v>
      </c>
      <c r="AI475">
        <v>4</v>
      </c>
      <c r="AJ475">
        <v>4</v>
      </c>
      <c r="AK475" t="b">
        <f>Table67[[#This Row],[What is your age?]]&lt;&gt;"18 - 25"</f>
        <v>0</v>
      </c>
      <c r="AL475" t="b">
        <f t="shared" si="28"/>
        <v>0</v>
      </c>
      <c r="AM475" t="b">
        <f t="shared" si="29"/>
        <v>0</v>
      </c>
      <c r="AN475" t="b">
        <f t="shared" si="30"/>
        <v>0</v>
      </c>
      <c r="AO475" t="b">
        <f>OR(Table67[[#This Row],[Ineligible respondents]:[Inconsistent response on opposite question (3)]])</f>
        <v>0</v>
      </c>
      <c r="AP47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17</v>
      </c>
      <c r="AQ475">
        <f>Table67[[#This Row],[Extreme Response]]/21</f>
        <v>0.80952380952380953</v>
      </c>
      <c r="AR475">
        <f>_xlfn.PERCENTILE.INC(Table67[Extrem Response Ratio (ERS)],0.9)</f>
        <v>0.61904761904761907</v>
      </c>
      <c r="AS475" t="b">
        <f>Table67[[#This Row],[Extrem Response Ratio (ERS)]]&gt;=Table67[[#This Row],[Threshold of ERS]]</f>
        <v>1</v>
      </c>
      <c r="AT475">
        <f>COUNTIF(Table67[[#This Row],[The mechanism of digital assets is difficult to understand, which discourages me from exploring it (E.g, Tokenization, Blockchain)]:[If I want to try different ways to invest, I will explore digital assets.]], 3)</f>
        <v>1</v>
      </c>
      <c r="AU475">
        <f>Table67[[#This Row],[Midpoint]]/21</f>
        <v>4.7619047619047616E-2</v>
      </c>
      <c r="AV475">
        <f>_xlfn.PERCENTILE.INC(Table67[Midpoint ratio],0.9)</f>
        <v>0.5714285714285714</v>
      </c>
      <c r="AW475" t="b">
        <f>Table67[[#This Row],[Midpoint ratio]]&gt;=Table67[[#This Row],[Threshold of Midpoint ratio]]</f>
        <v>0</v>
      </c>
      <c r="AX475" t="b">
        <f>OR(Table67[[#This Row],[Extreme Response Style]],Table67[[#This Row],[Mid-point Response Style]])</f>
        <v>1</v>
      </c>
      <c r="AY475" t="b">
        <f>OR(Table67[[#This Row],[Delete? (Stage 1)]],Table67[[#This Row],[Delete? (Stage 2)]])</f>
        <v>1</v>
      </c>
      <c r="AZ475" t="s">
        <v>81</v>
      </c>
    </row>
    <row r="476" spans="1:52">
      <c r="A476">
        <f t="shared" si="31"/>
        <v>475</v>
      </c>
      <c r="B476" s="3">
        <v>46043.620891203696</v>
      </c>
      <c r="C476" s="3">
        <v>46043.621840277803</v>
      </c>
      <c r="D476" t="s">
        <v>53</v>
      </c>
      <c r="G476" t="s">
        <v>54</v>
      </c>
      <c r="H476" t="s">
        <v>55</v>
      </c>
      <c r="I476" t="s">
        <v>56</v>
      </c>
      <c r="J476" t="s">
        <v>57</v>
      </c>
      <c r="K476" t="s">
        <v>57</v>
      </c>
      <c r="L476" t="s">
        <v>58</v>
      </c>
      <c r="M476" t="s">
        <v>58</v>
      </c>
      <c r="N476">
        <v>3</v>
      </c>
      <c r="O476">
        <v>2</v>
      </c>
      <c r="P476">
        <v>3</v>
      </c>
      <c r="Q476">
        <v>3</v>
      </c>
      <c r="R476">
        <v>3</v>
      </c>
      <c r="S476">
        <v>3</v>
      </c>
      <c r="T476">
        <v>3</v>
      </c>
      <c r="U476">
        <v>3</v>
      </c>
      <c r="V476">
        <v>3</v>
      </c>
      <c r="W476">
        <v>3</v>
      </c>
      <c r="X476">
        <v>3</v>
      </c>
      <c r="Y476">
        <v>3</v>
      </c>
      <c r="Z476">
        <v>3</v>
      </c>
      <c r="AA476">
        <v>3</v>
      </c>
      <c r="AB476">
        <v>3</v>
      </c>
      <c r="AC476">
        <v>3</v>
      </c>
      <c r="AD476">
        <v>3</v>
      </c>
      <c r="AE476">
        <v>3</v>
      </c>
      <c r="AF476">
        <v>3</v>
      </c>
      <c r="AG476">
        <v>4</v>
      </c>
      <c r="AH476">
        <v>4</v>
      </c>
      <c r="AI476">
        <v>2</v>
      </c>
      <c r="AJ476">
        <v>3</v>
      </c>
      <c r="AK476" t="b">
        <f>Table67[[#This Row],[What is your age?]]&lt;&gt;"18 - 25"</f>
        <v>0</v>
      </c>
      <c r="AL476" t="b">
        <f t="shared" si="28"/>
        <v>0</v>
      </c>
      <c r="AM476" t="b">
        <f t="shared" si="29"/>
        <v>1</v>
      </c>
      <c r="AN476" t="b">
        <f t="shared" si="30"/>
        <v>0</v>
      </c>
      <c r="AO476" t="b">
        <f>OR(Table67[[#This Row],[Ineligible respondents]:[Inconsistent response on opposite question (3)]])</f>
        <v>1</v>
      </c>
      <c r="AP47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76">
        <f>Table67[[#This Row],[Extreme Response]]/21</f>
        <v>0</v>
      </c>
      <c r="AR476">
        <f>_xlfn.PERCENTILE.INC(Table67[Extrem Response Ratio (ERS)],0.9)</f>
        <v>0.61904761904761907</v>
      </c>
      <c r="AS476" t="b">
        <f>Table67[[#This Row],[Extrem Response Ratio (ERS)]]&gt;=Table67[[#This Row],[Threshold of ERS]]</f>
        <v>0</v>
      </c>
      <c r="AT476">
        <f>COUNTIF(Table67[[#This Row],[The mechanism of digital assets is difficult to understand, which discourages me from exploring it (E.g, Tokenization, Blockchain)]:[If I want to try different ways to invest, I will explore digital assets.]], 3)</f>
        <v>18</v>
      </c>
      <c r="AU476">
        <f>Table67[[#This Row],[Midpoint]]/21</f>
        <v>0.8571428571428571</v>
      </c>
      <c r="AV476">
        <f>_xlfn.PERCENTILE.INC(Table67[Midpoint ratio],0.9)</f>
        <v>0.5714285714285714</v>
      </c>
      <c r="AW476" t="b">
        <f>Table67[[#This Row],[Midpoint ratio]]&gt;=Table67[[#This Row],[Threshold of Midpoint ratio]]</f>
        <v>1</v>
      </c>
      <c r="AX476" t="b">
        <f>OR(Table67[[#This Row],[Extreme Response Style]],Table67[[#This Row],[Mid-point Response Style]])</f>
        <v>1</v>
      </c>
      <c r="AY476" t="b">
        <f>OR(Table67[[#This Row],[Delete? (Stage 1)]],Table67[[#This Row],[Delete? (Stage 2)]])</f>
        <v>1</v>
      </c>
      <c r="AZ476" t="s">
        <v>81</v>
      </c>
    </row>
    <row r="477" spans="1:52">
      <c r="A477">
        <f t="shared" si="31"/>
        <v>476</v>
      </c>
      <c r="B477" s="3">
        <v>46043.621597222198</v>
      </c>
      <c r="C477" s="3">
        <v>46043.622407407398</v>
      </c>
      <c r="D477" t="s">
        <v>53</v>
      </c>
      <c r="G477" t="s">
        <v>54</v>
      </c>
      <c r="H477" t="s">
        <v>63</v>
      </c>
      <c r="I477" t="s">
        <v>56</v>
      </c>
      <c r="J477" t="s">
        <v>60</v>
      </c>
      <c r="K477" t="s">
        <v>57</v>
      </c>
      <c r="L477" t="s">
        <v>58</v>
      </c>
      <c r="M477" t="s">
        <v>61</v>
      </c>
      <c r="N477">
        <v>4</v>
      </c>
      <c r="O477">
        <v>3</v>
      </c>
      <c r="P477">
        <v>3</v>
      </c>
      <c r="Q477">
        <v>4</v>
      </c>
      <c r="R477">
        <v>4</v>
      </c>
      <c r="S477">
        <v>4</v>
      </c>
      <c r="T477">
        <v>4</v>
      </c>
      <c r="U477">
        <v>4</v>
      </c>
      <c r="V477">
        <v>4</v>
      </c>
      <c r="W477">
        <v>4</v>
      </c>
      <c r="X477">
        <v>4</v>
      </c>
      <c r="Y477">
        <v>4</v>
      </c>
      <c r="Z477">
        <v>4</v>
      </c>
      <c r="AA477">
        <v>4</v>
      </c>
      <c r="AB477">
        <v>4</v>
      </c>
      <c r="AC477">
        <v>4</v>
      </c>
      <c r="AD477">
        <v>4</v>
      </c>
      <c r="AE477">
        <v>4</v>
      </c>
      <c r="AF477">
        <v>4</v>
      </c>
      <c r="AG477">
        <v>4</v>
      </c>
      <c r="AH477">
        <v>4</v>
      </c>
      <c r="AI477">
        <v>2</v>
      </c>
      <c r="AJ477">
        <v>2</v>
      </c>
      <c r="AK477" t="b">
        <f>Table67[[#This Row],[What is your age?]]&lt;&gt;"18 - 25"</f>
        <v>0</v>
      </c>
      <c r="AL477" t="b">
        <f t="shared" si="28"/>
        <v>0</v>
      </c>
      <c r="AM477" t="b">
        <f t="shared" si="29"/>
        <v>1</v>
      </c>
      <c r="AN477" t="b">
        <f t="shared" si="30"/>
        <v>0</v>
      </c>
      <c r="AO477" t="b">
        <f>OR(Table67[[#This Row],[Ineligible respondents]:[Inconsistent response on opposite question (3)]])</f>
        <v>1</v>
      </c>
      <c r="AP47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77">
        <f>Table67[[#This Row],[Extreme Response]]/21</f>
        <v>0</v>
      </c>
      <c r="AR477">
        <f>_xlfn.PERCENTILE.INC(Table67[Extrem Response Ratio (ERS)],0.9)</f>
        <v>0.61904761904761907</v>
      </c>
      <c r="AS477" t="b">
        <f>Table67[[#This Row],[Extrem Response Ratio (ERS)]]&gt;=Table67[[#This Row],[Threshold of ERS]]</f>
        <v>0</v>
      </c>
      <c r="AT477">
        <f>COUNTIF(Table67[[#This Row],[The mechanism of digital assets is difficult to understand, which discourages me from exploring it (E.g, Tokenization, Blockchain)]:[If I want to try different ways to invest, I will explore digital assets.]], 3)</f>
        <v>2</v>
      </c>
      <c r="AU477">
        <f>Table67[[#This Row],[Midpoint]]/21</f>
        <v>9.5238095238095233E-2</v>
      </c>
      <c r="AV477">
        <f>_xlfn.PERCENTILE.INC(Table67[Midpoint ratio],0.9)</f>
        <v>0.5714285714285714</v>
      </c>
      <c r="AW477" t="b">
        <f>Table67[[#This Row],[Midpoint ratio]]&gt;=Table67[[#This Row],[Threshold of Midpoint ratio]]</f>
        <v>0</v>
      </c>
      <c r="AX477" t="b">
        <f>OR(Table67[[#This Row],[Extreme Response Style]],Table67[[#This Row],[Mid-point Response Style]])</f>
        <v>0</v>
      </c>
      <c r="AY477" t="b">
        <f>OR(Table67[[#This Row],[Delete? (Stage 1)]],Table67[[#This Row],[Delete? (Stage 2)]])</f>
        <v>1</v>
      </c>
      <c r="AZ477" t="s">
        <v>81</v>
      </c>
    </row>
    <row r="478" spans="1:52">
      <c r="A478">
        <f t="shared" si="31"/>
        <v>477</v>
      </c>
      <c r="B478" s="3">
        <v>46043.622280092597</v>
      </c>
      <c r="C478" s="3">
        <v>46043.6241435185</v>
      </c>
      <c r="D478" t="s">
        <v>53</v>
      </c>
      <c r="G478" t="s">
        <v>54</v>
      </c>
      <c r="H478" t="s">
        <v>63</v>
      </c>
      <c r="I478" t="s">
        <v>71</v>
      </c>
      <c r="J478" t="s">
        <v>64</v>
      </c>
      <c r="K478" t="s">
        <v>57</v>
      </c>
      <c r="L478" t="s">
        <v>58</v>
      </c>
      <c r="M478" t="s">
        <v>61</v>
      </c>
      <c r="N478">
        <v>4</v>
      </c>
      <c r="O478">
        <v>4</v>
      </c>
      <c r="P478">
        <v>4</v>
      </c>
      <c r="Q478">
        <v>4</v>
      </c>
      <c r="R478">
        <v>3</v>
      </c>
      <c r="S478">
        <v>4</v>
      </c>
      <c r="T478">
        <v>4</v>
      </c>
      <c r="U478">
        <v>5</v>
      </c>
      <c r="V478">
        <v>5</v>
      </c>
      <c r="W478">
        <v>2</v>
      </c>
      <c r="X478">
        <v>4</v>
      </c>
      <c r="Y478">
        <v>4</v>
      </c>
      <c r="Z478">
        <v>4</v>
      </c>
      <c r="AA478">
        <v>4</v>
      </c>
      <c r="AB478">
        <v>2</v>
      </c>
      <c r="AC478">
        <v>2</v>
      </c>
      <c r="AD478">
        <v>4</v>
      </c>
      <c r="AE478">
        <v>4</v>
      </c>
      <c r="AF478">
        <v>4</v>
      </c>
      <c r="AG478">
        <v>4</v>
      </c>
      <c r="AH478">
        <v>4</v>
      </c>
      <c r="AI478">
        <v>2</v>
      </c>
      <c r="AJ478">
        <v>2</v>
      </c>
      <c r="AK478" t="b">
        <f>Table67[[#This Row],[What is your age?]]&lt;&gt;"18 - 25"</f>
        <v>0</v>
      </c>
      <c r="AL478" t="b">
        <f t="shared" si="28"/>
        <v>0</v>
      </c>
      <c r="AM478" t="b">
        <f t="shared" si="29"/>
        <v>1</v>
      </c>
      <c r="AN478" t="b">
        <f t="shared" si="30"/>
        <v>0</v>
      </c>
      <c r="AO478" t="b">
        <f>OR(Table67[[#This Row],[Ineligible respondents]:[Inconsistent response on opposite question (3)]])</f>
        <v>1</v>
      </c>
      <c r="AP47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478">
        <f>Table67[[#This Row],[Extreme Response]]/21</f>
        <v>9.5238095238095233E-2</v>
      </c>
      <c r="AR478">
        <f>_xlfn.PERCENTILE.INC(Table67[Extrem Response Ratio (ERS)],0.9)</f>
        <v>0.61904761904761907</v>
      </c>
      <c r="AS478" t="b">
        <f>Table67[[#This Row],[Extrem Response Ratio (ERS)]]&gt;=Table67[[#This Row],[Threshold of ERS]]</f>
        <v>0</v>
      </c>
      <c r="AT478">
        <f>COUNTIF(Table67[[#This Row],[The mechanism of digital assets is difficult to understand, which discourages me from exploring it (E.g, Tokenization, Blockchain)]:[If I want to try different ways to invest, I will explore digital assets.]], 3)</f>
        <v>1</v>
      </c>
      <c r="AU478">
        <f>Table67[[#This Row],[Midpoint]]/21</f>
        <v>4.7619047619047616E-2</v>
      </c>
      <c r="AV478">
        <f>_xlfn.PERCENTILE.INC(Table67[Midpoint ratio],0.9)</f>
        <v>0.5714285714285714</v>
      </c>
      <c r="AW478" t="b">
        <f>Table67[[#This Row],[Midpoint ratio]]&gt;=Table67[[#This Row],[Threshold of Midpoint ratio]]</f>
        <v>0</v>
      </c>
      <c r="AX478" t="b">
        <f>OR(Table67[[#This Row],[Extreme Response Style]],Table67[[#This Row],[Mid-point Response Style]])</f>
        <v>0</v>
      </c>
      <c r="AY478" t="b">
        <f>OR(Table67[[#This Row],[Delete? (Stage 1)]],Table67[[#This Row],[Delete? (Stage 2)]])</f>
        <v>1</v>
      </c>
      <c r="AZ478" t="s">
        <v>81</v>
      </c>
    </row>
    <row r="479" spans="1:52">
      <c r="A479">
        <f t="shared" si="31"/>
        <v>478</v>
      </c>
      <c r="B479" s="3">
        <v>46043.644571759301</v>
      </c>
      <c r="C479" s="3">
        <v>46043.647743055597</v>
      </c>
      <c r="D479" t="s">
        <v>53</v>
      </c>
      <c r="G479" t="s">
        <v>54</v>
      </c>
      <c r="H479" t="s">
        <v>55</v>
      </c>
      <c r="I479" t="s">
        <v>56</v>
      </c>
      <c r="J479" t="s">
        <v>62</v>
      </c>
      <c r="K479" t="s">
        <v>66</v>
      </c>
      <c r="L479" t="s">
        <v>58</v>
      </c>
      <c r="M479" t="s">
        <v>61</v>
      </c>
      <c r="N479">
        <v>4</v>
      </c>
      <c r="O479">
        <v>1</v>
      </c>
      <c r="P479">
        <v>4</v>
      </c>
      <c r="Q479">
        <v>4</v>
      </c>
      <c r="R479">
        <v>4</v>
      </c>
      <c r="S479">
        <v>3</v>
      </c>
      <c r="T479">
        <v>3</v>
      </c>
      <c r="U479">
        <v>3</v>
      </c>
      <c r="V479">
        <v>4</v>
      </c>
      <c r="W479">
        <v>4</v>
      </c>
      <c r="X479">
        <v>4</v>
      </c>
      <c r="Y479">
        <v>4</v>
      </c>
      <c r="Z479">
        <v>2</v>
      </c>
      <c r="AA479">
        <v>4</v>
      </c>
      <c r="AB479">
        <v>2</v>
      </c>
      <c r="AC479">
        <v>4</v>
      </c>
      <c r="AD479">
        <v>4</v>
      </c>
      <c r="AE479">
        <v>3</v>
      </c>
      <c r="AF479">
        <v>3</v>
      </c>
      <c r="AG479">
        <v>5</v>
      </c>
      <c r="AH479">
        <v>3</v>
      </c>
      <c r="AI479">
        <v>3</v>
      </c>
      <c r="AJ479">
        <v>3</v>
      </c>
      <c r="AK479" t="b">
        <f>Table67[[#This Row],[What is your age?]]&lt;&gt;"18 - 25"</f>
        <v>0</v>
      </c>
      <c r="AL479" t="b">
        <f t="shared" si="28"/>
        <v>0</v>
      </c>
      <c r="AM479" t="b">
        <f t="shared" si="29"/>
        <v>0</v>
      </c>
      <c r="AN479" t="b">
        <f t="shared" si="30"/>
        <v>1</v>
      </c>
      <c r="AO479" t="b">
        <f>OR(Table67[[#This Row],[Ineligible respondents]:[Inconsistent response on opposite question (3)]])</f>
        <v>1</v>
      </c>
      <c r="AP47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479">
        <f>Table67[[#This Row],[Extreme Response]]/21</f>
        <v>9.5238095238095233E-2</v>
      </c>
      <c r="AR479">
        <f>_xlfn.PERCENTILE.INC(Table67[Extrem Response Ratio (ERS)],0.9)</f>
        <v>0.61904761904761907</v>
      </c>
      <c r="AS479" t="b">
        <f>Table67[[#This Row],[Extrem Response Ratio (ERS)]]&gt;=Table67[[#This Row],[Threshold of ERS]]</f>
        <v>0</v>
      </c>
      <c r="AT479">
        <f>COUNTIF(Table67[[#This Row],[The mechanism of digital assets is difficult to understand, which discourages me from exploring it (E.g, Tokenization, Blockchain)]:[If I want to try different ways to invest, I will explore digital assets.]], 3)</f>
        <v>6</v>
      </c>
      <c r="AU479">
        <f>Table67[[#This Row],[Midpoint]]/21</f>
        <v>0.2857142857142857</v>
      </c>
      <c r="AV479">
        <f>_xlfn.PERCENTILE.INC(Table67[Midpoint ratio],0.9)</f>
        <v>0.5714285714285714</v>
      </c>
      <c r="AW479" t="b">
        <f>Table67[[#This Row],[Midpoint ratio]]&gt;=Table67[[#This Row],[Threshold of Midpoint ratio]]</f>
        <v>0</v>
      </c>
      <c r="AX479" t="b">
        <f>OR(Table67[[#This Row],[Extreme Response Style]],Table67[[#This Row],[Mid-point Response Style]])</f>
        <v>0</v>
      </c>
      <c r="AY479" t="b">
        <f>OR(Table67[[#This Row],[Delete? (Stage 1)]],Table67[[#This Row],[Delete? (Stage 2)]])</f>
        <v>1</v>
      </c>
      <c r="AZ479" t="s">
        <v>81</v>
      </c>
    </row>
    <row r="480" spans="1:52">
      <c r="A480">
        <f t="shared" si="31"/>
        <v>479</v>
      </c>
      <c r="B480" s="3">
        <v>46043.644814814797</v>
      </c>
      <c r="C480" s="3">
        <v>46043.646979166697</v>
      </c>
      <c r="D480" t="s">
        <v>53</v>
      </c>
      <c r="G480" t="s">
        <v>54</v>
      </c>
      <c r="H480" t="s">
        <v>63</v>
      </c>
      <c r="I480" t="s">
        <v>56</v>
      </c>
      <c r="J480" t="s">
        <v>67</v>
      </c>
      <c r="K480" t="s">
        <v>66</v>
      </c>
      <c r="L480" t="s">
        <v>58</v>
      </c>
      <c r="M480" t="s">
        <v>58</v>
      </c>
      <c r="N480">
        <v>3</v>
      </c>
      <c r="O480">
        <v>3</v>
      </c>
      <c r="P480">
        <v>5</v>
      </c>
      <c r="Q480">
        <v>3</v>
      </c>
      <c r="R480">
        <v>4</v>
      </c>
      <c r="S480">
        <v>4</v>
      </c>
      <c r="T480">
        <v>3</v>
      </c>
      <c r="U480">
        <v>4</v>
      </c>
      <c r="V480">
        <v>5</v>
      </c>
      <c r="W480">
        <v>4</v>
      </c>
      <c r="X480">
        <v>3</v>
      </c>
      <c r="Y480">
        <v>4</v>
      </c>
      <c r="Z480">
        <v>3</v>
      </c>
      <c r="AA480">
        <v>2</v>
      </c>
      <c r="AB480">
        <v>2</v>
      </c>
      <c r="AC480">
        <v>3</v>
      </c>
      <c r="AD480">
        <v>2</v>
      </c>
      <c r="AE480">
        <v>3</v>
      </c>
      <c r="AF480">
        <v>2</v>
      </c>
      <c r="AG480">
        <v>2</v>
      </c>
      <c r="AH480">
        <v>4</v>
      </c>
      <c r="AI480">
        <v>2</v>
      </c>
      <c r="AJ480">
        <v>4</v>
      </c>
      <c r="AK480" t="b">
        <f>Table67[[#This Row],[What is your age?]]&lt;&gt;"18 - 25"</f>
        <v>0</v>
      </c>
      <c r="AL480" t="b">
        <f t="shared" si="28"/>
        <v>0</v>
      </c>
      <c r="AM480" t="b">
        <f t="shared" si="29"/>
        <v>0</v>
      </c>
      <c r="AN480" t="b">
        <f t="shared" si="30"/>
        <v>0</v>
      </c>
      <c r="AO480" t="b">
        <f>OR(Table67[[#This Row],[Ineligible respondents]:[Inconsistent response on opposite question (3)]])</f>
        <v>0</v>
      </c>
      <c r="AP48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480">
        <f>Table67[[#This Row],[Extreme Response]]/21</f>
        <v>9.5238095238095233E-2</v>
      </c>
      <c r="AR480">
        <f>_xlfn.PERCENTILE.INC(Table67[Extrem Response Ratio (ERS)],0.9)</f>
        <v>0.61904761904761907</v>
      </c>
      <c r="AS480" t="b">
        <f>Table67[[#This Row],[Extrem Response Ratio (ERS)]]&gt;=Table67[[#This Row],[Threshold of ERS]]</f>
        <v>0</v>
      </c>
      <c r="AT480">
        <f>COUNTIF(Table67[[#This Row],[The mechanism of digital assets is difficult to understand, which discourages me from exploring it (E.g, Tokenization, Blockchain)]:[If I want to try different ways to invest, I will explore digital assets.]], 3)</f>
        <v>8</v>
      </c>
      <c r="AU480">
        <f>Table67[[#This Row],[Midpoint]]/21</f>
        <v>0.38095238095238093</v>
      </c>
      <c r="AV480">
        <f>_xlfn.PERCENTILE.INC(Table67[Midpoint ratio],0.9)</f>
        <v>0.5714285714285714</v>
      </c>
      <c r="AW480" t="b">
        <f>Table67[[#This Row],[Midpoint ratio]]&gt;=Table67[[#This Row],[Threshold of Midpoint ratio]]</f>
        <v>0</v>
      </c>
      <c r="AX480" t="b">
        <f>OR(Table67[[#This Row],[Extreme Response Style]],Table67[[#This Row],[Mid-point Response Style]])</f>
        <v>0</v>
      </c>
      <c r="AY480" t="b">
        <f>OR(Table67[[#This Row],[Delete? (Stage 1)]],Table67[[#This Row],[Delete? (Stage 2)]])</f>
        <v>0</v>
      </c>
      <c r="AZ480" t="s">
        <v>81</v>
      </c>
    </row>
    <row r="481" spans="1:52">
      <c r="A481">
        <f t="shared" si="31"/>
        <v>480</v>
      </c>
      <c r="B481" s="3">
        <v>46043.644872685203</v>
      </c>
      <c r="C481" s="3">
        <v>46043.6475347222</v>
      </c>
      <c r="D481" t="s">
        <v>53</v>
      </c>
      <c r="G481" t="s">
        <v>54</v>
      </c>
      <c r="H481" t="s">
        <v>55</v>
      </c>
      <c r="I481" t="s">
        <v>56</v>
      </c>
      <c r="J481" t="s">
        <v>57</v>
      </c>
      <c r="K481" t="s">
        <v>57</v>
      </c>
      <c r="L481" t="s">
        <v>61</v>
      </c>
      <c r="M481" t="s">
        <v>58</v>
      </c>
      <c r="N481">
        <v>3</v>
      </c>
      <c r="O481">
        <v>2</v>
      </c>
      <c r="P481">
        <v>4</v>
      </c>
      <c r="Q481">
        <v>4</v>
      </c>
      <c r="R481">
        <v>4</v>
      </c>
      <c r="S481">
        <v>5</v>
      </c>
      <c r="T481">
        <v>3</v>
      </c>
      <c r="U481">
        <v>4</v>
      </c>
      <c r="V481">
        <v>5</v>
      </c>
      <c r="W481">
        <v>3</v>
      </c>
      <c r="X481">
        <v>4</v>
      </c>
      <c r="Y481">
        <v>4</v>
      </c>
      <c r="Z481">
        <v>3</v>
      </c>
      <c r="AA481">
        <v>4</v>
      </c>
      <c r="AB481">
        <v>2</v>
      </c>
      <c r="AC481">
        <v>3</v>
      </c>
      <c r="AD481">
        <v>3</v>
      </c>
      <c r="AE481">
        <v>4</v>
      </c>
      <c r="AF481">
        <v>3</v>
      </c>
      <c r="AG481">
        <v>3</v>
      </c>
      <c r="AH481">
        <v>4</v>
      </c>
      <c r="AI481">
        <v>2</v>
      </c>
      <c r="AJ481">
        <v>3</v>
      </c>
      <c r="AK481" t="b">
        <f>Table67[[#This Row],[What is your age?]]&lt;&gt;"18 - 25"</f>
        <v>0</v>
      </c>
      <c r="AL481" t="b">
        <f t="shared" si="28"/>
        <v>0</v>
      </c>
      <c r="AM481" t="b">
        <f t="shared" si="29"/>
        <v>0</v>
      </c>
      <c r="AN481" t="b">
        <f t="shared" si="30"/>
        <v>1</v>
      </c>
      <c r="AO481" t="b">
        <f>OR(Table67[[#This Row],[Ineligible respondents]:[Inconsistent response on opposite question (3)]])</f>
        <v>1</v>
      </c>
      <c r="AP48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481">
        <f>Table67[[#This Row],[Extreme Response]]/21</f>
        <v>9.5238095238095233E-2</v>
      </c>
      <c r="AR481">
        <f>_xlfn.PERCENTILE.INC(Table67[Extrem Response Ratio (ERS)],0.9)</f>
        <v>0.61904761904761907</v>
      </c>
      <c r="AS481" t="b">
        <f>Table67[[#This Row],[Extrem Response Ratio (ERS)]]&gt;=Table67[[#This Row],[Threshold of ERS]]</f>
        <v>0</v>
      </c>
      <c r="AT481">
        <f>COUNTIF(Table67[[#This Row],[The mechanism of digital assets is difficult to understand, which discourages me from exploring it (E.g, Tokenization, Blockchain)]:[If I want to try different ways to invest, I will explore digital assets.]], 3)</f>
        <v>8</v>
      </c>
      <c r="AU481">
        <f>Table67[[#This Row],[Midpoint]]/21</f>
        <v>0.38095238095238093</v>
      </c>
      <c r="AV481">
        <f>_xlfn.PERCENTILE.INC(Table67[Midpoint ratio],0.9)</f>
        <v>0.5714285714285714</v>
      </c>
      <c r="AW481" t="b">
        <f>Table67[[#This Row],[Midpoint ratio]]&gt;=Table67[[#This Row],[Threshold of Midpoint ratio]]</f>
        <v>0</v>
      </c>
      <c r="AX481" t="b">
        <f>OR(Table67[[#This Row],[Extreme Response Style]],Table67[[#This Row],[Mid-point Response Style]])</f>
        <v>0</v>
      </c>
      <c r="AY481" t="b">
        <f>OR(Table67[[#This Row],[Delete? (Stage 1)]],Table67[[#This Row],[Delete? (Stage 2)]])</f>
        <v>1</v>
      </c>
      <c r="AZ481" t="s">
        <v>81</v>
      </c>
    </row>
    <row r="482" spans="1:52">
      <c r="A482">
        <f t="shared" si="31"/>
        <v>481</v>
      </c>
      <c r="B482" s="3">
        <v>46043.645682870403</v>
      </c>
      <c r="C482" s="3">
        <v>46043.647442129601</v>
      </c>
      <c r="D482" t="s">
        <v>53</v>
      </c>
      <c r="G482" t="s">
        <v>54</v>
      </c>
      <c r="H482" t="s">
        <v>55</v>
      </c>
      <c r="I482" t="s">
        <v>56</v>
      </c>
      <c r="J482" t="s">
        <v>64</v>
      </c>
      <c r="K482" t="s">
        <v>60</v>
      </c>
      <c r="L482" t="s">
        <v>58</v>
      </c>
      <c r="M482" t="s">
        <v>61</v>
      </c>
      <c r="N482">
        <v>3</v>
      </c>
      <c r="O482">
        <v>3</v>
      </c>
      <c r="P482">
        <v>4</v>
      </c>
      <c r="Q482">
        <v>4</v>
      </c>
      <c r="R482">
        <v>2</v>
      </c>
      <c r="S482">
        <v>2</v>
      </c>
      <c r="T482">
        <v>2</v>
      </c>
      <c r="U482">
        <v>2</v>
      </c>
      <c r="V482">
        <v>3</v>
      </c>
      <c r="W482">
        <v>3</v>
      </c>
      <c r="X482">
        <v>3</v>
      </c>
      <c r="Y482">
        <v>4</v>
      </c>
      <c r="Z482">
        <v>5</v>
      </c>
      <c r="AA482">
        <v>2</v>
      </c>
      <c r="AB482">
        <v>2</v>
      </c>
      <c r="AC482">
        <v>2</v>
      </c>
      <c r="AD482">
        <v>4</v>
      </c>
      <c r="AE482">
        <v>3</v>
      </c>
      <c r="AF482">
        <v>5</v>
      </c>
      <c r="AG482">
        <v>2</v>
      </c>
      <c r="AH482">
        <v>4</v>
      </c>
      <c r="AI482">
        <v>2</v>
      </c>
      <c r="AJ482">
        <v>1</v>
      </c>
      <c r="AK482" t="b">
        <f>Table67[[#This Row],[What is your age?]]&lt;&gt;"18 - 25"</f>
        <v>0</v>
      </c>
      <c r="AL482" t="b">
        <f t="shared" si="28"/>
        <v>0</v>
      </c>
      <c r="AM482" t="b">
        <f t="shared" si="29"/>
        <v>0</v>
      </c>
      <c r="AN482" t="b">
        <f t="shared" si="30"/>
        <v>0</v>
      </c>
      <c r="AO482" t="b">
        <f>OR(Table67[[#This Row],[Ineligible respondents]:[Inconsistent response on opposite question (3)]])</f>
        <v>0</v>
      </c>
      <c r="AP48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482">
        <f>Table67[[#This Row],[Extreme Response]]/21</f>
        <v>9.5238095238095233E-2</v>
      </c>
      <c r="AR482">
        <f>_xlfn.PERCENTILE.INC(Table67[Extrem Response Ratio (ERS)],0.9)</f>
        <v>0.61904761904761907</v>
      </c>
      <c r="AS482" t="b">
        <f>Table67[[#This Row],[Extrem Response Ratio (ERS)]]&gt;=Table67[[#This Row],[Threshold of ERS]]</f>
        <v>0</v>
      </c>
      <c r="AT482">
        <f>COUNTIF(Table67[[#This Row],[The mechanism of digital assets is difficult to understand, which discourages me from exploring it (E.g, Tokenization, Blockchain)]:[If I want to try different ways to invest, I will explore digital assets.]], 3)</f>
        <v>6</v>
      </c>
      <c r="AU482">
        <f>Table67[[#This Row],[Midpoint]]/21</f>
        <v>0.2857142857142857</v>
      </c>
      <c r="AV482">
        <f>_xlfn.PERCENTILE.INC(Table67[Midpoint ratio],0.9)</f>
        <v>0.5714285714285714</v>
      </c>
      <c r="AW482" t="b">
        <f>Table67[[#This Row],[Midpoint ratio]]&gt;=Table67[[#This Row],[Threshold of Midpoint ratio]]</f>
        <v>0</v>
      </c>
      <c r="AX482" t="b">
        <f>OR(Table67[[#This Row],[Extreme Response Style]],Table67[[#This Row],[Mid-point Response Style]])</f>
        <v>0</v>
      </c>
      <c r="AY482" t="b">
        <f>OR(Table67[[#This Row],[Delete? (Stage 1)]],Table67[[#This Row],[Delete? (Stage 2)]])</f>
        <v>0</v>
      </c>
      <c r="AZ482" t="s">
        <v>81</v>
      </c>
    </row>
    <row r="483" spans="1:52">
      <c r="A483">
        <f t="shared" si="31"/>
        <v>482</v>
      </c>
      <c r="B483" s="3">
        <v>46043.645833333299</v>
      </c>
      <c r="C483" s="3">
        <v>46043.647256944401</v>
      </c>
      <c r="D483" t="s">
        <v>53</v>
      </c>
      <c r="G483" t="s">
        <v>54</v>
      </c>
      <c r="H483" t="s">
        <v>63</v>
      </c>
      <c r="I483" t="s">
        <v>56</v>
      </c>
      <c r="J483" t="s">
        <v>62</v>
      </c>
      <c r="K483" t="s">
        <v>57</v>
      </c>
      <c r="L483" t="s">
        <v>58</v>
      </c>
      <c r="M483" t="s">
        <v>58</v>
      </c>
      <c r="N483">
        <v>3</v>
      </c>
      <c r="O483">
        <v>3</v>
      </c>
      <c r="P483">
        <v>3</v>
      </c>
      <c r="Q483">
        <v>3</v>
      </c>
      <c r="R483">
        <v>3</v>
      </c>
      <c r="S483">
        <v>4</v>
      </c>
      <c r="T483">
        <v>2</v>
      </c>
      <c r="U483">
        <v>2</v>
      </c>
      <c r="V483">
        <v>3</v>
      </c>
      <c r="W483">
        <v>4</v>
      </c>
      <c r="X483">
        <v>3</v>
      </c>
      <c r="Y483">
        <v>3</v>
      </c>
      <c r="Z483">
        <v>3</v>
      </c>
      <c r="AA483">
        <v>3</v>
      </c>
      <c r="AB483">
        <v>4</v>
      </c>
      <c r="AC483">
        <v>3</v>
      </c>
      <c r="AD483">
        <v>3</v>
      </c>
      <c r="AE483">
        <v>2</v>
      </c>
      <c r="AF483">
        <v>2</v>
      </c>
      <c r="AG483">
        <v>3</v>
      </c>
      <c r="AH483">
        <v>3</v>
      </c>
      <c r="AI483">
        <v>3</v>
      </c>
      <c r="AJ483">
        <v>4</v>
      </c>
      <c r="AK483" t="b">
        <f>Table67[[#This Row],[What is your age?]]&lt;&gt;"18 - 25"</f>
        <v>0</v>
      </c>
      <c r="AL483" t="b">
        <f t="shared" si="28"/>
        <v>0</v>
      </c>
      <c r="AM483" t="b">
        <f t="shared" si="29"/>
        <v>0</v>
      </c>
      <c r="AN483" t="b">
        <f t="shared" si="30"/>
        <v>0</v>
      </c>
      <c r="AO483" t="b">
        <f>OR(Table67[[#This Row],[Ineligible respondents]:[Inconsistent response on opposite question (3)]])</f>
        <v>0</v>
      </c>
      <c r="AP48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83">
        <f>Table67[[#This Row],[Extreme Response]]/21</f>
        <v>0</v>
      </c>
      <c r="AR483">
        <f>_xlfn.PERCENTILE.INC(Table67[Extrem Response Ratio (ERS)],0.9)</f>
        <v>0.61904761904761907</v>
      </c>
      <c r="AS483" t="b">
        <f>Table67[[#This Row],[Extrem Response Ratio (ERS)]]&gt;=Table67[[#This Row],[Threshold of ERS]]</f>
        <v>0</v>
      </c>
      <c r="AT483">
        <f>COUNTIF(Table67[[#This Row],[The mechanism of digital assets is difficult to understand, which discourages me from exploring it (E.g, Tokenization, Blockchain)]:[If I want to try different ways to invest, I will explore digital assets.]], 3)</f>
        <v>14</v>
      </c>
      <c r="AU483">
        <f>Table67[[#This Row],[Midpoint]]/21</f>
        <v>0.66666666666666663</v>
      </c>
      <c r="AV483">
        <f>_xlfn.PERCENTILE.INC(Table67[Midpoint ratio],0.9)</f>
        <v>0.5714285714285714</v>
      </c>
      <c r="AW483" t="b">
        <f>Table67[[#This Row],[Midpoint ratio]]&gt;=Table67[[#This Row],[Threshold of Midpoint ratio]]</f>
        <v>1</v>
      </c>
      <c r="AX483" t="b">
        <f>OR(Table67[[#This Row],[Extreme Response Style]],Table67[[#This Row],[Mid-point Response Style]])</f>
        <v>1</v>
      </c>
      <c r="AY483" t="b">
        <f>OR(Table67[[#This Row],[Delete? (Stage 1)]],Table67[[#This Row],[Delete? (Stage 2)]])</f>
        <v>1</v>
      </c>
      <c r="AZ483" t="s">
        <v>81</v>
      </c>
    </row>
    <row r="484" spans="1:52">
      <c r="A484">
        <f t="shared" si="31"/>
        <v>483</v>
      </c>
      <c r="B484" s="3">
        <v>46043.646666666697</v>
      </c>
      <c r="C484" s="3">
        <v>46043.6473148148</v>
      </c>
      <c r="D484" t="s">
        <v>53</v>
      </c>
      <c r="G484" t="s">
        <v>54</v>
      </c>
      <c r="H484" t="s">
        <v>55</v>
      </c>
      <c r="I484" t="s">
        <v>56</v>
      </c>
      <c r="J484" t="s">
        <v>57</v>
      </c>
      <c r="K484" t="s">
        <v>57</v>
      </c>
      <c r="L484" t="s">
        <v>61</v>
      </c>
      <c r="M484" t="s">
        <v>58</v>
      </c>
      <c r="N484">
        <v>3</v>
      </c>
      <c r="O484">
        <v>3</v>
      </c>
      <c r="P484">
        <v>3</v>
      </c>
      <c r="Q484">
        <v>3</v>
      </c>
      <c r="R484">
        <v>3</v>
      </c>
      <c r="S484">
        <v>3</v>
      </c>
      <c r="T484">
        <v>3</v>
      </c>
      <c r="U484">
        <v>3</v>
      </c>
      <c r="V484">
        <v>3</v>
      </c>
      <c r="W484">
        <v>3</v>
      </c>
      <c r="X484">
        <v>3</v>
      </c>
      <c r="Y484">
        <v>3</v>
      </c>
      <c r="Z484">
        <v>3</v>
      </c>
      <c r="AA484">
        <v>3</v>
      </c>
      <c r="AB484">
        <v>3</v>
      </c>
      <c r="AC484">
        <v>3</v>
      </c>
      <c r="AD484">
        <v>3</v>
      </c>
      <c r="AE484">
        <v>3</v>
      </c>
      <c r="AF484">
        <v>3</v>
      </c>
      <c r="AG484">
        <v>3</v>
      </c>
      <c r="AH484">
        <v>3</v>
      </c>
      <c r="AI484">
        <v>3</v>
      </c>
      <c r="AJ484">
        <v>3</v>
      </c>
      <c r="AK484" t="b">
        <f>Table67[[#This Row],[What is your age?]]&lt;&gt;"18 - 25"</f>
        <v>0</v>
      </c>
      <c r="AL484" t="b">
        <f t="shared" si="28"/>
        <v>1</v>
      </c>
      <c r="AM484" t="b">
        <f t="shared" si="29"/>
        <v>0</v>
      </c>
      <c r="AN484" t="b">
        <f t="shared" si="30"/>
        <v>0</v>
      </c>
      <c r="AO484" t="b">
        <f>OR(Table67[[#This Row],[Ineligible respondents]:[Inconsistent response on opposite question (3)]])</f>
        <v>1</v>
      </c>
      <c r="AP48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84">
        <f>Table67[[#This Row],[Extreme Response]]/21</f>
        <v>0</v>
      </c>
      <c r="AR484">
        <f>_xlfn.PERCENTILE.INC(Table67[Extrem Response Ratio (ERS)],0.9)</f>
        <v>0.61904761904761907</v>
      </c>
      <c r="AS484" t="b">
        <f>Table67[[#This Row],[Extrem Response Ratio (ERS)]]&gt;=Table67[[#This Row],[Threshold of ERS]]</f>
        <v>0</v>
      </c>
      <c r="AT484">
        <f>COUNTIF(Table67[[#This Row],[The mechanism of digital assets is difficult to understand, which discourages me from exploring it (E.g, Tokenization, Blockchain)]:[If I want to try different ways to invest, I will explore digital assets.]], 3)</f>
        <v>21</v>
      </c>
      <c r="AU484">
        <f>Table67[[#This Row],[Midpoint]]/21</f>
        <v>1</v>
      </c>
      <c r="AV484">
        <f>_xlfn.PERCENTILE.INC(Table67[Midpoint ratio],0.9)</f>
        <v>0.5714285714285714</v>
      </c>
      <c r="AW484" t="b">
        <f>Table67[[#This Row],[Midpoint ratio]]&gt;=Table67[[#This Row],[Threshold of Midpoint ratio]]</f>
        <v>1</v>
      </c>
      <c r="AX484" t="b">
        <f>OR(Table67[[#This Row],[Extreme Response Style]],Table67[[#This Row],[Mid-point Response Style]])</f>
        <v>1</v>
      </c>
      <c r="AY484" t="b">
        <f>OR(Table67[[#This Row],[Delete? (Stage 1)]],Table67[[#This Row],[Delete? (Stage 2)]])</f>
        <v>1</v>
      </c>
      <c r="AZ484" t="s">
        <v>81</v>
      </c>
    </row>
    <row r="485" spans="1:52">
      <c r="A485">
        <f t="shared" si="31"/>
        <v>484</v>
      </c>
      <c r="B485" s="3">
        <v>46043.684374999997</v>
      </c>
      <c r="C485" s="3">
        <v>46043.686481481498</v>
      </c>
      <c r="D485" t="s">
        <v>53</v>
      </c>
      <c r="G485" t="s">
        <v>54</v>
      </c>
      <c r="H485" t="s">
        <v>63</v>
      </c>
      <c r="I485" t="s">
        <v>56</v>
      </c>
      <c r="J485" t="s">
        <v>60</v>
      </c>
      <c r="K485" t="s">
        <v>57</v>
      </c>
      <c r="L485" t="s">
        <v>58</v>
      </c>
      <c r="M485" t="s">
        <v>61</v>
      </c>
      <c r="N485">
        <v>4</v>
      </c>
      <c r="O485">
        <v>4</v>
      </c>
      <c r="P485">
        <v>5</v>
      </c>
      <c r="Q485">
        <v>4</v>
      </c>
      <c r="R485">
        <v>4</v>
      </c>
      <c r="S485">
        <v>4</v>
      </c>
      <c r="T485">
        <v>3</v>
      </c>
      <c r="U485">
        <v>5</v>
      </c>
      <c r="V485">
        <v>5</v>
      </c>
      <c r="W485">
        <v>5</v>
      </c>
      <c r="X485">
        <v>4</v>
      </c>
      <c r="Y485">
        <v>5</v>
      </c>
      <c r="Z485">
        <v>4</v>
      </c>
      <c r="AA485">
        <v>4</v>
      </c>
      <c r="AB485">
        <v>4</v>
      </c>
      <c r="AC485">
        <v>2</v>
      </c>
      <c r="AD485">
        <v>4</v>
      </c>
      <c r="AE485">
        <v>1</v>
      </c>
      <c r="AF485">
        <v>3</v>
      </c>
      <c r="AG485">
        <v>4</v>
      </c>
      <c r="AH485">
        <v>4</v>
      </c>
      <c r="AI485">
        <v>2</v>
      </c>
      <c r="AJ485">
        <v>3</v>
      </c>
      <c r="AK485" t="b">
        <f>Table67[[#This Row],[What is your age?]]&lt;&gt;"18 - 25"</f>
        <v>0</v>
      </c>
      <c r="AL485" t="b">
        <f t="shared" si="28"/>
        <v>0</v>
      </c>
      <c r="AM485" t="b">
        <f t="shared" si="29"/>
        <v>1</v>
      </c>
      <c r="AN485" t="b">
        <f t="shared" si="30"/>
        <v>0</v>
      </c>
      <c r="AO485" t="b">
        <f>OR(Table67[[#This Row],[Ineligible respondents]:[Inconsistent response on opposite question (3)]])</f>
        <v>1</v>
      </c>
      <c r="AP48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485">
        <f>Table67[[#This Row],[Extreme Response]]/21</f>
        <v>0.2857142857142857</v>
      </c>
      <c r="AR485">
        <f>_xlfn.PERCENTILE.INC(Table67[Extrem Response Ratio (ERS)],0.9)</f>
        <v>0.61904761904761907</v>
      </c>
      <c r="AS485" t="b">
        <f>Table67[[#This Row],[Extrem Response Ratio (ERS)]]&gt;=Table67[[#This Row],[Threshold of ERS]]</f>
        <v>0</v>
      </c>
      <c r="AT485">
        <f>COUNTIF(Table67[[#This Row],[The mechanism of digital assets is difficult to understand, which discourages me from exploring it (E.g, Tokenization, Blockchain)]:[If I want to try different ways to invest, I will explore digital assets.]], 3)</f>
        <v>2</v>
      </c>
      <c r="AU485">
        <f>Table67[[#This Row],[Midpoint]]/21</f>
        <v>9.5238095238095233E-2</v>
      </c>
      <c r="AV485">
        <f>_xlfn.PERCENTILE.INC(Table67[Midpoint ratio],0.9)</f>
        <v>0.5714285714285714</v>
      </c>
      <c r="AW485" t="b">
        <f>Table67[[#This Row],[Midpoint ratio]]&gt;=Table67[[#This Row],[Threshold of Midpoint ratio]]</f>
        <v>0</v>
      </c>
      <c r="AX485" t="b">
        <f>OR(Table67[[#This Row],[Extreme Response Style]],Table67[[#This Row],[Mid-point Response Style]])</f>
        <v>0</v>
      </c>
      <c r="AY485" t="b">
        <f>OR(Table67[[#This Row],[Delete? (Stage 1)]],Table67[[#This Row],[Delete? (Stage 2)]])</f>
        <v>1</v>
      </c>
      <c r="AZ485" t="s">
        <v>81</v>
      </c>
    </row>
    <row r="486" spans="1:52">
      <c r="A486">
        <f t="shared" si="31"/>
        <v>485</v>
      </c>
      <c r="B486" s="3">
        <v>46043.686388888898</v>
      </c>
      <c r="C486" s="3">
        <v>46043.6870949074</v>
      </c>
      <c r="D486" t="s">
        <v>53</v>
      </c>
      <c r="G486" t="s">
        <v>54</v>
      </c>
      <c r="H486" t="s">
        <v>55</v>
      </c>
      <c r="I486" t="s">
        <v>71</v>
      </c>
      <c r="J486" t="s">
        <v>57</v>
      </c>
      <c r="K486" t="s">
        <v>66</v>
      </c>
      <c r="L486" t="s">
        <v>58</v>
      </c>
      <c r="M486" t="s">
        <v>61</v>
      </c>
      <c r="N486">
        <v>5</v>
      </c>
      <c r="O486">
        <v>3</v>
      </c>
      <c r="P486">
        <v>3</v>
      </c>
      <c r="Q486">
        <v>3</v>
      </c>
      <c r="R486">
        <v>4</v>
      </c>
      <c r="S486">
        <v>3</v>
      </c>
      <c r="T486">
        <v>4</v>
      </c>
      <c r="U486">
        <v>4</v>
      </c>
      <c r="V486">
        <v>4</v>
      </c>
      <c r="W486">
        <v>3</v>
      </c>
      <c r="X486">
        <v>3</v>
      </c>
      <c r="Y486">
        <v>3</v>
      </c>
      <c r="Z486">
        <v>3</v>
      </c>
      <c r="AA486">
        <v>3</v>
      </c>
      <c r="AB486">
        <v>3</v>
      </c>
      <c r="AC486">
        <v>3</v>
      </c>
      <c r="AD486">
        <v>3</v>
      </c>
      <c r="AE486">
        <v>3</v>
      </c>
      <c r="AF486">
        <v>3</v>
      </c>
      <c r="AG486">
        <v>3</v>
      </c>
      <c r="AH486">
        <v>3</v>
      </c>
      <c r="AI486">
        <v>3</v>
      </c>
      <c r="AJ486">
        <v>3</v>
      </c>
      <c r="AK486" t="b">
        <f>Table67[[#This Row],[What is your age?]]&lt;&gt;"18 - 25"</f>
        <v>0</v>
      </c>
      <c r="AL486" t="b">
        <f t="shared" si="28"/>
        <v>0</v>
      </c>
      <c r="AM486" t="b">
        <f t="shared" si="29"/>
        <v>0</v>
      </c>
      <c r="AN486" t="b">
        <f t="shared" si="30"/>
        <v>0</v>
      </c>
      <c r="AO486" t="b">
        <f>OR(Table67[[#This Row],[Ineligible respondents]:[Inconsistent response on opposite question (3)]])</f>
        <v>0</v>
      </c>
      <c r="AP48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486">
        <f>Table67[[#This Row],[Extreme Response]]/21</f>
        <v>4.7619047619047616E-2</v>
      </c>
      <c r="AR486">
        <f>_xlfn.PERCENTILE.INC(Table67[Extrem Response Ratio (ERS)],0.9)</f>
        <v>0.61904761904761907</v>
      </c>
      <c r="AS486" t="b">
        <f>Table67[[#This Row],[Extrem Response Ratio (ERS)]]&gt;=Table67[[#This Row],[Threshold of ERS]]</f>
        <v>0</v>
      </c>
      <c r="AT486">
        <f>COUNTIF(Table67[[#This Row],[The mechanism of digital assets is difficult to understand, which discourages me from exploring it (E.g, Tokenization, Blockchain)]:[If I want to try different ways to invest, I will explore digital assets.]], 3)</f>
        <v>16</v>
      </c>
      <c r="AU486">
        <f>Table67[[#This Row],[Midpoint]]/21</f>
        <v>0.76190476190476186</v>
      </c>
      <c r="AV486">
        <f>_xlfn.PERCENTILE.INC(Table67[Midpoint ratio],0.9)</f>
        <v>0.5714285714285714</v>
      </c>
      <c r="AW486" t="b">
        <f>Table67[[#This Row],[Midpoint ratio]]&gt;=Table67[[#This Row],[Threshold of Midpoint ratio]]</f>
        <v>1</v>
      </c>
      <c r="AX486" t="b">
        <f>OR(Table67[[#This Row],[Extreme Response Style]],Table67[[#This Row],[Mid-point Response Style]])</f>
        <v>1</v>
      </c>
      <c r="AY486" t="b">
        <f>OR(Table67[[#This Row],[Delete? (Stage 1)]],Table67[[#This Row],[Delete? (Stage 2)]])</f>
        <v>1</v>
      </c>
      <c r="AZ486" t="s">
        <v>81</v>
      </c>
    </row>
    <row r="487" spans="1:52">
      <c r="A487">
        <f t="shared" si="31"/>
        <v>486</v>
      </c>
      <c r="B487" s="3">
        <v>46043.6895717593</v>
      </c>
      <c r="C487" s="3">
        <v>46043.690740740698</v>
      </c>
      <c r="D487" t="s">
        <v>53</v>
      </c>
      <c r="G487" t="s">
        <v>54</v>
      </c>
      <c r="H487" t="s">
        <v>63</v>
      </c>
      <c r="I487" t="s">
        <v>71</v>
      </c>
      <c r="J487" t="s">
        <v>57</v>
      </c>
      <c r="K487" t="s">
        <v>57</v>
      </c>
      <c r="L487" t="s">
        <v>58</v>
      </c>
      <c r="M487" t="s">
        <v>61</v>
      </c>
      <c r="N487">
        <v>3</v>
      </c>
      <c r="O487">
        <v>3</v>
      </c>
      <c r="P487">
        <v>3</v>
      </c>
      <c r="Q487">
        <v>3</v>
      </c>
      <c r="R487">
        <v>3</v>
      </c>
      <c r="S487">
        <v>3</v>
      </c>
      <c r="T487">
        <v>3</v>
      </c>
      <c r="U487">
        <v>3</v>
      </c>
      <c r="V487">
        <v>3</v>
      </c>
      <c r="W487">
        <v>3</v>
      </c>
      <c r="X487">
        <v>3</v>
      </c>
      <c r="Y487">
        <v>3</v>
      </c>
      <c r="Z487">
        <v>3</v>
      </c>
      <c r="AA487">
        <v>3</v>
      </c>
      <c r="AB487">
        <v>3</v>
      </c>
      <c r="AC487">
        <v>3</v>
      </c>
      <c r="AD487">
        <v>3</v>
      </c>
      <c r="AE487">
        <v>3</v>
      </c>
      <c r="AF487">
        <v>3</v>
      </c>
      <c r="AG487">
        <v>3</v>
      </c>
      <c r="AH487">
        <v>3</v>
      </c>
      <c r="AI487">
        <v>3</v>
      </c>
      <c r="AJ487">
        <v>3</v>
      </c>
      <c r="AK487" t="b">
        <f>Table67[[#This Row],[What is your age?]]&lt;&gt;"18 - 25"</f>
        <v>0</v>
      </c>
      <c r="AL487" t="b">
        <f t="shared" si="28"/>
        <v>1</v>
      </c>
      <c r="AM487" t="b">
        <f t="shared" si="29"/>
        <v>0</v>
      </c>
      <c r="AN487" t="b">
        <f t="shared" si="30"/>
        <v>0</v>
      </c>
      <c r="AO487" t="b">
        <f>OR(Table67[[#This Row],[Ineligible respondents]:[Inconsistent response on opposite question (3)]])</f>
        <v>1</v>
      </c>
      <c r="AP48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87">
        <f>Table67[[#This Row],[Extreme Response]]/21</f>
        <v>0</v>
      </c>
      <c r="AR487">
        <f>_xlfn.PERCENTILE.INC(Table67[Extrem Response Ratio (ERS)],0.9)</f>
        <v>0.61904761904761907</v>
      </c>
      <c r="AS487" t="b">
        <f>Table67[[#This Row],[Extrem Response Ratio (ERS)]]&gt;=Table67[[#This Row],[Threshold of ERS]]</f>
        <v>0</v>
      </c>
      <c r="AT487">
        <f>COUNTIF(Table67[[#This Row],[The mechanism of digital assets is difficult to understand, which discourages me from exploring it (E.g, Tokenization, Blockchain)]:[If I want to try different ways to invest, I will explore digital assets.]], 3)</f>
        <v>21</v>
      </c>
      <c r="AU487">
        <f>Table67[[#This Row],[Midpoint]]/21</f>
        <v>1</v>
      </c>
      <c r="AV487">
        <f>_xlfn.PERCENTILE.INC(Table67[Midpoint ratio],0.9)</f>
        <v>0.5714285714285714</v>
      </c>
      <c r="AW487" t="b">
        <f>Table67[[#This Row],[Midpoint ratio]]&gt;=Table67[[#This Row],[Threshold of Midpoint ratio]]</f>
        <v>1</v>
      </c>
      <c r="AX487" t="b">
        <f>OR(Table67[[#This Row],[Extreme Response Style]],Table67[[#This Row],[Mid-point Response Style]])</f>
        <v>1</v>
      </c>
      <c r="AY487" t="b">
        <f>OR(Table67[[#This Row],[Delete? (Stage 1)]],Table67[[#This Row],[Delete? (Stage 2)]])</f>
        <v>1</v>
      </c>
      <c r="AZ487" t="s">
        <v>81</v>
      </c>
    </row>
    <row r="488" spans="1:52">
      <c r="A488">
        <f t="shared" si="31"/>
        <v>487</v>
      </c>
      <c r="B488" s="3">
        <v>46043.689675925903</v>
      </c>
      <c r="C488" s="3">
        <v>46043.690925925897</v>
      </c>
      <c r="D488" t="s">
        <v>53</v>
      </c>
      <c r="G488" t="s">
        <v>54</v>
      </c>
      <c r="H488" t="s">
        <v>63</v>
      </c>
      <c r="I488" t="s">
        <v>56</v>
      </c>
      <c r="J488" t="s">
        <v>57</v>
      </c>
      <c r="K488" t="s">
        <v>57</v>
      </c>
      <c r="L488" t="s">
        <v>58</v>
      </c>
      <c r="M488" t="s">
        <v>61</v>
      </c>
      <c r="N488">
        <v>3</v>
      </c>
      <c r="O488">
        <v>3</v>
      </c>
      <c r="P488">
        <v>3</v>
      </c>
      <c r="Q488">
        <v>3</v>
      </c>
      <c r="R488">
        <v>3</v>
      </c>
      <c r="S488">
        <v>3</v>
      </c>
      <c r="T488">
        <v>3</v>
      </c>
      <c r="U488">
        <v>3</v>
      </c>
      <c r="V488">
        <v>3</v>
      </c>
      <c r="W488">
        <v>3</v>
      </c>
      <c r="X488">
        <v>3</v>
      </c>
      <c r="Y488">
        <v>3</v>
      </c>
      <c r="Z488">
        <v>3</v>
      </c>
      <c r="AA488">
        <v>3</v>
      </c>
      <c r="AB488">
        <v>3</v>
      </c>
      <c r="AC488">
        <v>3</v>
      </c>
      <c r="AD488">
        <v>3</v>
      </c>
      <c r="AE488">
        <v>3</v>
      </c>
      <c r="AF488">
        <v>3</v>
      </c>
      <c r="AG488">
        <v>3</v>
      </c>
      <c r="AH488">
        <v>3</v>
      </c>
      <c r="AI488">
        <v>3</v>
      </c>
      <c r="AJ488">
        <v>3</v>
      </c>
      <c r="AK488" t="b">
        <f>Table67[[#This Row],[What is your age?]]&lt;&gt;"18 - 25"</f>
        <v>0</v>
      </c>
      <c r="AL488" t="b">
        <f t="shared" si="28"/>
        <v>1</v>
      </c>
      <c r="AM488" t="b">
        <f t="shared" si="29"/>
        <v>0</v>
      </c>
      <c r="AN488" t="b">
        <f t="shared" si="30"/>
        <v>0</v>
      </c>
      <c r="AO488" t="b">
        <f>OR(Table67[[#This Row],[Ineligible respondents]:[Inconsistent response on opposite question (3)]])</f>
        <v>1</v>
      </c>
      <c r="AP48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88">
        <f>Table67[[#This Row],[Extreme Response]]/21</f>
        <v>0</v>
      </c>
      <c r="AR488">
        <f>_xlfn.PERCENTILE.INC(Table67[Extrem Response Ratio (ERS)],0.9)</f>
        <v>0.61904761904761907</v>
      </c>
      <c r="AS488" t="b">
        <f>Table67[[#This Row],[Extrem Response Ratio (ERS)]]&gt;=Table67[[#This Row],[Threshold of ERS]]</f>
        <v>0</v>
      </c>
      <c r="AT488">
        <f>COUNTIF(Table67[[#This Row],[The mechanism of digital assets is difficult to understand, which discourages me from exploring it (E.g, Tokenization, Blockchain)]:[If I want to try different ways to invest, I will explore digital assets.]], 3)</f>
        <v>21</v>
      </c>
      <c r="AU488">
        <f>Table67[[#This Row],[Midpoint]]/21</f>
        <v>1</v>
      </c>
      <c r="AV488">
        <f>_xlfn.PERCENTILE.INC(Table67[Midpoint ratio],0.9)</f>
        <v>0.5714285714285714</v>
      </c>
      <c r="AW488" t="b">
        <f>Table67[[#This Row],[Midpoint ratio]]&gt;=Table67[[#This Row],[Threshold of Midpoint ratio]]</f>
        <v>1</v>
      </c>
      <c r="AX488" t="b">
        <f>OR(Table67[[#This Row],[Extreme Response Style]],Table67[[#This Row],[Mid-point Response Style]])</f>
        <v>1</v>
      </c>
      <c r="AY488" t="b">
        <f>OR(Table67[[#This Row],[Delete? (Stage 1)]],Table67[[#This Row],[Delete? (Stage 2)]])</f>
        <v>1</v>
      </c>
      <c r="AZ488" t="s">
        <v>81</v>
      </c>
    </row>
    <row r="489" spans="1:52">
      <c r="A489">
        <f t="shared" si="31"/>
        <v>488</v>
      </c>
      <c r="B489" s="3">
        <v>46043.690497685202</v>
      </c>
      <c r="C489" s="3">
        <v>46043.691678240699</v>
      </c>
      <c r="D489" t="s">
        <v>53</v>
      </c>
      <c r="G489" t="s">
        <v>54</v>
      </c>
      <c r="H489" t="s">
        <v>63</v>
      </c>
      <c r="I489" t="s">
        <v>56</v>
      </c>
      <c r="J489" t="s">
        <v>62</v>
      </c>
      <c r="K489" t="s">
        <v>57</v>
      </c>
      <c r="L489" t="s">
        <v>58</v>
      </c>
      <c r="M489" t="s">
        <v>61</v>
      </c>
      <c r="N489">
        <v>3</v>
      </c>
      <c r="O489">
        <v>2</v>
      </c>
      <c r="P489">
        <v>4</v>
      </c>
      <c r="Q489">
        <v>3</v>
      </c>
      <c r="R489">
        <v>3</v>
      </c>
      <c r="S489">
        <v>4</v>
      </c>
      <c r="T489">
        <v>3</v>
      </c>
      <c r="U489">
        <v>4</v>
      </c>
      <c r="V489">
        <v>3</v>
      </c>
      <c r="W489">
        <v>4</v>
      </c>
      <c r="X489">
        <v>4</v>
      </c>
      <c r="Y489">
        <v>5</v>
      </c>
      <c r="Z489">
        <v>5</v>
      </c>
      <c r="AA489">
        <v>5</v>
      </c>
      <c r="AB489">
        <v>5</v>
      </c>
      <c r="AC489">
        <v>4</v>
      </c>
      <c r="AD489">
        <v>4</v>
      </c>
      <c r="AE489">
        <v>3</v>
      </c>
      <c r="AF489">
        <v>4</v>
      </c>
      <c r="AG489">
        <v>4</v>
      </c>
      <c r="AH489">
        <v>3</v>
      </c>
      <c r="AI489">
        <v>3</v>
      </c>
      <c r="AJ489">
        <v>2</v>
      </c>
      <c r="AK489" t="b">
        <f>Table67[[#This Row],[What is your age?]]&lt;&gt;"18 - 25"</f>
        <v>0</v>
      </c>
      <c r="AL489" t="b">
        <f t="shared" si="28"/>
        <v>0</v>
      </c>
      <c r="AM489" t="b">
        <f t="shared" si="29"/>
        <v>0</v>
      </c>
      <c r="AN489" t="b">
        <f t="shared" si="30"/>
        <v>1</v>
      </c>
      <c r="AO489" t="b">
        <f>OR(Table67[[#This Row],[Ineligible respondents]:[Inconsistent response on opposite question (3)]])</f>
        <v>1</v>
      </c>
      <c r="AP48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489">
        <f>Table67[[#This Row],[Extreme Response]]/21</f>
        <v>0.19047619047619047</v>
      </c>
      <c r="AR489">
        <f>_xlfn.PERCENTILE.INC(Table67[Extrem Response Ratio (ERS)],0.9)</f>
        <v>0.61904761904761907</v>
      </c>
      <c r="AS489" t="b">
        <f>Table67[[#This Row],[Extrem Response Ratio (ERS)]]&gt;=Table67[[#This Row],[Threshold of ERS]]</f>
        <v>0</v>
      </c>
      <c r="AT489">
        <f>COUNTIF(Table67[[#This Row],[The mechanism of digital assets is difficult to understand, which discourages me from exploring it (E.g, Tokenization, Blockchain)]:[If I want to try different ways to invest, I will explore digital assets.]], 3)</f>
        <v>7</v>
      </c>
      <c r="AU489">
        <f>Table67[[#This Row],[Midpoint]]/21</f>
        <v>0.33333333333333331</v>
      </c>
      <c r="AV489">
        <f>_xlfn.PERCENTILE.INC(Table67[Midpoint ratio],0.9)</f>
        <v>0.5714285714285714</v>
      </c>
      <c r="AW489" t="b">
        <f>Table67[[#This Row],[Midpoint ratio]]&gt;=Table67[[#This Row],[Threshold of Midpoint ratio]]</f>
        <v>0</v>
      </c>
      <c r="AX489" t="b">
        <f>OR(Table67[[#This Row],[Extreme Response Style]],Table67[[#This Row],[Mid-point Response Style]])</f>
        <v>0</v>
      </c>
      <c r="AY489" t="b">
        <f>OR(Table67[[#This Row],[Delete? (Stage 1)]],Table67[[#This Row],[Delete? (Stage 2)]])</f>
        <v>1</v>
      </c>
      <c r="AZ489" t="s">
        <v>81</v>
      </c>
    </row>
    <row r="490" spans="1:52">
      <c r="A490">
        <f t="shared" si="31"/>
        <v>489</v>
      </c>
      <c r="B490" s="3">
        <v>46043.690856481502</v>
      </c>
      <c r="C490" s="3">
        <v>46043.691736111097</v>
      </c>
      <c r="D490" t="s">
        <v>53</v>
      </c>
      <c r="G490" t="s">
        <v>54</v>
      </c>
      <c r="H490" t="s">
        <v>63</v>
      </c>
      <c r="I490" t="s">
        <v>56</v>
      </c>
      <c r="J490" t="s">
        <v>60</v>
      </c>
      <c r="K490" t="s">
        <v>57</v>
      </c>
      <c r="L490" t="s">
        <v>58</v>
      </c>
      <c r="M490" t="s">
        <v>61</v>
      </c>
      <c r="N490">
        <v>3</v>
      </c>
      <c r="O490">
        <v>3</v>
      </c>
      <c r="P490">
        <v>3</v>
      </c>
      <c r="Q490">
        <v>3</v>
      </c>
      <c r="R490">
        <v>3</v>
      </c>
      <c r="S490">
        <v>3</v>
      </c>
      <c r="T490">
        <v>3</v>
      </c>
      <c r="U490">
        <v>3</v>
      </c>
      <c r="V490">
        <v>3</v>
      </c>
      <c r="W490">
        <v>3</v>
      </c>
      <c r="X490">
        <v>4</v>
      </c>
      <c r="Y490">
        <v>4</v>
      </c>
      <c r="Z490">
        <v>4</v>
      </c>
      <c r="AA490">
        <v>4</v>
      </c>
      <c r="AB490">
        <v>4</v>
      </c>
      <c r="AC490">
        <v>4</v>
      </c>
      <c r="AD490">
        <v>4</v>
      </c>
      <c r="AE490">
        <v>4</v>
      </c>
      <c r="AF490">
        <v>4</v>
      </c>
      <c r="AG490">
        <v>3</v>
      </c>
      <c r="AH490">
        <v>4</v>
      </c>
      <c r="AI490">
        <v>2</v>
      </c>
      <c r="AJ490">
        <v>2</v>
      </c>
      <c r="AK490" t="b">
        <f>Table67[[#This Row],[What is your age?]]&lt;&gt;"18 - 25"</f>
        <v>0</v>
      </c>
      <c r="AL490" t="b">
        <f t="shared" si="28"/>
        <v>0</v>
      </c>
      <c r="AM490" t="b">
        <f t="shared" si="29"/>
        <v>0</v>
      </c>
      <c r="AN490" t="b">
        <f t="shared" si="30"/>
        <v>1</v>
      </c>
      <c r="AO490" t="b">
        <f>OR(Table67[[#This Row],[Ineligible respondents]:[Inconsistent response on opposite question (3)]])</f>
        <v>1</v>
      </c>
      <c r="AP49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490">
        <f>Table67[[#This Row],[Extreme Response]]/21</f>
        <v>0</v>
      </c>
      <c r="AR490">
        <f>_xlfn.PERCENTILE.INC(Table67[Extrem Response Ratio (ERS)],0.9)</f>
        <v>0.61904761904761907</v>
      </c>
      <c r="AS490" t="b">
        <f>Table67[[#This Row],[Extrem Response Ratio (ERS)]]&gt;=Table67[[#This Row],[Threshold of ERS]]</f>
        <v>0</v>
      </c>
      <c r="AT490">
        <f>COUNTIF(Table67[[#This Row],[The mechanism of digital assets is difficult to understand, which discourages me from exploring it (E.g, Tokenization, Blockchain)]:[If I want to try different ways to invest, I will explore digital assets.]], 3)</f>
        <v>11</v>
      </c>
      <c r="AU490">
        <f>Table67[[#This Row],[Midpoint]]/21</f>
        <v>0.52380952380952384</v>
      </c>
      <c r="AV490">
        <f>_xlfn.PERCENTILE.INC(Table67[Midpoint ratio],0.9)</f>
        <v>0.5714285714285714</v>
      </c>
      <c r="AW490" t="b">
        <f>Table67[[#This Row],[Midpoint ratio]]&gt;=Table67[[#This Row],[Threshold of Midpoint ratio]]</f>
        <v>0</v>
      </c>
      <c r="AX490" t="b">
        <f>OR(Table67[[#This Row],[Extreme Response Style]],Table67[[#This Row],[Mid-point Response Style]])</f>
        <v>0</v>
      </c>
      <c r="AY490" t="b">
        <f>OR(Table67[[#This Row],[Delete? (Stage 1)]],Table67[[#This Row],[Delete? (Stage 2)]])</f>
        <v>1</v>
      </c>
      <c r="AZ490" t="s">
        <v>81</v>
      </c>
    </row>
    <row r="491" spans="1:52">
      <c r="A491">
        <f t="shared" si="31"/>
        <v>490</v>
      </c>
      <c r="B491" s="3">
        <v>46043.700671296298</v>
      </c>
      <c r="C491" s="3">
        <v>46043.701990740701</v>
      </c>
      <c r="D491" t="s">
        <v>53</v>
      </c>
      <c r="G491" t="s">
        <v>54</v>
      </c>
      <c r="H491" t="s">
        <v>63</v>
      </c>
      <c r="I491" t="s">
        <v>56</v>
      </c>
      <c r="J491" t="s">
        <v>62</v>
      </c>
      <c r="K491" t="s">
        <v>57</v>
      </c>
      <c r="L491" t="s">
        <v>58</v>
      </c>
      <c r="M491" t="s">
        <v>61</v>
      </c>
      <c r="N491">
        <v>3</v>
      </c>
      <c r="O491">
        <v>2</v>
      </c>
      <c r="P491">
        <v>2</v>
      </c>
      <c r="Q491">
        <v>4</v>
      </c>
      <c r="R491">
        <v>5</v>
      </c>
      <c r="S491">
        <v>5</v>
      </c>
      <c r="T491">
        <v>3</v>
      </c>
      <c r="U491">
        <v>5</v>
      </c>
      <c r="V491">
        <v>5</v>
      </c>
      <c r="W491">
        <v>4</v>
      </c>
      <c r="X491">
        <v>4</v>
      </c>
      <c r="Y491">
        <v>4</v>
      </c>
      <c r="Z491">
        <v>4</v>
      </c>
      <c r="AA491">
        <v>4</v>
      </c>
      <c r="AB491">
        <v>2</v>
      </c>
      <c r="AC491">
        <v>3</v>
      </c>
      <c r="AD491">
        <v>5</v>
      </c>
      <c r="AE491">
        <v>2</v>
      </c>
      <c r="AF491">
        <v>2</v>
      </c>
      <c r="AG491">
        <v>3</v>
      </c>
      <c r="AH491">
        <v>4</v>
      </c>
      <c r="AI491">
        <v>2</v>
      </c>
      <c r="AJ491">
        <v>4</v>
      </c>
      <c r="AK491" t="b">
        <f>Table67[[#This Row],[What is your age?]]&lt;&gt;"18 - 25"</f>
        <v>0</v>
      </c>
      <c r="AL491" t="b">
        <f t="shared" si="28"/>
        <v>0</v>
      </c>
      <c r="AM491" t="b">
        <f t="shared" si="29"/>
        <v>0</v>
      </c>
      <c r="AN491" t="b">
        <f t="shared" si="30"/>
        <v>1</v>
      </c>
      <c r="AO491" t="b">
        <f>OR(Table67[[#This Row],[Ineligible respondents]:[Inconsistent response on opposite question (3)]])</f>
        <v>1</v>
      </c>
      <c r="AP49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491">
        <f>Table67[[#This Row],[Extreme Response]]/21</f>
        <v>0.23809523809523808</v>
      </c>
      <c r="AR491">
        <f>_xlfn.PERCENTILE.INC(Table67[Extrem Response Ratio (ERS)],0.9)</f>
        <v>0.61904761904761907</v>
      </c>
      <c r="AS491" t="b">
        <f>Table67[[#This Row],[Extrem Response Ratio (ERS)]]&gt;=Table67[[#This Row],[Threshold of ERS]]</f>
        <v>0</v>
      </c>
      <c r="AT491">
        <f>COUNTIF(Table67[[#This Row],[The mechanism of digital assets is difficult to understand, which discourages me from exploring it (E.g, Tokenization, Blockchain)]:[If I want to try different ways to invest, I will explore digital assets.]], 3)</f>
        <v>4</v>
      </c>
      <c r="AU491">
        <f>Table67[[#This Row],[Midpoint]]/21</f>
        <v>0.19047619047619047</v>
      </c>
      <c r="AV491">
        <f>_xlfn.PERCENTILE.INC(Table67[Midpoint ratio],0.9)</f>
        <v>0.5714285714285714</v>
      </c>
      <c r="AW491" t="b">
        <f>Table67[[#This Row],[Midpoint ratio]]&gt;=Table67[[#This Row],[Threshold of Midpoint ratio]]</f>
        <v>0</v>
      </c>
      <c r="AX491" t="b">
        <f>OR(Table67[[#This Row],[Extreme Response Style]],Table67[[#This Row],[Mid-point Response Style]])</f>
        <v>0</v>
      </c>
      <c r="AY491" t="b">
        <f>OR(Table67[[#This Row],[Delete? (Stage 1)]],Table67[[#This Row],[Delete? (Stage 2)]])</f>
        <v>1</v>
      </c>
      <c r="AZ491" t="s">
        <v>81</v>
      </c>
    </row>
    <row r="492" spans="1:52">
      <c r="A492">
        <f t="shared" si="31"/>
        <v>491</v>
      </c>
      <c r="B492" s="3">
        <v>46049.676770833299</v>
      </c>
      <c r="C492" s="3">
        <v>46049.678252314799</v>
      </c>
      <c r="D492" t="s">
        <v>53</v>
      </c>
      <c r="G492" t="s">
        <v>54</v>
      </c>
      <c r="H492" t="s">
        <v>63</v>
      </c>
      <c r="I492" t="s">
        <v>56</v>
      </c>
      <c r="J492" t="s">
        <v>60</v>
      </c>
      <c r="K492" t="s">
        <v>62</v>
      </c>
      <c r="L492" t="s">
        <v>58</v>
      </c>
      <c r="M492" t="s">
        <v>58</v>
      </c>
      <c r="N492">
        <v>3</v>
      </c>
      <c r="O492">
        <v>4</v>
      </c>
      <c r="P492">
        <v>4</v>
      </c>
      <c r="Q492">
        <v>4</v>
      </c>
      <c r="R492">
        <v>4</v>
      </c>
      <c r="S492">
        <v>4</v>
      </c>
      <c r="T492">
        <v>3</v>
      </c>
      <c r="U492">
        <v>4</v>
      </c>
      <c r="V492">
        <v>4</v>
      </c>
      <c r="W492">
        <v>5</v>
      </c>
      <c r="X492">
        <v>3</v>
      </c>
      <c r="Y492">
        <v>3</v>
      </c>
      <c r="Z492">
        <v>4</v>
      </c>
      <c r="AA492">
        <v>4</v>
      </c>
      <c r="AB492">
        <v>3</v>
      </c>
      <c r="AC492">
        <v>4</v>
      </c>
      <c r="AD492">
        <v>4</v>
      </c>
      <c r="AE492">
        <v>4</v>
      </c>
      <c r="AF492">
        <v>3</v>
      </c>
      <c r="AG492">
        <v>3</v>
      </c>
      <c r="AH492">
        <v>4</v>
      </c>
      <c r="AI492">
        <v>2</v>
      </c>
      <c r="AJ492">
        <v>3</v>
      </c>
      <c r="AK492" t="b">
        <f>Table67[[#This Row],[What is your age?]]&lt;&gt;"18 - 25"</f>
        <v>0</v>
      </c>
      <c r="AL492" t="b">
        <f t="shared" si="28"/>
        <v>0</v>
      </c>
      <c r="AM492" t="b">
        <f t="shared" si="29"/>
        <v>0</v>
      </c>
      <c r="AN492" t="b">
        <f t="shared" si="30"/>
        <v>1</v>
      </c>
      <c r="AO492" t="b">
        <f>OR(Table67[[#This Row],[Ineligible respondents]:[Inconsistent response on opposite question (3)]])</f>
        <v>1</v>
      </c>
      <c r="AP49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492">
        <f>Table67[[#This Row],[Extreme Response]]/21</f>
        <v>4.7619047619047616E-2</v>
      </c>
      <c r="AR492">
        <f>_xlfn.PERCENTILE.INC(Table67[Extrem Response Ratio (ERS)],0.9)</f>
        <v>0.61904761904761907</v>
      </c>
      <c r="AS492" t="b">
        <f>Table67[[#This Row],[Extrem Response Ratio (ERS)]]&gt;=Table67[[#This Row],[Threshold of ERS]]</f>
        <v>0</v>
      </c>
      <c r="AT492">
        <f>COUNTIF(Table67[[#This Row],[The mechanism of digital assets is difficult to understand, which discourages me from exploring it (E.g, Tokenization, Blockchain)]:[If I want to try different ways to invest, I will explore digital assets.]], 3)</f>
        <v>7</v>
      </c>
      <c r="AU492">
        <f>Table67[[#This Row],[Midpoint]]/21</f>
        <v>0.33333333333333331</v>
      </c>
      <c r="AV492">
        <f>_xlfn.PERCENTILE.INC(Table67[Midpoint ratio],0.9)</f>
        <v>0.5714285714285714</v>
      </c>
      <c r="AW492" t="b">
        <f>Table67[[#This Row],[Midpoint ratio]]&gt;=Table67[[#This Row],[Threshold of Midpoint ratio]]</f>
        <v>0</v>
      </c>
      <c r="AX492" t="b">
        <f>OR(Table67[[#This Row],[Extreme Response Style]],Table67[[#This Row],[Mid-point Response Style]])</f>
        <v>0</v>
      </c>
      <c r="AY492" t="b">
        <f>OR(Table67[[#This Row],[Delete? (Stage 1)]],Table67[[#This Row],[Delete? (Stage 2)]])</f>
        <v>1</v>
      </c>
      <c r="AZ492" t="s">
        <v>81</v>
      </c>
    </row>
    <row r="493" spans="1:52">
      <c r="A493">
        <f t="shared" si="31"/>
        <v>492</v>
      </c>
      <c r="B493" s="3">
        <v>46049.679004629601</v>
      </c>
      <c r="C493" s="3">
        <v>46049.683854166702</v>
      </c>
      <c r="D493" t="s">
        <v>53</v>
      </c>
      <c r="G493" t="s">
        <v>54</v>
      </c>
      <c r="H493" t="s">
        <v>55</v>
      </c>
      <c r="I493" t="s">
        <v>75</v>
      </c>
      <c r="J493" t="s">
        <v>62</v>
      </c>
      <c r="K493" t="s">
        <v>62</v>
      </c>
      <c r="L493" t="s">
        <v>58</v>
      </c>
      <c r="M493" t="s">
        <v>58</v>
      </c>
      <c r="N493">
        <v>4</v>
      </c>
      <c r="O493">
        <v>1</v>
      </c>
      <c r="P493">
        <v>3</v>
      </c>
      <c r="Q493">
        <v>3</v>
      </c>
      <c r="R493">
        <v>2</v>
      </c>
      <c r="S493">
        <v>3</v>
      </c>
      <c r="T493">
        <v>3</v>
      </c>
      <c r="U493">
        <v>3</v>
      </c>
      <c r="V493">
        <v>3</v>
      </c>
      <c r="W493">
        <v>3</v>
      </c>
      <c r="X493">
        <v>4</v>
      </c>
      <c r="Y493">
        <v>3</v>
      </c>
      <c r="Z493">
        <v>3</v>
      </c>
      <c r="AA493">
        <v>3</v>
      </c>
      <c r="AB493">
        <v>2</v>
      </c>
      <c r="AC493">
        <v>5</v>
      </c>
      <c r="AD493">
        <v>4</v>
      </c>
      <c r="AE493">
        <v>2</v>
      </c>
      <c r="AF493">
        <v>3</v>
      </c>
      <c r="AG493">
        <v>2</v>
      </c>
      <c r="AH493">
        <v>3</v>
      </c>
      <c r="AI493">
        <v>3</v>
      </c>
      <c r="AJ493">
        <v>3</v>
      </c>
      <c r="AK493" t="b">
        <f>Table67[[#This Row],[What is your age?]]&lt;&gt;"18 - 25"</f>
        <v>0</v>
      </c>
      <c r="AL493" t="b">
        <f t="shared" si="28"/>
        <v>0</v>
      </c>
      <c r="AM493" t="b">
        <f t="shared" si="29"/>
        <v>0</v>
      </c>
      <c r="AN493" t="b">
        <f t="shared" si="30"/>
        <v>1</v>
      </c>
      <c r="AO493" t="b">
        <f>OR(Table67[[#This Row],[Ineligible respondents]:[Inconsistent response on opposite question (3)]])</f>
        <v>1</v>
      </c>
      <c r="AP49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493">
        <f>Table67[[#This Row],[Extreme Response]]/21</f>
        <v>9.5238095238095233E-2</v>
      </c>
      <c r="AR493">
        <f>_xlfn.PERCENTILE.INC(Table67[Extrem Response Ratio (ERS)],0.9)</f>
        <v>0.61904761904761907</v>
      </c>
      <c r="AS493" t="b">
        <f>Table67[[#This Row],[Extrem Response Ratio (ERS)]]&gt;=Table67[[#This Row],[Threshold of ERS]]</f>
        <v>0</v>
      </c>
      <c r="AT493">
        <f>COUNTIF(Table67[[#This Row],[The mechanism of digital assets is difficult to understand, which discourages me from exploring it (E.g, Tokenization, Blockchain)]:[If I want to try different ways to invest, I will explore digital assets.]], 3)</f>
        <v>12</v>
      </c>
      <c r="AU493">
        <f>Table67[[#This Row],[Midpoint]]/21</f>
        <v>0.5714285714285714</v>
      </c>
      <c r="AV493">
        <f>_xlfn.PERCENTILE.INC(Table67[Midpoint ratio],0.9)</f>
        <v>0.5714285714285714</v>
      </c>
      <c r="AW493" t="b">
        <f>Table67[[#This Row],[Midpoint ratio]]&gt;=Table67[[#This Row],[Threshold of Midpoint ratio]]</f>
        <v>1</v>
      </c>
      <c r="AX493" t="b">
        <f>OR(Table67[[#This Row],[Extreme Response Style]],Table67[[#This Row],[Mid-point Response Style]])</f>
        <v>1</v>
      </c>
      <c r="AY493" t="b">
        <f>OR(Table67[[#This Row],[Delete? (Stage 1)]],Table67[[#This Row],[Delete? (Stage 2)]])</f>
        <v>1</v>
      </c>
      <c r="AZ493" t="s">
        <v>81</v>
      </c>
    </row>
    <row r="494" spans="1:52">
      <c r="A494">
        <f t="shared" si="31"/>
        <v>493</v>
      </c>
      <c r="B494" s="3">
        <v>46049.682233796302</v>
      </c>
      <c r="C494" s="3">
        <v>46049.685810185198</v>
      </c>
      <c r="D494" t="s">
        <v>53</v>
      </c>
      <c r="G494" t="s">
        <v>54</v>
      </c>
      <c r="H494" t="s">
        <v>63</v>
      </c>
      <c r="I494" t="s">
        <v>56</v>
      </c>
      <c r="J494" t="s">
        <v>62</v>
      </c>
      <c r="K494" t="s">
        <v>62</v>
      </c>
      <c r="L494" t="s">
        <v>58</v>
      </c>
      <c r="M494" t="s">
        <v>58</v>
      </c>
      <c r="N494">
        <v>4</v>
      </c>
      <c r="O494">
        <v>3</v>
      </c>
      <c r="P494">
        <v>4</v>
      </c>
      <c r="Q494">
        <v>3</v>
      </c>
      <c r="R494">
        <v>1</v>
      </c>
      <c r="S494">
        <v>2</v>
      </c>
      <c r="T494">
        <v>3</v>
      </c>
      <c r="U494">
        <v>4</v>
      </c>
      <c r="V494">
        <v>4</v>
      </c>
      <c r="W494">
        <v>2</v>
      </c>
      <c r="X494">
        <v>3</v>
      </c>
      <c r="Y494">
        <v>4</v>
      </c>
      <c r="Z494">
        <v>2</v>
      </c>
      <c r="AA494">
        <v>4</v>
      </c>
      <c r="AB494">
        <v>3</v>
      </c>
      <c r="AC494">
        <v>3</v>
      </c>
      <c r="AD494">
        <v>5</v>
      </c>
      <c r="AE494">
        <v>4</v>
      </c>
      <c r="AF494">
        <v>2</v>
      </c>
      <c r="AG494">
        <v>3</v>
      </c>
      <c r="AH494">
        <v>2</v>
      </c>
      <c r="AI494">
        <v>4</v>
      </c>
      <c r="AJ494">
        <v>4</v>
      </c>
      <c r="AK494" t="b">
        <f>Table67[[#This Row],[What is your age?]]&lt;&gt;"18 - 25"</f>
        <v>0</v>
      </c>
      <c r="AL494" t="b">
        <f t="shared" si="28"/>
        <v>0</v>
      </c>
      <c r="AM494" t="b">
        <f t="shared" si="29"/>
        <v>0</v>
      </c>
      <c r="AN494" t="b">
        <f t="shared" si="30"/>
        <v>1</v>
      </c>
      <c r="AO494" t="b">
        <f>OR(Table67[[#This Row],[Ineligible respondents]:[Inconsistent response on opposite question (3)]])</f>
        <v>1</v>
      </c>
      <c r="AP49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494">
        <f>Table67[[#This Row],[Extreme Response]]/21</f>
        <v>9.5238095238095233E-2</v>
      </c>
      <c r="AR494">
        <f>_xlfn.PERCENTILE.INC(Table67[Extrem Response Ratio (ERS)],0.9)</f>
        <v>0.61904761904761907</v>
      </c>
      <c r="AS494" t="b">
        <f>Table67[[#This Row],[Extrem Response Ratio (ERS)]]&gt;=Table67[[#This Row],[Threshold of ERS]]</f>
        <v>0</v>
      </c>
      <c r="AT494">
        <f>COUNTIF(Table67[[#This Row],[The mechanism of digital assets is difficult to understand, which discourages me from exploring it (E.g, Tokenization, Blockchain)]:[If I want to try different ways to invest, I will explore digital assets.]], 3)</f>
        <v>7</v>
      </c>
      <c r="AU494">
        <f>Table67[[#This Row],[Midpoint]]/21</f>
        <v>0.33333333333333331</v>
      </c>
      <c r="AV494">
        <f>_xlfn.PERCENTILE.INC(Table67[Midpoint ratio],0.9)</f>
        <v>0.5714285714285714</v>
      </c>
      <c r="AW494" t="b">
        <f>Table67[[#This Row],[Midpoint ratio]]&gt;=Table67[[#This Row],[Threshold of Midpoint ratio]]</f>
        <v>0</v>
      </c>
      <c r="AX494" t="b">
        <f>OR(Table67[[#This Row],[Extreme Response Style]],Table67[[#This Row],[Mid-point Response Style]])</f>
        <v>0</v>
      </c>
      <c r="AY494" t="b">
        <f>OR(Table67[[#This Row],[Delete? (Stage 1)]],Table67[[#This Row],[Delete? (Stage 2)]])</f>
        <v>1</v>
      </c>
      <c r="AZ494" t="s">
        <v>81</v>
      </c>
    </row>
    <row r="495" spans="1:52">
      <c r="A495">
        <f t="shared" si="31"/>
        <v>494</v>
      </c>
      <c r="B495" s="3">
        <v>46049.684108796297</v>
      </c>
      <c r="C495" s="3">
        <v>46049.689872685201</v>
      </c>
      <c r="D495" t="s">
        <v>53</v>
      </c>
      <c r="G495" t="s">
        <v>54</v>
      </c>
      <c r="H495" t="s">
        <v>55</v>
      </c>
      <c r="I495" t="s">
        <v>56</v>
      </c>
      <c r="J495" t="s">
        <v>57</v>
      </c>
      <c r="K495" t="s">
        <v>62</v>
      </c>
      <c r="L495" t="s">
        <v>58</v>
      </c>
      <c r="M495" t="s">
        <v>58</v>
      </c>
      <c r="N495">
        <v>2</v>
      </c>
      <c r="O495">
        <v>1</v>
      </c>
      <c r="P495">
        <v>5</v>
      </c>
      <c r="Q495">
        <v>1</v>
      </c>
      <c r="R495">
        <v>2</v>
      </c>
      <c r="S495">
        <v>5</v>
      </c>
      <c r="T495">
        <v>5</v>
      </c>
      <c r="U495">
        <v>5</v>
      </c>
      <c r="V495">
        <v>2</v>
      </c>
      <c r="W495">
        <v>1</v>
      </c>
      <c r="X495">
        <v>5</v>
      </c>
      <c r="Y495">
        <v>2</v>
      </c>
      <c r="Z495">
        <v>5</v>
      </c>
      <c r="AA495">
        <v>5</v>
      </c>
      <c r="AB495">
        <v>4</v>
      </c>
      <c r="AC495">
        <v>5</v>
      </c>
      <c r="AD495">
        <v>5</v>
      </c>
      <c r="AE495">
        <v>5</v>
      </c>
      <c r="AF495">
        <v>2</v>
      </c>
      <c r="AG495">
        <v>5</v>
      </c>
      <c r="AH495">
        <v>2</v>
      </c>
      <c r="AI495">
        <v>4</v>
      </c>
      <c r="AJ495">
        <v>4</v>
      </c>
      <c r="AK495" t="b">
        <f>Table67[[#This Row],[What is your age?]]&lt;&gt;"18 - 25"</f>
        <v>0</v>
      </c>
      <c r="AL495" t="b">
        <f t="shared" si="28"/>
        <v>0</v>
      </c>
      <c r="AM495" t="b">
        <f t="shared" si="29"/>
        <v>0</v>
      </c>
      <c r="AN495" t="b">
        <f t="shared" si="30"/>
        <v>0</v>
      </c>
      <c r="AO495" t="b">
        <f>OR(Table67[[#This Row],[Ineligible respondents]:[Inconsistent response on opposite question (3)]])</f>
        <v>0</v>
      </c>
      <c r="AP49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495">
        <f>Table67[[#This Row],[Extreme Response]]/21</f>
        <v>0.66666666666666663</v>
      </c>
      <c r="AR495">
        <f>_xlfn.PERCENTILE.INC(Table67[Extrem Response Ratio (ERS)],0.9)</f>
        <v>0.61904761904761907</v>
      </c>
      <c r="AS495" t="b">
        <f>Table67[[#This Row],[Extrem Response Ratio (ERS)]]&gt;=Table67[[#This Row],[Threshold of ERS]]</f>
        <v>1</v>
      </c>
      <c r="AT495">
        <f>COUNTIF(Table67[[#This Row],[The mechanism of digital assets is difficult to understand, which discourages me from exploring it (E.g, Tokenization, Blockchain)]:[If I want to try different ways to invest, I will explore digital assets.]], 3)</f>
        <v>0</v>
      </c>
      <c r="AU495">
        <f>Table67[[#This Row],[Midpoint]]/21</f>
        <v>0</v>
      </c>
      <c r="AV495">
        <f>_xlfn.PERCENTILE.INC(Table67[Midpoint ratio],0.9)</f>
        <v>0.5714285714285714</v>
      </c>
      <c r="AW495" t="b">
        <f>Table67[[#This Row],[Midpoint ratio]]&gt;=Table67[[#This Row],[Threshold of Midpoint ratio]]</f>
        <v>0</v>
      </c>
      <c r="AX495" t="b">
        <f>OR(Table67[[#This Row],[Extreme Response Style]],Table67[[#This Row],[Mid-point Response Style]])</f>
        <v>1</v>
      </c>
      <c r="AY495" t="b">
        <f>OR(Table67[[#This Row],[Delete? (Stage 1)]],Table67[[#This Row],[Delete? (Stage 2)]])</f>
        <v>1</v>
      </c>
      <c r="AZ495" t="s">
        <v>81</v>
      </c>
    </row>
    <row r="496" spans="1:52">
      <c r="A496">
        <f t="shared" si="31"/>
        <v>495</v>
      </c>
      <c r="B496" s="3">
        <v>46049.684432870403</v>
      </c>
      <c r="C496" s="3">
        <v>46049.689293981501</v>
      </c>
      <c r="D496" t="s">
        <v>53</v>
      </c>
      <c r="G496" t="s">
        <v>54</v>
      </c>
      <c r="H496" t="s">
        <v>70</v>
      </c>
      <c r="I496" t="s">
        <v>71</v>
      </c>
      <c r="J496" t="s">
        <v>57</v>
      </c>
      <c r="K496" t="s">
        <v>57</v>
      </c>
      <c r="L496" t="s">
        <v>58</v>
      </c>
      <c r="M496" t="s">
        <v>58</v>
      </c>
      <c r="N496">
        <v>4</v>
      </c>
      <c r="O496">
        <v>2</v>
      </c>
      <c r="P496">
        <v>5</v>
      </c>
      <c r="Q496">
        <v>4</v>
      </c>
      <c r="R496">
        <v>5</v>
      </c>
      <c r="S496">
        <v>5</v>
      </c>
      <c r="T496">
        <v>2</v>
      </c>
      <c r="U496">
        <v>5</v>
      </c>
      <c r="V496">
        <v>5</v>
      </c>
      <c r="W496">
        <v>4</v>
      </c>
      <c r="X496">
        <v>5</v>
      </c>
      <c r="Y496">
        <v>5</v>
      </c>
      <c r="Z496">
        <v>5</v>
      </c>
      <c r="AA496">
        <v>5</v>
      </c>
      <c r="AB496">
        <v>5</v>
      </c>
      <c r="AC496">
        <v>4</v>
      </c>
      <c r="AD496">
        <v>5</v>
      </c>
      <c r="AE496">
        <v>5</v>
      </c>
      <c r="AF496">
        <v>4</v>
      </c>
      <c r="AG496">
        <v>5</v>
      </c>
      <c r="AH496">
        <v>4</v>
      </c>
      <c r="AI496">
        <v>2</v>
      </c>
      <c r="AJ496">
        <v>2</v>
      </c>
      <c r="AK496" t="b">
        <f>Table67[[#This Row],[What is your age?]]&lt;&gt;"18 - 25"</f>
        <v>0</v>
      </c>
      <c r="AL496" t="b">
        <f t="shared" si="28"/>
        <v>0</v>
      </c>
      <c r="AM496" t="b">
        <f t="shared" si="29"/>
        <v>1</v>
      </c>
      <c r="AN496" t="b">
        <f t="shared" si="30"/>
        <v>0</v>
      </c>
      <c r="AO496" t="b">
        <f>OR(Table67[[#This Row],[Ineligible respondents]:[Inconsistent response on opposite question (3)]])</f>
        <v>1</v>
      </c>
      <c r="AP49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496">
        <f>Table67[[#This Row],[Extreme Response]]/21</f>
        <v>0.61904761904761907</v>
      </c>
      <c r="AR496">
        <f>_xlfn.PERCENTILE.INC(Table67[Extrem Response Ratio (ERS)],0.9)</f>
        <v>0.61904761904761907</v>
      </c>
      <c r="AS496" t="b">
        <f>Table67[[#This Row],[Extrem Response Ratio (ERS)]]&gt;=Table67[[#This Row],[Threshold of ERS]]</f>
        <v>1</v>
      </c>
      <c r="AT496">
        <f>COUNTIF(Table67[[#This Row],[The mechanism of digital assets is difficult to understand, which discourages me from exploring it (E.g, Tokenization, Blockchain)]:[If I want to try different ways to invest, I will explore digital assets.]], 3)</f>
        <v>0</v>
      </c>
      <c r="AU496">
        <f>Table67[[#This Row],[Midpoint]]/21</f>
        <v>0</v>
      </c>
      <c r="AV496">
        <f>_xlfn.PERCENTILE.INC(Table67[Midpoint ratio],0.9)</f>
        <v>0.5714285714285714</v>
      </c>
      <c r="AW496" t="b">
        <f>Table67[[#This Row],[Midpoint ratio]]&gt;=Table67[[#This Row],[Threshold of Midpoint ratio]]</f>
        <v>0</v>
      </c>
      <c r="AX496" t="b">
        <f>OR(Table67[[#This Row],[Extreme Response Style]],Table67[[#This Row],[Mid-point Response Style]])</f>
        <v>1</v>
      </c>
      <c r="AY496" t="b">
        <f>OR(Table67[[#This Row],[Delete? (Stage 1)]],Table67[[#This Row],[Delete? (Stage 2)]])</f>
        <v>1</v>
      </c>
      <c r="AZ496" t="s">
        <v>81</v>
      </c>
    </row>
    <row r="497" spans="1:52">
      <c r="A497">
        <f t="shared" si="31"/>
        <v>496</v>
      </c>
      <c r="B497" s="3">
        <v>46049.708831018499</v>
      </c>
      <c r="C497" s="3">
        <v>46049.711273148103</v>
      </c>
      <c r="D497" t="s">
        <v>53</v>
      </c>
      <c r="G497" t="s">
        <v>54</v>
      </c>
      <c r="H497" t="s">
        <v>55</v>
      </c>
      <c r="I497" t="s">
        <v>56</v>
      </c>
      <c r="J497" t="s">
        <v>64</v>
      </c>
      <c r="K497" t="s">
        <v>57</v>
      </c>
      <c r="L497" t="s">
        <v>58</v>
      </c>
      <c r="M497" t="s">
        <v>58</v>
      </c>
      <c r="N497">
        <v>4</v>
      </c>
      <c r="O497">
        <v>3</v>
      </c>
      <c r="P497">
        <v>4</v>
      </c>
      <c r="Q497">
        <v>5</v>
      </c>
      <c r="R497">
        <v>2</v>
      </c>
      <c r="S497">
        <v>4</v>
      </c>
      <c r="T497">
        <v>5</v>
      </c>
      <c r="U497">
        <v>4</v>
      </c>
      <c r="V497">
        <v>4</v>
      </c>
      <c r="W497">
        <v>4</v>
      </c>
      <c r="X497">
        <v>5</v>
      </c>
      <c r="Y497">
        <v>5</v>
      </c>
      <c r="Z497">
        <v>4</v>
      </c>
      <c r="AA497">
        <v>4</v>
      </c>
      <c r="AB497">
        <v>3</v>
      </c>
      <c r="AC497">
        <v>3</v>
      </c>
      <c r="AD497">
        <v>5</v>
      </c>
      <c r="AE497">
        <v>5</v>
      </c>
      <c r="AF497">
        <v>2</v>
      </c>
      <c r="AG497">
        <v>1</v>
      </c>
      <c r="AH497">
        <v>2</v>
      </c>
      <c r="AI497">
        <v>4</v>
      </c>
      <c r="AJ497">
        <v>4</v>
      </c>
      <c r="AK497" t="b">
        <f>Table67[[#This Row],[What is your age?]]&lt;&gt;"18 - 25"</f>
        <v>0</v>
      </c>
      <c r="AL497" t="b">
        <f t="shared" si="28"/>
        <v>0</v>
      </c>
      <c r="AM497" t="b">
        <f t="shared" si="29"/>
        <v>1</v>
      </c>
      <c r="AN497" t="b">
        <f t="shared" si="30"/>
        <v>0</v>
      </c>
      <c r="AO497" t="b">
        <f>OR(Table67[[#This Row],[Ineligible respondents]:[Inconsistent response on opposite question (3)]])</f>
        <v>1</v>
      </c>
      <c r="AP49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497">
        <f>Table67[[#This Row],[Extreme Response]]/21</f>
        <v>0.33333333333333331</v>
      </c>
      <c r="AR497">
        <f>_xlfn.PERCENTILE.INC(Table67[Extrem Response Ratio (ERS)],0.9)</f>
        <v>0.61904761904761907</v>
      </c>
      <c r="AS497" t="b">
        <f>Table67[[#This Row],[Extrem Response Ratio (ERS)]]&gt;=Table67[[#This Row],[Threshold of ERS]]</f>
        <v>0</v>
      </c>
      <c r="AT497">
        <f>COUNTIF(Table67[[#This Row],[The mechanism of digital assets is difficult to understand, which discourages me from exploring it (E.g, Tokenization, Blockchain)]:[If I want to try different ways to invest, I will explore digital assets.]], 3)</f>
        <v>3</v>
      </c>
      <c r="AU497">
        <f>Table67[[#This Row],[Midpoint]]/21</f>
        <v>0.14285714285714285</v>
      </c>
      <c r="AV497">
        <f>_xlfn.PERCENTILE.INC(Table67[Midpoint ratio],0.9)</f>
        <v>0.5714285714285714</v>
      </c>
      <c r="AW497" t="b">
        <f>Table67[[#This Row],[Midpoint ratio]]&gt;=Table67[[#This Row],[Threshold of Midpoint ratio]]</f>
        <v>0</v>
      </c>
      <c r="AX497" t="b">
        <f>OR(Table67[[#This Row],[Extreme Response Style]],Table67[[#This Row],[Mid-point Response Style]])</f>
        <v>0</v>
      </c>
      <c r="AY497" t="b">
        <f>OR(Table67[[#This Row],[Delete? (Stage 1)]],Table67[[#This Row],[Delete? (Stage 2)]])</f>
        <v>1</v>
      </c>
      <c r="AZ497" t="s">
        <v>81</v>
      </c>
    </row>
    <row r="498" spans="1:52">
      <c r="A498">
        <f t="shared" si="31"/>
        <v>497</v>
      </c>
      <c r="B498" s="3">
        <v>46049.721597222197</v>
      </c>
      <c r="C498" s="3">
        <v>46049.727187500001</v>
      </c>
      <c r="D498" t="s">
        <v>53</v>
      </c>
      <c r="G498" t="s">
        <v>54</v>
      </c>
      <c r="H498" t="s">
        <v>63</v>
      </c>
      <c r="I498" t="s">
        <v>56</v>
      </c>
      <c r="J498" t="s">
        <v>64</v>
      </c>
      <c r="K498" t="s">
        <v>62</v>
      </c>
      <c r="L498" t="s">
        <v>58</v>
      </c>
      <c r="M498" t="s">
        <v>58</v>
      </c>
      <c r="N498">
        <v>5</v>
      </c>
      <c r="O498">
        <v>4</v>
      </c>
      <c r="P498">
        <v>3</v>
      </c>
      <c r="Q498">
        <v>4</v>
      </c>
      <c r="R498">
        <v>4</v>
      </c>
      <c r="S498">
        <v>5</v>
      </c>
      <c r="T498">
        <v>4</v>
      </c>
      <c r="U498">
        <v>5</v>
      </c>
      <c r="V498">
        <v>2</v>
      </c>
      <c r="W498">
        <v>4</v>
      </c>
      <c r="X498">
        <v>3</v>
      </c>
      <c r="Y498">
        <v>5</v>
      </c>
      <c r="Z498">
        <v>4</v>
      </c>
      <c r="AA498">
        <v>3</v>
      </c>
      <c r="AB498">
        <v>4</v>
      </c>
      <c r="AC498">
        <v>4</v>
      </c>
      <c r="AD498">
        <v>2</v>
      </c>
      <c r="AE498">
        <v>2</v>
      </c>
      <c r="AF498">
        <v>2</v>
      </c>
      <c r="AG498">
        <v>4</v>
      </c>
      <c r="AH498">
        <v>3</v>
      </c>
      <c r="AI498">
        <v>3</v>
      </c>
      <c r="AJ498">
        <v>4</v>
      </c>
      <c r="AK498" t="b">
        <f>Table67[[#This Row],[What is your age?]]&lt;&gt;"18 - 25"</f>
        <v>0</v>
      </c>
      <c r="AL498" t="b">
        <f t="shared" si="28"/>
        <v>0</v>
      </c>
      <c r="AM498" t="b">
        <f t="shared" si="29"/>
        <v>0</v>
      </c>
      <c r="AN498" t="b">
        <f t="shared" si="30"/>
        <v>1</v>
      </c>
      <c r="AO498" t="b">
        <f>OR(Table67[[#This Row],[Ineligible respondents]:[Inconsistent response on opposite question (3)]])</f>
        <v>1</v>
      </c>
      <c r="AP49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498">
        <f>Table67[[#This Row],[Extreme Response]]/21</f>
        <v>0.19047619047619047</v>
      </c>
      <c r="AR498">
        <f>_xlfn.PERCENTILE.INC(Table67[Extrem Response Ratio (ERS)],0.9)</f>
        <v>0.61904761904761907</v>
      </c>
      <c r="AS498" t="b">
        <f>Table67[[#This Row],[Extrem Response Ratio (ERS)]]&gt;=Table67[[#This Row],[Threshold of ERS]]</f>
        <v>0</v>
      </c>
      <c r="AT498">
        <f>COUNTIF(Table67[[#This Row],[The mechanism of digital assets is difficult to understand, which discourages me from exploring it (E.g, Tokenization, Blockchain)]:[If I want to try different ways to invest, I will explore digital assets.]], 3)</f>
        <v>4</v>
      </c>
      <c r="AU498">
        <f>Table67[[#This Row],[Midpoint]]/21</f>
        <v>0.19047619047619047</v>
      </c>
      <c r="AV498">
        <f>_xlfn.PERCENTILE.INC(Table67[Midpoint ratio],0.9)</f>
        <v>0.5714285714285714</v>
      </c>
      <c r="AW498" t="b">
        <f>Table67[[#This Row],[Midpoint ratio]]&gt;=Table67[[#This Row],[Threshold of Midpoint ratio]]</f>
        <v>0</v>
      </c>
      <c r="AX498" t="b">
        <f>OR(Table67[[#This Row],[Extreme Response Style]],Table67[[#This Row],[Mid-point Response Style]])</f>
        <v>0</v>
      </c>
      <c r="AY498" t="b">
        <f>OR(Table67[[#This Row],[Delete? (Stage 1)]],Table67[[#This Row],[Delete? (Stage 2)]])</f>
        <v>1</v>
      </c>
      <c r="AZ498" t="s">
        <v>81</v>
      </c>
    </row>
    <row r="499" spans="1:52">
      <c r="A499">
        <f t="shared" si="31"/>
        <v>498</v>
      </c>
      <c r="B499" s="3">
        <v>46049.721631944398</v>
      </c>
      <c r="C499" s="3">
        <v>46049.726215277798</v>
      </c>
      <c r="D499" t="s">
        <v>53</v>
      </c>
      <c r="G499" t="s">
        <v>54</v>
      </c>
      <c r="H499" t="s">
        <v>63</v>
      </c>
      <c r="I499" t="s">
        <v>56</v>
      </c>
      <c r="J499" t="s">
        <v>62</v>
      </c>
      <c r="K499" t="s">
        <v>62</v>
      </c>
      <c r="L499" t="s">
        <v>61</v>
      </c>
      <c r="M499" t="s">
        <v>61</v>
      </c>
      <c r="N499">
        <v>3</v>
      </c>
      <c r="O499">
        <v>1</v>
      </c>
      <c r="P499">
        <v>3</v>
      </c>
      <c r="Q499">
        <v>1</v>
      </c>
      <c r="R499">
        <v>1</v>
      </c>
      <c r="S499">
        <v>1</v>
      </c>
      <c r="T499">
        <v>5</v>
      </c>
      <c r="U499">
        <v>1</v>
      </c>
      <c r="V499">
        <v>1</v>
      </c>
      <c r="W499">
        <v>1</v>
      </c>
      <c r="X499">
        <v>1</v>
      </c>
      <c r="Y499">
        <v>1</v>
      </c>
      <c r="Z499">
        <v>4</v>
      </c>
      <c r="AA499">
        <v>1</v>
      </c>
      <c r="AB499">
        <v>1</v>
      </c>
      <c r="AC499">
        <v>4</v>
      </c>
      <c r="AD499">
        <v>2</v>
      </c>
      <c r="AE499">
        <v>3</v>
      </c>
      <c r="AF499">
        <v>5</v>
      </c>
      <c r="AG499">
        <v>1</v>
      </c>
      <c r="AH499">
        <v>5</v>
      </c>
      <c r="AI499">
        <v>1</v>
      </c>
      <c r="AJ499">
        <v>1</v>
      </c>
      <c r="AK499" t="b">
        <f>Table67[[#This Row],[What is your age?]]&lt;&gt;"18 - 25"</f>
        <v>0</v>
      </c>
      <c r="AL499" t="b">
        <f t="shared" si="28"/>
        <v>0</v>
      </c>
      <c r="AM499" t="b">
        <f t="shared" si="29"/>
        <v>0</v>
      </c>
      <c r="AN499" t="b">
        <f t="shared" si="30"/>
        <v>0</v>
      </c>
      <c r="AO499" t="b">
        <f>OR(Table67[[#This Row],[Ineligible respondents]:[Inconsistent response on opposite question (3)]])</f>
        <v>0</v>
      </c>
      <c r="AP49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499">
        <f>Table67[[#This Row],[Extreme Response]]/21</f>
        <v>0.7142857142857143</v>
      </c>
      <c r="AR499">
        <f>_xlfn.PERCENTILE.INC(Table67[Extrem Response Ratio (ERS)],0.9)</f>
        <v>0.61904761904761907</v>
      </c>
      <c r="AS499" t="b">
        <f>Table67[[#This Row],[Extrem Response Ratio (ERS)]]&gt;=Table67[[#This Row],[Threshold of ERS]]</f>
        <v>1</v>
      </c>
      <c r="AT499">
        <f>COUNTIF(Table67[[#This Row],[The mechanism of digital assets is difficult to understand, which discourages me from exploring it (E.g, Tokenization, Blockchain)]:[If I want to try different ways to invest, I will explore digital assets.]], 3)</f>
        <v>3</v>
      </c>
      <c r="AU499">
        <f>Table67[[#This Row],[Midpoint]]/21</f>
        <v>0.14285714285714285</v>
      </c>
      <c r="AV499">
        <f>_xlfn.PERCENTILE.INC(Table67[Midpoint ratio],0.9)</f>
        <v>0.5714285714285714</v>
      </c>
      <c r="AW499" t="b">
        <f>Table67[[#This Row],[Midpoint ratio]]&gt;=Table67[[#This Row],[Threshold of Midpoint ratio]]</f>
        <v>0</v>
      </c>
      <c r="AX499" t="b">
        <f>OR(Table67[[#This Row],[Extreme Response Style]],Table67[[#This Row],[Mid-point Response Style]])</f>
        <v>1</v>
      </c>
      <c r="AY499" t="b">
        <f>OR(Table67[[#This Row],[Delete? (Stage 1)]],Table67[[#This Row],[Delete? (Stage 2)]])</f>
        <v>1</v>
      </c>
      <c r="AZ499" t="s">
        <v>81</v>
      </c>
    </row>
    <row r="500" spans="1:52">
      <c r="A500">
        <f t="shared" si="31"/>
        <v>499</v>
      </c>
      <c r="B500" s="3">
        <v>46049.721678240698</v>
      </c>
      <c r="C500" s="3">
        <v>46049.723877314798</v>
      </c>
      <c r="D500" t="s">
        <v>53</v>
      </c>
      <c r="G500" t="s">
        <v>54</v>
      </c>
      <c r="H500" t="s">
        <v>55</v>
      </c>
      <c r="I500" t="s">
        <v>71</v>
      </c>
      <c r="J500" t="s">
        <v>68</v>
      </c>
      <c r="K500" t="s">
        <v>62</v>
      </c>
      <c r="L500" t="s">
        <v>58</v>
      </c>
      <c r="M500" t="s">
        <v>58</v>
      </c>
      <c r="N500">
        <v>5</v>
      </c>
      <c r="O500">
        <v>3</v>
      </c>
      <c r="P500">
        <v>4</v>
      </c>
      <c r="Q500">
        <v>5</v>
      </c>
      <c r="R500">
        <v>2</v>
      </c>
      <c r="S500">
        <v>3</v>
      </c>
      <c r="T500">
        <v>3</v>
      </c>
      <c r="U500">
        <v>3</v>
      </c>
      <c r="V500">
        <v>3</v>
      </c>
      <c r="W500">
        <v>3</v>
      </c>
      <c r="X500">
        <v>5</v>
      </c>
      <c r="Y500">
        <v>5</v>
      </c>
      <c r="Z500">
        <v>4</v>
      </c>
      <c r="AA500">
        <v>4</v>
      </c>
      <c r="AB500">
        <v>4</v>
      </c>
      <c r="AC500">
        <v>4</v>
      </c>
      <c r="AD500">
        <v>5</v>
      </c>
      <c r="AE500">
        <v>5</v>
      </c>
      <c r="AF500">
        <v>3</v>
      </c>
      <c r="AG500">
        <v>4</v>
      </c>
      <c r="AH500">
        <v>4</v>
      </c>
      <c r="AI500">
        <v>2</v>
      </c>
      <c r="AJ500">
        <v>3</v>
      </c>
      <c r="AK500" t="b">
        <f>Table67[[#This Row],[What is your age?]]&lt;&gt;"18 - 25"</f>
        <v>0</v>
      </c>
      <c r="AL500" t="b">
        <f t="shared" si="28"/>
        <v>0</v>
      </c>
      <c r="AM500" t="b">
        <f t="shared" si="29"/>
        <v>1</v>
      </c>
      <c r="AN500" t="b">
        <f t="shared" si="30"/>
        <v>0</v>
      </c>
      <c r="AO500" t="b">
        <f>OR(Table67[[#This Row],[Ineligible respondents]:[Inconsistent response on opposite question (3)]])</f>
        <v>1</v>
      </c>
      <c r="AP50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500">
        <f>Table67[[#This Row],[Extreme Response]]/21</f>
        <v>0.2857142857142857</v>
      </c>
      <c r="AR500">
        <f>_xlfn.PERCENTILE.INC(Table67[Extrem Response Ratio (ERS)],0.9)</f>
        <v>0.61904761904761907</v>
      </c>
      <c r="AS500" t="b">
        <f>Table67[[#This Row],[Extrem Response Ratio (ERS)]]&gt;=Table67[[#This Row],[Threshold of ERS]]</f>
        <v>0</v>
      </c>
      <c r="AT500">
        <f>COUNTIF(Table67[[#This Row],[The mechanism of digital assets is difficult to understand, which discourages me from exploring it (E.g, Tokenization, Blockchain)]:[If I want to try different ways to invest, I will explore digital assets.]], 3)</f>
        <v>7</v>
      </c>
      <c r="AU500">
        <f>Table67[[#This Row],[Midpoint]]/21</f>
        <v>0.33333333333333331</v>
      </c>
      <c r="AV500">
        <f>_xlfn.PERCENTILE.INC(Table67[Midpoint ratio],0.9)</f>
        <v>0.5714285714285714</v>
      </c>
      <c r="AW500" t="b">
        <f>Table67[[#This Row],[Midpoint ratio]]&gt;=Table67[[#This Row],[Threshold of Midpoint ratio]]</f>
        <v>0</v>
      </c>
      <c r="AX500" t="b">
        <f>OR(Table67[[#This Row],[Extreme Response Style]],Table67[[#This Row],[Mid-point Response Style]])</f>
        <v>0</v>
      </c>
      <c r="AY500" t="b">
        <f>OR(Table67[[#This Row],[Delete? (Stage 1)]],Table67[[#This Row],[Delete? (Stage 2)]])</f>
        <v>1</v>
      </c>
      <c r="AZ500" t="s">
        <v>81</v>
      </c>
    </row>
    <row r="501" spans="1:52">
      <c r="A501">
        <f t="shared" si="31"/>
        <v>500</v>
      </c>
      <c r="B501" s="3">
        <v>46049.721851851798</v>
      </c>
      <c r="C501" s="3">
        <v>46049.724953703699</v>
      </c>
      <c r="D501" t="s">
        <v>53</v>
      </c>
      <c r="G501" t="s">
        <v>54</v>
      </c>
      <c r="H501" t="s">
        <v>55</v>
      </c>
      <c r="I501" t="s">
        <v>71</v>
      </c>
      <c r="J501" t="s">
        <v>68</v>
      </c>
      <c r="K501" t="s">
        <v>60</v>
      </c>
      <c r="L501" t="s">
        <v>58</v>
      </c>
      <c r="M501" t="s">
        <v>58</v>
      </c>
      <c r="N501">
        <v>2</v>
      </c>
      <c r="O501">
        <v>2</v>
      </c>
      <c r="P501">
        <v>3</v>
      </c>
      <c r="Q501">
        <v>3</v>
      </c>
      <c r="R501">
        <v>2</v>
      </c>
      <c r="S501">
        <v>3</v>
      </c>
      <c r="T501">
        <v>2</v>
      </c>
      <c r="U501">
        <v>4</v>
      </c>
      <c r="V501">
        <v>4</v>
      </c>
      <c r="W501">
        <v>4</v>
      </c>
      <c r="X501">
        <v>5</v>
      </c>
      <c r="Y501">
        <v>5</v>
      </c>
      <c r="Z501">
        <v>5</v>
      </c>
      <c r="AA501">
        <v>3</v>
      </c>
      <c r="AB501">
        <v>3</v>
      </c>
      <c r="AC501">
        <v>3</v>
      </c>
      <c r="AD501">
        <v>4</v>
      </c>
      <c r="AE501">
        <v>5</v>
      </c>
      <c r="AF501">
        <v>4</v>
      </c>
      <c r="AG501">
        <v>3</v>
      </c>
      <c r="AH501">
        <v>3</v>
      </c>
      <c r="AI501">
        <v>3</v>
      </c>
      <c r="AJ501">
        <v>2</v>
      </c>
      <c r="AK501" t="b">
        <f>Table67[[#This Row],[What is your age?]]&lt;&gt;"18 - 25"</f>
        <v>0</v>
      </c>
      <c r="AL501" t="b">
        <f t="shared" si="28"/>
        <v>0</v>
      </c>
      <c r="AM501" t="b">
        <f t="shared" si="29"/>
        <v>0</v>
      </c>
      <c r="AN501" t="b">
        <f t="shared" si="30"/>
        <v>0</v>
      </c>
      <c r="AO501" t="b">
        <f>OR(Table67[[#This Row],[Ineligible respondents]:[Inconsistent response on opposite question (3)]])</f>
        <v>0</v>
      </c>
      <c r="AP50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501">
        <f>Table67[[#This Row],[Extreme Response]]/21</f>
        <v>0.19047619047619047</v>
      </c>
      <c r="AR501">
        <f>_xlfn.PERCENTILE.INC(Table67[Extrem Response Ratio (ERS)],0.9)</f>
        <v>0.61904761904761907</v>
      </c>
      <c r="AS501" t="b">
        <f>Table67[[#This Row],[Extrem Response Ratio (ERS)]]&gt;=Table67[[#This Row],[Threshold of ERS]]</f>
        <v>0</v>
      </c>
      <c r="AT501">
        <f>COUNTIF(Table67[[#This Row],[The mechanism of digital assets is difficult to understand, which discourages me from exploring it (E.g, Tokenization, Blockchain)]:[If I want to try different ways to invest, I will explore digital assets.]], 3)</f>
        <v>8</v>
      </c>
      <c r="AU501">
        <f>Table67[[#This Row],[Midpoint]]/21</f>
        <v>0.38095238095238093</v>
      </c>
      <c r="AV501">
        <f>_xlfn.PERCENTILE.INC(Table67[Midpoint ratio],0.9)</f>
        <v>0.5714285714285714</v>
      </c>
      <c r="AW501" t="b">
        <f>Table67[[#This Row],[Midpoint ratio]]&gt;=Table67[[#This Row],[Threshold of Midpoint ratio]]</f>
        <v>0</v>
      </c>
      <c r="AX501" t="b">
        <f>OR(Table67[[#This Row],[Extreme Response Style]],Table67[[#This Row],[Mid-point Response Style]])</f>
        <v>0</v>
      </c>
      <c r="AY501" t="b">
        <f>OR(Table67[[#This Row],[Delete? (Stage 1)]],Table67[[#This Row],[Delete? (Stage 2)]])</f>
        <v>0</v>
      </c>
      <c r="AZ501" t="s">
        <v>81</v>
      </c>
    </row>
    <row r="502" spans="1:52">
      <c r="A502">
        <f t="shared" si="31"/>
        <v>501</v>
      </c>
      <c r="B502" s="3">
        <v>46049.721863425897</v>
      </c>
      <c r="C502" s="3">
        <v>46049.724212963003</v>
      </c>
      <c r="D502" t="s">
        <v>53</v>
      </c>
      <c r="G502" t="s">
        <v>54</v>
      </c>
      <c r="H502" t="s">
        <v>63</v>
      </c>
      <c r="I502" t="s">
        <v>71</v>
      </c>
      <c r="J502" t="s">
        <v>62</v>
      </c>
      <c r="K502" t="s">
        <v>62</v>
      </c>
      <c r="L502" t="s">
        <v>58</v>
      </c>
      <c r="M502" t="s">
        <v>58</v>
      </c>
      <c r="N502">
        <v>5</v>
      </c>
      <c r="O502">
        <v>4</v>
      </c>
      <c r="P502">
        <v>5</v>
      </c>
      <c r="Q502">
        <v>4</v>
      </c>
      <c r="R502">
        <v>4</v>
      </c>
      <c r="S502">
        <v>4</v>
      </c>
      <c r="T502">
        <v>3</v>
      </c>
      <c r="U502">
        <v>4</v>
      </c>
      <c r="V502">
        <v>5</v>
      </c>
      <c r="W502">
        <v>5</v>
      </c>
      <c r="X502">
        <v>4</v>
      </c>
      <c r="Y502">
        <v>4</v>
      </c>
      <c r="Z502">
        <v>5</v>
      </c>
      <c r="AA502">
        <v>5</v>
      </c>
      <c r="AB502">
        <v>5</v>
      </c>
      <c r="AC502">
        <v>5</v>
      </c>
      <c r="AD502">
        <v>5</v>
      </c>
      <c r="AE502">
        <v>4</v>
      </c>
      <c r="AF502">
        <v>3</v>
      </c>
      <c r="AG502">
        <v>4</v>
      </c>
      <c r="AH502">
        <v>2</v>
      </c>
      <c r="AI502">
        <v>4</v>
      </c>
      <c r="AJ502">
        <v>3</v>
      </c>
      <c r="AK502" t="b">
        <f>Table67[[#This Row],[What is your age?]]&lt;&gt;"18 - 25"</f>
        <v>0</v>
      </c>
      <c r="AL502" t="b">
        <f t="shared" si="28"/>
        <v>0</v>
      </c>
      <c r="AM502" t="b">
        <f t="shared" si="29"/>
        <v>0</v>
      </c>
      <c r="AN502" t="b">
        <f t="shared" si="30"/>
        <v>0</v>
      </c>
      <c r="AO502" t="b">
        <f>OR(Table67[[#This Row],[Ineligible respondents]:[Inconsistent response on opposite question (3)]])</f>
        <v>0</v>
      </c>
      <c r="AP50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502">
        <f>Table67[[#This Row],[Extreme Response]]/21</f>
        <v>0.42857142857142855</v>
      </c>
      <c r="AR502">
        <f>_xlfn.PERCENTILE.INC(Table67[Extrem Response Ratio (ERS)],0.9)</f>
        <v>0.61904761904761907</v>
      </c>
      <c r="AS502" t="b">
        <f>Table67[[#This Row],[Extrem Response Ratio (ERS)]]&gt;=Table67[[#This Row],[Threshold of ERS]]</f>
        <v>0</v>
      </c>
      <c r="AT502">
        <f>COUNTIF(Table67[[#This Row],[The mechanism of digital assets is difficult to understand, which discourages me from exploring it (E.g, Tokenization, Blockchain)]:[If I want to try different ways to invest, I will explore digital assets.]], 3)</f>
        <v>2</v>
      </c>
      <c r="AU502">
        <f>Table67[[#This Row],[Midpoint]]/21</f>
        <v>9.5238095238095233E-2</v>
      </c>
      <c r="AV502">
        <f>_xlfn.PERCENTILE.INC(Table67[Midpoint ratio],0.9)</f>
        <v>0.5714285714285714</v>
      </c>
      <c r="AW502" t="b">
        <f>Table67[[#This Row],[Midpoint ratio]]&gt;=Table67[[#This Row],[Threshold of Midpoint ratio]]</f>
        <v>0</v>
      </c>
      <c r="AX502" t="b">
        <f>OR(Table67[[#This Row],[Extreme Response Style]],Table67[[#This Row],[Mid-point Response Style]])</f>
        <v>0</v>
      </c>
      <c r="AY502" t="b">
        <f>OR(Table67[[#This Row],[Delete? (Stage 1)]],Table67[[#This Row],[Delete? (Stage 2)]])</f>
        <v>0</v>
      </c>
      <c r="AZ502" t="s">
        <v>81</v>
      </c>
    </row>
    <row r="503" spans="1:52">
      <c r="A503">
        <f t="shared" si="31"/>
        <v>502</v>
      </c>
      <c r="B503" s="3">
        <v>46049.721932870401</v>
      </c>
      <c r="C503" s="3">
        <v>46049.724062499998</v>
      </c>
      <c r="D503" t="s">
        <v>53</v>
      </c>
      <c r="G503" t="s">
        <v>54</v>
      </c>
      <c r="H503" t="s">
        <v>55</v>
      </c>
      <c r="I503" t="s">
        <v>56</v>
      </c>
      <c r="J503" t="s">
        <v>68</v>
      </c>
      <c r="K503" t="s">
        <v>64</v>
      </c>
      <c r="L503" t="s">
        <v>61</v>
      </c>
      <c r="M503" t="s">
        <v>61</v>
      </c>
      <c r="N503">
        <v>4</v>
      </c>
      <c r="O503">
        <v>4</v>
      </c>
      <c r="P503">
        <v>4</v>
      </c>
      <c r="Q503">
        <v>3</v>
      </c>
      <c r="R503">
        <v>4</v>
      </c>
      <c r="S503">
        <v>2</v>
      </c>
      <c r="T503">
        <v>4</v>
      </c>
      <c r="U503">
        <v>4</v>
      </c>
      <c r="V503">
        <v>4</v>
      </c>
      <c r="W503">
        <v>4</v>
      </c>
      <c r="X503">
        <v>4</v>
      </c>
      <c r="Y503">
        <v>4</v>
      </c>
      <c r="Z503">
        <v>4</v>
      </c>
      <c r="AA503">
        <v>5</v>
      </c>
      <c r="AB503">
        <v>3</v>
      </c>
      <c r="AC503">
        <v>4</v>
      </c>
      <c r="AD503">
        <v>4</v>
      </c>
      <c r="AE503">
        <v>5</v>
      </c>
      <c r="AF503">
        <v>3</v>
      </c>
      <c r="AG503">
        <v>4</v>
      </c>
      <c r="AH503">
        <v>4</v>
      </c>
      <c r="AI503">
        <v>2</v>
      </c>
      <c r="AJ503">
        <v>3</v>
      </c>
      <c r="AK503" t="b">
        <f>Table67[[#This Row],[What is your age?]]&lt;&gt;"18 - 25"</f>
        <v>0</v>
      </c>
      <c r="AL503" t="b">
        <f t="shared" si="28"/>
        <v>0</v>
      </c>
      <c r="AM503" t="b">
        <f t="shared" si="29"/>
        <v>1</v>
      </c>
      <c r="AN503" t="b">
        <f t="shared" si="30"/>
        <v>0</v>
      </c>
      <c r="AO503" t="b">
        <f>OR(Table67[[#This Row],[Ineligible respondents]:[Inconsistent response on opposite question (3)]])</f>
        <v>1</v>
      </c>
      <c r="AP50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503">
        <f>Table67[[#This Row],[Extreme Response]]/21</f>
        <v>9.5238095238095233E-2</v>
      </c>
      <c r="AR503">
        <f>_xlfn.PERCENTILE.INC(Table67[Extrem Response Ratio (ERS)],0.9)</f>
        <v>0.61904761904761907</v>
      </c>
      <c r="AS503" t="b">
        <f>Table67[[#This Row],[Extrem Response Ratio (ERS)]]&gt;=Table67[[#This Row],[Threshold of ERS]]</f>
        <v>0</v>
      </c>
      <c r="AT503">
        <f>COUNTIF(Table67[[#This Row],[The mechanism of digital assets is difficult to understand, which discourages me from exploring it (E.g, Tokenization, Blockchain)]:[If I want to try different ways to invest, I will explore digital assets.]], 3)</f>
        <v>3</v>
      </c>
      <c r="AU503">
        <f>Table67[[#This Row],[Midpoint]]/21</f>
        <v>0.14285714285714285</v>
      </c>
      <c r="AV503">
        <f>_xlfn.PERCENTILE.INC(Table67[Midpoint ratio],0.9)</f>
        <v>0.5714285714285714</v>
      </c>
      <c r="AW503" t="b">
        <f>Table67[[#This Row],[Midpoint ratio]]&gt;=Table67[[#This Row],[Threshold of Midpoint ratio]]</f>
        <v>0</v>
      </c>
      <c r="AX503" t="b">
        <f>OR(Table67[[#This Row],[Extreme Response Style]],Table67[[#This Row],[Mid-point Response Style]])</f>
        <v>0</v>
      </c>
      <c r="AY503" t="b">
        <f>OR(Table67[[#This Row],[Delete? (Stage 1)]],Table67[[#This Row],[Delete? (Stage 2)]])</f>
        <v>1</v>
      </c>
      <c r="AZ503" t="s">
        <v>81</v>
      </c>
    </row>
    <row r="504" spans="1:52">
      <c r="A504">
        <f t="shared" si="31"/>
        <v>503</v>
      </c>
      <c r="B504" s="3">
        <v>46049.721944444398</v>
      </c>
      <c r="C504" s="3">
        <v>46049.724259259303</v>
      </c>
      <c r="D504" t="s">
        <v>53</v>
      </c>
      <c r="G504" t="s">
        <v>54</v>
      </c>
      <c r="H504" t="s">
        <v>55</v>
      </c>
      <c r="I504" t="s">
        <v>56</v>
      </c>
      <c r="J504" t="s">
        <v>57</v>
      </c>
      <c r="K504" t="s">
        <v>57</v>
      </c>
      <c r="L504" t="s">
        <v>58</v>
      </c>
      <c r="M504" t="s">
        <v>58</v>
      </c>
      <c r="N504">
        <v>2</v>
      </c>
      <c r="O504">
        <v>3</v>
      </c>
      <c r="P504">
        <v>2</v>
      </c>
      <c r="Q504">
        <v>2</v>
      </c>
      <c r="R504">
        <v>2</v>
      </c>
      <c r="S504">
        <v>2</v>
      </c>
      <c r="T504">
        <v>4</v>
      </c>
      <c r="U504">
        <v>3</v>
      </c>
      <c r="V504">
        <v>2</v>
      </c>
      <c r="W504">
        <v>4</v>
      </c>
      <c r="X504">
        <v>4</v>
      </c>
      <c r="Y504">
        <v>2</v>
      </c>
      <c r="Z504">
        <v>3</v>
      </c>
      <c r="AA504">
        <v>2</v>
      </c>
      <c r="AB504">
        <v>2</v>
      </c>
      <c r="AC504">
        <v>4</v>
      </c>
      <c r="AD504">
        <v>4</v>
      </c>
      <c r="AE504">
        <v>2</v>
      </c>
      <c r="AF504">
        <v>3</v>
      </c>
      <c r="AG504">
        <v>2</v>
      </c>
      <c r="AH504">
        <v>2</v>
      </c>
      <c r="AI504">
        <v>4</v>
      </c>
      <c r="AJ504">
        <v>3</v>
      </c>
      <c r="AK504" t="b">
        <f>Table67[[#This Row],[What is your age?]]&lt;&gt;"18 - 25"</f>
        <v>0</v>
      </c>
      <c r="AL504" t="b">
        <f t="shared" si="28"/>
        <v>0</v>
      </c>
      <c r="AM504" t="b">
        <f t="shared" si="29"/>
        <v>1</v>
      </c>
      <c r="AN504" t="b">
        <f t="shared" si="30"/>
        <v>0</v>
      </c>
      <c r="AO504" t="b">
        <f>OR(Table67[[#This Row],[Ineligible respondents]:[Inconsistent response on opposite question (3)]])</f>
        <v>1</v>
      </c>
      <c r="AP50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504">
        <f>Table67[[#This Row],[Extreme Response]]/21</f>
        <v>0</v>
      </c>
      <c r="AR504">
        <f>_xlfn.PERCENTILE.INC(Table67[Extrem Response Ratio (ERS)],0.9)</f>
        <v>0.61904761904761907</v>
      </c>
      <c r="AS504" t="b">
        <f>Table67[[#This Row],[Extrem Response Ratio (ERS)]]&gt;=Table67[[#This Row],[Threshold of ERS]]</f>
        <v>0</v>
      </c>
      <c r="AT504">
        <f>COUNTIF(Table67[[#This Row],[The mechanism of digital assets is difficult to understand, which discourages me from exploring it (E.g, Tokenization, Blockchain)]:[If I want to try different ways to invest, I will explore digital assets.]], 3)</f>
        <v>4</v>
      </c>
      <c r="AU504">
        <f>Table67[[#This Row],[Midpoint]]/21</f>
        <v>0.19047619047619047</v>
      </c>
      <c r="AV504">
        <f>_xlfn.PERCENTILE.INC(Table67[Midpoint ratio],0.9)</f>
        <v>0.5714285714285714</v>
      </c>
      <c r="AW504" t="b">
        <f>Table67[[#This Row],[Midpoint ratio]]&gt;=Table67[[#This Row],[Threshold of Midpoint ratio]]</f>
        <v>0</v>
      </c>
      <c r="AX504" t="b">
        <f>OR(Table67[[#This Row],[Extreme Response Style]],Table67[[#This Row],[Mid-point Response Style]])</f>
        <v>0</v>
      </c>
      <c r="AY504" t="b">
        <f>OR(Table67[[#This Row],[Delete? (Stage 1)]],Table67[[#This Row],[Delete? (Stage 2)]])</f>
        <v>1</v>
      </c>
      <c r="AZ504" t="s">
        <v>81</v>
      </c>
    </row>
    <row r="505" spans="1:52">
      <c r="A505">
        <f t="shared" si="31"/>
        <v>504</v>
      </c>
      <c r="B505" s="3">
        <v>46049.721979166701</v>
      </c>
      <c r="C505" s="3">
        <v>46049.723761574103</v>
      </c>
      <c r="D505" t="s">
        <v>53</v>
      </c>
      <c r="G505" t="s">
        <v>54</v>
      </c>
      <c r="H505" t="s">
        <v>63</v>
      </c>
      <c r="I505" t="s">
        <v>56</v>
      </c>
      <c r="J505" t="s">
        <v>62</v>
      </c>
      <c r="K505" t="s">
        <v>57</v>
      </c>
      <c r="L505" t="s">
        <v>58</v>
      </c>
      <c r="M505" t="s">
        <v>58</v>
      </c>
      <c r="N505">
        <v>3</v>
      </c>
      <c r="O505">
        <v>3</v>
      </c>
      <c r="P505">
        <v>3</v>
      </c>
      <c r="Q505">
        <v>3</v>
      </c>
      <c r="R505">
        <v>4</v>
      </c>
      <c r="S505">
        <v>4</v>
      </c>
      <c r="T505">
        <v>4</v>
      </c>
      <c r="U505">
        <v>3</v>
      </c>
      <c r="V505">
        <v>3</v>
      </c>
      <c r="W505">
        <v>3</v>
      </c>
      <c r="X505">
        <v>2</v>
      </c>
      <c r="Y505">
        <v>2</v>
      </c>
      <c r="Z505">
        <v>3</v>
      </c>
      <c r="AA505">
        <v>3</v>
      </c>
      <c r="AB505">
        <v>3</v>
      </c>
      <c r="AC505">
        <v>3</v>
      </c>
      <c r="AD505">
        <v>3</v>
      </c>
      <c r="AE505">
        <v>3</v>
      </c>
      <c r="AF505">
        <v>4</v>
      </c>
      <c r="AG505">
        <v>4</v>
      </c>
      <c r="AH505">
        <v>4</v>
      </c>
      <c r="AI505">
        <v>2</v>
      </c>
      <c r="AJ505">
        <v>2</v>
      </c>
      <c r="AK505" t="b">
        <f>Table67[[#This Row],[What is your age?]]&lt;&gt;"18 - 25"</f>
        <v>0</v>
      </c>
      <c r="AL505" t="b">
        <f t="shared" si="28"/>
        <v>0</v>
      </c>
      <c r="AM505" t="b">
        <f t="shared" si="29"/>
        <v>1</v>
      </c>
      <c r="AN505" t="b">
        <f t="shared" si="30"/>
        <v>0</v>
      </c>
      <c r="AO505" t="b">
        <f>OR(Table67[[#This Row],[Ineligible respondents]:[Inconsistent response on opposite question (3)]])</f>
        <v>1</v>
      </c>
      <c r="AP50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505">
        <f>Table67[[#This Row],[Extreme Response]]/21</f>
        <v>0</v>
      </c>
      <c r="AR505">
        <f>_xlfn.PERCENTILE.INC(Table67[Extrem Response Ratio (ERS)],0.9)</f>
        <v>0.61904761904761907</v>
      </c>
      <c r="AS505" t="b">
        <f>Table67[[#This Row],[Extrem Response Ratio (ERS)]]&gt;=Table67[[#This Row],[Threshold of ERS]]</f>
        <v>0</v>
      </c>
      <c r="AT505">
        <f>COUNTIF(Table67[[#This Row],[The mechanism of digital assets is difficult to understand, which discourages me from exploring it (E.g, Tokenization, Blockchain)]:[If I want to try different ways to invest, I will explore digital assets.]], 3)</f>
        <v>13</v>
      </c>
      <c r="AU505">
        <f>Table67[[#This Row],[Midpoint]]/21</f>
        <v>0.61904761904761907</v>
      </c>
      <c r="AV505">
        <f>_xlfn.PERCENTILE.INC(Table67[Midpoint ratio],0.9)</f>
        <v>0.5714285714285714</v>
      </c>
      <c r="AW505" t="b">
        <f>Table67[[#This Row],[Midpoint ratio]]&gt;=Table67[[#This Row],[Threshold of Midpoint ratio]]</f>
        <v>1</v>
      </c>
      <c r="AX505" t="b">
        <f>OR(Table67[[#This Row],[Extreme Response Style]],Table67[[#This Row],[Mid-point Response Style]])</f>
        <v>1</v>
      </c>
      <c r="AY505" t="b">
        <f>OR(Table67[[#This Row],[Delete? (Stage 1)]],Table67[[#This Row],[Delete? (Stage 2)]])</f>
        <v>1</v>
      </c>
      <c r="AZ505" t="s">
        <v>81</v>
      </c>
    </row>
    <row r="506" spans="1:52">
      <c r="A506">
        <f t="shared" si="31"/>
        <v>505</v>
      </c>
      <c r="B506" s="3">
        <v>46049.721990740698</v>
      </c>
      <c r="C506" s="3">
        <v>46049.724525463003</v>
      </c>
      <c r="D506" t="s">
        <v>53</v>
      </c>
      <c r="G506" t="s">
        <v>54</v>
      </c>
      <c r="H506" t="s">
        <v>55</v>
      </c>
      <c r="I506" t="s">
        <v>56</v>
      </c>
      <c r="J506" t="s">
        <v>62</v>
      </c>
      <c r="K506" t="s">
        <v>57</v>
      </c>
      <c r="L506" t="s">
        <v>58</v>
      </c>
      <c r="M506" t="s">
        <v>58</v>
      </c>
      <c r="N506">
        <v>4</v>
      </c>
      <c r="O506">
        <v>1</v>
      </c>
      <c r="P506">
        <v>2</v>
      </c>
      <c r="Q506">
        <v>3</v>
      </c>
      <c r="R506">
        <v>3</v>
      </c>
      <c r="S506">
        <v>1</v>
      </c>
      <c r="T506">
        <v>3</v>
      </c>
      <c r="U506">
        <v>5</v>
      </c>
      <c r="V506">
        <v>3</v>
      </c>
      <c r="W506">
        <v>3</v>
      </c>
      <c r="X506">
        <v>4</v>
      </c>
      <c r="Y506">
        <v>4</v>
      </c>
      <c r="Z506">
        <v>3</v>
      </c>
      <c r="AA506">
        <v>3</v>
      </c>
      <c r="AB506">
        <v>3</v>
      </c>
      <c r="AC506">
        <v>2</v>
      </c>
      <c r="AD506">
        <v>3</v>
      </c>
      <c r="AE506">
        <v>4</v>
      </c>
      <c r="AF506">
        <v>2</v>
      </c>
      <c r="AG506">
        <v>3</v>
      </c>
      <c r="AH506">
        <v>2</v>
      </c>
      <c r="AI506">
        <v>4</v>
      </c>
      <c r="AJ506">
        <v>4</v>
      </c>
      <c r="AK506" t="b">
        <f>Table67[[#This Row],[What is your age?]]&lt;&gt;"18 - 25"</f>
        <v>0</v>
      </c>
      <c r="AL506" t="b">
        <f t="shared" si="28"/>
        <v>0</v>
      </c>
      <c r="AM506" t="b">
        <f t="shared" si="29"/>
        <v>0</v>
      </c>
      <c r="AN506" t="b">
        <f t="shared" si="30"/>
        <v>1</v>
      </c>
      <c r="AO506" t="b">
        <f>OR(Table67[[#This Row],[Ineligible respondents]:[Inconsistent response on opposite question (3)]])</f>
        <v>1</v>
      </c>
      <c r="AP50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506">
        <f>Table67[[#This Row],[Extreme Response]]/21</f>
        <v>0.14285714285714285</v>
      </c>
      <c r="AR506">
        <f>_xlfn.PERCENTILE.INC(Table67[Extrem Response Ratio (ERS)],0.9)</f>
        <v>0.61904761904761907</v>
      </c>
      <c r="AS506" t="b">
        <f>Table67[[#This Row],[Extrem Response Ratio (ERS)]]&gt;=Table67[[#This Row],[Threshold of ERS]]</f>
        <v>0</v>
      </c>
      <c r="AT506">
        <f>COUNTIF(Table67[[#This Row],[The mechanism of digital assets is difficult to understand, which discourages me from exploring it (E.g, Tokenization, Blockchain)]:[If I want to try different ways to invest, I will explore digital assets.]], 3)</f>
        <v>10</v>
      </c>
      <c r="AU506">
        <f>Table67[[#This Row],[Midpoint]]/21</f>
        <v>0.47619047619047616</v>
      </c>
      <c r="AV506">
        <f>_xlfn.PERCENTILE.INC(Table67[Midpoint ratio],0.9)</f>
        <v>0.5714285714285714</v>
      </c>
      <c r="AW506" t="b">
        <f>Table67[[#This Row],[Midpoint ratio]]&gt;=Table67[[#This Row],[Threshold of Midpoint ratio]]</f>
        <v>0</v>
      </c>
      <c r="AX506" t="b">
        <f>OR(Table67[[#This Row],[Extreme Response Style]],Table67[[#This Row],[Mid-point Response Style]])</f>
        <v>0</v>
      </c>
      <c r="AY506" t="b">
        <f>OR(Table67[[#This Row],[Delete? (Stage 1)]],Table67[[#This Row],[Delete? (Stage 2)]])</f>
        <v>1</v>
      </c>
      <c r="AZ506" t="s">
        <v>81</v>
      </c>
    </row>
    <row r="507" spans="1:52">
      <c r="A507">
        <f t="shared" si="31"/>
        <v>506</v>
      </c>
      <c r="B507" s="3">
        <v>46049.722060185202</v>
      </c>
      <c r="C507" s="3">
        <v>46049.724699074097</v>
      </c>
      <c r="D507" t="s">
        <v>53</v>
      </c>
      <c r="G507" t="s">
        <v>73</v>
      </c>
      <c r="H507" t="s">
        <v>63</v>
      </c>
      <c r="I507" t="s">
        <v>56</v>
      </c>
      <c r="J507" t="s">
        <v>62</v>
      </c>
      <c r="K507" t="s">
        <v>62</v>
      </c>
      <c r="L507" t="s">
        <v>61</v>
      </c>
      <c r="M507" t="s">
        <v>61</v>
      </c>
      <c r="N507">
        <v>4</v>
      </c>
      <c r="O507">
        <v>3</v>
      </c>
      <c r="P507">
        <v>4</v>
      </c>
      <c r="Q507">
        <v>4</v>
      </c>
      <c r="R507">
        <v>4</v>
      </c>
      <c r="S507">
        <v>3</v>
      </c>
      <c r="T507">
        <v>4</v>
      </c>
      <c r="U507">
        <v>3</v>
      </c>
      <c r="V507">
        <v>4</v>
      </c>
      <c r="W507">
        <v>4</v>
      </c>
      <c r="X507">
        <v>3</v>
      </c>
      <c r="Y507">
        <v>3</v>
      </c>
      <c r="Z507">
        <v>4</v>
      </c>
      <c r="AA507">
        <v>3</v>
      </c>
      <c r="AB507">
        <v>4</v>
      </c>
      <c r="AC507">
        <v>3</v>
      </c>
      <c r="AD507">
        <v>4</v>
      </c>
      <c r="AE507">
        <v>4</v>
      </c>
      <c r="AF507">
        <v>4</v>
      </c>
      <c r="AG507">
        <v>3</v>
      </c>
      <c r="AH507">
        <v>4</v>
      </c>
      <c r="AI507">
        <v>2</v>
      </c>
      <c r="AJ507">
        <v>2</v>
      </c>
      <c r="AK507" t="b">
        <f>Table67[[#This Row],[What is your age?]]&lt;&gt;"18 - 25"</f>
        <v>1</v>
      </c>
      <c r="AL507" t="b">
        <f t="shared" si="28"/>
        <v>0</v>
      </c>
      <c r="AM507" t="b">
        <f t="shared" si="29"/>
        <v>0</v>
      </c>
      <c r="AN507" t="b">
        <f t="shared" si="30"/>
        <v>1</v>
      </c>
      <c r="AO507" t="b">
        <f>OR(Table67[[#This Row],[Ineligible respondents]:[Inconsistent response on opposite question (3)]])</f>
        <v>1</v>
      </c>
      <c r="AP50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507">
        <f>Table67[[#This Row],[Extreme Response]]/21</f>
        <v>0</v>
      </c>
      <c r="AR507">
        <f>_xlfn.PERCENTILE.INC(Table67[Extrem Response Ratio (ERS)],0.9)</f>
        <v>0.61904761904761907</v>
      </c>
      <c r="AS507" t="b">
        <f>Table67[[#This Row],[Extrem Response Ratio (ERS)]]&gt;=Table67[[#This Row],[Threshold of ERS]]</f>
        <v>0</v>
      </c>
      <c r="AT507">
        <f>COUNTIF(Table67[[#This Row],[The mechanism of digital assets is difficult to understand, which discourages me from exploring it (E.g, Tokenization, Blockchain)]:[If I want to try different ways to invest, I will explore digital assets.]], 3)</f>
        <v>8</v>
      </c>
      <c r="AU507">
        <f>Table67[[#This Row],[Midpoint]]/21</f>
        <v>0.38095238095238093</v>
      </c>
      <c r="AV507">
        <f>_xlfn.PERCENTILE.INC(Table67[Midpoint ratio],0.9)</f>
        <v>0.5714285714285714</v>
      </c>
      <c r="AW507" t="b">
        <f>Table67[[#This Row],[Midpoint ratio]]&gt;=Table67[[#This Row],[Threshold of Midpoint ratio]]</f>
        <v>0</v>
      </c>
      <c r="AX507" t="b">
        <f>OR(Table67[[#This Row],[Extreme Response Style]],Table67[[#This Row],[Mid-point Response Style]])</f>
        <v>0</v>
      </c>
      <c r="AY507" t="b">
        <f>OR(Table67[[#This Row],[Delete? (Stage 1)]],Table67[[#This Row],[Delete? (Stage 2)]])</f>
        <v>1</v>
      </c>
      <c r="AZ507" t="s">
        <v>81</v>
      </c>
    </row>
    <row r="508" spans="1:52">
      <c r="A508">
        <f t="shared" si="31"/>
        <v>507</v>
      </c>
      <c r="B508" s="3">
        <v>46049.722071759301</v>
      </c>
      <c r="C508" s="3">
        <v>46049.727129629602</v>
      </c>
      <c r="D508" t="s">
        <v>53</v>
      </c>
      <c r="G508" t="s">
        <v>54</v>
      </c>
      <c r="H508" t="s">
        <v>55</v>
      </c>
      <c r="I508" t="s">
        <v>56</v>
      </c>
      <c r="J508" t="s">
        <v>60</v>
      </c>
      <c r="K508" t="s">
        <v>62</v>
      </c>
      <c r="L508" t="s">
        <v>58</v>
      </c>
      <c r="M508" t="s">
        <v>58</v>
      </c>
      <c r="N508">
        <v>4</v>
      </c>
      <c r="O508">
        <v>2</v>
      </c>
      <c r="P508">
        <v>1</v>
      </c>
      <c r="Q508">
        <v>1</v>
      </c>
      <c r="R508">
        <v>1</v>
      </c>
      <c r="S508">
        <v>5</v>
      </c>
      <c r="T508">
        <v>3</v>
      </c>
      <c r="U508">
        <v>3</v>
      </c>
      <c r="V508">
        <v>4</v>
      </c>
      <c r="W508">
        <v>4</v>
      </c>
      <c r="X508">
        <v>3</v>
      </c>
      <c r="Y508">
        <v>3</v>
      </c>
      <c r="Z508">
        <v>3</v>
      </c>
      <c r="AA508">
        <v>3</v>
      </c>
      <c r="AB508">
        <v>3</v>
      </c>
      <c r="AC508">
        <v>3</v>
      </c>
      <c r="AD508">
        <v>3</v>
      </c>
      <c r="AE508">
        <v>3</v>
      </c>
      <c r="AF508">
        <v>4</v>
      </c>
      <c r="AG508">
        <v>3</v>
      </c>
      <c r="AH508">
        <v>3</v>
      </c>
      <c r="AI508">
        <v>3</v>
      </c>
      <c r="AJ508">
        <v>2</v>
      </c>
      <c r="AK508" t="b">
        <f>Table67[[#This Row],[What is your age?]]&lt;&gt;"18 - 25"</f>
        <v>0</v>
      </c>
      <c r="AL508" t="b">
        <f t="shared" si="28"/>
        <v>0</v>
      </c>
      <c r="AM508" t="b">
        <f t="shared" si="29"/>
        <v>0</v>
      </c>
      <c r="AN508" t="b">
        <f t="shared" si="30"/>
        <v>0</v>
      </c>
      <c r="AO508" t="b">
        <f>OR(Table67[[#This Row],[Ineligible respondents]:[Inconsistent response on opposite question (3)]])</f>
        <v>0</v>
      </c>
      <c r="AP50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508">
        <f>Table67[[#This Row],[Extreme Response]]/21</f>
        <v>0.19047619047619047</v>
      </c>
      <c r="AR508">
        <f>_xlfn.PERCENTILE.INC(Table67[Extrem Response Ratio (ERS)],0.9)</f>
        <v>0.61904761904761907</v>
      </c>
      <c r="AS508" t="b">
        <f>Table67[[#This Row],[Extrem Response Ratio (ERS)]]&gt;=Table67[[#This Row],[Threshold of ERS]]</f>
        <v>0</v>
      </c>
      <c r="AT508">
        <f>COUNTIF(Table67[[#This Row],[The mechanism of digital assets is difficult to understand, which discourages me from exploring it (E.g, Tokenization, Blockchain)]:[If I want to try different ways to invest, I will explore digital assets.]], 3)</f>
        <v>12</v>
      </c>
      <c r="AU508">
        <f>Table67[[#This Row],[Midpoint]]/21</f>
        <v>0.5714285714285714</v>
      </c>
      <c r="AV508">
        <f>_xlfn.PERCENTILE.INC(Table67[Midpoint ratio],0.9)</f>
        <v>0.5714285714285714</v>
      </c>
      <c r="AW508" t="b">
        <f>Table67[[#This Row],[Midpoint ratio]]&gt;=Table67[[#This Row],[Threshold of Midpoint ratio]]</f>
        <v>1</v>
      </c>
      <c r="AX508" t="b">
        <f>OR(Table67[[#This Row],[Extreme Response Style]],Table67[[#This Row],[Mid-point Response Style]])</f>
        <v>1</v>
      </c>
      <c r="AY508" t="b">
        <f>OR(Table67[[#This Row],[Delete? (Stage 1)]],Table67[[#This Row],[Delete? (Stage 2)]])</f>
        <v>1</v>
      </c>
      <c r="AZ508" t="s">
        <v>81</v>
      </c>
    </row>
    <row r="509" spans="1:52">
      <c r="A509">
        <f t="shared" si="31"/>
        <v>508</v>
      </c>
      <c r="B509" s="3">
        <v>46049.722337963001</v>
      </c>
      <c r="C509" s="3">
        <v>46049.726377314801</v>
      </c>
      <c r="D509" t="s">
        <v>53</v>
      </c>
      <c r="G509" t="s">
        <v>54</v>
      </c>
      <c r="H509" t="s">
        <v>55</v>
      </c>
      <c r="I509" t="s">
        <v>56</v>
      </c>
      <c r="J509" t="s">
        <v>62</v>
      </c>
      <c r="K509" t="s">
        <v>57</v>
      </c>
      <c r="L509" t="s">
        <v>61</v>
      </c>
      <c r="M509" t="s">
        <v>61</v>
      </c>
      <c r="N509">
        <v>1</v>
      </c>
      <c r="O509">
        <v>3</v>
      </c>
      <c r="P509">
        <v>4</v>
      </c>
      <c r="Q509">
        <v>2</v>
      </c>
      <c r="R509">
        <v>2</v>
      </c>
      <c r="S509">
        <v>5</v>
      </c>
      <c r="T509">
        <v>3</v>
      </c>
      <c r="U509">
        <v>2</v>
      </c>
      <c r="V509">
        <v>5</v>
      </c>
      <c r="W509">
        <v>4</v>
      </c>
      <c r="X509">
        <v>4</v>
      </c>
      <c r="Y509">
        <v>1</v>
      </c>
      <c r="Z509">
        <v>4</v>
      </c>
      <c r="AA509">
        <v>4</v>
      </c>
      <c r="AB509">
        <v>5</v>
      </c>
      <c r="AC509">
        <v>3</v>
      </c>
      <c r="AD509">
        <v>5</v>
      </c>
      <c r="AE509">
        <v>4</v>
      </c>
      <c r="AF509">
        <v>5</v>
      </c>
      <c r="AG509">
        <v>4</v>
      </c>
      <c r="AH509">
        <v>5</v>
      </c>
      <c r="AI509">
        <v>1</v>
      </c>
      <c r="AJ509">
        <v>1</v>
      </c>
      <c r="AK509" t="b">
        <f>Table67[[#This Row],[What is your age?]]&lt;&gt;"18 - 25"</f>
        <v>0</v>
      </c>
      <c r="AL509" t="b">
        <f t="shared" si="28"/>
        <v>0</v>
      </c>
      <c r="AM509" t="b">
        <f t="shared" si="29"/>
        <v>1</v>
      </c>
      <c r="AN509" t="b">
        <f t="shared" si="30"/>
        <v>0</v>
      </c>
      <c r="AO509" t="b">
        <f>OR(Table67[[#This Row],[Ineligible respondents]:[Inconsistent response on opposite question (3)]])</f>
        <v>1</v>
      </c>
      <c r="AP50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509">
        <f>Table67[[#This Row],[Extreme Response]]/21</f>
        <v>0.38095238095238093</v>
      </c>
      <c r="AR509">
        <f>_xlfn.PERCENTILE.INC(Table67[Extrem Response Ratio (ERS)],0.9)</f>
        <v>0.61904761904761907</v>
      </c>
      <c r="AS509" t="b">
        <f>Table67[[#This Row],[Extrem Response Ratio (ERS)]]&gt;=Table67[[#This Row],[Threshold of ERS]]</f>
        <v>0</v>
      </c>
      <c r="AT509">
        <f>COUNTIF(Table67[[#This Row],[The mechanism of digital assets is difficult to understand, which discourages me from exploring it (E.g, Tokenization, Blockchain)]:[If I want to try different ways to invest, I will explore digital assets.]], 3)</f>
        <v>3</v>
      </c>
      <c r="AU509">
        <f>Table67[[#This Row],[Midpoint]]/21</f>
        <v>0.14285714285714285</v>
      </c>
      <c r="AV509">
        <f>_xlfn.PERCENTILE.INC(Table67[Midpoint ratio],0.9)</f>
        <v>0.5714285714285714</v>
      </c>
      <c r="AW509" t="b">
        <f>Table67[[#This Row],[Midpoint ratio]]&gt;=Table67[[#This Row],[Threshold of Midpoint ratio]]</f>
        <v>0</v>
      </c>
      <c r="AX509" t="b">
        <f>OR(Table67[[#This Row],[Extreme Response Style]],Table67[[#This Row],[Mid-point Response Style]])</f>
        <v>0</v>
      </c>
      <c r="AY509" t="b">
        <f>OR(Table67[[#This Row],[Delete? (Stage 1)]],Table67[[#This Row],[Delete? (Stage 2)]])</f>
        <v>1</v>
      </c>
      <c r="AZ509" t="s">
        <v>81</v>
      </c>
    </row>
    <row r="510" spans="1:52">
      <c r="A510">
        <f t="shared" si="31"/>
        <v>509</v>
      </c>
      <c r="B510" s="3">
        <v>46049.722361111097</v>
      </c>
      <c r="C510" s="3">
        <v>46049.724652777797</v>
      </c>
      <c r="D510" t="s">
        <v>53</v>
      </c>
      <c r="G510" t="s">
        <v>73</v>
      </c>
      <c r="H510" t="s">
        <v>55</v>
      </c>
      <c r="I510" t="s">
        <v>75</v>
      </c>
      <c r="J510" t="s">
        <v>60</v>
      </c>
      <c r="K510" t="s">
        <v>62</v>
      </c>
      <c r="L510" t="s">
        <v>58</v>
      </c>
      <c r="M510" t="s">
        <v>58</v>
      </c>
      <c r="N510">
        <v>2</v>
      </c>
      <c r="O510">
        <v>1</v>
      </c>
      <c r="P510">
        <v>2</v>
      </c>
      <c r="Q510">
        <v>2</v>
      </c>
      <c r="R510">
        <v>1</v>
      </c>
      <c r="S510">
        <v>1</v>
      </c>
      <c r="T510">
        <v>3</v>
      </c>
      <c r="U510">
        <v>4</v>
      </c>
      <c r="V510">
        <v>3</v>
      </c>
      <c r="W510">
        <v>4</v>
      </c>
      <c r="X510">
        <v>3</v>
      </c>
      <c r="Y510">
        <v>3</v>
      </c>
      <c r="Z510">
        <v>4</v>
      </c>
      <c r="AA510">
        <v>4</v>
      </c>
      <c r="AB510">
        <v>4</v>
      </c>
      <c r="AC510">
        <v>3</v>
      </c>
      <c r="AD510">
        <v>4</v>
      </c>
      <c r="AE510">
        <v>5</v>
      </c>
      <c r="AF510">
        <v>5</v>
      </c>
      <c r="AG510">
        <v>5</v>
      </c>
      <c r="AH510">
        <v>5</v>
      </c>
      <c r="AI510">
        <v>1</v>
      </c>
      <c r="AJ510">
        <v>1</v>
      </c>
      <c r="AK510" t="b">
        <f>Table67[[#This Row],[What is your age?]]&lt;&gt;"18 - 25"</f>
        <v>1</v>
      </c>
      <c r="AL510" t="b">
        <f t="shared" si="28"/>
        <v>0</v>
      </c>
      <c r="AM510" t="b">
        <f t="shared" si="29"/>
        <v>1</v>
      </c>
      <c r="AN510" t="b">
        <f t="shared" si="30"/>
        <v>0</v>
      </c>
      <c r="AO510" t="b">
        <f>OR(Table67[[#This Row],[Ineligible respondents]:[Inconsistent response on opposite question (3)]])</f>
        <v>1</v>
      </c>
      <c r="AP51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510">
        <f>Table67[[#This Row],[Extreme Response]]/21</f>
        <v>0.33333333333333331</v>
      </c>
      <c r="AR510">
        <f>_xlfn.PERCENTILE.INC(Table67[Extrem Response Ratio (ERS)],0.9)</f>
        <v>0.61904761904761907</v>
      </c>
      <c r="AS510" t="b">
        <f>Table67[[#This Row],[Extrem Response Ratio (ERS)]]&gt;=Table67[[#This Row],[Threshold of ERS]]</f>
        <v>0</v>
      </c>
      <c r="AT510">
        <f>COUNTIF(Table67[[#This Row],[The mechanism of digital assets is difficult to understand, which discourages me from exploring it (E.g, Tokenization, Blockchain)]:[If I want to try different ways to invest, I will explore digital assets.]], 3)</f>
        <v>5</v>
      </c>
      <c r="AU510">
        <f>Table67[[#This Row],[Midpoint]]/21</f>
        <v>0.23809523809523808</v>
      </c>
      <c r="AV510">
        <f>_xlfn.PERCENTILE.INC(Table67[Midpoint ratio],0.9)</f>
        <v>0.5714285714285714</v>
      </c>
      <c r="AW510" t="b">
        <f>Table67[[#This Row],[Midpoint ratio]]&gt;=Table67[[#This Row],[Threshold of Midpoint ratio]]</f>
        <v>0</v>
      </c>
      <c r="AX510" t="b">
        <f>OR(Table67[[#This Row],[Extreme Response Style]],Table67[[#This Row],[Mid-point Response Style]])</f>
        <v>0</v>
      </c>
      <c r="AY510" t="b">
        <f>OR(Table67[[#This Row],[Delete? (Stage 1)]],Table67[[#This Row],[Delete? (Stage 2)]])</f>
        <v>1</v>
      </c>
      <c r="AZ510" t="s">
        <v>81</v>
      </c>
    </row>
    <row r="511" spans="1:52">
      <c r="A511">
        <f t="shared" si="31"/>
        <v>510</v>
      </c>
      <c r="B511" s="3">
        <v>46049.722361111097</v>
      </c>
      <c r="C511" s="3">
        <v>46049.731469907398</v>
      </c>
      <c r="D511" t="s">
        <v>53</v>
      </c>
      <c r="G511" t="s">
        <v>54</v>
      </c>
      <c r="H511" t="s">
        <v>55</v>
      </c>
      <c r="I511" t="s">
        <v>83</v>
      </c>
      <c r="J511" t="s">
        <v>62</v>
      </c>
      <c r="K511" t="s">
        <v>62</v>
      </c>
      <c r="L511" t="s">
        <v>58</v>
      </c>
      <c r="M511" t="s">
        <v>58</v>
      </c>
      <c r="N511">
        <v>3</v>
      </c>
      <c r="O511">
        <v>3</v>
      </c>
      <c r="P511">
        <v>5</v>
      </c>
      <c r="Q511">
        <v>3</v>
      </c>
      <c r="R511">
        <v>4</v>
      </c>
      <c r="S511">
        <v>4</v>
      </c>
      <c r="T511">
        <v>4</v>
      </c>
      <c r="U511">
        <v>3</v>
      </c>
      <c r="V511">
        <v>3</v>
      </c>
      <c r="W511">
        <v>4</v>
      </c>
      <c r="X511">
        <v>3</v>
      </c>
      <c r="Y511">
        <v>3</v>
      </c>
      <c r="Z511">
        <v>5</v>
      </c>
      <c r="AA511">
        <v>4</v>
      </c>
      <c r="AB511">
        <v>3</v>
      </c>
      <c r="AC511">
        <v>3</v>
      </c>
      <c r="AD511">
        <v>4</v>
      </c>
      <c r="AE511">
        <v>4</v>
      </c>
      <c r="AF511">
        <v>4</v>
      </c>
      <c r="AG511">
        <v>2</v>
      </c>
      <c r="AH511">
        <v>3</v>
      </c>
      <c r="AI511">
        <v>3</v>
      </c>
      <c r="AJ511">
        <v>2</v>
      </c>
      <c r="AK511" t="b">
        <f>Table67[[#This Row],[What is your age?]]&lt;&gt;"18 - 25"</f>
        <v>0</v>
      </c>
      <c r="AL511" t="b">
        <f t="shared" si="28"/>
        <v>0</v>
      </c>
      <c r="AM511" t="b">
        <f t="shared" si="29"/>
        <v>0</v>
      </c>
      <c r="AN511" t="b">
        <f t="shared" si="30"/>
        <v>1</v>
      </c>
      <c r="AO511" t="b">
        <f>OR(Table67[[#This Row],[Ineligible respondents]:[Inconsistent response on opposite question (3)]])</f>
        <v>1</v>
      </c>
      <c r="AP51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511">
        <f>Table67[[#This Row],[Extreme Response]]/21</f>
        <v>9.5238095238095233E-2</v>
      </c>
      <c r="AR511">
        <f>_xlfn.PERCENTILE.INC(Table67[Extrem Response Ratio (ERS)],0.9)</f>
        <v>0.61904761904761907</v>
      </c>
      <c r="AS511" t="b">
        <f>Table67[[#This Row],[Extrem Response Ratio (ERS)]]&gt;=Table67[[#This Row],[Threshold of ERS]]</f>
        <v>0</v>
      </c>
      <c r="AT511">
        <f>COUNTIF(Table67[[#This Row],[The mechanism of digital assets is difficult to understand, which discourages me from exploring it (E.g, Tokenization, Blockchain)]:[If I want to try different ways to invest, I will explore digital assets.]], 3)</f>
        <v>10</v>
      </c>
      <c r="AU511">
        <f>Table67[[#This Row],[Midpoint]]/21</f>
        <v>0.47619047619047616</v>
      </c>
      <c r="AV511">
        <f>_xlfn.PERCENTILE.INC(Table67[Midpoint ratio],0.9)</f>
        <v>0.5714285714285714</v>
      </c>
      <c r="AW511" t="b">
        <f>Table67[[#This Row],[Midpoint ratio]]&gt;=Table67[[#This Row],[Threshold of Midpoint ratio]]</f>
        <v>0</v>
      </c>
      <c r="AX511" t="b">
        <f>OR(Table67[[#This Row],[Extreme Response Style]],Table67[[#This Row],[Mid-point Response Style]])</f>
        <v>0</v>
      </c>
      <c r="AY511" t="b">
        <f>OR(Table67[[#This Row],[Delete? (Stage 1)]],Table67[[#This Row],[Delete? (Stage 2)]])</f>
        <v>1</v>
      </c>
      <c r="AZ511" t="s">
        <v>81</v>
      </c>
    </row>
    <row r="512" spans="1:52">
      <c r="A512">
        <f t="shared" si="31"/>
        <v>511</v>
      </c>
      <c r="B512" s="3">
        <v>46049.722407407397</v>
      </c>
      <c r="C512" s="3">
        <v>46049.728819444397</v>
      </c>
      <c r="D512" t="s">
        <v>53</v>
      </c>
      <c r="G512" t="s">
        <v>54</v>
      </c>
      <c r="H512" t="s">
        <v>55</v>
      </c>
      <c r="I512" t="s">
        <v>75</v>
      </c>
      <c r="J512" t="s">
        <v>62</v>
      </c>
      <c r="K512" t="s">
        <v>62</v>
      </c>
      <c r="L512" t="s">
        <v>58</v>
      </c>
      <c r="M512" t="s">
        <v>58</v>
      </c>
      <c r="N512">
        <v>3</v>
      </c>
      <c r="O512">
        <v>3</v>
      </c>
      <c r="P512">
        <v>3</v>
      </c>
      <c r="Q512">
        <v>3</v>
      </c>
      <c r="R512">
        <v>3</v>
      </c>
      <c r="S512">
        <v>1</v>
      </c>
      <c r="T512">
        <v>4</v>
      </c>
      <c r="U512">
        <v>4</v>
      </c>
      <c r="V512">
        <v>5</v>
      </c>
      <c r="W512">
        <v>5</v>
      </c>
      <c r="X512">
        <v>4</v>
      </c>
      <c r="Y512">
        <v>4</v>
      </c>
      <c r="Z512">
        <v>5</v>
      </c>
      <c r="AA512">
        <v>4</v>
      </c>
      <c r="AB512">
        <v>4</v>
      </c>
      <c r="AC512">
        <v>5</v>
      </c>
      <c r="AD512">
        <v>5</v>
      </c>
      <c r="AE512">
        <v>4</v>
      </c>
      <c r="AF512">
        <v>1</v>
      </c>
      <c r="AG512">
        <v>4</v>
      </c>
      <c r="AH512">
        <v>1</v>
      </c>
      <c r="AI512">
        <v>5</v>
      </c>
      <c r="AJ512">
        <v>5</v>
      </c>
      <c r="AK512" t="b">
        <f>Table67[[#This Row],[What is your age?]]&lt;&gt;"18 - 25"</f>
        <v>0</v>
      </c>
      <c r="AL512" t="b">
        <f t="shared" si="28"/>
        <v>0</v>
      </c>
      <c r="AM512" t="b">
        <f t="shared" si="29"/>
        <v>0</v>
      </c>
      <c r="AN512" t="b">
        <f t="shared" si="30"/>
        <v>0</v>
      </c>
      <c r="AO512" t="b">
        <f>OR(Table67[[#This Row],[Ineligible respondents]:[Inconsistent response on opposite question (3)]])</f>
        <v>0</v>
      </c>
      <c r="AP51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512">
        <f>Table67[[#This Row],[Extreme Response]]/21</f>
        <v>0.38095238095238093</v>
      </c>
      <c r="AR512">
        <f>_xlfn.PERCENTILE.INC(Table67[Extrem Response Ratio (ERS)],0.9)</f>
        <v>0.61904761904761907</v>
      </c>
      <c r="AS512" t="b">
        <f>Table67[[#This Row],[Extrem Response Ratio (ERS)]]&gt;=Table67[[#This Row],[Threshold of ERS]]</f>
        <v>0</v>
      </c>
      <c r="AT512">
        <f>COUNTIF(Table67[[#This Row],[The mechanism of digital assets is difficult to understand, which discourages me from exploring it (E.g, Tokenization, Blockchain)]:[If I want to try different ways to invest, I will explore digital assets.]], 3)</f>
        <v>5</v>
      </c>
      <c r="AU512">
        <f>Table67[[#This Row],[Midpoint]]/21</f>
        <v>0.23809523809523808</v>
      </c>
      <c r="AV512">
        <f>_xlfn.PERCENTILE.INC(Table67[Midpoint ratio],0.9)</f>
        <v>0.5714285714285714</v>
      </c>
      <c r="AW512" t="b">
        <f>Table67[[#This Row],[Midpoint ratio]]&gt;=Table67[[#This Row],[Threshold of Midpoint ratio]]</f>
        <v>0</v>
      </c>
      <c r="AX512" t="b">
        <f>OR(Table67[[#This Row],[Extreme Response Style]],Table67[[#This Row],[Mid-point Response Style]])</f>
        <v>0</v>
      </c>
      <c r="AY512" t="b">
        <f>OR(Table67[[#This Row],[Delete? (Stage 1)]],Table67[[#This Row],[Delete? (Stage 2)]])</f>
        <v>0</v>
      </c>
      <c r="AZ512" t="s">
        <v>81</v>
      </c>
    </row>
    <row r="513" spans="1:52">
      <c r="A513">
        <f t="shared" si="31"/>
        <v>512</v>
      </c>
      <c r="B513" s="3">
        <v>46049.722453703696</v>
      </c>
      <c r="C513" s="3">
        <v>46049.726041666698</v>
      </c>
      <c r="D513" t="s">
        <v>53</v>
      </c>
      <c r="G513" t="s">
        <v>54</v>
      </c>
      <c r="H513" t="s">
        <v>55</v>
      </c>
      <c r="I513" t="s">
        <v>71</v>
      </c>
      <c r="J513" t="s">
        <v>62</v>
      </c>
      <c r="K513" t="s">
        <v>57</v>
      </c>
      <c r="L513" t="s">
        <v>58</v>
      </c>
      <c r="M513" t="s">
        <v>58</v>
      </c>
      <c r="N513">
        <v>2</v>
      </c>
      <c r="O513">
        <v>2</v>
      </c>
      <c r="P513">
        <v>4</v>
      </c>
      <c r="Q513">
        <v>2</v>
      </c>
      <c r="R513">
        <v>3</v>
      </c>
      <c r="S513">
        <v>4</v>
      </c>
      <c r="T513">
        <v>3</v>
      </c>
      <c r="U513">
        <v>4</v>
      </c>
      <c r="V513">
        <v>3</v>
      </c>
      <c r="W513">
        <v>4</v>
      </c>
      <c r="X513">
        <v>4</v>
      </c>
      <c r="Y513">
        <v>4</v>
      </c>
      <c r="Z513">
        <v>4</v>
      </c>
      <c r="AA513">
        <v>4</v>
      </c>
      <c r="AB513">
        <v>2</v>
      </c>
      <c r="AC513">
        <v>3</v>
      </c>
      <c r="AD513">
        <v>5</v>
      </c>
      <c r="AE513">
        <v>3</v>
      </c>
      <c r="AF513">
        <v>2</v>
      </c>
      <c r="AG513">
        <v>2</v>
      </c>
      <c r="AH513">
        <v>3</v>
      </c>
      <c r="AI513">
        <v>3</v>
      </c>
      <c r="AJ513">
        <v>4</v>
      </c>
      <c r="AK513" t="b">
        <f>Table67[[#This Row],[What is your age?]]&lt;&gt;"18 - 25"</f>
        <v>0</v>
      </c>
      <c r="AL513" t="b">
        <f t="shared" si="28"/>
        <v>0</v>
      </c>
      <c r="AM513" t="b">
        <f t="shared" si="29"/>
        <v>0</v>
      </c>
      <c r="AN513" t="b">
        <f t="shared" si="30"/>
        <v>1</v>
      </c>
      <c r="AO513" t="b">
        <f>OR(Table67[[#This Row],[Ineligible respondents]:[Inconsistent response on opposite question (3)]])</f>
        <v>1</v>
      </c>
      <c r="AP51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513">
        <f>Table67[[#This Row],[Extreme Response]]/21</f>
        <v>4.7619047619047616E-2</v>
      </c>
      <c r="AR513">
        <f>_xlfn.PERCENTILE.INC(Table67[Extrem Response Ratio (ERS)],0.9)</f>
        <v>0.61904761904761907</v>
      </c>
      <c r="AS513" t="b">
        <f>Table67[[#This Row],[Extrem Response Ratio (ERS)]]&gt;=Table67[[#This Row],[Threshold of ERS]]</f>
        <v>0</v>
      </c>
      <c r="AT513">
        <f>COUNTIF(Table67[[#This Row],[The mechanism of digital assets is difficult to understand, which discourages me from exploring it (E.g, Tokenization, Blockchain)]:[If I want to try different ways to invest, I will explore digital assets.]], 3)</f>
        <v>6</v>
      </c>
      <c r="AU513">
        <f>Table67[[#This Row],[Midpoint]]/21</f>
        <v>0.2857142857142857</v>
      </c>
      <c r="AV513">
        <f>_xlfn.PERCENTILE.INC(Table67[Midpoint ratio],0.9)</f>
        <v>0.5714285714285714</v>
      </c>
      <c r="AW513" t="b">
        <f>Table67[[#This Row],[Midpoint ratio]]&gt;=Table67[[#This Row],[Threshold of Midpoint ratio]]</f>
        <v>0</v>
      </c>
      <c r="AX513" t="b">
        <f>OR(Table67[[#This Row],[Extreme Response Style]],Table67[[#This Row],[Mid-point Response Style]])</f>
        <v>0</v>
      </c>
      <c r="AY513" t="b">
        <f>OR(Table67[[#This Row],[Delete? (Stage 1)]],Table67[[#This Row],[Delete? (Stage 2)]])</f>
        <v>1</v>
      </c>
      <c r="AZ513" t="s">
        <v>81</v>
      </c>
    </row>
    <row r="514" spans="1:52">
      <c r="A514">
        <f t="shared" si="31"/>
        <v>513</v>
      </c>
      <c r="B514" s="3">
        <v>46049.722476851799</v>
      </c>
      <c r="C514" s="3">
        <v>46049.728750000002</v>
      </c>
      <c r="D514" t="s">
        <v>53</v>
      </c>
      <c r="G514" t="s">
        <v>54</v>
      </c>
      <c r="H514" t="s">
        <v>55</v>
      </c>
      <c r="I514" t="s">
        <v>69</v>
      </c>
      <c r="J514" t="s">
        <v>64</v>
      </c>
      <c r="K514" t="s">
        <v>62</v>
      </c>
      <c r="L514" t="s">
        <v>58</v>
      </c>
      <c r="M514" t="s">
        <v>58</v>
      </c>
      <c r="N514">
        <v>4</v>
      </c>
      <c r="O514">
        <v>3</v>
      </c>
      <c r="P514">
        <v>3</v>
      </c>
      <c r="Q514">
        <v>4</v>
      </c>
      <c r="R514">
        <v>2</v>
      </c>
      <c r="S514">
        <v>3</v>
      </c>
      <c r="T514">
        <v>2</v>
      </c>
      <c r="U514">
        <v>3</v>
      </c>
      <c r="V514">
        <v>4</v>
      </c>
      <c r="W514">
        <v>4</v>
      </c>
      <c r="X514">
        <v>4</v>
      </c>
      <c r="Y514">
        <v>4</v>
      </c>
      <c r="Z514">
        <v>4</v>
      </c>
      <c r="AA514">
        <v>4</v>
      </c>
      <c r="AB514">
        <v>3</v>
      </c>
      <c r="AC514">
        <v>2</v>
      </c>
      <c r="AD514">
        <v>4</v>
      </c>
      <c r="AE514">
        <v>5</v>
      </c>
      <c r="AF514">
        <v>3</v>
      </c>
      <c r="AG514">
        <v>4</v>
      </c>
      <c r="AH514">
        <v>3</v>
      </c>
      <c r="AI514">
        <v>3</v>
      </c>
      <c r="AJ514">
        <v>3</v>
      </c>
      <c r="AK514" t="b">
        <f>Table67[[#This Row],[What is your age?]]&lt;&gt;"18 - 25"</f>
        <v>0</v>
      </c>
      <c r="AL514" t="b">
        <f t="shared" si="28"/>
        <v>0</v>
      </c>
      <c r="AM514" t="b">
        <f t="shared" si="29"/>
        <v>0</v>
      </c>
      <c r="AN514" t="b">
        <f t="shared" si="30"/>
        <v>1</v>
      </c>
      <c r="AO514" t="b">
        <f>OR(Table67[[#This Row],[Ineligible respondents]:[Inconsistent response on opposite question (3)]])</f>
        <v>1</v>
      </c>
      <c r="AP51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514">
        <f>Table67[[#This Row],[Extreme Response]]/21</f>
        <v>4.7619047619047616E-2</v>
      </c>
      <c r="AR514">
        <f>_xlfn.PERCENTILE.INC(Table67[Extrem Response Ratio (ERS)],0.9)</f>
        <v>0.61904761904761907</v>
      </c>
      <c r="AS514" t="b">
        <f>Table67[[#This Row],[Extrem Response Ratio (ERS)]]&gt;=Table67[[#This Row],[Threshold of ERS]]</f>
        <v>0</v>
      </c>
      <c r="AT514">
        <f>COUNTIF(Table67[[#This Row],[The mechanism of digital assets is difficult to understand, which discourages me from exploring it (E.g, Tokenization, Blockchain)]:[If I want to try different ways to invest, I will explore digital assets.]], 3)</f>
        <v>7</v>
      </c>
      <c r="AU514">
        <f>Table67[[#This Row],[Midpoint]]/21</f>
        <v>0.33333333333333331</v>
      </c>
      <c r="AV514">
        <f>_xlfn.PERCENTILE.INC(Table67[Midpoint ratio],0.9)</f>
        <v>0.5714285714285714</v>
      </c>
      <c r="AW514" t="b">
        <f>Table67[[#This Row],[Midpoint ratio]]&gt;=Table67[[#This Row],[Threshold of Midpoint ratio]]</f>
        <v>0</v>
      </c>
      <c r="AX514" t="b">
        <f>OR(Table67[[#This Row],[Extreme Response Style]],Table67[[#This Row],[Mid-point Response Style]])</f>
        <v>0</v>
      </c>
      <c r="AY514" t="b">
        <f>OR(Table67[[#This Row],[Delete? (Stage 1)]],Table67[[#This Row],[Delete? (Stage 2)]])</f>
        <v>1</v>
      </c>
      <c r="AZ514" t="s">
        <v>81</v>
      </c>
    </row>
    <row r="515" spans="1:52">
      <c r="A515">
        <f t="shared" si="31"/>
        <v>514</v>
      </c>
      <c r="B515" s="3">
        <v>46049.722488425898</v>
      </c>
      <c r="C515" s="3">
        <v>46049.728263888901</v>
      </c>
      <c r="D515" t="s">
        <v>53</v>
      </c>
      <c r="G515" t="s">
        <v>54</v>
      </c>
      <c r="H515" t="s">
        <v>63</v>
      </c>
      <c r="I515" t="s">
        <v>56</v>
      </c>
      <c r="J515" t="s">
        <v>62</v>
      </c>
      <c r="K515" t="s">
        <v>57</v>
      </c>
      <c r="L515" t="s">
        <v>58</v>
      </c>
      <c r="M515" t="s">
        <v>58</v>
      </c>
      <c r="N515">
        <v>3</v>
      </c>
      <c r="O515">
        <v>3</v>
      </c>
      <c r="P515">
        <v>3</v>
      </c>
      <c r="Q515">
        <v>4</v>
      </c>
      <c r="R515">
        <v>2</v>
      </c>
      <c r="S515">
        <v>1</v>
      </c>
      <c r="T515">
        <v>1</v>
      </c>
      <c r="U515">
        <v>2</v>
      </c>
      <c r="V515">
        <v>3</v>
      </c>
      <c r="W515">
        <v>4</v>
      </c>
      <c r="X515">
        <v>2</v>
      </c>
      <c r="Y515">
        <v>3</v>
      </c>
      <c r="Z515">
        <v>4</v>
      </c>
      <c r="AA515">
        <v>2</v>
      </c>
      <c r="AB515">
        <v>2</v>
      </c>
      <c r="AC515">
        <v>2</v>
      </c>
      <c r="AD515">
        <v>3</v>
      </c>
      <c r="AE515">
        <v>3</v>
      </c>
      <c r="AF515">
        <v>3</v>
      </c>
      <c r="AG515">
        <v>2</v>
      </c>
      <c r="AH515">
        <v>3</v>
      </c>
      <c r="AI515">
        <v>3</v>
      </c>
      <c r="AJ515">
        <v>3</v>
      </c>
      <c r="AK515" t="b">
        <f>Table67[[#This Row],[What is your age?]]&lt;&gt;"18 - 25"</f>
        <v>0</v>
      </c>
      <c r="AL515" t="b">
        <f t="shared" ref="AL515:AL578" si="32">COUNTIF(N515:AH515, N515) = COLUMNS(N515:AH515)</f>
        <v>0</v>
      </c>
      <c r="AM515" t="b">
        <f t="shared" ref="AM515:AM578" si="33">OR(AND(AG515=AH515, AG515&lt;&gt;3), AND(OR(AG515=1, AG515=2), OR(AH515=1, AH515=2)), AND(OR(AG515=4, AG515=5), OR(AH515=4, AH515=5)))</f>
        <v>0</v>
      </c>
      <c r="AN515" t="b">
        <f t="shared" ref="AN515:AN578" si="34">OR(AND(AG515=3, AH515&lt;&gt;3), AND(AH515=3, AG515&lt;&gt;3))</f>
        <v>1</v>
      </c>
      <c r="AO515" t="b">
        <f>OR(Table67[[#This Row],[Ineligible respondents]:[Inconsistent response on opposite question (3)]])</f>
        <v>1</v>
      </c>
      <c r="AP51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515">
        <f>Table67[[#This Row],[Extreme Response]]/21</f>
        <v>9.5238095238095233E-2</v>
      </c>
      <c r="AR515">
        <f>_xlfn.PERCENTILE.INC(Table67[Extrem Response Ratio (ERS)],0.9)</f>
        <v>0.61904761904761907</v>
      </c>
      <c r="AS515" t="b">
        <f>Table67[[#This Row],[Extrem Response Ratio (ERS)]]&gt;=Table67[[#This Row],[Threshold of ERS]]</f>
        <v>0</v>
      </c>
      <c r="AT515">
        <f>COUNTIF(Table67[[#This Row],[The mechanism of digital assets is difficult to understand, which discourages me from exploring it (E.g, Tokenization, Blockchain)]:[If I want to try different ways to invest, I will explore digital assets.]], 3)</f>
        <v>9</v>
      </c>
      <c r="AU515">
        <f>Table67[[#This Row],[Midpoint]]/21</f>
        <v>0.42857142857142855</v>
      </c>
      <c r="AV515">
        <f>_xlfn.PERCENTILE.INC(Table67[Midpoint ratio],0.9)</f>
        <v>0.5714285714285714</v>
      </c>
      <c r="AW515" t="b">
        <f>Table67[[#This Row],[Midpoint ratio]]&gt;=Table67[[#This Row],[Threshold of Midpoint ratio]]</f>
        <v>0</v>
      </c>
      <c r="AX515" t="b">
        <f>OR(Table67[[#This Row],[Extreme Response Style]],Table67[[#This Row],[Mid-point Response Style]])</f>
        <v>0</v>
      </c>
      <c r="AY515" t="b">
        <f>OR(Table67[[#This Row],[Delete? (Stage 1)]],Table67[[#This Row],[Delete? (Stage 2)]])</f>
        <v>1</v>
      </c>
      <c r="AZ515" t="s">
        <v>81</v>
      </c>
    </row>
    <row r="516" spans="1:52">
      <c r="A516">
        <f t="shared" ref="A516:A579" si="35">1+A515</f>
        <v>515</v>
      </c>
      <c r="B516" s="3">
        <v>46049.722569444399</v>
      </c>
      <c r="C516" s="3">
        <v>46049.734074074098</v>
      </c>
      <c r="D516" t="s">
        <v>53</v>
      </c>
      <c r="G516" t="s">
        <v>54</v>
      </c>
      <c r="H516" t="s">
        <v>63</v>
      </c>
      <c r="I516" t="s">
        <v>56</v>
      </c>
      <c r="J516" t="s">
        <v>60</v>
      </c>
      <c r="K516" t="s">
        <v>60</v>
      </c>
      <c r="L516" t="s">
        <v>61</v>
      </c>
      <c r="M516" t="s">
        <v>61</v>
      </c>
      <c r="N516">
        <v>1</v>
      </c>
      <c r="O516">
        <v>1</v>
      </c>
      <c r="P516">
        <v>4</v>
      </c>
      <c r="Q516">
        <v>1</v>
      </c>
      <c r="R516">
        <v>2</v>
      </c>
      <c r="S516">
        <v>1</v>
      </c>
      <c r="T516">
        <v>1</v>
      </c>
      <c r="U516">
        <v>2</v>
      </c>
      <c r="V516">
        <v>5</v>
      </c>
      <c r="W516">
        <v>5</v>
      </c>
      <c r="X516">
        <v>2</v>
      </c>
      <c r="Y516">
        <v>5</v>
      </c>
      <c r="Z516">
        <v>5</v>
      </c>
      <c r="AA516">
        <v>4</v>
      </c>
      <c r="AB516">
        <v>2</v>
      </c>
      <c r="AC516">
        <v>1</v>
      </c>
      <c r="AD516">
        <v>2</v>
      </c>
      <c r="AE516">
        <v>1</v>
      </c>
      <c r="AF516">
        <v>5</v>
      </c>
      <c r="AG516">
        <v>1</v>
      </c>
      <c r="AH516">
        <v>5</v>
      </c>
      <c r="AI516">
        <v>1</v>
      </c>
      <c r="AJ516">
        <v>1</v>
      </c>
      <c r="AK516" t="b">
        <f>Table67[[#This Row],[What is your age?]]&lt;&gt;"18 - 25"</f>
        <v>0</v>
      </c>
      <c r="AL516" t="b">
        <f t="shared" si="32"/>
        <v>0</v>
      </c>
      <c r="AM516" t="b">
        <f t="shared" si="33"/>
        <v>0</v>
      </c>
      <c r="AN516" t="b">
        <f t="shared" si="34"/>
        <v>0</v>
      </c>
      <c r="AO516" t="b">
        <f>OR(Table67[[#This Row],[Ineligible respondents]:[Inconsistent response on opposite question (3)]])</f>
        <v>0</v>
      </c>
      <c r="AP51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516">
        <f>Table67[[#This Row],[Extreme Response]]/21</f>
        <v>0.66666666666666663</v>
      </c>
      <c r="AR516">
        <f>_xlfn.PERCENTILE.INC(Table67[Extrem Response Ratio (ERS)],0.9)</f>
        <v>0.61904761904761907</v>
      </c>
      <c r="AS516" t="b">
        <f>Table67[[#This Row],[Extrem Response Ratio (ERS)]]&gt;=Table67[[#This Row],[Threshold of ERS]]</f>
        <v>1</v>
      </c>
      <c r="AT516">
        <f>COUNTIF(Table67[[#This Row],[The mechanism of digital assets is difficult to understand, which discourages me from exploring it (E.g, Tokenization, Blockchain)]:[If I want to try different ways to invest, I will explore digital assets.]], 3)</f>
        <v>0</v>
      </c>
      <c r="AU516">
        <f>Table67[[#This Row],[Midpoint]]/21</f>
        <v>0</v>
      </c>
      <c r="AV516">
        <f>_xlfn.PERCENTILE.INC(Table67[Midpoint ratio],0.9)</f>
        <v>0.5714285714285714</v>
      </c>
      <c r="AW516" t="b">
        <f>Table67[[#This Row],[Midpoint ratio]]&gt;=Table67[[#This Row],[Threshold of Midpoint ratio]]</f>
        <v>0</v>
      </c>
      <c r="AX516" t="b">
        <f>OR(Table67[[#This Row],[Extreme Response Style]],Table67[[#This Row],[Mid-point Response Style]])</f>
        <v>1</v>
      </c>
      <c r="AY516" t="b">
        <f>OR(Table67[[#This Row],[Delete? (Stage 1)]],Table67[[#This Row],[Delete? (Stage 2)]])</f>
        <v>1</v>
      </c>
      <c r="AZ516" t="s">
        <v>81</v>
      </c>
    </row>
    <row r="517" spans="1:52">
      <c r="A517">
        <f t="shared" si="35"/>
        <v>516</v>
      </c>
      <c r="B517" s="3">
        <v>46049.722581018497</v>
      </c>
      <c r="C517" s="3">
        <v>46049.725324074097</v>
      </c>
      <c r="D517" t="s">
        <v>53</v>
      </c>
      <c r="G517" t="s">
        <v>54</v>
      </c>
      <c r="H517" t="s">
        <v>63</v>
      </c>
      <c r="I517" t="s">
        <v>71</v>
      </c>
      <c r="J517" t="s">
        <v>57</v>
      </c>
      <c r="K517" t="s">
        <v>57</v>
      </c>
      <c r="L517" t="s">
        <v>58</v>
      </c>
      <c r="M517" t="s">
        <v>58</v>
      </c>
      <c r="N517">
        <v>3</v>
      </c>
      <c r="O517">
        <v>2</v>
      </c>
      <c r="P517">
        <v>3</v>
      </c>
      <c r="Q517">
        <v>3</v>
      </c>
      <c r="R517">
        <v>3</v>
      </c>
      <c r="S517">
        <v>3</v>
      </c>
      <c r="T517">
        <v>4</v>
      </c>
      <c r="U517">
        <v>4</v>
      </c>
      <c r="V517">
        <v>3</v>
      </c>
      <c r="W517">
        <v>3</v>
      </c>
      <c r="X517">
        <v>3</v>
      </c>
      <c r="Y517">
        <v>3</v>
      </c>
      <c r="Z517">
        <v>4</v>
      </c>
      <c r="AA517">
        <v>4</v>
      </c>
      <c r="AB517">
        <v>3</v>
      </c>
      <c r="AC517">
        <v>4</v>
      </c>
      <c r="AD517">
        <v>3</v>
      </c>
      <c r="AE517">
        <v>3</v>
      </c>
      <c r="AF517">
        <v>3</v>
      </c>
      <c r="AG517">
        <v>3</v>
      </c>
      <c r="AH517">
        <v>3</v>
      </c>
      <c r="AI517">
        <v>3</v>
      </c>
      <c r="AJ517">
        <v>3</v>
      </c>
      <c r="AK517" t="b">
        <f>Table67[[#This Row],[What is your age?]]&lt;&gt;"18 - 25"</f>
        <v>0</v>
      </c>
      <c r="AL517" t="b">
        <f t="shared" si="32"/>
        <v>0</v>
      </c>
      <c r="AM517" t="b">
        <f t="shared" si="33"/>
        <v>0</v>
      </c>
      <c r="AN517" t="b">
        <f t="shared" si="34"/>
        <v>0</v>
      </c>
      <c r="AO517" t="b">
        <f>OR(Table67[[#This Row],[Ineligible respondents]:[Inconsistent response on opposite question (3)]])</f>
        <v>0</v>
      </c>
      <c r="AP51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517">
        <f>Table67[[#This Row],[Extreme Response]]/21</f>
        <v>0</v>
      </c>
      <c r="AR517">
        <f>_xlfn.PERCENTILE.INC(Table67[Extrem Response Ratio (ERS)],0.9)</f>
        <v>0.61904761904761907</v>
      </c>
      <c r="AS517" t="b">
        <f>Table67[[#This Row],[Extrem Response Ratio (ERS)]]&gt;=Table67[[#This Row],[Threshold of ERS]]</f>
        <v>0</v>
      </c>
      <c r="AT517">
        <f>COUNTIF(Table67[[#This Row],[The mechanism of digital assets is difficult to understand, which discourages me from exploring it (E.g, Tokenization, Blockchain)]:[If I want to try different ways to invest, I will explore digital assets.]], 3)</f>
        <v>15</v>
      </c>
      <c r="AU517">
        <f>Table67[[#This Row],[Midpoint]]/21</f>
        <v>0.7142857142857143</v>
      </c>
      <c r="AV517">
        <f>_xlfn.PERCENTILE.INC(Table67[Midpoint ratio],0.9)</f>
        <v>0.5714285714285714</v>
      </c>
      <c r="AW517" t="b">
        <f>Table67[[#This Row],[Midpoint ratio]]&gt;=Table67[[#This Row],[Threshold of Midpoint ratio]]</f>
        <v>1</v>
      </c>
      <c r="AX517" t="b">
        <f>OR(Table67[[#This Row],[Extreme Response Style]],Table67[[#This Row],[Mid-point Response Style]])</f>
        <v>1</v>
      </c>
      <c r="AY517" t="b">
        <f>OR(Table67[[#This Row],[Delete? (Stage 1)]],Table67[[#This Row],[Delete? (Stage 2)]])</f>
        <v>1</v>
      </c>
      <c r="AZ517" t="s">
        <v>81</v>
      </c>
    </row>
    <row r="518" spans="1:52">
      <c r="A518">
        <f t="shared" si="35"/>
        <v>517</v>
      </c>
      <c r="B518" s="3">
        <v>46049.722604166702</v>
      </c>
      <c r="C518" s="3">
        <v>46049.731828703698</v>
      </c>
      <c r="D518" t="s">
        <v>53</v>
      </c>
      <c r="G518" t="s">
        <v>54</v>
      </c>
      <c r="H518" t="s">
        <v>63</v>
      </c>
      <c r="I518" t="s">
        <v>75</v>
      </c>
      <c r="J518" t="s">
        <v>62</v>
      </c>
      <c r="K518" t="s">
        <v>62</v>
      </c>
      <c r="L518" t="s">
        <v>58</v>
      </c>
      <c r="M518" t="s">
        <v>58</v>
      </c>
      <c r="N518">
        <v>3</v>
      </c>
      <c r="O518">
        <v>2</v>
      </c>
      <c r="P518">
        <v>4</v>
      </c>
      <c r="Q518">
        <v>3</v>
      </c>
      <c r="R518">
        <v>2</v>
      </c>
      <c r="S518">
        <v>5</v>
      </c>
      <c r="T518">
        <v>3</v>
      </c>
      <c r="U518">
        <v>5</v>
      </c>
      <c r="V518">
        <v>3</v>
      </c>
      <c r="W518">
        <v>4</v>
      </c>
      <c r="X518">
        <v>2</v>
      </c>
      <c r="Y518">
        <v>4</v>
      </c>
      <c r="Z518">
        <v>3</v>
      </c>
      <c r="AA518">
        <v>3</v>
      </c>
      <c r="AB518">
        <v>3</v>
      </c>
      <c r="AC518">
        <v>4</v>
      </c>
      <c r="AD518">
        <v>4</v>
      </c>
      <c r="AE518">
        <v>2</v>
      </c>
      <c r="AF518">
        <v>2</v>
      </c>
      <c r="AG518">
        <v>4</v>
      </c>
      <c r="AH518">
        <v>3</v>
      </c>
      <c r="AI518">
        <v>3</v>
      </c>
      <c r="AJ518">
        <v>4</v>
      </c>
      <c r="AK518" t="b">
        <f>Table67[[#This Row],[What is your age?]]&lt;&gt;"18 - 25"</f>
        <v>0</v>
      </c>
      <c r="AL518" t="b">
        <f t="shared" si="32"/>
        <v>0</v>
      </c>
      <c r="AM518" t="b">
        <f t="shared" si="33"/>
        <v>0</v>
      </c>
      <c r="AN518" t="b">
        <f t="shared" si="34"/>
        <v>1</v>
      </c>
      <c r="AO518" t="b">
        <f>OR(Table67[[#This Row],[Ineligible respondents]:[Inconsistent response on opposite question (3)]])</f>
        <v>1</v>
      </c>
      <c r="AP51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518">
        <f>Table67[[#This Row],[Extreme Response]]/21</f>
        <v>9.5238095238095233E-2</v>
      </c>
      <c r="AR518">
        <f>_xlfn.PERCENTILE.INC(Table67[Extrem Response Ratio (ERS)],0.9)</f>
        <v>0.61904761904761907</v>
      </c>
      <c r="AS518" t="b">
        <f>Table67[[#This Row],[Extrem Response Ratio (ERS)]]&gt;=Table67[[#This Row],[Threshold of ERS]]</f>
        <v>0</v>
      </c>
      <c r="AT518">
        <f>COUNTIF(Table67[[#This Row],[The mechanism of digital assets is difficult to understand, which discourages me from exploring it (E.g, Tokenization, Blockchain)]:[If I want to try different ways to invest, I will explore digital assets.]], 3)</f>
        <v>8</v>
      </c>
      <c r="AU518">
        <f>Table67[[#This Row],[Midpoint]]/21</f>
        <v>0.38095238095238093</v>
      </c>
      <c r="AV518">
        <f>_xlfn.PERCENTILE.INC(Table67[Midpoint ratio],0.9)</f>
        <v>0.5714285714285714</v>
      </c>
      <c r="AW518" t="b">
        <f>Table67[[#This Row],[Midpoint ratio]]&gt;=Table67[[#This Row],[Threshold of Midpoint ratio]]</f>
        <v>0</v>
      </c>
      <c r="AX518" t="b">
        <f>OR(Table67[[#This Row],[Extreme Response Style]],Table67[[#This Row],[Mid-point Response Style]])</f>
        <v>0</v>
      </c>
      <c r="AY518" t="b">
        <f>OR(Table67[[#This Row],[Delete? (Stage 1)]],Table67[[#This Row],[Delete? (Stage 2)]])</f>
        <v>1</v>
      </c>
      <c r="AZ518" t="s">
        <v>81</v>
      </c>
    </row>
    <row r="519" spans="1:52">
      <c r="A519">
        <f t="shared" si="35"/>
        <v>518</v>
      </c>
      <c r="B519" s="3">
        <v>46049.722719907397</v>
      </c>
      <c r="C519" s="3">
        <v>46049.729548611103</v>
      </c>
      <c r="D519" t="s">
        <v>53</v>
      </c>
      <c r="G519" t="s">
        <v>54</v>
      </c>
      <c r="H519" t="s">
        <v>55</v>
      </c>
      <c r="I519" t="s">
        <v>71</v>
      </c>
      <c r="J519" t="s">
        <v>62</v>
      </c>
      <c r="K519" t="s">
        <v>57</v>
      </c>
      <c r="L519" t="s">
        <v>58</v>
      </c>
      <c r="M519" t="s">
        <v>58</v>
      </c>
      <c r="N519">
        <v>5</v>
      </c>
      <c r="O519">
        <v>2</v>
      </c>
      <c r="P519">
        <v>4</v>
      </c>
      <c r="Q519">
        <v>4</v>
      </c>
      <c r="R519">
        <v>2</v>
      </c>
      <c r="S519">
        <v>3</v>
      </c>
      <c r="T519">
        <v>3</v>
      </c>
      <c r="U519">
        <v>5</v>
      </c>
      <c r="V519">
        <v>5</v>
      </c>
      <c r="W519">
        <v>5</v>
      </c>
      <c r="X519">
        <v>4</v>
      </c>
      <c r="Y519">
        <v>5</v>
      </c>
      <c r="Z519">
        <v>5</v>
      </c>
      <c r="AA519">
        <v>4</v>
      </c>
      <c r="AB519">
        <v>1</v>
      </c>
      <c r="AC519">
        <v>3</v>
      </c>
      <c r="AD519">
        <v>5</v>
      </c>
      <c r="AE519">
        <v>5</v>
      </c>
      <c r="AF519">
        <v>2</v>
      </c>
      <c r="AG519">
        <v>4</v>
      </c>
      <c r="AH519">
        <v>3</v>
      </c>
      <c r="AI519">
        <v>3</v>
      </c>
      <c r="AJ519">
        <v>4</v>
      </c>
      <c r="AK519" t="b">
        <f>Table67[[#This Row],[What is your age?]]&lt;&gt;"18 - 25"</f>
        <v>0</v>
      </c>
      <c r="AL519" t="b">
        <f t="shared" si="32"/>
        <v>0</v>
      </c>
      <c r="AM519" t="b">
        <f t="shared" si="33"/>
        <v>0</v>
      </c>
      <c r="AN519" t="b">
        <f t="shared" si="34"/>
        <v>1</v>
      </c>
      <c r="AO519" t="b">
        <f>OR(Table67[[#This Row],[Ineligible respondents]:[Inconsistent response on opposite question (3)]])</f>
        <v>1</v>
      </c>
      <c r="AP51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519">
        <f>Table67[[#This Row],[Extreme Response]]/21</f>
        <v>0.42857142857142855</v>
      </c>
      <c r="AR519">
        <f>_xlfn.PERCENTILE.INC(Table67[Extrem Response Ratio (ERS)],0.9)</f>
        <v>0.61904761904761907</v>
      </c>
      <c r="AS519" t="b">
        <f>Table67[[#This Row],[Extrem Response Ratio (ERS)]]&gt;=Table67[[#This Row],[Threshold of ERS]]</f>
        <v>0</v>
      </c>
      <c r="AT519">
        <f>COUNTIF(Table67[[#This Row],[The mechanism of digital assets is difficult to understand, which discourages me from exploring it (E.g, Tokenization, Blockchain)]:[If I want to try different ways to invest, I will explore digital assets.]], 3)</f>
        <v>4</v>
      </c>
      <c r="AU519">
        <f>Table67[[#This Row],[Midpoint]]/21</f>
        <v>0.19047619047619047</v>
      </c>
      <c r="AV519">
        <f>_xlfn.PERCENTILE.INC(Table67[Midpoint ratio],0.9)</f>
        <v>0.5714285714285714</v>
      </c>
      <c r="AW519" t="b">
        <f>Table67[[#This Row],[Midpoint ratio]]&gt;=Table67[[#This Row],[Threshold of Midpoint ratio]]</f>
        <v>0</v>
      </c>
      <c r="AX519" t="b">
        <f>OR(Table67[[#This Row],[Extreme Response Style]],Table67[[#This Row],[Mid-point Response Style]])</f>
        <v>0</v>
      </c>
      <c r="AY519" t="b">
        <f>OR(Table67[[#This Row],[Delete? (Stage 1)]],Table67[[#This Row],[Delete? (Stage 2)]])</f>
        <v>1</v>
      </c>
      <c r="AZ519" t="s">
        <v>81</v>
      </c>
    </row>
    <row r="520" spans="1:52">
      <c r="A520">
        <f t="shared" si="35"/>
        <v>519</v>
      </c>
      <c r="B520" s="3">
        <v>46049.722766203697</v>
      </c>
      <c r="C520" s="3">
        <v>46049.728564814803</v>
      </c>
      <c r="D520" t="s">
        <v>53</v>
      </c>
      <c r="G520" t="s">
        <v>54</v>
      </c>
      <c r="H520" t="s">
        <v>63</v>
      </c>
      <c r="I520" t="s">
        <v>56</v>
      </c>
      <c r="J520" t="s">
        <v>62</v>
      </c>
      <c r="K520" t="s">
        <v>57</v>
      </c>
      <c r="L520" t="s">
        <v>58</v>
      </c>
      <c r="M520" t="s">
        <v>58</v>
      </c>
      <c r="N520">
        <v>4</v>
      </c>
      <c r="O520">
        <v>3</v>
      </c>
      <c r="P520">
        <v>3</v>
      </c>
      <c r="Q520">
        <v>3</v>
      </c>
      <c r="R520">
        <v>4</v>
      </c>
      <c r="S520">
        <v>4</v>
      </c>
      <c r="T520">
        <v>4</v>
      </c>
      <c r="U520">
        <v>5</v>
      </c>
      <c r="V520">
        <v>2</v>
      </c>
      <c r="W520">
        <v>5</v>
      </c>
      <c r="X520">
        <v>3</v>
      </c>
      <c r="Y520">
        <v>3</v>
      </c>
      <c r="Z520">
        <v>4</v>
      </c>
      <c r="AA520">
        <v>4</v>
      </c>
      <c r="AB520">
        <v>3</v>
      </c>
      <c r="AC520">
        <v>2</v>
      </c>
      <c r="AD520">
        <v>5</v>
      </c>
      <c r="AE520">
        <v>3</v>
      </c>
      <c r="AF520">
        <v>1</v>
      </c>
      <c r="AG520">
        <v>3</v>
      </c>
      <c r="AH520">
        <v>2</v>
      </c>
      <c r="AI520">
        <v>4</v>
      </c>
      <c r="AJ520">
        <v>5</v>
      </c>
      <c r="AK520" t="b">
        <f>Table67[[#This Row],[What is your age?]]&lt;&gt;"18 - 25"</f>
        <v>0</v>
      </c>
      <c r="AL520" t="b">
        <f t="shared" si="32"/>
        <v>0</v>
      </c>
      <c r="AM520" t="b">
        <f t="shared" si="33"/>
        <v>0</v>
      </c>
      <c r="AN520" t="b">
        <f t="shared" si="34"/>
        <v>1</v>
      </c>
      <c r="AO520" t="b">
        <f>OR(Table67[[#This Row],[Ineligible respondents]:[Inconsistent response on opposite question (3)]])</f>
        <v>1</v>
      </c>
      <c r="AP52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520">
        <f>Table67[[#This Row],[Extreme Response]]/21</f>
        <v>0.19047619047619047</v>
      </c>
      <c r="AR520">
        <f>_xlfn.PERCENTILE.INC(Table67[Extrem Response Ratio (ERS)],0.9)</f>
        <v>0.61904761904761907</v>
      </c>
      <c r="AS520" t="b">
        <f>Table67[[#This Row],[Extrem Response Ratio (ERS)]]&gt;=Table67[[#This Row],[Threshold of ERS]]</f>
        <v>0</v>
      </c>
      <c r="AT520">
        <f>COUNTIF(Table67[[#This Row],[The mechanism of digital assets is difficult to understand, which discourages me from exploring it (E.g, Tokenization, Blockchain)]:[If I want to try different ways to invest, I will explore digital assets.]], 3)</f>
        <v>8</v>
      </c>
      <c r="AU520">
        <f>Table67[[#This Row],[Midpoint]]/21</f>
        <v>0.38095238095238093</v>
      </c>
      <c r="AV520">
        <f>_xlfn.PERCENTILE.INC(Table67[Midpoint ratio],0.9)</f>
        <v>0.5714285714285714</v>
      </c>
      <c r="AW520" t="b">
        <f>Table67[[#This Row],[Midpoint ratio]]&gt;=Table67[[#This Row],[Threshold of Midpoint ratio]]</f>
        <v>0</v>
      </c>
      <c r="AX520" t="b">
        <f>OR(Table67[[#This Row],[Extreme Response Style]],Table67[[#This Row],[Mid-point Response Style]])</f>
        <v>0</v>
      </c>
      <c r="AY520" t="b">
        <f>OR(Table67[[#This Row],[Delete? (Stage 1)]],Table67[[#This Row],[Delete? (Stage 2)]])</f>
        <v>1</v>
      </c>
      <c r="AZ520" t="s">
        <v>81</v>
      </c>
    </row>
    <row r="521" spans="1:52">
      <c r="A521">
        <f t="shared" si="35"/>
        <v>520</v>
      </c>
      <c r="B521" s="3">
        <v>46049.722777777803</v>
      </c>
      <c r="C521" s="3">
        <v>46049.727962962999</v>
      </c>
      <c r="D521" t="s">
        <v>53</v>
      </c>
      <c r="G521" t="s">
        <v>54</v>
      </c>
      <c r="H521" t="s">
        <v>63</v>
      </c>
      <c r="I521" t="s">
        <v>71</v>
      </c>
      <c r="J521" t="s">
        <v>57</v>
      </c>
      <c r="K521" t="s">
        <v>62</v>
      </c>
      <c r="L521" t="s">
        <v>58</v>
      </c>
      <c r="M521" t="s">
        <v>58</v>
      </c>
      <c r="N521">
        <v>4</v>
      </c>
      <c r="O521">
        <v>1</v>
      </c>
      <c r="P521">
        <v>3</v>
      </c>
      <c r="Q521">
        <v>2</v>
      </c>
      <c r="R521">
        <v>3</v>
      </c>
      <c r="S521">
        <v>4</v>
      </c>
      <c r="T521">
        <v>2</v>
      </c>
      <c r="U521">
        <v>5</v>
      </c>
      <c r="V521">
        <v>2</v>
      </c>
      <c r="W521">
        <v>1</v>
      </c>
      <c r="X521">
        <v>2</v>
      </c>
      <c r="Y521">
        <v>3</v>
      </c>
      <c r="Z521">
        <v>3</v>
      </c>
      <c r="AA521">
        <v>3</v>
      </c>
      <c r="AB521">
        <v>3</v>
      </c>
      <c r="AC521">
        <v>4</v>
      </c>
      <c r="AD521">
        <v>3</v>
      </c>
      <c r="AE521">
        <v>3</v>
      </c>
      <c r="AF521">
        <v>2</v>
      </c>
      <c r="AG521">
        <v>3</v>
      </c>
      <c r="AH521">
        <v>4</v>
      </c>
      <c r="AI521">
        <v>2</v>
      </c>
      <c r="AJ521">
        <v>4</v>
      </c>
      <c r="AK521" t="b">
        <f>Table67[[#This Row],[What is your age?]]&lt;&gt;"18 - 25"</f>
        <v>0</v>
      </c>
      <c r="AL521" t="b">
        <f t="shared" si="32"/>
        <v>0</v>
      </c>
      <c r="AM521" t="b">
        <f t="shared" si="33"/>
        <v>0</v>
      </c>
      <c r="AN521" t="b">
        <f t="shared" si="34"/>
        <v>1</v>
      </c>
      <c r="AO521" t="b">
        <f>OR(Table67[[#This Row],[Ineligible respondents]:[Inconsistent response on opposite question (3)]])</f>
        <v>1</v>
      </c>
      <c r="AP52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521">
        <f>Table67[[#This Row],[Extreme Response]]/21</f>
        <v>0.14285714285714285</v>
      </c>
      <c r="AR521">
        <f>_xlfn.PERCENTILE.INC(Table67[Extrem Response Ratio (ERS)],0.9)</f>
        <v>0.61904761904761907</v>
      </c>
      <c r="AS521" t="b">
        <f>Table67[[#This Row],[Extrem Response Ratio (ERS)]]&gt;=Table67[[#This Row],[Threshold of ERS]]</f>
        <v>0</v>
      </c>
      <c r="AT521">
        <f>COUNTIF(Table67[[#This Row],[The mechanism of digital assets is difficult to understand, which discourages me from exploring it (E.g, Tokenization, Blockchain)]:[If I want to try different ways to invest, I will explore digital assets.]], 3)</f>
        <v>9</v>
      </c>
      <c r="AU521">
        <f>Table67[[#This Row],[Midpoint]]/21</f>
        <v>0.42857142857142855</v>
      </c>
      <c r="AV521">
        <f>_xlfn.PERCENTILE.INC(Table67[Midpoint ratio],0.9)</f>
        <v>0.5714285714285714</v>
      </c>
      <c r="AW521" t="b">
        <f>Table67[[#This Row],[Midpoint ratio]]&gt;=Table67[[#This Row],[Threshold of Midpoint ratio]]</f>
        <v>0</v>
      </c>
      <c r="AX521" t="b">
        <f>OR(Table67[[#This Row],[Extreme Response Style]],Table67[[#This Row],[Mid-point Response Style]])</f>
        <v>0</v>
      </c>
      <c r="AY521" t="b">
        <f>OR(Table67[[#This Row],[Delete? (Stage 1)]],Table67[[#This Row],[Delete? (Stage 2)]])</f>
        <v>1</v>
      </c>
      <c r="AZ521" t="s">
        <v>81</v>
      </c>
    </row>
    <row r="522" spans="1:52">
      <c r="A522">
        <f t="shared" si="35"/>
        <v>521</v>
      </c>
      <c r="B522" s="3">
        <v>46049.722835648099</v>
      </c>
      <c r="C522" s="3">
        <v>46049.729236111103</v>
      </c>
      <c r="D522" t="s">
        <v>53</v>
      </c>
      <c r="G522" t="s">
        <v>54</v>
      </c>
      <c r="H522" t="s">
        <v>63</v>
      </c>
      <c r="I522" t="s">
        <v>56</v>
      </c>
      <c r="J522" t="s">
        <v>62</v>
      </c>
      <c r="K522" t="s">
        <v>62</v>
      </c>
      <c r="L522" t="s">
        <v>58</v>
      </c>
      <c r="M522" t="s">
        <v>61</v>
      </c>
      <c r="N522">
        <v>4</v>
      </c>
      <c r="O522">
        <v>3</v>
      </c>
      <c r="P522">
        <v>4</v>
      </c>
      <c r="Q522">
        <v>4</v>
      </c>
      <c r="R522">
        <v>4</v>
      </c>
      <c r="S522">
        <v>3</v>
      </c>
      <c r="T522">
        <v>3</v>
      </c>
      <c r="U522">
        <v>4</v>
      </c>
      <c r="V522">
        <v>4</v>
      </c>
      <c r="W522">
        <v>4</v>
      </c>
      <c r="X522">
        <v>3</v>
      </c>
      <c r="Y522">
        <v>4</v>
      </c>
      <c r="Z522">
        <v>4</v>
      </c>
      <c r="AA522">
        <v>4</v>
      </c>
      <c r="AB522">
        <v>3</v>
      </c>
      <c r="AC522">
        <v>3</v>
      </c>
      <c r="AD522">
        <v>5</v>
      </c>
      <c r="AE522">
        <v>3</v>
      </c>
      <c r="AF522">
        <v>4</v>
      </c>
      <c r="AG522">
        <v>4</v>
      </c>
      <c r="AH522">
        <v>3</v>
      </c>
      <c r="AI522">
        <v>3</v>
      </c>
      <c r="AJ522">
        <v>2</v>
      </c>
      <c r="AK522" t="b">
        <f>Table67[[#This Row],[What is your age?]]&lt;&gt;"18 - 25"</f>
        <v>0</v>
      </c>
      <c r="AL522" t="b">
        <f t="shared" si="32"/>
        <v>0</v>
      </c>
      <c r="AM522" t="b">
        <f t="shared" si="33"/>
        <v>0</v>
      </c>
      <c r="AN522" t="b">
        <f t="shared" si="34"/>
        <v>1</v>
      </c>
      <c r="AO522" t="b">
        <f>OR(Table67[[#This Row],[Ineligible respondents]:[Inconsistent response on opposite question (3)]])</f>
        <v>1</v>
      </c>
      <c r="AP52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522">
        <f>Table67[[#This Row],[Extreme Response]]/21</f>
        <v>4.7619047619047616E-2</v>
      </c>
      <c r="AR522">
        <f>_xlfn.PERCENTILE.INC(Table67[Extrem Response Ratio (ERS)],0.9)</f>
        <v>0.61904761904761907</v>
      </c>
      <c r="AS522" t="b">
        <f>Table67[[#This Row],[Extrem Response Ratio (ERS)]]&gt;=Table67[[#This Row],[Threshold of ERS]]</f>
        <v>0</v>
      </c>
      <c r="AT522">
        <f>COUNTIF(Table67[[#This Row],[The mechanism of digital assets is difficult to understand, which discourages me from exploring it (E.g, Tokenization, Blockchain)]:[If I want to try different ways to invest, I will explore digital assets.]], 3)</f>
        <v>8</v>
      </c>
      <c r="AU522">
        <f>Table67[[#This Row],[Midpoint]]/21</f>
        <v>0.38095238095238093</v>
      </c>
      <c r="AV522">
        <f>_xlfn.PERCENTILE.INC(Table67[Midpoint ratio],0.9)</f>
        <v>0.5714285714285714</v>
      </c>
      <c r="AW522" t="b">
        <f>Table67[[#This Row],[Midpoint ratio]]&gt;=Table67[[#This Row],[Threshold of Midpoint ratio]]</f>
        <v>0</v>
      </c>
      <c r="AX522" t="b">
        <f>OR(Table67[[#This Row],[Extreme Response Style]],Table67[[#This Row],[Mid-point Response Style]])</f>
        <v>0</v>
      </c>
      <c r="AY522" t="b">
        <f>OR(Table67[[#This Row],[Delete? (Stage 1)]],Table67[[#This Row],[Delete? (Stage 2)]])</f>
        <v>1</v>
      </c>
      <c r="AZ522" t="s">
        <v>81</v>
      </c>
    </row>
    <row r="523" spans="1:52">
      <c r="A523">
        <f t="shared" si="35"/>
        <v>522</v>
      </c>
      <c r="B523" s="3">
        <v>46049.722847222198</v>
      </c>
      <c r="C523" s="3">
        <v>46049.731562499997</v>
      </c>
      <c r="D523" t="s">
        <v>53</v>
      </c>
      <c r="G523" t="s">
        <v>54</v>
      </c>
      <c r="H523" t="s">
        <v>63</v>
      </c>
      <c r="I523" t="s">
        <v>56</v>
      </c>
      <c r="J523" t="s">
        <v>60</v>
      </c>
      <c r="K523" t="s">
        <v>62</v>
      </c>
      <c r="L523" t="s">
        <v>58</v>
      </c>
      <c r="M523" t="s">
        <v>58</v>
      </c>
      <c r="N523">
        <v>4</v>
      </c>
      <c r="O523">
        <v>2</v>
      </c>
      <c r="P523">
        <v>4</v>
      </c>
      <c r="Q523">
        <v>4</v>
      </c>
      <c r="R523">
        <v>4</v>
      </c>
      <c r="S523">
        <v>4</v>
      </c>
      <c r="T523">
        <v>2</v>
      </c>
      <c r="U523">
        <v>4</v>
      </c>
      <c r="V523">
        <v>4</v>
      </c>
      <c r="W523">
        <v>5</v>
      </c>
      <c r="X523">
        <v>4</v>
      </c>
      <c r="Y523">
        <v>5</v>
      </c>
      <c r="Z523">
        <v>5</v>
      </c>
      <c r="AA523">
        <v>4</v>
      </c>
      <c r="AB523">
        <v>3</v>
      </c>
      <c r="AC523">
        <v>4</v>
      </c>
      <c r="AD523">
        <v>4</v>
      </c>
      <c r="AE523">
        <v>4</v>
      </c>
      <c r="AF523">
        <v>3</v>
      </c>
      <c r="AG523">
        <v>4</v>
      </c>
      <c r="AH523">
        <v>3</v>
      </c>
      <c r="AI523">
        <v>3</v>
      </c>
      <c r="AJ523">
        <v>3</v>
      </c>
      <c r="AK523" t="b">
        <f>Table67[[#This Row],[What is your age?]]&lt;&gt;"18 - 25"</f>
        <v>0</v>
      </c>
      <c r="AL523" t="b">
        <f t="shared" si="32"/>
        <v>0</v>
      </c>
      <c r="AM523" t="b">
        <f t="shared" si="33"/>
        <v>0</v>
      </c>
      <c r="AN523" t="b">
        <f t="shared" si="34"/>
        <v>1</v>
      </c>
      <c r="AO523" t="b">
        <f>OR(Table67[[#This Row],[Ineligible respondents]:[Inconsistent response on opposite question (3)]])</f>
        <v>1</v>
      </c>
      <c r="AP52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523">
        <f>Table67[[#This Row],[Extreme Response]]/21</f>
        <v>0.14285714285714285</v>
      </c>
      <c r="AR523">
        <f>_xlfn.PERCENTILE.INC(Table67[Extrem Response Ratio (ERS)],0.9)</f>
        <v>0.61904761904761907</v>
      </c>
      <c r="AS523" t="b">
        <f>Table67[[#This Row],[Extrem Response Ratio (ERS)]]&gt;=Table67[[#This Row],[Threshold of ERS]]</f>
        <v>0</v>
      </c>
      <c r="AT523">
        <f>COUNTIF(Table67[[#This Row],[The mechanism of digital assets is difficult to understand, which discourages me from exploring it (E.g, Tokenization, Blockchain)]:[If I want to try different ways to invest, I will explore digital assets.]], 3)</f>
        <v>3</v>
      </c>
      <c r="AU523">
        <f>Table67[[#This Row],[Midpoint]]/21</f>
        <v>0.14285714285714285</v>
      </c>
      <c r="AV523">
        <f>_xlfn.PERCENTILE.INC(Table67[Midpoint ratio],0.9)</f>
        <v>0.5714285714285714</v>
      </c>
      <c r="AW523" t="b">
        <f>Table67[[#This Row],[Midpoint ratio]]&gt;=Table67[[#This Row],[Threshold of Midpoint ratio]]</f>
        <v>0</v>
      </c>
      <c r="AX523" t="b">
        <f>OR(Table67[[#This Row],[Extreme Response Style]],Table67[[#This Row],[Mid-point Response Style]])</f>
        <v>0</v>
      </c>
      <c r="AY523" t="b">
        <f>OR(Table67[[#This Row],[Delete? (Stage 1)]],Table67[[#This Row],[Delete? (Stage 2)]])</f>
        <v>1</v>
      </c>
      <c r="AZ523" t="s">
        <v>81</v>
      </c>
    </row>
    <row r="524" spans="1:52">
      <c r="A524">
        <f t="shared" si="35"/>
        <v>523</v>
      </c>
      <c r="B524" s="3">
        <v>46049.722928240699</v>
      </c>
      <c r="C524" s="3">
        <v>46049.7268287037</v>
      </c>
      <c r="D524" t="s">
        <v>53</v>
      </c>
      <c r="G524" t="s">
        <v>54</v>
      </c>
      <c r="H524" t="s">
        <v>63</v>
      </c>
      <c r="I524" t="s">
        <v>69</v>
      </c>
      <c r="J524" t="s">
        <v>62</v>
      </c>
      <c r="K524" t="s">
        <v>57</v>
      </c>
      <c r="L524" t="s">
        <v>58</v>
      </c>
      <c r="M524" t="s">
        <v>58</v>
      </c>
      <c r="N524">
        <v>4</v>
      </c>
      <c r="O524">
        <v>4</v>
      </c>
      <c r="P524">
        <v>3</v>
      </c>
      <c r="Q524">
        <v>2</v>
      </c>
      <c r="R524">
        <v>4</v>
      </c>
      <c r="S524">
        <v>4</v>
      </c>
      <c r="T524">
        <v>4</v>
      </c>
      <c r="U524">
        <v>5</v>
      </c>
      <c r="V524">
        <v>4</v>
      </c>
      <c r="W524">
        <v>3</v>
      </c>
      <c r="X524">
        <v>4</v>
      </c>
      <c r="Y524">
        <v>4</v>
      </c>
      <c r="Z524">
        <v>3</v>
      </c>
      <c r="AA524">
        <v>4</v>
      </c>
      <c r="AB524">
        <v>4</v>
      </c>
      <c r="AC524">
        <v>3</v>
      </c>
      <c r="AD524">
        <v>4</v>
      </c>
      <c r="AE524">
        <v>2</v>
      </c>
      <c r="AF524">
        <v>4</v>
      </c>
      <c r="AG524">
        <v>4</v>
      </c>
      <c r="AH524">
        <v>4</v>
      </c>
      <c r="AI524">
        <v>2</v>
      </c>
      <c r="AJ524">
        <v>2</v>
      </c>
      <c r="AK524" t="b">
        <f>Table67[[#This Row],[What is your age?]]&lt;&gt;"18 - 25"</f>
        <v>0</v>
      </c>
      <c r="AL524" t="b">
        <f t="shared" si="32"/>
        <v>0</v>
      </c>
      <c r="AM524" t="b">
        <f t="shared" si="33"/>
        <v>1</v>
      </c>
      <c r="AN524" t="b">
        <f t="shared" si="34"/>
        <v>0</v>
      </c>
      <c r="AO524" t="b">
        <f>OR(Table67[[#This Row],[Ineligible respondents]:[Inconsistent response on opposite question (3)]])</f>
        <v>1</v>
      </c>
      <c r="AP52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524">
        <f>Table67[[#This Row],[Extreme Response]]/21</f>
        <v>4.7619047619047616E-2</v>
      </c>
      <c r="AR524">
        <f>_xlfn.PERCENTILE.INC(Table67[Extrem Response Ratio (ERS)],0.9)</f>
        <v>0.61904761904761907</v>
      </c>
      <c r="AS524" t="b">
        <f>Table67[[#This Row],[Extrem Response Ratio (ERS)]]&gt;=Table67[[#This Row],[Threshold of ERS]]</f>
        <v>0</v>
      </c>
      <c r="AT524">
        <f>COUNTIF(Table67[[#This Row],[The mechanism of digital assets is difficult to understand, which discourages me from exploring it (E.g, Tokenization, Blockchain)]:[If I want to try different ways to invest, I will explore digital assets.]], 3)</f>
        <v>4</v>
      </c>
      <c r="AU524">
        <f>Table67[[#This Row],[Midpoint]]/21</f>
        <v>0.19047619047619047</v>
      </c>
      <c r="AV524">
        <f>_xlfn.PERCENTILE.INC(Table67[Midpoint ratio],0.9)</f>
        <v>0.5714285714285714</v>
      </c>
      <c r="AW524" t="b">
        <f>Table67[[#This Row],[Midpoint ratio]]&gt;=Table67[[#This Row],[Threshold of Midpoint ratio]]</f>
        <v>0</v>
      </c>
      <c r="AX524" t="b">
        <f>OR(Table67[[#This Row],[Extreme Response Style]],Table67[[#This Row],[Mid-point Response Style]])</f>
        <v>0</v>
      </c>
      <c r="AY524" t="b">
        <f>OR(Table67[[#This Row],[Delete? (Stage 1)]],Table67[[#This Row],[Delete? (Stage 2)]])</f>
        <v>1</v>
      </c>
      <c r="AZ524" t="s">
        <v>81</v>
      </c>
    </row>
    <row r="525" spans="1:52">
      <c r="A525">
        <f t="shared" si="35"/>
        <v>524</v>
      </c>
      <c r="B525" s="3">
        <v>46049.722951388903</v>
      </c>
      <c r="C525" s="3">
        <v>46049.725914351897</v>
      </c>
      <c r="D525" t="s">
        <v>53</v>
      </c>
      <c r="G525" t="s">
        <v>54</v>
      </c>
      <c r="H525" t="s">
        <v>55</v>
      </c>
      <c r="I525" t="s">
        <v>71</v>
      </c>
      <c r="J525" t="s">
        <v>65</v>
      </c>
      <c r="K525" t="s">
        <v>62</v>
      </c>
      <c r="L525" t="s">
        <v>58</v>
      </c>
      <c r="M525" t="s">
        <v>58</v>
      </c>
      <c r="N525">
        <v>4</v>
      </c>
      <c r="O525">
        <v>3</v>
      </c>
      <c r="P525">
        <v>3</v>
      </c>
      <c r="Q525">
        <v>4</v>
      </c>
      <c r="R525">
        <v>5</v>
      </c>
      <c r="S525">
        <v>4</v>
      </c>
      <c r="T525">
        <v>5</v>
      </c>
      <c r="U525">
        <v>4</v>
      </c>
      <c r="V525">
        <v>5</v>
      </c>
      <c r="W525">
        <v>5</v>
      </c>
      <c r="X525">
        <v>4</v>
      </c>
      <c r="Y525">
        <v>5</v>
      </c>
      <c r="Z525">
        <v>5</v>
      </c>
      <c r="AA525">
        <v>4</v>
      </c>
      <c r="AB525">
        <v>2</v>
      </c>
      <c r="AC525">
        <v>4</v>
      </c>
      <c r="AD525">
        <v>5</v>
      </c>
      <c r="AE525">
        <v>4</v>
      </c>
      <c r="AF525">
        <v>2</v>
      </c>
      <c r="AG525">
        <v>3</v>
      </c>
      <c r="AH525">
        <v>2</v>
      </c>
      <c r="AI525">
        <v>4</v>
      </c>
      <c r="AJ525">
        <v>4</v>
      </c>
      <c r="AK525" t="b">
        <f>Table67[[#This Row],[What is your age?]]&lt;&gt;"18 - 25"</f>
        <v>0</v>
      </c>
      <c r="AL525" t="b">
        <f t="shared" si="32"/>
        <v>0</v>
      </c>
      <c r="AM525" t="b">
        <f t="shared" si="33"/>
        <v>0</v>
      </c>
      <c r="AN525" t="b">
        <f t="shared" si="34"/>
        <v>1</v>
      </c>
      <c r="AO525" t="b">
        <f>OR(Table67[[#This Row],[Ineligible respondents]:[Inconsistent response on opposite question (3)]])</f>
        <v>1</v>
      </c>
      <c r="AP52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525">
        <f>Table67[[#This Row],[Extreme Response]]/21</f>
        <v>0.33333333333333331</v>
      </c>
      <c r="AR525">
        <f>_xlfn.PERCENTILE.INC(Table67[Extrem Response Ratio (ERS)],0.9)</f>
        <v>0.61904761904761907</v>
      </c>
      <c r="AS525" t="b">
        <f>Table67[[#This Row],[Extrem Response Ratio (ERS)]]&gt;=Table67[[#This Row],[Threshold of ERS]]</f>
        <v>0</v>
      </c>
      <c r="AT525">
        <f>COUNTIF(Table67[[#This Row],[The mechanism of digital assets is difficult to understand, which discourages me from exploring it (E.g, Tokenization, Blockchain)]:[If I want to try different ways to invest, I will explore digital assets.]], 3)</f>
        <v>3</v>
      </c>
      <c r="AU525">
        <f>Table67[[#This Row],[Midpoint]]/21</f>
        <v>0.14285714285714285</v>
      </c>
      <c r="AV525">
        <f>_xlfn.PERCENTILE.INC(Table67[Midpoint ratio],0.9)</f>
        <v>0.5714285714285714</v>
      </c>
      <c r="AW525" t="b">
        <f>Table67[[#This Row],[Midpoint ratio]]&gt;=Table67[[#This Row],[Threshold of Midpoint ratio]]</f>
        <v>0</v>
      </c>
      <c r="AX525" t="b">
        <f>OR(Table67[[#This Row],[Extreme Response Style]],Table67[[#This Row],[Mid-point Response Style]])</f>
        <v>0</v>
      </c>
      <c r="AY525" t="b">
        <f>OR(Table67[[#This Row],[Delete? (Stage 1)]],Table67[[#This Row],[Delete? (Stage 2)]])</f>
        <v>1</v>
      </c>
      <c r="AZ525" t="s">
        <v>81</v>
      </c>
    </row>
    <row r="526" spans="1:52">
      <c r="A526">
        <f t="shared" si="35"/>
        <v>525</v>
      </c>
      <c r="B526" s="3">
        <v>46049.723020833299</v>
      </c>
      <c r="C526" s="3">
        <v>46049.726180555597</v>
      </c>
      <c r="D526" t="s">
        <v>53</v>
      </c>
      <c r="G526" t="s">
        <v>54</v>
      </c>
      <c r="H526" t="s">
        <v>63</v>
      </c>
      <c r="I526" t="s">
        <v>56</v>
      </c>
      <c r="J526" t="s">
        <v>64</v>
      </c>
      <c r="K526" t="s">
        <v>62</v>
      </c>
      <c r="L526" t="s">
        <v>61</v>
      </c>
      <c r="M526" t="s">
        <v>61</v>
      </c>
      <c r="N526">
        <v>4</v>
      </c>
      <c r="O526">
        <v>3</v>
      </c>
      <c r="P526">
        <v>5</v>
      </c>
      <c r="Q526">
        <v>5</v>
      </c>
      <c r="R526">
        <v>2</v>
      </c>
      <c r="S526">
        <v>4</v>
      </c>
      <c r="T526">
        <v>2</v>
      </c>
      <c r="U526">
        <v>5</v>
      </c>
      <c r="V526">
        <v>5</v>
      </c>
      <c r="W526">
        <v>5</v>
      </c>
      <c r="X526">
        <v>4</v>
      </c>
      <c r="Y526">
        <v>5</v>
      </c>
      <c r="Z526">
        <v>5</v>
      </c>
      <c r="AA526">
        <v>4</v>
      </c>
      <c r="AB526">
        <v>3</v>
      </c>
      <c r="AC526">
        <v>4</v>
      </c>
      <c r="AD526">
        <v>3</v>
      </c>
      <c r="AE526">
        <v>2</v>
      </c>
      <c r="AF526">
        <v>4</v>
      </c>
      <c r="AG526">
        <v>3</v>
      </c>
      <c r="AH526">
        <v>4</v>
      </c>
      <c r="AI526">
        <v>2</v>
      </c>
      <c r="AJ526">
        <v>2</v>
      </c>
      <c r="AK526" t="b">
        <f>Table67[[#This Row],[What is your age?]]&lt;&gt;"18 - 25"</f>
        <v>0</v>
      </c>
      <c r="AL526" t="b">
        <f t="shared" si="32"/>
        <v>0</v>
      </c>
      <c r="AM526" t="b">
        <f t="shared" si="33"/>
        <v>0</v>
      </c>
      <c r="AN526" t="b">
        <f t="shared" si="34"/>
        <v>1</v>
      </c>
      <c r="AO526" t="b">
        <f>OR(Table67[[#This Row],[Ineligible respondents]:[Inconsistent response on opposite question (3)]])</f>
        <v>1</v>
      </c>
      <c r="AP52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526">
        <f>Table67[[#This Row],[Extreme Response]]/21</f>
        <v>0.33333333333333331</v>
      </c>
      <c r="AR526">
        <f>_xlfn.PERCENTILE.INC(Table67[Extrem Response Ratio (ERS)],0.9)</f>
        <v>0.61904761904761907</v>
      </c>
      <c r="AS526" t="b">
        <f>Table67[[#This Row],[Extrem Response Ratio (ERS)]]&gt;=Table67[[#This Row],[Threshold of ERS]]</f>
        <v>0</v>
      </c>
      <c r="AT526">
        <f>COUNTIF(Table67[[#This Row],[The mechanism of digital assets is difficult to understand, which discourages me from exploring it (E.g, Tokenization, Blockchain)]:[If I want to try different ways to invest, I will explore digital assets.]], 3)</f>
        <v>4</v>
      </c>
      <c r="AU526">
        <f>Table67[[#This Row],[Midpoint]]/21</f>
        <v>0.19047619047619047</v>
      </c>
      <c r="AV526">
        <f>_xlfn.PERCENTILE.INC(Table67[Midpoint ratio],0.9)</f>
        <v>0.5714285714285714</v>
      </c>
      <c r="AW526" t="b">
        <f>Table67[[#This Row],[Midpoint ratio]]&gt;=Table67[[#This Row],[Threshold of Midpoint ratio]]</f>
        <v>0</v>
      </c>
      <c r="AX526" t="b">
        <f>OR(Table67[[#This Row],[Extreme Response Style]],Table67[[#This Row],[Mid-point Response Style]])</f>
        <v>0</v>
      </c>
      <c r="AY526" t="b">
        <f>OR(Table67[[#This Row],[Delete? (Stage 1)]],Table67[[#This Row],[Delete? (Stage 2)]])</f>
        <v>1</v>
      </c>
      <c r="AZ526" t="s">
        <v>81</v>
      </c>
    </row>
    <row r="527" spans="1:52">
      <c r="A527">
        <f t="shared" si="35"/>
        <v>526</v>
      </c>
      <c r="B527" s="3">
        <v>46049.723148148099</v>
      </c>
      <c r="C527" s="3">
        <v>46049.725150462997</v>
      </c>
      <c r="D527" t="s">
        <v>53</v>
      </c>
      <c r="G527" t="s">
        <v>54</v>
      </c>
      <c r="H527" t="s">
        <v>55</v>
      </c>
      <c r="I527" t="s">
        <v>56</v>
      </c>
      <c r="J527" t="s">
        <v>60</v>
      </c>
      <c r="K527" t="s">
        <v>57</v>
      </c>
      <c r="L527" t="s">
        <v>58</v>
      </c>
      <c r="M527" t="s">
        <v>58</v>
      </c>
      <c r="N527">
        <v>5</v>
      </c>
      <c r="O527">
        <v>3</v>
      </c>
      <c r="P527">
        <v>4</v>
      </c>
      <c r="Q527">
        <v>5</v>
      </c>
      <c r="R527">
        <v>4</v>
      </c>
      <c r="S527">
        <v>4</v>
      </c>
      <c r="T527">
        <v>2</v>
      </c>
      <c r="U527">
        <v>3</v>
      </c>
      <c r="V527">
        <v>5</v>
      </c>
      <c r="W527">
        <v>5</v>
      </c>
      <c r="X527">
        <v>3</v>
      </c>
      <c r="Y527">
        <v>5</v>
      </c>
      <c r="Z527">
        <v>5</v>
      </c>
      <c r="AA527">
        <v>5</v>
      </c>
      <c r="AB527">
        <v>2</v>
      </c>
      <c r="AC527">
        <v>4</v>
      </c>
      <c r="AD527">
        <v>5</v>
      </c>
      <c r="AE527">
        <v>5</v>
      </c>
      <c r="AF527">
        <v>3</v>
      </c>
      <c r="AG527">
        <v>4</v>
      </c>
      <c r="AH527">
        <v>4</v>
      </c>
      <c r="AI527">
        <v>2</v>
      </c>
      <c r="AJ527">
        <v>3</v>
      </c>
      <c r="AK527" t="b">
        <f>Table67[[#This Row],[What is your age?]]&lt;&gt;"18 - 25"</f>
        <v>0</v>
      </c>
      <c r="AL527" t="b">
        <f t="shared" si="32"/>
        <v>0</v>
      </c>
      <c r="AM527" t="b">
        <f t="shared" si="33"/>
        <v>1</v>
      </c>
      <c r="AN527" t="b">
        <f t="shared" si="34"/>
        <v>0</v>
      </c>
      <c r="AO527" t="b">
        <f>OR(Table67[[#This Row],[Ineligible respondents]:[Inconsistent response on opposite question (3)]])</f>
        <v>1</v>
      </c>
      <c r="AP52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527">
        <f>Table67[[#This Row],[Extreme Response]]/21</f>
        <v>0.42857142857142855</v>
      </c>
      <c r="AR527">
        <f>_xlfn.PERCENTILE.INC(Table67[Extrem Response Ratio (ERS)],0.9)</f>
        <v>0.61904761904761907</v>
      </c>
      <c r="AS527" t="b">
        <f>Table67[[#This Row],[Extrem Response Ratio (ERS)]]&gt;=Table67[[#This Row],[Threshold of ERS]]</f>
        <v>0</v>
      </c>
      <c r="AT527">
        <f>COUNTIF(Table67[[#This Row],[The mechanism of digital assets is difficult to understand, which discourages me from exploring it (E.g, Tokenization, Blockchain)]:[If I want to try different ways to invest, I will explore digital assets.]], 3)</f>
        <v>4</v>
      </c>
      <c r="AU527">
        <f>Table67[[#This Row],[Midpoint]]/21</f>
        <v>0.19047619047619047</v>
      </c>
      <c r="AV527">
        <f>_xlfn.PERCENTILE.INC(Table67[Midpoint ratio],0.9)</f>
        <v>0.5714285714285714</v>
      </c>
      <c r="AW527" t="b">
        <f>Table67[[#This Row],[Midpoint ratio]]&gt;=Table67[[#This Row],[Threshold of Midpoint ratio]]</f>
        <v>0</v>
      </c>
      <c r="AX527" t="b">
        <f>OR(Table67[[#This Row],[Extreme Response Style]],Table67[[#This Row],[Mid-point Response Style]])</f>
        <v>0</v>
      </c>
      <c r="AY527" t="b">
        <f>OR(Table67[[#This Row],[Delete? (Stage 1)]],Table67[[#This Row],[Delete? (Stage 2)]])</f>
        <v>1</v>
      </c>
      <c r="AZ527" t="s">
        <v>81</v>
      </c>
    </row>
    <row r="528" spans="1:52">
      <c r="A528">
        <f t="shared" si="35"/>
        <v>527</v>
      </c>
      <c r="B528" s="3">
        <v>46049.723182870403</v>
      </c>
      <c r="C528" s="3">
        <v>46049.726944444403</v>
      </c>
      <c r="D528" t="s">
        <v>53</v>
      </c>
      <c r="G528" t="s">
        <v>54</v>
      </c>
      <c r="H528" t="s">
        <v>55</v>
      </c>
      <c r="I528" t="s">
        <v>71</v>
      </c>
      <c r="J528" t="s">
        <v>62</v>
      </c>
      <c r="K528" t="s">
        <v>57</v>
      </c>
      <c r="L528" t="s">
        <v>58</v>
      </c>
      <c r="M528" t="s">
        <v>58</v>
      </c>
      <c r="N528">
        <v>2</v>
      </c>
      <c r="O528">
        <v>1</v>
      </c>
      <c r="P528">
        <v>4</v>
      </c>
      <c r="Q528">
        <v>2</v>
      </c>
      <c r="R528">
        <v>4</v>
      </c>
      <c r="S528">
        <v>5</v>
      </c>
      <c r="T528">
        <v>5</v>
      </c>
      <c r="U528">
        <v>5</v>
      </c>
      <c r="V528">
        <v>5</v>
      </c>
      <c r="W528">
        <v>4</v>
      </c>
      <c r="X528">
        <v>5</v>
      </c>
      <c r="Y528">
        <v>5</v>
      </c>
      <c r="Z528">
        <v>5</v>
      </c>
      <c r="AA528">
        <v>5</v>
      </c>
      <c r="AB528">
        <v>4</v>
      </c>
      <c r="AC528">
        <v>5</v>
      </c>
      <c r="AD528">
        <v>5</v>
      </c>
      <c r="AE528">
        <v>5</v>
      </c>
      <c r="AF528">
        <v>1</v>
      </c>
      <c r="AG528">
        <v>5</v>
      </c>
      <c r="AH528">
        <v>1</v>
      </c>
      <c r="AI528">
        <v>5</v>
      </c>
      <c r="AJ528">
        <v>5</v>
      </c>
      <c r="AK528" t="b">
        <f>Table67[[#This Row],[What is your age?]]&lt;&gt;"18 - 25"</f>
        <v>0</v>
      </c>
      <c r="AL528" t="b">
        <f t="shared" si="32"/>
        <v>0</v>
      </c>
      <c r="AM528" t="b">
        <f t="shared" si="33"/>
        <v>0</v>
      </c>
      <c r="AN528" t="b">
        <f t="shared" si="34"/>
        <v>0</v>
      </c>
      <c r="AO528" t="b">
        <f>OR(Table67[[#This Row],[Ineligible respondents]:[Inconsistent response on opposite question (3)]])</f>
        <v>0</v>
      </c>
      <c r="AP52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528">
        <f>Table67[[#This Row],[Extreme Response]]/21</f>
        <v>0.7142857142857143</v>
      </c>
      <c r="AR528">
        <f>_xlfn.PERCENTILE.INC(Table67[Extrem Response Ratio (ERS)],0.9)</f>
        <v>0.61904761904761907</v>
      </c>
      <c r="AS528" t="b">
        <f>Table67[[#This Row],[Extrem Response Ratio (ERS)]]&gt;=Table67[[#This Row],[Threshold of ERS]]</f>
        <v>1</v>
      </c>
      <c r="AT528">
        <f>COUNTIF(Table67[[#This Row],[The mechanism of digital assets is difficult to understand, which discourages me from exploring it (E.g, Tokenization, Blockchain)]:[If I want to try different ways to invest, I will explore digital assets.]], 3)</f>
        <v>0</v>
      </c>
      <c r="AU528">
        <f>Table67[[#This Row],[Midpoint]]/21</f>
        <v>0</v>
      </c>
      <c r="AV528">
        <f>_xlfn.PERCENTILE.INC(Table67[Midpoint ratio],0.9)</f>
        <v>0.5714285714285714</v>
      </c>
      <c r="AW528" t="b">
        <f>Table67[[#This Row],[Midpoint ratio]]&gt;=Table67[[#This Row],[Threshold of Midpoint ratio]]</f>
        <v>0</v>
      </c>
      <c r="AX528" t="b">
        <f>OR(Table67[[#This Row],[Extreme Response Style]],Table67[[#This Row],[Mid-point Response Style]])</f>
        <v>1</v>
      </c>
      <c r="AY528" t="b">
        <f>OR(Table67[[#This Row],[Delete? (Stage 1)]],Table67[[#This Row],[Delete? (Stage 2)]])</f>
        <v>1</v>
      </c>
      <c r="AZ528" t="s">
        <v>81</v>
      </c>
    </row>
    <row r="529" spans="1:52">
      <c r="A529">
        <f t="shared" si="35"/>
        <v>528</v>
      </c>
      <c r="B529" s="3">
        <v>46049.723217592596</v>
      </c>
      <c r="C529" s="3">
        <v>46049.730347222197</v>
      </c>
      <c r="D529" t="s">
        <v>53</v>
      </c>
      <c r="G529" t="s">
        <v>54</v>
      </c>
      <c r="H529" t="s">
        <v>63</v>
      </c>
      <c r="I529" t="s">
        <v>56</v>
      </c>
      <c r="J529" t="s">
        <v>66</v>
      </c>
      <c r="K529" t="s">
        <v>57</v>
      </c>
      <c r="L529" t="s">
        <v>58</v>
      </c>
      <c r="M529" t="s">
        <v>58</v>
      </c>
      <c r="N529">
        <v>4</v>
      </c>
      <c r="O529">
        <v>2</v>
      </c>
      <c r="P529">
        <v>4</v>
      </c>
      <c r="Q529">
        <v>4</v>
      </c>
      <c r="R529">
        <v>4</v>
      </c>
      <c r="S529">
        <v>4</v>
      </c>
      <c r="T529">
        <v>4</v>
      </c>
      <c r="U529">
        <v>4</v>
      </c>
      <c r="V529">
        <v>4</v>
      </c>
      <c r="W529">
        <v>4</v>
      </c>
      <c r="X529">
        <v>4</v>
      </c>
      <c r="Y529">
        <v>4</v>
      </c>
      <c r="Z529">
        <v>4</v>
      </c>
      <c r="AA529">
        <v>4</v>
      </c>
      <c r="AB529">
        <v>4</v>
      </c>
      <c r="AC529">
        <v>4</v>
      </c>
      <c r="AD529">
        <v>2</v>
      </c>
      <c r="AE529">
        <v>2</v>
      </c>
      <c r="AF529">
        <v>4</v>
      </c>
      <c r="AG529">
        <v>4</v>
      </c>
      <c r="AH529">
        <v>4</v>
      </c>
      <c r="AI529">
        <v>2</v>
      </c>
      <c r="AJ529">
        <v>2</v>
      </c>
      <c r="AK529" t="b">
        <f>Table67[[#This Row],[What is your age?]]&lt;&gt;"18 - 25"</f>
        <v>0</v>
      </c>
      <c r="AL529" t="b">
        <f t="shared" si="32"/>
        <v>0</v>
      </c>
      <c r="AM529" t="b">
        <f t="shared" si="33"/>
        <v>1</v>
      </c>
      <c r="AN529" t="b">
        <f t="shared" si="34"/>
        <v>0</v>
      </c>
      <c r="AO529" t="b">
        <f>OR(Table67[[#This Row],[Ineligible respondents]:[Inconsistent response on opposite question (3)]])</f>
        <v>1</v>
      </c>
      <c r="AP52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529">
        <f>Table67[[#This Row],[Extreme Response]]/21</f>
        <v>0</v>
      </c>
      <c r="AR529">
        <f>_xlfn.PERCENTILE.INC(Table67[Extrem Response Ratio (ERS)],0.9)</f>
        <v>0.61904761904761907</v>
      </c>
      <c r="AS529" t="b">
        <f>Table67[[#This Row],[Extrem Response Ratio (ERS)]]&gt;=Table67[[#This Row],[Threshold of ERS]]</f>
        <v>0</v>
      </c>
      <c r="AT529">
        <f>COUNTIF(Table67[[#This Row],[The mechanism of digital assets is difficult to understand, which discourages me from exploring it (E.g, Tokenization, Blockchain)]:[If I want to try different ways to invest, I will explore digital assets.]], 3)</f>
        <v>0</v>
      </c>
      <c r="AU529">
        <f>Table67[[#This Row],[Midpoint]]/21</f>
        <v>0</v>
      </c>
      <c r="AV529">
        <f>_xlfn.PERCENTILE.INC(Table67[Midpoint ratio],0.9)</f>
        <v>0.5714285714285714</v>
      </c>
      <c r="AW529" t="b">
        <f>Table67[[#This Row],[Midpoint ratio]]&gt;=Table67[[#This Row],[Threshold of Midpoint ratio]]</f>
        <v>0</v>
      </c>
      <c r="AX529" t="b">
        <f>OR(Table67[[#This Row],[Extreme Response Style]],Table67[[#This Row],[Mid-point Response Style]])</f>
        <v>0</v>
      </c>
      <c r="AY529" t="b">
        <f>OR(Table67[[#This Row],[Delete? (Stage 1)]],Table67[[#This Row],[Delete? (Stage 2)]])</f>
        <v>1</v>
      </c>
      <c r="AZ529" t="s">
        <v>81</v>
      </c>
    </row>
    <row r="530" spans="1:52">
      <c r="A530">
        <f t="shared" si="35"/>
        <v>529</v>
      </c>
      <c r="B530" s="3">
        <v>46049.723240740699</v>
      </c>
      <c r="C530" s="3">
        <v>46049.727256944403</v>
      </c>
      <c r="D530" t="s">
        <v>53</v>
      </c>
      <c r="G530" t="s">
        <v>54</v>
      </c>
      <c r="H530" t="s">
        <v>55</v>
      </c>
      <c r="I530" t="s">
        <v>71</v>
      </c>
      <c r="J530" t="s">
        <v>57</v>
      </c>
      <c r="K530" t="s">
        <v>57</v>
      </c>
      <c r="L530" t="s">
        <v>58</v>
      </c>
      <c r="M530" t="s">
        <v>58</v>
      </c>
      <c r="N530">
        <v>4</v>
      </c>
      <c r="O530">
        <v>1</v>
      </c>
      <c r="P530">
        <v>5</v>
      </c>
      <c r="Q530">
        <v>3</v>
      </c>
      <c r="R530">
        <v>5</v>
      </c>
      <c r="S530">
        <v>5</v>
      </c>
      <c r="T530">
        <v>3</v>
      </c>
      <c r="U530">
        <v>5</v>
      </c>
      <c r="V530">
        <v>5</v>
      </c>
      <c r="W530">
        <v>5</v>
      </c>
      <c r="X530">
        <v>4</v>
      </c>
      <c r="Y530">
        <v>5</v>
      </c>
      <c r="Z530">
        <v>5</v>
      </c>
      <c r="AA530">
        <v>5</v>
      </c>
      <c r="AB530">
        <v>3</v>
      </c>
      <c r="AC530">
        <v>3</v>
      </c>
      <c r="AD530">
        <v>5</v>
      </c>
      <c r="AE530">
        <v>5</v>
      </c>
      <c r="AF530">
        <v>3</v>
      </c>
      <c r="AG530">
        <v>2</v>
      </c>
      <c r="AH530">
        <v>3</v>
      </c>
      <c r="AI530">
        <v>3</v>
      </c>
      <c r="AJ530">
        <v>3</v>
      </c>
      <c r="AK530" t="b">
        <f>Table67[[#This Row],[What is your age?]]&lt;&gt;"18 - 25"</f>
        <v>0</v>
      </c>
      <c r="AL530" t="b">
        <f t="shared" si="32"/>
        <v>0</v>
      </c>
      <c r="AM530" t="b">
        <f t="shared" si="33"/>
        <v>0</v>
      </c>
      <c r="AN530" t="b">
        <f t="shared" si="34"/>
        <v>1</v>
      </c>
      <c r="AO530" t="b">
        <f>OR(Table67[[#This Row],[Ineligible respondents]:[Inconsistent response on opposite question (3)]])</f>
        <v>1</v>
      </c>
      <c r="AP53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12</v>
      </c>
      <c r="AQ530">
        <f>Table67[[#This Row],[Extreme Response]]/21</f>
        <v>0.5714285714285714</v>
      </c>
      <c r="AR530">
        <f>_xlfn.PERCENTILE.INC(Table67[Extrem Response Ratio (ERS)],0.9)</f>
        <v>0.61904761904761907</v>
      </c>
      <c r="AS530" t="b">
        <f>Table67[[#This Row],[Extrem Response Ratio (ERS)]]&gt;=Table67[[#This Row],[Threshold of ERS]]</f>
        <v>0</v>
      </c>
      <c r="AT530">
        <f>COUNTIF(Table67[[#This Row],[The mechanism of digital assets is difficult to understand, which discourages me from exploring it (E.g, Tokenization, Blockchain)]:[If I want to try different ways to invest, I will explore digital assets.]], 3)</f>
        <v>6</v>
      </c>
      <c r="AU530">
        <f>Table67[[#This Row],[Midpoint]]/21</f>
        <v>0.2857142857142857</v>
      </c>
      <c r="AV530">
        <f>_xlfn.PERCENTILE.INC(Table67[Midpoint ratio],0.9)</f>
        <v>0.5714285714285714</v>
      </c>
      <c r="AW530" t="b">
        <f>Table67[[#This Row],[Midpoint ratio]]&gt;=Table67[[#This Row],[Threshold of Midpoint ratio]]</f>
        <v>0</v>
      </c>
      <c r="AX530" t="b">
        <f>OR(Table67[[#This Row],[Extreme Response Style]],Table67[[#This Row],[Mid-point Response Style]])</f>
        <v>0</v>
      </c>
      <c r="AY530" t="b">
        <f>OR(Table67[[#This Row],[Delete? (Stage 1)]],Table67[[#This Row],[Delete? (Stage 2)]])</f>
        <v>1</v>
      </c>
      <c r="AZ530" t="s">
        <v>81</v>
      </c>
    </row>
    <row r="531" spans="1:52">
      <c r="A531">
        <f t="shared" si="35"/>
        <v>530</v>
      </c>
      <c r="B531" s="3">
        <v>46049.723263888904</v>
      </c>
      <c r="C531" s="3">
        <v>46049.726226851897</v>
      </c>
      <c r="D531" t="s">
        <v>53</v>
      </c>
      <c r="G531" t="s">
        <v>54</v>
      </c>
      <c r="H531" t="s">
        <v>55</v>
      </c>
      <c r="I531" t="s">
        <v>56</v>
      </c>
      <c r="J531" t="s">
        <v>60</v>
      </c>
      <c r="K531" t="s">
        <v>62</v>
      </c>
      <c r="L531" t="s">
        <v>58</v>
      </c>
      <c r="M531" t="s">
        <v>58</v>
      </c>
      <c r="N531">
        <v>2</v>
      </c>
      <c r="O531">
        <v>1</v>
      </c>
      <c r="P531">
        <v>3</v>
      </c>
      <c r="Q531">
        <v>3</v>
      </c>
      <c r="R531">
        <v>2</v>
      </c>
      <c r="S531">
        <v>4</v>
      </c>
      <c r="T531">
        <v>1</v>
      </c>
      <c r="U531">
        <v>2</v>
      </c>
      <c r="V531">
        <v>5</v>
      </c>
      <c r="W531">
        <v>5</v>
      </c>
      <c r="X531">
        <v>2</v>
      </c>
      <c r="Y531">
        <v>4</v>
      </c>
      <c r="Z531">
        <v>5</v>
      </c>
      <c r="AA531">
        <v>4</v>
      </c>
      <c r="AB531">
        <v>4</v>
      </c>
      <c r="AC531">
        <v>3</v>
      </c>
      <c r="AD531">
        <v>4</v>
      </c>
      <c r="AE531">
        <v>3</v>
      </c>
      <c r="AF531">
        <v>3</v>
      </c>
      <c r="AG531">
        <v>4</v>
      </c>
      <c r="AH531">
        <v>4</v>
      </c>
      <c r="AI531">
        <v>2</v>
      </c>
      <c r="AJ531">
        <v>3</v>
      </c>
      <c r="AK531" t="b">
        <f>Table67[[#This Row],[What is your age?]]&lt;&gt;"18 - 25"</f>
        <v>0</v>
      </c>
      <c r="AL531" t="b">
        <f t="shared" si="32"/>
        <v>0</v>
      </c>
      <c r="AM531" t="b">
        <f t="shared" si="33"/>
        <v>1</v>
      </c>
      <c r="AN531" t="b">
        <f t="shared" si="34"/>
        <v>0</v>
      </c>
      <c r="AO531" t="b">
        <f>OR(Table67[[#This Row],[Ineligible respondents]:[Inconsistent response on opposite question (3)]])</f>
        <v>1</v>
      </c>
      <c r="AP53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531">
        <f>Table67[[#This Row],[Extreme Response]]/21</f>
        <v>0.23809523809523808</v>
      </c>
      <c r="AR531">
        <f>_xlfn.PERCENTILE.INC(Table67[Extrem Response Ratio (ERS)],0.9)</f>
        <v>0.61904761904761907</v>
      </c>
      <c r="AS531" t="b">
        <f>Table67[[#This Row],[Extrem Response Ratio (ERS)]]&gt;=Table67[[#This Row],[Threshold of ERS]]</f>
        <v>0</v>
      </c>
      <c r="AT531">
        <f>COUNTIF(Table67[[#This Row],[The mechanism of digital assets is difficult to understand, which discourages me from exploring it (E.g, Tokenization, Blockchain)]:[If I want to try different ways to invest, I will explore digital assets.]], 3)</f>
        <v>5</v>
      </c>
      <c r="AU531">
        <f>Table67[[#This Row],[Midpoint]]/21</f>
        <v>0.23809523809523808</v>
      </c>
      <c r="AV531">
        <f>_xlfn.PERCENTILE.INC(Table67[Midpoint ratio],0.9)</f>
        <v>0.5714285714285714</v>
      </c>
      <c r="AW531" t="b">
        <f>Table67[[#This Row],[Midpoint ratio]]&gt;=Table67[[#This Row],[Threshold of Midpoint ratio]]</f>
        <v>0</v>
      </c>
      <c r="AX531" t="b">
        <f>OR(Table67[[#This Row],[Extreme Response Style]],Table67[[#This Row],[Mid-point Response Style]])</f>
        <v>0</v>
      </c>
      <c r="AY531" t="b">
        <f>OR(Table67[[#This Row],[Delete? (Stage 1)]],Table67[[#This Row],[Delete? (Stage 2)]])</f>
        <v>1</v>
      </c>
      <c r="AZ531" t="s">
        <v>81</v>
      </c>
    </row>
    <row r="532" spans="1:52">
      <c r="A532">
        <f t="shared" si="35"/>
        <v>531</v>
      </c>
      <c r="B532" s="3">
        <v>46049.723321759302</v>
      </c>
      <c r="C532" s="3">
        <v>46049.727835648097</v>
      </c>
      <c r="D532" t="s">
        <v>53</v>
      </c>
      <c r="G532" t="s">
        <v>54</v>
      </c>
      <c r="H532" t="s">
        <v>55</v>
      </c>
      <c r="I532" t="s">
        <v>56</v>
      </c>
      <c r="J532" t="s">
        <v>62</v>
      </c>
      <c r="K532" t="s">
        <v>62</v>
      </c>
      <c r="L532" t="s">
        <v>58</v>
      </c>
      <c r="M532" t="s">
        <v>61</v>
      </c>
      <c r="N532">
        <v>5</v>
      </c>
      <c r="O532">
        <v>3</v>
      </c>
      <c r="P532">
        <v>4</v>
      </c>
      <c r="Q532">
        <v>4</v>
      </c>
      <c r="R532">
        <v>5</v>
      </c>
      <c r="S532">
        <v>5</v>
      </c>
      <c r="T532">
        <v>5</v>
      </c>
      <c r="U532">
        <v>3</v>
      </c>
      <c r="V532">
        <v>5</v>
      </c>
      <c r="W532">
        <v>5</v>
      </c>
      <c r="X532">
        <v>5</v>
      </c>
      <c r="Y532">
        <v>5</v>
      </c>
      <c r="Z532">
        <v>5</v>
      </c>
      <c r="AA532">
        <v>5</v>
      </c>
      <c r="AB532">
        <v>3</v>
      </c>
      <c r="AC532">
        <v>3</v>
      </c>
      <c r="AD532">
        <v>5</v>
      </c>
      <c r="AE532">
        <v>5</v>
      </c>
      <c r="AF532">
        <v>5</v>
      </c>
      <c r="AG532">
        <v>5</v>
      </c>
      <c r="AH532">
        <v>5</v>
      </c>
      <c r="AI532">
        <v>1</v>
      </c>
      <c r="AJ532">
        <v>1</v>
      </c>
      <c r="AK532" t="b">
        <f>Table67[[#This Row],[What is your age?]]&lt;&gt;"18 - 25"</f>
        <v>0</v>
      </c>
      <c r="AL532" t="b">
        <f t="shared" si="32"/>
        <v>0</v>
      </c>
      <c r="AM532" t="b">
        <f t="shared" si="33"/>
        <v>1</v>
      </c>
      <c r="AN532" t="b">
        <f t="shared" si="34"/>
        <v>0</v>
      </c>
      <c r="AO532" t="b">
        <f>OR(Table67[[#This Row],[Ineligible respondents]:[Inconsistent response on opposite question (3)]])</f>
        <v>1</v>
      </c>
      <c r="AP53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532">
        <f>Table67[[#This Row],[Extreme Response]]/21</f>
        <v>0.7142857142857143</v>
      </c>
      <c r="AR532">
        <f>_xlfn.PERCENTILE.INC(Table67[Extrem Response Ratio (ERS)],0.9)</f>
        <v>0.61904761904761907</v>
      </c>
      <c r="AS532" t="b">
        <f>Table67[[#This Row],[Extrem Response Ratio (ERS)]]&gt;=Table67[[#This Row],[Threshold of ERS]]</f>
        <v>1</v>
      </c>
      <c r="AT532">
        <f>COUNTIF(Table67[[#This Row],[The mechanism of digital assets is difficult to understand, which discourages me from exploring it (E.g, Tokenization, Blockchain)]:[If I want to try different ways to invest, I will explore digital assets.]], 3)</f>
        <v>4</v>
      </c>
      <c r="AU532">
        <f>Table67[[#This Row],[Midpoint]]/21</f>
        <v>0.19047619047619047</v>
      </c>
      <c r="AV532">
        <f>_xlfn.PERCENTILE.INC(Table67[Midpoint ratio],0.9)</f>
        <v>0.5714285714285714</v>
      </c>
      <c r="AW532" t="b">
        <f>Table67[[#This Row],[Midpoint ratio]]&gt;=Table67[[#This Row],[Threshold of Midpoint ratio]]</f>
        <v>0</v>
      </c>
      <c r="AX532" t="b">
        <f>OR(Table67[[#This Row],[Extreme Response Style]],Table67[[#This Row],[Mid-point Response Style]])</f>
        <v>1</v>
      </c>
      <c r="AY532" t="b">
        <f>OR(Table67[[#This Row],[Delete? (Stage 1)]],Table67[[#This Row],[Delete? (Stage 2)]])</f>
        <v>1</v>
      </c>
      <c r="AZ532" t="s">
        <v>81</v>
      </c>
    </row>
    <row r="533" spans="1:52">
      <c r="A533">
        <f t="shared" si="35"/>
        <v>532</v>
      </c>
      <c r="B533" s="3">
        <v>46049.723321759302</v>
      </c>
      <c r="C533" s="3">
        <v>46049.735011574099</v>
      </c>
      <c r="D533" t="s">
        <v>53</v>
      </c>
      <c r="G533" t="s">
        <v>54</v>
      </c>
      <c r="H533" t="s">
        <v>63</v>
      </c>
      <c r="I533" t="s">
        <v>56</v>
      </c>
      <c r="J533" t="s">
        <v>62</v>
      </c>
      <c r="K533" t="s">
        <v>62</v>
      </c>
      <c r="L533" t="s">
        <v>58</v>
      </c>
      <c r="M533" t="s">
        <v>61</v>
      </c>
      <c r="N533">
        <v>4</v>
      </c>
      <c r="O533">
        <v>2</v>
      </c>
      <c r="P533">
        <v>2</v>
      </c>
      <c r="Q533">
        <v>3</v>
      </c>
      <c r="R533">
        <v>4</v>
      </c>
      <c r="S533">
        <v>5</v>
      </c>
      <c r="T533">
        <v>2</v>
      </c>
      <c r="U533">
        <v>3</v>
      </c>
      <c r="V533">
        <v>4</v>
      </c>
      <c r="W533">
        <v>4</v>
      </c>
      <c r="X533">
        <v>5</v>
      </c>
      <c r="Y533">
        <v>4</v>
      </c>
      <c r="Z533">
        <v>5</v>
      </c>
      <c r="AA533">
        <v>3</v>
      </c>
      <c r="AB533">
        <v>2</v>
      </c>
      <c r="AC533">
        <v>2</v>
      </c>
      <c r="AD533">
        <v>4</v>
      </c>
      <c r="AE533">
        <v>4</v>
      </c>
      <c r="AF533">
        <v>5</v>
      </c>
      <c r="AG533">
        <v>2</v>
      </c>
      <c r="AH533">
        <v>4</v>
      </c>
      <c r="AI533">
        <v>2</v>
      </c>
      <c r="AJ533">
        <v>1</v>
      </c>
      <c r="AK533" t="b">
        <f>Table67[[#This Row],[What is your age?]]&lt;&gt;"18 - 25"</f>
        <v>0</v>
      </c>
      <c r="AL533" t="b">
        <f t="shared" si="32"/>
        <v>0</v>
      </c>
      <c r="AM533" t="b">
        <f t="shared" si="33"/>
        <v>0</v>
      </c>
      <c r="AN533" t="b">
        <f t="shared" si="34"/>
        <v>0</v>
      </c>
      <c r="AO533" t="b">
        <f>OR(Table67[[#This Row],[Ineligible respondents]:[Inconsistent response on opposite question (3)]])</f>
        <v>0</v>
      </c>
      <c r="AP53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533">
        <f>Table67[[#This Row],[Extreme Response]]/21</f>
        <v>0.19047619047619047</v>
      </c>
      <c r="AR533">
        <f>_xlfn.PERCENTILE.INC(Table67[Extrem Response Ratio (ERS)],0.9)</f>
        <v>0.61904761904761907</v>
      </c>
      <c r="AS533" t="b">
        <f>Table67[[#This Row],[Extrem Response Ratio (ERS)]]&gt;=Table67[[#This Row],[Threshold of ERS]]</f>
        <v>0</v>
      </c>
      <c r="AT533">
        <f>COUNTIF(Table67[[#This Row],[The mechanism of digital assets is difficult to understand, which discourages me from exploring it (E.g, Tokenization, Blockchain)]:[If I want to try different ways to invest, I will explore digital assets.]], 3)</f>
        <v>3</v>
      </c>
      <c r="AU533">
        <f>Table67[[#This Row],[Midpoint]]/21</f>
        <v>0.14285714285714285</v>
      </c>
      <c r="AV533">
        <f>_xlfn.PERCENTILE.INC(Table67[Midpoint ratio],0.9)</f>
        <v>0.5714285714285714</v>
      </c>
      <c r="AW533" t="b">
        <f>Table67[[#This Row],[Midpoint ratio]]&gt;=Table67[[#This Row],[Threshold of Midpoint ratio]]</f>
        <v>0</v>
      </c>
      <c r="AX533" t="b">
        <f>OR(Table67[[#This Row],[Extreme Response Style]],Table67[[#This Row],[Mid-point Response Style]])</f>
        <v>0</v>
      </c>
      <c r="AY533" t="b">
        <f>OR(Table67[[#This Row],[Delete? (Stage 1)]],Table67[[#This Row],[Delete? (Stage 2)]])</f>
        <v>0</v>
      </c>
      <c r="AZ533" t="s">
        <v>81</v>
      </c>
    </row>
    <row r="534" spans="1:52">
      <c r="A534">
        <f t="shared" si="35"/>
        <v>533</v>
      </c>
      <c r="B534" s="3">
        <v>46049.723599536999</v>
      </c>
      <c r="C534" s="3">
        <v>46049.727986111102</v>
      </c>
      <c r="D534" t="s">
        <v>53</v>
      </c>
      <c r="G534" t="s">
        <v>54</v>
      </c>
      <c r="H534" t="s">
        <v>63</v>
      </c>
      <c r="I534" t="s">
        <v>56</v>
      </c>
      <c r="J534" t="s">
        <v>62</v>
      </c>
      <c r="K534" t="s">
        <v>57</v>
      </c>
      <c r="L534" t="s">
        <v>58</v>
      </c>
      <c r="M534" t="s">
        <v>58</v>
      </c>
      <c r="N534">
        <v>3</v>
      </c>
      <c r="O534">
        <v>3</v>
      </c>
      <c r="P534">
        <v>3</v>
      </c>
      <c r="Q534">
        <v>3</v>
      </c>
      <c r="R534">
        <v>3</v>
      </c>
      <c r="S534">
        <v>3</v>
      </c>
      <c r="T534">
        <v>2</v>
      </c>
      <c r="U534">
        <v>5</v>
      </c>
      <c r="V534">
        <v>4</v>
      </c>
      <c r="W534">
        <v>5</v>
      </c>
      <c r="X534">
        <v>4</v>
      </c>
      <c r="Y534">
        <v>4</v>
      </c>
      <c r="Z534">
        <v>5</v>
      </c>
      <c r="AA534">
        <v>5</v>
      </c>
      <c r="AB534">
        <v>5</v>
      </c>
      <c r="AC534">
        <v>3</v>
      </c>
      <c r="AD534">
        <v>4</v>
      </c>
      <c r="AE534">
        <v>4</v>
      </c>
      <c r="AF534">
        <v>3</v>
      </c>
      <c r="AG534">
        <v>4</v>
      </c>
      <c r="AH534">
        <v>3</v>
      </c>
      <c r="AI534">
        <v>3</v>
      </c>
      <c r="AJ534">
        <v>3</v>
      </c>
      <c r="AK534" t="b">
        <f>Table67[[#This Row],[What is your age?]]&lt;&gt;"18 - 25"</f>
        <v>0</v>
      </c>
      <c r="AL534" t="b">
        <f t="shared" si="32"/>
        <v>0</v>
      </c>
      <c r="AM534" t="b">
        <f t="shared" si="33"/>
        <v>0</v>
      </c>
      <c r="AN534" t="b">
        <f t="shared" si="34"/>
        <v>1</v>
      </c>
      <c r="AO534" t="b">
        <f>OR(Table67[[#This Row],[Ineligible respondents]:[Inconsistent response on opposite question (3)]])</f>
        <v>1</v>
      </c>
      <c r="AP53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534">
        <f>Table67[[#This Row],[Extreme Response]]/21</f>
        <v>0.23809523809523808</v>
      </c>
      <c r="AR534">
        <f>_xlfn.PERCENTILE.INC(Table67[Extrem Response Ratio (ERS)],0.9)</f>
        <v>0.61904761904761907</v>
      </c>
      <c r="AS534" t="b">
        <f>Table67[[#This Row],[Extrem Response Ratio (ERS)]]&gt;=Table67[[#This Row],[Threshold of ERS]]</f>
        <v>0</v>
      </c>
      <c r="AT534">
        <f>COUNTIF(Table67[[#This Row],[The mechanism of digital assets is difficult to understand, which discourages me from exploring it (E.g, Tokenization, Blockchain)]:[If I want to try different ways to invest, I will explore digital assets.]], 3)</f>
        <v>9</v>
      </c>
      <c r="AU534">
        <f>Table67[[#This Row],[Midpoint]]/21</f>
        <v>0.42857142857142855</v>
      </c>
      <c r="AV534">
        <f>_xlfn.PERCENTILE.INC(Table67[Midpoint ratio],0.9)</f>
        <v>0.5714285714285714</v>
      </c>
      <c r="AW534" t="b">
        <f>Table67[[#This Row],[Midpoint ratio]]&gt;=Table67[[#This Row],[Threshold of Midpoint ratio]]</f>
        <v>0</v>
      </c>
      <c r="AX534" t="b">
        <f>OR(Table67[[#This Row],[Extreme Response Style]],Table67[[#This Row],[Mid-point Response Style]])</f>
        <v>0</v>
      </c>
      <c r="AY534" t="b">
        <f>OR(Table67[[#This Row],[Delete? (Stage 1)]],Table67[[#This Row],[Delete? (Stage 2)]])</f>
        <v>1</v>
      </c>
      <c r="AZ534" t="s">
        <v>81</v>
      </c>
    </row>
    <row r="535" spans="1:52">
      <c r="A535">
        <f t="shared" si="35"/>
        <v>534</v>
      </c>
      <c r="B535" s="3">
        <v>46049.723634259302</v>
      </c>
      <c r="C535" s="3">
        <v>46049.731296296297</v>
      </c>
      <c r="D535" t="s">
        <v>53</v>
      </c>
      <c r="G535" t="s">
        <v>54</v>
      </c>
      <c r="H535" t="s">
        <v>63</v>
      </c>
      <c r="I535" t="s">
        <v>56</v>
      </c>
      <c r="J535" t="s">
        <v>62</v>
      </c>
      <c r="K535" t="s">
        <v>62</v>
      </c>
      <c r="L535" t="s">
        <v>58</v>
      </c>
      <c r="M535" t="s">
        <v>58</v>
      </c>
      <c r="N535">
        <v>4</v>
      </c>
      <c r="O535">
        <v>3</v>
      </c>
      <c r="P535">
        <v>4</v>
      </c>
      <c r="Q535">
        <v>4</v>
      </c>
      <c r="R535">
        <v>4</v>
      </c>
      <c r="S535">
        <v>5</v>
      </c>
      <c r="T535">
        <v>2</v>
      </c>
      <c r="U535">
        <v>4</v>
      </c>
      <c r="V535">
        <v>5</v>
      </c>
      <c r="W535">
        <v>5</v>
      </c>
      <c r="X535">
        <v>4</v>
      </c>
      <c r="Y535">
        <v>5</v>
      </c>
      <c r="Z535">
        <v>5</v>
      </c>
      <c r="AA535">
        <v>4</v>
      </c>
      <c r="AB535">
        <v>2</v>
      </c>
      <c r="AC535">
        <v>4</v>
      </c>
      <c r="AD535">
        <v>5</v>
      </c>
      <c r="AE535">
        <v>5</v>
      </c>
      <c r="AF535">
        <v>3</v>
      </c>
      <c r="AG535">
        <v>4</v>
      </c>
      <c r="AH535">
        <v>2</v>
      </c>
      <c r="AI535">
        <v>4</v>
      </c>
      <c r="AJ535">
        <v>3</v>
      </c>
      <c r="AK535" t="b">
        <f>Table67[[#This Row],[What is your age?]]&lt;&gt;"18 - 25"</f>
        <v>0</v>
      </c>
      <c r="AL535" t="b">
        <f t="shared" si="32"/>
        <v>0</v>
      </c>
      <c r="AM535" t="b">
        <f t="shared" si="33"/>
        <v>0</v>
      </c>
      <c r="AN535" t="b">
        <f t="shared" si="34"/>
        <v>0</v>
      </c>
      <c r="AO535" t="b">
        <f>OR(Table67[[#This Row],[Ineligible respondents]:[Inconsistent response on opposite question (3)]])</f>
        <v>0</v>
      </c>
      <c r="AP53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535">
        <f>Table67[[#This Row],[Extreme Response]]/21</f>
        <v>0.33333333333333331</v>
      </c>
      <c r="AR535">
        <f>_xlfn.PERCENTILE.INC(Table67[Extrem Response Ratio (ERS)],0.9)</f>
        <v>0.61904761904761907</v>
      </c>
      <c r="AS535" t="b">
        <f>Table67[[#This Row],[Extrem Response Ratio (ERS)]]&gt;=Table67[[#This Row],[Threshold of ERS]]</f>
        <v>0</v>
      </c>
      <c r="AT535">
        <f>COUNTIF(Table67[[#This Row],[The mechanism of digital assets is difficult to understand, which discourages me from exploring it (E.g, Tokenization, Blockchain)]:[If I want to try different ways to invest, I will explore digital assets.]], 3)</f>
        <v>2</v>
      </c>
      <c r="AU535">
        <f>Table67[[#This Row],[Midpoint]]/21</f>
        <v>9.5238095238095233E-2</v>
      </c>
      <c r="AV535">
        <f>_xlfn.PERCENTILE.INC(Table67[Midpoint ratio],0.9)</f>
        <v>0.5714285714285714</v>
      </c>
      <c r="AW535" t="b">
        <f>Table67[[#This Row],[Midpoint ratio]]&gt;=Table67[[#This Row],[Threshold of Midpoint ratio]]</f>
        <v>0</v>
      </c>
      <c r="AX535" t="b">
        <f>OR(Table67[[#This Row],[Extreme Response Style]],Table67[[#This Row],[Mid-point Response Style]])</f>
        <v>0</v>
      </c>
      <c r="AY535" t="b">
        <f>OR(Table67[[#This Row],[Delete? (Stage 1)]],Table67[[#This Row],[Delete? (Stage 2)]])</f>
        <v>0</v>
      </c>
      <c r="AZ535" t="s">
        <v>81</v>
      </c>
    </row>
    <row r="536" spans="1:52">
      <c r="A536">
        <f t="shared" si="35"/>
        <v>535</v>
      </c>
      <c r="B536" s="3">
        <v>46049.723807870403</v>
      </c>
      <c r="C536" s="3">
        <v>46049.7289467593</v>
      </c>
      <c r="D536" t="s">
        <v>53</v>
      </c>
      <c r="G536" t="s">
        <v>73</v>
      </c>
      <c r="H536" t="s">
        <v>55</v>
      </c>
      <c r="I536" t="s">
        <v>82</v>
      </c>
      <c r="J536" t="s">
        <v>57</v>
      </c>
      <c r="K536" t="s">
        <v>60</v>
      </c>
      <c r="L536" t="s">
        <v>61</v>
      </c>
      <c r="M536" t="s">
        <v>58</v>
      </c>
      <c r="N536">
        <v>1</v>
      </c>
      <c r="O536">
        <v>1</v>
      </c>
      <c r="P536">
        <v>4</v>
      </c>
      <c r="Q536">
        <v>3</v>
      </c>
      <c r="R536">
        <v>5</v>
      </c>
      <c r="S536">
        <v>5</v>
      </c>
      <c r="T536">
        <v>5</v>
      </c>
      <c r="U536">
        <v>4</v>
      </c>
      <c r="V536">
        <v>5</v>
      </c>
      <c r="W536">
        <v>5</v>
      </c>
      <c r="X536">
        <v>4</v>
      </c>
      <c r="Y536">
        <v>5</v>
      </c>
      <c r="Z536">
        <v>5</v>
      </c>
      <c r="AA536">
        <v>5</v>
      </c>
      <c r="AB536">
        <v>5</v>
      </c>
      <c r="AC536">
        <v>5</v>
      </c>
      <c r="AD536">
        <v>5</v>
      </c>
      <c r="AE536">
        <v>4</v>
      </c>
      <c r="AF536">
        <v>1</v>
      </c>
      <c r="AG536">
        <v>5</v>
      </c>
      <c r="AH536">
        <v>1</v>
      </c>
      <c r="AI536">
        <v>5</v>
      </c>
      <c r="AJ536">
        <v>5</v>
      </c>
      <c r="AK536" t="b">
        <f>Table67[[#This Row],[What is your age?]]&lt;&gt;"18 - 25"</f>
        <v>1</v>
      </c>
      <c r="AL536" t="b">
        <f t="shared" si="32"/>
        <v>0</v>
      </c>
      <c r="AM536" t="b">
        <f t="shared" si="33"/>
        <v>0</v>
      </c>
      <c r="AN536" t="b">
        <f t="shared" si="34"/>
        <v>0</v>
      </c>
      <c r="AO536" t="b">
        <f>OR(Table67[[#This Row],[Ineligible respondents]:[Inconsistent response on opposite question (3)]])</f>
        <v>1</v>
      </c>
      <c r="AP53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16</v>
      </c>
      <c r="AQ536">
        <f>Table67[[#This Row],[Extreme Response]]/21</f>
        <v>0.76190476190476186</v>
      </c>
      <c r="AR536">
        <f>_xlfn.PERCENTILE.INC(Table67[Extrem Response Ratio (ERS)],0.9)</f>
        <v>0.61904761904761907</v>
      </c>
      <c r="AS536" t="b">
        <f>Table67[[#This Row],[Extrem Response Ratio (ERS)]]&gt;=Table67[[#This Row],[Threshold of ERS]]</f>
        <v>1</v>
      </c>
      <c r="AT536">
        <f>COUNTIF(Table67[[#This Row],[The mechanism of digital assets is difficult to understand, which discourages me from exploring it (E.g, Tokenization, Blockchain)]:[If I want to try different ways to invest, I will explore digital assets.]], 3)</f>
        <v>1</v>
      </c>
      <c r="AU536">
        <f>Table67[[#This Row],[Midpoint]]/21</f>
        <v>4.7619047619047616E-2</v>
      </c>
      <c r="AV536">
        <f>_xlfn.PERCENTILE.INC(Table67[Midpoint ratio],0.9)</f>
        <v>0.5714285714285714</v>
      </c>
      <c r="AW536" t="b">
        <f>Table67[[#This Row],[Midpoint ratio]]&gt;=Table67[[#This Row],[Threshold of Midpoint ratio]]</f>
        <v>0</v>
      </c>
      <c r="AX536" t="b">
        <f>OR(Table67[[#This Row],[Extreme Response Style]],Table67[[#This Row],[Mid-point Response Style]])</f>
        <v>1</v>
      </c>
      <c r="AY536" t="b">
        <f>OR(Table67[[#This Row],[Delete? (Stage 1)]],Table67[[#This Row],[Delete? (Stage 2)]])</f>
        <v>1</v>
      </c>
      <c r="AZ536" t="s">
        <v>84</v>
      </c>
    </row>
    <row r="537" spans="1:52">
      <c r="A537">
        <f t="shared" si="35"/>
        <v>536</v>
      </c>
      <c r="B537" s="3">
        <v>46049.7238657407</v>
      </c>
      <c r="C537" s="3">
        <v>46049.733622685198</v>
      </c>
      <c r="D537" t="s">
        <v>53</v>
      </c>
      <c r="G537" t="s">
        <v>54</v>
      </c>
      <c r="H537" t="s">
        <v>63</v>
      </c>
      <c r="I537" t="s">
        <v>75</v>
      </c>
      <c r="J537" t="s">
        <v>62</v>
      </c>
      <c r="K537" t="s">
        <v>57</v>
      </c>
      <c r="L537" t="s">
        <v>58</v>
      </c>
      <c r="M537" t="s">
        <v>58</v>
      </c>
      <c r="N537">
        <v>5</v>
      </c>
      <c r="O537">
        <v>1</v>
      </c>
      <c r="P537">
        <v>3</v>
      </c>
      <c r="Q537">
        <v>4</v>
      </c>
      <c r="R537">
        <v>3</v>
      </c>
      <c r="S537">
        <v>4</v>
      </c>
      <c r="T537">
        <v>4</v>
      </c>
      <c r="U537">
        <v>4</v>
      </c>
      <c r="V537">
        <v>4</v>
      </c>
      <c r="W537">
        <v>4</v>
      </c>
      <c r="X537">
        <v>3</v>
      </c>
      <c r="Y537">
        <v>4</v>
      </c>
      <c r="Z537">
        <v>4</v>
      </c>
      <c r="AA537">
        <v>5</v>
      </c>
      <c r="AB537">
        <v>4</v>
      </c>
      <c r="AC537">
        <v>4</v>
      </c>
      <c r="AD537">
        <v>4</v>
      </c>
      <c r="AE537">
        <v>2</v>
      </c>
      <c r="AF537">
        <v>2</v>
      </c>
      <c r="AG537">
        <v>2</v>
      </c>
      <c r="AH537">
        <v>2</v>
      </c>
      <c r="AI537">
        <v>4</v>
      </c>
      <c r="AJ537">
        <v>4</v>
      </c>
      <c r="AK537" t="b">
        <f>Table67[[#This Row],[What is your age?]]&lt;&gt;"18 - 25"</f>
        <v>0</v>
      </c>
      <c r="AL537" t="b">
        <f t="shared" si="32"/>
        <v>0</v>
      </c>
      <c r="AM537" t="b">
        <f t="shared" si="33"/>
        <v>1</v>
      </c>
      <c r="AN537" t="b">
        <f t="shared" si="34"/>
        <v>0</v>
      </c>
      <c r="AO537" t="b">
        <f>OR(Table67[[#This Row],[Ineligible respondents]:[Inconsistent response on opposite question (3)]])</f>
        <v>1</v>
      </c>
      <c r="AP53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537">
        <f>Table67[[#This Row],[Extreme Response]]/21</f>
        <v>0.14285714285714285</v>
      </c>
      <c r="AR537">
        <f>_xlfn.PERCENTILE.INC(Table67[Extrem Response Ratio (ERS)],0.9)</f>
        <v>0.61904761904761907</v>
      </c>
      <c r="AS537" t="b">
        <f>Table67[[#This Row],[Extrem Response Ratio (ERS)]]&gt;=Table67[[#This Row],[Threshold of ERS]]</f>
        <v>0</v>
      </c>
      <c r="AT537">
        <f>COUNTIF(Table67[[#This Row],[The mechanism of digital assets is difficult to understand, which discourages me from exploring it (E.g, Tokenization, Blockchain)]:[If I want to try different ways to invest, I will explore digital assets.]], 3)</f>
        <v>3</v>
      </c>
      <c r="AU537">
        <f>Table67[[#This Row],[Midpoint]]/21</f>
        <v>0.14285714285714285</v>
      </c>
      <c r="AV537">
        <f>_xlfn.PERCENTILE.INC(Table67[Midpoint ratio],0.9)</f>
        <v>0.5714285714285714</v>
      </c>
      <c r="AW537" t="b">
        <f>Table67[[#This Row],[Midpoint ratio]]&gt;=Table67[[#This Row],[Threshold of Midpoint ratio]]</f>
        <v>0</v>
      </c>
      <c r="AX537" t="b">
        <f>OR(Table67[[#This Row],[Extreme Response Style]],Table67[[#This Row],[Mid-point Response Style]])</f>
        <v>0</v>
      </c>
      <c r="AY537" t="b">
        <f>OR(Table67[[#This Row],[Delete? (Stage 1)]],Table67[[#This Row],[Delete? (Stage 2)]])</f>
        <v>1</v>
      </c>
      <c r="AZ537" t="s">
        <v>84</v>
      </c>
    </row>
    <row r="538" spans="1:52">
      <c r="A538">
        <f t="shared" si="35"/>
        <v>537</v>
      </c>
      <c r="B538" s="3">
        <v>46049.724039351902</v>
      </c>
      <c r="C538" s="3">
        <v>46049.729814814797</v>
      </c>
      <c r="D538" t="s">
        <v>53</v>
      </c>
      <c r="G538" t="s">
        <v>54</v>
      </c>
      <c r="H538" t="s">
        <v>63</v>
      </c>
      <c r="I538" t="s">
        <v>75</v>
      </c>
      <c r="J538" t="s">
        <v>57</v>
      </c>
      <c r="K538" t="s">
        <v>57</v>
      </c>
      <c r="L538" t="s">
        <v>58</v>
      </c>
      <c r="M538" t="s">
        <v>58</v>
      </c>
      <c r="N538">
        <v>4</v>
      </c>
      <c r="O538">
        <v>2</v>
      </c>
      <c r="P538">
        <v>4</v>
      </c>
      <c r="Q538">
        <v>4</v>
      </c>
      <c r="R538">
        <v>2</v>
      </c>
      <c r="S538">
        <v>4</v>
      </c>
      <c r="T538">
        <v>4</v>
      </c>
      <c r="U538">
        <v>5</v>
      </c>
      <c r="V538">
        <v>4</v>
      </c>
      <c r="W538">
        <v>4</v>
      </c>
      <c r="X538">
        <v>4</v>
      </c>
      <c r="Y538">
        <v>4</v>
      </c>
      <c r="Z538">
        <v>5</v>
      </c>
      <c r="AA538">
        <v>4</v>
      </c>
      <c r="AB538">
        <v>4</v>
      </c>
      <c r="AC538">
        <v>3</v>
      </c>
      <c r="AD538">
        <v>4</v>
      </c>
      <c r="AE538">
        <v>2</v>
      </c>
      <c r="AF538">
        <v>2</v>
      </c>
      <c r="AG538">
        <v>4</v>
      </c>
      <c r="AH538">
        <v>2</v>
      </c>
      <c r="AI538">
        <v>4</v>
      </c>
      <c r="AJ538">
        <v>4</v>
      </c>
      <c r="AK538" t="b">
        <f>Table67[[#This Row],[What is your age?]]&lt;&gt;"18 - 25"</f>
        <v>0</v>
      </c>
      <c r="AL538" t="b">
        <f t="shared" si="32"/>
        <v>0</v>
      </c>
      <c r="AM538" t="b">
        <f t="shared" si="33"/>
        <v>0</v>
      </c>
      <c r="AN538" t="b">
        <f t="shared" si="34"/>
        <v>0</v>
      </c>
      <c r="AO538" t="b">
        <f>OR(Table67[[#This Row],[Ineligible respondents]:[Inconsistent response on opposite question (3)]])</f>
        <v>0</v>
      </c>
      <c r="AP53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538">
        <f>Table67[[#This Row],[Extreme Response]]/21</f>
        <v>9.5238095238095233E-2</v>
      </c>
      <c r="AR538">
        <f>_xlfn.PERCENTILE.INC(Table67[Extrem Response Ratio (ERS)],0.9)</f>
        <v>0.61904761904761907</v>
      </c>
      <c r="AS538" t="b">
        <f>Table67[[#This Row],[Extrem Response Ratio (ERS)]]&gt;=Table67[[#This Row],[Threshold of ERS]]</f>
        <v>0</v>
      </c>
      <c r="AT538">
        <f>COUNTIF(Table67[[#This Row],[The mechanism of digital assets is difficult to understand, which discourages me from exploring it (E.g, Tokenization, Blockchain)]:[If I want to try different ways to invest, I will explore digital assets.]], 3)</f>
        <v>1</v>
      </c>
      <c r="AU538">
        <f>Table67[[#This Row],[Midpoint]]/21</f>
        <v>4.7619047619047616E-2</v>
      </c>
      <c r="AV538">
        <f>_xlfn.PERCENTILE.INC(Table67[Midpoint ratio],0.9)</f>
        <v>0.5714285714285714</v>
      </c>
      <c r="AW538" t="b">
        <f>Table67[[#This Row],[Midpoint ratio]]&gt;=Table67[[#This Row],[Threshold of Midpoint ratio]]</f>
        <v>0</v>
      </c>
      <c r="AX538" t="b">
        <f>OR(Table67[[#This Row],[Extreme Response Style]],Table67[[#This Row],[Mid-point Response Style]])</f>
        <v>0</v>
      </c>
      <c r="AY538" t="b">
        <f>OR(Table67[[#This Row],[Delete? (Stage 1)]],Table67[[#This Row],[Delete? (Stage 2)]])</f>
        <v>0</v>
      </c>
      <c r="AZ538" t="s">
        <v>84</v>
      </c>
    </row>
    <row r="539" spans="1:52">
      <c r="A539">
        <f t="shared" si="35"/>
        <v>538</v>
      </c>
      <c r="B539" s="3">
        <v>46049.724108796298</v>
      </c>
      <c r="C539" s="3">
        <v>46049.726956018501</v>
      </c>
      <c r="D539" t="s">
        <v>53</v>
      </c>
      <c r="G539" t="s">
        <v>54</v>
      </c>
      <c r="H539" t="s">
        <v>63</v>
      </c>
      <c r="I539" t="s">
        <v>69</v>
      </c>
      <c r="J539" t="s">
        <v>62</v>
      </c>
      <c r="K539" t="s">
        <v>62</v>
      </c>
      <c r="L539" t="s">
        <v>58</v>
      </c>
      <c r="M539" t="s">
        <v>58</v>
      </c>
      <c r="N539">
        <v>4</v>
      </c>
      <c r="O539">
        <v>5</v>
      </c>
      <c r="P539">
        <v>3</v>
      </c>
      <c r="Q539">
        <v>4</v>
      </c>
      <c r="R539">
        <v>5</v>
      </c>
      <c r="S539">
        <v>2</v>
      </c>
      <c r="T539">
        <v>2</v>
      </c>
      <c r="U539">
        <v>4</v>
      </c>
      <c r="V539">
        <v>5</v>
      </c>
      <c r="W539">
        <v>4</v>
      </c>
      <c r="X539">
        <v>3</v>
      </c>
      <c r="Y539">
        <v>4</v>
      </c>
      <c r="Z539">
        <v>5</v>
      </c>
      <c r="AA539">
        <v>4</v>
      </c>
      <c r="AB539">
        <v>5</v>
      </c>
      <c r="AC539">
        <v>4</v>
      </c>
      <c r="AD539">
        <v>5</v>
      </c>
      <c r="AE539">
        <v>2</v>
      </c>
      <c r="AF539">
        <v>4</v>
      </c>
      <c r="AG539">
        <v>4</v>
      </c>
      <c r="AH539">
        <v>4</v>
      </c>
      <c r="AI539">
        <v>2</v>
      </c>
      <c r="AJ539">
        <v>2</v>
      </c>
      <c r="AK539" t="b">
        <f>Table67[[#This Row],[What is your age?]]&lt;&gt;"18 - 25"</f>
        <v>0</v>
      </c>
      <c r="AL539" t="b">
        <f t="shared" si="32"/>
        <v>0</v>
      </c>
      <c r="AM539" t="b">
        <f t="shared" si="33"/>
        <v>1</v>
      </c>
      <c r="AN539" t="b">
        <f t="shared" si="34"/>
        <v>0</v>
      </c>
      <c r="AO539" t="b">
        <f>OR(Table67[[#This Row],[Ineligible respondents]:[Inconsistent response on opposite question (3)]])</f>
        <v>1</v>
      </c>
      <c r="AP53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539">
        <f>Table67[[#This Row],[Extreme Response]]/21</f>
        <v>0.2857142857142857</v>
      </c>
      <c r="AR539">
        <f>_xlfn.PERCENTILE.INC(Table67[Extrem Response Ratio (ERS)],0.9)</f>
        <v>0.61904761904761907</v>
      </c>
      <c r="AS539" t="b">
        <f>Table67[[#This Row],[Extrem Response Ratio (ERS)]]&gt;=Table67[[#This Row],[Threshold of ERS]]</f>
        <v>0</v>
      </c>
      <c r="AT539">
        <f>COUNTIF(Table67[[#This Row],[The mechanism of digital assets is difficult to understand, which discourages me from exploring it (E.g, Tokenization, Blockchain)]:[If I want to try different ways to invest, I will explore digital assets.]], 3)</f>
        <v>2</v>
      </c>
      <c r="AU539">
        <f>Table67[[#This Row],[Midpoint]]/21</f>
        <v>9.5238095238095233E-2</v>
      </c>
      <c r="AV539">
        <f>_xlfn.PERCENTILE.INC(Table67[Midpoint ratio],0.9)</f>
        <v>0.5714285714285714</v>
      </c>
      <c r="AW539" t="b">
        <f>Table67[[#This Row],[Midpoint ratio]]&gt;=Table67[[#This Row],[Threshold of Midpoint ratio]]</f>
        <v>0</v>
      </c>
      <c r="AX539" t="b">
        <f>OR(Table67[[#This Row],[Extreme Response Style]],Table67[[#This Row],[Mid-point Response Style]])</f>
        <v>0</v>
      </c>
      <c r="AY539" t="b">
        <f>OR(Table67[[#This Row],[Delete? (Stage 1)]],Table67[[#This Row],[Delete? (Stage 2)]])</f>
        <v>1</v>
      </c>
      <c r="AZ539" t="s">
        <v>84</v>
      </c>
    </row>
    <row r="540" spans="1:52">
      <c r="A540">
        <f t="shared" si="35"/>
        <v>539</v>
      </c>
      <c r="B540" s="3">
        <v>46049.724548611099</v>
      </c>
      <c r="C540" s="3">
        <v>46049.727361111101</v>
      </c>
      <c r="D540" t="s">
        <v>53</v>
      </c>
      <c r="G540" t="s">
        <v>54</v>
      </c>
      <c r="H540" t="s">
        <v>55</v>
      </c>
      <c r="I540" t="s">
        <v>71</v>
      </c>
      <c r="J540" t="s">
        <v>57</v>
      </c>
      <c r="K540" t="s">
        <v>57</v>
      </c>
      <c r="L540" t="s">
        <v>58</v>
      </c>
      <c r="M540" t="s">
        <v>58</v>
      </c>
      <c r="N540">
        <v>4</v>
      </c>
      <c r="O540">
        <v>3</v>
      </c>
      <c r="P540">
        <v>4</v>
      </c>
      <c r="Q540">
        <v>4</v>
      </c>
      <c r="R540">
        <v>4</v>
      </c>
      <c r="S540">
        <v>4</v>
      </c>
      <c r="T540">
        <v>3</v>
      </c>
      <c r="U540">
        <v>4</v>
      </c>
      <c r="V540">
        <v>4</v>
      </c>
      <c r="W540">
        <v>4</v>
      </c>
      <c r="X540">
        <v>4</v>
      </c>
      <c r="Y540">
        <v>3</v>
      </c>
      <c r="Z540">
        <v>5</v>
      </c>
      <c r="AA540">
        <v>4</v>
      </c>
      <c r="AB540">
        <v>4</v>
      </c>
      <c r="AC540">
        <v>4</v>
      </c>
      <c r="AD540">
        <v>4</v>
      </c>
      <c r="AE540">
        <v>3</v>
      </c>
      <c r="AF540">
        <v>4</v>
      </c>
      <c r="AG540">
        <v>4</v>
      </c>
      <c r="AH540">
        <v>5</v>
      </c>
      <c r="AI540">
        <v>1</v>
      </c>
      <c r="AJ540">
        <v>2</v>
      </c>
      <c r="AK540" t="b">
        <f>Table67[[#This Row],[What is your age?]]&lt;&gt;"18 - 25"</f>
        <v>0</v>
      </c>
      <c r="AL540" t="b">
        <f t="shared" si="32"/>
        <v>0</v>
      </c>
      <c r="AM540" t="b">
        <f t="shared" si="33"/>
        <v>1</v>
      </c>
      <c r="AN540" t="b">
        <f t="shared" si="34"/>
        <v>0</v>
      </c>
      <c r="AO540" t="b">
        <f>OR(Table67[[#This Row],[Ineligible respondents]:[Inconsistent response on opposite question (3)]])</f>
        <v>1</v>
      </c>
      <c r="AP54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540">
        <f>Table67[[#This Row],[Extreme Response]]/21</f>
        <v>9.5238095238095233E-2</v>
      </c>
      <c r="AR540">
        <f>_xlfn.PERCENTILE.INC(Table67[Extrem Response Ratio (ERS)],0.9)</f>
        <v>0.61904761904761907</v>
      </c>
      <c r="AS540" t="b">
        <f>Table67[[#This Row],[Extrem Response Ratio (ERS)]]&gt;=Table67[[#This Row],[Threshold of ERS]]</f>
        <v>0</v>
      </c>
      <c r="AT540">
        <f>COUNTIF(Table67[[#This Row],[The mechanism of digital assets is difficult to understand, which discourages me from exploring it (E.g, Tokenization, Blockchain)]:[If I want to try different ways to invest, I will explore digital assets.]], 3)</f>
        <v>4</v>
      </c>
      <c r="AU540">
        <f>Table67[[#This Row],[Midpoint]]/21</f>
        <v>0.19047619047619047</v>
      </c>
      <c r="AV540">
        <f>_xlfn.PERCENTILE.INC(Table67[Midpoint ratio],0.9)</f>
        <v>0.5714285714285714</v>
      </c>
      <c r="AW540" t="b">
        <f>Table67[[#This Row],[Midpoint ratio]]&gt;=Table67[[#This Row],[Threshold of Midpoint ratio]]</f>
        <v>0</v>
      </c>
      <c r="AX540" t="b">
        <f>OR(Table67[[#This Row],[Extreme Response Style]],Table67[[#This Row],[Mid-point Response Style]])</f>
        <v>0</v>
      </c>
      <c r="AY540" t="b">
        <f>OR(Table67[[#This Row],[Delete? (Stage 1)]],Table67[[#This Row],[Delete? (Stage 2)]])</f>
        <v>1</v>
      </c>
      <c r="AZ540" t="s">
        <v>84</v>
      </c>
    </row>
    <row r="541" spans="1:52">
      <c r="A541">
        <f t="shared" si="35"/>
        <v>540</v>
      </c>
      <c r="B541" s="3">
        <v>46049.724560185197</v>
      </c>
      <c r="C541" s="3">
        <v>46049.7322569444</v>
      </c>
      <c r="D541" t="s">
        <v>53</v>
      </c>
      <c r="G541" t="s">
        <v>54</v>
      </c>
      <c r="H541" t="s">
        <v>63</v>
      </c>
      <c r="I541" t="s">
        <v>56</v>
      </c>
      <c r="J541" t="s">
        <v>60</v>
      </c>
      <c r="K541" t="s">
        <v>60</v>
      </c>
      <c r="L541" t="s">
        <v>61</v>
      </c>
      <c r="M541" t="s">
        <v>61</v>
      </c>
      <c r="N541">
        <v>1</v>
      </c>
      <c r="O541">
        <v>5</v>
      </c>
      <c r="P541">
        <v>5</v>
      </c>
      <c r="Q541">
        <v>5</v>
      </c>
      <c r="R541">
        <v>5</v>
      </c>
      <c r="S541">
        <v>2</v>
      </c>
      <c r="T541">
        <v>1</v>
      </c>
      <c r="U541">
        <v>5</v>
      </c>
      <c r="V541">
        <v>1</v>
      </c>
      <c r="W541">
        <v>5</v>
      </c>
      <c r="X541">
        <v>5</v>
      </c>
      <c r="Y541">
        <v>5</v>
      </c>
      <c r="Z541">
        <v>5</v>
      </c>
      <c r="AA541">
        <v>4</v>
      </c>
      <c r="AB541">
        <v>5</v>
      </c>
      <c r="AC541">
        <v>4</v>
      </c>
      <c r="AD541">
        <v>4</v>
      </c>
      <c r="AE541">
        <v>5</v>
      </c>
      <c r="AF541">
        <v>5</v>
      </c>
      <c r="AG541">
        <v>1</v>
      </c>
      <c r="AH541">
        <v>5</v>
      </c>
      <c r="AI541">
        <v>1</v>
      </c>
      <c r="AJ541">
        <v>1</v>
      </c>
      <c r="AK541" t="b">
        <f>Table67[[#This Row],[What is your age?]]&lt;&gt;"18 - 25"</f>
        <v>0</v>
      </c>
      <c r="AL541" t="b">
        <f t="shared" si="32"/>
        <v>0</v>
      </c>
      <c r="AM541" t="b">
        <f t="shared" si="33"/>
        <v>0</v>
      </c>
      <c r="AN541" t="b">
        <f t="shared" si="34"/>
        <v>0</v>
      </c>
      <c r="AO541" t="b">
        <f>OR(Table67[[#This Row],[Ineligible respondents]:[Inconsistent response on opposite question (3)]])</f>
        <v>0</v>
      </c>
      <c r="AP54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17</v>
      </c>
      <c r="AQ541">
        <f>Table67[[#This Row],[Extreme Response]]/21</f>
        <v>0.80952380952380953</v>
      </c>
      <c r="AR541">
        <f>_xlfn.PERCENTILE.INC(Table67[Extrem Response Ratio (ERS)],0.9)</f>
        <v>0.61904761904761907</v>
      </c>
      <c r="AS541" t="b">
        <f>Table67[[#This Row],[Extrem Response Ratio (ERS)]]&gt;=Table67[[#This Row],[Threshold of ERS]]</f>
        <v>1</v>
      </c>
      <c r="AT541">
        <f>COUNTIF(Table67[[#This Row],[The mechanism of digital assets is difficult to understand, which discourages me from exploring it (E.g, Tokenization, Blockchain)]:[If I want to try different ways to invest, I will explore digital assets.]], 3)</f>
        <v>0</v>
      </c>
      <c r="AU541">
        <f>Table67[[#This Row],[Midpoint]]/21</f>
        <v>0</v>
      </c>
      <c r="AV541">
        <f>_xlfn.PERCENTILE.INC(Table67[Midpoint ratio],0.9)</f>
        <v>0.5714285714285714</v>
      </c>
      <c r="AW541" t="b">
        <f>Table67[[#This Row],[Midpoint ratio]]&gt;=Table67[[#This Row],[Threshold of Midpoint ratio]]</f>
        <v>0</v>
      </c>
      <c r="AX541" t="b">
        <f>OR(Table67[[#This Row],[Extreme Response Style]],Table67[[#This Row],[Mid-point Response Style]])</f>
        <v>1</v>
      </c>
      <c r="AY541" t="b">
        <f>OR(Table67[[#This Row],[Delete? (Stage 1)]],Table67[[#This Row],[Delete? (Stage 2)]])</f>
        <v>1</v>
      </c>
      <c r="AZ541" t="s">
        <v>84</v>
      </c>
    </row>
    <row r="542" spans="1:52">
      <c r="A542">
        <f t="shared" si="35"/>
        <v>541</v>
      </c>
      <c r="B542" s="3">
        <v>46049.724571759303</v>
      </c>
      <c r="C542" s="3">
        <v>46049.727569444403</v>
      </c>
      <c r="D542" t="s">
        <v>53</v>
      </c>
      <c r="G542" t="s">
        <v>54</v>
      </c>
      <c r="H542" t="s">
        <v>63</v>
      </c>
      <c r="I542" t="s">
        <v>75</v>
      </c>
      <c r="J542" t="s">
        <v>68</v>
      </c>
      <c r="K542" t="s">
        <v>62</v>
      </c>
      <c r="L542" t="s">
        <v>58</v>
      </c>
      <c r="M542" t="s">
        <v>61</v>
      </c>
      <c r="N542">
        <v>4</v>
      </c>
      <c r="O542">
        <v>4</v>
      </c>
      <c r="P542">
        <v>4</v>
      </c>
      <c r="Q542">
        <v>3</v>
      </c>
      <c r="R542">
        <v>4</v>
      </c>
      <c r="S542">
        <v>2</v>
      </c>
      <c r="T542">
        <v>3</v>
      </c>
      <c r="U542">
        <v>4</v>
      </c>
      <c r="V542">
        <v>3</v>
      </c>
      <c r="W542">
        <v>4</v>
      </c>
      <c r="X542">
        <v>2</v>
      </c>
      <c r="Y542">
        <v>2</v>
      </c>
      <c r="Z542">
        <v>4</v>
      </c>
      <c r="AA542">
        <v>2</v>
      </c>
      <c r="AB542">
        <v>4</v>
      </c>
      <c r="AC542">
        <v>3</v>
      </c>
      <c r="AD542">
        <v>4</v>
      </c>
      <c r="AE542">
        <v>4</v>
      </c>
      <c r="AF542">
        <v>3</v>
      </c>
      <c r="AG542">
        <v>3</v>
      </c>
      <c r="AH542">
        <v>4</v>
      </c>
      <c r="AI542">
        <v>2</v>
      </c>
      <c r="AJ542">
        <v>3</v>
      </c>
      <c r="AK542" t="b">
        <f>Table67[[#This Row],[What is your age?]]&lt;&gt;"18 - 25"</f>
        <v>0</v>
      </c>
      <c r="AL542" t="b">
        <f t="shared" si="32"/>
        <v>0</v>
      </c>
      <c r="AM542" t="b">
        <f t="shared" si="33"/>
        <v>0</v>
      </c>
      <c r="AN542" t="b">
        <f t="shared" si="34"/>
        <v>1</v>
      </c>
      <c r="AO542" t="b">
        <f>OR(Table67[[#This Row],[Ineligible respondents]:[Inconsistent response on opposite question (3)]])</f>
        <v>1</v>
      </c>
      <c r="AP54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542">
        <f>Table67[[#This Row],[Extreme Response]]/21</f>
        <v>0</v>
      </c>
      <c r="AR542">
        <f>_xlfn.PERCENTILE.INC(Table67[Extrem Response Ratio (ERS)],0.9)</f>
        <v>0.61904761904761907</v>
      </c>
      <c r="AS542" t="b">
        <f>Table67[[#This Row],[Extrem Response Ratio (ERS)]]&gt;=Table67[[#This Row],[Threshold of ERS]]</f>
        <v>0</v>
      </c>
      <c r="AT542">
        <f>COUNTIF(Table67[[#This Row],[The mechanism of digital assets is difficult to understand, which discourages me from exploring it (E.g, Tokenization, Blockchain)]:[If I want to try different ways to invest, I will explore digital assets.]], 3)</f>
        <v>6</v>
      </c>
      <c r="AU542">
        <f>Table67[[#This Row],[Midpoint]]/21</f>
        <v>0.2857142857142857</v>
      </c>
      <c r="AV542">
        <f>_xlfn.PERCENTILE.INC(Table67[Midpoint ratio],0.9)</f>
        <v>0.5714285714285714</v>
      </c>
      <c r="AW542" t="b">
        <f>Table67[[#This Row],[Midpoint ratio]]&gt;=Table67[[#This Row],[Threshold of Midpoint ratio]]</f>
        <v>0</v>
      </c>
      <c r="AX542" t="b">
        <f>OR(Table67[[#This Row],[Extreme Response Style]],Table67[[#This Row],[Mid-point Response Style]])</f>
        <v>0</v>
      </c>
      <c r="AY542" t="b">
        <f>OR(Table67[[#This Row],[Delete? (Stage 1)]],Table67[[#This Row],[Delete? (Stage 2)]])</f>
        <v>1</v>
      </c>
      <c r="AZ542" t="s">
        <v>84</v>
      </c>
    </row>
    <row r="543" spans="1:52">
      <c r="A543">
        <f t="shared" si="35"/>
        <v>542</v>
      </c>
      <c r="B543" s="3">
        <v>46049.724606481497</v>
      </c>
      <c r="C543" s="3">
        <v>46049.7271064815</v>
      </c>
      <c r="D543" t="s">
        <v>53</v>
      </c>
      <c r="G543" t="s">
        <v>54</v>
      </c>
      <c r="H543" t="s">
        <v>55</v>
      </c>
      <c r="I543" t="s">
        <v>56</v>
      </c>
      <c r="J543" t="s">
        <v>62</v>
      </c>
      <c r="K543" t="s">
        <v>57</v>
      </c>
      <c r="L543" t="s">
        <v>58</v>
      </c>
      <c r="M543" t="s">
        <v>58</v>
      </c>
      <c r="N543">
        <v>5</v>
      </c>
      <c r="O543">
        <v>4</v>
      </c>
      <c r="P543">
        <v>5</v>
      </c>
      <c r="Q543">
        <v>4</v>
      </c>
      <c r="R543">
        <v>3</v>
      </c>
      <c r="S543">
        <v>4</v>
      </c>
      <c r="T543">
        <v>4</v>
      </c>
      <c r="U543">
        <v>5</v>
      </c>
      <c r="V543">
        <v>5</v>
      </c>
      <c r="W543">
        <v>5</v>
      </c>
      <c r="X543">
        <v>5</v>
      </c>
      <c r="Y543">
        <v>5</v>
      </c>
      <c r="Z543">
        <v>4</v>
      </c>
      <c r="AA543">
        <v>5</v>
      </c>
      <c r="AB543">
        <v>2</v>
      </c>
      <c r="AC543">
        <v>3</v>
      </c>
      <c r="AD543">
        <v>5</v>
      </c>
      <c r="AE543">
        <v>3</v>
      </c>
      <c r="AF543">
        <v>4</v>
      </c>
      <c r="AG543">
        <v>3</v>
      </c>
      <c r="AH543">
        <v>4</v>
      </c>
      <c r="AI543">
        <v>2</v>
      </c>
      <c r="AJ543">
        <v>2</v>
      </c>
      <c r="AK543" t="b">
        <f>Table67[[#This Row],[What is your age?]]&lt;&gt;"18 - 25"</f>
        <v>0</v>
      </c>
      <c r="AL543" t="b">
        <f t="shared" si="32"/>
        <v>0</v>
      </c>
      <c r="AM543" t="b">
        <f t="shared" si="33"/>
        <v>0</v>
      </c>
      <c r="AN543" t="b">
        <f t="shared" si="34"/>
        <v>1</v>
      </c>
      <c r="AO543" t="b">
        <f>OR(Table67[[#This Row],[Ineligible respondents]:[Inconsistent response on opposite question (3)]])</f>
        <v>1</v>
      </c>
      <c r="AP54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543">
        <f>Table67[[#This Row],[Extreme Response]]/21</f>
        <v>0.42857142857142855</v>
      </c>
      <c r="AR543">
        <f>_xlfn.PERCENTILE.INC(Table67[Extrem Response Ratio (ERS)],0.9)</f>
        <v>0.61904761904761907</v>
      </c>
      <c r="AS543" t="b">
        <f>Table67[[#This Row],[Extrem Response Ratio (ERS)]]&gt;=Table67[[#This Row],[Threshold of ERS]]</f>
        <v>0</v>
      </c>
      <c r="AT543">
        <f>COUNTIF(Table67[[#This Row],[The mechanism of digital assets is difficult to understand, which discourages me from exploring it (E.g, Tokenization, Blockchain)]:[If I want to try different ways to invest, I will explore digital assets.]], 3)</f>
        <v>4</v>
      </c>
      <c r="AU543">
        <f>Table67[[#This Row],[Midpoint]]/21</f>
        <v>0.19047619047619047</v>
      </c>
      <c r="AV543">
        <f>_xlfn.PERCENTILE.INC(Table67[Midpoint ratio],0.9)</f>
        <v>0.5714285714285714</v>
      </c>
      <c r="AW543" t="b">
        <f>Table67[[#This Row],[Midpoint ratio]]&gt;=Table67[[#This Row],[Threshold of Midpoint ratio]]</f>
        <v>0</v>
      </c>
      <c r="AX543" t="b">
        <f>OR(Table67[[#This Row],[Extreme Response Style]],Table67[[#This Row],[Mid-point Response Style]])</f>
        <v>0</v>
      </c>
      <c r="AY543" t="b">
        <f>OR(Table67[[#This Row],[Delete? (Stage 1)]],Table67[[#This Row],[Delete? (Stage 2)]])</f>
        <v>1</v>
      </c>
      <c r="AZ543" t="s">
        <v>84</v>
      </c>
    </row>
    <row r="544" spans="1:52">
      <c r="A544">
        <f t="shared" si="35"/>
        <v>543</v>
      </c>
      <c r="B544" s="3">
        <v>46049.725925925901</v>
      </c>
      <c r="C544" s="3">
        <v>46049.731111111098</v>
      </c>
      <c r="D544" t="s">
        <v>53</v>
      </c>
      <c r="G544" t="s">
        <v>54</v>
      </c>
      <c r="H544" t="s">
        <v>55</v>
      </c>
      <c r="I544" t="s">
        <v>56</v>
      </c>
      <c r="J544" t="s">
        <v>65</v>
      </c>
      <c r="K544" t="s">
        <v>62</v>
      </c>
      <c r="L544" t="s">
        <v>58</v>
      </c>
      <c r="M544" t="s">
        <v>58</v>
      </c>
      <c r="N544">
        <v>4</v>
      </c>
      <c r="O544">
        <v>2</v>
      </c>
      <c r="P544">
        <v>4</v>
      </c>
      <c r="Q544">
        <v>4</v>
      </c>
      <c r="R544">
        <v>2</v>
      </c>
      <c r="S544">
        <v>3</v>
      </c>
      <c r="T544">
        <v>2</v>
      </c>
      <c r="U544">
        <v>2</v>
      </c>
      <c r="V544">
        <v>4</v>
      </c>
      <c r="W544">
        <v>5</v>
      </c>
      <c r="X544">
        <v>3</v>
      </c>
      <c r="Y544">
        <v>5</v>
      </c>
      <c r="Z544">
        <v>4</v>
      </c>
      <c r="AA544">
        <v>4</v>
      </c>
      <c r="AB544">
        <v>2</v>
      </c>
      <c r="AC544">
        <v>2</v>
      </c>
      <c r="AD544">
        <v>4</v>
      </c>
      <c r="AE544">
        <v>5</v>
      </c>
      <c r="AF544">
        <v>4</v>
      </c>
      <c r="AG544">
        <v>3</v>
      </c>
      <c r="AH544">
        <v>2</v>
      </c>
      <c r="AI544">
        <v>4</v>
      </c>
      <c r="AJ544">
        <v>2</v>
      </c>
      <c r="AK544" t="b">
        <f>Table67[[#This Row],[What is your age?]]&lt;&gt;"18 - 25"</f>
        <v>0</v>
      </c>
      <c r="AL544" t="b">
        <f t="shared" si="32"/>
        <v>0</v>
      </c>
      <c r="AM544" t="b">
        <f t="shared" si="33"/>
        <v>0</v>
      </c>
      <c r="AN544" t="b">
        <f t="shared" si="34"/>
        <v>1</v>
      </c>
      <c r="AO544" t="b">
        <f>OR(Table67[[#This Row],[Ineligible respondents]:[Inconsistent response on opposite question (3)]])</f>
        <v>1</v>
      </c>
      <c r="AP54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544">
        <f>Table67[[#This Row],[Extreme Response]]/21</f>
        <v>0.14285714285714285</v>
      </c>
      <c r="AR544">
        <f>_xlfn.PERCENTILE.INC(Table67[Extrem Response Ratio (ERS)],0.9)</f>
        <v>0.61904761904761907</v>
      </c>
      <c r="AS544" t="b">
        <f>Table67[[#This Row],[Extrem Response Ratio (ERS)]]&gt;=Table67[[#This Row],[Threshold of ERS]]</f>
        <v>0</v>
      </c>
      <c r="AT544">
        <f>COUNTIF(Table67[[#This Row],[The mechanism of digital assets is difficult to understand, which discourages me from exploring it (E.g, Tokenization, Blockchain)]:[If I want to try different ways to invest, I will explore digital assets.]], 3)</f>
        <v>3</v>
      </c>
      <c r="AU544">
        <f>Table67[[#This Row],[Midpoint]]/21</f>
        <v>0.14285714285714285</v>
      </c>
      <c r="AV544">
        <f>_xlfn.PERCENTILE.INC(Table67[Midpoint ratio],0.9)</f>
        <v>0.5714285714285714</v>
      </c>
      <c r="AW544" t="b">
        <f>Table67[[#This Row],[Midpoint ratio]]&gt;=Table67[[#This Row],[Threshold of Midpoint ratio]]</f>
        <v>0</v>
      </c>
      <c r="AX544" t="b">
        <f>OR(Table67[[#This Row],[Extreme Response Style]],Table67[[#This Row],[Mid-point Response Style]])</f>
        <v>0</v>
      </c>
      <c r="AY544" t="b">
        <f>OR(Table67[[#This Row],[Delete? (Stage 1)]],Table67[[#This Row],[Delete? (Stage 2)]])</f>
        <v>1</v>
      </c>
      <c r="AZ544" t="s">
        <v>84</v>
      </c>
    </row>
    <row r="545" spans="1:52">
      <c r="A545">
        <f t="shared" si="35"/>
        <v>544</v>
      </c>
      <c r="B545" s="3">
        <v>46049.725972222201</v>
      </c>
      <c r="C545" s="3">
        <v>46049.729884259301</v>
      </c>
      <c r="D545" t="s">
        <v>53</v>
      </c>
      <c r="G545" t="s">
        <v>54</v>
      </c>
      <c r="H545" t="s">
        <v>55</v>
      </c>
      <c r="I545" t="s">
        <v>56</v>
      </c>
      <c r="J545" t="s">
        <v>62</v>
      </c>
      <c r="K545" t="s">
        <v>62</v>
      </c>
      <c r="L545" t="s">
        <v>58</v>
      </c>
      <c r="M545" t="s">
        <v>58</v>
      </c>
      <c r="N545">
        <v>2</v>
      </c>
      <c r="O545">
        <v>2</v>
      </c>
      <c r="P545">
        <v>4</v>
      </c>
      <c r="Q545">
        <v>1</v>
      </c>
      <c r="R545">
        <v>1</v>
      </c>
      <c r="S545">
        <v>2</v>
      </c>
      <c r="T545">
        <v>2</v>
      </c>
      <c r="U545">
        <v>1</v>
      </c>
      <c r="V545">
        <v>4</v>
      </c>
      <c r="W545">
        <v>4</v>
      </c>
      <c r="X545">
        <v>4</v>
      </c>
      <c r="Y545">
        <v>2</v>
      </c>
      <c r="Z545">
        <v>4</v>
      </c>
      <c r="AA545">
        <v>2</v>
      </c>
      <c r="AB545">
        <v>1</v>
      </c>
      <c r="AC545">
        <v>2</v>
      </c>
      <c r="AD545">
        <v>2</v>
      </c>
      <c r="AE545">
        <v>3</v>
      </c>
      <c r="AF545">
        <v>4</v>
      </c>
      <c r="AG545">
        <v>2</v>
      </c>
      <c r="AH545">
        <v>2</v>
      </c>
      <c r="AI545">
        <v>4</v>
      </c>
      <c r="AJ545">
        <v>2</v>
      </c>
      <c r="AK545" t="b">
        <f>Table67[[#This Row],[What is your age?]]&lt;&gt;"18 - 25"</f>
        <v>0</v>
      </c>
      <c r="AL545" t="b">
        <f t="shared" si="32"/>
        <v>0</v>
      </c>
      <c r="AM545" t="b">
        <f t="shared" si="33"/>
        <v>1</v>
      </c>
      <c r="AN545" t="b">
        <f t="shared" si="34"/>
        <v>0</v>
      </c>
      <c r="AO545" t="b">
        <f>OR(Table67[[#This Row],[Ineligible respondents]:[Inconsistent response on opposite question (3)]])</f>
        <v>1</v>
      </c>
      <c r="AP54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545">
        <f>Table67[[#This Row],[Extreme Response]]/21</f>
        <v>0.19047619047619047</v>
      </c>
      <c r="AR545">
        <f>_xlfn.PERCENTILE.INC(Table67[Extrem Response Ratio (ERS)],0.9)</f>
        <v>0.61904761904761907</v>
      </c>
      <c r="AS545" t="b">
        <f>Table67[[#This Row],[Extrem Response Ratio (ERS)]]&gt;=Table67[[#This Row],[Threshold of ERS]]</f>
        <v>0</v>
      </c>
      <c r="AT545">
        <f>COUNTIF(Table67[[#This Row],[The mechanism of digital assets is difficult to understand, which discourages me from exploring it (E.g, Tokenization, Blockchain)]:[If I want to try different ways to invest, I will explore digital assets.]], 3)</f>
        <v>1</v>
      </c>
      <c r="AU545">
        <f>Table67[[#This Row],[Midpoint]]/21</f>
        <v>4.7619047619047616E-2</v>
      </c>
      <c r="AV545">
        <f>_xlfn.PERCENTILE.INC(Table67[Midpoint ratio],0.9)</f>
        <v>0.5714285714285714</v>
      </c>
      <c r="AW545" t="b">
        <f>Table67[[#This Row],[Midpoint ratio]]&gt;=Table67[[#This Row],[Threshold of Midpoint ratio]]</f>
        <v>0</v>
      </c>
      <c r="AX545" t="b">
        <f>OR(Table67[[#This Row],[Extreme Response Style]],Table67[[#This Row],[Mid-point Response Style]])</f>
        <v>0</v>
      </c>
      <c r="AY545" t="b">
        <f>OR(Table67[[#This Row],[Delete? (Stage 1)]],Table67[[#This Row],[Delete? (Stage 2)]])</f>
        <v>1</v>
      </c>
      <c r="AZ545" t="s">
        <v>84</v>
      </c>
    </row>
    <row r="546" spans="1:52">
      <c r="A546">
        <f t="shared" si="35"/>
        <v>545</v>
      </c>
      <c r="B546" s="3">
        <v>46049.725972222201</v>
      </c>
      <c r="C546" s="3">
        <v>46049.7351388889</v>
      </c>
      <c r="D546" t="s">
        <v>53</v>
      </c>
      <c r="G546" t="s">
        <v>54</v>
      </c>
      <c r="H546" t="s">
        <v>55</v>
      </c>
      <c r="I546" t="s">
        <v>75</v>
      </c>
      <c r="J546" t="s">
        <v>60</v>
      </c>
      <c r="K546" t="s">
        <v>62</v>
      </c>
      <c r="L546" t="s">
        <v>58</v>
      </c>
      <c r="M546" t="s">
        <v>58</v>
      </c>
      <c r="N546">
        <v>2</v>
      </c>
      <c r="O546">
        <v>1</v>
      </c>
      <c r="P546">
        <v>4</v>
      </c>
      <c r="Q546">
        <v>3</v>
      </c>
      <c r="R546">
        <v>3</v>
      </c>
      <c r="S546">
        <v>4</v>
      </c>
      <c r="T546">
        <v>5</v>
      </c>
      <c r="U546">
        <v>5</v>
      </c>
      <c r="V546">
        <v>4</v>
      </c>
      <c r="W546">
        <v>4</v>
      </c>
      <c r="X546">
        <v>5</v>
      </c>
      <c r="Y546">
        <v>4</v>
      </c>
      <c r="Z546">
        <v>5</v>
      </c>
      <c r="AA546">
        <v>5</v>
      </c>
      <c r="AB546">
        <v>3</v>
      </c>
      <c r="AC546">
        <v>4</v>
      </c>
      <c r="AD546">
        <v>5</v>
      </c>
      <c r="AE546">
        <v>4</v>
      </c>
      <c r="AF546">
        <v>2</v>
      </c>
      <c r="AG546">
        <v>5</v>
      </c>
      <c r="AH546">
        <v>2</v>
      </c>
      <c r="AI546">
        <v>4</v>
      </c>
      <c r="AJ546">
        <v>4</v>
      </c>
      <c r="AK546" t="b">
        <f>Table67[[#This Row],[What is your age?]]&lt;&gt;"18 - 25"</f>
        <v>0</v>
      </c>
      <c r="AL546" t="b">
        <f t="shared" si="32"/>
        <v>0</v>
      </c>
      <c r="AM546" t="b">
        <f t="shared" si="33"/>
        <v>0</v>
      </c>
      <c r="AN546" t="b">
        <f t="shared" si="34"/>
        <v>0</v>
      </c>
      <c r="AO546" t="b">
        <f>OR(Table67[[#This Row],[Ineligible respondents]:[Inconsistent response on opposite question (3)]])</f>
        <v>0</v>
      </c>
      <c r="AP54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546">
        <f>Table67[[#This Row],[Extreme Response]]/21</f>
        <v>0.38095238095238093</v>
      </c>
      <c r="AR546">
        <f>_xlfn.PERCENTILE.INC(Table67[Extrem Response Ratio (ERS)],0.9)</f>
        <v>0.61904761904761907</v>
      </c>
      <c r="AS546" t="b">
        <f>Table67[[#This Row],[Extrem Response Ratio (ERS)]]&gt;=Table67[[#This Row],[Threshold of ERS]]</f>
        <v>0</v>
      </c>
      <c r="AT546">
        <f>COUNTIF(Table67[[#This Row],[The mechanism of digital assets is difficult to understand, which discourages me from exploring it (E.g, Tokenization, Blockchain)]:[If I want to try different ways to invest, I will explore digital assets.]], 3)</f>
        <v>3</v>
      </c>
      <c r="AU546">
        <f>Table67[[#This Row],[Midpoint]]/21</f>
        <v>0.14285714285714285</v>
      </c>
      <c r="AV546">
        <f>_xlfn.PERCENTILE.INC(Table67[Midpoint ratio],0.9)</f>
        <v>0.5714285714285714</v>
      </c>
      <c r="AW546" t="b">
        <f>Table67[[#This Row],[Midpoint ratio]]&gt;=Table67[[#This Row],[Threshold of Midpoint ratio]]</f>
        <v>0</v>
      </c>
      <c r="AX546" t="b">
        <f>OR(Table67[[#This Row],[Extreme Response Style]],Table67[[#This Row],[Mid-point Response Style]])</f>
        <v>0</v>
      </c>
      <c r="AY546" t="b">
        <f>OR(Table67[[#This Row],[Delete? (Stage 1)]],Table67[[#This Row],[Delete? (Stage 2)]])</f>
        <v>0</v>
      </c>
      <c r="AZ546" t="s">
        <v>84</v>
      </c>
    </row>
    <row r="547" spans="1:52">
      <c r="A547">
        <f t="shared" si="35"/>
        <v>546</v>
      </c>
      <c r="B547" s="3">
        <v>46049.726134259297</v>
      </c>
      <c r="C547" s="3">
        <v>46049.732476851903</v>
      </c>
      <c r="D547" t="s">
        <v>53</v>
      </c>
      <c r="G547" t="s">
        <v>54</v>
      </c>
      <c r="H547" t="s">
        <v>55</v>
      </c>
      <c r="I547" t="s">
        <v>71</v>
      </c>
      <c r="J547" t="s">
        <v>62</v>
      </c>
      <c r="K547" t="s">
        <v>62</v>
      </c>
      <c r="L547" t="s">
        <v>58</v>
      </c>
      <c r="M547" t="s">
        <v>58</v>
      </c>
      <c r="N547">
        <v>2</v>
      </c>
      <c r="O547">
        <v>4</v>
      </c>
      <c r="P547">
        <v>3</v>
      </c>
      <c r="Q547">
        <v>4</v>
      </c>
      <c r="R547">
        <v>3</v>
      </c>
      <c r="S547">
        <v>1</v>
      </c>
      <c r="T547">
        <v>2</v>
      </c>
      <c r="U547">
        <v>2</v>
      </c>
      <c r="V547">
        <v>4</v>
      </c>
      <c r="W547">
        <v>4</v>
      </c>
      <c r="X547">
        <v>4</v>
      </c>
      <c r="Y547">
        <v>4</v>
      </c>
      <c r="Z547">
        <v>4</v>
      </c>
      <c r="AA547">
        <v>3</v>
      </c>
      <c r="AB547">
        <v>4</v>
      </c>
      <c r="AC547">
        <v>2</v>
      </c>
      <c r="AD547">
        <v>5</v>
      </c>
      <c r="AE547">
        <v>5</v>
      </c>
      <c r="AF547">
        <v>3</v>
      </c>
      <c r="AG547">
        <v>3</v>
      </c>
      <c r="AH547">
        <v>4</v>
      </c>
      <c r="AI547">
        <v>2</v>
      </c>
      <c r="AJ547">
        <v>3</v>
      </c>
      <c r="AK547" t="b">
        <f>Table67[[#This Row],[What is your age?]]&lt;&gt;"18 - 25"</f>
        <v>0</v>
      </c>
      <c r="AL547" t="b">
        <f t="shared" si="32"/>
        <v>0</v>
      </c>
      <c r="AM547" t="b">
        <f t="shared" si="33"/>
        <v>0</v>
      </c>
      <c r="AN547" t="b">
        <f t="shared" si="34"/>
        <v>1</v>
      </c>
      <c r="AO547" t="b">
        <f>OR(Table67[[#This Row],[Ineligible respondents]:[Inconsistent response on opposite question (3)]])</f>
        <v>1</v>
      </c>
      <c r="AP54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547">
        <f>Table67[[#This Row],[Extreme Response]]/21</f>
        <v>0.14285714285714285</v>
      </c>
      <c r="AR547">
        <f>_xlfn.PERCENTILE.INC(Table67[Extrem Response Ratio (ERS)],0.9)</f>
        <v>0.61904761904761907</v>
      </c>
      <c r="AS547" t="b">
        <f>Table67[[#This Row],[Extrem Response Ratio (ERS)]]&gt;=Table67[[#This Row],[Threshold of ERS]]</f>
        <v>0</v>
      </c>
      <c r="AT547">
        <f>COUNTIF(Table67[[#This Row],[The mechanism of digital assets is difficult to understand, which discourages me from exploring it (E.g, Tokenization, Blockchain)]:[If I want to try different ways to invest, I will explore digital assets.]], 3)</f>
        <v>5</v>
      </c>
      <c r="AU547">
        <f>Table67[[#This Row],[Midpoint]]/21</f>
        <v>0.23809523809523808</v>
      </c>
      <c r="AV547">
        <f>_xlfn.PERCENTILE.INC(Table67[Midpoint ratio],0.9)</f>
        <v>0.5714285714285714</v>
      </c>
      <c r="AW547" t="b">
        <f>Table67[[#This Row],[Midpoint ratio]]&gt;=Table67[[#This Row],[Threshold of Midpoint ratio]]</f>
        <v>0</v>
      </c>
      <c r="AX547" t="b">
        <f>OR(Table67[[#This Row],[Extreme Response Style]],Table67[[#This Row],[Mid-point Response Style]])</f>
        <v>0</v>
      </c>
      <c r="AY547" t="b">
        <f>OR(Table67[[#This Row],[Delete? (Stage 1)]],Table67[[#This Row],[Delete? (Stage 2)]])</f>
        <v>1</v>
      </c>
      <c r="AZ547" t="s">
        <v>84</v>
      </c>
    </row>
    <row r="548" spans="1:52">
      <c r="A548">
        <f t="shared" si="35"/>
        <v>547</v>
      </c>
      <c r="B548" s="3">
        <v>46049.726215277798</v>
      </c>
      <c r="C548" s="3">
        <v>46049.727210648103</v>
      </c>
      <c r="D548" t="s">
        <v>53</v>
      </c>
      <c r="G548" t="s">
        <v>54</v>
      </c>
      <c r="H548" t="s">
        <v>55</v>
      </c>
      <c r="I548" t="s">
        <v>56</v>
      </c>
      <c r="J548" t="s">
        <v>60</v>
      </c>
      <c r="K548" t="s">
        <v>64</v>
      </c>
      <c r="L548" t="s">
        <v>61</v>
      </c>
      <c r="M548" t="s">
        <v>61</v>
      </c>
      <c r="N548">
        <v>4</v>
      </c>
      <c r="O548">
        <v>4</v>
      </c>
      <c r="P548">
        <v>3</v>
      </c>
      <c r="Q548">
        <v>4</v>
      </c>
      <c r="R548">
        <v>4</v>
      </c>
      <c r="S548">
        <v>3</v>
      </c>
      <c r="T548">
        <v>4</v>
      </c>
      <c r="U548">
        <v>3</v>
      </c>
      <c r="V548">
        <v>3</v>
      </c>
      <c r="W548">
        <v>4</v>
      </c>
      <c r="X548">
        <v>4</v>
      </c>
      <c r="Y548">
        <v>2</v>
      </c>
      <c r="Z548">
        <v>4</v>
      </c>
      <c r="AA548">
        <v>3</v>
      </c>
      <c r="AB548">
        <v>4</v>
      </c>
      <c r="AC548">
        <v>3</v>
      </c>
      <c r="AD548">
        <v>3</v>
      </c>
      <c r="AE548">
        <v>4</v>
      </c>
      <c r="AF548">
        <v>2</v>
      </c>
      <c r="AG548">
        <v>4</v>
      </c>
      <c r="AH548">
        <v>3</v>
      </c>
      <c r="AI548">
        <v>3</v>
      </c>
      <c r="AJ548">
        <v>4</v>
      </c>
      <c r="AK548" t="b">
        <f>Table67[[#This Row],[What is your age?]]&lt;&gt;"18 - 25"</f>
        <v>0</v>
      </c>
      <c r="AL548" t="b">
        <f t="shared" si="32"/>
        <v>0</v>
      </c>
      <c r="AM548" t="b">
        <f t="shared" si="33"/>
        <v>0</v>
      </c>
      <c r="AN548" t="b">
        <f t="shared" si="34"/>
        <v>1</v>
      </c>
      <c r="AO548" t="b">
        <f>OR(Table67[[#This Row],[Ineligible respondents]:[Inconsistent response on opposite question (3)]])</f>
        <v>1</v>
      </c>
      <c r="AP54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548">
        <f>Table67[[#This Row],[Extreme Response]]/21</f>
        <v>0</v>
      </c>
      <c r="AR548">
        <f>_xlfn.PERCENTILE.INC(Table67[Extrem Response Ratio (ERS)],0.9)</f>
        <v>0.61904761904761907</v>
      </c>
      <c r="AS548" t="b">
        <f>Table67[[#This Row],[Extrem Response Ratio (ERS)]]&gt;=Table67[[#This Row],[Threshold of ERS]]</f>
        <v>0</v>
      </c>
      <c r="AT548">
        <f>COUNTIF(Table67[[#This Row],[The mechanism of digital assets is difficult to understand, which discourages me from exploring it (E.g, Tokenization, Blockchain)]:[If I want to try different ways to invest, I will explore digital assets.]], 3)</f>
        <v>8</v>
      </c>
      <c r="AU548">
        <f>Table67[[#This Row],[Midpoint]]/21</f>
        <v>0.38095238095238093</v>
      </c>
      <c r="AV548">
        <f>_xlfn.PERCENTILE.INC(Table67[Midpoint ratio],0.9)</f>
        <v>0.5714285714285714</v>
      </c>
      <c r="AW548" t="b">
        <f>Table67[[#This Row],[Midpoint ratio]]&gt;=Table67[[#This Row],[Threshold of Midpoint ratio]]</f>
        <v>0</v>
      </c>
      <c r="AX548" t="b">
        <f>OR(Table67[[#This Row],[Extreme Response Style]],Table67[[#This Row],[Mid-point Response Style]])</f>
        <v>0</v>
      </c>
      <c r="AY548" t="b">
        <f>OR(Table67[[#This Row],[Delete? (Stage 1)]],Table67[[#This Row],[Delete? (Stage 2)]])</f>
        <v>1</v>
      </c>
      <c r="AZ548" t="s">
        <v>84</v>
      </c>
    </row>
    <row r="549" spans="1:52">
      <c r="A549">
        <f t="shared" si="35"/>
        <v>548</v>
      </c>
      <c r="B549" s="3">
        <v>46049.72625</v>
      </c>
      <c r="C549" s="3">
        <v>46049.729293981502</v>
      </c>
      <c r="D549" t="s">
        <v>53</v>
      </c>
      <c r="G549" t="s">
        <v>54</v>
      </c>
      <c r="H549" t="s">
        <v>55</v>
      </c>
      <c r="I549" t="s">
        <v>71</v>
      </c>
      <c r="J549" t="s">
        <v>64</v>
      </c>
      <c r="K549" t="s">
        <v>64</v>
      </c>
      <c r="L549" t="s">
        <v>58</v>
      </c>
      <c r="M549" t="s">
        <v>58</v>
      </c>
      <c r="N549">
        <v>4</v>
      </c>
      <c r="O549">
        <v>4</v>
      </c>
      <c r="P549">
        <v>5</v>
      </c>
      <c r="Q549">
        <v>4</v>
      </c>
      <c r="R549">
        <v>4</v>
      </c>
      <c r="S549">
        <v>5</v>
      </c>
      <c r="T549">
        <v>4</v>
      </c>
      <c r="U549">
        <v>5</v>
      </c>
      <c r="V549">
        <v>5</v>
      </c>
      <c r="W549">
        <v>4</v>
      </c>
      <c r="X549">
        <v>4</v>
      </c>
      <c r="Y549">
        <v>4</v>
      </c>
      <c r="Z549">
        <v>4</v>
      </c>
      <c r="AA549">
        <v>5</v>
      </c>
      <c r="AB549">
        <v>3</v>
      </c>
      <c r="AC549">
        <v>5</v>
      </c>
      <c r="AD549">
        <v>5</v>
      </c>
      <c r="AE549">
        <v>4</v>
      </c>
      <c r="AF549">
        <v>3</v>
      </c>
      <c r="AG549">
        <v>4</v>
      </c>
      <c r="AH549">
        <v>2</v>
      </c>
      <c r="AI549">
        <v>4</v>
      </c>
      <c r="AJ549">
        <v>3</v>
      </c>
      <c r="AK549" t="b">
        <f>Table67[[#This Row],[What is your age?]]&lt;&gt;"18 - 25"</f>
        <v>0</v>
      </c>
      <c r="AL549" t="b">
        <f t="shared" si="32"/>
        <v>0</v>
      </c>
      <c r="AM549" t="b">
        <f t="shared" si="33"/>
        <v>0</v>
      </c>
      <c r="AN549" t="b">
        <f t="shared" si="34"/>
        <v>0</v>
      </c>
      <c r="AO549" t="b">
        <f>OR(Table67[[#This Row],[Ineligible respondents]:[Inconsistent response on opposite question (3)]])</f>
        <v>0</v>
      </c>
      <c r="AP54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549">
        <f>Table67[[#This Row],[Extreme Response]]/21</f>
        <v>0.33333333333333331</v>
      </c>
      <c r="AR549">
        <f>_xlfn.PERCENTILE.INC(Table67[Extrem Response Ratio (ERS)],0.9)</f>
        <v>0.61904761904761907</v>
      </c>
      <c r="AS549" t="b">
        <f>Table67[[#This Row],[Extrem Response Ratio (ERS)]]&gt;=Table67[[#This Row],[Threshold of ERS]]</f>
        <v>0</v>
      </c>
      <c r="AT549">
        <f>COUNTIF(Table67[[#This Row],[The mechanism of digital assets is difficult to understand, which discourages me from exploring it (E.g, Tokenization, Blockchain)]:[If I want to try different ways to invest, I will explore digital assets.]], 3)</f>
        <v>2</v>
      </c>
      <c r="AU549">
        <f>Table67[[#This Row],[Midpoint]]/21</f>
        <v>9.5238095238095233E-2</v>
      </c>
      <c r="AV549">
        <f>_xlfn.PERCENTILE.INC(Table67[Midpoint ratio],0.9)</f>
        <v>0.5714285714285714</v>
      </c>
      <c r="AW549" t="b">
        <f>Table67[[#This Row],[Midpoint ratio]]&gt;=Table67[[#This Row],[Threshold of Midpoint ratio]]</f>
        <v>0</v>
      </c>
      <c r="AX549" t="b">
        <f>OR(Table67[[#This Row],[Extreme Response Style]],Table67[[#This Row],[Mid-point Response Style]])</f>
        <v>0</v>
      </c>
      <c r="AY549" t="b">
        <f>OR(Table67[[#This Row],[Delete? (Stage 1)]],Table67[[#This Row],[Delete? (Stage 2)]])</f>
        <v>0</v>
      </c>
      <c r="AZ549" t="s">
        <v>84</v>
      </c>
    </row>
    <row r="550" spans="1:52">
      <c r="A550">
        <f t="shared" si="35"/>
        <v>549</v>
      </c>
      <c r="B550" s="3">
        <v>46049.7262962963</v>
      </c>
      <c r="C550" s="3">
        <v>46049.7323958333</v>
      </c>
      <c r="D550" t="s">
        <v>53</v>
      </c>
      <c r="G550" t="s">
        <v>54</v>
      </c>
      <c r="H550" t="s">
        <v>63</v>
      </c>
      <c r="I550" t="s">
        <v>56</v>
      </c>
      <c r="J550" t="s">
        <v>67</v>
      </c>
      <c r="K550" t="s">
        <v>60</v>
      </c>
      <c r="L550" t="s">
        <v>61</v>
      </c>
      <c r="M550" t="s">
        <v>61</v>
      </c>
      <c r="N550">
        <v>2</v>
      </c>
      <c r="O550">
        <v>1</v>
      </c>
      <c r="P550">
        <v>2</v>
      </c>
      <c r="Q550">
        <v>3</v>
      </c>
      <c r="R550">
        <v>3</v>
      </c>
      <c r="S550">
        <v>3</v>
      </c>
      <c r="T550">
        <v>3</v>
      </c>
      <c r="U550">
        <v>4</v>
      </c>
      <c r="V550">
        <v>4</v>
      </c>
      <c r="W550">
        <v>5</v>
      </c>
      <c r="X550">
        <v>4</v>
      </c>
      <c r="Y550">
        <v>5</v>
      </c>
      <c r="Z550">
        <v>5</v>
      </c>
      <c r="AA550">
        <v>3</v>
      </c>
      <c r="AB550">
        <v>3</v>
      </c>
      <c r="AC550">
        <v>3</v>
      </c>
      <c r="AD550">
        <v>4</v>
      </c>
      <c r="AE550">
        <v>4</v>
      </c>
      <c r="AF550">
        <v>2</v>
      </c>
      <c r="AG550">
        <v>3</v>
      </c>
      <c r="AH550">
        <v>3</v>
      </c>
      <c r="AI550">
        <v>3</v>
      </c>
      <c r="AJ550">
        <v>4</v>
      </c>
      <c r="AK550" t="b">
        <f>Table67[[#This Row],[What is your age?]]&lt;&gt;"18 - 25"</f>
        <v>0</v>
      </c>
      <c r="AL550" t="b">
        <f t="shared" si="32"/>
        <v>0</v>
      </c>
      <c r="AM550" t="b">
        <f t="shared" si="33"/>
        <v>0</v>
      </c>
      <c r="AN550" t="b">
        <f t="shared" si="34"/>
        <v>0</v>
      </c>
      <c r="AO550" t="b">
        <f>OR(Table67[[#This Row],[Ineligible respondents]:[Inconsistent response on opposite question (3)]])</f>
        <v>0</v>
      </c>
      <c r="AP55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550">
        <f>Table67[[#This Row],[Extreme Response]]/21</f>
        <v>0.19047619047619047</v>
      </c>
      <c r="AR550">
        <f>_xlfn.PERCENTILE.INC(Table67[Extrem Response Ratio (ERS)],0.9)</f>
        <v>0.61904761904761907</v>
      </c>
      <c r="AS550" t="b">
        <f>Table67[[#This Row],[Extrem Response Ratio (ERS)]]&gt;=Table67[[#This Row],[Threshold of ERS]]</f>
        <v>0</v>
      </c>
      <c r="AT550">
        <f>COUNTIF(Table67[[#This Row],[The mechanism of digital assets is difficult to understand, which discourages me from exploring it (E.g, Tokenization, Blockchain)]:[If I want to try different ways to invest, I will explore digital assets.]], 3)</f>
        <v>9</v>
      </c>
      <c r="AU550">
        <f>Table67[[#This Row],[Midpoint]]/21</f>
        <v>0.42857142857142855</v>
      </c>
      <c r="AV550">
        <f>_xlfn.PERCENTILE.INC(Table67[Midpoint ratio],0.9)</f>
        <v>0.5714285714285714</v>
      </c>
      <c r="AW550" t="b">
        <f>Table67[[#This Row],[Midpoint ratio]]&gt;=Table67[[#This Row],[Threshold of Midpoint ratio]]</f>
        <v>0</v>
      </c>
      <c r="AX550" t="b">
        <f>OR(Table67[[#This Row],[Extreme Response Style]],Table67[[#This Row],[Mid-point Response Style]])</f>
        <v>0</v>
      </c>
      <c r="AY550" t="b">
        <f>OR(Table67[[#This Row],[Delete? (Stage 1)]],Table67[[#This Row],[Delete? (Stage 2)]])</f>
        <v>0</v>
      </c>
      <c r="AZ550" t="s">
        <v>84</v>
      </c>
    </row>
    <row r="551" spans="1:52">
      <c r="A551">
        <f t="shared" si="35"/>
        <v>550</v>
      </c>
      <c r="B551" s="3">
        <v>46049.726342592599</v>
      </c>
      <c r="C551" s="3">
        <v>46049.729606481502</v>
      </c>
      <c r="D551" t="s">
        <v>53</v>
      </c>
      <c r="G551" t="s">
        <v>54</v>
      </c>
      <c r="H551" t="s">
        <v>63</v>
      </c>
      <c r="I551" t="s">
        <v>56</v>
      </c>
      <c r="J551" t="s">
        <v>62</v>
      </c>
      <c r="K551" t="s">
        <v>62</v>
      </c>
      <c r="L551" t="s">
        <v>58</v>
      </c>
      <c r="M551" t="s">
        <v>61</v>
      </c>
      <c r="N551">
        <v>4</v>
      </c>
      <c r="O551">
        <v>5</v>
      </c>
      <c r="P551">
        <v>3</v>
      </c>
      <c r="Q551">
        <v>4</v>
      </c>
      <c r="R551">
        <v>3</v>
      </c>
      <c r="S551">
        <v>4</v>
      </c>
      <c r="T551">
        <v>2</v>
      </c>
      <c r="U551">
        <v>4</v>
      </c>
      <c r="V551">
        <v>5</v>
      </c>
      <c r="W551">
        <v>5</v>
      </c>
      <c r="X551">
        <v>5</v>
      </c>
      <c r="Y551">
        <v>5</v>
      </c>
      <c r="Z551">
        <v>4</v>
      </c>
      <c r="AA551">
        <v>3</v>
      </c>
      <c r="AB551">
        <v>3</v>
      </c>
      <c r="AC551">
        <v>3</v>
      </c>
      <c r="AD551">
        <v>4</v>
      </c>
      <c r="AE551">
        <v>4</v>
      </c>
      <c r="AF551">
        <v>3</v>
      </c>
      <c r="AG551">
        <v>3</v>
      </c>
      <c r="AH551">
        <v>3</v>
      </c>
      <c r="AI551">
        <v>3</v>
      </c>
      <c r="AJ551">
        <v>3</v>
      </c>
      <c r="AK551" t="b">
        <f>Table67[[#This Row],[What is your age?]]&lt;&gt;"18 - 25"</f>
        <v>0</v>
      </c>
      <c r="AL551" t="b">
        <f t="shared" si="32"/>
        <v>0</v>
      </c>
      <c r="AM551" t="b">
        <f t="shared" si="33"/>
        <v>0</v>
      </c>
      <c r="AN551" t="b">
        <f t="shared" si="34"/>
        <v>0</v>
      </c>
      <c r="AO551" t="b">
        <f>OR(Table67[[#This Row],[Ineligible respondents]:[Inconsistent response on opposite question (3)]])</f>
        <v>0</v>
      </c>
      <c r="AP55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551">
        <f>Table67[[#This Row],[Extreme Response]]/21</f>
        <v>0.23809523809523808</v>
      </c>
      <c r="AR551">
        <f>_xlfn.PERCENTILE.INC(Table67[Extrem Response Ratio (ERS)],0.9)</f>
        <v>0.61904761904761907</v>
      </c>
      <c r="AS551" t="b">
        <f>Table67[[#This Row],[Extrem Response Ratio (ERS)]]&gt;=Table67[[#This Row],[Threshold of ERS]]</f>
        <v>0</v>
      </c>
      <c r="AT551">
        <f>COUNTIF(Table67[[#This Row],[The mechanism of digital assets is difficult to understand, which discourages me from exploring it (E.g, Tokenization, Blockchain)]:[If I want to try different ways to invest, I will explore digital assets.]], 3)</f>
        <v>8</v>
      </c>
      <c r="AU551">
        <f>Table67[[#This Row],[Midpoint]]/21</f>
        <v>0.38095238095238093</v>
      </c>
      <c r="AV551">
        <f>_xlfn.PERCENTILE.INC(Table67[Midpoint ratio],0.9)</f>
        <v>0.5714285714285714</v>
      </c>
      <c r="AW551" t="b">
        <f>Table67[[#This Row],[Midpoint ratio]]&gt;=Table67[[#This Row],[Threshold of Midpoint ratio]]</f>
        <v>0</v>
      </c>
      <c r="AX551" t="b">
        <f>OR(Table67[[#This Row],[Extreme Response Style]],Table67[[#This Row],[Mid-point Response Style]])</f>
        <v>0</v>
      </c>
      <c r="AY551" t="b">
        <f>OR(Table67[[#This Row],[Delete? (Stage 1)]],Table67[[#This Row],[Delete? (Stage 2)]])</f>
        <v>0</v>
      </c>
      <c r="AZ551" t="s">
        <v>84</v>
      </c>
    </row>
    <row r="552" spans="1:52">
      <c r="A552">
        <f t="shared" si="35"/>
        <v>551</v>
      </c>
      <c r="B552" s="3">
        <v>46049.726354166698</v>
      </c>
      <c r="C552" s="3">
        <v>46049.729641203703</v>
      </c>
      <c r="D552" t="s">
        <v>53</v>
      </c>
      <c r="G552" t="s">
        <v>54</v>
      </c>
      <c r="H552" t="s">
        <v>63</v>
      </c>
      <c r="I552" t="s">
        <v>56</v>
      </c>
      <c r="J552" t="s">
        <v>67</v>
      </c>
      <c r="K552" t="s">
        <v>57</v>
      </c>
      <c r="L552" t="s">
        <v>58</v>
      </c>
      <c r="M552" t="s">
        <v>58</v>
      </c>
      <c r="N552">
        <v>5</v>
      </c>
      <c r="O552">
        <v>3</v>
      </c>
      <c r="P552">
        <v>4</v>
      </c>
      <c r="Q552">
        <v>5</v>
      </c>
      <c r="R552">
        <v>4</v>
      </c>
      <c r="S552">
        <v>5</v>
      </c>
      <c r="T552">
        <v>5</v>
      </c>
      <c r="U552">
        <v>5</v>
      </c>
      <c r="V552">
        <v>5</v>
      </c>
      <c r="W552">
        <v>5</v>
      </c>
      <c r="X552">
        <v>4</v>
      </c>
      <c r="Y552">
        <v>5</v>
      </c>
      <c r="Z552">
        <v>4</v>
      </c>
      <c r="AA552">
        <v>5</v>
      </c>
      <c r="AB552">
        <v>3</v>
      </c>
      <c r="AC552">
        <v>4</v>
      </c>
      <c r="AD552">
        <v>5</v>
      </c>
      <c r="AE552">
        <v>4</v>
      </c>
      <c r="AF552">
        <v>1</v>
      </c>
      <c r="AG552">
        <v>5</v>
      </c>
      <c r="AH552">
        <v>2</v>
      </c>
      <c r="AI552">
        <v>4</v>
      </c>
      <c r="AJ552">
        <v>5</v>
      </c>
      <c r="AK552" t="b">
        <f>Table67[[#This Row],[What is your age?]]&lt;&gt;"18 - 25"</f>
        <v>0</v>
      </c>
      <c r="AL552" t="b">
        <f t="shared" si="32"/>
        <v>0</v>
      </c>
      <c r="AM552" t="b">
        <f t="shared" si="33"/>
        <v>0</v>
      </c>
      <c r="AN552" t="b">
        <f t="shared" si="34"/>
        <v>0</v>
      </c>
      <c r="AO552" t="b">
        <f>OR(Table67[[#This Row],[Ineligible respondents]:[Inconsistent response on opposite question (3)]])</f>
        <v>0</v>
      </c>
      <c r="AP55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12</v>
      </c>
      <c r="AQ552">
        <f>Table67[[#This Row],[Extreme Response]]/21</f>
        <v>0.5714285714285714</v>
      </c>
      <c r="AR552">
        <f>_xlfn.PERCENTILE.INC(Table67[Extrem Response Ratio (ERS)],0.9)</f>
        <v>0.61904761904761907</v>
      </c>
      <c r="AS552" t="b">
        <f>Table67[[#This Row],[Extrem Response Ratio (ERS)]]&gt;=Table67[[#This Row],[Threshold of ERS]]</f>
        <v>0</v>
      </c>
      <c r="AT552">
        <f>COUNTIF(Table67[[#This Row],[The mechanism of digital assets is difficult to understand, which discourages me from exploring it (E.g, Tokenization, Blockchain)]:[If I want to try different ways to invest, I will explore digital assets.]], 3)</f>
        <v>2</v>
      </c>
      <c r="AU552">
        <f>Table67[[#This Row],[Midpoint]]/21</f>
        <v>9.5238095238095233E-2</v>
      </c>
      <c r="AV552">
        <f>_xlfn.PERCENTILE.INC(Table67[Midpoint ratio],0.9)</f>
        <v>0.5714285714285714</v>
      </c>
      <c r="AW552" t="b">
        <f>Table67[[#This Row],[Midpoint ratio]]&gt;=Table67[[#This Row],[Threshold of Midpoint ratio]]</f>
        <v>0</v>
      </c>
      <c r="AX552" t="b">
        <f>OR(Table67[[#This Row],[Extreme Response Style]],Table67[[#This Row],[Mid-point Response Style]])</f>
        <v>0</v>
      </c>
      <c r="AY552" t="b">
        <f>OR(Table67[[#This Row],[Delete? (Stage 1)]],Table67[[#This Row],[Delete? (Stage 2)]])</f>
        <v>0</v>
      </c>
      <c r="AZ552" t="s">
        <v>84</v>
      </c>
    </row>
    <row r="553" spans="1:52">
      <c r="A553">
        <f t="shared" si="35"/>
        <v>552</v>
      </c>
      <c r="B553" s="3">
        <v>46049.726365740702</v>
      </c>
      <c r="C553" s="3">
        <v>46049.727962962999</v>
      </c>
      <c r="D553" t="s">
        <v>53</v>
      </c>
      <c r="G553" t="s">
        <v>54</v>
      </c>
      <c r="H553" t="s">
        <v>55</v>
      </c>
      <c r="I553" t="s">
        <v>56</v>
      </c>
      <c r="J553" t="s">
        <v>62</v>
      </c>
      <c r="K553" t="s">
        <v>57</v>
      </c>
      <c r="L553" t="s">
        <v>58</v>
      </c>
      <c r="M553" t="s">
        <v>58</v>
      </c>
      <c r="N553">
        <v>2</v>
      </c>
      <c r="O553">
        <v>4</v>
      </c>
      <c r="P553">
        <v>5</v>
      </c>
      <c r="Q553">
        <v>2</v>
      </c>
      <c r="R553">
        <v>3</v>
      </c>
      <c r="S553">
        <v>3</v>
      </c>
      <c r="T553">
        <v>4</v>
      </c>
      <c r="U553">
        <v>5</v>
      </c>
      <c r="V553">
        <v>4</v>
      </c>
      <c r="W553">
        <v>1</v>
      </c>
      <c r="X553">
        <v>5</v>
      </c>
      <c r="Y553">
        <v>4</v>
      </c>
      <c r="Z553">
        <v>3</v>
      </c>
      <c r="AA553">
        <v>4</v>
      </c>
      <c r="AB553">
        <v>2</v>
      </c>
      <c r="AC553">
        <v>4</v>
      </c>
      <c r="AD553">
        <v>5</v>
      </c>
      <c r="AE553">
        <v>4</v>
      </c>
      <c r="AF553">
        <v>3</v>
      </c>
      <c r="AG553">
        <v>3</v>
      </c>
      <c r="AH553">
        <v>4</v>
      </c>
      <c r="AI553">
        <v>2</v>
      </c>
      <c r="AJ553">
        <v>3</v>
      </c>
      <c r="AK553" t="b">
        <f>Table67[[#This Row],[What is your age?]]&lt;&gt;"18 - 25"</f>
        <v>0</v>
      </c>
      <c r="AL553" t="b">
        <f t="shared" si="32"/>
        <v>0</v>
      </c>
      <c r="AM553" t="b">
        <f t="shared" si="33"/>
        <v>0</v>
      </c>
      <c r="AN553" t="b">
        <f t="shared" si="34"/>
        <v>1</v>
      </c>
      <c r="AO553" t="b">
        <f>OR(Table67[[#This Row],[Ineligible respondents]:[Inconsistent response on opposite question (3)]])</f>
        <v>1</v>
      </c>
      <c r="AP55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553">
        <f>Table67[[#This Row],[Extreme Response]]/21</f>
        <v>0.23809523809523808</v>
      </c>
      <c r="AR553">
        <f>_xlfn.PERCENTILE.INC(Table67[Extrem Response Ratio (ERS)],0.9)</f>
        <v>0.61904761904761907</v>
      </c>
      <c r="AS553" t="b">
        <f>Table67[[#This Row],[Extrem Response Ratio (ERS)]]&gt;=Table67[[#This Row],[Threshold of ERS]]</f>
        <v>0</v>
      </c>
      <c r="AT553">
        <f>COUNTIF(Table67[[#This Row],[The mechanism of digital assets is difficult to understand, which discourages me from exploring it (E.g, Tokenization, Blockchain)]:[If I want to try different ways to invest, I will explore digital assets.]], 3)</f>
        <v>5</v>
      </c>
      <c r="AU553">
        <f>Table67[[#This Row],[Midpoint]]/21</f>
        <v>0.23809523809523808</v>
      </c>
      <c r="AV553">
        <f>_xlfn.PERCENTILE.INC(Table67[Midpoint ratio],0.9)</f>
        <v>0.5714285714285714</v>
      </c>
      <c r="AW553" t="b">
        <f>Table67[[#This Row],[Midpoint ratio]]&gt;=Table67[[#This Row],[Threshold of Midpoint ratio]]</f>
        <v>0</v>
      </c>
      <c r="AX553" t="b">
        <f>OR(Table67[[#This Row],[Extreme Response Style]],Table67[[#This Row],[Mid-point Response Style]])</f>
        <v>0</v>
      </c>
      <c r="AY553" t="b">
        <f>OR(Table67[[#This Row],[Delete? (Stage 1)]],Table67[[#This Row],[Delete? (Stage 2)]])</f>
        <v>1</v>
      </c>
      <c r="AZ553" t="s">
        <v>84</v>
      </c>
    </row>
    <row r="554" spans="1:52">
      <c r="A554">
        <f t="shared" si="35"/>
        <v>553</v>
      </c>
      <c r="B554" s="3">
        <v>46049.726539351803</v>
      </c>
      <c r="C554" s="3">
        <v>46049.736793981501</v>
      </c>
      <c r="D554" t="s">
        <v>53</v>
      </c>
      <c r="G554" t="s">
        <v>54</v>
      </c>
      <c r="H554" t="s">
        <v>63</v>
      </c>
      <c r="I554" t="s">
        <v>71</v>
      </c>
      <c r="J554" t="s">
        <v>62</v>
      </c>
      <c r="K554" t="s">
        <v>62</v>
      </c>
      <c r="L554" t="s">
        <v>58</v>
      </c>
      <c r="M554" t="s">
        <v>61</v>
      </c>
      <c r="N554">
        <v>1</v>
      </c>
      <c r="O554">
        <v>1</v>
      </c>
      <c r="P554">
        <v>4</v>
      </c>
      <c r="Q554">
        <v>4</v>
      </c>
      <c r="R554">
        <v>1</v>
      </c>
      <c r="S554">
        <v>1</v>
      </c>
      <c r="T554">
        <v>1</v>
      </c>
      <c r="U554">
        <v>3</v>
      </c>
      <c r="V554">
        <v>5</v>
      </c>
      <c r="W554">
        <v>5</v>
      </c>
      <c r="X554">
        <v>4</v>
      </c>
      <c r="Y554">
        <v>5</v>
      </c>
      <c r="Z554">
        <v>5</v>
      </c>
      <c r="AA554">
        <v>1</v>
      </c>
      <c r="AB554">
        <v>2</v>
      </c>
      <c r="AC554">
        <v>1</v>
      </c>
      <c r="AD554">
        <v>5</v>
      </c>
      <c r="AE554">
        <v>5</v>
      </c>
      <c r="AF554">
        <v>5</v>
      </c>
      <c r="AG554">
        <v>1</v>
      </c>
      <c r="AH554">
        <v>5</v>
      </c>
      <c r="AI554">
        <v>1</v>
      </c>
      <c r="AJ554">
        <v>1</v>
      </c>
      <c r="AK554" t="b">
        <f>Table67[[#This Row],[What is your age?]]&lt;&gt;"18 - 25"</f>
        <v>0</v>
      </c>
      <c r="AL554" t="b">
        <f t="shared" si="32"/>
        <v>0</v>
      </c>
      <c r="AM554" t="b">
        <f t="shared" si="33"/>
        <v>0</v>
      </c>
      <c r="AN554" t="b">
        <f t="shared" si="34"/>
        <v>0</v>
      </c>
      <c r="AO554" t="b">
        <f>OR(Table67[[#This Row],[Ineligible respondents]:[Inconsistent response on opposite question (3)]])</f>
        <v>0</v>
      </c>
      <c r="AP55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16</v>
      </c>
      <c r="AQ554">
        <f>Table67[[#This Row],[Extreme Response]]/21</f>
        <v>0.76190476190476186</v>
      </c>
      <c r="AR554">
        <f>_xlfn.PERCENTILE.INC(Table67[Extrem Response Ratio (ERS)],0.9)</f>
        <v>0.61904761904761907</v>
      </c>
      <c r="AS554" t="b">
        <f>Table67[[#This Row],[Extrem Response Ratio (ERS)]]&gt;=Table67[[#This Row],[Threshold of ERS]]</f>
        <v>1</v>
      </c>
      <c r="AT554">
        <f>COUNTIF(Table67[[#This Row],[The mechanism of digital assets is difficult to understand, which discourages me from exploring it (E.g, Tokenization, Blockchain)]:[If I want to try different ways to invest, I will explore digital assets.]], 3)</f>
        <v>1</v>
      </c>
      <c r="AU554">
        <f>Table67[[#This Row],[Midpoint]]/21</f>
        <v>4.7619047619047616E-2</v>
      </c>
      <c r="AV554">
        <f>_xlfn.PERCENTILE.INC(Table67[Midpoint ratio],0.9)</f>
        <v>0.5714285714285714</v>
      </c>
      <c r="AW554" t="b">
        <f>Table67[[#This Row],[Midpoint ratio]]&gt;=Table67[[#This Row],[Threshold of Midpoint ratio]]</f>
        <v>0</v>
      </c>
      <c r="AX554" t="b">
        <f>OR(Table67[[#This Row],[Extreme Response Style]],Table67[[#This Row],[Mid-point Response Style]])</f>
        <v>1</v>
      </c>
      <c r="AY554" t="b">
        <f>OR(Table67[[#This Row],[Delete? (Stage 1)]],Table67[[#This Row],[Delete? (Stage 2)]])</f>
        <v>1</v>
      </c>
      <c r="AZ554" t="s">
        <v>84</v>
      </c>
    </row>
    <row r="555" spans="1:52">
      <c r="A555">
        <f t="shared" si="35"/>
        <v>554</v>
      </c>
      <c r="B555" s="3">
        <v>46049.7266550926</v>
      </c>
      <c r="C555" s="3">
        <v>46049.728368055599</v>
      </c>
      <c r="D555" t="s">
        <v>53</v>
      </c>
      <c r="G555" t="s">
        <v>54</v>
      </c>
      <c r="H555" t="s">
        <v>63</v>
      </c>
      <c r="I555" t="s">
        <v>71</v>
      </c>
      <c r="J555" t="s">
        <v>62</v>
      </c>
      <c r="K555" t="s">
        <v>57</v>
      </c>
      <c r="L555" t="s">
        <v>58</v>
      </c>
      <c r="M555" t="s">
        <v>58</v>
      </c>
      <c r="N555">
        <v>3</v>
      </c>
      <c r="O555">
        <v>4</v>
      </c>
      <c r="P555">
        <v>3</v>
      </c>
      <c r="Q555">
        <v>3</v>
      </c>
      <c r="R555">
        <v>3</v>
      </c>
      <c r="S555">
        <v>3</v>
      </c>
      <c r="T555">
        <v>2</v>
      </c>
      <c r="U555">
        <v>2</v>
      </c>
      <c r="V555">
        <v>1</v>
      </c>
      <c r="W555">
        <v>3</v>
      </c>
      <c r="X555">
        <v>3</v>
      </c>
      <c r="Y555">
        <v>3</v>
      </c>
      <c r="Z555">
        <v>3</v>
      </c>
      <c r="AA555">
        <v>3</v>
      </c>
      <c r="AB555">
        <v>3</v>
      </c>
      <c r="AC555">
        <v>3</v>
      </c>
      <c r="AD555">
        <v>5</v>
      </c>
      <c r="AE555">
        <v>3</v>
      </c>
      <c r="AF555">
        <v>2</v>
      </c>
      <c r="AG555">
        <v>3</v>
      </c>
      <c r="AH555">
        <v>2</v>
      </c>
      <c r="AI555">
        <v>4</v>
      </c>
      <c r="AJ555">
        <v>4</v>
      </c>
      <c r="AK555" t="b">
        <f>Table67[[#This Row],[What is your age?]]&lt;&gt;"18 - 25"</f>
        <v>0</v>
      </c>
      <c r="AL555" t="b">
        <f t="shared" si="32"/>
        <v>0</v>
      </c>
      <c r="AM555" t="b">
        <f t="shared" si="33"/>
        <v>0</v>
      </c>
      <c r="AN555" t="b">
        <f t="shared" si="34"/>
        <v>1</v>
      </c>
      <c r="AO555" t="b">
        <f>OR(Table67[[#This Row],[Ineligible respondents]:[Inconsistent response on opposite question (3)]])</f>
        <v>1</v>
      </c>
      <c r="AP55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555">
        <f>Table67[[#This Row],[Extreme Response]]/21</f>
        <v>9.5238095238095233E-2</v>
      </c>
      <c r="AR555">
        <f>_xlfn.PERCENTILE.INC(Table67[Extrem Response Ratio (ERS)],0.9)</f>
        <v>0.61904761904761907</v>
      </c>
      <c r="AS555" t="b">
        <f>Table67[[#This Row],[Extrem Response Ratio (ERS)]]&gt;=Table67[[#This Row],[Threshold of ERS]]</f>
        <v>0</v>
      </c>
      <c r="AT555">
        <f>COUNTIF(Table67[[#This Row],[The mechanism of digital assets is difficult to understand, which discourages me from exploring it (E.g, Tokenization, Blockchain)]:[If I want to try different ways to invest, I will explore digital assets.]], 3)</f>
        <v>14</v>
      </c>
      <c r="AU555">
        <f>Table67[[#This Row],[Midpoint]]/21</f>
        <v>0.66666666666666663</v>
      </c>
      <c r="AV555">
        <f>_xlfn.PERCENTILE.INC(Table67[Midpoint ratio],0.9)</f>
        <v>0.5714285714285714</v>
      </c>
      <c r="AW555" t="b">
        <f>Table67[[#This Row],[Midpoint ratio]]&gt;=Table67[[#This Row],[Threshold of Midpoint ratio]]</f>
        <v>1</v>
      </c>
      <c r="AX555" t="b">
        <f>OR(Table67[[#This Row],[Extreme Response Style]],Table67[[#This Row],[Mid-point Response Style]])</f>
        <v>1</v>
      </c>
      <c r="AY555" t="b">
        <f>OR(Table67[[#This Row],[Delete? (Stage 1)]],Table67[[#This Row],[Delete? (Stage 2)]])</f>
        <v>1</v>
      </c>
      <c r="AZ555" t="s">
        <v>84</v>
      </c>
    </row>
    <row r="556" spans="1:52">
      <c r="A556">
        <f t="shared" si="35"/>
        <v>555</v>
      </c>
      <c r="B556" s="3">
        <v>46049.7266550926</v>
      </c>
      <c r="C556" s="3">
        <v>46049.729513888902</v>
      </c>
      <c r="D556" t="s">
        <v>53</v>
      </c>
      <c r="G556" t="s">
        <v>54</v>
      </c>
      <c r="H556" t="s">
        <v>55</v>
      </c>
      <c r="I556" t="s">
        <v>56</v>
      </c>
      <c r="J556" t="s">
        <v>62</v>
      </c>
      <c r="K556" t="s">
        <v>62</v>
      </c>
      <c r="L556" t="s">
        <v>58</v>
      </c>
      <c r="M556" t="s">
        <v>58</v>
      </c>
      <c r="N556">
        <v>4</v>
      </c>
      <c r="O556">
        <v>4</v>
      </c>
      <c r="P556">
        <v>3</v>
      </c>
      <c r="Q556">
        <v>4</v>
      </c>
      <c r="R556">
        <v>4</v>
      </c>
      <c r="S556">
        <v>3</v>
      </c>
      <c r="T556">
        <v>3</v>
      </c>
      <c r="U556">
        <v>4</v>
      </c>
      <c r="V556">
        <v>4</v>
      </c>
      <c r="W556">
        <v>5</v>
      </c>
      <c r="X556">
        <v>2</v>
      </c>
      <c r="Y556">
        <v>4</v>
      </c>
      <c r="Z556">
        <v>4</v>
      </c>
      <c r="AA556">
        <v>4</v>
      </c>
      <c r="AB556">
        <v>4</v>
      </c>
      <c r="AC556">
        <v>2</v>
      </c>
      <c r="AD556">
        <v>4</v>
      </c>
      <c r="AE556">
        <v>2</v>
      </c>
      <c r="AF556">
        <v>4</v>
      </c>
      <c r="AG556">
        <v>2</v>
      </c>
      <c r="AH556">
        <v>4</v>
      </c>
      <c r="AI556">
        <v>2</v>
      </c>
      <c r="AJ556">
        <v>2</v>
      </c>
      <c r="AK556" t="b">
        <f>Table67[[#This Row],[What is your age?]]&lt;&gt;"18 - 25"</f>
        <v>0</v>
      </c>
      <c r="AL556" t="b">
        <f t="shared" si="32"/>
        <v>0</v>
      </c>
      <c r="AM556" t="b">
        <f t="shared" si="33"/>
        <v>0</v>
      </c>
      <c r="AN556" t="b">
        <f t="shared" si="34"/>
        <v>0</v>
      </c>
      <c r="AO556" t="b">
        <f>OR(Table67[[#This Row],[Ineligible respondents]:[Inconsistent response on opposite question (3)]])</f>
        <v>0</v>
      </c>
      <c r="AP55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556">
        <f>Table67[[#This Row],[Extreme Response]]/21</f>
        <v>4.7619047619047616E-2</v>
      </c>
      <c r="AR556">
        <f>_xlfn.PERCENTILE.INC(Table67[Extrem Response Ratio (ERS)],0.9)</f>
        <v>0.61904761904761907</v>
      </c>
      <c r="AS556" t="b">
        <f>Table67[[#This Row],[Extrem Response Ratio (ERS)]]&gt;=Table67[[#This Row],[Threshold of ERS]]</f>
        <v>0</v>
      </c>
      <c r="AT556">
        <f>COUNTIF(Table67[[#This Row],[The mechanism of digital assets is difficult to understand, which discourages me from exploring it (E.g, Tokenization, Blockchain)]:[If I want to try different ways to invest, I will explore digital assets.]], 3)</f>
        <v>3</v>
      </c>
      <c r="AU556">
        <f>Table67[[#This Row],[Midpoint]]/21</f>
        <v>0.14285714285714285</v>
      </c>
      <c r="AV556">
        <f>_xlfn.PERCENTILE.INC(Table67[Midpoint ratio],0.9)</f>
        <v>0.5714285714285714</v>
      </c>
      <c r="AW556" t="b">
        <f>Table67[[#This Row],[Midpoint ratio]]&gt;=Table67[[#This Row],[Threshold of Midpoint ratio]]</f>
        <v>0</v>
      </c>
      <c r="AX556" t="b">
        <f>OR(Table67[[#This Row],[Extreme Response Style]],Table67[[#This Row],[Mid-point Response Style]])</f>
        <v>0</v>
      </c>
      <c r="AY556" t="b">
        <f>OR(Table67[[#This Row],[Delete? (Stage 1)]],Table67[[#This Row],[Delete? (Stage 2)]])</f>
        <v>0</v>
      </c>
      <c r="AZ556" t="s">
        <v>84</v>
      </c>
    </row>
    <row r="557" spans="1:52">
      <c r="A557">
        <f t="shared" si="35"/>
        <v>556</v>
      </c>
      <c r="B557" s="3">
        <v>46049.7270601852</v>
      </c>
      <c r="C557" s="3">
        <v>46049.735428240703</v>
      </c>
      <c r="D557" t="s">
        <v>53</v>
      </c>
      <c r="G557" t="s">
        <v>54</v>
      </c>
      <c r="H557" t="s">
        <v>63</v>
      </c>
      <c r="I557" t="s">
        <v>56</v>
      </c>
      <c r="J557" t="s">
        <v>62</v>
      </c>
      <c r="K557" t="s">
        <v>57</v>
      </c>
      <c r="L557" t="s">
        <v>58</v>
      </c>
      <c r="M557" t="s">
        <v>58</v>
      </c>
      <c r="N557">
        <v>2</v>
      </c>
      <c r="O557">
        <v>2</v>
      </c>
      <c r="P557">
        <v>3</v>
      </c>
      <c r="Q557">
        <v>4</v>
      </c>
      <c r="R557">
        <v>3</v>
      </c>
      <c r="S557">
        <v>2</v>
      </c>
      <c r="T557">
        <v>1</v>
      </c>
      <c r="U557">
        <v>1</v>
      </c>
      <c r="V557">
        <v>2</v>
      </c>
      <c r="W557">
        <v>3</v>
      </c>
      <c r="X557">
        <v>2</v>
      </c>
      <c r="Y557">
        <v>2</v>
      </c>
      <c r="Z557">
        <v>2</v>
      </c>
      <c r="AA557">
        <v>2</v>
      </c>
      <c r="AB557">
        <v>2</v>
      </c>
      <c r="AC557">
        <v>1</v>
      </c>
      <c r="AD557">
        <v>2</v>
      </c>
      <c r="AE557">
        <v>2</v>
      </c>
      <c r="AF557">
        <v>4</v>
      </c>
      <c r="AG557">
        <v>2</v>
      </c>
      <c r="AH557">
        <v>3</v>
      </c>
      <c r="AI557">
        <v>3</v>
      </c>
      <c r="AJ557">
        <v>2</v>
      </c>
      <c r="AK557" t="b">
        <f>Table67[[#This Row],[What is your age?]]&lt;&gt;"18 - 25"</f>
        <v>0</v>
      </c>
      <c r="AL557" t="b">
        <f t="shared" si="32"/>
        <v>0</v>
      </c>
      <c r="AM557" t="b">
        <f t="shared" si="33"/>
        <v>0</v>
      </c>
      <c r="AN557" t="b">
        <f t="shared" si="34"/>
        <v>1</v>
      </c>
      <c r="AO557" t="b">
        <f>OR(Table67[[#This Row],[Ineligible respondents]:[Inconsistent response on opposite question (3)]])</f>
        <v>1</v>
      </c>
      <c r="AP55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557">
        <f>Table67[[#This Row],[Extreme Response]]/21</f>
        <v>0.14285714285714285</v>
      </c>
      <c r="AR557">
        <f>_xlfn.PERCENTILE.INC(Table67[Extrem Response Ratio (ERS)],0.9)</f>
        <v>0.61904761904761907</v>
      </c>
      <c r="AS557" t="b">
        <f>Table67[[#This Row],[Extrem Response Ratio (ERS)]]&gt;=Table67[[#This Row],[Threshold of ERS]]</f>
        <v>0</v>
      </c>
      <c r="AT557">
        <f>COUNTIF(Table67[[#This Row],[The mechanism of digital assets is difficult to understand, which discourages me from exploring it (E.g, Tokenization, Blockchain)]:[If I want to try different ways to invest, I will explore digital assets.]], 3)</f>
        <v>4</v>
      </c>
      <c r="AU557">
        <f>Table67[[#This Row],[Midpoint]]/21</f>
        <v>0.19047619047619047</v>
      </c>
      <c r="AV557">
        <f>_xlfn.PERCENTILE.INC(Table67[Midpoint ratio],0.9)</f>
        <v>0.5714285714285714</v>
      </c>
      <c r="AW557" t="b">
        <f>Table67[[#This Row],[Midpoint ratio]]&gt;=Table67[[#This Row],[Threshold of Midpoint ratio]]</f>
        <v>0</v>
      </c>
      <c r="AX557" t="b">
        <f>OR(Table67[[#This Row],[Extreme Response Style]],Table67[[#This Row],[Mid-point Response Style]])</f>
        <v>0</v>
      </c>
      <c r="AY557" t="b">
        <f>OR(Table67[[#This Row],[Delete? (Stage 1)]],Table67[[#This Row],[Delete? (Stage 2)]])</f>
        <v>1</v>
      </c>
      <c r="AZ557" t="s">
        <v>84</v>
      </c>
    </row>
    <row r="558" spans="1:52">
      <c r="A558">
        <f t="shared" si="35"/>
        <v>557</v>
      </c>
      <c r="B558" s="3">
        <v>46049.727141203701</v>
      </c>
      <c r="C558" s="3">
        <v>46049.731076388904</v>
      </c>
      <c r="D558" t="s">
        <v>53</v>
      </c>
      <c r="G558" t="s">
        <v>54</v>
      </c>
      <c r="H558" t="s">
        <v>55</v>
      </c>
      <c r="I558" t="s">
        <v>75</v>
      </c>
      <c r="J558" t="s">
        <v>62</v>
      </c>
      <c r="K558" t="s">
        <v>62</v>
      </c>
      <c r="L558" t="s">
        <v>58</v>
      </c>
      <c r="M558" t="s">
        <v>58</v>
      </c>
      <c r="N558">
        <v>3</v>
      </c>
      <c r="O558">
        <v>2</v>
      </c>
      <c r="P558">
        <v>4</v>
      </c>
      <c r="Q558">
        <v>3</v>
      </c>
      <c r="R558">
        <v>2</v>
      </c>
      <c r="S558">
        <v>2</v>
      </c>
      <c r="T558">
        <v>2</v>
      </c>
      <c r="U558">
        <v>4</v>
      </c>
      <c r="V558">
        <v>5</v>
      </c>
      <c r="W558">
        <v>2</v>
      </c>
      <c r="X558">
        <v>4</v>
      </c>
      <c r="Y558">
        <v>4</v>
      </c>
      <c r="Z558">
        <v>5</v>
      </c>
      <c r="AA558">
        <v>3</v>
      </c>
      <c r="AB558">
        <v>2</v>
      </c>
      <c r="AC558">
        <v>4</v>
      </c>
      <c r="AD558">
        <v>5</v>
      </c>
      <c r="AE558">
        <v>3</v>
      </c>
      <c r="AF558">
        <v>4</v>
      </c>
      <c r="AG558">
        <v>4</v>
      </c>
      <c r="AH558">
        <v>4</v>
      </c>
      <c r="AI558">
        <v>2</v>
      </c>
      <c r="AJ558">
        <v>2</v>
      </c>
      <c r="AK558" t="b">
        <f>Table67[[#This Row],[What is your age?]]&lt;&gt;"18 - 25"</f>
        <v>0</v>
      </c>
      <c r="AL558" t="b">
        <f t="shared" si="32"/>
        <v>0</v>
      </c>
      <c r="AM558" t="b">
        <f t="shared" si="33"/>
        <v>1</v>
      </c>
      <c r="AN558" t="b">
        <f t="shared" si="34"/>
        <v>0</v>
      </c>
      <c r="AO558" t="b">
        <f>OR(Table67[[#This Row],[Ineligible respondents]:[Inconsistent response on opposite question (3)]])</f>
        <v>1</v>
      </c>
      <c r="AP55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558">
        <f>Table67[[#This Row],[Extreme Response]]/21</f>
        <v>0.14285714285714285</v>
      </c>
      <c r="AR558">
        <f>_xlfn.PERCENTILE.INC(Table67[Extrem Response Ratio (ERS)],0.9)</f>
        <v>0.61904761904761907</v>
      </c>
      <c r="AS558" t="b">
        <f>Table67[[#This Row],[Extrem Response Ratio (ERS)]]&gt;=Table67[[#This Row],[Threshold of ERS]]</f>
        <v>0</v>
      </c>
      <c r="AT558">
        <f>COUNTIF(Table67[[#This Row],[The mechanism of digital assets is difficult to understand, which discourages me from exploring it (E.g, Tokenization, Blockchain)]:[If I want to try different ways to invest, I will explore digital assets.]], 3)</f>
        <v>4</v>
      </c>
      <c r="AU558">
        <f>Table67[[#This Row],[Midpoint]]/21</f>
        <v>0.19047619047619047</v>
      </c>
      <c r="AV558">
        <f>_xlfn.PERCENTILE.INC(Table67[Midpoint ratio],0.9)</f>
        <v>0.5714285714285714</v>
      </c>
      <c r="AW558" t="b">
        <f>Table67[[#This Row],[Midpoint ratio]]&gt;=Table67[[#This Row],[Threshold of Midpoint ratio]]</f>
        <v>0</v>
      </c>
      <c r="AX558" t="b">
        <f>OR(Table67[[#This Row],[Extreme Response Style]],Table67[[#This Row],[Mid-point Response Style]])</f>
        <v>0</v>
      </c>
      <c r="AY558" t="b">
        <f>OR(Table67[[#This Row],[Delete? (Stage 1)]],Table67[[#This Row],[Delete? (Stage 2)]])</f>
        <v>1</v>
      </c>
      <c r="AZ558" t="s">
        <v>84</v>
      </c>
    </row>
    <row r="559" spans="1:52">
      <c r="A559">
        <f t="shared" si="35"/>
        <v>558</v>
      </c>
      <c r="B559" s="3">
        <v>46049.727199074099</v>
      </c>
      <c r="C559" s="3">
        <v>46049.730497685203</v>
      </c>
      <c r="D559" t="s">
        <v>53</v>
      </c>
      <c r="G559" t="s">
        <v>54</v>
      </c>
      <c r="H559" t="s">
        <v>55</v>
      </c>
      <c r="I559" t="s">
        <v>83</v>
      </c>
      <c r="J559" t="s">
        <v>57</v>
      </c>
      <c r="K559" t="s">
        <v>57</v>
      </c>
      <c r="L559" t="s">
        <v>58</v>
      </c>
      <c r="M559" t="s">
        <v>58</v>
      </c>
      <c r="N559">
        <v>5</v>
      </c>
      <c r="O559">
        <v>1</v>
      </c>
      <c r="P559">
        <v>5</v>
      </c>
      <c r="Q559">
        <v>5</v>
      </c>
      <c r="R559">
        <v>5</v>
      </c>
      <c r="S559">
        <v>5</v>
      </c>
      <c r="T559">
        <v>5</v>
      </c>
      <c r="U559">
        <v>5</v>
      </c>
      <c r="V559">
        <v>5</v>
      </c>
      <c r="W559">
        <v>5</v>
      </c>
      <c r="X559">
        <v>5</v>
      </c>
      <c r="Y559">
        <v>5</v>
      </c>
      <c r="Z559">
        <v>5</v>
      </c>
      <c r="AA559">
        <v>5</v>
      </c>
      <c r="AB559">
        <v>5</v>
      </c>
      <c r="AC559">
        <v>5</v>
      </c>
      <c r="AD559">
        <v>5</v>
      </c>
      <c r="AE559">
        <v>5</v>
      </c>
      <c r="AF559">
        <v>1</v>
      </c>
      <c r="AG559">
        <v>5</v>
      </c>
      <c r="AH559">
        <v>1</v>
      </c>
      <c r="AI559">
        <v>5</v>
      </c>
      <c r="AJ559">
        <v>5</v>
      </c>
      <c r="AK559" t="b">
        <f>Table67[[#This Row],[What is your age?]]&lt;&gt;"18 - 25"</f>
        <v>0</v>
      </c>
      <c r="AL559" t="b">
        <f t="shared" si="32"/>
        <v>0</v>
      </c>
      <c r="AM559" t="b">
        <f t="shared" si="33"/>
        <v>0</v>
      </c>
      <c r="AN559" t="b">
        <f t="shared" si="34"/>
        <v>0</v>
      </c>
      <c r="AO559" t="b">
        <f>OR(Table67[[#This Row],[Ineligible respondents]:[Inconsistent response on opposite question (3)]])</f>
        <v>0</v>
      </c>
      <c r="AP55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21</v>
      </c>
      <c r="AQ559">
        <f>Table67[[#This Row],[Extreme Response]]/21</f>
        <v>1</v>
      </c>
      <c r="AR559">
        <f>_xlfn.PERCENTILE.INC(Table67[Extrem Response Ratio (ERS)],0.9)</f>
        <v>0.61904761904761907</v>
      </c>
      <c r="AS559" t="b">
        <f>Table67[[#This Row],[Extrem Response Ratio (ERS)]]&gt;=Table67[[#This Row],[Threshold of ERS]]</f>
        <v>1</v>
      </c>
      <c r="AT559">
        <f>COUNTIF(Table67[[#This Row],[The mechanism of digital assets is difficult to understand, which discourages me from exploring it (E.g, Tokenization, Blockchain)]:[If I want to try different ways to invest, I will explore digital assets.]], 3)</f>
        <v>0</v>
      </c>
      <c r="AU559">
        <f>Table67[[#This Row],[Midpoint]]/21</f>
        <v>0</v>
      </c>
      <c r="AV559">
        <f>_xlfn.PERCENTILE.INC(Table67[Midpoint ratio],0.9)</f>
        <v>0.5714285714285714</v>
      </c>
      <c r="AW559" t="b">
        <f>Table67[[#This Row],[Midpoint ratio]]&gt;=Table67[[#This Row],[Threshold of Midpoint ratio]]</f>
        <v>0</v>
      </c>
      <c r="AX559" t="b">
        <f>OR(Table67[[#This Row],[Extreme Response Style]],Table67[[#This Row],[Mid-point Response Style]])</f>
        <v>1</v>
      </c>
      <c r="AY559" t="b">
        <f>OR(Table67[[#This Row],[Delete? (Stage 1)]],Table67[[#This Row],[Delete? (Stage 2)]])</f>
        <v>1</v>
      </c>
      <c r="AZ559" t="s">
        <v>84</v>
      </c>
    </row>
    <row r="560" spans="1:52">
      <c r="A560">
        <f t="shared" si="35"/>
        <v>559</v>
      </c>
      <c r="B560" s="3">
        <v>46049.727210648103</v>
      </c>
      <c r="C560" s="3">
        <v>46049.730706018498</v>
      </c>
      <c r="D560" t="s">
        <v>53</v>
      </c>
      <c r="G560" t="s">
        <v>54</v>
      </c>
      <c r="H560" t="s">
        <v>55</v>
      </c>
      <c r="I560" t="s">
        <v>56</v>
      </c>
      <c r="J560" t="s">
        <v>62</v>
      </c>
      <c r="K560" t="s">
        <v>57</v>
      </c>
      <c r="L560" t="s">
        <v>58</v>
      </c>
      <c r="M560" t="s">
        <v>58</v>
      </c>
      <c r="N560">
        <v>4</v>
      </c>
      <c r="O560">
        <v>4</v>
      </c>
      <c r="P560">
        <v>5</v>
      </c>
      <c r="Q560">
        <v>3</v>
      </c>
      <c r="R560">
        <v>5</v>
      </c>
      <c r="S560">
        <v>4</v>
      </c>
      <c r="T560">
        <v>5</v>
      </c>
      <c r="U560">
        <v>4</v>
      </c>
      <c r="V560">
        <v>5</v>
      </c>
      <c r="W560">
        <v>4</v>
      </c>
      <c r="X560">
        <v>4</v>
      </c>
      <c r="Y560">
        <v>5</v>
      </c>
      <c r="Z560">
        <v>5</v>
      </c>
      <c r="AA560">
        <v>4</v>
      </c>
      <c r="AB560">
        <v>4</v>
      </c>
      <c r="AC560">
        <v>3</v>
      </c>
      <c r="AD560">
        <v>4</v>
      </c>
      <c r="AE560">
        <v>5</v>
      </c>
      <c r="AF560">
        <v>2</v>
      </c>
      <c r="AG560">
        <v>4</v>
      </c>
      <c r="AH560">
        <v>2</v>
      </c>
      <c r="AI560">
        <v>4</v>
      </c>
      <c r="AJ560">
        <v>4</v>
      </c>
      <c r="AK560" t="b">
        <f>Table67[[#This Row],[What is your age?]]&lt;&gt;"18 - 25"</f>
        <v>0</v>
      </c>
      <c r="AL560" t="b">
        <f t="shared" si="32"/>
        <v>0</v>
      </c>
      <c r="AM560" t="b">
        <f t="shared" si="33"/>
        <v>0</v>
      </c>
      <c r="AN560" t="b">
        <f t="shared" si="34"/>
        <v>0</v>
      </c>
      <c r="AO560" t="b">
        <f>OR(Table67[[#This Row],[Ineligible respondents]:[Inconsistent response on opposite question (3)]])</f>
        <v>0</v>
      </c>
      <c r="AP56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560">
        <f>Table67[[#This Row],[Extreme Response]]/21</f>
        <v>0.33333333333333331</v>
      </c>
      <c r="AR560">
        <f>_xlfn.PERCENTILE.INC(Table67[Extrem Response Ratio (ERS)],0.9)</f>
        <v>0.61904761904761907</v>
      </c>
      <c r="AS560" t="b">
        <f>Table67[[#This Row],[Extrem Response Ratio (ERS)]]&gt;=Table67[[#This Row],[Threshold of ERS]]</f>
        <v>0</v>
      </c>
      <c r="AT560">
        <f>COUNTIF(Table67[[#This Row],[The mechanism of digital assets is difficult to understand, which discourages me from exploring it (E.g, Tokenization, Blockchain)]:[If I want to try different ways to invest, I will explore digital assets.]], 3)</f>
        <v>2</v>
      </c>
      <c r="AU560">
        <f>Table67[[#This Row],[Midpoint]]/21</f>
        <v>9.5238095238095233E-2</v>
      </c>
      <c r="AV560">
        <f>_xlfn.PERCENTILE.INC(Table67[Midpoint ratio],0.9)</f>
        <v>0.5714285714285714</v>
      </c>
      <c r="AW560" t="b">
        <f>Table67[[#This Row],[Midpoint ratio]]&gt;=Table67[[#This Row],[Threshold of Midpoint ratio]]</f>
        <v>0</v>
      </c>
      <c r="AX560" t="b">
        <f>OR(Table67[[#This Row],[Extreme Response Style]],Table67[[#This Row],[Mid-point Response Style]])</f>
        <v>0</v>
      </c>
      <c r="AY560" t="b">
        <f>OR(Table67[[#This Row],[Delete? (Stage 1)]],Table67[[#This Row],[Delete? (Stage 2)]])</f>
        <v>0</v>
      </c>
      <c r="AZ560" t="s">
        <v>84</v>
      </c>
    </row>
    <row r="561" spans="1:52">
      <c r="A561">
        <f t="shared" si="35"/>
        <v>560</v>
      </c>
      <c r="B561" s="3">
        <v>46049.727303240703</v>
      </c>
      <c r="C561" s="3">
        <v>46049.730972222198</v>
      </c>
      <c r="D561" t="s">
        <v>53</v>
      </c>
      <c r="G561" t="s">
        <v>54</v>
      </c>
      <c r="H561" t="s">
        <v>55</v>
      </c>
      <c r="I561" t="s">
        <v>56</v>
      </c>
      <c r="J561" t="s">
        <v>62</v>
      </c>
      <c r="K561" t="s">
        <v>62</v>
      </c>
      <c r="L561" t="s">
        <v>58</v>
      </c>
      <c r="M561" t="s">
        <v>58</v>
      </c>
      <c r="N561">
        <v>3</v>
      </c>
      <c r="O561">
        <v>2</v>
      </c>
      <c r="P561">
        <v>4</v>
      </c>
      <c r="Q561">
        <v>4</v>
      </c>
      <c r="R561">
        <v>3</v>
      </c>
      <c r="S561">
        <v>3</v>
      </c>
      <c r="T561">
        <v>4</v>
      </c>
      <c r="U561">
        <v>4</v>
      </c>
      <c r="V561">
        <v>4</v>
      </c>
      <c r="W561">
        <v>3</v>
      </c>
      <c r="X561">
        <v>5</v>
      </c>
      <c r="Y561">
        <v>3</v>
      </c>
      <c r="Z561">
        <v>5</v>
      </c>
      <c r="AA561">
        <v>4</v>
      </c>
      <c r="AB561">
        <v>4</v>
      </c>
      <c r="AC561">
        <v>4</v>
      </c>
      <c r="AD561">
        <v>5</v>
      </c>
      <c r="AE561">
        <v>4</v>
      </c>
      <c r="AF561">
        <v>4</v>
      </c>
      <c r="AG561">
        <v>3</v>
      </c>
      <c r="AH561">
        <v>3</v>
      </c>
      <c r="AI561">
        <v>3</v>
      </c>
      <c r="AJ561">
        <v>2</v>
      </c>
      <c r="AK561" t="b">
        <f>Table67[[#This Row],[What is your age?]]&lt;&gt;"18 - 25"</f>
        <v>0</v>
      </c>
      <c r="AL561" t="b">
        <f t="shared" si="32"/>
        <v>0</v>
      </c>
      <c r="AM561" t="b">
        <f t="shared" si="33"/>
        <v>0</v>
      </c>
      <c r="AN561" t="b">
        <f t="shared" si="34"/>
        <v>0</v>
      </c>
      <c r="AO561" t="b">
        <f>OR(Table67[[#This Row],[Ineligible respondents]:[Inconsistent response on opposite question (3)]])</f>
        <v>0</v>
      </c>
      <c r="AP56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561">
        <f>Table67[[#This Row],[Extreme Response]]/21</f>
        <v>0.14285714285714285</v>
      </c>
      <c r="AR561">
        <f>_xlfn.PERCENTILE.INC(Table67[Extrem Response Ratio (ERS)],0.9)</f>
        <v>0.61904761904761907</v>
      </c>
      <c r="AS561" t="b">
        <f>Table67[[#This Row],[Extrem Response Ratio (ERS)]]&gt;=Table67[[#This Row],[Threshold of ERS]]</f>
        <v>0</v>
      </c>
      <c r="AT561">
        <f>COUNTIF(Table67[[#This Row],[The mechanism of digital assets is difficult to understand, which discourages me from exploring it (E.g, Tokenization, Blockchain)]:[If I want to try different ways to invest, I will explore digital assets.]], 3)</f>
        <v>7</v>
      </c>
      <c r="AU561">
        <f>Table67[[#This Row],[Midpoint]]/21</f>
        <v>0.33333333333333331</v>
      </c>
      <c r="AV561">
        <f>_xlfn.PERCENTILE.INC(Table67[Midpoint ratio],0.9)</f>
        <v>0.5714285714285714</v>
      </c>
      <c r="AW561" t="b">
        <f>Table67[[#This Row],[Midpoint ratio]]&gt;=Table67[[#This Row],[Threshold of Midpoint ratio]]</f>
        <v>0</v>
      </c>
      <c r="AX561" t="b">
        <f>OR(Table67[[#This Row],[Extreme Response Style]],Table67[[#This Row],[Mid-point Response Style]])</f>
        <v>0</v>
      </c>
      <c r="AY561" t="b">
        <f>OR(Table67[[#This Row],[Delete? (Stage 1)]],Table67[[#This Row],[Delete? (Stage 2)]])</f>
        <v>0</v>
      </c>
      <c r="AZ561" t="s">
        <v>84</v>
      </c>
    </row>
    <row r="562" spans="1:52">
      <c r="A562">
        <f t="shared" si="35"/>
        <v>561</v>
      </c>
      <c r="B562" s="3">
        <v>46049.7273726852</v>
      </c>
      <c r="C562" s="3">
        <v>46049.733171296299</v>
      </c>
      <c r="D562" t="s">
        <v>53</v>
      </c>
      <c r="G562" t="s">
        <v>54</v>
      </c>
      <c r="H562" t="s">
        <v>63</v>
      </c>
      <c r="I562" t="s">
        <v>56</v>
      </c>
      <c r="J562" t="s">
        <v>60</v>
      </c>
      <c r="K562" t="s">
        <v>57</v>
      </c>
      <c r="L562" t="s">
        <v>58</v>
      </c>
      <c r="M562" t="s">
        <v>58</v>
      </c>
      <c r="N562">
        <v>3</v>
      </c>
      <c r="O562">
        <v>1</v>
      </c>
      <c r="P562">
        <v>5</v>
      </c>
      <c r="Q562">
        <v>3</v>
      </c>
      <c r="R562">
        <v>1</v>
      </c>
      <c r="S562">
        <v>3</v>
      </c>
      <c r="T562">
        <v>1</v>
      </c>
      <c r="U562">
        <v>4</v>
      </c>
      <c r="V562">
        <v>5</v>
      </c>
      <c r="W562">
        <v>5</v>
      </c>
      <c r="X562">
        <v>5</v>
      </c>
      <c r="Y562">
        <v>5</v>
      </c>
      <c r="Z562">
        <v>5</v>
      </c>
      <c r="AA562">
        <v>5</v>
      </c>
      <c r="AB562">
        <v>3</v>
      </c>
      <c r="AC562">
        <v>4</v>
      </c>
      <c r="AD562">
        <v>5</v>
      </c>
      <c r="AE562">
        <v>3</v>
      </c>
      <c r="AF562">
        <v>3</v>
      </c>
      <c r="AG562">
        <v>1</v>
      </c>
      <c r="AH562">
        <v>3</v>
      </c>
      <c r="AI562">
        <v>3</v>
      </c>
      <c r="AJ562">
        <v>3</v>
      </c>
      <c r="AK562" t="b">
        <f>Table67[[#This Row],[What is your age?]]&lt;&gt;"18 - 25"</f>
        <v>0</v>
      </c>
      <c r="AL562" t="b">
        <f t="shared" si="32"/>
        <v>0</v>
      </c>
      <c r="AM562" t="b">
        <f t="shared" si="33"/>
        <v>0</v>
      </c>
      <c r="AN562" t="b">
        <f t="shared" si="34"/>
        <v>1</v>
      </c>
      <c r="AO562" t="b">
        <f>OR(Table67[[#This Row],[Ineligible respondents]:[Inconsistent response on opposite question (3)]])</f>
        <v>1</v>
      </c>
      <c r="AP56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12</v>
      </c>
      <c r="AQ562">
        <f>Table67[[#This Row],[Extreme Response]]/21</f>
        <v>0.5714285714285714</v>
      </c>
      <c r="AR562">
        <f>_xlfn.PERCENTILE.INC(Table67[Extrem Response Ratio (ERS)],0.9)</f>
        <v>0.61904761904761907</v>
      </c>
      <c r="AS562" t="b">
        <f>Table67[[#This Row],[Extrem Response Ratio (ERS)]]&gt;=Table67[[#This Row],[Threshold of ERS]]</f>
        <v>0</v>
      </c>
      <c r="AT562">
        <f>COUNTIF(Table67[[#This Row],[The mechanism of digital assets is difficult to understand, which discourages me from exploring it (E.g, Tokenization, Blockchain)]:[If I want to try different ways to invest, I will explore digital assets.]], 3)</f>
        <v>7</v>
      </c>
      <c r="AU562">
        <f>Table67[[#This Row],[Midpoint]]/21</f>
        <v>0.33333333333333331</v>
      </c>
      <c r="AV562">
        <f>_xlfn.PERCENTILE.INC(Table67[Midpoint ratio],0.9)</f>
        <v>0.5714285714285714</v>
      </c>
      <c r="AW562" t="b">
        <f>Table67[[#This Row],[Midpoint ratio]]&gt;=Table67[[#This Row],[Threshold of Midpoint ratio]]</f>
        <v>0</v>
      </c>
      <c r="AX562" t="b">
        <f>OR(Table67[[#This Row],[Extreme Response Style]],Table67[[#This Row],[Mid-point Response Style]])</f>
        <v>0</v>
      </c>
      <c r="AY562" t="b">
        <f>OR(Table67[[#This Row],[Delete? (Stage 1)]],Table67[[#This Row],[Delete? (Stage 2)]])</f>
        <v>1</v>
      </c>
      <c r="AZ562" t="s">
        <v>84</v>
      </c>
    </row>
    <row r="563" spans="1:52">
      <c r="A563">
        <f t="shared" si="35"/>
        <v>562</v>
      </c>
      <c r="B563" s="3">
        <v>46049.727407407401</v>
      </c>
      <c r="C563" s="3">
        <v>46049.728611111103</v>
      </c>
      <c r="D563" t="s">
        <v>53</v>
      </c>
      <c r="G563" t="s">
        <v>54</v>
      </c>
      <c r="H563" t="s">
        <v>63</v>
      </c>
      <c r="I563" t="s">
        <v>56</v>
      </c>
      <c r="J563" t="s">
        <v>68</v>
      </c>
      <c r="K563" t="s">
        <v>65</v>
      </c>
      <c r="L563" t="s">
        <v>58</v>
      </c>
      <c r="M563" t="s">
        <v>58</v>
      </c>
      <c r="N563">
        <v>3</v>
      </c>
      <c r="O563">
        <v>3</v>
      </c>
      <c r="P563">
        <v>4</v>
      </c>
      <c r="Q563">
        <v>3</v>
      </c>
      <c r="R563">
        <v>4</v>
      </c>
      <c r="S563">
        <v>4</v>
      </c>
      <c r="T563">
        <v>3</v>
      </c>
      <c r="U563">
        <v>4</v>
      </c>
      <c r="V563">
        <v>3</v>
      </c>
      <c r="W563">
        <v>4</v>
      </c>
      <c r="X563">
        <v>4</v>
      </c>
      <c r="Y563">
        <v>3</v>
      </c>
      <c r="Z563">
        <v>4</v>
      </c>
      <c r="AA563">
        <v>3</v>
      </c>
      <c r="AB563">
        <v>3</v>
      </c>
      <c r="AC563">
        <v>4</v>
      </c>
      <c r="AD563">
        <v>4</v>
      </c>
      <c r="AE563">
        <v>3</v>
      </c>
      <c r="AF563">
        <v>4</v>
      </c>
      <c r="AG563">
        <v>3</v>
      </c>
      <c r="AH563">
        <v>3</v>
      </c>
      <c r="AI563">
        <v>3</v>
      </c>
      <c r="AJ563">
        <v>2</v>
      </c>
      <c r="AK563" t="b">
        <f>Table67[[#This Row],[What is your age?]]&lt;&gt;"18 - 25"</f>
        <v>0</v>
      </c>
      <c r="AL563" t="b">
        <f t="shared" si="32"/>
        <v>0</v>
      </c>
      <c r="AM563" t="b">
        <f t="shared" si="33"/>
        <v>0</v>
      </c>
      <c r="AN563" t="b">
        <f t="shared" si="34"/>
        <v>0</v>
      </c>
      <c r="AO563" t="b">
        <f>OR(Table67[[#This Row],[Ineligible respondents]:[Inconsistent response on opposite question (3)]])</f>
        <v>0</v>
      </c>
      <c r="AP56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563">
        <f>Table67[[#This Row],[Extreme Response]]/21</f>
        <v>0</v>
      </c>
      <c r="AR563">
        <f>_xlfn.PERCENTILE.INC(Table67[Extrem Response Ratio (ERS)],0.9)</f>
        <v>0.61904761904761907</v>
      </c>
      <c r="AS563" t="b">
        <f>Table67[[#This Row],[Extrem Response Ratio (ERS)]]&gt;=Table67[[#This Row],[Threshold of ERS]]</f>
        <v>0</v>
      </c>
      <c r="AT563">
        <f>COUNTIF(Table67[[#This Row],[The mechanism of digital assets is difficult to understand, which discourages me from exploring it (E.g, Tokenization, Blockchain)]:[If I want to try different ways to invest, I will explore digital assets.]], 3)</f>
        <v>11</v>
      </c>
      <c r="AU563">
        <f>Table67[[#This Row],[Midpoint]]/21</f>
        <v>0.52380952380952384</v>
      </c>
      <c r="AV563">
        <f>_xlfn.PERCENTILE.INC(Table67[Midpoint ratio],0.9)</f>
        <v>0.5714285714285714</v>
      </c>
      <c r="AW563" t="b">
        <f>Table67[[#This Row],[Midpoint ratio]]&gt;=Table67[[#This Row],[Threshold of Midpoint ratio]]</f>
        <v>0</v>
      </c>
      <c r="AX563" t="b">
        <f>OR(Table67[[#This Row],[Extreme Response Style]],Table67[[#This Row],[Mid-point Response Style]])</f>
        <v>0</v>
      </c>
      <c r="AY563" t="b">
        <f>OR(Table67[[#This Row],[Delete? (Stage 1)]],Table67[[#This Row],[Delete? (Stage 2)]])</f>
        <v>0</v>
      </c>
      <c r="AZ563" t="s">
        <v>84</v>
      </c>
    </row>
    <row r="564" spans="1:52">
      <c r="A564">
        <f t="shared" si="35"/>
        <v>563</v>
      </c>
      <c r="B564" s="3">
        <v>46049.727430555598</v>
      </c>
      <c r="C564" s="3">
        <v>46049.733553240701</v>
      </c>
      <c r="D564" t="s">
        <v>53</v>
      </c>
      <c r="G564" t="s">
        <v>54</v>
      </c>
      <c r="H564" t="s">
        <v>63</v>
      </c>
      <c r="I564" t="s">
        <v>75</v>
      </c>
      <c r="J564" t="s">
        <v>57</v>
      </c>
      <c r="K564" t="s">
        <v>57</v>
      </c>
      <c r="L564" t="s">
        <v>58</v>
      </c>
      <c r="M564" t="s">
        <v>61</v>
      </c>
      <c r="N564">
        <v>4</v>
      </c>
      <c r="O564">
        <v>1</v>
      </c>
      <c r="P564">
        <v>5</v>
      </c>
      <c r="Q564">
        <v>5</v>
      </c>
      <c r="R564">
        <v>3</v>
      </c>
      <c r="S564">
        <v>4</v>
      </c>
      <c r="T564">
        <v>3</v>
      </c>
      <c r="U564">
        <v>4</v>
      </c>
      <c r="V564">
        <v>5</v>
      </c>
      <c r="W564">
        <v>5</v>
      </c>
      <c r="X564">
        <v>4</v>
      </c>
      <c r="Y564">
        <v>5</v>
      </c>
      <c r="Z564">
        <v>5</v>
      </c>
      <c r="AA564">
        <v>4</v>
      </c>
      <c r="AB564">
        <v>2</v>
      </c>
      <c r="AC564">
        <v>3</v>
      </c>
      <c r="AD564">
        <v>5</v>
      </c>
      <c r="AE564">
        <v>4</v>
      </c>
      <c r="AF564">
        <v>2</v>
      </c>
      <c r="AG564">
        <v>4</v>
      </c>
      <c r="AH564">
        <v>2</v>
      </c>
      <c r="AI564">
        <v>4</v>
      </c>
      <c r="AJ564">
        <v>4</v>
      </c>
      <c r="AK564" t="b">
        <f>Table67[[#This Row],[What is your age?]]&lt;&gt;"18 - 25"</f>
        <v>0</v>
      </c>
      <c r="AL564" t="b">
        <f t="shared" si="32"/>
        <v>0</v>
      </c>
      <c r="AM564" t="b">
        <f t="shared" si="33"/>
        <v>0</v>
      </c>
      <c r="AN564" t="b">
        <f t="shared" si="34"/>
        <v>0</v>
      </c>
      <c r="AO564" t="b">
        <f>OR(Table67[[#This Row],[Ineligible respondents]:[Inconsistent response on opposite question (3)]])</f>
        <v>0</v>
      </c>
      <c r="AP56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564">
        <f>Table67[[#This Row],[Extreme Response]]/21</f>
        <v>0.38095238095238093</v>
      </c>
      <c r="AR564">
        <f>_xlfn.PERCENTILE.INC(Table67[Extrem Response Ratio (ERS)],0.9)</f>
        <v>0.61904761904761907</v>
      </c>
      <c r="AS564" t="b">
        <f>Table67[[#This Row],[Extrem Response Ratio (ERS)]]&gt;=Table67[[#This Row],[Threshold of ERS]]</f>
        <v>0</v>
      </c>
      <c r="AT564">
        <f>COUNTIF(Table67[[#This Row],[The mechanism of digital assets is difficult to understand, which discourages me from exploring it (E.g, Tokenization, Blockchain)]:[If I want to try different ways to invest, I will explore digital assets.]], 3)</f>
        <v>3</v>
      </c>
      <c r="AU564">
        <f>Table67[[#This Row],[Midpoint]]/21</f>
        <v>0.14285714285714285</v>
      </c>
      <c r="AV564">
        <f>_xlfn.PERCENTILE.INC(Table67[Midpoint ratio],0.9)</f>
        <v>0.5714285714285714</v>
      </c>
      <c r="AW564" t="b">
        <f>Table67[[#This Row],[Midpoint ratio]]&gt;=Table67[[#This Row],[Threshold of Midpoint ratio]]</f>
        <v>0</v>
      </c>
      <c r="AX564" t="b">
        <f>OR(Table67[[#This Row],[Extreme Response Style]],Table67[[#This Row],[Mid-point Response Style]])</f>
        <v>0</v>
      </c>
      <c r="AY564" t="b">
        <f>OR(Table67[[#This Row],[Delete? (Stage 1)]],Table67[[#This Row],[Delete? (Stage 2)]])</f>
        <v>0</v>
      </c>
      <c r="AZ564" t="s">
        <v>84</v>
      </c>
    </row>
    <row r="565" spans="1:52">
      <c r="A565">
        <f t="shared" si="35"/>
        <v>564</v>
      </c>
      <c r="B565" s="3">
        <v>46049.727442129602</v>
      </c>
      <c r="C565" s="3">
        <v>46049.731759259303</v>
      </c>
      <c r="D565" t="s">
        <v>53</v>
      </c>
      <c r="G565" t="s">
        <v>54</v>
      </c>
      <c r="H565" t="s">
        <v>63</v>
      </c>
      <c r="I565" t="s">
        <v>56</v>
      </c>
      <c r="J565" t="s">
        <v>60</v>
      </c>
      <c r="K565" t="s">
        <v>62</v>
      </c>
      <c r="L565" t="s">
        <v>61</v>
      </c>
      <c r="M565" t="s">
        <v>61</v>
      </c>
      <c r="N565">
        <v>4</v>
      </c>
      <c r="O565">
        <v>2</v>
      </c>
      <c r="P565">
        <v>3</v>
      </c>
      <c r="Q565">
        <v>4</v>
      </c>
      <c r="R565">
        <v>2</v>
      </c>
      <c r="S565">
        <v>3</v>
      </c>
      <c r="T565">
        <v>5</v>
      </c>
      <c r="U565">
        <v>4</v>
      </c>
      <c r="V565">
        <v>3</v>
      </c>
      <c r="W565">
        <v>3</v>
      </c>
      <c r="X565">
        <v>3</v>
      </c>
      <c r="Y565">
        <v>4</v>
      </c>
      <c r="Z565">
        <v>4</v>
      </c>
      <c r="AA565">
        <v>4</v>
      </c>
      <c r="AB565">
        <v>4</v>
      </c>
      <c r="AC565">
        <v>4</v>
      </c>
      <c r="AD565">
        <v>3</v>
      </c>
      <c r="AE565">
        <v>4</v>
      </c>
      <c r="AF565">
        <v>5</v>
      </c>
      <c r="AG565">
        <v>3</v>
      </c>
      <c r="AH565">
        <v>3</v>
      </c>
      <c r="AI565">
        <v>3</v>
      </c>
      <c r="AJ565">
        <v>1</v>
      </c>
      <c r="AK565" t="b">
        <f>Table67[[#This Row],[What is your age?]]&lt;&gt;"18 - 25"</f>
        <v>0</v>
      </c>
      <c r="AL565" t="b">
        <f t="shared" si="32"/>
        <v>0</v>
      </c>
      <c r="AM565" t="b">
        <f t="shared" si="33"/>
        <v>0</v>
      </c>
      <c r="AN565" t="b">
        <f t="shared" si="34"/>
        <v>0</v>
      </c>
      <c r="AO565" t="b">
        <f>OR(Table67[[#This Row],[Ineligible respondents]:[Inconsistent response on opposite question (3)]])</f>
        <v>0</v>
      </c>
      <c r="AP56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565">
        <f>Table67[[#This Row],[Extreme Response]]/21</f>
        <v>9.5238095238095233E-2</v>
      </c>
      <c r="AR565">
        <f>_xlfn.PERCENTILE.INC(Table67[Extrem Response Ratio (ERS)],0.9)</f>
        <v>0.61904761904761907</v>
      </c>
      <c r="AS565" t="b">
        <f>Table67[[#This Row],[Extrem Response Ratio (ERS)]]&gt;=Table67[[#This Row],[Threshold of ERS]]</f>
        <v>0</v>
      </c>
      <c r="AT565">
        <f>COUNTIF(Table67[[#This Row],[The mechanism of digital assets is difficult to understand, which discourages me from exploring it (E.g, Tokenization, Blockchain)]:[If I want to try different ways to invest, I will explore digital assets.]], 3)</f>
        <v>8</v>
      </c>
      <c r="AU565">
        <f>Table67[[#This Row],[Midpoint]]/21</f>
        <v>0.38095238095238093</v>
      </c>
      <c r="AV565">
        <f>_xlfn.PERCENTILE.INC(Table67[Midpoint ratio],0.9)</f>
        <v>0.5714285714285714</v>
      </c>
      <c r="AW565" t="b">
        <f>Table67[[#This Row],[Midpoint ratio]]&gt;=Table67[[#This Row],[Threshold of Midpoint ratio]]</f>
        <v>0</v>
      </c>
      <c r="AX565" t="b">
        <f>OR(Table67[[#This Row],[Extreme Response Style]],Table67[[#This Row],[Mid-point Response Style]])</f>
        <v>0</v>
      </c>
      <c r="AY565" t="b">
        <f>OR(Table67[[#This Row],[Delete? (Stage 1)]],Table67[[#This Row],[Delete? (Stage 2)]])</f>
        <v>0</v>
      </c>
      <c r="AZ565" t="s">
        <v>84</v>
      </c>
    </row>
    <row r="566" spans="1:52">
      <c r="A566">
        <f t="shared" si="35"/>
        <v>565</v>
      </c>
      <c r="B566" s="3">
        <v>46049.727476851796</v>
      </c>
      <c r="C566" s="3">
        <v>46049.729224536997</v>
      </c>
      <c r="D566" t="s">
        <v>53</v>
      </c>
      <c r="G566" t="s">
        <v>54</v>
      </c>
      <c r="H566" t="s">
        <v>55</v>
      </c>
      <c r="I566" t="s">
        <v>56</v>
      </c>
      <c r="J566" t="s">
        <v>62</v>
      </c>
      <c r="K566" t="s">
        <v>57</v>
      </c>
      <c r="L566" t="s">
        <v>58</v>
      </c>
      <c r="M566" t="s">
        <v>58</v>
      </c>
      <c r="N566">
        <v>2</v>
      </c>
      <c r="O566">
        <v>3</v>
      </c>
      <c r="P566">
        <v>2</v>
      </c>
      <c r="Q566">
        <v>2</v>
      </c>
      <c r="R566">
        <v>3</v>
      </c>
      <c r="S566">
        <v>3</v>
      </c>
      <c r="T566">
        <v>2</v>
      </c>
      <c r="U566">
        <v>3</v>
      </c>
      <c r="V566">
        <v>3</v>
      </c>
      <c r="W566">
        <v>4</v>
      </c>
      <c r="X566">
        <v>2</v>
      </c>
      <c r="Y566">
        <v>4</v>
      </c>
      <c r="Z566">
        <v>3</v>
      </c>
      <c r="AA566">
        <v>3</v>
      </c>
      <c r="AB566">
        <v>2</v>
      </c>
      <c r="AC566">
        <v>4</v>
      </c>
      <c r="AD566">
        <v>3</v>
      </c>
      <c r="AE566">
        <v>3</v>
      </c>
      <c r="AF566">
        <v>3</v>
      </c>
      <c r="AG566">
        <v>3</v>
      </c>
      <c r="AH566">
        <v>4</v>
      </c>
      <c r="AI566">
        <v>2</v>
      </c>
      <c r="AJ566">
        <v>3</v>
      </c>
      <c r="AK566" t="b">
        <f>Table67[[#This Row],[What is your age?]]&lt;&gt;"18 - 25"</f>
        <v>0</v>
      </c>
      <c r="AL566" t="b">
        <f t="shared" si="32"/>
        <v>0</v>
      </c>
      <c r="AM566" t="b">
        <f t="shared" si="33"/>
        <v>0</v>
      </c>
      <c r="AN566" t="b">
        <f t="shared" si="34"/>
        <v>1</v>
      </c>
      <c r="AO566" t="b">
        <f>OR(Table67[[#This Row],[Ineligible respondents]:[Inconsistent response on opposite question (3)]])</f>
        <v>1</v>
      </c>
      <c r="AP56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566">
        <f>Table67[[#This Row],[Extreme Response]]/21</f>
        <v>0</v>
      </c>
      <c r="AR566">
        <f>_xlfn.PERCENTILE.INC(Table67[Extrem Response Ratio (ERS)],0.9)</f>
        <v>0.61904761904761907</v>
      </c>
      <c r="AS566" t="b">
        <f>Table67[[#This Row],[Extrem Response Ratio (ERS)]]&gt;=Table67[[#This Row],[Threshold of ERS]]</f>
        <v>0</v>
      </c>
      <c r="AT566">
        <f>COUNTIF(Table67[[#This Row],[The mechanism of digital assets is difficult to understand, which discourages me from exploring it (E.g, Tokenization, Blockchain)]:[If I want to try different ways to invest, I will explore digital assets.]], 3)</f>
        <v>11</v>
      </c>
      <c r="AU566">
        <f>Table67[[#This Row],[Midpoint]]/21</f>
        <v>0.52380952380952384</v>
      </c>
      <c r="AV566">
        <f>_xlfn.PERCENTILE.INC(Table67[Midpoint ratio],0.9)</f>
        <v>0.5714285714285714</v>
      </c>
      <c r="AW566" t="b">
        <f>Table67[[#This Row],[Midpoint ratio]]&gt;=Table67[[#This Row],[Threshold of Midpoint ratio]]</f>
        <v>0</v>
      </c>
      <c r="AX566" t="b">
        <f>OR(Table67[[#This Row],[Extreme Response Style]],Table67[[#This Row],[Mid-point Response Style]])</f>
        <v>0</v>
      </c>
      <c r="AY566" t="b">
        <f>OR(Table67[[#This Row],[Delete? (Stage 1)]],Table67[[#This Row],[Delete? (Stage 2)]])</f>
        <v>1</v>
      </c>
      <c r="AZ566" t="s">
        <v>84</v>
      </c>
    </row>
    <row r="567" spans="1:52">
      <c r="A567">
        <f t="shared" si="35"/>
        <v>566</v>
      </c>
      <c r="B567" s="3">
        <v>46049.727650462999</v>
      </c>
      <c r="C567" s="3">
        <v>46049.734351851803</v>
      </c>
      <c r="D567" t="s">
        <v>53</v>
      </c>
      <c r="G567" t="s">
        <v>54</v>
      </c>
      <c r="H567" t="s">
        <v>63</v>
      </c>
      <c r="I567" t="s">
        <v>56</v>
      </c>
      <c r="J567" t="s">
        <v>62</v>
      </c>
      <c r="K567" t="s">
        <v>62</v>
      </c>
      <c r="L567" t="s">
        <v>58</v>
      </c>
      <c r="M567" t="s">
        <v>61</v>
      </c>
      <c r="N567">
        <v>3</v>
      </c>
      <c r="O567">
        <v>3</v>
      </c>
      <c r="P567">
        <v>4</v>
      </c>
      <c r="Q567">
        <v>4</v>
      </c>
      <c r="R567">
        <v>4</v>
      </c>
      <c r="S567">
        <v>4</v>
      </c>
      <c r="T567">
        <v>1</v>
      </c>
      <c r="U567">
        <v>3</v>
      </c>
      <c r="V567">
        <v>5</v>
      </c>
      <c r="W567">
        <v>5</v>
      </c>
      <c r="X567">
        <v>3</v>
      </c>
      <c r="Y567">
        <v>4</v>
      </c>
      <c r="Z567">
        <v>5</v>
      </c>
      <c r="AA567">
        <v>5</v>
      </c>
      <c r="AB567">
        <v>3</v>
      </c>
      <c r="AC567">
        <v>2</v>
      </c>
      <c r="AD567">
        <v>4</v>
      </c>
      <c r="AE567">
        <v>4</v>
      </c>
      <c r="AF567">
        <v>5</v>
      </c>
      <c r="AG567">
        <v>3</v>
      </c>
      <c r="AH567">
        <v>5</v>
      </c>
      <c r="AI567">
        <v>1</v>
      </c>
      <c r="AJ567">
        <v>1</v>
      </c>
      <c r="AK567" t="b">
        <f>Table67[[#This Row],[What is your age?]]&lt;&gt;"18 - 25"</f>
        <v>0</v>
      </c>
      <c r="AL567" t="b">
        <f t="shared" si="32"/>
        <v>0</v>
      </c>
      <c r="AM567" t="b">
        <f t="shared" si="33"/>
        <v>0</v>
      </c>
      <c r="AN567" t="b">
        <f t="shared" si="34"/>
        <v>1</v>
      </c>
      <c r="AO567" t="b">
        <f>OR(Table67[[#This Row],[Ineligible respondents]:[Inconsistent response on opposite question (3)]])</f>
        <v>1</v>
      </c>
      <c r="AP56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567">
        <f>Table67[[#This Row],[Extreme Response]]/21</f>
        <v>0.33333333333333331</v>
      </c>
      <c r="AR567">
        <f>_xlfn.PERCENTILE.INC(Table67[Extrem Response Ratio (ERS)],0.9)</f>
        <v>0.61904761904761907</v>
      </c>
      <c r="AS567" t="b">
        <f>Table67[[#This Row],[Extrem Response Ratio (ERS)]]&gt;=Table67[[#This Row],[Threshold of ERS]]</f>
        <v>0</v>
      </c>
      <c r="AT567">
        <f>COUNTIF(Table67[[#This Row],[The mechanism of digital assets is difficult to understand, which discourages me from exploring it (E.g, Tokenization, Blockchain)]:[If I want to try different ways to invest, I will explore digital assets.]], 3)</f>
        <v>6</v>
      </c>
      <c r="AU567">
        <f>Table67[[#This Row],[Midpoint]]/21</f>
        <v>0.2857142857142857</v>
      </c>
      <c r="AV567">
        <f>_xlfn.PERCENTILE.INC(Table67[Midpoint ratio],0.9)</f>
        <v>0.5714285714285714</v>
      </c>
      <c r="AW567" t="b">
        <f>Table67[[#This Row],[Midpoint ratio]]&gt;=Table67[[#This Row],[Threshold of Midpoint ratio]]</f>
        <v>0</v>
      </c>
      <c r="AX567" t="b">
        <f>OR(Table67[[#This Row],[Extreme Response Style]],Table67[[#This Row],[Mid-point Response Style]])</f>
        <v>0</v>
      </c>
      <c r="AY567" t="b">
        <f>OR(Table67[[#This Row],[Delete? (Stage 1)]],Table67[[#This Row],[Delete? (Stage 2)]])</f>
        <v>1</v>
      </c>
      <c r="AZ567" t="s">
        <v>84</v>
      </c>
    </row>
    <row r="568" spans="1:52">
      <c r="A568">
        <f t="shared" si="35"/>
        <v>567</v>
      </c>
      <c r="B568" s="3">
        <v>46049.727766203701</v>
      </c>
      <c r="C568" s="3">
        <v>46049.731770833299</v>
      </c>
      <c r="D568" t="s">
        <v>53</v>
      </c>
      <c r="G568" t="s">
        <v>54</v>
      </c>
      <c r="H568" t="s">
        <v>55</v>
      </c>
      <c r="I568" t="s">
        <v>71</v>
      </c>
      <c r="J568" t="s">
        <v>62</v>
      </c>
      <c r="K568" t="s">
        <v>57</v>
      </c>
      <c r="L568" t="s">
        <v>58</v>
      </c>
      <c r="M568" t="s">
        <v>58</v>
      </c>
      <c r="N568">
        <v>1</v>
      </c>
      <c r="O568">
        <v>3</v>
      </c>
      <c r="P568">
        <v>2</v>
      </c>
      <c r="Q568">
        <v>4</v>
      </c>
      <c r="R568">
        <v>2</v>
      </c>
      <c r="S568">
        <v>3</v>
      </c>
      <c r="T568">
        <v>2</v>
      </c>
      <c r="U568">
        <v>4</v>
      </c>
      <c r="V568">
        <v>5</v>
      </c>
      <c r="W568">
        <v>5</v>
      </c>
      <c r="X568">
        <v>3</v>
      </c>
      <c r="Y568">
        <v>5</v>
      </c>
      <c r="Z568">
        <v>5</v>
      </c>
      <c r="AA568">
        <v>5</v>
      </c>
      <c r="AB568">
        <v>3</v>
      </c>
      <c r="AC568">
        <v>3</v>
      </c>
      <c r="AD568">
        <v>5</v>
      </c>
      <c r="AE568">
        <v>4</v>
      </c>
      <c r="AF568">
        <v>3</v>
      </c>
      <c r="AG568">
        <v>4</v>
      </c>
      <c r="AH568">
        <v>4</v>
      </c>
      <c r="AI568">
        <v>2</v>
      </c>
      <c r="AJ568">
        <v>3</v>
      </c>
      <c r="AK568" t="b">
        <f>Table67[[#This Row],[What is your age?]]&lt;&gt;"18 - 25"</f>
        <v>0</v>
      </c>
      <c r="AL568" t="b">
        <f t="shared" si="32"/>
        <v>0</v>
      </c>
      <c r="AM568" t="b">
        <f t="shared" si="33"/>
        <v>1</v>
      </c>
      <c r="AN568" t="b">
        <f t="shared" si="34"/>
        <v>0</v>
      </c>
      <c r="AO568" t="b">
        <f>OR(Table67[[#This Row],[Ineligible respondents]:[Inconsistent response on opposite question (3)]])</f>
        <v>1</v>
      </c>
      <c r="AP56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568">
        <f>Table67[[#This Row],[Extreme Response]]/21</f>
        <v>0.33333333333333331</v>
      </c>
      <c r="AR568">
        <f>_xlfn.PERCENTILE.INC(Table67[Extrem Response Ratio (ERS)],0.9)</f>
        <v>0.61904761904761907</v>
      </c>
      <c r="AS568" t="b">
        <f>Table67[[#This Row],[Extrem Response Ratio (ERS)]]&gt;=Table67[[#This Row],[Threshold of ERS]]</f>
        <v>0</v>
      </c>
      <c r="AT568">
        <f>COUNTIF(Table67[[#This Row],[The mechanism of digital assets is difficult to understand, which discourages me from exploring it (E.g, Tokenization, Blockchain)]:[If I want to try different ways to invest, I will explore digital assets.]], 3)</f>
        <v>6</v>
      </c>
      <c r="AU568">
        <f>Table67[[#This Row],[Midpoint]]/21</f>
        <v>0.2857142857142857</v>
      </c>
      <c r="AV568">
        <f>_xlfn.PERCENTILE.INC(Table67[Midpoint ratio],0.9)</f>
        <v>0.5714285714285714</v>
      </c>
      <c r="AW568" t="b">
        <f>Table67[[#This Row],[Midpoint ratio]]&gt;=Table67[[#This Row],[Threshold of Midpoint ratio]]</f>
        <v>0</v>
      </c>
      <c r="AX568" t="b">
        <f>OR(Table67[[#This Row],[Extreme Response Style]],Table67[[#This Row],[Mid-point Response Style]])</f>
        <v>0</v>
      </c>
      <c r="AY568" t="b">
        <f>OR(Table67[[#This Row],[Delete? (Stage 1)]],Table67[[#This Row],[Delete? (Stage 2)]])</f>
        <v>1</v>
      </c>
      <c r="AZ568" t="s">
        <v>84</v>
      </c>
    </row>
    <row r="569" spans="1:52">
      <c r="A569">
        <f t="shared" si="35"/>
        <v>568</v>
      </c>
      <c r="B569" s="3">
        <v>46049.727812500001</v>
      </c>
      <c r="C569" s="3">
        <v>46049.729548611103</v>
      </c>
      <c r="D569" t="s">
        <v>53</v>
      </c>
      <c r="G569" t="s">
        <v>54</v>
      </c>
      <c r="H569" t="s">
        <v>63</v>
      </c>
      <c r="I569" t="s">
        <v>56</v>
      </c>
      <c r="J569" t="s">
        <v>62</v>
      </c>
      <c r="K569" t="s">
        <v>57</v>
      </c>
      <c r="L569" t="s">
        <v>58</v>
      </c>
      <c r="M569" t="s">
        <v>58</v>
      </c>
      <c r="N569">
        <v>4</v>
      </c>
      <c r="O569">
        <v>2</v>
      </c>
      <c r="P569">
        <v>4</v>
      </c>
      <c r="Q569">
        <v>4</v>
      </c>
      <c r="R569">
        <v>4</v>
      </c>
      <c r="S569">
        <v>4</v>
      </c>
      <c r="T569">
        <v>4</v>
      </c>
      <c r="U569">
        <v>4</v>
      </c>
      <c r="V569">
        <v>4</v>
      </c>
      <c r="W569">
        <v>4</v>
      </c>
      <c r="X569">
        <v>4</v>
      </c>
      <c r="Y569">
        <v>4</v>
      </c>
      <c r="Z569">
        <v>4</v>
      </c>
      <c r="AA569">
        <v>4</v>
      </c>
      <c r="AB569">
        <v>4</v>
      </c>
      <c r="AC569">
        <v>4</v>
      </c>
      <c r="AD569">
        <v>4</v>
      </c>
      <c r="AE569">
        <v>4</v>
      </c>
      <c r="AF569">
        <v>4</v>
      </c>
      <c r="AG569">
        <v>4</v>
      </c>
      <c r="AH569">
        <v>4</v>
      </c>
      <c r="AI569">
        <v>2</v>
      </c>
      <c r="AJ569">
        <v>2</v>
      </c>
      <c r="AK569" t="b">
        <f>Table67[[#This Row],[What is your age?]]&lt;&gt;"18 - 25"</f>
        <v>0</v>
      </c>
      <c r="AL569" t="b">
        <f t="shared" si="32"/>
        <v>0</v>
      </c>
      <c r="AM569" t="b">
        <f t="shared" si="33"/>
        <v>1</v>
      </c>
      <c r="AN569" t="b">
        <f t="shared" si="34"/>
        <v>0</v>
      </c>
      <c r="AO569" t="b">
        <f>OR(Table67[[#This Row],[Ineligible respondents]:[Inconsistent response on opposite question (3)]])</f>
        <v>1</v>
      </c>
      <c r="AP56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569">
        <f>Table67[[#This Row],[Extreme Response]]/21</f>
        <v>0</v>
      </c>
      <c r="AR569">
        <f>_xlfn.PERCENTILE.INC(Table67[Extrem Response Ratio (ERS)],0.9)</f>
        <v>0.61904761904761907</v>
      </c>
      <c r="AS569" t="b">
        <f>Table67[[#This Row],[Extrem Response Ratio (ERS)]]&gt;=Table67[[#This Row],[Threshold of ERS]]</f>
        <v>0</v>
      </c>
      <c r="AT569">
        <f>COUNTIF(Table67[[#This Row],[The mechanism of digital assets is difficult to understand, which discourages me from exploring it (E.g, Tokenization, Blockchain)]:[If I want to try different ways to invest, I will explore digital assets.]], 3)</f>
        <v>0</v>
      </c>
      <c r="AU569">
        <f>Table67[[#This Row],[Midpoint]]/21</f>
        <v>0</v>
      </c>
      <c r="AV569">
        <f>_xlfn.PERCENTILE.INC(Table67[Midpoint ratio],0.9)</f>
        <v>0.5714285714285714</v>
      </c>
      <c r="AW569" t="b">
        <f>Table67[[#This Row],[Midpoint ratio]]&gt;=Table67[[#This Row],[Threshold of Midpoint ratio]]</f>
        <v>0</v>
      </c>
      <c r="AX569" t="b">
        <f>OR(Table67[[#This Row],[Extreme Response Style]],Table67[[#This Row],[Mid-point Response Style]])</f>
        <v>0</v>
      </c>
      <c r="AY569" t="b">
        <f>OR(Table67[[#This Row],[Delete? (Stage 1)]],Table67[[#This Row],[Delete? (Stage 2)]])</f>
        <v>1</v>
      </c>
      <c r="AZ569" t="s">
        <v>84</v>
      </c>
    </row>
    <row r="570" spans="1:52">
      <c r="A570">
        <f t="shared" si="35"/>
        <v>569</v>
      </c>
      <c r="B570" s="3">
        <v>46049.727812500001</v>
      </c>
      <c r="C570" s="3">
        <v>46049.732581018499</v>
      </c>
      <c r="D570" t="s">
        <v>53</v>
      </c>
      <c r="G570" t="s">
        <v>54</v>
      </c>
      <c r="H570" t="s">
        <v>55</v>
      </c>
      <c r="I570" t="s">
        <v>82</v>
      </c>
      <c r="J570" t="s">
        <v>64</v>
      </c>
      <c r="K570" t="s">
        <v>62</v>
      </c>
      <c r="L570" t="s">
        <v>58</v>
      </c>
      <c r="M570" t="s">
        <v>58</v>
      </c>
      <c r="N570">
        <v>2</v>
      </c>
      <c r="O570">
        <v>1</v>
      </c>
      <c r="P570">
        <v>4</v>
      </c>
      <c r="Q570">
        <v>3</v>
      </c>
      <c r="R570">
        <v>1</v>
      </c>
      <c r="S570">
        <v>1</v>
      </c>
      <c r="T570">
        <v>1</v>
      </c>
      <c r="U570">
        <v>3</v>
      </c>
      <c r="V570">
        <v>4</v>
      </c>
      <c r="W570">
        <v>3</v>
      </c>
      <c r="X570">
        <v>4</v>
      </c>
      <c r="Y570">
        <v>4</v>
      </c>
      <c r="Z570">
        <v>4</v>
      </c>
      <c r="AA570">
        <v>4</v>
      </c>
      <c r="AB570">
        <v>1</v>
      </c>
      <c r="AC570">
        <v>3</v>
      </c>
      <c r="AD570">
        <v>4</v>
      </c>
      <c r="AE570">
        <v>3</v>
      </c>
      <c r="AF570">
        <v>4</v>
      </c>
      <c r="AG570">
        <v>3</v>
      </c>
      <c r="AH570">
        <v>3</v>
      </c>
      <c r="AI570">
        <v>3</v>
      </c>
      <c r="AJ570">
        <v>2</v>
      </c>
      <c r="AK570" t="b">
        <f>Table67[[#This Row],[What is your age?]]&lt;&gt;"18 - 25"</f>
        <v>0</v>
      </c>
      <c r="AL570" t="b">
        <f t="shared" si="32"/>
        <v>0</v>
      </c>
      <c r="AM570" t="b">
        <f t="shared" si="33"/>
        <v>0</v>
      </c>
      <c r="AN570" t="b">
        <f t="shared" si="34"/>
        <v>0</v>
      </c>
      <c r="AO570" t="b">
        <f>OR(Table67[[#This Row],[Ineligible respondents]:[Inconsistent response on opposite question (3)]])</f>
        <v>0</v>
      </c>
      <c r="AP57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570">
        <f>Table67[[#This Row],[Extreme Response]]/21</f>
        <v>0.23809523809523808</v>
      </c>
      <c r="AR570">
        <f>_xlfn.PERCENTILE.INC(Table67[Extrem Response Ratio (ERS)],0.9)</f>
        <v>0.61904761904761907</v>
      </c>
      <c r="AS570" t="b">
        <f>Table67[[#This Row],[Extrem Response Ratio (ERS)]]&gt;=Table67[[#This Row],[Threshold of ERS]]</f>
        <v>0</v>
      </c>
      <c r="AT570">
        <f>COUNTIF(Table67[[#This Row],[The mechanism of digital assets is difficult to understand, which discourages me from exploring it (E.g, Tokenization, Blockchain)]:[If I want to try different ways to invest, I will explore digital assets.]], 3)</f>
        <v>7</v>
      </c>
      <c r="AU570">
        <f>Table67[[#This Row],[Midpoint]]/21</f>
        <v>0.33333333333333331</v>
      </c>
      <c r="AV570">
        <f>_xlfn.PERCENTILE.INC(Table67[Midpoint ratio],0.9)</f>
        <v>0.5714285714285714</v>
      </c>
      <c r="AW570" t="b">
        <f>Table67[[#This Row],[Midpoint ratio]]&gt;=Table67[[#This Row],[Threshold of Midpoint ratio]]</f>
        <v>0</v>
      </c>
      <c r="AX570" t="b">
        <f>OR(Table67[[#This Row],[Extreme Response Style]],Table67[[#This Row],[Mid-point Response Style]])</f>
        <v>0</v>
      </c>
      <c r="AY570" t="b">
        <f>OR(Table67[[#This Row],[Delete? (Stage 1)]],Table67[[#This Row],[Delete? (Stage 2)]])</f>
        <v>0</v>
      </c>
      <c r="AZ570" t="s">
        <v>84</v>
      </c>
    </row>
    <row r="571" spans="1:52">
      <c r="A571">
        <f t="shared" si="35"/>
        <v>570</v>
      </c>
      <c r="B571" s="3">
        <v>46049.727962962999</v>
      </c>
      <c r="C571" s="3">
        <v>46049.729398148098</v>
      </c>
      <c r="D571" t="s">
        <v>53</v>
      </c>
      <c r="G571" t="s">
        <v>54</v>
      </c>
      <c r="H571" t="s">
        <v>63</v>
      </c>
      <c r="I571" t="s">
        <v>56</v>
      </c>
      <c r="J571" t="s">
        <v>62</v>
      </c>
      <c r="K571" t="s">
        <v>62</v>
      </c>
      <c r="L571" t="s">
        <v>61</v>
      </c>
      <c r="M571" t="s">
        <v>58</v>
      </c>
      <c r="N571">
        <v>4</v>
      </c>
      <c r="O571">
        <v>3</v>
      </c>
      <c r="P571">
        <v>2</v>
      </c>
      <c r="Q571">
        <v>4</v>
      </c>
      <c r="R571">
        <v>3</v>
      </c>
      <c r="S571">
        <v>4</v>
      </c>
      <c r="T571">
        <v>4</v>
      </c>
      <c r="U571">
        <v>2</v>
      </c>
      <c r="V571">
        <v>3</v>
      </c>
      <c r="W571">
        <v>2</v>
      </c>
      <c r="X571">
        <v>4</v>
      </c>
      <c r="Y571">
        <v>4</v>
      </c>
      <c r="Z571">
        <v>3</v>
      </c>
      <c r="AA571">
        <v>4</v>
      </c>
      <c r="AB571">
        <v>2</v>
      </c>
      <c r="AC571">
        <v>3</v>
      </c>
      <c r="AD571">
        <v>4</v>
      </c>
      <c r="AE571">
        <v>3</v>
      </c>
      <c r="AF571">
        <v>4</v>
      </c>
      <c r="AG571">
        <v>3</v>
      </c>
      <c r="AH571">
        <v>3</v>
      </c>
      <c r="AI571">
        <v>3</v>
      </c>
      <c r="AJ571">
        <v>2</v>
      </c>
      <c r="AK571" t="b">
        <f>Table67[[#This Row],[What is your age?]]&lt;&gt;"18 - 25"</f>
        <v>0</v>
      </c>
      <c r="AL571" t="b">
        <f t="shared" si="32"/>
        <v>0</v>
      </c>
      <c r="AM571" t="b">
        <f t="shared" si="33"/>
        <v>0</v>
      </c>
      <c r="AN571" t="b">
        <f t="shared" si="34"/>
        <v>0</v>
      </c>
      <c r="AO571" t="b">
        <f>OR(Table67[[#This Row],[Ineligible respondents]:[Inconsistent response on opposite question (3)]])</f>
        <v>0</v>
      </c>
      <c r="AP57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571">
        <f>Table67[[#This Row],[Extreme Response]]/21</f>
        <v>0</v>
      </c>
      <c r="AR571">
        <f>_xlfn.PERCENTILE.INC(Table67[Extrem Response Ratio (ERS)],0.9)</f>
        <v>0.61904761904761907</v>
      </c>
      <c r="AS571" t="b">
        <f>Table67[[#This Row],[Extrem Response Ratio (ERS)]]&gt;=Table67[[#This Row],[Threshold of ERS]]</f>
        <v>0</v>
      </c>
      <c r="AT571">
        <f>COUNTIF(Table67[[#This Row],[The mechanism of digital assets is difficult to understand, which discourages me from exploring it (E.g, Tokenization, Blockchain)]:[If I want to try different ways to invest, I will explore digital assets.]], 3)</f>
        <v>8</v>
      </c>
      <c r="AU571">
        <f>Table67[[#This Row],[Midpoint]]/21</f>
        <v>0.38095238095238093</v>
      </c>
      <c r="AV571">
        <f>_xlfn.PERCENTILE.INC(Table67[Midpoint ratio],0.9)</f>
        <v>0.5714285714285714</v>
      </c>
      <c r="AW571" t="b">
        <f>Table67[[#This Row],[Midpoint ratio]]&gt;=Table67[[#This Row],[Threshold of Midpoint ratio]]</f>
        <v>0</v>
      </c>
      <c r="AX571" t="b">
        <f>OR(Table67[[#This Row],[Extreme Response Style]],Table67[[#This Row],[Mid-point Response Style]])</f>
        <v>0</v>
      </c>
      <c r="AY571" t="b">
        <f>OR(Table67[[#This Row],[Delete? (Stage 1)]],Table67[[#This Row],[Delete? (Stage 2)]])</f>
        <v>0</v>
      </c>
      <c r="AZ571" t="s">
        <v>84</v>
      </c>
    </row>
    <row r="572" spans="1:52">
      <c r="A572">
        <f t="shared" si="35"/>
        <v>571</v>
      </c>
      <c r="B572" s="3">
        <v>46049.728125000001</v>
      </c>
      <c r="C572" s="3">
        <v>46049.730983796297</v>
      </c>
      <c r="D572" t="s">
        <v>53</v>
      </c>
      <c r="G572" t="s">
        <v>54</v>
      </c>
      <c r="H572" t="s">
        <v>55</v>
      </c>
      <c r="I572" t="s">
        <v>75</v>
      </c>
      <c r="J572" t="s">
        <v>62</v>
      </c>
      <c r="K572" t="s">
        <v>62</v>
      </c>
      <c r="L572" t="s">
        <v>58</v>
      </c>
      <c r="M572" t="s">
        <v>58</v>
      </c>
      <c r="N572">
        <v>3</v>
      </c>
      <c r="O572">
        <v>1</v>
      </c>
      <c r="P572">
        <v>4</v>
      </c>
      <c r="Q572">
        <v>3</v>
      </c>
      <c r="R572">
        <v>2</v>
      </c>
      <c r="S572">
        <v>2</v>
      </c>
      <c r="T572">
        <v>3</v>
      </c>
      <c r="U572">
        <v>4</v>
      </c>
      <c r="V572">
        <v>5</v>
      </c>
      <c r="W572">
        <v>4</v>
      </c>
      <c r="X572">
        <v>4</v>
      </c>
      <c r="Y572">
        <v>4</v>
      </c>
      <c r="Z572">
        <v>4</v>
      </c>
      <c r="AA572">
        <v>4</v>
      </c>
      <c r="AB572">
        <v>3</v>
      </c>
      <c r="AC572">
        <v>3</v>
      </c>
      <c r="AD572">
        <v>4</v>
      </c>
      <c r="AE572">
        <v>3</v>
      </c>
      <c r="AF572">
        <v>2</v>
      </c>
      <c r="AG572">
        <v>2</v>
      </c>
      <c r="AH572">
        <v>3</v>
      </c>
      <c r="AI572">
        <v>3</v>
      </c>
      <c r="AJ572">
        <v>4</v>
      </c>
      <c r="AK572" t="b">
        <f>Table67[[#This Row],[What is your age?]]&lt;&gt;"18 - 25"</f>
        <v>0</v>
      </c>
      <c r="AL572" t="b">
        <f t="shared" si="32"/>
        <v>0</v>
      </c>
      <c r="AM572" t="b">
        <f t="shared" si="33"/>
        <v>0</v>
      </c>
      <c r="AN572" t="b">
        <f t="shared" si="34"/>
        <v>1</v>
      </c>
      <c r="AO572" t="b">
        <f>OR(Table67[[#This Row],[Ineligible respondents]:[Inconsistent response on opposite question (3)]])</f>
        <v>1</v>
      </c>
      <c r="AP57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572">
        <f>Table67[[#This Row],[Extreme Response]]/21</f>
        <v>9.5238095238095233E-2</v>
      </c>
      <c r="AR572">
        <f>_xlfn.PERCENTILE.INC(Table67[Extrem Response Ratio (ERS)],0.9)</f>
        <v>0.61904761904761907</v>
      </c>
      <c r="AS572" t="b">
        <f>Table67[[#This Row],[Extrem Response Ratio (ERS)]]&gt;=Table67[[#This Row],[Threshold of ERS]]</f>
        <v>0</v>
      </c>
      <c r="AT572">
        <f>COUNTIF(Table67[[#This Row],[The mechanism of digital assets is difficult to understand, which discourages me from exploring it (E.g, Tokenization, Blockchain)]:[If I want to try different ways to invest, I will explore digital assets.]], 3)</f>
        <v>7</v>
      </c>
      <c r="AU572">
        <f>Table67[[#This Row],[Midpoint]]/21</f>
        <v>0.33333333333333331</v>
      </c>
      <c r="AV572">
        <f>_xlfn.PERCENTILE.INC(Table67[Midpoint ratio],0.9)</f>
        <v>0.5714285714285714</v>
      </c>
      <c r="AW572" t="b">
        <f>Table67[[#This Row],[Midpoint ratio]]&gt;=Table67[[#This Row],[Threshold of Midpoint ratio]]</f>
        <v>0</v>
      </c>
      <c r="AX572" t="b">
        <f>OR(Table67[[#This Row],[Extreme Response Style]],Table67[[#This Row],[Mid-point Response Style]])</f>
        <v>0</v>
      </c>
      <c r="AY572" t="b">
        <f>OR(Table67[[#This Row],[Delete? (Stage 1)]],Table67[[#This Row],[Delete? (Stage 2)]])</f>
        <v>1</v>
      </c>
      <c r="AZ572" t="s">
        <v>84</v>
      </c>
    </row>
    <row r="573" spans="1:52">
      <c r="A573">
        <f t="shared" si="35"/>
        <v>572</v>
      </c>
      <c r="B573" s="3">
        <v>46049.728148148097</v>
      </c>
      <c r="C573" s="3">
        <v>46049.732534722199</v>
      </c>
      <c r="D573" t="s">
        <v>53</v>
      </c>
      <c r="G573" t="s">
        <v>73</v>
      </c>
      <c r="H573" t="s">
        <v>63</v>
      </c>
      <c r="I573" t="s">
        <v>82</v>
      </c>
      <c r="J573" t="s">
        <v>64</v>
      </c>
      <c r="K573" t="s">
        <v>62</v>
      </c>
      <c r="L573" t="s">
        <v>58</v>
      </c>
      <c r="M573" t="s">
        <v>61</v>
      </c>
      <c r="N573">
        <v>3</v>
      </c>
      <c r="O573">
        <v>3</v>
      </c>
      <c r="P573">
        <v>3</v>
      </c>
      <c r="Q573">
        <v>4</v>
      </c>
      <c r="R573">
        <v>4</v>
      </c>
      <c r="S573">
        <v>4</v>
      </c>
      <c r="T573">
        <v>3</v>
      </c>
      <c r="U573">
        <v>3</v>
      </c>
      <c r="V573">
        <v>4</v>
      </c>
      <c r="W573">
        <v>5</v>
      </c>
      <c r="X573">
        <v>1</v>
      </c>
      <c r="Y573">
        <v>1</v>
      </c>
      <c r="Z573">
        <v>1</v>
      </c>
      <c r="AA573">
        <v>1</v>
      </c>
      <c r="AB573">
        <v>1</v>
      </c>
      <c r="AC573">
        <v>1</v>
      </c>
      <c r="AD573">
        <v>2</v>
      </c>
      <c r="AE573">
        <v>1</v>
      </c>
      <c r="AF573">
        <v>5</v>
      </c>
      <c r="AG573">
        <v>1</v>
      </c>
      <c r="AH573">
        <v>3</v>
      </c>
      <c r="AI573">
        <v>3</v>
      </c>
      <c r="AJ573">
        <v>1</v>
      </c>
      <c r="AK573" t="b">
        <f>Table67[[#This Row],[What is your age?]]&lt;&gt;"18 - 25"</f>
        <v>1</v>
      </c>
      <c r="AL573" t="b">
        <f t="shared" si="32"/>
        <v>0</v>
      </c>
      <c r="AM573" t="b">
        <f t="shared" si="33"/>
        <v>0</v>
      </c>
      <c r="AN573" t="b">
        <f t="shared" si="34"/>
        <v>1</v>
      </c>
      <c r="AO573" t="b">
        <f>OR(Table67[[#This Row],[Ineligible respondents]:[Inconsistent response on opposite question (3)]])</f>
        <v>1</v>
      </c>
      <c r="AP57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10</v>
      </c>
      <c r="AQ573">
        <f>Table67[[#This Row],[Extreme Response]]/21</f>
        <v>0.47619047619047616</v>
      </c>
      <c r="AR573">
        <f>_xlfn.PERCENTILE.INC(Table67[Extrem Response Ratio (ERS)],0.9)</f>
        <v>0.61904761904761907</v>
      </c>
      <c r="AS573" t="b">
        <f>Table67[[#This Row],[Extrem Response Ratio (ERS)]]&gt;=Table67[[#This Row],[Threshold of ERS]]</f>
        <v>0</v>
      </c>
      <c r="AT573">
        <f>COUNTIF(Table67[[#This Row],[The mechanism of digital assets is difficult to understand, which discourages me from exploring it (E.g, Tokenization, Blockchain)]:[If I want to try different ways to invest, I will explore digital assets.]], 3)</f>
        <v>6</v>
      </c>
      <c r="AU573">
        <f>Table67[[#This Row],[Midpoint]]/21</f>
        <v>0.2857142857142857</v>
      </c>
      <c r="AV573">
        <f>_xlfn.PERCENTILE.INC(Table67[Midpoint ratio],0.9)</f>
        <v>0.5714285714285714</v>
      </c>
      <c r="AW573" t="b">
        <f>Table67[[#This Row],[Midpoint ratio]]&gt;=Table67[[#This Row],[Threshold of Midpoint ratio]]</f>
        <v>0</v>
      </c>
      <c r="AX573" t="b">
        <f>OR(Table67[[#This Row],[Extreme Response Style]],Table67[[#This Row],[Mid-point Response Style]])</f>
        <v>0</v>
      </c>
      <c r="AY573" t="b">
        <f>OR(Table67[[#This Row],[Delete? (Stage 1)]],Table67[[#This Row],[Delete? (Stage 2)]])</f>
        <v>1</v>
      </c>
      <c r="AZ573" t="s">
        <v>84</v>
      </c>
    </row>
    <row r="574" spans="1:52">
      <c r="A574">
        <f t="shared" si="35"/>
        <v>573</v>
      </c>
      <c r="B574" s="3">
        <v>46049.728206018503</v>
      </c>
      <c r="C574" s="3">
        <v>46049.7402083333</v>
      </c>
      <c r="D574" t="s">
        <v>53</v>
      </c>
      <c r="G574" t="s">
        <v>54</v>
      </c>
      <c r="H574" t="s">
        <v>63</v>
      </c>
      <c r="I574" t="s">
        <v>56</v>
      </c>
      <c r="J574" t="s">
        <v>62</v>
      </c>
      <c r="K574" t="s">
        <v>57</v>
      </c>
      <c r="L574" t="s">
        <v>61</v>
      </c>
      <c r="M574" t="s">
        <v>58</v>
      </c>
      <c r="N574">
        <v>2</v>
      </c>
      <c r="O574">
        <v>1</v>
      </c>
      <c r="P574">
        <v>2</v>
      </c>
      <c r="Q574">
        <v>3</v>
      </c>
      <c r="R574">
        <v>3</v>
      </c>
      <c r="S574">
        <v>2</v>
      </c>
      <c r="T574">
        <v>4</v>
      </c>
      <c r="U574">
        <v>5</v>
      </c>
      <c r="V574">
        <v>4</v>
      </c>
      <c r="W574">
        <v>1</v>
      </c>
      <c r="X574">
        <v>4</v>
      </c>
      <c r="Y574">
        <v>3</v>
      </c>
      <c r="Z574">
        <v>5</v>
      </c>
      <c r="AA574">
        <v>3</v>
      </c>
      <c r="AB574">
        <v>3</v>
      </c>
      <c r="AC574">
        <v>4</v>
      </c>
      <c r="AD574">
        <v>3</v>
      </c>
      <c r="AE574">
        <v>4</v>
      </c>
      <c r="AF574">
        <v>4</v>
      </c>
      <c r="AG574">
        <v>3</v>
      </c>
      <c r="AH574">
        <v>4</v>
      </c>
      <c r="AI574">
        <v>2</v>
      </c>
      <c r="AJ574">
        <v>2</v>
      </c>
      <c r="AK574" t="b">
        <f>Table67[[#This Row],[What is your age?]]&lt;&gt;"18 - 25"</f>
        <v>0</v>
      </c>
      <c r="AL574" t="b">
        <f t="shared" si="32"/>
        <v>0</v>
      </c>
      <c r="AM574" t="b">
        <f t="shared" si="33"/>
        <v>0</v>
      </c>
      <c r="AN574" t="b">
        <f t="shared" si="34"/>
        <v>1</v>
      </c>
      <c r="AO574" t="b">
        <f>OR(Table67[[#This Row],[Ineligible respondents]:[Inconsistent response on opposite question (3)]])</f>
        <v>1</v>
      </c>
      <c r="AP57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574">
        <f>Table67[[#This Row],[Extreme Response]]/21</f>
        <v>0.19047619047619047</v>
      </c>
      <c r="AR574">
        <f>_xlfn.PERCENTILE.INC(Table67[Extrem Response Ratio (ERS)],0.9)</f>
        <v>0.61904761904761907</v>
      </c>
      <c r="AS574" t="b">
        <f>Table67[[#This Row],[Extrem Response Ratio (ERS)]]&gt;=Table67[[#This Row],[Threshold of ERS]]</f>
        <v>0</v>
      </c>
      <c r="AT574">
        <f>COUNTIF(Table67[[#This Row],[The mechanism of digital assets is difficult to understand, which discourages me from exploring it (E.g, Tokenization, Blockchain)]:[If I want to try different ways to invest, I will explore digital assets.]], 3)</f>
        <v>7</v>
      </c>
      <c r="AU574">
        <f>Table67[[#This Row],[Midpoint]]/21</f>
        <v>0.33333333333333331</v>
      </c>
      <c r="AV574">
        <f>_xlfn.PERCENTILE.INC(Table67[Midpoint ratio],0.9)</f>
        <v>0.5714285714285714</v>
      </c>
      <c r="AW574" t="b">
        <f>Table67[[#This Row],[Midpoint ratio]]&gt;=Table67[[#This Row],[Threshold of Midpoint ratio]]</f>
        <v>0</v>
      </c>
      <c r="AX574" t="b">
        <f>OR(Table67[[#This Row],[Extreme Response Style]],Table67[[#This Row],[Mid-point Response Style]])</f>
        <v>0</v>
      </c>
      <c r="AY574" t="b">
        <f>OR(Table67[[#This Row],[Delete? (Stage 1)]],Table67[[#This Row],[Delete? (Stage 2)]])</f>
        <v>1</v>
      </c>
      <c r="AZ574" t="s">
        <v>84</v>
      </c>
    </row>
    <row r="575" spans="1:52">
      <c r="A575">
        <f t="shared" si="35"/>
        <v>574</v>
      </c>
      <c r="B575" s="3">
        <v>46049.728287037004</v>
      </c>
      <c r="C575" s="3">
        <v>46049.732060185197</v>
      </c>
      <c r="D575" t="s">
        <v>53</v>
      </c>
      <c r="G575" t="s">
        <v>54</v>
      </c>
      <c r="H575" t="s">
        <v>63</v>
      </c>
      <c r="I575" t="s">
        <v>56</v>
      </c>
      <c r="J575" t="s">
        <v>57</v>
      </c>
      <c r="K575" t="s">
        <v>57</v>
      </c>
      <c r="L575" t="s">
        <v>58</v>
      </c>
      <c r="M575" t="s">
        <v>58</v>
      </c>
      <c r="N575">
        <v>4</v>
      </c>
      <c r="O575">
        <v>2</v>
      </c>
      <c r="P575">
        <v>4</v>
      </c>
      <c r="Q575">
        <v>3</v>
      </c>
      <c r="R575">
        <v>1</v>
      </c>
      <c r="S575">
        <v>5</v>
      </c>
      <c r="T575">
        <v>3</v>
      </c>
      <c r="U575">
        <v>5</v>
      </c>
      <c r="V575">
        <v>5</v>
      </c>
      <c r="W575">
        <v>5</v>
      </c>
      <c r="X575">
        <v>4</v>
      </c>
      <c r="Y575">
        <v>4</v>
      </c>
      <c r="Z575">
        <v>4</v>
      </c>
      <c r="AA575">
        <v>5</v>
      </c>
      <c r="AB575">
        <v>5</v>
      </c>
      <c r="AC575">
        <v>3</v>
      </c>
      <c r="AD575">
        <v>5</v>
      </c>
      <c r="AE575">
        <v>2</v>
      </c>
      <c r="AF575">
        <v>2</v>
      </c>
      <c r="AG575">
        <v>4</v>
      </c>
      <c r="AH575">
        <v>3</v>
      </c>
      <c r="AI575">
        <v>3</v>
      </c>
      <c r="AJ575">
        <v>4</v>
      </c>
      <c r="AK575" t="b">
        <f>Table67[[#This Row],[What is your age?]]&lt;&gt;"18 - 25"</f>
        <v>0</v>
      </c>
      <c r="AL575" t="b">
        <f t="shared" si="32"/>
        <v>0</v>
      </c>
      <c r="AM575" t="b">
        <f t="shared" si="33"/>
        <v>0</v>
      </c>
      <c r="AN575" t="b">
        <f t="shared" si="34"/>
        <v>1</v>
      </c>
      <c r="AO575" t="b">
        <f>OR(Table67[[#This Row],[Ineligible respondents]:[Inconsistent response on opposite question (3)]])</f>
        <v>1</v>
      </c>
      <c r="AP57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575">
        <f>Table67[[#This Row],[Extreme Response]]/21</f>
        <v>0.38095238095238093</v>
      </c>
      <c r="AR575">
        <f>_xlfn.PERCENTILE.INC(Table67[Extrem Response Ratio (ERS)],0.9)</f>
        <v>0.61904761904761907</v>
      </c>
      <c r="AS575" t="b">
        <f>Table67[[#This Row],[Extrem Response Ratio (ERS)]]&gt;=Table67[[#This Row],[Threshold of ERS]]</f>
        <v>0</v>
      </c>
      <c r="AT575">
        <f>COUNTIF(Table67[[#This Row],[The mechanism of digital assets is difficult to understand, which discourages me from exploring it (E.g, Tokenization, Blockchain)]:[If I want to try different ways to invest, I will explore digital assets.]], 3)</f>
        <v>4</v>
      </c>
      <c r="AU575">
        <f>Table67[[#This Row],[Midpoint]]/21</f>
        <v>0.19047619047619047</v>
      </c>
      <c r="AV575">
        <f>_xlfn.PERCENTILE.INC(Table67[Midpoint ratio],0.9)</f>
        <v>0.5714285714285714</v>
      </c>
      <c r="AW575" t="b">
        <f>Table67[[#This Row],[Midpoint ratio]]&gt;=Table67[[#This Row],[Threshold of Midpoint ratio]]</f>
        <v>0</v>
      </c>
      <c r="AX575" t="b">
        <f>OR(Table67[[#This Row],[Extreme Response Style]],Table67[[#This Row],[Mid-point Response Style]])</f>
        <v>0</v>
      </c>
      <c r="AY575" t="b">
        <f>OR(Table67[[#This Row],[Delete? (Stage 1)]],Table67[[#This Row],[Delete? (Stage 2)]])</f>
        <v>1</v>
      </c>
      <c r="AZ575" t="s">
        <v>84</v>
      </c>
    </row>
    <row r="576" spans="1:52">
      <c r="A576">
        <f t="shared" si="35"/>
        <v>575</v>
      </c>
      <c r="B576" s="3">
        <v>46049.728437500002</v>
      </c>
      <c r="C576" s="3">
        <v>46049.729849536998</v>
      </c>
      <c r="D576" t="s">
        <v>53</v>
      </c>
      <c r="G576" t="s">
        <v>54</v>
      </c>
      <c r="H576" t="s">
        <v>63</v>
      </c>
      <c r="I576" t="s">
        <v>75</v>
      </c>
      <c r="J576" t="s">
        <v>62</v>
      </c>
      <c r="K576" t="s">
        <v>62</v>
      </c>
      <c r="L576" t="s">
        <v>58</v>
      </c>
      <c r="M576" t="s">
        <v>58</v>
      </c>
      <c r="N576">
        <v>5</v>
      </c>
      <c r="O576">
        <v>5</v>
      </c>
      <c r="P576">
        <v>5</v>
      </c>
      <c r="Q576">
        <v>5</v>
      </c>
      <c r="R576">
        <v>5</v>
      </c>
      <c r="S576">
        <v>5</v>
      </c>
      <c r="T576">
        <v>5</v>
      </c>
      <c r="U576">
        <v>5</v>
      </c>
      <c r="V576">
        <v>5</v>
      </c>
      <c r="W576">
        <v>5</v>
      </c>
      <c r="X576">
        <v>5</v>
      </c>
      <c r="Y576">
        <v>5</v>
      </c>
      <c r="Z576">
        <v>5</v>
      </c>
      <c r="AA576">
        <v>5</v>
      </c>
      <c r="AB576">
        <v>5</v>
      </c>
      <c r="AC576">
        <v>5</v>
      </c>
      <c r="AD576">
        <v>5</v>
      </c>
      <c r="AE576">
        <v>5</v>
      </c>
      <c r="AF576">
        <v>5</v>
      </c>
      <c r="AG576">
        <v>5</v>
      </c>
      <c r="AH576">
        <v>5</v>
      </c>
      <c r="AI576">
        <v>1</v>
      </c>
      <c r="AJ576">
        <v>1</v>
      </c>
      <c r="AK576" t="b">
        <f>Table67[[#This Row],[What is your age?]]&lt;&gt;"18 - 25"</f>
        <v>0</v>
      </c>
      <c r="AL576" t="b">
        <f t="shared" si="32"/>
        <v>1</v>
      </c>
      <c r="AM576" t="b">
        <f t="shared" si="33"/>
        <v>1</v>
      </c>
      <c r="AN576" t="b">
        <f t="shared" si="34"/>
        <v>0</v>
      </c>
      <c r="AO576" t="b">
        <f>OR(Table67[[#This Row],[Ineligible respondents]:[Inconsistent response on opposite question (3)]])</f>
        <v>1</v>
      </c>
      <c r="AP57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21</v>
      </c>
      <c r="AQ576">
        <f>Table67[[#This Row],[Extreme Response]]/21</f>
        <v>1</v>
      </c>
      <c r="AR576">
        <f>_xlfn.PERCENTILE.INC(Table67[Extrem Response Ratio (ERS)],0.9)</f>
        <v>0.61904761904761907</v>
      </c>
      <c r="AS576" t="b">
        <f>Table67[[#This Row],[Extrem Response Ratio (ERS)]]&gt;=Table67[[#This Row],[Threshold of ERS]]</f>
        <v>1</v>
      </c>
      <c r="AT576">
        <f>COUNTIF(Table67[[#This Row],[The mechanism of digital assets is difficult to understand, which discourages me from exploring it (E.g, Tokenization, Blockchain)]:[If I want to try different ways to invest, I will explore digital assets.]], 3)</f>
        <v>0</v>
      </c>
      <c r="AU576">
        <f>Table67[[#This Row],[Midpoint]]/21</f>
        <v>0</v>
      </c>
      <c r="AV576">
        <f>_xlfn.PERCENTILE.INC(Table67[Midpoint ratio],0.9)</f>
        <v>0.5714285714285714</v>
      </c>
      <c r="AW576" t="b">
        <f>Table67[[#This Row],[Midpoint ratio]]&gt;=Table67[[#This Row],[Threshold of Midpoint ratio]]</f>
        <v>0</v>
      </c>
      <c r="AX576" t="b">
        <f>OR(Table67[[#This Row],[Extreme Response Style]],Table67[[#This Row],[Mid-point Response Style]])</f>
        <v>1</v>
      </c>
      <c r="AY576" t="b">
        <f>OR(Table67[[#This Row],[Delete? (Stage 1)]],Table67[[#This Row],[Delete? (Stage 2)]])</f>
        <v>1</v>
      </c>
      <c r="AZ576" t="s">
        <v>84</v>
      </c>
    </row>
    <row r="577" spans="1:52">
      <c r="A577">
        <f t="shared" si="35"/>
        <v>576</v>
      </c>
      <c r="B577" s="3">
        <v>46049.7284490741</v>
      </c>
      <c r="C577" s="3">
        <v>46049.735243055598</v>
      </c>
      <c r="D577" t="s">
        <v>53</v>
      </c>
      <c r="G577" t="s">
        <v>54</v>
      </c>
      <c r="H577" t="s">
        <v>55</v>
      </c>
      <c r="I577" t="s">
        <v>75</v>
      </c>
      <c r="J577" t="s">
        <v>57</v>
      </c>
      <c r="K577" t="s">
        <v>57</v>
      </c>
      <c r="L577" t="s">
        <v>61</v>
      </c>
      <c r="M577" t="s">
        <v>58</v>
      </c>
      <c r="N577">
        <v>1</v>
      </c>
      <c r="O577">
        <v>1</v>
      </c>
      <c r="P577">
        <v>4</v>
      </c>
      <c r="Q577">
        <v>4</v>
      </c>
      <c r="R577">
        <v>1</v>
      </c>
      <c r="S577">
        <v>3</v>
      </c>
      <c r="T577">
        <v>4</v>
      </c>
      <c r="U577">
        <v>4</v>
      </c>
      <c r="V577">
        <v>5</v>
      </c>
      <c r="W577">
        <v>4</v>
      </c>
      <c r="X577">
        <v>2</v>
      </c>
      <c r="Y577">
        <v>4</v>
      </c>
      <c r="Z577">
        <v>5</v>
      </c>
      <c r="AA577">
        <v>4</v>
      </c>
      <c r="AB577">
        <v>4</v>
      </c>
      <c r="AC577">
        <v>4</v>
      </c>
      <c r="AD577">
        <v>5</v>
      </c>
      <c r="AE577">
        <v>2</v>
      </c>
      <c r="AF577">
        <v>2</v>
      </c>
      <c r="AG577">
        <v>4</v>
      </c>
      <c r="AH577">
        <v>2</v>
      </c>
      <c r="AI577">
        <v>4</v>
      </c>
      <c r="AJ577">
        <v>4</v>
      </c>
      <c r="AK577" t="b">
        <f>Table67[[#This Row],[What is your age?]]&lt;&gt;"18 - 25"</f>
        <v>0</v>
      </c>
      <c r="AL577" t="b">
        <f t="shared" si="32"/>
        <v>0</v>
      </c>
      <c r="AM577" t="b">
        <f t="shared" si="33"/>
        <v>0</v>
      </c>
      <c r="AN577" t="b">
        <f t="shared" si="34"/>
        <v>0</v>
      </c>
      <c r="AO577" t="b">
        <f>OR(Table67[[#This Row],[Ineligible respondents]:[Inconsistent response on opposite question (3)]])</f>
        <v>0</v>
      </c>
      <c r="AP57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577">
        <f>Table67[[#This Row],[Extreme Response]]/21</f>
        <v>0.2857142857142857</v>
      </c>
      <c r="AR577">
        <f>_xlfn.PERCENTILE.INC(Table67[Extrem Response Ratio (ERS)],0.9)</f>
        <v>0.61904761904761907</v>
      </c>
      <c r="AS577" t="b">
        <f>Table67[[#This Row],[Extrem Response Ratio (ERS)]]&gt;=Table67[[#This Row],[Threshold of ERS]]</f>
        <v>0</v>
      </c>
      <c r="AT577">
        <f>COUNTIF(Table67[[#This Row],[The mechanism of digital assets is difficult to understand, which discourages me from exploring it (E.g, Tokenization, Blockchain)]:[If I want to try different ways to invest, I will explore digital assets.]], 3)</f>
        <v>1</v>
      </c>
      <c r="AU577">
        <f>Table67[[#This Row],[Midpoint]]/21</f>
        <v>4.7619047619047616E-2</v>
      </c>
      <c r="AV577">
        <f>_xlfn.PERCENTILE.INC(Table67[Midpoint ratio],0.9)</f>
        <v>0.5714285714285714</v>
      </c>
      <c r="AW577" t="b">
        <f>Table67[[#This Row],[Midpoint ratio]]&gt;=Table67[[#This Row],[Threshold of Midpoint ratio]]</f>
        <v>0</v>
      </c>
      <c r="AX577" t="b">
        <f>OR(Table67[[#This Row],[Extreme Response Style]],Table67[[#This Row],[Mid-point Response Style]])</f>
        <v>0</v>
      </c>
      <c r="AY577" t="b">
        <f>OR(Table67[[#This Row],[Delete? (Stage 1)]],Table67[[#This Row],[Delete? (Stage 2)]])</f>
        <v>0</v>
      </c>
      <c r="AZ577" t="s">
        <v>84</v>
      </c>
    </row>
    <row r="578" spans="1:52">
      <c r="A578">
        <f t="shared" si="35"/>
        <v>577</v>
      </c>
      <c r="B578" s="3">
        <v>46049.728726851798</v>
      </c>
      <c r="C578" s="3">
        <v>46049.733275462997</v>
      </c>
      <c r="D578" t="s">
        <v>53</v>
      </c>
      <c r="G578" t="s">
        <v>54</v>
      </c>
      <c r="H578" t="s">
        <v>63</v>
      </c>
      <c r="I578" t="s">
        <v>71</v>
      </c>
      <c r="J578" t="s">
        <v>65</v>
      </c>
      <c r="K578" t="s">
        <v>60</v>
      </c>
      <c r="L578" t="s">
        <v>58</v>
      </c>
      <c r="M578" t="s">
        <v>58</v>
      </c>
      <c r="N578">
        <v>3</v>
      </c>
      <c r="O578">
        <v>3</v>
      </c>
      <c r="P578">
        <v>3</v>
      </c>
      <c r="Q578">
        <v>4</v>
      </c>
      <c r="R578">
        <v>3</v>
      </c>
      <c r="S578">
        <v>3</v>
      </c>
      <c r="T578">
        <v>3</v>
      </c>
      <c r="U578">
        <v>3</v>
      </c>
      <c r="V578">
        <v>3</v>
      </c>
      <c r="W578">
        <v>5</v>
      </c>
      <c r="X578">
        <v>3</v>
      </c>
      <c r="Y578">
        <v>3</v>
      </c>
      <c r="Z578">
        <v>3</v>
      </c>
      <c r="AA578">
        <v>3</v>
      </c>
      <c r="AB578">
        <v>3</v>
      </c>
      <c r="AC578">
        <v>3</v>
      </c>
      <c r="AD578">
        <v>3</v>
      </c>
      <c r="AE578">
        <v>3</v>
      </c>
      <c r="AF578">
        <v>3</v>
      </c>
      <c r="AG578">
        <v>3</v>
      </c>
      <c r="AH578">
        <v>3</v>
      </c>
      <c r="AI578">
        <v>3</v>
      </c>
      <c r="AJ578">
        <v>3</v>
      </c>
      <c r="AK578" t="b">
        <f>Table67[[#This Row],[What is your age?]]&lt;&gt;"18 - 25"</f>
        <v>0</v>
      </c>
      <c r="AL578" t="b">
        <f t="shared" si="32"/>
        <v>0</v>
      </c>
      <c r="AM578" t="b">
        <f t="shared" si="33"/>
        <v>0</v>
      </c>
      <c r="AN578" t="b">
        <f t="shared" si="34"/>
        <v>0</v>
      </c>
      <c r="AO578" t="b">
        <f>OR(Table67[[#This Row],[Ineligible respondents]:[Inconsistent response on opposite question (3)]])</f>
        <v>0</v>
      </c>
      <c r="AP57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578">
        <f>Table67[[#This Row],[Extreme Response]]/21</f>
        <v>4.7619047619047616E-2</v>
      </c>
      <c r="AR578">
        <f>_xlfn.PERCENTILE.INC(Table67[Extrem Response Ratio (ERS)],0.9)</f>
        <v>0.61904761904761907</v>
      </c>
      <c r="AS578" t="b">
        <f>Table67[[#This Row],[Extrem Response Ratio (ERS)]]&gt;=Table67[[#This Row],[Threshold of ERS]]</f>
        <v>0</v>
      </c>
      <c r="AT578">
        <f>COUNTIF(Table67[[#This Row],[The mechanism of digital assets is difficult to understand, which discourages me from exploring it (E.g, Tokenization, Blockchain)]:[If I want to try different ways to invest, I will explore digital assets.]], 3)</f>
        <v>19</v>
      </c>
      <c r="AU578">
        <f>Table67[[#This Row],[Midpoint]]/21</f>
        <v>0.90476190476190477</v>
      </c>
      <c r="AV578">
        <f>_xlfn.PERCENTILE.INC(Table67[Midpoint ratio],0.9)</f>
        <v>0.5714285714285714</v>
      </c>
      <c r="AW578" t="b">
        <f>Table67[[#This Row],[Midpoint ratio]]&gt;=Table67[[#This Row],[Threshold of Midpoint ratio]]</f>
        <v>1</v>
      </c>
      <c r="AX578" t="b">
        <f>OR(Table67[[#This Row],[Extreme Response Style]],Table67[[#This Row],[Mid-point Response Style]])</f>
        <v>1</v>
      </c>
      <c r="AY578" t="b">
        <f>OR(Table67[[#This Row],[Delete? (Stage 1)]],Table67[[#This Row],[Delete? (Stage 2)]])</f>
        <v>1</v>
      </c>
      <c r="AZ578" t="s">
        <v>84</v>
      </c>
    </row>
    <row r="579" spans="1:52">
      <c r="A579">
        <f t="shared" si="35"/>
        <v>578</v>
      </c>
      <c r="B579" s="3">
        <v>46049.728773148097</v>
      </c>
      <c r="C579" s="3">
        <v>46049.730856481503</v>
      </c>
      <c r="D579" t="s">
        <v>53</v>
      </c>
      <c r="G579" t="s">
        <v>54</v>
      </c>
      <c r="H579" t="s">
        <v>55</v>
      </c>
      <c r="I579" t="s">
        <v>69</v>
      </c>
      <c r="J579" t="s">
        <v>67</v>
      </c>
      <c r="K579" t="s">
        <v>60</v>
      </c>
      <c r="L579" t="s">
        <v>61</v>
      </c>
      <c r="M579" t="s">
        <v>61</v>
      </c>
      <c r="N579">
        <v>5</v>
      </c>
      <c r="O579">
        <v>5</v>
      </c>
      <c r="P579">
        <v>4</v>
      </c>
      <c r="Q579">
        <v>4</v>
      </c>
      <c r="R579">
        <v>4</v>
      </c>
      <c r="S579">
        <v>4</v>
      </c>
      <c r="T579">
        <v>3</v>
      </c>
      <c r="U579">
        <v>3</v>
      </c>
      <c r="V579">
        <v>4</v>
      </c>
      <c r="W579">
        <v>3</v>
      </c>
      <c r="X579">
        <v>3</v>
      </c>
      <c r="Y579">
        <v>3</v>
      </c>
      <c r="Z579">
        <v>3</v>
      </c>
      <c r="AA579">
        <v>3</v>
      </c>
      <c r="AB579">
        <v>3</v>
      </c>
      <c r="AC579">
        <v>4</v>
      </c>
      <c r="AD579">
        <v>4</v>
      </c>
      <c r="AE579">
        <v>4</v>
      </c>
      <c r="AF579">
        <v>3</v>
      </c>
      <c r="AG579">
        <v>4</v>
      </c>
      <c r="AH579">
        <v>4</v>
      </c>
      <c r="AI579">
        <v>2</v>
      </c>
      <c r="AJ579">
        <v>3</v>
      </c>
      <c r="AK579" t="b">
        <f>Table67[[#This Row],[What is your age?]]&lt;&gt;"18 - 25"</f>
        <v>0</v>
      </c>
      <c r="AL579" t="b">
        <f t="shared" ref="AL579:AL642" si="36">COUNTIF(N579:AH579, N579) = COLUMNS(N579:AH579)</f>
        <v>0</v>
      </c>
      <c r="AM579" t="b">
        <f t="shared" ref="AM579:AM642" si="37">OR(AND(AG579=AH579, AG579&lt;&gt;3), AND(OR(AG579=1, AG579=2), OR(AH579=1, AH579=2)), AND(OR(AG579=4, AG579=5), OR(AH579=4, AH579=5)))</f>
        <v>1</v>
      </c>
      <c r="AN579" t="b">
        <f t="shared" ref="AN579:AN642" si="38">OR(AND(AG579=3, AH579&lt;&gt;3), AND(AH579=3, AG579&lt;&gt;3))</f>
        <v>0</v>
      </c>
      <c r="AO579" t="b">
        <f>OR(Table67[[#This Row],[Ineligible respondents]:[Inconsistent response on opposite question (3)]])</f>
        <v>1</v>
      </c>
      <c r="AP57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579">
        <f>Table67[[#This Row],[Extreme Response]]/21</f>
        <v>9.5238095238095233E-2</v>
      </c>
      <c r="AR579">
        <f>_xlfn.PERCENTILE.INC(Table67[Extrem Response Ratio (ERS)],0.9)</f>
        <v>0.61904761904761907</v>
      </c>
      <c r="AS579" t="b">
        <f>Table67[[#This Row],[Extrem Response Ratio (ERS)]]&gt;=Table67[[#This Row],[Threshold of ERS]]</f>
        <v>0</v>
      </c>
      <c r="AT579">
        <f>COUNTIF(Table67[[#This Row],[The mechanism of digital assets is difficult to understand, which discourages me from exploring it (E.g, Tokenization, Blockchain)]:[If I want to try different ways to invest, I will explore digital assets.]], 3)</f>
        <v>9</v>
      </c>
      <c r="AU579">
        <f>Table67[[#This Row],[Midpoint]]/21</f>
        <v>0.42857142857142855</v>
      </c>
      <c r="AV579">
        <f>_xlfn.PERCENTILE.INC(Table67[Midpoint ratio],0.9)</f>
        <v>0.5714285714285714</v>
      </c>
      <c r="AW579" t="b">
        <f>Table67[[#This Row],[Midpoint ratio]]&gt;=Table67[[#This Row],[Threshold of Midpoint ratio]]</f>
        <v>0</v>
      </c>
      <c r="AX579" t="b">
        <f>OR(Table67[[#This Row],[Extreme Response Style]],Table67[[#This Row],[Mid-point Response Style]])</f>
        <v>0</v>
      </c>
      <c r="AY579" t="b">
        <f>OR(Table67[[#This Row],[Delete? (Stage 1)]],Table67[[#This Row],[Delete? (Stage 2)]])</f>
        <v>1</v>
      </c>
      <c r="AZ579" t="s">
        <v>84</v>
      </c>
    </row>
    <row r="580" spans="1:52">
      <c r="A580">
        <f t="shared" ref="A580:A643" si="39">1+A579</f>
        <v>579</v>
      </c>
      <c r="B580" s="3">
        <v>46049.728900463</v>
      </c>
      <c r="C580" s="3">
        <v>46049.733009259297</v>
      </c>
      <c r="D580" t="s">
        <v>53</v>
      </c>
      <c r="G580" t="s">
        <v>54</v>
      </c>
      <c r="H580" t="s">
        <v>63</v>
      </c>
      <c r="I580" t="s">
        <v>71</v>
      </c>
      <c r="J580" t="s">
        <v>62</v>
      </c>
      <c r="K580" t="s">
        <v>62</v>
      </c>
      <c r="L580" t="s">
        <v>58</v>
      </c>
      <c r="M580" t="s">
        <v>58</v>
      </c>
      <c r="N580">
        <v>3</v>
      </c>
      <c r="O580">
        <v>2</v>
      </c>
      <c r="P580">
        <v>2</v>
      </c>
      <c r="Q580">
        <v>4</v>
      </c>
      <c r="R580">
        <v>3</v>
      </c>
      <c r="S580">
        <v>3</v>
      </c>
      <c r="T580">
        <v>3</v>
      </c>
      <c r="U580">
        <v>2</v>
      </c>
      <c r="V580">
        <v>1</v>
      </c>
      <c r="W580">
        <v>3</v>
      </c>
      <c r="X580">
        <v>2</v>
      </c>
      <c r="Y580">
        <v>2</v>
      </c>
      <c r="Z580">
        <v>3</v>
      </c>
      <c r="AA580">
        <v>3</v>
      </c>
      <c r="AB580">
        <v>3</v>
      </c>
      <c r="AC580">
        <v>3</v>
      </c>
      <c r="AD580">
        <v>3</v>
      </c>
      <c r="AE580">
        <v>3</v>
      </c>
      <c r="AF580">
        <v>4</v>
      </c>
      <c r="AG580">
        <v>3</v>
      </c>
      <c r="AH580">
        <v>4</v>
      </c>
      <c r="AI580">
        <v>2</v>
      </c>
      <c r="AJ580">
        <v>2</v>
      </c>
      <c r="AK580" t="b">
        <f>Table67[[#This Row],[What is your age?]]&lt;&gt;"18 - 25"</f>
        <v>0</v>
      </c>
      <c r="AL580" t="b">
        <f t="shared" si="36"/>
        <v>0</v>
      </c>
      <c r="AM580" t="b">
        <f t="shared" si="37"/>
        <v>0</v>
      </c>
      <c r="AN580" t="b">
        <f t="shared" si="38"/>
        <v>1</v>
      </c>
      <c r="AO580" t="b">
        <f>OR(Table67[[#This Row],[Ineligible respondents]:[Inconsistent response on opposite question (3)]])</f>
        <v>1</v>
      </c>
      <c r="AP58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580">
        <f>Table67[[#This Row],[Extreme Response]]/21</f>
        <v>4.7619047619047616E-2</v>
      </c>
      <c r="AR580">
        <f>_xlfn.PERCENTILE.INC(Table67[Extrem Response Ratio (ERS)],0.9)</f>
        <v>0.61904761904761907</v>
      </c>
      <c r="AS580" t="b">
        <f>Table67[[#This Row],[Extrem Response Ratio (ERS)]]&gt;=Table67[[#This Row],[Threshold of ERS]]</f>
        <v>0</v>
      </c>
      <c r="AT580">
        <f>COUNTIF(Table67[[#This Row],[The mechanism of digital assets is difficult to understand, which discourages me from exploring it (E.g, Tokenization, Blockchain)]:[If I want to try different ways to invest, I will explore digital assets.]], 3)</f>
        <v>12</v>
      </c>
      <c r="AU580">
        <f>Table67[[#This Row],[Midpoint]]/21</f>
        <v>0.5714285714285714</v>
      </c>
      <c r="AV580">
        <f>_xlfn.PERCENTILE.INC(Table67[Midpoint ratio],0.9)</f>
        <v>0.5714285714285714</v>
      </c>
      <c r="AW580" t="b">
        <f>Table67[[#This Row],[Midpoint ratio]]&gt;=Table67[[#This Row],[Threshold of Midpoint ratio]]</f>
        <v>1</v>
      </c>
      <c r="AX580" t="b">
        <f>OR(Table67[[#This Row],[Extreme Response Style]],Table67[[#This Row],[Mid-point Response Style]])</f>
        <v>1</v>
      </c>
      <c r="AY580" t="b">
        <f>OR(Table67[[#This Row],[Delete? (Stage 1)]],Table67[[#This Row],[Delete? (Stage 2)]])</f>
        <v>1</v>
      </c>
      <c r="AZ580" t="s">
        <v>84</v>
      </c>
    </row>
    <row r="581" spans="1:52">
      <c r="A581">
        <f t="shared" si="39"/>
        <v>580</v>
      </c>
      <c r="B581" s="3">
        <v>46049.729108796302</v>
      </c>
      <c r="C581" s="3">
        <v>46049.734375</v>
      </c>
      <c r="D581" t="s">
        <v>53</v>
      </c>
      <c r="G581" t="s">
        <v>54</v>
      </c>
      <c r="H581" t="s">
        <v>63</v>
      </c>
      <c r="I581" t="s">
        <v>56</v>
      </c>
      <c r="J581" t="s">
        <v>64</v>
      </c>
      <c r="K581" t="s">
        <v>57</v>
      </c>
      <c r="L581" t="s">
        <v>58</v>
      </c>
      <c r="M581" t="s">
        <v>58</v>
      </c>
      <c r="N581">
        <v>4</v>
      </c>
      <c r="O581">
        <v>2</v>
      </c>
      <c r="P581">
        <v>3</v>
      </c>
      <c r="Q581">
        <v>2</v>
      </c>
      <c r="R581">
        <v>4</v>
      </c>
      <c r="S581">
        <v>5</v>
      </c>
      <c r="T581">
        <v>2</v>
      </c>
      <c r="U581">
        <v>5</v>
      </c>
      <c r="V581">
        <v>5</v>
      </c>
      <c r="W581">
        <v>5</v>
      </c>
      <c r="X581">
        <v>4</v>
      </c>
      <c r="Y581">
        <v>5</v>
      </c>
      <c r="Z581">
        <v>4</v>
      </c>
      <c r="AA581">
        <v>2</v>
      </c>
      <c r="AB581">
        <v>2</v>
      </c>
      <c r="AC581">
        <v>4</v>
      </c>
      <c r="AD581">
        <v>5</v>
      </c>
      <c r="AE581">
        <v>2</v>
      </c>
      <c r="AF581">
        <v>2</v>
      </c>
      <c r="AG581">
        <v>5</v>
      </c>
      <c r="AH581">
        <v>3</v>
      </c>
      <c r="AI581">
        <v>3</v>
      </c>
      <c r="AJ581">
        <v>4</v>
      </c>
      <c r="AK581" t="b">
        <f>Table67[[#This Row],[What is your age?]]&lt;&gt;"18 - 25"</f>
        <v>0</v>
      </c>
      <c r="AL581" t="b">
        <f t="shared" si="36"/>
        <v>0</v>
      </c>
      <c r="AM581" t="b">
        <f t="shared" si="37"/>
        <v>0</v>
      </c>
      <c r="AN581" t="b">
        <f t="shared" si="38"/>
        <v>1</v>
      </c>
      <c r="AO581" t="b">
        <f>OR(Table67[[#This Row],[Ineligible respondents]:[Inconsistent response on opposite question (3)]])</f>
        <v>1</v>
      </c>
      <c r="AP58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581">
        <f>Table67[[#This Row],[Extreme Response]]/21</f>
        <v>0.33333333333333331</v>
      </c>
      <c r="AR581">
        <f>_xlfn.PERCENTILE.INC(Table67[Extrem Response Ratio (ERS)],0.9)</f>
        <v>0.61904761904761907</v>
      </c>
      <c r="AS581" t="b">
        <f>Table67[[#This Row],[Extrem Response Ratio (ERS)]]&gt;=Table67[[#This Row],[Threshold of ERS]]</f>
        <v>0</v>
      </c>
      <c r="AT581">
        <f>COUNTIF(Table67[[#This Row],[The mechanism of digital assets is difficult to understand, which discourages me from exploring it (E.g, Tokenization, Blockchain)]:[If I want to try different ways to invest, I will explore digital assets.]], 3)</f>
        <v>2</v>
      </c>
      <c r="AU581">
        <f>Table67[[#This Row],[Midpoint]]/21</f>
        <v>9.5238095238095233E-2</v>
      </c>
      <c r="AV581">
        <f>_xlfn.PERCENTILE.INC(Table67[Midpoint ratio],0.9)</f>
        <v>0.5714285714285714</v>
      </c>
      <c r="AW581" t="b">
        <f>Table67[[#This Row],[Midpoint ratio]]&gt;=Table67[[#This Row],[Threshold of Midpoint ratio]]</f>
        <v>0</v>
      </c>
      <c r="AX581" t="b">
        <f>OR(Table67[[#This Row],[Extreme Response Style]],Table67[[#This Row],[Mid-point Response Style]])</f>
        <v>0</v>
      </c>
      <c r="AY581" t="b">
        <f>OR(Table67[[#This Row],[Delete? (Stage 1)]],Table67[[#This Row],[Delete? (Stage 2)]])</f>
        <v>1</v>
      </c>
      <c r="AZ581" t="s">
        <v>84</v>
      </c>
    </row>
    <row r="582" spans="1:52">
      <c r="A582">
        <f t="shared" si="39"/>
        <v>581</v>
      </c>
      <c r="B582" s="3">
        <v>46049.729201388902</v>
      </c>
      <c r="C582" s="3">
        <v>46049.734247685199</v>
      </c>
      <c r="D582" t="s">
        <v>53</v>
      </c>
      <c r="G582" t="s">
        <v>54</v>
      </c>
      <c r="H582" t="s">
        <v>63</v>
      </c>
      <c r="I582" t="s">
        <v>56</v>
      </c>
      <c r="J582" t="s">
        <v>60</v>
      </c>
      <c r="K582" t="s">
        <v>65</v>
      </c>
      <c r="L582" t="s">
        <v>58</v>
      </c>
      <c r="M582" t="s">
        <v>61</v>
      </c>
      <c r="N582">
        <v>4</v>
      </c>
      <c r="O582">
        <v>3</v>
      </c>
      <c r="P582">
        <v>3</v>
      </c>
      <c r="Q582">
        <v>5</v>
      </c>
      <c r="R582">
        <v>4</v>
      </c>
      <c r="S582">
        <v>5</v>
      </c>
      <c r="T582">
        <v>1</v>
      </c>
      <c r="U582">
        <v>3</v>
      </c>
      <c r="V582">
        <v>3</v>
      </c>
      <c r="W582">
        <v>5</v>
      </c>
      <c r="X582">
        <v>4</v>
      </c>
      <c r="Y582">
        <v>5</v>
      </c>
      <c r="Z582">
        <v>4</v>
      </c>
      <c r="AA582">
        <v>5</v>
      </c>
      <c r="AB582">
        <v>5</v>
      </c>
      <c r="AC582">
        <v>4</v>
      </c>
      <c r="AD582">
        <v>4</v>
      </c>
      <c r="AE582">
        <v>5</v>
      </c>
      <c r="AF582">
        <v>5</v>
      </c>
      <c r="AG582">
        <v>5</v>
      </c>
      <c r="AH582">
        <v>5</v>
      </c>
      <c r="AI582">
        <v>1</v>
      </c>
      <c r="AJ582">
        <v>1</v>
      </c>
      <c r="AK582" t="b">
        <f>Table67[[#This Row],[What is your age?]]&lt;&gt;"18 - 25"</f>
        <v>0</v>
      </c>
      <c r="AL582" t="b">
        <f t="shared" si="36"/>
        <v>0</v>
      </c>
      <c r="AM582" t="b">
        <f t="shared" si="37"/>
        <v>1</v>
      </c>
      <c r="AN582" t="b">
        <f t="shared" si="38"/>
        <v>0</v>
      </c>
      <c r="AO582" t="b">
        <f>OR(Table67[[#This Row],[Ineligible respondents]:[Inconsistent response on opposite question (3)]])</f>
        <v>1</v>
      </c>
      <c r="AP58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582">
        <f>Table67[[#This Row],[Extreme Response]]/21</f>
        <v>0.52380952380952384</v>
      </c>
      <c r="AR582">
        <f>_xlfn.PERCENTILE.INC(Table67[Extrem Response Ratio (ERS)],0.9)</f>
        <v>0.61904761904761907</v>
      </c>
      <c r="AS582" t="b">
        <f>Table67[[#This Row],[Extrem Response Ratio (ERS)]]&gt;=Table67[[#This Row],[Threshold of ERS]]</f>
        <v>0</v>
      </c>
      <c r="AT582">
        <f>COUNTIF(Table67[[#This Row],[The mechanism of digital assets is difficult to understand, which discourages me from exploring it (E.g, Tokenization, Blockchain)]:[If I want to try different ways to invest, I will explore digital assets.]], 3)</f>
        <v>4</v>
      </c>
      <c r="AU582">
        <f>Table67[[#This Row],[Midpoint]]/21</f>
        <v>0.19047619047619047</v>
      </c>
      <c r="AV582">
        <f>_xlfn.PERCENTILE.INC(Table67[Midpoint ratio],0.9)</f>
        <v>0.5714285714285714</v>
      </c>
      <c r="AW582" t="b">
        <f>Table67[[#This Row],[Midpoint ratio]]&gt;=Table67[[#This Row],[Threshold of Midpoint ratio]]</f>
        <v>0</v>
      </c>
      <c r="AX582" t="b">
        <f>OR(Table67[[#This Row],[Extreme Response Style]],Table67[[#This Row],[Mid-point Response Style]])</f>
        <v>0</v>
      </c>
      <c r="AY582" t="b">
        <f>OR(Table67[[#This Row],[Delete? (Stage 1)]],Table67[[#This Row],[Delete? (Stage 2)]])</f>
        <v>1</v>
      </c>
      <c r="AZ582" t="s">
        <v>84</v>
      </c>
    </row>
    <row r="583" spans="1:52">
      <c r="A583">
        <f t="shared" si="39"/>
        <v>582</v>
      </c>
      <c r="B583" s="3">
        <v>46049.729282407403</v>
      </c>
      <c r="C583" s="3">
        <v>46049.731412036999</v>
      </c>
      <c r="D583" t="s">
        <v>53</v>
      </c>
      <c r="G583" t="s">
        <v>54</v>
      </c>
      <c r="H583" t="s">
        <v>63</v>
      </c>
      <c r="I583" t="s">
        <v>75</v>
      </c>
      <c r="J583" t="s">
        <v>66</v>
      </c>
      <c r="K583" t="s">
        <v>66</v>
      </c>
      <c r="L583" t="s">
        <v>58</v>
      </c>
      <c r="M583" t="s">
        <v>61</v>
      </c>
      <c r="N583">
        <v>5</v>
      </c>
      <c r="O583">
        <v>1</v>
      </c>
      <c r="P583">
        <v>1</v>
      </c>
      <c r="Q583">
        <v>1</v>
      </c>
      <c r="R583">
        <v>3</v>
      </c>
      <c r="S583">
        <v>5</v>
      </c>
      <c r="T583">
        <v>1</v>
      </c>
      <c r="U583">
        <v>3</v>
      </c>
      <c r="V583">
        <v>5</v>
      </c>
      <c r="W583">
        <v>5</v>
      </c>
      <c r="X583">
        <v>5</v>
      </c>
      <c r="Y583">
        <v>5</v>
      </c>
      <c r="Z583">
        <v>3</v>
      </c>
      <c r="AA583">
        <v>5</v>
      </c>
      <c r="AB583">
        <v>2</v>
      </c>
      <c r="AC583">
        <v>3</v>
      </c>
      <c r="AD583">
        <v>2</v>
      </c>
      <c r="AE583">
        <v>1</v>
      </c>
      <c r="AF583">
        <v>4</v>
      </c>
      <c r="AG583">
        <v>1</v>
      </c>
      <c r="AH583">
        <v>3</v>
      </c>
      <c r="AI583">
        <v>3</v>
      </c>
      <c r="AJ583">
        <v>2</v>
      </c>
      <c r="AK583" t="b">
        <f>Table67[[#This Row],[What is your age?]]&lt;&gt;"18 - 25"</f>
        <v>0</v>
      </c>
      <c r="AL583" t="b">
        <f t="shared" si="36"/>
        <v>0</v>
      </c>
      <c r="AM583" t="b">
        <f t="shared" si="37"/>
        <v>0</v>
      </c>
      <c r="AN583" t="b">
        <f t="shared" si="38"/>
        <v>1</v>
      </c>
      <c r="AO583" t="b">
        <f>OR(Table67[[#This Row],[Ineligible respondents]:[Inconsistent response on opposite question (3)]])</f>
        <v>1</v>
      </c>
      <c r="AP58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583">
        <f>Table67[[#This Row],[Extreme Response]]/21</f>
        <v>0.61904761904761907</v>
      </c>
      <c r="AR583">
        <f>_xlfn.PERCENTILE.INC(Table67[Extrem Response Ratio (ERS)],0.9)</f>
        <v>0.61904761904761907</v>
      </c>
      <c r="AS583" t="b">
        <f>Table67[[#This Row],[Extrem Response Ratio (ERS)]]&gt;=Table67[[#This Row],[Threshold of ERS]]</f>
        <v>1</v>
      </c>
      <c r="AT583">
        <f>COUNTIF(Table67[[#This Row],[The mechanism of digital assets is difficult to understand, which discourages me from exploring it (E.g, Tokenization, Blockchain)]:[If I want to try different ways to invest, I will explore digital assets.]], 3)</f>
        <v>5</v>
      </c>
      <c r="AU583">
        <f>Table67[[#This Row],[Midpoint]]/21</f>
        <v>0.23809523809523808</v>
      </c>
      <c r="AV583">
        <f>_xlfn.PERCENTILE.INC(Table67[Midpoint ratio],0.9)</f>
        <v>0.5714285714285714</v>
      </c>
      <c r="AW583" t="b">
        <f>Table67[[#This Row],[Midpoint ratio]]&gt;=Table67[[#This Row],[Threshold of Midpoint ratio]]</f>
        <v>0</v>
      </c>
      <c r="AX583" t="b">
        <f>OR(Table67[[#This Row],[Extreme Response Style]],Table67[[#This Row],[Mid-point Response Style]])</f>
        <v>1</v>
      </c>
      <c r="AY583" t="b">
        <f>OR(Table67[[#This Row],[Delete? (Stage 1)]],Table67[[#This Row],[Delete? (Stage 2)]])</f>
        <v>1</v>
      </c>
      <c r="AZ583" t="s">
        <v>84</v>
      </c>
    </row>
    <row r="584" spans="1:52">
      <c r="A584">
        <f t="shared" si="39"/>
        <v>583</v>
      </c>
      <c r="B584" s="3">
        <v>46049.729351851798</v>
      </c>
      <c r="C584" s="3">
        <v>46049.737349536997</v>
      </c>
      <c r="D584" t="s">
        <v>53</v>
      </c>
      <c r="G584" t="s">
        <v>54</v>
      </c>
      <c r="H584" t="s">
        <v>63</v>
      </c>
      <c r="I584" t="s">
        <v>75</v>
      </c>
      <c r="J584" t="s">
        <v>68</v>
      </c>
      <c r="K584" t="s">
        <v>64</v>
      </c>
      <c r="L584" t="s">
        <v>61</v>
      </c>
      <c r="M584" t="s">
        <v>61</v>
      </c>
      <c r="N584">
        <v>1</v>
      </c>
      <c r="O584">
        <v>2</v>
      </c>
      <c r="P584">
        <v>5</v>
      </c>
      <c r="Q584">
        <v>5</v>
      </c>
      <c r="R584">
        <v>5</v>
      </c>
      <c r="S584">
        <v>5</v>
      </c>
      <c r="T584">
        <v>1</v>
      </c>
      <c r="U584">
        <v>3</v>
      </c>
      <c r="V584">
        <v>1</v>
      </c>
      <c r="W584">
        <v>1</v>
      </c>
      <c r="X584">
        <v>1</v>
      </c>
      <c r="Y584">
        <v>1</v>
      </c>
      <c r="Z584">
        <v>1</v>
      </c>
      <c r="AA584">
        <v>1</v>
      </c>
      <c r="AB584">
        <v>2</v>
      </c>
      <c r="AC584">
        <v>4</v>
      </c>
      <c r="AD584">
        <v>1</v>
      </c>
      <c r="AE584">
        <v>1</v>
      </c>
      <c r="AF584">
        <v>5</v>
      </c>
      <c r="AG584">
        <v>1</v>
      </c>
      <c r="AH584">
        <v>5</v>
      </c>
      <c r="AI584">
        <v>1</v>
      </c>
      <c r="AJ584">
        <v>1</v>
      </c>
      <c r="AK584" t="b">
        <f>Table67[[#This Row],[What is your age?]]&lt;&gt;"18 - 25"</f>
        <v>0</v>
      </c>
      <c r="AL584" t="b">
        <f t="shared" si="36"/>
        <v>0</v>
      </c>
      <c r="AM584" t="b">
        <f t="shared" si="37"/>
        <v>0</v>
      </c>
      <c r="AN584" t="b">
        <f t="shared" si="38"/>
        <v>0</v>
      </c>
      <c r="AO584" t="b">
        <f>OR(Table67[[#This Row],[Ineligible respondents]:[Inconsistent response on opposite question (3)]])</f>
        <v>0</v>
      </c>
      <c r="AP58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17</v>
      </c>
      <c r="AQ584">
        <f>Table67[[#This Row],[Extreme Response]]/21</f>
        <v>0.80952380952380953</v>
      </c>
      <c r="AR584">
        <f>_xlfn.PERCENTILE.INC(Table67[Extrem Response Ratio (ERS)],0.9)</f>
        <v>0.61904761904761907</v>
      </c>
      <c r="AS584" t="b">
        <f>Table67[[#This Row],[Extrem Response Ratio (ERS)]]&gt;=Table67[[#This Row],[Threshold of ERS]]</f>
        <v>1</v>
      </c>
      <c r="AT584">
        <f>COUNTIF(Table67[[#This Row],[The mechanism of digital assets is difficult to understand, which discourages me from exploring it (E.g, Tokenization, Blockchain)]:[If I want to try different ways to invest, I will explore digital assets.]], 3)</f>
        <v>1</v>
      </c>
      <c r="AU584">
        <f>Table67[[#This Row],[Midpoint]]/21</f>
        <v>4.7619047619047616E-2</v>
      </c>
      <c r="AV584">
        <f>_xlfn.PERCENTILE.INC(Table67[Midpoint ratio],0.9)</f>
        <v>0.5714285714285714</v>
      </c>
      <c r="AW584" t="b">
        <f>Table67[[#This Row],[Midpoint ratio]]&gt;=Table67[[#This Row],[Threshold of Midpoint ratio]]</f>
        <v>0</v>
      </c>
      <c r="AX584" t="b">
        <f>OR(Table67[[#This Row],[Extreme Response Style]],Table67[[#This Row],[Mid-point Response Style]])</f>
        <v>1</v>
      </c>
      <c r="AY584" t="b">
        <f>OR(Table67[[#This Row],[Delete? (Stage 1)]],Table67[[#This Row],[Delete? (Stage 2)]])</f>
        <v>1</v>
      </c>
      <c r="AZ584" t="s">
        <v>84</v>
      </c>
    </row>
    <row r="585" spans="1:52">
      <c r="A585">
        <f t="shared" si="39"/>
        <v>584</v>
      </c>
      <c r="B585" s="3">
        <v>46049.729456018496</v>
      </c>
      <c r="C585" s="3">
        <v>46049.735393518502</v>
      </c>
      <c r="D585" t="s">
        <v>53</v>
      </c>
      <c r="G585" t="s">
        <v>54</v>
      </c>
      <c r="H585" t="s">
        <v>63</v>
      </c>
      <c r="I585" t="s">
        <v>71</v>
      </c>
      <c r="J585" t="s">
        <v>57</v>
      </c>
      <c r="K585" t="s">
        <v>57</v>
      </c>
      <c r="L585" t="s">
        <v>58</v>
      </c>
      <c r="M585" t="s">
        <v>58</v>
      </c>
      <c r="N585">
        <v>5</v>
      </c>
      <c r="O585">
        <v>2</v>
      </c>
      <c r="P585">
        <v>4</v>
      </c>
      <c r="Q585">
        <v>5</v>
      </c>
      <c r="R585">
        <v>5</v>
      </c>
      <c r="S585">
        <v>5</v>
      </c>
      <c r="T585">
        <v>5</v>
      </c>
      <c r="U585">
        <v>5</v>
      </c>
      <c r="V585">
        <v>5</v>
      </c>
      <c r="W585">
        <v>5</v>
      </c>
      <c r="X585">
        <v>5</v>
      </c>
      <c r="Y585">
        <v>5</v>
      </c>
      <c r="Z585">
        <v>5</v>
      </c>
      <c r="AA585">
        <v>5</v>
      </c>
      <c r="AB585">
        <v>5</v>
      </c>
      <c r="AC585">
        <v>5</v>
      </c>
      <c r="AD585">
        <v>5</v>
      </c>
      <c r="AE585">
        <v>4</v>
      </c>
      <c r="AF585">
        <v>1</v>
      </c>
      <c r="AG585">
        <v>5</v>
      </c>
      <c r="AH585">
        <v>1</v>
      </c>
      <c r="AI585">
        <v>5</v>
      </c>
      <c r="AJ585">
        <v>5</v>
      </c>
      <c r="AK585" t="b">
        <f>Table67[[#This Row],[What is your age?]]&lt;&gt;"18 - 25"</f>
        <v>0</v>
      </c>
      <c r="AL585" t="b">
        <f t="shared" si="36"/>
        <v>0</v>
      </c>
      <c r="AM585" t="b">
        <f t="shared" si="37"/>
        <v>0</v>
      </c>
      <c r="AN585" t="b">
        <f t="shared" si="38"/>
        <v>0</v>
      </c>
      <c r="AO585" t="b">
        <f>OR(Table67[[#This Row],[Ineligible respondents]:[Inconsistent response on opposite question (3)]])</f>
        <v>0</v>
      </c>
      <c r="AP58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18</v>
      </c>
      <c r="AQ585">
        <f>Table67[[#This Row],[Extreme Response]]/21</f>
        <v>0.8571428571428571</v>
      </c>
      <c r="AR585">
        <f>_xlfn.PERCENTILE.INC(Table67[Extrem Response Ratio (ERS)],0.9)</f>
        <v>0.61904761904761907</v>
      </c>
      <c r="AS585" t="b">
        <f>Table67[[#This Row],[Extrem Response Ratio (ERS)]]&gt;=Table67[[#This Row],[Threshold of ERS]]</f>
        <v>1</v>
      </c>
      <c r="AT585">
        <f>COUNTIF(Table67[[#This Row],[The mechanism of digital assets is difficult to understand, which discourages me from exploring it (E.g, Tokenization, Blockchain)]:[If I want to try different ways to invest, I will explore digital assets.]], 3)</f>
        <v>0</v>
      </c>
      <c r="AU585">
        <f>Table67[[#This Row],[Midpoint]]/21</f>
        <v>0</v>
      </c>
      <c r="AV585">
        <f>_xlfn.PERCENTILE.INC(Table67[Midpoint ratio],0.9)</f>
        <v>0.5714285714285714</v>
      </c>
      <c r="AW585" t="b">
        <f>Table67[[#This Row],[Midpoint ratio]]&gt;=Table67[[#This Row],[Threshold of Midpoint ratio]]</f>
        <v>0</v>
      </c>
      <c r="AX585" t="b">
        <f>OR(Table67[[#This Row],[Extreme Response Style]],Table67[[#This Row],[Mid-point Response Style]])</f>
        <v>1</v>
      </c>
      <c r="AY585" t="b">
        <f>OR(Table67[[#This Row],[Delete? (Stage 1)]],Table67[[#This Row],[Delete? (Stage 2)]])</f>
        <v>1</v>
      </c>
      <c r="AZ585" t="s">
        <v>84</v>
      </c>
    </row>
    <row r="586" spans="1:52">
      <c r="A586">
        <f t="shared" si="39"/>
        <v>585</v>
      </c>
      <c r="B586" s="3">
        <v>46049.729537036997</v>
      </c>
      <c r="C586" s="3">
        <v>46049.7316319444</v>
      </c>
      <c r="D586" t="s">
        <v>53</v>
      </c>
      <c r="G586" t="s">
        <v>54</v>
      </c>
      <c r="H586" t="s">
        <v>55</v>
      </c>
      <c r="I586" t="s">
        <v>71</v>
      </c>
      <c r="J586" t="s">
        <v>62</v>
      </c>
      <c r="K586" t="s">
        <v>57</v>
      </c>
      <c r="L586" t="s">
        <v>58</v>
      </c>
      <c r="M586" t="s">
        <v>58</v>
      </c>
      <c r="N586">
        <v>4</v>
      </c>
      <c r="O586">
        <v>1</v>
      </c>
      <c r="P586">
        <v>4</v>
      </c>
      <c r="Q586">
        <v>1</v>
      </c>
      <c r="R586">
        <v>1</v>
      </c>
      <c r="S586">
        <v>1</v>
      </c>
      <c r="T586">
        <v>3</v>
      </c>
      <c r="U586">
        <v>4</v>
      </c>
      <c r="V586">
        <v>1</v>
      </c>
      <c r="W586">
        <v>5</v>
      </c>
      <c r="X586">
        <v>4</v>
      </c>
      <c r="Y586">
        <v>4</v>
      </c>
      <c r="Z586">
        <v>5</v>
      </c>
      <c r="AA586">
        <v>1</v>
      </c>
      <c r="AB586">
        <v>1</v>
      </c>
      <c r="AC586">
        <v>3</v>
      </c>
      <c r="AD586">
        <v>3</v>
      </c>
      <c r="AE586">
        <v>3</v>
      </c>
      <c r="AF586">
        <v>1</v>
      </c>
      <c r="AG586">
        <v>1</v>
      </c>
      <c r="AH586">
        <v>1</v>
      </c>
      <c r="AI586">
        <v>5</v>
      </c>
      <c r="AJ586">
        <v>5</v>
      </c>
      <c r="AK586" t="b">
        <f>Table67[[#This Row],[What is your age?]]&lt;&gt;"18 - 25"</f>
        <v>0</v>
      </c>
      <c r="AL586" t="b">
        <f t="shared" si="36"/>
        <v>0</v>
      </c>
      <c r="AM586" t="b">
        <f t="shared" si="37"/>
        <v>1</v>
      </c>
      <c r="AN586" t="b">
        <f t="shared" si="38"/>
        <v>0</v>
      </c>
      <c r="AO586" t="b">
        <f>OR(Table67[[#This Row],[Ineligible respondents]:[Inconsistent response on opposite question (3)]])</f>
        <v>1</v>
      </c>
      <c r="AP58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12</v>
      </c>
      <c r="AQ586">
        <f>Table67[[#This Row],[Extreme Response]]/21</f>
        <v>0.5714285714285714</v>
      </c>
      <c r="AR586">
        <f>_xlfn.PERCENTILE.INC(Table67[Extrem Response Ratio (ERS)],0.9)</f>
        <v>0.61904761904761907</v>
      </c>
      <c r="AS586" t="b">
        <f>Table67[[#This Row],[Extrem Response Ratio (ERS)]]&gt;=Table67[[#This Row],[Threshold of ERS]]</f>
        <v>0</v>
      </c>
      <c r="AT586">
        <f>COUNTIF(Table67[[#This Row],[The mechanism of digital assets is difficult to understand, which discourages me from exploring it (E.g, Tokenization, Blockchain)]:[If I want to try different ways to invest, I will explore digital assets.]], 3)</f>
        <v>4</v>
      </c>
      <c r="AU586">
        <f>Table67[[#This Row],[Midpoint]]/21</f>
        <v>0.19047619047619047</v>
      </c>
      <c r="AV586">
        <f>_xlfn.PERCENTILE.INC(Table67[Midpoint ratio],0.9)</f>
        <v>0.5714285714285714</v>
      </c>
      <c r="AW586" t="b">
        <f>Table67[[#This Row],[Midpoint ratio]]&gt;=Table67[[#This Row],[Threshold of Midpoint ratio]]</f>
        <v>0</v>
      </c>
      <c r="AX586" t="b">
        <f>OR(Table67[[#This Row],[Extreme Response Style]],Table67[[#This Row],[Mid-point Response Style]])</f>
        <v>0</v>
      </c>
      <c r="AY586" t="b">
        <f>OR(Table67[[#This Row],[Delete? (Stage 1)]],Table67[[#This Row],[Delete? (Stage 2)]])</f>
        <v>1</v>
      </c>
      <c r="AZ586" t="s">
        <v>84</v>
      </c>
    </row>
    <row r="587" spans="1:52">
      <c r="A587">
        <f t="shared" si="39"/>
        <v>586</v>
      </c>
      <c r="B587" s="3">
        <v>46049.729652777802</v>
      </c>
      <c r="C587" s="3">
        <v>46049.732858796298</v>
      </c>
      <c r="D587" t="s">
        <v>53</v>
      </c>
      <c r="G587" t="s">
        <v>54</v>
      </c>
      <c r="H587" t="s">
        <v>63</v>
      </c>
      <c r="I587" t="s">
        <v>75</v>
      </c>
      <c r="J587" t="s">
        <v>62</v>
      </c>
      <c r="K587" t="s">
        <v>62</v>
      </c>
      <c r="L587" t="s">
        <v>61</v>
      </c>
      <c r="M587" t="s">
        <v>61</v>
      </c>
      <c r="N587">
        <v>5</v>
      </c>
      <c r="O587">
        <v>5</v>
      </c>
      <c r="P587">
        <v>5</v>
      </c>
      <c r="Q587">
        <v>3</v>
      </c>
      <c r="R587">
        <v>5</v>
      </c>
      <c r="S587">
        <v>5</v>
      </c>
      <c r="T587">
        <v>2</v>
      </c>
      <c r="U587">
        <v>3</v>
      </c>
      <c r="V587">
        <v>5</v>
      </c>
      <c r="W587">
        <v>5</v>
      </c>
      <c r="X587">
        <v>5</v>
      </c>
      <c r="Y587">
        <v>5</v>
      </c>
      <c r="Z587">
        <v>5</v>
      </c>
      <c r="AA587">
        <v>5</v>
      </c>
      <c r="AB587">
        <v>2</v>
      </c>
      <c r="AC587">
        <v>2</v>
      </c>
      <c r="AD587">
        <v>5</v>
      </c>
      <c r="AE587">
        <v>5</v>
      </c>
      <c r="AF587">
        <v>3</v>
      </c>
      <c r="AG587">
        <v>1</v>
      </c>
      <c r="AH587">
        <v>4</v>
      </c>
      <c r="AI587">
        <v>2</v>
      </c>
      <c r="AJ587">
        <v>3</v>
      </c>
      <c r="AK587" t="b">
        <f>Table67[[#This Row],[What is your age?]]&lt;&gt;"18 - 25"</f>
        <v>0</v>
      </c>
      <c r="AL587" t="b">
        <f t="shared" si="36"/>
        <v>0</v>
      </c>
      <c r="AM587" t="b">
        <f t="shared" si="37"/>
        <v>0</v>
      </c>
      <c r="AN587" t="b">
        <f t="shared" si="38"/>
        <v>0</v>
      </c>
      <c r="AO587" t="b">
        <f>OR(Table67[[#This Row],[Ineligible respondents]:[Inconsistent response on opposite question (3)]])</f>
        <v>0</v>
      </c>
      <c r="AP58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587">
        <f>Table67[[#This Row],[Extreme Response]]/21</f>
        <v>0.66666666666666663</v>
      </c>
      <c r="AR587">
        <f>_xlfn.PERCENTILE.INC(Table67[Extrem Response Ratio (ERS)],0.9)</f>
        <v>0.61904761904761907</v>
      </c>
      <c r="AS587" t="b">
        <f>Table67[[#This Row],[Extrem Response Ratio (ERS)]]&gt;=Table67[[#This Row],[Threshold of ERS]]</f>
        <v>1</v>
      </c>
      <c r="AT587">
        <f>COUNTIF(Table67[[#This Row],[The mechanism of digital assets is difficult to understand, which discourages me from exploring it (E.g, Tokenization, Blockchain)]:[If I want to try different ways to invest, I will explore digital assets.]], 3)</f>
        <v>3</v>
      </c>
      <c r="AU587">
        <f>Table67[[#This Row],[Midpoint]]/21</f>
        <v>0.14285714285714285</v>
      </c>
      <c r="AV587">
        <f>_xlfn.PERCENTILE.INC(Table67[Midpoint ratio],0.9)</f>
        <v>0.5714285714285714</v>
      </c>
      <c r="AW587" t="b">
        <f>Table67[[#This Row],[Midpoint ratio]]&gt;=Table67[[#This Row],[Threshold of Midpoint ratio]]</f>
        <v>0</v>
      </c>
      <c r="AX587" t="b">
        <f>OR(Table67[[#This Row],[Extreme Response Style]],Table67[[#This Row],[Mid-point Response Style]])</f>
        <v>1</v>
      </c>
      <c r="AY587" t="b">
        <f>OR(Table67[[#This Row],[Delete? (Stage 1)]],Table67[[#This Row],[Delete? (Stage 2)]])</f>
        <v>1</v>
      </c>
      <c r="AZ587" t="s">
        <v>84</v>
      </c>
    </row>
    <row r="588" spans="1:52">
      <c r="A588">
        <f t="shared" si="39"/>
        <v>587</v>
      </c>
      <c r="B588" s="3">
        <v>46049.729976851799</v>
      </c>
      <c r="C588" s="3">
        <v>46049.732604166697</v>
      </c>
      <c r="D588" t="s">
        <v>53</v>
      </c>
      <c r="G588" t="s">
        <v>54</v>
      </c>
      <c r="H588" t="s">
        <v>55</v>
      </c>
      <c r="I588" t="s">
        <v>75</v>
      </c>
      <c r="J588" t="s">
        <v>57</v>
      </c>
      <c r="K588" t="s">
        <v>62</v>
      </c>
      <c r="L588" t="s">
        <v>58</v>
      </c>
      <c r="M588" t="s">
        <v>58</v>
      </c>
      <c r="N588">
        <v>4</v>
      </c>
      <c r="O588">
        <v>3</v>
      </c>
      <c r="P588">
        <v>5</v>
      </c>
      <c r="Q588">
        <v>4</v>
      </c>
      <c r="R588">
        <v>3</v>
      </c>
      <c r="S588">
        <v>3</v>
      </c>
      <c r="T588">
        <v>3</v>
      </c>
      <c r="U588">
        <v>4</v>
      </c>
      <c r="V588">
        <v>5</v>
      </c>
      <c r="W588">
        <v>5</v>
      </c>
      <c r="X588">
        <v>4</v>
      </c>
      <c r="Y588">
        <v>4</v>
      </c>
      <c r="Z588">
        <v>3</v>
      </c>
      <c r="AA588">
        <v>4</v>
      </c>
      <c r="AB588">
        <v>2</v>
      </c>
      <c r="AC588">
        <v>4</v>
      </c>
      <c r="AD588">
        <v>5</v>
      </c>
      <c r="AE588">
        <v>4</v>
      </c>
      <c r="AF588">
        <v>3</v>
      </c>
      <c r="AG588">
        <v>3</v>
      </c>
      <c r="AH588">
        <v>4</v>
      </c>
      <c r="AI588">
        <v>2</v>
      </c>
      <c r="AJ588">
        <v>3</v>
      </c>
      <c r="AK588" t="b">
        <f>Table67[[#This Row],[What is your age?]]&lt;&gt;"18 - 25"</f>
        <v>0</v>
      </c>
      <c r="AL588" t="b">
        <f t="shared" si="36"/>
        <v>0</v>
      </c>
      <c r="AM588" t="b">
        <f t="shared" si="37"/>
        <v>0</v>
      </c>
      <c r="AN588" t="b">
        <f t="shared" si="38"/>
        <v>1</v>
      </c>
      <c r="AO588" t="b">
        <f>OR(Table67[[#This Row],[Ineligible respondents]:[Inconsistent response on opposite question (3)]])</f>
        <v>1</v>
      </c>
      <c r="AP58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588">
        <f>Table67[[#This Row],[Extreme Response]]/21</f>
        <v>0.19047619047619047</v>
      </c>
      <c r="AR588">
        <f>_xlfn.PERCENTILE.INC(Table67[Extrem Response Ratio (ERS)],0.9)</f>
        <v>0.61904761904761907</v>
      </c>
      <c r="AS588" t="b">
        <f>Table67[[#This Row],[Extrem Response Ratio (ERS)]]&gt;=Table67[[#This Row],[Threshold of ERS]]</f>
        <v>0</v>
      </c>
      <c r="AT588">
        <f>COUNTIF(Table67[[#This Row],[The mechanism of digital assets is difficult to understand, which discourages me from exploring it (E.g, Tokenization, Blockchain)]:[If I want to try different ways to invest, I will explore digital assets.]], 3)</f>
        <v>7</v>
      </c>
      <c r="AU588">
        <f>Table67[[#This Row],[Midpoint]]/21</f>
        <v>0.33333333333333331</v>
      </c>
      <c r="AV588">
        <f>_xlfn.PERCENTILE.INC(Table67[Midpoint ratio],0.9)</f>
        <v>0.5714285714285714</v>
      </c>
      <c r="AW588" t="b">
        <f>Table67[[#This Row],[Midpoint ratio]]&gt;=Table67[[#This Row],[Threshold of Midpoint ratio]]</f>
        <v>0</v>
      </c>
      <c r="AX588" t="b">
        <f>OR(Table67[[#This Row],[Extreme Response Style]],Table67[[#This Row],[Mid-point Response Style]])</f>
        <v>0</v>
      </c>
      <c r="AY588" t="b">
        <f>OR(Table67[[#This Row],[Delete? (Stage 1)]],Table67[[#This Row],[Delete? (Stage 2)]])</f>
        <v>1</v>
      </c>
      <c r="AZ588" t="s">
        <v>84</v>
      </c>
    </row>
    <row r="589" spans="1:52">
      <c r="A589">
        <f t="shared" si="39"/>
        <v>588</v>
      </c>
      <c r="B589" s="3">
        <v>46049.729988425897</v>
      </c>
      <c r="C589" s="3">
        <v>46049.7335648148</v>
      </c>
      <c r="D589" t="s">
        <v>53</v>
      </c>
      <c r="G589" t="s">
        <v>54</v>
      </c>
      <c r="H589" t="s">
        <v>55</v>
      </c>
      <c r="I589" t="s">
        <v>75</v>
      </c>
      <c r="J589" t="s">
        <v>62</v>
      </c>
      <c r="K589" t="s">
        <v>57</v>
      </c>
      <c r="L589" t="s">
        <v>58</v>
      </c>
      <c r="M589" t="s">
        <v>58</v>
      </c>
      <c r="N589">
        <v>4</v>
      </c>
      <c r="O589">
        <v>4</v>
      </c>
      <c r="P589">
        <v>3</v>
      </c>
      <c r="Q589">
        <v>4</v>
      </c>
      <c r="R589">
        <v>4</v>
      </c>
      <c r="S589">
        <v>4</v>
      </c>
      <c r="T589">
        <v>5</v>
      </c>
      <c r="U589">
        <v>5</v>
      </c>
      <c r="V589">
        <v>3</v>
      </c>
      <c r="W589">
        <v>4</v>
      </c>
      <c r="X589">
        <v>4</v>
      </c>
      <c r="Y589">
        <v>4</v>
      </c>
      <c r="Z589">
        <v>5</v>
      </c>
      <c r="AA589">
        <v>4</v>
      </c>
      <c r="AB589">
        <v>5</v>
      </c>
      <c r="AC589">
        <v>5</v>
      </c>
      <c r="AD589">
        <v>5</v>
      </c>
      <c r="AE589">
        <v>4</v>
      </c>
      <c r="AF589">
        <v>2</v>
      </c>
      <c r="AG589">
        <v>4</v>
      </c>
      <c r="AH589">
        <v>3</v>
      </c>
      <c r="AI589">
        <v>3</v>
      </c>
      <c r="AJ589">
        <v>4</v>
      </c>
      <c r="AK589" t="b">
        <f>Table67[[#This Row],[What is your age?]]&lt;&gt;"18 - 25"</f>
        <v>0</v>
      </c>
      <c r="AL589" t="b">
        <f t="shared" si="36"/>
        <v>0</v>
      </c>
      <c r="AM589" t="b">
        <f t="shared" si="37"/>
        <v>0</v>
      </c>
      <c r="AN589" t="b">
        <f t="shared" si="38"/>
        <v>1</v>
      </c>
      <c r="AO589" t="b">
        <f>OR(Table67[[#This Row],[Ineligible respondents]:[Inconsistent response on opposite question (3)]])</f>
        <v>1</v>
      </c>
      <c r="AP58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589">
        <f>Table67[[#This Row],[Extreme Response]]/21</f>
        <v>0.2857142857142857</v>
      </c>
      <c r="AR589">
        <f>_xlfn.PERCENTILE.INC(Table67[Extrem Response Ratio (ERS)],0.9)</f>
        <v>0.61904761904761907</v>
      </c>
      <c r="AS589" t="b">
        <f>Table67[[#This Row],[Extrem Response Ratio (ERS)]]&gt;=Table67[[#This Row],[Threshold of ERS]]</f>
        <v>0</v>
      </c>
      <c r="AT589">
        <f>COUNTIF(Table67[[#This Row],[The mechanism of digital assets is difficult to understand, which discourages me from exploring it (E.g, Tokenization, Blockchain)]:[If I want to try different ways to invest, I will explore digital assets.]], 3)</f>
        <v>3</v>
      </c>
      <c r="AU589">
        <f>Table67[[#This Row],[Midpoint]]/21</f>
        <v>0.14285714285714285</v>
      </c>
      <c r="AV589">
        <f>_xlfn.PERCENTILE.INC(Table67[Midpoint ratio],0.9)</f>
        <v>0.5714285714285714</v>
      </c>
      <c r="AW589" t="b">
        <f>Table67[[#This Row],[Midpoint ratio]]&gt;=Table67[[#This Row],[Threshold of Midpoint ratio]]</f>
        <v>0</v>
      </c>
      <c r="AX589" t="b">
        <f>OR(Table67[[#This Row],[Extreme Response Style]],Table67[[#This Row],[Mid-point Response Style]])</f>
        <v>0</v>
      </c>
      <c r="AY589" t="b">
        <f>OR(Table67[[#This Row],[Delete? (Stage 1)]],Table67[[#This Row],[Delete? (Stage 2)]])</f>
        <v>1</v>
      </c>
      <c r="AZ589" t="s">
        <v>84</v>
      </c>
    </row>
    <row r="590" spans="1:52">
      <c r="A590">
        <f t="shared" si="39"/>
        <v>589</v>
      </c>
      <c r="B590" s="3">
        <v>46049.730011574102</v>
      </c>
      <c r="C590" s="3">
        <v>46049.734722222202</v>
      </c>
      <c r="D590" t="s">
        <v>53</v>
      </c>
      <c r="G590" t="s">
        <v>54</v>
      </c>
      <c r="H590" t="s">
        <v>63</v>
      </c>
      <c r="I590" t="s">
        <v>71</v>
      </c>
      <c r="J590" t="s">
        <v>62</v>
      </c>
      <c r="K590" t="s">
        <v>62</v>
      </c>
      <c r="L590" t="s">
        <v>58</v>
      </c>
      <c r="M590" t="s">
        <v>58</v>
      </c>
      <c r="N590">
        <v>4</v>
      </c>
      <c r="O590">
        <v>3</v>
      </c>
      <c r="P590">
        <v>4</v>
      </c>
      <c r="Q590">
        <v>2</v>
      </c>
      <c r="R590">
        <v>4</v>
      </c>
      <c r="S590">
        <v>5</v>
      </c>
      <c r="T590">
        <v>5</v>
      </c>
      <c r="U590">
        <v>5</v>
      </c>
      <c r="V590">
        <v>5</v>
      </c>
      <c r="W590">
        <v>5</v>
      </c>
      <c r="X590">
        <v>5</v>
      </c>
      <c r="Y590">
        <v>5</v>
      </c>
      <c r="Z590">
        <v>5</v>
      </c>
      <c r="AA590">
        <v>5</v>
      </c>
      <c r="AB590">
        <v>3</v>
      </c>
      <c r="AC590">
        <v>3</v>
      </c>
      <c r="AD590">
        <v>5</v>
      </c>
      <c r="AE590">
        <v>5</v>
      </c>
      <c r="AF590">
        <v>1</v>
      </c>
      <c r="AG590">
        <v>5</v>
      </c>
      <c r="AH590">
        <v>1</v>
      </c>
      <c r="AI590">
        <v>5</v>
      </c>
      <c r="AJ590">
        <v>5</v>
      </c>
      <c r="AK590" t="b">
        <f>Table67[[#This Row],[What is your age?]]&lt;&gt;"18 - 25"</f>
        <v>0</v>
      </c>
      <c r="AL590" t="b">
        <f t="shared" si="36"/>
        <v>0</v>
      </c>
      <c r="AM590" t="b">
        <f t="shared" si="37"/>
        <v>0</v>
      </c>
      <c r="AN590" t="b">
        <f t="shared" si="38"/>
        <v>0</v>
      </c>
      <c r="AO590" t="b">
        <f>OR(Table67[[#This Row],[Ineligible respondents]:[Inconsistent response on opposite question (3)]])</f>
        <v>0</v>
      </c>
      <c r="AP59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590">
        <f>Table67[[#This Row],[Extreme Response]]/21</f>
        <v>0.66666666666666663</v>
      </c>
      <c r="AR590">
        <f>_xlfn.PERCENTILE.INC(Table67[Extrem Response Ratio (ERS)],0.9)</f>
        <v>0.61904761904761907</v>
      </c>
      <c r="AS590" t="b">
        <f>Table67[[#This Row],[Extrem Response Ratio (ERS)]]&gt;=Table67[[#This Row],[Threshold of ERS]]</f>
        <v>1</v>
      </c>
      <c r="AT590">
        <f>COUNTIF(Table67[[#This Row],[The mechanism of digital assets is difficult to understand, which discourages me from exploring it (E.g, Tokenization, Blockchain)]:[If I want to try different ways to invest, I will explore digital assets.]], 3)</f>
        <v>3</v>
      </c>
      <c r="AU590">
        <f>Table67[[#This Row],[Midpoint]]/21</f>
        <v>0.14285714285714285</v>
      </c>
      <c r="AV590">
        <f>_xlfn.PERCENTILE.INC(Table67[Midpoint ratio],0.9)</f>
        <v>0.5714285714285714</v>
      </c>
      <c r="AW590" t="b">
        <f>Table67[[#This Row],[Midpoint ratio]]&gt;=Table67[[#This Row],[Threshold of Midpoint ratio]]</f>
        <v>0</v>
      </c>
      <c r="AX590" t="b">
        <f>OR(Table67[[#This Row],[Extreme Response Style]],Table67[[#This Row],[Mid-point Response Style]])</f>
        <v>1</v>
      </c>
      <c r="AY590" t="b">
        <f>OR(Table67[[#This Row],[Delete? (Stage 1)]],Table67[[#This Row],[Delete? (Stage 2)]])</f>
        <v>1</v>
      </c>
      <c r="AZ590" t="s">
        <v>84</v>
      </c>
    </row>
    <row r="591" spans="1:52">
      <c r="A591">
        <f t="shared" si="39"/>
        <v>590</v>
      </c>
      <c r="B591" s="3">
        <v>46049.730196759301</v>
      </c>
      <c r="C591" s="3">
        <v>46049.7354513889</v>
      </c>
      <c r="D591" t="s">
        <v>53</v>
      </c>
      <c r="G591" t="s">
        <v>54</v>
      </c>
      <c r="H591" t="s">
        <v>63</v>
      </c>
      <c r="I591" t="s">
        <v>56</v>
      </c>
      <c r="J591" t="s">
        <v>64</v>
      </c>
      <c r="K591" t="s">
        <v>62</v>
      </c>
      <c r="L591" t="s">
        <v>61</v>
      </c>
      <c r="M591" t="s">
        <v>58</v>
      </c>
      <c r="N591">
        <v>3</v>
      </c>
      <c r="O591">
        <v>3</v>
      </c>
      <c r="P591">
        <v>2</v>
      </c>
      <c r="Q591">
        <v>2</v>
      </c>
      <c r="R591">
        <v>2</v>
      </c>
      <c r="S591">
        <v>4</v>
      </c>
      <c r="T591">
        <v>2</v>
      </c>
      <c r="U591">
        <v>2</v>
      </c>
      <c r="V591">
        <v>4</v>
      </c>
      <c r="W591">
        <v>3</v>
      </c>
      <c r="X591">
        <v>3</v>
      </c>
      <c r="Y591">
        <v>3</v>
      </c>
      <c r="Z591">
        <v>4</v>
      </c>
      <c r="AA591">
        <v>3</v>
      </c>
      <c r="AB591">
        <v>4</v>
      </c>
      <c r="AC591">
        <v>4</v>
      </c>
      <c r="AD591">
        <v>4</v>
      </c>
      <c r="AE591">
        <v>3</v>
      </c>
      <c r="AF591">
        <v>3</v>
      </c>
      <c r="AG591">
        <v>3</v>
      </c>
      <c r="AH591">
        <v>3</v>
      </c>
      <c r="AI591">
        <v>3</v>
      </c>
      <c r="AJ591">
        <v>3</v>
      </c>
      <c r="AK591" t="b">
        <f>Table67[[#This Row],[What is your age?]]&lt;&gt;"18 - 25"</f>
        <v>0</v>
      </c>
      <c r="AL591" t="b">
        <f t="shared" si="36"/>
        <v>0</v>
      </c>
      <c r="AM591" t="b">
        <f t="shared" si="37"/>
        <v>0</v>
      </c>
      <c r="AN591" t="b">
        <f t="shared" si="38"/>
        <v>0</v>
      </c>
      <c r="AO591" t="b">
        <f>OR(Table67[[#This Row],[Ineligible respondents]:[Inconsistent response on opposite question (3)]])</f>
        <v>0</v>
      </c>
      <c r="AP59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591">
        <f>Table67[[#This Row],[Extreme Response]]/21</f>
        <v>0</v>
      </c>
      <c r="AR591">
        <f>_xlfn.PERCENTILE.INC(Table67[Extrem Response Ratio (ERS)],0.9)</f>
        <v>0.61904761904761907</v>
      </c>
      <c r="AS591" t="b">
        <f>Table67[[#This Row],[Extrem Response Ratio (ERS)]]&gt;=Table67[[#This Row],[Threshold of ERS]]</f>
        <v>0</v>
      </c>
      <c r="AT591">
        <f>COUNTIF(Table67[[#This Row],[The mechanism of digital assets is difficult to understand, which discourages me from exploring it (E.g, Tokenization, Blockchain)]:[If I want to try different ways to invest, I will explore digital assets.]], 3)</f>
        <v>10</v>
      </c>
      <c r="AU591">
        <f>Table67[[#This Row],[Midpoint]]/21</f>
        <v>0.47619047619047616</v>
      </c>
      <c r="AV591">
        <f>_xlfn.PERCENTILE.INC(Table67[Midpoint ratio],0.9)</f>
        <v>0.5714285714285714</v>
      </c>
      <c r="AW591" t="b">
        <f>Table67[[#This Row],[Midpoint ratio]]&gt;=Table67[[#This Row],[Threshold of Midpoint ratio]]</f>
        <v>0</v>
      </c>
      <c r="AX591" t="b">
        <f>OR(Table67[[#This Row],[Extreme Response Style]],Table67[[#This Row],[Mid-point Response Style]])</f>
        <v>0</v>
      </c>
      <c r="AY591" t="b">
        <f>OR(Table67[[#This Row],[Delete? (Stage 1)]],Table67[[#This Row],[Delete? (Stage 2)]])</f>
        <v>0</v>
      </c>
      <c r="AZ591" t="s">
        <v>84</v>
      </c>
    </row>
    <row r="592" spans="1:52">
      <c r="A592">
        <f t="shared" si="39"/>
        <v>591</v>
      </c>
      <c r="B592" s="3">
        <v>46049.730231481502</v>
      </c>
      <c r="C592" s="3">
        <v>46049.731770833299</v>
      </c>
      <c r="D592" t="s">
        <v>53</v>
      </c>
      <c r="G592" t="s">
        <v>54</v>
      </c>
      <c r="H592" t="s">
        <v>63</v>
      </c>
      <c r="I592" t="s">
        <v>56</v>
      </c>
      <c r="J592" t="s">
        <v>60</v>
      </c>
      <c r="K592" t="s">
        <v>62</v>
      </c>
      <c r="L592" t="s">
        <v>58</v>
      </c>
      <c r="M592" t="s">
        <v>58</v>
      </c>
      <c r="N592">
        <v>3</v>
      </c>
      <c r="O592">
        <v>3</v>
      </c>
      <c r="P592">
        <v>4</v>
      </c>
      <c r="Q592">
        <v>4</v>
      </c>
      <c r="R592">
        <v>5</v>
      </c>
      <c r="S592">
        <v>4</v>
      </c>
      <c r="T592">
        <v>5</v>
      </c>
      <c r="U592">
        <v>5</v>
      </c>
      <c r="V592">
        <v>5</v>
      </c>
      <c r="W592">
        <v>4</v>
      </c>
      <c r="X592">
        <v>5</v>
      </c>
      <c r="Y592">
        <v>5</v>
      </c>
      <c r="Z592">
        <v>3</v>
      </c>
      <c r="AA592">
        <v>4</v>
      </c>
      <c r="AB592">
        <v>4</v>
      </c>
      <c r="AC592">
        <v>3</v>
      </c>
      <c r="AD592">
        <v>5</v>
      </c>
      <c r="AE592">
        <v>4</v>
      </c>
      <c r="AF592">
        <v>5</v>
      </c>
      <c r="AG592">
        <v>3</v>
      </c>
      <c r="AH592">
        <v>5</v>
      </c>
      <c r="AI592">
        <v>1</v>
      </c>
      <c r="AJ592">
        <v>1</v>
      </c>
      <c r="AK592" t="b">
        <f>Table67[[#This Row],[What is your age?]]&lt;&gt;"18 - 25"</f>
        <v>0</v>
      </c>
      <c r="AL592" t="b">
        <f t="shared" si="36"/>
        <v>0</v>
      </c>
      <c r="AM592" t="b">
        <f t="shared" si="37"/>
        <v>0</v>
      </c>
      <c r="AN592" t="b">
        <f t="shared" si="38"/>
        <v>1</v>
      </c>
      <c r="AO592" t="b">
        <f>OR(Table67[[#This Row],[Ineligible respondents]:[Inconsistent response on opposite question (3)]])</f>
        <v>1</v>
      </c>
      <c r="AP59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592">
        <f>Table67[[#This Row],[Extreme Response]]/21</f>
        <v>0.42857142857142855</v>
      </c>
      <c r="AR592">
        <f>_xlfn.PERCENTILE.INC(Table67[Extrem Response Ratio (ERS)],0.9)</f>
        <v>0.61904761904761907</v>
      </c>
      <c r="AS592" t="b">
        <f>Table67[[#This Row],[Extrem Response Ratio (ERS)]]&gt;=Table67[[#This Row],[Threshold of ERS]]</f>
        <v>0</v>
      </c>
      <c r="AT592">
        <f>COUNTIF(Table67[[#This Row],[The mechanism of digital assets is difficult to understand, which discourages me from exploring it (E.g, Tokenization, Blockchain)]:[If I want to try different ways to invest, I will explore digital assets.]], 3)</f>
        <v>5</v>
      </c>
      <c r="AU592">
        <f>Table67[[#This Row],[Midpoint]]/21</f>
        <v>0.23809523809523808</v>
      </c>
      <c r="AV592">
        <f>_xlfn.PERCENTILE.INC(Table67[Midpoint ratio],0.9)</f>
        <v>0.5714285714285714</v>
      </c>
      <c r="AW592" t="b">
        <f>Table67[[#This Row],[Midpoint ratio]]&gt;=Table67[[#This Row],[Threshold of Midpoint ratio]]</f>
        <v>0</v>
      </c>
      <c r="AX592" t="b">
        <f>OR(Table67[[#This Row],[Extreme Response Style]],Table67[[#This Row],[Mid-point Response Style]])</f>
        <v>0</v>
      </c>
      <c r="AY592" t="b">
        <f>OR(Table67[[#This Row],[Delete? (Stage 1)]],Table67[[#This Row],[Delete? (Stage 2)]])</f>
        <v>1</v>
      </c>
      <c r="AZ592" t="s">
        <v>84</v>
      </c>
    </row>
    <row r="593" spans="1:52">
      <c r="A593">
        <f t="shared" si="39"/>
        <v>592</v>
      </c>
      <c r="B593" s="3">
        <v>46049.730254629598</v>
      </c>
      <c r="C593" s="3">
        <v>46049.733541666697</v>
      </c>
      <c r="D593" t="s">
        <v>53</v>
      </c>
      <c r="G593" t="s">
        <v>54</v>
      </c>
      <c r="H593" t="s">
        <v>63</v>
      </c>
      <c r="I593" t="s">
        <v>56</v>
      </c>
      <c r="J593" t="s">
        <v>62</v>
      </c>
      <c r="K593" t="s">
        <v>57</v>
      </c>
      <c r="L593" t="s">
        <v>58</v>
      </c>
      <c r="M593" t="s">
        <v>58</v>
      </c>
      <c r="N593">
        <v>4</v>
      </c>
      <c r="O593">
        <v>4</v>
      </c>
      <c r="P593">
        <v>3</v>
      </c>
      <c r="Q593">
        <v>4</v>
      </c>
      <c r="R593">
        <v>4</v>
      </c>
      <c r="S593">
        <v>4</v>
      </c>
      <c r="T593">
        <v>3</v>
      </c>
      <c r="U593">
        <v>4</v>
      </c>
      <c r="V593">
        <v>5</v>
      </c>
      <c r="W593">
        <v>5</v>
      </c>
      <c r="X593">
        <v>4</v>
      </c>
      <c r="Y593">
        <v>4</v>
      </c>
      <c r="Z593">
        <v>4</v>
      </c>
      <c r="AA593">
        <v>4</v>
      </c>
      <c r="AB593">
        <v>4</v>
      </c>
      <c r="AC593">
        <v>3</v>
      </c>
      <c r="AD593">
        <v>4</v>
      </c>
      <c r="AE593">
        <v>5</v>
      </c>
      <c r="AF593">
        <v>2</v>
      </c>
      <c r="AG593">
        <v>4</v>
      </c>
      <c r="AH593">
        <v>3</v>
      </c>
      <c r="AI593">
        <v>3</v>
      </c>
      <c r="AJ593">
        <v>4</v>
      </c>
      <c r="AK593" t="b">
        <f>Table67[[#This Row],[What is your age?]]&lt;&gt;"18 - 25"</f>
        <v>0</v>
      </c>
      <c r="AL593" t="b">
        <f t="shared" si="36"/>
        <v>0</v>
      </c>
      <c r="AM593" t="b">
        <f t="shared" si="37"/>
        <v>0</v>
      </c>
      <c r="AN593" t="b">
        <f t="shared" si="38"/>
        <v>1</v>
      </c>
      <c r="AO593" t="b">
        <f>OR(Table67[[#This Row],[Ineligible respondents]:[Inconsistent response on opposite question (3)]])</f>
        <v>1</v>
      </c>
      <c r="AP59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593">
        <f>Table67[[#This Row],[Extreme Response]]/21</f>
        <v>0.14285714285714285</v>
      </c>
      <c r="AR593">
        <f>_xlfn.PERCENTILE.INC(Table67[Extrem Response Ratio (ERS)],0.9)</f>
        <v>0.61904761904761907</v>
      </c>
      <c r="AS593" t="b">
        <f>Table67[[#This Row],[Extrem Response Ratio (ERS)]]&gt;=Table67[[#This Row],[Threshold of ERS]]</f>
        <v>0</v>
      </c>
      <c r="AT593">
        <f>COUNTIF(Table67[[#This Row],[The mechanism of digital assets is difficult to understand, which discourages me from exploring it (E.g, Tokenization, Blockchain)]:[If I want to try different ways to invest, I will explore digital assets.]], 3)</f>
        <v>4</v>
      </c>
      <c r="AU593">
        <f>Table67[[#This Row],[Midpoint]]/21</f>
        <v>0.19047619047619047</v>
      </c>
      <c r="AV593">
        <f>_xlfn.PERCENTILE.INC(Table67[Midpoint ratio],0.9)</f>
        <v>0.5714285714285714</v>
      </c>
      <c r="AW593" t="b">
        <f>Table67[[#This Row],[Midpoint ratio]]&gt;=Table67[[#This Row],[Threshold of Midpoint ratio]]</f>
        <v>0</v>
      </c>
      <c r="AX593" t="b">
        <f>OR(Table67[[#This Row],[Extreme Response Style]],Table67[[#This Row],[Mid-point Response Style]])</f>
        <v>0</v>
      </c>
      <c r="AY593" t="b">
        <f>OR(Table67[[#This Row],[Delete? (Stage 1)]],Table67[[#This Row],[Delete? (Stage 2)]])</f>
        <v>1</v>
      </c>
      <c r="AZ593" t="s">
        <v>84</v>
      </c>
    </row>
    <row r="594" spans="1:52">
      <c r="A594">
        <f t="shared" si="39"/>
        <v>593</v>
      </c>
      <c r="B594" s="3">
        <v>46049.730428240699</v>
      </c>
      <c r="C594" s="3">
        <v>46049.738773148099</v>
      </c>
      <c r="D594" t="s">
        <v>53</v>
      </c>
      <c r="G594" t="s">
        <v>54</v>
      </c>
      <c r="H594" t="s">
        <v>63</v>
      </c>
      <c r="I594" t="s">
        <v>75</v>
      </c>
      <c r="J594" t="s">
        <v>62</v>
      </c>
      <c r="K594" t="s">
        <v>57</v>
      </c>
      <c r="L594" t="s">
        <v>58</v>
      </c>
      <c r="M594" t="s">
        <v>58</v>
      </c>
      <c r="N594">
        <v>2</v>
      </c>
      <c r="O594">
        <v>1</v>
      </c>
      <c r="P594">
        <v>4</v>
      </c>
      <c r="Q594">
        <v>4</v>
      </c>
      <c r="R594">
        <v>4</v>
      </c>
      <c r="S594">
        <v>4</v>
      </c>
      <c r="T594">
        <v>4</v>
      </c>
      <c r="U594">
        <v>5</v>
      </c>
      <c r="V594">
        <v>4</v>
      </c>
      <c r="W594">
        <v>4</v>
      </c>
      <c r="X594">
        <v>4</v>
      </c>
      <c r="Y594">
        <v>4</v>
      </c>
      <c r="Z594">
        <v>5</v>
      </c>
      <c r="AA594">
        <v>4</v>
      </c>
      <c r="AB594">
        <v>4</v>
      </c>
      <c r="AC594">
        <v>3</v>
      </c>
      <c r="AD594">
        <v>5</v>
      </c>
      <c r="AE594">
        <v>4</v>
      </c>
      <c r="AF594">
        <v>2</v>
      </c>
      <c r="AG594">
        <v>2</v>
      </c>
      <c r="AH594">
        <v>1</v>
      </c>
      <c r="AI594">
        <v>5</v>
      </c>
      <c r="AJ594">
        <v>4</v>
      </c>
      <c r="AK594" t="b">
        <f>Table67[[#This Row],[What is your age?]]&lt;&gt;"18 - 25"</f>
        <v>0</v>
      </c>
      <c r="AL594" t="b">
        <f t="shared" si="36"/>
        <v>0</v>
      </c>
      <c r="AM594" t="b">
        <f t="shared" si="37"/>
        <v>1</v>
      </c>
      <c r="AN594" t="b">
        <f t="shared" si="38"/>
        <v>0</v>
      </c>
      <c r="AO594" t="b">
        <f>OR(Table67[[#This Row],[Ineligible respondents]:[Inconsistent response on opposite question (3)]])</f>
        <v>1</v>
      </c>
      <c r="AP59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594">
        <f>Table67[[#This Row],[Extreme Response]]/21</f>
        <v>0.23809523809523808</v>
      </c>
      <c r="AR594">
        <f>_xlfn.PERCENTILE.INC(Table67[Extrem Response Ratio (ERS)],0.9)</f>
        <v>0.61904761904761907</v>
      </c>
      <c r="AS594" t="b">
        <f>Table67[[#This Row],[Extrem Response Ratio (ERS)]]&gt;=Table67[[#This Row],[Threshold of ERS]]</f>
        <v>0</v>
      </c>
      <c r="AT594">
        <f>COUNTIF(Table67[[#This Row],[The mechanism of digital assets is difficult to understand, which discourages me from exploring it (E.g, Tokenization, Blockchain)]:[If I want to try different ways to invest, I will explore digital assets.]], 3)</f>
        <v>1</v>
      </c>
      <c r="AU594">
        <f>Table67[[#This Row],[Midpoint]]/21</f>
        <v>4.7619047619047616E-2</v>
      </c>
      <c r="AV594">
        <f>_xlfn.PERCENTILE.INC(Table67[Midpoint ratio],0.9)</f>
        <v>0.5714285714285714</v>
      </c>
      <c r="AW594" t="b">
        <f>Table67[[#This Row],[Midpoint ratio]]&gt;=Table67[[#This Row],[Threshold of Midpoint ratio]]</f>
        <v>0</v>
      </c>
      <c r="AX594" t="b">
        <f>OR(Table67[[#This Row],[Extreme Response Style]],Table67[[#This Row],[Mid-point Response Style]])</f>
        <v>0</v>
      </c>
      <c r="AY594" t="b">
        <f>OR(Table67[[#This Row],[Delete? (Stage 1)]],Table67[[#This Row],[Delete? (Stage 2)]])</f>
        <v>1</v>
      </c>
      <c r="AZ594" t="s">
        <v>84</v>
      </c>
    </row>
    <row r="595" spans="1:52">
      <c r="A595">
        <f t="shared" si="39"/>
        <v>594</v>
      </c>
      <c r="B595" s="3">
        <v>46049.730486111097</v>
      </c>
      <c r="C595" s="3">
        <v>46049.740011574097</v>
      </c>
      <c r="D595" t="s">
        <v>53</v>
      </c>
      <c r="G595" t="s">
        <v>54</v>
      </c>
      <c r="H595" t="s">
        <v>55</v>
      </c>
      <c r="I595" t="s">
        <v>71</v>
      </c>
      <c r="J595" t="s">
        <v>62</v>
      </c>
      <c r="K595" t="s">
        <v>67</v>
      </c>
      <c r="L595" t="s">
        <v>58</v>
      </c>
      <c r="M595" t="s">
        <v>58</v>
      </c>
      <c r="N595">
        <v>3</v>
      </c>
      <c r="O595">
        <v>2</v>
      </c>
      <c r="P595">
        <v>4</v>
      </c>
      <c r="Q595">
        <v>4</v>
      </c>
      <c r="R595">
        <v>4</v>
      </c>
      <c r="S595">
        <v>4</v>
      </c>
      <c r="T595">
        <v>4</v>
      </c>
      <c r="U595">
        <v>5</v>
      </c>
      <c r="V595">
        <v>4</v>
      </c>
      <c r="W595">
        <v>4</v>
      </c>
      <c r="X595">
        <v>3</v>
      </c>
      <c r="Y595">
        <v>4</v>
      </c>
      <c r="Z595">
        <v>4</v>
      </c>
      <c r="AA595">
        <v>4</v>
      </c>
      <c r="AB595">
        <v>3</v>
      </c>
      <c r="AC595">
        <v>5</v>
      </c>
      <c r="AD595">
        <v>5</v>
      </c>
      <c r="AE595">
        <v>4</v>
      </c>
      <c r="AF595">
        <v>2</v>
      </c>
      <c r="AG595">
        <v>4</v>
      </c>
      <c r="AH595">
        <v>2</v>
      </c>
      <c r="AI595">
        <v>4</v>
      </c>
      <c r="AJ595">
        <v>4</v>
      </c>
      <c r="AK595" t="b">
        <f>Table67[[#This Row],[What is your age?]]&lt;&gt;"18 - 25"</f>
        <v>0</v>
      </c>
      <c r="AL595" t="b">
        <f t="shared" si="36"/>
        <v>0</v>
      </c>
      <c r="AM595" t="b">
        <f t="shared" si="37"/>
        <v>0</v>
      </c>
      <c r="AN595" t="b">
        <f t="shared" si="38"/>
        <v>0</v>
      </c>
      <c r="AO595" t="b">
        <f>OR(Table67[[#This Row],[Ineligible respondents]:[Inconsistent response on opposite question (3)]])</f>
        <v>0</v>
      </c>
      <c r="AP59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595">
        <f>Table67[[#This Row],[Extreme Response]]/21</f>
        <v>0.14285714285714285</v>
      </c>
      <c r="AR595">
        <f>_xlfn.PERCENTILE.INC(Table67[Extrem Response Ratio (ERS)],0.9)</f>
        <v>0.61904761904761907</v>
      </c>
      <c r="AS595" t="b">
        <f>Table67[[#This Row],[Extrem Response Ratio (ERS)]]&gt;=Table67[[#This Row],[Threshold of ERS]]</f>
        <v>0</v>
      </c>
      <c r="AT595">
        <f>COUNTIF(Table67[[#This Row],[The mechanism of digital assets is difficult to understand, which discourages me from exploring it (E.g, Tokenization, Blockchain)]:[If I want to try different ways to invest, I will explore digital assets.]], 3)</f>
        <v>3</v>
      </c>
      <c r="AU595">
        <f>Table67[[#This Row],[Midpoint]]/21</f>
        <v>0.14285714285714285</v>
      </c>
      <c r="AV595">
        <f>_xlfn.PERCENTILE.INC(Table67[Midpoint ratio],0.9)</f>
        <v>0.5714285714285714</v>
      </c>
      <c r="AW595" t="b">
        <f>Table67[[#This Row],[Midpoint ratio]]&gt;=Table67[[#This Row],[Threshold of Midpoint ratio]]</f>
        <v>0</v>
      </c>
      <c r="AX595" t="b">
        <f>OR(Table67[[#This Row],[Extreme Response Style]],Table67[[#This Row],[Mid-point Response Style]])</f>
        <v>0</v>
      </c>
      <c r="AY595" t="b">
        <f>OR(Table67[[#This Row],[Delete? (Stage 1)]],Table67[[#This Row],[Delete? (Stage 2)]])</f>
        <v>0</v>
      </c>
      <c r="AZ595" t="s">
        <v>84</v>
      </c>
    </row>
    <row r="596" spans="1:52">
      <c r="A596">
        <f t="shared" si="39"/>
        <v>595</v>
      </c>
      <c r="B596" s="3">
        <v>46049.730590277803</v>
      </c>
      <c r="C596" s="3">
        <v>46049.737662036998</v>
      </c>
      <c r="D596" t="s">
        <v>53</v>
      </c>
      <c r="G596" t="s">
        <v>54</v>
      </c>
      <c r="H596" t="s">
        <v>55</v>
      </c>
      <c r="I596" t="s">
        <v>71</v>
      </c>
      <c r="J596" t="s">
        <v>62</v>
      </c>
      <c r="K596" t="s">
        <v>57</v>
      </c>
      <c r="L596" t="s">
        <v>58</v>
      </c>
      <c r="M596" t="s">
        <v>61</v>
      </c>
      <c r="N596">
        <v>2</v>
      </c>
      <c r="O596">
        <v>1</v>
      </c>
      <c r="P596">
        <v>2</v>
      </c>
      <c r="Q596">
        <v>3</v>
      </c>
      <c r="R596">
        <v>1</v>
      </c>
      <c r="S596">
        <v>1</v>
      </c>
      <c r="T596">
        <v>1</v>
      </c>
      <c r="U596">
        <v>3</v>
      </c>
      <c r="V596">
        <v>1</v>
      </c>
      <c r="W596">
        <v>5</v>
      </c>
      <c r="X596">
        <v>3</v>
      </c>
      <c r="Y596">
        <v>2</v>
      </c>
      <c r="Z596">
        <v>5</v>
      </c>
      <c r="AA596">
        <v>2</v>
      </c>
      <c r="AB596">
        <v>1</v>
      </c>
      <c r="AC596">
        <v>2</v>
      </c>
      <c r="AD596">
        <v>5</v>
      </c>
      <c r="AE596">
        <v>1</v>
      </c>
      <c r="AF596">
        <v>5</v>
      </c>
      <c r="AG596">
        <v>1</v>
      </c>
      <c r="AH596">
        <v>5</v>
      </c>
      <c r="AI596">
        <v>1</v>
      </c>
      <c r="AJ596">
        <v>1</v>
      </c>
      <c r="AK596" t="b">
        <f>Table67[[#This Row],[What is your age?]]&lt;&gt;"18 - 25"</f>
        <v>0</v>
      </c>
      <c r="AL596" t="b">
        <f t="shared" si="36"/>
        <v>0</v>
      </c>
      <c r="AM596" t="b">
        <f t="shared" si="37"/>
        <v>0</v>
      </c>
      <c r="AN596" t="b">
        <f t="shared" si="38"/>
        <v>0</v>
      </c>
      <c r="AO596" t="b">
        <f>OR(Table67[[#This Row],[Ineligible respondents]:[Inconsistent response on opposite question (3)]])</f>
        <v>0</v>
      </c>
      <c r="AP59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596">
        <f>Table67[[#This Row],[Extreme Response]]/21</f>
        <v>0.61904761904761907</v>
      </c>
      <c r="AR596">
        <f>_xlfn.PERCENTILE.INC(Table67[Extrem Response Ratio (ERS)],0.9)</f>
        <v>0.61904761904761907</v>
      </c>
      <c r="AS596" t="b">
        <f>Table67[[#This Row],[Extrem Response Ratio (ERS)]]&gt;=Table67[[#This Row],[Threshold of ERS]]</f>
        <v>1</v>
      </c>
      <c r="AT596">
        <f>COUNTIF(Table67[[#This Row],[The mechanism of digital assets is difficult to understand, which discourages me from exploring it (E.g, Tokenization, Blockchain)]:[If I want to try different ways to invest, I will explore digital assets.]], 3)</f>
        <v>3</v>
      </c>
      <c r="AU596">
        <f>Table67[[#This Row],[Midpoint]]/21</f>
        <v>0.14285714285714285</v>
      </c>
      <c r="AV596">
        <f>_xlfn.PERCENTILE.INC(Table67[Midpoint ratio],0.9)</f>
        <v>0.5714285714285714</v>
      </c>
      <c r="AW596" t="b">
        <f>Table67[[#This Row],[Midpoint ratio]]&gt;=Table67[[#This Row],[Threshold of Midpoint ratio]]</f>
        <v>0</v>
      </c>
      <c r="AX596" t="b">
        <f>OR(Table67[[#This Row],[Extreme Response Style]],Table67[[#This Row],[Mid-point Response Style]])</f>
        <v>1</v>
      </c>
      <c r="AY596" t="b">
        <f>OR(Table67[[#This Row],[Delete? (Stage 1)]],Table67[[#This Row],[Delete? (Stage 2)]])</f>
        <v>1</v>
      </c>
      <c r="AZ596" t="s">
        <v>84</v>
      </c>
    </row>
    <row r="597" spans="1:52">
      <c r="A597">
        <f t="shared" si="39"/>
        <v>596</v>
      </c>
      <c r="B597" s="3">
        <v>46049.730717592603</v>
      </c>
      <c r="C597" s="3">
        <v>46049.734803240703</v>
      </c>
      <c r="D597" t="s">
        <v>53</v>
      </c>
      <c r="G597" t="s">
        <v>54</v>
      </c>
      <c r="H597" t="s">
        <v>63</v>
      </c>
      <c r="I597" t="s">
        <v>71</v>
      </c>
      <c r="J597" t="s">
        <v>57</v>
      </c>
      <c r="K597" t="s">
        <v>57</v>
      </c>
      <c r="L597" t="s">
        <v>58</v>
      </c>
      <c r="M597" t="s">
        <v>58</v>
      </c>
      <c r="N597">
        <v>1</v>
      </c>
      <c r="O597">
        <v>1</v>
      </c>
      <c r="P597">
        <v>3</v>
      </c>
      <c r="Q597">
        <v>3</v>
      </c>
      <c r="R597">
        <v>3</v>
      </c>
      <c r="S597">
        <v>4</v>
      </c>
      <c r="T597">
        <v>3</v>
      </c>
      <c r="U597">
        <v>3</v>
      </c>
      <c r="V597">
        <v>4</v>
      </c>
      <c r="W597">
        <v>4</v>
      </c>
      <c r="X597">
        <v>4</v>
      </c>
      <c r="Y597">
        <v>4</v>
      </c>
      <c r="Z597">
        <v>3</v>
      </c>
      <c r="AA597">
        <v>4</v>
      </c>
      <c r="AB597">
        <v>3</v>
      </c>
      <c r="AC597">
        <v>3</v>
      </c>
      <c r="AD597">
        <v>3</v>
      </c>
      <c r="AE597">
        <v>3</v>
      </c>
      <c r="AF597">
        <v>3</v>
      </c>
      <c r="AG597">
        <v>4</v>
      </c>
      <c r="AH597">
        <v>4</v>
      </c>
      <c r="AI597">
        <v>2</v>
      </c>
      <c r="AJ597">
        <v>3</v>
      </c>
      <c r="AK597" t="b">
        <f>Table67[[#This Row],[What is your age?]]&lt;&gt;"18 - 25"</f>
        <v>0</v>
      </c>
      <c r="AL597" t="b">
        <f t="shared" si="36"/>
        <v>0</v>
      </c>
      <c r="AM597" t="b">
        <f t="shared" si="37"/>
        <v>1</v>
      </c>
      <c r="AN597" t="b">
        <f t="shared" si="38"/>
        <v>0</v>
      </c>
      <c r="AO597" t="b">
        <f>OR(Table67[[#This Row],[Ineligible respondents]:[Inconsistent response on opposite question (3)]])</f>
        <v>1</v>
      </c>
      <c r="AP59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597">
        <f>Table67[[#This Row],[Extreme Response]]/21</f>
        <v>9.5238095238095233E-2</v>
      </c>
      <c r="AR597">
        <f>_xlfn.PERCENTILE.INC(Table67[Extrem Response Ratio (ERS)],0.9)</f>
        <v>0.61904761904761907</v>
      </c>
      <c r="AS597" t="b">
        <f>Table67[[#This Row],[Extrem Response Ratio (ERS)]]&gt;=Table67[[#This Row],[Threshold of ERS]]</f>
        <v>0</v>
      </c>
      <c r="AT597">
        <f>COUNTIF(Table67[[#This Row],[The mechanism of digital assets is difficult to understand, which discourages me from exploring it (E.g, Tokenization, Blockchain)]:[If I want to try different ways to invest, I will explore digital assets.]], 3)</f>
        <v>11</v>
      </c>
      <c r="AU597">
        <f>Table67[[#This Row],[Midpoint]]/21</f>
        <v>0.52380952380952384</v>
      </c>
      <c r="AV597">
        <f>_xlfn.PERCENTILE.INC(Table67[Midpoint ratio],0.9)</f>
        <v>0.5714285714285714</v>
      </c>
      <c r="AW597" t="b">
        <f>Table67[[#This Row],[Midpoint ratio]]&gt;=Table67[[#This Row],[Threshold of Midpoint ratio]]</f>
        <v>0</v>
      </c>
      <c r="AX597" t="b">
        <f>OR(Table67[[#This Row],[Extreme Response Style]],Table67[[#This Row],[Mid-point Response Style]])</f>
        <v>0</v>
      </c>
      <c r="AY597" t="b">
        <f>OR(Table67[[#This Row],[Delete? (Stage 1)]],Table67[[#This Row],[Delete? (Stage 2)]])</f>
        <v>1</v>
      </c>
      <c r="AZ597" t="s">
        <v>84</v>
      </c>
    </row>
    <row r="598" spans="1:52">
      <c r="A598">
        <f t="shared" si="39"/>
        <v>597</v>
      </c>
      <c r="B598" s="3">
        <v>46049.730752314797</v>
      </c>
      <c r="C598" s="3">
        <v>46049.734699074099</v>
      </c>
      <c r="D598" t="s">
        <v>53</v>
      </c>
      <c r="G598" t="s">
        <v>54</v>
      </c>
      <c r="H598" t="s">
        <v>63</v>
      </c>
      <c r="I598" t="s">
        <v>71</v>
      </c>
      <c r="J598" t="s">
        <v>62</v>
      </c>
      <c r="K598" t="s">
        <v>57</v>
      </c>
      <c r="L598" t="s">
        <v>58</v>
      </c>
      <c r="M598" t="s">
        <v>58</v>
      </c>
      <c r="N598">
        <v>3</v>
      </c>
      <c r="O598">
        <v>3</v>
      </c>
      <c r="P598">
        <v>4</v>
      </c>
      <c r="Q598">
        <v>4</v>
      </c>
      <c r="R598">
        <v>2</v>
      </c>
      <c r="S598">
        <v>2</v>
      </c>
      <c r="T598">
        <v>2</v>
      </c>
      <c r="U598">
        <v>4</v>
      </c>
      <c r="V598">
        <v>5</v>
      </c>
      <c r="W598">
        <v>4</v>
      </c>
      <c r="X598">
        <v>4</v>
      </c>
      <c r="Y598">
        <v>5</v>
      </c>
      <c r="Z598">
        <v>5</v>
      </c>
      <c r="AA598">
        <v>4</v>
      </c>
      <c r="AB598">
        <v>3</v>
      </c>
      <c r="AC598">
        <v>2</v>
      </c>
      <c r="AD598">
        <v>5</v>
      </c>
      <c r="AE598">
        <v>4</v>
      </c>
      <c r="AF598">
        <v>4</v>
      </c>
      <c r="AG598">
        <v>3</v>
      </c>
      <c r="AH598">
        <v>4</v>
      </c>
      <c r="AI598">
        <v>2</v>
      </c>
      <c r="AJ598">
        <v>2</v>
      </c>
      <c r="AK598" t="b">
        <f>Table67[[#This Row],[What is your age?]]&lt;&gt;"18 - 25"</f>
        <v>0</v>
      </c>
      <c r="AL598" t="b">
        <f t="shared" si="36"/>
        <v>0</v>
      </c>
      <c r="AM598" t="b">
        <f t="shared" si="37"/>
        <v>0</v>
      </c>
      <c r="AN598" t="b">
        <f t="shared" si="38"/>
        <v>1</v>
      </c>
      <c r="AO598" t="b">
        <f>OR(Table67[[#This Row],[Ineligible respondents]:[Inconsistent response on opposite question (3)]])</f>
        <v>1</v>
      </c>
      <c r="AP59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598">
        <f>Table67[[#This Row],[Extreme Response]]/21</f>
        <v>0.19047619047619047</v>
      </c>
      <c r="AR598">
        <f>_xlfn.PERCENTILE.INC(Table67[Extrem Response Ratio (ERS)],0.9)</f>
        <v>0.61904761904761907</v>
      </c>
      <c r="AS598" t="b">
        <f>Table67[[#This Row],[Extrem Response Ratio (ERS)]]&gt;=Table67[[#This Row],[Threshold of ERS]]</f>
        <v>0</v>
      </c>
      <c r="AT598">
        <f>COUNTIF(Table67[[#This Row],[The mechanism of digital assets is difficult to understand, which discourages me from exploring it (E.g, Tokenization, Blockchain)]:[If I want to try different ways to invest, I will explore digital assets.]], 3)</f>
        <v>4</v>
      </c>
      <c r="AU598">
        <f>Table67[[#This Row],[Midpoint]]/21</f>
        <v>0.19047619047619047</v>
      </c>
      <c r="AV598">
        <f>_xlfn.PERCENTILE.INC(Table67[Midpoint ratio],0.9)</f>
        <v>0.5714285714285714</v>
      </c>
      <c r="AW598" t="b">
        <f>Table67[[#This Row],[Midpoint ratio]]&gt;=Table67[[#This Row],[Threshold of Midpoint ratio]]</f>
        <v>0</v>
      </c>
      <c r="AX598" t="b">
        <f>OR(Table67[[#This Row],[Extreme Response Style]],Table67[[#This Row],[Mid-point Response Style]])</f>
        <v>0</v>
      </c>
      <c r="AY598" t="b">
        <f>OR(Table67[[#This Row],[Delete? (Stage 1)]],Table67[[#This Row],[Delete? (Stage 2)]])</f>
        <v>1</v>
      </c>
      <c r="AZ598" t="s">
        <v>84</v>
      </c>
    </row>
    <row r="599" spans="1:52">
      <c r="A599">
        <f t="shared" si="39"/>
        <v>598</v>
      </c>
      <c r="B599" s="3">
        <v>46049.730763888903</v>
      </c>
      <c r="C599" s="3">
        <v>46049.737835648099</v>
      </c>
      <c r="D599" t="s">
        <v>53</v>
      </c>
      <c r="G599" t="s">
        <v>54</v>
      </c>
      <c r="H599" t="s">
        <v>63</v>
      </c>
      <c r="I599" t="s">
        <v>75</v>
      </c>
      <c r="J599" t="s">
        <v>62</v>
      </c>
      <c r="K599" t="s">
        <v>62</v>
      </c>
      <c r="L599" t="s">
        <v>58</v>
      </c>
      <c r="M599" t="s">
        <v>58</v>
      </c>
      <c r="N599">
        <v>4</v>
      </c>
      <c r="O599">
        <v>2</v>
      </c>
      <c r="P599">
        <v>5</v>
      </c>
      <c r="Q599">
        <v>4</v>
      </c>
      <c r="R599">
        <v>4</v>
      </c>
      <c r="S599">
        <v>4</v>
      </c>
      <c r="T599">
        <v>4</v>
      </c>
      <c r="U599">
        <v>5</v>
      </c>
      <c r="V599">
        <v>5</v>
      </c>
      <c r="W599">
        <v>5</v>
      </c>
      <c r="X599">
        <v>4</v>
      </c>
      <c r="Y599">
        <v>5</v>
      </c>
      <c r="Z599">
        <v>5</v>
      </c>
      <c r="AA599">
        <v>5</v>
      </c>
      <c r="AB599">
        <v>5</v>
      </c>
      <c r="AC599">
        <v>4</v>
      </c>
      <c r="AD599">
        <v>5</v>
      </c>
      <c r="AE599">
        <v>4</v>
      </c>
      <c r="AF599">
        <v>2</v>
      </c>
      <c r="AG599">
        <v>5</v>
      </c>
      <c r="AH599">
        <v>1</v>
      </c>
      <c r="AI599">
        <v>5</v>
      </c>
      <c r="AJ599">
        <v>4</v>
      </c>
      <c r="AK599" t="b">
        <f>Table67[[#This Row],[What is your age?]]&lt;&gt;"18 - 25"</f>
        <v>0</v>
      </c>
      <c r="AL599" t="b">
        <f t="shared" si="36"/>
        <v>0</v>
      </c>
      <c r="AM599" t="b">
        <f t="shared" si="37"/>
        <v>0</v>
      </c>
      <c r="AN599" t="b">
        <f t="shared" si="38"/>
        <v>0</v>
      </c>
      <c r="AO599" t="b">
        <f>OR(Table67[[#This Row],[Ineligible respondents]:[Inconsistent response on opposite question (3)]])</f>
        <v>0</v>
      </c>
      <c r="AP59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599">
        <f>Table67[[#This Row],[Extreme Response]]/21</f>
        <v>0.52380952380952384</v>
      </c>
      <c r="AR599">
        <f>_xlfn.PERCENTILE.INC(Table67[Extrem Response Ratio (ERS)],0.9)</f>
        <v>0.61904761904761907</v>
      </c>
      <c r="AS599" t="b">
        <f>Table67[[#This Row],[Extrem Response Ratio (ERS)]]&gt;=Table67[[#This Row],[Threshold of ERS]]</f>
        <v>0</v>
      </c>
      <c r="AT599">
        <f>COUNTIF(Table67[[#This Row],[The mechanism of digital assets is difficult to understand, which discourages me from exploring it (E.g, Tokenization, Blockchain)]:[If I want to try different ways to invest, I will explore digital assets.]], 3)</f>
        <v>0</v>
      </c>
      <c r="AU599">
        <f>Table67[[#This Row],[Midpoint]]/21</f>
        <v>0</v>
      </c>
      <c r="AV599">
        <f>_xlfn.PERCENTILE.INC(Table67[Midpoint ratio],0.9)</f>
        <v>0.5714285714285714</v>
      </c>
      <c r="AW599" t="b">
        <f>Table67[[#This Row],[Midpoint ratio]]&gt;=Table67[[#This Row],[Threshold of Midpoint ratio]]</f>
        <v>0</v>
      </c>
      <c r="AX599" t="b">
        <f>OR(Table67[[#This Row],[Extreme Response Style]],Table67[[#This Row],[Mid-point Response Style]])</f>
        <v>0</v>
      </c>
      <c r="AY599" t="b">
        <f>OR(Table67[[#This Row],[Delete? (Stage 1)]],Table67[[#This Row],[Delete? (Stage 2)]])</f>
        <v>0</v>
      </c>
      <c r="AZ599" t="s">
        <v>84</v>
      </c>
    </row>
    <row r="600" spans="1:52">
      <c r="A600">
        <f t="shared" si="39"/>
        <v>599</v>
      </c>
      <c r="B600" s="3">
        <v>46049.730787036999</v>
      </c>
      <c r="C600" s="3">
        <v>46049.738622685203</v>
      </c>
      <c r="D600" t="s">
        <v>53</v>
      </c>
      <c r="G600" t="s">
        <v>54</v>
      </c>
      <c r="H600" t="s">
        <v>63</v>
      </c>
      <c r="I600" t="s">
        <v>56</v>
      </c>
      <c r="J600" t="s">
        <v>60</v>
      </c>
      <c r="K600" t="s">
        <v>62</v>
      </c>
      <c r="L600" t="s">
        <v>61</v>
      </c>
      <c r="M600" t="s">
        <v>61</v>
      </c>
      <c r="N600">
        <v>4</v>
      </c>
      <c r="O600">
        <v>2</v>
      </c>
      <c r="P600">
        <v>5</v>
      </c>
      <c r="Q600">
        <v>4</v>
      </c>
      <c r="R600">
        <v>1</v>
      </c>
      <c r="S600">
        <v>3</v>
      </c>
      <c r="T600">
        <v>1</v>
      </c>
      <c r="U600">
        <v>3</v>
      </c>
      <c r="V600">
        <v>2</v>
      </c>
      <c r="W600">
        <v>3</v>
      </c>
      <c r="X600">
        <v>3</v>
      </c>
      <c r="Y600">
        <v>4</v>
      </c>
      <c r="Z600">
        <v>4</v>
      </c>
      <c r="AA600">
        <v>4</v>
      </c>
      <c r="AB600">
        <v>3</v>
      </c>
      <c r="AC600">
        <v>4</v>
      </c>
      <c r="AD600">
        <v>5</v>
      </c>
      <c r="AE600">
        <v>5</v>
      </c>
      <c r="AF600">
        <v>4</v>
      </c>
      <c r="AG600">
        <v>4</v>
      </c>
      <c r="AH600">
        <v>5</v>
      </c>
      <c r="AI600">
        <v>1</v>
      </c>
      <c r="AJ600">
        <v>2</v>
      </c>
      <c r="AK600" t="b">
        <f>Table67[[#This Row],[What is your age?]]&lt;&gt;"18 - 25"</f>
        <v>0</v>
      </c>
      <c r="AL600" t="b">
        <f t="shared" si="36"/>
        <v>0</v>
      </c>
      <c r="AM600" t="b">
        <f t="shared" si="37"/>
        <v>1</v>
      </c>
      <c r="AN600" t="b">
        <f t="shared" si="38"/>
        <v>0</v>
      </c>
      <c r="AO600" t="b">
        <f>OR(Table67[[#This Row],[Ineligible respondents]:[Inconsistent response on opposite question (3)]])</f>
        <v>1</v>
      </c>
      <c r="AP60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600">
        <f>Table67[[#This Row],[Extreme Response]]/21</f>
        <v>0.2857142857142857</v>
      </c>
      <c r="AR600">
        <f>_xlfn.PERCENTILE.INC(Table67[Extrem Response Ratio (ERS)],0.9)</f>
        <v>0.61904761904761907</v>
      </c>
      <c r="AS600" t="b">
        <f>Table67[[#This Row],[Extrem Response Ratio (ERS)]]&gt;=Table67[[#This Row],[Threshold of ERS]]</f>
        <v>0</v>
      </c>
      <c r="AT600">
        <f>COUNTIF(Table67[[#This Row],[The mechanism of digital assets is difficult to understand, which discourages me from exploring it (E.g, Tokenization, Blockchain)]:[If I want to try different ways to invest, I will explore digital assets.]], 3)</f>
        <v>5</v>
      </c>
      <c r="AU600">
        <f>Table67[[#This Row],[Midpoint]]/21</f>
        <v>0.23809523809523808</v>
      </c>
      <c r="AV600">
        <f>_xlfn.PERCENTILE.INC(Table67[Midpoint ratio],0.9)</f>
        <v>0.5714285714285714</v>
      </c>
      <c r="AW600" t="b">
        <f>Table67[[#This Row],[Midpoint ratio]]&gt;=Table67[[#This Row],[Threshold of Midpoint ratio]]</f>
        <v>0</v>
      </c>
      <c r="AX600" t="b">
        <f>OR(Table67[[#This Row],[Extreme Response Style]],Table67[[#This Row],[Mid-point Response Style]])</f>
        <v>0</v>
      </c>
      <c r="AY600" t="b">
        <f>OR(Table67[[#This Row],[Delete? (Stage 1)]],Table67[[#This Row],[Delete? (Stage 2)]])</f>
        <v>1</v>
      </c>
      <c r="AZ600" t="s">
        <v>84</v>
      </c>
    </row>
    <row r="601" spans="1:52">
      <c r="A601">
        <f t="shared" si="39"/>
        <v>600</v>
      </c>
      <c r="B601" s="3">
        <v>46049.730844907397</v>
      </c>
      <c r="C601" s="3">
        <v>46049.736979166701</v>
      </c>
      <c r="D601" t="s">
        <v>53</v>
      </c>
      <c r="G601" t="s">
        <v>54</v>
      </c>
      <c r="H601" t="s">
        <v>55</v>
      </c>
      <c r="I601" t="s">
        <v>56</v>
      </c>
      <c r="J601" t="s">
        <v>65</v>
      </c>
      <c r="K601" t="s">
        <v>60</v>
      </c>
      <c r="L601" t="s">
        <v>61</v>
      </c>
      <c r="M601" t="s">
        <v>58</v>
      </c>
      <c r="N601">
        <v>2</v>
      </c>
      <c r="O601">
        <v>1</v>
      </c>
      <c r="P601">
        <v>4</v>
      </c>
      <c r="Q601">
        <v>4</v>
      </c>
      <c r="R601">
        <v>3</v>
      </c>
      <c r="S601">
        <v>4</v>
      </c>
      <c r="T601">
        <v>2</v>
      </c>
      <c r="U601">
        <v>2</v>
      </c>
      <c r="V601">
        <v>3</v>
      </c>
      <c r="W601">
        <v>2</v>
      </c>
      <c r="X601">
        <v>4</v>
      </c>
      <c r="Y601">
        <v>4</v>
      </c>
      <c r="Z601">
        <v>4</v>
      </c>
      <c r="AA601">
        <v>3</v>
      </c>
      <c r="AB601">
        <v>2</v>
      </c>
      <c r="AC601">
        <v>3</v>
      </c>
      <c r="AD601">
        <v>4</v>
      </c>
      <c r="AE601">
        <v>4</v>
      </c>
      <c r="AF601">
        <v>4</v>
      </c>
      <c r="AG601">
        <v>2</v>
      </c>
      <c r="AH601">
        <v>4</v>
      </c>
      <c r="AI601">
        <v>2</v>
      </c>
      <c r="AJ601">
        <v>2</v>
      </c>
      <c r="AK601" t="b">
        <f>Table67[[#This Row],[What is your age?]]&lt;&gt;"18 - 25"</f>
        <v>0</v>
      </c>
      <c r="AL601" t="b">
        <f t="shared" si="36"/>
        <v>0</v>
      </c>
      <c r="AM601" t="b">
        <f t="shared" si="37"/>
        <v>0</v>
      </c>
      <c r="AN601" t="b">
        <f t="shared" si="38"/>
        <v>0</v>
      </c>
      <c r="AO601" t="b">
        <f>OR(Table67[[#This Row],[Ineligible respondents]:[Inconsistent response on opposite question (3)]])</f>
        <v>0</v>
      </c>
      <c r="AP60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601">
        <f>Table67[[#This Row],[Extreme Response]]/21</f>
        <v>4.7619047619047616E-2</v>
      </c>
      <c r="AR601">
        <f>_xlfn.PERCENTILE.INC(Table67[Extrem Response Ratio (ERS)],0.9)</f>
        <v>0.61904761904761907</v>
      </c>
      <c r="AS601" t="b">
        <f>Table67[[#This Row],[Extrem Response Ratio (ERS)]]&gt;=Table67[[#This Row],[Threshold of ERS]]</f>
        <v>0</v>
      </c>
      <c r="AT601">
        <f>COUNTIF(Table67[[#This Row],[The mechanism of digital assets is difficult to understand, which discourages me from exploring it (E.g, Tokenization, Blockchain)]:[If I want to try different ways to invest, I will explore digital assets.]], 3)</f>
        <v>4</v>
      </c>
      <c r="AU601">
        <f>Table67[[#This Row],[Midpoint]]/21</f>
        <v>0.19047619047619047</v>
      </c>
      <c r="AV601">
        <f>_xlfn.PERCENTILE.INC(Table67[Midpoint ratio],0.9)</f>
        <v>0.5714285714285714</v>
      </c>
      <c r="AW601" t="b">
        <f>Table67[[#This Row],[Midpoint ratio]]&gt;=Table67[[#This Row],[Threshold of Midpoint ratio]]</f>
        <v>0</v>
      </c>
      <c r="AX601" t="b">
        <f>OR(Table67[[#This Row],[Extreme Response Style]],Table67[[#This Row],[Mid-point Response Style]])</f>
        <v>0</v>
      </c>
      <c r="AY601" t="b">
        <f>OR(Table67[[#This Row],[Delete? (Stage 1)]],Table67[[#This Row],[Delete? (Stage 2)]])</f>
        <v>0</v>
      </c>
      <c r="AZ601" t="s">
        <v>84</v>
      </c>
    </row>
    <row r="602" spans="1:52">
      <c r="A602">
        <f t="shared" si="39"/>
        <v>601</v>
      </c>
      <c r="B602" s="3">
        <v>46049.730856481503</v>
      </c>
      <c r="C602" s="3">
        <v>46049.7344675926</v>
      </c>
      <c r="D602" t="s">
        <v>53</v>
      </c>
      <c r="G602" t="s">
        <v>54</v>
      </c>
      <c r="H602" t="s">
        <v>55</v>
      </c>
      <c r="I602" t="s">
        <v>56</v>
      </c>
      <c r="J602" t="s">
        <v>62</v>
      </c>
      <c r="K602" t="s">
        <v>62</v>
      </c>
      <c r="L602" t="s">
        <v>58</v>
      </c>
      <c r="M602" t="s">
        <v>58</v>
      </c>
      <c r="N602">
        <v>4</v>
      </c>
      <c r="O602">
        <v>1</v>
      </c>
      <c r="P602">
        <v>2</v>
      </c>
      <c r="Q602">
        <v>2</v>
      </c>
      <c r="R602">
        <v>4</v>
      </c>
      <c r="S602">
        <v>4</v>
      </c>
      <c r="T602">
        <v>3</v>
      </c>
      <c r="U602">
        <v>5</v>
      </c>
      <c r="V602">
        <v>2</v>
      </c>
      <c r="W602">
        <v>5</v>
      </c>
      <c r="X602">
        <v>4</v>
      </c>
      <c r="Y602">
        <v>5</v>
      </c>
      <c r="Z602">
        <v>4</v>
      </c>
      <c r="AA602">
        <v>4</v>
      </c>
      <c r="AB602">
        <v>2</v>
      </c>
      <c r="AC602">
        <v>5</v>
      </c>
      <c r="AD602">
        <v>5</v>
      </c>
      <c r="AE602">
        <v>4</v>
      </c>
      <c r="AF602">
        <v>2</v>
      </c>
      <c r="AG602">
        <v>2</v>
      </c>
      <c r="AH602">
        <v>2</v>
      </c>
      <c r="AI602">
        <v>4</v>
      </c>
      <c r="AJ602">
        <v>4</v>
      </c>
      <c r="AK602" t="b">
        <f>Table67[[#This Row],[What is your age?]]&lt;&gt;"18 - 25"</f>
        <v>0</v>
      </c>
      <c r="AL602" t="b">
        <f t="shared" si="36"/>
        <v>0</v>
      </c>
      <c r="AM602" t="b">
        <f t="shared" si="37"/>
        <v>1</v>
      </c>
      <c r="AN602" t="b">
        <f t="shared" si="38"/>
        <v>0</v>
      </c>
      <c r="AO602" t="b">
        <f>OR(Table67[[#This Row],[Ineligible respondents]:[Inconsistent response on opposite question (3)]])</f>
        <v>1</v>
      </c>
      <c r="AP60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602">
        <f>Table67[[#This Row],[Extreme Response]]/21</f>
        <v>0.2857142857142857</v>
      </c>
      <c r="AR602">
        <f>_xlfn.PERCENTILE.INC(Table67[Extrem Response Ratio (ERS)],0.9)</f>
        <v>0.61904761904761907</v>
      </c>
      <c r="AS602" t="b">
        <f>Table67[[#This Row],[Extrem Response Ratio (ERS)]]&gt;=Table67[[#This Row],[Threshold of ERS]]</f>
        <v>0</v>
      </c>
      <c r="AT602">
        <f>COUNTIF(Table67[[#This Row],[The mechanism of digital assets is difficult to understand, which discourages me from exploring it (E.g, Tokenization, Blockchain)]:[If I want to try different ways to invest, I will explore digital assets.]], 3)</f>
        <v>1</v>
      </c>
      <c r="AU602">
        <f>Table67[[#This Row],[Midpoint]]/21</f>
        <v>4.7619047619047616E-2</v>
      </c>
      <c r="AV602">
        <f>_xlfn.PERCENTILE.INC(Table67[Midpoint ratio],0.9)</f>
        <v>0.5714285714285714</v>
      </c>
      <c r="AW602" t="b">
        <f>Table67[[#This Row],[Midpoint ratio]]&gt;=Table67[[#This Row],[Threshold of Midpoint ratio]]</f>
        <v>0</v>
      </c>
      <c r="AX602" t="b">
        <f>OR(Table67[[#This Row],[Extreme Response Style]],Table67[[#This Row],[Mid-point Response Style]])</f>
        <v>0</v>
      </c>
      <c r="AY602" t="b">
        <f>OR(Table67[[#This Row],[Delete? (Stage 1)]],Table67[[#This Row],[Delete? (Stage 2)]])</f>
        <v>1</v>
      </c>
      <c r="AZ602" t="s">
        <v>84</v>
      </c>
    </row>
    <row r="603" spans="1:52">
      <c r="A603">
        <f t="shared" si="39"/>
        <v>602</v>
      </c>
      <c r="B603" s="3">
        <v>46049.730925925898</v>
      </c>
      <c r="C603" s="3">
        <v>46049.737835648099</v>
      </c>
      <c r="D603" t="s">
        <v>53</v>
      </c>
      <c r="G603" t="s">
        <v>54</v>
      </c>
      <c r="H603" t="s">
        <v>63</v>
      </c>
      <c r="I603" t="s">
        <v>69</v>
      </c>
      <c r="J603" t="s">
        <v>62</v>
      </c>
      <c r="K603" t="s">
        <v>57</v>
      </c>
      <c r="L603" t="s">
        <v>58</v>
      </c>
      <c r="M603" t="s">
        <v>58</v>
      </c>
      <c r="N603">
        <v>4</v>
      </c>
      <c r="O603">
        <v>1</v>
      </c>
      <c r="P603">
        <v>4</v>
      </c>
      <c r="Q603">
        <v>4</v>
      </c>
      <c r="R603">
        <v>2</v>
      </c>
      <c r="S603">
        <v>3</v>
      </c>
      <c r="T603">
        <v>3</v>
      </c>
      <c r="U603">
        <v>5</v>
      </c>
      <c r="V603">
        <v>1</v>
      </c>
      <c r="W603">
        <v>3</v>
      </c>
      <c r="X603">
        <v>4</v>
      </c>
      <c r="Y603">
        <v>4</v>
      </c>
      <c r="Z603">
        <v>4</v>
      </c>
      <c r="AA603">
        <v>4</v>
      </c>
      <c r="AB603">
        <v>3</v>
      </c>
      <c r="AC603">
        <v>4</v>
      </c>
      <c r="AD603">
        <v>4</v>
      </c>
      <c r="AE603">
        <v>3</v>
      </c>
      <c r="AF603">
        <v>3</v>
      </c>
      <c r="AG603">
        <v>3</v>
      </c>
      <c r="AH603">
        <v>4</v>
      </c>
      <c r="AI603">
        <v>2</v>
      </c>
      <c r="AJ603">
        <v>3</v>
      </c>
      <c r="AK603" t="b">
        <f>Table67[[#This Row],[What is your age?]]&lt;&gt;"18 - 25"</f>
        <v>0</v>
      </c>
      <c r="AL603" t="b">
        <f t="shared" si="36"/>
        <v>0</v>
      </c>
      <c r="AM603" t="b">
        <f t="shared" si="37"/>
        <v>0</v>
      </c>
      <c r="AN603" t="b">
        <f t="shared" si="38"/>
        <v>1</v>
      </c>
      <c r="AO603" t="b">
        <f>OR(Table67[[#This Row],[Ineligible respondents]:[Inconsistent response on opposite question (3)]])</f>
        <v>1</v>
      </c>
      <c r="AP60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603">
        <f>Table67[[#This Row],[Extreme Response]]/21</f>
        <v>0.14285714285714285</v>
      </c>
      <c r="AR603">
        <f>_xlfn.PERCENTILE.INC(Table67[Extrem Response Ratio (ERS)],0.9)</f>
        <v>0.61904761904761907</v>
      </c>
      <c r="AS603" t="b">
        <f>Table67[[#This Row],[Extrem Response Ratio (ERS)]]&gt;=Table67[[#This Row],[Threshold of ERS]]</f>
        <v>0</v>
      </c>
      <c r="AT603">
        <f>COUNTIF(Table67[[#This Row],[The mechanism of digital assets is difficult to understand, which discourages me from exploring it (E.g, Tokenization, Blockchain)]:[If I want to try different ways to invest, I will explore digital assets.]], 3)</f>
        <v>7</v>
      </c>
      <c r="AU603">
        <f>Table67[[#This Row],[Midpoint]]/21</f>
        <v>0.33333333333333331</v>
      </c>
      <c r="AV603">
        <f>_xlfn.PERCENTILE.INC(Table67[Midpoint ratio],0.9)</f>
        <v>0.5714285714285714</v>
      </c>
      <c r="AW603" t="b">
        <f>Table67[[#This Row],[Midpoint ratio]]&gt;=Table67[[#This Row],[Threshold of Midpoint ratio]]</f>
        <v>0</v>
      </c>
      <c r="AX603" t="b">
        <f>OR(Table67[[#This Row],[Extreme Response Style]],Table67[[#This Row],[Mid-point Response Style]])</f>
        <v>0</v>
      </c>
      <c r="AY603" t="b">
        <f>OR(Table67[[#This Row],[Delete? (Stage 1)]],Table67[[#This Row],[Delete? (Stage 2)]])</f>
        <v>1</v>
      </c>
      <c r="AZ603" t="s">
        <v>84</v>
      </c>
    </row>
    <row r="604" spans="1:52">
      <c r="A604">
        <f t="shared" si="39"/>
        <v>603</v>
      </c>
      <c r="B604" s="3">
        <v>46049.730949074103</v>
      </c>
      <c r="C604" s="3">
        <v>46049.734618055598</v>
      </c>
      <c r="D604" t="s">
        <v>53</v>
      </c>
      <c r="G604" t="s">
        <v>54</v>
      </c>
      <c r="H604" t="s">
        <v>70</v>
      </c>
      <c r="I604" t="s">
        <v>56</v>
      </c>
      <c r="J604" t="s">
        <v>62</v>
      </c>
      <c r="K604" t="s">
        <v>57</v>
      </c>
      <c r="L604" t="s">
        <v>58</v>
      </c>
      <c r="M604" t="s">
        <v>58</v>
      </c>
      <c r="N604">
        <v>5</v>
      </c>
      <c r="O604">
        <v>3</v>
      </c>
      <c r="P604">
        <v>4</v>
      </c>
      <c r="Q604">
        <v>3</v>
      </c>
      <c r="R604">
        <v>3</v>
      </c>
      <c r="S604">
        <v>4</v>
      </c>
      <c r="T604">
        <v>4</v>
      </c>
      <c r="U604">
        <v>4</v>
      </c>
      <c r="V604">
        <v>4</v>
      </c>
      <c r="W604">
        <v>4</v>
      </c>
      <c r="X604">
        <v>4</v>
      </c>
      <c r="Y604">
        <v>4</v>
      </c>
      <c r="Z604">
        <v>4</v>
      </c>
      <c r="AA604">
        <v>4</v>
      </c>
      <c r="AB604">
        <v>3</v>
      </c>
      <c r="AC604">
        <v>3</v>
      </c>
      <c r="AD604">
        <v>5</v>
      </c>
      <c r="AE604">
        <v>4</v>
      </c>
      <c r="AF604">
        <v>1</v>
      </c>
      <c r="AG604">
        <v>3</v>
      </c>
      <c r="AH604">
        <v>1</v>
      </c>
      <c r="AI604">
        <v>5</v>
      </c>
      <c r="AJ604">
        <v>5</v>
      </c>
      <c r="AK604" t="b">
        <f>Table67[[#This Row],[What is your age?]]&lt;&gt;"18 - 25"</f>
        <v>0</v>
      </c>
      <c r="AL604" t="b">
        <f t="shared" si="36"/>
        <v>0</v>
      </c>
      <c r="AM604" t="b">
        <f t="shared" si="37"/>
        <v>0</v>
      </c>
      <c r="AN604" t="b">
        <f t="shared" si="38"/>
        <v>1</v>
      </c>
      <c r="AO604" t="b">
        <f>OR(Table67[[#This Row],[Ineligible respondents]:[Inconsistent response on opposite question (3)]])</f>
        <v>1</v>
      </c>
      <c r="AP60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604">
        <f>Table67[[#This Row],[Extreme Response]]/21</f>
        <v>0.19047619047619047</v>
      </c>
      <c r="AR604">
        <f>_xlfn.PERCENTILE.INC(Table67[Extrem Response Ratio (ERS)],0.9)</f>
        <v>0.61904761904761907</v>
      </c>
      <c r="AS604" t="b">
        <f>Table67[[#This Row],[Extrem Response Ratio (ERS)]]&gt;=Table67[[#This Row],[Threshold of ERS]]</f>
        <v>0</v>
      </c>
      <c r="AT604">
        <f>COUNTIF(Table67[[#This Row],[The mechanism of digital assets is difficult to understand, which discourages me from exploring it (E.g, Tokenization, Blockchain)]:[If I want to try different ways to invest, I will explore digital assets.]], 3)</f>
        <v>6</v>
      </c>
      <c r="AU604">
        <f>Table67[[#This Row],[Midpoint]]/21</f>
        <v>0.2857142857142857</v>
      </c>
      <c r="AV604">
        <f>_xlfn.PERCENTILE.INC(Table67[Midpoint ratio],0.9)</f>
        <v>0.5714285714285714</v>
      </c>
      <c r="AW604" t="b">
        <f>Table67[[#This Row],[Midpoint ratio]]&gt;=Table67[[#This Row],[Threshold of Midpoint ratio]]</f>
        <v>0</v>
      </c>
      <c r="AX604" t="b">
        <f>OR(Table67[[#This Row],[Extreme Response Style]],Table67[[#This Row],[Mid-point Response Style]])</f>
        <v>0</v>
      </c>
      <c r="AY604" t="b">
        <f>OR(Table67[[#This Row],[Delete? (Stage 1)]],Table67[[#This Row],[Delete? (Stage 2)]])</f>
        <v>1</v>
      </c>
      <c r="AZ604" t="s">
        <v>84</v>
      </c>
    </row>
    <row r="605" spans="1:52">
      <c r="A605">
        <f t="shared" si="39"/>
        <v>604</v>
      </c>
      <c r="B605" s="3">
        <v>46049.730995370403</v>
      </c>
      <c r="C605" s="3">
        <v>46049.7332986111</v>
      </c>
      <c r="D605" t="s">
        <v>53</v>
      </c>
      <c r="G605" t="s">
        <v>54</v>
      </c>
      <c r="H605" t="s">
        <v>55</v>
      </c>
      <c r="I605" t="s">
        <v>56</v>
      </c>
      <c r="J605" t="s">
        <v>60</v>
      </c>
      <c r="K605" t="s">
        <v>62</v>
      </c>
      <c r="L605" t="s">
        <v>61</v>
      </c>
      <c r="M605" t="s">
        <v>61</v>
      </c>
      <c r="N605">
        <v>2</v>
      </c>
      <c r="O605">
        <v>5</v>
      </c>
      <c r="P605">
        <v>2</v>
      </c>
      <c r="Q605">
        <v>5</v>
      </c>
      <c r="R605">
        <v>5</v>
      </c>
      <c r="S605">
        <v>5</v>
      </c>
      <c r="T605">
        <v>5</v>
      </c>
      <c r="U605">
        <v>5</v>
      </c>
      <c r="V605">
        <v>5</v>
      </c>
      <c r="W605">
        <v>5</v>
      </c>
      <c r="X605">
        <v>3</v>
      </c>
      <c r="Y605">
        <v>5</v>
      </c>
      <c r="Z605">
        <v>5</v>
      </c>
      <c r="AA605">
        <v>5</v>
      </c>
      <c r="AB605">
        <v>5</v>
      </c>
      <c r="AC605">
        <v>5</v>
      </c>
      <c r="AD605">
        <v>5</v>
      </c>
      <c r="AE605">
        <v>5</v>
      </c>
      <c r="AF605">
        <v>5</v>
      </c>
      <c r="AG605">
        <v>5</v>
      </c>
      <c r="AH605">
        <v>5</v>
      </c>
      <c r="AI605">
        <v>1</v>
      </c>
      <c r="AJ605">
        <v>1</v>
      </c>
      <c r="AK605" t="b">
        <f>Table67[[#This Row],[What is your age?]]&lt;&gt;"18 - 25"</f>
        <v>0</v>
      </c>
      <c r="AL605" t="b">
        <f t="shared" si="36"/>
        <v>0</v>
      </c>
      <c r="AM605" t="b">
        <f t="shared" si="37"/>
        <v>1</v>
      </c>
      <c r="AN605" t="b">
        <f t="shared" si="38"/>
        <v>0</v>
      </c>
      <c r="AO605" t="b">
        <f>OR(Table67[[#This Row],[Ineligible respondents]:[Inconsistent response on opposite question (3)]])</f>
        <v>1</v>
      </c>
      <c r="AP60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18</v>
      </c>
      <c r="AQ605">
        <f>Table67[[#This Row],[Extreme Response]]/21</f>
        <v>0.8571428571428571</v>
      </c>
      <c r="AR605">
        <f>_xlfn.PERCENTILE.INC(Table67[Extrem Response Ratio (ERS)],0.9)</f>
        <v>0.61904761904761907</v>
      </c>
      <c r="AS605" t="b">
        <f>Table67[[#This Row],[Extrem Response Ratio (ERS)]]&gt;=Table67[[#This Row],[Threshold of ERS]]</f>
        <v>1</v>
      </c>
      <c r="AT605">
        <f>COUNTIF(Table67[[#This Row],[The mechanism of digital assets is difficult to understand, which discourages me from exploring it (E.g, Tokenization, Blockchain)]:[If I want to try different ways to invest, I will explore digital assets.]], 3)</f>
        <v>1</v>
      </c>
      <c r="AU605">
        <f>Table67[[#This Row],[Midpoint]]/21</f>
        <v>4.7619047619047616E-2</v>
      </c>
      <c r="AV605">
        <f>_xlfn.PERCENTILE.INC(Table67[Midpoint ratio],0.9)</f>
        <v>0.5714285714285714</v>
      </c>
      <c r="AW605" t="b">
        <f>Table67[[#This Row],[Midpoint ratio]]&gt;=Table67[[#This Row],[Threshold of Midpoint ratio]]</f>
        <v>0</v>
      </c>
      <c r="AX605" t="b">
        <f>OR(Table67[[#This Row],[Extreme Response Style]],Table67[[#This Row],[Mid-point Response Style]])</f>
        <v>1</v>
      </c>
      <c r="AY605" t="b">
        <f>OR(Table67[[#This Row],[Delete? (Stage 1)]],Table67[[#This Row],[Delete? (Stage 2)]])</f>
        <v>1</v>
      </c>
      <c r="AZ605" t="s">
        <v>84</v>
      </c>
    </row>
    <row r="606" spans="1:52">
      <c r="A606">
        <f t="shared" si="39"/>
        <v>605</v>
      </c>
      <c r="B606" s="3">
        <v>46049.731122685203</v>
      </c>
      <c r="C606" s="3">
        <v>46049.734178240702</v>
      </c>
      <c r="D606" t="s">
        <v>53</v>
      </c>
      <c r="G606" t="s">
        <v>54</v>
      </c>
      <c r="H606" t="s">
        <v>55</v>
      </c>
      <c r="I606" t="s">
        <v>71</v>
      </c>
      <c r="J606" t="s">
        <v>62</v>
      </c>
      <c r="K606" t="s">
        <v>60</v>
      </c>
      <c r="L606" t="s">
        <v>58</v>
      </c>
      <c r="M606" t="s">
        <v>58</v>
      </c>
      <c r="N606">
        <v>2</v>
      </c>
      <c r="O606">
        <v>2</v>
      </c>
      <c r="P606">
        <v>5</v>
      </c>
      <c r="Q606">
        <v>4</v>
      </c>
      <c r="R606">
        <v>3</v>
      </c>
      <c r="S606">
        <v>4</v>
      </c>
      <c r="T606">
        <v>2</v>
      </c>
      <c r="U606">
        <v>4</v>
      </c>
      <c r="V606">
        <v>4</v>
      </c>
      <c r="W606">
        <v>4</v>
      </c>
      <c r="X606">
        <v>4</v>
      </c>
      <c r="Y606">
        <v>4</v>
      </c>
      <c r="Z606">
        <v>2</v>
      </c>
      <c r="AA606">
        <v>2</v>
      </c>
      <c r="AB606">
        <v>1</v>
      </c>
      <c r="AC606">
        <v>4</v>
      </c>
      <c r="AD606">
        <v>4</v>
      </c>
      <c r="AE606">
        <v>2</v>
      </c>
      <c r="AF606">
        <v>3</v>
      </c>
      <c r="AG606">
        <v>2</v>
      </c>
      <c r="AH606">
        <v>4</v>
      </c>
      <c r="AI606">
        <v>2</v>
      </c>
      <c r="AJ606">
        <v>3</v>
      </c>
      <c r="AK606" t="b">
        <f>Table67[[#This Row],[What is your age?]]&lt;&gt;"18 - 25"</f>
        <v>0</v>
      </c>
      <c r="AL606" t="b">
        <f t="shared" si="36"/>
        <v>0</v>
      </c>
      <c r="AM606" t="b">
        <f t="shared" si="37"/>
        <v>0</v>
      </c>
      <c r="AN606" t="b">
        <f t="shared" si="38"/>
        <v>0</v>
      </c>
      <c r="AO606" t="b">
        <f>OR(Table67[[#This Row],[Ineligible respondents]:[Inconsistent response on opposite question (3)]])</f>
        <v>0</v>
      </c>
      <c r="AP60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606">
        <f>Table67[[#This Row],[Extreme Response]]/21</f>
        <v>9.5238095238095233E-2</v>
      </c>
      <c r="AR606">
        <f>_xlfn.PERCENTILE.INC(Table67[Extrem Response Ratio (ERS)],0.9)</f>
        <v>0.61904761904761907</v>
      </c>
      <c r="AS606" t="b">
        <f>Table67[[#This Row],[Extrem Response Ratio (ERS)]]&gt;=Table67[[#This Row],[Threshold of ERS]]</f>
        <v>0</v>
      </c>
      <c r="AT606">
        <f>COUNTIF(Table67[[#This Row],[The mechanism of digital assets is difficult to understand, which discourages me from exploring it (E.g, Tokenization, Blockchain)]:[If I want to try different ways to invest, I will explore digital assets.]], 3)</f>
        <v>2</v>
      </c>
      <c r="AU606">
        <f>Table67[[#This Row],[Midpoint]]/21</f>
        <v>9.5238095238095233E-2</v>
      </c>
      <c r="AV606">
        <f>_xlfn.PERCENTILE.INC(Table67[Midpoint ratio],0.9)</f>
        <v>0.5714285714285714</v>
      </c>
      <c r="AW606" t="b">
        <f>Table67[[#This Row],[Midpoint ratio]]&gt;=Table67[[#This Row],[Threshold of Midpoint ratio]]</f>
        <v>0</v>
      </c>
      <c r="AX606" t="b">
        <f>OR(Table67[[#This Row],[Extreme Response Style]],Table67[[#This Row],[Mid-point Response Style]])</f>
        <v>0</v>
      </c>
      <c r="AY606" t="b">
        <f>OR(Table67[[#This Row],[Delete? (Stage 1)]],Table67[[#This Row],[Delete? (Stage 2)]])</f>
        <v>0</v>
      </c>
      <c r="AZ606" t="s">
        <v>84</v>
      </c>
    </row>
    <row r="607" spans="1:52">
      <c r="A607">
        <f t="shared" si="39"/>
        <v>606</v>
      </c>
      <c r="B607" s="3">
        <v>46049.731215277803</v>
      </c>
      <c r="C607" s="3">
        <v>46049.741805555597</v>
      </c>
      <c r="D607" t="s">
        <v>53</v>
      </c>
      <c r="G607" t="s">
        <v>54</v>
      </c>
      <c r="H607" t="s">
        <v>63</v>
      </c>
      <c r="I607" t="s">
        <v>56</v>
      </c>
      <c r="J607" t="s">
        <v>62</v>
      </c>
      <c r="K607" t="s">
        <v>57</v>
      </c>
      <c r="L607" t="s">
        <v>58</v>
      </c>
      <c r="M607" t="s">
        <v>58</v>
      </c>
      <c r="N607">
        <v>1</v>
      </c>
      <c r="O607">
        <v>4</v>
      </c>
      <c r="P607">
        <v>5</v>
      </c>
      <c r="Q607">
        <v>1</v>
      </c>
      <c r="R607">
        <v>1</v>
      </c>
      <c r="S607">
        <v>5</v>
      </c>
      <c r="T607">
        <v>1</v>
      </c>
      <c r="U607">
        <v>2</v>
      </c>
      <c r="V607">
        <v>5</v>
      </c>
      <c r="W607">
        <v>5</v>
      </c>
      <c r="X607">
        <v>1</v>
      </c>
      <c r="Y607">
        <v>4</v>
      </c>
      <c r="Z607">
        <v>5</v>
      </c>
      <c r="AA607">
        <v>2</v>
      </c>
      <c r="AB607">
        <v>1</v>
      </c>
      <c r="AC607">
        <v>2</v>
      </c>
      <c r="AD607">
        <v>3</v>
      </c>
      <c r="AE607">
        <v>5</v>
      </c>
      <c r="AF607">
        <v>5</v>
      </c>
      <c r="AG607">
        <v>1</v>
      </c>
      <c r="AH607">
        <v>5</v>
      </c>
      <c r="AI607">
        <v>1</v>
      </c>
      <c r="AJ607">
        <v>1</v>
      </c>
      <c r="AK607" t="b">
        <f>Table67[[#This Row],[What is your age?]]&lt;&gt;"18 - 25"</f>
        <v>0</v>
      </c>
      <c r="AL607" t="b">
        <f t="shared" si="36"/>
        <v>0</v>
      </c>
      <c r="AM607" t="b">
        <f t="shared" si="37"/>
        <v>0</v>
      </c>
      <c r="AN607" t="b">
        <f t="shared" si="38"/>
        <v>0</v>
      </c>
      <c r="AO607" t="b">
        <f>OR(Table67[[#This Row],[Ineligible respondents]:[Inconsistent response on opposite question (3)]])</f>
        <v>0</v>
      </c>
      <c r="AP60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607">
        <f>Table67[[#This Row],[Extreme Response]]/21</f>
        <v>0.7142857142857143</v>
      </c>
      <c r="AR607">
        <f>_xlfn.PERCENTILE.INC(Table67[Extrem Response Ratio (ERS)],0.9)</f>
        <v>0.61904761904761907</v>
      </c>
      <c r="AS607" t="b">
        <f>Table67[[#This Row],[Extrem Response Ratio (ERS)]]&gt;=Table67[[#This Row],[Threshold of ERS]]</f>
        <v>1</v>
      </c>
      <c r="AT607">
        <f>COUNTIF(Table67[[#This Row],[The mechanism of digital assets is difficult to understand, which discourages me from exploring it (E.g, Tokenization, Blockchain)]:[If I want to try different ways to invest, I will explore digital assets.]], 3)</f>
        <v>1</v>
      </c>
      <c r="AU607">
        <f>Table67[[#This Row],[Midpoint]]/21</f>
        <v>4.7619047619047616E-2</v>
      </c>
      <c r="AV607">
        <f>_xlfn.PERCENTILE.INC(Table67[Midpoint ratio],0.9)</f>
        <v>0.5714285714285714</v>
      </c>
      <c r="AW607" t="b">
        <f>Table67[[#This Row],[Midpoint ratio]]&gt;=Table67[[#This Row],[Threshold of Midpoint ratio]]</f>
        <v>0</v>
      </c>
      <c r="AX607" t="b">
        <f>OR(Table67[[#This Row],[Extreme Response Style]],Table67[[#This Row],[Mid-point Response Style]])</f>
        <v>1</v>
      </c>
      <c r="AY607" t="b">
        <f>OR(Table67[[#This Row],[Delete? (Stage 1)]],Table67[[#This Row],[Delete? (Stage 2)]])</f>
        <v>1</v>
      </c>
      <c r="AZ607" t="s">
        <v>84</v>
      </c>
    </row>
    <row r="608" spans="1:52">
      <c r="A608">
        <f t="shared" si="39"/>
        <v>607</v>
      </c>
      <c r="B608" s="3">
        <v>46049.731550925899</v>
      </c>
      <c r="C608" s="3">
        <v>46049.7339699074</v>
      </c>
      <c r="D608" t="s">
        <v>53</v>
      </c>
      <c r="G608" t="s">
        <v>54</v>
      </c>
      <c r="H608" t="s">
        <v>63</v>
      </c>
      <c r="I608" t="s">
        <v>56</v>
      </c>
      <c r="J608" t="s">
        <v>62</v>
      </c>
      <c r="K608" t="s">
        <v>57</v>
      </c>
      <c r="L608" t="s">
        <v>58</v>
      </c>
      <c r="M608" t="s">
        <v>58</v>
      </c>
      <c r="N608">
        <v>5</v>
      </c>
      <c r="O608">
        <v>5</v>
      </c>
      <c r="P608">
        <v>5</v>
      </c>
      <c r="Q608">
        <v>5</v>
      </c>
      <c r="R608">
        <v>5</v>
      </c>
      <c r="S608">
        <v>5</v>
      </c>
      <c r="T608">
        <v>5</v>
      </c>
      <c r="U608">
        <v>5</v>
      </c>
      <c r="V608">
        <v>5</v>
      </c>
      <c r="W608">
        <v>5</v>
      </c>
      <c r="X608">
        <v>5</v>
      </c>
      <c r="Y608">
        <v>5</v>
      </c>
      <c r="Z608">
        <v>5</v>
      </c>
      <c r="AA608">
        <v>5</v>
      </c>
      <c r="AB608">
        <v>5</v>
      </c>
      <c r="AC608">
        <v>5</v>
      </c>
      <c r="AD608">
        <v>5</v>
      </c>
      <c r="AE608">
        <v>3</v>
      </c>
      <c r="AF608">
        <v>1</v>
      </c>
      <c r="AG608">
        <v>5</v>
      </c>
      <c r="AH608">
        <v>1</v>
      </c>
      <c r="AI608">
        <v>5</v>
      </c>
      <c r="AJ608">
        <v>5</v>
      </c>
      <c r="AK608" t="b">
        <f>Table67[[#This Row],[What is your age?]]&lt;&gt;"18 - 25"</f>
        <v>0</v>
      </c>
      <c r="AL608" t="b">
        <f t="shared" si="36"/>
        <v>0</v>
      </c>
      <c r="AM608" t="b">
        <f t="shared" si="37"/>
        <v>0</v>
      </c>
      <c r="AN608" t="b">
        <f t="shared" si="38"/>
        <v>0</v>
      </c>
      <c r="AO608" t="b">
        <f>OR(Table67[[#This Row],[Ineligible respondents]:[Inconsistent response on opposite question (3)]])</f>
        <v>0</v>
      </c>
      <c r="AP60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20</v>
      </c>
      <c r="AQ608">
        <f>Table67[[#This Row],[Extreme Response]]/21</f>
        <v>0.95238095238095233</v>
      </c>
      <c r="AR608">
        <f>_xlfn.PERCENTILE.INC(Table67[Extrem Response Ratio (ERS)],0.9)</f>
        <v>0.61904761904761907</v>
      </c>
      <c r="AS608" t="b">
        <f>Table67[[#This Row],[Extrem Response Ratio (ERS)]]&gt;=Table67[[#This Row],[Threshold of ERS]]</f>
        <v>1</v>
      </c>
      <c r="AT608">
        <f>COUNTIF(Table67[[#This Row],[The mechanism of digital assets is difficult to understand, which discourages me from exploring it (E.g, Tokenization, Blockchain)]:[If I want to try different ways to invest, I will explore digital assets.]], 3)</f>
        <v>1</v>
      </c>
      <c r="AU608">
        <f>Table67[[#This Row],[Midpoint]]/21</f>
        <v>4.7619047619047616E-2</v>
      </c>
      <c r="AV608">
        <f>_xlfn.PERCENTILE.INC(Table67[Midpoint ratio],0.9)</f>
        <v>0.5714285714285714</v>
      </c>
      <c r="AW608" t="b">
        <f>Table67[[#This Row],[Midpoint ratio]]&gt;=Table67[[#This Row],[Threshold of Midpoint ratio]]</f>
        <v>0</v>
      </c>
      <c r="AX608" t="b">
        <f>OR(Table67[[#This Row],[Extreme Response Style]],Table67[[#This Row],[Mid-point Response Style]])</f>
        <v>1</v>
      </c>
      <c r="AY608" t="b">
        <f>OR(Table67[[#This Row],[Delete? (Stage 1)]],Table67[[#This Row],[Delete? (Stage 2)]])</f>
        <v>1</v>
      </c>
      <c r="AZ608" t="s">
        <v>84</v>
      </c>
    </row>
    <row r="609" spans="1:52">
      <c r="A609">
        <f t="shared" si="39"/>
        <v>608</v>
      </c>
      <c r="B609" s="3">
        <v>46049.731574074103</v>
      </c>
      <c r="C609" s="3">
        <v>46049.734976851803</v>
      </c>
      <c r="D609" t="s">
        <v>53</v>
      </c>
      <c r="G609" t="s">
        <v>54</v>
      </c>
      <c r="H609" t="s">
        <v>55</v>
      </c>
      <c r="I609" t="s">
        <v>56</v>
      </c>
      <c r="J609" t="s">
        <v>62</v>
      </c>
      <c r="K609" t="s">
        <v>57</v>
      </c>
      <c r="L609" t="s">
        <v>58</v>
      </c>
      <c r="M609" t="s">
        <v>58</v>
      </c>
      <c r="N609">
        <v>2</v>
      </c>
      <c r="O609">
        <v>3</v>
      </c>
      <c r="P609">
        <v>2</v>
      </c>
      <c r="Q609">
        <v>2</v>
      </c>
      <c r="R609">
        <v>1</v>
      </c>
      <c r="S609">
        <v>2</v>
      </c>
      <c r="T609">
        <v>4</v>
      </c>
      <c r="U609">
        <v>5</v>
      </c>
      <c r="V609">
        <v>3</v>
      </c>
      <c r="W609">
        <v>2</v>
      </c>
      <c r="X609">
        <v>3</v>
      </c>
      <c r="Y609">
        <v>4</v>
      </c>
      <c r="Z609">
        <v>3</v>
      </c>
      <c r="AA609">
        <v>3</v>
      </c>
      <c r="AB609">
        <v>2</v>
      </c>
      <c r="AC609">
        <v>3</v>
      </c>
      <c r="AD609">
        <v>5</v>
      </c>
      <c r="AE609">
        <v>4</v>
      </c>
      <c r="AF609">
        <v>3</v>
      </c>
      <c r="AG609">
        <v>3</v>
      </c>
      <c r="AH609">
        <v>4</v>
      </c>
      <c r="AI609">
        <v>2</v>
      </c>
      <c r="AJ609">
        <v>3</v>
      </c>
      <c r="AK609" t="b">
        <f>Table67[[#This Row],[What is your age?]]&lt;&gt;"18 - 25"</f>
        <v>0</v>
      </c>
      <c r="AL609" t="b">
        <f t="shared" si="36"/>
        <v>0</v>
      </c>
      <c r="AM609" t="b">
        <f t="shared" si="37"/>
        <v>0</v>
      </c>
      <c r="AN609" t="b">
        <f t="shared" si="38"/>
        <v>1</v>
      </c>
      <c r="AO609" t="b">
        <f>OR(Table67[[#This Row],[Ineligible respondents]:[Inconsistent response on opposite question (3)]])</f>
        <v>1</v>
      </c>
      <c r="AP60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609">
        <f>Table67[[#This Row],[Extreme Response]]/21</f>
        <v>0.14285714285714285</v>
      </c>
      <c r="AR609">
        <f>_xlfn.PERCENTILE.INC(Table67[Extrem Response Ratio (ERS)],0.9)</f>
        <v>0.61904761904761907</v>
      </c>
      <c r="AS609" t="b">
        <f>Table67[[#This Row],[Extrem Response Ratio (ERS)]]&gt;=Table67[[#This Row],[Threshold of ERS]]</f>
        <v>0</v>
      </c>
      <c r="AT609">
        <f>COUNTIF(Table67[[#This Row],[The mechanism of digital assets is difficult to understand, which discourages me from exploring it (E.g, Tokenization, Blockchain)]:[If I want to try different ways to invest, I will explore digital assets.]], 3)</f>
        <v>8</v>
      </c>
      <c r="AU609">
        <f>Table67[[#This Row],[Midpoint]]/21</f>
        <v>0.38095238095238093</v>
      </c>
      <c r="AV609">
        <f>_xlfn.PERCENTILE.INC(Table67[Midpoint ratio],0.9)</f>
        <v>0.5714285714285714</v>
      </c>
      <c r="AW609" t="b">
        <f>Table67[[#This Row],[Midpoint ratio]]&gt;=Table67[[#This Row],[Threshold of Midpoint ratio]]</f>
        <v>0</v>
      </c>
      <c r="AX609" t="b">
        <f>OR(Table67[[#This Row],[Extreme Response Style]],Table67[[#This Row],[Mid-point Response Style]])</f>
        <v>0</v>
      </c>
      <c r="AY609" t="b">
        <f>OR(Table67[[#This Row],[Delete? (Stage 1)]],Table67[[#This Row],[Delete? (Stage 2)]])</f>
        <v>1</v>
      </c>
      <c r="AZ609" t="s">
        <v>84</v>
      </c>
    </row>
    <row r="610" spans="1:52">
      <c r="A610">
        <f t="shared" si="39"/>
        <v>609</v>
      </c>
      <c r="B610" s="3">
        <v>46049.731643518498</v>
      </c>
      <c r="C610" s="3">
        <v>46049.7434953704</v>
      </c>
      <c r="D610" t="s">
        <v>53</v>
      </c>
      <c r="G610" t="s">
        <v>54</v>
      </c>
      <c r="H610" t="s">
        <v>55</v>
      </c>
      <c r="I610" t="s">
        <v>69</v>
      </c>
      <c r="J610" t="s">
        <v>62</v>
      </c>
      <c r="K610" t="s">
        <v>57</v>
      </c>
      <c r="L610" t="s">
        <v>58</v>
      </c>
      <c r="M610" t="s">
        <v>58</v>
      </c>
      <c r="N610">
        <v>4</v>
      </c>
      <c r="O610">
        <v>5</v>
      </c>
      <c r="P610">
        <v>3</v>
      </c>
      <c r="Q610">
        <v>3</v>
      </c>
      <c r="R610">
        <v>1</v>
      </c>
      <c r="S610">
        <v>4</v>
      </c>
      <c r="T610">
        <v>3</v>
      </c>
      <c r="U610">
        <v>2</v>
      </c>
      <c r="V610">
        <v>2</v>
      </c>
      <c r="W610">
        <v>4</v>
      </c>
      <c r="X610">
        <v>4</v>
      </c>
      <c r="Y610">
        <v>2</v>
      </c>
      <c r="Z610">
        <v>2</v>
      </c>
      <c r="AA610">
        <v>3</v>
      </c>
      <c r="AB610">
        <v>1</v>
      </c>
      <c r="AC610">
        <v>2</v>
      </c>
      <c r="AD610">
        <v>4</v>
      </c>
      <c r="AE610">
        <v>2</v>
      </c>
      <c r="AF610">
        <v>5</v>
      </c>
      <c r="AG610">
        <v>4</v>
      </c>
      <c r="AH610">
        <v>4</v>
      </c>
      <c r="AI610">
        <v>2</v>
      </c>
      <c r="AJ610">
        <v>1</v>
      </c>
      <c r="AK610" t="b">
        <f>Table67[[#This Row],[What is your age?]]&lt;&gt;"18 - 25"</f>
        <v>0</v>
      </c>
      <c r="AL610" t="b">
        <f t="shared" si="36"/>
        <v>0</v>
      </c>
      <c r="AM610" t="b">
        <f t="shared" si="37"/>
        <v>1</v>
      </c>
      <c r="AN610" t="b">
        <f t="shared" si="38"/>
        <v>0</v>
      </c>
      <c r="AO610" t="b">
        <f>OR(Table67[[#This Row],[Ineligible respondents]:[Inconsistent response on opposite question (3)]])</f>
        <v>1</v>
      </c>
      <c r="AP61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610">
        <f>Table67[[#This Row],[Extreme Response]]/21</f>
        <v>0.19047619047619047</v>
      </c>
      <c r="AR610">
        <f>_xlfn.PERCENTILE.INC(Table67[Extrem Response Ratio (ERS)],0.9)</f>
        <v>0.61904761904761907</v>
      </c>
      <c r="AS610" t="b">
        <f>Table67[[#This Row],[Extrem Response Ratio (ERS)]]&gt;=Table67[[#This Row],[Threshold of ERS]]</f>
        <v>0</v>
      </c>
      <c r="AT610">
        <f>COUNTIF(Table67[[#This Row],[The mechanism of digital assets is difficult to understand, which discourages me from exploring it (E.g, Tokenization, Blockchain)]:[If I want to try different ways to invest, I will explore digital assets.]], 3)</f>
        <v>4</v>
      </c>
      <c r="AU610">
        <f>Table67[[#This Row],[Midpoint]]/21</f>
        <v>0.19047619047619047</v>
      </c>
      <c r="AV610">
        <f>_xlfn.PERCENTILE.INC(Table67[Midpoint ratio],0.9)</f>
        <v>0.5714285714285714</v>
      </c>
      <c r="AW610" t="b">
        <f>Table67[[#This Row],[Midpoint ratio]]&gt;=Table67[[#This Row],[Threshold of Midpoint ratio]]</f>
        <v>0</v>
      </c>
      <c r="AX610" t="b">
        <f>OR(Table67[[#This Row],[Extreme Response Style]],Table67[[#This Row],[Mid-point Response Style]])</f>
        <v>0</v>
      </c>
      <c r="AY610" t="b">
        <f>OR(Table67[[#This Row],[Delete? (Stage 1)]],Table67[[#This Row],[Delete? (Stage 2)]])</f>
        <v>1</v>
      </c>
      <c r="AZ610" t="s">
        <v>84</v>
      </c>
    </row>
    <row r="611" spans="1:52">
      <c r="A611">
        <f t="shared" si="39"/>
        <v>610</v>
      </c>
      <c r="B611" s="3">
        <v>46049.7316782407</v>
      </c>
      <c r="C611" s="3">
        <v>46049.739837963003</v>
      </c>
      <c r="D611" t="s">
        <v>53</v>
      </c>
      <c r="G611" t="s">
        <v>54</v>
      </c>
      <c r="H611" t="s">
        <v>55</v>
      </c>
      <c r="I611" t="s">
        <v>56</v>
      </c>
      <c r="J611" t="s">
        <v>62</v>
      </c>
      <c r="K611" t="s">
        <v>60</v>
      </c>
      <c r="L611" t="s">
        <v>61</v>
      </c>
      <c r="M611" t="s">
        <v>61</v>
      </c>
      <c r="N611">
        <v>2</v>
      </c>
      <c r="O611">
        <v>1</v>
      </c>
      <c r="P611">
        <v>2</v>
      </c>
      <c r="Q611">
        <v>1</v>
      </c>
      <c r="R611">
        <v>1</v>
      </c>
      <c r="S611">
        <v>1</v>
      </c>
      <c r="T611">
        <v>1</v>
      </c>
      <c r="U611">
        <v>1</v>
      </c>
      <c r="V611">
        <v>2</v>
      </c>
      <c r="W611">
        <v>2</v>
      </c>
      <c r="X611">
        <v>1</v>
      </c>
      <c r="Y611">
        <v>2</v>
      </c>
      <c r="Z611">
        <v>2</v>
      </c>
      <c r="AA611">
        <v>2</v>
      </c>
      <c r="AB611">
        <v>1</v>
      </c>
      <c r="AC611">
        <v>2</v>
      </c>
      <c r="AD611">
        <v>2</v>
      </c>
      <c r="AE611">
        <v>1</v>
      </c>
      <c r="AF611">
        <v>5</v>
      </c>
      <c r="AG611">
        <v>1</v>
      </c>
      <c r="AH611">
        <v>5</v>
      </c>
      <c r="AI611">
        <v>1</v>
      </c>
      <c r="AJ611">
        <v>1</v>
      </c>
      <c r="AK611" t="b">
        <f>Table67[[#This Row],[What is your age?]]&lt;&gt;"18 - 25"</f>
        <v>0</v>
      </c>
      <c r="AL611" t="b">
        <f t="shared" si="36"/>
        <v>0</v>
      </c>
      <c r="AM611" t="b">
        <f t="shared" si="37"/>
        <v>0</v>
      </c>
      <c r="AN611" t="b">
        <f t="shared" si="38"/>
        <v>0</v>
      </c>
      <c r="AO611" t="b">
        <f>OR(Table67[[#This Row],[Ineligible respondents]:[Inconsistent response on opposite question (3)]])</f>
        <v>0</v>
      </c>
      <c r="AP61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12</v>
      </c>
      <c r="AQ611">
        <f>Table67[[#This Row],[Extreme Response]]/21</f>
        <v>0.5714285714285714</v>
      </c>
      <c r="AR611">
        <f>_xlfn.PERCENTILE.INC(Table67[Extrem Response Ratio (ERS)],0.9)</f>
        <v>0.61904761904761907</v>
      </c>
      <c r="AS611" t="b">
        <f>Table67[[#This Row],[Extrem Response Ratio (ERS)]]&gt;=Table67[[#This Row],[Threshold of ERS]]</f>
        <v>0</v>
      </c>
      <c r="AT611">
        <f>COUNTIF(Table67[[#This Row],[The mechanism of digital assets is difficult to understand, which discourages me from exploring it (E.g, Tokenization, Blockchain)]:[If I want to try different ways to invest, I will explore digital assets.]], 3)</f>
        <v>0</v>
      </c>
      <c r="AU611">
        <f>Table67[[#This Row],[Midpoint]]/21</f>
        <v>0</v>
      </c>
      <c r="AV611">
        <f>_xlfn.PERCENTILE.INC(Table67[Midpoint ratio],0.9)</f>
        <v>0.5714285714285714</v>
      </c>
      <c r="AW611" t="b">
        <f>Table67[[#This Row],[Midpoint ratio]]&gt;=Table67[[#This Row],[Threshold of Midpoint ratio]]</f>
        <v>0</v>
      </c>
      <c r="AX611" t="b">
        <f>OR(Table67[[#This Row],[Extreme Response Style]],Table67[[#This Row],[Mid-point Response Style]])</f>
        <v>0</v>
      </c>
      <c r="AY611" t="b">
        <f>OR(Table67[[#This Row],[Delete? (Stage 1)]],Table67[[#This Row],[Delete? (Stage 2)]])</f>
        <v>0</v>
      </c>
      <c r="AZ611" t="s">
        <v>84</v>
      </c>
    </row>
    <row r="612" spans="1:52">
      <c r="A612">
        <f t="shared" si="39"/>
        <v>611</v>
      </c>
      <c r="B612" s="3">
        <v>46049.731863425899</v>
      </c>
      <c r="C612" s="3">
        <v>46049.738784722198</v>
      </c>
      <c r="D612" t="s">
        <v>53</v>
      </c>
      <c r="G612" t="s">
        <v>54</v>
      </c>
      <c r="H612" t="s">
        <v>55</v>
      </c>
      <c r="I612" t="s">
        <v>56</v>
      </c>
      <c r="J612" t="s">
        <v>60</v>
      </c>
      <c r="K612" t="s">
        <v>62</v>
      </c>
      <c r="L612" t="s">
        <v>61</v>
      </c>
      <c r="M612" t="s">
        <v>61</v>
      </c>
      <c r="N612">
        <v>2</v>
      </c>
      <c r="O612">
        <v>4</v>
      </c>
      <c r="P612">
        <v>1</v>
      </c>
      <c r="Q612">
        <v>1</v>
      </c>
      <c r="R612">
        <v>5</v>
      </c>
      <c r="S612">
        <v>2</v>
      </c>
      <c r="T612">
        <v>1</v>
      </c>
      <c r="U612">
        <v>1</v>
      </c>
      <c r="V612">
        <v>5</v>
      </c>
      <c r="W612">
        <v>5</v>
      </c>
      <c r="X612">
        <v>2</v>
      </c>
      <c r="Y612">
        <v>5</v>
      </c>
      <c r="Z612">
        <v>4</v>
      </c>
      <c r="AA612">
        <v>3</v>
      </c>
      <c r="AB612">
        <v>1</v>
      </c>
      <c r="AC612">
        <v>1</v>
      </c>
      <c r="AD612">
        <v>5</v>
      </c>
      <c r="AE612">
        <v>5</v>
      </c>
      <c r="AF612">
        <v>5</v>
      </c>
      <c r="AG612">
        <v>1</v>
      </c>
      <c r="AH612">
        <v>4</v>
      </c>
      <c r="AI612">
        <v>2</v>
      </c>
      <c r="AJ612">
        <v>1</v>
      </c>
      <c r="AK612" t="b">
        <f>Table67[[#This Row],[What is your age?]]&lt;&gt;"18 - 25"</f>
        <v>0</v>
      </c>
      <c r="AL612" t="b">
        <f t="shared" si="36"/>
        <v>0</v>
      </c>
      <c r="AM612" t="b">
        <f t="shared" si="37"/>
        <v>0</v>
      </c>
      <c r="AN612" t="b">
        <f t="shared" si="38"/>
        <v>0</v>
      </c>
      <c r="AO612" t="b">
        <f>OR(Table67[[#This Row],[Ineligible respondents]:[Inconsistent response on opposite question (3)]])</f>
        <v>0</v>
      </c>
      <c r="AP61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612">
        <f>Table67[[#This Row],[Extreme Response]]/21</f>
        <v>0.66666666666666663</v>
      </c>
      <c r="AR612">
        <f>_xlfn.PERCENTILE.INC(Table67[Extrem Response Ratio (ERS)],0.9)</f>
        <v>0.61904761904761907</v>
      </c>
      <c r="AS612" t="b">
        <f>Table67[[#This Row],[Extrem Response Ratio (ERS)]]&gt;=Table67[[#This Row],[Threshold of ERS]]</f>
        <v>1</v>
      </c>
      <c r="AT612">
        <f>COUNTIF(Table67[[#This Row],[The mechanism of digital assets is difficult to understand, which discourages me from exploring it (E.g, Tokenization, Blockchain)]:[If I want to try different ways to invest, I will explore digital assets.]], 3)</f>
        <v>1</v>
      </c>
      <c r="AU612">
        <f>Table67[[#This Row],[Midpoint]]/21</f>
        <v>4.7619047619047616E-2</v>
      </c>
      <c r="AV612">
        <f>_xlfn.PERCENTILE.INC(Table67[Midpoint ratio],0.9)</f>
        <v>0.5714285714285714</v>
      </c>
      <c r="AW612" t="b">
        <f>Table67[[#This Row],[Midpoint ratio]]&gt;=Table67[[#This Row],[Threshold of Midpoint ratio]]</f>
        <v>0</v>
      </c>
      <c r="AX612" t="b">
        <f>OR(Table67[[#This Row],[Extreme Response Style]],Table67[[#This Row],[Mid-point Response Style]])</f>
        <v>1</v>
      </c>
      <c r="AY612" t="b">
        <f>OR(Table67[[#This Row],[Delete? (Stage 1)]],Table67[[#This Row],[Delete? (Stage 2)]])</f>
        <v>1</v>
      </c>
      <c r="AZ612" t="s">
        <v>84</v>
      </c>
    </row>
    <row r="613" spans="1:52">
      <c r="A613">
        <f t="shared" si="39"/>
        <v>612</v>
      </c>
      <c r="B613" s="3">
        <v>46049.731874999998</v>
      </c>
      <c r="C613" s="3">
        <v>46049.734074074098</v>
      </c>
      <c r="D613" t="s">
        <v>53</v>
      </c>
      <c r="G613" t="s">
        <v>54</v>
      </c>
      <c r="H613" t="s">
        <v>55</v>
      </c>
      <c r="I613" t="s">
        <v>56</v>
      </c>
      <c r="J613" t="s">
        <v>60</v>
      </c>
      <c r="K613" t="s">
        <v>62</v>
      </c>
      <c r="L613" t="s">
        <v>58</v>
      </c>
      <c r="M613" t="s">
        <v>58</v>
      </c>
      <c r="N613">
        <v>3</v>
      </c>
      <c r="O613">
        <v>3</v>
      </c>
      <c r="P613">
        <v>4</v>
      </c>
      <c r="Q613">
        <v>4</v>
      </c>
      <c r="R613">
        <v>4</v>
      </c>
      <c r="S613">
        <v>4</v>
      </c>
      <c r="T613">
        <v>4</v>
      </c>
      <c r="U613">
        <v>3</v>
      </c>
      <c r="V613">
        <v>5</v>
      </c>
      <c r="W613">
        <v>4</v>
      </c>
      <c r="X613">
        <v>3</v>
      </c>
      <c r="Y613">
        <v>5</v>
      </c>
      <c r="Z613">
        <v>3</v>
      </c>
      <c r="AA613">
        <v>3</v>
      </c>
      <c r="AB613">
        <v>2</v>
      </c>
      <c r="AC613">
        <v>2</v>
      </c>
      <c r="AD613">
        <v>3</v>
      </c>
      <c r="AE613">
        <v>2</v>
      </c>
      <c r="AF613">
        <v>5</v>
      </c>
      <c r="AG613">
        <v>4</v>
      </c>
      <c r="AH613">
        <v>4</v>
      </c>
      <c r="AI613">
        <v>2</v>
      </c>
      <c r="AJ613">
        <v>1</v>
      </c>
      <c r="AK613" t="b">
        <f>Table67[[#This Row],[What is your age?]]&lt;&gt;"18 - 25"</f>
        <v>0</v>
      </c>
      <c r="AL613" t="b">
        <f t="shared" si="36"/>
        <v>0</v>
      </c>
      <c r="AM613" t="b">
        <f t="shared" si="37"/>
        <v>1</v>
      </c>
      <c r="AN613" t="b">
        <f t="shared" si="38"/>
        <v>0</v>
      </c>
      <c r="AO613" t="b">
        <f>OR(Table67[[#This Row],[Ineligible respondents]:[Inconsistent response on opposite question (3)]])</f>
        <v>1</v>
      </c>
      <c r="AP61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613">
        <f>Table67[[#This Row],[Extreme Response]]/21</f>
        <v>0.14285714285714285</v>
      </c>
      <c r="AR613">
        <f>_xlfn.PERCENTILE.INC(Table67[Extrem Response Ratio (ERS)],0.9)</f>
        <v>0.61904761904761907</v>
      </c>
      <c r="AS613" t="b">
        <f>Table67[[#This Row],[Extrem Response Ratio (ERS)]]&gt;=Table67[[#This Row],[Threshold of ERS]]</f>
        <v>0</v>
      </c>
      <c r="AT613">
        <f>COUNTIF(Table67[[#This Row],[The mechanism of digital assets is difficult to understand, which discourages me from exploring it (E.g, Tokenization, Blockchain)]:[If I want to try different ways to invest, I will explore digital assets.]], 3)</f>
        <v>7</v>
      </c>
      <c r="AU613">
        <f>Table67[[#This Row],[Midpoint]]/21</f>
        <v>0.33333333333333331</v>
      </c>
      <c r="AV613">
        <f>_xlfn.PERCENTILE.INC(Table67[Midpoint ratio],0.9)</f>
        <v>0.5714285714285714</v>
      </c>
      <c r="AW613" t="b">
        <f>Table67[[#This Row],[Midpoint ratio]]&gt;=Table67[[#This Row],[Threshold of Midpoint ratio]]</f>
        <v>0</v>
      </c>
      <c r="AX613" t="b">
        <f>OR(Table67[[#This Row],[Extreme Response Style]],Table67[[#This Row],[Mid-point Response Style]])</f>
        <v>0</v>
      </c>
      <c r="AY613" t="b">
        <f>OR(Table67[[#This Row],[Delete? (Stage 1)]],Table67[[#This Row],[Delete? (Stage 2)]])</f>
        <v>1</v>
      </c>
      <c r="AZ613" t="s">
        <v>84</v>
      </c>
    </row>
    <row r="614" spans="1:52">
      <c r="A614">
        <f t="shared" si="39"/>
        <v>613</v>
      </c>
      <c r="B614" s="3">
        <v>46049.731921296298</v>
      </c>
      <c r="C614" s="3">
        <v>46049.744710648098</v>
      </c>
      <c r="D614" t="s">
        <v>53</v>
      </c>
      <c r="G614" t="s">
        <v>54</v>
      </c>
      <c r="H614" t="s">
        <v>55</v>
      </c>
      <c r="I614" t="s">
        <v>56</v>
      </c>
      <c r="J614" t="s">
        <v>57</v>
      </c>
      <c r="K614" t="s">
        <v>57</v>
      </c>
      <c r="L614" t="s">
        <v>58</v>
      </c>
      <c r="M614" t="s">
        <v>58</v>
      </c>
      <c r="N614">
        <v>5</v>
      </c>
      <c r="O614">
        <v>1</v>
      </c>
      <c r="P614">
        <v>1</v>
      </c>
      <c r="Q614">
        <v>3</v>
      </c>
      <c r="R614">
        <v>1</v>
      </c>
      <c r="S614">
        <v>4</v>
      </c>
      <c r="T614">
        <v>1</v>
      </c>
      <c r="U614">
        <v>5</v>
      </c>
      <c r="V614">
        <v>1</v>
      </c>
      <c r="W614">
        <v>1</v>
      </c>
      <c r="X614">
        <v>1</v>
      </c>
      <c r="Y614">
        <v>1</v>
      </c>
      <c r="Z614">
        <v>3</v>
      </c>
      <c r="AA614">
        <v>3</v>
      </c>
      <c r="AB614">
        <v>1</v>
      </c>
      <c r="AC614">
        <v>5</v>
      </c>
      <c r="AD614">
        <v>5</v>
      </c>
      <c r="AE614">
        <v>3</v>
      </c>
      <c r="AF614">
        <v>2</v>
      </c>
      <c r="AG614">
        <v>5</v>
      </c>
      <c r="AH614">
        <v>1</v>
      </c>
      <c r="AI614">
        <v>5</v>
      </c>
      <c r="AJ614">
        <v>4</v>
      </c>
      <c r="AK614" t="b">
        <f>Table67[[#This Row],[What is your age?]]&lt;&gt;"18 - 25"</f>
        <v>0</v>
      </c>
      <c r="AL614" t="b">
        <f t="shared" si="36"/>
        <v>0</v>
      </c>
      <c r="AM614" t="b">
        <f t="shared" si="37"/>
        <v>0</v>
      </c>
      <c r="AN614" t="b">
        <f t="shared" si="38"/>
        <v>0</v>
      </c>
      <c r="AO614" t="b">
        <f>OR(Table67[[#This Row],[Ineligible respondents]:[Inconsistent response on opposite question (3)]])</f>
        <v>0</v>
      </c>
      <c r="AP61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614">
        <f>Table67[[#This Row],[Extreme Response]]/21</f>
        <v>0.7142857142857143</v>
      </c>
      <c r="AR614">
        <f>_xlfn.PERCENTILE.INC(Table67[Extrem Response Ratio (ERS)],0.9)</f>
        <v>0.61904761904761907</v>
      </c>
      <c r="AS614" t="b">
        <f>Table67[[#This Row],[Extrem Response Ratio (ERS)]]&gt;=Table67[[#This Row],[Threshold of ERS]]</f>
        <v>1</v>
      </c>
      <c r="AT614">
        <f>COUNTIF(Table67[[#This Row],[The mechanism of digital assets is difficult to understand, which discourages me from exploring it (E.g, Tokenization, Blockchain)]:[If I want to try different ways to invest, I will explore digital assets.]], 3)</f>
        <v>4</v>
      </c>
      <c r="AU614">
        <f>Table67[[#This Row],[Midpoint]]/21</f>
        <v>0.19047619047619047</v>
      </c>
      <c r="AV614">
        <f>_xlfn.PERCENTILE.INC(Table67[Midpoint ratio],0.9)</f>
        <v>0.5714285714285714</v>
      </c>
      <c r="AW614" t="b">
        <f>Table67[[#This Row],[Midpoint ratio]]&gt;=Table67[[#This Row],[Threshold of Midpoint ratio]]</f>
        <v>0</v>
      </c>
      <c r="AX614" t="b">
        <f>OR(Table67[[#This Row],[Extreme Response Style]],Table67[[#This Row],[Mid-point Response Style]])</f>
        <v>1</v>
      </c>
      <c r="AY614" t="b">
        <f>OR(Table67[[#This Row],[Delete? (Stage 1)]],Table67[[#This Row],[Delete? (Stage 2)]])</f>
        <v>1</v>
      </c>
      <c r="AZ614" t="s">
        <v>84</v>
      </c>
    </row>
    <row r="615" spans="1:52">
      <c r="A615">
        <f t="shared" si="39"/>
        <v>614</v>
      </c>
      <c r="B615" s="3">
        <v>46049.7319907407</v>
      </c>
      <c r="C615" s="3">
        <v>46049.735034722202</v>
      </c>
      <c r="D615" t="s">
        <v>53</v>
      </c>
      <c r="G615" t="s">
        <v>54</v>
      </c>
      <c r="H615" t="s">
        <v>63</v>
      </c>
      <c r="I615" t="s">
        <v>56</v>
      </c>
      <c r="J615" t="s">
        <v>62</v>
      </c>
      <c r="K615" t="s">
        <v>65</v>
      </c>
      <c r="L615" t="s">
        <v>58</v>
      </c>
      <c r="M615" t="s">
        <v>61</v>
      </c>
      <c r="N615">
        <v>4</v>
      </c>
      <c r="O615">
        <v>2</v>
      </c>
      <c r="P615">
        <v>4</v>
      </c>
      <c r="Q615">
        <v>2</v>
      </c>
      <c r="R615">
        <v>3</v>
      </c>
      <c r="S615">
        <v>5</v>
      </c>
      <c r="T615">
        <v>3</v>
      </c>
      <c r="U615">
        <v>4</v>
      </c>
      <c r="V615">
        <v>3</v>
      </c>
      <c r="W615">
        <v>3</v>
      </c>
      <c r="X615">
        <v>2</v>
      </c>
      <c r="Y615">
        <v>2</v>
      </c>
      <c r="Z615">
        <v>3</v>
      </c>
      <c r="AA615">
        <v>2</v>
      </c>
      <c r="AB615">
        <v>3</v>
      </c>
      <c r="AC615">
        <v>3</v>
      </c>
      <c r="AD615">
        <v>4</v>
      </c>
      <c r="AE615">
        <v>2</v>
      </c>
      <c r="AF615">
        <v>4</v>
      </c>
      <c r="AG615">
        <v>3</v>
      </c>
      <c r="AH615">
        <v>4</v>
      </c>
      <c r="AI615">
        <v>2</v>
      </c>
      <c r="AJ615">
        <v>2</v>
      </c>
      <c r="AK615" t="b">
        <f>Table67[[#This Row],[What is your age?]]&lt;&gt;"18 - 25"</f>
        <v>0</v>
      </c>
      <c r="AL615" t="b">
        <f t="shared" si="36"/>
        <v>0</v>
      </c>
      <c r="AM615" t="b">
        <f t="shared" si="37"/>
        <v>0</v>
      </c>
      <c r="AN615" t="b">
        <f t="shared" si="38"/>
        <v>1</v>
      </c>
      <c r="AO615" t="b">
        <f>OR(Table67[[#This Row],[Ineligible respondents]:[Inconsistent response on opposite question (3)]])</f>
        <v>1</v>
      </c>
      <c r="AP61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615">
        <f>Table67[[#This Row],[Extreme Response]]/21</f>
        <v>4.7619047619047616E-2</v>
      </c>
      <c r="AR615">
        <f>_xlfn.PERCENTILE.INC(Table67[Extrem Response Ratio (ERS)],0.9)</f>
        <v>0.61904761904761907</v>
      </c>
      <c r="AS615" t="b">
        <f>Table67[[#This Row],[Extrem Response Ratio (ERS)]]&gt;=Table67[[#This Row],[Threshold of ERS]]</f>
        <v>0</v>
      </c>
      <c r="AT615">
        <f>COUNTIF(Table67[[#This Row],[The mechanism of digital assets is difficult to understand, which discourages me from exploring it (E.g, Tokenization, Blockchain)]:[If I want to try different ways to invest, I will explore digital assets.]], 3)</f>
        <v>8</v>
      </c>
      <c r="AU615">
        <f>Table67[[#This Row],[Midpoint]]/21</f>
        <v>0.38095238095238093</v>
      </c>
      <c r="AV615">
        <f>_xlfn.PERCENTILE.INC(Table67[Midpoint ratio],0.9)</f>
        <v>0.5714285714285714</v>
      </c>
      <c r="AW615" t="b">
        <f>Table67[[#This Row],[Midpoint ratio]]&gt;=Table67[[#This Row],[Threshold of Midpoint ratio]]</f>
        <v>0</v>
      </c>
      <c r="AX615" t="b">
        <f>OR(Table67[[#This Row],[Extreme Response Style]],Table67[[#This Row],[Mid-point Response Style]])</f>
        <v>0</v>
      </c>
      <c r="AY615" t="b">
        <f>OR(Table67[[#This Row],[Delete? (Stage 1)]],Table67[[#This Row],[Delete? (Stage 2)]])</f>
        <v>1</v>
      </c>
      <c r="AZ615" t="s">
        <v>84</v>
      </c>
    </row>
    <row r="616" spans="1:52">
      <c r="A616">
        <f t="shared" si="39"/>
        <v>615</v>
      </c>
      <c r="B616" s="3">
        <v>46049.732164351903</v>
      </c>
      <c r="C616" s="3">
        <v>46049.739849537</v>
      </c>
      <c r="D616" t="s">
        <v>53</v>
      </c>
      <c r="G616" t="s">
        <v>54</v>
      </c>
      <c r="H616" t="s">
        <v>63</v>
      </c>
      <c r="I616" t="s">
        <v>56</v>
      </c>
      <c r="J616" t="s">
        <v>60</v>
      </c>
      <c r="K616" t="s">
        <v>62</v>
      </c>
      <c r="L616" t="s">
        <v>58</v>
      </c>
      <c r="M616" t="s">
        <v>58</v>
      </c>
      <c r="N616">
        <v>3</v>
      </c>
      <c r="O616">
        <v>5</v>
      </c>
      <c r="P616">
        <v>2</v>
      </c>
      <c r="Q616">
        <v>2</v>
      </c>
      <c r="R616">
        <v>3</v>
      </c>
      <c r="S616">
        <v>4</v>
      </c>
      <c r="T616">
        <v>2</v>
      </c>
      <c r="U616">
        <v>5</v>
      </c>
      <c r="V616">
        <v>4</v>
      </c>
      <c r="W616">
        <v>4</v>
      </c>
      <c r="X616">
        <v>3</v>
      </c>
      <c r="Y616">
        <v>4</v>
      </c>
      <c r="Z616">
        <v>5</v>
      </c>
      <c r="AA616">
        <v>3</v>
      </c>
      <c r="AB616">
        <v>2</v>
      </c>
      <c r="AC616">
        <v>3</v>
      </c>
      <c r="AD616">
        <v>4</v>
      </c>
      <c r="AE616">
        <v>2</v>
      </c>
      <c r="AF616">
        <v>3</v>
      </c>
      <c r="AG616">
        <v>3</v>
      </c>
      <c r="AH616">
        <v>2</v>
      </c>
      <c r="AI616">
        <v>4</v>
      </c>
      <c r="AJ616">
        <v>3</v>
      </c>
      <c r="AK616" t="b">
        <f>Table67[[#This Row],[What is your age?]]&lt;&gt;"18 - 25"</f>
        <v>0</v>
      </c>
      <c r="AL616" t="b">
        <f t="shared" si="36"/>
        <v>0</v>
      </c>
      <c r="AM616" t="b">
        <f t="shared" si="37"/>
        <v>0</v>
      </c>
      <c r="AN616" t="b">
        <f t="shared" si="38"/>
        <v>1</v>
      </c>
      <c r="AO616" t="b">
        <f>OR(Table67[[#This Row],[Ineligible respondents]:[Inconsistent response on opposite question (3)]])</f>
        <v>1</v>
      </c>
      <c r="AP61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616">
        <f>Table67[[#This Row],[Extreme Response]]/21</f>
        <v>0.14285714285714285</v>
      </c>
      <c r="AR616">
        <f>_xlfn.PERCENTILE.INC(Table67[Extrem Response Ratio (ERS)],0.9)</f>
        <v>0.61904761904761907</v>
      </c>
      <c r="AS616" t="b">
        <f>Table67[[#This Row],[Extrem Response Ratio (ERS)]]&gt;=Table67[[#This Row],[Threshold of ERS]]</f>
        <v>0</v>
      </c>
      <c r="AT616">
        <f>COUNTIF(Table67[[#This Row],[The mechanism of digital assets is difficult to understand, which discourages me from exploring it (E.g, Tokenization, Blockchain)]:[If I want to try different ways to invest, I will explore digital assets.]], 3)</f>
        <v>7</v>
      </c>
      <c r="AU616">
        <f>Table67[[#This Row],[Midpoint]]/21</f>
        <v>0.33333333333333331</v>
      </c>
      <c r="AV616">
        <f>_xlfn.PERCENTILE.INC(Table67[Midpoint ratio],0.9)</f>
        <v>0.5714285714285714</v>
      </c>
      <c r="AW616" t="b">
        <f>Table67[[#This Row],[Midpoint ratio]]&gt;=Table67[[#This Row],[Threshold of Midpoint ratio]]</f>
        <v>0</v>
      </c>
      <c r="AX616" t="b">
        <f>OR(Table67[[#This Row],[Extreme Response Style]],Table67[[#This Row],[Mid-point Response Style]])</f>
        <v>0</v>
      </c>
      <c r="AY616" t="b">
        <f>OR(Table67[[#This Row],[Delete? (Stage 1)]],Table67[[#This Row],[Delete? (Stage 2)]])</f>
        <v>1</v>
      </c>
      <c r="AZ616" t="s">
        <v>84</v>
      </c>
    </row>
    <row r="617" spans="1:52">
      <c r="A617">
        <f t="shared" si="39"/>
        <v>616</v>
      </c>
      <c r="B617" s="3">
        <v>46049.7328472222</v>
      </c>
      <c r="C617" s="3">
        <v>46049.737048611103</v>
      </c>
      <c r="D617" t="s">
        <v>53</v>
      </c>
      <c r="G617" t="s">
        <v>54</v>
      </c>
      <c r="H617" t="s">
        <v>63</v>
      </c>
      <c r="I617" t="s">
        <v>75</v>
      </c>
      <c r="J617" t="s">
        <v>62</v>
      </c>
      <c r="K617" t="s">
        <v>57</v>
      </c>
      <c r="L617" t="s">
        <v>58</v>
      </c>
      <c r="M617" t="s">
        <v>58</v>
      </c>
      <c r="N617">
        <v>5</v>
      </c>
      <c r="O617">
        <v>5</v>
      </c>
      <c r="P617">
        <v>4</v>
      </c>
      <c r="Q617">
        <v>3</v>
      </c>
      <c r="R617">
        <v>3</v>
      </c>
      <c r="S617">
        <v>4</v>
      </c>
      <c r="T617">
        <v>4</v>
      </c>
      <c r="U617">
        <v>5</v>
      </c>
      <c r="V617">
        <v>4</v>
      </c>
      <c r="W617">
        <v>4</v>
      </c>
      <c r="X617">
        <v>4</v>
      </c>
      <c r="Y617">
        <v>4</v>
      </c>
      <c r="Z617">
        <v>5</v>
      </c>
      <c r="AA617">
        <v>4</v>
      </c>
      <c r="AB617">
        <v>4</v>
      </c>
      <c r="AC617">
        <v>3</v>
      </c>
      <c r="AD617">
        <v>4</v>
      </c>
      <c r="AE617">
        <v>3</v>
      </c>
      <c r="AF617">
        <v>1</v>
      </c>
      <c r="AG617">
        <v>5</v>
      </c>
      <c r="AH617">
        <v>1</v>
      </c>
      <c r="AI617">
        <v>5</v>
      </c>
      <c r="AJ617">
        <v>5</v>
      </c>
      <c r="AK617" t="b">
        <f>Table67[[#This Row],[What is your age?]]&lt;&gt;"18 - 25"</f>
        <v>0</v>
      </c>
      <c r="AL617" t="b">
        <f t="shared" si="36"/>
        <v>0</v>
      </c>
      <c r="AM617" t="b">
        <f t="shared" si="37"/>
        <v>0</v>
      </c>
      <c r="AN617" t="b">
        <f t="shared" si="38"/>
        <v>0</v>
      </c>
      <c r="AO617" t="b">
        <f>OR(Table67[[#This Row],[Ineligible respondents]:[Inconsistent response on opposite question (3)]])</f>
        <v>0</v>
      </c>
      <c r="AP61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617">
        <f>Table67[[#This Row],[Extreme Response]]/21</f>
        <v>0.33333333333333331</v>
      </c>
      <c r="AR617">
        <f>_xlfn.PERCENTILE.INC(Table67[Extrem Response Ratio (ERS)],0.9)</f>
        <v>0.61904761904761907</v>
      </c>
      <c r="AS617" t="b">
        <f>Table67[[#This Row],[Extrem Response Ratio (ERS)]]&gt;=Table67[[#This Row],[Threshold of ERS]]</f>
        <v>0</v>
      </c>
      <c r="AT617">
        <f>COUNTIF(Table67[[#This Row],[The mechanism of digital assets is difficult to understand, which discourages me from exploring it (E.g, Tokenization, Blockchain)]:[If I want to try different ways to invest, I will explore digital assets.]], 3)</f>
        <v>4</v>
      </c>
      <c r="AU617">
        <f>Table67[[#This Row],[Midpoint]]/21</f>
        <v>0.19047619047619047</v>
      </c>
      <c r="AV617">
        <f>_xlfn.PERCENTILE.INC(Table67[Midpoint ratio],0.9)</f>
        <v>0.5714285714285714</v>
      </c>
      <c r="AW617" t="b">
        <f>Table67[[#This Row],[Midpoint ratio]]&gt;=Table67[[#This Row],[Threshold of Midpoint ratio]]</f>
        <v>0</v>
      </c>
      <c r="AX617" t="b">
        <f>OR(Table67[[#This Row],[Extreme Response Style]],Table67[[#This Row],[Mid-point Response Style]])</f>
        <v>0</v>
      </c>
      <c r="AY617" t="b">
        <f>OR(Table67[[#This Row],[Delete? (Stage 1)]],Table67[[#This Row],[Delete? (Stage 2)]])</f>
        <v>0</v>
      </c>
      <c r="AZ617" t="s">
        <v>84</v>
      </c>
    </row>
    <row r="618" spans="1:52">
      <c r="A618">
        <f t="shared" si="39"/>
        <v>617</v>
      </c>
      <c r="B618" s="3">
        <v>46049.7328472222</v>
      </c>
      <c r="C618" s="3">
        <v>46049.739074074103</v>
      </c>
      <c r="D618" t="s">
        <v>53</v>
      </c>
      <c r="G618" t="s">
        <v>54</v>
      </c>
      <c r="H618" t="s">
        <v>63</v>
      </c>
      <c r="I618" t="s">
        <v>56</v>
      </c>
      <c r="J618" t="s">
        <v>62</v>
      </c>
      <c r="K618" t="s">
        <v>57</v>
      </c>
      <c r="L618" t="s">
        <v>58</v>
      </c>
      <c r="M618" t="s">
        <v>58</v>
      </c>
      <c r="N618">
        <v>3</v>
      </c>
      <c r="O618">
        <v>3</v>
      </c>
      <c r="P618">
        <v>3</v>
      </c>
      <c r="Q618">
        <v>3</v>
      </c>
      <c r="R618">
        <v>4</v>
      </c>
      <c r="S618">
        <v>3</v>
      </c>
      <c r="T618">
        <v>3</v>
      </c>
      <c r="U618">
        <v>4</v>
      </c>
      <c r="V618">
        <v>4</v>
      </c>
      <c r="W618">
        <v>4</v>
      </c>
      <c r="X618">
        <v>4</v>
      </c>
      <c r="Y618">
        <v>4</v>
      </c>
      <c r="Z618">
        <v>4</v>
      </c>
      <c r="AA618">
        <v>4</v>
      </c>
      <c r="AB618">
        <v>4</v>
      </c>
      <c r="AC618">
        <v>3</v>
      </c>
      <c r="AD618">
        <v>4</v>
      </c>
      <c r="AE618">
        <v>4</v>
      </c>
      <c r="AF618">
        <v>3</v>
      </c>
      <c r="AG618">
        <v>3</v>
      </c>
      <c r="AH618">
        <v>4</v>
      </c>
      <c r="AI618">
        <v>2</v>
      </c>
      <c r="AJ618">
        <v>3</v>
      </c>
      <c r="AK618" t="b">
        <f>Table67[[#This Row],[What is your age?]]&lt;&gt;"18 - 25"</f>
        <v>0</v>
      </c>
      <c r="AL618" t="b">
        <f t="shared" si="36"/>
        <v>0</v>
      </c>
      <c r="AM618" t="b">
        <f t="shared" si="37"/>
        <v>0</v>
      </c>
      <c r="AN618" t="b">
        <f t="shared" si="38"/>
        <v>1</v>
      </c>
      <c r="AO618" t="b">
        <f>OR(Table67[[#This Row],[Ineligible respondents]:[Inconsistent response on opposite question (3)]])</f>
        <v>1</v>
      </c>
      <c r="AP61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618">
        <f>Table67[[#This Row],[Extreme Response]]/21</f>
        <v>0</v>
      </c>
      <c r="AR618">
        <f>_xlfn.PERCENTILE.INC(Table67[Extrem Response Ratio (ERS)],0.9)</f>
        <v>0.61904761904761907</v>
      </c>
      <c r="AS618" t="b">
        <f>Table67[[#This Row],[Extrem Response Ratio (ERS)]]&gt;=Table67[[#This Row],[Threshold of ERS]]</f>
        <v>0</v>
      </c>
      <c r="AT618">
        <f>COUNTIF(Table67[[#This Row],[The mechanism of digital assets is difficult to understand, which discourages me from exploring it (E.g, Tokenization, Blockchain)]:[If I want to try different ways to invest, I will explore digital assets.]], 3)</f>
        <v>9</v>
      </c>
      <c r="AU618">
        <f>Table67[[#This Row],[Midpoint]]/21</f>
        <v>0.42857142857142855</v>
      </c>
      <c r="AV618">
        <f>_xlfn.PERCENTILE.INC(Table67[Midpoint ratio],0.9)</f>
        <v>0.5714285714285714</v>
      </c>
      <c r="AW618" t="b">
        <f>Table67[[#This Row],[Midpoint ratio]]&gt;=Table67[[#This Row],[Threshold of Midpoint ratio]]</f>
        <v>0</v>
      </c>
      <c r="AX618" t="b">
        <f>OR(Table67[[#This Row],[Extreme Response Style]],Table67[[#This Row],[Mid-point Response Style]])</f>
        <v>0</v>
      </c>
      <c r="AY618" t="b">
        <f>OR(Table67[[#This Row],[Delete? (Stage 1)]],Table67[[#This Row],[Delete? (Stage 2)]])</f>
        <v>1</v>
      </c>
      <c r="AZ618" t="s">
        <v>84</v>
      </c>
    </row>
    <row r="619" spans="1:52">
      <c r="A619">
        <f t="shared" si="39"/>
        <v>618</v>
      </c>
      <c r="B619" s="3">
        <v>46049.732928240701</v>
      </c>
      <c r="C619" s="3">
        <v>46049.735648148097</v>
      </c>
      <c r="D619" t="s">
        <v>53</v>
      </c>
      <c r="G619" t="s">
        <v>54</v>
      </c>
      <c r="H619" t="s">
        <v>63</v>
      </c>
      <c r="I619" t="s">
        <v>83</v>
      </c>
      <c r="J619" t="s">
        <v>62</v>
      </c>
      <c r="K619" t="s">
        <v>57</v>
      </c>
      <c r="L619" t="s">
        <v>58</v>
      </c>
      <c r="M619" t="s">
        <v>58</v>
      </c>
      <c r="N619">
        <v>4</v>
      </c>
      <c r="O619">
        <v>1</v>
      </c>
      <c r="P619">
        <v>5</v>
      </c>
      <c r="Q619">
        <v>4</v>
      </c>
      <c r="R619">
        <v>3</v>
      </c>
      <c r="S619">
        <v>3</v>
      </c>
      <c r="T619">
        <v>4</v>
      </c>
      <c r="U619">
        <v>4</v>
      </c>
      <c r="V619">
        <v>5</v>
      </c>
      <c r="W619">
        <v>5</v>
      </c>
      <c r="X619">
        <v>5</v>
      </c>
      <c r="Y619">
        <v>5</v>
      </c>
      <c r="Z619">
        <v>5</v>
      </c>
      <c r="AA619">
        <v>5</v>
      </c>
      <c r="AB619">
        <v>3</v>
      </c>
      <c r="AC619">
        <v>3</v>
      </c>
      <c r="AD619">
        <v>5</v>
      </c>
      <c r="AE619">
        <v>5</v>
      </c>
      <c r="AF619">
        <v>1</v>
      </c>
      <c r="AG619">
        <v>4</v>
      </c>
      <c r="AH619">
        <v>2</v>
      </c>
      <c r="AI619">
        <v>4</v>
      </c>
      <c r="AJ619">
        <v>5</v>
      </c>
      <c r="AK619" t="b">
        <f>Table67[[#This Row],[What is your age?]]&lt;&gt;"18 - 25"</f>
        <v>0</v>
      </c>
      <c r="AL619" t="b">
        <f t="shared" si="36"/>
        <v>0</v>
      </c>
      <c r="AM619" t="b">
        <f t="shared" si="37"/>
        <v>0</v>
      </c>
      <c r="AN619" t="b">
        <f t="shared" si="38"/>
        <v>0</v>
      </c>
      <c r="AO619" t="b">
        <f>OR(Table67[[#This Row],[Ineligible respondents]:[Inconsistent response on opposite question (3)]])</f>
        <v>0</v>
      </c>
      <c r="AP61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619">
        <f>Table67[[#This Row],[Extreme Response]]/21</f>
        <v>0.52380952380952384</v>
      </c>
      <c r="AR619">
        <f>_xlfn.PERCENTILE.INC(Table67[Extrem Response Ratio (ERS)],0.9)</f>
        <v>0.61904761904761907</v>
      </c>
      <c r="AS619" t="b">
        <f>Table67[[#This Row],[Extrem Response Ratio (ERS)]]&gt;=Table67[[#This Row],[Threshold of ERS]]</f>
        <v>0</v>
      </c>
      <c r="AT619">
        <f>COUNTIF(Table67[[#This Row],[The mechanism of digital assets is difficult to understand, which discourages me from exploring it (E.g, Tokenization, Blockchain)]:[If I want to try different ways to invest, I will explore digital assets.]], 3)</f>
        <v>4</v>
      </c>
      <c r="AU619">
        <f>Table67[[#This Row],[Midpoint]]/21</f>
        <v>0.19047619047619047</v>
      </c>
      <c r="AV619">
        <f>_xlfn.PERCENTILE.INC(Table67[Midpoint ratio],0.9)</f>
        <v>0.5714285714285714</v>
      </c>
      <c r="AW619" t="b">
        <f>Table67[[#This Row],[Midpoint ratio]]&gt;=Table67[[#This Row],[Threshold of Midpoint ratio]]</f>
        <v>0</v>
      </c>
      <c r="AX619" t="b">
        <f>OR(Table67[[#This Row],[Extreme Response Style]],Table67[[#This Row],[Mid-point Response Style]])</f>
        <v>0</v>
      </c>
      <c r="AY619" t="b">
        <f>OR(Table67[[#This Row],[Delete? (Stage 1)]],Table67[[#This Row],[Delete? (Stage 2)]])</f>
        <v>0</v>
      </c>
      <c r="AZ619" t="s">
        <v>84</v>
      </c>
    </row>
    <row r="620" spans="1:52">
      <c r="A620">
        <f t="shared" si="39"/>
        <v>619</v>
      </c>
      <c r="B620" s="3">
        <v>46049.732997685198</v>
      </c>
      <c r="C620" s="3">
        <v>46049.745358796303</v>
      </c>
      <c r="D620" t="s">
        <v>53</v>
      </c>
      <c r="G620" t="s">
        <v>54</v>
      </c>
      <c r="H620" t="s">
        <v>55</v>
      </c>
      <c r="I620" t="s">
        <v>75</v>
      </c>
      <c r="J620" t="s">
        <v>67</v>
      </c>
      <c r="K620" t="s">
        <v>62</v>
      </c>
      <c r="L620" t="s">
        <v>61</v>
      </c>
      <c r="M620" t="s">
        <v>61</v>
      </c>
      <c r="N620">
        <v>3</v>
      </c>
      <c r="O620">
        <v>4</v>
      </c>
      <c r="P620">
        <v>3</v>
      </c>
      <c r="Q620">
        <v>4</v>
      </c>
      <c r="R620">
        <v>3</v>
      </c>
      <c r="S620">
        <v>4</v>
      </c>
      <c r="T620">
        <v>4</v>
      </c>
      <c r="U620">
        <v>5</v>
      </c>
      <c r="V620">
        <v>4</v>
      </c>
      <c r="W620">
        <v>2</v>
      </c>
      <c r="X620">
        <v>3</v>
      </c>
      <c r="Y620">
        <v>4</v>
      </c>
      <c r="Z620">
        <v>4</v>
      </c>
      <c r="AA620">
        <v>4</v>
      </c>
      <c r="AB620">
        <v>3</v>
      </c>
      <c r="AC620">
        <v>4</v>
      </c>
      <c r="AD620">
        <v>3</v>
      </c>
      <c r="AE620">
        <v>4</v>
      </c>
      <c r="AF620">
        <v>2</v>
      </c>
      <c r="AG620">
        <v>4</v>
      </c>
      <c r="AH620">
        <v>3</v>
      </c>
      <c r="AI620">
        <v>3</v>
      </c>
      <c r="AJ620">
        <v>4</v>
      </c>
      <c r="AK620" t="b">
        <f>Table67[[#This Row],[What is your age?]]&lt;&gt;"18 - 25"</f>
        <v>0</v>
      </c>
      <c r="AL620" t="b">
        <f t="shared" si="36"/>
        <v>0</v>
      </c>
      <c r="AM620" t="b">
        <f t="shared" si="37"/>
        <v>0</v>
      </c>
      <c r="AN620" t="b">
        <f t="shared" si="38"/>
        <v>1</v>
      </c>
      <c r="AO620" t="b">
        <f>OR(Table67[[#This Row],[Ineligible respondents]:[Inconsistent response on opposite question (3)]])</f>
        <v>1</v>
      </c>
      <c r="AP62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620">
        <f>Table67[[#This Row],[Extreme Response]]/21</f>
        <v>4.7619047619047616E-2</v>
      </c>
      <c r="AR620">
        <f>_xlfn.PERCENTILE.INC(Table67[Extrem Response Ratio (ERS)],0.9)</f>
        <v>0.61904761904761907</v>
      </c>
      <c r="AS620" t="b">
        <f>Table67[[#This Row],[Extrem Response Ratio (ERS)]]&gt;=Table67[[#This Row],[Threshold of ERS]]</f>
        <v>0</v>
      </c>
      <c r="AT620">
        <f>COUNTIF(Table67[[#This Row],[The mechanism of digital assets is difficult to understand, which discourages me from exploring it (E.g, Tokenization, Blockchain)]:[If I want to try different ways to invest, I will explore digital assets.]], 3)</f>
        <v>7</v>
      </c>
      <c r="AU620">
        <f>Table67[[#This Row],[Midpoint]]/21</f>
        <v>0.33333333333333331</v>
      </c>
      <c r="AV620">
        <f>_xlfn.PERCENTILE.INC(Table67[Midpoint ratio],0.9)</f>
        <v>0.5714285714285714</v>
      </c>
      <c r="AW620" t="b">
        <f>Table67[[#This Row],[Midpoint ratio]]&gt;=Table67[[#This Row],[Threshold of Midpoint ratio]]</f>
        <v>0</v>
      </c>
      <c r="AX620" t="b">
        <f>OR(Table67[[#This Row],[Extreme Response Style]],Table67[[#This Row],[Mid-point Response Style]])</f>
        <v>0</v>
      </c>
      <c r="AY620" t="b">
        <f>OR(Table67[[#This Row],[Delete? (Stage 1)]],Table67[[#This Row],[Delete? (Stage 2)]])</f>
        <v>1</v>
      </c>
      <c r="AZ620" t="s">
        <v>84</v>
      </c>
    </row>
    <row r="621" spans="1:52">
      <c r="A621">
        <f t="shared" si="39"/>
        <v>620</v>
      </c>
      <c r="B621" s="3">
        <v>46049.7330671296</v>
      </c>
      <c r="C621" s="3">
        <v>46049.745000000003</v>
      </c>
      <c r="D621" t="s">
        <v>53</v>
      </c>
      <c r="G621" t="s">
        <v>73</v>
      </c>
      <c r="H621" t="s">
        <v>55</v>
      </c>
      <c r="I621" t="s">
        <v>56</v>
      </c>
      <c r="J621" t="s">
        <v>60</v>
      </c>
      <c r="K621" t="s">
        <v>62</v>
      </c>
      <c r="L621" t="s">
        <v>61</v>
      </c>
      <c r="M621" t="s">
        <v>61</v>
      </c>
      <c r="N621">
        <v>4</v>
      </c>
      <c r="O621">
        <v>1</v>
      </c>
      <c r="P621">
        <v>4</v>
      </c>
      <c r="Q621">
        <v>4</v>
      </c>
      <c r="R621">
        <v>3</v>
      </c>
      <c r="S621">
        <v>5</v>
      </c>
      <c r="T621">
        <v>3</v>
      </c>
      <c r="U621">
        <v>5</v>
      </c>
      <c r="V621">
        <v>5</v>
      </c>
      <c r="W621">
        <v>5</v>
      </c>
      <c r="X621">
        <v>5</v>
      </c>
      <c r="Y621">
        <v>5</v>
      </c>
      <c r="Z621">
        <v>5</v>
      </c>
      <c r="AA621">
        <v>4</v>
      </c>
      <c r="AB621">
        <v>1</v>
      </c>
      <c r="AC621">
        <v>3</v>
      </c>
      <c r="AD621">
        <v>5</v>
      </c>
      <c r="AE621">
        <v>3</v>
      </c>
      <c r="AF621">
        <v>5</v>
      </c>
      <c r="AG621">
        <v>3</v>
      </c>
      <c r="AH621">
        <v>5</v>
      </c>
      <c r="AI621">
        <v>1</v>
      </c>
      <c r="AJ621">
        <v>1</v>
      </c>
      <c r="AK621" t="b">
        <f>Table67[[#This Row],[What is your age?]]&lt;&gt;"18 - 25"</f>
        <v>1</v>
      </c>
      <c r="AL621" t="b">
        <f t="shared" si="36"/>
        <v>0</v>
      </c>
      <c r="AM621" t="b">
        <f t="shared" si="37"/>
        <v>0</v>
      </c>
      <c r="AN621" t="b">
        <f t="shared" si="38"/>
        <v>1</v>
      </c>
      <c r="AO621" t="b">
        <f>OR(Table67[[#This Row],[Ineligible respondents]:[Inconsistent response on opposite question (3)]])</f>
        <v>1</v>
      </c>
      <c r="AP62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12</v>
      </c>
      <c r="AQ621">
        <f>Table67[[#This Row],[Extreme Response]]/21</f>
        <v>0.5714285714285714</v>
      </c>
      <c r="AR621">
        <f>_xlfn.PERCENTILE.INC(Table67[Extrem Response Ratio (ERS)],0.9)</f>
        <v>0.61904761904761907</v>
      </c>
      <c r="AS621" t="b">
        <f>Table67[[#This Row],[Extrem Response Ratio (ERS)]]&gt;=Table67[[#This Row],[Threshold of ERS]]</f>
        <v>0</v>
      </c>
      <c r="AT621">
        <f>COUNTIF(Table67[[#This Row],[The mechanism of digital assets is difficult to understand, which discourages me from exploring it (E.g, Tokenization, Blockchain)]:[If I want to try different ways to invest, I will explore digital assets.]], 3)</f>
        <v>5</v>
      </c>
      <c r="AU621">
        <f>Table67[[#This Row],[Midpoint]]/21</f>
        <v>0.23809523809523808</v>
      </c>
      <c r="AV621">
        <f>_xlfn.PERCENTILE.INC(Table67[Midpoint ratio],0.9)</f>
        <v>0.5714285714285714</v>
      </c>
      <c r="AW621" t="b">
        <f>Table67[[#This Row],[Midpoint ratio]]&gt;=Table67[[#This Row],[Threshold of Midpoint ratio]]</f>
        <v>0</v>
      </c>
      <c r="AX621" t="b">
        <f>OR(Table67[[#This Row],[Extreme Response Style]],Table67[[#This Row],[Mid-point Response Style]])</f>
        <v>0</v>
      </c>
      <c r="AY621" t="b">
        <f>OR(Table67[[#This Row],[Delete? (Stage 1)]],Table67[[#This Row],[Delete? (Stage 2)]])</f>
        <v>1</v>
      </c>
      <c r="AZ621" t="s">
        <v>84</v>
      </c>
    </row>
    <row r="622" spans="1:52">
      <c r="A622">
        <f t="shared" si="39"/>
        <v>621</v>
      </c>
      <c r="B622" s="3">
        <v>46049.7331597222</v>
      </c>
      <c r="C622" s="3">
        <v>46049.736562500002</v>
      </c>
      <c r="D622" t="s">
        <v>53</v>
      </c>
      <c r="G622" t="s">
        <v>73</v>
      </c>
      <c r="H622" t="s">
        <v>63</v>
      </c>
      <c r="I622" t="s">
        <v>56</v>
      </c>
      <c r="J622" t="s">
        <v>60</v>
      </c>
      <c r="K622" t="s">
        <v>62</v>
      </c>
      <c r="L622" t="s">
        <v>58</v>
      </c>
      <c r="M622" t="s">
        <v>61</v>
      </c>
      <c r="N622">
        <v>4</v>
      </c>
      <c r="O622">
        <v>5</v>
      </c>
      <c r="P622">
        <v>4</v>
      </c>
      <c r="Q622">
        <v>4</v>
      </c>
      <c r="R622">
        <v>3</v>
      </c>
      <c r="S622">
        <v>4</v>
      </c>
      <c r="T622">
        <v>3</v>
      </c>
      <c r="U622">
        <v>4</v>
      </c>
      <c r="V622">
        <v>5</v>
      </c>
      <c r="W622">
        <v>5</v>
      </c>
      <c r="X622">
        <v>4</v>
      </c>
      <c r="Y622">
        <v>5</v>
      </c>
      <c r="Z622">
        <v>4</v>
      </c>
      <c r="AA622">
        <v>5</v>
      </c>
      <c r="AB622">
        <v>3</v>
      </c>
      <c r="AC622">
        <v>4</v>
      </c>
      <c r="AD622">
        <v>3</v>
      </c>
      <c r="AE622">
        <v>2</v>
      </c>
      <c r="AF622">
        <v>3</v>
      </c>
      <c r="AG622">
        <v>4</v>
      </c>
      <c r="AH622">
        <v>4</v>
      </c>
      <c r="AI622">
        <v>2</v>
      </c>
      <c r="AJ622">
        <v>3</v>
      </c>
      <c r="AK622" t="b">
        <f>Table67[[#This Row],[What is your age?]]&lt;&gt;"18 - 25"</f>
        <v>1</v>
      </c>
      <c r="AL622" t="b">
        <f t="shared" si="36"/>
        <v>0</v>
      </c>
      <c r="AM622" t="b">
        <f t="shared" si="37"/>
        <v>1</v>
      </c>
      <c r="AN622" t="b">
        <f t="shared" si="38"/>
        <v>0</v>
      </c>
      <c r="AO622" t="b">
        <f>OR(Table67[[#This Row],[Ineligible respondents]:[Inconsistent response on opposite question (3)]])</f>
        <v>1</v>
      </c>
      <c r="AP62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622">
        <f>Table67[[#This Row],[Extreme Response]]/21</f>
        <v>0.23809523809523808</v>
      </c>
      <c r="AR622">
        <f>_xlfn.PERCENTILE.INC(Table67[Extrem Response Ratio (ERS)],0.9)</f>
        <v>0.61904761904761907</v>
      </c>
      <c r="AS622" t="b">
        <f>Table67[[#This Row],[Extrem Response Ratio (ERS)]]&gt;=Table67[[#This Row],[Threshold of ERS]]</f>
        <v>0</v>
      </c>
      <c r="AT622">
        <f>COUNTIF(Table67[[#This Row],[The mechanism of digital assets is difficult to understand, which discourages me from exploring it (E.g, Tokenization, Blockchain)]:[If I want to try different ways to invest, I will explore digital assets.]], 3)</f>
        <v>5</v>
      </c>
      <c r="AU622">
        <f>Table67[[#This Row],[Midpoint]]/21</f>
        <v>0.23809523809523808</v>
      </c>
      <c r="AV622">
        <f>_xlfn.PERCENTILE.INC(Table67[Midpoint ratio],0.9)</f>
        <v>0.5714285714285714</v>
      </c>
      <c r="AW622" t="b">
        <f>Table67[[#This Row],[Midpoint ratio]]&gt;=Table67[[#This Row],[Threshold of Midpoint ratio]]</f>
        <v>0</v>
      </c>
      <c r="AX622" t="b">
        <f>OR(Table67[[#This Row],[Extreme Response Style]],Table67[[#This Row],[Mid-point Response Style]])</f>
        <v>0</v>
      </c>
      <c r="AY622" t="b">
        <f>OR(Table67[[#This Row],[Delete? (Stage 1)]],Table67[[#This Row],[Delete? (Stage 2)]])</f>
        <v>1</v>
      </c>
      <c r="AZ622" t="s">
        <v>84</v>
      </c>
    </row>
    <row r="623" spans="1:52">
      <c r="A623">
        <f t="shared" si="39"/>
        <v>622</v>
      </c>
      <c r="B623" s="3">
        <v>46049.7332523148</v>
      </c>
      <c r="C623" s="3">
        <v>46049.738530092603</v>
      </c>
      <c r="D623" t="s">
        <v>53</v>
      </c>
      <c r="G623" t="s">
        <v>54</v>
      </c>
      <c r="H623" t="s">
        <v>55</v>
      </c>
      <c r="I623" t="s">
        <v>75</v>
      </c>
      <c r="J623" t="s">
        <v>65</v>
      </c>
      <c r="K623" t="s">
        <v>60</v>
      </c>
      <c r="L623" t="s">
        <v>58</v>
      </c>
      <c r="M623" t="s">
        <v>58</v>
      </c>
      <c r="N623">
        <v>2</v>
      </c>
      <c r="O623">
        <v>2</v>
      </c>
      <c r="P623">
        <v>4</v>
      </c>
      <c r="Q623">
        <v>4</v>
      </c>
      <c r="R623">
        <v>3</v>
      </c>
      <c r="S623">
        <v>4</v>
      </c>
      <c r="T623">
        <v>3</v>
      </c>
      <c r="U623">
        <v>4</v>
      </c>
      <c r="V623">
        <v>2</v>
      </c>
      <c r="W623">
        <v>2</v>
      </c>
      <c r="X623">
        <v>3</v>
      </c>
      <c r="Y623">
        <v>2</v>
      </c>
      <c r="Z623">
        <v>2</v>
      </c>
      <c r="AA623">
        <v>4</v>
      </c>
      <c r="AB623">
        <v>2</v>
      </c>
      <c r="AC623">
        <v>3</v>
      </c>
      <c r="AD623">
        <v>3</v>
      </c>
      <c r="AE623">
        <v>4</v>
      </c>
      <c r="AF623">
        <v>4</v>
      </c>
      <c r="AG623">
        <v>3</v>
      </c>
      <c r="AH623">
        <v>4</v>
      </c>
      <c r="AI623">
        <v>2</v>
      </c>
      <c r="AJ623">
        <v>2</v>
      </c>
      <c r="AK623" t="b">
        <f>Table67[[#This Row],[What is your age?]]&lt;&gt;"18 - 25"</f>
        <v>0</v>
      </c>
      <c r="AL623" t="b">
        <f t="shared" si="36"/>
        <v>0</v>
      </c>
      <c r="AM623" t="b">
        <f t="shared" si="37"/>
        <v>0</v>
      </c>
      <c r="AN623" t="b">
        <f t="shared" si="38"/>
        <v>1</v>
      </c>
      <c r="AO623" t="b">
        <f>OR(Table67[[#This Row],[Ineligible respondents]:[Inconsistent response on opposite question (3)]])</f>
        <v>1</v>
      </c>
      <c r="AP62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623">
        <f>Table67[[#This Row],[Extreme Response]]/21</f>
        <v>0</v>
      </c>
      <c r="AR623">
        <f>_xlfn.PERCENTILE.INC(Table67[Extrem Response Ratio (ERS)],0.9)</f>
        <v>0.61904761904761907</v>
      </c>
      <c r="AS623" t="b">
        <f>Table67[[#This Row],[Extrem Response Ratio (ERS)]]&gt;=Table67[[#This Row],[Threshold of ERS]]</f>
        <v>0</v>
      </c>
      <c r="AT623">
        <f>COUNTIF(Table67[[#This Row],[The mechanism of digital assets is difficult to understand, which discourages me from exploring it (E.g, Tokenization, Blockchain)]:[If I want to try different ways to invest, I will explore digital assets.]], 3)</f>
        <v>6</v>
      </c>
      <c r="AU623">
        <f>Table67[[#This Row],[Midpoint]]/21</f>
        <v>0.2857142857142857</v>
      </c>
      <c r="AV623">
        <f>_xlfn.PERCENTILE.INC(Table67[Midpoint ratio],0.9)</f>
        <v>0.5714285714285714</v>
      </c>
      <c r="AW623" t="b">
        <f>Table67[[#This Row],[Midpoint ratio]]&gt;=Table67[[#This Row],[Threshold of Midpoint ratio]]</f>
        <v>0</v>
      </c>
      <c r="AX623" t="b">
        <f>OR(Table67[[#This Row],[Extreme Response Style]],Table67[[#This Row],[Mid-point Response Style]])</f>
        <v>0</v>
      </c>
      <c r="AY623" t="b">
        <f>OR(Table67[[#This Row],[Delete? (Stage 1)]],Table67[[#This Row],[Delete? (Stage 2)]])</f>
        <v>1</v>
      </c>
      <c r="AZ623" t="s">
        <v>84</v>
      </c>
    </row>
    <row r="624" spans="1:52">
      <c r="A624">
        <f t="shared" si="39"/>
        <v>623</v>
      </c>
      <c r="B624" s="3">
        <v>46049.733275462997</v>
      </c>
      <c r="C624" s="3">
        <v>46049.738391203697</v>
      </c>
      <c r="D624" t="s">
        <v>53</v>
      </c>
      <c r="G624" t="s">
        <v>54</v>
      </c>
      <c r="H624" t="s">
        <v>55</v>
      </c>
      <c r="I624" t="s">
        <v>56</v>
      </c>
      <c r="J624" t="s">
        <v>62</v>
      </c>
      <c r="K624" t="s">
        <v>62</v>
      </c>
      <c r="L624" t="s">
        <v>58</v>
      </c>
      <c r="M624" t="s">
        <v>58</v>
      </c>
      <c r="N624">
        <v>2</v>
      </c>
      <c r="O624">
        <v>4</v>
      </c>
      <c r="P624">
        <v>5</v>
      </c>
      <c r="Q624">
        <v>2</v>
      </c>
      <c r="R624">
        <v>1</v>
      </c>
      <c r="S624">
        <v>5</v>
      </c>
      <c r="T624">
        <v>4</v>
      </c>
      <c r="U624">
        <v>4</v>
      </c>
      <c r="V624">
        <v>5</v>
      </c>
      <c r="W624">
        <v>5</v>
      </c>
      <c r="X624">
        <v>4</v>
      </c>
      <c r="Y624">
        <v>5</v>
      </c>
      <c r="Z624">
        <v>5</v>
      </c>
      <c r="AA624">
        <v>5</v>
      </c>
      <c r="AB624">
        <v>5</v>
      </c>
      <c r="AC624">
        <v>5</v>
      </c>
      <c r="AD624">
        <v>5</v>
      </c>
      <c r="AE624">
        <v>5</v>
      </c>
      <c r="AF624">
        <v>1</v>
      </c>
      <c r="AG624">
        <v>5</v>
      </c>
      <c r="AH624">
        <v>1</v>
      </c>
      <c r="AI624">
        <v>5</v>
      </c>
      <c r="AJ624">
        <v>5</v>
      </c>
      <c r="AK624" t="b">
        <f>Table67[[#This Row],[What is your age?]]&lt;&gt;"18 - 25"</f>
        <v>0</v>
      </c>
      <c r="AL624" t="b">
        <f t="shared" si="36"/>
        <v>0</v>
      </c>
      <c r="AM624" t="b">
        <f t="shared" si="37"/>
        <v>0</v>
      </c>
      <c r="AN624" t="b">
        <f t="shared" si="38"/>
        <v>0</v>
      </c>
      <c r="AO624" t="b">
        <f>OR(Table67[[#This Row],[Ineligible respondents]:[Inconsistent response on opposite question (3)]])</f>
        <v>0</v>
      </c>
      <c r="AP62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624">
        <f>Table67[[#This Row],[Extreme Response]]/21</f>
        <v>0.7142857142857143</v>
      </c>
      <c r="AR624">
        <f>_xlfn.PERCENTILE.INC(Table67[Extrem Response Ratio (ERS)],0.9)</f>
        <v>0.61904761904761907</v>
      </c>
      <c r="AS624" t="b">
        <f>Table67[[#This Row],[Extrem Response Ratio (ERS)]]&gt;=Table67[[#This Row],[Threshold of ERS]]</f>
        <v>1</v>
      </c>
      <c r="AT624">
        <f>COUNTIF(Table67[[#This Row],[The mechanism of digital assets is difficult to understand, which discourages me from exploring it (E.g, Tokenization, Blockchain)]:[If I want to try different ways to invest, I will explore digital assets.]], 3)</f>
        <v>0</v>
      </c>
      <c r="AU624">
        <f>Table67[[#This Row],[Midpoint]]/21</f>
        <v>0</v>
      </c>
      <c r="AV624">
        <f>_xlfn.PERCENTILE.INC(Table67[Midpoint ratio],0.9)</f>
        <v>0.5714285714285714</v>
      </c>
      <c r="AW624" t="b">
        <f>Table67[[#This Row],[Midpoint ratio]]&gt;=Table67[[#This Row],[Threshold of Midpoint ratio]]</f>
        <v>0</v>
      </c>
      <c r="AX624" t="b">
        <f>OR(Table67[[#This Row],[Extreme Response Style]],Table67[[#This Row],[Mid-point Response Style]])</f>
        <v>1</v>
      </c>
      <c r="AY624" t="b">
        <f>OR(Table67[[#This Row],[Delete? (Stage 1)]],Table67[[#This Row],[Delete? (Stage 2)]])</f>
        <v>1</v>
      </c>
      <c r="AZ624" t="s">
        <v>84</v>
      </c>
    </row>
    <row r="625" spans="1:52">
      <c r="A625">
        <f t="shared" si="39"/>
        <v>624</v>
      </c>
      <c r="B625" s="3">
        <v>46049.733391203699</v>
      </c>
      <c r="C625" s="3">
        <v>46049.735613425903</v>
      </c>
      <c r="D625" t="s">
        <v>53</v>
      </c>
      <c r="G625" t="s">
        <v>54</v>
      </c>
      <c r="H625" t="s">
        <v>63</v>
      </c>
      <c r="I625" t="s">
        <v>75</v>
      </c>
      <c r="J625" t="s">
        <v>60</v>
      </c>
      <c r="K625" t="s">
        <v>62</v>
      </c>
      <c r="L625" t="s">
        <v>61</v>
      </c>
      <c r="M625" t="s">
        <v>61</v>
      </c>
      <c r="N625">
        <v>4</v>
      </c>
      <c r="O625">
        <v>4</v>
      </c>
      <c r="P625">
        <v>4</v>
      </c>
      <c r="Q625">
        <v>4</v>
      </c>
      <c r="R625">
        <v>4</v>
      </c>
      <c r="S625">
        <v>4</v>
      </c>
      <c r="T625">
        <v>3</v>
      </c>
      <c r="U625">
        <v>5</v>
      </c>
      <c r="V625">
        <v>5</v>
      </c>
      <c r="W625">
        <v>4</v>
      </c>
      <c r="X625">
        <v>3</v>
      </c>
      <c r="Y625">
        <v>3</v>
      </c>
      <c r="Z625">
        <v>4</v>
      </c>
      <c r="AA625">
        <v>4</v>
      </c>
      <c r="AB625">
        <v>4</v>
      </c>
      <c r="AC625">
        <v>4</v>
      </c>
      <c r="AD625">
        <v>4</v>
      </c>
      <c r="AE625">
        <v>4</v>
      </c>
      <c r="AF625">
        <v>4</v>
      </c>
      <c r="AG625">
        <v>4</v>
      </c>
      <c r="AH625">
        <v>4</v>
      </c>
      <c r="AI625">
        <v>2</v>
      </c>
      <c r="AJ625">
        <v>2</v>
      </c>
      <c r="AK625" t="b">
        <f>Table67[[#This Row],[What is your age?]]&lt;&gt;"18 - 25"</f>
        <v>0</v>
      </c>
      <c r="AL625" t="b">
        <f t="shared" si="36"/>
        <v>0</v>
      </c>
      <c r="AM625" t="b">
        <f t="shared" si="37"/>
        <v>1</v>
      </c>
      <c r="AN625" t="b">
        <f t="shared" si="38"/>
        <v>0</v>
      </c>
      <c r="AO625" t="b">
        <f>OR(Table67[[#This Row],[Ineligible respondents]:[Inconsistent response on opposite question (3)]])</f>
        <v>1</v>
      </c>
      <c r="AP62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625">
        <f>Table67[[#This Row],[Extreme Response]]/21</f>
        <v>9.5238095238095233E-2</v>
      </c>
      <c r="AR625">
        <f>_xlfn.PERCENTILE.INC(Table67[Extrem Response Ratio (ERS)],0.9)</f>
        <v>0.61904761904761907</v>
      </c>
      <c r="AS625" t="b">
        <f>Table67[[#This Row],[Extrem Response Ratio (ERS)]]&gt;=Table67[[#This Row],[Threshold of ERS]]</f>
        <v>0</v>
      </c>
      <c r="AT625">
        <f>COUNTIF(Table67[[#This Row],[The mechanism of digital assets is difficult to understand, which discourages me from exploring it (E.g, Tokenization, Blockchain)]:[If I want to try different ways to invest, I will explore digital assets.]], 3)</f>
        <v>3</v>
      </c>
      <c r="AU625">
        <f>Table67[[#This Row],[Midpoint]]/21</f>
        <v>0.14285714285714285</v>
      </c>
      <c r="AV625">
        <f>_xlfn.PERCENTILE.INC(Table67[Midpoint ratio],0.9)</f>
        <v>0.5714285714285714</v>
      </c>
      <c r="AW625" t="b">
        <f>Table67[[#This Row],[Midpoint ratio]]&gt;=Table67[[#This Row],[Threshold of Midpoint ratio]]</f>
        <v>0</v>
      </c>
      <c r="AX625" t="b">
        <f>OR(Table67[[#This Row],[Extreme Response Style]],Table67[[#This Row],[Mid-point Response Style]])</f>
        <v>0</v>
      </c>
      <c r="AY625" t="b">
        <f>OR(Table67[[#This Row],[Delete? (Stage 1)]],Table67[[#This Row],[Delete? (Stage 2)]])</f>
        <v>1</v>
      </c>
      <c r="AZ625" t="s">
        <v>84</v>
      </c>
    </row>
    <row r="626" spans="1:52">
      <c r="A626">
        <f t="shared" si="39"/>
        <v>625</v>
      </c>
      <c r="B626" s="3">
        <v>46049.7334722222</v>
      </c>
      <c r="C626" s="3">
        <v>46049.734618055598</v>
      </c>
      <c r="D626" t="s">
        <v>53</v>
      </c>
      <c r="G626" t="s">
        <v>54</v>
      </c>
      <c r="H626" t="s">
        <v>63</v>
      </c>
      <c r="I626" t="s">
        <v>75</v>
      </c>
      <c r="J626" t="s">
        <v>60</v>
      </c>
      <c r="K626" t="s">
        <v>64</v>
      </c>
      <c r="L626" t="s">
        <v>58</v>
      </c>
      <c r="M626" t="s">
        <v>58</v>
      </c>
      <c r="N626">
        <v>4</v>
      </c>
      <c r="O626">
        <v>4</v>
      </c>
      <c r="P626">
        <v>4</v>
      </c>
      <c r="Q626">
        <v>4</v>
      </c>
      <c r="R626">
        <v>4</v>
      </c>
      <c r="S626">
        <v>4</v>
      </c>
      <c r="T626">
        <v>4</v>
      </c>
      <c r="U626">
        <v>4</v>
      </c>
      <c r="V626">
        <v>4</v>
      </c>
      <c r="W626">
        <v>4</v>
      </c>
      <c r="X626">
        <v>4</v>
      </c>
      <c r="Y626">
        <v>4</v>
      </c>
      <c r="Z626">
        <v>5</v>
      </c>
      <c r="AA626">
        <v>3</v>
      </c>
      <c r="AB626">
        <v>4</v>
      </c>
      <c r="AC626">
        <v>4</v>
      </c>
      <c r="AD626">
        <v>3</v>
      </c>
      <c r="AE626">
        <v>2</v>
      </c>
      <c r="AF626">
        <v>3</v>
      </c>
      <c r="AG626">
        <v>3</v>
      </c>
      <c r="AH626">
        <v>3</v>
      </c>
      <c r="AI626">
        <v>3</v>
      </c>
      <c r="AJ626">
        <v>3</v>
      </c>
      <c r="AK626" t="b">
        <f>Table67[[#This Row],[What is your age?]]&lt;&gt;"18 - 25"</f>
        <v>0</v>
      </c>
      <c r="AL626" t="b">
        <f t="shared" si="36"/>
        <v>0</v>
      </c>
      <c r="AM626" t="b">
        <f t="shared" si="37"/>
        <v>0</v>
      </c>
      <c r="AN626" t="b">
        <f t="shared" si="38"/>
        <v>0</v>
      </c>
      <c r="AO626" t="b">
        <f>OR(Table67[[#This Row],[Ineligible respondents]:[Inconsistent response on opposite question (3)]])</f>
        <v>0</v>
      </c>
      <c r="AP62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626">
        <f>Table67[[#This Row],[Extreme Response]]/21</f>
        <v>4.7619047619047616E-2</v>
      </c>
      <c r="AR626">
        <f>_xlfn.PERCENTILE.INC(Table67[Extrem Response Ratio (ERS)],0.9)</f>
        <v>0.61904761904761907</v>
      </c>
      <c r="AS626" t="b">
        <f>Table67[[#This Row],[Extrem Response Ratio (ERS)]]&gt;=Table67[[#This Row],[Threshold of ERS]]</f>
        <v>0</v>
      </c>
      <c r="AT626">
        <f>COUNTIF(Table67[[#This Row],[The mechanism of digital assets is difficult to understand, which discourages me from exploring it (E.g, Tokenization, Blockchain)]:[If I want to try different ways to invest, I will explore digital assets.]], 3)</f>
        <v>5</v>
      </c>
      <c r="AU626">
        <f>Table67[[#This Row],[Midpoint]]/21</f>
        <v>0.23809523809523808</v>
      </c>
      <c r="AV626">
        <f>_xlfn.PERCENTILE.INC(Table67[Midpoint ratio],0.9)</f>
        <v>0.5714285714285714</v>
      </c>
      <c r="AW626" t="b">
        <f>Table67[[#This Row],[Midpoint ratio]]&gt;=Table67[[#This Row],[Threshold of Midpoint ratio]]</f>
        <v>0</v>
      </c>
      <c r="AX626" t="b">
        <f>OR(Table67[[#This Row],[Extreme Response Style]],Table67[[#This Row],[Mid-point Response Style]])</f>
        <v>0</v>
      </c>
      <c r="AY626" t="b">
        <f>OR(Table67[[#This Row],[Delete? (Stage 1)]],Table67[[#This Row],[Delete? (Stage 2)]])</f>
        <v>0</v>
      </c>
      <c r="AZ626" t="s">
        <v>84</v>
      </c>
    </row>
    <row r="627" spans="1:52">
      <c r="A627">
        <f t="shared" si="39"/>
        <v>626</v>
      </c>
      <c r="B627" s="3">
        <v>46049.733553240701</v>
      </c>
      <c r="C627" s="3">
        <v>46049.735266203701</v>
      </c>
      <c r="D627" t="s">
        <v>53</v>
      </c>
      <c r="G627" t="s">
        <v>54</v>
      </c>
      <c r="H627" t="s">
        <v>63</v>
      </c>
      <c r="I627" t="s">
        <v>71</v>
      </c>
      <c r="J627" t="s">
        <v>62</v>
      </c>
      <c r="K627" t="s">
        <v>57</v>
      </c>
      <c r="L627" t="s">
        <v>58</v>
      </c>
      <c r="M627" t="s">
        <v>58</v>
      </c>
      <c r="N627">
        <v>4</v>
      </c>
      <c r="O627">
        <v>1</v>
      </c>
      <c r="P627">
        <v>3</v>
      </c>
      <c r="Q627">
        <v>2</v>
      </c>
      <c r="R627">
        <v>2</v>
      </c>
      <c r="S627">
        <v>3</v>
      </c>
      <c r="T627">
        <v>3</v>
      </c>
      <c r="U627">
        <v>5</v>
      </c>
      <c r="V627">
        <v>4</v>
      </c>
      <c r="W627">
        <v>4</v>
      </c>
      <c r="X627">
        <v>4</v>
      </c>
      <c r="Y627">
        <v>4</v>
      </c>
      <c r="Z627">
        <v>4</v>
      </c>
      <c r="AA627">
        <v>4</v>
      </c>
      <c r="AB627">
        <v>3</v>
      </c>
      <c r="AC627">
        <v>3</v>
      </c>
      <c r="AD627">
        <v>5</v>
      </c>
      <c r="AE627">
        <v>2</v>
      </c>
      <c r="AF627">
        <v>2</v>
      </c>
      <c r="AG627">
        <v>4</v>
      </c>
      <c r="AH627">
        <v>3</v>
      </c>
      <c r="AI627">
        <v>3</v>
      </c>
      <c r="AJ627">
        <v>4</v>
      </c>
      <c r="AK627" t="b">
        <f>Table67[[#This Row],[What is your age?]]&lt;&gt;"18 - 25"</f>
        <v>0</v>
      </c>
      <c r="AL627" t="b">
        <f t="shared" si="36"/>
        <v>0</v>
      </c>
      <c r="AM627" t="b">
        <f t="shared" si="37"/>
        <v>0</v>
      </c>
      <c r="AN627" t="b">
        <f t="shared" si="38"/>
        <v>1</v>
      </c>
      <c r="AO627" t="b">
        <f>OR(Table67[[#This Row],[Ineligible respondents]:[Inconsistent response on opposite question (3)]])</f>
        <v>1</v>
      </c>
      <c r="AP62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627">
        <f>Table67[[#This Row],[Extreme Response]]/21</f>
        <v>0.14285714285714285</v>
      </c>
      <c r="AR627">
        <f>_xlfn.PERCENTILE.INC(Table67[Extrem Response Ratio (ERS)],0.9)</f>
        <v>0.61904761904761907</v>
      </c>
      <c r="AS627" t="b">
        <f>Table67[[#This Row],[Extrem Response Ratio (ERS)]]&gt;=Table67[[#This Row],[Threshold of ERS]]</f>
        <v>0</v>
      </c>
      <c r="AT627">
        <f>COUNTIF(Table67[[#This Row],[The mechanism of digital assets is difficult to understand, which discourages me from exploring it (E.g, Tokenization, Blockchain)]:[If I want to try different ways to invest, I will explore digital assets.]], 3)</f>
        <v>6</v>
      </c>
      <c r="AU627">
        <f>Table67[[#This Row],[Midpoint]]/21</f>
        <v>0.2857142857142857</v>
      </c>
      <c r="AV627">
        <f>_xlfn.PERCENTILE.INC(Table67[Midpoint ratio],0.9)</f>
        <v>0.5714285714285714</v>
      </c>
      <c r="AW627" t="b">
        <f>Table67[[#This Row],[Midpoint ratio]]&gt;=Table67[[#This Row],[Threshold of Midpoint ratio]]</f>
        <v>0</v>
      </c>
      <c r="AX627" t="b">
        <f>OR(Table67[[#This Row],[Extreme Response Style]],Table67[[#This Row],[Mid-point Response Style]])</f>
        <v>0</v>
      </c>
      <c r="AY627" t="b">
        <f>OR(Table67[[#This Row],[Delete? (Stage 1)]],Table67[[#This Row],[Delete? (Stage 2)]])</f>
        <v>1</v>
      </c>
      <c r="AZ627" t="s">
        <v>84</v>
      </c>
    </row>
    <row r="628" spans="1:52">
      <c r="A628">
        <f t="shared" si="39"/>
        <v>627</v>
      </c>
      <c r="B628" s="3">
        <v>46049.733576388899</v>
      </c>
      <c r="C628" s="3">
        <v>46049.737847222197</v>
      </c>
      <c r="D628" t="s">
        <v>53</v>
      </c>
      <c r="G628" t="s">
        <v>54</v>
      </c>
      <c r="H628" t="s">
        <v>63</v>
      </c>
      <c r="I628" t="s">
        <v>75</v>
      </c>
      <c r="J628" t="s">
        <v>57</v>
      </c>
      <c r="K628" t="s">
        <v>57</v>
      </c>
      <c r="L628" t="s">
        <v>58</v>
      </c>
      <c r="M628" t="s">
        <v>58</v>
      </c>
      <c r="N628">
        <v>4</v>
      </c>
      <c r="O628">
        <v>4</v>
      </c>
      <c r="P628">
        <v>5</v>
      </c>
      <c r="Q628">
        <v>4</v>
      </c>
      <c r="R628">
        <v>3</v>
      </c>
      <c r="S628">
        <v>5</v>
      </c>
      <c r="T628">
        <v>3</v>
      </c>
      <c r="U628">
        <v>4</v>
      </c>
      <c r="V628">
        <v>4</v>
      </c>
      <c r="W628">
        <v>4</v>
      </c>
      <c r="X628">
        <v>3</v>
      </c>
      <c r="Y628">
        <v>4</v>
      </c>
      <c r="Z628">
        <v>5</v>
      </c>
      <c r="AA628">
        <v>4</v>
      </c>
      <c r="AB628">
        <v>3</v>
      </c>
      <c r="AC628">
        <v>3</v>
      </c>
      <c r="AD628">
        <v>4</v>
      </c>
      <c r="AE628">
        <v>3</v>
      </c>
      <c r="AF628">
        <v>3</v>
      </c>
      <c r="AG628">
        <v>3</v>
      </c>
      <c r="AH628">
        <v>3</v>
      </c>
      <c r="AI628">
        <v>3</v>
      </c>
      <c r="AJ628">
        <v>3</v>
      </c>
      <c r="AK628" t="b">
        <f>Table67[[#This Row],[What is your age?]]&lt;&gt;"18 - 25"</f>
        <v>0</v>
      </c>
      <c r="AL628" t="b">
        <f t="shared" si="36"/>
        <v>0</v>
      </c>
      <c r="AM628" t="b">
        <f t="shared" si="37"/>
        <v>0</v>
      </c>
      <c r="AN628" t="b">
        <f t="shared" si="38"/>
        <v>0</v>
      </c>
      <c r="AO628" t="b">
        <f>OR(Table67[[#This Row],[Ineligible respondents]:[Inconsistent response on opposite question (3)]])</f>
        <v>0</v>
      </c>
      <c r="AP62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628">
        <f>Table67[[#This Row],[Extreme Response]]/21</f>
        <v>0.14285714285714285</v>
      </c>
      <c r="AR628">
        <f>_xlfn.PERCENTILE.INC(Table67[Extrem Response Ratio (ERS)],0.9)</f>
        <v>0.61904761904761907</v>
      </c>
      <c r="AS628" t="b">
        <f>Table67[[#This Row],[Extrem Response Ratio (ERS)]]&gt;=Table67[[#This Row],[Threshold of ERS]]</f>
        <v>0</v>
      </c>
      <c r="AT628">
        <f>COUNTIF(Table67[[#This Row],[The mechanism of digital assets is difficult to understand, which discourages me from exploring it (E.g, Tokenization, Blockchain)]:[If I want to try different ways to invest, I will explore digital assets.]], 3)</f>
        <v>9</v>
      </c>
      <c r="AU628">
        <f>Table67[[#This Row],[Midpoint]]/21</f>
        <v>0.42857142857142855</v>
      </c>
      <c r="AV628">
        <f>_xlfn.PERCENTILE.INC(Table67[Midpoint ratio],0.9)</f>
        <v>0.5714285714285714</v>
      </c>
      <c r="AW628" t="b">
        <f>Table67[[#This Row],[Midpoint ratio]]&gt;=Table67[[#This Row],[Threshold of Midpoint ratio]]</f>
        <v>0</v>
      </c>
      <c r="AX628" t="b">
        <f>OR(Table67[[#This Row],[Extreme Response Style]],Table67[[#This Row],[Mid-point Response Style]])</f>
        <v>0</v>
      </c>
      <c r="AY628" t="b">
        <f>OR(Table67[[#This Row],[Delete? (Stage 1)]],Table67[[#This Row],[Delete? (Stage 2)]])</f>
        <v>0</v>
      </c>
      <c r="AZ628" t="s">
        <v>84</v>
      </c>
    </row>
    <row r="629" spans="1:52">
      <c r="A629">
        <f t="shared" si="39"/>
        <v>628</v>
      </c>
      <c r="B629" s="3">
        <v>46049.733645833301</v>
      </c>
      <c r="C629" s="3">
        <v>46049.736423611103</v>
      </c>
      <c r="D629" t="s">
        <v>53</v>
      </c>
      <c r="G629" t="s">
        <v>54</v>
      </c>
      <c r="H629" t="s">
        <v>63</v>
      </c>
      <c r="I629" t="s">
        <v>56</v>
      </c>
      <c r="J629" t="s">
        <v>62</v>
      </c>
      <c r="K629" t="s">
        <v>62</v>
      </c>
      <c r="L629" t="s">
        <v>58</v>
      </c>
      <c r="M629" t="s">
        <v>58</v>
      </c>
      <c r="N629">
        <v>5</v>
      </c>
      <c r="O629">
        <v>3</v>
      </c>
      <c r="P629">
        <v>5</v>
      </c>
      <c r="Q629">
        <v>3</v>
      </c>
      <c r="R629">
        <v>5</v>
      </c>
      <c r="S629">
        <v>5</v>
      </c>
      <c r="T629">
        <v>2</v>
      </c>
      <c r="U629">
        <v>2</v>
      </c>
      <c r="V629">
        <v>5</v>
      </c>
      <c r="W629">
        <v>5</v>
      </c>
      <c r="X629">
        <v>4</v>
      </c>
      <c r="Y629">
        <v>4</v>
      </c>
      <c r="Z629">
        <v>5</v>
      </c>
      <c r="AA629">
        <v>5</v>
      </c>
      <c r="AB629">
        <v>1</v>
      </c>
      <c r="AC629">
        <v>2</v>
      </c>
      <c r="AD629">
        <v>4</v>
      </c>
      <c r="AE629">
        <v>3</v>
      </c>
      <c r="AF629">
        <v>4</v>
      </c>
      <c r="AG629">
        <v>4</v>
      </c>
      <c r="AH629">
        <v>4</v>
      </c>
      <c r="AI629">
        <v>2</v>
      </c>
      <c r="AJ629">
        <v>2</v>
      </c>
      <c r="AK629" t="b">
        <f>Table67[[#This Row],[What is your age?]]&lt;&gt;"18 - 25"</f>
        <v>0</v>
      </c>
      <c r="AL629" t="b">
        <f t="shared" si="36"/>
        <v>0</v>
      </c>
      <c r="AM629" t="b">
        <f t="shared" si="37"/>
        <v>1</v>
      </c>
      <c r="AN629" t="b">
        <f t="shared" si="38"/>
        <v>0</v>
      </c>
      <c r="AO629" t="b">
        <f>OR(Table67[[#This Row],[Ineligible respondents]:[Inconsistent response on opposite question (3)]])</f>
        <v>1</v>
      </c>
      <c r="AP62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629">
        <f>Table67[[#This Row],[Extreme Response]]/21</f>
        <v>0.42857142857142855</v>
      </c>
      <c r="AR629">
        <f>_xlfn.PERCENTILE.INC(Table67[Extrem Response Ratio (ERS)],0.9)</f>
        <v>0.61904761904761907</v>
      </c>
      <c r="AS629" t="b">
        <f>Table67[[#This Row],[Extrem Response Ratio (ERS)]]&gt;=Table67[[#This Row],[Threshold of ERS]]</f>
        <v>0</v>
      </c>
      <c r="AT629">
        <f>COUNTIF(Table67[[#This Row],[The mechanism of digital assets is difficult to understand, which discourages me from exploring it (E.g, Tokenization, Blockchain)]:[If I want to try different ways to invest, I will explore digital assets.]], 3)</f>
        <v>3</v>
      </c>
      <c r="AU629">
        <f>Table67[[#This Row],[Midpoint]]/21</f>
        <v>0.14285714285714285</v>
      </c>
      <c r="AV629">
        <f>_xlfn.PERCENTILE.INC(Table67[Midpoint ratio],0.9)</f>
        <v>0.5714285714285714</v>
      </c>
      <c r="AW629" t="b">
        <f>Table67[[#This Row],[Midpoint ratio]]&gt;=Table67[[#This Row],[Threshold of Midpoint ratio]]</f>
        <v>0</v>
      </c>
      <c r="AX629" t="b">
        <f>OR(Table67[[#This Row],[Extreme Response Style]],Table67[[#This Row],[Mid-point Response Style]])</f>
        <v>0</v>
      </c>
      <c r="AY629" t="b">
        <f>OR(Table67[[#This Row],[Delete? (Stage 1)]],Table67[[#This Row],[Delete? (Stage 2)]])</f>
        <v>1</v>
      </c>
      <c r="AZ629" t="s">
        <v>84</v>
      </c>
    </row>
    <row r="630" spans="1:52">
      <c r="A630">
        <f t="shared" si="39"/>
        <v>629</v>
      </c>
      <c r="B630" s="3">
        <v>46049.7337037037</v>
      </c>
      <c r="C630" s="3">
        <v>46049.742222222201</v>
      </c>
      <c r="D630" t="s">
        <v>53</v>
      </c>
      <c r="G630" t="s">
        <v>54</v>
      </c>
      <c r="H630" t="s">
        <v>55</v>
      </c>
      <c r="I630" t="s">
        <v>56</v>
      </c>
      <c r="J630" t="s">
        <v>64</v>
      </c>
      <c r="K630" t="s">
        <v>68</v>
      </c>
      <c r="L630" t="s">
        <v>58</v>
      </c>
      <c r="M630" t="s">
        <v>58</v>
      </c>
      <c r="N630">
        <v>3</v>
      </c>
      <c r="O630">
        <v>3</v>
      </c>
      <c r="P630">
        <v>4</v>
      </c>
      <c r="Q630">
        <v>3</v>
      </c>
      <c r="R630">
        <v>3</v>
      </c>
      <c r="S630">
        <v>4</v>
      </c>
      <c r="T630">
        <v>5</v>
      </c>
      <c r="U630">
        <v>5</v>
      </c>
      <c r="V630">
        <v>3</v>
      </c>
      <c r="W630">
        <v>4</v>
      </c>
      <c r="X630">
        <v>3</v>
      </c>
      <c r="Y630">
        <v>3</v>
      </c>
      <c r="Z630">
        <v>5</v>
      </c>
      <c r="AA630">
        <v>4</v>
      </c>
      <c r="AB630">
        <v>2</v>
      </c>
      <c r="AC630">
        <v>3</v>
      </c>
      <c r="AD630">
        <v>3</v>
      </c>
      <c r="AE630">
        <v>3</v>
      </c>
      <c r="AF630">
        <v>3</v>
      </c>
      <c r="AG630">
        <v>3</v>
      </c>
      <c r="AH630">
        <v>4</v>
      </c>
      <c r="AI630">
        <v>2</v>
      </c>
      <c r="AJ630">
        <v>3</v>
      </c>
      <c r="AK630" t="b">
        <f>Table67[[#This Row],[What is your age?]]&lt;&gt;"18 - 25"</f>
        <v>0</v>
      </c>
      <c r="AL630" t="b">
        <f t="shared" si="36"/>
        <v>0</v>
      </c>
      <c r="AM630" t="b">
        <f t="shared" si="37"/>
        <v>0</v>
      </c>
      <c r="AN630" t="b">
        <f t="shared" si="38"/>
        <v>1</v>
      </c>
      <c r="AO630" t="b">
        <f>OR(Table67[[#This Row],[Ineligible respondents]:[Inconsistent response on opposite question (3)]])</f>
        <v>1</v>
      </c>
      <c r="AP63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630">
        <f>Table67[[#This Row],[Extreme Response]]/21</f>
        <v>0.14285714285714285</v>
      </c>
      <c r="AR630">
        <f>_xlfn.PERCENTILE.INC(Table67[Extrem Response Ratio (ERS)],0.9)</f>
        <v>0.61904761904761907</v>
      </c>
      <c r="AS630" t="b">
        <f>Table67[[#This Row],[Extrem Response Ratio (ERS)]]&gt;=Table67[[#This Row],[Threshold of ERS]]</f>
        <v>0</v>
      </c>
      <c r="AT630">
        <f>COUNTIF(Table67[[#This Row],[The mechanism of digital assets is difficult to understand, which discourages me from exploring it (E.g, Tokenization, Blockchain)]:[If I want to try different ways to invest, I will explore digital assets.]], 3)</f>
        <v>12</v>
      </c>
      <c r="AU630">
        <f>Table67[[#This Row],[Midpoint]]/21</f>
        <v>0.5714285714285714</v>
      </c>
      <c r="AV630">
        <f>_xlfn.PERCENTILE.INC(Table67[Midpoint ratio],0.9)</f>
        <v>0.5714285714285714</v>
      </c>
      <c r="AW630" t="b">
        <f>Table67[[#This Row],[Midpoint ratio]]&gt;=Table67[[#This Row],[Threshold of Midpoint ratio]]</f>
        <v>1</v>
      </c>
      <c r="AX630" t="b">
        <f>OR(Table67[[#This Row],[Extreme Response Style]],Table67[[#This Row],[Mid-point Response Style]])</f>
        <v>1</v>
      </c>
      <c r="AY630" t="b">
        <f>OR(Table67[[#This Row],[Delete? (Stage 1)]],Table67[[#This Row],[Delete? (Stage 2)]])</f>
        <v>1</v>
      </c>
      <c r="AZ630" t="s">
        <v>84</v>
      </c>
    </row>
    <row r="631" spans="1:52">
      <c r="A631">
        <f t="shared" si="39"/>
        <v>630</v>
      </c>
      <c r="B631" s="3">
        <v>46049.733738425901</v>
      </c>
      <c r="C631" s="3">
        <v>46049.750613425902</v>
      </c>
      <c r="D631" t="s">
        <v>53</v>
      </c>
      <c r="G631" t="s">
        <v>54</v>
      </c>
      <c r="H631" t="s">
        <v>70</v>
      </c>
      <c r="I631" t="s">
        <v>56</v>
      </c>
      <c r="J631" t="s">
        <v>62</v>
      </c>
      <c r="K631" t="s">
        <v>57</v>
      </c>
      <c r="L631" t="s">
        <v>58</v>
      </c>
      <c r="M631" t="s">
        <v>58</v>
      </c>
      <c r="N631">
        <v>2</v>
      </c>
      <c r="O631">
        <v>3</v>
      </c>
      <c r="P631">
        <v>4</v>
      </c>
      <c r="Q631">
        <v>2</v>
      </c>
      <c r="R631">
        <v>2</v>
      </c>
      <c r="S631">
        <v>4</v>
      </c>
      <c r="T631">
        <v>2</v>
      </c>
      <c r="U631">
        <v>3</v>
      </c>
      <c r="V631">
        <v>4</v>
      </c>
      <c r="W631">
        <v>4</v>
      </c>
      <c r="X631">
        <v>2</v>
      </c>
      <c r="Y631">
        <v>4</v>
      </c>
      <c r="Z631">
        <v>4</v>
      </c>
      <c r="AA631">
        <v>4</v>
      </c>
      <c r="AB631">
        <v>3</v>
      </c>
      <c r="AC631">
        <v>2</v>
      </c>
      <c r="AD631">
        <v>3</v>
      </c>
      <c r="AE631">
        <v>4</v>
      </c>
      <c r="AF631">
        <v>4</v>
      </c>
      <c r="AG631">
        <v>3</v>
      </c>
      <c r="AH631">
        <v>3</v>
      </c>
      <c r="AI631">
        <v>3</v>
      </c>
      <c r="AJ631">
        <v>2</v>
      </c>
      <c r="AK631" t="b">
        <f>Table67[[#This Row],[What is your age?]]&lt;&gt;"18 - 25"</f>
        <v>0</v>
      </c>
      <c r="AL631" t="b">
        <f t="shared" si="36"/>
        <v>0</v>
      </c>
      <c r="AM631" t="b">
        <f t="shared" si="37"/>
        <v>0</v>
      </c>
      <c r="AN631" t="b">
        <f t="shared" si="38"/>
        <v>0</v>
      </c>
      <c r="AO631" t="b">
        <f>OR(Table67[[#This Row],[Ineligible respondents]:[Inconsistent response on opposite question (3)]])</f>
        <v>0</v>
      </c>
      <c r="AP63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631">
        <f>Table67[[#This Row],[Extreme Response]]/21</f>
        <v>0</v>
      </c>
      <c r="AR631">
        <f>_xlfn.PERCENTILE.INC(Table67[Extrem Response Ratio (ERS)],0.9)</f>
        <v>0.61904761904761907</v>
      </c>
      <c r="AS631" t="b">
        <f>Table67[[#This Row],[Extrem Response Ratio (ERS)]]&gt;=Table67[[#This Row],[Threshold of ERS]]</f>
        <v>0</v>
      </c>
      <c r="AT631">
        <f>COUNTIF(Table67[[#This Row],[The mechanism of digital assets is difficult to understand, which discourages me from exploring it (E.g, Tokenization, Blockchain)]:[If I want to try different ways to invest, I will explore digital assets.]], 3)</f>
        <v>6</v>
      </c>
      <c r="AU631">
        <f>Table67[[#This Row],[Midpoint]]/21</f>
        <v>0.2857142857142857</v>
      </c>
      <c r="AV631">
        <f>_xlfn.PERCENTILE.INC(Table67[Midpoint ratio],0.9)</f>
        <v>0.5714285714285714</v>
      </c>
      <c r="AW631" t="b">
        <f>Table67[[#This Row],[Midpoint ratio]]&gt;=Table67[[#This Row],[Threshold of Midpoint ratio]]</f>
        <v>0</v>
      </c>
      <c r="AX631" t="b">
        <f>OR(Table67[[#This Row],[Extreme Response Style]],Table67[[#This Row],[Mid-point Response Style]])</f>
        <v>0</v>
      </c>
      <c r="AY631" t="b">
        <f>OR(Table67[[#This Row],[Delete? (Stage 1)]],Table67[[#This Row],[Delete? (Stage 2)]])</f>
        <v>0</v>
      </c>
      <c r="AZ631" t="s">
        <v>84</v>
      </c>
    </row>
    <row r="632" spans="1:52">
      <c r="A632">
        <f t="shared" si="39"/>
        <v>631</v>
      </c>
      <c r="B632" s="3">
        <v>46049.733773148102</v>
      </c>
      <c r="C632" s="3">
        <v>46049.738252314797</v>
      </c>
      <c r="D632" t="s">
        <v>53</v>
      </c>
      <c r="G632" t="s">
        <v>73</v>
      </c>
      <c r="H632" t="s">
        <v>55</v>
      </c>
      <c r="I632" t="s">
        <v>56</v>
      </c>
      <c r="J632" t="s">
        <v>64</v>
      </c>
      <c r="K632" t="s">
        <v>62</v>
      </c>
      <c r="L632" t="s">
        <v>61</v>
      </c>
      <c r="M632" t="s">
        <v>58</v>
      </c>
      <c r="N632">
        <v>3</v>
      </c>
      <c r="O632">
        <v>3</v>
      </c>
      <c r="P632">
        <v>5</v>
      </c>
      <c r="Q632">
        <v>3</v>
      </c>
      <c r="R632">
        <v>4</v>
      </c>
      <c r="S632">
        <v>4</v>
      </c>
      <c r="T632">
        <v>4</v>
      </c>
      <c r="U632">
        <v>5</v>
      </c>
      <c r="V632">
        <v>5</v>
      </c>
      <c r="W632">
        <v>5</v>
      </c>
      <c r="X632">
        <v>5</v>
      </c>
      <c r="Y632">
        <v>5</v>
      </c>
      <c r="Z632">
        <v>5</v>
      </c>
      <c r="AA632">
        <v>5</v>
      </c>
      <c r="AB632">
        <v>3</v>
      </c>
      <c r="AC632">
        <v>2</v>
      </c>
      <c r="AD632">
        <v>3</v>
      </c>
      <c r="AE632">
        <v>4</v>
      </c>
      <c r="AF632">
        <v>4</v>
      </c>
      <c r="AG632">
        <v>3</v>
      </c>
      <c r="AH632">
        <v>4</v>
      </c>
      <c r="AI632">
        <v>2</v>
      </c>
      <c r="AJ632">
        <v>2</v>
      </c>
      <c r="AK632" t="b">
        <f>Table67[[#This Row],[What is your age?]]&lt;&gt;"18 - 25"</f>
        <v>1</v>
      </c>
      <c r="AL632" t="b">
        <f t="shared" si="36"/>
        <v>0</v>
      </c>
      <c r="AM632" t="b">
        <f t="shared" si="37"/>
        <v>0</v>
      </c>
      <c r="AN632" t="b">
        <f t="shared" si="38"/>
        <v>1</v>
      </c>
      <c r="AO632" t="b">
        <f>OR(Table67[[#This Row],[Ineligible respondents]:[Inconsistent response on opposite question (3)]])</f>
        <v>1</v>
      </c>
      <c r="AP63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632">
        <f>Table67[[#This Row],[Extreme Response]]/21</f>
        <v>0.38095238095238093</v>
      </c>
      <c r="AR632">
        <f>_xlfn.PERCENTILE.INC(Table67[Extrem Response Ratio (ERS)],0.9)</f>
        <v>0.61904761904761907</v>
      </c>
      <c r="AS632" t="b">
        <f>Table67[[#This Row],[Extrem Response Ratio (ERS)]]&gt;=Table67[[#This Row],[Threshold of ERS]]</f>
        <v>0</v>
      </c>
      <c r="AT632">
        <f>COUNTIF(Table67[[#This Row],[The mechanism of digital assets is difficult to understand, which discourages me from exploring it (E.g, Tokenization, Blockchain)]:[If I want to try different ways to invest, I will explore digital assets.]], 3)</f>
        <v>6</v>
      </c>
      <c r="AU632">
        <f>Table67[[#This Row],[Midpoint]]/21</f>
        <v>0.2857142857142857</v>
      </c>
      <c r="AV632">
        <f>_xlfn.PERCENTILE.INC(Table67[Midpoint ratio],0.9)</f>
        <v>0.5714285714285714</v>
      </c>
      <c r="AW632" t="b">
        <f>Table67[[#This Row],[Midpoint ratio]]&gt;=Table67[[#This Row],[Threshold of Midpoint ratio]]</f>
        <v>0</v>
      </c>
      <c r="AX632" t="b">
        <f>OR(Table67[[#This Row],[Extreme Response Style]],Table67[[#This Row],[Mid-point Response Style]])</f>
        <v>0</v>
      </c>
      <c r="AY632" t="b">
        <f>OR(Table67[[#This Row],[Delete? (Stage 1)]],Table67[[#This Row],[Delete? (Stage 2)]])</f>
        <v>1</v>
      </c>
      <c r="AZ632" t="s">
        <v>84</v>
      </c>
    </row>
    <row r="633" spans="1:52">
      <c r="A633">
        <f t="shared" si="39"/>
        <v>632</v>
      </c>
      <c r="B633" s="3">
        <v>46049.733819444402</v>
      </c>
      <c r="C633" s="3">
        <v>46049.738946759302</v>
      </c>
      <c r="D633" t="s">
        <v>53</v>
      </c>
      <c r="G633" t="s">
        <v>54</v>
      </c>
      <c r="H633" t="s">
        <v>55</v>
      </c>
      <c r="I633" t="s">
        <v>75</v>
      </c>
      <c r="J633" t="s">
        <v>67</v>
      </c>
      <c r="K633" t="s">
        <v>60</v>
      </c>
      <c r="L633" t="s">
        <v>58</v>
      </c>
      <c r="M633" t="s">
        <v>58</v>
      </c>
      <c r="N633">
        <v>2</v>
      </c>
      <c r="O633">
        <v>2</v>
      </c>
      <c r="P633">
        <v>2</v>
      </c>
      <c r="Q633">
        <v>3</v>
      </c>
      <c r="R633">
        <v>1</v>
      </c>
      <c r="S633">
        <v>3</v>
      </c>
      <c r="T633">
        <v>2</v>
      </c>
      <c r="U633">
        <v>1</v>
      </c>
      <c r="V633">
        <v>1</v>
      </c>
      <c r="W633">
        <v>2</v>
      </c>
      <c r="X633">
        <v>3</v>
      </c>
      <c r="Y633">
        <v>1</v>
      </c>
      <c r="Z633">
        <v>2</v>
      </c>
      <c r="AA633">
        <v>2</v>
      </c>
      <c r="AB633">
        <v>1</v>
      </c>
      <c r="AC633">
        <v>1</v>
      </c>
      <c r="AD633">
        <v>3</v>
      </c>
      <c r="AE633">
        <v>4</v>
      </c>
      <c r="AF633">
        <v>5</v>
      </c>
      <c r="AG633">
        <v>2</v>
      </c>
      <c r="AH633">
        <v>5</v>
      </c>
      <c r="AI633">
        <v>1</v>
      </c>
      <c r="AJ633">
        <v>1</v>
      </c>
      <c r="AK633" t="b">
        <f>Table67[[#This Row],[What is your age?]]&lt;&gt;"18 - 25"</f>
        <v>0</v>
      </c>
      <c r="AL633" t="b">
        <f t="shared" si="36"/>
        <v>0</v>
      </c>
      <c r="AM633" t="b">
        <f t="shared" si="37"/>
        <v>0</v>
      </c>
      <c r="AN633" t="b">
        <f t="shared" si="38"/>
        <v>0</v>
      </c>
      <c r="AO633" t="b">
        <f>OR(Table67[[#This Row],[Ineligible respondents]:[Inconsistent response on opposite question (3)]])</f>
        <v>0</v>
      </c>
      <c r="AP63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633">
        <f>Table67[[#This Row],[Extreme Response]]/21</f>
        <v>0.38095238095238093</v>
      </c>
      <c r="AR633">
        <f>_xlfn.PERCENTILE.INC(Table67[Extrem Response Ratio (ERS)],0.9)</f>
        <v>0.61904761904761907</v>
      </c>
      <c r="AS633" t="b">
        <f>Table67[[#This Row],[Extrem Response Ratio (ERS)]]&gt;=Table67[[#This Row],[Threshold of ERS]]</f>
        <v>0</v>
      </c>
      <c r="AT633">
        <f>COUNTIF(Table67[[#This Row],[The mechanism of digital assets is difficult to understand, which discourages me from exploring it (E.g, Tokenization, Blockchain)]:[If I want to try different ways to invest, I will explore digital assets.]], 3)</f>
        <v>4</v>
      </c>
      <c r="AU633">
        <f>Table67[[#This Row],[Midpoint]]/21</f>
        <v>0.19047619047619047</v>
      </c>
      <c r="AV633">
        <f>_xlfn.PERCENTILE.INC(Table67[Midpoint ratio],0.9)</f>
        <v>0.5714285714285714</v>
      </c>
      <c r="AW633" t="b">
        <f>Table67[[#This Row],[Midpoint ratio]]&gt;=Table67[[#This Row],[Threshold of Midpoint ratio]]</f>
        <v>0</v>
      </c>
      <c r="AX633" t="b">
        <f>OR(Table67[[#This Row],[Extreme Response Style]],Table67[[#This Row],[Mid-point Response Style]])</f>
        <v>0</v>
      </c>
      <c r="AY633" t="b">
        <f>OR(Table67[[#This Row],[Delete? (Stage 1)]],Table67[[#This Row],[Delete? (Stage 2)]])</f>
        <v>0</v>
      </c>
      <c r="AZ633" t="s">
        <v>84</v>
      </c>
    </row>
    <row r="634" spans="1:52">
      <c r="A634">
        <f t="shared" si="39"/>
        <v>633</v>
      </c>
      <c r="B634" s="3">
        <v>46049.733842592599</v>
      </c>
      <c r="C634" s="3">
        <v>46049.734803240703</v>
      </c>
      <c r="D634" t="s">
        <v>53</v>
      </c>
      <c r="G634" t="s">
        <v>54</v>
      </c>
      <c r="H634" t="s">
        <v>55</v>
      </c>
      <c r="I634" t="s">
        <v>56</v>
      </c>
      <c r="J634" t="s">
        <v>62</v>
      </c>
      <c r="K634" t="s">
        <v>62</v>
      </c>
      <c r="L634" t="s">
        <v>58</v>
      </c>
      <c r="M634" t="s">
        <v>58</v>
      </c>
      <c r="N634">
        <v>4</v>
      </c>
      <c r="O634">
        <v>5</v>
      </c>
      <c r="P634">
        <v>4</v>
      </c>
      <c r="Q634">
        <v>4</v>
      </c>
      <c r="R634">
        <v>4</v>
      </c>
      <c r="S634">
        <v>4</v>
      </c>
      <c r="T634">
        <v>5</v>
      </c>
      <c r="U634">
        <v>3</v>
      </c>
      <c r="V634">
        <v>5</v>
      </c>
      <c r="W634">
        <v>4</v>
      </c>
      <c r="X634">
        <v>5</v>
      </c>
      <c r="Y634">
        <v>4</v>
      </c>
      <c r="Z634">
        <v>5</v>
      </c>
      <c r="AA634">
        <v>4</v>
      </c>
      <c r="AB634">
        <v>4</v>
      </c>
      <c r="AC634">
        <v>3</v>
      </c>
      <c r="AD634">
        <v>4</v>
      </c>
      <c r="AE634">
        <v>3</v>
      </c>
      <c r="AF634">
        <v>4</v>
      </c>
      <c r="AG634">
        <v>4</v>
      </c>
      <c r="AH634">
        <v>3</v>
      </c>
      <c r="AI634">
        <v>3</v>
      </c>
      <c r="AJ634">
        <v>2</v>
      </c>
      <c r="AK634" t="b">
        <f>Table67[[#This Row],[What is your age?]]&lt;&gt;"18 - 25"</f>
        <v>0</v>
      </c>
      <c r="AL634" t="b">
        <f t="shared" si="36"/>
        <v>0</v>
      </c>
      <c r="AM634" t="b">
        <f t="shared" si="37"/>
        <v>0</v>
      </c>
      <c r="AN634" t="b">
        <f t="shared" si="38"/>
        <v>1</v>
      </c>
      <c r="AO634" t="b">
        <f>OR(Table67[[#This Row],[Ineligible respondents]:[Inconsistent response on opposite question (3)]])</f>
        <v>1</v>
      </c>
      <c r="AP63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634">
        <f>Table67[[#This Row],[Extreme Response]]/21</f>
        <v>0.23809523809523808</v>
      </c>
      <c r="AR634">
        <f>_xlfn.PERCENTILE.INC(Table67[Extrem Response Ratio (ERS)],0.9)</f>
        <v>0.61904761904761907</v>
      </c>
      <c r="AS634" t="b">
        <f>Table67[[#This Row],[Extrem Response Ratio (ERS)]]&gt;=Table67[[#This Row],[Threshold of ERS]]</f>
        <v>0</v>
      </c>
      <c r="AT634">
        <f>COUNTIF(Table67[[#This Row],[The mechanism of digital assets is difficult to understand, which discourages me from exploring it (E.g, Tokenization, Blockchain)]:[If I want to try different ways to invest, I will explore digital assets.]], 3)</f>
        <v>4</v>
      </c>
      <c r="AU634">
        <f>Table67[[#This Row],[Midpoint]]/21</f>
        <v>0.19047619047619047</v>
      </c>
      <c r="AV634">
        <f>_xlfn.PERCENTILE.INC(Table67[Midpoint ratio],0.9)</f>
        <v>0.5714285714285714</v>
      </c>
      <c r="AW634" t="b">
        <f>Table67[[#This Row],[Midpoint ratio]]&gt;=Table67[[#This Row],[Threshold of Midpoint ratio]]</f>
        <v>0</v>
      </c>
      <c r="AX634" t="b">
        <f>OR(Table67[[#This Row],[Extreme Response Style]],Table67[[#This Row],[Mid-point Response Style]])</f>
        <v>0</v>
      </c>
      <c r="AY634" t="b">
        <f>OR(Table67[[#This Row],[Delete? (Stage 1)]],Table67[[#This Row],[Delete? (Stage 2)]])</f>
        <v>1</v>
      </c>
      <c r="AZ634" t="s">
        <v>84</v>
      </c>
    </row>
    <row r="635" spans="1:52">
      <c r="A635">
        <f t="shared" si="39"/>
        <v>634</v>
      </c>
      <c r="B635" s="3">
        <v>46049.733842592599</v>
      </c>
      <c r="C635" s="3">
        <v>46049.744861111103</v>
      </c>
      <c r="D635" t="s">
        <v>53</v>
      </c>
      <c r="G635" t="s">
        <v>54</v>
      </c>
      <c r="H635" t="s">
        <v>63</v>
      </c>
      <c r="I635" t="s">
        <v>56</v>
      </c>
      <c r="J635" t="s">
        <v>72</v>
      </c>
      <c r="K635" t="s">
        <v>67</v>
      </c>
      <c r="L635" t="s">
        <v>61</v>
      </c>
      <c r="M635" t="s">
        <v>61</v>
      </c>
      <c r="N635">
        <v>3</v>
      </c>
      <c r="O635">
        <v>4</v>
      </c>
      <c r="P635">
        <v>5</v>
      </c>
      <c r="Q635">
        <v>4</v>
      </c>
      <c r="R635">
        <v>2</v>
      </c>
      <c r="S635">
        <v>1</v>
      </c>
      <c r="T635">
        <v>2</v>
      </c>
      <c r="U635">
        <v>3</v>
      </c>
      <c r="V635">
        <v>4</v>
      </c>
      <c r="W635">
        <v>5</v>
      </c>
      <c r="X635">
        <v>4</v>
      </c>
      <c r="Y635">
        <v>4</v>
      </c>
      <c r="Z635">
        <v>4</v>
      </c>
      <c r="AA635">
        <v>4</v>
      </c>
      <c r="AB635">
        <v>2</v>
      </c>
      <c r="AC635">
        <v>4</v>
      </c>
      <c r="AD635">
        <v>5</v>
      </c>
      <c r="AE635">
        <v>5</v>
      </c>
      <c r="AF635">
        <v>4</v>
      </c>
      <c r="AG635">
        <v>3</v>
      </c>
      <c r="AH635">
        <v>4</v>
      </c>
      <c r="AI635">
        <v>2</v>
      </c>
      <c r="AJ635">
        <v>2</v>
      </c>
      <c r="AK635" t="b">
        <f>Table67[[#This Row],[What is your age?]]&lt;&gt;"18 - 25"</f>
        <v>0</v>
      </c>
      <c r="AL635" t="b">
        <f t="shared" si="36"/>
        <v>0</v>
      </c>
      <c r="AM635" t="b">
        <f t="shared" si="37"/>
        <v>0</v>
      </c>
      <c r="AN635" t="b">
        <f t="shared" si="38"/>
        <v>1</v>
      </c>
      <c r="AO635" t="b">
        <f>OR(Table67[[#This Row],[Ineligible respondents]:[Inconsistent response on opposite question (3)]])</f>
        <v>1</v>
      </c>
      <c r="AP63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635">
        <f>Table67[[#This Row],[Extreme Response]]/21</f>
        <v>0.23809523809523808</v>
      </c>
      <c r="AR635">
        <f>_xlfn.PERCENTILE.INC(Table67[Extrem Response Ratio (ERS)],0.9)</f>
        <v>0.61904761904761907</v>
      </c>
      <c r="AS635" t="b">
        <f>Table67[[#This Row],[Extrem Response Ratio (ERS)]]&gt;=Table67[[#This Row],[Threshold of ERS]]</f>
        <v>0</v>
      </c>
      <c r="AT635">
        <f>COUNTIF(Table67[[#This Row],[The mechanism of digital assets is difficult to understand, which discourages me from exploring it (E.g, Tokenization, Blockchain)]:[If I want to try different ways to invest, I will explore digital assets.]], 3)</f>
        <v>3</v>
      </c>
      <c r="AU635">
        <f>Table67[[#This Row],[Midpoint]]/21</f>
        <v>0.14285714285714285</v>
      </c>
      <c r="AV635">
        <f>_xlfn.PERCENTILE.INC(Table67[Midpoint ratio],0.9)</f>
        <v>0.5714285714285714</v>
      </c>
      <c r="AW635" t="b">
        <f>Table67[[#This Row],[Midpoint ratio]]&gt;=Table67[[#This Row],[Threshold of Midpoint ratio]]</f>
        <v>0</v>
      </c>
      <c r="AX635" t="b">
        <f>OR(Table67[[#This Row],[Extreme Response Style]],Table67[[#This Row],[Mid-point Response Style]])</f>
        <v>0</v>
      </c>
      <c r="AY635" t="b">
        <f>OR(Table67[[#This Row],[Delete? (Stage 1)]],Table67[[#This Row],[Delete? (Stage 2)]])</f>
        <v>1</v>
      </c>
      <c r="AZ635" t="s">
        <v>84</v>
      </c>
    </row>
    <row r="636" spans="1:52">
      <c r="A636">
        <f t="shared" si="39"/>
        <v>635</v>
      </c>
      <c r="B636" s="3">
        <v>46049.733888888899</v>
      </c>
      <c r="C636" s="3">
        <v>46049.736736111103</v>
      </c>
      <c r="D636" t="s">
        <v>53</v>
      </c>
      <c r="G636" t="s">
        <v>54</v>
      </c>
      <c r="H636" t="s">
        <v>63</v>
      </c>
      <c r="I636" t="s">
        <v>75</v>
      </c>
      <c r="J636" t="s">
        <v>62</v>
      </c>
      <c r="K636" t="s">
        <v>64</v>
      </c>
      <c r="L636" t="s">
        <v>61</v>
      </c>
      <c r="M636" t="s">
        <v>58</v>
      </c>
      <c r="N636">
        <v>3</v>
      </c>
      <c r="O636">
        <v>1</v>
      </c>
      <c r="P636">
        <v>5</v>
      </c>
      <c r="Q636">
        <v>1</v>
      </c>
      <c r="R636">
        <v>1</v>
      </c>
      <c r="S636">
        <v>1</v>
      </c>
      <c r="T636">
        <v>1</v>
      </c>
      <c r="U636">
        <v>3</v>
      </c>
      <c r="V636">
        <v>5</v>
      </c>
      <c r="W636">
        <v>5</v>
      </c>
      <c r="X636">
        <v>3</v>
      </c>
      <c r="Y636">
        <v>5</v>
      </c>
      <c r="Z636">
        <v>5</v>
      </c>
      <c r="AA636">
        <v>5</v>
      </c>
      <c r="AB636">
        <v>1</v>
      </c>
      <c r="AC636">
        <v>3</v>
      </c>
      <c r="AD636">
        <v>4</v>
      </c>
      <c r="AE636">
        <v>5</v>
      </c>
      <c r="AF636">
        <v>5</v>
      </c>
      <c r="AG636">
        <v>1</v>
      </c>
      <c r="AH636">
        <v>5</v>
      </c>
      <c r="AI636">
        <v>1</v>
      </c>
      <c r="AJ636">
        <v>1</v>
      </c>
      <c r="AK636" t="b">
        <f>Table67[[#This Row],[What is your age?]]&lt;&gt;"18 - 25"</f>
        <v>0</v>
      </c>
      <c r="AL636" t="b">
        <f t="shared" si="36"/>
        <v>0</v>
      </c>
      <c r="AM636" t="b">
        <f t="shared" si="37"/>
        <v>0</v>
      </c>
      <c r="AN636" t="b">
        <f t="shared" si="38"/>
        <v>0</v>
      </c>
      <c r="AO636" t="b">
        <f>OR(Table67[[#This Row],[Ineligible respondents]:[Inconsistent response on opposite question (3)]])</f>
        <v>0</v>
      </c>
      <c r="AP63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16</v>
      </c>
      <c r="AQ636">
        <f>Table67[[#This Row],[Extreme Response]]/21</f>
        <v>0.76190476190476186</v>
      </c>
      <c r="AR636">
        <f>_xlfn.PERCENTILE.INC(Table67[Extrem Response Ratio (ERS)],0.9)</f>
        <v>0.61904761904761907</v>
      </c>
      <c r="AS636" t="b">
        <f>Table67[[#This Row],[Extrem Response Ratio (ERS)]]&gt;=Table67[[#This Row],[Threshold of ERS]]</f>
        <v>1</v>
      </c>
      <c r="AT636">
        <f>COUNTIF(Table67[[#This Row],[The mechanism of digital assets is difficult to understand, which discourages me from exploring it (E.g, Tokenization, Blockchain)]:[If I want to try different ways to invest, I will explore digital assets.]], 3)</f>
        <v>4</v>
      </c>
      <c r="AU636">
        <f>Table67[[#This Row],[Midpoint]]/21</f>
        <v>0.19047619047619047</v>
      </c>
      <c r="AV636">
        <f>_xlfn.PERCENTILE.INC(Table67[Midpoint ratio],0.9)</f>
        <v>0.5714285714285714</v>
      </c>
      <c r="AW636" t="b">
        <f>Table67[[#This Row],[Midpoint ratio]]&gt;=Table67[[#This Row],[Threshold of Midpoint ratio]]</f>
        <v>0</v>
      </c>
      <c r="AX636" t="b">
        <f>OR(Table67[[#This Row],[Extreme Response Style]],Table67[[#This Row],[Mid-point Response Style]])</f>
        <v>1</v>
      </c>
      <c r="AY636" t="b">
        <f>OR(Table67[[#This Row],[Delete? (Stage 1)]],Table67[[#This Row],[Delete? (Stage 2)]])</f>
        <v>1</v>
      </c>
      <c r="AZ636" t="s">
        <v>84</v>
      </c>
    </row>
    <row r="637" spans="1:52">
      <c r="A637">
        <f t="shared" si="39"/>
        <v>636</v>
      </c>
      <c r="B637" s="3">
        <v>46049.733912037002</v>
      </c>
      <c r="C637" s="3">
        <v>46049.737384259301</v>
      </c>
      <c r="D637" t="s">
        <v>53</v>
      </c>
      <c r="G637" t="s">
        <v>54</v>
      </c>
      <c r="H637" t="s">
        <v>63</v>
      </c>
      <c r="I637" t="s">
        <v>75</v>
      </c>
      <c r="J637" t="s">
        <v>62</v>
      </c>
      <c r="K637" t="s">
        <v>62</v>
      </c>
      <c r="L637" t="s">
        <v>58</v>
      </c>
      <c r="M637" t="s">
        <v>58</v>
      </c>
      <c r="N637">
        <v>3</v>
      </c>
      <c r="O637">
        <v>1</v>
      </c>
      <c r="P637">
        <v>5</v>
      </c>
      <c r="Q637">
        <v>3</v>
      </c>
      <c r="R637">
        <v>4</v>
      </c>
      <c r="S637">
        <v>3</v>
      </c>
      <c r="T637">
        <v>4</v>
      </c>
      <c r="U637">
        <v>5</v>
      </c>
      <c r="V637">
        <v>5</v>
      </c>
      <c r="W637">
        <v>4</v>
      </c>
      <c r="X637">
        <v>5</v>
      </c>
      <c r="Y637">
        <v>4</v>
      </c>
      <c r="Z637">
        <v>4</v>
      </c>
      <c r="AA637">
        <v>4</v>
      </c>
      <c r="AB637">
        <v>2</v>
      </c>
      <c r="AC637">
        <v>4</v>
      </c>
      <c r="AD637">
        <v>4</v>
      </c>
      <c r="AE637">
        <v>2</v>
      </c>
      <c r="AF637">
        <v>4</v>
      </c>
      <c r="AG637">
        <v>5</v>
      </c>
      <c r="AH637">
        <v>5</v>
      </c>
      <c r="AI637">
        <v>1</v>
      </c>
      <c r="AJ637">
        <v>2</v>
      </c>
      <c r="AK637" t="b">
        <f>Table67[[#This Row],[What is your age?]]&lt;&gt;"18 - 25"</f>
        <v>0</v>
      </c>
      <c r="AL637" t="b">
        <f t="shared" si="36"/>
        <v>0</v>
      </c>
      <c r="AM637" t="b">
        <f t="shared" si="37"/>
        <v>1</v>
      </c>
      <c r="AN637" t="b">
        <f t="shared" si="38"/>
        <v>0</v>
      </c>
      <c r="AO637" t="b">
        <f>OR(Table67[[#This Row],[Ineligible respondents]:[Inconsistent response on opposite question (3)]])</f>
        <v>1</v>
      </c>
      <c r="AP63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637">
        <f>Table67[[#This Row],[Extreme Response]]/21</f>
        <v>0.33333333333333331</v>
      </c>
      <c r="AR637">
        <f>_xlfn.PERCENTILE.INC(Table67[Extrem Response Ratio (ERS)],0.9)</f>
        <v>0.61904761904761907</v>
      </c>
      <c r="AS637" t="b">
        <f>Table67[[#This Row],[Extrem Response Ratio (ERS)]]&gt;=Table67[[#This Row],[Threshold of ERS]]</f>
        <v>0</v>
      </c>
      <c r="AT637">
        <f>COUNTIF(Table67[[#This Row],[The mechanism of digital assets is difficult to understand, which discourages me from exploring it (E.g, Tokenization, Blockchain)]:[If I want to try different ways to invest, I will explore digital assets.]], 3)</f>
        <v>3</v>
      </c>
      <c r="AU637">
        <f>Table67[[#This Row],[Midpoint]]/21</f>
        <v>0.14285714285714285</v>
      </c>
      <c r="AV637">
        <f>_xlfn.PERCENTILE.INC(Table67[Midpoint ratio],0.9)</f>
        <v>0.5714285714285714</v>
      </c>
      <c r="AW637" t="b">
        <f>Table67[[#This Row],[Midpoint ratio]]&gt;=Table67[[#This Row],[Threshold of Midpoint ratio]]</f>
        <v>0</v>
      </c>
      <c r="AX637" t="b">
        <f>OR(Table67[[#This Row],[Extreme Response Style]],Table67[[#This Row],[Mid-point Response Style]])</f>
        <v>0</v>
      </c>
      <c r="AY637" t="b">
        <f>OR(Table67[[#This Row],[Delete? (Stage 1)]],Table67[[#This Row],[Delete? (Stage 2)]])</f>
        <v>1</v>
      </c>
      <c r="AZ637" t="s">
        <v>84</v>
      </c>
    </row>
    <row r="638" spans="1:52">
      <c r="A638">
        <f t="shared" si="39"/>
        <v>637</v>
      </c>
      <c r="B638" s="3">
        <v>46049.7339236111</v>
      </c>
      <c r="C638" s="3">
        <v>46049.737916666701</v>
      </c>
      <c r="D638" t="s">
        <v>53</v>
      </c>
      <c r="G638" t="s">
        <v>54</v>
      </c>
      <c r="H638" t="s">
        <v>63</v>
      </c>
      <c r="I638" t="s">
        <v>56</v>
      </c>
      <c r="J638" t="s">
        <v>60</v>
      </c>
      <c r="K638" t="s">
        <v>57</v>
      </c>
      <c r="L638" t="s">
        <v>58</v>
      </c>
      <c r="M638" t="s">
        <v>58</v>
      </c>
      <c r="N638">
        <v>3</v>
      </c>
      <c r="O638">
        <v>3</v>
      </c>
      <c r="P638">
        <v>4</v>
      </c>
      <c r="Q638">
        <v>2</v>
      </c>
      <c r="R638">
        <v>3</v>
      </c>
      <c r="S638">
        <v>3</v>
      </c>
      <c r="T638">
        <v>3</v>
      </c>
      <c r="U638">
        <v>3</v>
      </c>
      <c r="V638">
        <v>4</v>
      </c>
      <c r="W638">
        <v>4</v>
      </c>
      <c r="X638">
        <v>2</v>
      </c>
      <c r="Y638">
        <v>4</v>
      </c>
      <c r="Z638">
        <v>4</v>
      </c>
      <c r="AA638">
        <v>2</v>
      </c>
      <c r="AB638">
        <v>4</v>
      </c>
      <c r="AC638">
        <v>4</v>
      </c>
      <c r="AD638">
        <v>4</v>
      </c>
      <c r="AE638">
        <v>2</v>
      </c>
      <c r="AF638">
        <v>4</v>
      </c>
      <c r="AG638">
        <v>4</v>
      </c>
      <c r="AH638">
        <v>3</v>
      </c>
      <c r="AI638">
        <v>3</v>
      </c>
      <c r="AJ638">
        <v>2</v>
      </c>
      <c r="AK638" t="b">
        <f>Table67[[#This Row],[What is your age?]]&lt;&gt;"18 - 25"</f>
        <v>0</v>
      </c>
      <c r="AL638" t="b">
        <f t="shared" si="36"/>
        <v>0</v>
      </c>
      <c r="AM638" t="b">
        <f t="shared" si="37"/>
        <v>0</v>
      </c>
      <c r="AN638" t="b">
        <f t="shared" si="38"/>
        <v>1</v>
      </c>
      <c r="AO638" t="b">
        <f>OR(Table67[[#This Row],[Ineligible respondents]:[Inconsistent response on opposite question (3)]])</f>
        <v>1</v>
      </c>
      <c r="AP63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638">
        <f>Table67[[#This Row],[Extreme Response]]/21</f>
        <v>0</v>
      </c>
      <c r="AR638">
        <f>_xlfn.PERCENTILE.INC(Table67[Extrem Response Ratio (ERS)],0.9)</f>
        <v>0.61904761904761907</v>
      </c>
      <c r="AS638" t="b">
        <f>Table67[[#This Row],[Extrem Response Ratio (ERS)]]&gt;=Table67[[#This Row],[Threshold of ERS]]</f>
        <v>0</v>
      </c>
      <c r="AT638">
        <f>COUNTIF(Table67[[#This Row],[The mechanism of digital assets is difficult to understand, which discourages me from exploring it (E.g, Tokenization, Blockchain)]:[If I want to try different ways to invest, I will explore digital assets.]], 3)</f>
        <v>7</v>
      </c>
      <c r="AU638">
        <f>Table67[[#This Row],[Midpoint]]/21</f>
        <v>0.33333333333333331</v>
      </c>
      <c r="AV638">
        <f>_xlfn.PERCENTILE.INC(Table67[Midpoint ratio],0.9)</f>
        <v>0.5714285714285714</v>
      </c>
      <c r="AW638" t="b">
        <f>Table67[[#This Row],[Midpoint ratio]]&gt;=Table67[[#This Row],[Threshold of Midpoint ratio]]</f>
        <v>0</v>
      </c>
      <c r="AX638" t="b">
        <f>OR(Table67[[#This Row],[Extreme Response Style]],Table67[[#This Row],[Mid-point Response Style]])</f>
        <v>0</v>
      </c>
      <c r="AY638" t="b">
        <f>OR(Table67[[#This Row],[Delete? (Stage 1)]],Table67[[#This Row],[Delete? (Stage 2)]])</f>
        <v>1</v>
      </c>
      <c r="AZ638" t="s">
        <v>84</v>
      </c>
    </row>
    <row r="639" spans="1:52">
      <c r="A639">
        <f t="shared" si="39"/>
        <v>638</v>
      </c>
      <c r="B639" s="3">
        <v>46049.7339236111</v>
      </c>
      <c r="C639" s="3">
        <v>46049.742222222201</v>
      </c>
      <c r="D639" t="s">
        <v>53</v>
      </c>
      <c r="G639" t="s">
        <v>54</v>
      </c>
      <c r="H639" t="s">
        <v>63</v>
      </c>
      <c r="I639" t="s">
        <v>56</v>
      </c>
      <c r="J639" t="s">
        <v>72</v>
      </c>
      <c r="K639" t="s">
        <v>64</v>
      </c>
      <c r="L639" t="s">
        <v>58</v>
      </c>
      <c r="M639" t="s">
        <v>61</v>
      </c>
      <c r="N639">
        <v>2</v>
      </c>
      <c r="O639">
        <v>4</v>
      </c>
      <c r="P639">
        <v>4</v>
      </c>
      <c r="Q639">
        <v>5</v>
      </c>
      <c r="R639">
        <v>5</v>
      </c>
      <c r="S639">
        <v>5</v>
      </c>
      <c r="T639">
        <v>2</v>
      </c>
      <c r="U639">
        <v>5</v>
      </c>
      <c r="V639">
        <v>4</v>
      </c>
      <c r="W639">
        <v>4</v>
      </c>
      <c r="X639">
        <v>5</v>
      </c>
      <c r="Y639">
        <v>4</v>
      </c>
      <c r="Z639">
        <v>5</v>
      </c>
      <c r="AA639">
        <v>4</v>
      </c>
      <c r="AB639">
        <v>1</v>
      </c>
      <c r="AC639">
        <v>4</v>
      </c>
      <c r="AD639">
        <v>5</v>
      </c>
      <c r="AE639">
        <v>4</v>
      </c>
      <c r="AF639">
        <v>3</v>
      </c>
      <c r="AG639">
        <v>4</v>
      </c>
      <c r="AH639">
        <v>3</v>
      </c>
      <c r="AI639">
        <v>3</v>
      </c>
      <c r="AJ639">
        <v>3</v>
      </c>
      <c r="AK639" t="b">
        <f>Table67[[#This Row],[What is your age?]]&lt;&gt;"18 - 25"</f>
        <v>0</v>
      </c>
      <c r="AL639" t="b">
        <f t="shared" si="36"/>
        <v>0</v>
      </c>
      <c r="AM639" t="b">
        <f t="shared" si="37"/>
        <v>0</v>
      </c>
      <c r="AN639" t="b">
        <f t="shared" si="38"/>
        <v>1</v>
      </c>
      <c r="AO639" t="b">
        <f>OR(Table67[[#This Row],[Ineligible respondents]:[Inconsistent response on opposite question (3)]])</f>
        <v>1</v>
      </c>
      <c r="AP63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639">
        <f>Table67[[#This Row],[Extreme Response]]/21</f>
        <v>0.38095238095238093</v>
      </c>
      <c r="AR639">
        <f>_xlfn.PERCENTILE.INC(Table67[Extrem Response Ratio (ERS)],0.9)</f>
        <v>0.61904761904761907</v>
      </c>
      <c r="AS639" t="b">
        <f>Table67[[#This Row],[Extrem Response Ratio (ERS)]]&gt;=Table67[[#This Row],[Threshold of ERS]]</f>
        <v>0</v>
      </c>
      <c r="AT639">
        <f>COUNTIF(Table67[[#This Row],[The mechanism of digital assets is difficult to understand, which discourages me from exploring it (E.g, Tokenization, Blockchain)]:[If I want to try different ways to invest, I will explore digital assets.]], 3)</f>
        <v>2</v>
      </c>
      <c r="AU639">
        <f>Table67[[#This Row],[Midpoint]]/21</f>
        <v>9.5238095238095233E-2</v>
      </c>
      <c r="AV639">
        <f>_xlfn.PERCENTILE.INC(Table67[Midpoint ratio],0.9)</f>
        <v>0.5714285714285714</v>
      </c>
      <c r="AW639" t="b">
        <f>Table67[[#This Row],[Midpoint ratio]]&gt;=Table67[[#This Row],[Threshold of Midpoint ratio]]</f>
        <v>0</v>
      </c>
      <c r="AX639" t="b">
        <f>OR(Table67[[#This Row],[Extreme Response Style]],Table67[[#This Row],[Mid-point Response Style]])</f>
        <v>0</v>
      </c>
      <c r="AY639" t="b">
        <f>OR(Table67[[#This Row],[Delete? (Stage 1)]],Table67[[#This Row],[Delete? (Stage 2)]])</f>
        <v>1</v>
      </c>
      <c r="AZ639" t="s">
        <v>84</v>
      </c>
    </row>
    <row r="640" spans="1:52">
      <c r="A640">
        <f t="shared" si="39"/>
        <v>639</v>
      </c>
      <c r="B640" s="3">
        <v>46049.7339699074</v>
      </c>
      <c r="C640" s="3">
        <v>46049.742962962999</v>
      </c>
      <c r="D640" t="s">
        <v>53</v>
      </c>
      <c r="G640" t="s">
        <v>73</v>
      </c>
      <c r="H640" t="s">
        <v>63</v>
      </c>
      <c r="I640" t="s">
        <v>56</v>
      </c>
      <c r="J640" t="s">
        <v>62</v>
      </c>
      <c r="K640" t="s">
        <v>62</v>
      </c>
      <c r="L640" t="s">
        <v>58</v>
      </c>
      <c r="M640" t="s">
        <v>58</v>
      </c>
      <c r="N640">
        <v>5</v>
      </c>
      <c r="O640">
        <v>2</v>
      </c>
      <c r="P640">
        <v>3</v>
      </c>
      <c r="Q640">
        <v>1</v>
      </c>
      <c r="R640">
        <v>5</v>
      </c>
      <c r="S640">
        <v>5</v>
      </c>
      <c r="T640">
        <v>1</v>
      </c>
      <c r="U640">
        <v>3</v>
      </c>
      <c r="V640">
        <v>2</v>
      </c>
      <c r="W640">
        <v>3</v>
      </c>
      <c r="X640">
        <v>4</v>
      </c>
      <c r="Y640">
        <v>4</v>
      </c>
      <c r="Z640">
        <v>5</v>
      </c>
      <c r="AA640">
        <v>2</v>
      </c>
      <c r="AB640">
        <v>2</v>
      </c>
      <c r="AC640">
        <v>4</v>
      </c>
      <c r="AD640">
        <v>5</v>
      </c>
      <c r="AE640">
        <v>2</v>
      </c>
      <c r="AF640">
        <v>4</v>
      </c>
      <c r="AG640">
        <v>2</v>
      </c>
      <c r="AH640">
        <v>3</v>
      </c>
      <c r="AI640">
        <v>3</v>
      </c>
      <c r="AJ640">
        <v>2</v>
      </c>
      <c r="AK640" t="b">
        <f>Table67[[#This Row],[What is your age?]]&lt;&gt;"18 - 25"</f>
        <v>1</v>
      </c>
      <c r="AL640" t="b">
        <f t="shared" si="36"/>
        <v>0</v>
      </c>
      <c r="AM640" t="b">
        <f t="shared" si="37"/>
        <v>0</v>
      </c>
      <c r="AN640" t="b">
        <f t="shared" si="38"/>
        <v>1</v>
      </c>
      <c r="AO640" t="b">
        <f>OR(Table67[[#This Row],[Ineligible respondents]:[Inconsistent response on opposite question (3)]])</f>
        <v>1</v>
      </c>
      <c r="AP64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640">
        <f>Table67[[#This Row],[Extreme Response]]/21</f>
        <v>0.33333333333333331</v>
      </c>
      <c r="AR640">
        <f>_xlfn.PERCENTILE.INC(Table67[Extrem Response Ratio (ERS)],0.9)</f>
        <v>0.61904761904761907</v>
      </c>
      <c r="AS640" t="b">
        <f>Table67[[#This Row],[Extrem Response Ratio (ERS)]]&gt;=Table67[[#This Row],[Threshold of ERS]]</f>
        <v>0</v>
      </c>
      <c r="AT640">
        <f>COUNTIF(Table67[[#This Row],[The mechanism of digital assets is difficult to understand, which discourages me from exploring it (E.g, Tokenization, Blockchain)]:[If I want to try different ways to invest, I will explore digital assets.]], 3)</f>
        <v>4</v>
      </c>
      <c r="AU640">
        <f>Table67[[#This Row],[Midpoint]]/21</f>
        <v>0.19047619047619047</v>
      </c>
      <c r="AV640">
        <f>_xlfn.PERCENTILE.INC(Table67[Midpoint ratio],0.9)</f>
        <v>0.5714285714285714</v>
      </c>
      <c r="AW640" t="b">
        <f>Table67[[#This Row],[Midpoint ratio]]&gt;=Table67[[#This Row],[Threshold of Midpoint ratio]]</f>
        <v>0</v>
      </c>
      <c r="AX640" t="b">
        <f>OR(Table67[[#This Row],[Extreme Response Style]],Table67[[#This Row],[Mid-point Response Style]])</f>
        <v>0</v>
      </c>
      <c r="AY640" t="b">
        <f>OR(Table67[[#This Row],[Delete? (Stage 1)]],Table67[[#This Row],[Delete? (Stage 2)]])</f>
        <v>1</v>
      </c>
      <c r="AZ640" t="s">
        <v>84</v>
      </c>
    </row>
    <row r="641" spans="1:52">
      <c r="A641">
        <f t="shared" si="39"/>
        <v>640</v>
      </c>
      <c r="B641" s="3">
        <v>46049.734039351897</v>
      </c>
      <c r="C641" s="3">
        <v>46049.736643518503</v>
      </c>
      <c r="D641" t="s">
        <v>53</v>
      </c>
      <c r="G641" t="s">
        <v>54</v>
      </c>
      <c r="H641" t="s">
        <v>55</v>
      </c>
      <c r="I641" t="s">
        <v>71</v>
      </c>
      <c r="J641" t="s">
        <v>60</v>
      </c>
      <c r="K641" t="s">
        <v>62</v>
      </c>
      <c r="L641" t="s">
        <v>58</v>
      </c>
      <c r="M641" t="s">
        <v>58</v>
      </c>
      <c r="N641">
        <v>4</v>
      </c>
      <c r="O641">
        <v>2</v>
      </c>
      <c r="P641">
        <v>3</v>
      </c>
      <c r="Q641">
        <v>4</v>
      </c>
      <c r="R641">
        <v>3</v>
      </c>
      <c r="S641">
        <v>2</v>
      </c>
      <c r="T641">
        <v>5</v>
      </c>
      <c r="U641">
        <v>5</v>
      </c>
      <c r="V641">
        <v>4</v>
      </c>
      <c r="W641">
        <v>5</v>
      </c>
      <c r="X641">
        <v>5</v>
      </c>
      <c r="Y641">
        <v>4</v>
      </c>
      <c r="Z641">
        <v>3</v>
      </c>
      <c r="AA641">
        <v>4</v>
      </c>
      <c r="AB641">
        <v>5</v>
      </c>
      <c r="AC641">
        <v>5</v>
      </c>
      <c r="AD641">
        <v>5</v>
      </c>
      <c r="AE641">
        <v>5</v>
      </c>
      <c r="AF641">
        <v>1</v>
      </c>
      <c r="AG641">
        <v>2</v>
      </c>
      <c r="AH641">
        <v>2</v>
      </c>
      <c r="AI641">
        <v>4</v>
      </c>
      <c r="AJ641">
        <v>5</v>
      </c>
      <c r="AK641" t="b">
        <f>Table67[[#This Row],[What is your age?]]&lt;&gt;"18 - 25"</f>
        <v>0</v>
      </c>
      <c r="AL641" t="b">
        <f t="shared" si="36"/>
        <v>0</v>
      </c>
      <c r="AM641" t="b">
        <f t="shared" si="37"/>
        <v>1</v>
      </c>
      <c r="AN641" t="b">
        <f t="shared" si="38"/>
        <v>0</v>
      </c>
      <c r="AO641" t="b">
        <f>OR(Table67[[#This Row],[Ineligible respondents]:[Inconsistent response on opposite question (3)]])</f>
        <v>1</v>
      </c>
      <c r="AP64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641">
        <f>Table67[[#This Row],[Extreme Response]]/21</f>
        <v>0.42857142857142855</v>
      </c>
      <c r="AR641">
        <f>_xlfn.PERCENTILE.INC(Table67[Extrem Response Ratio (ERS)],0.9)</f>
        <v>0.61904761904761907</v>
      </c>
      <c r="AS641" t="b">
        <f>Table67[[#This Row],[Extrem Response Ratio (ERS)]]&gt;=Table67[[#This Row],[Threshold of ERS]]</f>
        <v>0</v>
      </c>
      <c r="AT641">
        <f>COUNTIF(Table67[[#This Row],[The mechanism of digital assets is difficult to understand, which discourages me from exploring it (E.g, Tokenization, Blockchain)]:[If I want to try different ways to invest, I will explore digital assets.]], 3)</f>
        <v>3</v>
      </c>
      <c r="AU641">
        <f>Table67[[#This Row],[Midpoint]]/21</f>
        <v>0.14285714285714285</v>
      </c>
      <c r="AV641">
        <f>_xlfn.PERCENTILE.INC(Table67[Midpoint ratio],0.9)</f>
        <v>0.5714285714285714</v>
      </c>
      <c r="AW641" t="b">
        <f>Table67[[#This Row],[Midpoint ratio]]&gt;=Table67[[#This Row],[Threshold of Midpoint ratio]]</f>
        <v>0</v>
      </c>
      <c r="AX641" t="b">
        <f>OR(Table67[[#This Row],[Extreme Response Style]],Table67[[#This Row],[Mid-point Response Style]])</f>
        <v>0</v>
      </c>
      <c r="AY641" t="b">
        <f>OR(Table67[[#This Row],[Delete? (Stage 1)]],Table67[[#This Row],[Delete? (Stage 2)]])</f>
        <v>1</v>
      </c>
      <c r="AZ641" t="s">
        <v>84</v>
      </c>
    </row>
    <row r="642" spans="1:52">
      <c r="A642">
        <f t="shared" si="39"/>
        <v>641</v>
      </c>
      <c r="B642" s="3">
        <v>46049.7340625</v>
      </c>
      <c r="C642" s="3">
        <v>46049.739872685197</v>
      </c>
      <c r="D642" t="s">
        <v>53</v>
      </c>
      <c r="G642" t="s">
        <v>54</v>
      </c>
      <c r="H642" t="s">
        <v>55</v>
      </c>
      <c r="I642" t="s">
        <v>56</v>
      </c>
      <c r="J642" t="s">
        <v>60</v>
      </c>
      <c r="K642" t="s">
        <v>62</v>
      </c>
      <c r="L642" t="s">
        <v>58</v>
      </c>
      <c r="M642" t="s">
        <v>58</v>
      </c>
      <c r="N642">
        <v>3</v>
      </c>
      <c r="O642">
        <v>2</v>
      </c>
      <c r="P642">
        <v>4</v>
      </c>
      <c r="Q642">
        <v>4</v>
      </c>
      <c r="R642">
        <v>3</v>
      </c>
      <c r="S642">
        <v>4</v>
      </c>
      <c r="T642">
        <v>4</v>
      </c>
      <c r="U642">
        <v>4</v>
      </c>
      <c r="V642">
        <v>5</v>
      </c>
      <c r="W642">
        <v>4</v>
      </c>
      <c r="X642">
        <v>4</v>
      </c>
      <c r="Y642">
        <v>3</v>
      </c>
      <c r="Z642">
        <v>3</v>
      </c>
      <c r="AA642">
        <v>3</v>
      </c>
      <c r="AB642">
        <v>2</v>
      </c>
      <c r="AC642">
        <v>3</v>
      </c>
      <c r="AD642">
        <v>4</v>
      </c>
      <c r="AE642">
        <v>3</v>
      </c>
      <c r="AF642">
        <v>3</v>
      </c>
      <c r="AG642">
        <v>3</v>
      </c>
      <c r="AH642">
        <v>3</v>
      </c>
      <c r="AI642">
        <v>3</v>
      </c>
      <c r="AJ642">
        <v>3</v>
      </c>
      <c r="AK642" t="b">
        <f>Table67[[#This Row],[What is your age?]]&lt;&gt;"18 - 25"</f>
        <v>0</v>
      </c>
      <c r="AL642" t="b">
        <f t="shared" si="36"/>
        <v>0</v>
      </c>
      <c r="AM642" t="b">
        <f t="shared" si="37"/>
        <v>0</v>
      </c>
      <c r="AN642" t="b">
        <f t="shared" si="38"/>
        <v>0</v>
      </c>
      <c r="AO642" t="b">
        <f>OR(Table67[[#This Row],[Ineligible respondents]:[Inconsistent response on opposite question (3)]])</f>
        <v>0</v>
      </c>
      <c r="AP64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642">
        <f>Table67[[#This Row],[Extreme Response]]/21</f>
        <v>4.7619047619047616E-2</v>
      </c>
      <c r="AR642">
        <f>_xlfn.PERCENTILE.INC(Table67[Extrem Response Ratio (ERS)],0.9)</f>
        <v>0.61904761904761907</v>
      </c>
      <c r="AS642" t="b">
        <f>Table67[[#This Row],[Extrem Response Ratio (ERS)]]&gt;=Table67[[#This Row],[Threshold of ERS]]</f>
        <v>0</v>
      </c>
      <c r="AT642">
        <f>COUNTIF(Table67[[#This Row],[The mechanism of digital assets is difficult to understand, which discourages me from exploring it (E.g, Tokenization, Blockchain)]:[If I want to try different ways to invest, I will explore digital assets.]], 3)</f>
        <v>10</v>
      </c>
      <c r="AU642">
        <f>Table67[[#This Row],[Midpoint]]/21</f>
        <v>0.47619047619047616</v>
      </c>
      <c r="AV642">
        <f>_xlfn.PERCENTILE.INC(Table67[Midpoint ratio],0.9)</f>
        <v>0.5714285714285714</v>
      </c>
      <c r="AW642" t="b">
        <f>Table67[[#This Row],[Midpoint ratio]]&gt;=Table67[[#This Row],[Threshold of Midpoint ratio]]</f>
        <v>0</v>
      </c>
      <c r="AX642" t="b">
        <f>OR(Table67[[#This Row],[Extreme Response Style]],Table67[[#This Row],[Mid-point Response Style]])</f>
        <v>0</v>
      </c>
      <c r="AY642" t="b">
        <f>OR(Table67[[#This Row],[Delete? (Stage 1)]],Table67[[#This Row],[Delete? (Stage 2)]])</f>
        <v>0</v>
      </c>
      <c r="AZ642" t="s">
        <v>84</v>
      </c>
    </row>
    <row r="643" spans="1:52">
      <c r="A643">
        <f t="shared" si="39"/>
        <v>642</v>
      </c>
      <c r="B643" s="3">
        <v>46049.7340625</v>
      </c>
      <c r="C643" s="3">
        <v>46049.739965277797</v>
      </c>
      <c r="D643" t="s">
        <v>53</v>
      </c>
      <c r="G643" t="s">
        <v>54</v>
      </c>
      <c r="H643" t="s">
        <v>55</v>
      </c>
      <c r="I643" t="s">
        <v>56</v>
      </c>
      <c r="J643" t="s">
        <v>62</v>
      </c>
      <c r="K643" t="s">
        <v>62</v>
      </c>
      <c r="L643" t="s">
        <v>61</v>
      </c>
      <c r="M643" t="s">
        <v>61</v>
      </c>
      <c r="N643">
        <v>3</v>
      </c>
      <c r="O643">
        <v>3</v>
      </c>
      <c r="P643">
        <v>3</v>
      </c>
      <c r="Q643">
        <v>4</v>
      </c>
      <c r="R643">
        <v>4</v>
      </c>
      <c r="S643">
        <v>3</v>
      </c>
      <c r="T643">
        <v>4</v>
      </c>
      <c r="U643">
        <v>3</v>
      </c>
      <c r="V643">
        <v>4</v>
      </c>
      <c r="W643">
        <v>3</v>
      </c>
      <c r="X643">
        <v>3</v>
      </c>
      <c r="Y643">
        <v>3</v>
      </c>
      <c r="Z643">
        <v>3</v>
      </c>
      <c r="AA643">
        <v>4</v>
      </c>
      <c r="AB643">
        <v>4</v>
      </c>
      <c r="AC643">
        <v>3</v>
      </c>
      <c r="AD643">
        <v>3</v>
      </c>
      <c r="AE643">
        <v>3</v>
      </c>
      <c r="AF643">
        <v>4</v>
      </c>
      <c r="AG643">
        <v>4</v>
      </c>
      <c r="AH643">
        <v>4</v>
      </c>
      <c r="AI643">
        <v>2</v>
      </c>
      <c r="AJ643">
        <v>2</v>
      </c>
      <c r="AK643" t="b">
        <f>Table67[[#This Row],[What is your age?]]&lt;&gt;"18 - 25"</f>
        <v>0</v>
      </c>
      <c r="AL643" t="b">
        <f t="shared" ref="AL643:AL706" si="40">COUNTIF(N643:AH643, N643) = COLUMNS(N643:AH643)</f>
        <v>0</v>
      </c>
      <c r="AM643" t="b">
        <f t="shared" ref="AM643:AM706" si="41">OR(AND(AG643=AH643, AG643&lt;&gt;3), AND(OR(AG643=1, AG643=2), OR(AH643=1, AH643=2)), AND(OR(AG643=4, AG643=5), OR(AH643=4, AH643=5)))</f>
        <v>1</v>
      </c>
      <c r="AN643" t="b">
        <f t="shared" ref="AN643:AN706" si="42">OR(AND(AG643=3, AH643&lt;&gt;3), AND(AH643=3, AG643&lt;&gt;3))</f>
        <v>0</v>
      </c>
      <c r="AO643" t="b">
        <f>OR(Table67[[#This Row],[Ineligible respondents]:[Inconsistent response on opposite question (3)]])</f>
        <v>1</v>
      </c>
      <c r="AP64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643">
        <f>Table67[[#This Row],[Extreme Response]]/21</f>
        <v>0</v>
      </c>
      <c r="AR643">
        <f>_xlfn.PERCENTILE.INC(Table67[Extrem Response Ratio (ERS)],0.9)</f>
        <v>0.61904761904761907</v>
      </c>
      <c r="AS643" t="b">
        <f>Table67[[#This Row],[Extrem Response Ratio (ERS)]]&gt;=Table67[[#This Row],[Threshold of ERS]]</f>
        <v>0</v>
      </c>
      <c r="AT643">
        <f>COUNTIF(Table67[[#This Row],[The mechanism of digital assets is difficult to understand, which discourages me from exploring it (E.g, Tokenization, Blockchain)]:[If I want to try different ways to invest, I will explore digital assets.]], 3)</f>
        <v>12</v>
      </c>
      <c r="AU643">
        <f>Table67[[#This Row],[Midpoint]]/21</f>
        <v>0.5714285714285714</v>
      </c>
      <c r="AV643">
        <f>_xlfn.PERCENTILE.INC(Table67[Midpoint ratio],0.9)</f>
        <v>0.5714285714285714</v>
      </c>
      <c r="AW643" t="b">
        <f>Table67[[#This Row],[Midpoint ratio]]&gt;=Table67[[#This Row],[Threshold of Midpoint ratio]]</f>
        <v>1</v>
      </c>
      <c r="AX643" t="b">
        <f>OR(Table67[[#This Row],[Extreme Response Style]],Table67[[#This Row],[Mid-point Response Style]])</f>
        <v>1</v>
      </c>
      <c r="AY643" t="b">
        <f>OR(Table67[[#This Row],[Delete? (Stage 1)]],Table67[[#This Row],[Delete? (Stage 2)]])</f>
        <v>1</v>
      </c>
      <c r="AZ643" t="s">
        <v>84</v>
      </c>
    </row>
    <row r="644" spans="1:52">
      <c r="A644">
        <f t="shared" ref="A644:A707" si="43">1+A643</f>
        <v>643</v>
      </c>
      <c r="B644" s="3">
        <v>46049.734074074098</v>
      </c>
      <c r="C644" s="3">
        <v>46049.739432870403</v>
      </c>
      <c r="D644" t="s">
        <v>53</v>
      </c>
      <c r="G644" t="s">
        <v>54</v>
      </c>
      <c r="H644" t="s">
        <v>55</v>
      </c>
      <c r="I644" t="s">
        <v>56</v>
      </c>
      <c r="J644" t="s">
        <v>64</v>
      </c>
      <c r="K644" t="s">
        <v>62</v>
      </c>
      <c r="L644" t="s">
        <v>61</v>
      </c>
      <c r="M644" t="s">
        <v>58</v>
      </c>
      <c r="N644">
        <v>4</v>
      </c>
      <c r="O644">
        <v>2</v>
      </c>
      <c r="P644">
        <v>5</v>
      </c>
      <c r="Q644">
        <v>3</v>
      </c>
      <c r="R644">
        <v>4</v>
      </c>
      <c r="S644">
        <v>2</v>
      </c>
      <c r="T644">
        <v>3</v>
      </c>
      <c r="U644">
        <v>4</v>
      </c>
      <c r="V644">
        <v>5</v>
      </c>
      <c r="W644">
        <v>5</v>
      </c>
      <c r="X644">
        <v>4</v>
      </c>
      <c r="Y644">
        <v>5</v>
      </c>
      <c r="Z644">
        <v>4</v>
      </c>
      <c r="AA644">
        <v>3</v>
      </c>
      <c r="AB644">
        <v>2</v>
      </c>
      <c r="AC644">
        <v>1</v>
      </c>
      <c r="AD644">
        <v>4</v>
      </c>
      <c r="AE644">
        <v>1</v>
      </c>
      <c r="AF644">
        <v>4</v>
      </c>
      <c r="AG644">
        <v>4</v>
      </c>
      <c r="AH644">
        <v>4</v>
      </c>
      <c r="AI644">
        <v>2</v>
      </c>
      <c r="AJ644">
        <v>2</v>
      </c>
      <c r="AK644" t="b">
        <f>Table67[[#This Row],[What is your age?]]&lt;&gt;"18 - 25"</f>
        <v>0</v>
      </c>
      <c r="AL644" t="b">
        <f t="shared" si="40"/>
        <v>0</v>
      </c>
      <c r="AM644" t="b">
        <f t="shared" si="41"/>
        <v>1</v>
      </c>
      <c r="AN644" t="b">
        <f t="shared" si="42"/>
        <v>0</v>
      </c>
      <c r="AO644" t="b">
        <f>OR(Table67[[#This Row],[Ineligible respondents]:[Inconsistent response on opposite question (3)]])</f>
        <v>1</v>
      </c>
      <c r="AP64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644">
        <f>Table67[[#This Row],[Extreme Response]]/21</f>
        <v>0.2857142857142857</v>
      </c>
      <c r="AR644">
        <f>_xlfn.PERCENTILE.INC(Table67[Extrem Response Ratio (ERS)],0.9)</f>
        <v>0.61904761904761907</v>
      </c>
      <c r="AS644" t="b">
        <f>Table67[[#This Row],[Extrem Response Ratio (ERS)]]&gt;=Table67[[#This Row],[Threshold of ERS]]</f>
        <v>0</v>
      </c>
      <c r="AT644">
        <f>COUNTIF(Table67[[#This Row],[The mechanism of digital assets is difficult to understand, which discourages me from exploring it (E.g, Tokenization, Blockchain)]:[If I want to try different ways to invest, I will explore digital assets.]], 3)</f>
        <v>3</v>
      </c>
      <c r="AU644">
        <f>Table67[[#This Row],[Midpoint]]/21</f>
        <v>0.14285714285714285</v>
      </c>
      <c r="AV644">
        <f>_xlfn.PERCENTILE.INC(Table67[Midpoint ratio],0.9)</f>
        <v>0.5714285714285714</v>
      </c>
      <c r="AW644" t="b">
        <f>Table67[[#This Row],[Midpoint ratio]]&gt;=Table67[[#This Row],[Threshold of Midpoint ratio]]</f>
        <v>0</v>
      </c>
      <c r="AX644" t="b">
        <f>OR(Table67[[#This Row],[Extreme Response Style]],Table67[[#This Row],[Mid-point Response Style]])</f>
        <v>0</v>
      </c>
      <c r="AY644" t="b">
        <f>OR(Table67[[#This Row],[Delete? (Stage 1)]],Table67[[#This Row],[Delete? (Stage 2)]])</f>
        <v>1</v>
      </c>
      <c r="AZ644" t="s">
        <v>84</v>
      </c>
    </row>
    <row r="645" spans="1:52">
      <c r="A645">
        <f t="shared" si="43"/>
        <v>644</v>
      </c>
      <c r="B645" s="3">
        <v>46049.734120370398</v>
      </c>
      <c r="C645" s="3">
        <v>46049.739687499998</v>
      </c>
      <c r="D645" t="s">
        <v>53</v>
      </c>
      <c r="G645" t="s">
        <v>54</v>
      </c>
      <c r="H645" t="s">
        <v>63</v>
      </c>
      <c r="I645" t="s">
        <v>75</v>
      </c>
      <c r="J645" t="s">
        <v>64</v>
      </c>
      <c r="K645" t="s">
        <v>60</v>
      </c>
      <c r="L645" t="s">
        <v>58</v>
      </c>
      <c r="M645" t="s">
        <v>58</v>
      </c>
      <c r="N645">
        <v>4</v>
      </c>
      <c r="O645">
        <v>1</v>
      </c>
      <c r="P645">
        <v>3</v>
      </c>
      <c r="Q645">
        <v>1</v>
      </c>
      <c r="R645">
        <v>2</v>
      </c>
      <c r="S645">
        <v>2</v>
      </c>
      <c r="T645">
        <v>1</v>
      </c>
      <c r="U645">
        <v>1</v>
      </c>
      <c r="V645">
        <v>1</v>
      </c>
      <c r="W645">
        <v>1</v>
      </c>
      <c r="X645">
        <v>1</v>
      </c>
      <c r="Y645">
        <v>1</v>
      </c>
      <c r="Z645">
        <v>4</v>
      </c>
      <c r="AA645">
        <v>2</v>
      </c>
      <c r="AB645">
        <v>2</v>
      </c>
      <c r="AC645">
        <v>3</v>
      </c>
      <c r="AD645">
        <v>3</v>
      </c>
      <c r="AE645">
        <v>2</v>
      </c>
      <c r="AF645">
        <v>4</v>
      </c>
      <c r="AG645">
        <v>3</v>
      </c>
      <c r="AH645">
        <v>4</v>
      </c>
      <c r="AI645">
        <v>2</v>
      </c>
      <c r="AJ645">
        <v>2</v>
      </c>
      <c r="AK645" t="b">
        <f>Table67[[#This Row],[What is your age?]]&lt;&gt;"18 - 25"</f>
        <v>0</v>
      </c>
      <c r="AL645" t="b">
        <f t="shared" si="40"/>
        <v>0</v>
      </c>
      <c r="AM645" t="b">
        <f t="shared" si="41"/>
        <v>0</v>
      </c>
      <c r="AN645" t="b">
        <f t="shared" si="42"/>
        <v>1</v>
      </c>
      <c r="AO645" t="b">
        <f>OR(Table67[[#This Row],[Ineligible respondents]:[Inconsistent response on opposite question (3)]])</f>
        <v>1</v>
      </c>
      <c r="AP64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645">
        <f>Table67[[#This Row],[Extreme Response]]/21</f>
        <v>0.38095238095238093</v>
      </c>
      <c r="AR645">
        <f>_xlfn.PERCENTILE.INC(Table67[Extrem Response Ratio (ERS)],0.9)</f>
        <v>0.61904761904761907</v>
      </c>
      <c r="AS645" t="b">
        <f>Table67[[#This Row],[Extrem Response Ratio (ERS)]]&gt;=Table67[[#This Row],[Threshold of ERS]]</f>
        <v>0</v>
      </c>
      <c r="AT645">
        <f>COUNTIF(Table67[[#This Row],[The mechanism of digital assets is difficult to understand, which discourages me from exploring it (E.g, Tokenization, Blockchain)]:[If I want to try different ways to invest, I will explore digital assets.]], 3)</f>
        <v>4</v>
      </c>
      <c r="AU645">
        <f>Table67[[#This Row],[Midpoint]]/21</f>
        <v>0.19047619047619047</v>
      </c>
      <c r="AV645">
        <f>_xlfn.PERCENTILE.INC(Table67[Midpoint ratio],0.9)</f>
        <v>0.5714285714285714</v>
      </c>
      <c r="AW645" t="b">
        <f>Table67[[#This Row],[Midpoint ratio]]&gt;=Table67[[#This Row],[Threshold of Midpoint ratio]]</f>
        <v>0</v>
      </c>
      <c r="AX645" t="b">
        <f>OR(Table67[[#This Row],[Extreme Response Style]],Table67[[#This Row],[Mid-point Response Style]])</f>
        <v>0</v>
      </c>
      <c r="AY645" t="b">
        <f>OR(Table67[[#This Row],[Delete? (Stage 1)]],Table67[[#This Row],[Delete? (Stage 2)]])</f>
        <v>1</v>
      </c>
      <c r="AZ645" t="s">
        <v>84</v>
      </c>
    </row>
    <row r="646" spans="1:52">
      <c r="A646">
        <f t="shared" si="43"/>
        <v>645</v>
      </c>
      <c r="B646" s="3">
        <v>46049.734178240702</v>
      </c>
      <c r="C646" s="3">
        <v>46049.736226851797</v>
      </c>
      <c r="D646" t="s">
        <v>53</v>
      </c>
      <c r="G646" t="s">
        <v>54</v>
      </c>
      <c r="H646" t="s">
        <v>63</v>
      </c>
      <c r="I646" t="s">
        <v>75</v>
      </c>
      <c r="J646" t="s">
        <v>65</v>
      </c>
      <c r="K646" t="s">
        <v>62</v>
      </c>
      <c r="L646" t="s">
        <v>58</v>
      </c>
      <c r="M646" t="s">
        <v>61</v>
      </c>
      <c r="N646">
        <v>5</v>
      </c>
      <c r="O646">
        <v>3</v>
      </c>
      <c r="P646">
        <v>5</v>
      </c>
      <c r="Q646">
        <v>3</v>
      </c>
      <c r="R646">
        <v>5</v>
      </c>
      <c r="S646">
        <v>3</v>
      </c>
      <c r="T646">
        <v>1</v>
      </c>
      <c r="U646">
        <v>5</v>
      </c>
      <c r="V646">
        <v>3</v>
      </c>
      <c r="W646">
        <v>5</v>
      </c>
      <c r="X646">
        <v>1</v>
      </c>
      <c r="Y646">
        <v>1</v>
      </c>
      <c r="Z646">
        <v>3</v>
      </c>
      <c r="AA646">
        <v>3</v>
      </c>
      <c r="AB646">
        <v>3</v>
      </c>
      <c r="AC646">
        <v>3</v>
      </c>
      <c r="AD646">
        <v>3</v>
      </c>
      <c r="AE646">
        <v>3</v>
      </c>
      <c r="AF646">
        <v>3</v>
      </c>
      <c r="AG646">
        <v>3</v>
      </c>
      <c r="AH646">
        <v>3</v>
      </c>
      <c r="AI646">
        <v>3</v>
      </c>
      <c r="AJ646">
        <v>3</v>
      </c>
      <c r="AK646" t="b">
        <f>Table67[[#This Row],[What is your age?]]&lt;&gt;"18 - 25"</f>
        <v>0</v>
      </c>
      <c r="AL646" t="b">
        <f t="shared" si="40"/>
        <v>0</v>
      </c>
      <c r="AM646" t="b">
        <f t="shared" si="41"/>
        <v>0</v>
      </c>
      <c r="AN646" t="b">
        <f t="shared" si="42"/>
        <v>0</v>
      </c>
      <c r="AO646" t="b">
        <f>OR(Table67[[#This Row],[Ineligible respondents]:[Inconsistent response on opposite question (3)]])</f>
        <v>0</v>
      </c>
      <c r="AP64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646">
        <f>Table67[[#This Row],[Extreme Response]]/21</f>
        <v>0.38095238095238093</v>
      </c>
      <c r="AR646">
        <f>_xlfn.PERCENTILE.INC(Table67[Extrem Response Ratio (ERS)],0.9)</f>
        <v>0.61904761904761907</v>
      </c>
      <c r="AS646" t="b">
        <f>Table67[[#This Row],[Extrem Response Ratio (ERS)]]&gt;=Table67[[#This Row],[Threshold of ERS]]</f>
        <v>0</v>
      </c>
      <c r="AT646">
        <f>COUNTIF(Table67[[#This Row],[The mechanism of digital assets is difficult to understand, which discourages me from exploring it (E.g, Tokenization, Blockchain)]:[If I want to try different ways to invest, I will explore digital assets.]], 3)</f>
        <v>13</v>
      </c>
      <c r="AU646">
        <f>Table67[[#This Row],[Midpoint]]/21</f>
        <v>0.61904761904761907</v>
      </c>
      <c r="AV646">
        <f>_xlfn.PERCENTILE.INC(Table67[Midpoint ratio],0.9)</f>
        <v>0.5714285714285714</v>
      </c>
      <c r="AW646" t="b">
        <f>Table67[[#This Row],[Midpoint ratio]]&gt;=Table67[[#This Row],[Threshold of Midpoint ratio]]</f>
        <v>1</v>
      </c>
      <c r="AX646" t="b">
        <f>OR(Table67[[#This Row],[Extreme Response Style]],Table67[[#This Row],[Mid-point Response Style]])</f>
        <v>1</v>
      </c>
      <c r="AY646" t="b">
        <f>OR(Table67[[#This Row],[Delete? (Stage 1)]],Table67[[#This Row],[Delete? (Stage 2)]])</f>
        <v>1</v>
      </c>
      <c r="AZ646" t="s">
        <v>84</v>
      </c>
    </row>
    <row r="647" spans="1:52">
      <c r="A647">
        <f t="shared" si="43"/>
        <v>646</v>
      </c>
      <c r="B647" s="3">
        <v>46049.734178240702</v>
      </c>
      <c r="C647" s="3">
        <v>46049.7401157407</v>
      </c>
      <c r="D647" t="s">
        <v>53</v>
      </c>
      <c r="G647" t="s">
        <v>54</v>
      </c>
      <c r="H647" t="s">
        <v>55</v>
      </c>
      <c r="I647" t="s">
        <v>75</v>
      </c>
      <c r="J647" t="s">
        <v>66</v>
      </c>
      <c r="K647" t="s">
        <v>66</v>
      </c>
      <c r="L647" t="s">
        <v>61</v>
      </c>
      <c r="M647" t="s">
        <v>61</v>
      </c>
      <c r="N647">
        <v>1</v>
      </c>
      <c r="O647">
        <v>1</v>
      </c>
      <c r="P647">
        <v>3</v>
      </c>
      <c r="Q647">
        <v>1</v>
      </c>
      <c r="R647">
        <v>2</v>
      </c>
      <c r="S647">
        <v>1</v>
      </c>
      <c r="T647">
        <v>1</v>
      </c>
      <c r="U647">
        <v>1</v>
      </c>
      <c r="V647">
        <v>3</v>
      </c>
      <c r="W647">
        <v>4</v>
      </c>
      <c r="X647">
        <v>1</v>
      </c>
      <c r="Y647">
        <v>2</v>
      </c>
      <c r="Z647">
        <v>5</v>
      </c>
      <c r="AA647">
        <v>4</v>
      </c>
      <c r="AB647">
        <v>2</v>
      </c>
      <c r="AC647">
        <v>1</v>
      </c>
      <c r="AD647">
        <v>2</v>
      </c>
      <c r="AE647">
        <v>1</v>
      </c>
      <c r="AF647">
        <v>5</v>
      </c>
      <c r="AG647">
        <v>1</v>
      </c>
      <c r="AH647">
        <v>5</v>
      </c>
      <c r="AI647">
        <v>1</v>
      </c>
      <c r="AJ647">
        <v>1</v>
      </c>
      <c r="AK647" t="b">
        <f>Table67[[#This Row],[What is your age?]]&lt;&gt;"18 - 25"</f>
        <v>0</v>
      </c>
      <c r="AL647" t="b">
        <f t="shared" si="40"/>
        <v>0</v>
      </c>
      <c r="AM647" t="b">
        <f t="shared" si="41"/>
        <v>0</v>
      </c>
      <c r="AN647" t="b">
        <f t="shared" si="42"/>
        <v>0</v>
      </c>
      <c r="AO647" t="b">
        <f>OR(Table67[[#This Row],[Ineligible respondents]:[Inconsistent response on opposite question (3)]])</f>
        <v>0</v>
      </c>
      <c r="AP64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647">
        <f>Table67[[#This Row],[Extreme Response]]/21</f>
        <v>0.61904761904761907</v>
      </c>
      <c r="AR647">
        <f>_xlfn.PERCENTILE.INC(Table67[Extrem Response Ratio (ERS)],0.9)</f>
        <v>0.61904761904761907</v>
      </c>
      <c r="AS647" t="b">
        <f>Table67[[#This Row],[Extrem Response Ratio (ERS)]]&gt;=Table67[[#This Row],[Threshold of ERS]]</f>
        <v>1</v>
      </c>
      <c r="AT647">
        <f>COUNTIF(Table67[[#This Row],[The mechanism of digital assets is difficult to understand, which discourages me from exploring it (E.g, Tokenization, Blockchain)]:[If I want to try different ways to invest, I will explore digital assets.]], 3)</f>
        <v>2</v>
      </c>
      <c r="AU647">
        <f>Table67[[#This Row],[Midpoint]]/21</f>
        <v>9.5238095238095233E-2</v>
      </c>
      <c r="AV647">
        <f>_xlfn.PERCENTILE.INC(Table67[Midpoint ratio],0.9)</f>
        <v>0.5714285714285714</v>
      </c>
      <c r="AW647" t="b">
        <f>Table67[[#This Row],[Midpoint ratio]]&gt;=Table67[[#This Row],[Threshold of Midpoint ratio]]</f>
        <v>0</v>
      </c>
      <c r="AX647" t="b">
        <f>OR(Table67[[#This Row],[Extreme Response Style]],Table67[[#This Row],[Mid-point Response Style]])</f>
        <v>1</v>
      </c>
      <c r="AY647" t="b">
        <f>OR(Table67[[#This Row],[Delete? (Stage 1)]],Table67[[#This Row],[Delete? (Stage 2)]])</f>
        <v>1</v>
      </c>
      <c r="AZ647" t="s">
        <v>84</v>
      </c>
    </row>
    <row r="648" spans="1:52">
      <c r="A648">
        <f t="shared" si="43"/>
        <v>647</v>
      </c>
      <c r="B648" s="3">
        <v>46049.734212962998</v>
      </c>
      <c r="C648" s="3">
        <v>46049.737858796303</v>
      </c>
      <c r="D648" t="s">
        <v>53</v>
      </c>
      <c r="G648" t="s">
        <v>54</v>
      </c>
      <c r="H648" t="s">
        <v>63</v>
      </c>
      <c r="I648" t="s">
        <v>71</v>
      </c>
      <c r="J648" t="s">
        <v>62</v>
      </c>
      <c r="K648" t="s">
        <v>62</v>
      </c>
      <c r="L648" t="s">
        <v>58</v>
      </c>
      <c r="M648" t="s">
        <v>61</v>
      </c>
      <c r="N648">
        <v>2</v>
      </c>
      <c r="O648">
        <v>1</v>
      </c>
      <c r="P648">
        <v>3</v>
      </c>
      <c r="Q648">
        <v>4</v>
      </c>
      <c r="R648">
        <v>3</v>
      </c>
      <c r="S648">
        <v>4</v>
      </c>
      <c r="T648">
        <v>2</v>
      </c>
      <c r="U648">
        <v>3</v>
      </c>
      <c r="V648">
        <v>4</v>
      </c>
      <c r="W648">
        <v>4</v>
      </c>
      <c r="X648">
        <v>4</v>
      </c>
      <c r="Y648">
        <v>3</v>
      </c>
      <c r="Z648">
        <v>3</v>
      </c>
      <c r="AA648">
        <v>4</v>
      </c>
      <c r="AB648">
        <v>3</v>
      </c>
      <c r="AC648">
        <v>2</v>
      </c>
      <c r="AD648">
        <v>2</v>
      </c>
      <c r="AE648">
        <v>4</v>
      </c>
      <c r="AF648">
        <v>5</v>
      </c>
      <c r="AG648">
        <v>3</v>
      </c>
      <c r="AH648">
        <v>4</v>
      </c>
      <c r="AI648">
        <v>2</v>
      </c>
      <c r="AJ648">
        <v>1</v>
      </c>
      <c r="AK648" t="b">
        <f>Table67[[#This Row],[What is your age?]]&lt;&gt;"18 - 25"</f>
        <v>0</v>
      </c>
      <c r="AL648" t="b">
        <f t="shared" si="40"/>
        <v>0</v>
      </c>
      <c r="AM648" t="b">
        <f t="shared" si="41"/>
        <v>0</v>
      </c>
      <c r="AN648" t="b">
        <f t="shared" si="42"/>
        <v>1</v>
      </c>
      <c r="AO648" t="b">
        <f>OR(Table67[[#This Row],[Ineligible respondents]:[Inconsistent response on opposite question (3)]])</f>
        <v>1</v>
      </c>
      <c r="AP64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648">
        <f>Table67[[#This Row],[Extreme Response]]/21</f>
        <v>9.5238095238095233E-2</v>
      </c>
      <c r="AR648">
        <f>_xlfn.PERCENTILE.INC(Table67[Extrem Response Ratio (ERS)],0.9)</f>
        <v>0.61904761904761907</v>
      </c>
      <c r="AS648" t="b">
        <f>Table67[[#This Row],[Extrem Response Ratio (ERS)]]&gt;=Table67[[#This Row],[Threshold of ERS]]</f>
        <v>0</v>
      </c>
      <c r="AT648">
        <f>COUNTIF(Table67[[#This Row],[The mechanism of digital assets is difficult to understand, which discourages me from exploring it (E.g, Tokenization, Blockchain)]:[If I want to try different ways to invest, I will explore digital assets.]], 3)</f>
        <v>7</v>
      </c>
      <c r="AU648">
        <f>Table67[[#This Row],[Midpoint]]/21</f>
        <v>0.33333333333333331</v>
      </c>
      <c r="AV648">
        <f>_xlfn.PERCENTILE.INC(Table67[Midpoint ratio],0.9)</f>
        <v>0.5714285714285714</v>
      </c>
      <c r="AW648" t="b">
        <f>Table67[[#This Row],[Midpoint ratio]]&gt;=Table67[[#This Row],[Threshold of Midpoint ratio]]</f>
        <v>0</v>
      </c>
      <c r="AX648" t="b">
        <f>OR(Table67[[#This Row],[Extreme Response Style]],Table67[[#This Row],[Mid-point Response Style]])</f>
        <v>0</v>
      </c>
      <c r="AY648" t="b">
        <f>OR(Table67[[#This Row],[Delete? (Stage 1)]],Table67[[#This Row],[Delete? (Stage 2)]])</f>
        <v>1</v>
      </c>
      <c r="AZ648" t="s">
        <v>84</v>
      </c>
    </row>
    <row r="649" spans="1:52">
      <c r="A649">
        <f t="shared" si="43"/>
        <v>648</v>
      </c>
      <c r="B649" s="3">
        <v>46049.734224537002</v>
      </c>
      <c r="C649" s="3">
        <v>46049.735960648097</v>
      </c>
      <c r="D649" t="s">
        <v>53</v>
      </c>
      <c r="G649" t="s">
        <v>54</v>
      </c>
      <c r="H649" t="s">
        <v>63</v>
      </c>
      <c r="I649" t="s">
        <v>56</v>
      </c>
      <c r="J649" t="s">
        <v>62</v>
      </c>
      <c r="K649" t="s">
        <v>57</v>
      </c>
      <c r="L649" t="s">
        <v>58</v>
      </c>
      <c r="M649" t="s">
        <v>58</v>
      </c>
      <c r="N649">
        <v>4</v>
      </c>
      <c r="O649">
        <v>4</v>
      </c>
      <c r="P649">
        <v>3</v>
      </c>
      <c r="Q649">
        <v>3</v>
      </c>
      <c r="R649">
        <v>4</v>
      </c>
      <c r="S649">
        <v>3</v>
      </c>
      <c r="T649">
        <v>4</v>
      </c>
      <c r="U649">
        <v>4</v>
      </c>
      <c r="V649">
        <v>4</v>
      </c>
      <c r="W649">
        <v>3</v>
      </c>
      <c r="X649">
        <v>4</v>
      </c>
      <c r="Y649">
        <v>4</v>
      </c>
      <c r="Z649">
        <v>3</v>
      </c>
      <c r="AA649">
        <v>3</v>
      </c>
      <c r="AB649">
        <v>3</v>
      </c>
      <c r="AC649">
        <v>4</v>
      </c>
      <c r="AD649">
        <v>4</v>
      </c>
      <c r="AE649">
        <v>3</v>
      </c>
      <c r="AF649">
        <v>4</v>
      </c>
      <c r="AG649">
        <v>4</v>
      </c>
      <c r="AH649">
        <v>4</v>
      </c>
      <c r="AI649">
        <v>2</v>
      </c>
      <c r="AJ649">
        <v>2</v>
      </c>
      <c r="AK649" t="b">
        <f>Table67[[#This Row],[What is your age?]]&lt;&gt;"18 - 25"</f>
        <v>0</v>
      </c>
      <c r="AL649" t="b">
        <f t="shared" si="40"/>
        <v>0</v>
      </c>
      <c r="AM649" t="b">
        <f t="shared" si="41"/>
        <v>1</v>
      </c>
      <c r="AN649" t="b">
        <f t="shared" si="42"/>
        <v>0</v>
      </c>
      <c r="AO649" t="b">
        <f>OR(Table67[[#This Row],[Ineligible respondents]:[Inconsistent response on opposite question (3)]])</f>
        <v>1</v>
      </c>
      <c r="AP64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649">
        <f>Table67[[#This Row],[Extreme Response]]/21</f>
        <v>0</v>
      </c>
      <c r="AR649">
        <f>_xlfn.PERCENTILE.INC(Table67[Extrem Response Ratio (ERS)],0.9)</f>
        <v>0.61904761904761907</v>
      </c>
      <c r="AS649" t="b">
        <f>Table67[[#This Row],[Extrem Response Ratio (ERS)]]&gt;=Table67[[#This Row],[Threshold of ERS]]</f>
        <v>0</v>
      </c>
      <c r="AT649">
        <f>COUNTIF(Table67[[#This Row],[The mechanism of digital assets is difficult to understand, which discourages me from exploring it (E.g, Tokenization, Blockchain)]:[If I want to try different ways to invest, I will explore digital assets.]], 3)</f>
        <v>8</v>
      </c>
      <c r="AU649">
        <f>Table67[[#This Row],[Midpoint]]/21</f>
        <v>0.38095238095238093</v>
      </c>
      <c r="AV649">
        <f>_xlfn.PERCENTILE.INC(Table67[Midpoint ratio],0.9)</f>
        <v>0.5714285714285714</v>
      </c>
      <c r="AW649" t="b">
        <f>Table67[[#This Row],[Midpoint ratio]]&gt;=Table67[[#This Row],[Threshold of Midpoint ratio]]</f>
        <v>0</v>
      </c>
      <c r="AX649" t="b">
        <f>OR(Table67[[#This Row],[Extreme Response Style]],Table67[[#This Row],[Mid-point Response Style]])</f>
        <v>0</v>
      </c>
      <c r="AY649" t="b">
        <f>OR(Table67[[#This Row],[Delete? (Stage 1)]],Table67[[#This Row],[Delete? (Stage 2)]])</f>
        <v>1</v>
      </c>
      <c r="AZ649" t="s">
        <v>84</v>
      </c>
    </row>
    <row r="650" spans="1:52">
      <c r="A650">
        <f t="shared" si="43"/>
        <v>649</v>
      </c>
      <c r="B650" s="3">
        <v>46049.7343287037</v>
      </c>
      <c r="C650" s="3">
        <v>46049.739629629599</v>
      </c>
      <c r="D650" t="s">
        <v>53</v>
      </c>
      <c r="G650" t="s">
        <v>54</v>
      </c>
      <c r="H650" t="s">
        <v>63</v>
      </c>
      <c r="I650" t="s">
        <v>56</v>
      </c>
      <c r="J650" t="s">
        <v>62</v>
      </c>
      <c r="K650" t="s">
        <v>62</v>
      </c>
      <c r="L650" t="s">
        <v>61</v>
      </c>
      <c r="M650" t="s">
        <v>61</v>
      </c>
      <c r="N650">
        <v>4</v>
      </c>
      <c r="O650">
        <v>4</v>
      </c>
      <c r="P650">
        <v>1</v>
      </c>
      <c r="Q650">
        <v>1</v>
      </c>
      <c r="R650">
        <v>5</v>
      </c>
      <c r="S650">
        <v>5</v>
      </c>
      <c r="T650">
        <v>1</v>
      </c>
      <c r="U650">
        <v>2</v>
      </c>
      <c r="V650">
        <v>5</v>
      </c>
      <c r="W650">
        <v>5</v>
      </c>
      <c r="X650">
        <v>5</v>
      </c>
      <c r="Y650">
        <v>5</v>
      </c>
      <c r="Z650">
        <v>5</v>
      </c>
      <c r="AA650">
        <v>5</v>
      </c>
      <c r="AB650">
        <v>3</v>
      </c>
      <c r="AC650">
        <v>2</v>
      </c>
      <c r="AD650">
        <v>5</v>
      </c>
      <c r="AE650">
        <v>1</v>
      </c>
      <c r="AF650">
        <v>5</v>
      </c>
      <c r="AG650">
        <v>2</v>
      </c>
      <c r="AH650">
        <v>5</v>
      </c>
      <c r="AI650">
        <v>1</v>
      </c>
      <c r="AJ650">
        <v>1</v>
      </c>
      <c r="AK650" t="b">
        <f>Table67[[#This Row],[What is your age?]]&lt;&gt;"18 - 25"</f>
        <v>0</v>
      </c>
      <c r="AL650" t="b">
        <f t="shared" si="40"/>
        <v>0</v>
      </c>
      <c r="AM650" t="b">
        <f t="shared" si="41"/>
        <v>0</v>
      </c>
      <c r="AN650" t="b">
        <f t="shared" si="42"/>
        <v>0</v>
      </c>
      <c r="AO650" t="b">
        <f>OR(Table67[[#This Row],[Ineligible respondents]:[Inconsistent response on opposite question (3)]])</f>
        <v>0</v>
      </c>
      <c r="AP65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650">
        <f>Table67[[#This Row],[Extreme Response]]/21</f>
        <v>0.7142857142857143</v>
      </c>
      <c r="AR650">
        <f>_xlfn.PERCENTILE.INC(Table67[Extrem Response Ratio (ERS)],0.9)</f>
        <v>0.61904761904761907</v>
      </c>
      <c r="AS650" t="b">
        <f>Table67[[#This Row],[Extrem Response Ratio (ERS)]]&gt;=Table67[[#This Row],[Threshold of ERS]]</f>
        <v>1</v>
      </c>
      <c r="AT650">
        <f>COUNTIF(Table67[[#This Row],[The mechanism of digital assets is difficult to understand, which discourages me from exploring it (E.g, Tokenization, Blockchain)]:[If I want to try different ways to invest, I will explore digital assets.]], 3)</f>
        <v>1</v>
      </c>
      <c r="AU650">
        <f>Table67[[#This Row],[Midpoint]]/21</f>
        <v>4.7619047619047616E-2</v>
      </c>
      <c r="AV650">
        <f>_xlfn.PERCENTILE.INC(Table67[Midpoint ratio],0.9)</f>
        <v>0.5714285714285714</v>
      </c>
      <c r="AW650" t="b">
        <f>Table67[[#This Row],[Midpoint ratio]]&gt;=Table67[[#This Row],[Threshold of Midpoint ratio]]</f>
        <v>0</v>
      </c>
      <c r="AX650" t="b">
        <f>OR(Table67[[#This Row],[Extreme Response Style]],Table67[[#This Row],[Mid-point Response Style]])</f>
        <v>1</v>
      </c>
      <c r="AY650" t="b">
        <f>OR(Table67[[#This Row],[Delete? (Stage 1)]],Table67[[#This Row],[Delete? (Stage 2)]])</f>
        <v>1</v>
      </c>
      <c r="AZ650" t="s">
        <v>84</v>
      </c>
    </row>
    <row r="651" spans="1:52">
      <c r="A651">
        <f t="shared" si="43"/>
        <v>650</v>
      </c>
      <c r="B651" s="3">
        <v>46049.734398148103</v>
      </c>
      <c r="C651" s="3">
        <v>46049.739120370403</v>
      </c>
      <c r="D651" t="s">
        <v>53</v>
      </c>
      <c r="G651" t="s">
        <v>54</v>
      </c>
      <c r="H651" t="s">
        <v>55</v>
      </c>
      <c r="I651" t="s">
        <v>56</v>
      </c>
      <c r="J651" t="s">
        <v>62</v>
      </c>
      <c r="K651" t="s">
        <v>57</v>
      </c>
      <c r="L651" t="s">
        <v>58</v>
      </c>
      <c r="M651" t="s">
        <v>58</v>
      </c>
      <c r="N651">
        <v>2</v>
      </c>
      <c r="O651">
        <v>3</v>
      </c>
      <c r="P651">
        <v>4</v>
      </c>
      <c r="Q651">
        <v>2</v>
      </c>
      <c r="R651">
        <v>4</v>
      </c>
      <c r="S651">
        <v>3</v>
      </c>
      <c r="T651">
        <v>3</v>
      </c>
      <c r="U651">
        <v>3</v>
      </c>
      <c r="V651">
        <v>2</v>
      </c>
      <c r="W651">
        <v>2</v>
      </c>
      <c r="X651">
        <v>3</v>
      </c>
      <c r="Y651">
        <v>2</v>
      </c>
      <c r="Z651">
        <v>4</v>
      </c>
      <c r="AA651">
        <v>4</v>
      </c>
      <c r="AB651">
        <v>3</v>
      </c>
      <c r="AC651">
        <v>4</v>
      </c>
      <c r="AD651">
        <v>2</v>
      </c>
      <c r="AE651">
        <v>1</v>
      </c>
      <c r="AF651">
        <v>3</v>
      </c>
      <c r="AG651">
        <v>2</v>
      </c>
      <c r="AH651">
        <v>3</v>
      </c>
      <c r="AI651">
        <v>3</v>
      </c>
      <c r="AJ651">
        <v>3</v>
      </c>
      <c r="AK651" t="b">
        <f>Table67[[#This Row],[What is your age?]]&lt;&gt;"18 - 25"</f>
        <v>0</v>
      </c>
      <c r="AL651" t="b">
        <f t="shared" si="40"/>
        <v>0</v>
      </c>
      <c r="AM651" t="b">
        <f t="shared" si="41"/>
        <v>0</v>
      </c>
      <c r="AN651" t="b">
        <f t="shared" si="42"/>
        <v>1</v>
      </c>
      <c r="AO651" t="b">
        <f>OR(Table67[[#This Row],[Ineligible respondents]:[Inconsistent response on opposite question (3)]])</f>
        <v>1</v>
      </c>
      <c r="AP65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651">
        <f>Table67[[#This Row],[Extreme Response]]/21</f>
        <v>4.7619047619047616E-2</v>
      </c>
      <c r="AR651">
        <f>_xlfn.PERCENTILE.INC(Table67[Extrem Response Ratio (ERS)],0.9)</f>
        <v>0.61904761904761907</v>
      </c>
      <c r="AS651" t="b">
        <f>Table67[[#This Row],[Extrem Response Ratio (ERS)]]&gt;=Table67[[#This Row],[Threshold of ERS]]</f>
        <v>0</v>
      </c>
      <c r="AT651">
        <f>COUNTIF(Table67[[#This Row],[The mechanism of digital assets is difficult to understand, which discourages me from exploring it (E.g, Tokenization, Blockchain)]:[If I want to try different ways to invest, I will explore digital assets.]], 3)</f>
        <v>8</v>
      </c>
      <c r="AU651">
        <f>Table67[[#This Row],[Midpoint]]/21</f>
        <v>0.38095238095238093</v>
      </c>
      <c r="AV651">
        <f>_xlfn.PERCENTILE.INC(Table67[Midpoint ratio],0.9)</f>
        <v>0.5714285714285714</v>
      </c>
      <c r="AW651" t="b">
        <f>Table67[[#This Row],[Midpoint ratio]]&gt;=Table67[[#This Row],[Threshold of Midpoint ratio]]</f>
        <v>0</v>
      </c>
      <c r="AX651" t="b">
        <f>OR(Table67[[#This Row],[Extreme Response Style]],Table67[[#This Row],[Mid-point Response Style]])</f>
        <v>0</v>
      </c>
      <c r="AY651" t="b">
        <f>OR(Table67[[#This Row],[Delete? (Stage 1)]],Table67[[#This Row],[Delete? (Stage 2)]])</f>
        <v>1</v>
      </c>
      <c r="AZ651" t="s">
        <v>84</v>
      </c>
    </row>
    <row r="652" spans="1:52">
      <c r="A652">
        <f t="shared" si="43"/>
        <v>651</v>
      </c>
      <c r="B652" s="3">
        <v>46049.734432870398</v>
      </c>
      <c r="C652" s="3">
        <v>46049.742534722202</v>
      </c>
      <c r="D652" t="s">
        <v>53</v>
      </c>
      <c r="G652" t="s">
        <v>54</v>
      </c>
      <c r="H652" t="s">
        <v>55</v>
      </c>
      <c r="I652" t="s">
        <v>56</v>
      </c>
      <c r="J652" t="s">
        <v>62</v>
      </c>
      <c r="K652" t="s">
        <v>62</v>
      </c>
      <c r="L652" t="s">
        <v>58</v>
      </c>
      <c r="M652" t="s">
        <v>58</v>
      </c>
      <c r="N652">
        <v>2</v>
      </c>
      <c r="O652">
        <v>1</v>
      </c>
      <c r="P652">
        <v>3</v>
      </c>
      <c r="Q652">
        <v>2</v>
      </c>
      <c r="R652">
        <v>4</v>
      </c>
      <c r="S652">
        <v>5</v>
      </c>
      <c r="T652">
        <v>4</v>
      </c>
      <c r="U652">
        <v>4</v>
      </c>
      <c r="V652">
        <v>5</v>
      </c>
      <c r="W652">
        <v>5</v>
      </c>
      <c r="X652">
        <v>4</v>
      </c>
      <c r="Y652">
        <v>3</v>
      </c>
      <c r="Z652">
        <v>4</v>
      </c>
      <c r="AA652">
        <v>5</v>
      </c>
      <c r="AB652">
        <v>3</v>
      </c>
      <c r="AC652">
        <v>5</v>
      </c>
      <c r="AD652">
        <v>5</v>
      </c>
      <c r="AE652">
        <v>2</v>
      </c>
      <c r="AF652">
        <v>3</v>
      </c>
      <c r="AG652">
        <v>5</v>
      </c>
      <c r="AH652">
        <v>3</v>
      </c>
      <c r="AI652">
        <v>3</v>
      </c>
      <c r="AJ652">
        <v>3</v>
      </c>
      <c r="AK652" t="b">
        <f>Table67[[#This Row],[What is your age?]]&lt;&gt;"18 - 25"</f>
        <v>0</v>
      </c>
      <c r="AL652" t="b">
        <f t="shared" si="40"/>
        <v>0</v>
      </c>
      <c r="AM652" t="b">
        <f t="shared" si="41"/>
        <v>0</v>
      </c>
      <c r="AN652" t="b">
        <f t="shared" si="42"/>
        <v>1</v>
      </c>
      <c r="AO652" t="b">
        <f>OR(Table67[[#This Row],[Ineligible respondents]:[Inconsistent response on opposite question (3)]])</f>
        <v>1</v>
      </c>
      <c r="AP65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652">
        <f>Table67[[#This Row],[Extreme Response]]/21</f>
        <v>0.38095238095238093</v>
      </c>
      <c r="AR652">
        <f>_xlfn.PERCENTILE.INC(Table67[Extrem Response Ratio (ERS)],0.9)</f>
        <v>0.61904761904761907</v>
      </c>
      <c r="AS652" t="b">
        <f>Table67[[#This Row],[Extrem Response Ratio (ERS)]]&gt;=Table67[[#This Row],[Threshold of ERS]]</f>
        <v>0</v>
      </c>
      <c r="AT652">
        <f>COUNTIF(Table67[[#This Row],[The mechanism of digital assets is difficult to understand, which discourages me from exploring it (E.g, Tokenization, Blockchain)]:[If I want to try different ways to invest, I will explore digital assets.]], 3)</f>
        <v>5</v>
      </c>
      <c r="AU652">
        <f>Table67[[#This Row],[Midpoint]]/21</f>
        <v>0.23809523809523808</v>
      </c>
      <c r="AV652">
        <f>_xlfn.PERCENTILE.INC(Table67[Midpoint ratio],0.9)</f>
        <v>0.5714285714285714</v>
      </c>
      <c r="AW652" t="b">
        <f>Table67[[#This Row],[Midpoint ratio]]&gt;=Table67[[#This Row],[Threshold of Midpoint ratio]]</f>
        <v>0</v>
      </c>
      <c r="AX652" t="b">
        <f>OR(Table67[[#This Row],[Extreme Response Style]],Table67[[#This Row],[Mid-point Response Style]])</f>
        <v>0</v>
      </c>
      <c r="AY652" t="b">
        <f>OR(Table67[[#This Row],[Delete? (Stage 1)]],Table67[[#This Row],[Delete? (Stage 2)]])</f>
        <v>1</v>
      </c>
      <c r="AZ652" t="s">
        <v>84</v>
      </c>
    </row>
    <row r="653" spans="1:52">
      <c r="A653">
        <f t="shared" si="43"/>
        <v>652</v>
      </c>
      <c r="B653" s="3">
        <v>46049.734444444402</v>
      </c>
      <c r="C653" s="3">
        <v>46049.736458333296</v>
      </c>
      <c r="D653" t="s">
        <v>53</v>
      </c>
      <c r="G653" t="s">
        <v>54</v>
      </c>
      <c r="H653" t="s">
        <v>63</v>
      </c>
      <c r="I653" t="s">
        <v>56</v>
      </c>
      <c r="J653" t="s">
        <v>62</v>
      </c>
      <c r="K653" t="s">
        <v>57</v>
      </c>
      <c r="L653" t="s">
        <v>58</v>
      </c>
      <c r="M653" t="s">
        <v>58</v>
      </c>
      <c r="N653">
        <v>4</v>
      </c>
      <c r="O653">
        <v>4</v>
      </c>
      <c r="P653">
        <v>4</v>
      </c>
      <c r="Q653">
        <v>4</v>
      </c>
      <c r="R653">
        <v>5</v>
      </c>
      <c r="S653">
        <v>4</v>
      </c>
      <c r="T653">
        <v>4</v>
      </c>
      <c r="U653">
        <v>5</v>
      </c>
      <c r="V653">
        <v>4</v>
      </c>
      <c r="W653">
        <v>2</v>
      </c>
      <c r="X653">
        <v>4</v>
      </c>
      <c r="Y653">
        <v>4</v>
      </c>
      <c r="Z653">
        <v>5</v>
      </c>
      <c r="AA653">
        <v>4</v>
      </c>
      <c r="AB653">
        <v>5</v>
      </c>
      <c r="AC653">
        <v>4</v>
      </c>
      <c r="AD653">
        <v>2</v>
      </c>
      <c r="AE653">
        <v>1</v>
      </c>
      <c r="AF653">
        <v>3</v>
      </c>
      <c r="AG653">
        <v>4</v>
      </c>
      <c r="AH653">
        <v>3</v>
      </c>
      <c r="AI653">
        <v>3</v>
      </c>
      <c r="AJ653">
        <v>3</v>
      </c>
      <c r="AK653" t="b">
        <f>Table67[[#This Row],[What is your age?]]&lt;&gt;"18 - 25"</f>
        <v>0</v>
      </c>
      <c r="AL653" t="b">
        <f t="shared" si="40"/>
        <v>0</v>
      </c>
      <c r="AM653" t="b">
        <f t="shared" si="41"/>
        <v>0</v>
      </c>
      <c r="AN653" t="b">
        <f t="shared" si="42"/>
        <v>1</v>
      </c>
      <c r="AO653" t="b">
        <f>OR(Table67[[#This Row],[Ineligible respondents]:[Inconsistent response on opposite question (3)]])</f>
        <v>1</v>
      </c>
      <c r="AP65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653">
        <f>Table67[[#This Row],[Extreme Response]]/21</f>
        <v>0.23809523809523808</v>
      </c>
      <c r="AR653">
        <f>_xlfn.PERCENTILE.INC(Table67[Extrem Response Ratio (ERS)],0.9)</f>
        <v>0.61904761904761907</v>
      </c>
      <c r="AS653" t="b">
        <f>Table67[[#This Row],[Extrem Response Ratio (ERS)]]&gt;=Table67[[#This Row],[Threshold of ERS]]</f>
        <v>0</v>
      </c>
      <c r="AT653">
        <f>COUNTIF(Table67[[#This Row],[The mechanism of digital assets is difficult to understand, which discourages me from exploring it (E.g, Tokenization, Blockchain)]:[If I want to try different ways to invest, I will explore digital assets.]], 3)</f>
        <v>2</v>
      </c>
      <c r="AU653">
        <f>Table67[[#This Row],[Midpoint]]/21</f>
        <v>9.5238095238095233E-2</v>
      </c>
      <c r="AV653">
        <f>_xlfn.PERCENTILE.INC(Table67[Midpoint ratio],0.9)</f>
        <v>0.5714285714285714</v>
      </c>
      <c r="AW653" t="b">
        <f>Table67[[#This Row],[Midpoint ratio]]&gt;=Table67[[#This Row],[Threshold of Midpoint ratio]]</f>
        <v>0</v>
      </c>
      <c r="AX653" t="b">
        <f>OR(Table67[[#This Row],[Extreme Response Style]],Table67[[#This Row],[Mid-point Response Style]])</f>
        <v>0</v>
      </c>
      <c r="AY653" t="b">
        <f>OR(Table67[[#This Row],[Delete? (Stage 1)]],Table67[[#This Row],[Delete? (Stage 2)]])</f>
        <v>1</v>
      </c>
      <c r="AZ653" t="s">
        <v>84</v>
      </c>
    </row>
    <row r="654" spans="1:52">
      <c r="A654">
        <f t="shared" si="43"/>
        <v>653</v>
      </c>
      <c r="B654" s="3">
        <v>46049.734525462998</v>
      </c>
      <c r="C654" s="3">
        <v>46049.739837963003</v>
      </c>
      <c r="D654" t="s">
        <v>53</v>
      </c>
      <c r="G654" t="s">
        <v>54</v>
      </c>
      <c r="H654" t="s">
        <v>55</v>
      </c>
      <c r="I654" t="s">
        <v>56</v>
      </c>
      <c r="J654" t="s">
        <v>62</v>
      </c>
      <c r="K654" t="s">
        <v>62</v>
      </c>
      <c r="L654" t="s">
        <v>61</v>
      </c>
      <c r="M654" t="s">
        <v>61</v>
      </c>
      <c r="N654">
        <v>3</v>
      </c>
      <c r="O654">
        <v>2</v>
      </c>
      <c r="P654">
        <v>5</v>
      </c>
      <c r="Q654">
        <v>5</v>
      </c>
      <c r="R654">
        <v>5</v>
      </c>
      <c r="S654">
        <v>5</v>
      </c>
      <c r="T654">
        <v>3</v>
      </c>
      <c r="U654">
        <v>4</v>
      </c>
      <c r="V654">
        <v>5</v>
      </c>
      <c r="W654">
        <v>5</v>
      </c>
      <c r="X654">
        <v>5</v>
      </c>
      <c r="Y654">
        <v>5</v>
      </c>
      <c r="Z654">
        <v>5</v>
      </c>
      <c r="AA654">
        <v>3</v>
      </c>
      <c r="AB654">
        <v>1</v>
      </c>
      <c r="AC654">
        <v>2</v>
      </c>
      <c r="AD654">
        <v>5</v>
      </c>
      <c r="AE654">
        <v>5</v>
      </c>
      <c r="AF654">
        <v>4</v>
      </c>
      <c r="AG654">
        <v>1</v>
      </c>
      <c r="AH654">
        <v>5</v>
      </c>
      <c r="AI654">
        <v>1</v>
      </c>
      <c r="AJ654">
        <v>2</v>
      </c>
      <c r="AK654" t="b">
        <f>Table67[[#This Row],[What is your age?]]&lt;&gt;"18 - 25"</f>
        <v>0</v>
      </c>
      <c r="AL654" t="b">
        <f t="shared" si="40"/>
        <v>0</v>
      </c>
      <c r="AM654" t="b">
        <f t="shared" si="41"/>
        <v>0</v>
      </c>
      <c r="AN654" t="b">
        <f t="shared" si="42"/>
        <v>0</v>
      </c>
      <c r="AO654" t="b">
        <f>OR(Table67[[#This Row],[Ineligible respondents]:[Inconsistent response on opposite question (3)]])</f>
        <v>0</v>
      </c>
      <c r="AP65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654">
        <f>Table67[[#This Row],[Extreme Response]]/21</f>
        <v>0.66666666666666663</v>
      </c>
      <c r="AR654">
        <f>_xlfn.PERCENTILE.INC(Table67[Extrem Response Ratio (ERS)],0.9)</f>
        <v>0.61904761904761907</v>
      </c>
      <c r="AS654" t="b">
        <f>Table67[[#This Row],[Extrem Response Ratio (ERS)]]&gt;=Table67[[#This Row],[Threshold of ERS]]</f>
        <v>1</v>
      </c>
      <c r="AT654">
        <f>COUNTIF(Table67[[#This Row],[The mechanism of digital assets is difficult to understand, which discourages me from exploring it (E.g, Tokenization, Blockchain)]:[If I want to try different ways to invest, I will explore digital assets.]], 3)</f>
        <v>3</v>
      </c>
      <c r="AU654">
        <f>Table67[[#This Row],[Midpoint]]/21</f>
        <v>0.14285714285714285</v>
      </c>
      <c r="AV654">
        <f>_xlfn.PERCENTILE.INC(Table67[Midpoint ratio],0.9)</f>
        <v>0.5714285714285714</v>
      </c>
      <c r="AW654" t="b">
        <f>Table67[[#This Row],[Midpoint ratio]]&gt;=Table67[[#This Row],[Threshold of Midpoint ratio]]</f>
        <v>0</v>
      </c>
      <c r="AX654" t="b">
        <f>OR(Table67[[#This Row],[Extreme Response Style]],Table67[[#This Row],[Mid-point Response Style]])</f>
        <v>1</v>
      </c>
      <c r="AY654" t="b">
        <f>OR(Table67[[#This Row],[Delete? (Stage 1)]],Table67[[#This Row],[Delete? (Stage 2)]])</f>
        <v>1</v>
      </c>
      <c r="AZ654" t="s">
        <v>84</v>
      </c>
    </row>
    <row r="655" spans="1:52">
      <c r="A655">
        <f t="shared" si="43"/>
        <v>654</v>
      </c>
      <c r="B655" s="3">
        <v>46049.734537037002</v>
      </c>
      <c r="C655" s="3">
        <v>46049.7398032407</v>
      </c>
      <c r="D655" t="s">
        <v>53</v>
      </c>
      <c r="G655" t="s">
        <v>54</v>
      </c>
      <c r="H655" t="s">
        <v>55</v>
      </c>
      <c r="I655" t="s">
        <v>56</v>
      </c>
      <c r="J655" t="s">
        <v>62</v>
      </c>
      <c r="K655" t="s">
        <v>57</v>
      </c>
      <c r="L655" t="s">
        <v>58</v>
      </c>
      <c r="M655" t="s">
        <v>58</v>
      </c>
      <c r="N655">
        <v>2</v>
      </c>
      <c r="O655">
        <v>3</v>
      </c>
      <c r="P655">
        <v>2</v>
      </c>
      <c r="Q655">
        <v>4</v>
      </c>
      <c r="R655">
        <v>2</v>
      </c>
      <c r="S655">
        <v>1</v>
      </c>
      <c r="T655">
        <v>5</v>
      </c>
      <c r="U655">
        <v>2</v>
      </c>
      <c r="V655">
        <v>3</v>
      </c>
      <c r="W655">
        <v>2</v>
      </c>
      <c r="X655">
        <v>2</v>
      </c>
      <c r="Y655">
        <v>4</v>
      </c>
      <c r="Z655">
        <v>3</v>
      </c>
      <c r="AA655">
        <v>4</v>
      </c>
      <c r="AB655">
        <v>4</v>
      </c>
      <c r="AC655">
        <v>2</v>
      </c>
      <c r="AD655">
        <v>4</v>
      </c>
      <c r="AE655">
        <v>5</v>
      </c>
      <c r="AF655">
        <v>4</v>
      </c>
      <c r="AG655">
        <v>4</v>
      </c>
      <c r="AH655">
        <v>5</v>
      </c>
      <c r="AI655">
        <v>1</v>
      </c>
      <c r="AJ655">
        <v>2</v>
      </c>
      <c r="AK655" t="b">
        <f>Table67[[#This Row],[What is your age?]]&lt;&gt;"18 - 25"</f>
        <v>0</v>
      </c>
      <c r="AL655" t="b">
        <f t="shared" si="40"/>
        <v>0</v>
      </c>
      <c r="AM655" t="b">
        <f t="shared" si="41"/>
        <v>1</v>
      </c>
      <c r="AN655" t="b">
        <f t="shared" si="42"/>
        <v>0</v>
      </c>
      <c r="AO655" t="b">
        <f>OR(Table67[[#This Row],[Ineligible respondents]:[Inconsistent response on opposite question (3)]])</f>
        <v>1</v>
      </c>
      <c r="AP65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655">
        <f>Table67[[#This Row],[Extreme Response]]/21</f>
        <v>0.19047619047619047</v>
      </c>
      <c r="AR655">
        <f>_xlfn.PERCENTILE.INC(Table67[Extrem Response Ratio (ERS)],0.9)</f>
        <v>0.61904761904761907</v>
      </c>
      <c r="AS655" t="b">
        <f>Table67[[#This Row],[Extrem Response Ratio (ERS)]]&gt;=Table67[[#This Row],[Threshold of ERS]]</f>
        <v>0</v>
      </c>
      <c r="AT655">
        <f>COUNTIF(Table67[[#This Row],[The mechanism of digital assets is difficult to understand, which discourages me from exploring it (E.g, Tokenization, Blockchain)]:[If I want to try different ways to invest, I will explore digital assets.]], 3)</f>
        <v>3</v>
      </c>
      <c r="AU655">
        <f>Table67[[#This Row],[Midpoint]]/21</f>
        <v>0.14285714285714285</v>
      </c>
      <c r="AV655">
        <f>_xlfn.PERCENTILE.INC(Table67[Midpoint ratio],0.9)</f>
        <v>0.5714285714285714</v>
      </c>
      <c r="AW655" t="b">
        <f>Table67[[#This Row],[Midpoint ratio]]&gt;=Table67[[#This Row],[Threshold of Midpoint ratio]]</f>
        <v>0</v>
      </c>
      <c r="AX655" t="b">
        <f>OR(Table67[[#This Row],[Extreme Response Style]],Table67[[#This Row],[Mid-point Response Style]])</f>
        <v>0</v>
      </c>
      <c r="AY655" t="b">
        <f>OR(Table67[[#This Row],[Delete? (Stage 1)]],Table67[[#This Row],[Delete? (Stage 2)]])</f>
        <v>1</v>
      </c>
      <c r="AZ655" t="s">
        <v>84</v>
      </c>
    </row>
    <row r="656" spans="1:52">
      <c r="A656">
        <f t="shared" si="43"/>
        <v>655</v>
      </c>
      <c r="B656" s="3">
        <v>46049.734548611101</v>
      </c>
      <c r="C656" s="3">
        <v>46049.739224536999</v>
      </c>
      <c r="D656" t="s">
        <v>53</v>
      </c>
      <c r="G656" t="s">
        <v>54</v>
      </c>
      <c r="H656" t="s">
        <v>55</v>
      </c>
      <c r="I656" t="s">
        <v>56</v>
      </c>
      <c r="J656" t="s">
        <v>66</v>
      </c>
      <c r="K656" t="s">
        <v>60</v>
      </c>
      <c r="L656" t="s">
        <v>61</v>
      </c>
      <c r="M656" t="s">
        <v>61</v>
      </c>
      <c r="N656">
        <v>4</v>
      </c>
      <c r="O656">
        <v>4</v>
      </c>
      <c r="P656">
        <v>4</v>
      </c>
      <c r="Q656">
        <v>4</v>
      </c>
      <c r="R656">
        <v>4</v>
      </c>
      <c r="S656">
        <v>4</v>
      </c>
      <c r="T656">
        <v>5</v>
      </c>
      <c r="U656">
        <v>4</v>
      </c>
      <c r="V656">
        <v>4</v>
      </c>
      <c r="W656">
        <v>5</v>
      </c>
      <c r="X656">
        <v>4</v>
      </c>
      <c r="Y656">
        <v>5</v>
      </c>
      <c r="Z656">
        <v>4</v>
      </c>
      <c r="AA656">
        <v>4</v>
      </c>
      <c r="AB656">
        <v>5</v>
      </c>
      <c r="AC656">
        <v>5</v>
      </c>
      <c r="AD656">
        <v>4</v>
      </c>
      <c r="AE656">
        <v>4</v>
      </c>
      <c r="AF656">
        <v>5</v>
      </c>
      <c r="AG656">
        <v>4</v>
      </c>
      <c r="AH656">
        <v>4</v>
      </c>
      <c r="AI656">
        <v>2</v>
      </c>
      <c r="AJ656">
        <v>1</v>
      </c>
      <c r="AK656" t="b">
        <f>Table67[[#This Row],[What is your age?]]&lt;&gt;"18 - 25"</f>
        <v>0</v>
      </c>
      <c r="AL656" t="b">
        <f t="shared" si="40"/>
        <v>0</v>
      </c>
      <c r="AM656" t="b">
        <f t="shared" si="41"/>
        <v>1</v>
      </c>
      <c r="AN656" t="b">
        <f t="shared" si="42"/>
        <v>0</v>
      </c>
      <c r="AO656" t="b">
        <f>OR(Table67[[#This Row],[Ineligible respondents]:[Inconsistent response on opposite question (3)]])</f>
        <v>1</v>
      </c>
      <c r="AP65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656">
        <f>Table67[[#This Row],[Extreme Response]]/21</f>
        <v>0.2857142857142857</v>
      </c>
      <c r="AR656">
        <f>_xlfn.PERCENTILE.INC(Table67[Extrem Response Ratio (ERS)],0.9)</f>
        <v>0.61904761904761907</v>
      </c>
      <c r="AS656" t="b">
        <f>Table67[[#This Row],[Extrem Response Ratio (ERS)]]&gt;=Table67[[#This Row],[Threshold of ERS]]</f>
        <v>0</v>
      </c>
      <c r="AT656">
        <f>COUNTIF(Table67[[#This Row],[The mechanism of digital assets is difficult to understand, which discourages me from exploring it (E.g, Tokenization, Blockchain)]:[If I want to try different ways to invest, I will explore digital assets.]], 3)</f>
        <v>0</v>
      </c>
      <c r="AU656">
        <f>Table67[[#This Row],[Midpoint]]/21</f>
        <v>0</v>
      </c>
      <c r="AV656">
        <f>_xlfn.PERCENTILE.INC(Table67[Midpoint ratio],0.9)</f>
        <v>0.5714285714285714</v>
      </c>
      <c r="AW656" t="b">
        <f>Table67[[#This Row],[Midpoint ratio]]&gt;=Table67[[#This Row],[Threshold of Midpoint ratio]]</f>
        <v>0</v>
      </c>
      <c r="AX656" t="b">
        <f>OR(Table67[[#This Row],[Extreme Response Style]],Table67[[#This Row],[Mid-point Response Style]])</f>
        <v>0</v>
      </c>
      <c r="AY656" t="b">
        <f>OR(Table67[[#This Row],[Delete? (Stage 1)]],Table67[[#This Row],[Delete? (Stage 2)]])</f>
        <v>1</v>
      </c>
      <c r="AZ656" t="s">
        <v>84</v>
      </c>
    </row>
    <row r="657" spans="1:52">
      <c r="A657">
        <f t="shared" si="43"/>
        <v>656</v>
      </c>
      <c r="B657" s="3">
        <v>46049.734560185199</v>
      </c>
      <c r="C657" s="3">
        <v>46049.743831018503</v>
      </c>
      <c r="D657" t="s">
        <v>53</v>
      </c>
      <c r="G657" t="s">
        <v>54</v>
      </c>
      <c r="H657" t="s">
        <v>63</v>
      </c>
      <c r="I657" t="s">
        <v>56</v>
      </c>
      <c r="J657" t="s">
        <v>57</v>
      </c>
      <c r="K657" t="s">
        <v>57</v>
      </c>
      <c r="L657" t="s">
        <v>61</v>
      </c>
      <c r="M657" t="s">
        <v>61</v>
      </c>
      <c r="N657">
        <v>3</v>
      </c>
      <c r="O657">
        <v>3</v>
      </c>
      <c r="P657">
        <v>4</v>
      </c>
      <c r="Q657">
        <v>4</v>
      </c>
      <c r="R657">
        <v>4</v>
      </c>
      <c r="S657">
        <v>3</v>
      </c>
      <c r="T657">
        <v>3</v>
      </c>
      <c r="U657">
        <v>5</v>
      </c>
      <c r="V657">
        <v>5</v>
      </c>
      <c r="W657">
        <v>5</v>
      </c>
      <c r="X657">
        <v>3</v>
      </c>
      <c r="Y657">
        <v>3</v>
      </c>
      <c r="Z657">
        <v>4</v>
      </c>
      <c r="AA657">
        <v>3</v>
      </c>
      <c r="AB657">
        <v>3</v>
      </c>
      <c r="AC657">
        <v>3</v>
      </c>
      <c r="AD657">
        <v>5</v>
      </c>
      <c r="AE657">
        <v>3</v>
      </c>
      <c r="AF657">
        <v>3</v>
      </c>
      <c r="AG657">
        <v>4</v>
      </c>
      <c r="AH657">
        <v>3</v>
      </c>
      <c r="AI657">
        <v>3</v>
      </c>
      <c r="AJ657">
        <v>3</v>
      </c>
      <c r="AK657" t="b">
        <f>Table67[[#This Row],[What is your age?]]&lt;&gt;"18 - 25"</f>
        <v>0</v>
      </c>
      <c r="AL657" t="b">
        <f t="shared" si="40"/>
        <v>0</v>
      </c>
      <c r="AM657" t="b">
        <f t="shared" si="41"/>
        <v>0</v>
      </c>
      <c r="AN657" t="b">
        <f t="shared" si="42"/>
        <v>1</v>
      </c>
      <c r="AO657" t="b">
        <f>OR(Table67[[#This Row],[Ineligible respondents]:[Inconsistent response on opposite question (3)]])</f>
        <v>1</v>
      </c>
      <c r="AP65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657">
        <f>Table67[[#This Row],[Extreme Response]]/21</f>
        <v>0.19047619047619047</v>
      </c>
      <c r="AR657">
        <f>_xlfn.PERCENTILE.INC(Table67[Extrem Response Ratio (ERS)],0.9)</f>
        <v>0.61904761904761907</v>
      </c>
      <c r="AS657" t="b">
        <f>Table67[[#This Row],[Extrem Response Ratio (ERS)]]&gt;=Table67[[#This Row],[Threshold of ERS]]</f>
        <v>0</v>
      </c>
      <c r="AT657">
        <f>COUNTIF(Table67[[#This Row],[The mechanism of digital assets is difficult to understand, which discourages me from exploring it (E.g, Tokenization, Blockchain)]:[If I want to try different ways to invest, I will explore digital assets.]], 3)</f>
        <v>12</v>
      </c>
      <c r="AU657">
        <f>Table67[[#This Row],[Midpoint]]/21</f>
        <v>0.5714285714285714</v>
      </c>
      <c r="AV657">
        <f>_xlfn.PERCENTILE.INC(Table67[Midpoint ratio],0.9)</f>
        <v>0.5714285714285714</v>
      </c>
      <c r="AW657" t="b">
        <f>Table67[[#This Row],[Midpoint ratio]]&gt;=Table67[[#This Row],[Threshold of Midpoint ratio]]</f>
        <v>1</v>
      </c>
      <c r="AX657" t="b">
        <f>OR(Table67[[#This Row],[Extreme Response Style]],Table67[[#This Row],[Mid-point Response Style]])</f>
        <v>1</v>
      </c>
      <c r="AY657" t="b">
        <f>OR(Table67[[#This Row],[Delete? (Stage 1)]],Table67[[#This Row],[Delete? (Stage 2)]])</f>
        <v>1</v>
      </c>
      <c r="AZ657" t="s">
        <v>84</v>
      </c>
    </row>
    <row r="658" spans="1:52">
      <c r="A658">
        <f t="shared" si="43"/>
        <v>657</v>
      </c>
      <c r="B658" s="3">
        <v>46049.734618055598</v>
      </c>
      <c r="C658" s="3">
        <v>46049.736701388902</v>
      </c>
      <c r="D658" t="s">
        <v>53</v>
      </c>
      <c r="G658" t="s">
        <v>54</v>
      </c>
      <c r="H658" t="s">
        <v>63</v>
      </c>
      <c r="I658" t="s">
        <v>56</v>
      </c>
      <c r="J658" t="s">
        <v>62</v>
      </c>
      <c r="K658" t="s">
        <v>57</v>
      </c>
      <c r="L658" t="s">
        <v>61</v>
      </c>
      <c r="M658" t="s">
        <v>61</v>
      </c>
      <c r="N658">
        <v>4</v>
      </c>
      <c r="O658">
        <v>4</v>
      </c>
      <c r="P658">
        <v>3</v>
      </c>
      <c r="Q658">
        <v>3</v>
      </c>
      <c r="R658">
        <v>3</v>
      </c>
      <c r="S658">
        <v>2</v>
      </c>
      <c r="T658">
        <v>4</v>
      </c>
      <c r="U658">
        <v>2</v>
      </c>
      <c r="V658">
        <v>2</v>
      </c>
      <c r="W658">
        <v>2</v>
      </c>
      <c r="X658">
        <v>2</v>
      </c>
      <c r="Y658">
        <v>4</v>
      </c>
      <c r="Z658">
        <v>2</v>
      </c>
      <c r="AA658">
        <v>4</v>
      </c>
      <c r="AB658">
        <v>4</v>
      </c>
      <c r="AC658">
        <v>2</v>
      </c>
      <c r="AD658">
        <v>2</v>
      </c>
      <c r="AE658">
        <v>4</v>
      </c>
      <c r="AF658">
        <v>3</v>
      </c>
      <c r="AG658">
        <v>2</v>
      </c>
      <c r="AH658">
        <v>2</v>
      </c>
      <c r="AI658">
        <v>4</v>
      </c>
      <c r="AJ658">
        <v>3</v>
      </c>
      <c r="AK658" t="b">
        <f>Table67[[#This Row],[What is your age?]]&lt;&gt;"18 - 25"</f>
        <v>0</v>
      </c>
      <c r="AL658" t="b">
        <f t="shared" si="40"/>
        <v>0</v>
      </c>
      <c r="AM658" t="b">
        <f t="shared" si="41"/>
        <v>1</v>
      </c>
      <c r="AN658" t="b">
        <f t="shared" si="42"/>
        <v>0</v>
      </c>
      <c r="AO658" t="b">
        <f>OR(Table67[[#This Row],[Ineligible respondents]:[Inconsistent response on opposite question (3)]])</f>
        <v>1</v>
      </c>
      <c r="AP65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658">
        <f>Table67[[#This Row],[Extreme Response]]/21</f>
        <v>0</v>
      </c>
      <c r="AR658">
        <f>_xlfn.PERCENTILE.INC(Table67[Extrem Response Ratio (ERS)],0.9)</f>
        <v>0.61904761904761907</v>
      </c>
      <c r="AS658" t="b">
        <f>Table67[[#This Row],[Extrem Response Ratio (ERS)]]&gt;=Table67[[#This Row],[Threshold of ERS]]</f>
        <v>0</v>
      </c>
      <c r="AT658">
        <f>COUNTIF(Table67[[#This Row],[The mechanism of digital assets is difficult to understand, which discourages me from exploring it (E.g, Tokenization, Blockchain)]:[If I want to try different ways to invest, I will explore digital assets.]], 3)</f>
        <v>4</v>
      </c>
      <c r="AU658">
        <f>Table67[[#This Row],[Midpoint]]/21</f>
        <v>0.19047619047619047</v>
      </c>
      <c r="AV658">
        <f>_xlfn.PERCENTILE.INC(Table67[Midpoint ratio],0.9)</f>
        <v>0.5714285714285714</v>
      </c>
      <c r="AW658" t="b">
        <f>Table67[[#This Row],[Midpoint ratio]]&gt;=Table67[[#This Row],[Threshold of Midpoint ratio]]</f>
        <v>0</v>
      </c>
      <c r="AX658" t="b">
        <f>OR(Table67[[#This Row],[Extreme Response Style]],Table67[[#This Row],[Mid-point Response Style]])</f>
        <v>0</v>
      </c>
      <c r="AY658" t="b">
        <f>OR(Table67[[#This Row],[Delete? (Stage 1)]],Table67[[#This Row],[Delete? (Stage 2)]])</f>
        <v>1</v>
      </c>
      <c r="AZ658" t="s">
        <v>84</v>
      </c>
    </row>
    <row r="659" spans="1:52">
      <c r="A659">
        <f t="shared" si="43"/>
        <v>658</v>
      </c>
      <c r="B659" s="3">
        <v>46049.734664351803</v>
      </c>
      <c r="C659" s="3">
        <v>46049.736296296302</v>
      </c>
      <c r="D659" t="s">
        <v>53</v>
      </c>
      <c r="G659" t="s">
        <v>54</v>
      </c>
      <c r="H659" t="s">
        <v>63</v>
      </c>
      <c r="I659" t="s">
        <v>71</v>
      </c>
      <c r="J659" t="s">
        <v>62</v>
      </c>
      <c r="K659" t="s">
        <v>62</v>
      </c>
      <c r="L659" t="s">
        <v>58</v>
      </c>
      <c r="M659" t="s">
        <v>58</v>
      </c>
      <c r="N659">
        <v>3</v>
      </c>
      <c r="O659">
        <v>3</v>
      </c>
      <c r="P659">
        <v>3</v>
      </c>
      <c r="Q659">
        <v>3</v>
      </c>
      <c r="R659">
        <v>3</v>
      </c>
      <c r="S659">
        <v>3</v>
      </c>
      <c r="T659">
        <v>3</v>
      </c>
      <c r="U659">
        <v>3</v>
      </c>
      <c r="V659">
        <v>2</v>
      </c>
      <c r="W659">
        <v>3</v>
      </c>
      <c r="X659">
        <v>3</v>
      </c>
      <c r="Y659">
        <v>4</v>
      </c>
      <c r="Z659">
        <v>3</v>
      </c>
      <c r="AA659">
        <v>3</v>
      </c>
      <c r="AB659">
        <v>2</v>
      </c>
      <c r="AC659">
        <v>4</v>
      </c>
      <c r="AD659">
        <v>3</v>
      </c>
      <c r="AE659">
        <v>4</v>
      </c>
      <c r="AF659">
        <v>3</v>
      </c>
      <c r="AG659">
        <v>3</v>
      </c>
      <c r="AH659">
        <v>4</v>
      </c>
      <c r="AI659">
        <v>2</v>
      </c>
      <c r="AJ659">
        <v>3</v>
      </c>
      <c r="AK659" t="b">
        <f>Table67[[#This Row],[What is your age?]]&lt;&gt;"18 - 25"</f>
        <v>0</v>
      </c>
      <c r="AL659" t="b">
        <f t="shared" si="40"/>
        <v>0</v>
      </c>
      <c r="AM659" t="b">
        <f t="shared" si="41"/>
        <v>0</v>
      </c>
      <c r="AN659" t="b">
        <f t="shared" si="42"/>
        <v>1</v>
      </c>
      <c r="AO659" t="b">
        <f>OR(Table67[[#This Row],[Ineligible respondents]:[Inconsistent response on opposite question (3)]])</f>
        <v>1</v>
      </c>
      <c r="AP65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659">
        <f>Table67[[#This Row],[Extreme Response]]/21</f>
        <v>0</v>
      </c>
      <c r="AR659">
        <f>_xlfn.PERCENTILE.INC(Table67[Extrem Response Ratio (ERS)],0.9)</f>
        <v>0.61904761904761907</v>
      </c>
      <c r="AS659" t="b">
        <f>Table67[[#This Row],[Extrem Response Ratio (ERS)]]&gt;=Table67[[#This Row],[Threshold of ERS]]</f>
        <v>0</v>
      </c>
      <c r="AT659">
        <f>COUNTIF(Table67[[#This Row],[The mechanism of digital assets is difficult to understand, which discourages me from exploring it (E.g, Tokenization, Blockchain)]:[If I want to try different ways to invest, I will explore digital assets.]], 3)</f>
        <v>15</v>
      </c>
      <c r="AU659">
        <f>Table67[[#This Row],[Midpoint]]/21</f>
        <v>0.7142857142857143</v>
      </c>
      <c r="AV659">
        <f>_xlfn.PERCENTILE.INC(Table67[Midpoint ratio],0.9)</f>
        <v>0.5714285714285714</v>
      </c>
      <c r="AW659" t="b">
        <f>Table67[[#This Row],[Midpoint ratio]]&gt;=Table67[[#This Row],[Threshold of Midpoint ratio]]</f>
        <v>1</v>
      </c>
      <c r="AX659" t="b">
        <f>OR(Table67[[#This Row],[Extreme Response Style]],Table67[[#This Row],[Mid-point Response Style]])</f>
        <v>1</v>
      </c>
      <c r="AY659" t="b">
        <f>OR(Table67[[#This Row],[Delete? (Stage 1)]],Table67[[#This Row],[Delete? (Stage 2)]])</f>
        <v>1</v>
      </c>
      <c r="AZ659" t="s">
        <v>84</v>
      </c>
    </row>
    <row r="660" spans="1:52">
      <c r="A660">
        <f t="shared" si="43"/>
        <v>659</v>
      </c>
      <c r="B660" s="3">
        <v>46049.7346875</v>
      </c>
      <c r="C660" s="3">
        <v>46049.737048611103</v>
      </c>
      <c r="D660" t="s">
        <v>53</v>
      </c>
      <c r="G660" t="s">
        <v>54</v>
      </c>
      <c r="H660" t="s">
        <v>63</v>
      </c>
      <c r="I660" t="s">
        <v>56</v>
      </c>
      <c r="J660" t="s">
        <v>62</v>
      </c>
      <c r="K660" t="s">
        <v>62</v>
      </c>
      <c r="L660" t="s">
        <v>61</v>
      </c>
      <c r="M660" t="s">
        <v>58</v>
      </c>
      <c r="N660">
        <v>4</v>
      </c>
      <c r="O660">
        <v>2</v>
      </c>
      <c r="P660">
        <v>4</v>
      </c>
      <c r="Q660">
        <v>3</v>
      </c>
      <c r="R660">
        <v>2</v>
      </c>
      <c r="S660">
        <v>5</v>
      </c>
      <c r="T660">
        <v>2</v>
      </c>
      <c r="U660">
        <v>2</v>
      </c>
      <c r="V660">
        <v>4</v>
      </c>
      <c r="W660">
        <v>4</v>
      </c>
      <c r="X660">
        <v>3</v>
      </c>
      <c r="Y660">
        <v>4</v>
      </c>
      <c r="Z660">
        <v>3</v>
      </c>
      <c r="AA660">
        <v>3</v>
      </c>
      <c r="AB660">
        <v>2</v>
      </c>
      <c r="AC660">
        <v>2</v>
      </c>
      <c r="AD660">
        <v>2</v>
      </c>
      <c r="AE660">
        <v>2</v>
      </c>
      <c r="AF660">
        <v>5</v>
      </c>
      <c r="AG660">
        <v>2</v>
      </c>
      <c r="AH660">
        <v>4</v>
      </c>
      <c r="AI660">
        <v>2</v>
      </c>
      <c r="AJ660">
        <v>1</v>
      </c>
      <c r="AK660" t="b">
        <f>Table67[[#This Row],[What is your age?]]&lt;&gt;"18 - 25"</f>
        <v>0</v>
      </c>
      <c r="AL660" t="b">
        <f t="shared" si="40"/>
        <v>0</v>
      </c>
      <c r="AM660" t="b">
        <f t="shared" si="41"/>
        <v>0</v>
      </c>
      <c r="AN660" t="b">
        <f t="shared" si="42"/>
        <v>0</v>
      </c>
      <c r="AO660" t="b">
        <f>OR(Table67[[#This Row],[Ineligible respondents]:[Inconsistent response on opposite question (3)]])</f>
        <v>0</v>
      </c>
      <c r="AP66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660">
        <f>Table67[[#This Row],[Extreme Response]]/21</f>
        <v>9.5238095238095233E-2</v>
      </c>
      <c r="AR660">
        <f>_xlfn.PERCENTILE.INC(Table67[Extrem Response Ratio (ERS)],0.9)</f>
        <v>0.61904761904761907</v>
      </c>
      <c r="AS660" t="b">
        <f>Table67[[#This Row],[Extrem Response Ratio (ERS)]]&gt;=Table67[[#This Row],[Threshold of ERS]]</f>
        <v>0</v>
      </c>
      <c r="AT660">
        <f>COUNTIF(Table67[[#This Row],[The mechanism of digital assets is difficult to understand, which discourages me from exploring it (E.g, Tokenization, Blockchain)]:[If I want to try different ways to invest, I will explore digital assets.]], 3)</f>
        <v>4</v>
      </c>
      <c r="AU660">
        <f>Table67[[#This Row],[Midpoint]]/21</f>
        <v>0.19047619047619047</v>
      </c>
      <c r="AV660">
        <f>_xlfn.PERCENTILE.INC(Table67[Midpoint ratio],0.9)</f>
        <v>0.5714285714285714</v>
      </c>
      <c r="AW660" t="b">
        <f>Table67[[#This Row],[Midpoint ratio]]&gt;=Table67[[#This Row],[Threshold of Midpoint ratio]]</f>
        <v>0</v>
      </c>
      <c r="AX660" t="b">
        <f>OR(Table67[[#This Row],[Extreme Response Style]],Table67[[#This Row],[Mid-point Response Style]])</f>
        <v>0</v>
      </c>
      <c r="AY660" t="b">
        <f>OR(Table67[[#This Row],[Delete? (Stage 1)]],Table67[[#This Row],[Delete? (Stage 2)]])</f>
        <v>0</v>
      </c>
      <c r="AZ660" t="s">
        <v>84</v>
      </c>
    </row>
    <row r="661" spans="1:52">
      <c r="A661">
        <f t="shared" si="43"/>
        <v>660</v>
      </c>
      <c r="B661" s="3">
        <v>46049.7346875</v>
      </c>
      <c r="C661" s="3">
        <v>46049.741493055597</v>
      </c>
      <c r="D661" t="s">
        <v>53</v>
      </c>
      <c r="G661" t="s">
        <v>54</v>
      </c>
      <c r="H661" t="s">
        <v>63</v>
      </c>
      <c r="I661" t="s">
        <v>56</v>
      </c>
      <c r="J661" t="s">
        <v>67</v>
      </c>
      <c r="K661" t="s">
        <v>64</v>
      </c>
      <c r="L661" t="s">
        <v>58</v>
      </c>
      <c r="M661" t="s">
        <v>61</v>
      </c>
      <c r="N661">
        <v>3</v>
      </c>
      <c r="O661">
        <v>2</v>
      </c>
      <c r="P661">
        <v>4</v>
      </c>
      <c r="Q661">
        <v>3</v>
      </c>
      <c r="R661">
        <v>4</v>
      </c>
      <c r="S661">
        <v>3</v>
      </c>
      <c r="T661">
        <v>2</v>
      </c>
      <c r="U661">
        <v>2</v>
      </c>
      <c r="V661">
        <v>4</v>
      </c>
      <c r="W661">
        <v>5</v>
      </c>
      <c r="X661">
        <v>4</v>
      </c>
      <c r="Y661">
        <v>5</v>
      </c>
      <c r="Z661">
        <v>4</v>
      </c>
      <c r="AA661">
        <v>3</v>
      </c>
      <c r="AB661">
        <v>3</v>
      </c>
      <c r="AC661">
        <v>2</v>
      </c>
      <c r="AD661">
        <v>4</v>
      </c>
      <c r="AE661">
        <v>5</v>
      </c>
      <c r="AF661">
        <v>4</v>
      </c>
      <c r="AG661">
        <v>2</v>
      </c>
      <c r="AH661">
        <v>3</v>
      </c>
      <c r="AI661">
        <v>3</v>
      </c>
      <c r="AJ661">
        <v>2</v>
      </c>
      <c r="AK661" t="b">
        <f>Table67[[#This Row],[What is your age?]]&lt;&gt;"18 - 25"</f>
        <v>0</v>
      </c>
      <c r="AL661" t="b">
        <f t="shared" si="40"/>
        <v>0</v>
      </c>
      <c r="AM661" t="b">
        <f t="shared" si="41"/>
        <v>0</v>
      </c>
      <c r="AN661" t="b">
        <f t="shared" si="42"/>
        <v>1</v>
      </c>
      <c r="AO661" t="b">
        <f>OR(Table67[[#This Row],[Ineligible respondents]:[Inconsistent response on opposite question (3)]])</f>
        <v>1</v>
      </c>
      <c r="AP66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661">
        <f>Table67[[#This Row],[Extreme Response]]/21</f>
        <v>0.14285714285714285</v>
      </c>
      <c r="AR661">
        <f>_xlfn.PERCENTILE.INC(Table67[Extrem Response Ratio (ERS)],0.9)</f>
        <v>0.61904761904761907</v>
      </c>
      <c r="AS661" t="b">
        <f>Table67[[#This Row],[Extrem Response Ratio (ERS)]]&gt;=Table67[[#This Row],[Threshold of ERS]]</f>
        <v>0</v>
      </c>
      <c r="AT661">
        <f>COUNTIF(Table67[[#This Row],[The mechanism of digital assets is difficult to understand, which discourages me from exploring it (E.g, Tokenization, Blockchain)]:[If I want to try different ways to invest, I will explore digital assets.]], 3)</f>
        <v>6</v>
      </c>
      <c r="AU661">
        <f>Table67[[#This Row],[Midpoint]]/21</f>
        <v>0.2857142857142857</v>
      </c>
      <c r="AV661">
        <f>_xlfn.PERCENTILE.INC(Table67[Midpoint ratio],0.9)</f>
        <v>0.5714285714285714</v>
      </c>
      <c r="AW661" t="b">
        <f>Table67[[#This Row],[Midpoint ratio]]&gt;=Table67[[#This Row],[Threshold of Midpoint ratio]]</f>
        <v>0</v>
      </c>
      <c r="AX661" t="b">
        <f>OR(Table67[[#This Row],[Extreme Response Style]],Table67[[#This Row],[Mid-point Response Style]])</f>
        <v>0</v>
      </c>
      <c r="AY661" t="b">
        <f>OR(Table67[[#This Row],[Delete? (Stage 1)]],Table67[[#This Row],[Delete? (Stage 2)]])</f>
        <v>1</v>
      </c>
      <c r="AZ661" t="s">
        <v>84</v>
      </c>
    </row>
    <row r="662" spans="1:52">
      <c r="A662">
        <f t="shared" si="43"/>
        <v>661</v>
      </c>
      <c r="B662" s="3">
        <v>46049.734965277799</v>
      </c>
      <c r="C662" s="3">
        <v>46049.744560185201</v>
      </c>
      <c r="D662" t="s">
        <v>53</v>
      </c>
      <c r="G662" t="s">
        <v>54</v>
      </c>
      <c r="H662" t="s">
        <v>55</v>
      </c>
      <c r="I662" t="s">
        <v>56</v>
      </c>
      <c r="J662" t="s">
        <v>64</v>
      </c>
      <c r="K662" t="s">
        <v>65</v>
      </c>
      <c r="L662" t="s">
        <v>61</v>
      </c>
      <c r="M662" t="s">
        <v>61</v>
      </c>
      <c r="N662">
        <v>5</v>
      </c>
      <c r="O662">
        <v>1</v>
      </c>
      <c r="P662">
        <v>1</v>
      </c>
      <c r="Q662">
        <v>1</v>
      </c>
      <c r="R662">
        <v>4</v>
      </c>
      <c r="S662">
        <v>1</v>
      </c>
      <c r="T662">
        <v>1</v>
      </c>
      <c r="U662">
        <v>3</v>
      </c>
      <c r="V662">
        <v>2</v>
      </c>
      <c r="W662">
        <v>3</v>
      </c>
      <c r="X662">
        <v>5</v>
      </c>
      <c r="Y662">
        <v>5</v>
      </c>
      <c r="Z662">
        <v>4</v>
      </c>
      <c r="AA662">
        <v>3</v>
      </c>
      <c r="AB662">
        <v>4</v>
      </c>
      <c r="AC662">
        <v>4</v>
      </c>
      <c r="AD662">
        <v>5</v>
      </c>
      <c r="AE662">
        <v>4</v>
      </c>
      <c r="AF662">
        <v>5</v>
      </c>
      <c r="AG662">
        <v>4</v>
      </c>
      <c r="AH662">
        <v>3</v>
      </c>
      <c r="AI662">
        <v>3</v>
      </c>
      <c r="AJ662">
        <v>1</v>
      </c>
      <c r="AK662" t="b">
        <f>Table67[[#This Row],[What is your age?]]&lt;&gt;"18 - 25"</f>
        <v>0</v>
      </c>
      <c r="AL662" t="b">
        <f t="shared" si="40"/>
        <v>0</v>
      </c>
      <c r="AM662" t="b">
        <f t="shared" si="41"/>
        <v>0</v>
      </c>
      <c r="AN662" t="b">
        <f t="shared" si="42"/>
        <v>1</v>
      </c>
      <c r="AO662" t="b">
        <f>OR(Table67[[#This Row],[Ineligible respondents]:[Inconsistent response on opposite question (3)]])</f>
        <v>1</v>
      </c>
      <c r="AP66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10</v>
      </c>
      <c r="AQ662">
        <f>Table67[[#This Row],[Extreme Response]]/21</f>
        <v>0.47619047619047616</v>
      </c>
      <c r="AR662">
        <f>_xlfn.PERCENTILE.INC(Table67[Extrem Response Ratio (ERS)],0.9)</f>
        <v>0.61904761904761907</v>
      </c>
      <c r="AS662" t="b">
        <f>Table67[[#This Row],[Extrem Response Ratio (ERS)]]&gt;=Table67[[#This Row],[Threshold of ERS]]</f>
        <v>0</v>
      </c>
      <c r="AT662">
        <f>COUNTIF(Table67[[#This Row],[The mechanism of digital assets is difficult to understand, which discourages me from exploring it (E.g, Tokenization, Blockchain)]:[If I want to try different ways to invest, I will explore digital assets.]], 3)</f>
        <v>4</v>
      </c>
      <c r="AU662">
        <f>Table67[[#This Row],[Midpoint]]/21</f>
        <v>0.19047619047619047</v>
      </c>
      <c r="AV662">
        <f>_xlfn.PERCENTILE.INC(Table67[Midpoint ratio],0.9)</f>
        <v>0.5714285714285714</v>
      </c>
      <c r="AW662" t="b">
        <f>Table67[[#This Row],[Midpoint ratio]]&gt;=Table67[[#This Row],[Threshold of Midpoint ratio]]</f>
        <v>0</v>
      </c>
      <c r="AX662" t="b">
        <f>OR(Table67[[#This Row],[Extreme Response Style]],Table67[[#This Row],[Mid-point Response Style]])</f>
        <v>0</v>
      </c>
      <c r="AY662" t="b">
        <f>OR(Table67[[#This Row],[Delete? (Stage 1)]],Table67[[#This Row],[Delete? (Stage 2)]])</f>
        <v>1</v>
      </c>
      <c r="AZ662" t="s">
        <v>84</v>
      </c>
    </row>
    <row r="663" spans="1:52">
      <c r="A663">
        <f t="shared" si="43"/>
        <v>662</v>
      </c>
      <c r="B663" s="3">
        <v>46049.735023148103</v>
      </c>
      <c r="C663" s="3">
        <v>46049.737951388903</v>
      </c>
      <c r="D663" t="s">
        <v>53</v>
      </c>
      <c r="G663" t="s">
        <v>54</v>
      </c>
      <c r="H663" t="s">
        <v>63</v>
      </c>
      <c r="I663" t="s">
        <v>75</v>
      </c>
      <c r="J663" t="s">
        <v>57</v>
      </c>
      <c r="K663" t="s">
        <v>57</v>
      </c>
      <c r="L663" t="s">
        <v>58</v>
      </c>
      <c r="M663" t="s">
        <v>58</v>
      </c>
      <c r="N663">
        <v>5</v>
      </c>
      <c r="O663">
        <v>2</v>
      </c>
      <c r="P663">
        <v>5</v>
      </c>
      <c r="Q663">
        <v>3</v>
      </c>
      <c r="R663">
        <v>1</v>
      </c>
      <c r="S663">
        <v>4</v>
      </c>
      <c r="T663">
        <v>5</v>
      </c>
      <c r="U663">
        <v>5</v>
      </c>
      <c r="V663">
        <v>5</v>
      </c>
      <c r="W663">
        <v>4</v>
      </c>
      <c r="X663">
        <v>5</v>
      </c>
      <c r="Y663">
        <v>5</v>
      </c>
      <c r="Z663">
        <v>4</v>
      </c>
      <c r="AA663">
        <v>5</v>
      </c>
      <c r="AB663">
        <v>4</v>
      </c>
      <c r="AC663">
        <v>5</v>
      </c>
      <c r="AD663">
        <v>5</v>
      </c>
      <c r="AE663">
        <v>3</v>
      </c>
      <c r="AF663">
        <v>1</v>
      </c>
      <c r="AG663">
        <v>5</v>
      </c>
      <c r="AH663">
        <v>1</v>
      </c>
      <c r="AI663">
        <v>5</v>
      </c>
      <c r="AJ663">
        <v>5</v>
      </c>
      <c r="AK663" t="b">
        <f>Table67[[#This Row],[What is your age?]]&lt;&gt;"18 - 25"</f>
        <v>0</v>
      </c>
      <c r="AL663" t="b">
        <f t="shared" si="40"/>
        <v>0</v>
      </c>
      <c r="AM663" t="b">
        <f t="shared" si="41"/>
        <v>0</v>
      </c>
      <c r="AN663" t="b">
        <f t="shared" si="42"/>
        <v>0</v>
      </c>
      <c r="AO663" t="b">
        <f>OR(Table67[[#This Row],[Ineligible respondents]:[Inconsistent response on opposite question (3)]])</f>
        <v>0</v>
      </c>
      <c r="AP66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663">
        <f>Table67[[#This Row],[Extreme Response]]/21</f>
        <v>0.66666666666666663</v>
      </c>
      <c r="AR663">
        <f>_xlfn.PERCENTILE.INC(Table67[Extrem Response Ratio (ERS)],0.9)</f>
        <v>0.61904761904761907</v>
      </c>
      <c r="AS663" t="b">
        <f>Table67[[#This Row],[Extrem Response Ratio (ERS)]]&gt;=Table67[[#This Row],[Threshold of ERS]]</f>
        <v>1</v>
      </c>
      <c r="AT663">
        <f>COUNTIF(Table67[[#This Row],[The mechanism of digital assets is difficult to understand, which discourages me from exploring it (E.g, Tokenization, Blockchain)]:[If I want to try different ways to invest, I will explore digital assets.]], 3)</f>
        <v>2</v>
      </c>
      <c r="AU663">
        <f>Table67[[#This Row],[Midpoint]]/21</f>
        <v>9.5238095238095233E-2</v>
      </c>
      <c r="AV663">
        <f>_xlfn.PERCENTILE.INC(Table67[Midpoint ratio],0.9)</f>
        <v>0.5714285714285714</v>
      </c>
      <c r="AW663" t="b">
        <f>Table67[[#This Row],[Midpoint ratio]]&gt;=Table67[[#This Row],[Threshold of Midpoint ratio]]</f>
        <v>0</v>
      </c>
      <c r="AX663" t="b">
        <f>OR(Table67[[#This Row],[Extreme Response Style]],Table67[[#This Row],[Mid-point Response Style]])</f>
        <v>1</v>
      </c>
      <c r="AY663" t="b">
        <f>OR(Table67[[#This Row],[Delete? (Stage 1)]],Table67[[#This Row],[Delete? (Stage 2)]])</f>
        <v>1</v>
      </c>
      <c r="AZ663" t="s">
        <v>84</v>
      </c>
    </row>
    <row r="664" spans="1:52">
      <c r="A664">
        <f t="shared" si="43"/>
        <v>663</v>
      </c>
      <c r="B664" s="3">
        <v>46049.7350462963</v>
      </c>
      <c r="C664" s="3">
        <v>46049.739479166703</v>
      </c>
      <c r="D664" t="s">
        <v>53</v>
      </c>
      <c r="G664" t="s">
        <v>54</v>
      </c>
      <c r="H664" t="s">
        <v>63</v>
      </c>
      <c r="I664" t="s">
        <v>75</v>
      </c>
      <c r="J664" t="s">
        <v>60</v>
      </c>
      <c r="K664" t="s">
        <v>62</v>
      </c>
      <c r="L664" t="s">
        <v>58</v>
      </c>
      <c r="M664" t="s">
        <v>58</v>
      </c>
      <c r="N664">
        <v>3</v>
      </c>
      <c r="O664">
        <v>1</v>
      </c>
      <c r="P664">
        <v>5</v>
      </c>
      <c r="Q664">
        <v>2</v>
      </c>
      <c r="R664">
        <v>4</v>
      </c>
      <c r="S664">
        <v>3</v>
      </c>
      <c r="T664">
        <v>3</v>
      </c>
      <c r="U664">
        <v>4</v>
      </c>
      <c r="V664">
        <v>4</v>
      </c>
      <c r="W664">
        <v>4</v>
      </c>
      <c r="X664">
        <v>2</v>
      </c>
      <c r="Y664">
        <v>2</v>
      </c>
      <c r="Z664">
        <v>4</v>
      </c>
      <c r="AA664">
        <v>4</v>
      </c>
      <c r="AB664">
        <v>4</v>
      </c>
      <c r="AC664">
        <v>4</v>
      </c>
      <c r="AD664">
        <v>4</v>
      </c>
      <c r="AE664">
        <v>5</v>
      </c>
      <c r="AF664">
        <v>3</v>
      </c>
      <c r="AG664">
        <v>3</v>
      </c>
      <c r="AH664">
        <v>4</v>
      </c>
      <c r="AI664">
        <v>2</v>
      </c>
      <c r="AJ664">
        <v>3</v>
      </c>
      <c r="AK664" t="b">
        <f>Table67[[#This Row],[What is your age?]]&lt;&gt;"18 - 25"</f>
        <v>0</v>
      </c>
      <c r="AL664" t="b">
        <f t="shared" si="40"/>
        <v>0</v>
      </c>
      <c r="AM664" t="b">
        <f t="shared" si="41"/>
        <v>0</v>
      </c>
      <c r="AN664" t="b">
        <f t="shared" si="42"/>
        <v>1</v>
      </c>
      <c r="AO664" t="b">
        <f>OR(Table67[[#This Row],[Ineligible respondents]:[Inconsistent response on opposite question (3)]])</f>
        <v>1</v>
      </c>
      <c r="AP66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664">
        <f>Table67[[#This Row],[Extreme Response]]/21</f>
        <v>0.14285714285714285</v>
      </c>
      <c r="AR664">
        <f>_xlfn.PERCENTILE.INC(Table67[Extrem Response Ratio (ERS)],0.9)</f>
        <v>0.61904761904761907</v>
      </c>
      <c r="AS664" t="b">
        <f>Table67[[#This Row],[Extrem Response Ratio (ERS)]]&gt;=Table67[[#This Row],[Threshold of ERS]]</f>
        <v>0</v>
      </c>
      <c r="AT664">
        <f>COUNTIF(Table67[[#This Row],[The mechanism of digital assets is difficult to understand, which discourages me from exploring it (E.g, Tokenization, Blockchain)]:[If I want to try different ways to invest, I will explore digital assets.]], 3)</f>
        <v>5</v>
      </c>
      <c r="AU664">
        <f>Table67[[#This Row],[Midpoint]]/21</f>
        <v>0.23809523809523808</v>
      </c>
      <c r="AV664">
        <f>_xlfn.PERCENTILE.INC(Table67[Midpoint ratio],0.9)</f>
        <v>0.5714285714285714</v>
      </c>
      <c r="AW664" t="b">
        <f>Table67[[#This Row],[Midpoint ratio]]&gt;=Table67[[#This Row],[Threshold of Midpoint ratio]]</f>
        <v>0</v>
      </c>
      <c r="AX664" t="b">
        <f>OR(Table67[[#This Row],[Extreme Response Style]],Table67[[#This Row],[Mid-point Response Style]])</f>
        <v>0</v>
      </c>
      <c r="AY664" t="b">
        <f>OR(Table67[[#This Row],[Delete? (Stage 1)]],Table67[[#This Row],[Delete? (Stage 2)]])</f>
        <v>1</v>
      </c>
      <c r="AZ664" t="s">
        <v>84</v>
      </c>
    </row>
    <row r="665" spans="1:52">
      <c r="A665">
        <f t="shared" si="43"/>
        <v>664</v>
      </c>
      <c r="B665" s="3">
        <v>46049.735115740703</v>
      </c>
      <c r="C665" s="3">
        <v>46049.7415162037</v>
      </c>
      <c r="D665" t="s">
        <v>53</v>
      </c>
      <c r="G665" t="s">
        <v>54</v>
      </c>
      <c r="H665" t="s">
        <v>55</v>
      </c>
      <c r="I665" t="s">
        <v>75</v>
      </c>
      <c r="J665" t="s">
        <v>64</v>
      </c>
      <c r="K665" t="s">
        <v>62</v>
      </c>
      <c r="L665" t="s">
        <v>58</v>
      </c>
      <c r="M665" t="s">
        <v>61</v>
      </c>
      <c r="N665">
        <v>4</v>
      </c>
      <c r="O665">
        <v>1</v>
      </c>
      <c r="P665">
        <v>4</v>
      </c>
      <c r="Q665">
        <v>3</v>
      </c>
      <c r="R665">
        <v>3</v>
      </c>
      <c r="S665">
        <v>3</v>
      </c>
      <c r="T665">
        <v>3</v>
      </c>
      <c r="U665">
        <v>2</v>
      </c>
      <c r="V665">
        <v>3</v>
      </c>
      <c r="W665">
        <v>3</v>
      </c>
      <c r="X665">
        <v>3</v>
      </c>
      <c r="Y665">
        <v>3</v>
      </c>
      <c r="Z665">
        <v>4</v>
      </c>
      <c r="AA665">
        <v>4</v>
      </c>
      <c r="AB665">
        <v>3</v>
      </c>
      <c r="AC665">
        <v>3</v>
      </c>
      <c r="AD665">
        <v>3</v>
      </c>
      <c r="AE665">
        <v>3</v>
      </c>
      <c r="AF665">
        <v>4</v>
      </c>
      <c r="AG665">
        <v>2</v>
      </c>
      <c r="AH665">
        <v>4</v>
      </c>
      <c r="AI665">
        <v>2</v>
      </c>
      <c r="AJ665">
        <v>2</v>
      </c>
      <c r="AK665" t="b">
        <f>Table67[[#This Row],[What is your age?]]&lt;&gt;"18 - 25"</f>
        <v>0</v>
      </c>
      <c r="AL665" t="b">
        <f t="shared" si="40"/>
        <v>0</v>
      </c>
      <c r="AM665" t="b">
        <f t="shared" si="41"/>
        <v>0</v>
      </c>
      <c r="AN665" t="b">
        <f t="shared" si="42"/>
        <v>0</v>
      </c>
      <c r="AO665" t="b">
        <f>OR(Table67[[#This Row],[Ineligible respondents]:[Inconsistent response on opposite question (3)]])</f>
        <v>0</v>
      </c>
      <c r="AP66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665">
        <f>Table67[[#This Row],[Extreme Response]]/21</f>
        <v>4.7619047619047616E-2</v>
      </c>
      <c r="AR665">
        <f>_xlfn.PERCENTILE.INC(Table67[Extrem Response Ratio (ERS)],0.9)</f>
        <v>0.61904761904761907</v>
      </c>
      <c r="AS665" t="b">
        <f>Table67[[#This Row],[Extrem Response Ratio (ERS)]]&gt;=Table67[[#This Row],[Threshold of ERS]]</f>
        <v>0</v>
      </c>
      <c r="AT665">
        <f>COUNTIF(Table67[[#This Row],[The mechanism of digital assets is difficult to understand, which discourages me from exploring it (E.g, Tokenization, Blockchain)]:[If I want to try different ways to invest, I will explore digital assets.]], 3)</f>
        <v>12</v>
      </c>
      <c r="AU665">
        <f>Table67[[#This Row],[Midpoint]]/21</f>
        <v>0.5714285714285714</v>
      </c>
      <c r="AV665">
        <f>_xlfn.PERCENTILE.INC(Table67[Midpoint ratio],0.9)</f>
        <v>0.5714285714285714</v>
      </c>
      <c r="AW665" t="b">
        <f>Table67[[#This Row],[Midpoint ratio]]&gt;=Table67[[#This Row],[Threshold of Midpoint ratio]]</f>
        <v>1</v>
      </c>
      <c r="AX665" t="b">
        <f>OR(Table67[[#This Row],[Extreme Response Style]],Table67[[#This Row],[Mid-point Response Style]])</f>
        <v>1</v>
      </c>
      <c r="AY665" t="b">
        <f>OR(Table67[[#This Row],[Delete? (Stage 1)]],Table67[[#This Row],[Delete? (Stage 2)]])</f>
        <v>1</v>
      </c>
      <c r="AZ665" t="s">
        <v>84</v>
      </c>
    </row>
    <row r="666" spans="1:52">
      <c r="A666">
        <f t="shared" si="43"/>
        <v>665</v>
      </c>
      <c r="B666" s="3">
        <v>46049.735162037003</v>
      </c>
      <c r="C666" s="3">
        <v>46049.742013888899</v>
      </c>
      <c r="D666" t="s">
        <v>53</v>
      </c>
      <c r="G666" t="s">
        <v>54</v>
      </c>
      <c r="H666" t="s">
        <v>63</v>
      </c>
      <c r="I666" t="s">
        <v>56</v>
      </c>
      <c r="J666" t="s">
        <v>62</v>
      </c>
      <c r="K666" t="s">
        <v>62</v>
      </c>
      <c r="L666" t="s">
        <v>58</v>
      </c>
      <c r="M666" t="s">
        <v>61</v>
      </c>
      <c r="N666">
        <v>3</v>
      </c>
      <c r="O666">
        <v>1</v>
      </c>
      <c r="P666">
        <v>3</v>
      </c>
      <c r="Q666">
        <v>4</v>
      </c>
      <c r="R666">
        <v>5</v>
      </c>
      <c r="S666">
        <v>3</v>
      </c>
      <c r="T666">
        <v>1</v>
      </c>
      <c r="U666">
        <v>1</v>
      </c>
      <c r="V666">
        <v>2</v>
      </c>
      <c r="W666">
        <v>2</v>
      </c>
      <c r="X666">
        <v>5</v>
      </c>
      <c r="Y666">
        <v>5</v>
      </c>
      <c r="Z666">
        <v>5</v>
      </c>
      <c r="AA666">
        <v>5</v>
      </c>
      <c r="AB666">
        <v>4</v>
      </c>
      <c r="AC666">
        <v>3</v>
      </c>
      <c r="AD666">
        <v>3</v>
      </c>
      <c r="AE666">
        <v>5</v>
      </c>
      <c r="AF666">
        <v>4</v>
      </c>
      <c r="AG666">
        <v>2</v>
      </c>
      <c r="AH666">
        <v>3</v>
      </c>
      <c r="AI666">
        <v>3</v>
      </c>
      <c r="AJ666">
        <v>2</v>
      </c>
      <c r="AK666" t="b">
        <f>Table67[[#This Row],[What is your age?]]&lt;&gt;"18 - 25"</f>
        <v>0</v>
      </c>
      <c r="AL666" t="b">
        <f t="shared" si="40"/>
        <v>0</v>
      </c>
      <c r="AM666" t="b">
        <f t="shared" si="41"/>
        <v>0</v>
      </c>
      <c r="AN666" t="b">
        <f t="shared" si="42"/>
        <v>1</v>
      </c>
      <c r="AO666" t="b">
        <f>OR(Table67[[#This Row],[Ineligible respondents]:[Inconsistent response on opposite question (3)]])</f>
        <v>1</v>
      </c>
      <c r="AP66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666">
        <f>Table67[[#This Row],[Extreme Response]]/21</f>
        <v>0.42857142857142855</v>
      </c>
      <c r="AR666">
        <f>_xlfn.PERCENTILE.INC(Table67[Extrem Response Ratio (ERS)],0.9)</f>
        <v>0.61904761904761907</v>
      </c>
      <c r="AS666" t="b">
        <f>Table67[[#This Row],[Extrem Response Ratio (ERS)]]&gt;=Table67[[#This Row],[Threshold of ERS]]</f>
        <v>0</v>
      </c>
      <c r="AT666">
        <f>COUNTIF(Table67[[#This Row],[The mechanism of digital assets is difficult to understand, which discourages me from exploring it (E.g, Tokenization, Blockchain)]:[If I want to try different ways to invest, I will explore digital assets.]], 3)</f>
        <v>6</v>
      </c>
      <c r="AU666">
        <f>Table67[[#This Row],[Midpoint]]/21</f>
        <v>0.2857142857142857</v>
      </c>
      <c r="AV666">
        <f>_xlfn.PERCENTILE.INC(Table67[Midpoint ratio],0.9)</f>
        <v>0.5714285714285714</v>
      </c>
      <c r="AW666" t="b">
        <f>Table67[[#This Row],[Midpoint ratio]]&gt;=Table67[[#This Row],[Threshold of Midpoint ratio]]</f>
        <v>0</v>
      </c>
      <c r="AX666" t="b">
        <f>OR(Table67[[#This Row],[Extreme Response Style]],Table67[[#This Row],[Mid-point Response Style]])</f>
        <v>0</v>
      </c>
      <c r="AY666" t="b">
        <f>OR(Table67[[#This Row],[Delete? (Stage 1)]],Table67[[#This Row],[Delete? (Stage 2)]])</f>
        <v>1</v>
      </c>
      <c r="AZ666" t="s">
        <v>84</v>
      </c>
    </row>
    <row r="667" spans="1:52">
      <c r="A667">
        <f t="shared" si="43"/>
        <v>666</v>
      </c>
      <c r="B667" s="3">
        <v>46049.735324074099</v>
      </c>
      <c r="C667" s="3">
        <v>46049.744849536997</v>
      </c>
      <c r="D667" t="s">
        <v>53</v>
      </c>
      <c r="G667" t="s">
        <v>54</v>
      </c>
      <c r="H667" t="s">
        <v>63</v>
      </c>
      <c r="I667" t="s">
        <v>56</v>
      </c>
      <c r="J667" t="s">
        <v>62</v>
      </c>
      <c r="K667" t="s">
        <v>62</v>
      </c>
      <c r="L667" t="s">
        <v>61</v>
      </c>
      <c r="M667" t="s">
        <v>61</v>
      </c>
      <c r="N667">
        <v>2</v>
      </c>
      <c r="O667">
        <v>1</v>
      </c>
      <c r="P667">
        <v>3</v>
      </c>
      <c r="Q667">
        <v>1</v>
      </c>
      <c r="R667">
        <v>4</v>
      </c>
      <c r="S667">
        <v>5</v>
      </c>
      <c r="T667">
        <v>2</v>
      </c>
      <c r="U667">
        <v>1</v>
      </c>
      <c r="V667">
        <v>5</v>
      </c>
      <c r="W667">
        <v>5</v>
      </c>
      <c r="X667">
        <v>3</v>
      </c>
      <c r="Y667">
        <v>5</v>
      </c>
      <c r="Z667">
        <v>5</v>
      </c>
      <c r="AA667">
        <v>5</v>
      </c>
      <c r="AB667">
        <v>2</v>
      </c>
      <c r="AC667">
        <v>2</v>
      </c>
      <c r="AD667">
        <v>5</v>
      </c>
      <c r="AE667">
        <v>3</v>
      </c>
      <c r="AF667">
        <v>3</v>
      </c>
      <c r="AG667">
        <v>3</v>
      </c>
      <c r="AH667">
        <v>4</v>
      </c>
      <c r="AI667">
        <v>2</v>
      </c>
      <c r="AJ667">
        <v>3</v>
      </c>
      <c r="AK667" t="b">
        <f>Table67[[#This Row],[What is your age?]]&lt;&gt;"18 - 25"</f>
        <v>0</v>
      </c>
      <c r="AL667" t="b">
        <f t="shared" si="40"/>
        <v>0</v>
      </c>
      <c r="AM667" t="b">
        <f t="shared" si="41"/>
        <v>0</v>
      </c>
      <c r="AN667" t="b">
        <f t="shared" si="42"/>
        <v>1</v>
      </c>
      <c r="AO667" t="b">
        <f>OR(Table67[[#This Row],[Ineligible respondents]:[Inconsistent response on opposite question (3)]])</f>
        <v>1</v>
      </c>
      <c r="AP66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10</v>
      </c>
      <c r="AQ667">
        <f>Table67[[#This Row],[Extreme Response]]/21</f>
        <v>0.47619047619047616</v>
      </c>
      <c r="AR667">
        <f>_xlfn.PERCENTILE.INC(Table67[Extrem Response Ratio (ERS)],0.9)</f>
        <v>0.61904761904761907</v>
      </c>
      <c r="AS667" t="b">
        <f>Table67[[#This Row],[Extrem Response Ratio (ERS)]]&gt;=Table67[[#This Row],[Threshold of ERS]]</f>
        <v>0</v>
      </c>
      <c r="AT667">
        <f>COUNTIF(Table67[[#This Row],[The mechanism of digital assets is difficult to understand, which discourages me from exploring it (E.g, Tokenization, Blockchain)]:[If I want to try different ways to invest, I will explore digital assets.]], 3)</f>
        <v>5</v>
      </c>
      <c r="AU667">
        <f>Table67[[#This Row],[Midpoint]]/21</f>
        <v>0.23809523809523808</v>
      </c>
      <c r="AV667">
        <f>_xlfn.PERCENTILE.INC(Table67[Midpoint ratio],0.9)</f>
        <v>0.5714285714285714</v>
      </c>
      <c r="AW667" t="b">
        <f>Table67[[#This Row],[Midpoint ratio]]&gt;=Table67[[#This Row],[Threshold of Midpoint ratio]]</f>
        <v>0</v>
      </c>
      <c r="AX667" t="b">
        <f>OR(Table67[[#This Row],[Extreme Response Style]],Table67[[#This Row],[Mid-point Response Style]])</f>
        <v>0</v>
      </c>
      <c r="AY667" t="b">
        <f>OR(Table67[[#This Row],[Delete? (Stage 1)]],Table67[[#This Row],[Delete? (Stage 2)]])</f>
        <v>1</v>
      </c>
      <c r="AZ667" t="s">
        <v>84</v>
      </c>
    </row>
    <row r="668" spans="1:52">
      <c r="A668">
        <f t="shared" si="43"/>
        <v>667</v>
      </c>
      <c r="B668" s="3">
        <v>46049.735509259299</v>
      </c>
      <c r="C668" s="3">
        <v>46049.748657407399</v>
      </c>
      <c r="D668" t="s">
        <v>53</v>
      </c>
      <c r="G668" t="s">
        <v>54</v>
      </c>
      <c r="H668" t="s">
        <v>63</v>
      </c>
      <c r="I668" t="s">
        <v>56</v>
      </c>
      <c r="J668" t="s">
        <v>68</v>
      </c>
      <c r="K668" t="s">
        <v>66</v>
      </c>
      <c r="L668" t="s">
        <v>61</v>
      </c>
      <c r="M668" t="s">
        <v>61</v>
      </c>
      <c r="N668">
        <v>4</v>
      </c>
      <c r="O668">
        <v>2</v>
      </c>
      <c r="P668">
        <v>4</v>
      </c>
      <c r="Q668">
        <v>3</v>
      </c>
      <c r="R668">
        <v>3</v>
      </c>
      <c r="S668">
        <v>3</v>
      </c>
      <c r="T668">
        <v>3</v>
      </c>
      <c r="U668">
        <v>3</v>
      </c>
      <c r="V668">
        <v>3</v>
      </c>
      <c r="W668">
        <v>3</v>
      </c>
      <c r="X668">
        <v>3</v>
      </c>
      <c r="Y668">
        <v>3</v>
      </c>
      <c r="Z668">
        <v>3</v>
      </c>
      <c r="AA668">
        <v>3</v>
      </c>
      <c r="AB668">
        <v>3</v>
      </c>
      <c r="AC668">
        <v>3</v>
      </c>
      <c r="AD668">
        <v>3</v>
      </c>
      <c r="AE668">
        <v>3</v>
      </c>
      <c r="AF668">
        <v>3</v>
      </c>
      <c r="AG668">
        <v>3</v>
      </c>
      <c r="AH668">
        <v>3</v>
      </c>
      <c r="AI668">
        <v>3</v>
      </c>
      <c r="AJ668">
        <v>3</v>
      </c>
      <c r="AK668" t="b">
        <f>Table67[[#This Row],[What is your age?]]&lt;&gt;"18 - 25"</f>
        <v>0</v>
      </c>
      <c r="AL668" t="b">
        <f t="shared" si="40"/>
        <v>0</v>
      </c>
      <c r="AM668" t="b">
        <f t="shared" si="41"/>
        <v>0</v>
      </c>
      <c r="AN668" t="b">
        <f t="shared" si="42"/>
        <v>0</v>
      </c>
      <c r="AO668" t="b">
        <f>OR(Table67[[#This Row],[Ineligible respondents]:[Inconsistent response on opposite question (3)]])</f>
        <v>0</v>
      </c>
      <c r="AP66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668">
        <f>Table67[[#This Row],[Extreme Response]]/21</f>
        <v>0</v>
      </c>
      <c r="AR668">
        <f>_xlfn.PERCENTILE.INC(Table67[Extrem Response Ratio (ERS)],0.9)</f>
        <v>0.61904761904761907</v>
      </c>
      <c r="AS668" t="b">
        <f>Table67[[#This Row],[Extrem Response Ratio (ERS)]]&gt;=Table67[[#This Row],[Threshold of ERS]]</f>
        <v>0</v>
      </c>
      <c r="AT668">
        <f>COUNTIF(Table67[[#This Row],[The mechanism of digital assets is difficult to understand, which discourages me from exploring it (E.g, Tokenization, Blockchain)]:[If I want to try different ways to invest, I will explore digital assets.]], 3)</f>
        <v>18</v>
      </c>
      <c r="AU668">
        <f>Table67[[#This Row],[Midpoint]]/21</f>
        <v>0.8571428571428571</v>
      </c>
      <c r="AV668">
        <f>_xlfn.PERCENTILE.INC(Table67[Midpoint ratio],0.9)</f>
        <v>0.5714285714285714</v>
      </c>
      <c r="AW668" t="b">
        <f>Table67[[#This Row],[Midpoint ratio]]&gt;=Table67[[#This Row],[Threshold of Midpoint ratio]]</f>
        <v>1</v>
      </c>
      <c r="AX668" t="b">
        <f>OR(Table67[[#This Row],[Extreme Response Style]],Table67[[#This Row],[Mid-point Response Style]])</f>
        <v>1</v>
      </c>
      <c r="AY668" t="b">
        <f>OR(Table67[[#This Row],[Delete? (Stage 1)]],Table67[[#This Row],[Delete? (Stage 2)]])</f>
        <v>1</v>
      </c>
      <c r="AZ668" t="s">
        <v>84</v>
      </c>
    </row>
    <row r="669" spans="1:52">
      <c r="A669">
        <f t="shared" si="43"/>
        <v>668</v>
      </c>
      <c r="B669" s="3">
        <v>46049.735787037003</v>
      </c>
      <c r="C669" s="3">
        <v>46049.743368055599</v>
      </c>
      <c r="D669" t="s">
        <v>53</v>
      </c>
      <c r="G669" t="s">
        <v>54</v>
      </c>
      <c r="H669" t="s">
        <v>55</v>
      </c>
      <c r="I669" t="s">
        <v>56</v>
      </c>
      <c r="J669" t="s">
        <v>57</v>
      </c>
      <c r="K669" t="s">
        <v>57</v>
      </c>
      <c r="L669" t="s">
        <v>58</v>
      </c>
      <c r="M669" t="s">
        <v>58</v>
      </c>
      <c r="N669">
        <v>4</v>
      </c>
      <c r="O669">
        <v>2</v>
      </c>
      <c r="P669">
        <v>4</v>
      </c>
      <c r="Q669">
        <v>4</v>
      </c>
      <c r="R669">
        <v>3</v>
      </c>
      <c r="S669">
        <v>4</v>
      </c>
      <c r="T669">
        <v>4</v>
      </c>
      <c r="U669">
        <v>5</v>
      </c>
      <c r="V669">
        <v>4</v>
      </c>
      <c r="W669">
        <v>2</v>
      </c>
      <c r="X669">
        <v>3</v>
      </c>
      <c r="Y669">
        <v>4</v>
      </c>
      <c r="Z669">
        <v>4</v>
      </c>
      <c r="AA669">
        <v>4</v>
      </c>
      <c r="AB669">
        <v>3</v>
      </c>
      <c r="AC669">
        <v>4</v>
      </c>
      <c r="AD669">
        <v>4</v>
      </c>
      <c r="AE669">
        <v>3</v>
      </c>
      <c r="AF669">
        <v>2</v>
      </c>
      <c r="AG669">
        <v>4</v>
      </c>
      <c r="AH669">
        <v>2</v>
      </c>
      <c r="AI669">
        <v>4</v>
      </c>
      <c r="AJ669">
        <v>4</v>
      </c>
      <c r="AK669" t="b">
        <f>Table67[[#This Row],[What is your age?]]&lt;&gt;"18 - 25"</f>
        <v>0</v>
      </c>
      <c r="AL669" t="b">
        <f t="shared" si="40"/>
        <v>0</v>
      </c>
      <c r="AM669" t="b">
        <f t="shared" si="41"/>
        <v>0</v>
      </c>
      <c r="AN669" t="b">
        <f t="shared" si="42"/>
        <v>0</v>
      </c>
      <c r="AO669" t="b">
        <f>OR(Table67[[#This Row],[Ineligible respondents]:[Inconsistent response on opposite question (3)]])</f>
        <v>0</v>
      </c>
      <c r="AP66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669">
        <f>Table67[[#This Row],[Extreme Response]]/21</f>
        <v>4.7619047619047616E-2</v>
      </c>
      <c r="AR669">
        <f>_xlfn.PERCENTILE.INC(Table67[Extrem Response Ratio (ERS)],0.9)</f>
        <v>0.61904761904761907</v>
      </c>
      <c r="AS669" t="b">
        <f>Table67[[#This Row],[Extrem Response Ratio (ERS)]]&gt;=Table67[[#This Row],[Threshold of ERS]]</f>
        <v>0</v>
      </c>
      <c r="AT669">
        <f>COUNTIF(Table67[[#This Row],[The mechanism of digital assets is difficult to understand, which discourages me from exploring it (E.g, Tokenization, Blockchain)]:[If I want to try different ways to invest, I will explore digital assets.]], 3)</f>
        <v>4</v>
      </c>
      <c r="AU669">
        <f>Table67[[#This Row],[Midpoint]]/21</f>
        <v>0.19047619047619047</v>
      </c>
      <c r="AV669">
        <f>_xlfn.PERCENTILE.INC(Table67[Midpoint ratio],0.9)</f>
        <v>0.5714285714285714</v>
      </c>
      <c r="AW669" t="b">
        <f>Table67[[#This Row],[Midpoint ratio]]&gt;=Table67[[#This Row],[Threshold of Midpoint ratio]]</f>
        <v>0</v>
      </c>
      <c r="AX669" t="b">
        <f>OR(Table67[[#This Row],[Extreme Response Style]],Table67[[#This Row],[Mid-point Response Style]])</f>
        <v>0</v>
      </c>
      <c r="AY669" t="b">
        <f>OR(Table67[[#This Row],[Delete? (Stage 1)]],Table67[[#This Row],[Delete? (Stage 2)]])</f>
        <v>0</v>
      </c>
      <c r="AZ669" t="s">
        <v>84</v>
      </c>
    </row>
    <row r="670" spans="1:52">
      <c r="A670">
        <f t="shared" si="43"/>
        <v>669</v>
      </c>
      <c r="B670" s="3">
        <v>46049.735891203702</v>
      </c>
      <c r="C670" s="3">
        <v>46049.740555555603</v>
      </c>
      <c r="D670" t="s">
        <v>53</v>
      </c>
      <c r="G670" t="s">
        <v>54</v>
      </c>
      <c r="H670" t="s">
        <v>63</v>
      </c>
      <c r="I670" t="s">
        <v>75</v>
      </c>
      <c r="J670" t="s">
        <v>62</v>
      </c>
      <c r="K670" t="s">
        <v>62</v>
      </c>
      <c r="L670" t="s">
        <v>58</v>
      </c>
      <c r="M670" t="s">
        <v>58</v>
      </c>
      <c r="N670">
        <v>5</v>
      </c>
      <c r="O670">
        <v>4</v>
      </c>
      <c r="P670">
        <v>2</v>
      </c>
      <c r="Q670">
        <v>4</v>
      </c>
      <c r="R670">
        <v>2</v>
      </c>
      <c r="S670">
        <v>4</v>
      </c>
      <c r="T670">
        <v>2</v>
      </c>
      <c r="U670">
        <v>2</v>
      </c>
      <c r="V670">
        <v>3</v>
      </c>
      <c r="W670">
        <v>3</v>
      </c>
      <c r="X670">
        <v>4</v>
      </c>
      <c r="Y670">
        <v>4</v>
      </c>
      <c r="Z670">
        <v>3</v>
      </c>
      <c r="AA670">
        <v>4</v>
      </c>
      <c r="AB670">
        <v>2</v>
      </c>
      <c r="AC670">
        <v>3</v>
      </c>
      <c r="AD670">
        <v>3</v>
      </c>
      <c r="AE670">
        <v>3</v>
      </c>
      <c r="AF670">
        <v>3</v>
      </c>
      <c r="AG670">
        <v>3</v>
      </c>
      <c r="AH670">
        <v>4</v>
      </c>
      <c r="AI670">
        <v>2</v>
      </c>
      <c r="AJ670">
        <v>3</v>
      </c>
      <c r="AK670" t="b">
        <f>Table67[[#This Row],[What is your age?]]&lt;&gt;"18 - 25"</f>
        <v>0</v>
      </c>
      <c r="AL670" t="b">
        <f t="shared" si="40"/>
        <v>0</v>
      </c>
      <c r="AM670" t="b">
        <f t="shared" si="41"/>
        <v>0</v>
      </c>
      <c r="AN670" t="b">
        <f t="shared" si="42"/>
        <v>1</v>
      </c>
      <c r="AO670" t="b">
        <f>OR(Table67[[#This Row],[Ineligible respondents]:[Inconsistent response on opposite question (3)]])</f>
        <v>1</v>
      </c>
      <c r="AP67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670">
        <f>Table67[[#This Row],[Extreme Response]]/21</f>
        <v>4.7619047619047616E-2</v>
      </c>
      <c r="AR670">
        <f>_xlfn.PERCENTILE.INC(Table67[Extrem Response Ratio (ERS)],0.9)</f>
        <v>0.61904761904761907</v>
      </c>
      <c r="AS670" t="b">
        <f>Table67[[#This Row],[Extrem Response Ratio (ERS)]]&gt;=Table67[[#This Row],[Threshold of ERS]]</f>
        <v>0</v>
      </c>
      <c r="AT670">
        <f>COUNTIF(Table67[[#This Row],[The mechanism of digital assets is difficult to understand, which discourages me from exploring it (E.g, Tokenization, Blockchain)]:[If I want to try different ways to invest, I will explore digital assets.]], 3)</f>
        <v>8</v>
      </c>
      <c r="AU670">
        <f>Table67[[#This Row],[Midpoint]]/21</f>
        <v>0.38095238095238093</v>
      </c>
      <c r="AV670">
        <f>_xlfn.PERCENTILE.INC(Table67[Midpoint ratio],0.9)</f>
        <v>0.5714285714285714</v>
      </c>
      <c r="AW670" t="b">
        <f>Table67[[#This Row],[Midpoint ratio]]&gt;=Table67[[#This Row],[Threshold of Midpoint ratio]]</f>
        <v>0</v>
      </c>
      <c r="AX670" t="b">
        <f>OR(Table67[[#This Row],[Extreme Response Style]],Table67[[#This Row],[Mid-point Response Style]])</f>
        <v>0</v>
      </c>
      <c r="AY670" t="b">
        <f>OR(Table67[[#This Row],[Delete? (Stage 1)]],Table67[[#This Row],[Delete? (Stage 2)]])</f>
        <v>1</v>
      </c>
      <c r="AZ670" t="s">
        <v>84</v>
      </c>
    </row>
    <row r="671" spans="1:52">
      <c r="A671">
        <f t="shared" si="43"/>
        <v>670</v>
      </c>
      <c r="B671" s="3">
        <v>46049.735960648097</v>
      </c>
      <c r="C671" s="3">
        <v>46049.745416666701</v>
      </c>
      <c r="D671" t="s">
        <v>53</v>
      </c>
      <c r="G671" t="s">
        <v>54</v>
      </c>
      <c r="H671" t="s">
        <v>55</v>
      </c>
      <c r="I671" t="s">
        <v>56</v>
      </c>
      <c r="J671" t="s">
        <v>62</v>
      </c>
      <c r="K671" t="s">
        <v>62</v>
      </c>
      <c r="L671" t="s">
        <v>58</v>
      </c>
      <c r="M671" t="s">
        <v>58</v>
      </c>
      <c r="N671">
        <v>3</v>
      </c>
      <c r="O671">
        <v>2</v>
      </c>
      <c r="P671">
        <v>3</v>
      </c>
      <c r="Q671">
        <v>4</v>
      </c>
      <c r="R671">
        <v>1</v>
      </c>
      <c r="S671">
        <v>1</v>
      </c>
      <c r="T671">
        <v>1</v>
      </c>
      <c r="U671">
        <v>2</v>
      </c>
      <c r="V671">
        <v>2</v>
      </c>
      <c r="W671">
        <v>4</v>
      </c>
      <c r="X671">
        <v>4</v>
      </c>
      <c r="Y671">
        <v>4</v>
      </c>
      <c r="Z671">
        <v>3</v>
      </c>
      <c r="AA671">
        <v>4</v>
      </c>
      <c r="AB671">
        <v>2</v>
      </c>
      <c r="AC671">
        <v>3</v>
      </c>
      <c r="AD671">
        <v>3</v>
      </c>
      <c r="AE671">
        <v>5</v>
      </c>
      <c r="AF671">
        <v>4</v>
      </c>
      <c r="AG671">
        <v>3</v>
      </c>
      <c r="AH671">
        <v>4</v>
      </c>
      <c r="AI671">
        <v>2</v>
      </c>
      <c r="AJ671">
        <v>2</v>
      </c>
      <c r="AK671" t="b">
        <f>Table67[[#This Row],[What is your age?]]&lt;&gt;"18 - 25"</f>
        <v>0</v>
      </c>
      <c r="AL671" t="b">
        <f t="shared" si="40"/>
        <v>0</v>
      </c>
      <c r="AM671" t="b">
        <f t="shared" si="41"/>
        <v>0</v>
      </c>
      <c r="AN671" t="b">
        <f t="shared" si="42"/>
        <v>1</v>
      </c>
      <c r="AO671" t="b">
        <f>OR(Table67[[#This Row],[Ineligible respondents]:[Inconsistent response on opposite question (3)]])</f>
        <v>1</v>
      </c>
      <c r="AP67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671">
        <f>Table67[[#This Row],[Extreme Response]]/21</f>
        <v>0.19047619047619047</v>
      </c>
      <c r="AR671">
        <f>_xlfn.PERCENTILE.INC(Table67[Extrem Response Ratio (ERS)],0.9)</f>
        <v>0.61904761904761907</v>
      </c>
      <c r="AS671" t="b">
        <f>Table67[[#This Row],[Extrem Response Ratio (ERS)]]&gt;=Table67[[#This Row],[Threshold of ERS]]</f>
        <v>0</v>
      </c>
      <c r="AT671">
        <f>COUNTIF(Table67[[#This Row],[The mechanism of digital assets is difficult to understand, which discourages me from exploring it (E.g, Tokenization, Blockchain)]:[If I want to try different ways to invest, I will explore digital assets.]], 3)</f>
        <v>6</v>
      </c>
      <c r="AU671">
        <f>Table67[[#This Row],[Midpoint]]/21</f>
        <v>0.2857142857142857</v>
      </c>
      <c r="AV671">
        <f>_xlfn.PERCENTILE.INC(Table67[Midpoint ratio],0.9)</f>
        <v>0.5714285714285714</v>
      </c>
      <c r="AW671" t="b">
        <f>Table67[[#This Row],[Midpoint ratio]]&gt;=Table67[[#This Row],[Threshold of Midpoint ratio]]</f>
        <v>0</v>
      </c>
      <c r="AX671" t="b">
        <f>OR(Table67[[#This Row],[Extreme Response Style]],Table67[[#This Row],[Mid-point Response Style]])</f>
        <v>0</v>
      </c>
      <c r="AY671" t="b">
        <f>OR(Table67[[#This Row],[Delete? (Stage 1)]],Table67[[#This Row],[Delete? (Stage 2)]])</f>
        <v>1</v>
      </c>
      <c r="AZ671" t="s">
        <v>84</v>
      </c>
    </row>
    <row r="672" spans="1:52">
      <c r="A672">
        <f t="shared" si="43"/>
        <v>671</v>
      </c>
      <c r="B672" s="3">
        <v>46049.736006944397</v>
      </c>
      <c r="C672" s="3">
        <v>46049.739409722199</v>
      </c>
      <c r="D672" t="s">
        <v>53</v>
      </c>
      <c r="G672" t="s">
        <v>54</v>
      </c>
      <c r="H672" t="s">
        <v>63</v>
      </c>
      <c r="I672" t="s">
        <v>56</v>
      </c>
      <c r="J672" t="s">
        <v>62</v>
      </c>
      <c r="K672" t="s">
        <v>62</v>
      </c>
      <c r="L672" t="s">
        <v>58</v>
      </c>
      <c r="M672" t="s">
        <v>58</v>
      </c>
      <c r="N672">
        <v>4</v>
      </c>
      <c r="O672">
        <v>3</v>
      </c>
      <c r="P672">
        <v>4</v>
      </c>
      <c r="Q672">
        <v>3</v>
      </c>
      <c r="R672">
        <v>3</v>
      </c>
      <c r="S672">
        <v>5</v>
      </c>
      <c r="T672">
        <v>5</v>
      </c>
      <c r="U672">
        <v>5</v>
      </c>
      <c r="V672">
        <v>4</v>
      </c>
      <c r="W672">
        <v>3</v>
      </c>
      <c r="X672">
        <v>5</v>
      </c>
      <c r="Y672">
        <v>5</v>
      </c>
      <c r="Z672">
        <v>4</v>
      </c>
      <c r="AA672">
        <v>4</v>
      </c>
      <c r="AB672">
        <v>3</v>
      </c>
      <c r="AC672">
        <v>5</v>
      </c>
      <c r="AD672">
        <v>5</v>
      </c>
      <c r="AE672">
        <v>4</v>
      </c>
      <c r="AF672">
        <v>2</v>
      </c>
      <c r="AG672">
        <v>4</v>
      </c>
      <c r="AH672">
        <v>3</v>
      </c>
      <c r="AI672">
        <v>3</v>
      </c>
      <c r="AJ672">
        <v>4</v>
      </c>
      <c r="AK672" t="b">
        <f>Table67[[#This Row],[What is your age?]]&lt;&gt;"18 - 25"</f>
        <v>0</v>
      </c>
      <c r="AL672" t="b">
        <f t="shared" si="40"/>
        <v>0</v>
      </c>
      <c r="AM672" t="b">
        <f t="shared" si="41"/>
        <v>0</v>
      </c>
      <c r="AN672" t="b">
        <f t="shared" si="42"/>
        <v>1</v>
      </c>
      <c r="AO672" t="b">
        <f>OR(Table67[[#This Row],[Ineligible respondents]:[Inconsistent response on opposite question (3)]])</f>
        <v>1</v>
      </c>
      <c r="AP67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672">
        <f>Table67[[#This Row],[Extreme Response]]/21</f>
        <v>0.33333333333333331</v>
      </c>
      <c r="AR672">
        <f>_xlfn.PERCENTILE.INC(Table67[Extrem Response Ratio (ERS)],0.9)</f>
        <v>0.61904761904761907</v>
      </c>
      <c r="AS672" t="b">
        <f>Table67[[#This Row],[Extrem Response Ratio (ERS)]]&gt;=Table67[[#This Row],[Threshold of ERS]]</f>
        <v>0</v>
      </c>
      <c r="AT672">
        <f>COUNTIF(Table67[[#This Row],[The mechanism of digital assets is difficult to understand, which discourages me from exploring it (E.g, Tokenization, Blockchain)]:[If I want to try different ways to invest, I will explore digital assets.]], 3)</f>
        <v>6</v>
      </c>
      <c r="AU672">
        <f>Table67[[#This Row],[Midpoint]]/21</f>
        <v>0.2857142857142857</v>
      </c>
      <c r="AV672">
        <f>_xlfn.PERCENTILE.INC(Table67[Midpoint ratio],0.9)</f>
        <v>0.5714285714285714</v>
      </c>
      <c r="AW672" t="b">
        <f>Table67[[#This Row],[Midpoint ratio]]&gt;=Table67[[#This Row],[Threshold of Midpoint ratio]]</f>
        <v>0</v>
      </c>
      <c r="AX672" t="b">
        <f>OR(Table67[[#This Row],[Extreme Response Style]],Table67[[#This Row],[Mid-point Response Style]])</f>
        <v>0</v>
      </c>
      <c r="AY672" t="b">
        <f>OR(Table67[[#This Row],[Delete? (Stage 1)]],Table67[[#This Row],[Delete? (Stage 2)]])</f>
        <v>1</v>
      </c>
      <c r="AZ672" t="s">
        <v>84</v>
      </c>
    </row>
    <row r="673" spans="1:52">
      <c r="A673">
        <f t="shared" si="43"/>
        <v>672</v>
      </c>
      <c r="B673" s="3">
        <v>46049.736296296302</v>
      </c>
      <c r="C673" s="3">
        <v>46049.746342592603</v>
      </c>
      <c r="D673" t="s">
        <v>53</v>
      </c>
      <c r="G673" t="s">
        <v>54</v>
      </c>
      <c r="H673" t="s">
        <v>63</v>
      </c>
      <c r="I673" t="s">
        <v>71</v>
      </c>
      <c r="J673" t="s">
        <v>62</v>
      </c>
      <c r="K673" t="s">
        <v>62</v>
      </c>
      <c r="L673" t="s">
        <v>58</v>
      </c>
      <c r="M673" t="s">
        <v>58</v>
      </c>
      <c r="N673">
        <v>4</v>
      </c>
      <c r="O673">
        <v>3</v>
      </c>
      <c r="P673">
        <v>4</v>
      </c>
      <c r="Q673">
        <v>4</v>
      </c>
      <c r="R673">
        <v>4</v>
      </c>
      <c r="S673">
        <v>4</v>
      </c>
      <c r="T673">
        <v>5</v>
      </c>
      <c r="U673">
        <v>2</v>
      </c>
      <c r="V673">
        <v>4</v>
      </c>
      <c r="W673">
        <v>4</v>
      </c>
      <c r="X673">
        <v>2</v>
      </c>
      <c r="Y673">
        <v>4</v>
      </c>
      <c r="Z673">
        <v>4</v>
      </c>
      <c r="AA673">
        <v>3</v>
      </c>
      <c r="AB673">
        <v>4</v>
      </c>
      <c r="AC673">
        <v>2</v>
      </c>
      <c r="AD673">
        <v>2</v>
      </c>
      <c r="AE673">
        <v>2</v>
      </c>
      <c r="AF673">
        <v>5</v>
      </c>
      <c r="AG673">
        <v>1</v>
      </c>
      <c r="AH673">
        <v>4</v>
      </c>
      <c r="AI673">
        <v>2</v>
      </c>
      <c r="AJ673">
        <v>1</v>
      </c>
      <c r="AK673" t="b">
        <f>Table67[[#This Row],[What is your age?]]&lt;&gt;"18 - 25"</f>
        <v>0</v>
      </c>
      <c r="AL673" t="b">
        <f t="shared" si="40"/>
        <v>0</v>
      </c>
      <c r="AM673" t="b">
        <f t="shared" si="41"/>
        <v>0</v>
      </c>
      <c r="AN673" t="b">
        <f t="shared" si="42"/>
        <v>0</v>
      </c>
      <c r="AO673" t="b">
        <f>OR(Table67[[#This Row],[Ineligible respondents]:[Inconsistent response on opposite question (3)]])</f>
        <v>0</v>
      </c>
      <c r="AP67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673">
        <f>Table67[[#This Row],[Extreme Response]]/21</f>
        <v>0.14285714285714285</v>
      </c>
      <c r="AR673">
        <f>_xlfn.PERCENTILE.INC(Table67[Extrem Response Ratio (ERS)],0.9)</f>
        <v>0.61904761904761907</v>
      </c>
      <c r="AS673" t="b">
        <f>Table67[[#This Row],[Extrem Response Ratio (ERS)]]&gt;=Table67[[#This Row],[Threshold of ERS]]</f>
        <v>0</v>
      </c>
      <c r="AT673">
        <f>COUNTIF(Table67[[#This Row],[The mechanism of digital assets is difficult to understand, which discourages me from exploring it (E.g, Tokenization, Blockchain)]:[If I want to try different ways to invest, I will explore digital assets.]], 3)</f>
        <v>2</v>
      </c>
      <c r="AU673">
        <f>Table67[[#This Row],[Midpoint]]/21</f>
        <v>9.5238095238095233E-2</v>
      </c>
      <c r="AV673">
        <f>_xlfn.PERCENTILE.INC(Table67[Midpoint ratio],0.9)</f>
        <v>0.5714285714285714</v>
      </c>
      <c r="AW673" t="b">
        <f>Table67[[#This Row],[Midpoint ratio]]&gt;=Table67[[#This Row],[Threshold of Midpoint ratio]]</f>
        <v>0</v>
      </c>
      <c r="AX673" t="b">
        <f>OR(Table67[[#This Row],[Extreme Response Style]],Table67[[#This Row],[Mid-point Response Style]])</f>
        <v>0</v>
      </c>
      <c r="AY673" t="b">
        <f>OR(Table67[[#This Row],[Delete? (Stage 1)]],Table67[[#This Row],[Delete? (Stage 2)]])</f>
        <v>0</v>
      </c>
      <c r="AZ673" t="s">
        <v>84</v>
      </c>
    </row>
    <row r="674" spans="1:52">
      <c r="A674">
        <f t="shared" si="43"/>
        <v>673</v>
      </c>
      <c r="B674" s="3">
        <v>46049.7364467593</v>
      </c>
      <c r="C674" s="3">
        <v>46049.737696759301</v>
      </c>
      <c r="D674" t="s">
        <v>53</v>
      </c>
      <c r="G674" t="s">
        <v>54</v>
      </c>
      <c r="H674" t="s">
        <v>55</v>
      </c>
      <c r="I674" t="s">
        <v>71</v>
      </c>
      <c r="J674" t="s">
        <v>62</v>
      </c>
      <c r="K674" t="s">
        <v>62</v>
      </c>
      <c r="L674" t="s">
        <v>61</v>
      </c>
      <c r="M674" t="s">
        <v>58</v>
      </c>
      <c r="N674">
        <v>2</v>
      </c>
      <c r="O674">
        <v>4</v>
      </c>
      <c r="P674">
        <v>3</v>
      </c>
      <c r="Q674">
        <v>4</v>
      </c>
      <c r="R674">
        <v>3</v>
      </c>
      <c r="S674">
        <v>4</v>
      </c>
      <c r="T674">
        <v>4</v>
      </c>
      <c r="U674">
        <v>2</v>
      </c>
      <c r="V674">
        <v>3</v>
      </c>
      <c r="W674">
        <v>4</v>
      </c>
      <c r="X674">
        <v>3</v>
      </c>
      <c r="Y674">
        <v>4</v>
      </c>
      <c r="Z674">
        <v>4</v>
      </c>
      <c r="AA674">
        <v>5</v>
      </c>
      <c r="AB674">
        <v>3</v>
      </c>
      <c r="AC674">
        <v>3</v>
      </c>
      <c r="AD674">
        <v>4</v>
      </c>
      <c r="AE674">
        <v>3</v>
      </c>
      <c r="AF674">
        <v>3</v>
      </c>
      <c r="AG674">
        <v>4</v>
      </c>
      <c r="AH674">
        <v>3</v>
      </c>
      <c r="AI674">
        <v>3</v>
      </c>
      <c r="AJ674">
        <v>3</v>
      </c>
      <c r="AK674" t="b">
        <f>Table67[[#This Row],[What is your age?]]&lt;&gt;"18 - 25"</f>
        <v>0</v>
      </c>
      <c r="AL674" t="b">
        <f t="shared" si="40"/>
        <v>0</v>
      </c>
      <c r="AM674" t="b">
        <f t="shared" si="41"/>
        <v>0</v>
      </c>
      <c r="AN674" t="b">
        <f t="shared" si="42"/>
        <v>1</v>
      </c>
      <c r="AO674" t="b">
        <f>OR(Table67[[#This Row],[Ineligible respondents]:[Inconsistent response on opposite question (3)]])</f>
        <v>1</v>
      </c>
      <c r="AP67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674">
        <f>Table67[[#This Row],[Extreme Response]]/21</f>
        <v>4.7619047619047616E-2</v>
      </c>
      <c r="AR674">
        <f>_xlfn.PERCENTILE.INC(Table67[Extrem Response Ratio (ERS)],0.9)</f>
        <v>0.61904761904761907</v>
      </c>
      <c r="AS674" t="b">
        <f>Table67[[#This Row],[Extrem Response Ratio (ERS)]]&gt;=Table67[[#This Row],[Threshold of ERS]]</f>
        <v>0</v>
      </c>
      <c r="AT674">
        <f>COUNTIF(Table67[[#This Row],[The mechanism of digital assets is difficult to understand, which discourages me from exploring it (E.g, Tokenization, Blockchain)]:[If I want to try different ways to invest, I will explore digital assets.]], 3)</f>
        <v>9</v>
      </c>
      <c r="AU674">
        <f>Table67[[#This Row],[Midpoint]]/21</f>
        <v>0.42857142857142855</v>
      </c>
      <c r="AV674">
        <f>_xlfn.PERCENTILE.INC(Table67[Midpoint ratio],0.9)</f>
        <v>0.5714285714285714</v>
      </c>
      <c r="AW674" t="b">
        <f>Table67[[#This Row],[Midpoint ratio]]&gt;=Table67[[#This Row],[Threshold of Midpoint ratio]]</f>
        <v>0</v>
      </c>
      <c r="AX674" t="b">
        <f>OR(Table67[[#This Row],[Extreme Response Style]],Table67[[#This Row],[Mid-point Response Style]])</f>
        <v>0</v>
      </c>
      <c r="AY674" t="b">
        <f>OR(Table67[[#This Row],[Delete? (Stage 1)]],Table67[[#This Row],[Delete? (Stage 2)]])</f>
        <v>1</v>
      </c>
      <c r="AZ674" t="s">
        <v>84</v>
      </c>
    </row>
    <row r="675" spans="1:52">
      <c r="A675">
        <f t="shared" si="43"/>
        <v>674</v>
      </c>
      <c r="B675" s="3">
        <v>46049.736504629604</v>
      </c>
      <c r="C675" s="3">
        <v>46049.740034722199</v>
      </c>
      <c r="D675" t="s">
        <v>53</v>
      </c>
      <c r="G675" t="s">
        <v>54</v>
      </c>
      <c r="H675" t="s">
        <v>55</v>
      </c>
      <c r="I675" t="s">
        <v>71</v>
      </c>
      <c r="J675" t="s">
        <v>62</v>
      </c>
      <c r="K675" t="s">
        <v>62</v>
      </c>
      <c r="L675" t="s">
        <v>58</v>
      </c>
      <c r="M675" t="s">
        <v>58</v>
      </c>
      <c r="N675">
        <v>2</v>
      </c>
      <c r="O675">
        <v>1</v>
      </c>
      <c r="P675">
        <v>3</v>
      </c>
      <c r="Q675">
        <v>3</v>
      </c>
      <c r="R675">
        <v>2</v>
      </c>
      <c r="S675">
        <v>4</v>
      </c>
      <c r="T675">
        <v>4</v>
      </c>
      <c r="U675">
        <v>3</v>
      </c>
      <c r="V675">
        <v>1</v>
      </c>
      <c r="W675">
        <v>2</v>
      </c>
      <c r="X675">
        <v>4</v>
      </c>
      <c r="Y675">
        <v>3</v>
      </c>
      <c r="Z675">
        <v>2</v>
      </c>
      <c r="AA675">
        <v>2</v>
      </c>
      <c r="AB675">
        <v>3</v>
      </c>
      <c r="AC675">
        <v>3</v>
      </c>
      <c r="AD675">
        <v>5</v>
      </c>
      <c r="AE675">
        <v>3</v>
      </c>
      <c r="AF675">
        <v>3</v>
      </c>
      <c r="AG675">
        <v>3</v>
      </c>
      <c r="AH675">
        <v>2</v>
      </c>
      <c r="AI675">
        <v>4</v>
      </c>
      <c r="AJ675">
        <v>3</v>
      </c>
      <c r="AK675" t="b">
        <f>Table67[[#This Row],[What is your age?]]&lt;&gt;"18 - 25"</f>
        <v>0</v>
      </c>
      <c r="AL675" t="b">
        <f t="shared" si="40"/>
        <v>0</v>
      </c>
      <c r="AM675" t="b">
        <f t="shared" si="41"/>
        <v>0</v>
      </c>
      <c r="AN675" t="b">
        <f t="shared" si="42"/>
        <v>1</v>
      </c>
      <c r="AO675" t="b">
        <f>OR(Table67[[#This Row],[Ineligible respondents]:[Inconsistent response on opposite question (3)]])</f>
        <v>1</v>
      </c>
      <c r="AP67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675">
        <f>Table67[[#This Row],[Extreme Response]]/21</f>
        <v>0.14285714285714285</v>
      </c>
      <c r="AR675">
        <f>_xlfn.PERCENTILE.INC(Table67[Extrem Response Ratio (ERS)],0.9)</f>
        <v>0.61904761904761907</v>
      </c>
      <c r="AS675" t="b">
        <f>Table67[[#This Row],[Extrem Response Ratio (ERS)]]&gt;=Table67[[#This Row],[Threshold of ERS]]</f>
        <v>0</v>
      </c>
      <c r="AT675">
        <f>COUNTIF(Table67[[#This Row],[The mechanism of digital assets is difficult to understand, which discourages me from exploring it (E.g, Tokenization, Blockchain)]:[If I want to try different ways to invest, I will explore digital assets.]], 3)</f>
        <v>9</v>
      </c>
      <c r="AU675">
        <f>Table67[[#This Row],[Midpoint]]/21</f>
        <v>0.42857142857142855</v>
      </c>
      <c r="AV675">
        <f>_xlfn.PERCENTILE.INC(Table67[Midpoint ratio],0.9)</f>
        <v>0.5714285714285714</v>
      </c>
      <c r="AW675" t="b">
        <f>Table67[[#This Row],[Midpoint ratio]]&gt;=Table67[[#This Row],[Threshold of Midpoint ratio]]</f>
        <v>0</v>
      </c>
      <c r="AX675" t="b">
        <f>OR(Table67[[#This Row],[Extreme Response Style]],Table67[[#This Row],[Mid-point Response Style]])</f>
        <v>0</v>
      </c>
      <c r="AY675" t="b">
        <f>OR(Table67[[#This Row],[Delete? (Stage 1)]],Table67[[#This Row],[Delete? (Stage 2)]])</f>
        <v>1</v>
      </c>
      <c r="AZ675" t="s">
        <v>84</v>
      </c>
    </row>
    <row r="676" spans="1:52">
      <c r="A676">
        <f t="shared" si="43"/>
        <v>675</v>
      </c>
      <c r="B676" s="3">
        <v>46049.736597222203</v>
      </c>
      <c r="C676" s="3">
        <v>46049.7407060185</v>
      </c>
      <c r="D676" t="s">
        <v>53</v>
      </c>
      <c r="G676" t="s">
        <v>54</v>
      </c>
      <c r="H676" t="s">
        <v>55</v>
      </c>
      <c r="I676" t="s">
        <v>56</v>
      </c>
      <c r="J676" t="s">
        <v>62</v>
      </c>
      <c r="K676" t="s">
        <v>57</v>
      </c>
      <c r="L676" t="s">
        <v>58</v>
      </c>
      <c r="M676" t="s">
        <v>58</v>
      </c>
      <c r="N676">
        <v>4</v>
      </c>
      <c r="O676">
        <v>2</v>
      </c>
      <c r="P676">
        <v>4</v>
      </c>
      <c r="Q676">
        <v>4</v>
      </c>
      <c r="R676">
        <v>2</v>
      </c>
      <c r="S676">
        <v>2</v>
      </c>
      <c r="T676">
        <v>3</v>
      </c>
      <c r="U676">
        <v>4</v>
      </c>
      <c r="V676">
        <v>4</v>
      </c>
      <c r="W676">
        <v>2</v>
      </c>
      <c r="X676">
        <v>3</v>
      </c>
      <c r="Y676">
        <v>2</v>
      </c>
      <c r="Z676">
        <v>4</v>
      </c>
      <c r="AA676">
        <v>4</v>
      </c>
      <c r="AB676">
        <v>2</v>
      </c>
      <c r="AC676">
        <v>4</v>
      </c>
      <c r="AD676">
        <v>4</v>
      </c>
      <c r="AE676">
        <v>2</v>
      </c>
      <c r="AF676">
        <v>3</v>
      </c>
      <c r="AG676">
        <v>3</v>
      </c>
      <c r="AH676">
        <v>4</v>
      </c>
      <c r="AI676">
        <v>2</v>
      </c>
      <c r="AJ676">
        <v>3</v>
      </c>
      <c r="AK676" t="b">
        <f>Table67[[#This Row],[What is your age?]]&lt;&gt;"18 - 25"</f>
        <v>0</v>
      </c>
      <c r="AL676" t="b">
        <f t="shared" si="40"/>
        <v>0</v>
      </c>
      <c r="AM676" t="b">
        <f t="shared" si="41"/>
        <v>0</v>
      </c>
      <c r="AN676" t="b">
        <f t="shared" si="42"/>
        <v>1</v>
      </c>
      <c r="AO676" t="b">
        <f>OR(Table67[[#This Row],[Ineligible respondents]:[Inconsistent response on opposite question (3)]])</f>
        <v>1</v>
      </c>
      <c r="AP67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676">
        <f>Table67[[#This Row],[Extreme Response]]/21</f>
        <v>0</v>
      </c>
      <c r="AR676">
        <f>_xlfn.PERCENTILE.INC(Table67[Extrem Response Ratio (ERS)],0.9)</f>
        <v>0.61904761904761907</v>
      </c>
      <c r="AS676" t="b">
        <f>Table67[[#This Row],[Extrem Response Ratio (ERS)]]&gt;=Table67[[#This Row],[Threshold of ERS]]</f>
        <v>0</v>
      </c>
      <c r="AT676">
        <f>COUNTIF(Table67[[#This Row],[The mechanism of digital assets is difficult to understand, which discourages me from exploring it (E.g, Tokenization, Blockchain)]:[If I want to try different ways to invest, I will explore digital assets.]], 3)</f>
        <v>4</v>
      </c>
      <c r="AU676">
        <f>Table67[[#This Row],[Midpoint]]/21</f>
        <v>0.19047619047619047</v>
      </c>
      <c r="AV676">
        <f>_xlfn.PERCENTILE.INC(Table67[Midpoint ratio],0.9)</f>
        <v>0.5714285714285714</v>
      </c>
      <c r="AW676" t="b">
        <f>Table67[[#This Row],[Midpoint ratio]]&gt;=Table67[[#This Row],[Threshold of Midpoint ratio]]</f>
        <v>0</v>
      </c>
      <c r="AX676" t="b">
        <f>OR(Table67[[#This Row],[Extreme Response Style]],Table67[[#This Row],[Mid-point Response Style]])</f>
        <v>0</v>
      </c>
      <c r="AY676" t="b">
        <f>OR(Table67[[#This Row],[Delete? (Stage 1)]],Table67[[#This Row],[Delete? (Stage 2)]])</f>
        <v>1</v>
      </c>
      <c r="AZ676" t="s">
        <v>84</v>
      </c>
    </row>
    <row r="677" spans="1:52">
      <c r="A677">
        <f t="shared" si="43"/>
        <v>676</v>
      </c>
      <c r="B677" s="3">
        <v>46049.736828703702</v>
      </c>
      <c r="C677" s="3">
        <v>46049.745127314804</v>
      </c>
      <c r="D677" t="s">
        <v>53</v>
      </c>
      <c r="G677" t="s">
        <v>54</v>
      </c>
      <c r="H677" t="s">
        <v>55</v>
      </c>
      <c r="I677" t="s">
        <v>56</v>
      </c>
      <c r="J677" t="s">
        <v>62</v>
      </c>
      <c r="K677" t="s">
        <v>62</v>
      </c>
      <c r="L677" t="s">
        <v>58</v>
      </c>
      <c r="M677" t="s">
        <v>58</v>
      </c>
      <c r="N677">
        <v>5</v>
      </c>
      <c r="O677">
        <v>1</v>
      </c>
      <c r="P677">
        <v>3</v>
      </c>
      <c r="Q677">
        <v>4</v>
      </c>
      <c r="R677">
        <v>1</v>
      </c>
      <c r="S677">
        <v>1</v>
      </c>
      <c r="T677">
        <v>3</v>
      </c>
      <c r="U677">
        <v>5</v>
      </c>
      <c r="V677">
        <v>1</v>
      </c>
      <c r="W677">
        <v>5</v>
      </c>
      <c r="X677">
        <v>5</v>
      </c>
      <c r="Y677">
        <v>5</v>
      </c>
      <c r="Z677">
        <v>5</v>
      </c>
      <c r="AA677">
        <v>5</v>
      </c>
      <c r="AB677">
        <v>4</v>
      </c>
      <c r="AC677">
        <v>5</v>
      </c>
      <c r="AD677">
        <v>5</v>
      </c>
      <c r="AE677">
        <v>1</v>
      </c>
      <c r="AF677">
        <v>3</v>
      </c>
      <c r="AG677">
        <v>2</v>
      </c>
      <c r="AH677">
        <v>4</v>
      </c>
      <c r="AI677">
        <v>2</v>
      </c>
      <c r="AJ677">
        <v>3</v>
      </c>
      <c r="AK677" t="b">
        <f>Table67[[#This Row],[What is your age?]]&lt;&gt;"18 - 25"</f>
        <v>0</v>
      </c>
      <c r="AL677" t="b">
        <f t="shared" si="40"/>
        <v>0</v>
      </c>
      <c r="AM677" t="b">
        <f t="shared" si="41"/>
        <v>0</v>
      </c>
      <c r="AN677" t="b">
        <f t="shared" si="42"/>
        <v>0</v>
      </c>
      <c r="AO677" t="b">
        <f>OR(Table67[[#This Row],[Ineligible respondents]:[Inconsistent response on opposite question (3)]])</f>
        <v>0</v>
      </c>
      <c r="AP67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677">
        <f>Table67[[#This Row],[Extreme Response]]/21</f>
        <v>0.66666666666666663</v>
      </c>
      <c r="AR677">
        <f>_xlfn.PERCENTILE.INC(Table67[Extrem Response Ratio (ERS)],0.9)</f>
        <v>0.61904761904761907</v>
      </c>
      <c r="AS677" t="b">
        <f>Table67[[#This Row],[Extrem Response Ratio (ERS)]]&gt;=Table67[[#This Row],[Threshold of ERS]]</f>
        <v>1</v>
      </c>
      <c r="AT677">
        <f>COUNTIF(Table67[[#This Row],[The mechanism of digital assets is difficult to understand, which discourages me from exploring it (E.g, Tokenization, Blockchain)]:[If I want to try different ways to invest, I will explore digital assets.]], 3)</f>
        <v>3</v>
      </c>
      <c r="AU677">
        <f>Table67[[#This Row],[Midpoint]]/21</f>
        <v>0.14285714285714285</v>
      </c>
      <c r="AV677">
        <f>_xlfn.PERCENTILE.INC(Table67[Midpoint ratio],0.9)</f>
        <v>0.5714285714285714</v>
      </c>
      <c r="AW677" t="b">
        <f>Table67[[#This Row],[Midpoint ratio]]&gt;=Table67[[#This Row],[Threshold of Midpoint ratio]]</f>
        <v>0</v>
      </c>
      <c r="AX677" t="b">
        <f>OR(Table67[[#This Row],[Extreme Response Style]],Table67[[#This Row],[Mid-point Response Style]])</f>
        <v>1</v>
      </c>
      <c r="AY677" t="b">
        <f>OR(Table67[[#This Row],[Delete? (Stage 1)]],Table67[[#This Row],[Delete? (Stage 2)]])</f>
        <v>1</v>
      </c>
      <c r="AZ677" t="s">
        <v>84</v>
      </c>
    </row>
    <row r="678" spans="1:52">
      <c r="A678">
        <f t="shared" si="43"/>
        <v>677</v>
      </c>
      <c r="B678" s="3">
        <v>46049.737303240698</v>
      </c>
      <c r="C678" s="3">
        <v>46049.740011574097</v>
      </c>
      <c r="D678" t="s">
        <v>53</v>
      </c>
      <c r="G678" t="s">
        <v>54</v>
      </c>
      <c r="H678" t="s">
        <v>55</v>
      </c>
      <c r="I678" t="s">
        <v>56</v>
      </c>
      <c r="J678" t="s">
        <v>60</v>
      </c>
      <c r="K678" t="s">
        <v>57</v>
      </c>
      <c r="L678" t="s">
        <v>58</v>
      </c>
      <c r="M678" t="s">
        <v>58</v>
      </c>
      <c r="N678">
        <v>4</v>
      </c>
      <c r="O678">
        <v>1</v>
      </c>
      <c r="P678">
        <v>4</v>
      </c>
      <c r="Q678">
        <v>5</v>
      </c>
      <c r="R678">
        <v>4</v>
      </c>
      <c r="S678">
        <v>4</v>
      </c>
      <c r="T678">
        <v>1</v>
      </c>
      <c r="U678">
        <v>5</v>
      </c>
      <c r="V678">
        <v>5</v>
      </c>
      <c r="W678">
        <v>3</v>
      </c>
      <c r="X678">
        <v>5</v>
      </c>
      <c r="Y678">
        <v>4</v>
      </c>
      <c r="Z678">
        <v>5</v>
      </c>
      <c r="AA678">
        <v>4</v>
      </c>
      <c r="AB678">
        <v>3</v>
      </c>
      <c r="AC678">
        <v>5</v>
      </c>
      <c r="AD678">
        <v>5</v>
      </c>
      <c r="AE678">
        <v>5</v>
      </c>
      <c r="AF678">
        <v>1</v>
      </c>
      <c r="AG678">
        <v>5</v>
      </c>
      <c r="AH678">
        <v>1</v>
      </c>
      <c r="AI678">
        <v>5</v>
      </c>
      <c r="AJ678">
        <v>5</v>
      </c>
      <c r="AK678" t="b">
        <f>Table67[[#This Row],[What is your age?]]&lt;&gt;"18 - 25"</f>
        <v>0</v>
      </c>
      <c r="AL678" t="b">
        <f t="shared" si="40"/>
        <v>0</v>
      </c>
      <c r="AM678" t="b">
        <f t="shared" si="41"/>
        <v>0</v>
      </c>
      <c r="AN678" t="b">
        <f t="shared" si="42"/>
        <v>0</v>
      </c>
      <c r="AO678" t="b">
        <f>OR(Table67[[#This Row],[Ineligible respondents]:[Inconsistent response on opposite question (3)]])</f>
        <v>0</v>
      </c>
      <c r="AP67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678">
        <f>Table67[[#This Row],[Extreme Response]]/21</f>
        <v>0.61904761904761907</v>
      </c>
      <c r="AR678">
        <f>_xlfn.PERCENTILE.INC(Table67[Extrem Response Ratio (ERS)],0.9)</f>
        <v>0.61904761904761907</v>
      </c>
      <c r="AS678" t="b">
        <f>Table67[[#This Row],[Extrem Response Ratio (ERS)]]&gt;=Table67[[#This Row],[Threshold of ERS]]</f>
        <v>1</v>
      </c>
      <c r="AT678">
        <f>COUNTIF(Table67[[#This Row],[The mechanism of digital assets is difficult to understand, which discourages me from exploring it (E.g, Tokenization, Blockchain)]:[If I want to try different ways to invest, I will explore digital assets.]], 3)</f>
        <v>2</v>
      </c>
      <c r="AU678">
        <f>Table67[[#This Row],[Midpoint]]/21</f>
        <v>9.5238095238095233E-2</v>
      </c>
      <c r="AV678">
        <f>_xlfn.PERCENTILE.INC(Table67[Midpoint ratio],0.9)</f>
        <v>0.5714285714285714</v>
      </c>
      <c r="AW678" t="b">
        <f>Table67[[#This Row],[Midpoint ratio]]&gt;=Table67[[#This Row],[Threshold of Midpoint ratio]]</f>
        <v>0</v>
      </c>
      <c r="AX678" t="b">
        <f>OR(Table67[[#This Row],[Extreme Response Style]],Table67[[#This Row],[Mid-point Response Style]])</f>
        <v>1</v>
      </c>
      <c r="AY678" t="b">
        <f>OR(Table67[[#This Row],[Delete? (Stage 1)]],Table67[[#This Row],[Delete? (Stage 2)]])</f>
        <v>1</v>
      </c>
      <c r="AZ678" t="s">
        <v>84</v>
      </c>
    </row>
    <row r="679" spans="1:52">
      <c r="A679">
        <f t="shared" si="43"/>
        <v>678</v>
      </c>
      <c r="B679" s="3">
        <v>46049.737546296303</v>
      </c>
      <c r="C679" s="3">
        <v>46049.748078703698</v>
      </c>
      <c r="D679" t="s">
        <v>53</v>
      </c>
      <c r="G679" t="s">
        <v>54</v>
      </c>
      <c r="H679" t="s">
        <v>63</v>
      </c>
      <c r="I679" t="s">
        <v>56</v>
      </c>
      <c r="J679" t="s">
        <v>62</v>
      </c>
      <c r="K679" t="s">
        <v>62</v>
      </c>
      <c r="L679" t="s">
        <v>61</v>
      </c>
      <c r="M679" t="s">
        <v>61</v>
      </c>
      <c r="N679">
        <v>3</v>
      </c>
      <c r="O679">
        <v>3</v>
      </c>
      <c r="P679">
        <v>2</v>
      </c>
      <c r="Q679">
        <v>3</v>
      </c>
      <c r="R679">
        <v>4</v>
      </c>
      <c r="S679">
        <v>4</v>
      </c>
      <c r="T679">
        <v>5</v>
      </c>
      <c r="U679">
        <v>3</v>
      </c>
      <c r="V679">
        <v>3</v>
      </c>
      <c r="W679">
        <v>4</v>
      </c>
      <c r="X679">
        <v>3</v>
      </c>
      <c r="Y679">
        <v>4</v>
      </c>
      <c r="Z679">
        <v>4</v>
      </c>
      <c r="AA679">
        <v>3</v>
      </c>
      <c r="AB679">
        <v>4</v>
      </c>
      <c r="AC679">
        <v>4</v>
      </c>
      <c r="AD679">
        <v>3</v>
      </c>
      <c r="AE679">
        <v>2</v>
      </c>
      <c r="AF679">
        <v>4</v>
      </c>
      <c r="AG679">
        <v>2</v>
      </c>
      <c r="AH679">
        <v>3</v>
      </c>
      <c r="AI679">
        <v>3</v>
      </c>
      <c r="AJ679">
        <v>2</v>
      </c>
      <c r="AK679" t="b">
        <f>Table67[[#This Row],[What is your age?]]&lt;&gt;"18 - 25"</f>
        <v>0</v>
      </c>
      <c r="AL679" t="b">
        <f t="shared" si="40"/>
        <v>0</v>
      </c>
      <c r="AM679" t="b">
        <f t="shared" si="41"/>
        <v>0</v>
      </c>
      <c r="AN679" t="b">
        <f t="shared" si="42"/>
        <v>1</v>
      </c>
      <c r="AO679" t="b">
        <f>OR(Table67[[#This Row],[Ineligible respondents]:[Inconsistent response on opposite question (3)]])</f>
        <v>1</v>
      </c>
      <c r="AP67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679">
        <f>Table67[[#This Row],[Extreme Response]]/21</f>
        <v>4.7619047619047616E-2</v>
      </c>
      <c r="AR679">
        <f>_xlfn.PERCENTILE.INC(Table67[Extrem Response Ratio (ERS)],0.9)</f>
        <v>0.61904761904761907</v>
      </c>
      <c r="AS679" t="b">
        <f>Table67[[#This Row],[Extrem Response Ratio (ERS)]]&gt;=Table67[[#This Row],[Threshold of ERS]]</f>
        <v>0</v>
      </c>
      <c r="AT679">
        <f>COUNTIF(Table67[[#This Row],[The mechanism of digital assets is difficult to understand, which discourages me from exploring it (E.g, Tokenization, Blockchain)]:[If I want to try different ways to invest, I will explore digital assets.]], 3)</f>
        <v>9</v>
      </c>
      <c r="AU679">
        <f>Table67[[#This Row],[Midpoint]]/21</f>
        <v>0.42857142857142855</v>
      </c>
      <c r="AV679">
        <f>_xlfn.PERCENTILE.INC(Table67[Midpoint ratio],0.9)</f>
        <v>0.5714285714285714</v>
      </c>
      <c r="AW679" t="b">
        <f>Table67[[#This Row],[Midpoint ratio]]&gt;=Table67[[#This Row],[Threshold of Midpoint ratio]]</f>
        <v>0</v>
      </c>
      <c r="AX679" t="b">
        <f>OR(Table67[[#This Row],[Extreme Response Style]],Table67[[#This Row],[Mid-point Response Style]])</f>
        <v>0</v>
      </c>
      <c r="AY679" t="b">
        <f>OR(Table67[[#This Row],[Delete? (Stage 1)]],Table67[[#This Row],[Delete? (Stage 2)]])</f>
        <v>1</v>
      </c>
      <c r="AZ679" t="s">
        <v>84</v>
      </c>
    </row>
    <row r="680" spans="1:52">
      <c r="A680">
        <f t="shared" si="43"/>
        <v>679</v>
      </c>
      <c r="B680" s="3">
        <v>46049.737662036998</v>
      </c>
      <c r="C680" s="3">
        <v>46049.740543981497</v>
      </c>
      <c r="D680" t="s">
        <v>53</v>
      </c>
      <c r="G680" t="s">
        <v>54</v>
      </c>
      <c r="H680" t="s">
        <v>63</v>
      </c>
      <c r="I680" t="s">
        <v>56</v>
      </c>
      <c r="J680" t="s">
        <v>62</v>
      </c>
      <c r="K680" t="s">
        <v>62</v>
      </c>
      <c r="L680" t="s">
        <v>58</v>
      </c>
      <c r="M680" t="s">
        <v>58</v>
      </c>
      <c r="N680">
        <v>3</v>
      </c>
      <c r="O680">
        <v>3</v>
      </c>
      <c r="P680">
        <v>3</v>
      </c>
      <c r="Q680">
        <v>3</v>
      </c>
      <c r="R680">
        <v>2</v>
      </c>
      <c r="S680">
        <v>4</v>
      </c>
      <c r="T680">
        <v>1</v>
      </c>
      <c r="U680">
        <v>2</v>
      </c>
      <c r="V680">
        <v>4</v>
      </c>
      <c r="W680">
        <v>3</v>
      </c>
      <c r="X680">
        <v>4</v>
      </c>
      <c r="Y680">
        <v>4</v>
      </c>
      <c r="Z680">
        <v>3</v>
      </c>
      <c r="AA680">
        <v>3</v>
      </c>
      <c r="AB680">
        <v>2</v>
      </c>
      <c r="AC680">
        <v>3</v>
      </c>
      <c r="AD680">
        <v>3</v>
      </c>
      <c r="AE680">
        <v>4</v>
      </c>
      <c r="AF680">
        <v>5</v>
      </c>
      <c r="AG680">
        <v>1</v>
      </c>
      <c r="AH680">
        <v>5</v>
      </c>
      <c r="AI680">
        <v>1</v>
      </c>
      <c r="AJ680">
        <v>1</v>
      </c>
      <c r="AK680" t="b">
        <f>Table67[[#This Row],[What is your age?]]&lt;&gt;"18 - 25"</f>
        <v>0</v>
      </c>
      <c r="AL680" t="b">
        <f t="shared" si="40"/>
        <v>0</v>
      </c>
      <c r="AM680" t="b">
        <f t="shared" si="41"/>
        <v>0</v>
      </c>
      <c r="AN680" t="b">
        <f t="shared" si="42"/>
        <v>0</v>
      </c>
      <c r="AO680" t="b">
        <f>OR(Table67[[#This Row],[Ineligible respondents]:[Inconsistent response on opposite question (3)]])</f>
        <v>0</v>
      </c>
      <c r="AP68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680">
        <f>Table67[[#This Row],[Extreme Response]]/21</f>
        <v>0.19047619047619047</v>
      </c>
      <c r="AR680">
        <f>_xlfn.PERCENTILE.INC(Table67[Extrem Response Ratio (ERS)],0.9)</f>
        <v>0.61904761904761907</v>
      </c>
      <c r="AS680" t="b">
        <f>Table67[[#This Row],[Extrem Response Ratio (ERS)]]&gt;=Table67[[#This Row],[Threshold of ERS]]</f>
        <v>0</v>
      </c>
      <c r="AT680">
        <f>COUNTIF(Table67[[#This Row],[The mechanism of digital assets is difficult to understand, which discourages me from exploring it (E.g, Tokenization, Blockchain)]:[If I want to try different ways to invest, I will explore digital assets.]], 3)</f>
        <v>9</v>
      </c>
      <c r="AU680">
        <f>Table67[[#This Row],[Midpoint]]/21</f>
        <v>0.42857142857142855</v>
      </c>
      <c r="AV680">
        <f>_xlfn.PERCENTILE.INC(Table67[Midpoint ratio],0.9)</f>
        <v>0.5714285714285714</v>
      </c>
      <c r="AW680" t="b">
        <f>Table67[[#This Row],[Midpoint ratio]]&gt;=Table67[[#This Row],[Threshold of Midpoint ratio]]</f>
        <v>0</v>
      </c>
      <c r="AX680" t="b">
        <f>OR(Table67[[#This Row],[Extreme Response Style]],Table67[[#This Row],[Mid-point Response Style]])</f>
        <v>0</v>
      </c>
      <c r="AY680" t="b">
        <f>OR(Table67[[#This Row],[Delete? (Stage 1)]],Table67[[#This Row],[Delete? (Stage 2)]])</f>
        <v>0</v>
      </c>
      <c r="AZ680" t="s">
        <v>84</v>
      </c>
    </row>
    <row r="681" spans="1:52">
      <c r="A681">
        <f t="shared" si="43"/>
        <v>680</v>
      </c>
      <c r="B681" s="3">
        <v>46049.737754629597</v>
      </c>
      <c r="C681" s="3">
        <v>46049.7430902778</v>
      </c>
      <c r="D681" t="s">
        <v>53</v>
      </c>
      <c r="G681" t="s">
        <v>54</v>
      </c>
      <c r="H681" t="s">
        <v>63</v>
      </c>
      <c r="I681" t="s">
        <v>56</v>
      </c>
      <c r="J681" t="s">
        <v>67</v>
      </c>
      <c r="K681" t="s">
        <v>64</v>
      </c>
      <c r="L681" t="s">
        <v>61</v>
      </c>
      <c r="M681" t="s">
        <v>61</v>
      </c>
      <c r="N681">
        <v>4</v>
      </c>
      <c r="O681">
        <v>3</v>
      </c>
      <c r="P681">
        <v>4</v>
      </c>
      <c r="Q681">
        <v>4</v>
      </c>
      <c r="R681">
        <v>5</v>
      </c>
      <c r="S681">
        <v>3</v>
      </c>
      <c r="T681">
        <v>3</v>
      </c>
      <c r="U681">
        <v>2</v>
      </c>
      <c r="V681">
        <v>4</v>
      </c>
      <c r="W681">
        <v>4</v>
      </c>
      <c r="X681">
        <v>3</v>
      </c>
      <c r="Y681">
        <v>4</v>
      </c>
      <c r="Z681">
        <v>4</v>
      </c>
      <c r="AA681">
        <v>5</v>
      </c>
      <c r="AB681">
        <v>4</v>
      </c>
      <c r="AC681">
        <v>2</v>
      </c>
      <c r="AD681">
        <v>4</v>
      </c>
      <c r="AE681">
        <v>2</v>
      </c>
      <c r="AF681">
        <v>3</v>
      </c>
      <c r="AG681">
        <v>3</v>
      </c>
      <c r="AH681">
        <v>4</v>
      </c>
      <c r="AI681">
        <v>2</v>
      </c>
      <c r="AJ681">
        <v>3</v>
      </c>
      <c r="AK681" t="b">
        <f>Table67[[#This Row],[What is your age?]]&lt;&gt;"18 - 25"</f>
        <v>0</v>
      </c>
      <c r="AL681" t="b">
        <f t="shared" si="40"/>
        <v>0</v>
      </c>
      <c r="AM681" t="b">
        <f t="shared" si="41"/>
        <v>0</v>
      </c>
      <c r="AN681" t="b">
        <f t="shared" si="42"/>
        <v>1</v>
      </c>
      <c r="AO681" t="b">
        <f>OR(Table67[[#This Row],[Ineligible respondents]:[Inconsistent response on opposite question (3)]])</f>
        <v>1</v>
      </c>
      <c r="AP68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681">
        <f>Table67[[#This Row],[Extreme Response]]/21</f>
        <v>9.5238095238095233E-2</v>
      </c>
      <c r="AR681">
        <f>_xlfn.PERCENTILE.INC(Table67[Extrem Response Ratio (ERS)],0.9)</f>
        <v>0.61904761904761907</v>
      </c>
      <c r="AS681" t="b">
        <f>Table67[[#This Row],[Extrem Response Ratio (ERS)]]&gt;=Table67[[#This Row],[Threshold of ERS]]</f>
        <v>0</v>
      </c>
      <c r="AT681">
        <f>COUNTIF(Table67[[#This Row],[The mechanism of digital assets is difficult to understand, which discourages me from exploring it (E.g, Tokenization, Blockchain)]:[If I want to try different ways to invest, I will explore digital assets.]], 3)</f>
        <v>6</v>
      </c>
      <c r="AU681">
        <f>Table67[[#This Row],[Midpoint]]/21</f>
        <v>0.2857142857142857</v>
      </c>
      <c r="AV681">
        <f>_xlfn.PERCENTILE.INC(Table67[Midpoint ratio],0.9)</f>
        <v>0.5714285714285714</v>
      </c>
      <c r="AW681" t="b">
        <f>Table67[[#This Row],[Midpoint ratio]]&gt;=Table67[[#This Row],[Threshold of Midpoint ratio]]</f>
        <v>0</v>
      </c>
      <c r="AX681" t="b">
        <f>OR(Table67[[#This Row],[Extreme Response Style]],Table67[[#This Row],[Mid-point Response Style]])</f>
        <v>0</v>
      </c>
      <c r="AY681" t="b">
        <f>OR(Table67[[#This Row],[Delete? (Stage 1)]],Table67[[#This Row],[Delete? (Stage 2)]])</f>
        <v>1</v>
      </c>
      <c r="AZ681" t="s">
        <v>84</v>
      </c>
    </row>
    <row r="682" spans="1:52">
      <c r="A682">
        <f t="shared" si="43"/>
        <v>681</v>
      </c>
      <c r="B682" s="3">
        <v>46049.737847222197</v>
      </c>
      <c r="C682" s="3">
        <v>46049.7422800926</v>
      </c>
      <c r="D682" t="s">
        <v>53</v>
      </c>
      <c r="G682" t="s">
        <v>54</v>
      </c>
      <c r="H682" t="s">
        <v>63</v>
      </c>
      <c r="I682" t="s">
        <v>71</v>
      </c>
      <c r="J682" t="s">
        <v>57</v>
      </c>
      <c r="K682" t="s">
        <v>57</v>
      </c>
      <c r="L682" t="s">
        <v>58</v>
      </c>
      <c r="M682" t="s">
        <v>58</v>
      </c>
      <c r="N682">
        <v>3</v>
      </c>
      <c r="O682">
        <v>3</v>
      </c>
      <c r="P682">
        <v>3</v>
      </c>
      <c r="Q682">
        <v>4</v>
      </c>
      <c r="R682">
        <v>3</v>
      </c>
      <c r="S682">
        <v>3</v>
      </c>
      <c r="T682">
        <v>4</v>
      </c>
      <c r="U682">
        <v>4</v>
      </c>
      <c r="V682">
        <v>4</v>
      </c>
      <c r="W682">
        <v>4</v>
      </c>
      <c r="X682">
        <v>4</v>
      </c>
      <c r="Y682">
        <v>2</v>
      </c>
      <c r="Z682">
        <v>4</v>
      </c>
      <c r="AA682">
        <v>4</v>
      </c>
      <c r="AB682">
        <v>4</v>
      </c>
      <c r="AC682">
        <v>3</v>
      </c>
      <c r="AD682">
        <v>4</v>
      </c>
      <c r="AE682">
        <v>3</v>
      </c>
      <c r="AF682">
        <v>3</v>
      </c>
      <c r="AG682">
        <v>3</v>
      </c>
      <c r="AH682">
        <v>3</v>
      </c>
      <c r="AI682">
        <v>3</v>
      </c>
      <c r="AJ682">
        <v>3</v>
      </c>
      <c r="AK682" t="b">
        <f>Table67[[#This Row],[What is your age?]]&lt;&gt;"18 - 25"</f>
        <v>0</v>
      </c>
      <c r="AL682" t="b">
        <f t="shared" si="40"/>
        <v>0</v>
      </c>
      <c r="AM682" t="b">
        <f t="shared" si="41"/>
        <v>0</v>
      </c>
      <c r="AN682" t="b">
        <f t="shared" si="42"/>
        <v>0</v>
      </c>
      <c r="AO682" t="b">
        <f>OR(Table67[[#This Row],[Ineligible respondents]:[Inconsistent response on opposite question (3)]])</f>
        <v>0</v>
      </c>
      <c r="AP68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682">
        <f>Table67[[#This Row],[Extreme Response]]/21</f>
        <v>0</v>
      </c>
      <c r="AR682">
        <f>_xlfn.PERCENTILE.INC(Table67[Extrem Response Ratio (ERS)],0.9)</f>
        <v>0.61904761904761907</v>
      </c>
      <c r="AS682" t="b">
        <f>Table67[[#This Row],[Extrem Response Ratio (ERS)]]&gt;=Table67[[#This Row],[Threshold of ERS]]</f>
        <v>0</v>
      </c>
      <c r="AT682">
        <f>COUNTIF(Table67[[#This Row],[The mechanism of digital assets is difficult to understand, which discourages me from exploring it (E.g, Tokenization, Blockchain)]:[If I want to try different ways to invest, I will explore digital assets.]], 3)</f>
        <v>10</v>
      </c>
      <c r="AU682">
        <f>Table67[[#This Row],[Midpoint]]/21</f>
        <v>0.47619047619047616</v>
      </c>
      <c r="AV682">
        <f>_xlfn.PERCENTILE.INC(Table67[Midpoint ratio],0.9)</f>
        <v>0.5714285714285714</v>
      </c>
      <c r="AW682" t="b">
        <f>Table67[[#This Row],[Midpoint ratio]]&gt;=Table67[[#This Row],[Threshold of Midpoint ratio]]</f>
        <v>0</v>
      </c>
      <c r="AX682" t="b">
        <f>OR(Table67[[#This Row],[Extreme Response Style]],Table67[[#This Row],[Mid-point Response Style]])</f>
        <v>0</v>
      </c>
      <c r="AY682" t="b">
        <f>OR(Table67[[#This Row],[Delete? (Stage 1)]],Table67[[#This Row],[Delete? (Stage 2)]])</f>
        <v>0</v>
      </c>
      <c r="AZ682" t="s">
        <v>84</v>
      </c>
    </row>
    <row r="683" spans="1:52">
      <c r="A683">
        <f t="shared" si="43"/>
        <v>682</v>
      </c>
      <c r="B683" s="3">
        <v>46049.737928240698</v>
      </c>
      <c r="C683" s="3">
        <v>46049.743819444397</v>
      </c>
      <c r="D683" t="s">
        <v>53</v>
      </c>
      <c r="G683" t="s">
        <v>54</v>
      </c>
      <c r="H683" t="s">
        <v>63</v>
      </c>
      <c r="I683" t="s">
        <v>56</v>
      </c>
      <c r="J683" t="s">
        <v>62</v>
      </c>
      <c r="K683" t="s">
        <v>62</v>
      </c>
      <c r="L683" t="s">
        <v>58</v>
      </c>
      <c r="M683" t="s">
        <v>58</v>
      </c>
      <c r="N683">
        <v>3</v>
      </c>
      <c r="O683">
        <v>4</v>
      </c>
      <c r="P683">
        <v>1</v>
      </c>
      <c r="Q683">
        <v>3</v>
      </c>
      <c r="R683">
        <v>2</v>
      </c>
      <c r="S683">
        <v>1</v>
      </c>
      <c r="T683">
        <v>1</v>
      </c>
      <c r="U683">
        <v>4</v>
      </c>
      <c r="V683">
        <v>5</v>
      </c>
      <c r="W683">
        <v>5</v>
      </c>
      <c r="X683">
        <v>2</v>
      </c>
      <c r="Y683">
        <v>4</v>
      </c>
      <c r="Z683">
        <v>5</v>
      </c>
      <c r="AA683">
        <v>4</v>
      </c>
      <c r="AB683">
        <v>3</v>
      </c>
      <c r="AC683">
        <v>2</v>
      </c>
      <c r="AD683">
        <v>4</v>
      </c>
      <c r="AE683">
        <v>2</v>
      </c>
      <c r="AF683">
        <v>3</v>
      </c>
      <c r="AG683">
        <v>3</v>
      </c>
      <c r="AH683">
        <v>4</v>
      </c>
      <c r="AI683">
        <v>2</v>
      </c>
      <c r="AJ683">
        <v>3</v>
      </c>
      <c r="AK683" t="b">
        <f>Table67[[#This Row],[What is your age?]]&lt;&gt;"18 - 25"</f>
        <v>0</v>
      </c>
      <c r="AL683" t="b">
        <f t="shared" si="40"/>
        <v>0</v>
      </c>
      <c r="AM683" t="b">
        <f t="shared" si="41"/>
        <v>0</v>
      </c>
      <c r="AN683" t="b">
        <f t="shared" si="42"/>
        <v>1</v>
      </c>
      <c r="AO683" t="b">
        <f>OR(Table67[[#This Row],[Ineligible respondents]:[Inconsistent response on opposite question (3)]])</f>
        <v>1</v>
      </c>
      <c r="AP68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683">
        <f>Table67[[#This Row],[Extreme Response]]/21</f>
        <v>0.2857142857142857</v>
      </c>
      <c r="AR683">
        <f>_xlfn.PERCENTILE.INC(Table67[Extrem Response Ratio (ERS)],0.9)</f>
        <v>0.61904761904761907</v>
      </c>
      <c r="AS683" t="b">
        <f>Table67[[#This Row],[Extrem Response Ratio (ERS)]]&gt;=Table67[[#This Row],[Threshold of ERS]]</f>
        <v>0</v>
      </c>
      <c r="AT683">
        <f>COUNTIF(Table67[[#This Row],[The mechanism of digital assets is difficult to understand, which discourages me from exploring it (E.g, Tokenization, Blockchain)]:[If I want to try different ways to invest, I will explore digital assets.]], 3)</f>
        <v>5</v>
      </c>
      <c r="AU683">
        <f>Table67[[#This Row],[Midpoint]]/21</f>
        <v>0.23809523809523808</v>
      </c>
      <c r="AV683">
        <f>_xlfn.PERCENTILE.INC(Table67[Midpoint ratio],0.9)</f>
        <v>0.5714285714285714</v>
      </c>
      <c r="AW683" t="b">
        <f>Table67[[#This Row],[Midpoint ratio]]&gt;=Table67[[#This Row],[Threshold of Midpoint ratio]]</f>
        <v>0</v>
      </c>
      <c r="AX683" t="b">
        <f>OR(Table67[[#This Row],[Extreme Response Style]],Table67[[#This Row],[Mid-point Response Style]])</f>
        <v>0</v>
      </c>
      <c r="AY683" t="b">
        <f>OR(Table67[[#This Row],[Delete? (Stage 1)]],Table67[[#This Row],[Delete? (Stage 2)]])</f>
        <v>1</v>
      </c>
      <c r="AZ683" t="s">
        <v>84</v>
      </c>
    </row>
    <row r="684" spans="1:52">
      <c r="A684">
        <f t="shared" si="43"/>
        <v>683</v>
      </c>
      <c r="B684" s="3">
        <v>46049.738194444399</v>
      </c>
      <c r="C684" s="3">
        <v>46049.740196759303</v>
      </c>
      <c r="D684" t="s">
        <v>53</v>
      </c>
      <c r="G684" t="s">
        <v>54</v>
      </c>
      <c r="H684" t="s">
        <v>55</v>
      </c>
      <c r="I684" t="s">
        <v>71</v>
      </c>
      <c r="J684" t="s">
        <v>62</v>
      </c>
      <c r="K684" t="s">
        <v>62</v>
      </c>
      <c r="L684" t="s">
        <v>61</v>
      </c>
      <c r="M684" t="s">
        <v>58</v>
      </c>
      <c r="N684">
        <v>3</v>
      </c>
      <c r="O684">
        <v>3</v>
      </c>
      <c r="P684">
        <v>3</v>
      </c>
      <c r="Q684">
        <v>4</v>
      </c>
      <c r="R684">
        <v>4</v>
      </c>
      <c r="S684">
        <v>3</v>
      </c>
      <c r="T684">
        <v>4</v>
      </c>
      <c r="U684">
        <v>3</v>
      </c>
      <c r="V684">
        <v>3</v>
      </c>
      <c r="W684">
        <v>4</v>
      </c>
      <c r="X684">
        <v>4</v>
      </c>
      <c r="Y684">
        <v>4</v>
      </c>
      <c r="Z684">
        <v>3</v>
      </c>
      <c r="AA684">
        <v>4</v>
      </c>
      <c r="AB684">
        <v>3</v>
      </c>
      <c r="AC684">
        <v>3</v>
      </c>
      <c r="AD684">
        <v>4</v>
      </c>
      <c r="AE684">
        <v>3</v>
      </c>
      <c r="AF684">
        <v>3</v>
      </c>
      <c r="AG684">
        <v>4</v>
      </c>
      <c r="AH684">
        <v>3</v>
      </c>
      <c r="AI684">
        <v>3</v>
      </c>
      <c r="AJ684">
        <v>3</v>
      </c>
      <c r="AK684" t="b">
        <f>Table67[[#This Row],[What is your age?]]&lt;&gt;"18 - 25"</f>
        <v>0</v>
      </c>
      <c r="AL684" t="b">
        <f t="shared" si="40"/>
        <v>0</v>
      </c>
      <c r="AM684" t="b">
        <f t="shared" si="41"/>
        <v>0</v>
      </c>
      <c r="AN684" t="b">
        <f t="shared" si="42"/>
        <v>1</v>
      </c>
      <c r="AO684" t="b">
        <f>OR(Table67[[#This Row],[Ineligible respondents]:[Inconsistent response on opposite question (3)]])</f>
        <v>1</v>
      </c>
      <c r="AP68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684">
        <f>Table67[[#This Row],[Extreme Response]]/21</f>
        <v>0</v>
      </c>
      <c r="AR684">
        <f>_xlfn.PERCENTILE.INC(Table67[Extrem Response Ratio (ERS)],0.9)</f>
        <v>0.61904761904761907</v>
      </c>
      <c r="AS684" t="b">
        <f>Table67[[#This Row],[Extrem Response Ratio (ERS)]]&gt;=Table67[[#This Row],[Threshold of ERS]]</f>
        <v>0</v>
      </c>
      <c r="AT684">
        <f>COUNTIF(Table67[[#This Row],[The mechanism of digital assets is difficult to understand, which discourages me from exploring it (E.g, Tokenization, Blockchain)]:[If I want to try different ways to invest, I will explore digital assets.]], 3)</f>
        <v>12</v>
      </c>
      <c r="AU684">
        <f>Table67[[#This Row],[Midpoint]]/21</f>
        <v>0.5714285714285714</v>
      </c>
      <c r="AV684">
        <f>_xlfn.PERCENTILE.INC(Table67[Midpoint ratio],0.9)</f>
        <v>0.5714285714285714</v>
      </c>
      <c r="AW684" t="b">
        <f>Table67[[#This Row],[Midpoint ratio]]&gt;=Table67[[#This Row],[Threshold of Midpoint ratio]]</f>
        <v>1</v>
      </c>
      <c r="AX684" t="b">
        <f>OR(Table67[[#This Row],[Extreme Response Style]],Table67[[#This Row],[Mid-point Response Style]])</f>
        <v>1</v>
      </c>
      <c r="AY684" t="b">
        <f>OR(Table67[[#This Row],[Delete? (Stage 1)]],Table67[[#This Row],[Delete? (Stage 2)]])</f>
        <v>1</v>
      </c>
      <c r="AZ684" t="s">
        <v>84</v>
      </c>
    </row>
    <row r="685" spans="1:52">
      <c r="A685">
        <f t="shared" si="43"/>
        <v>684</v>
      </c>
      <c r="B685" s="3">
        <v>46049.738530092603</v>
      </c>
      <c r="C685" s="3">
        <v>46049.740752314799</v>
      </c>
      <c r="D685" t="s">
        <v>53</v>
      </c>
      <c r="G685" t="s">
        <v>54</v>
      </c>
      <c r="H685" t="s">
        <v>63</v>
      </c>
      <c r="I685" t="s">
        <v>75</v>
      </c>
      <c r="J685" t="s">
        <v>62</v>
      </c>
      <c r="K685" t="s">
        <v>57</v>
      </c>
      <c r="L685" t="s">
        <v>58</v>
      </c>
      <c r="M685" t="s">
        <v>58</v>
      </c>
      <c r="N685">
        <v>4</v>
      </c>
      <c r="O685">
        <v>2</v>
      </c>
      <c r="P685">
        <v>4</v>
      </c>
      <c r="Q685">
        <v>2</v>
      </c>
      <c r="R685">
        <v>4</v>
      </c>
      <c r="S685">
        <v>2</v>
      </c>
      <c r="T685">
        <v>2</v>
      </c>
      <c r="U685">
        <v>4</v>
      </c>
      <c r="V685">
        <v>2</v>
      </c>
      <c r="W685">
        <v>4</v>
      </c>
      <c r="X685">
        <v>3</v>
      </c>
      <c r="Y685">
        <v>3</v>
      </c>
      <c r="Z685">
        <v>4</v>
      </c>
      <c r="AA685">
        <v>4</v>
      </c>
      <c r="AB685">
        <v>4</v>
      </c>
      <c r="AC685">
        <v>4</v>
      </c>
      <c r="AD685">
        <v>4</v>
      </c>
      <c r="AE685">
        <v>4</v>
      </c>
      <c r="AF685">
        <v>1</v>
      </c>
      <c r="AG685">
        <v>4</v>
      </c>
      <c r="AH685">
        <v>3</v>
      </c>
      <c r="AI685">
        <v>3</v>
      </c>
      <c r="AJ685">
        <v>5</v>
      </c>
      <c r="AK685" t="b">
        <f>Table67[[#This Row],[What is your age?]]&lt;&gt;"18 - 25"</f>
        <v>0</v>
      </c>
      <c r="AL685" t="b">
        <f t="shared" si="40"/>
        <v>0</v>
      </c>
      <c r="AM685" t="b">
        <f t="shared" si="41"/>
        <v>0</v>
      </c>
      <c r="AN685" t="b">
        <f t="shared" si="42"/>
        <v>1</v>
      </c>
      <c r="AO685" t="b">
        <f>OR(Table67[[#This Row],[Ineligible respondents]:[Inconsistent response on opposite question (3)]])</f>
        <v>1</v>
      </c>
      <c r="AP68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685">
        <f>Table67[[#This Row],[Extreme Response]]/21</f>
        <v>4.7619047619047616E-2</v>
      </c>
      <c r="AR685">
        <f>_xlfn.PERCENTILE.INC(Table67[Extrem Response Ratio (ERS)],0.9)</f>
        <v>0.61904761904761907</v>
      </c>
      <c r="AS685" t="b">
        <f>Table67[[#This Row],[Extrem Response Ratio (ERS)]]&gt;=Table67[[#This Row],[Threshold of ERS]]</f>
        <v>0</v>
      </c>
      <c r="AT685">
        <f>COUNTIF(Table67[[#This Row],[The mechanism of digital assets is difficult to understand, which discourages me from exploring it (E.g, Tokenization, Blockchain)]:[If I want to try different ways to invest, I will explore digital assets.]], 3)</f>
        <v>3</v>
      </c>
      <c r="AU685">
        <f>Table67[[#This Row],[Midpoint]]/21</f>
        <v>0.14285714285714285</v>
      </c>
      <c r="AV685">
        <f>_xlfn.PERCENTILE.INC(Table67[Midpoint ratio],0.9)</f>
        <v>0.5714285714285714</v>
      </c>
      <c r="AW685" t="b">
        <f>Table67[[#This Row],[Midpoint ratio]]&gt;=Table67[[#This Row],[Threshold of Midpoint ratio]]</f>
        <v>0</v>
      </c>
      <c r="AX685" t="b">
        <f>OR(Table67[[#This Row],[Extreme Response Style]],Table67[[#This Row],[Mid-point Response Style]])</f>
        <v>0</v>
      </c>
      <c r="AY685" t="b">
        <f>OR(Table67[[#This Row],[Delete? (Stage 1)]],Table67[[#This Row],[Delete? (Stage 2)]])</f>
        <v>1</v>
      </c>
      <c r="AZ685" t="s">
        <v>84</v>
      </c>
    </row>
    <row r="686" spans="1:52">
      <c r="A686">
        <f t="shared" si="43"/>
        <v>685</v>
      </c>
      <c r="B686" s="3">
        <v>46049.738541666702</v>
      </c>
      <c r="C686" s="3">
        <v>46049.743136574099</v>
      </c>
      <c r="D686" t="s">
        <v>53</v>
      </c>
      <c r="G686" t="s">
        <v>54</v>
      </c>
      <c r="H686" t="s">
        <v>63</v>
      </c>
      <c r="I686" t="s">
        <v>75</v>
      </c>
      <c r="J686" t="s">
        <v>62</v>
      </c>
      <c r="K686" t="s">
        <v>60</v>
      </c>
      <c r="L686" t="s">
        <v>58</v>
      </c>
      <c r="M686" t="s">
        <v>58</v>
      </c>
      <c r="N686">
        <v>3</v>
      </c>
      <c r="O686">
        <v>1</v>
      </c>
      <c r="P686">
        <v>3</v>
      </c>
      <c r="Q686">
        <v>4</v>
      </c>
      <c r="R686">
        <v>3</v>
      </c>
      <c r="S686">
        <v>5</v>
      </c>
      <c r="T686">
        <v>2</v>
      </c>
      <c r="U686">
        <v>3</v>
      </c>
      <c r="V686">
        <v>4</v>
      </c>
      <c r="W686">
        <v>4</v>
      </c>
      <c r="X686">
        <v>4</v>
      </c>
      <c r="Y686">
        <v>4</v>
      </c>
      <c r="Z686">
        <v>3</v>
      </c>
      <c r="AA686">
        <v>3</v>
      </c>
      <c r="AB686">
        <v>2</v>
      </c>
      <c r="AC686">
        <v>2</v>
      </c>
      <c r="AD686">
        <v>3</v>
      </c>
      <c r="AE686">
        <v>4</v>
      </c>
      <c r="AF686">
        <v>4</v>
      </c>
      <c r="AG686">
        <v>2</v>
      </c>
      <c r="AH686">
        <v>4</v>
      </c>
      <c r="AI686">
        <v>2</v>
      </c>
      <c r="AJ686">
        <v>2</v>
      </c>
      <c r="AK686" t="b">
        <f>Table67[[#This Row],[What is your age?]]&lt;&gt;"18 - 25"</f>
        <v>0</v>
      </c>
      <c r="AL686" t="b">
        <f t="shared" si="40"/>
        <v>0</v>
      </c>
      <c r="AM686" t="b">
        <f t="shared" si="41"/>
        <v>0</v>
      </c>
      <c r="AN686" t="b">
        <f t="shared" si="42"/>
        <v>0</v>
      </c>
      <c r="AO686" t="b">
        <f>OR(Table67[[#This Row],[Ineligible respondents]:[Inconsistent response on opposite question (3)]])</f>
        <v>0</v>
      </c>
      <c r="AP68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686">
        <f>Table67[[#This Row],[Extreme Response]]/21</f>
        <v>9.5238095238095233E-2</v>
      </c>
      <c r="AR686">
        <f>_xlfn.PERCENTILE.INC(Table67[Extrem Response Ratio (ERS)],0.9)</f>
        <v>0.61904761904761907</v>
      </c>
      <c r="AS686" t="b">
        <f>Table67[[#This Row],[Extrem Response Ratio (ERS)]]&gt;=Table67[[#This Row],[Threshold of ERS]]</f>
        <v>0</v>
      </c>
      <c r="AT686">
        <f>COUNTIF(Table67[[#This Row],[The mechanism of digital assets is difficult to understand, which discourages me from exploring it (E.g, Tokenization, Blockchain)]:[If I want to try different ways to invest, I will explore digital assets.]], 3)</f>
        <v>7</v>
      </c>
      <c r="AU686">
        <f>Table67[[#This Row],[Midpoint]]/21</f>
        <v>0.33333333333333331</v>
      </c>
      <c r="AV686">
        <f>_xlfn.PERCENTILE.INC(Table67[Midpoint ratio],0.9)</f>
        <v>0.5714285714285714</v>
      </c>
      <c r="AW686" t="b">
        <f>Table67[[#This Row],[Midpoint ratio]]&gt;=Table67[[#This Row],[Threshold of Midpoint ratio]]</f>
        <v>0</v>
      </c>
      <c r="AX686" t="b">
        <f>OR(Table67[[#This Row],[Extreme Response Style]],Table67[[#This Row],[Mid-point Response Style]])</f>
        <v>0</v>
      </c>
      <c r="AY686" t="b">
        <f>OR(Table67[[#This Row],[Delete? (Stage 1)]],Table67[[#This Row],[Delete? (Stage 2)]])</f>
        <v>0</v>
      </c>
      <c r="AZ686" t="s">
        <v>84</v>
      </c>
    </row>
    <row r="687" spans="1:52">
      <c r="A687">
        <f t="shared" si="43"/>
        <v>686</v>
      </c>
      <c r="B687" s="3">
        <v>46049.738692129598</v>
      </c>
      <c r="C687" s="3">
        <v>46049.7433564815</v>
      </c>
      <c r="D687" t="s">
        <v>53</v>
      </c>
      <c r="G687" t="s">
        <v>54</v>
      </c>
      <c r="H687" t="s">
        <v>55</v>
      </c>
      <c r="I687" t="s">
        <v>56</v>
      </c>
      <c r="J687" t="s">
        <v>64</v>
      </c>
      <c r="K687" t="s">
        <v>62</v>
      </c>
      <c r="L687" t="s">
        <v>61</v>
      </c>
      <c r="M687" t="s">
        <v>61</v>
      </c>
      <c r="N687">
        <v>1</v>
      </c>
      <c r="O687">
        <v>1</v>
      </c>
      <c r="P687">
        <v>5</v>
      </c>
      <c r="Q687">
        <v>4</v>
      </c>
      <c r="R687">
        <v>1</v>
      </c>
      <c r="S687">
        <v>4</v>
      </c>
      <c r="T687">
        <v>1</v>
      </c>
      <c r="U687">
        <v>1</v>
      </c>
      <c r="V687">
        <v>5</v>
      </c>
      <c r="W687">
        <v>5</v>
      </c>
      <c r="X687">
        <v>1</v>
      </c>
      <c r="Y687">
        <v>5</v>
      </c>
      <c r="Z687">
        <v>1</v>
      </c>
      <c r="AA687">
        <v>1</v>
      </c>
      <c r="AB687">
        <v>1</v>
      </c>
      <c r="AC687">
        <v>1</v>
      </c>
      <c r="AD687">
        <v>5</v>
      </c>
      <c r="AE687">
        <v>5</v>
      </c>
      <c r="AF687">
        <v>5</v>
      </c>
      <c r="AG687">
        <v>1</v>
      </c>
      <c r="AH687">
        <v>5</v>
      </c>
      <c r="AI687">
        <v>1</v>
      </c>
      <c r="AJ687">
        <v>1</v>
      </c>
      <c r="AK687" t="b">
        <f>Table67[[#This Row],[What is your age?]]&lt;&gt;"18 - 25"</f>
        <v>0</v>
      </c>
      <c r="AL687" t="b">
        <f t="shared" si="40"/>
        <v>0</v>
      </c>
      <c r="AM687" t="b">
        <f t="shared" si="41"/>
        <v>0</v>
      </c>
      <c r="AN687" t="b">
        <f t="shared" si="42"/>
        <v>0</v>
      </c>
      <c r="AO687" t="b">
        <f>OR(Table67[[#This Row],[Ineligible respondents]:[Inconsistent response on opposite question (3)]])</f>
        <v>0</v>
      </c>
      <c r="AP68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19</v>
      </c>
      <c r="AQ687">
        <f>Table67[[#This Row],[Extreme Response]]/21</f>
        <v>0.90476190476190477</v>
      </c>
      <c r="AR687">
        <f>_xlfn.PERCENTILE.INC(Table67[Extrem Response Ratio (ERS)],0.9)</f>
        <v>0.61904761904761907</v>
      </c>
      <c r="AS687" t="b">
        <f>Table67[[#This Row],[Extrem Response Ratio (ERS)]]&gt;=Table67[[#This Row],[Threshold of ERS]]</f>
        <v>1</v>
      </c>
      <c r="AT687">
        <f>COUNTIF(Table67[[#This Row],[The mechanism of digital assets is difficult to understand, which discourages me from exploring it (E.g, Tokenization, Blockchain)]:[If I want to try different ways to invest, I will explore digital assets.]], 3)</f>
        <v>0</v>
      </c>
      <c r="AU687">
        <f>Table67[[#This Row],[Midpoint]]/21</f>
        <v>0</v>
      </c>
      <c r="AV687">
        <f>_xlfn.PERCENTILE.INC(Table67[Midpoint ratio],0.9)</f>
        <v>0.5714285714285714</v>
      </c>
      <c r="AW687" t="b">
        <f>Table67[[#This Row],[Midpoint ratio]]&gt;=Table67[[#This Row],[Threshold of Midpoint ratio]]</f>
        <v>0</v>
      </c>
      <c r="AX687" t="b">
        <f>OR(Table67[[#This Row],[Extreme Response Style]],Table67[[#This Row],[Mid-point Response Style]])</f>
        <v>1</v>
      </c>
      <c r="AY687" t="b">
        <f>OR(Table67[[#This Row],[Delete? (Stage 1)]],Table67[[#This Row],[Delete? (Stage 2)]])</f>
        <v>1</v>
      </c>
      <c r="AZ687" t="s">
        <v>84</v>
      </c>
    </row>
    <row r="688" spans="1:52">
      <c r="A688">
        <f t="shared" si="43"/>
        <v>687</v>
      </c>
      <c r="B688" s="3">
        <v>46049.738831018498</v>
      </c>
      <c r="C688" s="3">
        <v>46049.741886574098</v>
      </c>
      <c r="D688" t="s">
        <v>53</v>
      </c>
      <c r="G688" t="s">
        <v>54</v>
      </c>
      <c r="H688" t="s">
        <v>55</v>
      </c>
      <c r="I688" t="s">
        <v>75</v>
      </c>
      <c r="J688" t="s">
        <v>57</v>
      </c>
      <c r="K688" t="s">
        <v>62</v>
      </c>
      <c r="L688" t="s">
        <v>58</v>
      </c>
      <c r="M688" t="s">
        <v>58</v>
      </c>
      <c r="N688">
        <v>4</v>
      </c>
      <c r="O688">
        <v>4</v>
      </c>
      <c r="P688">
        <v>5</v>
      </c>
      <c r="Q688">
        <v>5</v>
      </c>
      <c r="R688">
        <v>2</v>
      </c>
      <c r="S688">
        <v>2</v>
      </c>
      <c r="T688">
        <v>3</v>
      </c>
      <c r="U688">
        <v>5</v>
      </c>
      <c r="V688">
        <v>5</v>
      </c>
      <c r="W688">
        <v>5</v>
      </c>
      <c r="X688">
        <v>4</v>
      </c>
      <c r="Y688">
        <v>4</v>
      </c>
      <c r="Z688">
        <v>5</v>
      </c>
      <c r="AA688">
        <v>4</v>
      </c>
      <c r="AB688">
        <v>3</v>
      </c>
      <c r="AC688">
        <v>3</v>
      </c>
      <c r="AD688">
        <v>4</v>
      </c>
      <c r="AE688">
        <v>4</v>
      </c>
      <c r="AF688">
        <v>3</v>
      </c>
      <c r="AG688">
        <v>4</v>
      </c>
      <c r="AH688">
        <v>5</v>
      </c>
      <c r="AI688">
        <v>1</v>
      </c>
      <c r="AJ688">
        <v>3</v>
      </c>
      <c r="AK688" t="b">
        <f>Table67[[#This Row],[What is your age?]]&lt;&gt;"18 - 25"</f>
        <v>0</v>
      </c>
      <c r="AL688" t="b">
        <f t="shared" si="40"/>
        <v>0</v>
      </c>
      <c r="AM688" t="b">
        <f t="shared" si="41"/>
        <v>1</v>
      </c>
      <c r="AN688" t="b">
        <f t="shared" si="42"/>
        <v>0</v>
      </c>
      <c r="AO688" t="b">
        <f>OR(Table67[[#This Row],[Ineligible respondents]:[Inconsistent response on opposite question (3)]])</f>
        <v>1</v>
      </c>
      <c r="AP68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688">
        <f>Table67[[#This Row],[Extreme Response]]/21</f>
        <v>0.33333333333333331</v>
      </c>
      <c r="AR688">
        <f>_xlfn.PERCENTILE.INC(Table67[Extrem Response Ratio (ERS)],0.9)</f>
        <v>0.61904761904761907</v>
      </c>
      <c r="AS688" t="b">
        <f>Table67[[#This Row],[Extrem Response Ratio (ERS)]]&gt;=Table67[[#This Row],[Threshold of ERS]]</f>
        <v>0</v>
      </c>
      <c r="AT688">
        <f>COUNTIF(Table67[[#This Row],[The mechanism of digital assets is difficult to understand, which discourages me from exploring it (E.g, Tokenization, Blockchain)]:[If I want to try different ways to invest, I will explore digital assets.]], 3)</f>
        <v>4</v>
      </c>
      <c r="AU688">
        <f>Table67[[#This Row],[Midpoint]]/21</f>
        <v>0.19047619047619047</v>
      </c>
      <c r="AV688">
        <f>_xlfn.PERCENTILE.INC(Table67[Midpoint ratio],0.9)</f>
        <v>0.5714285714285714</v>
      </c>
      <c r="AW688" t="b">
        <f>Table67[[#This Row],[Midpoint ratio]]&gt;=Table67[[#This Row],[Threshold of Midpoint ratio]]</f>
        <v>0</v>
      </c>
      <c r="AX688" t="b">
        <f>OR(Table67[[#This Row],[Extreme Response Style]],Table67[[#This Row],[Mid-point Response Style]])</f>
        <v>0</v>
      </c>
      <c r="AY688" t="b">
        <f>OR(Table67[[#This Row],[Delete? (Stage 1)]],Table67[[#This Row],[Delete? (Stage 2)]])</f>
        <v>1</v>
      </c>
      <c r="AZ688" t="s">
        <v>84</v>
      </c>
    </row>
    <row r="689" spans="1:52">
      <c r="A689">
        <f t="shared" si="43"/>
        <v>688</v>
      </c>
      <c r="B689" s="3">
        <v>46049.738888888904</v>
      </c>
      <c r="C689" s="3">
        <v>46049.746782407397</v>
      </c>
      <c r="D689" t="s">
        <v>53</v>
      </c>
      <c r="G689" t="s">
        <v>54</v>
      </c>
      <c r="H689" t="s">
        <v>55</v>
      </c>
      <c r="I689" t="s">
        <v>56</v>
      </c>
      <c r="J689" t="s">
        <v>60</v>
      </c>
      <c r="K689" t="s">
        <v>64</v>
      </c>
      <c r="L689" t="s">
        <v>58</v>
      </c>
      <c r="M689" t="s">
        <v>58</v>
      </c>
      <c r="N689">
        <v>2</v>
      </c>
      <c r="O689">
        <v>2</v>
      </c>
      <c r="P689">
        <v>4</v>
      </c>
      <c r="Q689">
        <v>3</v>
      </c>
      <c r="R689">
        <v>2</v>
      </c>
      <c r="S689">
        <v>4</v>
      </c>
      <c r="T689">
        <v>2</v>
      </c>
      <c r="U689">
        <v>4</v>
      </c>
      <c r="V689">
        <v>2</v>
      </c>
      <c r="W689">
        <v>4</v>
      </c>
      <c r="X689">
        <v>3</v>
      </c>
      <c r="Y689">
        <v>2</v>
      </c>
      <c r="Z689">
        <v>2</v>
      </c>
      <c r="AA689">
        <v>2</v>
      </c>
      <c r="AB689">
        <v>2</v>
      </c>
      <c r="AC689">
        <v>2</v>
      </c>
      <c r="AD689">
        <v>4</v>
      </c>
      <c r="AE689">
        <v>4</v>
      </c>
      <c r="AF689">
        <v>4</v>
      </c>
      <c r="AG689">
        <v>3</v>
      </c>
      <c r="AH689">
        <v>3</v>
      </c>
      <c r="AI689">
        <v>3</v>
      </c>
      <c r="AJ689">
        <v>2</v>
      </c>
      <c r="AK689" t="b">
        <f>Table67[[#This Row],[What is your age?]]&lt;&gt;"18 - 25"</f>
        <v>0</v>
      </c>
      <c r="AL689" t="b">
        <f t="shared" si="40"/>
        <v>0</v>
      </c>
      <c r="AM689" t="b">
        <f t="shared" si="41"/>
        <v>0</v>
      </c>
      <c r="AN689" t="b">
        <f t="shared" si="42"/>
        <v>0</v>
      </c>
      <c r="AO689" t="b">
        <f>OR(Table67[[#This Row],[Ineligible respondents]:[Inconsistent response on opposite question (3)]])</f>
        <v>0</v>
      </c>
      <c r="AP68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689">
        <f>Table67[[#This Row],[Extreme Response]]/21</f>
        <v>0</v>
      </c>
      <c r="AR689">
        <f>_xlfn.PERCENTILE.INC(Table67[Extrem Response Ratio (ERS)],0.9)</f>
        <v>0.61904761904761907</v>
      </c>
      <c r="AS689" t="b">
        <f>Table67[[#This Row],[Extrem Response Ratio (ERS)]]&gt;=Table67[[#This Row],[Threshold of ERS]]</f>
        <v>0</v>
      </c>
      <c r="AT689">
        <f>COUNTIF(Table67[[#This Row],[The mechanism of digital assets is difficult to understand, which discourages me from exploring it (E.g, Tokenization, Blockchain)]:[If I want to try different ways to invest, I will explore digital assets.]], 3)</f>
        <v>4</v>
      </c>
      <c r="AU689">
        <f>Table67[[#This Row],[Midpoint]]/21</f>
        <v>0.19047619047619047</v>
      </c>
      <c r="AV689">
        <f>_xlfn.PERCENTILE.INC(Table67[Midpoint ratio],0.9)</f>
        <v>0.5714285714285714</v>
      </c>
      <c r="AW689" t="b">
        <f>Table67[[#This Row],[Midpoint ratio]]&gt;=Table67[[#This Row],[Threshold of Midpoint ratio]]</f>
        <v>0</v>
      </c>
      <c r="AX689" t="b">
        <f>OR(Table67[[#This Row],[Extreme Response Style]],Table67[[#This Row],[Mid-point Response Style]])</f>
        <v>0</v>
      </c>
      <c r="AY689" t="b">
        <f>OR(Table67[[#This Row],[Delete? (Stage 1)]],Table67[[#This Row],[Delete? (Stage 2)]])</f>
        <v>0</v>
      </c>
      <c r="AZ689" t="s">
        <v>84</v>
      </c>
    </row>
    <row r="690" spans="1:52">
      <c r="A690">
        <f t="shared" si="43"/>
        <v>689</v>
      </c>
      <c r="B690" s="3">
        <v>46049.739201388897</v>
      </c>
      <c r="C690" s="3">
        <v>46049.744293981501</v>
      </c>
      <c r="D690" t="s">
        <v>53</v>
      </c>
      <c r="G690" t="s">
        <v>54</v>
      </c>
      <c r="H690" t="s">
        <v>55</v>
      </c>
      <c r="I690" t="s">
        <v>56</v>
      </c>
      <c r="J690" t="s">
        <v>62</v>
      </c>
      <c r="K690" t="s">
        <v>62</v>
      </c>
      <c r="L690" t="s">
        <v>58</v>
      </c>
      <c r="M690" t="s">
        <v>61</v>
      </c>
      <c r="N690">
        <v>1</v>
      </c>
      <c r="O690">
        <v>1</v>
      </c>
      <c r="P690">
        <v>1</v>
      </c>
      <c r="Q690">
        <v>1</v>
      </c>
      <c r="R690">
        <v>3</v>
      </c>
      <c r="S690">
        <v>3</v>
      </c>
      <c r="T690">
        <v>2</v>
      </c>
      <c r="U690">
        <v>4</v>
      </c>
      <c r="V690">
        <v>4</v>
      </c>
      <c r="W690">
        <v>4</v>
      </c>
      <c r="X690">
        <v>4</v>
      </c>
      <c r="Y690">
        <v>2</v>
      </c>
      <c r="Z690">
        <v>3</v>
      </c>
      <c r="AA690">
        <v>3</v>
      </c>
      <c r="AB690">
        <v>4</v>
      </c>
      <c r="AC690">
        <v>4</v>
      </c>
      <c r="AD690">
        <v>2</v>
      </c>
      <c r="AE690">
        <v>2</v>
      </c>
      <c r="AF690">
        <v>3</v>
      </c>
      <c r="AG690">
        <v>4</v>
      </c>
      <c r="AH690">
        <v>3</v>
      </c>
      <c r="AI690">
        <v>3</v>
      </c>
      <c r="AJ690">
        <v>3</v>
      </c>
      <c r="AK690" t="b">
        <f>Table67[[#This Row],[What is your age?]]&lt;&gt;"18 - 25"</f>
        <v>0</v>
      </c>
      <c r="AL690" t="b">
        <f t="shared" si="40"/>
        <v>0</v>
      </c>
      <c r="AM690" t="b">
        <f t="shared" si="41"/>
        <v>0</v>
      </c>
      <c r="AN690" t="b">
        <f t="shared" si="42"/>
        <v>1</v>
      </c>
      <c r="AO690" t="b">
        <f>OR(Table67[[#This Row],[Ineligible respondents]:[Inconsistent response on opposite question (3)]])</f>
        <v>1</v>
      </c>
      <c r="AP69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690">
        <f>Table67[[#This Row],[Extreme Response]]/21</f>
        <v>0.19047619047619047</v>
      </c>
      <c r="AR690">
        <f>_xlfn.PERCENTILE.INC(Table67[Extrem Response Ratio (ERS)],0.9)</f>
        <v>0.61904761904761907</v>
      </c>
      <c r="AS690" t="b">
        <f>Table67[[#This Row],[Extrem Response Ratio (ERS)]]&gt;=Table67[[#This Row],[Threshold of ERS]]</f>
        <v>0</v>
      </c>
      <c r="AT690">
        <f>COUNTIF(Table67[[#This Row],[The mechanism of digital assets is difficult to understand, which discourages me from exploring it (E.g, Tokenization, Blockchain)]:[If I want to try different ways to invest, I will explore digital assets.]], 3)</f>
        <v>6</v>
      </c>
      <c r="AU690">
        <f>Table67[[#This Row],[Midpoint]]/21</f>
        <v>0.2857142857142857</v>
      </c>
      <c r="AV690">
        <f>_xlfn.PERCENTILE.INC(Table67[Midpoint ratio],0.9)</f>
        <v>0.5714285714285714</v>
      </c>
      <c r="AW690" t="b">
        <f>Table67[[#This Row],[Midpoint ratio]]&gt;=Table67[[#This Row],[Threshold of Midpoint ratio]]</f>
        <v>0</v>
      </c>
      <c r="AX690" t="b">
        <f>OR(Table67[[#This Row],[Extreme Response Style]],Table67[[#This Row],[Mid-point Response Style]])</f>
        <v>0</v>
      </c>
      <c r="AY690" t="b">
        <f>OR(Table67[[#This Row],[Delete? (Stage 1)]],Table67[[#This Row],[Delete? (Stage 2)]])</f>
        <v>1</v>
      </c>
      <c r="AZ690" t="s">
        <v>84</v>
      </c>
    </row>
    <row r="691" spans="1:52">
      <c r="A691">
        <f t="shared" si="43"/>
        <v>690</v>
      </c>
      <c r="B691" s="3">
        <v>46049.739351851902</v>
      </c>
      <c r="C691" s="3">
        <v>46049.742361111101</v>
      </c>
      <c r="D691" t="s">
        <v>53</v>
      </c>
      <c r="G691" t="s">
        <v>54</v>
      </c>
      <c r="H691" t="s">
        <v>55</v>
      </c>
      <c r="I691" t="s">
        <v>71</v>
      </c>
      <c r="J691" t="s">
        <v>62</v>
      </c>
      <c r="K691" t="s">
        <v>62</v>
      </c>
      <c r="L691" t="s">
        <v>58</v>
      </c>
      <c r="M691" t="s">
        <v>58</v>
      </c>
      <c r="N691">
        <v>3</v>
      </c>
      <c r="O691">
        <v>2</v>
      </c>
      <c r="P691">
        <v>2</v>
      </c>
      <c r="Q691">
        <v>3</v>
      </c>
      <c r="R691">
        <v>4</v>
      </c>
      <c r="S691">
        <v>3</v>
      </c>
      <c r="T691">
        <v>1</v>
      </c>
      <c r="U691">
        <v>2</v>
      </c>
      <c r="V691">
        <v>4</v>
      </c>
      <c r="W691">
        <v>5</v>
      </c>
      <c r="X691">
        <v>3</v>
      </c>
      <c r="Y691">
        <v>4</v>
      </c>
      <c r="Z691">
        <v>5</v>
      </c>
      <c r="AA691">
        <v>3</v>
      </c>
      <c r="AB691">
        <v>4</v>
      </c>
      <c r="AC691">
        <v>3</v>
      </c>
      <c r="AD691">
        <v>3</v>
      </c>
      <c r="AE691">
        <v>2</v>
      </c>
      <c r="AF691">
        <v>4</v>
      </c>
      <c r="AG691">
        <v>3</v>
      </c>
      <c r="AH691">
        <v>4</v>
      </c>
      <c r="AI691">
        <v>2</v>
      </c>
      <c r="AJ691">
        <v>2</v>
      </c>
      <c r="AK691" t="b">
        <f>Table67[[#This Row],[What is your age?]]&lt;&gt;"18 - 25"</f>
        <v>0</v>
      </c>
      <c r="AL691" t="b">
        <f t="shared" si="40"/>
        <v>0</v>
      </c>
      <c r="AM691" t="b">
        <f t="shared" si="41"/>
        <v>0</v>
      </c>
      <c r="AN691" t="b">
        <f t="shared" si="42"/>
        <v>1</v>
      </c>
      <c r="AO691" t="b">
        <f>OR(Table67[[#This Row],[Ineligible respondents]:[Inconsistent response on opposite question (3)]])</f>
        <v>1</v>
      </c>
      <c r="AP69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691">
        <f>Table67[[#This Row],[Extreme Response]]/21</f>
        <v>0.14285714285714285</v>
      </c>
      <c r="AR691">
        <f>_xlfn.PERCENTILE.INC(Table67[Extrem Response Ratio (ERS)],0.9)</f>
        <v>0.61904761904761907</v>
      </c>
      <c r="AS691" t="b">
        <f>Table67[[#This Row],[Extrem Response Ratio (ERS)]]&gt;=Table67[[#This Row],[Threshold of ERS]]</f>
        <v>0</v>
      </c>
      <c r="AT691">
        <f>COUNTIF(Table67[[#This Row],[The mechanism of digital assets is difficult to understand, which discourages me from exploring it (E.g, Tokenization, Blockchain)]:[If I want to try different ways to invest, I will explore digital assets.]], 3)</f>
        <v>8</v>
      </c>
      <c r="AU691">
        <f>Table67[[#This Row],[Midpoint]]/21</f>
        <v>0.38095238095238093</v>
      </c>
      <c r="AV691">
        <f>_xlfn.PERCENTILE.INC(Table67[Midpoint ratio],0.9)</f>
        <v>0.5714285714285714</v>
      </c>
      <c r="AW691" t="b">
        <f>Table67[[#This Row],[Midpoint ratio]]&gt;=Table67[[#This Row],[Threshold of Midpoint ratio]]</f>
        <v>0</v>
      </c>
      <c r="AX691" t="b">
        <f>OR(Table67[[#This Row],[Extreme Response Style]],Table67[[#This Row],[Mid-point Response Style]])</f>
        <v>0</v>
      </c>
      <c r="AY691" t="b">
        <f>OR(Table67[[#This Row],[Delete? (Stage 1)]],Table67[[#This Row],[Delete? (Stage 2)]])</f>
        <v>1</v>
      </c>
      <c r="AZ691" t="s">
        <v>84</v>
      </c>
    </row>
    <row r="692" spans="1:52">
      <c r="A692">
        <f t="shared" si="43"/>
        <v>691</v>
      </c>
      <c r="B692" s="3">
        <v>46049.739351851902</v>
      </c>
      <c r="C692" s="3">
        <v>46049.744062500002</v>
      </c>
      <c r="D692" t="s">
        <v>53</v>
      </c>
      <c r="G692" t="s">
        <v>54</v>
      </c>
      <c r="H692" t="s">
        <v>63</v>
      </c>
      <c r="I692" t="s">
        <v>56</v>
      </c>
      <c r="J692" t="s">
        <v>68</v>
      </c>
      <c r="K692" t="s">
        <v>57</v>
      </c>
      <c r="L692" t="s">
        <v>58</v>
      </c>
      <c r="M692" t="s">
        <v>58</v>
      </c>
      <c r="N692">
        <v>2</v>
      </c>
      <c r="O692">
        <v>5</v>
      </c>
      <c r="P692">
        <v>4</v>
      </c>
      <c r="Q692">
        <v>4</v>
      </c>
      <c r="R692">
        <v>3</v>
      </c>
      <c r="S692">
        <v>5</v>
      </c>
      <c r="T692">
        <v>2</v>
      </c>
      <c r="U692">
        <v>4</v>
      </c>
      <c r="V692">
        <v>4</v>
      </c>
      <c r="W692">
        <v>4</v>
      </c>
      <c r="X692">
        <v>5</v>
      </c>
      <c r="Y692">
        <v>5</v>
      </c>
      <c r="Z692">
        <v>4</v>
      </c>
      <c r="AA692">
        <v>4</v>
      </c>
      <c r="AB692">
        <v>3</v>
      </c>
      <c r="AC692">
        <v>3</v>
      </c>
      <c r="AD692">
        <v>4</v>
      </c>
      <c r="AE692">
        <v>3</v>
      </c>
      <c r="AF692">
        <v>3</v>
      </c>
      <c r="AG692">
        <v>4</v>
      </c>
      <c r="AH692">
        <v>3</v>
      </c>
      <c r="AI692">
        <v>3</v>
      </c>
      <c r="AJ692">
        <v>3</v>
      </c>
      <c r="AK692" t="b">
        <f>Table67[[#This Row],[What is your age?]]&lt;&gt;"18 - 25"</f>
        <v>0</v>
      </c>
      <c r="AL692" t="b">
        <f t="shared" si="40"/>
        <v>0</v>
      </c>
      <c r="AM692" t="b">
        <f t="shared" si="41"/>
        <v>0</v>
      </c>
      <c r="AN692" t="b">
        <f t="shared" si="42"/>
        <v>1</v>
      </c>
      <c r="AO692" t="b">
        <f>OR(Table67[[#This Row],[Ineligible respondents]:[Inconsistent response on opposite question (3)]])</f>
        <v>1</v>
      </c>
      <c r="AP69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692">
        <f>Table67[[#This Row],[Extreme Response]]/21</f>
        <v>0.19047619047619047</v>
      </c>
      <c r="AR692">
        <f>_xlfn.PERCENTILE.INC(Table67[Extrem Response Ratio (ERS)],0.9)</f>
        <v>0.61904761904761907</v>
      </c>
      <c r="AS692" t="b">
        <f>Table67[[#This Row],[Extrem Response Ratio (ERS)]]&gt;=Table67[[#This Row],[Threshold of ERS]]</f>
        <v>0</v>
      </c>
      <c r="AT692">
        <f>COUNTIF(Table67[[#This Row],[The mechanism of digital assets is difficult to understand, which discourages me from exploring it (E.g, Tokenization, Blockchain)]:[If I want to try different ways to invest, I will explore digital assets.]], 3)</f>
        <v>6</v>
      </c>
      <c r="AU692">
        <f>Table67[[#This Row],[Midpoint]]/21</f>
        <v>0.2857142857142857</v>
      </c>
      <c r="AV692">
        <f>_xlfn.PERCENTILE.INC(Table67[Midpoint ratio],0.9)</f>
        <v>0.5714285714285714</v>
      </c>
      <c r="AW692" t="b">
        <f>Table67[[#This Row],[Midpoint ratio]]&gt;=Table67[[#This Row],[Threshold of Midpoint ratio]]</f>
        <v>0</v>
      </c>
      <c r="AX692" t="b">
        <f>OR(Table67[[#This Row],[Extreme Response Style]],Table67[[#This Row],[Mid-point Response Style]])</f>
        <v>0</v>
      </c>
      <c r="AY692" t="b">
        <f>OR(Table67[[#This Row],[Delete? (Stage 1)]],Table67[[#This Row],[Delete? (Stage 2)]])</f>
        <v>1</v>
      </c>
      <c r="AZ692" t="s">
        <v>84</v>
      </c>
    </row>
    <row r="693" spans="1:52">
      <c r="A693">
        <f t="shared" si="43"/>
        <v>692</v>
      </c>
      <c r="B693" s="3">
        <v>46049.739513888897</v>
      </c>
      <c r="C693" s="3">
        <v>46049.743645833303</v>
      </c>
      <c r="D693" t="s">
        <v>53</v>
      </c>
      <c r="G693" t="s">
        <v>54</v>
      </c>
      <c r="H693" t="s">
        <v>55</v>
      </c>
      <c r="I693" t="s">
        <v>56</v>
      </c>
      <c r="J693" t="s">
        <v>62</v>
      </c>
      <c r="K693" t="s">
        <v>62</v>
      </c>
      <c r="L693" t="s">
        <v>61</v>
      </c>
      <c r="M693" t="s">
        <v>58</v>
      </c>
      <c r="N693">
        <v>3</v>
      </c>
      <c r="O693">
        <v>2</v>
      </c>
      <c r="P693">
        <v>5</v>
      </c>
      <c r="Q693">
        <v>2</v>
      </c>
      <c r="R693">
        <v>3</v>
      </c>
      <c r="S693">
        <v>5</v>
      </c>
      <c r="T693">
        <v>2</v>
      </c>
      <c r="U693">
        <v>2</v>
      </c>
      <c r="V693">
        <v>4</v>
      </c>
      <c r="W693">
        <v>4</v>
      </c>
      <c r="X693">
        <v>5</v>
      </c>
      <c r="Y693">
        <v>4</v>
      </c>
      <c r="Z693">
        <v>4</v>
      </c>
      <c r="AA693">
        <v>5</v>
      </c>
      <c r="AB693">
        <v>2</v>
      </c>
      <c r="AC693">
        <v>2</v>
      </c>
      <c r="AD693">
        <v>4</v>
      </c>
      <c r="AE693">
        <v>2</v>
      </c>
      <c r="AF693">
        <v>4</v>
      </c>
      <c r="AG693">
        <v>3</v>
      </c>
      <c r="AH693">
        <v>4</v>
      </c>
      <c r="AI693">
        <v>2</v>
      </c>
      <c r="AJ693">
        <v>2</v>
      </c>
      <c r="AK693" t="b">
        <f>Table67[[#This Row],[What is your age?]]&lt;&gt;"18 - 25"</f>
        <v>0</v>
      </c>
      <c r="AL693" t="b">
        <f t="shared" si="40"/>
        <v>0</v>
      </c>
      <c r="AM693" t="b">
        <f t="shared" si="41"/>
        <v>0</v>
      </c>
      <c r="AN693" t="b">
        <f t="shared" si="42"/>
        <v>1</v>
      </c>
      <c r="AO693" t="b">
        <f>OR(Table67[[#This Row],[Ineligible respondents]:[Inconsistent response on opposite question (3)]])</f>
        <v>1</v>
      </c>
      <c r="AP69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693">
        <f>Table67[[#This Row],[Extreme Response]]/21</f>
        <v>0.19047619047619047</v>
      </c>
      <c r="AR693">
        <f>_xlfn.PERCENTILE.INC(Table67[Extrem Response Ratio (ERS)],0.9)</f>
        <v>0.61904761904761907</v>
      </c>
      <c r="AS693" t="b">
        <f>Table67[[#This Row],[Extrem Response Ratio (ERS)]]&gt;=Table67[[#This Row],[Threshold of ERS]]</f>
        <v>0</v>
      </c>
      <c r="AT693">
        <f>COUNTIF(Table67[[#This Row],[The mechanism of digital assets is difficult to understand, which discourages me from exploring it (E.g, Tokenization, Blockchain)]:[If I want to try different ways to invest, I will explore digital assets.]], 3)</f>
        <v>3</v>
      </c>
      <c r="AU693">
        <f>Table67[[#This Row],[Midpoint]]/21</f>
        <v>0.14285714285714285</v>
      </c>
      <c r="AV693">
        <f>_xlfn.PERCENTILE.INC(Table67[Midpoint ratio],0.9)</f>
        <v>0.5714285714285714</v>
      </c>
      <c r="AW693" t="b">
        <f>Table67[[#This Row],[Midpoint ratio]]&gt;=Table67[[#This Row],[Threshold of Midpoint ratio]]</f>
        <v>0</v>
      </c>
      <c r="AX693" t="b">
        <f>OR(Table67[[#This Row],[Extreme Response Style]],Table67[[#This Row],[Mid-point Response Style]])</f>
        <v>0</v>
      </c>
      <c r="AY693" t="b">
        <f>OR(Table67[[#This Row],[Delete? (Stage 1)]],Table67[[#This Row],[Delete? (Stage 2)]])</f>
        <v>1</v>
      </c>
      <c r="AZ693" t="s">
        <v>84</v>
      </c>
    </row>
    <row r="694" spans="1:52">
      <c r="A694">
        <f t="shared" si="43"/>
        <v>693</v>
      </c>
      <c r="B694" s="3">
        <v>46049.739641203698</v>
      </c>
      <c r="C694" s="3">
        <v>46049.741041666697</v>
      </c>
      <c r="D694" t="s">
        <v>53</v>
      </c>
      <c r="G694" t="s">
        <v>73</v>
      </c>
      <c r="H694" t="s">
        <v>55</v>
      </c>
      <c r="I694" t="s">
        <v>75</v>
      </c>
      <c r="J694" t="s">
        <v>60</v>
      </c>
      <c r="K694" t="s">
        <v>62</v>
      </c>
      <c r="L694" t="s">
        <v>58</v>
      </c>
      <c r="M694" t="s">
        <v>58</v>
      </c>
      <c r="N694">
        <v>5</v>
      </c>
      <c r="O694">
        <v>5</v>
      </c>
      <c r="P694">
        <v>5</v>
      </c>
      <c r="Q694">
        <v>5</v>
      </c>
      <c r="R694">
        <v>5</v>
      </c>
      <c r="S694">
        <v>5</v>
      </c>
      <c r="T694">
        <v>5</v>
      </c>
      <c r="U694">
        <v>5</v>
      </c>
      <c r="V694">
        <v>5</v>
      </c>
      <c r="W694">
        <v>5</v>
      </c>
      <c r="X694">
        <v>5</v>
      </c>
      <c r="Y694">
        <v>5</v>
      </c>
      <c r="Z694">
        <v>5</v>
      </c>
      <c r="AA694">
        <v>5</v>
      </c>
      <c r="AB694">
        <v>5</v>
      </c>
      <c r="AC694">
        <v>5</v>
      </c>
      <c r="AD694">
        <v>4</v>
      </c>
      <c r="AE694">
        <v>4</v>
      </c>
      <c r="AF694">
        <v>5</v>
      </c>
      <c r="AG694">
        <v>4</v>
      </c>
      <c r="AH694">
        <v>5</v>
      </c>
      <c r="AI694">
        <v>1</v>
      </c>
      <c r="AJ694">
        <v>1</v>
      </c>
      <c r="AK694" t="b">
        <f>Table67[[#This Row],[What is your age?]]&lt;&gt;"18 - 25"</f>
        <v>1</v>
      </c>
      <c r="AL694" t="b">
        <f t="shared" si="40"/>
        <v>0</v>
      </c>
      <c r="AM694" t="b">
        <f t="shared" si="41"/>
        <v>1</v>
      </c>
      <c r="AN694" t="b">
        <f t="shared" si="42"/>
        <v>0</v>
      </c>
      <c r="AO694" t="b">
        <f>OR(Table67[[#This Row],[Ineligible respondents]:[Inconsistent response on opposite question (3)]])</f>
        <v>1</v>
      </c>
      <c r="AP69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18</v>
      </c>
      <c r="AQ694">
        <f>Table67[[#This Row],[Extreme Response]]/21</f>
        <v>0.8571428571428571</v>
      </c>
      <c r="AR694">
        <f>_xlfn.PERCENTILE.INC(Table67[Extrem Response Ratio (ERS)],0.9)</f>
        <v>0.61904761904761907</v>
      </c>
      <c r="AS694" t="b">
        <f>Table67[[#This Row],[Extrem Response Ratio (ERS)]]&gt;=Table67[[#This Row],[Threshold of ERS]]</f>
        <v>1</v>
      </c>
      <c r="AT694">
        <f>COUNTIF(Table67[[#This Row],[The mechanism of digital assets is difficult to understand, which discourages me from exploring it (E.g, Tokenization, Blockchain)]:[If I want to try different ways to invest, I will explore digital assets.]], 3)</f>
        <v>0</v>
      </c>
      <c r="AU694">
        <f>Table67[[#This Row],[Midpoint]]/21</f>
        <v>0</v>
      </c>
      <c r="AV694">
        <f>_xlfn.PERCENTILE.INC(Table67[Midpoint ratio],0.9)</f>
        <v>0.5714285714285714</v>
      </c>
      <c r="AW694" t="b">
        <f>Table67[[#This Row],[Midpoint ratio]]&gt;=Table67[[#This Row],[Threshold of Midpoint ratio]]</f>
        <v>0</v>
      </c>
      <c r="AX694" t="b">
        <f>OR(Table67[[#This Row],[Extreme Response Style]],Table67[[#This Row],[Mid-point Response Style]])</f>
        <v>1</v>
      </c>
      <c r="AY694" t="b">
        <f>OR(Table67[[#This Row],[Delete? (Stage 1)]],Table67[[#This Row],[Delete? (Stage 2)]])</f>
        <v>1</v>
      </c>
      <c r="AZ694" t="s">
        <v>84</v>
      </c>
    </row>
    <row r="695" spans="1:52">
      <c r="A695">
        <f t="shared" si="43"/>
        <v>694</v>
      </c>
      <c r="B695" s="3">
        <v>46049.7397106481</v>
      </c>
      <c r="C695" s="3">
        <v>46049.745532407404</v>
      </c>
      <c r="D695" t="s">
        <v>53</v>
      </c>
      <c r="G695" t="s">
        <v>54</v>
      </c>
      <c r="H695" t="s">
        <v>63</v>
      </c>
      <c r="I695" t="s">
        <v>56</v>
      </c>
      <c r="J695" t="s">
        <v>62</v>
      </c>
      <c r="K695" t="s">
        <v>62</v>
      </c>
      <c r="L695" t="s">
        <v>58</v>
      </c>
      <c r="M695" t="s">
        <v>58</v>
      </c>
      <c r="N695">
        <v>5</v>
      </c>
      <c r="O695">
        <v>5</v>
      </c>
      <c r="P695">
        <v>5</v>
      </c>
      <c r="Q695">
        <v>5</v>
      </c>
      <c r="R695">
        <v>4</v>
      </c>
      <c r="S695">
        <v>5</v>
      </c>
      <c r="T695">
        <v>1</v>
      </c>
      <c r="U695">
        <v>2</v>
      </c>
      <c r="V695">
        <v>4</v>
      </c>
      <c r="W695">
        <v>5</v>
      </c>
      <c r="X695">
        <v>2</v>
      </c>
      <c r="Y695">
        <v>1</v>
      </c>
      <c r="Z695">
        <v>5</v>
      </c>
      <c r="AA695">
        <v>2</v>
      </c>
      <c r="AB695">
        <v>1</v>
      </c>
      <c r="AC695">
        <v>1</v>
      </c>
      <c r="AD695">
        <v>3</v>
      </c>
      <c r="AE695">
        <v>1</v>
      </c>
      <c r="AF695">
        <v>5</v>
      </c>
      <c r="AG695">
        <v>2</v>
      </c>
      <c r="AH695">
        <v>3</v>
      </c>
      <c r="AI695">
        <v>3</v>
      </c>
      <c r="AJ695">
        <v>1</v>
      </c>
      <c r="AK695" t="b">
        <f>Table67[[#This Row],[What is your age?]]&lt;&gt;"18 - 25"</f>
        <v>0</v>
      </c>
      <c r="AL695" t="b">
        <f t="shared" si="40"/>
        <v>0</v>
      </c>
      <c r="AM695" t="b">
        <f t="shared" si="41"/>
        <v>0</v>
      </c>
      <c r="AN695" t="b">
        <f t="shared" si="42"/>
        <v>1</v>
      </c>
      <c r="AO695" t="b">
        <f>OR(Table67[[#This Row],[Ineligible respondents]:[Inconsistent response on opposite question (3)]])</f>
        <v>1</v>
      </c>
      <c r="AP69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695">
        <f>Table67[[#This Row],[Extreme Response]]/21</f>
        <v>0.61904761904761907</v>
      </c>
      <c r="AR695">
        <f>_xlfn.PERCENTILE.INC(Table67[Extrem Response Ratio (ERS)],0.9)</f>
        <v>0.61904761904761907</v>
      </c>
      <c r="AS695" t="b">
        <f>Table67[[#This Row],[Extrem Response Ratio (ERS)]]&gt;=Table67[[#This Row],[Threshold of ERS]]</f>
        <v>1</v>
      </c>
      <c r="AT695">
        <f>COUNTIF(Table67[[#This Row],[The mechanism of digital assets is difficult to understand, which discourages me from exploring it (E.g, Tokenization, Blockchain)]:[If I want to try different ways to invest, I will explore digital assets.]], 3)</f>
        <v>2</v>
      </c>
      <c r="AU695">
        <f>Table67[[#This Row],[Midpoint]]/21</f>
        <v>9.5238095238095233E-2</v>
      </c>
      <c r="AV695">
        <f>_xlfn.PERCENTILE.INC(Table67[Midpoint ratio],0.9)</f>
        <v>0.5714285714285714</v>
      </c>
      <c r="AW695" t="b">
        <f>Table67[[#This Row],[Midpoint ratio]]&gt;=Table67[[#This Row],[Threshold of Midpoint ratio]]</f>
        <v>0</v>
      </c>
      <c r="AX695" t="b">
        <f>OR(Table67[[#This Row],[Extreme Response Style]],Table67[[#This Row],[Mid-point Response Style]])</f>
        <v>1</v>
      </c>
      <c r="AY695" t="b">
        <f>OR(Table67[[#This Row],[Delete? (Stage 1)]],Table67[[#This Row],[Delete? (Stage 2)]])</f>
        <v>1</v>
      </c>
      <c r="AZ695" t="s">
        <v>84</v>
      </c>
    </row>
    <row r="696" spans="1:52">
      <c r="A696">
        <f t="shared" si="43"/>
        <v>695</v>
      </c>
      <c r="B696" s="3">
        <v>46049.7397569444</v>
      </c>
      <c r="C696" s="3">
        <v>46049.744363425903</v>
      </c>
      <c r="D696" t="s">
        <v>53</v>
      </c>
      <c r="G696" t="s">
        <v>54</v>
      </c>
      <c r="H696" t="s">
        <v>55</v>
      </c>
      <c r="I696" t="s">
        <v>69</v>
      </c>
      <c r="J696" t="s">
        <v>60</v>
      </c>
      <c r="K696" t="s">
        <v>62</v>
      </c>
      <c r="L696" t="s">
        <v>58</v>
      </c>
      <c r="M696" t="s">
        <v>58</v>
      </c>
      <c r="N696">
        <v>3</v>
      </c>
      <c r="O696">
        <v>3</v>
      </c>
      <c r="P696">
        <v>5</v>
      </c>
      <c r="Q696">
        <v>4</v>
      </c>
      <c r="R696">
        <v>4</v>
      </c>
      <c r="S696">
        <v>3</v>
      </c>
      <c r="T696">
        <v>3</v>
      </c>
      <c r="U696">
        <v>5</v>
      </c>
      <c r="V696">
        <v>4</v>
      </c>
      <c r="W696">
        <v>4</v>
      </c>
      <c r="X696">
        <v>5</v>
      </c>
      <c r="Y696">
        <v>4</v>
      </c>
      <c r="Z696">
        <v>5</v>
      </c>
      <c r="AA696">
        <v>3</v>
      </c>
      <c r="AB696">
        <v>2</v>
      </c>
      <c r="AC696">
        <v>4</v>
      </c>
      <c r="AD696">
        <v>5</v>
      </c>
      <c r="AE696">
        <v>4</v>
      </c>
      <c r="AF696">
        <v>2</v>
      </c>
      <c r="AG696">
        <v>3</v>
      </c>
      <c r="AH696">
        <v>2</v>
      </c>
      <c r="AI696">
        <v>4</v>
      </c>
      <c r="AJ696">
        <v>4</v>
      </c>
      <c r="AK696" t="b">
        <f>Table67[[#This Row],[What is your age?]]&lt;&gt;"18 - 25"</f>
        <v>0</v>
      </c>
      <c r="AL696" t="b">
        <f t="shared" si="40"/>
        <v>0</v>
      </c>
      <c r="AM696" t="b">
        <f t="shared" si="41"/>
        <v>0</v>
      </c>
      <c r="AN696" t="b">
        <f t="shared" si="42"/>
        <v>1</v>
      </c>
      <c r="AO696" t="b">
        <f>OR(Table67[[#This Row],[Ineligible respondents]:[Inconsistent response on opposite question (3)]])</f>
        <v>1</v>
      </c>
      <c r="AP69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696">
        <f>Table67[[#This Row],[Extreme Response]]/21</f>
        <v>0.23809523809523808</v>
      </c>
      <c r="AR696">
        <f>_xlfn.PERCENTILE.INC(Table67[Extrem Response Ratio (ERS)],0.9)</f>
        <v>0.61904761904761907</v>
      </c>
      <c r="AS696" t="b">
        <f>Table67[[#This Row],[Extrem Response Ratio (ERS)]]&gt;=Table67[[#This Row],[Threshold of ERS]]</f>
        <v>0</v>
      </c>
      <c r="AT696">
        <f>COUNTIF(Table67[[#This Row],[The mechanism of digital assets is difficult to understand, which discourages me from exploring it (E.g, Tokenization, Blockchain)]:[If I want to try different ways to invest, I will explore digital assets.]], 3)</f>
        <v>6</v>
      </c>
      <c r="AU696">
        <f>Table67[[#This Row],[Midpoint]]/21</f>
        <v>0.2857142857142857</v>
      </c>
      <c r="AV696">
        <f>_xlfn.PERCENTILE.INC(Table67[Midpoint ratio],0.9)</f>
        <v>0.5714285714285714</v>
      </c>
      <c r="AW696" t="b">
        <f>Table67[[#This Row],[Midpoint ratio]]&gt;=Table67[[#This Row],[Threshold of Midpoint ratio]]</f>
        <v>0</v>
      </c>
      <c r="AX696" t="b">
        <f>OR(Table67[[#This Row],[Extreme Response Style]],Table67[[#This Row],[Mid-point Response Style]])</f>
        <v>0</v>
      </c>
      <c r="AY696" t="b">
        <f>OR(Table67[[#This Row],[Delete? (Stage 1)]],Table67[[#This Row],[Delete? (Stage 2)]])</f>
        <v>1</v>
      </c>
      <c r="AZ696" t="s">
        <v>84</v>
      </c>
    </row>
    <row r="697" spans="1:52">
      <c r="A697">
        <f t="shared" si="43"/>
        <v>696</v>
      </c>
      <c r="B697" s="3">
        <v>46049.739861111098</v>
      </c>
      <c r="C697" s="3">
        <v>46049.743553240703</v>
      </c>
      <c r="D697" t="s">
        <v>53</v>
      </c>
      <c r="G697" t="s">
        <v>54</v>
      </c>
      <c r="H697" t="s">
        <v>55</v>
      </c>
      <c r="I697" t="s">
        <v>75</v>
      </c>
      <c r="J697" t="s">
        <v>64</v>
      </c>
      <c r="K697" t="s">
        <v>64</v>
      </c>
      <c r="L697" t="s">
        <v>58</v>
      </c>
      <c r="M697" t="s">
        <v>58</v>
      </c>
      <c r="N697">
        <v>3</v>
      </c>
      <c r="O697">
        <v>1</v>
      </c>
      <c r="P697">
        <v>5</v>
      </c>
      <c r="Q697">
        <v>5</v>
      </c>
      <c r="R697">
        <v>5</v>
      </c>
      <c r="S697">
        <v>5</v>
      </c>
      <c r="T697">
        <v>1</v>
      </c>
      <c r="U697">
        <v>4</v>
      </c>
      <c r="V697">
        <v>2</v>
      </c>
      <c r="W697">
        <v>4</v>
      </c>
      <c r="X697">
        <v>5</v>
      </c>
      <c r="Y697">
        <v>5</v>
      </c>
      <c r="Z697">
        <v>5</v>
      </c>
      <c r="AA697">
        <v>5</v>
      </c>
      <c r="AB697">
        <v>3</v>
      </c>
      <c r="AC697">
        <v>5</v>
      </c>
      <c r="AD697">
        <v>5</v>
      </c>
      <c r="AE697">
        <v>5</v>
      </c>
      <c r="AF697">
        <v>2</v>
      </c>
      <c r="AG697">
        <v>5</v>
      </c>
      <c r="AH697">
        <v>1</v>
      </c>
      <c r="AI697">
        <v>5</v>
      </c>
      <c r="AJ697">
        <v>4</v>
      </c>
      <c r="AK697" t="b">
        <f>Table67[[#This Row],[What is your age?]]&lt;&gt;"18 - 25"</f>
        <v>0</v>
      </c>
      <c r="AL697" t="b">
        <f t="shared" si="40"/>
        <v>0</v>
      </c>
      <c r="AM697" t="b">
        <f t="shared" si="41"/>
        <v>0</v>
      </c>
      <c r="AN697" t="b">
        <f t="shared" si="42"/>
        <v>0</v>
      </c>
      <c r="AO697" t="b">
        <f>OR(Table67[[#This Row],[Ineligible respondents]:[Inconsistent response on opposite question (3)]])</f>
        <v>0</v>
      </c>
      <c r="AP69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697">
        <f>Table67[[#This Row],[Extreme Response]]/21</f>
        <v>0.7142857142857143</v>
      </c>
      <c r="AR697">
        <f>_xlfn.PERCENTILE.INC(Table67[Extrem Response Ratio (ERS)],0.9)</f>
        <v>0.61904761904761907</v>
      </c>
      <c r="AS697" t="b">
        <f>Table67[[#This Row],[Extrem Response Ratio (ERS)]]&gt;=Table67[[#This Row],[Threshold of ERS]]</f>
        <v>1</v>
      </c>
      <c r="AT697">
        <f>COUNTIF(Table67[[#This Row],[The mechanism of digital assets is difficult to understand, which discourages me from exploring it (E.g, Tokenization, Blockchain)]:[If I want to try different ways to invest, I will explore digital assets.]], 3)</f>
        <v>2</v>
      </c>
      <c r="AU697">
        <f>Table67[[#This Row],[Midpoint]]/21</f>
        <v>9.5238095238095233E-2</v>
      </c>
      <c r="AV697">
        <f>_xlfn.PERCENTILE.INC(Table67[Midpoint ratio],0.9)</f>
        <v>0.5714285714285714</v>
      </c>
      <c r="AW697" t="b">
        <f>Table67[[#This Row],[Midpoint ratio]]&gt;=Table67[[#This Row],[Threshold of Midpoint ratio]]</f>
        <v>0</v>
      </c>
      <c r="AX697" t="b">
        <f>OR(Table67[[#This Row],[Extreme Response Style]],Table67[[#This Row],[Mid-point Response Style]])</f>
        <v>1</v>
      </c>
      <c r="AY697" t="b">
        <f>OR(Table67[[#This Row],[Delete? (Stage 1)]],Table67[[#This Row],[Delete? (Stage 2)]])</f>
        <v>1</v>
      </c>
      <c r="AZ697" t="s">
        <v>84</v>
      </c>
    </row>
    <row r="698" spans="1:52">
      <c r="A698">
        <f t="shared" si="43"/>
        <v>697</v>
      </c>
      <c r="B698" s="3">
        <v>46049.740277777797</v>
      </c>
      <c r="C698" s="3">
        <v>46049.742129629602</v>
      </c>
      <c r="D698" t="s">
        <v>53</v>
      </c>
      <c r="G698" t="s">
        <v>54</v>
      </c>
      <c r="H698" t="s">
        <v>63</v>
      </c>
      <c r="I698" t="s">
        <v>71</v>
      </c>
      <c r="J698" t="s">
        <v>62</v>
      </c>
      <c r="K698" t="s">
        <v>57</v>
      </c>
      <c r="L698" t="s">
        <v>58</v>
      </c>
      <c r="M698" t="s">
        <v>58</v>
      </c>
      <c r="N698">
        <v>4</v>
      </c>
      <c r="O698">
        <v>3</v>
      </c>
      <c r="P698">
        <v>4</v>
      </c>
      <c r="Q698">
        <v>4</v>
      </c>
      <c r="R698">
        <v>4</v>
      </c>
      <c r="S698">
        <v>4</v>
      </c>
      <c r="T698">
        <v>4</v>
      </c>
      <c r="U698">
        <v>5</v>
      </c>
      <c r="V698">
        <v>3</v>
      </c>
      <c r="W698">
        <v>4</v>
      </c>
      <c r="X698">
        <v>5</v>
      </c>
      <c r="Y698">
        <v>5</v>
      </c>
      <c r="Z698">
        <v>2</v>
      </c>
      <c r="AA698">
        <v>4</v>
      </c>
      <c r="AB698">
        <v>4</v>
      </c>
      <c r="AC698">
        <v>5</v>
      </c>
      <c r="AD698">
        <v>4</v>
      </c>
      <c r="AE698">
        <v>2</v>
      </c>
      <c r="AF698">
        <v>3</v>
      </c>
      <c r="AG698">
        <v>2</v>
      </c>
      <c r="AH698">
        <v>2</v>
      </c>
      <c r="AI698">
        <v>4</v>
      </c>
      <c r="AJ698">
        <v>3</v>
      </c>
      <c r="AK698" t="b">
        <f>Table67[[#This Row],[What is your age?]]&lt;&gt;"18 - 25"</f>
        <v>0</v>
      </c>
      <c r="AL698" t="b">
        <f t="shared" si="40"/>
        <v>0</v>
      </c>
      <c r="AM698" t="b">
        <f t="shared" si="41"/>
        <v>1</v>
      </c>
      <c r="AN698" t="b">
        <f t="shared" si="42"/>
        <v>0</v>
      </c>
      <c r="AO698" t="b">
        <f>OR(Table67[[#This Row],[Ineligible respondents]:[Inconsistent response on opposite question (3)]])</f>
        <v>1</v>
      </c>
      <c r="AP69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698">
        <f>Table67[[#This Row],[Extreme Response]]/21</f>
        <v>0.19047619047619047</v>
      </c>
      <c r="AR698">
        <f>_xlfn.PERCENTILE.INC(Table67[Extrem Response Ratio (ERS)],0.9)</f>
        <v>0.61904761904761907</v>
      </c>
      <c r="AS698" t="b">
        <f>Table67[[#This Row],[Extrem Response Ratio (ERS)]]&gt;=Table67[[#This Row],[Threshold of ERS]]</f>
        <v>0</v>
      </c>
      <c r="AT698">
        <f>COUNTIF(Table67[[#This Row],[The mechanism of digital assets is difficult to understand, which discourages me from exploring it (E.g, Tokenization, Blockchain)]:[If I want to try different ways to invest, I will explore digital assets.]], 3)</f>
        <v>3</v>
      </c>
      <c r="AU698">
        <f>Table67[[#This Row],[Midpoint]]/21</f>
        <v>0.14285714285714285</v>
      </c>
      <c r="AV698">
        <f>_xlfn.PERCENTILE.INC(Table67[Midpoint ratio],0.9)</f>
        <v>0.5714285714285714</v>
      </c>
      <c r="AW698" t="b">
        <f>Table67[[#This Row],[Midpoint ratio]]&gt;=Table67[[#This Row],[Threshold of Midpoint ratio]]</f>
        <v>0</v>
      </c>
      <c r="AX698" t="b">
        <f>OR(Table67[[#This Row],[Extreme Response Style]],Table67[[#This Row],[Mid-point Response Style]])</f>
        <v>0</v>
      </c>
      <c r="AY698" t="b">
        <f>OR(Table67[[#This Row],[Delete? (Stage 1)]],Table67[[#This Row],[Delete? (Stage 2)]])</f>
        <v>1</v>
      </c>
      <c r="AZ698" t="s">
        <v>84</v>
      </c>
    </row>
    <row r="699" spans="1:52">
      <c r="A699">
        <f t="shared" si="43"/>
        <v>698</v>
      </c>
      <c r="B699" s="3">
        <v>46049.740312499998</v>
      </c>
      <c r="C699" s="3">
        <v>46049.750486111101</v>
      </c>
      <c r="D699" t="s">
        <v>53</v>
      </c>
      <c r="G699" t="s">
        <v>54</v>
      </c>
      <c r="H699" t="s">
        <v>55</v>
      </c>
      <c r="I699" t="s">
        <v>56</v>
      </c>
      <c r="J699" t="s">
        <v>60</v>
      </c>
      <c r="K699" t="s">
        <v>62</v>
      </c>
      <c r="L699" t="s">
        <v>61</v>
      </c>
      <c r="M699" t="s">
        <v>61</v>
      </c>
      <c r="N699">
        <v>1</v>
      </c>
      <c r="O699">
        <v>1</v>
      </c>
      <c r="P699">
        <v>5</v>
      </c>
      <c r="Q699">
        <v>1</v>
      </c>
      <c r="R699">
        <v>3</v>
      </c>
      <c r="S699">
        <v>3</v>
      </c>
      <c r="T699">
        <v>1</v>
      </c>
      <c r="U699">
        <v>1</v>
      </c>
      <c r="V699">
        <v>5</v>
      </c>
      <c r="W699">
        <v>5</v>
      </c>
      <c r="X699">
        <v>3</v>
      </c>
      <c r="Y699">
        <v>2</v>
      </c>
      <c r="Z699">
        <v>4</v>
      </c>
      <c r="AA699">
        <v>1</v>
      </c>
      <c r="AB699">
        <v>1</v>
      </c>
      <c r="AC699">
        <v>1</v>
      </c>
      <c r="AD699">
        <v>3</v>
      </c>
      <c r="AE699">
        <v>1</v>
      </c>
      <c r="AF699">
        <v>5</v>
      </c>
      <c r="AG699">
        <v>1</v>
      </c>
      <c r="AH699">
        <v>5</v>
      </c>
      <c r="AI699">
        <v>1</v>
      </c>
      <c r="AJ699">
        <v>1</v>
      </c>
      <c r="AK699" t="b">
        <f>Table67[[#This Row],[What is your age?]]&lt;&gt;"18 - 25"</f>
        <v>0</v>
      </c>
      <c r="AL699" t="b">
        <f t="shared" si="40"/>
        <v>0</v>
      </c>
      <c r="AM699" t="b">
        <f t="shared" si="41"/>
        <v>0</v>
      </c>
      <c r="AN699" t="b">
        <f t="shared" si="42"/>
        <v>0</v>
      </c>
      <c r="AO699" t="b">
        <f>OR(Table67[[#This Row],[Ineligible respondents]:[Inconsistent response on opposite question (3)]])</f>
        <v>0</v>
      </c>
      <c r="AP69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699">
        <f>Table67[[#This Row],[Extreme Response]]/21</f>
        <v>0.7142857142857143</v>
      </c>
      <c r="AR699">
        <f>_xlfn.PERCENTILE.INC(Table67[Extrem Response Ratio (ERS)],0.9)</f>
        <v>0.61904761904761907</v>
      </c>
      <c r="AS699" t="b">
        <f>Table67[[#This Row],[Extrem Response Ratio (ERS)]]&gt;=Table67[[#This Row],[Threshold of ERS]]</f>
        <v>1</v>
      </c>
      <c r="AT699">
        <f>COUNTIF(Table67[[#This Row],[The mechanism of digital assets is difficult to understand, which discourages me from exploring it (E.g, Tokenization, Blockchain)]:[If I want to try different ways to invest, I will explore digital assets.]], 3)</f>
        <v>4</v>
      </c>
      <c r="AU699">
        <f>Table67[[#This Row],[Midpoint]]/21</f>
        <v>0.19047619047619047</v>
      </c>
      <c r="AV699">
        <f>_xlfn.PERCENTILE.INC(Table67[Midpoint ratio],0.9)</f>
        <v>0.5714285714285714</v>
      </c>
      <c r="AW699" t="b">
        <f>Table67[[#This Row],[Midpoint ratio]]&gt;=Table67[[#This Row],[Threshold of Midpoint ratio]]</f>
        <v>0</v>
      </c>
      <c r="AX699" t="b">
        <f>OR(Table67[[#This Row],[Extreme Response Style]],Table67[[#This Row],[Mid-point Response Style]])</f>
        <v>1</v>
      </c>
      <c r="AY699" t="b">
        <f>OR(Table67[[#This Row],[Delete? (Stage 1)]],Table67[[#This Row],[Delete? (Stage 2)]])</f>
        <v>1</v>
      </c>
      <c r="AZ699" t="s">
        <v>84</v>
      </c>
    </row>
    <row r="700" spans="1:52">
      <c r="A700">
        <f t="shared" si="43"/>
        <v>699</v>
      </c>
      <c r="B700" s="3">
        <v>46049.740428240701</v>
      </c>
      <c r="C700" s="3">
        <v>46049.741875</v>
      </c>
      <c r="D700" t="s">
        <v>53</v>
      </c>
      <c r="G700" t="s">
        <v>54</v>
      </c>
      <c r="H700" t="s">
        <v>55</v>
      </c>
      <c r="I700" t="s">
        <v>56</v>
      </c>
      <c r="J700" t="s">
        <v>64</v>
      </c>
      <c r="K700" t="s">
        <v>57</v>
      </c>
      <c r="L700" t="s">
        <v>58</v>
      </c>
      <c r="M700" t="s">
        <v>58</v>
      </c>
      <c r="N700">
        <v>4</v>
      </c>
      <c r="O700">
        <v>2</v>
      </c>
      <c r="P700">
        <v>4</v>
      </c>
      <c r="Q700">
        <v>5</v>
      </c>
      <c r="R700">
        <v>4</v>
      </c>
      <c r="S700">
        <v>4</v>
      </c>
      <c r="T700">
        <v>4</v>
      </c>
      <c r="U700">
        <v>4</v>
      </c>
      <c r="V700">
        <v>4</v>
      </c>
      <c r="W700">
        <v>4</v>
      </c>
      <c r="X700">
        <v>5</v>
      </c>
      <c r="Y700">
        <v>5</v>
      </c>
      <c r="Z700">
        <v>4</v>
      </c>
      <c r="AA700">
        <v>4</v>
      </c>
      <c r="AB700">
        <v>3</v>
      </c>
      <c r="AC700">
        <v>3</v>
      </c>
      <c r="AD700">
        <v>5</v>
      </c>
      <c r="AE700">
        <v>5</v>
      </c>
      <c r="AF700">
        <v>2</v>
      </c>
      <c r="AG700">
        <v>5</v>
      </c>
      <c r="AH700">
        <v>2</v>
      </c>
      <c r="AI700">
        <v>4</v>
      </c>
      <c r="AJ700">
        <v>4</v>
      </c>
      <c r="AK700" t="b">
        <f>Table67[[#This Row],[What is your age?]]&lt;&gt;"18 - 25"</f>
        <v>0</v>
      </c>
      <c r="AL700" t="b">
        <f t="shared" si="40"/>
        <v>0</v>
      </c>
      <c r="AM700" t="b">
        <f t="shared" si="41"/>
        <v>0</v>
      </c>
      <c r="AN700" t="b">
        <f t="shared" si="42"/>
        <v>0</v>
      </c>
      <c r="AO700" t="b">
        <f>OR(Table67[[#This Row],[Ineligible respondents]:[Inconsistent response on opposite question (3)]])</f>
        <v>0</v>
      </c>
      <c r="AP70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700">
        <f>Table67[[#This Row],[Extreme Response]]/21</f>
        <v>0.2857142857142857</v>
      </c>
      <c r="AR700">
        <f>_xlfn.PERCENTILE.INC(Table67[Extrem Response Ratio (ERS)],0.9)</f>
        <v>0.61904761904761907</v>
      </c>
      <c r="AS700" t="b">
        <f>Table67[[#This Row],[Extrem Response Ratio (ERS)]]&gt;=Table67[[#This Row],[Threshold of ERS]]</f>
        <v>0</v>
      </c>
      <c r="AT700">
        <f>COUNTIF(Table67[[#This Row],[The mechanism of digital assets is difficult to understand, which discourages me from exploring it (E.g, Tokenization, Blockchain)]:[If I want to try different ways to invest, I will explore digital assets.]], 3)</f>
        <v>2</v>
      </c>
      <c r="AU700">
        <f>Table67[[#This Row],[Midpoint]]/21</f>
        <v>9.5238095238095233E-2</v>
      </c>
      <c r="AV700">
        <f>_xlfn.PERCENTILE.INC(Table67[Midpoint ratio],0.9)</f>
        <v>0.5714285714285714</v>
      </c>
      <c r="AW700" t="b">
        <f>Table67[[#This Row],[Midpoint ratio]]&gt;=Table67[[#This Row],[Threshold of Midpoint ratio]]</f>
        <v>0</v>
      </c>
      <c r="AX700" t="b">
        <f>OR(Table67[[#This Row],[Extreme Response Style]],Table67[[#This Row],[Mid-point Response Style]])</f>
        <v>0</v>
      </c>
      <c r="AY700" t="b">
        <f>OR(Table67[[#This Row],[Delete? (Stage 1)]],Table67[[#This Row],[Delete? (Stage 2)]])</f>
        <v>0</v>
      </c>
      <c r="AZ700" t="s">
        <v>84</v>
      </c>
    </row>
    <row r="701" spans="1:52">
      <c r="A701">
        <f t="shared" si="43"/>
        <v>700</v>
      </c>
      <c r="B701" s="3">
        <v>46049.740439814799</v>
      </c>
      <c r="C701" s="3">
        <v>46049.743159722202</v>
      </c>
      <c r="D701" t="s">
        <v>53</v>
      </c>
      <c r="G701" t="s">
        <v>54</v>
      </c>
      <c r="H701" t="s">
        <v>55</v>
      </c>
      <c r="I701" t="s">
        <v>69</v>
      </c>
      <c r="J701" t="s">
        <v>60</v>
      </c>
      <c r="K701" t="s">
        <v>62</v>
      </c>
      <c r="L701" t="s">
        <v>61</v>
      </c>
      <c r="M701" t="s">
        <v>58</v>
      </c>
      <c r="N701">
        <v>3</v>
      </c>
      <c r="O701">
        <v>3</v>
      </c>
      <c r="P701">
        <v>4</v>
      </c>
      <c r="Q701">
        <v>3</v>
      </c>
      <c r="R701">
        <v>3</v>
      </c>
      <c r="S701">
        <v>3</v>
      </c>
      <c r="T701">
        <v>3</v>
      </c>
      <c r="U701">
        <v>3</v>
      </c>
      <c r="V701">
        <v>3</v>
      </c>
      <c r="W701">
        <v>3</v>
      </c>
      <c r="X701">
        <v>3</v>
      </c>
      <c r="Y701">
        <v>3</v>
      </c>
      <c r="Z701">
        <v>3</v>
      </c>
      <c r="AA701">
        <v>3</v>
      </c>
      <c r="AB701">
        <v>3</v>
      </c>
      <c r="AC701">
        <v>3</v>
      </c>
      <c r="AD701">
        <v>4</v>
      </c>
      <c r="AE701">
        <v>4</v>
      </c>
      <c r="AF701">
        <v>4</v>
      </c>
      <c r="AG701">
        <v>4</v>
      </c>
      <c r="AH701">
        <v>4</v>
      </c>
      <c r="AI701">
        <v>2</v>
      </c>
      <c r="AJ701">
        <v>2</v>
      </c>
      <c r="AK701" t="b">
        <f>Table67[[#This Row],[What is your age?]]&lt;&gt;"18 - 25"</f>
        <v>0</v>
      </c>
      <c r="AL701" t="b">
        <f t="shared" si="40"/>
        <v>0</v>
      </c>
      <c r="AM701" t="b">
        <f t="shared" si="41"/>
        <v>1</v>
      </c>
      <c r="AN701" t="b">
        <f t="shared" si="42"/>
        <v>0</v>
      </c>
      <c r="AO701" t="b">
        <f>OR(Table67[[#This Row],[Ineligible respondents]:[Inconsistent response on opposite question (3)]])</f>
        <v>1</v>
      </c>
      <c r="AP70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701">
        <f>Table67[[#This Row],[Extreme Response]]/21</f>
        <v>0</v>
      </c>
      <c r="AR701">
        <f>_xlfn.PERCENTILE.INC(Table67[Extrem Response Ratio (ERS)],0.9)</f>
        <v>0.61904761904761907</v>
      </c>
      <c r="AS701" t="b">
        <f>Table67[[#This Row],[Extrem Response Ratio (ERS)]]&gt;=Table67[[#This Row],[Threshold of ERS]]</f>
        <v>0</v>
      </c>
      <c r="AT701">
        <f>COUNTIF(Table67[[#This Row],[The mechanism of digital assets is difficult to understand, which discourages me from exploring it (E.g, Tokenization, Blockchain)]:[If I want to try different ways to invest, I will explore digital assets.]], 3)</f>
        <v>15</v>
      </c>
      <c r="AU701">
        <f>Table67[[#This Row],[Midpoint]]/21</f>
        <v>0.7142857142857143</v>
      </c>
      <c r="AV701">
        <f>_xlfn.PERCENTILE.INC(Table67[Midpoint ratio],0.9)</f>
        <v>0.5714285714285714</v>
      </c>
      <c r="AW701" t="b">
        <f>Table67[[#This Row],[Midpoint ratio]]&gt;=Table67[[#This Row],[Threshold of Midpoint ratio]]</f>
        <v>1</v>
      </c>
      <c r="AX701" t="b">
        <f>OR(Table67[[#This Row],[Extreme Response Style]],Table67[[#This Row],[Mid-point Response Style]])</f>
        <v>1</v>
      </c>
      <c r="AY701" t="b">
        <f>OR(Table67[[#This Row],[Delete? (Stage 1)]],Table67[[#This Row],[Delete? (Stage 2)]])</f>
        <v>1</v>
      </c>
      <c r="AZ701" t="s">
        <v>84</v>
      </c>
    </row>
    <row r="702" spans="1:52">
      <c r="A702">
        <f t="shared" si="43"/>
        <v>701</v>
      </c>
      <c r="B702" s="3">
        <v>46049.740810185198</v>
      </c>
      <c r="C702" s="3">
        <v>46049.743587962999</v>
      </c>
      <c r="D702" t="s">
        <v>53</v>
      </c>
      <c r="G702" t="s">
        <v>54</v>
      </c>
      <c r="H702" t="s">
        <v>63</v>
      </c>
      <c r="I702" t="s">
        <v>69</v>
      </c>
      <c r="J702" t="s">
        <v>62</v>
      </c>
      <c r="K702" t="s">
        <v>57</v>
      </c>
      <c r="L702" t="s">
        <v>58</v>
      </c>
      <c r="M702" t="s">
        <v>58</v>
      </c>
      <c r="N702">
        <v>4</v>
      </c>
      <c r="O702">
        <v>4</v>
      </c>
      <c r="P702">
        <v>5</v>
      </c>
      <c r="Q702">
        <v>3</v>
      </c>
      <c r="R702">
        <v>3</v>
      </c>
      <c r="S702">
        <v>4</v>
      </c>
      <c r="T702">
        <v>3</v>
      </c>
      <c r="U702">
        <v>3</v>
      </c>
      <c r="V702">
        <v>4</v>
      </c>
      <c r="W702">
        <v>4</v>
      </c>
      <c r="X702">
        <v>3</v>
      </c>
      <c r="Y702">
        <v>5</v>
      </c>
      <c r="Z702">
        <v>5</v>
      </c>
      <c r="AA702">
        <v>4</v>
      </c>
      <c r="AB702">
        <v>3</v>
      </c>
      <c r="AC702">
        <v>3</v>
      </c>
      <c r="AD702">
        <v>3</v>
      </c>
      <c r="AE702">
        <v>3</v>
      </c>
      <c r="AF702">
        <v>5</v>
      </c>
      <c r="AG702">
        <v>2</v>
      </c>
      <c r="AH702">
        <v>4</v>
      </c>
      <c r="AI702">
        <v>2</v>
      </c>
      <c r="AJ702">
        <v>1</v>
      </c>
      <c r="AK702" t="b">
        <f>Table67[[#This Row],[What is your age?]]&lt;&gt;"18 - 25"</f>
        <v>0</v>
      </c>
      <c r="AL702" t="b">
        <f t="shared" si="40"/>
        <v>0</v>
      </c>
      <c r="AM702" t="b">
        <f t="shared" si="41"/>
        <v>0</v>
      </c>
      <c r="AN702" t="b">
        <f t="shared" si="42"/>
        <v>0</v>
      </c>
      <c r="AO702" t="b">
        <f>OR(Table67[[#This Row],[Ineligible respondents]:[Inconsistent response on opposite question (3)]])</f>
        <v>0</v>
      </c>
      <c r="AP70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702">
        <f>Table67[[#This Row],[Extreme Response]]/21</f>
        <v>0.19047619047619047</v>
      </c>
      <c r="AR702">
        <f>_xlfn.PERCENTILE.INC(Table67[Extrem Response Ratio (ERS)],0.9)</f>
        <v>0.61904761904761907</v>
      </c>
      <c r="AS702" t="b">
        <f>Table67[[#This Row],[Extrem Response Ratio (ERS)]]&gt;=Table67[[#This Row],[Threshold of ERS]]</f>
        <v>0</v>
      </c>
      <c r="AT702">
        <f>COUNTIF(Table67[[#This Row],[The mechanism of digital assets is difficult to understand, which discourages me from exploring it (E.g, Tokenization, Blockchain)]:[If I want to try different ways to invest, I will explore digital assets.]], 3)</f>
        <v>9</v>
      </c>
      <c r="AU702">
        <f>Table67[[#This Row],[Midpoint]]/21</f>
        <v>0.42857142857142855</v>
      </c>
      <c r="AV702">
        <f>_xlfn.PERCENTILE.INC(Table67[Midpoint ratio],0.9)</f>
        <v>0.5714285714285714</v>
      </c>
      <c r="AW702" t="b">
        <f>Table67[[#This Row],[Midpoint ratio]]&gt;=Table67[[#This Row],[Threshold of Midpoint ratio]]</f>
        <v>0</v>
      </c>
      <c r="AX702" t="b">
        <f>OR(Table67[[#This Row],[Extreme Response Style]],Table67[[#This Row],[Mid-point Response Style]])</f>
        <v>0</v>
      </c>
      <c r="AY702" t="b">
        <f>OR(Table67[[#This Row],[Delete? (Stage 1)]],Table67[[#This Row],[Delete? (Stage 2)]])</f>
        <v>0</v>
      </c>
      <c r="AZ702" t="s">
        <v>84</v>
      </c>
    </row>
    <row r="703" spans="1:52">
      <c r="A703">
        <f t="shared" si="43"/>
        <v>702</v>
      </c>
      <c r="B703" s="3">
        <v>46049.740833333301</v>
      </c>
      <c r="C703" s="3">
        <v>46049.744768518503</v>
      </c>
      <c r="D703" t="s">
        <v>53</v>
      </c>
      <c r="G703" t="s">
        <v>54</v>
      </c>
      <c r="H703" t="s">
        <v>55</v>
      </c>
      <c r="I703" t="s">
        <v>69</v>
      </c>
      <c r="J703" t="s">
        <v>57</v>
      </c>
      <c r="K703" t="s">
        <v>62</v>
      </c>
      <c r="L703" t="s">
        <v>58</v>
      </c>
      <c r="M703" t="s">
        <v>58</v>
      </c>
      <c r="N703">
        <v>1</v>
      </c>
      <c r="O703">
        <v>1</v>
      </c>
      <c r="P703">
        <v>3</v>
      </c>
      <c r="Q703">
        <v>3</v>
      </c>
      <c r="R703">
        <v>3</v>
      </c>
      <c r="S703">
        <v>2</v>
      </c>
      <c r="T703">
        <v>2</v>
      </c>
      <c r="U703">
        <v>3</v>
      </c>
      <c r="V703">
        <v>2</v>
      </c>
      <c r="W703">
        <v>4</v>
      </c>
      <c r="X703">
        <v>3</v>
      </c>
      <c r="Y703">
        <v>4</v>
      </c>
      <c r="Z703">
        <v>4</v>
      </c>
      <c r="AA703">
        <v>3</v>
      </c>
      <c r="AB703">
        <v>2</v>
      </c>
      <c r="AC703">
        <v>2</v>
      </c>
      <c r="AD703">
        <v>4</v>
      </c>
      <c r="AE703">
        <v>4</v>
      </c>
      <c r="AF703">
        <v>5</v>
      </c>
      <c r="AG703">
        <v>2</v>
      </c>
      <c r="AH703">
        <v>4</v>
      </c>
      <c r="AI703">
        <v>2</v>
      </c>
      <c r="AJ703">
        <v>1</v>
      </c>
      <c r="AK703" t="b">
        <f>Table67[[#This Row],[What is your age?]]&lt;&gt;"18 - 25"</f>
        <v>0</v>
      </c>
      <c r="AL703" t="b">
        <f t="shared" si="40"/>
        <v>0</v>
      </c>
      <c r="AM703" t="b">
        <f t="shared" si="41"/>
        <v>0</v>
      </c>
      <c r="AN703" t="b">
        <f t="shared" si="42"/>
        <v>0</v>
      </c>
      <c r="AO703" t="b">
        <f>OR(Table67[[#This Row],[Ineligible respondents]:[Inconsistent response on opposite question (3)]])</f>
        <v>0</v>
      </c>
      <c r="AP70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703">
        <f>Table67[[#This Row],[Extreme Response]]/21</f>
        <v>0.14285714285714285</v>
      </c>
      <c r="AR703">
        <f>_xlfn.PERCENTILE.INC(Table67[Extrem Response Ratio (ERS)],0.9)</f>
        <v>0.61904761904761907</v>
      </c>
      <c r="AS703" t="b">
        <f>Table67[[#This Row],[Extrem Response Ratio (ERS)]]&gt;=Table67[[#This Row],[Threshold of ERS]]</f>
        <v>0</v>
      </c>
      <c r="AT703">
        <f>COUNTIF(Table67[[#This Row],[The mechanism of digital assets is difficult to understand, which discourages me from exploring it (E.g, Tokenization, Blockchain)]:[If I want to try different ways to invest, I will explore digital assets.]], 3)</f>
        <v>6</v>
      </c>
      <c r="AU703">
        <f>Table67[[#This Row],[Midpoint]]/21</f>
        <v>0.2857142857142857</v>
      </c>
      <c r="AV703">
        <f>_xlfn.PERCENTILE.INC(Table67[Midpoint ratio],0.9)</f>
        <v>0.5714285714285714</v>
      </c>
      <c r="AW703" t="b">
        <f>Table67[[#This Row],[Midpoint ratio]]&gt;=Table67[[#This Row],[Threshold of Midpoint ratio]]</f>
        <v>0</v>
      </c>
      <c r="AX703" t="b">
        <f>OR(Table67[[#This Row],[Extreme Response Style]],Table67[[#This Row],[Mid-point Response Style]])</f>
        <v>0</v>
      </c>
      <c r="AY703" t="b">
        <f>OR(Table67[[#This Row],[Delete? (Stage 1)]],Table67[[#This Row],[Delete? (Stage 2)]])</f>
        <v>0</v>
      </c>
      <c r="AZ703" t="s">
        <v>84</v>
      </c>
    </row>
    <row r="704" spans="1:52">
      <c r="A704">
        <f t="shared" si="43"/>
        <v>703</v>
      </c>
      <c r="B704" s="3">
        <v>46049.741307870398</v>
      </c>
      <c r="C704" s="3">
        <v>46049.752673611103</v>
      </c>
      <c r="D704" t="s">
        <v>53</v>
      </c>
      <c r="G704" t="s">
        <v>54</v>
      </c>
      <c r="H704" t="s">
        <v>55</v>
      </c>
      <c r="I704" t="s">
        <v>69</v>
      </c>
      <c r="J704" t="s">
        <v>60</v>
      </c>
      <c r="K704" t="s">
        <v>57</v>
      </c>
      <c r="L704" t="s">
        <v>58</v>
      </c>
      <c r="M704" t="s">
        <v>58</v>
      </c>
      <c r="N704">
        <v>3</v>
      </c>
      <c r="O704">
        <v>1</v>
      </c>
      <c r="P704">
        <v>3</v>
      </c>
      <c r="Q704">
        <v>4</v>
      </c>
      <c r="R704">
        <v>3</v>
      </c>
      <c r="S704">
        <v>3</v>
      </c>
      <c r="T704">
        <v>5</v>
      </c>
      <c r="U704">
        <v>5</v>
      </c>
      <c r="V704">
        <v>3</v>
      </c>
      <c r="W704">
        <v>4</v>
      </c>
      <c r="X704">
        <v>3</v>
      </c>
      <c r="Y704">
        <v>3</v>
      </c>
      <c r="Z704">
        <v>4</v>
      </c>
      <c r="AA704">
        <v>4</v>
      </c>
      <c r="AB704">
        <v>3</v>
      </c>
      <c r="AC704">
        <v>3</v>
      </c>
      <c r="AD704">
        <v>3</v>
      </c>
      <c r="AE704">
        <v>3</v>
      </c>
      <c r="AF704">
        <v>3</v>
      </c>
      <c r="AG704">
        <v>3</v>
      </c>
      <c r="AH704">
        <v>3</v>
      </c>
      <c r="AI704">
        <v>3</v>
      </c>
      <c r="AJ704">
        <v>3</v>
      </c>
      <c r="AK704" t="b">
        <f>Table67[[#This Row],[What is your age?]]&lt;&gt;"18 - 25"</f>
        <v>0</v>
      </c>
      <c r="AL704" t="b">
        <f t="shared" si="40"/>
        <v>0</v>
      </c>
      <c r="AM704" t="b">
        <f t="shared" si="41"/>
        <v>0</v>
      </c>
      <c r="AN704" t="b">
        <f t="shared" si="42"/>
        <v>0</v>
      </c>
      <c r="AO704" t="b">
        <f>OR(Table67[[#This Row],[Ineligible respondents]:[Inconsistent response on opposite question (3)]])</f>
        <v>0</v>
      </c>
      <c r="AP70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704">
        <f>Table67[[#This Row],[Extreme Response]]/21</f>
        <v>0.14285714285714285</v>
      </c>
      <c r="AR704">
        <f>_xlfn.PERCENTILE.INC(Table67[Extrem Response Ratio (ERS)],0.9)</f>
        <v>0.61904761904761907</v>
      </c>
      <c r="AS704" t="b">
        <f>Table67[[#This Row],[Extrem Response Ratio (ERS)]]&gt;=Table67[[#This Row],[Threshold of ERS]]</f>
        <v>0</v>
      </c>
      <c r="AT704">
        <f>COUNTIF(Table67[[#This Row],[The mechanism of digital assets is difficult to understand, which discourages me from exploring it (E.g, Tokenization, Blockchain)]:[If I want to try different ways to invest, I will explore digital assets.]], 3)</f>
        <v>14</v>
      </c>
      <c r="AU704">
        <f>Table67[[#This Row],[Midpoint]]/21</f>
        <v>0.66666666666666663</v>
      </c>
      <c r="AV704">
        <f>_xlfn.PERCENTILE.INC(Table67[Midpoint ratio],0.9)</f>
        <v>0.5714285714285714</v>
      </c>
      <c r="AW704" t="b">
        <f>Table67[[#This Row],[Midpoint ratio]]&gt;=Table67[[#This Row],[Threshold of Midpoint ratio]]</f>
        <v>1</v>
      </c>
      <c r="AX704" t="b">
        <f>OR(Table67[[#This Row],[Extreme Response Style]],Table67[[#This Row],[Mid-point Response Style]])</f>
        <v>1</v>
      </c>
      <c r="AY704" t="b">
        <f>OR(Table67[[#This Row],[Delete? (Stage 1)]],Table67[[#This Row],[Delete? (Stage 2)]])</f>
        <v>1</v>
      </c>
      <c r="AZ704" t="s">
        <v>84</v>
      </c>
    </row>
    <row r="705" spans="1:52">
      <c r="A705">
        <f t="shared" si="43"/>
        <v>704</v>
      </c>
      <c r="B705" s="3">
        <v>46049.741608796299</v>
      </c>
      <c r="C705" s="3">
        <v>46049.746365740699</v>
      </c>
      <c r="D705" t="s">
        <v>53</v>
      </c>
      <c r="G705" t="s">
        <v>54</v>
      </c>
      <c r="H705" t="s">
        <v>63</v>
      </c>
      <c r="I705" t="s">
        <v>56</v>
      </c>
      <c r="J705" t="s">
        <v>60</v>
      </c>
      <c r="K705" t="s">
        <v>57</v>
      </c>
      <c r="L705" t="s">
        <v>58</v>
      </c>
      <c r="M705" t="s">
        <v>58</v>
      </c>
      <c r="N705">
        <v>3</v>
      </c>
      <c r="O705">
        <v>2</v>
      </c>
      <c r="P705">
        <v>3</v>
      </c>
      <c r="Q705">
        <v>2</v>
      </c>
      <c r="R705">
        <v>4</v>
      </c>
      <c r="S705">
        <v>4</v>
      </c>
      <c r="T705">
        <v>3</v>
      </c>
      <c r="U705">
        <v>3</v>
      </c>
      <c r="V705">
        <v>4</v>
      </c>
      <c r="W705">
        <v>2</v>
      </c>
      <c r="X705">
        <v>4</v>
      </c>
      <c r="Y705">
        <v>4</v>
      </c>
      <c r="Z705">
        <v>4</v>
      </c>
      <c r="AA705">
        <v>4</v>
      </c>
      <c r="AB705">
        <v>2</v>
      </c>
      <c r="AC705">
        <v>3</v>
      </c>
      <c r="AD705">
        <v>4</v>
      </c>
      <c r="AE705">
        <v>3</v>
      </c>
      <c r="AF705">
        <v>3</v>
      </c>
      <c r="AG705">
        <v>3</v>
      </c>
      <c r="AH705">
        <v>4</v>
      </c>
      <c r="AI705">
        <v>2</v>
      </c>
      <c r="AJ705">
        <v>3</v>
      </c>
      <c r="AK705" t="b">
        <f>Table67[[#This Row],[What is your age?]]&lt;&gt;"18 - 25"</f>
        <v>0</v>
      </c>
      <c r="AL705" t="b">
        <f t="shared" si="40"/>
        <v>0</v>
      </c>
      <c r="AM705" t="b">
        <f t="shared" si="41"/>
        <v>0</v>
      </c>
      <c r="AN705" t="b">
        <f t="shared" si="42"/>
        <v>1</v>
      </c>
      <c r="AO705" t="b">
        <f>OR(Table67[[#This Row],[Ineligible respondents]:[Inconsistent response on opposite question (3)]])</f>
        <v>1</v>
      </c>
      <c r="AP70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705">
        <f>Table67[[#This Row],[Extreme Response]]/21</f>
        <v>0</v>
      </c>
      <c r="AR705">
        <f>_xlfn.PERCENTILE.INC(Table67[Extrem Response Ratio (ERS)],0.9)</f>
        <v>0.61904761904761907</v>
      </c>
      <c r="AS705" t="b">
        <f>Table67[[#This Row],[Extrem Response Ratio (ERS)]]&gt;=Table67[[#This Row],[Threshold of ERS]]</f>
        <v>0</v>
      </c>
      <c r="AT705">
        <f>COUNTIF(Table67[[#This Row],[The mechanism of digital assets is difficult to understand, which discourages me from exploring it (E.g, Tokenization, Blockchain)]:[If I want to try different ways to invest, I will explore digital assets.]], 3)</f>
        <v>8</v>
      </c>
      <c r="AU705">
        <f>Table67[[#This Row],[Midpoint]]/21</f>
        <v>0.38095238095238093</v>
      </c>
      <c r="AV705">
        <f>_xlfn.PERCENTILE.INC(Table67[Midpoint ratio],0.9)</f>
        <v>0.5714285714285714</v>
      </c>
      <c r="AW705" t="b">
        <f>Table67[[#This Row],[Midpoint ratio]]&gt;=Table67[[#This Row],[Threshold of Midpoint ratio]]</f>
        <v>0</v>
      </c>
      <c r="AX705" t="b">
        <f>OR(Table67[[#This Row],[Extreme Response Style]],Table67[[#This Row],[Mid-point Response Style]])</f>
        <v>0</v>
      </c>
      <c r="AY705" t="b">
        <f>OR(Table67[[#This Row],[Delete? (Stage 1)]],Table67[[#This Row],[Delete? (Stage 2)]])</f>
        <v>1</v>
      </c>
      <c r="AZ705" t="s">
        <v>84</v>
      </c>
    </row>
    <row r="706" spans="1:52">
      <c r="A706">
        <f t="shared" si="43"/>
        <v>705</v>
      </c>
      <c r="B706" s="3">
        <v>46049.7423263889</v>
      </c>
      <c r="C706" s="3">
        <v>46049.747395833299</v>
      </c>
      <c r="D706" t="s">
        <v>53</v>
      </c>
      <c r="G706" t="s">
        <v>54</v>
      </c>
      <c r="H706" t="s">
        <v>63</v>
      </c>
      <c r="I706" t="s">
        <v>56</v>
      </c>
      <c r="J706" t="s">
        <v>60</v>
      </c>
      <c r="K706" t="s">
        <v>62</v>
      </c>
      <c r="L706" t="s">
        <v>61</v>
      </c>
      <c r="M706" t="s">
        <v>61</v>
      </c>
      <c r="N706">
        <v>2</v>
      </c>
      <c r="O706">
        <v>4</v>
      </c>
      <c r="P706">
        <v>4</v>
      </c>
      <c r="Q706">
        <v>2</v>
      </c>
      <c r="R706">
        <v>2</v>
      </c>
      <c r="S706">
        <v>4</v>
      </c>
      <c r="T706">
        <v>4</v>
      </c>
      <c r="U706">
        <v>3</v>
      </c>
      <c r="V706">
        <v>4</v>
      </c>
      <c r="W706">
        <v>4</v>
      </c>
      <c r="X706">
        <v>4</v>
      </c>
      <c r="Y706">
        <v>3</v>
      </c>
      <c r="Z706">
        <v>2</v>
      </c>
      <c r="AA706">
        <v>2</v>
      </c>
      <c r="AB706">
        <v>2</v>
      </c>
      <c r="AC706">
        <v>4</v>
      </c>
      <c r="AD706">
        <v>4</v>
      </c>
      <c r="AE706">
        <v>4</v>
      </c>
      <c r="AF706">
        <v>4</v>
      </c>
      <c r="AG706">
        <v>4</v>
      </c>
      <c r="AH706">
        <v>5</v>
      </c>
      <c r="AI706">
        <v>1</v>
      </c>
      <c r="AJ706">
        <v>2</v>
      </c>
      <c r="AK706" t="b">
        <f>Table67[[#This Row],[What is your age?]]&lt;&gt;"18 - 25"</f>
        <v>0</v>
      </c>
      <c r="AL706" t="b">
        <f t="shared" si="40"/>
        <v>0</v>
      </c>
      <c r="AM706" t="b">
        <f t="shared" si="41"/>
        <v>1</v>
      </c>
      <c r="AN706" t="b">
        <f t="shared" si="42"/>
        <v>0</v>
      </c>
      <c r="AO706" t="b">
        <f>OR(Table67[[#This Row],[Ineligible respondents]:[Inconsistent response on opposite question (3)]])</f>
        <v>1</v>
      </c>
      <c r="AP70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706">
        <f>Table67[[#This Row],[Extreme Response]]/21</f>
        <v>4.7619047619047616E-2</v>
      </c>
      <c r="AR706">
        <f>_xlfn.PERCENTILE.INC(Table67[Extrem Response Ratio (ERS)],0.9)</f>
        <v>0.61904761904761907</v>
      </c>
      <c r="AS706" t="b">
        <f>Table67[[#This Row],[Extrem Response Ratio (ERS)]]&gt;=Table67[[#This Row],[Threshold of ERS]]</f>
        <v>0</v>
      </c>
      <c r="AT706">
        <f>COUNTIF(Table67[[#This Row],[The mechanism of digital assets is difficult to understand, which discourages me from exploring it (E.g, Tokenization, Blockchain)]:[If I want to try different ways to invest, I will explore digital assets.]], 3)</f>
        <v>2</v>
      </c>
      <c r="AU706">
        <f>Table67[[#This Row],[Midpoint]]/21</f>
        <v>9.5238095238095233E-2</v>
      </c>
      <c r="AV706">
        <f>_xlfn.PERCENTILE.INC(Table67[Midpoint ratio],0.9)</f>
        <v>0.5714285714285714</v>
      </c>
      <c r="AW706" t="b">
        <f>Table67[[#This Row],[Midpoint ratio]]&gt;=Table67[[#This Row],[Threshold of Midpoint ratio]]</f>
        <v>0</v>
      </c>
      <c r="AX706" t="b">
        <f>OR(Table67[[#This Row],[Extreme Response Style]],Table67[[#This Row],[Mid-point Response Style]])</f>
        <v>0</v>
      </c>
      <c r="AY706" t="b">
        <f>OR(Table67[[#This Row],[Delete? (Stage 1)]],Table67[[#This Row],[Delete? (Stage 2)]])</f>
        <v>1</v>
      </c>
      <c r="AZ706" t="s">
        <v>84</v>
      </c>
    </row>
    <row r="707" spans="1:52">
      <c r="A707">
        <f t="shared" si="43"/>
        <v>706</v>
      </c>
      <c r="B707" s="3">
        <v>46049.742395833302</v>
      </c>
      <c r="C707" s="3">
        <v>46049.748101851903</v>
      </c>
      <c r="D707" t="s">
        <v>53</v>
      </c>
      <c r="G707" t="s">
        <v>54</v>
      </c>
      <c r="H707" t="s">
        <v>55</v>
      </c>
      <c r="I707" t="s">
        <v>71</v>
      </c>
      <c r="J707" t="s">
        <v>62</v>
      </c>
      <c r="K707" t="s">
        <v>60</v>
      </c>
      <c r="L707" t="s">
        <v>58</v>
      </c>
      <c r="M707" t="s">
        <v>58</v>
      </c>
      <c r="N707">
        <v>2</v>
      </c>
      <c r="O707">
        <v>1</v>
      </c>
      <c r="P707">
        <v>5</v>
      </c>
      <c r="Q707">
        <v>3</v>
      </c>
      <c r="R707">
        <v>3</v>
      </c>
      <c r="S707">
        <v>4</v>
      </c>
      <c r="T707">
        <v>2</v>
      </c>
      <c r="U707">
        <v>5</v>
      </c>
      <c r="V707">
        <v>4</v>
      </c>
      <c r="W707">
        <v>4</v>
      </c>
      <c r="X707">
        <v>2</v>
      </c>
      <c r="Y707">
        <v>3</v>
      </c>
      <c r="Z707">
        <v>5</v>
      </c>
      <c r="AA707">
        <v>3</v>
      </c>
      <c r="AB707">
        <v>5</v>
      </c>
      <c r="AC707">
        <v>2</v>
      </c>
      <c r="AD707">
        <v>4</v>
      </c>
      <c r="AE707">
        <v>1</v>
      </c>
      <c r="AF707">
        <v>3</v>
      </c>
      <c r="AG707">
        <v>3</v>
      </c>
      <c r="AH707">
        <v>4</v>
      </c>
      <c r="AI707">
        <v>2</v>
      </c>
      <c r="AJ707">
        <v>3</v>
      </c>
      <c r="AK707" t="b">
        <f>Table67[[#This Row],[What is your age?]]&lt;&gt;"18 - 25"</f>
        <v>0</v>
      </c>
      <c r="AL707" t="b">
        <f t="shared" ref="AL707:AL770" si="44">COUNTIF(N707:AH707, N707) = COLUMNS(N707:AH707)</f>
        <v>0</v>
      </c>
      <c r="AM707" t="b">
        <f t="shared" ref="AM707:AM770" si="45">OR(AND(AG707=AH707, AG707&lt;&gt;3), AND(OR(AG707=1, AG707=2), OR(AH707=1, AH707=2)), AND(OR(AG707=4, AG707=5), OR(AH707=4, AH707=5)))</f>
        <v>0</v>
      </c>
      <c r="AN707" t="b">
        <f t="shared" ref="AN707:AN770" si="46">OR(AND(AG707=3, AH707&lt;&gt;3), AND(AH707=3, AG707&lt;&gt;3))</f>
        <v>1</v>
      </c>
      <c r="AO707" t="b">
        <f>OR(Table67[[#This Row],[Ineligible respondents]:[Inconsistent response on opposite question (3)]])</f>
        <v>1</v>
      </c>
      <c r="AP70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707">
        <f>Table67[[#This Row],[Extreme Response]]/21</f>
        <v>0.2857142857142857</v>
      </c>
      <c r="AR707">
        <f>_xlfn.PERCENTILE.INC(Table67[Extrem Response Ratio (ERS)],0.9)</f>
        <v>0.61904761904761907</v>
      </c>
      <c r="AS707" t="b">
        <f>Table67[[#This Row],[Extrem Response Ratio (ERS)]]&gt;=Table67[[#This Row],[Threshold of ERS]]</f>
        <v>0</v>
      </c>
      <c r="AT707">
        <f>COUNTIF(Table67[[#This Row],[The mechanism of digital assets is difficult to understand, which discourages me from exploring it (E.g, Tokenization, Blockchain)]:[If I want to try different ways to invest, I will explore digital assets.]], 3)</f>
        <v>6</v>
      </c>
      <c r="AU707">
        <f>Table67[[#This Row],[Midpoint]]/21</f>
        <v>0.2857142857142857</v>
      </c>
      <c r="AV707">
        <f>_xlfn.PERCENTILE.INC(Table67[Midpoint ratio],0.9)</f>
        <v>0.5714285714285714</v>
      </c>
      <c r="AW707" t="b">
        <f>Table67[[#This Row],[Midpoint ratio]]&gt;=Table67[[#This Row],[Threshold of Midpoint ratio]]</f>
        <v>0</v>
      </c>
      <c r="AX707" t="b">
        <f>OR(Table67[[#This Row],[Extreme Response Style]],Table67[[#This Row],[Mid-point Response Style]])</f>
        <v>0</v>
      </c>
      <c r="AY707" t="b">
        <f>OR(Table67[[#This Row],[Delete? (Stage 1)]],Table67[[#This Row],[Delete? (Stage 2)]])</f>
        <v>1</v>
      </c>
      <c r="AZ707" t="s">
        <v>84</v>
      </c>
    </row>
    <row r="708" spans="1:52">
      <c r="A708">
        <f t="shared" ref="A708:A771" si="47">1+A707</f>
        <v>707</v>
      </c>
      <c r="B708" s="3">
        <v>46049.742557870399</v>
      </c>
      <c r="C708" s="3">
        <v>46049.746331018498</v>
      </c>
      <c r="D708" t="s">
        <v>53</v>
      </c>
      <c r="G708" t="s">
        <v>54</v>
      </c>
      <c r="H708" t="s">
        <v>63</v>
      </c>
      <c r="I708" t="s">
        <v>56</v>
      </c>
      <c r="J708" t="s">
        <v>64</v>
      </c>
      <c r="K708" t="s">
        <v>60</v>
      </c>
      <c r="L708" t="s">
        <v>58</v>
      </c>
      <c r="M708" t="s">
        <v>58</v>
      </c>
      <c r="N708">
        <v>3</v>
      </c>
      <c r="O708">
        <v>3</v>
      </c>
      <c r="P708">
        <v>3</v>
      </c>
      <c r="Q708">
        <v>4</v>
      </c>
      <c r="R708">
        <v>3</v>
      </c>
      <c r="S708">
        <v>3</v>
      </c>
      <c r="T708">
        <v>2</v>
      </c>
      <c r="U708">
        <v>3</v>
      </c>
      <c r="V708">
        <v>3</v>
      </c>
      <c r="W708">
        <v>4</v>
      </c>
      <c r="X708">
        <v>3</v>
      </c>
      <c r="Y708">
        <v>4</v>
      </c>
      <c r="Z708">
        <v>4</v>
      </c>
      <c r="AA708">
        <v>3</v>
      </c>
      <c r="AB708">
        <v>2</v>
      </c>
      <c r="AC708">
        <v>4</v>
      </c>
      <c r="AD708">
        <v>3</v>
      </c>
      <c r="AE708">
        <v>4</v>
      </c>
      <c r="AF708">
        <v>4</v>
      </c>
      <c r="AG708">
        <v>3</v>
      </c>
      <c r="AH708">
        <v>4</v>
      </c>
      <c r="AI708">
        <v>2</v>
      </c>
      <c r="AJ708">
        <v>2</v>
      </c>
      <c r="AK708" t="b">
        <f>Table67[[#This Row],[What is your age?]]&lt;&gt;"18 - 25"</f>
        <v>0</v>
      </c>
      <c r="AL708" t="b">
        <f t="shared" si="44"/>
        <v>0</v>
      </c>
      <c r="AM708" t="b">
        <f t="shared" si="45"/>
        <v>0</v>
      </c>
      <c r="AN708" t="b">
        <f t="shared" si="46"/>
        <v>1</v>
      </c>
      <c r="AO708" t="b">
        <f>OR(Table67[[#This Row],[Ineligible respondents]:[Inconsistent response on opposite question (3)]])</f>
        <v>1</v>
      </c>
      <c r="AP70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708">
        <f>Table67[[#This Row],[Extreme Response]]/21</f>
        <v>0</v>
      </c>
      <c r="AR708">
        <f>_xlfn.PERCENTILE.INC(Table67[Extrem Response Ratio (ERS)],0.9)</f>
        <v>0.61904761904761907</v>
      </c>
      <c r="AS708" t="b">
        <f>Table67[[#This Row],[Extrem Response Ratio (ERS)]]&gt;=Table67[[#This Row],[Threshold of ERS]]</f>
        <v>0</v>
      </c>
      <c r="AT708">
        <f>COUNTIF(Table67[[#This Row],[The mechanism of digital assets is difficult to understand, which discourages me from exploring it (E.g, Tokenization, Blockchain)]:[If I want to try different ways to invest, I will explore digital assets.]], 3)</f>
        <v>11</v>
      </c>
      <c r="AU708">
        <f>Table67[[#This Row],[Midpoint]]/21</f>
        <v>0.52380952380952384</v>
      </c>
      <c r="AV708">
        <f>_xlfn.PERCENTILE.INC(Table67[Midpoint ratio],0.9)</f>
        <v>0.5714285714285714</v>
      </c>
      <c r="AW708" t="b">
        <f>Table67[[#This Row],[Midpoint ratio]]&gt;=Table67[[#This Row],[Threshold of Midpoint ratio]]</f>
        <v>0</v>
      </c>
      <c r="AX708" t="b">
        <f>OR(Table67[[#This Row],[Extreme Response Style]],Table67[[#This Row],[Mid-point Response Style]])</f>
        <v>0</v>
      </c>
      <c r="AY708" t="b">
        <f>OR(Table67[[#This Row],[Delete? (Stage 1)]],Table67[[#This Row],[Delete? (Stage 2)]])</f>
        <v>1</v>
      </c>
      <c r="AZ708" t="s">
        <v>84</v>
      </c>
    </row>
    <row r="709" spans="1:52">
      <c r="A709">
        <f t="shared" si="47"/>
        <v>708</v>
      </c>
      <c r="B709" s="3">
        <v>46049.742719907401</v>
      </c>
      <c r="C709" s="3">
        <v>46049.746006944399</v>
      </c>
      <c r="D709" t="s">
        <v>53</v>
      </c>
      <c r="G709" t="s">
        <v>54</v>
      </c>
      <c r="H709" t="s">
        <v>63</v>
      </c>
      <c r="I709" t="s">
        <v>56</v>
      </c>
      <c r="J709" t="s">
        <v>72</v>
      </c>
      <c r="K709" t="s">
        <v>60</v>
      </c>
      <c r="L709" t="s">
        <v>61</v>
      </c>
      <c r="M709" t="s">
        <v>61</v>
      </c>
      <c r="N709">
        <v>4</v>
      </c>
      <c r="O709">
        <v>1</v>
      </c>
      <c r="P709">
        <v>4</v>
      </c>
      <c r="Q709">
        <v>5</v>
      </c>
      <c r="R709">
        <v>5</v>
      </c>
      <c r="S709">
        <v>4</v>
      </c>
      <c r="T709">
        <v>5</v>
      </c>
      <c r="U709">
        <v>5</v>
      </c>
      <c r="V709">
        <v>5</v>
      </c>
      <c r="W709">
        <v>5</v>
      </c>
      <c r="X709">
        <v>2</v>
      </c>
      <c r="Y709">
        <v>5</v>
      </c>
      <c r="Z709">
        <v>5</v>
      </c>
      <c r="AA709">
        <v>3</v>
      </c>
      <c r="AB709">
        <v>4</v>
      </c>
      <c r="AC709">
        <v>3</v>
      </c>
      <c r="AD709">
        <v>3</v>
      </c>
      <c r="AE709">
        <v>3</v>
      </c>
      <c r="AF709">
        <v>5</v>
      </c>
      <c r="AG709">
        <v>4</v>
      </c>
      <c r="AH709">
        <v>5</v>
      </c>
      <c r="AI709">
        <v>1</v>
      </c>
      <c r="AJ709">
        <v>1</v>
      </c>
      <c r="AK709" t="b">
        <f>Table67[[#This Row],[What is your age?]]&lt;&gt;"18 - 25"</f>
        <v>0</v>
      </c>
      <c r="AL709" t="b">
        <f t="shared" si="44"/>
        <v>0</v>
      </c>
      <c r="AM709" t="b">
        <f t="shared" si="45"/>
        <v>1</v>
      </c>
      <c r="AN709" t="b">
        <f t="shared" si="46"/>
        <v>0</v>
      </c>
      <c r="AO709" t="b">
        <f>OR(Table67[[#This Row],[Ineligible respondents]:[Inconsistent response on opposite question (3)]])</f>
        <v>1</v>
      </c>
      <c r="AP70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709">
        <f>Table67[[#This Row],[Extreme Response]]/21</f>
        <v>0.52380952380952384</v>
      </c>
      <c r="AR709">
        <f>_xlfn.PERCENTILE.INC(Table67[Extrem Response Ratio (ERS)],0.9)</f>
        <v>0.61904761904761907</v>
      </c>
      <c r="AS709" t="b">
        <f>Table67[[#This Row],[Extrem Response Ratio (ERS)]]&gt;=Table67[[#This Row],[Threshold of ERS]]</f>
        <v>0</v>
      </c>
      <c r="AT709">
        <f>COUNTIF(Table67[[#This Row],[The mechanism of digital assets is difficult to understand, which discourages me from exploring it (E.g, Tokenization, Blockchain)]:[If I want to try different ways to invest, I will explore digital assets.]], 3)</f>
        <v>4</v>
      </c>
      <c r="AU709">
        <f>Table67[[#This Row],[Midpoint]]/21</f>
        <v>0.19047619047619047</v>
      </c>
      <c r="AV709">
        <f>_xlfn.PERCENTILE.INC(Table67[Midpoint ratio],0.9)</f>
        <v>0.5714285714285714</v>
      </c>
      <c r="AW709" t="b">
        <f>Table67[[#This Row],[Midpoint ratio]]&gt;=Table67[[#This Row],[Threshold of Midpoint ratio]]</f>
        <v>0</v>
      </c>
      <c r="AX709" t="b">
        <f>OR(Table67[[#This Row],[Extreme Response Style]],Table67[[#This Row],[Mid-point Response Style]])</f>
        <v>0</v>
      </c>
      <c r="AY709" t="b">
        <f>OR(Table67[[#This Row],[Delete? (Stage 1)]],Table67[[#This Row],[Delete? (Stage 2)]])</f>
        <v>1</v>
      </c>
      <c r="AZ709" t="s">
        <v>84</v>
      </c>
    </row>
    <row r="710" spans="1:52">
      <c r="A710">
        <f t="shared" si="47"/>
        <v>709</v>
      </c>
      <c r="B710" s="3">
        <v>46049.743032407401</v>
      </c>
      <c r="C710" s="3">
        <v>46049.748854166697</v>
      </c>
      <c r="D710" t="s">
        <v>53</v>
      </c>
      <c r="G710" t="s">
        <v>54</v>
      </c>
      <c r="H710" t="s">
        <v>55</v>
      </c>
      <c r="I710" t="s">
        <v>71</v>
      </c>
      <c r="J710" t="s">
        <v>68</v>
      </c>
      <c r="K710" t="s">
        <v>62</v>
      </c>
      <c r="L710" t="s">
        <v>58</v>
      </c>
      <c r="M710" t="s">
        <v>58</v>
      </c>
      <c r="N710">
        <v>4</v>
      </c>
      <c r="O710">
        <v>3</v>
      </c>
      <c r="P710">
        <v>4</v>
      </c>
      <c r="Q710">
        <v>4</v>
      </c>
      <c r="R710">
        <v>4</v>
      </c>
      <c r="S710">
        <v>4</v>
      </c>
      <c r="T710">
        <v>4</v>
      </c>
      <c r="U710">
        <v>5</v>
      </c>
      <c r="V710">
        <v>4</v>
      </c>
      <c r="W710">
        <v>3</v>
      </c>
      <c r="X710">
        <v>4</v>
      </c>
      <c r="Y710">
        <v>4</v>
      </c>
      <c r="Z710">
        <v>4</v>
      </c>
      <c r="AA710">
        <v>3</v>
      </c>
      <c r="AB710">
        <v>3</v>
      </c>
      <c r="AC710">
        <v>4</v>
      </c>
      <c r="AD710">
        <v>4</v>
      </c>
      <c r="AE710">
        <v>3</v>
      </c>
      <c r="AF710">
        <v>3</v>
      </c>
      <c r="AG710">
        <v>4</v>
      </c>
      <c r="AH710">
        <v>3</v>
      </c>
      <c r="AI710">
        <v>3</v>
      </c>
      <c r="AJ710">
        <v>3</v>
      </c>
      <c r="AK710" t="b">
        <f>Table67[[#This Row],[What is your age?]]&lt;&gt;"18 - 25"</f>
        <v>0</v>
      </c>
      <c r="AL710" t="b">
        <f t="shared" si="44"/>
        <v>0</v>
      </c>
      <c r="AM710" t="b">
        <f t="shared" si="45"/>
        <v>0</v>
      </c>
      <c r="AN710" t="b">
        <f t="shared" si="46"/>
        <v>1</v>
      </c>
      <c r="AO710" t="b">
        <f>OR(Table67[[#This Row],[Ineligible respondents]:[Inconsistent response on opposite question (3)]])</f>
        <v>1</v>
      </c>
      <c r="AP71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710">
        <f>Table67[[#This Row],[Extreme Response]]/21</f>
        <v>4.7619047619047616E-2</v>
      </c>
      <c r="AR710">
        <f>_xlfn.PERCENTILE.INC(Table67[Extrem Response Ratio (ERS)],0.9)</f>
        <v>0.61904761904761907</v>
      </c>
      <c r="AS710" t="b">
        <f>Table67[[#This Row],[Extrem Response Ratio (ERS)]]&gt;=Table67[[#This Row],[Threshold of ERS]]</f>
        <v>0</v>
      </c>
      <c r="AT710">
        <f>COUNTIF(Table67[[#This Row],[The mechanism of digital assets is difficult to understand, which discourages me from exploring it (E.g, Tokenization, Blockchain)]:[If I want to try different ways to invest, I will explore digital assets.]], 3)</f>
        <v>7</v>
      </c>
      <c r="AU710">
        <f>Table67[[#This Row],[Midpoint]]/21</f>
        <v>0.33333333333333331</v>
      </c>
      <c r="AV710">
        <f>_xlfn.PERCENTILE.INC(Table67[Midpoint ratio],0.9)</f>
        <v>0.5714285714285714</v>
      </c>
      <c r="AW710" t="b">
        <f>Table67[[#This Row],[Midpoint ratio]]&gt;=Table67[[#This Row],[Threshold of Midpoint ratio]]</f>
        <v>0</v>
      </c>
      <c r="AX710" t="b">
        <f>OR(Table67[[#This Row],[Extreme Response Style]],Table67[[#This Row],[Mid-point Response Style]])</f>
        <v>0</v>
      </c>
      <c r="AY710" t="b">
        <f>OR(Table67[[#This Row],[Delete? (Stage 1)]],Table67[[#This Row],[Delete? (Stage 2)]])</f>
        <v>1</v>
      </c>
      <c r="AZ710" t="s">
        <v>84</v>
      </c>
    </row>
    <row r="711" spans="1:52">
      <c r="A711">
        <f t="shared" si="47"/>
        <v>710</v>
      </c>
      <c r="B711" s="3">
        <v>46049.743136574099</v>
      </c>
      <c r="C711" s="3">
        <v>46049.750914351796</v>
      </c>
      <c r="D711" t="s">
        <v>53</v>
      </c>
      <c r="G711" t="s">
        <v>54</v>
      </c>
      <c r="H711" t="s">
        <v>63</v>
      </c>
      <c r="I711" t="s">
        <v>71</v>
      </c>
      <c r="J711" t="s">
        <v>62</v>
      </c>
      <c r="K711" t="s">
        <v>57</v>
      </c>
      <c r="L711" t="s">
        <v>58</v>
      </c>
      <c r="M711" t="s">
        <v>58</v>
      </c>
      <c r="N711">
        <v>4</v>
      </c>
      <c r="O711">
        <v>2</v>
      </c>
      <c r="P711">
        <v>4</v>
      </c>
      <c r="Q711">
        <v>3</v>
      </c>
      <c r="R711">
        <v>4</v>
      </c>
      <c r="S711">
        <v>2</v>
      </c>
      <c r="T711">
        <v>1</v>
      </c>
      <c r="U711">
        <v>3</v>
      </c>
      <c r="V711">
        <v>4</v>
      </c>
      <c r="W711">
        <v>4</v>
      </c>
      <c r="X711">
        <v>4</v>
      </c>
      <c r="Y711">
        <v>4</v>
      </c>
      <c r="Z711">
        <v>5</v>
      </c>
      <c r="AA711">
        <v>3</v>
      </c>
      <c r="AB711">
        <v>4</v>
      </c>
      <c r="AC711">
        <v>2</v>
      </c>
      <c r="AD711">
        <v>4</v>
      </c>
      <c r="AE711">
        <v>5</v>
      </c>
      <c r="AF711">
        <v>4</v>
      </c>
      <c r="AG711">
        <v>5</v>
      </c>
      <c r="AH711">
        <v>4</v>
      </c>
      <c r="AI711">
        <v>2</v>
      </c>
      <c r="AJ711">
        <v>2</v>
      </c>
      <c r="AK711" t="b">
        <f>Table67[[#This Row],[What is your age?]]&lt;&gt;"18 - 25"</f>
        <v>0</v>
      </c>
      <c r="AL711" t="b">
        <f t="shared" si="44"/>
        <v>0</v>
      </c>
      <c r="AM711" t="b">
        <f t="shared" si="45"/>
        <v>1</v>
      </c>
      <c r="AN711" t="b">
        <f t="shared" si="46"/>
        <v>0</v>
      </c>
      <c r="AO711" t="b">
        <f>OR(Table67[[#This Row],[Ineligible respondents]:[Inconsistent response on opposite question (3)]])</f>
        <v>1</v>
      </c>
      <c r="AP71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711">
        <f>Table67[[#This Row],[Extreme Response]]/21</f>
        <v>0.19047619047619047</v>
      </c>
      <c r="AR711">
        <f>_xlfn.PERCENTILE.INC(Table67[Extrem Response Ratio (ERS)],0.9)</f>
        <v>0.61904761904761907</v>
      </c>
      <c r="AS711" t="b">
        <f>Table67[[#This Row],[Extrem Response Ratio (ERS)]]&gt;=Table67[[#This Row],[Threshold of ERS]]</f>
        <v>0</v>
      </c>
      <c r="AT711">
        <f>COUNTIF(Table67[[#This Row],[The mechanism of digital assets is difficult to understand, which discourages me from exploring it (E.g, Tokenization, Blockchain)]:[If I want to try different ways to invest, I will explore digital assets.]], 3)</f>
        <v>3</v>
      </c>
      <c r="AU711">
        <f>Table67[[#This Row],[Midpoint]]/21</f>
        <v>0.14285714285714285</v>
      </c>
      <c r="AV711">
        <f>_xlfn.PERCENTILE.INC(Table67[Midpoint ratio],0.9)</f>
        <v>0.5714285714285714</v>
      </c>
      <c r="AW711" t="b">
        <f>Table67[[#This Row],[Midpoint ratio]]&gt;=Table67[[#This Row],[Threshold of Midpoint ratio]]</f>
        <v>0</v>
      </c>
      <c r="AX711" t="b">
        <f>OR(Table67[[#This Row],[Extreme Response Style]],Table67[[#This Row],[Mid-point Response Style]])</f>
        <v>0</v>
      </c>
      <c r="AY711" t="b">
        <f>OR(Table67[[#This Row],[Delete? (Stage 1)]],Table67[[#This Row],[Delete? (Stage 2)]])</f>
        <v>1</v>
      </c>
      <c r="AZ711" t="s">
        <v>84</v>
      </c>
    </row>
    <row r="712" spans="1:52">
      <c r="A712">
        <f t="shared" si="47"/>
        <v>711</v>
      </c>
      <c r="B712" s="3">
        <v>46049.743159722202</v>
      </c>
      <c r="C712" s="3">
        <v>46049.746504629598</v>
      </c>
      <c r="D712" t="s">
        <v>53</v>
      </c>
      <c r="G712" t="s">
        <v>54</v>
      </c>
      <c r="H712" t="s">
        <v>63</v>
      </c>
      <c r="I712" t="s">
        <v>71</v>
      </c>
      <c r="J712" t="s">
        <v>62</v>
      </c>
      <c r="K712" t="s">
        <v>62</v>
      </c>
      <c r="L712" t="s">
        <v>61</v>
      </c>
      <c r="M712" t="s">
        <v>61</v>
      </c>
      <c r="N712">
        <v>2</v>
      </c>
      <c r="O712">
        <v>2</v>
      </c>
      <c r="P712">
        <v>4</v>
      </c>
      <c r="Q712">
        <v>2</v>
      </c>
      <c r="R712">
        <v>2</v>
      </c>
      <c r="S712">
        <v>2</v>
      </c>
      <c r="T712">
        <v>1</v>
      </c>
      <c r="U712">
        <v>2</v>
      </c>
      <c r="V712">
        <v>4</v>
      </c>
      <c r="W712">
        <v>4</v>
      </c>
      <c r="X712">
        <v>4</v>
      </c>
      <c r="Y712">
        <v>4</v>
      </c>
      <c r="Z712">
        <v>5</v>
      </c>
      <c r="AA712">
        <v>4</v>
      </c>
      <c r="AB712">
        <v>2</v>
      </c>
      <c r="AC712">
        <v>2</v>
      </c>
      <c r="AD712">
        <v>4</v>
      </c>
      <c r="AE712">
        <v>2</v>
      </c>
      <c r="AF712">
        <v>4</v>
      </c>
      <c r="AG712">
        <v>2</v>
      </c>
      <c r="AH712">
        <v>4</v>
      </c>
      <c r="AI712">
        <v>2</v>
      </c>
      <c r="AJ712">
        <v>2</v>
      </c>
      <c r="AK712" t="b">
        <f>Table67[[#This Row],[What is your age?]]&lt;&gt;"18 - 25"</f>
        <v>0</v>
      </c>
      <c r="AL712" t="b">
        <f t="shared" si="44"/>
        <v>0</v>
      </c>
      <c r="AM712" t="b">
        <f t="shared" si="45"/>
        <v>0</v>
      </c>
      <c r="AN712" t="b">
        <f t="shared" si="46"/>
        <v>0</v>
      </c>
      <c r="AO712" t="b">
        <f>OR(Table67[[#This Row],[Ineligible respondents]:[Inconsistent response on opposite question (3)]])</f>
        <v>0</v>
      </c>
      <c r="AP71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712">
        <f>Table67[[#This Row],[Extreme Response]]/21</f>
        <v>9.5238095238095233E-2</v>
      </c>
      <c r="AR712">
        <f>_xlfn.PERCENTILE.INC(Table67[Extrem Response Ratio (ERS)],0.9)</f>
        <v>0.61904761904761907</v>
      </c>
      <c r="AS712" t="b">
        <f>Table67[[#This Row],[Extrem Response Ratio (ERS)]]&gt;=Table67[[#This Row],[Threshold of ERS]]</f>
        <v>0</v>
      </c>
      <c r="AT712">
        <f>COUNTIF(Table67[[#This Row],[The mechanism of digital assets is difficult to understand, which discourages me from exploring it (E.g, Tokenization, Blockchain)]:[If I want to try different ways to invest, I will explore digital assets.]], 3)</f>
        <v>0</v>
      </c>
      <c r="AU712">
        <f>Table67[[#This Row],[Midpoint]]/21</f>
        <v>0</v>
      </c>
      <c r="AV712">
        <f>_xlfn.PERCENTILE.INC(Table67[Midpoint ratio],0.9)</f>
        <v>0.5714285714285714</v>
      </c>
      <c r="AW712" t="b">
        <f>Table67[[#This Row],[Midpoint ratio]]&gt;=Table67[[#This Row],[Threshold of Midpoint ratio]]</f>
        <v>0</v>
      </c>
      <c r="AX712" t="b">
        <f>OR(Table67[[#This Row],[Extreme Response Style]],Table67[[#This Row],[Mid-point Response Style]])</f>
        <v>0</v>
      </c>
      <c r="AY712" t="b">
        <f>OR(Table67[[#This Row],[Delete? (Stage 1)]],Table67[[#This Row],[Delete? (Stage 2)]])</f>
        <v>0</v>
      </c>
      <c r="AZ712" t="s">
        <v>84</v>
      </c>
    </row>
    <row r="713" spans="1:52">
      <c r="A713">
        <f t="shared" si="47"/>
        <v>712</v>
      </c>
      <c r="B713" s="3">
        <v>46049.743159722202</v>
      </c>
      <c r="C713" s="3">
        <v>46049.749918981499</v>
      </c>
      <c r="D713" t="s">
        <v>53</v>
      </c>
      <c r="G713" t="s">
        <v>54</v>
      </c>
      <c r="H713" t="s">
        <v>55</v>
      </c>
      <c r="I713" t="s">
        <v>69</v>
      </c>
      <c r="J713" t="s">
        <v>60</v>
      </c>
      <c r="K713" t="s">
        <v>62</v>
      </c>
      <c r="L713" t="s">
        <v>58</v>
      </c>
      <c r="M713" t="s">
        <v>58</v>
      </c>
      <c r="N713">
        <v>2</v>
      </c>
      <c r="O713">
        <v>2</v>
      </c>
      <c r="P713">
        <v>3</v>
      </c>
      <c r="Q713">
        <v>2</v>
      </c>
      <c r="R713">
        <v>2</v>
      </c>
      <c r="S713">
        <v>2</v>
      </c>
      <c r="T713">
        <v>2</v>
      </c>
      <c r="U713">
        <v>2</v>
      </c>
      <c r="V713">
        <v>2</v>
      </c>
      <c r="W713">
        <v>2</v>
      </c>
      <c r="X713">
        <v>2</v>
      </c>
      <c r="Y713">
        <v>2</v>
      </c>
      <c r="Z713">
        <v>1</v>
      </c>
      <c r="AA713">
        <v>1</v>
      </c>
      <c r="AB713">
        <v>1</v>
      </c>
      <c r="AC713">
        <v>1</v>
      </c>
      <c r="AD713">
        <v>2</v>
      </c>
      <c r="AE713">
        <v>2</v>
      </c>
      <c r="AF713">
        <v>2</v>
      </c>
      <c r="AG713">
        <v>2</v>
      </c>
      <c r="AH713">
        <v>2</v>
      </c>
      <c r="AI713">
        <v>4</v>
      </c>
      <c r="AJ713">
        <v>4</v>
      </c>
      <c r="AK713" t="b">
        <f>Table67[[#This Row],[What is your age?]]&lt;&gt;"18 - 25"</f>
        <v>0</v>
      </c>
      <c r="AL713" t="b">
        <f t="shared" si="44"/>
        <v>0</v>
      </c>
      <c r="AM713" t="b">
        <f t="shared" si="45"/>
        <v>1</v>
      </c>
      <c r="AN713" t="b">
        <f t="shared" si="46"/>
        <v>0</v>
      </c>
      <c r="AO713" t="b">
        <f>OR(Table67[[#This Row],[Ineligible respondents]:[Inconsistent response on opposite question (3)]])</f>
        <v>1</v>
      </c>
      <c r="AP71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713">
        <f>Table67[[#This Row],[Extreme Response]]/21</f>
        <v>0.19047619047619047</v>
      </c>
      <c r="AR713">
        <f>_xlfn.PERCENTILE.INC(Table67[Extrem Response Ratio (ERS)],0.9)</f>
        <v>0.61904761904761907</v>
      </c>
      <c r="AS713" t="b">
        <f>Table67[[#This Row],[Extrem Response Ratio (ERS)]]&gt;=Table67[[#This Row],[Threshold of ERS]]</f>
        <v>0</v>
      </c>
      <c r="AT713">
        <f>COUNTIF(Table67[[#This Row],[The mechanism of digital assets is difficult to understand, which discourages me from exploring it (E.g, Tokenization, Blockchain)]:[If I want to try different ways to invest, I will explore digital assets.]], 3)</f>
        <v>1</v>
      </c>
      <c r="AU713">
        <f>Table67[[#This Row],[Midpoint]]/21</f>
        <v>4.7619047619047616E-2</v>
      </c>
      <c r="AV713">
        <f>_xlfn.PERCENTILE.INC(Table67[Midpoint ratio],0.9)</f>
        <v>0.5714285714285714</v>
      </c>
      <c r="AW713" t="b">
        <f>Table67[[#This Row],[Midpoint ratio]]&gt;=Table67[[#This Row],[Threshold of Midpoint ratio]]</f>
        <v>0</v>
      </c>
      <c r="AX713" t="b">
        <f>OR(Table67[[#This Row],[Extreme Response Style]],Table67[[#This Row],[Mid-point Response Style]])</f>
        <v>0</v>
      </c>
      <c r="AY713" t="b">
        <f>OR(Table67[[#This Row],[Delete? (Stage 1)]],Table67[[#This Row],[Delete? (Stage 2)]])</f>
        <v>1</v>
      </c>
      <c r="AZ713" t="s">
        <v>84</v>
      </c>
    </row>
    <row r="714" spans="1:52">
      <c r="A714">
        <f t="shared" si="47"/>
        <v>713</v>
      </c>
      <c r="B714" s="3">
        <v>46049.743298611102</v>
      </c>
      <c r="C714" s="3">
        <v>46049.749004629601</v>
      </c>
      <c r="D714" t="s">
        <v>53</v>
      </c>
      <c r="G714" t="s">
        <v>54</v>
      </c>
      <c r="H714" t="s">
        <v>55</v>
      </c>
      <c r="I714" t="s">
        <v>71</v>
      </c>
      <c r="J714" t="s">
        <v>62</v>
      </c>
      <c r="K714" t="s">
        <v>57</v>
      </c>
      <c r="L714" t="s">
        <v>58</v>
      </c>
      <c r="M714" t="s">
        <v>58</v>
      </c>
      <c r="N714">
        <v>4</v>
      </c>
      <c r="O714">
        <v>1</v>
      </c>
      <c r="P714">
        <v>5</v>
      </c>
      <c r="Q714">
        <v>3</v>
      </c>
      <c r="R714">
        <v>2</v>
      </c>
      <c r="S714">
        <v>3</v>
      </c>
      <c r="T714">
        <v>2</v>
      </c>
      <c r="U714">
        <v>2</v>
      </c>
      <c r="V714">
        <v>1</v>
      </c>
      <c r="W714">
        <v>2</v>
      </c>
      <c r="X714">
        <v>4</v>
      </c>
      <c r="Y714">
        <v>3</v>
      </c>
      <c r="Z714">
        <v>3</v>
      </c>
      <c r="AA714">
        <v>4</v>
      </c>
      <c r="AB714">
        <v>2</v>
      </c>
      <c r="AC714">
        <v>5</v>
      </c>
      <c r="AD714">
        <v>4</v>
      </c>
      <c r="AE714">
        <v>5</v>
      </c>
      <c r="AF714">
        <v>3</v>
      </c>
      <c r="AG714">
        <v>2</v>
      </c>
      <c r="AH714">
        <v>3</v>
      </c>
      <c r="AI714">
        <v>3</v>
      </c>
      <c r="AJ714">
        <v>3</v>
      </c>
      <c r="AK714" t="b">
        <f>Table67[[#This Row],[What is your age?]]&lt;&gt;"18 - 25"</f>
        <v>0</v>
      </c>
      <c r="AL714" t="b">
        <f t="shared" si="44"/>
        <v>0</v>
      </c>
      <c r="AM714" t="b">
        <f t="shared" si="45"/>
        <v>0</v>
      </c>
      <c r="AN714" t="b">
        <f t="shared" si="46"/>
        <v>1</v>
      </c>
      <c r="AO714" t="b">
        <f>OR(Table67[[#This Row],[Ineligible respondents]:[Inconsistent response on opposite question (3)]])</f>
        <v>1</v>
      </c>
      <c r="AP71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714">
        <f>Table67[[#This Row],[Extreme Response]]/21</f>
        <v>0.23809523809523808</v>
      </c>
      <c r="AR714">
        <f>_xlfn.PERCENTILE.INC(Table67[Extrem Response Ratio (ERS)],0.9)</f>
        <v>0.61904761904761907</v>
      </c>
      <c r="AS714" t="b">
        <f>Table67[[#This Row],[Extrem Response Ratio (ERS)]]&gt;=Table67[[#This Row],[Threshold of ERS]]</f>
        <v>0</v>
      </c>
      <c r="AT714">
        <f>COUNTIF(Table67[[#This Row],[The mechanism of digital assets is difficult to understand, which discourages me from exploring it (E.g, Tokenization, Blockchain)]:[If I want to try different ways to invest, I will explore digital assets.]], 3)</f>
        <v>6</v>
      </c>
      <c r="AU714">
        <f>Table67[[#This Row],[Midpoint]]/21</f>
        <v>0.2857142857142857</v>
      </c>
      <c r="AV714">
        <f>_xlfn.PERCENTILE.INC(Table67[Midpoint ratio],0.9)</f>
        <v>0.5714285714285714</v>
      </c>
      <c r="AW714" t="b">
        <f>Table67[[#This Row],[Midpoint ratio]]&gt;=Table67[[#This Row],[Threshold of Midpoint ratio]]</f>
        <v>0</v>
      </c>
      <c r="AX714" t="b">
        <f>OR(Table67[[#This Row],[Extreme Response Style]],Table67[[#This Row],[Mid-point Response Style]])</f>
        <v>0</v>
      </c>
      <c r="AY714" t="b">
        <f>OR(Table67[[#This Row],[Delete? (Stage 1)]],Table67[[#This Row],[Delete? (Stage 2)]])</f>
        <v>1</v>
      </c>
      <c r="AZ714" t="s">
        <v>84</v>
      </c>
    </row>
    <row r="715" spans="1:52">
      <c r="A715">
        <f t="shared" si="47"/>
        <v>714</v>
      </c>
      <c r="B715" s="3">
        <v>46049.743946759299</v>
      </c>
      <c r="C715" s="3">
        <v>46049.745949074102</v>
      </c>
      <c r="D715" t="s">
        <v>53</v>
      </c>
      <c r="G715" t="s">
        <v>54</v>
      </c>
      <c r="H715" t="s">
        <v>55</v>
      </c>
      <c r="I715" t="s">
        <v>71</v>
      </c>
      <c r="J715" t="s">
        <v>62</v>
      </c>
      <c r="K715" t="s">
        <v>60</v>
      </c>
      <c r="L715" t="s">
        <v>61</v>
      </c>
      <c r="M715" t="s">
        <v>61</v>
      </c>
      <c r="N715">
        <v>5</v>
      </c>
      <c r="O715">
        <v>4</v>
      </c>
      <c r="P715">
        <v>5</v>
      </c>
      <c r="Q715">
        <v>5</v>
      </c>
      <c r="R715">
        <v>5</v>
      </c>
      <c r="S715">
        <v>5</v>
      </c>
      <c r="T715">
        <v>3</v>
      </c>
      <c r="U715">
        <v>5</v>
      </c>
      <c r="V715">
        <v>5</v>
      </c>
      <c r="W715">
        <v>5</v>
      </c>
      <c r="X715">
        <v>5</v>
      </c>
      <c r="Y715">
        <v>4</v>
      </c>
      <c r="Z715">
        <v>4</v>
      </c>
      <c r="AA715">
        <v>4</v>
      </c>
      <c r="AB715">
        <v>2</v>
      </c>
      <c r="AC715">
        <v>2</v>
      </c>
      <c r="AD715">
        <v>5</v>
      </c>
      <c r="AE715">
        <v>5</v>
      </c>
      <c r="AF715">
        <v>4</v>
      </c>
      <c r="AG715">
        <v>2</v>
      </c>
      <c r="AH715">
        <v>3</v>
      </c>
      <c r="AI715">
        <v>3</v>
      </c>
      <c r="AJ715">
        <v>2</v>
      </c>
      <c r="AK715" t="b">
        <f>Table67[[#This Row],[What is your age?]]&lt;&gt;"18 - 25"</f>
        <v>0</v>
      </c>
      <c r="AL715" t="b">
        <f t="shared" si="44"/>
        <v>0</v>
      </c>
      <c r="AM715" t="b">
        <f t="shared" si="45"/>
        <v>0</v>
      </c>
      <c r="AN715" t="b">
        <f t="shared" si="46"/>
        <v>1</v>
      </c>
      <c r="AO715" t="b">
        <f>OR(Table67[[#This Row],[Ineligible respondents]:[Inconsistent response on opposite question (3)]])</f>
        <v>1</v>
      </c>
      <c r="AP71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715">
        <f>Table67[[#This Row],[Extreme Response]]/21</f>
        <v>0.52380952380952384</v>
      </c>
      <c r="AR715">
        <f>_xlfn.PERCENTILE.INC(Table67[Extrem Response Ratio (ERS)],0.9)</f>
        <v>0.61904761904761907</v>
      </c>
      <c r="AS715" t="b">
        <f>Table67[[#This Row],[Extrem Response Ratio (ERS)]]&gt;=Table67[[#This Row],[Threshold of ERS]]</f>
        <v>0</v>
      </c>
      <c r="AT715">
        <f>COUNTIF(Table67[[#This Row],[The mechanism of digital assets is difficult to understand, which discourages me from exploring it (E.g, Tokenization, Blockchain)]:[If I want to try different ways to invest, I will explore digital assets.]], 3)</f>
        <v>2</v>
      </c>
      <c r="AU715">
        <f>Table67[[#This Row],[Midpoint]]/21</f>
        <v>9.5238095238095233E-2</v>
      </c>
      <c r="AV715">
        <f>_xlfn.PERCENTILE.INC(Table67[Midpoint ratio],0.9)</f>
        <v>0.5714285714285714</v>
      </c>
      <c r="AW715" t="b">
        <f>Table67[[#This Row],[Midpoint ratio]]&gt;=Table67[[#This Row],[Threshold of Midpoint ratio]]</f>
        <v>0</v>
      </c>
      <c r="AX715" t="b">
        <f>OR(Table67[[#This Row],[Extreme Response Style]],Table67[[#This Row],[Mid-point Response Style]])</f>
        <v>0</v>
      </c>
      <c r="AY715" t="b">
        <f>OR(Table67[[#This Row],[Delete? (Stage 1)]],Table67[[#This Row],[Delete? (Stage 2)]])</f>
        <v>1</v>
      </c>
      <c r="AZ715" t="s">
        <v>84</v>
      </c>
    </row>
    <row r="716" spans="1:52">
      <c r="A716">
        <f t="shared" si="47"/>
        <v>715</v>
      </c>
      <c r="B716" s="3">
        <v>46049.744178240697</v>
      </c>
      <c r="C716" s="3">
        <v>46049.747418981497</v>
      </c>
      <c r="D716" t="s">
        <v>53</v>
      </c>
      <c r="G716" t="s">
        <v>54</v>
      </c>
      <c r="H716" t="s">
        <v>63</v>
      </c>
      <c r="I716" t="s">
        <v>75</v>
      </c>
      <c r="J716" t="s">
        <v>66</v>
      </c>
      <c r="K716" t="s">
        <v>66</v>
      </c>
      <c r="L716" t="s">
        <v>61</v>
      </c>
      <c r="M716" t="s">
        <v>61</v>
      </c>
      <c r="N716">
        <v>4</v>
      </c>
      <c r="O716">
        <v>4</v>
      </c>
      <c r="P716">
        <v>3</v>
      </c>
      <c r="Q716">
        <v>4</v>
      </c>
      <c r="R716">
        <v>5</v>
      </c>
      <c r="S716">
        <v>4</v>
      </c>
      <c r="T716">
        <v>3</v>
      </c>
      <c r="U716">
        <v>4</v>
      </c>
      <c r="V716">
        <v>3</v>
      </c>
      <c r="W716">
        <v>4</v>
      </c>
      <c r="X716">
        <v>4</v>
      </c>
      <c r="Y716">
        <v>5</v>
      </c>
      <c r="Z716">
        <v>4</v>
      </c>
      <c r="AA716">
        <v>3</v>
      </c>
      <c r="AB716">
        <v>5</v>
      </c>
      <c r="AC716">
        <v>4</v>
      </c>
      <c r="AD716">
        <v>4</v>
      </c>
      <c r="AE716">
        <v>5</v>
      </c>
      <c r="AF716">
        <v>4</v>
      </c>
      <c r="AG716">
        <v>4</v>
      </c>
      <c r="AH716">
        <v>3</v>
      </c>
      <c r="AI716">
        <v>3</v>
      </c>
      <c r="AJ716">
        <v>2</v>
      </c>
      <c r="AK716" t="b">
        <f>Table67[[#This Row],[What is your age?]]&lt;&gt;"18 - 25"</f>
        <v>0</v>
      </c>
      <c r="AL716" t="b">
        <f t="shared" si="44"/>
        <v>0</v>
      </c>
      <c r="AM716" t="b">
        <f t="shared" si="45"/>
        <v>0</v>
      </c>
      <c r="AN716" t="b">
        <f t="shared" si="46"/>
        <v>1</v>
      </c>
      <c r="AO716" t="b">
        <f>OR(Table67[[#This Row],[Ineligible respondents]:[Inconsistent response on opposite question (3)]])</f>
        <v>1</v>
      </c>
      <c r="AP71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716">
        <f>Table67[[#This Row],[Extreme Response]]/21</f>
        <v>0.19047619047619047</v>
      </c>
      <c r="AR716">
        <f>_xlfn.PERCENTILE.INC(Table67[Extrem Response Ratio (ERS)],0.9)</f>
        <v>0.61904761904761907</v>
      </c>
      <c r="AS716" t="b">
        <f>Table67[[#This Row],[Extrem Response Ratio (ERS)]]&gt;=Table67[[#This Row],[Threshold of ERS]]</f>
        <v>0</v>
      </c>
      <c r="AT716">
        <f>COUNTIF(Table67[[#This Row],[The mechanism of digital assets is difficult to understand, which discourages me from exploring it (E.g, Tokenization, Blockchain)]:[If I want to try different ways to invest, I will explore digital assets.]], 3)</f>
        <v>5</v>
      </c>
      <c r="AU716">
        <f>Table67[[#This Row],[Midpoint]]/21</f>
        <v>0.23809523809523808</v>
      </c>
      <c r="AV716">
        <f>_xlfn.PERCENTILE.INC(Table67[Midpoint ratio],0.9)</f>
        <v>0.5714285714285714</v>
      </c>
      <c r="AW716" t="b">
        <f>Table67[[#This Row],[Midpoint ratio]]&gt;=Table67[[#This Row],[Threshold of Midpoint ratio]]</f>
        <v>0</v>
      </c>
      <c r="AX716" t="b">
        <f>OR(Table67[[#This Row],[Extreme Response Style]],Table67[[#This Row],[Mid-point Response Style]])</f>
        <v>0</v>
      </c>
      <c r="AY716" t="b">
        <f>OR(Table67[[#This Row],[Delete? (Stage 1)]],Table67[[#This Row],[Delete? (Stage 2)]])</f>
        <v>1</v>
      </c>
      <c r="AZ716" t="s">
        <v>84</v>
      </c>
    </row>
    <row r="717" spans="1:52">
      <c r="A717">
        <f t="shared" si="47"/>
        <v>716</v>
      </c>
      <c r="B717" s="3">
        <v>46049.7442592593</v>
      </c>
      <c r="C717" s="3">
        <v>46049.750636574099</v>
      </c>
      <c r="D717" t="s">
        <v>53</v>
      </c>
      <c r="G717" t="s">
        <v>54</v>
      </c>
      <c r="H717" t="s">
        <v>63</v>
      </c>
      <c r="I717" t="s">
        <v>56</v>
      </c>
      <c r="J717" t="s">
        <v>66</v>
      </c>
      <c r="K717" t="s">
        <v>57</v>
      </c>
      <c r="L717" t="s">
        <v>58</v>
      </c>
      <c r="M717" t="s">
        <v>58</v>
      </c>
      <c r="N717">
        <v>3</v>
      </c>
      <c r="O717">
        <v>2</v>
      </c>
      <c r="P717">
        <v>4</v>
      </c>
      <c r="Q717">
        <v>3</v>
      </c>
      <c r="R717">
        <v>2</v>
      </c>
      <c r="S717">
        <v>3</v>
      </c>
      <c r="T717">
        <v>1</v>
      </c>
      <c r="U717">
        <v>2</v>
      </c>
      <c r="V717">
        <v>2</v>
      </c>
      <c r="W717">
        <v>4</v>
      </c>
      <c r="X717">
        <v>1</v>
      </c>
      <c r="Y717">
        <v>2</v>
      </c>
      <c r="Z717">
        <v>4</v>
      </c>
      <c r="AA717">
        <v>4</v>
      </c>
      <c r="AB717">
        <v>2</v>
      </c>
      <c r="AC717">
        <v>1</v>
      </c>
      <c r="AD717">
        <v>3</v>
      </c>
      <c r="AE717">
        <v>5</v>
      </c>
      <c r="AF717">
        <v>3</v>
      </c>
      <c r="AG717">
        <v>2</v>
      </c>
      <c r="AH717">
        <v>3</v>
      </c>
      <c r="AI717">
        <v>3</v>
      </c>
      <c r="AJ717">
        <v>3</v>
      </c>
      <c r="AK717" t="b">
        <f>Table67[[#This Row],[What is your age?]]&lt;&gt;"18 - 25"</f>
        <v>0</v>
      </c>
      <c r="AL717" t="b">
        <f t="shared" si="44"/>
        <v>0</v>
      </c>
      <c r="AM717" t="b">
        <f t="shared" si="45"/>
        <v>0</v>
      </c>
      <c r="AN717" t="b">
        <f t="shared" si="46"/>
        <v>1</v>
      </c>
      <c r="AO717" t="b">
        <f>OR(Table67[[#This Row],[Ineligible respondents]:[Inconsistent response on opposite question (3)]])</f>
        <v>1</v>
      </c>
      <c r="AP71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717">
        <f>Table67[[#This Row],[Extreme Response]]/21</f>
        <v>0.19047619047619047</v>
      </c>
      <c r="AR717">
        <f>_xlfn.PERCENTILE.INC(Table67[Extrem Response Ratio (ERS)],0.9)</f>
        <v>0.61904761904761907</v>
      </c>
      <c r="AS717" t="b">
        <f>Table67[[#This Row],[Extrem Response Ratio (ERS)]]&gt;=Table67[[#This Row],[Threshold of ERS]]</f>
        <v>0</v>
      </c>
      <c r="AT717">
        <f>COUNTIF(Table67[[#This Row],[The mechanism of digital assets is difficult to understand, which discourages me from exploring it (E.g, Tokenization, Blockchain)]:[If I want to try different ways to invest, I will explore digital assets.]], 3)</f>
        <v>6</v>
      </c>
      <c r="AU717">
        <f>Table67[[#This Row],[Midpoint]]/21</f>
        <v>0.2857142857142857</v>
      </c>
      <c r="AV717">
        <f>_xlfn.PERCENTILE.INC(Table67[Midpoint ratio],0.9)</f>
        <v>0.5714285714285714</v>
      </c>
      <c r="AW717" t="b">
        <f>Table67[[#This Row],[Midpoint ratio]]&gt;=Table67[[#This Row],[Threshold of Midpoint ratio]]</f>
        <v>0</v>
      </c>
      <c r="AX717" t="b">
        <f>OR(Table67[[#This Row],[Extreme Response Style]],Table67[[#This Row],[Mid-point Response Style]])</f>
        <v>0</v>
      </c>
      <c r="AY717" t="b">
        <f>OR(Table67[[#This Row],[Delete? (Stage 1)]],Table67[[#This Row],[Delete? (Stage 2)]])</f>
        <v>1</v>
      </c>
      <c r="AZ717" t="s">
        <v>84</v>
      </c>
    </row>
    <row r="718" spans="1:52">
      <c r="A718">
        <f t="shared" si="47"/>
        <v>717</v>
      </c>
      <c r="B718" s="3">
        <v>46049.744398148097</v>
      </c>
      <c r="C718" s="3">
        <v>46049.7485185185</v>
      </c>
      <c r="D718" t="s">
        <v>53</v>
      </c>
      <c r="G718" t="s">
        <v>54</v>
      </c>
      <c r="H718" t="s">
        <v>63</v>
      </c>
      <c r="I718" t="s">
        <v>56</v>
      </c>
      <c r="J718" t="s">
        <v>57</v>
      </c>
      <c r="K718" t="s">
        <v>57</v>
      </c>
      <c r="L718" t="s">
        <v>58</v>
      </c>
      <c r="M718" t="s">
        <v>58</v>
      </c>
      <c r="N718">
        <v>4</v>
      </c>
      <c r="O718">
        <v>2</v>
      </c>
      <c r="P718">
        <v>4</v>
      </c>
      <c r="Q718">
        <v>3</v>
      </c>
      <c r="R718">
        <v>4</v>
      </c>
      <c r="S718">
        <v>4</v>
      </c>
      <c r="T718">
        <v>3</v>
      </c>
      <c r="U718">
        <v>3</v>
      </c>
      <c r="V718">
        <v>4</v>
      </c>
      <c r="W718">
        <v>4</v>
      </c>
      <c r="X718">
        <v>4</v>
      </c>
      <c r="Y718">
        <v>5</v>
      </c>
      <c r="Z718">
        <v>4</v>
      </c>
      <c r="AA718">
        <v>4</v>
      </c>
      <c r="AB718">
        <v>3</v>
      </c>
      <c r="AC718">
        <v>3</v>
      </c>
      <c r="AD718">
        <v>4</v>
      </c>
      <c r="AE718">
        <v>5</v>
      </c>
      <c r="AF718">
        <v>4</v>
      </c>
      <c r="AG718">
        <v>3</v>
      </c>
      <c r="AH718">
        <v>3</v>
      </c>
      <c r="AI718">
        <v>3</v>
      </c>
      <c r="AJ718">
        <v>2</v>
      </c>
      <c r="AK718" t="b">
        <f>Table67[[#This Row],[What is your age?]]&lt;&gt;"18 - 25"</f>
        <v>0</v>
      </c>
      <c r="AL718" t="b">
        <f t="shared" si="44"/>
        <v>0</v>
      </c>
      <c r="AM718" t="b">
        <f t="shared" si="45"/>
        <v>0</v>
      </c>
      <c r="AN718" t="b">
        <f t="shared" si="46"/>
        <v>0</v>
      </c>
      <c r="AO718" t="b">
        <f>OR(Table67[[#This Row],[Ineligible respondents]:[Inconsistent response on opposite question (3)]])</f>
        <v>0</v>
      </c>
      <c r="AP71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718">
        <f>Table67[[#This Row],[Extreme Response]]/21</f>
        <v>9.5238095238095233E-2</v>
      </c>
      <c r="AR718">
        <f>_xlfn.PERCENTILE.INC(Table67[Extrem Response Ratio (ERS)],0.9)</f>
        <v>0.61904761904761907</v>
      </c>
      <c r="AS718" t="b">
        <f>Table67[[#This Row],[Extrem Response Ratio (ERS)]]&gt;=Table67[[#This Row],[Threshold of ERS]]</f>
        <v>0</v>
      </c>
      <c r="AT718">
        <f>COUNTIF(Table67[[#This Row],[The mechanism of digital assets is difficult to understand, which discourages me from exploring it (E.g, Tokenization, Blockchain)]:[If I want to try different ways to invest, I will explore digital assets.]], 3)</f>
        <v>7</v>
      </c>
      <c r="AU718">
        <f>Table67[[#This Row],[Midpoint]]/21</f>
        <v>0.33333333333333331</v>
      </c>
      <c r="AV718">
        <f>_xlfn.PERCENTILE.INC(Table67[Midpoint ratio],0.9)</f>
        <v>0.5714285714285714</v>
      </c>
      <c r="AW718" t="b">
        <f>Table67[[#This Row],[Midpoint ratio]]&gt;=Table67[[#This Row],[Threshold of Midpoint ratio]]</f>
        <v>0</v>
      </c>
      <c r="AX718" t="b">
        <f>OR(Table67[[#This Row],[Extreme Response Style]],Table67[[#This Row],[Mid-point Response Style]])</f>
        <v>0</v>
      </c>
      <c r="AY718" t="b">
        <f>OR(Table67[[#This Row],[Delete? (Stage 1)]],Table67[[#This Row],[Delete? (Stage 2)]])</f>
        <v>0</v>
      </c>
      <c r="AZ718" t="s">
        <v>84</v>
      </c>
    </row>
    <row r="719" spans="1:52">
      <c r="A719">
        <f t="shared" si="47"/>
        <v>718</v>
      </c>
      <c r="B719" s="3">
        <v>46049.744444444397</v>
      </c>
      <c r="C719" s="3">
        <v>46049.7551157407</v>
      </c>
      <c r="D719" t="s">
        <v>53</v>
      </c>
      <c r="G719" t="s">
        <v>73</v>
      </c>
      <c r="H719" t="s">
        <v>63</v>
      </c>
      <c r="I719" t="s">
        <v>56</v>
      </c>
      <c r="J719" t="s">
        <v>60</v>
      </c>
      <c r="K719" t="s">
        <v>62</v>
      </c>
      <c r="L719" t="s">
        <v>58</v>
      </c>
      <c r="M719" t="s">
        <v>58</v>
      </c>
      <c r="N719">
        <v>4</v>
      </c>
      <c r="O719">
        <v>4</v>
      </c>
      <c r="P719">
        <v>2</v>
      </c>
      <c r="Q719">
        <v>1</v>
      </c>
      <c r="R719">
        <v>3</v>
      </c>
      <c r="S719">
        <v>5</v>
      </c>
      <c r="T719">
        <v>2</v>
      </c>
      <c r="U719">
        <v>5</v>
      </c>
      <c r="V719">
        <v>3</v>
      </c>
      <c r="W719">
        <v>5</v>
      </c>
      <c r="X719">
        <v>2</v>
      </c>
      <c r="Y719">
        <v>5</v>
      </c>
      <c r="Z719">
        <v>3</v>
      </c>
      <c r="AA719">
        <v>3</v>
      </c>
      <c r="AB719">
        <v>3</v>
      </c>
      <c r="AC719">
        <v>3</v>
      </c>
      <c r="AD719">
        <v>4</v>
      </c>
      <c r="AE719">
        <v>2</v>
      </c>
      <c r="AF719">
        <v>4</v>
      </c>
      <c r="AG719">
        <v>1</v>
      </c>
      <c r="AH719">
        <v>4</v>
      </c>
      <c r="AI719">
        <v>2</v>
      </c>
      <c r="AJ719">
        <v>2</v>
      </c>
      <c r="AK719" t="b">
        <f>Table67[[#This Row],[What is your age?]]&lt;&gt;"18 - 25"</f>
        <v>1</v>
      </c>
      <c r="AL719" t="b">
        <f t="shared" si="44"/>
        <v>0</v>
      </c>
      <c r="AM719" t="b">
        <f t="shared" si="45"/>
        <v>0</v>
      </c>
      <c r="AN719" t="b">
        <f t="shared" si="46"/>
        <v>0</v>
      </c>
      <c r="AO719" t="b">
        <f>OR(Table67[[#This Row],[Ineligible respondents]:[Inconsistent response on opposite question (3)]])</f>
        <v>1</v>
      </c>
      <c r="AP71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719">
        <f>Table67[[#This Row],[Extreme Response]]/21</f>
        <v>0.2857142857142857</v>
      </c>
      <c r="AR719">
        <f>_xlfn.PERCENTILE.INC(Table67[Extrem Response Ratio (ERS)],0.9)</f>
        <v>0.61904761904761907</v>
      </c>
      <c r="AS719" t="b">
        <f>Table67[[#This Row],[Extrem Response Ratio (ERS)]]&gt;=Table67[[#This Row],[Threshold of ERS]]</f>
        <v>0</v>
      </c>
      <c r="AT719">
        <f>COUNTIF(Table67[[#This Row],[The mechanism of digital assets is difficult to understand, which discourages me from exploring it (E.g, Tokenization, Blockchain)]:[If I want to try different ways to invest, I will explore digital assets.]], 3)</f>
        <v>6</v>
      </c>
      <c r="AU719">
        <f>Table67[[#This Row],[Midpoint]]/21</f>
        <v>0.2857142857142857</v>
      </c>
      <c r="AV719">
        <f>_xlfn.PERCENTILE.INC(Table67[Midpoint ratio],0.9)</f>
        <v>0.5714285714285714</v>
      </c>
      <c r="AW719" t="b">
        <f>Table67[[#This Row],[Midpoint ratio]]&gt;=Table67[[#This Row],[Threshold of Midpoint ratio]]</f>
        <v>0</v>
      </c>
      <c r="AX719" t="b">
        <f>OR(Table67[[#This Row],[Extreme Response Style]],Table67[[#This Row],[Mid-point Response Style]])</f>
        <v>0</v>
      </c>
      <c r="AY719" t="b">
        <f>OR(Table67[[#This Row],[Delete? (Stage 1)]],Table67[[#This Row],[Delete? (Stage 2)]])</f>
        <v>1</v>
      </c>
      <c r="AZ719" t="s">
        <v>84</v>
      </c>
    </row>
    <row r="720" spans="1:52">
      <c r="A720">
        <f t="shared" si="47"/>
        <v>719</v>
      </c>
      <c r="B720" s="3">
        <v>46049.744467592602</v>
      </c>
      <c r="C720" s="3">
        <v>46049.749872685199</v>
      </c>
      <c r="D720" t="s">
        <v>53</v>
      </c>
      <c r="G720" t="s">
        <v>54</v>
      </c>
      <c r="H720" t="s">
        <v>63</v>
      </c>
      <c r="I720" t="s">
        <v>56</v>
      </c>
      <c r="J720" t="s">
        <v>62</v>
      </c>
      <c r="K720" t="s">
        <v>62</v>
      </c>
      <c r="L720" t="s">
        <v>58</v>
      </c>
      <c r="M720" t="s">
        <v>58</v>
      </c>
      <c r="N720">
        <v>3</v>
      </c>
      <c r="O720">
        <v>4</v>
      </c>
      <c r="P720">
        <v>3</v>
      </c>
      <c r="Q720">
        <v>4</v>
      </c>
      <c r="R720">
        <v>3</v>
      </c>
      <c r="S720">
        <v>4</v>
      </c>
      <c r="T720">
        <v>4</v>
      </c>
      <c r="U720">
        <v>5</v>
      </c>
      <c r="V720">
        <v>2</v>
      </c>
      <c r="W720">
        <v>4</v>
      </c>
      <c r="X720">
        <v>3</v>
      </c>
      <c r="Y720">
        <v>5</v>
      </c>
      <c r="Z720">
        <v>3</v>
      </c>
      <c r="AA720">
        <v>5</v>
      </c>
      <c r="AB720">
        <v>5</v>
      </c>
      <c r="AC720">
        <v>5</v>
      </c>
      <c r="AD720">
        <v>3</v>
      </c>
      <c r="AE720">
        <v>3</v>
      </c>
      <c r="AF720">
        <v>1</v>
      </c>
      <c r="AG720">
        <v>5</v>
      </c>
      <c r="AH720">
        <v>1</v>
      </c>
      <c r="AI720">
        <v>5</v>
      </c>
      <c r="AJ720">
        <v>5</v>
      </c>
      <c r="AK720" t="b">
        <f>Table67[[#This Row],[What is your age?]]&lt;&gt;"18 - 25"</f>
        <v>0</v>
      </c>
      <c r="AL720" t="b">
        <f t="shared" si="44"/>
        <v>0</v>
      </c>
      <c r="AM720" t="b">
        <f t="shared" si="45"/>
        <v>0</v>
      </c>
      <c r="AN720" t="b">
        <f t="shared" si="46"/>
        <v>0</v>
      </c>
      <c r="AO720" t="b">
        <f>OR(Table67[[#This Row],[Ineligible respondents]:[Inconsistent response on opposite question (3)]])</f>
        <v>0</v>
      </c>
      <c r="AP72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720">
        <f>Table67[[#This Row],[Extreme Response]]/21</f>
        <v>0.38095238095238093</v>
      </c>
      <c r="AR720">
        <f>_xlfn.PERCENTILE.INC(Table67[Extrem Response Ratio (ERS)],0.9)</f>
        <v>0.61904761904761907</v>
      </c>
      <c r="AS720" t="b">
        <f>Table67[[#This Row],[Extrem Response Ratio (ERS)]]&gt;=Table67[[#This Row],[Threshold of ERS]]</f>
        <v>0</v>
      </c>
      <c r="AT720">
        <f>COUNTIF(Table67[[#This Row],[The mechanism of digital assets is difficult to understand, which discourages me from exploring it (E.g, Tokenization, Blockchain)]:[If I want to try different ways to invest, I will explore digital assets.]], 3)</f>
        <v>7</v>
      </c>
      <c r="AU720">
        <f>Table67[[#This Row],[Midpoint]]/21</f>
        <v>0.33333333333333331</v>
      </c>
      <c r="AV720">
        <f>_xlfn.PERCENTILE.INC(Table67[Midpoint ratio],0.9)</f>
        <v>0.5714285714285714</v>
      </c>
      <c r="AW720" t="b">
        <f>Table67[[#This Row],[Midpoint ratio]]&gt;=Table67[[#This Row],[Threshold of Midpoint ratio]]</f>
        <v>0</v>
      </c>
      <c r="AX720" t="b">
        <f>OR(Table67[[#This Row],[Extreme Response Style]],Table67[[#This Row],[Mid-point Response Style]])</f>
        <v>0</v>
      </c>
      <c r="AY720" t="b">
        <f>OR(Table67[[#This Row],[Delete? (Stage 1)]],Table67[[#This Row],[Delete? (Stage 2)]])</f>
        <v>0</v>
      </c>
      <c r="AZ720" t="s">
        <v>84</v>
      </c>
    </row>
    <row r="721" spans="1:52">
      <c r="A721">
        <f t="shared" si="47"/>
        <v>720</v>
      </c>
      <c r="B721" s="3">
        <v>46049.744548611103</v>
      </c>
      <c r="C721" s="3">
        <v>46049.744907407403</v>
      </c>
      <c r="D721" t="s">
        <v>53</v>
      </c>
      <c r="G721" t="s">
        <v>54</v>
      </c>
      <c r="H721" t="s">
        <v>55</v>
      </c>
      <c r="I721" t="s">
        <v>56</v>
      </c>
      <c r="J721" t="s">
        <v>62</v>
      </c>
      <c r="K721" t="s">
        <v>62</v>
      </c>
      <c r="L721" t="s">
        <v>58</v>
      </c>
      <c r="M721" t="s">
        <v>58</v>
      </c>
      <c r="N721">
        <v>5</v>
      </c>
      <c r="O721">
        <v>2</v>
      </c>
      <c r="P721">
        <v>4</v>
      </c>
      <c r="Q721">
        <v>2</v>
      </c>
      <c r="R721">
        <v>5</v>
      </c>
      <c r="S721">
        <v>5</v>
      </c>
      <c r="T721">
        <v>5</v>
      </c>
      <c r="U721">
        <v>5</v>
      </c>
      <c r="V721">
        <v>5</v>
      </c>
      <c r="W721">
        <v>5</v>
      </c>
      <c r="X721">
        <v>5</v>
      </c>
      <c r="Y721">
        <v>5</v>
      </c>
      <c r="Z721">
        <v>5</v>
      </c>
      <c r="AA721">
        <v>5</v>
      </c>
      <c r="AB721">
        <v>5</v>
      </c>
      <c r="AC721">
        <v>5</v>
      </c>
      <c r="AD721">
        <v>3</v>
      </c>
      <c r="AE721">
        <v>1</v>
      </c>
      <c r="AF721">
        <v>1</v>
      </c>
      <c r="AG721">
        <v>5</v>
      </c>
      <c r="AH721">
        <v>1</v>
      </c>
      <c r="AI721">
        <v>5</v>
      </c>
      <c r="AJ721">
        <v>5</v>
      </c>
      <c r="AK721" t="b">
        <f>Table67[[#This Row],[What is your age?]]&lt;&gt;"18 - 25"</f>
        <v>0</v>
      </c>
      <c r="AL721" t="b">
        <f t="shared" si="44"/>
        <v>0</v>
      </c>
      <c r="AM721" t="b">
        <f t="shared" si="45"/>
        <v>0</v>
      </c>
      <c r="AN721" t="b">
        <f t="shared" si="46"/>
        <v>0</v>
      </c>
      <c r="AO721" t="b">
        <f>OR(Table67[[#This Row],[Ineligible respondents]:[Inconsistent response on opposite question (3)]])</f>
        <v>0</v>
      </c>
      <c r="AP72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17</v>
      </c>
      <c r="AQ721">
        <f>Table67[[#This Row],[Extreme Response]]/21</f>
        <v>0.80952380952380953</v>
      </c>
      <c r="AR721">
        <f>_xlfn.PERCENTILE.INC(Table67[Extrem Response Ratio (ERS)],0.9)</f>
        <v>0.61904761904761907</v>
      </c>
      <c r="AS721" t="b">
        <f>Table67[[#This Row],[Extrem Response Ratio (ERS)]]&gt;=Table67[[#This Row],[Threshold of ERS]]</f>
        <v>1</v>
      </c>
      <c r="AT721">
        <f>COUNTIF(Table67[[#This Row],[The mechanism of digital assets is difficult to understand, which discourages me from exploring it (E.g, Tokenization, Blockchain)]:[If I want to try different ways to invest, I will explore digital assets.]], 3)</f>
        <v>1</v>
      </c>
      <c r="AU721">
        <f>Table67[[#This Row],[Midpoint]]/21</f>
        <v>4.7619047619047616E-2</v>
      </c>
      <c r="AV721">
        <f>_xlfn.PERCENTILE.INC(Table67[Midpoint ratio],0.9)</f>
        <v>0.5714285714285714</v>
      </c>
      <c r="AW721" t="b">
        <f>Table67[[#This Row],[Midpoint ratio]]&gt;=Table67[[#This Row],[Threshold of Midpoint ratio]]</f>
        <v>0</v>
      </c>
      <c r="AX721" t="b">
        <f>OR(Table67[[#This Row],[Extreme Response Style]],Table67[[#This Row],[Mid-point Response Style]])</f>
        <v>1</v>
      </c>
      <c r="AY721" t="b">
        <f>OR(Table67[[#This Row],[Delete? (Stage 1)]],Table67[[#This Row],[Delete? (Stage 2)]])</f>
        <v>1</v>
      </c>
      <c r="AZ721" t="s">
        <v>84</v>
      </c>
    </row>
    <row r="722" spans="1:52">
      <c r="A722">
        <f t="shared" si="47"/>
        <v>721</v>
      </c>
      <c r="B722" s="3">
        <v>46049.744756944398</v>
      </c>
      <c r="C722" s="3">
        <v>46049.762361111098</v>
      </c>
      <c r="D722" t="s">
        <v>53</v>
      </c>
      <c r="G722" t="s">
        <v>54</v>
      </c>
      <c r="H722" t="s">
        <v>63</v>
      </c>
      <c r="I722" t="s">
        <v>69</v>
      </c>
      <c r="J722" t="s">
        <v>62</v>
      </c>
      <c r="K722" t="s">
        <v>57</v>
      </c>
      <c r="L722" t="s">
        <v>61</v>
      </c>
      <c r="M722" t="s">
        <v>61</v>
      </c>
      <c r="N722">
        <v>3</v>
      </c>
      <c r="O722">
        <v>5</v>
      </c>
      <c r="P722">
        <v>1</v>
      </c>
      <c r="Q722">
        <v>1</v>
      </c>
      <c r="R722">
        <v>1</v>
      </c>
      <c r="S722">
        <v>5</v>
      </c>
      <c r="T722">
        <v>1</v>
      </c>
      <c r="U722">
        <v>3</v>
      </c>
      <c r="V722">
        <v>2</v>
      </c>
      <c r="W722">
        <v>2</v>
      </c>
      <c r="X722">
        <v>1</v>
      </c>
      <c r="Y722">
        <v>1</v>
      </c>
      <c r="Z722">
        <v>3</v>
      </c>
      <c r="AA722">
        <v>1</v>
      </c>
      <c r="AB722">
        <v>2</v>
      </c>
      <c r="AC722">
        <v>1</v>
      </c>
      <c r="AD722">
        <v>4</v>
      </c>
      <c r="AE722">
        <v>2</v>
      </c>
      <c r="AF722">
        <v>5</v>
      </c>
      <c r="AG722">
        <v>1</v>
      </c>
      <c r="AH722">
        <v>5</v>
      </c>
      <c r="AI722">
        <v>1</v>
      </c>
      <c r="AJ722">
        <v>1</v>
      </c>
      <c r="AK722" t="b">
        <f>Table67[[#This Row],[What is your age?]]&lt;&gt;"18 - 25"</f>
        <v>0</v>
      </c>
      <c r="AL722" t="b">
        <f t="shared" si="44"/>
        <v>0</v>
      </c>
      <c r="AM722" t="b">
        <f t="shared" si="45"/>
        <v>0</v>
      </c>
      <c r="AN722" t="b">
        <f t="shared" si="46"/>
        <v>0</v>
      </c>
      <c r="AO722" t="b">
        <f>OR(Table67[[#This Row],[Ineligible respondents]:[Inconsistent response on opposite question (3)]])</f>
        <v>0</v>
      </c>
      <c r="AP72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722">
        <f>Table67[[#This Row],[Extreme Response]]/21</f>
        <v>0.61904761904761907</v>
      </c>
      <c r="AR722">
        <f>_xlfn.PERCENTILE.INC(Table67[Extrem Response Ratio (ERS)],0.9)</f>
        <v>0.61904761904761907</v>
      </c>
      <c r="AS722" t="b">
        <f>Table67[[#This Row],[Extrem Response Ratio (ERS)]]&gt;=Table67[[#This Row],[Threshold of ERS]]</f>
        <v>1</v>
      </c>
      <c r="AT722">
        <f>COUNTIF(Table67[[#This Row],[The mechanism of digital assets is difficult to understand, which discourages me from exploring it (E.g, Tokenization, Blockchain)]:[If I want to try different ways to invest, I will explore digital assets.]], 3)</f>
        <v>3</v>
      </c>
      <c r="AU722">
        <f>Table67[[#This Row],[Midpoint]]/21</f>
        <v>0.14285714285714285</v>
      </c>
      <c r="AV722">
        <f>_xlfn.PERCENTILE.INC(Table67[Midpoint ratio],0.9)</f>
        <v>0.5714285714285714</v>
      </c>
      <c r="AW722" t="b">
        <f>Table67[[#This Row],[Midpoint ratio]]&gt;=Table67[[#This Row],[Threshold of Midpoint ratio]]</f>
        <v>0</v>
      </c>
      <c r="AX722" t="b">
        <f>OR(Table67[[#This Row],[Extreme Response Style]],Table67[[#This Row],[Mid-point Response Style]])</f>
        <v>1</v>
      </c>
      <c r="AY722" t="b">
        <f>OR(Table67[[#This Row],[Delete? (Stage 1)]],Table67[[#This Row],[Delete? (Stage 2)]])</f>
        <v>1</v>
      </c>
      <c r="AZ722" t="s">
        <v>84</v>
      </c>
    </row>
    <row r="723" spans="1:52">
      <c r="A723">
        <f t="shared" si="47"/>
        <v>722</v>
      </c>
      <c r="B723" s="3">
        <v>46049.744872685202</v>
      </c>
      <c r="C723" s="3">
        <v>46049.750625000001</v>
      </c>
      <c r="D723" t="s">
        <v>53</v>
      </c>
      <c r="G723" t="s">
        <v>54</v>
      </c>
      <c r="H723" t="s">
        <v>55</v>
      </c>
      <c r="I723" t="s">
        <v>69</v>
      </c>
      <c r="J723" t="s">
        <v>62</v>
      </c>
      <c r="K723" t="s">
        <v>57</v>
      </c>
      <c r="L723" t="s">
        <v>58</v>
      </c>
      <c r="M723" t="s">
        <v>58</v>
      </c>
      <c r="N723">
        <v>4</v>
      </c>
      <c r="O723">
        <v>3</v>
      </c>
      <c r="P723">
        <v>4</v>
      </c>
      <c r="Q723">
        <v>3</v>
      </c>
      <c r="R723">
        <v>4</v>
      </c>
      <c r="S723">
        <v>4</v>
      </c>
      <c r="T723">
        <v>5</v>
      </c>
      <c r="U723">
        <v>4</v>
      </c>
      <c r="V723">
        <v>5</v>
      </c>
      <c r="W723">
        <v>5</v>
      </c>
      <c r="X723">
        <v>4</v>
      </c>
      <c r="Y723">
        <v>5</v>
      </c>
      <c r="Z723">
        <v>4</v>
      </c>
      <c r="AA723">
        <v>5</v>
      </c>
      <c r="AB723">
        <v>3</v>
      </c>
      <c r="AC723">
        <v>3</v>
      </c>
      <c r="AD723">
        <v>5</v>
      </c>
      <c r="AE723">
        <v>5</v>
      </c>
      <c r="AF723">
        <v>2</v>
      </c>
      <c r="AG723">
        <v>4</v>
      </c>
      <c r="AH723">
        <v>3</v>
      </c>
      <c r="AI723">
        <v>3</v>
      </c>
      <c r="AJ723">
        <v>4</v>
      </c>
      <c r="AK723" t="b">
        <f>Table67[[#This Row],[What is your age?]]&lt;&gt;"18 - 25"</f>
        <v>0</v>
      </c>
      <c r="AL723" t="b">
        <f t="shared" si="44"/>
        <v>0</v>
      </c>
      <c r="AM723" t="b">
        <f t="shared" si="45"/>
        <v>0</v>
      </c>
      <c r="AN723" t="b">
        <f t="shared" si="46"/>
        <v>1</v>
      </c>
      <c r="AO723" t="b">
        <f>OR(Table67[[#This Row],[Ineligible respondents]:[Inconsistent response on opposite question (3)]])</f>
        <v>1</v>
      </c>
      <c r="AP72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723">
        <f>Table67[[#This Row],[Extreme Response]]/21</f>
        <v>0.33333333333333331</v>
      </c>
      <c r="AR723">
        <f>_xlfn.PERCENTILE.INC(Table67[Extrem Response Ratio (ERS)],0.9)</f>
        <v>0.61904761904761907</v>
      </c>
      <c r="AS723" t="b">
        <f>Table67[[#This Row],[Extrem Response Ratio (ERS)]]&gt;=Table67[[#This Row],[Threshold of ERS]]</f>
        <v>0</v>
      </c>
      <c r="AT723">
        <f>COUNTIF(Table67[[#This Row],[The mechanism of digital assets is difficult to understand, which discourages me from exploring it (E.g, Tokenization, Blockchain)]:[If I want to try different ways to invest, I will explore digital assets.]], 3)</f>
        <v>5</v>
      </c>
      <c r="AU723">
        <f>Table67[[#This Row],[Midpoint]]/21</f>
        <v>0.23809523809523808</v>
      </c>
      <c r="AV723">
        <f>_xlfn.PERCENTILE.INC(Table67[Midpoint ratio],0.9)</f>
        <v>0.5714285714285714</v>
      </c>
      <c r="AW723" t="b">
        <f>Table67[[#This Row],[Midpoint ratio]]&gt;=Table67[[#This Row],[Threshold of Midpoint ratio]]</f>
        <v>0</v>
      </c>
      <c r="AX723" t="b">
        <f>OR(Table67[[#This Row],[Extreme Response Style]],Table67[[#This Row],[Mid-point Response Style]])</f>
        <v>0</v>
      </c>
      <c r="AY723" t="b">
        <f>OR(Table67[[#This Row],[Delete? (Stage 1)]],Table67[[#This Row],[Delete? (Stage 2)]])</f>
        <v>1</v>
      </c>
      <c r="AZ723" t="s">
        <v>84</v>
      </c>
    </row>
    <row r="724" spans="1:52">
      <c r="A724">
        <f t="shared" si="47"/>
        <v>723</v>
      </c>
      <c r="B724" s="3">
        <v>46049.7452430556</v>
      </c>
      <c r="C724" s="3">
        <v>46049.746979166703</v>
      </c>
      <c r="D724" t="s">
        <v>53</v>
      </c>
      <c r="G724" t="s">
        <v>54</v>
      </c>
      <c r="H724" t="s">
        <v>55</v>
      </c>
      <c r="I724" t="s">
        <v>56</v>
      </c>
      <c r="J724" t="s">
        <v>62</v>
      </c>
      <c r="K724" t="s">
        <v>62</v>
      </c>
      <c r="L724" t="s">
        <v>58</v>
      </c>
      <c r="M724" t="s">
        <v>58</v>
      </c>
      <c r="N724">
        <v>2</v>
      </c>
      <c r="O724">
        <v>1</v>
      </c>
      <c r="P724">
        <v>3</v>
      </c>
      <c r="Q724">
        <v>3</v>
      </c>
      <c r="R724">
        <v>4</v>
      </c>
      <c r="S724">
        <v>3</v>
      </c>
      <c r="T724">
        <v>4</v>
      </c>
      <c r="U724">
        <v>4</v>
      </c>
      <c r="V724">
        <v>4</v>
      </c>
      <c r="W724">
        <v>3</v>
      </c>
      <c r="X724">
        <v>2</v>
      </c>
      <c r="Y724">
        <v>2</v>
      </c>
      <c r="Z724">
        <v>3</v>
      </c>
      <c r="AA724">
        <v>4</v>
      </c>
      <c r="AB724">
        <v>3</v>
      </c>
      <c r="AC724">
        <v>2</v>
      </c>
      <c r="AD724">
        <v>4</v>
      </c>
      <c r="AE724">
        <v>3</v>
      </c>
      <c r="AF724">
        <v>4</v>
      </c>
      <c r="AG724">
        <v>3</v>
      </c>
      <c r="AH724">
        <v>4</v>
      </c>
      <c r="AI724">
        <v>2</v>
      </c>
      <c r="AJ724">
        <v>2</v>
      </c>
      <c r="AK724" t="b">
        <f>Table67[[#This Row],[What is your age?]]&lt;&gt;"18 - 25"</f>
        <v>0</v>
      </c>
      <c r="AL724" t="b">
        <f t="shared" si="44"/>
        <v>0</v>
      </c>
      <c r="AM724" t="b">
        <f t="shared" si="45"/>
        <v>0</v>
      </c>
      <c r="AN724" t="b">
        <f t="shared" si="46"/>
        <v>1</v>
      </c>
      <c r="AO724" t="b">
        <f>OR(Table67[[#This Row],[Ineligible respondents]:[Inconsistent response on opposite question (3)]])</f>
        <v>1</v>
      </c>
      <c r="AP72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724">
        <f>Table67[[#This Row],[Extreme Response]]/21</f>
        <v>4.7619047619047616E-2</v>
      </c>
      <c r="AR724">
        <f>_xlfn.PERCENTILE.INC(Table67[Extrem Response Ratio (ERS)],0.9)</f>
        <v>0.61904761904761907</v>
      </c>
      <c r="AS724" t="b">
        <f>Table67[[#This Row],[Extrem Response Ratio (ERS)]]&gt;=Table67[[#This Row],[Threshold of ERS]]</f>
        <v>0</v>
      </c>
      <c r="AT724">
        <f>COUNTIF(Table67[[#This Row],[The mechanism of digital assets is difficult to understand, which discourages me from exploring it (E.g, Tokenization, Blockchain)]:[If I want to try different ways to invest, I will explore digital assets.]], 3)</f>
        <v>8</v>
      </c>
      <c r="AU724">
        <f>Table67[[#This Row],[Midpoint]]/21</f>
        <v>0.38095238095238093</v>
      </c>
      <c r="AV724">
        <f>_xlfn.PERCENTILE.INC(Table67[Midpoint ratio],0.9)</f>
        <v>0.5714285714285714</v>
      </c>
      <c r="AW724" t="b">
        <f>Table67[[#This Row],[Midpoint ratio]]&gt;=Table67[[#This Row],[Threshold of Midpoint ratio]]</f>
        <v>0</v>
      </c>
      <c r="AX724" t="b">
        <f>OR(Table67[[#This Row],[Extreme Response Style]],Table67[[#This Row],[Mid-point Response Style]])</f>
        <v>0</v>
      </c>
      <c r="AY724" t="b">
        <f>OR(Table67[[#This Row],[Delete? (Stage 1)]],Table67[[#This Row],[Delete? (Stage 2)]])</f>
        <v>1</v>
      </c>
      <c r="AZ724" t="s">
        <v>84</v>
      </c>
    </row>
    <row r="725" spans="1:52">
      <c r="A725">
        <f t="shared" si="47"/>
        <v>724</v>
      </c>
      <c r="B725" s="3">
        <v>46049.745462963001</v>
      </c>
      <c r="C725" s="3">
        <v>46049.750868055598</v>
      </c>
      <c r="D725" t="s">
        <v>53</v>
      </c>
      <c r="G725" t="s">
        <v>54</v>
      </c>
      <c r="H725" t="s">
        <v>63</v>
      </c>
      <c r="I725" t="s">
        <v>56</v>
      </c>
      <c r="J725" t="s">
        <v>67</v>
      </c>
      <c r="K725" t="s">
        <v>60</v>
      </c>
      <c r="L725" t="s">
        <v>61</v>
      </c>
      <c r="M725" t="s">
        <v>61</v>
      </c>
      <c r="N725">
        <v>4</v>
      </c>
      <c r="O725">
        <v>3</v>
      </c>
      <c r="P725">
        <v>5</v>
      </c>
      <c r="Q725">
        <v>4</v>
      </c>
      <c r="R725">
        <v>3</v>
      </c>
      <c r="S725">
        <v>4</v>
      </c>
      <c r="T725">
        <v>4</v>
      </c>
      <c r="U725">
        <v>4</v>
      </c>
      <c r="V725">
        <v>5</v>
      </c>
      <c r="W725">
        <v>5</v>
      </c>
      <c r="X725">
        <v>3</v>
      </c>
      <c r="Y725">
        <v>5</v>
      </c>
      <c r="Z725">
        <v>4</v>
      </c>
      <c r="AA725">
        <v>4</v>
      </c>
      <c r="AB725">
        <v>2</v>
      </c>
      <c r="AC725">
        <v>3</v>
      </c>
      <c r="AD725">
        <v>4</v>
      </c>
      <c r="AE725">
        <v>4</v>
      </c>
      <c r="AF725">
        <v>5</v>
      </c>
      <c r="AG725">
        <v>2</v>
      </c>
      <c r="AH725">
        <v>4</v>
      </c>
      <c r="AI725">
        <v>2</v>
      </c>
      <c r="AJ725">
        <v>1</v>
      </c>
      <c r="AK725" t="b">
        <f>Table67[[#This Row],[What is your age?]]&lt;&gt;"18 - 25"</f>
        <v>0</v>
      </c>
      <c r="AL725" t="b">
        <f t="shared" si="44"/>
        <v>0</v>
      </c>
      <c r="AM725" t="b">
        <f t="shared" si="45"/>
        <v>0</v>
      </c>
      <c r="AN725" t="b">
        <f t="shared" si="46"/>
        <v>0</v>
      </c>
      <c r="AO725" t="b">
        <f>OR(Table67[[#This Row],[Ineligible respondents]:[Inconsistent response on opposite question (3)]])</f>
        <v>0</v>
      </c>
      <c r="AP72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725">
        <f>Table67[[#This Row],[Extreme Response]]/21</f>
        <v>0.23809523809523808</v>
      </c>
      <c r="AR725">
        <f>_xlfn.PERCENTILE.INC(Table67[Extrem Response Ratio (ERS)],0.9)</f>
        <v>0.61904761904761907</v>
      </c>
      <c r="AS725" t="b">
        <f>Table67[[#This Row],[Extrem Response Ratio (ERS)]]&gt;=Table67[[#This Row],[Threshold of ERS]]</f>
        <v>0</v>
      </c>
      <c r="AT725">
        <f>COUNTIF(Table67[[#This Row],[The mechanism of digital assets is difficult to understand, which discourages me from exploring it (E.g, Tokenization, Blockchain)]:[If I want to try different ways to invest, I will explore digital assets.]], 3)</f>
        <v>4</v>
      </c>
      <c r="AU725">
        <f>Table67[[#This Row],[Midpoint]]/21</f>
        <v>0.19047619047619047</v>
      </c>
      <c r="AV725">
        <f>_xlfn.PERCENTILE.INC(Table67[Midpoint ratio],0.9)</f>
        <v>0.5714285714285714</v>
      </c>
      <c r="AW725" t="b">
        <f>Table67[[#This Row],[Midpoint ratio]]&gt;=Table67[[#This Row],[Threshold of Midpoint ratio]]</f>
        <v>0</v>
      </c>
      <c r="AX725" t="b">
        <f>OR(Table67[[#This Row],[Extreme Response Style]],Table67[[#This Row],[Mid-point Response Style]])</f>
        <v>0</v>
      </c>
      <c r="AY725" t="b">
        <f>OR(Table67[[#This Row],[Delete? (Stage 1)]],Table67[[#This Row],[Delete? (Stage 2)]])</f>
        <v>0</v>
      </c>
      <c r="AZ725" t="s">
        <v>84</v>
      </c>
    </row>
    <row r="726" spans="1:52">
      <c r="A726">
        <f t="shared" si="47"/>
        <v>725</v>
      </c>
      <c r="B726" s="3">
        <v>46049.745682870402</v>
      </c>
      <c r="C726" s="3">
        <v>46049.752685185202</v>
      </c>
      <c r="D726" t="s">
        <v>53</v>
      </c>
      <c r="G726" t="s">
        <v>54</v>
      </c>
      <c r="H726" t="s">
        <v>55</v>
      </c>
      <c r="I726" t="s">
        <v>56</v>
      </c>
      <c r="J726" t="s">
        <v>60</v>
      </c>
      <c r="K726" t="s">
        <v>62</v>
      </c>
      <c r="L726" t="s">
        <v>61</v>
      </c>
      <c r="M726" t="s">
        <v>61</v>
      </c>
      <c r="N726">
        <v>4</v>
      </c>
      <c r="O726">
        <v>4</v>
      </c>
      <c r="P726">
        <v>5</v>
      </c>
      <c r="Q726">
        <v>5</v>
      </c>
      <c r="R726">
        <v>5</v>
      </c>
      <c r="S726">
        <v>5</v>
      </c>
      <c r="T726">
        <v>4</v>
      </c>
      <c r="U726">
        <v>5</v>
      </c>
      <c r="V726">
        <v>5</v>
      </c>
      <c r="W726">
        <v>5</v>
      </c>
      <c r="X726">
        <v>5</v>
      </c>
      <c r="Y726">
        <v>5</v>
      </c>
      <c r="Z726">
        <v>5</v>
      </c>
      <c r="AA726">
        <v>5</v>
      </c>
      <c r="AB726">
        <v>2</v>
      </c>
      <c r="AC726">
        <v>3</v>
      </c>
      <c r="AD726">
        <v>5</v>
      </c>
      <c r="AE726">
        <v>5</v>
      </c>
      <c r="AF726">
        <v>4</v>
      </c>
      <c r="AG726">
        <v>2</v>
      </c>
      <c r="AH726">
        <v>5</v>
      </c>
      <c r="AI726">
        <v>1</v>
      </c>
      <c r="AJ726">
        <v>2</v>
      </c>
      <c r="AK726" t="b">
        <f>Table67[[#This Row],[What is your age?]]&lt;&gt;"18 - 25"</f>
        <v>0</v>
      </c>
      <c r="AL726" t="b">
        <f t="shared" si="44"/>
        <v>0</v>
      </c>
      <c r="AM726" t="b">
        <f t="shared" si="45"/>
        <v>0</v>
      </c>
      <c r="AN726" t="b">
        <f t="shared" si="46"/>
        <v>0</v>
      </c>
      <c r="AO726" t="b">
        <f>OR(Table67[[#This Row],[Ineligible respondents]:[Inconsistent response on opposite question (3)]])</f>
        <v>0</v>
      </c>
      <c r="AP72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726">
        <f>Table67[[#This Row],[Extreme Response]]/21</f>
        <v>0.66666666666666663</v>
      </c>
      <c r="AR726">
        <f>_xlfn.PERCENTILE.INC(Table67[Extrem Response Ratio (ERS)],0.9)</f>
        <v>0.61904761904761907</v>
      </c>
      <c r="AS726" t="b">
        <f>Table67[[#This Row],[Extrem Response Ratio (ERS)]]&gt;=Table67[[#This Row],[Threshold of ERS]]</f>
        <v>1</v>
      </c>
      <c r="AT726">
        <f>COUNTIF(Table67[[#This Row],[The mechanism of digital assets is difficult to understand, which discourages me from exploring it (E.g, Tokenization, Blockchain)]:[If I want to try different ways to invest, I will explore digital assets.]], 3)</f>
        <v>1</v>
      </c>
      <c r="AU726">
        <f>Table67[[#This Row],[Midpoint]]/21</f>
        <v>4.7619047619047616E-2</v>
      </c>
      <c r="AV726">
        <f>_xlfn.PERCENTILE.INC(Table67[Midpoint ratio],0.9)</f>
        <v>0.5714285714285714</v>
      </c>
      <c r="AW726" t="b">
        <f>Table67[[#This Row],[Midpoint ratio]]&gt;=Table67[[#This Row],[Threshold of Midpoint ratio]]</f>
        <v>0</v>
      </c>
      <c r="AX726" t="b">
        <f>OR(Table67[[#This Row],[Extreme Response Style]],Table67[[#This Row],[Mid-point Response Style]])</f>
        <v>1</v>
      </c>
      <c r="AY726" t="b">
        <f>OR(Table67[[#This Row],[Delete? (Stage 1)]],Table67[[#This Row],[Delete? (Stage 2)]])</f>
        <v>1</v>
      </c>
      <c r="AZ726" t="s">
        <v>84</v>
      </c>
    </row>
    <row r="727" spans="1:52">
      <c r="A727">
        <f t="shared" si="47"/>
        <v>726</v>
      </c>
      <c r="B727" s="3">
        <v>46049.745694444398</v>
      </c>
      <c r="C727" s="3">
        <v>46049.7547106481</v>
      </c>
      <c r="D727" t="s">
        <v>53</v>
      </c>
      <c r="G727" t="s">
        <v>54</v>
      </c>
      <c r="H727" t="s">
        <v>63</v>
      </c>
      <c r="I727" t="s">
        <v>71</v>
      </c>
      <c r="J727" t="s">
        <v>62</v>
      </c>
      <c r="K727" t="s">
        <v>57</v>
      </c>
      <c r="L727" t="s">
        <v>58</v>
      </c>
      <c r="M727" t="s">
        <v>58</v>
      </c>
      <c r="N727">
        <v>3</v>
      </c>
      <c r="O727">
        <v>2</v>
      </c>
      <c r="P727">
        <v>4</v>
      </c>
      <c r="Q727">
        <v>3</v>
      </c>
      <c r="R727">
        <v>4</v>
      </c>
      <c r="S727">
        <v>2</v>
      </c>
      <c r="T727">
        <v>4</v>
      </c>
      <c r="U727">
        <v>5</v>
      </c>
      <c r="V727">
        <v>5</v>
      </c>
      <c r="W727">
        <v>5</v>
      </c>
      <c r="X727">
        <v>5</v>
      </c>
      <c r="Y727">
        <v>5</v>
      </c>
      <c r="Z727">
        <v>5</v>
      </c>
      <c r="AA727">
        <v>4</v>
      </c>
      <c r="AB727">
        <v>5</v>
      </c>
      <c r="AC727">
        <v>5</v>
      </c>
      <c r="AD727">
        <v>5</v>
      </c>
      <c r="AE727">
        <v>4</v>
      </c>
      <c r="AF727">
        <v>2</v>
      </c>
      <c r="AG727">
        <v>4</v>
      </c>
      <c r="AH727">
        <v>2</v>
      </c>
      <c r="AI727">
        <v>4</v>
      </c>
      <c r="AJ727">
        <v>4</v>
      </c>
      <c r="AK727" t="b">
        <f>Table67[[#This Row],[What is your age?]]&lt;&gt;"18 - 25"</f>
        <v>0</v>
      </c>
      <c r="AL727" t="b">
        <f t="shared" si="44"/>
        <v>0</v>
      </c>
      <c r="AM727" t="b">
        <f t="shared" si="45"/>
        <v>0</v>
      </c>
      <c r="AN727" t="b">
        <f t="shared" si="46"/>
        <v>0</v>
      </c>
      <c r="AO727" t="b">
        <f>OR(Table67[[#This Row],[Ineligible respondents]:[Inconsistent response on opposite question (3)]])</f>
        <v>0</v>
      </c>
      <c r="AP72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727">
        <f>Table67[[#This Row],[Extreme Response]]/21</f>
        <v>0.42857142857142855</v>
      </c>
      <c r="AR727">
        <f>_xlfn.PERCENTILE.INC(Table67[Extrem Response Ratio (ERS)],0.9)</f>
        <v>0.61904761904761907</v>
      </c>
      <c r="AS727" t="b">
        <f>Table67[[#This Row],[Extrem Response Ratio (ERS)]]&gt;=Table67[[#This Row],[Threshold of ERS]]</f>
        <v>0</v>
      </c>
      <c r="AT727">
        <f>COUNTIF(Table67[[#This Row],[The mechanism of digital assets is difficult to understand, which discourages me from exploring it (E.g, Tokenization, Blockchain)]:[If I want to try different ways to invest, I will explore digital assets.]], 3)</f>
        <v>2</v>
      </c>
      <c r="AU727">
        <f>Table67[[#This Row],[Midpoint]]/21</f>
        <v>9.5238095238095233E-2</v>
      </c>
      <c r="AV727">
        <f>_xlfn.PERCENTILE.INC(Table67[Midpoint ratio],0.9)</f>
        <v>0.5714285714285714</v>
      </c>
      <c r="AW727" t="b">
        <f>Table67[[#This Row],[Midpoint ratio]]&gt;=Table67[[#This Row],[Threshold of Midpoint ratio]]</f>
        <v>0</v>
      </c>
      <c r="AX727" t="b">
        <f>OR(Table67[[#This Row],[Extreme Response Style]],Table67[[#This Row],[Mid-point Response Style]])</f>
        <v>0</v>
      </c>
      <c r="AY727" t="b">
        <f>OR(Table67[[#This Row],[Delete? (Stage 1)]],Table67[[#This Row],[Delete? (Stage 2)]])</f>
        <v>0</v>
      </c>
      <c r="AZ727" t="s">
        <v>84</v>
      </c>
    </row>
    <row r="728" spans="1:52">
      <c r="A728">
        <f t="shared" si="47"/>
        <v>727</v>
      </c>
      <c r="B728" s="3">
        <v>46049.745775463001</v>
      </c>
      <c r="C728" s="3">
        <v>46049.748564814799</v>
      </c>
      <c r="D728" t="s">
        <v>53</v>
      </c>
      <c r="G728" t="s">
        <v>73</v>
      </c>
      <c r="H728" t="s">
        <v>63</v>
      </c>
      <c r="I728" t="s">
        <v>75</v>
      </c>
      <c r="J728" t="s">
        <v>62</v>
      </c>
      <c r="K728" t="s">
        <v>57</v>
      </c>
      <c r="L728" t="s">
        <v>58</v>
      </c>
      <c r="M728" t="s">
        <v>61</v>
      </c>
      <c r="N728">
        <v>4</v>
      </c>
      <c r="O728">
        <v>4</v>
      </c>
      <c r="P728">
        <v>5</v>
      </c>
      <c r="Q728">
        <v>4</v>
      </c>
      <c r="R728">
        <v>4</v>
      </c>
      <c r="S728">
        <v>2</v>
      </c>
      <c r="T728">
        <v>2</v>
      </c>
      <c r="U728">
        <v>4</v>
      </c>
      <c r="V728">
        <v>5</v>
      </c>
      <c r="W728">
        <v>4</v>
      </c>
      <c r="X728">
        <v>4</v>
      </c>
      <c r="Y728">
        <v>4</v>
      </c>
      <c r="Z728">
        <v>4</v>
      </c>
      <c r="AA728">
        <v>4</v>
      </c>
      <c r="AB728">
        <v>4</v>
      </c>
      <c r="AC728">
        <v>4</v>
      </c>
      <c r="AD728">
        <v>5</v>
      </c>
      <c r="AE728">
        <v>4</v>
      </c>
      <c r="AF728">
        <v>4</v>
      </c>
      <c r="AG728">
        <v>4</v>
      </c>
      <c r="AH728">
        <v>4</v>
      </c>
      <c r="AI728">
        <v>2</v>
      </c>
      <c r="AJ728">
        <v>2</v>
      </c>
      <c r="AK728" t="b">
        <f>Table67[[#This Row],[What is your age?]]&lt;&gt;"18 - 25"</f>
        <v>1</v>
      </c>
      <c r="AL728" t="b">
        <f t="shared" si="44"/>
        <v>0</v>
      </c>
      <c r="AM728" t="b">
        <f t="shared" si="45"/>
        <v>1</v>
      </c>
      <c r="AN728" t="b">
        <f t="shared" si="46"/>
        <v>0</v>
      </c>
      <c r="AO728" t="b">
        <f>OR(Table67[[#This Row],[Ineligible respondents]:[Inconsistent response on opposite question (3)]])</f>
        <v>1</v>
      </c>
      <c r="AP72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728">
        <f>Table67[[#This Row],[Extreme Response]]/21</f>
        <v>0.14285714285714285</v>
      </c>
      <c r="AR728">
        <f>_xlfn.PERCENTILE.INC(Table67[Extrem Response Ratio (ERS)],0.9)</f>
        <v>0.61904761904761907</v>
      </c>
      <c r="AS728" t="b">
        <f>Table67[[#This Row],[Extrem Response Ratio (ERS)]]&gt;=Table67[[#This Row],[Threshold of ERS]]</f>
        <v>0</v>
      </c>
      <c r="AT728">
        <f>COUNTIF(Table67[[#This Row],[The mechanism of digital assets is difficult to understand, which discourages me from exploring it (E.g, Tokenization, Blockchain)]:[If I want to try different ways to invest, I will explore digital assets.]], 3)</f>
        <v>0</v>
      </c>
      <c r="AU728">
        <f>Table67[[#This Row],[Midpoint]]/21</f>
        <v>0</v>
      </c>
      <c r="AV728">
        <f>_xlfn.PERCENTILE.INC(Table67[Midpoint ratio],0.9)</f>
        <v>0.5714285714285714</v>
      </c>
      <c r="AW728" t="b">
        <f>Table67[[#This Row],[Midpoint ratio]]&gt;=Table67[[#This Row],[Threshold of Midpoint ratio]]</f>
        <v>0</v>
      </c>
      <c r="AX728" t="b">
        <f>OR(Table67[[#This Row],[Extreme Response Style]],Table67[[#This Row],[Mid-point Response Style]])</f>
        <v>0</v>
      </c>
      <c r="AY728" t="b">
        <f>OR(Table67[[#This Row],[Delete? (Stage 1)]],Table67[[#This Row],[Delete? (Stage 2)]])</f>
        <v>1</v>
      </c>
      <c r="AZ728" t="s">
        <v>84</v>
      </c>
    </row>
    <row r="729" spans="1:52">
      <c r="A729">
        <f t="shared" si="47"/>
        <v>728</v>
      </c>
      <c r="B729" s="3">
        <v>46049.746076388903</v>
      </c>
      <c r="C729" s="3">
        <v>46049.757488425901</v>
      </c>
      <c r="D729" t="s">
        <v>53</v>
      </c>
      <c r="G729" t="s">
        <v>54</v>
      </c>
      <c r="H729" t="s">
        <v>55</v>
      </c>
      <c r="I729" t="s">
        <v>56</v>
      </c>
      <c r="J729" t="s">
        <v>62</v>
      </c>
      <c r="K729" t="s">
        <v>62</v>
      </c>
      <c r="L729" t="s">
        <v>61</v>
      </c>
      <c r="M729" t="s">
        <v>58</v>
      </c>
      <c r="N729">
        <v>1</v>
      </c>
      <c r="O729">
        <v>1</v>
      </c>
      <c r="P729">
        <v>2</v>
      </c>
      <c r="Q729">
        <v>1</v>
      </c>
      <c r="R729">
        <v>2</v>
      </c>
      <c r="S729">
        <v>2</v>
      </c>
      <c r="T729">
        <v>1</v>
      </c>
      <c r="U729">
        <v>2</v>
      </c>
      <c r="V729">
        <v>2</v>
      </c>
      <c r="W729">
        <v>3</v>
      </c>
      <c r="X729">
        <v>3</v>
      </c>
      <c r="Y729">
        <v>2</v>
      </c>
      <c r="Z729">
        <v>5</v>
      </c>
      <c r="AA729">
        <v>2</v>
      </c>
      <c r="AB729">
        <v>2</v>
      </c>
      <c r="AC729">
        <v>2</v>
      </c>
      <c r="AD729">
        <v>4</v>
      </c>
      <c r="AE729">
        <v>4</v>
      </c>
      <c r="AF729">
        <v>5</v>
      </c>
      <c r="AG729">
        <v>2</v>
      </c>
      <c r="AH729">
        <v>4</v>
      </c>
      <c r="AI729">
        <v>2</v>
      </c>
      <c r="AJ729">
        <v>1</v>
      </c>
      <c r="AK729" t="b">
        <f>Table67[[#This Row],[What is your age?]]&lt;&gt;"18 - 25"</f>
        <v>0</v>
      </c>
      <c r="AL729" t="b">
        <f t="shared" si="44"/>
        <v>0</v>
      </c>
      <c r="AM729" t="b">
        <f t="shared" si="45"/>
        <v>0</v>
      </c>
      <c r="AN729" t="b">
        <f t="shared" si="46"/>
        <v>0</v>
      </c>
      <c r="AO729" t="b">
        <f>OR(Table67[[#This Row],[Ineligible respondents]:[Inconsistent response on opposite question (3)]])</f>
        <v>0</v>
      </c>
      <c r="AP72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729">
        <f>Table67[[#This Row],[Extreme Response]]/21</f>
        <v>0.2857142857142857</v>
      </c>
      <c r="AR729">
        <f>_xlfn.PERCENTILE.INC(Table67[Extrem Response Ratio (ERS)],0.9)</f>
        <v>0.61904761904761907</v>
      </c>
      <c r="AS729" t="b">
        <f>Table67[[#This Row],[Extrem Response Ratio (ERS)]]&gt;=Table67[[#This Row],[Threshold of ERS]]</f>
        <v>0</v>
      </c>
      <c r="AT729">
        <f>COUNTIF(Table67[[#This Row],[The mechanism of digital assets is difficult to understand, which discourages me from exploring it (E.g, Tokenization, Blockchain)]:[If I want to try different ways to invest, I will explore digital assets.]], 3)</f>
        <v>2</v>
      </c>
      <c r="AU729">
        <f>Table67[[#This Row],[Midpoint]]/21</f>
        <v>9.5238095238095233E-2</v>
      </c>
      <c r="AV729">
        <f>_xlfn.PERCENTILE.INC(Table67[Midpoint ratio],0.9)</f>
        <v>0.5714285714285714</v>
      </c>
      <c r="AW729" t="b">
        <f>Table67[[#This Row],[Midpoint ratio]]&gt;=Table67[[#This Row],[Threshold of Midpoint ratio]]</f>
        <v>0</v>
      </c>
      <c r="AX729" t="b">
        <f>OR(Table67[[#This Row],[Extreme Response Style]],Table67[[#This Row],[Mid-point Response Style]])</f>
        <v>0</v>
      </c>
      <c r="AY729" t="b">
        <f>OR(Table67[[#This Row],[Delete? (Stage 1)]],Table67[[#This Row],[Delete? (Stage 2)]])</f>
        <v>0</v>
      </c>
      <c r="AZ729" t="s">
        <v>84</v>
      </c>
    </row>
    <row r="730" spans="1:52">
      <c r="A730">
        <f t="shared" si="47"/>
        <v>729</v>
      </c>
      <c r="B730" s="3">
        <v>46049.746307870402</v>
      </c>
      <c r="C730" s="3">
        <v>46049.750023148103</v>
      </c>
      <c r="D730" t="s">
        <v>53</v>
      </c>
      <c r="G730" t="s">
        <v>54</v>
      </c>
      <c r="H730" t="s">
        <v>55</v>
      </c>
      <c r="I730" t="s">
        <v>69</v>
      </c>
      <c r="J730" t="s">
        <v>62</v>
      </c>
      <c r="K730" t="s">
        <v>60</v>
      </c>
      <c r="L730" t="s">
        <v>61</v>
      </c>
      <c r="M730" t="s">
        <v>58</v>
      </c>
      <c r="N730">
        <v>3</v>
      </c>
      <c r="O730">
        <v>1</v>
      </c>
      <c r="P730">
        <v>4</v>
      </c>
      <c r="Q730">
        <v>5</v>
      </c>
      <c r="R730">
        <v>2</v>
      </c>
      <c r="S730">
        <v>3</v>
      </c>
      <c r="T730">
        <v>4</v>
      </c>
      <c r="U730">
        <v>4</v>
      </c>
      <c r="V730">
        <v>3</v>
      </c>
      <c r="W730">
        <v>2</v>
      </c>
      <c r="X730">
        <v>2</v>
      </c>
      <c r="Y730">
        <v>3</v>
      </c>
      <c r="Z730">
        <v>5</v>
      </c>
      <c r="AA730">
        <v>5</v>
      </c>
      <c r="AB730">
        <v>2</v>
      </c>
      <c r="AC730">
        <v>2</v>
      </c>
      <c r="AD730">
        <v>5</v>
      </c>
      <c r="AE730">
        <v>4</v>
      </c>
      <c r="AF730">
        <v>4</v>
      </c>
      <c r="AG730">
        <v>4</v>
      </c>
      <c r="AH730">
        <v>3</v>
      </c>
      <c r="AI730">
        <v>3</v>
      </c>
      <c r="AJ730">
        <v>2</v>
      </c>
      <c r="AK730" t="b">
        <f>Table67[[#This Row],[What is your age?]]&lt;&gt;"18 - 25"</f>
        <v>0</v>
      </c>
      <c r="AL730" t="b">
        <f t="shared" si="44"/>
        <v>0</v>
      </c>
      <c r="AM730" t="b">
        <f t="shared" si="45"/>
        <v>0</v>
      </c>
      <c r="AN730" t="b">
        <f t="shared" si="46"/>
        <v>1</v>
      </c>
      <c r="AO730" t="b">
        <f>OR(Table67[[#This Row],[Ineligible respondents]:[Inconsistent response on opposite question (3)]])</f>
        <v>1</v>
      </c>
      <c r="AP73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730">
        <f>Table67[[#This Row],[Extreme Response]]/21</f>
        <v>0.23809523809523808</v>
      </c>
      <c r="AR730">
        <f>_xlfn.PERCENTILE.INC(Table67[Extrem Response Ratio (ERS)],0.9)</f>
        <v>0.61904761904761907</v>
      </c>
      <c r="AS730" t="b">
        <f>Table67[[#This Row],[Extrem Response Ratio (ERS)]]&gt;=Table67[[#This Row],[Threshold of ERS]]</f>
        <v>0</v>
      </c>
      <c r="AT730">
        <f>COUNTIF(Table67[[#This Row],[The mechanism of digital assets is difficult to understand, which discourages me from exploring it (E.g, Tokenization, Blockchain)]:[If I want to try different ways to invest, I will explore digital assets.]], 3)</f>
        <v>5</v>
      </c>
      <c r="AU730">
        <f>Table67[[#This Row],[Midpoint]]/21</f>
        <v>0.23809523809523808</v>
      </c>
      <c r="AV730">
        <f>_xlfn.PERCENTILE.INC(Table67[Midpoint ratio],0.9)</f>
        <v>0.5714285714285714</v>
      </c>
      <c r="AW730" t="b">
        <f>Table67[[#This Row],[Midpoint ratio]]&gt;=Table67[[#This Row],[Threshold of Midpoint ratio]]</f>
        <v>0</v>
      </c>
      <c r="AX730" t="b">
        <f>OR(Table67[[#This Row],[Extreme Response Style]],Table67[[#This Row],[Mid-point Response Style]])</f>
        <v>0</v>
      </c>
      <c r="AY730" t="b">
        <f>OR(Table67[[#This Row],[Delete? (Stage 1)]],Table67[[#This Row],[Delete? (Stage 2)]])</f>
        <v>1</v>
      </c>
      <c r="AZ730" t="s">
        <v>84</v>
      </c>
    </row>
    <row r="731" spans="1:52">
      <c r="A731">
        <f t="shared" si="47"/>
        <v>730</v>
      </c>
      <c r="B731" s="3">
        <v>46049.746423611097</v>
      </c>
      <c r="C731" s="3">
        <v>46049.751793981501</v>
      </c>
      <c r="D731" t="s">
        <v>53</v>
      </c>
      <c r="G731" t="s">
        <v>54</v>
      </c>
      <c r="H731" t="s">
        <v>55</v>
      </c>
      <c r="I731" t="s">
        <v>75</v>
      </c>
      <c r="J731" t="s">
        <v>67</v>
      </c>
      <c r="K731" t="s">
        <v>62</v>
      </c>
      <c r="L731" t="s">
        <v>58</v>
      </c>
      <c r="M731" t="s">
        <v>58</v>
      </c>
      <c r="N731">
        <v>4</v>
      </c>
      <c r="O731">
        <v>1</v>
      </c>
      <c r="P731">
        <v>3</v>
      </c>
      <c r="Q731">
        <v>2</v>
      </c>
      <c r="R731">
        <v>2</v>
      </c>
      <c r="S731">
        <v>2</v>
      </c>
      <c r="T731">
        <v>4</v>
      </c>
      <c r="U731">
        <v>3</v>
      </c>
      <c r="V731">
        <v>4</v>
      </c>
      <c r="W731">
        <v>1</v>
      </c>
      <c r="X731">
        <v>3</v>
      </c>
      <c r="Y731">
        <v>2</v>
      </c>
      <c r="Z731">
        <v>4</v>
      </c>
      <c r="AA731">
        <v>3</v>
      </c>
      <c r="AB731">
        <v>2</v>
      </c>
      <c r="AC731">
        <v>5</v>
      </c>
      <c r="AD731">
        <v>4</v>
      </c>
      <c r="AE731">
        <v>1</v>
      </c>
      <c r="AF731">
        <v>3</v>
      </c>
      <c r="AG731">
        <v>4</v>
      </c>
      <c r="AH731">
        <v>3</v>
      </c>
      <c r="AI731">
        <v>3</v>
      </c>
      <c r="AJ731">
        <v>3</v>
      </c>
      <c r="AK731" t="b">
        <f>Table67[[#This Row],[What is your age?]]&lt;&gt;"18 - 25"</f>
        <v>0</v>
      </c>
      <c r="AL731" t="b">
        <f t="shared" si="44"/>
        <v>0</v>
      </c>
      <c r="AM731" t="b">
        <f t="shared" si="45"/>
        <v>0</v>
      </c>
      <c r="AN731" t="b">
        <f t="shared" si="46"/>
        <v>1</v>
      </c>
      <c r="AO731" t="b">
        <f>OR(Table67[[#This Row],[Ineligible respondents]:[Inconsistent response on opposite question (3)]])</f>
        <v>1</v>
      </c>
      <c r="AP73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731">
        <f>Table67[[#This Row],[Extreme Response]]/21</f>
        <v>0.19047619047619047</v>
      </c>
      <c r="AR731">
        <f>_xlfn.PERCENTILE.INC(Table67[Extrem Response Ratio (ERS)],0.9)</f>
        <v>0.61904761904761907</v>
      </c>
      <c r="AS731" t="b">
        <f>Table67[[#This Row],[Extrem Response Ratio (ERS)]]&gt;=Table67[[#This Row],[Threshold of ERS]]</f>
        <v>0</v>
      </c>
      <c r="AT731">
        <f>COUNTIF(Table67[[#This Row],[The mechanism of digital assets is difficult to understand, which discourages me from exploring it (E.g, Tokenization, Blockchain)]:[If I want to try different ways to invest, I will explore digital assets.]], 3)</f>
        <v>6</v>
      </c>
      <c r="AU731">
        <f>Table67[[#This Row],[Midpoint]]/21</f>
        <v>0.2857142857142857</v>
      </c>
      <c r="AV731">
        <f>_xlfn.PERCENTILE.INC(Table67[Midpoint ratio],0.9)</f>
        <v>0.5714285714285714</v>
      </c>
      <c r="AW731" t="b">
        <f>Table67[[#This Row],[Midpoint ratio]]&gt;=Table67[[#This Row],[Threshold of Midpoint ratio]]</f>
        <v>0</v>
      </c>
      <c r="AX731" t="b">
        <f>OR(Table67[[#This Row],[Extreme Response Style]],Table67[[#This Row],[Mid-point Response Style]])</f>
        <v>0</v>
      </c>
      <c r="AY731" t="b">
        <f>OR(Table67[[#This Row],[Delete? (Stage 1)]],Table67[[#This Row],[Delete? (Stage 2)]])</f>
        <v>1</v>
      </c>
      <c r="AZ731" t="s">
        <v>84</v>
      </c>
    </row>
    <row r="732" spans="1:52">
      <c r="A732">
        <f t="shared" si="47"/>
        <v>731</v>
      </c>
      <c r="B732" s="3">
        <v>46049.747465277796</v>
      </c>
      <c r="C732" s="3">
        <v>46049.753379629597</v>
      </c>
      <c r="D732" t="s">
        <v>53</v>
      </c>
      <c r="G732" t="s">
        <v>54</v>
      </c>
      <c r="H732" t="s">
        <v>55</v>
      </c>
      <c r="I732" t="s">
        <v>56</v>
      </c>
      <c r="J732" t="s">
        <v>57</v>
      </c>
      <c r="K732" t="s">
        <v>57</v>
      </c>
      <c r="L732" t="s">
        <v>58</v>
      </c>
      <c r="M732" t="s">
        <v>58</v>
      </c>
      <c r="N732">
        <v>2</v>
      </c>
      <c r="O732">
        <v>1</v>
      </c>
      <c r="P732">
        <v>4</v>
      </c>
      <c r="Q732">
        <v>3</v>
      </c>
      <c r="R732">
        <v>1</v>
      </c>
      <c r="S732">
        <v>4</v>
      </c>
      <c r="T732">
        <v>3</v>
      </c>
      <c r="U732">
        <v>4</v>
      </c>
      <c r="V732">
        <v>4</v>
      </c>
      <c r="W732">
        <v>2</v>
      </c>
      <c r="X732">
        <v>3</v>
      </c>
      <c r="Y732">
        <v>3</v>
      </c>
      <c r="Z732">
        <v>4</v>
      </c>
      <c r="AA732">
        <v>4</v>
      </c>
      <c r="AB732">
        <v>4</v>
      </c>
      <c r="AC732">
        <v>3</v>
      </c>
      <c r="AD732">
        <v>5</v>
      </c>
      <c r="AE732">
        <v>2</v>
      </c>
      <c r="AF732">
        <v>3</v>
      </c>
      <c r="AG732">
        <v>3</v>
      </c>
      <c r="AH732">
        <v>4</v>
      </c>
      <c r="AI732">
        <v>2</v>
      </c>
      <c r="AJ732">
        <v>3</v>
      </c>
      <c r="AK732" t="b">
        <f>Table67[[#This Row],[What is your age?]]&lt;&gt;"18 - 25"</f>
        <v>0</v>
      </c>
      <c r="AL732" t="b">
        <f t="shared" si="44"/>
        <v>0</v>
      </c>
      <c r="AM732" t="b">
        <f t="shared" si="45"/>
        <v>0</v>
      </c>
      <c r="AN732" t="b">
        <f t="shared" si="46"/>
        <v>1</v>
      </c>
      <c r="AO732" t="b">
        <f>OR(Table67[[#This Row],[Ineligible respondents]:[Inconsistent response on opposite question (3)]])</f>
        <v>1</v>
      </c>
      <c r="AP73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732">
        <f>Table67[[#This Row],[Extreme Response]]/21</f>
        <v>0.14285714285714285</v>
      </c>
      <c r="AR732">
        <f>_xlfn.PERCENTILE.INC(Table67[Extrem Response Ratio (ERS)],0.9)</f>
        <v>0.61904761904761907</v>
      </c>
      <c r="AS732" t="b">
        <f>Table67[[#This Row],[Extrem Response Ratio (ERS)]]&gt;=Table67[[#This Row],[Threshold of ERS]]</f>
        <v>0</v>
      </c>
      <c r="AT732">
        <f>COUNTIF(Table67[[#This Row],[The mechanism of digital assets is difficult to understand, which discourages me from exploring it (E.g, Tokenization, Blockchain)]:[If I want to try different ways to invest, I will explore digital assets.]], 3)</f>
        <v>7</v>
      </c>
      <c r="AU732">
        <f>Table67[[#This Row],[Midpoint]]/21</f>
        <v>0.33333333333333331</v>
      </c>
      <c r="AV732">
        <f>_xlfn.PERCENTILE.INC(Table67[Midpoint ratio],0.9)</f>
        <v>0.5714285714285714</v>
      </c>
      <c r="AW732" t="b">
        <f>Table67[[#This Row],[Midpoint ratio]]&gt;=Table67[[#This Row],[Threshold of Midpoint ratio]]</f>
        <v>0</v>
      </c>
      <c r="AX732" t="b">
        <f>OR(Table67[[#This Row],[Extreme Response Style]],Table67[[#This Row],[Mid-point Response Style]])</f>
        <v>0</v>
      </c>
      <c r="AY732" t="b">
        <f>OR(Table67[[#This Row],[Delete? (Stage 1)]],Table67[[#This Row],[Delete? (Stage 2)]])</f>
        <v>1</v>
      </c>
      <c r="AZ732" t="s">
        <v>84</v>
      </c>
    </row>
    <row r="733" spans="1:52">
      <c r="A733">
        <f t="shared" si="47"/>
        <v>732</v>
      </c>
      <c r="B733" s="3">
        <v>46049.747800925899</v>
      </c>
      <c r="C733" s="3">
        <v>46049.750254629602</v>
      </c>
      <c r="D733" t="s">
        <v>53</v>
      </c>
      <c r="G733" t="s">
        <v>54</v>
      </c>
      <c r="H733" t="s">
        <v>55</v>
      </c>
      <c r="I733" t="s">
        <v>56</v>
      </c>
      <c r="J733" t="s">
        <v>57</v>
      </c>
      <c r="K733" t="s">
        <v>57</v>
      </c>
      <c r="L733" t="s">
        <v>58</v>
      </c>
      <c r="M733" t="s">
        <v>58</v>
      </c>
      <c r="N733">
        <v>2</v>
      </c>
      <c r="O733">
        <v>1</v>
      </c>
      <c r="P733">
        <v>4</v>
      </c>
      <c r="Q733">
        <v>3</v>
      </c>
      <c r="R733">
        <v>3</v>
      </c>
      <c r="S733">
        <v>3</v>
      </c>
      <c r="T733">
        <v>4</v>
      </c>
      <c r="U733">
        <v>5</v>
      </c>
      <c r="V733">
        <v>4</v>
      </c>
      <c r="W733">
        <v>3</v>
      </c>
      <c r="X733">
        <v>3</v>
      </c>
      <c r="Y733">
        <v>3</v>
      </c>
      <c r="Z733">
        <v>4</v>
      </c>
      <c r="AA733">
        <v>4</v>
      </c>
      <c r="AB733">
        <v>4</v>
      </c>
      <c r="AC733">
        <v>4</v>
      </c>
      <c r="AD733">
        <v>4</v>
      </c>
      <c r="AE733">
        <v>4</v>
      </c>
      <c r="AF733">
        <v>2</v>
      </c>
      <c r="AG733">
        <v>4</v>
      </c>
      <c r="AH733">
        <v>2</v>
      </c>
      <c r="AI733">
        <v>4</v>
      </c>
      <c r="AJ733">
        <v>4</v>
      </c>
      <c r="AK733" t="b">
        <f>Table67[[#This Row],[What is your age?]]&lt;&gt;"18 - 25"</f>
        <v>0</v>
      </c>
      <c r="AL733" t="b">
        <f t="shared" si="44"/>
        <v>0</v>
      </c>
      <c r="AM733" t="b">
        <f t="shared" si="45"/>
        <v>0</v>
      </c>
      <c r="AN733" t="b">
        <f t="shared" si="46"/>
        <v>0</v>
      </c>
      <c r="AO733" t="b">
        <f>OR(Table67[[#This Row],[Ineligible respondents]:[Inconsistent response on opposite question (3)]])</f>
        <v>0</v>
      </c>
      <c r="AP73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733">
        <f>Table67[[#This Row],[Extreme Response]]/21</f>
        <v>9.5238095238095233E-2</v>
      </c>
      <c r="AR733">
        <f>_xlfn.PERCENTILE.INC(Table67[Extrem Response Ratio (ERS)],0.9)</f>
        <v>0.61904761904761907</v>
      </c>
      <c r="AS733" t="b">
        <f>Table67[[#This Row],[Extrem Response Ratio (ERS)]]&gt;=Table67[[#This Row],[Threshold of ERS]]</f>
        <v>0</v>
      </c>
      <c r="AT733">
        <f>COUNTIF(Table67[[#This Row],[The mechanism of digital assets is difficult to understand, which discourages me from exploring it (E.g, Tokenization, Blockchain)]:[If I want to try different ways to invest, I will explore digital assets.]], 3)</f>
        <v>6</v>
      </c>
      <c r="AU733">
        <f>Table67[[#This Row],[Midpoint]]/21</f>
        <v>0.2857142857142857</v>
      </c>
      <c r="AV733">
        <f>_xlfn.PERCENTILE.INC(Table67[Midpoint ratio],0.9)</f>
        <v>0.5714285714285714</v>
      </c>
      <c r="AW733" t="b">
        <f>Table67[[#This Row],[Midpoint ratio]]&gt;=Table67[[#This Row],[Threshold of Midpoint ratio]]</f>
        <v>0</v>
      </c>
      <c r="AX733" t="b">
        <f>OR(Table67[[#This Row],[Extreme Response Style]],Table67[[#This Row],[Mid-point Response Style]])</f>
        <v>0</v>
      </c>
      <c r="AY733" t="b">
        <f>OR(Table67[[#This Row],[Delete? (Stage 1)]],Table67[[#This Row],[Delete? (Stage 2)]])</f>
        <v>0</v>
      </c>
      <c r="AZ733" t="s">
        <v>84</v>
      </c>
    </row>
    <row r="734" spans="1:52">
      <c r="A734">
        <f t="shared" si="47"/>
        <v>733</v>
      </c>
      <c r="B734" s="3">
        <v>46049.747870370396</v>
      </c>
      <c r="C734" s="3">
        <v>46049.748912037001</v>
      </c>
      <c r="D734" t="s">
        <v>53</v>
      </c>
      <c r="G734" t="s">
        <v>54</v>
      </c>
      <c r="H734" t="s">
        <v>63</v>
      </c>
      <c r="I734" t="s">
        <v>56</v>
      </c>
      <c r="J734" t="s">
        <v>62</v>
      </c>
      <c r="K734" t="s">
        <v>60</v>
      </c>
      <c r="L734" t="s">
        <v>58</v>
      </c>
      <c r="M734" t="s">
        <v>58</v>
      </c>
      <c r="N734">
        <v>4</v>
      </c>
      <c r="O734">
        <v>2</v>
      </c>
      <c r="P734">
        <v>4</v>
      </c>
      <c r="Q734">
        <v>4</v>
      </c>
      <c r="R734">
        <v>3</v>
      </c>
      <c r="S734">
        <v>4</v>
      </c>
      <c r="T734">
        <v>3</v>
      </c>
      <c r="U734">
        <v>5</v>
      </c>
      <c r="V734">
        <v>4</v>
      </c>
      <c r="W734">
        <v>4</v>
      </c>
      <c r="X734">
        <v>4</v>
      </c>
      <c r="Y734">
        <v>4</v>
      </c>
      <c r="Z734">
        <v>4</v>
      </c>
      <c r="AA734">
        <v>3</v>
      </c>
      <c r="AB734">
        <v>3</v>
      </c>
      <c r="AC734">
        <v>4</v>
      </c>
      <c r="AD734">
        <v>4</v>
      </c>
      <c r="AE734">
        <v>4</v>
      </c>
      <c r="AF734">
        <v>2</v>
      </c>
      <c r="AG734">
        <v>4</v>
      </c>
      <c r="AH734">
        <v>3</v>
      </c>
      <c r="AI734">
        <v>3</v>
      </c>
      <c r="AJ734">
        <v>4</v>
      </c>
      <c r="AK734" t="b">
        <f>Table67[[#This Row],[What is your age?]]&lt;&gt;"18 - 25"</f>
        <v>0</v>
      </c>
      <c r="AL734" t="b">
        <f t="shared" si="44"/>
        <v>0</v>
      </c>
      <c r="AM734" t="b">
        <f t="shared" si="45"/>
        <v>0</v>
      </c>
      <c r="AN734" t="b">
        <f t="shared" si="46"/>
        <v>1</v>
      </c>
      <c r="AO734" t="b">
        <f>OR(Table67[[#This Row],[Ineligible respondents]:[Inconsistent response on opposite question (3)]])</f>
        <v>1</v>
      </c>
      <c r="AP73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734">
        <f>Table67[[#This Row],[Extreme Response]]/21</f>
        <v>4.7619047619047616E-2</v>
      </c>
      <c r="AR734">
        <f>_xlfn.PERCENTILE.INC(Table67[Extrem Response Ratio (ERS)],0.9)</f>
        <v>0.61904761904761907</v>
      </c>
      <c r="AS734" t="b">
        <f>Table67[[#This Row],[Extrem Response Ratio (ERS)]]&gt;=Table67[[#This Row],[Threshold of ERS]]</f>
        <v>0</v>
      </c>
      <c r="AT734">
        <f>COUNTIF(Table67[[#This Row],[The mechanism of digital assets is difficult to understand, which discourages me from exploring it (E.g, Tokenization, Blockchain)]:[If I want to try different ways to invest, I will explore digital assets.]], 3)</f>
        <v>5</v>
      </c>
      <c r="AU734">
        <f>Table67[[#This Row],[Midpoint]]/21</f>
        <v>0.23809523809523808</v>
      </c>
      <c r="AV734">
        <f>_xlfn.PERCENTILE.INC(Table67[Midpoint ratio],0.9)</f>
        <v>0.5714285714285714</v>
      </c>
      <c r="AW734" t="b">
        <f>Table67[[#This Row],[Midpoint ratio]]&gt;=Table67[[#This Row],[Threshold of Midpoint ratio]]</f>
        <v>0</v>
      </c>
      <c r="AX734" t="b">
        <f>OR(Table67[[#This Row],[Extreme Response Style]],Table67[[#This Row],[Mid-point Response Style]])</f>
        <v>0</v>
      </c>
      <c r="AY734" t="b">
        <f>OR(Table67[[#This Row],[Delete? (Stage 1)]],Table67[[#This Row],[Delete? (Stage 2)]])</f>
        <v>1</v>
      </c>
      <c r="AZ734" t="s">
        <v>84</v>
      </c>
    </row>
    <row r="735" spans="1:52">
      <c r="A735">
        <f t="shared" si="47"/>
        <v>734</v>
      </c>
      <c r="B735" s="3">
        <v>46049.748171296298</v>
      </c>
      <c r="C735" s="3">
        <v>46049.756249999999</v>
      </c>
      <c r="D735" t="s">
        <v>53</v>
      </c>
      <c r="G735" t="s">
        <v>54</v>
      </c>
      <c r="H735" t="s">
        <v>63</v>
      </c>
      <c r="I735" t="s">
        <v>56</v>
      </c>
      <c r="J735" t="s">
        <v>62</v>
      </c>
      <c r="K735" t="s">
        <v>62</v>
      </c>
      <c r="L735" t="s">
        <v>58</v>
      </c>
      <c r="M735" t="s">
        <v>58</v>
      </c>
      <c r="N735">
        <v>1</v>
      </c>
      <c r="O735">
        <v>4</v>
      </c>
      <c r="P735">
        <v>4</v>
      </c>
      <c r="Q735">
        <v>3</v>
      </c>
      <c r="R735">
        <v>2</v>
      </c>
      <c r="S735">
        <v>4</v>
      </c>
      <c r="T735">
        <v>5</v>
      </c>
      <c r="U735">
        <v>5</v>
      </c>
      <c r="V735">
        <v>4</v>
      </c>
      <c r="W735">
        <v>4</v>
      </c>
      <c r="X735">
        <v>5</v>
      </c>
      <c r="Y735">
        <v>4</v>
      </c>
      <c r="Z735">
        <v>4</v>
      </c>
      <c r="AA735">
        <v>4</v>
      </c>
      <c r="AB735">
        <v>3</v>
      </c>
      <c r="AC735">
        <v>5</v>
      </c>
      <c r="AD735">
        <v>4</v>
      </c>
      <c r="AE735">
        <v>5</v>
      </c>
      <c r="AF735">
        <v>1</v>
      </c>
      <c r="AG735">
        <v>3</v>
      </c>
      <c r="AH735">
        <v>2</v>
      </c>
      <c r="AI735">
        <v>4</v>
      </c>
      <c r="AJ735">
        <v>5</v>
      </c>
      <c r="AK735" t="b">
        <f>Table67[[#This Row],[What is your age?]]&lt;&gt;"18 - 25"</f>
        <v>0</v>
      </c>
      <c r="AL735" t="b">
        <f t="shared" si="44"/>
        <v>0</v>
      </c>
      <c r="AM735" t="b">
        <f t="shared" si="45"/>
        <v>0</v>
      </c>
      <c r="AN735" t="b">
        <f t="shared" si="46"/>
        <v>1</v>
      </c>
      <c r="AO735" t="b">
        <f>OR(Table67[[#This Row],[Ineligible respondents]:[Inconsistent response on opposite question (3)]])</f>
        <v>1</v>
      </c>
      <c r="AP73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735">
        <f>Table67[[#This Row],[Extreme Response]]/21</f>
        <v>0.33333333333333331</v>
      </c>
      <c r="AR735">
        <f>_xlfn.PERCENTILE.INC(Table67[Extrem Response Ratio (ERS)],0.9)</f>
        <v>0.61904761904761907</v>
      </c>
      <c r="AS735" t="b">
        <f>Table67[[#This Row],[Extrem Response Ratio (ERS)]]&gt;=Table67[[#This Row],[Threshold of ERS]]</f>
        <v>0</v>
      </c>
      <c r="AT735">
        <f>COUNTIF(Table67[[#This Row],[The mechanism of digital assets is difficult to understand, which discourages me from exploring it (E.g, Tokenization, Blockchain)]:[If I want to try different ways to invest, I will explore digital assets.]], 3)</f>
        <v>3</v>
      </c>
      <c r="AU735">
        <f>Table67[[#This Row],[Midpoint]]/21</f>
        <v>0.14285714285714285</v>
      </c>
      <c r="AV735">
        <f>_xlfn.PERCENTILE.INC(Table67[Midpoint ratio],0.9)</f>
        <v>0.5714285714285714</v>
      </c>
      <c r="AW735" t="b">
        <f>Table67[[#This Row],[Midpoint ratio]]&gt;=Table67[[#This Row],[Threshold of Midpoint ratio]]</f>
        <v>0</v>
      </c>
      <c r="AX735" t="b">
        <f>OR(Table67[[#This Row],[Extreme Response Style]],Table67[[#This Row],[Mid-point Response Style]])</f>
        <v>0</v>
      </c>
      <c r="AY735" t="b">
        <f>OR(Table67[[#This Row],[Delete? (Stage 1)]],Table67[[#This Row],[Delete? (Stage 2)]])</f>
        <v>1</v>
      </c>
      <c r="AZ735" t="s">
        <v>84</v>
      </c>
    </row>
    <row r="736" spans="1:52">
      <c r="A736">
        <f t="shared" si="47"/>
        <v>735</v>
      </c>
      <c r="B736" s="3">
        <v>46049.748310185198</v>
      </c>
      <c r="C736" s="3">
        <v>46049.750208333302</v>
      </c>
      <c r="D736" t="s">
        <v>53</v>
      </c>
      <c r="G736" t="s">
        <v>54</v>
      </c>
      <c r="H736" t="s">
        <v>55</v>
      </c>
      <c r="I736" t="s">
        <v>56</v>
      </c>
      <c r="J736" t="s">
        <v>60</v>
      </c>
      <c r="K736" t="s">
        <v>67</v>
      </c>
      <c r="L736" t="s">
        <v>58</v>
      </c>
      <c r="M736" t="s">
        <v>58</v>
      </c>
      <c r="N736">
        <v>1</v>
      </c>
      <c r="O736">
        <v>1</v>
      </c>
      <c r="P736">
        <v>4</v>
      </c>
      <c r="Q736">
        <v>1</v>
      </c>
      <c r="R736">
        <v>1</v>
      </c>
      <c r="S736">
        <v>1</v>
      </c>
      <c r="T736">
        <v>4</v>
      </c>
      <c r="U736">
        <v>4</v>
      </c>
      <c r="V736">
        <v>2</v>
      </c>
      <c r="W736">
        <v>2</v>
      </c>
      <c r="X736">
        <v>3</v>
      </c>
      <c r="Y736">
        <v>2</v>
      </c>
      <c r="Z736">
        <v>4</v>
      </c>
      <c r="AA736">
        <v>3</v>
      </c>
      <c r="AB736">
        <v>1</v>
      </c>
      <c r="AC736">
        <v>1</v>
      </c>
      <c r="AD736">
        <v>4</v>
      </c>
      <c r="AE736">
        <v>4</v>
      </c>
      <c r="AF736">
        <v>4</v>
      </c>
      <c r="AG736">
        <v>1</v>
      </c>
      <c r="AH736">
        <v>4</v>
      </c>
      <c r="AI736">
        <v>2</v>
      </c>
      <c r="AJ736">
        <v>2</v>
      </c>
      <c r="AK736" t="b">
        <f>Table67[[#This Row],[What is your age?]]&lt;&gt;"18 - 25"</f>
        <v>0</v>
      </c>
      <c r="AL736" t="b">
        <f t="shared" si="44"/>
        <v>0</v>
      </c>
      <c r="AM736" t="b">
        <f t="shared" si="45"/>
        <v>0</v>
      </c>
      <c r="AN736" t="b">
        <f t="shared" si="46"/>
        <v>0</v>
      </c>
      <c r="AO736" t="b">
        <f>OR(Table67[[#This Row],[Ineligible respondents]:[Inconsistent response on opposite question (3)]])</f>
        <v>0</v>
      </c>
      <c r="AP73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736">
        <f>Table67[[#This Row],[Extreme Response]]/21</f>
        <v>0.38095238095238093</v>
      </c>
      <c r="AR736">
        <f>_xlfn.PERCENTILE.INC(Table67[Extrem Response Ratio (ERS)],0.9)</f>
        <v>0.61904761904761907</v>
      </c>
      <c r="AS736" t="b">
        <f>Table67[[#This Row],[Extrem Response Ratio (ERS)]]&gt;=Table67[[#This Row],[Threshold of ERS]]</f>
        <v>0</v>
      </c>
      <c r="AT736">
        <f>COUNTIF(Table67[[#This Row],[The mechanism of digital assets is difficult to understand, which discourages me from exploring it (E.g, Tokenization, Blockchain)]:[If I want to try different ways to invest, I will explore digital assets.]], 3)</f>
        <v>2</v>
      </c>
      <c r="AU736">
        <f>Table67[[#This Row],[Midpoint]]/21</f>
        <v>9.5238095238095233E-2</v>
      </c>
      <c r="AV736">
        <f>_xlfn.PERCENTILE.INC(Table67[Midpoint ratio],0.9)</f>
        <v>0.5714285714285714</v>
      </c>
      <c r="AW736" t="b">
        <f>Table67[[#This Row],[Midpoint ratio]]&gt;=Table67[[#This Row],[Threshold of Midpoint ratio]]</f>
        <v>0</v>
      </c>
      <c r="AX736" t="b">
        <f>OR(Table67[[#This Row],[Extreme Response Style]],Table67[[#This Row],[Mid-point Response Style]])</f>
        <v>0</v>
      </c>
      <c r="AY736" t="b">
        <f>OR(Table67[[#This Row],[Delete? (Stage 1)]],Table67[[#This Row],[Delete? (Stage 2)]])</f>
        <v>0</v>
      </c>
      <c r="AZ736" t="s">
        <v>84</v>
      </c>
    </row>
    <row r="737" spans="1:52">
      <c r="A737">
        <f t="shared" si="47"/>
        <v>736</v>
      </c>
      <c r="B737" s="3">
        <v>46049.748391203699</v>
      </c>
      <c r="C737" s="3">
        <v>46049.752916666701</v>
      </c>
      <c r="D737" t="s">
        <v>53</v>
      </c>
      <c r="G737" t="s">
        <v>54</v>
      </c>
      <c r="H737" t="s">
        <v>55</v>
      </c>
      <c r="I737" t="s">
        <v>56</v>
      </c>
      <c r="J737" t="s">
        <v>62</v>
      </c>
      <c r="K737" t="s">
        <v>62</v>
      </c>
      <c r="L737" t="s">
        <v>58</v>
      </c>
      <c r="M737" t="s">
        <v>58</v>
      </c>
      <c r="N737">
        <v>3</v>
      </c>
      <c r="O737">
        <v>2</v>
      </c>
      <c r="P737">
        <v>4</v>
      </c>
      <c r="Q737">
        <v>3</v>
      </c>
      <c r="R737">
        <v>2</v>
      </c>
      <c r="S737">
        <v>3</v>
      </c>
      <c r="T737">
        <v>4</v>
      </c>
      <c r="U737">
        <v>3</v>
      </c>
      <c r="V737">
        <v>3</v>
      </c>
      <c r="W737">
        <v>3</v>
      </c>
      <c r="X737">
        <v>4</v>
      </c>
      <c r="Y737">
        <v>3</v>
      </c>
      <c r="Z737">
        <v>5</v>
      </c>
      <c r="AA737">
        <v>4</v>
      </c>
      <c r="AB737">
        <v>3</v>
      </c>
      <c r="AC737">
        <v>4</v>
      </c>
      <c r="AD737">
        <v>5</v>
      </c>
      <c r="AE737">
        <v>4</v>
      </c>
      <c r="AF737">
        <v>2</v>
      </c>
      <c r="AG737">
        <v>4</v>
      </c>
      <c r="AH737">
        <v>3</v>
      </c>
      <c r="AI737">
        <v>3</v>
      </c>
      <c r="AJ737">
        <v>4</v>
      </c>
      <c r="AK737" t="b">
        <f>Table67[[#This Row],[What is your age?]]&lt;&gt;"18 - 25"</f>
        <v>0</v>
      </c>
      <c r="AL737" t="b">
        <f t="shared" si="44"/>
        <v>0</v>
      </c>
      <c r="AM737" t="b">
        <f t="shared" si="45"/>
        <v>0</v>
      </c>
      <c r="AN737" t="b">
        <f t="shared" si="46"/>
        <v>1</v>
      </c>
      <c r="AO737" t="b">
        <f>OR(Table67[[#This Row],[Ineligible respondents]:[Inconsistent response on opposite question (3)]])</f>
        <v>1</v>
      </c>
      <c r="AP73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737">
        <f>Table67[[#This Row],[Extreme Response]]/21</f>
        <v>9.5238095238095233E-2</v>
      </c>
      <c r="AR737">
        <f>_xlfn.PERCENTILE.INC(Table67[Extrem Response Ratio (ERS)],0.9)</f>
        <v>0.61904761904761907</v>
      </c>
      <c r="AS737" t="b">
        <f>Table67[[#This Row],[Extrem Response Ratio (ERS)]]&gt;=Table67[[#This Row],[Threshold of ERS]]</f>
        <v>0</v>
      </c>
      <c r="AT737">
        <f>COUNTIF(Table67[[#This Row],[The mechanism of digital assets is difficult to understand, which discourages me from exploring it (E.g, Tokenization, Blockchain)]:[If I want to try different ways to invest, I will explore digital assets.]], 3)</f>
        <v>9</v>
      </c>
      <c r="AU737">
        <f>Table67[[#This Row],[Midpoint]]/21</f>
        <v>0.42857142857142855</v>
      </c>
      <c r="AV737">
        <f>_xlfn.PERCENTILE.INC(Table67[Midpoint ratio],0.9)</f>
        <v>0.5714285714285714</v>
      </c>
      <c r="AW737" t="b">
        <f>Table67[[#This Row],[Midpoint ratio]]&gt;=Table67[[#This Row],[Threshold of Midpoint ratio]]</f>
        <v>0</v>
      </c>
      <c r="AX737" t="b">
        <f>OR(Table67[[#This Row],[Extreme Response Style]],Table67[[#This Row],[Mid-point Response Style]])</f>
        <v>0</v>
      </c>
      <c r="AY737" t="b">
        <f>OR(Table67[[#This Row],[Delete? (Stage 1)]],Table67[[#This Row],[Delete? (Stage 2)]])</f>
        <v>1</v>
      </c>
      <c r="AZ737" t="s">
        <v>84</v>
      </c>
    </row>
    <row r="738" spans="1:52">
      <c r="A738">
        <f t="shared" si="47"/>
        <v>737</v>
      </c>
      <c r="B738" s="3">
        <v>46049.748807870397</v>
      </c>
      <c r="C738" s="3">
        <v>46049.755219907398</v>
      </c>
      <c r="D738" t="s">
        <v>53</v>
      </c>
      <c r="G738" t="s">
        <v>54</v>
      </c>
      <c r="H738" t="s">
        <v>63</v>
      </c>
      <c r="I738" t="s">
        <v>82</v>
      </c>
      <c r="J738" t="s">
        <v>72</v>
      </c>
      <c r="K738" t="s">
        <v>66</v>
      </c>
      <c r="L738" t="s">
        <v>61</v>
      </c>
      <c r="M738" t="s">
        <v>61</v>
      </c>
      <c r="N738">
        <v>1</v>
      </c>
      <c r="O738">
        <v>1</v>
      </c>
      <c r="P738">
        <v>1</v>
      </c>
      <c r="Q738">
        <v>1</v>
      </c>
      <c r="R738">
        <v>1</v>
      </c>
      <c r="S738">
        <v>1</v>
      </c>
      <c r="T738">
        <v>1</v>
      </c>
      <c r="U738">
        <v>1</v>
      </c>
      <c r="V738">
        <v>3</v>
      </c>
      <c r="W738">
        <v>4</v>
      </c>
      <c r="X738">
        <v>2</v>
      </c>
      <c r="Y738">
        <v>2</v>
      </c>
      <c r="Z738">
        <v>1</v>
      </c>
      <c r="AA738">
        <v>1</v>
      </c>
      <c r="AB738">
        <v>1</v>
      </c>
      <c r="AC738">
        <v>1</v>
      </c>
      <c r="AD738">
        <v>1</v>
      </c>
      <c r="AE738">
        <v>1</v>
      </c>
      <c r="AF738">
        <v>5</v>
      </c>
      <c r="AG738">
        <v>1</v>
      </c>
      <c r="AH738">
        <v>5</v>
      </c>
      <c r="AI738">
        <v>1</v>
      </c>
      <c r="AJ738">
        <v>1</v>
      </c>
      <c r="AK738" t="b">
        <f>Table67[[#This Row],[What is your age?]]&lt;&gt;"18 - 25"</f>
        <v>0</v>
      </c>
      <c r="AL738" t="b">
        <f t="shared" si="44"/>
        <v>0</v>
      </c>
      <c r="AM738" t="b">
        <f t="shared" si="45"/>
        <v>0</v>
      </c>
      <c r="AN738" t="b">
        <f t="shared" si="46"/>
        <v>0</v>
      </c>
      <c r="AO738" t="b">
        <f>OR(Table67[[#This Row],[Ineligible respondents]:[Inconsistent response on opposite question (3)]])</f>
        <v>0</v>
      </c>
      <c r="AP73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17</v>
      </c>
      <c r="AQ738">
        <f>Table67[[#This Row],[Extreme Response]]/21</f>
        <v>0.80952380952380953</v>
      </c>
      <c r="AR738">
        <f>_xlfn.PERCENTILE.INC(Table67[Extrem Response Ratio (ERS)],0.9)</f>
        <v>0.61904761904761907</v>
      </c>
      <c r="AS738" t="b">
        <f>Table67[[#This Row],[Extrem Response Ratio (ERS)]]&gt;=Table67[[#This Row],[Threshold of ERS]]</f>
        <v>1</v>
      </c>
      <c r="AT738">
        <f>COUNTIF(Table67[[#This Row],[The mechanism of digital assets is difficult to understand, which discourages me from exploring it (E.g, Tokenization, Blockchain)]:[If I want to try different ways to invest, I will explore digital assets.]], 3)</f>
        <v>1</v>
      </c>
      <c r="AU738">
        <f>Table67[[#This Row],[Midpoint]]/21</f>
        <v>4.7619047619047616E-2</v>
      </c>
      <c r="AV738">
        <f>_xlfn.PERCENTILE.INC(Table67[Midpoint ratio],0.9)</f>
        <v>0.5714285714285714</v>
      </c>
      <c r="AW738" t="b">
        <f>Table67[[#This Row],[Midpoint ratio]]&gt;=Table67[[#This Row],[Threshold of Midpoint ratio]]</f>
        <v>0</v>
      </c>
      <c r="AX738" t="b">
        <f>OR(Table67[[#This Row],[Extreme Response Style]],Table67[[#This Row],[Mid-point Response Style]])</f>
        <v>1</v>
      </c>
      <c r="AY738" t="b">
        <f>OR(Table67[[#This Row],[Delete? (Stage 1)]],Table67[[#This Row],[Delete? (Stage 2)]])</f>
        <v>1</v>
      </c>
      <c r="AZ738" t="s">
        <v>84</v>
      </c>
    </row>
    <row r="739" spans="1:52">
      <c r="A739">
        <f t="shared" si="47"/>
        <v>738</v>
      </c>
      <c r="B739" s="3">
        <v>46049.748888888898</v>
      </c>
      <c r="C739" s="3">
        <v>46049.753576388903</v>
      </c>
      <c r="D739" t="s">
        <v>53</v>
      </c>
      <c r="G739" t="s">
        <v>73</v>
      </c>
      <c r="H739" t="s">
        <v>63</v>
      </c>
      <c r="I739" t="s">
        <v>56</v>
      </c>
      <c r="J739" t="s">
        <v>64</v>
      </c>
      <c r="K739" t="s">
        <v>57</v>
      </c>
      <c r="L739" t="s">
        <v>58</v>
      </c>
      <c r="M739" t="s">
        <v>58</v>
      </c>
      <c r="N739">
        <v>4</v>
      </c>
      <c r="O739">
        <v>1</v>
      </c>
      <c r="P739">
        <v>5</v>
      </c>
      <c r="Q739">
        <v>1</v>
      </c>
      <c r="R739">
        <v>1</v>
      </c>
      <c r="S739">
        <v>1</v>
      </c>
      <c r="T739">
        <v>3</v>
      </c>
      <c r="U739">
        <v>5</v>
      </c>
      <c r="V739">
        <v>5</v>
      </c>
      <c r="W739">
        <v>1</v>
      </c>
      <c r="X739">
        <v>5</v>
      </c>
      <c r="Y739">
        <v>5</v>
      </c>
      <c r="Z739">
        <v>5</v>
      </c>
      <c r="AA739">
        <v>5</v>
      </c>
      <c r="AB739">
        <v>2</v>
      </c>
      <c r="AC739">
        <v>4</v>
      </c>
      <c r="AD739">
        <v>5</v>
      </c>
      <c r="AE739">
        <v>2</v>
      </c>
      <c r="AF739">
        <v>4</v>
      </c>
      <c r="AG739">
        <v>2</v>
      </c>
      <c r="AH739">
        <v>4</v>
      </c>
      <c r="AI739">
        <v>2</v>
      </c>
      <c r="AJ739">
        <v>2</v>
      </c>
      <c r="AK739" t="b">
        <f>Table67[[#This Row],[What is your age?]]&lt;&gt;"18 - 25"</f>
        <v>1</v>
      </c>
      <c r="AL739" t="b">
        <f t="shared" si="44"/>
        <v>0</v>
      </c>
      <c r="AM739" t="b">
        <f t="shared" si="45"/>
        <v>0</v>
      </c>
      <c r="AN739" t="b">
        <f t="shared" si="46"/>
        <v>0</v>
      </c>
      <c r="AO739" t="b">
        <f>OR(Table67[[#This Row],[Ineligible respondents]:[Inconsistent response on opposite question (3)]])</f>
        <v>1</v>
      </c>
      <c r="AP73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739">
        <f>Table67[[#This Row],[Extreme Response]]/21</f>
        <v>0.61904761904761907</v>
      </c>
      <c r="AR739">
        <f>_xlfn.PERCENTILE.INC(Table67[Extrem Response Ratio (ERS)],0.9)</f>
        <v>0.61904761904761907</v>
      </c>
      <c r="AS739" t="b">
        <f>Table67[[#This Row],[Extrem Response Ratio (ERS)]]&gt;=Table67[[#This Row],[Threshold of ERS]]</f>
        <v>1</v>
      </c>
      <c r="AT739">
        <f>COUNTIF(Table67[[#This Row],[The mechanism of digital assets is difficult to understand, which discourages me from exploring it (E.g, Tokenization, Blockchain)]:[If I want to try different ways to invest, I will explore digital assets.]], 3)</f>
        <v>1</v>
      </c>
      <c r="AU739">
        <f>Table67[[#This Row],[Midpoint]]/21</f>
        <v>4.7619047619047616E-2</v>
      </c>
      <c r="AV739">
        <f>_xlfn.PERCENTILE.INC(Table67[Midpoint ratio],0.9)</f>
        <v>0.5714285714285714</v>
      </c>
      <c r="AW739" t="b">
        <f>Table67[[#This Row],[Midpoint ratio]]&gt;=Table67[[#This Row],[Threshold of Midpoint ratio]]</f>
        <v>0</v>
      </c>
      <c r="AX739" t="b">
        <f>OR(Table67[[#This Row],[Extreme Response Style]],Table67[[#This Row],[Mid-point Response Style]])</f>
        <v>1</v>
      </c>
      <c r="AY739" t="b">
        <f>OR(Table67[[#This Row],[Delete? (Stage 1)]],Table67[[#This Row],[Delete? (Stage 2)]])</f>
        <v>1</v>
      </c>
      <c r="AZ739" t="s">
        <v>84</v>
      </c>
    </row>
    <row r="740" spans="1:52">
      <c r="A740">
        <f t="shared" si="47"/>
        <v>739</v>
      </c>
      <c r="B740" s="3">
        <v>46049.749421296299</v>
      </c>
      <c r="C740" s="3">
        <v>46049.752546296302</v>
      </c>
      <c r="D740" t="s">
        <v>53</v>
      </c>
      <c r="G740" t="s">
        <v>54</v>
      </c>
      <c r="H740" t="s">
        <v>70</v>
      </c>
      <c r="I740" t="s">
        <v>71</v>
      </c>
      <c r="J740" t="s">
        <v>62</v>
      </c>
      <c r="K740" t="s">
        <v>62</v>
      </c>
      <c r="L740" t="s">
        <v>58</v>
      </c>
      <c r="M740" t="s">
        <v>58</v>
      </c>
      <c r="N740">
        <v>4</v>
      </c>
      <c r="O740">
        <v>4</v>
      </c>
      <c r="P740">
        <v>4</v>
      </c>
      <c r="Q740">
        <v>5</v>
      </c>
      <c r="R740">
        <v>4</v>
      </c>
      <c r="S740">
        <v>5</v>
      </c>
      <c r="T740">
        <v>3</v>
      </c>
      <c r="U740">
        <v>4</v>
      </c>
      <c r="V740">
        <v>5</v>
      </c>
      <c r="W740">
        <v>5</v>
      </c>
      <c r="X740">
        <v>4</v>
      </c>
      <c r="Y740">
        <v>5</v>
      </c>
      <c r="Z740">
        <v>4</v>
      </c>
      <c r="AA740">
        <v>5</v>
      </c>
      <c r="AB740">
        <v>5</v>
      </c>
      <c r="AC740">
        <v>2</v>
      </c>
      <c r="AD740">
        <v>5</v>
      </c>
      <c r="AE740">
        <v>3</v>
      </c>
      <c r="AF740">
        <v>3</v>
      </c>
      <c r="AG740">
        <v>2</v>
      </c>
      <c r="AH740">
        <v>2</v>
      </c>
      <c r="AI740">
        <v>4</v>
      </c>
      <c r="AJ740">
        <v>3</v>
      </c>
      <c r="AK740" t="b">
        <f>Table67[[#This Row],[What is your age?]]&lt;&gt;"18 - 25"</f>
        <v>0</v>
      </c>
      <c r="AL740" t="b">
        <f t="shared" si="44"/>
        <v>0</v>
      </c>
      <c r="AM740" t="b">
        <f t="shared" si="45"/>
        <v>1</v>
      </c>
      <c r="AN740" t="b">
        <f t="shared" si="46"/>
        <v>0</v>
      </c>
      <c r="AO740" t="b">
        <f>OR(Table67[[#This Row],[Ineligible respondents]:[Inconsistent response on opposite question (3)]])</f>
        <v>1</v>
      </c>
      <c r="AP74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740">
        <f>Table67[[#This Row],[Extreme Response]]/21</f>
        <v>0.38095238095238093</v>
      </c>
      <c r="AR740">
        <f>_xlfn.PERCENTILE.INC(Table67[Extrem Response Ratio (ERS)],0.9)</f>
        <v>0.61904761904761907</v>
      </c>
      <c r="AS740" t="b">
        <f>Table67[[#This Row],[Extrem Response Ratio (ERS)]]&gt;=Table67[[#This Row],[Threshold of ERS]]</f>
        <v>0</v>
      </c>
      <c r="AT740">
        <f>COUNTIF(Table67[[#This Row],[The mechanism of digital assets is difficult to understand, which discourages me from exploring it (E.g, Tokenization, Blockchain)]:[If I want to try different ways to invest, I will explore digital assets.]], 3)</f>
        <v>3</v>
      </c>
      <c r="AU740">
        <f>Table67[[#This Row],[Midpoint]]/21</f>
        <v>0.14285714285714285</v>
      </c>
      <c r="AV740">
        <f>_xlfn.PERCENTILE.INC(Table67[Midpoint ratio],0.9)</f>
        <v>0.5714285714285714</v>
      </c>
      <c r="AW740" t="b">
        <f>Table67[[#This Row],[Midpoint ratio]]&gt;=Table67[[#This Row],[Threshold of Midpoint ratio]]</f>
        <v>0</v>
      </c>
      <c r="AX740" t="b">
        <f>OR(Table67[[#This Row],[Extreme Response Style]],Table67[[#This Row],[Mid-point Response Style]])</f>
        <v>0</v>
      </c>
      <c r="AY740" t="b">
        <f>OR(Table67[[#This Row],[Delete? (Stage 1)]],Table67[[#This Row],[Delete? (Stage 2)]])</f>
        <v>1</v>
      </c>
      <c r="AZ740" t="s">
        <v>84</v>
      </c>
    </row>
    <row r="741" spans="1:52">
      <c r="A741">
        <f t="shared" si="47"/>
        <v>740</v>
      </c>
      <c r="B741" s="3">
        <v>46049.750520833302</v>
      </c>
      <c r="C741" s="3">
        <v>46049.7523842593</v>
      </c>
      <c r="D741" t="s">
        <v>53</v>
      </c>
      <c r="G741" t="s">
        <v>54</v>
      </c>
      <c r="H741" t="s">
        <v>63</v>
      </c>
      <c r="I741" t="s">
        <v>75</v>
      </c>
      <c r="J741" t="s">
        <v>67</v>
      </c>
      <c r="K741" t="s">
        <v>64</v>
      </c>
      <c r="L741" t="s">
        <v>61</v>
      </c>
      <c r="M741" t="s">
        <v>61</v>
      </c>
      <c r="N741">
        <v>3</v>
      </c>
      <c r="O741">
        <v>3</v>
      </c>
      <c r="P741">
        <v>3</v>
      </c>
      <c r="Q741">
        <v>4</v>
      </c>
      <c r="R741">
        <v>5</v>
      </c>
      <c r="S741">
        <v>5</v>
      </c>
      <c r="T741">
        <v>2</v>
      </c>
      <c r="U741">
        <v>2</v>
      </c>
      <c r="V741">
        <v>4</v>
      </c>
      <c r="W741">
        <v>5</v>
      </c>
      <c r="X741">
        <v>5</v>
      </c>
      <c r="Y741">
        <v>3</v>
      </c>
      <c r="Z741">
        <v>2</v>
      </c>
      <c r="AA741">
        <v>4</v>
      </c>
      <c r="AB741">
        <v>3</v>
      </c>
      <c r="AC741">
        <v>3</v>
      </c>
      <c r="AD741">
        <v>5</v>
      </c>
      <c r="AE741">
        <v>4</v>
      </c>
      <c r="AF741">
        <v>3</v>
      </c>
      <c r="AG741">
        <v>3</v>
      </c>
      <c r="AH741">
        <v>4</v>
      </c>
      <c r="AI741">
        <v>2</v>
      </c>
      <c r="AJ741">
        <v>3</v>
      </c>
      <c r="AK741" t="b">
        <f>Table67[[#This Row],[What is your age?]]&lt;&gt;"18 - 25"</f>
        <v>0</v>
      </c>
      <c r="AL741" t="b">
        <f t="shared" si="44"/>
        <v>0</v>
      </c>
      <c r="AM741" t="b">
        <f t="shared" si="45"/>
        <v>0</v>
      </c>
      <c r="AN741" t="b">
        <f t="shared" si="46"/>
        <v>1</v>
      </c>
      <c r="AO741" t="b">
        <f>OR(Table67[[#This Row],[Ineligible respondents]:[Inconsistent response on opposite question (3)]])</f>
        <v>1</v>
      </c>
      <c r="AP74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741">
        <f>Table67[[#This Row],[Extreme Response]]/21</f>
        <v>0.23809523809523808</v>
      </c>
      <c r="AR741">
        <f>_xlfn.PERCENTILE.INC(Table67[Extrem Response Ratio (ERS)],0.9)</f>
        <v>0.61904761904761907</v>
      </c>
      <c r="AS741" t="b">
        <f>Table67[[#This Row],[Extrem Response Ratio (ERS)]]&gt;=Table67[[#This Row],[Threshold of ERS]]</f>
        <v>0</v>
      </c>
      <c r="AT741">
        <f>COUNTIF(Table67[[#This Row],[The mechanism of digital assets is difficult to understand, which discourages me from exploring it (E.g, Tokenization, Blockchain)]:[If I want to try different ways to invest, I will explore digital assets.]], 3)</f>
        <v>8</v>
      </c>
      <c r="AU741">
        <f>Table67[[#This Row],[Midpoint]]/21</f>
        <v>0.38095238095238093</v>
      </c>
      <c r="AV741">
        <f>_xlfn.PERCENTILE.INC(Table67[Midpoint ratio],0.9)</f>
        <v>0.5714285714285714</v>
      </c>
      <c r="AW741" t="b">
        <f>Table67[[#This Row],[Midpoint ratio]]&gt;=Table67[[#This Row],[Threshold of Midpoint ratio]]</f>
        <v>0</v>
      </c>
      <c r="AX741" t="b">
        <f>OR(Table67[[#This Row],[Extreme Response Style]],Table67[[#This Row],[Mid-point Response Style]])</f>
        <v>0</v>
      </c>
      <c r="AY741" t="b">
        <f>OR(Table67[[#This Row],[Delete? (Stage 1)]],Table67[[#This Row],[Delete? (Stage 2)]])</f>
        <v>1</v>
      </c>
      <c r="AZ741" t="s">
        <v>84</v>
      </c>
    </row>
    <row r="742" spans="1:52">
      <c r="A742">
        <f t="shared" si="47"/>
        <v>741</v>
      </c>
      <c r="B742" s="3">
        <v>46049.750578703701</v>
      </c>
      <c r="C742" s="3">
        <v>46049.761770833298</v>
      </c>
      <c r="D742" t="s">
        <v>53</v>
      </c>
      <c r="G742" t="s">
        <v>54</v>
      </c>
      <c r="H742" t="s">
        <v>55</v>
      </c>
      <c r="I742" t="s">
        <v>56</v>
      </c>
      <c r="J742" t="s">
        <v>62</v>
      </c>
      <c r="K742" t="s">
        <v>60</v>
      </c>
      <c r="L742" t="s">
        <v>61</v>
      </c>
      <c r="M742" t="s">
        <v>61</v>
      </c>
      <c r="N742">
        <v>4</v>
      </c>
      <c r="O742">
        <v>2</v>
      </c>
      <c r="P742">
        <v>1</v>
      </c>
      <c r="Q742">
        <v>4</v>
      </c>
      <c r="R742">
        <v>4</v>
      </c>
      <c r="S742">
        <v>5</v>
      </c>
      <c r="T742">
        <v>3</v>
      </c>
      <c r="U742">
        <v>3</v>
      </c>
      <c r="V742">
        <v>4</v>
      </c>
      <c r="W742">
        <v>5</v>
      </c>
      <c r="X742">
        <v>4</v>
      </c>
      <c r="Y742">
        <v>3</v>
      </c>
      <c r="Z742">
        <v>5</v>
      </c>
      <c r="AA742">
        <v>4</v>
      </c>
      <c r="AB742">
        <v>3</v>
      </c>
      <c r="AC742">
        <v>4</v>
      </c>
      <c r="AD742">
        <v>4</v>
      </c>
      <c r="AE742">
        <v>3</v>
      </c>
      <c r="AF742">
        <v>3</v>
      </c>
      <c r="AG742">
        <v>4</v>
      </c>
      <c r="AH742">
        <v>3</v>
      </c>
      <c r="AI742">
        <v>3</v>
      </c>
      <c r="AJ742">
        <v>3</v>
      </c>
      <c r="AK742" t="b">
        <f>Table67[[#This Row],[What is your age?]]&lt;&gt;"18 - 25"</f>
        <v>0</v>
      </c>
      <c r="AL742" t="b">
        <f t="shared" si="44"/>
        <v>0</v>
      </c>
      <c r="AM742" t="b">
        <f t="shared" si="45"/>
        <v>0</v>
      </c>
      <c r="AN742" t="b">
        <f t="shared" si="46"/>
        <v>1</v>
      </c>
      <c r="AO742" t="b">
        <f>OR(Table67[[#This Row],[Ineligible respondents]:[Inconsistent response on opposite question (3)]])</f>
        <v>1</v>
      </c>
      <c r="AP74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742">
        <f>Table67[[#This Row],[Extreme Response]]/21</f>
        <v>0.19047619047619047</v>
      </c>
      <c r="AR742">
        <f>_xlfn.PERCENTILE.INC(Table67[Extrem Response Ratio (ERS)],0.9)</f>
        <v>0.61904761904761907</v>
      </c>
      <c r="AS742" t="b">
        <f>Table67[[#This Row],[Extrem Response Ratio (ERS)]]&gt;=Table67[[#This Row],[Threshold of ERS]]</f>
        <v>0</v>
      </c>
      <c r="AT742">
        <f>COUNTIF(Table67[[#This Row],[The mechanism of digital assets is difficult to understand, which discourages me from exploring it (E.g, Tokenization, Blockchain)]:[If I want to try different ways to invest, I will explore digital assets.]], 3)</f>
        <v>7</v>
      </c>
      <c r="AU742">
        <f>Table67[[#This Row],[Midpoint]]/21</f>
        <v>0.33333333333333331</v>
      </c>
      <c r="AV742">
        <f>_xlfn.PERCENTILE.INC(Table67[Midpoint ratio],0.9)</f>
        <v>0.5714285714285714</v>
      </c>
      <c r="AW742" t="b">
        <f>Table67[[#This Row],[Midpoint ratio]]&gt;=Table67[[#This Row],[Threshold of Midpoint ratio]]</f>
        <v>0</v>
      </c>
      <c r="AX742" t="b">
        <f>OR(Table67[[#This Row],[Extreme Response Style]],Table67[[#This Row],[Mid-point Response Style]])</f>
        <v>0</v>
      </c>
      <c r="AY742" t="b">
        <f>OR(Table67[[#This Row],[Delete? (Stage 1)]],Table67[[#This Row],[Delete? (Stage 2)]])</f>
        <v>1</v>
      </c>
      <c r="AZ742" t="s">
        <v>84</v>
      </c>
    </row>
    <row r="743" spans="1:52">
      <c r="A743">
        <f t="shared" si="47"/>
        <v>742</v>
      </c>
      <c r="B743" s="3">
        <v>46049.750694444403</v>
      </c>
      <c r="C743" s="3">
        <v>46049.755601851903</v>
      </c>
      <c r="D743" t="s">
        <v>53</v>
      </c>
      <c r="G743" t="s">
        <v>73</v>
      </c>
      <c r="H743" t="s">
        <v>55</v>
      </c>
      <c r="I743" t="s">
        <v>56</v>
      </c>
      <c r="J743" t="s">
        <v>62</v>
      </c>
      <c r="K743" t="s">
        <v>62</v>
      </c>
      <c r="L743" t="s">
        <v>58</v>
      </c>
      <c r="M743" t="s">
        <v>58</v>
      </c>
      <c r="N743">
        <v>3</v>
      </c>
      <c r="O743">
        <v>4</v>
      </c>
      <c r="P743">
        <v>5</v>
      </c>
      <c r="Q743">
        <v>4</v>
      </c>
      <c r="R743">
        <v>3</v>
      </c>
      <c r="S743">
        <v>2</v>
      </c>
      <c r="T743">
        <v>2</v>
      </c>
      <c r="U743">
        <v>2</v>
      </c>
      <c r="V743">
        <v>4</v>
      </c>
      <c r="W743">
        <v>5</v>
      </c>
      <c r="X743">
        <v>4</v>
      </c>
      <c r="Y743">
        <v>5</v>
      </c>
      <c r="Z743">
        <v>4</v>
      </c>
      <c r="AA743">
        <v>4</v>
      </c>
      <c r="AB743">
        <v>3</v>
      </c>
      <c r="AC743">
        <v>2</v>
      </c>
      <c r="AD743">
        <v>3</v>
      </c>
      <c r="AE743">
        <v>2</v>
      </c>
      <c r="AF743">
        <v>4</v>
      </c>
      <c r="AG743">
        <v>2</v>
      </c>
      <c r="AH743">
        <v>4</v>
      </c>
      <c r="AI743">
        <v>2</v>
      </c>
      <c r="AJ743">
        <v>2</v>
      </c>
      <c r="AK743" t="b">
        <f>Table67[[#This Row],[What is your age?]]&lt;&gt;"18 - 25"</f>
        <v>1</v>
      </c>
      <c r="AL743" t="b">
        <f t="shared" si="44"/>
        <v>0</v>
      </c>
      <c r="AM743" t="b">
        <f t="shared" si="45"/>
        <v>0</v>
      </c>
      <c r="AN743" t="b">
        <f t="shared" si="46"/>
        <v>0</v>
      </c>
      <c r="AO743" t="b">
        <f>OR(Table67[[#This Row],[Ineligible respondents]:[Inconsistent response on opposite question (3)]])</f>
        <v>1</v>
      </c>
      <c r="AP74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743">
        <f>Table67[[#This Row],[Extreme Response]]/21</f>
        <v>0.14285714285714285</v>
      </c>
      <c r="AR743">
        <f>_xlfn.PERCENTILE.INC(Table67[Extrem Response Ratio (ERS)],0.9)</f>
        <v>0.61904761904761907</v>
      </c>
      <c r="AS743" t="b">
        <f>Table67[[#This Row],[Extrem Response Ratio (ERS)]]&gt;=Table67[[#This Row],[Threshold of ERS]]</f>
        <v>0</v>
      </c>
      <c r="AT743">
        <f>COUNTIF(Table67[[#This Row],[The mechanism of digital assets is difficult to understand, which discourages me from exploring it (E.g, Tokenization, Blockchain)]:[If I want to try different ways to invest, I will explore digital assets.]], 3)</f>
        <v>4</v>
      </c>
      <c r="AU743">
        <f>Table67[[#This Row],[Midpoint]]/21</f>
        <v>0.19047619047619047</v>
      </c>
      <c r="AV743">
        <f>_xlfn.PERCENTILE.INC(Table67[Midpoint ratio],0.9)</f>
        <v>0.5714285714285714</v>
      </c>
      <c r="AW743" t="b">
        <f>Table67[[#This Row],[Midpoint ratio]]&gt;=Table67[[#This Row],[Threshold of Midpoint ratio]]</f>
        <v>0</v>
      </c>
      <c r="AX743" t="b">
        <f>OR(Table67[[#This Row],[Extreme Response Style]],Table67[[#This Row],[Mid-point Response Style]])</f>
        <v>0</v>
      </c>
      <c r="AY743" t="b">
        <f>OR(Table67[[#This Row],[Delete? (Stage 1)]],Table67[[#This Row],[Delete? (Stage 2)]])</f>
        <v>1</v>
      </c>
      <c r="AZ743" t="s">
        <v>84</v>
      </c>
    </row>
    <row r="744" spans="1:52">
      <c r="A744">
        <f t="shared" si="47"/>
        <v>743</v>
      </c>
      <c r="B744" s="3">
        <v>46049.750798611101</v>
      </c>
      <c r="C744" s="3">
        <v>46049.753657407397</v>
      </c>
      <c r="D744" t="s">
        <v>53</v>
      </c>
      <c r="G744" t="s">
        <v>54</v>
      </c>
      <c r="H744" t="s">
        <v>63</v>
      </c>
      <c r="I744" t="s">
        <v>56</v>
      </c>
      <c r="J744" t="s">
        <v>67</v>
      </c>
      <c r="K744" t="s">
        <v>65</v>
      </c>
      <c r="L744" t="s">
        <v>61</v>
      </c>
      <c r="M744" t="s">
        <v>61</v>
      </c>
      <c r="N744">
        <v>5</v>
      </c>
      <c r="O744">
        <v>5</v>
      </c>
      <c r="P744">
        <v>4</v>
      </c>
      <c r="Q744">
        <v>4</v>
      </c>
      <c r="R744">
        <v>4</v>
      </c>
      <c r="S744">
        <v>3</v>
      </c>
      <c r="T744">
        <v>4</v>
      </c>
      <c r="U744">
        <v>4</v>
      </c>
      <c r="V744">
        <v>4</v>
      </c>
      <c r="W744">
        <v>4</v>
      </c>
      <c r="X744">
        <v>4</v>
      </c>
      <c r="Y744">
        <v>4</v>
      </c>
      <c r="Z744">
        <v>4</v>
      </c>
      <c r="AA744">
        <v>4</v>
      </c>
      <c r="AB744">
        <v>4</v>
      </c>
      <c r="AC744">
        <v>4</v>
      </c>
      <c r="AD744">
        <v>4</v>
      </c>
      <c r="AE744">
        <v>4</v>
      </c>
      <c r="AF744">
        <v>4</v>
      </c>
      <c r="AG744">
        <v>4</v>
      </c>
      <c r="AH744">
        <v>4</v>
      </c>
      <c r="AI744">
        <v>2</v>
      </c>
      <c r="AJ744">
        <v>2</v>
      </c>
      <c r="AK744" t="b">
        <f>Table67[[#This Row],[What is your age?]]&lt;&gt;"18 - 25"</f>
        <v>0</v>
      </c>
      <c r="AL744" t="b">
        <f t="shared" si="44"/>
        <v>0</v>
      </c>
      <c r="AM744" t="b">
        <f t="shared" si="45"/>
        <v>1</v>
      </c>
      <c r="AN744" t="b">
        <f t="shared" si="46"/>
        <v>0</v>
      </c>
      <c r="AO744" t="b">
        <f>OR(Table67[[#This Row],[Ineligible respondents]:[Inconsistent response on opposite question (3)]])</f>
        <v>1</v>
      </c>
      <c r="AP74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744">
        <f>Table67[[#This Row],[Extreme Response]]/21</f>
        <v>9.5238095238095233E-2</v>
      </c>
      <c r="AR744">
        <f>_xlfn.PERCENTILE.INC(Table67[Extrem Response Ratio (ERS)],0.9)</f>
        <v>0.61904761904761907</v>
      </c>
      <c r="AS744" t="b">
        <f>Table67[[#This Row],[Extrem Response Ratio (ERS)]]&gt;=Table67[[#This Row],[Threshold of ERS]]</f>
        <v>0</v>
      </c>
      <c r="AT744">
        <f>COUNTIF(Table67[[#This Row],[The mechanism of digital assets is difficult to understand, which discourages me from exploring it (E.g, Tokenization, Blockchain)]:[If I want to try different ways to invest, I will explore digital assets.]], 3)</f>
        <v>1</v>
      </c>
      <c r="AU744">
        <f>Table67[[#This Row],[Midpoint]]/21</f>
        <v>4.7619047619047616E-2</v>
      </c>
      <c r="AV744">
        <f>_xlfn.PERCENTILE.INC(Table67[Midpoint ratio],0.9)</f>
        <v>0.5714285714285714</v>
      </c>
      <c r="AW744" t="b">
        <f>Table67[[#This Row],[Midpoint ratio]]&gt;=Table67[[#This Row],[Threshold of Midpoint ratio]]</f>
        <v>0</v>
      </c>
      <c r="AX744" t="b">
        <f>OR(Table67[[#This Row],[Extreme Response Style]],Table67[[#This Row],[Mid-point Response Style]])</f>
        <v>0</v>
      </c>
      <c r="AY744" t="b">
        <f>OR(Table67[[#This Row],[Delete? (Stage 1)]],Table67[[#This Row],[Delete? (Stage 2)]])</f>
        <v>1</v>
      </c>
      <c r="AZ744" t="s">
        <v>84</v>
      </c>
    </row>
    <row r="745" spans="1:52">
      <c r="A745">
        <f t="shared" si="47"/>
        <v>744</v>
      </c>
      <c r="B745" s="3">
        <v>46049.750949074099</v>
      </c>
      <c r="C745" s="3">
        <v>46049.753530092603</v>
      </c>
      <c r="D745" t="s">
        <v>53</v>
      </c>
      <c r="G745" t="s">
        <v>54</v>
      </c>
      <c r="H745" t="s">
        <v>55</v>
      </c>
      <c r="I745" t="s">
        <v>69</v>
      </c>
      <c r="J745" t="s">
        <v>62</v>
      </c>
      <c r="K745" t="s">
        <v>57</v>
      </c>
      <c r="L745" t="s">
        <v>58</v>
      </c>
      <c r="M745" t="s">
        <v>58</v>
      </c>
      <c r="N745">
        <v>5</v>
      </c>
      <c r="O745">
        <v>1</v>
      </c>
      <c r="P745">
        <v>4</v>
      </c>
      <c r="Q745">
        <v>4</v>
      </c>
      <c r="R745">
        <v>5</v>
      </c>
      <c r="S745">
        <v>5</v>
      </c>
      <c r="T745">
        <v>5</v>
      </c>
      <c r="U745">
        <v>5</v>
      </c>
      <c r="V745">
        <v>5</v>
      </c>
      <c r="W745">
        <v>5</v>
      </c>
      <c r="X745">
        <v>4</v>
      </c>
      <c r="Y745">
        <v>5</v>
      </c>
      <c r="Z745">
        <v>5</v>
      </c>
      <c r="AA745">
        <v>5</v>
      </c>
      <c r="AB745">
        <v>5</v>
      </c>
      <c r="AC745">
        <v>5</v>
      </c>
      <c r="AD745">
        <v>5</v>
      </c>
      <c r="AE745">
        <v>3</v>
      </c>
      <c r="AF745">
        <v>1</v>
      </c>
      <c r="AG745">
        <v>5</v>
      </c>
      <c r="AH745">
        <v>1</v>
      </c>
      <c r="AI745">
        <v>5</v>
      </c>
      <c r="AJ745">
        <v>5</v>
      </c>
      <c r="AK745" t="b">
        <f>Table67[[#This Row],[What is your age?]]&lt;&gt;"18 - 25"</f>
        <v>0</v>
      </c>
      <c r="AL745" t="b">
        <f t="shared" si="44"/>
        <v>0</v>
      </c>
      <c r="AM745" t="b">
        <f t="shared" si="45"/>
        <v>0</v>
      </c>
      <c r="AN745" t="b">
        <f t="shared" si="46"/>
        <v>0</v>
      </c>
      <c r="AO745" t="b">
        <f>OR(Table67[[#This Row],[Ineligible respondents]:[Inconsistent response on opposite question (3)]])</f>
        <v>0</v>
      </c>
      <c r="AP74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17</v>
      </c>
      <c r="AQ745">
        <f>Table67[[#This Row],[Extreme Response]]/21</f>
        <v>0.80952380952380953</v>
      </c>
      <c r="AR745">
        <f>_xlfn.PERCENTILE.INC(Table67[Extrem Response Ratio (ERS)],0.9)</f>
        <v>0.61904761904761907</v>
      </c>
      <c r="AS745" t="b">
        <f>Table67[[#This Row],[Extrem Response Ratio (ERS)]]&gt;=Table67[[#This Row],[Threshold of ERS]]</f>
        <v>1</v>
      </c>
      <c r="AT745">
        <f>COUNTIF(Table67[[#This Row],[The mechanism of digital assets is difficult to understand, which discourages me from exploring it (E.g, Tokenization, Blockchain)]:[If I want to try different ways to invest, I will explore digital assets.]], 3)</f>
        <v>1</v>
      </c>
      <c r="AU745">
        <f>Table67[[#This Row],[Midpoint]]/21</f>
        <v>4.7619047619047616E-2</v>
      </c>
      <c r="AV745">
        <f>_xlfn.PERCENTILE.INC(Table67[Midpoint ratio],0.9)</f>
        <v>0.5714285714285714</v>
      </c>
      <c r="AW745" t="b">
        <f>Table67[[#This Row],[Midpoint ratio]]&gt;=Table67[[#This Row],[Threshold of Midpoint ratio]]</f>
        <v>0</v>
      </c>
      <c r="AX745" t="b">
        <f>OR(Table67[[#This Row],[Extreme Response Style]],Table67[[#This Row],[Mid-point Response Style]])</f>
        <v>1</v>
      </c>
      <c r="AY745" t="b">
        <f>OR(Table67[[#This Row],[Delete? (Stage 1)]],Table67[[#This Row],[Delete? (Stage 2)]])</f>
        <v>1</v>
      </c>
      <c r="AZ745" t="s">
        <v>84</v>
      </c>
    </row>
    <row r="746" spans="1:52">
      <c r="A746">
        <f t="shared" si="47"/>
        <v>745</v>
      </c>
      <c r="B746" s="3">
        <v>46049.750972222202</v>
      </c>
      <c r="C746" s="3">
        <v>46049.753831018497</v>
      </c>
      <c r="D746" t="s">
        <v>53</v>
      </c>
      <c r="G746" t="s">
        <v>54</v>
      </c>
      <c r="H746" t="s">
        <v>63</v>
      </c>
      <c r="I746" t="s">
        <v>56</v>
      </c>
      <c r="J746" t="s">
        <v>57</v>
      </c>
      <c r="K746" t="s">
        <v>62</v>
      </c>
      <c r="L746" t="s">
        <v>58</v>
      </c>
      <c r="M746" t="s">
        <v>58</v>
      </c>
      <c r="N746">
        <v>4</v>
      </c>
      <c r="O746">
        <v>2</v>
      </c>
      <c r="P746">
        <v>3</v>
      </c>
      <c r="Q746">
        <v>3</v>
      </c>
      <c r="R746">
        <v>3</v>
      </c>
      <c r="S746">
        <v>3</v>
      </c>
      <c r="T746">
        <v>2</v>
      </c>
      <c r="U746">
        <v>2</v>
      </c>
      <c r="V746">
        <v>4</v>
      </c>
      <c r="W746">
        <v>2</v>
      </c>
      <c r="X746">
        <v>4</v>
      </c>
      <c r="Y746">
        <v>4</v>
      </c>
      <c r="Z746">
        <v>4</v>
      </c>
      <c r="AA746">
        <v>4</v>
      </c>
      <c r="AB746">
        <v>2</v>
      </c>
      <c r="AC746">
        <v>3</v>
      </c>
      <c r="AD746">
        <v>4</v>
      </c>
      <c r="AE746">
        <v>2</v>
      </c>
      <c r="AF746">
        <v>3</v>
      </c>
      <c r="AG746">
        <v>2</v>
      </c>
      <c r="AH746">
        <v>3</v>
      </c>
      <c r="AI746">
        <v>3</v>
      </c>
      <c r="AJ746">
        <v>3</v>
      </c>
      <c r="AK746" t="b">
        <f>Table67[[#This Row],[What is your age?]]&lt;&gt;"18 - 25"</f>
        <v>0</v>
      </c>
      <c r="AL746" t="b">
        <f t="shared" si="44"/>
        <v>0</v>
      </c>
      <c r="AM746" t="b">
        <f t="shared" si="45"/>
        <v>0</v>
      </c>
      <c r="AN746" t="b">
        <f t="shared" si="46"/>
        <v>1</v>
      </c>
      <c r="AO746" t="b">
        <f>OR(Table67[[#This Row],[Ineligible respondents]:[Inconsistent response on opposite question (3)]])</f>
        <v>1</v>
      </c>
      <c r="AP74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746">
        <f>Table67[[#This Row],[Extreme Response]]/21</f>
        <v>0</v>
      </c>
      <c r="AR746">
        <f>_xlfn.PERCENTILE.INC(Table67[Extrem Response Ratio (ERS)],0.9)</f>
        <v>0.61904761904761907</v>
      </c>
      <c r="AS746" t="b">
        <f>Table67[[#This Row],[Extrem Response Ratio (ERS)]]&gt;=Table67[[#This Row],[Threshold of ERS]]</f>
        <v>0</v>
      </c>
      <c r="AT746">
        <f>COUNTIF(Table67[[#This Row],[The mechanism of digital assets is difficult to understand, which discourages me from exploring it (E.g, Tokenization, Blockchain)]:[If I want to try different ways to invest, I will explore digital assets.]], 3)</f>
        <v>7</v>
      </c>
      <c r="AU746">
        <f>Table67[[#This Row],[Midpoint]]/21</f>
        <v>0.33333333333333331</v>
      </c>
      <c r="AV746">
        <f>_xlfn.PERCENTILE.INC(Table67[Midpoint ratio],0.9)</f>
        <v>0.5714285714285714</v>
      </c>
      <c r="AW746" t="b">
        <f>Table67[[#This Row],[Midpoint ratio]]&gt;=Table67[[#This Row],[Threshold of Midpoint ratio]]</f>
        <v>0</v>
      </c>
      <c r="AX746" t="b">
        <f>OR(Table67[[#This Row],[Extreme Response Style]],Table67[[#This Row],[Mid-point Response Style]])</f>
        <v>0</v>
      </c>
      <c r="AY746" t="b">
        <f>OR(Table67[[#This Row],[Delete? (Stage 1)]],Table67[[#This Row],[Delete? (Stage 2)]])</f>
        <v>1</v>
      </c>
      <c r="AZ746" t="s">
        <v>84</v>
      </c>
    </row>
    <row r="747" spans="1:52">
      <c r="A747">
        <f t="shared" si="47"/>
        <v>746</v>
      </c>
      <c r="B747" s="3">
        <v>46049.750983796301</v>
      </c>
      <c r="C747" s="3">
        <v>46049.752407407403</v>
      </c>
      <c r="D747" t="s">
        <v>53</v>
      </c>
      <c r="G747" t="s">
        <v>54</v>
      </c>
      <c r="H747" t="s">
        <v>63</v>
      </c>
      <c r="I747" t="s">
        <v>56</v>
      </c>
      <c r="J747" t="s">
        <v>64</v>
      </c>
      <c r="K747" t="s">
        <v>57</v>
      </c>
      <c r="L747" t="s">
        <v>58</v>
      </c>
      <c r="M747" t="s">
        <v>58</v>
      </c>
      <c r="N747">
        <v>4</v>
      </c>
      <c r="O747">
        <v>4</v>
      </c>
      <c r="P747">
        <v>4</v>
      </c>
      <c r="Q747">
        <v>4</v>
      </c>
      <c r="R747">
        <v>3</v>
      </c>
      <c r="S747">
        <v>4</v>
      </c>
      <c r="T747">
        <v>4</v>
      </c>
      <c r="U747">
        <v>4</v>
      </c>
      <c r="V747">
        <v>4</v>
      </c>
      <c r="W747">
        <v>4</v>
      </c>
      <c r="X747">
        <v>3</v>
      </c>
      <c r="Y747">
        <v>3</v>
      </c>
      <c r="Z747">
        <v>4</v>
      </c>
      <c r="AA747">
        <v>4</v>
      </c>
      <c r="AB747">
        <v>4</v>
      </c>
      <c r="AC747">
        <v>4</v>
      </c>
      <c r="AD747">
        <v>3</v>
      </c>
      <c r="AE747">
        <v>2</v>
      </c>
      <c r="AF747">
        <v>3</v>
      </c>
      <c r="AG747">
        <v>4</v>
      </c>
      <c r="AH747">
        <v>4</v>
      </c>
      <c r="AI747">
        <v>2</v>
      </c>
      <c r="AJ747">
        <v>3</v>
      </c>
      <c r="AK747" t="b">
        <f>Table67[[#This Row],[What is your age?]]&lt;&gt;"18 - 25"</f>
        <v>0</v>
      </c>
      <c r="AL747" t="b">
        <f t="shared" si="44"/>
        <v>0</v>
      </c>
      <c r="AM747" t="b">
        <f t="shared" si="45"/>
        <v>1</v>
      </c>
      <c r="AN747" t="b">
        <f t="shared" si="46"/>
        <v>0</v>
      </c>
      <c r="AO747" t="b">
        <f>OR(Table67[[#This Row],[Ineligible respondents]:[Inconsistent response on opposite question (3)]])</f>
        <v>1</v>
      </c>
      <c r="AP74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747">
        <f>Table67[[#This Row],[Extreme Response]]/21</f>
        <v>0</v>
      </c>
      <c r="AR747">
        <f>_xlfn.PERCENTILE.INC(Table67[Extrem Response Ratio (ERS)],0.9)</f>
        <v>0.61904761904761907</v>
      </c>
      <c r="AS747" t="b">
        <f>Table67[[#This Row],[Extrem Response Ratio (ERS)]]&gt;=Table67[[#This Row],[Threshold of ERS]]</f>
        <v>0</v>
      </c>
      <c r="AT747">
        <f>COUNTIF(Table67[[#This Row],[The mechanism of digital assets is difficult to understand, which discourages me from exploring it (E.g, Tokenization, Blockchain)]:[If I want to try different ways to invest, I will explore digital assets.]], 3)</f>
        <v>5</v>
      </c>
      <c r="AU747">
        <f>Table67[[#This Row],[Midpoint]]/21</f>
        <v>0.23809523809523808</v>
      </c>
      <c r="AV747">
        <f>_xlfn.PERCENTILE.INC(Table67[Midpoint ratio],0.9)</f>
        <v>0.5714285714285714</v>
      </c>
      <c r="AW747" t="b">
        <f>Table67[[#This Row],[Midpoint ratio]]&gt;=Table67[[#This Row],[Threshold of Midpoint ratio]]</f>
        <v>0</v>
      </c>
      <c r="AX747" t="b">
        <f>OR(Table67[[#This Row],[Extreme Response Style]],Table67[[#This Row],[Mid-point Response Style]])</f>
        <v>0</v>
      </c>
      <c r="AY747" t="b">
        <f>OR(Table67[[#This Row],[Delete? (Stage 1)]],Table67[[#This Row],[Delete? (Stage 2)]])</f>
        <v>1</v>
      </c>
      <c r="AZ747" t="s">
        <v>84</v>
      </c>
    </row>
    <row r="748" spans="1:52">
      <c r="A748">
        <f t="shared" si="47"/>
        <v>747</v>
      </c>
      <c r="B748" s="3">
        <v>46049.751203703701</v>
      </c>
      <c r="C748" s="3">
        <v>46049.756446759297</v>
      </c>
      <c r="D748" t="s">
        <v>53</v>
      </c>
      <c r="G748" t="s">
        <v>54</v>
      </c>
      <c r="H748" t="s">
        <v>55</v>
      </c>
      <c r="I748" t="s">
        <v>71</v>
      </c>
      <c r="J748" t="s">
        <v>62</v>
      </c>
      <c r="K748" t="s">
        <v>62</v>
      </c>
      <c r="L748" t="s">
        <v>58</v>
      </c>
      <c r="M748" t="s">
        <v>61</v>
      </c>
      <c r="N748">
        <v>3</v>
      </c>
      <c r="O748">
        <v>3</v>
      </c>
      <c r="P748">
        <v>3</v>
      </c>
      <c r="Q748">
        <v>4</v>
      </c>
      <c r="R748">
        <v>4</v>
      </c>
      <c r="S748">
        <v>4</v>
      </c>
      <c r="T748">
        <v>4</v>
      </c>
      <c r="U748">
        <v>4</v>
      </c>
      <c r="V748">
        <v>2</v>
      </c>
      <c r="W748">
        <v>3</v>
      </c>
      <c r="X748">
        <v>2</v>
      </c>
      <c r="Y748">
        <v>2</v>
      </c>
      <c r="Z748">
        <v>4</v>
      </c>
      <c r="AA748">
        <v>4</v>
      </c>
      <c r="AB748">
        <v>2</v>
      </c>
      <c r="AC748">
        <v>4</v>
      </c>
      <c r="AD748">
        <v>2</v>
      </c>
      <c r="AE748">
        <v>4</v>
      </c>
      <c r="AF748">
        <v>5</v>
      </c>
      <c r="AG748">
        <v>3</v>
      </c>
      <c r="AH748">
        <v>3</v>
      </c>
      <c r="AI748">
        <v>3</v>
      </c>
      <c r="AJ748">
        <v>1</v>
      </c>
      <c r="AK748" t="b">
        <f>Table67[[#This Row],[What is your age?]]&lt;&gt;"18 - 25"</f>
        <v>0</v>
      </c>
      <c r="AL748" t="b">
        <f t="shared" si="44"/>
        <v>0</v>
      </c>
      <c r="AM748" t="b">
        <f t="shared" si="45"/>
        <v>0</v>
      </c>
      <c r="AN748" t="b">
        <f t="shared" si="46"/>
        <v>0</v>
      </c>
      <c r="AO748" t="b">
        <f>OR(Table67[[#This Row],[Ineligible respondents]:[Inconsistent response on opposite question (3)]])</f>
        <v>0</v>
      </c>
      <c r="AP74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748">
        <f>Table67[[#This Row],[Extreme Response]]/21</f>
        <v>4.7619047619047616E-2</v>
      </c>
      <c r="AR748">
        <f>_xlfn.PERCENTILE.INC(Table67[Extrem Response Ratio (ERS)],0.9)</f>
        <v>0.61904761904761907</v>
      </c>
      <c r="AS748" t="b">
        <f>Table67[[#This Row],[Extrem Response Ratio (ERS)]]&gt;=Table67[[#This Row],[Threshold of ERS]]</f>
        <v>0</v>
      </c>
      <c r="AT748">
        <f>COUNTIF(Table67[[#This Row],[The mechanism of digital assets is difficult to understand, which discourages me from exploring it (E.g, Tokenization, Blockchain)]:[If I want to try different ways to invest, I will explore digital assets.]], 3)</f>
        <v>6</v>
      </c>
      <c r="AU748">
        <f>Table67[[#This Row],[Midpoint]]/21</f>
        <v>0.2857142857142857</v>
      </c>
      <c r="AV748">
        <f>_xlfn.PERCENTILE.INC(Table67[Midpoint ratio],0.9)</f>
        <v>0.5714285714285714</v>
      </c>
      <c r="AW748" t="b">
        <f>Table67[[#This Row],[Midpoint ratio]]&gt;=Table67[[#This Row],[Threshold of Midpoint ratio]]</f>
        <v>0</v>
      </c>
      <c r="AX748" t="b">
        <f>OR(Table67[[#This Row],[Extreme Response Style]],Table67[[#This Row],[Mid-point Response Style]])</f>
        <v>0</v>
      </c>
      <c r="AY748" t="b">
        <f>OR(Table67[[#This Row],[Delete? (Stage 1)]],Table67[[#This Row],[Delete? (Stage 2)]])</f>
        <v>0</v>
      </c>
      <c r="AZ748" t="s">
        <v>84</v>
      </c>
    </row>
    <row r="749" spans="1:52">
      <c r="A749">
        <f t="shared" si="47"/>
        <v>748</v>
      </c>
      <c r="B749" s="3">
        <v>46049.752037036997</v>
      </c>
      <c r="C749" s="3">
        <v>46049.760335648098</v>
      </c>
      <c r="D749" t="s">
        <v>53</v>
      </c>
      <c r="G749" t="s">
        <v>54</v>
      </c>
      <c r="H749" t="s">
        <v>63</v>
      </c>
      <c r="I749" t="s">
        <v>56</v>
      </c>
      <c r="J749" t="s">
        <v>62</v>
      </c>
      <c r="K749" t="s">
        <v>62</v>
      </c>
      <c r="L749" t="s">
        <v>58</v>
      </c>
      <c r="M749" t="s">
        <v>58</v>
      </c>
      <c r="N749">
        <v>3</v>
      </c>
      <c r="O749">
        <v>2</v>
      </c>
      <c r="P749">
        <v>4</v>
      </c>
      <c r="Q749">
        <v>3</v>
      </c>
      <c r="R749">
        <v>4</v>
      </c>
      <c r="S749">
        <v>4</v>
      </c>
      <c r="T749">
        <v>2</v>
      </c>
      <c r="U749">
        <v>4</v>
      </c>
      <c r="V749">
        <v>4</v>
      </c>
      <c r="W749">
        <v>5</v>
      </c>
      <c r="X749">
        <v>1</v>
      </c>
      <c r="Y749">
        <v>4</v>
      </c>
      <c r="Z749">
        <v>4</v>
      </c>
      <c r="AA749">
        <v>3</v>
      </c>
      <c r="AB749">
        <v>2</v>
      </c>
      <c r="AC749">
        <v>3</v>
      </c>
      <c r="AD749">
        <v>4</v>
      </c>
      <c r="AE749">
        <v>3</v>
      </c>
      <c r="AF749">
        <v>3</v>
      </c>
      <c r="AG749">
        <v>2</v>
      </c>
      <c r="AH749">
        <v>3</v>
      </c>
      <c r="AI749">
        <v>3</v>
      </c>
      <c r="AJ749">
        <v>3</v>
      </c>
      <c r="AK749" t="b">
        <f>Table67[[#This Row],[What is your age?]]&lt;&gt;"18 - 25"</f>
        <v>0</v>
      </c>
      <c r="AL749" t="b">
        <f t="shared" si="44"/>
        <v>0</v>
      </c>
      <c r="AM749" t="b">
        <f t="shared" si="45"/>
        <v>0</v>
      </c>
      <c r="AN749" t="b">
        <f t="shared" si="46"/>
        <v>1</v>
      </c>
      <c r="AO749" t="b">
        <f>OR(Table67[[#This Row],[Ineligible respondents]:[Inconsistent response on opposite question (3)]])</f>
        <v>1</v>
      </c>
      <c r="AP74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749">
        <f>Table67[[#This Row],[Extreme Response]]/21</f>
        <v>9.5238095238095233E-2</v>
      </c>
      <c r="AR749">
        <f>_xlfn.PERCENTILE.INC(Table67[Extrem Response Ratio (ERS)],0.9)</f>
        <v>0.61904761904761907</v>
      </c>
      <c r="AS749" t="b">
        <f>Table67[[#This Row],[Extrem Response Ratio (ERS)]]&gt;=Table67[[#This Row],[Threshold of ERS]]</f>
        <v>0</v>
      </c>
      <c r="AT749">
        <f>COUNTIF(Table67[[#This Row],[The mechanism of digital assets is difficult to understand, which discourages me from exploring it (E.g, Tokenization, Blockchain)]:[If I want to try different ways to invest, I will explore digital assets.]], 3)</f>
        <v>7</v>
      </c>
      <c r="AU749">
        <f>Table67[[#This Row],[Midpoint]]/21</f>
        <v>0.33333333333333331</v>
      </c>
      <c r="AV749">
        <f>_xlfn.PERCENTILE.INC(Table67[Midpoint ratio],0.9)</f>
        <v>0.5714285714285714</v>
      </c>
      <c r="AW749" t="b">
        <f>Table67[[#This Row],[Midpoint ratio]]&gt;=Table67[[#This Row],[Threshold of Midpoint ratio]]</f>
        <v>0</v>
      </c>
      <c r="AX749" t="b">
        <f>OR(Table67[[#This Row],[Extreme Response Style]],Table67[[#This Row],[Mid-point Response Style]])</f>
        <v>0</v>
      </c>
      <c r="AY749" t="b">
        <f>OR(Table67[[#This Row],[Delete? (Stage 1)]],Table67[[#This Row],[Delete? (Stage 2)]])</f>
        <v>1</v>
      </c>
      <c r="AZ749" t="s">
        <v>84</v>
      </c>
    </row>
    <row r="750" spans="1:52">
      <c r="A750">
        <f t="shared" si="47"/>
        <v>749</v>
      </c>
      <c r="B750" s="3">
        <v>46049.752106481501</v>
      </c>
      <c r="C750" s="3">
        <v>46049.756377314799</v>
      </c>
      <c r="D750" t="s">
        <v>53</v>
      </c>
      <c r="G750" t="s">
        <v>54</v>
      </c>
      <c r="H750" t="s">
        <v>63</v>
      </c>
      <c r="I750" t="s">
        <v>56</v>
      </c>
      <c r="J750" t="s">
        <v>62</v>
      </c>
      <c r="K750" t="s">
        <v>62</v>
      </c>
      <c r="L750" t="s">
        <v>61</v>
      </c>
      <c r="M750" t="s">
        <v>61</v>
      </c>
      <c r="N750">
        <v>4</v>
      </c>
      <c r="O750">
        <v>3</v>
      </c>
      <c r="P750">
        <v>4</v>
      </c>
      <c r="Q750">
        <v>4</v>
      </c>
      <c r="R750">
        <v>2</v>
      </c>
      <c r="S750">
        <v>2</v>
      </c>
      <c r="T750">
        <v>3</v>
      </c>
      <c r="U750">
        <v>4</v>
      </c>
      <c r="V750">
        <v>4</v>
      </c>
      <c r="W750">
        <v>3</v>
      </c>
      <c r="X750">
        <v>2</v>
      </c>
      <c r="Y750">
        <v>3</v>
      </c>
      <c r="Z750">
        <v>2</v>
      </c>
      <c r="AA750">
        <v>2</v>
      </c>
      <c r="AB750">
        <v>3</v>
      </c>
      <c r="AC750">
        <v>3</v>
      </c>
      <c r="AD750">
        <v>2</v>
      </c>
      <c r="AE750">
        <v>4</v>
      </c>
      <c r="AF750">
        <v>4</v>
      </c>
      <c r="AG750">
        <v>3</v>
      </c>
      <c r="AH750">
        <v>4</v>
      </c>
      <c r="AI750">
        <v>2</v>
      </c>
      <c r="AJ750">
        <v>2</v>
      </c>
      <c r="AK750" t="b">
        <f>Table67[[#This Row],[What is your age?]]&lt;&gt;"18 - 25"</f>
        <v>0</v>
      </c>
      <c r="AL750" t="b">
        <f t="shared" si="44"/>
        <v>0</v>
      </c>
      <c r="AM750" t="b">
        <f t="shared" si="45"/>
        <v>0</v>
      </c>
      <c r="AN750" t="b">
        <f t="shared" si="46"/>
        <v>1</v>
      </c>
      <c r="AO750" t="b">
        <f>OR(Table67[[#This Row],[Ineligible respondents]:[Inconsistent response on opposite question (3)]])</f>
        <v>1</v>
      </c>
      <c r="AP75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750">
        <f>Table67[[#This Row],[Extreme Response]]/21</f>
        <v>0</v>
      </c>
      <c r="AR750">
        <f>_xlfn.PERCENTILE.INC(Table67[Extrem Response Ratio (ERS)],0.9)</f>
        <v>0.61904761904761907</v>
      </c>
      <c r="AS750" t="b">
        <f>Table67[[#This Row],[Extrem Response Ratio (ERS)]]&gt;=Table67[[#This Row],[Threshold of ERS]]</f>
        <v>0</v>
      </c>
      <c r="AT750">
        <f>COUNTIF(Table67[[#This Row],[The mechanism of digital assets is difficult to understand, which discourages me from exploring it (E.g, Tokenization, Blockchain)]:[If I want to try different ways to invest, I will explore digital assets.]], 3)</f>
        <v>7</v>
      </c>
      <c r="AU750">
        <f>Table67[[#This Row],[Midpoint]]/21</f>
        <v>0.33333333333333331</v>
      </c>
      <c r="AV750">
        <f>_xlfn.PERCENTILE.INC(Table67[Midpoint ratio],0.9)</f>
        <v>0.5714285714285714</v>
      </c>
      <c r="AW750" t="b">
        <f>Table67[[#This Row],[Midpoint ratio]]&gt;=Table67[[#This Row],[Threshold of Midpoint ratio]]</f>
        <v>0</v>
      </c>
      <c r="AX750" t="b">
        <f>OR(Table67[[#This Row],[Extreme Response Style]],Table67[[#This Row],[Mid-point Response Style]])</f>
        <v>0</v>
      </c>
      <c r="AY750" t="b">
        <f>OR(Table67[[#This Row],[Delete? (Stage 1)]],Table67[[#This Row],[Delete? (Stage 2)]])</f>
        <v>1</v>
      </c>
      <c r="AZ750" t="s">
        <v>84</v>
      </c>
    </row>
    <row r="751" spans="1:52">
      <c r="A751">
        <f t="shared" si="47"/>
        <v>750</v>
      </c>
      <c r="B751" s="3">
        <v>46049.752280092602</v>
      </c>
      <c r="C751" s="3">
        <v>46049.755173611098</v>
      </c>
      <c r="D751" t="s">
        <v>53</v>
      </c>
      <c r="G751" t="s">
        <v>54</v>
      </c>
      <c r="H751" t="s">
        <v>55</v>
      </c>
      <c r="I751" t="s">
        <v>71</v>
      </c>
      <c r="J751" t="s">
        <v>62</v>
      </c>
      <c r="K751" t="s">
        <v>62</v>
      </c>
      <c r="L751" t="s">
        <v>58</v>
      </c>
      <c r="M751" t="s">
        <v>58</v>
      </c>
      <c r="N751">
        <v>5</v>
      </c>
      <c r="O751">
        <v>4</v>
      </c>
      <c r="P751">
        <v>4</v>
      </c>
      <c r="Q751">
        <v>2</v>
      </c>
      <c r="R751">
        <v>3</v>
      </c>
      <c r="S751">
        <v>4</v>
      </c>
      <c r="T751">
        <v>2</v>
      </c>
      <c r="U751">
        <v>3</v>
      </c>
      <c r="V751">
        <v>4</v>
      </c>
      <c r="W751">
        <v>2</v>
      </c>
      <c r="X751">
        <v>3</v>
      </c>
      <c r="Y751">
        <v>3</v>
      </c>
      <c r="Z751">
        <v>4</v>
      </c>
      <c r="AA751">
        <v>4</v>
      </c>
      <c r="AB751">
        <v>4</v>
      </c>
      <c r="AC751">
        <v>2</v>
      </c>
      <c r="AD751">
        <v>5</v>
      </c>
      <c r="AE751">
        <v>4</v>
      </c>
      <c r="AF751">
        <v>3</v>
      </c>
      <c r="AG751">
        <v>4</v>
      </c>
      <c r="AH751">
        <v>3</v>
      </c>
      <c r="AI751">
        <v>3</v>
      </c>
      <c r="AJ751">
        <v>3</v>
      </c>
      <c r="AK751" t="b">
        <f>Table67[[#This Row],[What is your age?]]&lt;&gt;"18 - 25"</f>
        <v>0</v>
      </c>
      <c r="AL751" t="b">
        <f t="shared" si="44"/>
        <v>0</v>
      </c>
      <c r="AM751" t="b">
        <f t="shared" si="45"/>
        <v>0</v>
      </c>
      <c r="AN751" t="b">
        <f t="shared" si="46"/>
        <v>1</v>
      </c>
      <c r="AO751" t="b">
        <f>OR(Table67[[#This Row],[Ineligible respondents]:[Inconsistent response on opposite question (3)]])</f>
        <v>1</v>
      </c>
      <c r="AP75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751">
        <f>Table67[[#This Row],[Extreme Response]]/21</f>
        <v>9.5238095238095233E-2</v>
      </c>
      <c r="AR751">
        <f>_xlfn.PERCENTILE.INC(Table67[Extrem Response Ratio (ERS)],0.9)</f>
        <v>0.61904761904761907</v>
      </c>
      <c r="AS751" t="b">
        <f>Table67[[#This Row],[Extrem Response Ratio (ERS)]]&gt;=Table67[[#This Row],[Threshold of ERS]]</f>
        <v>0</v>
      </c>
      <c r="AT751">
        <f>COUNTIF(Table67[[#This Row],[The mechanism of digital assets is difficult to understand, which discourages me from exploring it (E.g, Tokenization, Blockchain)]:[If I want to try different ways to invest, I will explore digital assets.]], 3)</f>
        <v>6</v>
      </c>
      <c r="AU751">
        <f>Table67[[#This Row],[Midpoint]]/21</f>
        <v>0.2857142857142857</v>
      </c>
      <c r="AV751">
        <f>_xlfn.PERCENTILE.INC(Table67[Midpoint ratio],0.9)</f>
        <v>0.5714285714285714</v>
      </c>
      <c r="AW751" t="b">
        <f>Table67[[#This Row],[Midpoint ratio]]&gt;=Table67[[#This Row],[Threshold of Midpoint ratio]]</f>
        <v>0</v>
      </c>
      <c r="AX751" t="b">
        <f>OR(Table67[[#This Row],[Extreme Response Style]],Table67[[#This Row],[Mid-point Response Style]])</f>
        <v>0</v>
      </c>
      <c r="AY751" t="b">
        <f>OR(Table67[[#This Row],[Delete? (Stage 1)]],Table67[[#This Row],[Delete? (Stage 2)]])</f>
        <v>1</v>
      </c>
      <c r="AZ751" t="s">
        <v>84</v>
      </c>
    </row>
    <row r="752" spans="1:52">
      <c r="A752">
        <f t="shared" si="47"/>
        <v>751</v>
      </c>
      <c r="B752" s="3">
        <v>46049.7524305556</v>
      </c>
      <c r="C752" s="3">
        <v>46049.759247685201</v>
      </c>
      <c r="D752" t="s">
        <v>53</v>
      </c>
      <c r="G752" t="s">
        <v>54</v>
      </c>
      <c r="H752" t="s">
        <v>63</v>
      </c>
      <c r="I752" t="s">
        <v>69</v>
      </c>
      <c r="J752" t="s">
        <v>66</v>
      </c>
      <c r="K752" t="s">
        <v>66</v>
      </c>
      <c r="L752" t="s">
        <v>58</v>
      </c>
      <c r="M752" t="s">
        <v>58</v>
      </c>
      <c r="N752">
        <v>5</v>
      </c>
      <c r="O752">
        <v>1</v>
      </c>
      <c r="P752">
        <v>5</v>
      </c>
      <c r="Q752">
        <v>5</v>
      </c>
      <c r="R752">
        <v>4</v>
      </c>
      <c r="S752">
        <v>4</v>
      </c>
      <c r="T752">
        <v>5</v>
      </c>
      <c r="U752">
        <v>5</v>
      </c>
      <c r="V752">
        <v>5</v>
      </c>
      <c r="W752">
        <v>5</v>
      </c>
      <c r="X752">
        <v>5</v>
      </c>
      <c r="Y752">
        <v>5</v>
      </c>
      <c r="Z752">
        <v>5</v>
      </c>
      <c r="AA752">
        <v>5</v>
      </c>
      <c r="AB752">
        <v>3</v>
      </c>
      <c r="AC752">
        <v>5</v>
      </c>
      <c r="AD752">
        <v>5</v>
      </c>
      <c r="AE752">
        <v>5</v>
      </c>
      <c r="AF752">
        <v>1</v>
      </c>
      <c r="AG752">
        <v>5</v>
      </c>
      <c r="AH752">
        <v>1</v>
      </c>
      <c r="AI752">
        <v>5</v>
      </c>
      <c r="AJ752">
        <v>5</v>
      </c>
      <c r="AK752" t="b">
        <f>Table67[[#This Row],[What is your age?]]&lt;&gt;"18 - 25"</f>
        <v>0</v>
      </c>
      <c r="AL752" t="b">
        <f t="shared" si="44"/>
        <v>0</v>
      </c>
      <c r="AM752" t="b">
        <f t="shared" si="45"/>
        <v>0</v>
      </c>
      <c r="AN752" t="b">
        <f t="shared" si="46"/>
        <v>0</v>
      </c>
      <c r="AO752" t="b">
        <f>OR(Table67[[#This Row],[Ineligible respondents]:[Inconsistent response on opposite question (3)]])</f>
        <v>0</v>
      </c>
      <c r="AP75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18</v>
      </c>
      <c r="AQ752">
        <f>Table67[[#This Row],[Extreme Response]]/21</f>
        <v>0.8571428571428571</v>
      </c>
      <c r="AR752">
        <f>_xlfn.PERCENTILE.INC(Table67[Extrem Response Ratio (ERS)],0.9)</f>
        <v>0.61904761904761907</v>
      </c>
      <c r="AS752" t="b">
        <f>Table67[[#This Row],[Extrem Response Ratio (ERS)]]&gt;=Table67[[#This Row],[Threshold of ERS]]</f>
        <v>1</v>
      </c>
      <c r="AT752">
        <f>COUNTIF(Table67[[#This Row],[The mechanism of digital assets is difficult to understand, which discourages me from exploring it (E.g, Tokenization, Blockchain)]:[If I want to try different ways to invest, I will explore digital assets.]], 3)</f>
        <v>1</v>
      </c>
      <c r="AU752">
        <f>Table67[[#This Row],[Midpoint]]/21</f>
        <v>4.7619047619047616E-2</v>
      </c>
      <c r="AV752">
        <f>_xlfn.PERCENTILE.INC(Table67[Midpoint ratio],0.9)</f>
        <v>0.5714285714285714</v>
      </c>
      <c r="AW752" t="b">
        <f>Table67[[#This Row],[Midpoint ratio]]&gt;=Table67[[#This Row],[Threshold of Midpoint ratio]]</f>
        <v>0</v>
      </c>
      <c r="AX752" t="b">
        <f>OR(Table67[[#This Row],[Extreme Response Style]],Table67[[#This Row],[Mid-point Response Style]])</f>
        <v>1</v>
      </c>
      <c r="AY752" t="b">
        <f>OR(Table67[[#This Row],[Delete? (Stage 1)]],Table67[[#This Row],[Delete? (Stage 2)]])</f>
        <v>1</v>
      </c>
      <c r="AZ752" t="s">
        <v>84</v>
      </c>
    </row>
    <row r="753" spans="1:52">
      <c r="A753">
        <f t="shared" si="47"/>
        <v>752</v>
      </c>
      <c r="B753" s="3">
        <v>46049.752650463</v>
      </c>
      <c r="C753" s="3">
        <v>46049.760902777802</v>
      </c>
      <c r="D753" t="s">
        <v>53</v>
      </c>
      <c r="G753" t="s">
        <v>54</v>
      </c>
      <c r="H753" t="s">
        <v>63</v>
      </c>
      <c r="I753" t="s">
        <v>71</v>
      </c>
      <c r="J753" t="s">
        <v>62</v>
      </c>
      <c r="K753" t="s">
        <v>62</v>
      </c>
      <c r="L753" t="s">
        <v>61</v>
      </c>
      <c r="M753" t="s">
        <v>61</v>
      </c>
      <c r="N753">
        <v>5</v>
      </c>
      <c r="O753">
        <v>1</v>
      </c>
      <c r="P753">
        <v>4</v>
      </c>
      <c r="Q753">
        <v>2</v>
      </c>
      <c r="R753">
        <v>4</v>
      </c>
      <c r="S753">
        <v>4</v>
      </c>
      <c r="T753">
        <v>1</v>
      </c>
      <c r="U753">
        <v>4</v>
      </c>
      <c r="V753">
        <v>4</v>
      </c>
      <c r="W753">
        <v>4</v>
      </c>
      <c r="X753">
        <v>1</v>
      </c>
      <c r="Y753">
        <v>2</v>
      </c>
      <c r="Z753">
        <v>4</v>
      </c>
      <c r="AA753">
        <v>3</v>
      </c>
      <c r="AB753">
        <v>4</v>
      </c>
      <c r="AC753">
        <v>4</v>
      </c>
      <c r="AD753">
        <v>3</v>
      </c>
      <c r="AE753">
        <v>4</v>
      </c>
      <c r="AF753">
        <v>4</v>
      </c>
      <c r="AG753">
        <v>4</v>
      </c>
      <c r="AH753">
        <v>4</v>
      </c>
      <c r="AI753">
        <v>2</v>
      </c>
      <c r="AJ753">
        <v>2</v>
      </c>
      <c r="AK753" t="b">
        <f>Table67[[#This Row],[What is your age?]]&lt;&gt;"18 - 25"</f>
        <v>0</v>
      </c>
      <c r="AL753" t="b">
        <f t="shared" si="44"/>
        <v>0</v>
      </c>
      <c r="AM753" t="b">
        <f t="shared" si="45"/>
        <v>1</v>
      </c>
      <c r="AN753" t="b">
        <f t="shared" si="46"/>
        <v>0</v>
      </c>
      <c r="AO753" t="b">
        <f>OR(Table67[[#This Row],[Ineligible respondents]:[Inconsistent response on opposite question (3)]])</f>
        <v>1</v>
      </c>
      <c r="AP75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753">
        <f>Table67[[#This Row],[Extreme Response]]/21</f>
        <v>0.19047619047619047</v>
      </c>
      <c r="AR753">
        <f>_xlfn.PERCENTILE.INC(Table67[Extrem Response Ratio (ERS)],0.9)</f>
        <v>0.61904761904761907</v>
      </c>
      <c r="AS753" t="b">
        <f>Table67[[#This Row],[Extrem Response Ratio (ERS)]]&gt;=Table67[[#This Row],[Threshold of ERS]]</f>
        <v>0</v>
      </c>
      <c r="AT753">
        <f>COUNTIF(Table67[[#This Row],[The mechanism of digital assets is difficult to understand, which discourages me from exploring it (E.g, Tokenization, Blockchain)]:[If I want to try different ways to invest, I will explore digital assets.]], 3)</f>
        <v>2</v>
      </c>
      <c r="AU753">
        <f>Table67[[#This Row],[Midpoint]]/21</f>
        <v>9.5238095238095233E-2</v>
      </c>
      <c r="AV753">
        <f>_xlfn.PERCENTILE.INC(Table67[Midpoint ratio],0.9)</f>
        <v>0.5714285714285714</v>
      </c>
      <c r="AW753" t="b">
        <f>Table67[[#This Row],[Midpoint ratio]]&gt;=Table67[[#This Row],[Threshold of Midpoint ratio]]</f>
        <v>0</v>
      </c>
      <c r="AX753" t="b">
        <f>OR(Table67[[#This Row],[Extreme Response Style]],Table67[[#This Row],[Mid-point Response Style]])</f>
        <v>0</v>
      </c>
      <c r="AY753" t="b">
        <f>OR(Table67[[#This Row],[Delete? (Stage 1)]],Table67[[#This Row],[Delete? (Stage 2)]])</f>
        <v>1</v>
      </c>
      <c r="AZ753" t="s">
        <v>84</v>
      </c>
    </row>
    <row r="754" spans="1:52">
      <c r="A754">
        <f t="shared" si="47"/>
        <v>753</v>
      </c>
      <c r="B754" s="3">
        <v>46049.752962963001</v>
      </c>
      <c r="C754" s="3">
        <v>46049.763032407398</v>
      </c>
      <c r="D754" t="s">
        <v>53</v>
      </c>
      <c r="G754" t="s">
        <v>54</v>
      </c>
      <c r="H754" t="s">
        <v>55</v>
      </c>
      <c r="I754" t="s">
        <v>82</v>
      </c>
      <c r="J754" t="s">
        <v>60</v>
      </c>
      <c r="K754" t="s">
        <v>62</v>
      </c>
      <c r="L754" t="s">
        <v>61</v>
      </c>
      <c r="M754" t="s">
        <v>61</v>
      </c>
      <c r="N754">
        <v>5</v>
      </c>
      <c r="O754">
        <v>4</v>
      </c>
      <c r="P754">
        <v>5</v>
      </c>
      <c r="Q754">
        <v>5</v>
      </c>
      <c r="R754">
        <v>2</v>
      </c>
      <c r="S754">
        <v>5</v>
      </c>
      <c r="T754">
        <v>1</v>
      </c>
      <c r="U754">
        <v>4</v>
      </c>
      <c r="V754">
        <v>5</v>
      </c>
      <c r="W754">
        <v>5</v>
      </c>
      <c r="X754">
        <v>3</v>
      </c>
      <c r="Y754">
        <v>3</v>
      </c>
      <c r="Z754">
        <v>5</v>
      </c>
      <c r="AA754">
        <v>4</v>
      </c>
      <c r="AB754">
        <v>5</v>
      </c>
      <c r="AC754">
        <v>5</v>
      </c>
      <c r="AD754">
        <v>5</v>
      </c>
      <c r="AE754">
        <v>4</v>
      </c>
      <c r="AF754">
        <v>4</v>
      </c>
      <c r="AG754">
        <v>4</v>
      </c>
      <c r="AH754">
        <v>4</v>
      </c>
      <c r="AI754">
        <v>2</v>
      </c>
      <c r="AJ754">
        <v>2</v>
      </c>
      <c r="AK754" t="b">
        <f>Table67[[#This Row],[What is your age?]]&lt;&gt;"18 - 25"</f>
        <v>0</v>
      </c>
      <c r="AL754" t="b">
        <f t="shared" si="44"/>
        <v>0</v>
      </c>
      <c r="AM754" t="b">
        <f t="shared" si="45"/>
        <v>1</v>
      </c>
      <c r="AN754" t="b">
        <f t="shared" si="46"/>
        <v>0</v>
      </c>
      <c r="AO754" t="b">
        <f>OR(Table67[[#This Row],[Ineligible respondents]:[Inconsistent response on opposite question (3)]])</f>
        <v>1</v>
      </c>
      <c r="AP75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754">
        <f>Table67[[#This Row],[Extreme Response]]/21</f>
        <v>0.52380952380952384</v>
      </c>
      <c r="AR754">
        <f>_xlfn.PERCENTILE.INC(Table67[Extrem Response Ratio (ERS)],0.9)</f>
        <v>0.61904761904761907</v>
      </c>
      <c r="AS754" t="b">
        <f>Table67[[#This Row],[Extrem Response Ratio (ERS)]]&gt;=Table67[[#This Row],[Threshold of ERS]]</f>
        <v>0</v>
      </c>
      <c r="AT754">
        <f>COUNTIF(Table67[[#This Row],[The mechanism of digital assets is difficult to understand, which discourages me from exploring it (E.g, Tokenization, Blockchain)]:[If I want to try different ways to invest, I will explore digital assets.]], 3)</f>
        <v>2</v>
      </c>
      <c r="AU754">
        <f>Table67[[#This Row],[Midpoint]]/21</f>
        <v>9.5238095238095233E-2</v>
      </c>
      <c r="AV754">
        <f>_xlfn.PERCENTILE.INC(Table67[Midpoint ratio],0.9)</f>
        <v>0.5714285714285714</v>
      </c>
      <c r="AW754" t="b">
        <f>Table67[[#This Row],[Midpoint ratio]]&gt;=Table67[[#This Row],[Threshold of Midpoint ratio]]</f>
        <v>0</v>
      </c>
      <c r="AX754" t="b">
        <f>OR(Table67[[#This Row],[Extreme Response Style]],Table67[[#This Row],[Mid-point Response Style]])</f>
        <v>0</v>
      </c>
      <c r="AY754" t="b">
        <f>OR(Table67[[#This Row],[Delete? (Stage 1)]],Table67[[#This Row],[Delete? (Stage 2)]])</f>
        <v>1</v>
      </c>
      <c r="AZ754" t="s">
        <v>84</v>
      </c>
    </row>
    <row r="755" spans="1:52">
      <c r="A755">
        <f t="shared" si="47"/>
        <v>754</v>
      </c>
      <c r="B755" s="3">
        <v>46049.753402777802</v>
      </c>
      <c r="C755" s="3">
        <v>46049.760462963</v>
      </c>
      <c r="D755" t="s">
        <v>53</v>
      </c>
      <c r="G755" t="s">
        <v>54</v>
      </c>
      <c r="H755" t="s">
        <v>55</v>
      </c>
      <c r="I755" t="s">
        <v>69</v>
      </c>
      <c r="J755" t="s">
        <v>57</v>
      </c>
      <c r="K755" t="s">
        <v>57</v>
      </c>
      <c r="L755" t="s">
        <v>58</v>
      </c>
      <c r="M755" t="s">
        <v>58</v>
      </c>
      <c r="N755">
        <v>4</v>
      </c>
      <c r="O755">
        <v>2</v>
      </c>
      <c r="P755">
        <v>4</v>
      </c>
      <c r="Q755">
        <v>3</v>
      </c>
      <c r="R755">
        <v>4</v>
      </c>
      <c r="S755">
        <v>5</v>
      </c>
      <c r="T755">
        <v>3</v>
      </c>
      <c r="U755">
        <v>4</v>
      </c>
      <c r="V755">
        <v>2</v>
      </c>
      <c r="W755">
        <v>4</v>
      </c>
      <c r="X755">
        <v>4</v>
      </c>
      <c r="Y755">
        <v>3</v>
      </c>
      <c r="Z755">
        <v>4</v>
      </c>
      <c r="AA755">
        <v>4</v>
      </c>
      <c r="AB755">
        <v>3</v>
      </c>
      <c r="AC755">
        <v>4</v>
      </c>
      <c r="AD755">
        <v>5</v>
      </c>
      <c r="AE755">
        <v>4</v>
      </c>
      <c r="AF755">
        <v>2</v>
      </c>
      <c r="AG755">
        <v>4</v>
      </c>
      <c r="AH755">
        <v>2</v>
      </c>
      <c r="AI755">
        <v>4</v>
      </c>
      <c r="AJ755">
        <v>4</v>
      </c>
      <c r="AK755" t="b">
        <f>Table67[[#This Row],[What is your age?]]&lt;&gt;"18 - 25"</f>
        <v>0</v>
      </c>
      <c r="AL755" t="b">
        <f t="shared" si="44"/>
        <v>0</v>
      </c>
      <c r="AM755" t="b">
        <f t="shared" si="45"/>
        <v>0</v>
      </c>
      <c r="AN755" t="b">
        <f t="shared" si="46"/>
        <v>0</v>
      </c>
      <c r="AO755" t="b">
        <f>OR(Table67[[#This Row],[Ineligible respondents]:[Inconsistent response on opposite question (3)]])</f>
        <v>0</v>
      </c>
      <c r="AP75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755">
        <f>Table67[[#This Row],[Extreme Response]]/21</f>
        <v>9.5238095238095233E-2</v>
      </c>
      <c r="AR755">
        <f>_xlfn.PERCENTILE.INC(Table67[Extrem Response Ratio (ERS)],0.9)</f>
        <v>0.61904761904761907</v>
      </c>
      <c r="AS755" t="b">
        <f>Table67[[#This Row],[Extrem Response Ratio (ERS)]]&gt;=Table67[[#This Row],[Threshold of ERS]]</f>
        <v>0</v>
      </c>
      <c r="AT755">
        <f>COUNTIF(Table67[[#This Row],[The mechanism of digital assets is difficult to understand, which discourages me from exploring it (E.g, Tokenization, Blockchain)]:[If I want to try different ways to invest, I will explore digital assets.]], 3)</f>
        <v>4</v>
      </c>
      <c r="AU755">
        <f>Table67[[#This Row],[Midpoint]]/21</f>
        <v>0.19047619047619047</v>
      </c>
      <c r="AV755">
        <f>_xlfn.PERCENTILE.INC(Table67[Midpoint ratio],0.9)</f>
        <v>0.5714285714285714</v>
      </c>
      <c r="AW755" t="b">
        <f>Table67[[#This Row],[Midpoint ratio]]&gt;=Table67[[#This Row],[Threshold of Midpoint ratio]]</f>
        <v>0</v>
      </c>
      <c r="AX755" t="b">
        <f>OR(Table67[[#This Row],[Extreme Response Style]],Table67[[#This Row],[Mid-point Response Style]])</f>
        <v>0</v>
      </c>
      <c r="AY755" t="b">
        <f>OR(Table67[[#This Row],[Delete? (Stage 1)]],Table67[[#This Row],[Delete? (Stage 2)]])</f>
        <v>0</v>
      </c>
      <c r="AZ755" t="s">
        <v>84</v>
      </c>
    </row>
    <row r="756" spans="1:52">
      <c r="A756">
        <f t="shared" si="47"/>
        <v>755</v>
      </c>
      <c r="B756" s="3">
        <v>46049.754062499997</v>
      </c>
      <c r="C756" s="3">
        <v>46049.7558796296</v>
      </c>
      <c r="D756" t="s">
        <v>53</v>
      </c>
      <c r="G756" t="s">
        <v>54</v>
      </c>
      <c r="H756" t="s">
        <v>55</v>
      </c>
      <c r="I756" t="s">
        <v>56</v>
      </c>
      <c r="J756" t="s">
        <v>62</v>
      </c>
      <c r="K756" t="s">
        <v>62</v>
      </c>
      <c r="L756" t="s">
        <v>61</v>
      </c>
      <c r="M756" t="s">
        <v>58</v>
      </c>
      <c r="N756">
        <v>3</v>
      </c>
      <c r="O756">
        <v>3</v>
      </c>
      <c r="P756">
        <v>3</v>
      </c>
      <c r="Q756">
        <v>3</v>
      </c>
      <c r="R756">
        <v>4</v>
      </c>
      <c r="S756">
        <v>4</v>
      </c>
      <c r="T756">
        <v>2</v>
      </c>
      <c r="U756">
        <v>4</v>
      </c>
      <c r="V756">
        <v>4</v>
      </c>
      <c r="W756">
        <v>3</v>
      </c>
      <c r="X756">
        <v>3</v>
      </c>
      <c r="Y756">
        <v>2</v>
      </c>
      <c r="Z756">
        <v>5</v>
      </c>
      <c r="AA756">
        <v>4</v>
      </c>
      <c r="AB756">
        <v>2</v>
      </c>
      <c r="AC756">
        <v>4</v>
      </c>
      <c r="AD756">
        <v>3</v>
      </c>
      <c r="AE756">
        <v>2</v>
      </c>
      <c r="AF756">
        <v>1</v>
      </c>
      <c r="AG756">
        <v>4</v>
      </c>
      <c r="AH756">
        <v>3</v>
      </c>
      <c r="AI756">
        <v>3</v>
      </c>
      <c r="AJ756">
        <v>5</v>
      </c>
      <c r="AK756" t="b">
        <f>Table67[[#This Row],[What is your age?]]&lt;&gt;"18 - 25"</f>
        <v>0</v>
      </c>
      <c r="AL756" t="b">
        <f t="shared" si="44"/>
        <v>0</v>
      </c>
      <c r="AM756" t="b">
        <f t="shared" si="45"/>
        <v>0</v>
      </c>
      <c r="AN756" t="b">
        <f t="shared" si="46"/>
        <v>1</v>
      </c>
      <c r="AO756" t="b">
        <f>OR(Table67[[#This Row],[Ineligible respondents]:[Inconsistent response on opposite question (3)]])</f>
        <v>1</v>
      </c>
      <c r="AP75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756">
        <f>Table67[[#This Row],[Extreme Response]]/21</f>
        <v>9.5238095238095233E-2</v>
      </c>
      <c r="AR756">
        <f>_xlfn.PERCENTILE.INC(Table67[Extrem Response Ratio (ERS)],0.9)</f>
        <v>0.61904761904761907</v>
      </c>
      <c r="AS756" t="b">
        <f>Table67[[#This Row],[Extrem Response Ratio (ERS)]]&gt;=Table67[[#This Row],[Threshold of ERS]]</f>
        <v>0</v>
      </c>
      <c r="AT756">
        <f>COUNTIF(Table67[[#This Row],[The mechanism of digital assets is difficult to understand, which discourages me from exploring it (E.g, Tokenization, Blockchain)]:[If I want to try different ways to invest, I will explore digital assets.]], 3)</f>
        <v>8</v>
      </c>
      <c r="AU756">
        <f>Table67[[#This Row],[Midpoint]]/21</f>
        <v>0.38095238095238093</v>
      </c>
      <c r="AV756">
        <f>_xlfn.PERCENTILE.INC(Table67[Midpoint ratio],0.9)</f>
        <v>0.5714285714285714</v>
      </c>
      <c r="AW756" t="b">
        <f>Table67[[#This Row],[Midpoint ratio]]&gt;=Table67[[#This Row],[Threshold of Midpoint ratio]]</f>
        <v>0</v>
      </c>
      <c r="AX756" t="b">
        <f>OR(Table67[[#This Row],[Extreme Response Style]],Table67[[#This Row],[Mid-point Response Style]])</f>
        <v>0</v>
      </c>
      <c r="AY756" t="b">
        <f>OR(Table67[[#This Row],[Delete? (Stage 1)]],Table67[[#This Row],[Delete? (Stage 2)]])</f>
        <v>1</v>
      </c>
      <c r="AZ756" t="s">
        <v>84</v>
      </c>
    </row>
    <row r="757" spans="1:52">
      <c r="A757">
        <f t="shared" si="47"/>
        <v>756</v>
      </c>
      <c r="B757" s="3">
        <v>46049.754120370402</v>
      </c>
      <c r="C757" s="3">
        <v>46049.758773148104</v>
      </c>
      <c r="D757" t="s">
        <v>53</v>
      </c>
      <c r="G757" t="s">
        <v>54</v>
      </c>
      <c r="H757" t="s">
        <v>55</v>
      </c>
      <c r="I757" t="s">
        <v>56</v>
      </c>
      <c r="J757" t="s">
        <v>64</v>
      </c>
      <c r="K757" t="s">
        <v>62</v>
      </c>
      <c r="L757" t="s">
        <v>58</v>
      </c>
      <c r="M757" t="s">
        <v>58</v>
      </c>
      <c r="N757">
        <v>3</v>
      </c>
      <c r="O757">
        <v>3</v>
      </c>
      <c r="P757">
        <v>3</v>
      </c>
      <c r="Q757">
        <v>2</v>
      </c>
      <c r="R757">
        <v>4</v>
      </c>
      <c r="S757">
        <v>4</v>
      </c>
      <c r="T757">
        <v>2</v>
      </c>
      <c r="U757">
        <v>3</v>
      </c>
      <c r="V757">
        <v>5</v>
      </c>
      <c r="W757">
        <v>4</v>
      </c>
      <c r="X757">
        <v>4</v>
      </c>
      <c r="Y757">
        <v>4</v>
      </c>
      <c r="Z757">
        <v>4</v>
      </c>
      <c r="AA757">
        <v>4</v>
      </c>
      <c r="AB757">
        <v>3</v>
      </c>
      <c r="AC757">
        <v>2</v>
      </c>
      <c r="AD757">
        <v>5</v>
      </c>
      <c r="AE757">
        <v>4</v>
      </c>
      <c r="AF757">
        <v>4</v>
      </c>
      <c r="AG757">
        <v>2</v>
      </c>
      <c r="AH757">
        <v>4</v>
      </c>
      <c r="AI757">
        <v>2</v>
      </c>
      <c r="AJ757">
        <v>2</v>
      </c>
      <c r="AK757" t="b">
        <f>Table67[[#This Row],[What is your age?]]&lt;&gt;"18 - 25"</f>
        <v>0</v>
      </c>
      <c r="AL757" t="b">
        <f t="shared" si="44"/>
        <v>0</v>
      </c>
      <c r="AM757" t="b">
        <f t="shared" si="45"/>
        <v>0</v>
      </c>
      <c r="AN757" t="b">
        <f t="shared" si="46"/>
        <v>0</v>
      </c>
      <c r="AO757" t="b">
        <f>OR(Table67[[#This Row],[Ineligible respondents]:[Inconsistent response on opposite question (3)]])</f>
        <v>0</v>
      </c>
      <c r="AP75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757">
        <f>Table67[[#This Row],[Extreme Response]]/21</f>
        <v>9.5238095238095233E-2</v>
      </c>
      <c r="AR757">
        <f>_xlfn.PERCENTILE.INC(Table67[Extrem Response Ratio (ERS)],0.9)</f>
        <v>0.61904761904761907</v>
      </c>
      <c r="AS757" t="b">
        <f>Table67[[#This Row],[Extrem Response Ratio (ERS)]]&gt;=Table67[[#This Row],[Threshold of ERS]]</f>
        <v>0</v>
      </c>
      <c r="AT757">
        <f>COUNTIF(Table67[[#This Row],[The mechanism of digital assets is difficult to understand, which discourages me from exploring it (E.g, Tokenization, Blockchain)]:[If I want to try different ways to invest, I will explore digital assets.]], 3)</f>
        <v>5</v>
      </c>
      <c r="AU757">
        <f>Table67[[#This Row],[Midpoint]]/21</f>
        <v>0.23809523809523808</v>
      </c>
      <c r="AV757">
        <f>_xlfn.PERCENTILE.INC(Table67[Midpoint ratio],0.9)</f>
        <v>0.5714285714285714</v>
      </c>
      <c r="AW757" t="b">
        <f>Table67[[#This Row],[Midpoint ratio]]&gt;=Table67[[#This Row],[Threshold of Midpoint ratio]]</f>
        <v>0</v>
      </c>
      <c r="AX757" t="b">
        <f>OR(Table67[[#This Row],[Extreme Response Style]],Table67[[#This Row],[Mid-point Response Style]])</f>
        <v>0</v>
      </c>
      <c r="AY757" t="b">
        <f>OR(Table67[[#This Row],[Delete? (Stage 1)]],Table67[[#This Row],[Delete? (Stage 2)]])</f>
        <v>0</v>
      </c>
      <c r="AZ757" t="s">
        <v>84</v>
      </c>
    </row>
    <row r="758" spans="1:52">
      <c r="A758">
        <f t="shared" si="47"/>
        <v>757</v>
      </c>
      <c r="B758" s="3">
        <v>46049.754363425898</v>
      </c>
      <c r="C758" s="3">
        <v>46049.755497685197</v>
      </c>
      <c r="D758" t="s">
        <v>53</v>
      </c>
      <c r="G758" t="s">
        <v>54</v>
      </c>
      <c r="H758" t="s">
        <v>55</v>
      </c>
      <c r="I758" t="s">
        <v>56</v>
      </c>
      <c r="J758" t="s">
        <v>62</v>
      </c>
      <c r="K758" t="s">
        <v>62</v>
      </c>
      <c r="L758" t="s">
        <v>58</v>
      </c>
      <c r="M758" t="s">
        <v>58</v>
      </c>
      <c r="N758">
        <v>3</v>
      </c>
      <c r="O758">
        <v>3</v>
      </c>
      <c r="P758">
        <v>3</v>
      </c>
      <c r="Q758">
        <v>2</v>
      </c>
      <c r="R758">
        <v>4</v>
      </c>
      <c r="S758">
        <v>3</v>
      </c>
      <c r="T758">
        <v>2</v>
      </c>
      <c r="U758">
        <v>2</v>
      </c>
      <c r="V758">
        <v>3</v>
      </c>
      <c r="W758">
        <v>2</v>
      </c>
      <c r="X758">
        <v>4</v>
      </c>
      <c r="Y758">
        <v>3</v>
      </c>
      <c r="Z758">
        <v>3</v>
      </c>
      <c r="AA758">
        <v>3</v>
      </c>
      <c r="AB758">
        <v>2</v>
      </c>
      <c r="AC758">
        <v>4</v>
      </c>
      <c r="AD758">
        <v>4</v>
      </c>
      <c r="AE758">
        <v>2</v>
      </c>
      <c r="AF758">
        <v>4</v>
      </c>
      <c r="AG758">
        <v>2</v>
      </c>
      <c r="AH758">
        <v>4</v>
      </c>
      <c r="AI758">
        <v>2</v>
      </c>
      <c r="AJ758">
        <v>2</v>
      </c>
      <c r="AK758" t="b">
        <f>Table67[[#This Row],[What is your age?]]&lt;&gt;"18 - 25"</f>
        <v>0</v>
      </c>
      <c r="AL758" t="b">
        <f t="shared" si="44"/>
        <v>0</v>
      </c>
      <c r="AM758" t="b">
        <f t="shared" si="45"/>
        <v>0</v>
      </c>
      <c r="AN758" t="b">
        <f t="shared" si="46"/>
        <v>0</v>
      </c>
      <c r="AO758" t="b">
        <f>OR(Table67[[#This Row],[Ineligible respondents]:[Inconsistent response on opposite question (3)]])</f>
        <v>0</v>
      </c>
      <c r="AP75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758">
        <f>Table67[[#This Row],[Extreme Response]]/21</f>
        <v>0</v>
      </c>
      <c r="AR758">
        <f>_xlfn.PERCENTILE.INC(Table67[Extrem Response Ratio (ERS)],0.9)</f>
        <v>0.61904761904761907</v>
      </c>
      <c r="AS758" t="b">
        <f>Table67[[#This Row],[Extrem Response Ratio (ERS)]]&gt;=Table67[[#This Row],[Threshold of ERS]]</f>
        <v>0</v>
      </c>
      <c r="AT758">
        <f>COUNTIF(Table67[[#This Row],[The mechanism of digital assets is difficult to understand, which discourages me from exploring it (E.g, Tokenization, Blockchain)]:[If I want to try different ways to invest, I will explore digital assets.]], 3)</f>
        <v>8</v>
      </c>
      <c r="AU758">
        <f>Table67[[#This Row],[Midpoint]]/21</f>
        <v>0.38095238095238093</v>
      </c>
      <c r="AV758">
        <f>_xlfn.PERCENTILE.INC(Table67[Midpoint ratio],0.9)</f>
        <v>0.5714285714285714</v>
      </c>
      <c r="AW758" t="b">
        <f>Table67[[#This Row],[Midpoint ratio]]&gt;=Table67[[#This Row],[Threshold of Midpoint ratio]]</f>
        <v>0</v>
      </c>
      <c r="AX758" t="b">
        <f>OR(Table67[[#This Row],[Extreme Response Style]],Table67[[#This Row],[Mid-point Response Style]])</f>
        <v>0</v>
      </c>
      <c r="AY758" t="b">
        <f>OR(Table67[[#This Row],[Delete? (Stage 1)]],Table67[[#This Row],[Delete? (Stage 2)]])</f>
        <v>0</v>
      </c>
      <c r="AZ758" t="s">
        <v>84</v>
      </c>
    </row>
    <row r="759" spans="1:52">
      <c r="A759">
        <f t="shared" si="47"/>
        <v>758</v>
      </c>
      <c r="B759" s="3">
        <v>46049.754803240699</v>
      </c>
      <c r="C759" s="3">
        <v>46049.759756944397</v>
      </c>
      <c r="D759" t="s">
        <v>53</v>
      </c>
      <c r="G759" t="s">
        <v>54</v>
      </c>
      <c r="H759" t="s">
        <v>55</v>
      </c>
      <c r="I759" t="s">
        <v>71</v>
      </c>
      <c r="J759" t="s">
        <v>62</v>
      </c>
      <c r="K759" t="s">
        <v>57</v>
      </c>
      <c r="L759" t="s">
        <v>58</v>
      </c>
      <c r="M759" t="s">
        <v>58</v>
      </c>
      <c r="N759">
        <v>4</v>
      </c>
      <c r="O759">
        <v>2</v>
      </c>
      <c r="P759">
        <v>3</v>
      </c>
      <c r="Q759">
        <v>4</v>
      </c>
      <c r="R759">
        <v>2</v>
      </c>
      <c r="S759">
        <v>4</v>
      </c>
      <c r="T759">
        <v>4</v>
      </c>
      <c r="U759">
        <v>4</v>
      </c>
      <c r="V759">
        <v>4</v>
      </c>
      <c r="W759">
        <v>5</v>
      </c>
      <c r="X759">
        <v>2</v>
      </c>
      <c r="Y759">
        <v>2</v>
      </c>
      <c r="Z759">
        <v>3</v>
      </c>
      <c r="AA759">
        <v>4</v>
      </c>
      <c r="AB759">
        <v>3</v>
      </c>
      <c r="AC759">
        <v>4</v>
      </c>
      <c r="AD759">
        <v>5</v>
      </c>
      <c r="AE759">
        <v>3</v>
      </c>
      <c r="AF759">
        <v>2</v>
      </c>
      <c r="AG759">
        <v>2</v>
      </c>
      <c r="AH759">
        <v>3</v>
      </c>
      <c r="AI759">
        <v>3</v>
      </c>
      <c r="AJ759">
        <v>4</v>
      </c>
      <c r="AK759" t="b">
        <f>Table67[[#This Row],[What is your age?]]&lt;&gt;"18 - 25"</f>
        <v>0</v>
      </c>
      <c r="AL759" t="b">
        <f t="shared" si="44"/>
        <v>0</v>
      </c>
      <c r="AM759" t="b">
        <f t="shared" si="45"/>
        <v>0</v>
      </c>
      <c r="AN759" t="b">
        <f t="shared" si="46"/>
        <v>1</v>
      </c>
      <c r="AO759" t="b">
        <f>OR(Table67[[#This Row],[Ineligible respondents]:[Inconsistent response on opposite question (3)]])</f>
        <v>1</v>
      </c>
      <c r="AP75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759">
        <f>Table67[[#This Row],[Extreme Response]]/21</f>
        <v>9.5238095238095233E-2</v>
      </c>
      <c r="AR759">
        <f>_xlfn.PERCENTILE.INC(Table67[Extrem Response Ratio (ERS)],0.9)</f>
        <v>0.61904761904761907</v>
      </c>
      <c r="AS759" t="b">
        <f>Table67[[#This Row],[Extrem Response Ratio (ERS)]]&gt;=Table67[[#This Row],[Threshold of ERS]]</f>
        <v>0</v>
      </c>
      <c r="AT759">
        <f>COUNTIF(Table67[[#This Row],[The mechanism of digital assets is difficult to understand, which discourages me from exploring it (E.g, Tokenization, Blockchain)]:[If I want to try different ways to invest, I will explore digital assets.]], 3)</f>
        <v>5</v>
      </c>
      <c r="AU759">
        <f>Table67[[#This Row],[Midpoint]]/21</f>
        <v>0.23809523809523808</v>
      </c>
      <c r="AV759">
        <f>_xlfn.PERCENTILE.INC(Table67[Midpoint ratio],0.9)</f>
        <v>0.5714285714285714</v>
      </c>
      <c r="AW759" t="b">
        <f>Table67[[#This Row],[Midpoint ratio]]&gt;=Table67[[#This Row],[Threshold of Midpoint ratio]]</f>
        <v>0</v>
      </c>
      <c r="AX759" t="b">
        <f>OR(Table67[[#This Row],[Extreme Response Style]],Table67[[#This Row],[Mid-point Response Style]])</f>
        <v>0</v>
      </c>
      <c r="AY759" t="b">
        <f>OR(Table67[[#This Row],[Delete? (Stage 1)]],Table67[[#This Row],[Delete? (Stage 2)]])</f>
        <v>1</v>
      </c>
      <c r="AZ759" t="s">
        <v>84</v>
      </c>
    </row>
    <row r="760" spans="1:52">
      <c r="A760">
        <f t="shared" si="47"/>
        <v>759</v>
      </c>
      <c r="B760" s="3">
        <v>46049.754930555602</v>
      </c>
      <c r="C760" s="3">
        <v>46049.778796296298</v>
      </c>
      <c r="D760" t="s">
        <v>53</v>
      </c>
      <c r="G760" t="s">
        <v>54</v>
      </c>
      <c r="H760" t="s">
        <v>55</v>
      </c>
      <c r="I760" t="s">
        <v>71</v>
      </c>
      <c r="J760" t="s">
        <v>62</v>
      </c>
      <c r="K760" t="s">
        <v>62</v>
      </c>
      <c r="L760" t="s">
        <v>61</v>
      </c>
      <c r="M760" t="s">
        <v>61</v>
      </c>
      <c r="N760">
        <v>4</v>
      </c>
      <c r="O760">
        <v>4</v>
      </c>
      <c r="P760">
        <v>4</v>
      </c>
      <c r="Q760">
        <v>4</v>
      </c>
      <c r="R760">
        <v>3</v>
      </c>
      <c r="S760">
        <v>4</v>
      </c>
      <c r="T760">
        <v>3</v>
      </c>
      <c r="U760">
        <v>4</v>
      </c>
      <c r="V760">
        <v>4</v>
      </c>
      <c r="W760">
        <v>4</v>
      </c>
      <c r="X760">
        <v>4</v>
      </c>
      <c r="Y760">
        <v>4</v>
      </c>
      <c r="Z760">
        <v>3</v>
      </c>
      <c r="AA760">
        <v>4</v>
      </c>
      <c r="AB760">
        <v>4</v>
      </c>
      <c r="AC760">
        <v>4</v>
      </c>
      <c r="AD760">
        <v>4</v>
      </c>
      <c r="AE760">
        <v>4</v>
      </c>
      <c r="AF760">
        <v>3</v>
      </c>
      <c r="AG760">
        <v>4</v>
      </c>
      <c r="AH760">
        <v>4</v>
      </c>
      <c r="AI760">
        <v>2</v>
      </c>
      <c r="AJ760">
        <v>3</v>
      </c>
      <c r="AK760" t="b">
        <f>Table67[[#This Row],[What is your age?]]&lt;&gt;"18 - 25"</f>
        <v>0</v>
      </c>
      <c r="AL760" t="b">
        <f t="shared" si="44"/>
        <v>0</v>
      </c>
      <c r="AM760" t="b">
        <f t="shared" si="45"/>
        <v>1</v>
      </c>
      <c r="AN760" t="b">
        <f t="shared" si="46"/>
        <v>0</v>
      </c>
      <c r="AO760" t="b">
        <f>OR(Table67[[#This Row],[Ineligible respondents]:[Inconsistent response on opposite question (3)]])</f>
        <v>1</v>
      </c>
      <c r="AP76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760">
        <f>Table67[[#This Row],[Extreme Response]]/21</f>
        <v>0</v>
      </c>
      <c r="AR760">
        <f>_xlfn.PERCENTILE.INC(Table67[Extrem Response Ratio (ERS)],0.9)</f>
        <v>0.61904761904761907</v>
      </c>
      <c r="AS760" t="b">
        <f>Table67[[#This Row],[Extrem Response Ratio (ERS)]]&gt;=Table67[[#This Row],[Threshold of ERS]]</f>
        <v>0</v>
      </c>
      <c r="AT760">
        <f>COUNTIF(Table67[[#This Row],[The mechanism of digital assets is difficult to understand, which discourages me from exploring it (E.g, Tokenization, Blockchain)]:[If I want to try different ways to invest, I will explore digital assets.]], 3)</f>
        <v>4</v>
      </c>
      <c r="AU760">
        <f>Table67[[#This Row],[Midpoint]]/21</f>
        <v>0.19047619047619047</v>
      </c>
      <c r="AV760">
        <f>_xlfn.PERCENTILE.INC(Table67[Midpoint ratio],0.9)</f>
        <v>0.5714285714285714</v>
      </c>
      <c r="AW760" t="b">
        <f>Table67[[#This Row],[Midpoint ratio]]&gt;=Table67[[#This Row],[Threshold of Midpoint ratio]]</f>
        <v>0</v>
      </c>
      <c r="AX760" t="b">
        <f>OR(Table67[[#This Row],[Extreme Response Style]],Table67[[#This Row],[Mid-point Response Style]])</f>
        <v>0</v>
      </c>
      <c r="AY760" t="b">
        <f>OR(Table67[[#This Row],[Delete? (Stage 1)]],Table67[[#This Row],[Delete? (Stage 2)]])</f>
        <v>1</v>
      </c>
      <c r="AZ760" t="s">
        <v>84</v>
      </c>
    </row>
    <row r="761" spans="1:52">
      <c r="A761">
        <f t="shared" si="47"/>
        <v>760</v>
      </c>
      <c r="B761" s="3">
        <v>46049.754988425899</v>
      </c>
      <c r="C761" s="3">
        <v>46049.758923611102</v>
      </c>
      <c r="D761" t="s">
        <v>53</v>
      </c>
      <c r="G761" t="s">
        <v>54</v>
      </c>
      <c r="H761" t="s">
        <v>55</v>
      </c>
      <c r="I761" t="s">
        <v>56</v>
      </c>
      <c r="J761" t="s">
        <v>60</v>
      </c>
      <c r="K761" t="s">
        <v>62</v>
      </c>
      <c r="L761" t="s">
        <v>58</v>
      </c>
      <c r="M761" t="s">
        <v>58</v>
      </c>
      <c r="N761">
        <v>4</v>
      </c>
      <c r="O761">
        <v>2</v>
      </c>
      <c r="P761">
        <v>4</v>
      </c>
      <c r="Q761">
        <v>3</v>
      </c>
      <c r="R761">
        <v>1</v>
      </c>
      <c r="S761">
        <v>4</v>
      </c>
      <c r="T761">
        <v>4</v>
      </c>
      <c r="U761">
        <v>3</v>
      </c>
      <c r="V761">
        <v>3</v>
      </c>
      <c r="W761">
        <v>4</v>
      </c>
      <c r="X761">
        <v>5</v>
      </c>
      <c r="Y761">
        <v>3</v>
      </c>
      <c r="Z761">
        <v>2</v>
      </c>
      <c r="AA761">
        <v>3</v>
      </c>
      <c r="AB761">
        <v>3</v>
      </c>
      <c r="AC761">
        <v>2</v>
      </c>
      <c r="AD761">
        <v>3</v>
      </c>
      <c r="AE761">
        <v>1</v>
      </c>
      <c r="AF761">
        <v>3</v>
      </c>
      <c r="AG761">
        <v>2</v>
      </c>
      <c r="AH761">
        <v>2</v>
      </c>
      <c r="AI761">
        <v>4</v>
      </c>
      <c r="AJ761">
        <v>3</v>
      </c>
      <c r="AK761" t="b">
        <f>Table67[[#This Row],[What is your age?]]&lt;&gt;"18 - 25"</f>
        <v>0</v>
      </c>
      <c r="AL761" t="b">
        <f t="shared" si="44"/>
        <v>0</v>
      </c>
      <c r="AM761" t="b">
        <f t="shared" si="45"/>
        <v>1</v>
      </c>
      <c r="AN761" t="b">
        <f t="shared" si="46"/>
        <v>0</v>
      </c>
      <c r="AO761" t="b">
        <f>OR(Table67[[#This Row],[Ineligible respondents]:[Inconsistent response on opposite question (3)]])</f>
        <v>1</v>
      </c>
      <c r="AP76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761">
        <f>Table67[[#This Row],[Extreme Response]]/21</f>
        <v>0.14285714285714285</v>
      </c>
      <c r="AR761">
        <f>_xlfn.PERCENTILE.INC(Table67[Extrem Response Ratio (ERS)],0.9)</f>
        <v>0.61904761904761907</v>
      </c>
      <c r="AS761" t="b">
        <f>Table67[[#This Row],[Extrem Response Ratio (ERS)]]&gt;=Table67[[#This Row],[Threshold of ERS]]</f>
        <v>0</v>
      </c>
      <c r="AT761">
        <f>COUNTIF(Table67[[#This Row],[The mechanism of digital assets is difficult to understand, which discourages me from exploring it (E.g, Tokenization, Blockchain)]:[If I want to try different ways to invest, I will explore digital assets.]], 3)</f>
        <v>8</v>
      </c>
      <c r="AU761">
        <f>Table67[[#This Row],[Midpoint]]/21</f>
        <v>0.38095238095238093</v>
      </c>
      <c r="AV761">
        <f>_xlfn.PERCENTILE.INC(Table67[Midpoint ratio],0.9)</f>
        <v>0.5714285714285714</v>
      </c>
      <c r="AW761" t="b">
        <f>Table67[[#This Row],[Midpoint ratio]]&gt;=Table67[[#This Row],[Threshold of Midpoint ratio]]</f>
        <v>0</v>
      </c>
      <c r="AX761" t="b">
        <f>OR(Table67[[#This Row],[Extreme Response Style]],Table67[[#This Row],[Mid-point Response Style]])</f>
        <v>0</v>
      </c>
      <c r="AY761" t="b">
        <f>OR(Table67[[#This Row],[Delete? (Stage 1)]],Table67[[#This Row],[Delete? (Stage 2)]])</f>
        <v>1</v>
      </c>
      <c r="AZ761" t="s">
        <v>84</v>
      </c>
    </row>
    <row r="762" spans="1:52">
      <c r="A762">
        <f t="shared" si="47"/>
        <v>761</v>
      </c>
      <c r="B762" s="3">
        <v>46049.755856481497</v>
      </c>
      <c r="C762" s="3">
        <v>46049.761435185203</v>
      </c>
      <c r="D762" t="s">
        <v>53</v>
      </c>
      <c r="G762" t="s">
        <v>54</v>
      </c>
      <c r="H762" t="s">
        <v>55</v>
      </c>
      <c r="I762" t="s">
        <v>56</v>
      </c>
      <c r="J762" t="s">
        <v>62</v>
      </c>
      <c r="K762" t="s">
        <v>62</v>
      </c>
      <c r="L762" t="s">
        <v>58</v>
      </c>
      <c r="M762" t="s">
        <v>58</v>
      </c>
      <c r="N762">
        <v>3</v>
      </c>
      <c r="O762">
        <v>1</v>
      </c>
      <c r="P762">
        <v>5</v>
      </c>
      <c r="Q762">
        <v>3</v>
      </c>
      <c r="R762">
        <v>4</v>
      </c>
      <c r="S762">
        <v>5</v>
      </c>
      <c r="T762">
        <v>5</v>
      </c>
      <c r="U762">
        <v>5</v>
      </c>
      <c r="V762">
        <v>5</v>
      </c>
      <c r="W762">
        <v>1</v>
      </c>
      <c r="X762">
        <v>5</v>
      </c>
      <c r="Y762">
        <v>2</v>
      </c>
      <c r="Z762">
        <v>5</v>
      </c>
      <c r="AA762">
        <v>3</v>
      </c>
      <c r="AB762">
        <v>5</v>
      </c>
      <c r="AC762">
        <v>5</v>
      </c>
      <c r="AD762">
        <v>5</v>
      </c>
      <c r="AE762">
        <v>4</v>
      </c>
      <c r="AF762">
        <v>1</v>
      </c>
      <c r="AG762">
        <v>5</v>
      </c>
      <c r="AH762">
        <v>2</v>
      </c>
      <c r="AI762">
        <v>4</v>
      </c>
      <c r="AJ762">
        <v>5</v>
      </c>
      <c r="AK762" t="b">
        <f>Table67[[#This Row],[What is your age?]]&lt;&gt;"18 - 25"</f>
        <v>0</v>
      </c>
      <c r="AL762" t="b">
        <f t="shared" si="44"/>
        <v>0</v>
      </c>
      <c r="AM762" t="b">
        <f t="shared" si="45"/>
        <v>0</v>
      </c>
      <c r="AN762" t="b">
        <f t="shared" si="46"/>
        <v>0</v>
      </c>
      <c r="AO762" t="b">
        <f>OR(Table67[[#This Row],[Ineligible respondents]:[Inconsistent response on opposite question (3)]])</f>
        <v>0</v>
      </c>
      <c r="AP76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762">
        <f>Table67[[#This Row],[Extreme Response]]/21</f>
        <v>0.66666666666666663</v>
      </c>
      <c r="AR762">
        <f>_xlfn.PERCENTILE.INC(Table67[Extrem Response Ratio (ERS)],0.9)</f>
        <v>0.61904761904761907</v>
      </c>
      <c r="AS762" t="b">
        <f>Table67[[#This Row],[Extrem Response Ratio (ERS)]]&gt;=Table67[[#This Row],[Threshold of ERS]]</f>
        <v>1</v>
      </c>
      <c r="AT762">
        <f>COUNTIF(Table67[[#This Row],[The mechanism of digital assets is difficult to understand, which discourages me from exploring it (E.g, Tokenization, Blockchain)]:[If I want to try different ways to invest, I will explore digital assets.]], 3)</f>
        <v>3</v>
      </c>
      <c r="AU762">
        <f>Table67[[#This Row],[Midpoint]]/21</f>
        <v>0.14285714285714285</v>
      </c>
      <c r="AV762">
        <f>_xlfn.PERCENTILE.INC(Table67[Midpoint ratio],0.9)</f>
        <v>0.5714285714285714</v>
      </c>
      <c r="AW762" t="b">
        <f>Table67[[#This Row],[Midpoint ratio]]&gt;=Table67[[#This Row],[Threshold of Midpoint ratio]]</f>
        <v>0</v>
      </c>
      <c r="AX762" t="b">
        <f>OR(Table67[[#This Row],[Extreme Response Style]],Table67[[#This Row],[Mid-point Response Style]])</f>
        <v>1</v>
      </c>
      <c r="AY762" t="b">
        <f>OR(Table67[[#This Row],[Delete? (Stage 1)]],Table67[[#This Row],[Delete? (Stage 2)]])</f>
        <v>1</v>
      </c>
      <c r="AZ762" t="s">
        <v>84</v>
      </c>
    </row>
    <row r="763" spans="1:52">
      <c r="A763">
        <f t="shared" si="47"/>
        <v>762</v>
      </c>
      <c r="B763" s="3">
        <v>46049.755937499998</v>
      </c>
      <c r="C763" s="3">
        <v>46049.764120370397</v>
      </c>
      <c r="D763" t="s">
        <v>53</v>
      </c>
      <c r="G763" t="s">
        <v>54</v>
      </c>
      <c r="H763" t="s">
        <v>63</v>
      </c>
      <c r="I763" t="s">
        <v>75</v>
      </c>
      <c r="J763" t="s">
        <v>60</v>
      </c>
      <c r="K763" t="s">
        <v>62</v>
      </c>
      <c r="L763" t="s">
        <v>58</v>
      </c>
      <c r="M763" t="s">
        <v>58</v>
      </c>
      <c r="N763">
        <v>5</v>
      </c>
      <c r="O763">
        <v>3</v>
      </c>
      <c r="P763">
        <v>3</v>
      </c>
      <c r="Q763">
        <v>3</v>
      </c>
      <c r="R763">
        <v>2</v>
      </c>
      <c r="S763">
        <v>3</v>
      </c>
      <c r="T763">
        <v>4</v>
      </c>
      <c r="U763">
        <v>3</v>
      </c>
      <c r="V763">
        <v>5</v>
      </c>
      <c r="W763">
        <v>5</v>
      </c>
      <c r="X763">
        <v>5</v>
      </c>
      <c r="Y763">
        <v>5</v>
      </c>
      <c r="Z763">
        <v>2</v>
      </c>
      <c r="AA763">
        <v>2</v>
      </c>
      <c r="AB763">
        <v>3</v>
      </c>
      <c r="AC763">
        <v>3</v>
      </c>
      <c r="AD763">
        <v>4</v>
      </c>
      <c r="AE763">
        <v>4</v>
      </c>
      <c r="AF763">
        <v>3</v>
      </c>
      <c r="AG763">
        <v>4</v>
      </c>
      <c r="AH763">
        <v>3</v>
      </c>
      <c r="AI763">
        <v>3</v>
      </c>
      <c r="AJ763">
        <v>3</v>
      </c>
      <c r="AK763" t="b">
        <f>Table67[[#This Row],[What is your age?]]&lt;&gt;"18 - 25"</f>
        <v>0</v>
      </c>
      <c r="AL763" t="b">
        <f t="shared" si="44"/>
        <v>0</v>
      </c>
      <c r="AM763" t="b">
        <f t="shared" si="45"/>
        <v>0</v>
      </c>
      <c r="AN763" t="b">
        <f t="shared" si="46"/>
        <v>1</v>
      </c>
      <c r="AO763" t="b">
        <f>OR(Table67[[#This Row],[Ineligible respondents]:[Inconsistent response on opposite question (3)]])</f>
        <v>1</v>
      </c>
      <c r="AP76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763">
        <f>Table67[[#This Row],[Extreme Response]]/21</f>
        <v>0.23809523809523808</v>
      </c>
      <c r="AR763">
        <f>_xlfn.PERCENTILE.INC(Table67[Extrem Response Ratio (ERS)],0.9)</f>
        <v>0.61904761904761907</v>
      </c>
      <c r="AS763" t="b">
        <f>Table67[[#This Row],[Extrem Response Ratio (ERS)]]&gt;=Table67[[#This Row],[Threshold of ERS]]</f>
        <v>0</v>
      </c>
      <c r="AT763">
        <f>COUNTIF(Table67[[#This Row],[The mechanism of digital assets is difficult to understand, which discourages me from exploring it (E.g, Tokenization, Blockchain)]:[If I want to try different ways to invest, I will explore digital assets.]], 3)</f>
        <v>9</v>
      </c>
      <c r="AU763">
        <f>Table67[[#This Row],[Midpoint]]/21</f>
        <v>0.42857142857142855</v>
      </c>
      <c r="AV763">
        <f>_xlfn.PERCENTILE.INC(Table67[Midpoint ratio],0.9)</f>
        <v>0.5714285714285714</v>
      </c>
      <c r="AW763" t="b">
        <f>Table67[[#This Row],[Midpoint ratio]]&gt;=Table67[[#This Row],[Threshold of Midpoint ratio]]</f>
        <v>0</v>
      </c>
      <c r="AX763" t="b">
        <f>OR(Table67[[#This Row],[Extreme Response Style]],Table67[[#This Row],[Mid-point Response Style]])</f>
        <v>0</v>
      </c>
      <c r="AY763" t="b">
        <f>OR(Table67[[#This Row],[Delete? (Stage 1)]],Table67[[#This Row],[Delete? (Stage 2)]])</f>
        <v>1</v>
      </c>
      <c r="AZ763" t="s">
        <v>84</v>
      </c>
    </row>
    <row r="764" spans="1:52">
      <c r="A764">
        <f t="shared" si="47"/>
        <v>763</v>
      </c>
      <c r="B764" s="3">
        <v>46049.756041666697</v>
      </c>
      <c r="C764" s="3">
        <v>46049.757152777798</v>
      </c>
      <c r="D764" t="s">
        <v>53</v>
      </c>
      <c r="G764" t="s">
        <v>54</v>
      </c>
      <c r="H764" t="s">
        <v>55</v>
      </c>
      <c r="I764" t="s">
        <v>71</v>
      </c>
      <c r="J764" t="s">
        <v>62</v>
      </c>
      <c r="K764" t="s">
        <v>62</v>
      </c>
      <c r="L764" t="s">
        <v>58</v>
      </c>
      <c r="M764" t="s">
        <v>58</v>
      </c>
      <c r="N764">
        <v>4</v>
      </c>
      <c r="O764">
        <v>3</v>
      </c>
      <c r="P764">
        <v>4</v>
      </c>
      <c r="Q764">
        <v>3</v>
      </c>
      <c r="R764">
        <v>4</v>
      </c>
      <c r="S764">
        <v>3</v>
      </c>
      <c r="T764">
        <v>2</v>
      </c>
      <c r="U764">
        <v>4</v>
      </c>
      <c r="V764">
        <v>4</v>
      </c>
      <c r="W764">
        <v>4</v>
      </c>
      <c r="X764">
        <v>4</v>
      </c>
      <c r="Y764">
        <v>3</v>
      </c>
      <c r="Z764">
        <v>3</v>
      </c>
      <c r="AA764">
        <v>4</v>
      </c>
      <c r="AB764">
        <v>3</v>
      </c>
      <c r="AC764">
        <v>4</v>
      </c>
      <c r="AD764">
        <v>4</v>
      </c>
      <c r="AE764">
        <v>3</v>
      </c>
      <c r="AF764">
        <v>4</v>
      </c>
      <c r="AG764">
        <v>3</v>
      </c>
      <c r="AH764">
        <v>4</v>
      </c>
      <c r="AI764">
        <v>2</v>
      </c>
      <c r="AJ764">
        <v>2</v>
      </c>
      <c r="AK764" t="b">
        <f>Table67[[#This Row],[What is your age?]]&lt;&gt;"18 - 25"</f>
        <v>0</v>
      </c>
      <c r="AL764" t="b">
        <f t="shared" si="44"/>
        <v>0</v>
      </c>
      <c r="AM764" t="b">
        <f t="shared" si="45"/>
        <v>0</v>
      </c>
      <c r="AN764" t="b">
        <f t="shared" si="46"/>
        <v>1</v>
      </c>
      <c r="AO764" t="b">
        <f>OR(Table67[[#This Row],[Ineligible respondents]:[Inconsistent response on opposite question (3)]])</f>
        <v>1</v>
      </c>
      <c r="AP76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764">
        <f>Table67[[#This Row],[Extreme Response]]/21</f>
        <v>0</v>
      </c>
      <c r="AR764">
        <f>_xlfn.PERCENTILE.INC(Table67[Extrem Response Ratio (ERS)],0.9)</f>
        <v>0.61904761904761907</v>
      </c>
      <c r="AS764" t="b">
        <f>Table67[[#This Row],[Extrem Response Ratio (ERS)]]&gt;=Table67[[#This Row],[Threshold of ERS]]</f>
        <v>0</v>
      </c>
      <c r="AT764">
        <f>COUNTIF(Table67[[#This Row],[The mechanism of digital assets is difficult to understand, which discourages me from exploring it (E.g, Tokenization, Blockchain)]:[If I want to try different ways to invest, I will explore digital assets.]], 3)</f>
        <v>8</v>
      </c>
      <c r="AU764">
        <f>Table67[[#This Row],[Midpoint]]/21</f>
        <v>0.38095238095238093</v>
      </c>
      <c r="AV764">
        <f>_xlfn.PERCENTILE.INC(Table67[Midpoint ratio],0.9)</f>
        <v>0.5714285714285714</v>
      </c>
      <c r="AW764" t="b">
        <f>Table67[[#This Row],[Midpoint ratio]]&gt;=Table67[[#This Row],[Threshold of Midpoint ratio]]</f>
        <v>0</v>
      </c>
      <c r="AX764" t="b">
        <f>OR(Table67[[#This Row],[Extreme Response Style]],Table67[[#This Row],[Mid-point Response Style]])</f>
        <v>0</v>
      </c>
      <c r="AY764" t="b">
        <f>OR(Table67[[#This Row],[Delete? (Stage 1)]],Table67[[#This Row],[Delete? (Stage 2)]])</f>
        <v>1</v>
      </c>
      <c r="AZ764" t="s">
        <v>84</v>
      </c>
    </row>
    <row r="765" spans="1:52">
      <c r="A765">
        <f t="shared" si="47"/>
        <v>764</v>
      </c>
      <c r="B765" s="3">
        <v>46049.756249999999</v>
      </c>
      <c r="C765" s="3">
        <v>46049.758391203701</v>
      </c>
      <c r="D765" t="s">
        <v>53</v>
      </c>
      <c r="G765" t="s">
        <v>54</v>
      </c>
      <c r="H765" t="s">
        <v>55</v>
      </c>
      <c r="I765" t="s">
        <v>75</v>
      </c>
      <c r="J765" t="s">
        <v>67</v>
      </c>
      <c r="K765" t="s">
        <v>64</v>
      </c>
      <c r="L765" t="s">
        <v>61</v>
      </c>
      <c r="M765" t="s">
        <v>61</v>
      </c>
      <c r="N765">
        <v>4</v>
      </c>
      <c r="O765">
        <v>2</v>
      </c>
      <c r="P765">
        <v>3</v>
      </c>
      <c r="Q765">
        <v>3</v>
      </c>
      <c r="R765">
        <v>5</v>
      </c>
      <c r="S765">
        <v>4</v>
      </c>
      <c r="T765">
        <v>2</v>
      </c>
      <c r="U765">
        <v>3</v>
      </c>
      <c r="V765">
        <v>2</v>
      </c>
      <c r="W765">
        <v>3</v>
      </c>
      <c r="X765">
        <v>3</v>
      </c>
      <c r="Y765">
        <v>3</v>
      </c>
      <c r="Z765">
        <v>4</v>
      </c>
      <c r="AA765">
        <v>4</v>
      </c>
      <c r="AB765">
        <v>3</v>
      </c>
      <c r="AC765">
        <v>3</v>
      </c>
      <c r="AD765">
        <v>4</v>
      </c>
      <c r="AE765">
        <v>3</v>
      </c>
      <c r="AF765">
        <v>3</v>
      </c>
      <c r="AG765">
        <v>4</v>
      </c>
      <c r="AH765">
        <v>4</v>
      </c>
      <c r="AI765">
        <v>2</v>
      </c>
      <c r="AJ765">
        <v>3</v>
      </c>
      <c r="AK765" t="b">
        <f>Table67[[#This Row],[What is your age?]]&lt;&gt;"18 - 25"</f>
        <v>0</v>
      </c>
      <c r="AL765" t="b">
        <f t="shared" si="44"/>
        <v>0</v>
      </c>
      <c r="AM765" t="b">
        <f t="shared" si="45"/>
        <v>1</v>
      </c>
      <c r="AN765" t="b">
        <f t="shared" si="46"/>
        <v>0</v>
      </c>
      <c r="AO765" t="b">
        <f>OR(Table67[[#This Row],[Ineligible respondents]:[Inconsistent response on opposite question (3)]])</f>
        <v>1</v>
      </c>
      <c r="AP76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765">
        <f>Table67[[#This Row],[Extreme Response]]/21</f>
        <v>4.7619047619047616E-2</v>
      </c>
      <c r="AR765">
        <f>_xlfn.PERCENTILE.INC(Table67[Extrem Response Ratio (ERS)],0.9)</f>
        <v>0.61904761904761907</v>
      </c>
      <c r="AS765" t="b">
        <f>Table67[[#This Row],[Extrem Response Ratio (ERS)]]&gt;=Table67[[#This Row],[Threshold of ERS]]</f>
        <v>0</v>
      </c>
      <c r="AT765">
        <f>COUNTIF(Table67[[#This Row],[The mechanism of digital assets is difficult to understand, which discourages me from exploring it (E.g, Tokenization, Blockchain)]:[If I want to try different ways to invest, I will explore digital assets.]], 3)</f>
        <v>10</v>
      </c>
      <c r="AU765">
        <f>Table67[[#This Row],[Midpoint]]/21</f>
        <v>0.47619047619047616</v>
      </c>
      <c r="AV765">
        <f>_xlfn.PERCENTILE.INC(Table67[Midpoint ratio],0.9)</f>
        <v>0.5714285714285714</v>
      </c>
      <c r="AW765" t="b">
        <f>Table67[[#This Row],[Midpoint ratio]]&gt;=Table67[[#This Row],[Threshold of Midpoint ratio]]</f>
        <v>0</v>
      </c>
      <c r="AX765" t="b">
        <f>OR(Table67[[#This Row],[Extreme Response Style]],Table67[[#This Row],[Mid-point Response Style]])</f>
        <v>0</v>
      </c>
      <c r="AY765" t="b">
        <f>OR(Table67[[#This Row],[Delete? (Stage 1)]],Table67[[#This Row],[Delete? (Stage 2)]])</f>
        <v>1</v>
      </c>
      <c r="AZ765" t="s">
        <v>84</v>
      </c>
    </row>
    <row r="766" spans="1:52">
      <c r="A766">
        <f t="shared" si="47"/>
        <v>765</v>
      </c>
      <c r="B766" s="3">
        <v>46049.756446759297</v>
      </c>
      <c r="C766" s="3">
        <v>46049.763530092598</v>
      </c>
      <c r="D766" t="s">
        <v>53</v>
      </c>
      <c r="G766" t="s">
        <v>54</v>
      </c>
      <c r="H766" t="s">
        <v>63</v>
      </c>
      <c r="I766" t="s">
        <v>56</v>
      </c>
      <c r="J766" t="s">
        <v>57</v>
      </c>
      <c r="K766" t="s">
        <v>57</v>
      </c>
      <c r="L766" t="s">
        <v>58</v>
      </c>
      <c r="M766" t="s">
        <v>58</v>
      </c>
      <c r="N766">
        <v>3</v>
      </c>
      <c r="O766">
        <v>2</v>
      </c>
      <c r="P766">
        <v>4</v>
      </c>
      <c r="Q766">
        <v>3</v>
      </c>
      <c r="R766">
        <v>2</v>
      </c>
      <c r="S766">
        <v>3</v>
      </c>
      <c r="T766">
        <v>2</v>
      </c>
      <c r="U766">
        <v>3</v>
      </c>
      <c r="V766">
        <v>4</v>
      </c>
      <c r="W766">
        <v>3</v>
      </c>
      <c r="X766">
        <v>4</v>
      </c>
      <c r="Y766">
        <v>3</v>
      </c>
      <c r="Z766">
        <v>4</v>
      </c>
      <c r="AA766">
        <v>4</v>
      </c>
      <c r="AB766">
        <v>3</v>
      </c>
      <c r="AC766">
        <v>2</v>
      </c>
      <c r="AD766">
        <v>5</v>
      </c>
      <c r="AE766">
        <v>4</v>
      </c>
      <c r="AF766">
        <v>3</v>
      </c>
      <c r="AG766">
        <v>3</v>
      </c>
      <c r="AH766">
        <v>3</v>
      </c>
      <c r="AI766">
        <v>3</v>
      </c>
      <c r="AJ766">
        <v>3</v>
      </c>
      <c r="AK766" t="b">
        <f>Table67[[#This Row],[What is your age?]]&lt;&gt;"18 - 25"</f>
        <v>0</v>
      </c>
      <c r="AL766" t="b">
        <f t="shared" si="44"/>
        <v>0</v>
      </c>
      <c r="AM766" t="b">
        <f t="shared" si="45"/>
        <v>0</v>
      </c>
      <c r="AN766" t="b">
        <f t="shared" si="46"/>
        <v>0</v>
      </c>
      <c r="AO766" t="b">
        <f>OR(Table67[[#This Row],[Ineligible respondents]:[Inconsistent response on opposite question (3)]])</f>
        <v>0</v>
      </c>
      <c r="AP76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766">
        <f>Table67[[#This Row],[Extreme Response]]/21</f>
        <v>4.7619047619047616E-2</v>
      </c>
      <c r="AR766">
        <f>_xlfn.PERCENTILE.INC(Table67[Extrem Response Ratio (ERS)],0.9)</f>
        <v>0.61904761904761907</v>
      </c>
      <c r="AS766" t="b">
        <f>Table67[[#This Row],[Extrem Response Ratio (ERS)]]&gt;=Table67[[#This Row],[Threshold of ERS]]</f>
        <v>0</v>
      </c>
      <c r="AT766">
        <f>COUNTIF(Table67[[#This Row],[The mechanism of digital assets is difficult to understand, which discourages me from exploring it (E.g, Tokenization, Blockchain)]:[If I want to try different ways to invest, I will explore digital assets.]], 3)</f>
        <v>10</v>
      </c>
      <c r="AU766">
        <f>Table67[[#This Row],[Midpoint]]/21</f>
        <v>0.47619047619047616</v>
      </c>
      <c r="AV766">
        <f>_xlfn.PERCENTILE.INC(Table67[Midpoint ratio],0.9)</f>
        <v>0.5714285714285714</v>
      </c>
      <c r="AW766" t="b">
        <f>Table67[[#This Row],[Midpoint ratio]]&gt;=Table67[[#This Row],[Threshold of Midpoint ratio]]</f>
        <v>0</v>
      </c>
      <c r="AX766" t="b">
        <f>OR(Table67[[#This Row],[Extreme Response Style]],Table67[[#This Row],[Mid-point Response Style]])</f>
        <v>0</v>
      </c>
      <c r="AY766" t="b">
        <f>OR(Table67[[#This Row],[Delete? (Stage 1)]],Table67[[#This Row],[Delete? (Stage 2)]])</f>
        <v>0</v>
      </c>
      <c r="AZ766" t="s">
        <v>84</v>
      </c>
    </row>
    <row r="767" spans="1:52">
      <c r="A767">
        <f t="shared" si="47"/>
        <v>766</v>
      </c>
      <c r="B767" s="3">
        <v>46049.758229166699</v>
      </c>
      <c r="C767" s="3">
        <v>46049.7631481481</v>
      </c>
      <c r="D767" t="s">
        <v>53</v>
      </c>
      <c r="G767" t="s">
        <v>54</v>
      </c>
      <c r="H767" t="s">
        <v>55</v>
      </c>
      <c r="I767" t="s">
        <v>71</v>
      </c>
      <c r="J767" t="s">
        <v>57</v>
      </c>
      <c r="K767" t="s">
        <v>57</v>
      </c>
      <c r="L767" t="s">
        <v>58</v>
      </c>
      <c r="M767" t="s">
        <v>58</v>
      </c>
      <c r="N767">
        <v>2</v>
      </c>
      <c r="O767">
        <v>2</v>
      </c>
      <c r="P767">
        <v>3</v>
      </c>
      <c r="Q767">
        <v>4</v>
      </c>
      <c r="R767">
        <v>2</v>
      </c>
      <c r="S767">
        <v>3</v>
      </c>
      <c r="T767">
        <v>2</v>
      </c>
      <c r="U767">
        <v>4</v>
      </c>
      <c r="V767">
        <v>2</v>
      </c>
      <c r="W767">
        <v>4</v>
      </c>
      <c r="X767">
        <v>4</v>
      </c>
      <c r="Y767">
        <v>4</v>
      </c>
      <c r="Z767">
        <v>5</v>
      </c>
      <c r="AA767">
        <v>4</v>
      </c>
      <c r="AB767">
        <v>2</v>
      </c>
      <c r="AC767">
        <v>4</v>
      </c>
      <c r="AD767">
        <v>4</v>
      </c>
      <c r="AE767">
        <v>2</v>
      </c>
      <c r="AF767">
        <v>3</v>
      </c>
      <c r="AG767">
        <v>4</v>
      </c>
      <c r="AH767">
        <v>3</v>
      </c>
      <c r="AI767">
        <v>3</v>
      </c>
      <c r="AJ767">
        <v>3</v>
      </c>
      <c r="AK767" t="b">
        <f>Table67[[#This Row],[What is your age?]]&lt;&gt;"18 - 25"</f>
        <v>0</v>
      </c>
      <c r="AL767" t="b">
        <f t="shared" si="44"/>
        <v>0</v>
      </c>
      <c r="AM767" t="b">
        <f t="shared" si="45"/>
        <v>0</v>
      </c>
      <c r="AN767" t="b">
        <f t="shared" si="46"/>
        <v>1</v>
      </c>
      <c r="AO767" t="b">
        <f>OR(Table67[[#This Row],[Ineligible respondents]:[Inconsistent response on opposite question (3)]])</f>
        <v>1</v>
      </c>
      <c r="AP76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767">
        <f>Table67[[#This Row],[Extreme Response]]/21</f>
        <v>4.7619047619047616E-2</v>
      </c>
      <c r="AR767">
        <f>_xlfn.PERCENTILE.INC(Table67[Extrem Response Ratio (ERS)],0.9)</f>
        <v>0.61904761904761907</v>
      </c>
      <c r="AS767" t="b">
        <f>Table67[[#This Row],[Extrem Response Ratio (ERS)]]&gt;=Table67[[#This Row],[Threshold of ERS]]</f>
        <v>0</v>
      </c>
      <c r="AT767">
        <f>COUNTIF(Table67[[#This Row],[The mechanism of digital assets is difficult to understand, which discourages me from exploring it (E.g, Tokenization, Blockchain)]:[If I want to try different ways to invest, I will explore digital assets.]], 3)</f>
        <v>4</v>
      </c>
      <c r="AU767">
        <f>Table67[[#This Row],[Midpoint]]/21</f>
        <v>0.19047619047619047</v>
      </c>
      <c r="AV767">
        <f>_xlfn.PERCENTILE.INC(Table67[Midpoint ratio],0.9)</f>
        <v>0.5714285714285714</v>
      </c>
      <c r="AW767" t="b">
        <f>Table67[[#This Row],[Midpoint ratio]]&gt;=Table67[[#This Row],[Threshold of Midpoint ratio]]</f>
        <v>0</v>
      </c>
      <c r="AX767" t="b">
        <f>OR(Table67[[#This Row],[Extreme Response Style]],Table67[[#This Row],[Mid-point Response Style]])</f>
        <v>0</v>
      </c>
      <c r="AY767" t="b">
        <f>OR(Table67[[#This Row],[Delete? (Stage 1)]],Table67[[#This Row],[Delete? (Stage 2)]])</f>
        <v>1</v>
      </c>
      <c r="AZ767" t="s">
        <v>84</v>
      </c>
    </row>
    <row r="768" spans="1:52">
      <c r="A768">
        <f t="shared" si="47"/>
        <v>767</v>
      </c>
      <c r="B768" s="3">
        <v>46049.758611111101</v>
      </c>
      <c r="C768" s="3">
        <v>46049.765972222202</v>
      </c>
      <c r="D768" t="s">
        <v>53</v>
      </c>
      <c r="G768" t="s">
        <v>54</v>
      </c>
      <c r="H768" t="s">
        <v>63</v>
      </c>
      <c r="I768" t="s">
        <v>56</v>
      </c>
      <c r="J768" t="s">
        <v>62</v>
      </c>
      <c r="K768" t="s">
        <v>62</v>
      </c>
      <c r="L768" t="s">
        <v>58</v>
      </c>
      <c r="M768" t="s">
        <v>61</v>
      </c>
      <c r="N768">
        <v>2</v>
      </c>
      <c r="O768">
        <v>2</v>
      </c>
      <c r="P768">
        <v>5</v>
      </c>
      <c r="Q768">
        <v>2</v>
      </c>
      <c r="R768">
        <v>4</v>
      </c>
      <c r="S768">
        <v>4</v>
      </c>
      <c r="T768">
        <v>4</v>
      </c>
      <c r="U768">
        <v>5</v>
      </c>
      <c r="V768">
        <v>5</v>
      </c>
      <c r="W768">
        <v>5</v>
      </c>
      <c r="X768">
        <v>4</v>
      </c>
      <c r="Y768">
        <v>5</v>
      </c>
      <c r="Z768">
        <v>5</v>
      </c>
      <c r="AA768">
        <v>4</v>
      </c>
      <c r="AB768">
        <v>3</v>
      </c>
      <c r="AC768">
        <v>5</v>
      </c>
      <c r="AD768">
        <v>4</v>
      </c>
      <c r="AE768">
        <v>4</v>
      </c>
      <c r="AF768">
        <v>4</v>
      </c>
      <c r="AG768">
        <v>5</v>
      </c>
      <c r="AH768">
        <v>1</v>
      </c>
      <c r="AI768">
        <v>5</v>
      </c>
      <c r="AJ768">
        <v>2</v>
      </c>
      <c r="AK768" t="b">
        <f>Table67[[#This Row],[What is your age?]]&lt;&gt;"18 - 25"</f>
        <v>0</v>
      </c>
      <c r="AL768" t="b">
        <f t="shared" si="44"/>
        <v>0</v>
      </c>
      <c r="AM768" t="b">
        <f t="shared" si="45"/>
        <v>0</v>
      </c>
      <c r="AN768" t="b">
        <f t="shared" si="46"/>
        <v>0</v>
      </c>
      <c r="AO768" t="b">
        <f>OR(Table67[[#This Row],[Ineligible respondents]:[Inconsistent response on opposite question (3)]])</f>
        <v>0</v>
      </c>
      <c r="AP76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768">
        <f>Table67[[#This Row],[Extreme Response]]/21</f>
        <v>0.42857142857142855</v>
      </c>
      <c r="AR768">
        <f>_xlfn.PERCENTILE.INC(Table67[Extrem Response Ratio (ERS)],0.9)</f>
        <v>0.61904761904761907</v>
      </c>
      <c r="AS768" t="b">
        <f>Table67[[#This Row],[Extrem Response Ratio (ERS)]]&gt;=Table67[[#This Row],[Threshold of ERS]]</f>
        <v>0</v>
      </c>
      <c r="AT768">
        <f>COUNTIF(Table67[[#This Row],[The mechanism of digital assets is difficult to understand, which discourages me from exploring it (E.g, Tokenization, Blockchain)]:[If I want to try different ways to invest, I will explore digital assets.]], 3)</f>
        <v>1</v>
      </c>
      <c r="AU768">
        <f>Table67[[#This Row],[Midpoint]]/21</f>
        <v>4.7619047619047616E-2</v>
      </c>
      <c r="AV768">
        <f>_xlfn.PERCENTILE.INC(Table67[Midpoint ratio],0.9)</f>
        <v>0.5714285714285714</v>
      </c>
      <c r="AW768" t="b">
        <f>Table67[[#This Row],[Midpoint ratio]]&gt;=Table67[[#This Row],[Threshold of Midpoint ratio]]</f>
        <v>0</v>
      </c>
      <c r="AX768" t="b">
        <f>OR(Table67[[#This Row],[Extreme Response Style]],Table67[[#This Row],[Mid-point Response Style]])</f>
        <v>0</v>
      </c>
      <c r="AY768" t="b">
        <f>OR(Table67[[#This Row],[Delete? (Stage 1)]],Table67[[#This Row],[Delete? (Stage 2)]])</f>
        <v>0</v>
      </c>
      <c r="AZ768" t="s">
        <v>84</v>
      </c>
    </row>
    <row r="769" spans="1:52">
      <c r="A769">
        <f t="shared" si="47"/>
        <v>768</v>
      </c>
      <c r="B769" s="3">
        <v>46049.759178240703</v>
      </c>
      <c r="C769" s="3">
        <v>46049.761805555601</v>
      </c>
      <c r="D769" t="s">
        <v>53</v>
      </c>
      <c r="G769" t="s">
        <v>73</v>
      </c>
      <c r="H769" t="s">
        <v>63</v>
      </c>
      <c r="I769" t="s">
        <v>56</v>
      </c>
      <c r="J769" t="s">
        <v>66</v>
      </c>
      <c r="K769" t="s">
        <v>64</v>
      </c>
      <c r="L769" t="s">
        <v>58</v>
      </c>
      <c r="M769" t="s">
        <v>61</v>
      </c>
      <c r="N769">
        <v>3</v>
      </c>
      <c r="O769">
        <v>2</v>
      </c>
      <c r="P769">
        <v>4</v>
      </c>
      <c r="Q769">
        <v>4</v>
      </c>
      <c r="R769">
        <v>3</v>
      </c>
      <c r="S769">
        <v>3</v>
      </c>
      <c r="T769">
        <v>3</v>
      </c>
      <c r="U769">
        <v>3</v>
      </c>
      <c r="V769">
        <v>2</v>
      </c>
      <c r="W769">
        <v>3</v>
      </c>
      <c r="X769">
        <v>3</v>
      </c>
      <c r="Y769">
        <v>4</v>
      </c>
      <c r="Z769">
        <v>4</v>
      </c>
      <c r="AA769">
        <v>5</v>
      </c>
      <c r="AB769">
        <v>1</v>
      </c>
      <c r="AC769">
        <v>3</v>
      </c>
      <c r="AD769">
        <v>3</v>
      </c>
      <c r="AE769">
        <v>3</v>
      </c>
      <c r="AF769">
        <v>4</v>
      </c>
      <c r="AG769">
        <v>3</v>
      </c>
      <c r="AH769">
        <v>4</v>
      </c>
      <c r="AI769">
        <v>2</v>
      </c>
      <c r="AJ769">
        <v>2</v>
      </c>
      <c r="AK769" t="b">
        <f>Table67[[#This Row],[What is your age?]]&lt;&gt;"18 - 25"</f>
        <v>1</v>
      </c>
      <c r="AL769" t="b">
        <f t="shared" si="44"/>
        <v>0</v>
      </c>
      <c r="AM769" t="b">
        <f t="shared" si="45"/>
        <v>0</v>
      </c>
      <c r="AN769" t="b">
        <f t="shared" si="46"/>
        <v>1</v>
      </c>
      <c r="AO769" t="b">
        <f>OR(Table67[[#This Row],[Ineligible respondents]:[Inconsistent response on opposite question (3)]])</f>
        <v>1</v>
      </c>
      <c r="AP76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769">
        <f>Table67[[#This Row],[Extreme Response]]/21</f>
        <v>9.5238095238095233E-2</v>
      </c>
      <c r="AR769">
        <f>_xlfn.PERCENTILE.INC(Table67[Extrem Response Ratio (ERS)],0.9)</f>
        <v>0.61904761904761907</v>
      </c>
      <c r="AS769" t="b">
        <f>Table67[[#This Row],[Extrem Response Ratio (ERS)]]&gt;=Table67[[#This Row],[Threshold of ERS]]</f>
        <v>0</v>
      </c>
      <c r="AT769">
        <f>COUNTIF(Table67[[#This Row],[The mechanism of digital assets is difficult to understand, which discourages me from exploring it (E.g, Tokenization, Blockchain)]:[If I want to try different ways to invest, I will explore digital assets.]], 3)</f>
        <v>11</v>
      </c>
      <c r="AU769">
        <f>Table67[[#This Row],[Midpoint]]/21</f>
        <v>0.52380952380952384</v>
      </c>
      <c r="AV769">
        <f>_xlfn.PERCENTILE.INC(Table67[Midpoint ratio],0.9)</f>
        <v>0.5714285714285714</v>
      </c>
      <c r="AW769" t="b">
        <f>Table67[[#This Row],[Midpoint ratio]]&gt;=Table67[[#This Row],[Threshold of Midpoint ratio]]</f>
        <v>0</v>
      </c>
      <c r="AX769" t="b">
        <f>OR(Table67[[#This Row],[Extreme Response Style]],Table67[[#This Row],[Mid-point Response Style]])</f>
        <v>0</v>
      </c>
      <c r="AY769" t="b">
        <f>OR(Table67[[#This Row],[Delete? (Stage 1)]],Table67[[#This Row],[Delete? (Stage 2)]])</f>
        <v>1</v>
      </c>
      <c r="AZ769" t="s">
        <v>84</v>
      </c>
    </row>
    <row r="770" spans="1:52">
      <c r="A770">
        <f t="shared" si="47"/>
        <v>769</v>
      </c>
      <c r="B770" s="3">
        <v>46049.760925925897</v>
      </c>
      <c r="C770" s="3">
        <v>46049.769502314797</v>
      </c>
      <c r="D770" t="s">
        <v>53</v>
      </c>
      <c r="G770" t="s">
        <v>54</v>
      </c>
      <c r="H770" t="s">
        <v>70</v>
      </c>
      <c r="I770" t="s">
        <v>71</v>
      </c>
      <c r="J770" t="s">
        <v>57</v>
      </c>
      <c r="K770" t="s">
        <v>62</v>
      </c>
      <c r="L770" t="s">
        <v>58</v>
      </c>
      <c r="M770" t="s">
        <v>58</v>
      </c>
      <c r="N770">
        <v>3</v>
      </c>
      <c r="O770">
        <v>3</v>
      </c>
      <c r="P770">
        <v>5</v>
      </c>
      <c r="Q770">
        <v>4</v>
      </c>
      <c r="R770">
        <v>4</v>
      </c>
      <c r="S770">
        <v>4</v>
      </c>
      <c r="T770">
        <v>4</v>
      </c>
      <c r="U770">
        <v>5</v>
      </c>
      <c r="V770">
        <v>5</v>
      </c>
      <c r="W770">
        <v>3</v>
      </c>
      <c r="X770">
        <v>4</v>
      </c>
      <c r="Y770">
        <v>4</v>
      </c>
      <c r="Z770">
        <v>4</v>
      </c>
      <c r="AA770">
        <v>4</v>
      </c>
      <c r="AB770">
        <v>3</v>
      </c>
      <c r="AC770">
        <v>3</v>
      </c>
      <c r="AD770">
        <v>5</v>
      </c>
      <c r="AE770">
        <v>4</v>
      </c>
      <c r="AF770">
        <v>2</v>
      </c>
      <c r="AG770">
        <v>2</v>
      </c>
      <c r="AH770">
        <v>4</v>
      </c>
      <c r="AI770">
        <v>2</v>
      </c>
      <c r="AJ770">
        <v>4</v>
      </c>
      <c r="AK770" t="b">
        <f>Table67[[#This Row],[What is your age?]]&lt;&gt;"18 - 25"</f>
        <v>0</v>
      </c>
      <c r="AL770" t="b">
        <f t="shared" si="44"/>
        <v>0</v>
      </c>
      <c r="AM770" t="b">
        <f t="shared" si="45"/>
        <v>0</v>
      </c>
      <c r="AN770" t="b">
        <f t="shared" si="46"/>
        <v>0</v>
      </c>
      <c r="AO770" t="b">
        <f>OR(Table67[[#This Row],[Ineligible respondents]:[Inconsistent response on opposite question (3)]])</f>
        <v>0</v>
      </c>
      <c r="AP77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770">
        <f>Table67[[#This Row],[Extreme Response]]/21</f>
        <v>0.19047619047619047</v>
      </c>
      <c r="AR770">
        <f>_xlfn.PERCENTILE.INC(Table67[Extrem Response Ratio (ERS)],0.9)</f>
        <v>0.61904761904761907</v>
      </c>
      <c r="AS770" t="b">
        <f>Table67[[#This Row],[Extrem Response Ratio (ERS)]]&gt;=Table67[[#This Row],[Threshold of ERS]]</f>
        <v>0</v>
      </c>
      <c r="AT770">
        <f>COUNTIF(Table67[[#This Row],[The mechanism of digital assets is difficult to understand, which discourages me from exploring it (E.g, Tokenization, Blockchain)]:[If I want to try different ways to invest, I will explore digital assets.]], 3)</f>
        <v>5</v>
      </c>
      <c r="AU770">
        <f>Table67[[#This Row],[Midpoint]]/21</f>
        <v>0.23809523809523808</v>
      </c>
      <c r="AV770">
        <f>_xlfn.PERCENTILE.INC(Table67[Midpoint ratio],0.9)</f>
        <v>0.5714285714285714</v>
      </c>
      <c r="AW770" t="b">
        <f>Table67[[#This Row],[Midpoint ratio]]&gt;=Table67[[#This Row],[Threshold of Midpoint ratio]]</f>
        <v>0</v>
      </c>
      <c r="AX770" t="b">
        <f>OR(Table67[[#This Row],[Extreme Response Style]],Table67[[#This Row],[Mid-point Response Style]])</f>
        <v>0</v>
      </c>
      <c r="AY770" t="b">
        <f>OR(Table67[[#This Row],[Delete? (Stage 1)]],Table67[[#This Row],[Delete? (Stage 2)]])</f>
        <v>0</v>
      </c>
      <c r="AZ770" t="s">
        <v>84</v>
      </c>
    </row>
    <row r="771" spans="1:52">
      <c r="A771">
        <f t="shared" si="47"/>
        <v>770</v>
      </c>
      <c r="B771" s="3">
        <v>46049.761134259301</v>
      </c>
      <c r="C771" s="3">
        <v>46049.762650463003</v>
      </c>
      <c r="D771" t="s">
        <v>53</v>
      </c>
      <c r="G771" t="s">
        <v>54</v>
      </c>
      <c r="H771" t="s">
        <v>63</v>
      </c>
      <c r="I771" t="s">
        <v>71</v>
      </c>
      <c r="J771" t="s">
        <v>62</v>
      </c>
      <c r="K771" t="s">
        <v>62</v>
      </c>
      <c r="L771" t="s">
        <v>61</v>
      </c>
      <c r="M771" t="s">
        <v>61</v>
      </c>
      <c r="N771">
        <v>4</v>
      </c>
      <c r="O771">
        <v>2</v>
      </c>
      <c r="P771">
        <v>4</v>
      </c>
      <c r="Q771">
        <v>4</v>
      </c>
      <c r="R771">
        <v>4</v>
      </c>
      <c r="S771">
        <v>4</v>
      </c>
      <c r="T771">
        <v>2</v>
      </c>
      <c r="U771">
        <v>4</v>
      </c>
      <c r="V771">
        <v>4</v>
      </c>
      <c r="W771">
        <v>4</v>
      </c>
      <c r="X771">
        <v>2</v>
      </c>
      <c r="Y771">
        <v>4</v>
      </c>
      <c r="Z771">
        <v>4</v>
      </c>
      <c r="AA771">
        <v>4</v>
      </c>
      <c r="AB771">
        <v>4</v>
      </c>
      <c r="AC771">
        <v>3</v>
      </c>
      <c r="AD771">
        <v>4</v>
      </c>
      <c r="AE771">
        <v>4</v>
      </c>
      <c r="AF771">
        <v>4</v>
      </c>
      <c r="AG771">
        <v>2</v>
      </c>
      <c r="AH771">
        <v>4</v>
      </c>
      <c r="AI771">
        <v>2</v>
      </c>
      <c r="AJ771">
        <v>2</v>
      </c>
      <c r="AK771" t="b">
        <f>Table67[[#This Row],[What is your age?]]&lt;&gt;"18 - 25"</f>
        <v>0</v>
      </c>
      <c r="AL771" t="b">
        <f t="shared" ref="AL771:AL834" si="48">COUNTIF(N771:AH771, N771) = COLUMNS(N771:AH771)</f>
        <v>0</v>
      </c>
      <c r="AM771" t="b">
        <f t="shared" ref="AM771:AM834" si="49">OR(AND(AG771=AH771, AG771&lt;&gt;3), AND(OR(AG771=1, AG771=2), OR(AH771=1, AH771=2)), AND(OR(AG771=4, AG771=5), OR(AH771=4, AH771=5)))</f>
        <v>0</v>
      </c>
      <c r="AN771" t="b">
        <f t="shared" ref="AN771:AN834" si="50">OR(AND(AG771=3, AH771&lt;&gt;3), AND(AH771=3, AG771&lt;&gt;3))</f>
        <v>0</v>
      </c>
      <c r="AO771" t="b">
        <f>OR(Table67[[#This Row],[Ineligible respondents]:[Inconsistent response on opposite question (3)]])</f>
        <v>0</v>
      </c>
      <c r="AP77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771">
        <f>Table67[[#This Row],[Extreme Response]]/21</f>
        <v>0</v>
      </c>
      <c r="AR771">
        <f>_xlfn.PERCENTILE.INC(Table67[Extrem Response Ratio (ERS)],0.9)</f>
        <v>0.61904761904761907</v>
      </c>
      <c r="AS771" t="b">
        <f>Table67[[#This Row],[Extrem Response Ratio (ERS)]]&gt;=Table67[[#This Row],[Threshold of ERS]]</f>
        <v>0</v>
      </c>
      <c r="AT771">
        <f>COUNTIF(Table67[[#This Row],[The mechanism of digital assets is difficult to understand, which discourages me from exploring it (E.g, Tokenization, Blockchain)]:[If I want to try different ways to invest, I will explore digital assets.]], 3)</f>
        <v>1</v>
      </c>
      <c r="AU771">
        <f>Table67[[#This Row],[Midpoint]]/21</f>
        <v>4.7619047619047616E-2</v>
      </c>
      <c r="AV771">
        <f>_xlfn.PERCENTILE.INC(Table67[Midpoint ratio],0.9)</f>
        <v>0.5714285714285714</v>
      </c>
      <c r="AW771" t="b">
        <f>Table67[[#This Row],[Midpoint ratio]]&gt;=Table67[[#This Row],[Threshold of Midpoint ratio]]</f>
        <v>0</v>
      </c>
      <c r="AX771" t="b">
        <f>OR(Table67[[#This Row],[Extreme Response Style]],Table67[[#This Row],[Mid-point Response Style]])</f>
        <v>0</v>
      </c>
      <c r="AY771" t="b">
        <f>OR(Table67[[#This Row],[Delete? (Stage 1)]],Table67[[#This Row],[Delete? (Stage 2)]])</f>
        <v>0</v>
      </c>
      <c r="AZ771" t="s">
        <v>84</v>
      </c>
    </row>
    <row r="772" spans="1:52">
      <c r="A772">
        <f t="shared" ref="A772:A835" si="51">1+A771</f>
        <v>771</v>
      </c>
      <c r="B772" s="3">
        <v>46049.761180555601</v>
      </c>
      <c r="C772" s="3">
        <v>46049.768078703702</v>
      </c>
      <c r="D772" t="s">
        <v>53</v>
      </c>
      <c r="G772" t="s">
        <v>54</v>
      </c>
      <c r="H772" t="s">
        <v>63</v>
      </c>
      <c r="I772" t="s">
        <v>56</v>
      </c>
      <c r="J772" t="s">
        <v>62</v>
      </c>
      <c r="K772" t="s">
        <v>62</v>
      </c>
      <c r="L772" t="s">
        <v>61</v>
      </c>
      <c r="M772" t="s">
        <v>61</v>
      </c>
      <c r="N772">
        <v>4</v>
      </c>
      <c r="O772">
        <v>4</v>
      </c>
      <c r="P772">
        <v>4</v>
      </c>
      <c r="Q772">
        <v>3</v>
      </c>
      <c r="R772">
        <v>3</v>
      </c>
      <c r="S772">
        <v>4</v>
      </c>
      <c r="T772">
        <v>4</v>
      </c>
      <c r="U772">
        <v>4</v>
      </c>
      <c r="V772">
        <v>5</v>
      </c>
      <c r="W772">
        <v>5</v>
      </c>
      <c r="X772">
        <v>3</v>
      </c>
      <c r="Y772">
        <v>4</v>
      </c>
      <c r="Z772">
        <v>3</v>
      </c>
      <c r="AA772">
        <v>4</v>
      </c>
      <c r="AB772">
        <v>4</v>
      </c>
      <c r="AC772">
        <v>4</v>
      </c>
      <c r="AD772">
        <v>3</v>
      </c>
      <c r="AE772">
        <v>4</v>
      </c>
      <c r="AF772">
        <v>3</v>
      </c>
      <c r="AG772">
        <v>3</v>
      </c>
      <c r="AH772">
        <v>3</v>
      </c>
      <c r="AI772">
        <v>3</v>
      </c>
      <c r="AJ772">
        <v>3</v>
      </c>
      <c r="AK772" t="b">
        <f>Table67[[#This Row],[What is your age?]]&lt;&gt;"18 - 25"</f>
        <v>0</v>
      </c>
      <c r="AL772" t="b">
        <f t="shared" si="48"/>
        <v>0</v>
      </c>
      <c r="AM772" t="b">
        <f t="shared" si="49"/>
        <v>0</v>
      </c>
      <c r="AN772" t="b">
        <f t="shared" si="50"/>
        <v>0</v>
      </c>
      <c r="AO772" t="b">
        <f>OR(Table67[[#This Row],[Ineligible respondents]:[Inconsistent response on opposite question (3)]])</f>
        <v>0</v>
      </c>
      <c r="AP77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772">
        <f>Table67[[#This Row],[Extreme Response]]/21</f>
        <v>9.5238095238095233E-2</v>
      </c>
      <c r="AR772">
        <f>_xlfn.PERCENTILE.INC(Table67[Extrem Response Ratio (ERS)],0.9)</f>
        <v>0.61904761904761907</v>
      </c>
      <c r="AS772" t="b">
        <f>Table67[[#This Row],[Extrem Response Ratio (ERS)]]&gt;=Table67[[#This Row],[Threshold of ERS]]</f>
        <v>0</v>
      </c>
      <c r="AT772">
        <f>COUNTIF(Table67[[#This Row],[The mechanism of digital assets is difficult to understand, which discourages me from exploring it (E.g, Tokenization, Blockchain)]:[If I want to try different ways to invest, I will explore digital assets.]], 3)</f>
        <v>8</v>
      </c>
      <c r="AU772">
        <f>Table67[[#This Row],[Midpoint]]/21</f>
        <v>0.38095238095238093</v>
      </c>
      <c r="AV772">
        <f>_xlfn.PERCENTILE.INC(Table67[Midpoint ratio],0.9)</f>
        <v>0.5714285714285714</v>
      </c>
      <c r="AW772" t="b">
        <f>Table67[[#This Row],[Midpoint ratio]]&gt;=Table67[[#This Row],[Threshold of Midpoint ratio]]</f>
        <v>0</v>
      </c>
      <c r="AX772" t="b">
        <f>OR(Table67[[#This Row],[Extreme Response Style]],Table67[[#This Row],[Mid-point Response Style]])</f>
        <v>0</v>
      </c>
      <c r="AY772" t="b">
        <f>OR(Table67[[#This Row],[Delete? (Stage 1)]],Table67[[#This Row],[Delete? (Stage 2)]])</f>
        <v>0</v>
      </c>
      <c r="AZ772" t="s">
        <v>84</v>
      </c>
    </row>
    <row r="773" spans="1:52">
      <c r="A773">
        <f t="shared" si="51"/>
        <v>772</v>
      </c>
      <c r="B773" s="3">
        <v>46049.761238425897</v>
      </c>
      <c r="C773" s="3">
        <v>46049.763518518499</v>
      </c>
      <c r="D773" t="s">
        <v>53</v>
      </c>
      <c r="G773" t="s">
        <v>54</v>
      </c>
      <c r="H773" t="s">
        <v>63</v>
      </c>
      <c r="I773" t="s">
        <v>75</v>
      </c>
      <c r="J773" t="s">
        <v>57</v>
      </c>
      <c r="K773" t="s">
        <v>57</v>
      </c>
      <c r="L773" t="s">
        <v>58</v>
      </c>
      <c r="M773" t="s">
        <v>58</v>
      </c>
      <c r="N773">
        <v>5</v>
      </c>
      <c r="O773">
        <v>1</v>
      </c>
      <c r="P773">
        <v>3</v>
      </c>
      <c r="Q773">
        <v>3</v>
      </c>
      <c r="R773">
        <v>5</v>
      </c>
      <c r="S773">
        <v>5</v>
      </c>
      <c r="T773">
        <v>4</v>
      </c>
      <c r="U773">
        <v>4</v>
      </c>
      <c r="V773">
        <v>5</v>
      </c>
      <c r="W773">
        <v>4</v>
      </c>
      <c r="X773">
        <v>3</v>
      </c>
      <c r="Y773">
        <v>3</v>
      </c>
      <c r="Z773">
        <v>4</v>
      </c>
      <c r="AA773">
        <v>5</v>
      </c>
      <c r="AB773">
        <v>4</v>
      </c>
      <c r="AC773">
        <v>5</v>
      </c>
      <c r="AD773">
        <v>3</v>
      </c>
      <c r="AE773">
        <v>5</v>
      </c>
      <c r="AF773">
        <v>1</v>
      </c>
      <c r="AG773">
        <v>5</v>
      </c>
      <c r="AH773">
        <v>3</v>
      </c>
      <c r="AI773">
        <v>3</v>
      </c>
      <c r="AJ773">
        <v>5</v>
      </c>
      <c r="AK773" t="b">
        <f>Table67[[#This Row],[What is your age?]]&lt;&gt;"18 - 25"</f>
        <v>0</v>
      </c>
      <c r="AL773" t="b">
        <f t="shared" si="48"/>
        <v>0</v>
      </c>
      <c r="AM773" t="b">
        <f t="shared" si="49"/>
        <v>0</v>
      </c>
      <c r="AN773" t="b">
        <f t="shared" si="50"/>
        <v>1</v>
      </c>
      <c r="AO773" t="b">
        <f>OR(Table67[[#This Row],[Ineligible respondents]:[Inconsistent response on opposite question (3)]])</f>
        <v>1</v>
      </c>
      <c r="AP77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10</v>
      </c>
      <c r="AQ773">
        <f>Table67[[#This Row],[Extreme Response]]/21</f>
        <v>0.47619047619047616</v>
      </c>
      <c r="AR773">
        <f>_xlfn.PERCENTILE.INC(Table67[Extrem Response Ratio (ERS)],0.9)</f>
        <v>0.61904761904761907</v>
      </c>
      <c r="AS773" t="b">
        <f>Table67[[#This Row],[Extrem Response Ratio (ERS)]]&gt;=Table67[[#This Row],[Threshold of ERS]]</f>
        <v>0</v>
      </c>
      <c r="AT773">
        <f>COUNTIF(Table67[[#This Row],[The mechanism of digital assets is difficult to understand, which discourages me from exploring it (E.g, Tokenization, Blockchain)]:[If I want to try different ways to invest, I will explore digital assets.]], 3)</f>
        <v>6</v>
      </c>
      <c r="AU773">
        <f>Table67[[#This Row],[Midpoint]]/21</f>
        <v>0.2857142857142857</v>
      </c>
      <c r="AV773">
        <f>_xlfn.PERCENTILE.INC(Table67[Midpoint ratio],0.9)</f>
        <v>0.5714285714285714</v>
      </c>
      <c r="AW773" t="b">
        <f>Table67[[#This Row],[Midpoint ratio]]&gt;=Table67[[#This Row],[Threshold of Midpoint ratio]]</f>
        <v>0</v>
      </c>
      <c r="AX773" t="b">
        <f>OR(Table67[[#This Row],[Extreme Response Style]],Table67[[#This Row],[Mid-point Response Style]])</f>
        <v>0</v>
      </c>
      <c r="AY773" t="b">
        <f>OR(Table67[[#This Row],[Delete? (Stage 1)]],Table67[[#This Row],[Delete? (Stage 2)]])</f>
        <v>1</v>
      </c>
      <c r="AZ773" t="s">
        <v>84</v>
      </c>
    </row>
    <row r="774" spans="1:52">
      <c r="A774">
        <f t="shared" si="51"/>
        <v>773</v>
      </c>
      <c r="B774" s="3">
        <v>46049.761354166701</v>
      </c>
      <c r="C774" s="3">
        <v>46049.772812499999</v>
      </c>
      <c r="D774" t="s">
        <v>53</v>
      </c>
      <c r="G774" t="s">
        <v>54</v>
      </c>
      <c r="H774" t="s">
        <v>63</v>
      </c>
      <c r="I774" t="s">
        <v>56</v>
      </c>
      <c r="J774" t="s">
        <v>65</v>
      </c>
      <c r="K774" t="s">
        <v>62</v>
      </c>
      <c r="L774" t="s">
        <v>61</v>
      </c>
      <c r="M774" t="s">
        <v>61</v>
      </c>
      <c r="N774">
        <v>3</v>
      </c>
      <c r="O774">
        <v>2</v>
      </c>
      <c r="P774">
        <v>2</v>
      </c>
      <c r="Q774">
        <v>2</v>
      </c>
      <c r="R774">
        <v>1</v>
      </c>
      <c r="S774">
        <v>1</v>
      </c>
      <c r="T774">
        <v>1</v>
      </c>
      <c r="U774">
        <v>3</v>
      </c>
      <c r="V774">
        <v>3</v>
      </c>
      <c r="W774">
        <v>4</v>
      </c>
      <c r="X774">
        <v>4</v>
      </c>
      <c r="Y774">
        <v>4</v>
      </c>
      <c r="Z774">
        <v>5</v>
      </c>
      <c r="AA774">
        <v>3</v>
      </c>
      <c r="AB774">
        <v>3</v>
      </c>
      <c r="AC774">
        <v>2</v>
      </c>
      <c r="AD774">
        <v>4</v>
      </c>
      <c r="AE774">
        <v>5</v>
      </c>
      <c r="AF774">
        <v>4</v>
      </c>
      <c r="AG774">
        <v>2</v>
      </c>
      <c r="AH774">
        <v>4</v>
      </c>
      <c r="AI774">
        <v>2</v>
      </c>
      <c r="AJ774">
        <v>2</v>
      </c>
      <c r="AK774" t="b">
        <f>Table67[[#This Row],[What is your age?]]&lt;&gt;"18 - 25"</f>
        <v>0</v>
      </c>
      <c r="AL774" t="b">
        <f t="shared" si="48"/>
        <v>0</v>
      </c>
      <c r="AM774" t="b">
        <f t="shared" si="49"/>
        <v>0</v>
      </c>
      <c r="AN774" t="b">
        <f t="shared" si="50"/>
        <v>0</v>
      </c>
      <c r="AO774" t="b">
        <f>OR(Table67[[#This Row],[Ineligible respondents]:[Inconsistent response on opposite question (3)]])</f>
        <v>0</v>
      </c>
      <c r="AP77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774">
        <f>Table67[[#This Row],[Extreme Response]]/21</f>
        <v>0.23809523809523808</v>
      </c>
      <c r="AR774">
        <f>_xlfn.PERCENTILE.INC(Table67[Extrem Response Ratio (ERS)],0.9)</f>
        <v>0.61904761904761907</v>
      </c>
      <c r="AS774" t="b">
        <f>Table67[[#This Row],[Extrem Response Ratio (ERS)]]&gt;=Table67[[#This Row],[Threshold of ERS]]</f>
        <v>0</v>
      </c>
      <c r="AT774">
        <f>COUNTIF(Table67[[#This Row],[The mechanism of digital assets is difficult to understand, which discourages me from exploring it (E.g, Tokenization, Blockchain)]:[If I want to try different ways to invest, I will explore digital assets.]], 3)</f>
        <v>5</v>
      </c>
      <c r="AU774">
        <f>Table67[[#This Row],[Midpoint]]/21</f>
        <v>0.23809523809523808</v>
      </c>
      <c r="AV774">
        <f>_xlfn.PERCENTILE.INC(Table67[Midpoint ratio],0.9)</f>
        <v>0.5714285714285714</v>
      </c>
      <c r="AW774" t="b">
        <f>Table67[[#This Row],[Midpoint ratio]]&gt;=Table67[[#This Row],[Threshold of Midpoint ratio]]</f>
        <v>0</v>
      </c>
      <c r="AX774" t="b">
        <f>OR(Table67[[#This Row],[Extreme Response Style]],Table67[[#This Row],[Mid-point Response Style]])</f>
        <v>0</v>
      </c>
      <c r="AY774" t="b">
        <f>OR(Table67[[#This Row],[Delete? (Stage 1)]],Table67[[#This Row],[Delete? (Stage 2)]])</f>
        <v>0</v>
      </c>
      <c r="AZ774" t="s">
        <v>84</v>
      </c>
    </row>
    <row r="775" spans="1:52">
      <c r="A775">
        <f t="shared" si="51"/>
        <v>774</v>
      </c>
      <c r="B775" s="3">
        <v>46049.761574074102</v>
      </c>
      <c r="C775" s="3">
        <v>46049.766469907401</v>
      </c>
      <c r="D775" t="s">
        <v>53</v>
      </c>
      <c r="G775" t="s">
        <v>54</v>
      </c>
      <c r="H775" t="s">
        <v>63</v>
      </c>
      <c r="I775" t="s">
        <v>56</v>
      </c>
      <c r="J775" t="s">
        <v>62</v>
      </c>
      <c r="K775" t="s">
        <v>62</v>
      </c>
      <c r="L775" t="s">
        <v>58</v>
      </c>
      <c r="M775" t="s">
        <v>58</v>
      </c>
      <c r="N775">
        <v>3</v>
      </c>
      <c r="O775">
        <v>2</v>
      </c>
      <c r="P775">
        <v>4</v>
      </c>
      <c r="Q775">
        <v>3</v>
      </c>
      <c r="R775">
        <v>4</v>
      </c>
      <c r="S775">
        <v>5</v>
      </c>
      <c r="T775">
        <v>4</v>
      </c>
      <c r="U775">
        <v>5</v>
      </c>
      <c r="V775">
        <v>3</v>
      </c>
      <c r="W775">
        <v>4</v>
      </c>
      <c r="X775">
        <v>2</v>
      </c>
      <c r="Y775">
        <v>4</v>
      </c>
      <c r="Z775">
        <v>3</v>
      </c>
      <c r="AA775">
        <v>4</v>
      </c>
      <c r="AB775">
        <v>3</v>
      </c>
      <c r="AC775">
        <v>4</v>
      </c>
      <c r="AD775">
        <v>4</v>
      </c>
      <c r="AE775">
        <v>3</v>
      </c>
      <c r="AF775">
        <v>2</v>
      </c>
      <c r="AG775">
        <v>4</v>
      </c>
      <c r="AH775">
        <v>2</v>
      </c>
      <c r="AI775">
        <v>4</v>
      </c>
      <c r="AJ775">
        <v>4</v>
      </c>
      <c r="AK775" t="b">
        <f>Table67[[#This Row],[What is your age?]]&lt;&gt;"18 - 25"</f>
        <v>0</v>
      </c>
      <c r="AL775" t="b">
        <f t="shared" si="48"/>
        <v>0</v>
      </c>
      <c r="AM775" t="b">
        <f t="shared" si="49"/>
        <v>0</v>
      </c>
      <c r="AN775" t="b">
        <f t="shared" si="50"/>
        <v>0</v>
      </c>
      <c r="AO775" t="b">
        <f>OR(Table67[[#This Row],[Ineligible respondents]:[Inconsistent response on opposite question (3)]])</f>
        <v>0</v>
      </c>
      <c r="AP77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775">
        <f>Table67[[#This Row],[Extreme Response]]/21</f>
        <v>9.5238095238095233E-2</v>
      </c>
      <c r="AR775">
        <f>_xlfn.PERCENTILE.INC(Table67[Extrem Response Ratio (ERS)],0.9)</f>
        <v>0.61904761904761907</v>
      </c>
      <c r="AS775" t="b">
        <f>Table67[[#This Row],[Extrem Response Ratio (ERS)]]&gt;=Table67[[#This Row],[Threshold of ERS]]</f>
        <v>0</v>
      </c>
      <c r="AT775">
        <f>COUNTIF(Table67[[#This Row],[The mechanism of digital assets is difficult to understand, which discourages me from exploring it (E.g, Tokenization, Blockchain)]:[If I want to try different ways to invest, I will explore digital assets.]], 3)</f>
        <v>6</v>
      </c>
      <c r="AU775">
        <f>Table67[[#This Row],[Midpoint]]/21</f>
        <v>0.2857142857142857</v>
      </c>
      <c r="AV775">
        <f>_xlfn.PERCENTILE.INC(Table67[Midpoint ratio],0.9)</f>
        <v>0.5714285714285714</v>
      </c>
      <c r="AW775" t="b">
        <f>Table67[[#This Row],[Midpoint ratio]]&gt;=Table67[[#This Row],[Threshold of Midpoint ratio]]</f>
        <v>0</v>
      </c>
      <c r="AX775" t="b">
        <f>OR(Table67[[#This Row],[Extreme Response Style]],Table67[[#This Row],[Mid-point Response Style]])</f>
        <v>0</v>
      </c>
      <c r="AY775" t="b">
        <f>OR(Table67[[#This Row],[Delete? (Stage 1)]],Table67[[#This Row],[Delete? (Stage 2)]])</f>
        <v>0</v>
      </c>
      <c r="AZ775" t="s">
        <v>84</v>
      </c>
    </row>
    <row r="776" spans="1:52">
      <c r="A776">
        <f t="shared" si="51"/>
        <v>775</v>
      </c>
      <c r="B776" s="3">
        <v>46049.762048611097</v>
      </c>
      <c r="C776" s="3">
        <v>46049.764386574097</v>
      </c>
      <c r="D776" t="s">
        <v>53</v>
      </c>
      <c r="G776" t="s">
        <v>54</v>
      </c>
      <c r="H776" t="s">
        <v>63</v>
      </c>
      <c r="I776" t="s">
        <v>75</v>
      </c>
      <c r="J776" t="s">
        <v>62</v>
      </c>
      <c r="K776" t="s">
        <v>62</v>
      </c>
      <c r="L776" t="s">
        <v>58</v>
      </c>
      <c r="M776" t="s">
        <v>58</v>
      </c>
      <c r="N776">
        <v>4</v>
      </c>
      <c r="O776">
        <v>2</v>
      </c>
      <c r="P776">
        <v>3</v>
      </c>
      <c r="Q776">
        <v>4</v>
      </c>
      <c r="R776">
        <v>3</v>
      </c>
      <c r="S776">
        <v>4</v>
      </c>
      <c r="T776">
        <v>5</v>
      </c>
      <c r="U776">
        <v>5</v>
      </c>
      <c r="V776">
        <v>5</v>
      </c>
      <c r="W776">
        <v>5</v>
      </c>
      <c r="X776">
        <v>4</v>
      </c>
      <c r="Y776">
        <v>4</v>
      </c>
      <c r="Z776">
        <v>5</v>
      </c>
      <c r="AA776">
        <v>5</v>
      </c>
      <c r="AB776">
        <v>5</v>
      </c>
      <c r="AC776">
        <v>5</v>
      </c>
      <c r="AD776">
        <v>2</v>
      </c>
      <c r="AE776">
        <v>1</v>
      </c>
      <c r="AF776">
        <v>3</v>
      </c>
      <c r="AG776">
        <v>3</v>
      </c>
      <c r="AH776">
        <v>2</v>
      </c>
      <c r="AI776">
        <v>4</v>
      </c>
      <c r="AJ776">
        <v>3</v>
      </c>
      <c r="AK776" t="b">
        <f>Table67[[#This Row],[What is your age?]]&lt;&gt;"18 - 25"</f>
        <v>0</v>
      </c>
      <c r="AL776" t="b">
        <f t="shared" si="48"/>
        <v>0</v>
      </c>
      <c r="AM776" t="b">
        <f t="shared" si="49"/>
        <v>0</v>
      </c>
      <c r="AN776" t="b">
        <f t="shared" si="50"/>
        <v>1</v>
      </c>
      <c r="AO776" t="b">
        <f>OR(Table67[[#This Row],[Ineligible respondents]:[Inconsistent response on opposite question (3)]])</f>
        <v>1</v>
      </c>
      <c r="AP77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776">
        <f>Table67[[#This Row],[Extreme Response]]/21</f>
        <v>0.42857142857142855</v>
      </c>
      <c r="AR776">
        <f>_xlfn.PERCENTILE.INC(Table67[Extrem Response Ratio (ERS)],0.9)</f>
        <v>0.61904761904761907</v>
      </c>
      <c r="AS776" t="b">
        <f>Table67[[#This Row],[Extrem Response Ratio (ERS)]]&gt;=Table67[[#This Row],[Threshold of ERS]]</f>
        <v>0</v>
      </c>
      <c r="AT776">
        <f>COUNTIF(Table67[[#This Row],[The mechanism of digital assets is difficult to understand, which discourages me from exploring it (E.g, Tokenization, Blockchain)]:[If I want to try different ways to invest, I will explore digital assets.]], 3)</f>
        <v>4</v>
      </c>
      <c r="AU776">
        <f>Table67[[#This Row],[Midpoint]]/21</f>
        <v>0.19047619047619047</v>
      </c>
      <c r="AV776">
        <f>_xlfn.PERCENTILE.INC(Table67[Midpoint ratio],0.9)</f>
        <v>0.5714285714285714</v>
      </c>
      <c r="AW776" t="b">
        <f>Table67[[#This Row],[Midpoint ratio]]&gt;=Table67[[#This Row],[Threshold of Midpoint ratio]]</f>
        <v>0</v>
      </c>
      <c r="AX776" t="b">
        <f>OR(Table67[[#This Row],[Extreme Response Style]],Table67[[#This Row],[Mid-point Response Style]])</f>
        <v>0</v>
      </c>
      <c r="AY776" t="b">
        <f>OR(Table67[[#This Row],[Delete? (Stage 1)]],Table67[[#This Row],[Delete? (Stage 2)]])</f>
        <v>1</v>
      </c>
      <c r="AZ776" t="s">
        <v>84</v>
      </c>
    </row>
    <row r="777" spans="1:52">
      <c r="A777">
        <f t="shared" si="51"/>
        <v>776</v>
      </c>
      <c r="B777" s="3">
        <v>46049.762071759302</v>
      </c>
      <c r="C777" s="3">
        <v>46049.7648148148</v>
      </c>
      <c r="D777" t="s">
        <v>53</v>
      </c>
      <c r="G777" t="s">
        <v>54</v>
      </c>
      <c r="H777" t="s">
        <v>55</v>
      </c>
      <c r="I777" t="s">
        <v>75</v>
      </c>
      <c r="J777" t="s">
        <v>66</v>
      </c>
      <c r="K777" t="s">
        <v>64</v>
      </c>
      <c r="L777" t="s">
        <v>61</v>
      </c>
      <c r="M777" t="s">
        <v>61</v>
      </c>
      <c r="N777">
        <v>5</v>
      </c>
      <c r="O777">
        <v>3</v>
      </c>
      <c r="P777">
        <v>3</v>
      </c>
      <c r="Q777">
        <v>4</v>
      </c>
      <c r="R777">
        <v>4</v>
      </c>
      <c r="S777">
        <v>4</v>
      </c>
      <c r="T777">
        <v>3</v>
      </c>
      <c r="U777">
        <v>3</v>
      </c>
      <c r="V777">
        <v>4</v>
      </c>
      <c r="W777">
        <v>2</v>
      </c>
      <c r="X777">
        <v>4</v>
      </c>
      <c r="Y777">
        <v>2</v>
      </c>
      <c r="Z777">
        <v>4</v>
      </c>
      <c r="AA777">
        <v>3</v>
      </c>
      <c r="AB777">
        <v>4</v>
      </c>
      <c r="AC777">
        <v>3</v>
      </c>
      <c r="AD777">
        <v>4</v>
      </c>
      <c r="AE777">
        <v>4</v>
      </c>
      <c r="AF777">
        <v>5</v>
      </c>
      <c r="AG777">
        <v>1</v>
      </c>
      <c r="AH777">
        <v>3</v>
      </c>
      <c r="AI777">
        <v>3</v>
      </c>
      <c r="AJ777">
        <v>1</v>
      </c>
      <c r="AK777" t="b">
        <f>Table67[[#This Row],[What is your age?]]&lt;&gt;"18 - 25"</f>
        <v>0</v>
      </c>
      <c r="AL777" t="b">
        <f t="shared" si="48"/>
        <v>0</v>
      </c>
      <c r="AM777" t="b">
        <f t="shared" si="49"/>
        <v>0</v>
      </c>
      <c r="AN777" t="b">
        <f t="shared" si="50"/>
        <v>1</v>
      </c>
      <c r="AO777" t="b">
        <f>OR(Table67[[#This Row],[Ineligible respondents]:[Inconsistent response on opposite question (3)]])</f>
        <v>1</v>
      </c>
      <c r="AP77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777">
        <f>Table67[[#This Row],[Extreme Response]]/21</f>
        <v>0.14285714285714285</v>
      </c>
      <c r="AR777">
        <f>_xlfn.PERCENTILE.INC(Table67[Extrem Response Ratio (ERS)],0.9)</f>
        <v>0.61904761904761907</v>
      </c>
      <c r="AS777" t="b">
        <f>Table67[[#This Row],[Extrem Response Ratio (ERS)]]&gt;=Table67[[#This Row],[Threshold of ERS]]</f>
        <v>0</v>
      </c>
      <c r="AT777">
        <f>COUNTIF(Table67[[#This Row],[The mechanism of digital assets is difficult to understand, which discourages me from exploring it (E.g, Tokenization, Blockchain)]:[If I want to try different ways to invest, I will explore digital assets.]], 3)</f>
        <v>7</v>
      </c>
      <c r="AU777">
        <f>Table67[[#This Row],[Midpoint]]/21</f>
        <v>0.33333333333333331</v>
      </c>
      <c r="AV777">
        <f>_xlfn.PERCENTILE.INC(Table67[Midpoint ratio],0.9)</f>
        <v>0.5714285714285714</v>
      </c>
      <c r="AW777" t="b">
        <f>Table67[[#This Row],[Midpoint ratio]]&gt;=Table67[[#This Row],[Threshold of Midpoint ratio]]</f>
        <v>0</v>
      </c>
      <c r="AX777" t="b">
        <f>OR(Table67[[#This Row],[Extreme Response Style]],Table67[[#This Row],[Mid-point Response Style]])</f>
        <v>0</v>
      </c>
      <c r="AY777" t="b">
        <f>OR(Table67[[#This Row],[Delete? (Stage 1)]],Table67[[#This Row],[Delete? (Stage 2)]])</f>
        <v>1</v>
      </c>
      <c r="AZ777" t="s">
        <v>84</v>
      </c>
    </row>
    <row r="778" spans="1:52">
      <c r="A778">
        <f t="shared" si="51"/>
        <v>777</v>
      </c>
      <c r="B778" s="3">
        <v>46049.762175925898</v>
      </c>
      <c r="C778" s="3">
        <v>46049.7665277778</v>
      </c>
      <c r="D778" t="s">
        <v>53</v>
      </c>
      <c r="G778" t="s">
        <v>54</v>
      </c>
      <c r="H778" t="s">
        <v>55</v>
      </c>
      <c r="I778" t="s">
        <v>75</v>
      </c>
      <c r="J778" t="s">
        <v>62</v>
      </c>
      <c r="K778" t="s">
        <v>62</v>
      </c>
      <c r="L778" t="s">
        <v>58</v>
      </c>
      <c r="M778" t="s">
        <v>58</v>
      </c>
      <c r="N778">
        <v>1</v>
      </c>
      <c r="O778">
        <v>1</v>
      </c>
      <c r="P778">
        <v>4</v>
      </c>
      <c r="Q778">
        <v>5</v>
      </c>
      <c r="R778">
        <v>1</v>
      </c>
      <c r="S778">
        <v>1</v>
      </c>
      <c r="T778">
        <v>1</v>
      </c>
      <c r="U778">
        <v>4</v>
      </c>
      <c r="V778">
        <v>5</v>
      </c>
      <c r="W778">
        <v>5</v>
      </c>
      <c r="X778">
        <v>2</v>
      </c>
      <c r="Y778">
        <v>4</v>
      </c>
      <c r="Z778">
        <v>1</v>
      </c>
      <c r="AA778">
        <v>1</v>
      </c>
      <c r="AB778">
        <v>1</v>
      </c>
      <c r="AC778">
        <v>1</v>
      </c>
      <c r="AD778">
        <v>5</v>
      </c>
      <c r="AE778">
        <v>4</v>
      </c>
      <c r="AF778">
        <v>5</v>
      </c>
      <c r="AG778">
        <v>1</v>
      </c>
      <c r="AH778">
        <v>5</v>
      </c>
      <c r="AI778">
        <v>1</v>
      </c>
      <c r="AJ778">
        <v>1</v>
      </c>
      <c r="AK778" t="b">
        <f>Table67[[#This Row],[What is your age?]]&lt;&gt;"18 - 25"</f>
        <v>0</v>
      </c>
      <c r="AL778" t="b">
        <f t="shared" si="48"/>
        <v>0</v>
      </c>
      <c r="AM778" t="b">
        <f t="shared" si="49"/>
        <v>0</v>
      </c>
      <c r="AN778" t="b">
        <f t="shared" si="50"/>
        <v>0</v>
      </c>
      <c r="AO778" t="b">
        <f>OR(Table67[[#This Row],[Ineligible respondents]:[Inconsistent response on opposite question (3)]])</f>
        <v>0</v>
      </c>
      <c r="AP77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16</v>
      </c>
      <c r="AQ778">
        <f>Table67[[#This Row],[Extreme Response]]/21</f>
        <v>0.76190476190476186</v>
      </c>
      <c r="AR778">
        <f>_xlfn.PERCENTILE.INC(Table67[Extrem Response Ratio (ERS)],0.9)</f>
        <v>0.61904761904761907</v>
      </c>
      <c r="AS778" t="b">
        <f>Table67[[#This Row],[Extrem Response Ratio (ERS)]]&gt;=Table67[[#This Row],[Threshold of ERS]]</f>
        <v>1</v>
      </c>
      <c r="AT778">
        <f>COUNTIF(Table67[[#This Row],[The mechanism of digital assets is difficult to understand, which discourages me from exploring it (E.g, Tokenization, Blockchain)]:[If I want to try different ways to invest, I will explore digital assets.]], 3)</f>
        <v>0</v>
      </c>
      <c r="AU778">
        <f>Table67[[#This Row],[Midpoint]]/21</f>
        <v>0</v>
      </c>
      <c r="AV778">
        <f>_xlfn.PERCENTILE.INC(Table67[Midpoint ratio],0.9)</f>
        <v>0.5714285714285714</v>
      </c>
      <c r="AW778" t="b">
        <f>Table67[[#This Row],[Midpoint ratio]]&gt;=Table67[[#This Row],[Threshold of Midpoint ratio]]</f>
        <v>0</v>
      </c>
      <c r="AX778" t="b">
        <f>OR(Table67[[#This Row],[Extreme Response Style]],Table67[[#This Row],[Mid-point Response Style]])</f>
        <v>1</v>
      </c>
      <c r="AY778" t="b">
        <f>OR(Table67[[#This Row],[Delete? (Stage 1)]],Table67[[#This Row],[Delete? (Stage 2)]])</f>
        <v>1</v>
      </c>
      <c r="AZ778" t="s">
        <v>84</v>
      </c>
    </row>
    <row r="779" spans="1:52">
      <c r="A779">
        <f t="shared" si="51"/>
        <v>778</v>
      </c>
      <c r="B779" s="3">
        <v>46049.764571759297</v>
      </c>
      <c r="C779" s="3">
        <v>46049.769259259301</v>
      </c>
      <c r="D779" t="s">
        <v>53</v>
      </c>
      <c r="G779" t="s">
        <v>54</v>
      </c>
      <c r="H779" t="s">
        <v>55</v>
      </c>
      <c r="I779" t="s">
        <v>75</v>
      </c>
      <c r="J779" t="s">
        <v>64</v>
      </c>
      <c r="K779" t="s">
        <v>57</v>
      </c>
      <c r="L779" t="s">
        <v>58</v>
      </c>
      <c r="M779" t="s">
        <v>58</v>
      </c>
      <c r="N779">
        <v>4</v>
      </c>
      <c r="O779">
        <v>2</v>
      </c>
      <c r="P779">
        <v>4</v>
      </c>
      <c r="Q779">
        <v>4</v>
      </c>
      <c r="R779">
        <v>2</v>
      </c>
      <c r="S779">
        <v>4</v>
      </c>
      <c r="T779">
        <v>3</v>
      </c>
      <c r="U779">
        <v>4</v>
      </c>
      <c r="V779">
        <v>4</v>
      </c>
      <c r="W779">
        <v>4</v>
      </c>
      <c r="X779">
        <v>2</v>
      </c>
      <c r="Y779">
        <v>3</v>
      </c>
      <c r="Z779">
        <v>5</v>
      </c>
      <c r="AA779">
        <v>5</v>
      </c>
      <c r="AB779">
        <v>3</v>
      </c>
      <c r="AC779">
        <v>3</v>
      </c>
      <c r="AD779">
        <v>4</v>
      </c>
      <c r="AE779">
        <v>3</v>
      </c>
      <c r="AF779">
        <v>3</v>
      </c>
      <c r="AG779">
        <v>3</v>
      </c>
      <c r="AH779">
        <v>4</v>
      </c>
      <c r="AI779">
        <v>2</v>
      </c>
      <c r="AJ779">
        <v>3</v>
      </c>
      <c r="AK779" t="b">
        <f>Table67[[#This Row],[What is your age?]]&lt;&gt;"18 - 25"</f>
        <v>0</v>
      </c>
      <c r="AL779" t="b">
        <f t="shared" si="48"/>
        <v>0</v>
      </c>
      <c r="AM779" t="b">
        <f t="shared" si="49"/>
        <v>0</v>
      </c>
      <c r="AN779" t="b">
        <f t="shared" si="50"/>
        <v>1</v>
      </c>
      <c r="AO779" t="b">
        <f>OR(Table67[[#This Row],[Ineligible respondents]:[Inconsistent response on opposite question (3)]])</f>
        <v>1</v>
      </c>
      <c r="AP77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779">
        <f>Table67[[#This Row],[Extreme Response]]/21</f>
        <v>9.5238095238095233E-2</v>
      </c>
      <c r="AR779">
        <f>_xlfn.PERCENTILE.INC(Table67[Extrem Response Ratio (ERS)],0.9)</f>
        <v>0.61904761904761907</v>
      </c>
      <c r="AS779" t="b">
        <f>Table67[[#This Row],[Extrem Response Ratio (ERS)]]&gt;=Table67[[#This Row],[Threshold of ERS]]</f>
        <v>0</v>
      </c>
      <c r="AT779">
        <f>COUNTIF(Table67[[#This Row],[The mechanism of digital assets is difficult to understand, which discourages me from exploring it (E.g, Tokenization, Blockchain)]:[If I want to try different ways to invest, I will explore digital assets.]], 3)</f>
        <v>7</v>
      </c>
      <c r="AU779">
        <f>Table67[[#This Row],[Midpoint]]/21</f>
        <v>0.33333333333333331</v>
      </c>
      <c r="AV779">
        <f>_xlfn.PERCENTILE.INC(Table67[Midpoint ratio],0.9)</f>
        <v>0.5714285714285714</v>
      </c>
      <c r="AW779" t="b">
        <f>Table67[[#This Row],[Midpoint ratio]]&gt;=Table67[[#This Row],[Threshold of Midpoint ratio]]</f>
        <v>0</v>
      </c>
      <c r="AX779" t="b">
        <f>OR(Table67[[#This Row],[Extreme Response Style]],Table67[[#This Row],[Mid-point Response Style]])</f>
        <v>0</v>
      </c>
      <c r="AY779" t="b">
        <f>OR(Table67[[#This Row],[Delete? (Stage 1)]],Table67[[#This Row],[Delete? (Stage 2)]])</f>
        <v>1</v>
      </c>
      <c r="AZ779" t="s">
        <v>84</v>
      </c>
    </row>
    <row r="780" spans="1:52">
      <c r="A780">
        <f t="shared" si="51"/>
        <v>779</v>
      </c>
      <c r="B780" s="3">
        <v>46049.766273148103</v>
      </c>
      <c r="C780" s="3">
        <v>46049.771967592598</v>
      </c>
      <c r="D780" t="s">
        <v>53</v>
      </c>
      <c r="G780" t="s">
        <v>54</v>
      </c>
      <c r="H780" t="s">
        <v>55</v>
      </c>
      <c r="I780" t="s">
        <v>71</v>
      </c>
      <c r="J780" t="s">
        <v>62</v>
      </c>
      <c r="K780" t="s">
        <v>57</v>
      </c>
      <c r="L780" t="s">
        <v>58</v>
      </c>
      <c r="M780" t="s">
        <v>61</v>
      </c>
      <c r="N780">
        <v>4</v>
      </c>
      <c r="O780">
        <v>5</v>
      </c>
      <c r="P780">
        <v>3</v>
      </c>
      <c r="Q780">
        <v>3</v>
      </c>
      <c r="R780">
        <v>4</v>
      </c>
      <c r="S780">
        <v>2</v>
      </c>
      <c r="T780">
        <v>4</v>
      </c>
      <c r="U780">
        <v>3</v>
      </c>
      <c r="V780">
        <v>1</v>
      </c>
      <c r="W780">
        <v>1</v>
      </c>
      <c r="X780">
        <v>3</v>
      </c>
      <c r="Y780">
        <v>1</v>
      </c>
      <c r="Z780">
        <v>4</v>
      </c>
      <c r="AA780">
        <v>5</v>
      </c>
      <c r="AB780">
        <v>3</v>
      </c>
      <c r="AC780">
        <v>1</v>
      </c>
      <c r="AD780">
        <v>5</v>
      </c>
      <c r="AE780">
        <v>4</v>
      </c>
      <c r="AF780">
        <v>3</v>
      </c>
      <c r="AG780">
        <v>4</v>
      </c>
      <c r="AH780">
        <v>4</v>
      </c>
      <c r="AI780">
        <v>2</v>
      </c>
      <c r="AJ780">
        <v>3</v>
      </c>
      <c r="AK780" t="b">
        <f>Table67[[#This Row],[What is your age?]]&lt;&gt;"18 - 25"</f>
        <v>0</v>
      </c>
      <c r="AL780" t="b">
        <f t="shared" si="48"/>
        <v>0</v>
      </c>
      <c r="AM780" t="b">
        <f t="shared" si="49"/>
        <v>1</v>
      </c>
      <c r="AN780" t="b">
        <f t="shared" si="50"/>
        <v>0</v>
      </c>
      <c r="AO780" t="b">
        <f>OR(Table67[[#This Row],[Ineligible respondents]:[Inconsistent response on opposite question (3)]])</f>
        <v>1</v>
      </c>
      <c r="AP78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780">
        <f>Table67[[#This Row],[Extreme Response]]/21</f>
        <v>0.33333333333333331</v>
      </c>
      <c r="AR780">
        <f>_xlfn.PERCENTILE.INC(Table67[Extrem Response Ratio (ERS)],0.9)</f>
        <v>0.61904761904761907</v>
      </c>
      <c r="AS780" t="b">
        <f>Table67[[#This Row],[Extrem Response Ratio (ERS)]]&gt;=Table67[[#This Row],[Threshold of ERS]]</f>
        <v>0</v>
      </c>
      <c r="AT780">
        <f>COUNTIF(Table67[[#This Row],[The mechanism of digital assets is difficult to understand, which discourages me from exploring it (E.g, Tokenization, Blockchain)]:[If I want to try different ways to invest, I will explore digital assets.]], 3)</f>
        <v>6</v>
      </c>
      <c r="AU780">
        <f>Table67[[#This Row],[Midpoint]]/21</f>
        <v>0.2857142857142857</v>
      </c>
      <c r="AV780">
        <f>_xlfn.PERCENTILE.INC(Table67[Midpoint ratio],0.9)</f>
        <v>0.5714285714285714</v>
      </c>
      <c r="AW780" t="b">
        <f>Table67[[#This Row],[Midpoint ratio]]&gt;=Table67[[#This Row],[Threshold of Midpoint ratio]]</f>
        <v>0</v>
      </c>
      <c r="AX780" t="b">
        <f>OR(Table67[[#This Row],[Extreme Response Style]],Table67[[#This Row],[Mid-point Response Style]])</f>
        <v>0</v>
      </c>
      <c r="AY780" t="b">
        <f>OR(Table67[[#This Row],[Delete? (Stage 1)]],Table67[[#This Row],[Delete? (Stage 2)]])</f>
        <v>1</v>
      </c>
      <c r="AZ780" t="s">
        <v>84</v>
      </c>
    </row>
    <row r="781" spans="1:52">
      <c r="A781">
        <f t="shared" si="51"/>
        <v>780</v>
      </c>
      <c r="B781" s="3">
        <v>46049.767326388901</v>
      </c>
      <c r="C781" s="3">
        <v>46049.770011574103</v>
      </c>
      <c r="D781" t="s">
        <v>53</v>
      </c>
      <c r="G781" t="s">
        <v>54</v>
      </c>
      <c r="H781" t="s">
        <v>63</v>
      </c>
      <c r="I781" t="s">
        <v>56</v>
      </c>
      <c r="J781" t="s">
        <v>57</v>
      </c>
      <c r="K781" t="s">
        <v>57</v>
      </c>
      <c r="L781" t="s">
        <v>58</v>
      </c>
      <c r="M781" t="s">
        <v>58</v>
      </c>
      <c r="N781">
        <v>4</v>
      </c>
      <c r="O781">
        <v>3</v>
      </c>
      <c r="P781">
        <v>5</v>
      </c>
      <c r="Q781">
        <v>3</v>
      </c>
      <c r="R781">
        <v>3</v>
      </c>
      <c r="S781">
        <v>3</v>
      </c>
      <c r="T781">
        <v>4</v>
      </c>
      <c r="U781">
        <v>3</v>
      </c>
      <c r="V781">
        <v>2</v>
      </c>
      <c r="W781">
        <v>2</v>
      </c>
      <c r="X781">
        <v>3</v>
      </c>
      <c r="Y781">
        <v>3</v>
      </c>
      <c r="Z781">
        <v>4</v>
      </c>
      <c r="AA781">
        <v>4</v>
      </c>
      <c r="AB781">
        <v>4</v>
      </c>
      <c r="AC781">
        <v>4</v>
      </c>
      <c r="AD781">
        <v>4</v>
      </c>
      <c r="AE781">
        <v>2</v>
      </c>
      <c r="AF781">
        <v>4</v>
      </c>
      <c r="AG781">
        <v>3</v>
      </c>
      <c r="AH781">
        <v>4</v>
      </c>
      <c r="AI781">
        <v>2</v>
      </c>
      <c r="AJ781">
        <v>2</v>
      </c>
      <c r="AK781" t="b">
        <f>Table67[[#This Row],[What is your age?]]&lt;&gt;"18 - 25"</f>
        <v>0</v>
      </c>
      <c r="AL781" t="b">
        <f t="shared" si="48"/>
        <v>0</v>
      </c>
      <c r="AM781" t="b">
        <f t="shared" si="49"/>
        <v>0</v>
      </c>
      <c r="AN781" t="b">
        <f t="shared" si="50"/>
        <v>1</v>
      </c>
      <c r="AO781" t="b">
        <f>OR(Table67[[#This Row],[Ineligible respondents]:[Inconsistent response on opposite question (3)]])</f>
        <v>1</v>
      </c>
      <c r="AP78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781">
        <f>Table67[[#This Row],[Extreme Response]]/21</f>
        <v>4.7619047619047616E-2</v>
      </c>
      <c r="AR781">
        <f>_xlfn.PERCENTILE.INC(Table67[Extrem Response Ratio (ERS)],0.9)</f>
        <v>0.61904761904761907</v>
      </c>
      <c r="AS781" t="b">
        <f>Table67[[#This Row],[Extrem Response Ratio (ERS)]]&gt;=Table67[[#This Row],[Threshold of ERS]]</f>
        <v>0</v>
      </c>
      <c r="AT781">
        <f>COUNTIF(Table67[[#This Row],[The mechanism of digital assets is difficult to understand, which discourages me from exploring it (E.g, Tokenization, Blockchain)]:[If I want to try different ways to invest, I will explore digital assets.]], 3)</f>
        <v>8</v>
      </c>
      <c r="AU781">
        <f>Table67[[#This Row],[Midpoint]]/21</f>
        <v>0.38095238095238093</v>
      </c>
      <c r="AV781">
        <f>_xlfn.PERCENTILE.INC(Table67[Midpoint ratio],0.9)</f>
        <v>0.5714285714285714</v>
      </c>
      <c r="AW781" t="b">
        <f>Table67[[#This Row],[Midpoint ratio]]&gt;=Table67[[#This Row],[Threshold of Midpoint ratio]]</f>
        <v>0</v>
      </c>
      <c r="AX781" t="b">
        <f>OR(Table67[[#This Row],[Extreme Response Style]],Table67[[#This Row],[Mid-point Response Style]])</f>
        <v>0</v>
      </c>
      <c r="AY781" t="b">
        <f>OR(Table67[[#This Row],[Delete? (Stage 1)]],Table67[[#This Row],[Delete? (Stage 2)]])</f>
        <v>1</v>
      </c>
      <c r="AZ781" t="s">
        <v>84</v>
      </c>
    </row>
    <row r="782" spans="1:52">
      <c r="A782">
        <f t="shared" si="51"/>
        <v>781</v>
      </c>
      <c r="B782" s="3">
        <v>46049.768252314803</v>
      </c>
      <c r="C782" s="3">
        <v>46049.776990740698</v>
      </c>
      <c r="D782" t="s">
        <v>53</v>
      </c>
      <c r="G782" t="s">
        <v>54</v>
      </c>
      <c r="H782" t="s">
        <v>63</v>
      </c>
      <c r="I782" t="s">
        <v>71</v>
      </c>
      <c r="J782" t="s">
        <v>62</v>
      </c>
      <c r="K782" t="s">
        <v>57</v>
      </c>
      <c r="L782" t="s">
        <v>58</v>
      </c>
      <c r="M782" t="s">
        <v>58</v>
      </c>
      <c r="N782">
        <v>3</v>
      </c>
      <c r="O782">
        <v>2</v>
      </c>
      <c r="P782">
        <v>4</v>
      </c>
      <c r="Q782">
        <v>2</v>
      </c>
      <c r="R782">
        <v>2</v>
      </c>
      <c r="S782">
        <v>3</v>
      </c>
      <c r="T782">
        <v>2</v>
      </c>
      <c r="U782">
        <v>3</v>
      </c>
      <c r="V782">
        <v>4</v>
      </c>
      <c r="W782">
        <v>4</v>
      </c>
      <c r="X782">
        <v>3</v>
      </c>
      <c r="Y782">
        <v>4</v>
      </c>
      <c r="Z782">
        <v>3</v>
      </c>
      <c r="AA782">
        <v>4</v>
      </c>
      <c r="AB782">
        <v>4</v>
      </c>
      <c r="AC782">
        <v>3</v>
      </c>
      <c r="AD782">
        <v>4</v>
      </c>
      <c r="AE782">
        <v>4</v>
      </c>
      <c r="AF782">
        <v>2</v>
      </c>
      <c r="AG782">
        <v>4</v>
      </c>
      <c r="AH782">
        <v>3</v>
      </c>
      <c r="AI782">
        <v>3</v>
      </c>
      <c r="AJ782">
        <v>4</v>
      </c>
      <c r="AK782" t="b">
        <f>Table67[[#This Row],[What is your age?]]&lt;&gt;"18 - 25"</f>
        <v>0</v>
      </c>
      <c r="AL782" t="b">
        <f t="shared" si="48"/>
        <v>0</v>
      </c>
      <c r="AM782" t="b">
        <f t="shared" si="49"/>
        <v>0</v>
      </c>
      <c r="AN782" t="b">
        <f t="shared" si="50"/>
        <v>1</v>
      </c>
      <c r="AO782" t="b">
        <f>OR(Table67[[#This Row],[Ineligible respondents]:[Inconsistent response on opposite question (3)]])</f>
        <v>1</v>
      </c>
      <c r="AP78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782">
        <f>Table67[[#This Row],[Extreme Response]]/21</f>
        <v>0</v>
      </c>
      <c r="AR782">
        <f>_xlfn.PERCENTILE.INC(Table67[Extrem Response Ratio (ERS)],0.9)</f>
        <v>0.61904761904761907</v>
      </c>
      <c r="AS782" t="b">
        <f>Table67[[#This Row],[Extrem Response Ratio (ERS)]]&gt;=Table67[[#This Row],[Threshold of ERS]]</f>
        <v>0</v>
      </c>
      <c r="AT782">
        <f>COUNTIF(Table67[[#This Row],[The mechanism of digital assets is difficult to understand, which discourages me from exploring it (E.g, Tokenization, Blockchain)]:[If I want to try different ways to invest, I will explore digital assets.]], 3)</f>
        <v>7</v>
      </c>
      <c r="AU782">
        <f>Table67[[#This Row],[Midpoint]]/21</f>
        <v>0.33333333333333331</v>
      </c>
      <c r="AV782">
        <f>_xlfn.PERCENTILE.INC(Table67[Midpoint ratio],0.9)</f>
        <v>0.5714285714285714</v>
      </c>
      <c r="AW782" t="b">
        <f>Table67[[#This Row],[Midpoint ratio]]&gt;=Table67[[#This Row],[Threshold of Midpoint ratio]]</f>
        <v>0</v>
      </c>
      <c r="AX782" t="b">
        <f>OR(Table67[[#This Row],[Extreme Response Style]],Table67[[#This Row],[Mid-point Response Style]])</f>
        <v>0</v>
      </c>
      <c r="AY782" t="b">
        <f>OR(Table67[[#This Row],[Delete? (Stage 1)]],Table67[[#This Row],[Delete? (Stage 2)]])</f>
        <v>1</v>
      </c>
      <c r="AZ782" t="s">
        <v>84</v>
      </c>
    </row>
    <row r="783" spans="1:52">
      <c r="A783">
        <f t="shared" si="51"/>
        <v>782</v>
      </c>
      <c r="B783" s="3">
        <v>46049.768912036998</v>
      </c>
      <c r="C783" s="3">
        <v>46049.776782407404</v>
      </c>
      <c r="D783" t="s">
        <v>53</v>
      </c>
      <c r="G783" t="s">
        <v>54</v>
      </c>
      <c r="H783" t="s">
        <v>55</v>
      </c>
      <c r="I783" t="s">
        <v>71</v>
      </c>
      <c r="J783" t="s">
        <v>62</v>
      </c>
      <c r="K783" t="s">
        <v>57</v>
      </c>
      <c r="L783" t="s">
        <v>58</v>
      </c>
      <c r="M783" t="s">
        <v>58</v>
      </c>
      <c r="N783">
        <v>2</v>
      </c>
      <c r="O783">
        <v>2</v>
      </c>
      <c r="P783">
        <v>2</v>
      </c>
      <c r="Q783">
        <v>2</v>
      </c>
      <c r="R783">
        <v>3</v>
      </c>
      <c r="S783">
        <v>3</v>
      </c>
      <c r="T783">
        <v>2</v>
      </c>
      <c r="U783">
        <v>2</v>
      </c>
      <c r="V783">
        <v>3</v>
      </c>
      <c r="W783">
        <v>3</v>
      </c>
      <c r="X783">
        <v>2</v>
      </c>
      <c r="Y783">
        <v>4</v>
      </c>
      <c r="Z783">
        <v>2</v>
      </c>
      <c r="AA783">
        <v>2</v>
      </c>
      <c r="AB783">
        <v>2</v>
      </c>
      <c r="AC783">
        <v>2</v>
      </c>
      <c r="AD783">
        <v>1</v>
      </c>
      <c r="AE783">
        <v>2</v>
      </c>
      <c r="AF783">
        <v>2</v>
      </c>
      <c r="AG783">
        <v>2</v>
      </c>
      <c r="AH783">
        <v>2</v>
      </c>
      <c r="AI783">
        <v>4</v>
      </c>
      <c r="AJ783">
        <v>4</v>
      </c>
      <c r="AK783" t="b">
        <f>Table67[[#This Row],[What is your age?]]&lt;&gt;"18 - 25"</f>
        <v>0</v>
      </c>
      <c r="AL783" t="b">
        <f t="shared" si="48"/>
        <v>0</v>
      </c>
      <c r="AM783" t="b">
        <f t="shared" si="49"/>
        <v>1</v>
      </c>
      <c r="AN783" t="b">
        <f t="shared" si="50"/>
        <v>0</v>
      </c>
      <c r="AO783" t="b">
        <f>OR(Table67[[#This Row],[Ineligible respondents]:[Inconsistent response on opposite question (3)]])</f>
        <v>1</v>
      </c>
      <c r="AP78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783">
        <f>Table67[[#This Row],[Extreme Response]]/21</f>
        <v>4.7619047619047616E-2</v>
      </c>
      <c r="AR783">
        <f>_xlfn.PERCENTILE.INC(Table67[Extrem Response Ratio (ERS)],0.9)</f>
        <v>0.61904761904761907</v>
      </c>
      <c r="AS783" t="b">
        <f>Table67[[#This Row],[Extrem Response Ratio (ERS)]]&gt;=Table67[[#This Row],[Threshold of ERS]]</f>
        <v>0</v>
      </c>
      <c r="AT783">
        <f>COUNTIF(Table67[[#This Row],[The mechanism of digital assets is difficult to understand, which discourages me from exploring it (E.g, Tokenization, Blockchain)]:[If I want to try different ways to invest, I will explore digital assets.]], 3)</f>
        <v>4</v>
      </c>
      <c r="AU783">
        <f>Table67[[#This Row],[Midpoint]]/21</f>
        <v>0.19047619047619047</v>
      </c>
      <c r="AV783">
        <f>_xlfn.PERCENTILE.INC(Table67[Midpoint ratio],0.9)</f>
        <v>0.5714285714285714</v>
      </c>
      <c r="AW783" t="b">
        <f>Table67[[#This Row],[Midpoint ratio]]&gt;=Table67[[#This Row],[Threshold of Midpoint ratio]]</f>
        <v>0</v>
      </c>
      <c r="AX783" t="b">
        <f>OR(Table67[[#This Row],[Extreme Response Style]],Table67[[#This Row],[Mid-point Response Style]])</f>
        <v>0</v>
      </c>
      <c r="AY783" t="b">
        <f>OR(Table67[[#This Row],[Delete? (Stage 1)]],Table67[[#This Row],[Delete? (Stage 2)]])</f>
        <v>1</v>
      </c>
      <c r="AZ783" t="s">
        <v>84</v>
      </c>
    </row>
    <row r="784" spans="1:52">
      <c r="A784">
        <f t="shared" si="51"/>
        <v>783</v>
      </c>
      <c r="B784" s="3">
        <v>46049.769548611097</v>
      </c>
      <c r="C784" s="3">
        <v>46049.774479166699</v>
      </c>
      <c r="D784" t="s">
        <v>53</v>
      </c>
      <c r="G784" t="s">
        <v>54</v>
      </c>
      <c r="H784" t="s">
        <v>55</v>
      </c>
      <c r="I784" t="s">
        <v>71</v>
      </c>
      <c r="J784" t="s">
        <v>57</v>
      </c>
      <c r="K784" t="s">
        <v>62</v>
      </c>
      <c r="L784" t="s">
        <v>58</v>
      </c>
      <c r="M784" t="s">
        <v>58</v>
      </c>
      <c r="N784">
        <v>4</v>
      </c>
      <c r="O784">
        <v>2</v>
      </c>
      <c r="P784">
        <v>4</v>
      </c>
      <c r="Q784">
        <v>3</v>
      </c>
      <c r="R784">
        <v>2</v>
      </c>
      <c r="S784">
        <v>4</v>
      </c>
      <c r="T784">
        <v>3</v>
      </c>
      <c r="U784">
        <v>4</v>
      </c>
      <c r="V784">
        <v>2</v>
      </c>
      <c r="W784">
        <v>2</v>
      </c>
      <c r="X784">
        <v>2</v>
      </c>
      <c r="Y784">
        <v>2</v>
      </c>
      <c r="Z784">
        <v>3</v>
      </c>
      <c r="AA784">
        <v>4</v>
      </c>
      <c r="AB784">
        <v>3</v>
      </c>
      <c r="AC784">
        <v>2</v>
      </c>
      <c r="AD784">
        <v>4</v>
      </c>
      <c r="AE784">
        <v>2</v>
      </c>
      <c r="AF784">
        <v>5</v>
      </c>
      <c r="AG784">
        <v>2</v>
      </c>
      <c r="AH784">
        <v>4</v>
      </c>
      <c r="AI784">
        <v>2</v>
      </c>
      <c r="AJ784">
        <v>1</v>
      </c>
      <c r="AK784" t="b">
        <f>Table67[[#This Row],[What is your age?]]&lt;&gt;"18 - 25"</f>
        <v>0</v>
      </c>
      <c r="AL784" t="b">
        <f t="shared" si="48"/>
        <v>0</v>
      </c>
      <c r="AM784" t="b">
        <f t="shared" si="49"/>
        <v>0</v>
      </c>
      <c r="AN784" t="b">
        <f t="shared" si="50"/>
        <v>0</v>
      </c>
      <c r="AO784" t="b">
        <f>OR(Table67[[#This Row],[Ineligible respondents]:[Inconsistent response on opposite question (3)]])</f>
        <v>0</v>
      </c>
      <c r="AP78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784">
        <f>Table67[[#This Row],[Extreme Response]]/21</f>
        <v>4.7619047619047616E-2</v>
      </c>
      <c r="AR784">
        <f>_xlfn.PERCENTILE.INC(Table67[Extrem Response Ratio (ERS)],0.9)</f>
        <v>0.61904761904761907</v>
      </c>
      <c r="AS784" t="b">
        <f>Table67[[#This Row],[Extrem Response Ratio (ERS)]]&gt;=Table67[[#This Row],[Threshold of ERS]]</f>
        <v>0</v>
      </c>
      <c r="AT784">
        <f>COUNTIF(Table67[[#This Row],[The mechanism of digital assets is difficult to understand, which discourages me from exploring it (E.g, Tokenization, Blockchain)]:[If I want to try different ways to invest, I will explore digital assets.]], 3)</f>
        <v>4</v>
      </c>
      <c r="AU784">
        <f>Table67[[#This Row],[Midpoint]]/21</f>
        <v>0.19047619047619047</v>
      </c>
      <c r="AV784">
        <f>_xlfn.PERCENTILE.INC(Table67[Midpoint ratio],0.9)</f>
        <v>0.5714285714285714</v>
      </c>
      <c r="AW784" t="b">
        <f>Table67[[#This Row],[Midpoint ratio]]&gt;=Table67[[#This Row],[Threshold of Midpoint ratio]]</f>
        <v>0</v>
      </c>
      <c r="AX784" t="b">
        <f>OR(Table67[[#This Row],[Extreme Response Style]],Table67[[#This Row],[Mid-point Response Style]])</f>
        <v>0</v>
      </c>
      <c r="AY784" t="b">
        <f>OR(Table67[[#This Row],[Delete? (Stage 1)]],Table67[[#This Row],[Delete? (Stage 2)]])</f>
        <v>0</v>
      </c>
      <c r="AZ784" t="s">
        <v>84</v>
      </c>
    </row>
    <row r="785" spans="1:52">
      <c r="A785">
        <f t="shared" si="51"/>
        <v>784</v>
      </c>
      <c r="B785" s="3">
        <v>46049.771099537</v>
      </c>
      <c r="C785" s="3">
        <v>46049.772638888899</v>
      </c>
      <c r="D785" t="s">
        <v>53</v>
      </c>
      <c r="G785" t="s">
        <v>73</v>
      </c>
      <c r="H785" t="s">
        <v>63</v>
      </c>
      <c r="I785" t="s">
        <v>56</v>
      </c>
      <c r="J785" t="s">
        <v>60</v>
      </c>
      <c r="K785" t="s">
        <v>65</v>
      </c>
      <c r="L785" t="s">
        <v>61</v>
      </c>
      <c r="M785" t="s">
        <v>61</v>
      </c>
      <c r="N785">
        <v>5</v>
      </c>
      <c r="O785">
        <v>2</v>
      </c>
      <c r="P785">
        <v>5</v>
      </c>
      <c r="Q785">
        <v>5</v>
      </c>
      <c r="R785">
        <v>4</v>
      </c>
      <c r="S785">
        <v>3</v>
      </c>
      <c r="T785">
        <v>4</v>
      </c>
      <c r="U785">
        <v>3</v>
      </c>
      <c r="V785">
        <v>4</v>
      </c>
      <c r="W785">
        <v>4</v>
      </c>
      <c r="X785">
        <v>4</v>
      </c>
      <c r="Y785">
        <v>5</v>
      </c>
      <c r="Z785">
        <v>5</v>
      </c>
      <c r="AA785">
        <v>5</v>
      </c>
      <c r="AB785">
        <v>5</v>
      </c>
      <c r="AC785">
        <v>5</v>
      </c>
      <c r="AD785">
        <v>5</v>
      </c>
      <c r="AE785">
        <v>5</v>
      </c>
      <c r="AF785">
        <v>5</v>
      </c>
      <c r="AG785">
        <v>5</v>
      </c>
      <c r="AH785">
        <v>5</v>
      </c>
      <c r="AI785">
        <v>1</v>
      </c>
      <c r="AJ785">
        <v>1</v>
      </c>
      <c r="AK785" t="b">
        <f>Table67[[#This Row],[What is your age?]]&lt;&gt;"18 - 25"</f>
        <v>1</v>
      </c>
      <c r="AL785" t="b">
        <f t="shared" si="48"/>
        <v>0</v>
      </c>
      <c r="AM785" t="b">
        <f t="shared" si="49"/>
        <v>1</v>
      </c>
      <c r="AN785" t="b">
        <f t="shared" si="50"/>
        <v>0</v>
      </c>
      <c r="AO785" t="b">
        <f>OR(Table67[[#This Row],[Ineligible respondents]:[Inconsistent response on opposite question (3)]])</f>
        <v>1</v>
      </c>
      <c r="AP78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785">
        <f>Table67[[#This Row],[Extreme Response]]/21</f>
        <v>0.61904761904761907</v>
      </c>
      <c r="AR785">
        <f>_xlfn.PERCENTILE.INC(Table67[Extrem Response Ratio (ERS)],0.9)</f>
        <v>0.61904761904761907</v>
      </c>
      <c r="AS785" t="b">
        <f>Table67[[#This Row],[Extrem Response Ratio (ERS)]]&gt;=Table67[[#This Row],[Threshold of ERS]]</f>
        <v>1</v>
      </c>
      <c r="AT785">
        <f>COUNTIF(Table67[[#This Row],[The mechanism of digital assets is difficult to understand, which discourages me from exploring it (E.g, Tokenization, Blockchain)]:[If I want to try different ways to invest, I will explore digital assets.]], 3)</f>
        <v>2</v>
      </c>
      <c r="AU785">
        <f>Table67[[#This Row],[Midpoint]]/21</f>
        <v>9.5238095238095233E-2</v>
      </c>
      <c r="AV785">
        <f>_xlfn.PERCENTILE.INC(Table67[Midpoint ratio],0.9)</f>
        <v>0.5714285714285714</v>
      </c>
      <c r="AW785" t="b">
        <f>Table67[[#This Row],[Midpoint ratio]]&gt;=Table67[[#This Row],[Threshold of Midpoint ratio]]</f>
        <v>0</v>
      </c>
      <c r="AX785" t="b">
        <f>OR(Table67[[#This Row],[Extreme Response Style]],Table67[[#This Row],[Mid-point Response Style]])</f>
        <v>1</v>
      </c>
      <c r="AY785" t="b">
        <f>OR(Table67[[#This Row],[Delete? (Stage 1)]],Table67[[#This Row],[Delete? (Stage 2)]])</f>
        <v>1</v>
      </c>
      <c r="AZ785" t="s">
        <v>84</v>
      </c>
    </row>
    <row r="786" spans="1:52">
      <c r="A786">
        <f t="shared" si="51"/>
        <v>785</v>
      </c>
      <c r="B786" s="3">
        <v>46049.772453703699</v>
      </c>
      <c r="C786" s="3">
        <v>46049.7787731481</v>
      </c>
      <c r="D786" t="s">
        <v>53</v>
      </c>
      <c r="G786" t="s">
        <v>54</v>
      </c>
      <c r="H786" t="s">
        <v>63</v>
      </c>
      <c r="I786" t="s">
        <v>82</v>
      </c>
      <c r="J786" t="s">
        <v>62</v>
      </c>
      <c r="K786" t="s">
        <v>62</v>
      </c>
      <c r="L786" t="s">
        <v>61</v>
      </c>
      <c r="M786" t="s">
        <v>61</v>
      </c>
      <c r="N786">
        <v>4</v>
      </c>
      <c r="O786">
        <v>5</v>
      </c>
      <c r="P786">
        <v>5</v>
      </c>
      <c r="Q786">
        <v>2</v>
      </c>
      <c r="R786">
        <v>2</v>
      </c>
      <c r="S786">
        <v>1</v>
      </c>
      <c r="T786">
        <v>1</v>
      </c>
      <c r="U786">
        <v>4</v>
      </c>
      <c r="V786">
        <v>5</v>
      </c>
      <c r="W786">
        <v>5</v>
      </c>
      <c r="X786">
        <v>5</v>
      </c>
      <c r="Y786">
        <v>5</v>
      </c>
      <c r="Z786">
        <v>5</v>
      </c>
      <c r="AA786">
        <v>4</v>
      </c>
      <c r="AB786">
        <v>1</v>
      </c>
      <c r="AC786">
        <v>1</v>
      </c>
      <c r="AD786">
        <v>5</v>
      </c>
      <c r="AE786">
        <v>1</v>
      </c>
      <c r="AF786">
        <v>4</v>
      </c>
      <c r="AG786">
        <v>1</v>
      </c>
      <c r="AH786">
        <v>5</v>
      </c>
      <c r="AI786">
        <v>1</v>
      </c>
      <c r="AJ786">
        <v>2</v>
      </c>
      <c r="AK786" t="b">
        <f>Table67[[#This Row],[What is your age?]]&lt;&gt;"18 - 25"</f>
        <v>0</v>
      </c>
      <c r="AL786" t="b">
        <f t="shared" si="48"/>
        <v>0</v>
      </c>
      <c r="AM786" t="b">
        <f t="shared" si="49"/>
        <v>0</v>
      </c>
      <c r="AN786" t="b">
        <f t="shared" si="50"/>
        <v>0</v>
      </c>
      <c r="AO786" t="b">
        <f>OR(Table67[[#This Row],[Ineligible respondents]:[Inconsistent response on opposite question (3)]])</f>
        <v>0</v>
      </c>
      <c r="AP78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786">
        <f>Table67[[#This Row],[Extreme Response]]/21</f>
        <v>0.7142857142857143</v>
      </c>
      <c r="AR786">
        <f>_xlfn.PERCENTILE.INC(Table67[Extrem Response Ratio (ERS)],0.9)</f>
        <v>0.61904761904761907</v>
      </c>
      <c r="AS786" t="b">
        <f>Table67[[#This Row],[Extrem Response Ratio (ERS)]]&gt;=Table67[[#This Row],[Threshold of ERS]]</f>
        <v>1</v>
      </c>
      <c r="AT786">
        <f>COUNTIF(Table67[[#This Row],[The mechanism of digital assets is difficult to understand, which discourages me from exploring it (E.g, Tokenization, Blockchain)]:[If I want to try different ways to invest, I will explore digital assets.]], 3)</f>
        <v>0</v>
      </c>
      <c r="AU786">
        <f>Table67[[#This Row],[Midpoint]]/21</f>
        <v>0</v>
      </c>
      <c r="AV786">
        <f>_xlfn.PERCENTILE.INC(Table67[Midpoint ratio],0.9)</f>
        <v>0.5714285714285714</v>
      </c>
      <c r="AW786" t="b">
        <f>Table67[[#This Row],[Midpoint ratio]]&gt;=Table67[[#This Row],[Threshold of Midpoint ratio]]</f>
        <v>0</v>
      </c>
      <c r="AX786" t="b">
        <f>OR(Table67[[#This Row],[Extreme Response Style]],Table67[[#This Row],[Mid-point Response Style]])</f>
        <v>1</v>
      </c>
      <c r="AY786" t="b">
        <f>OR(Table67[[#This Row],[Delete? (Stage 1)]],Table67[[#This Row],[Delete? (Stage 2)]])</f>
        <v>1</v>
      </c>
      <c r="AZ786" t="s">
        <v>84</v>
      </c>
    </row>
    <row r="787" spans="1:52">
      <c r="A787">
        <f t="shared" si="51"/>
        <v>786</v>
      </c>
      <c r="B787" s="3">
        <v>46049.772685185198</v>
      </c>
      <c r="C787" s="3">
        <v>46049.7784606481</v>
      </c>
      <c r="D787" t="s">
        <v>53</v>
      </c>
      <c r="G787" t="s">
        <v>54</v>
      </c>
      <c r="H787" t="s">
        <v>63</v>
      </c>
      <c r="I787" t="s">
        <v>56</v>
      </c>
      <c r="J787" t="s">
        <v>57</v>
      </c>
      <c r="K787" t="s">
        <v>57</v>
      </c>
      <c r="L787" t="s">
        <v>58</v>
      </c>
      <c r="M787" t="s">
        <v>58</v>
      </c>
      <c r="N787">
        <v>3</v>
      </c>
      <c r="O787">
        <v>4</v>
      </c>
      <c r="P787">
        <v>4</v>
      </c>
      <c r="Q787">
        <v>3</v>
      </c>
      <c r="R787">
        <v>4</v>
      </c>
      <c r="S787">
        <v>4</v>
      </c>
      <c r="T787">
        <v>2</v>
      </c>
      <c r="U787">
        <v>3</v>
      </c>
      <c r="V787">
        <v>4</v>
      </c>
      <c r="W787">
        <v>4</v>
      </c>
      <c r="X787">
        <v>3</v>
      </c>
      <c r="Y787">
        <v>4</v>
      </c>
      <c r="Z787">
        <v>4</v>
      </c>
      <c r="AA787">
        <v>3</v>
      </c>
      <c r="AB787">
        <v>3</v>
      </c>
      <c r="AC787">
        <v>2</v>
      </c>
      <c r="AD787">
        <v>3</v>
      </c>
      <c r="AE787">
        <v>5</v>
      </c>
      <c r="AF787">
        <v>4</v>
      </c>
      <c r="AG787">
        <v>2</v>
      </c>
      <c r="AH787">
        <v>4</v>
      </c>
      <c r="AI787">
        <v>2</v>
      </c>
      <c r="AJ787">
        <v>2</v>
      </c>
      <c r="AK787" t="b">
        <f>Table67[[#This Row],[What is your age?]]&lt;&gt;"18 - 25"</f>
        <v>0</v>
      </c>
      <c r="AL787" t="b">
        <f t="shared" si="48"/>
        <v>0</v>
      </c>
      <c r="AM787" t="b">
        <f t="shared" si="49"/>
        <v>0</v>
      </c>
      <c r="AN787" t="b">
        <f t="shared" si="50"/>
        <v>0</v>
      </c>
      <c r="AO787" t="b">
        <f>OR(Table67[[#This Row],[Ineligible respondents]:[Inconsistent response on opposite question (3)]])</f>
        <v>0</v>
      </c>
      <c r="AP78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787">
        <f>Table67[[#This Row],[Extreme Response]]/21</f>
        <v>4.7619047619047616E-2</v>
      </c>
      <c r="AR787">
        <f>_xlfn.PERCENTILE.INC(Table67[Extrem Response Ratio (ERS)],0.9)</f>
        <v>0.61904761904761907</v>
      </c>
      <c r="AS787" t="b">
        <f>Table67[[#This Row],[Extrem Response Ratio (ERS)]]&gt;=Table67[[#This Row],[Threshold of ERS]]</f>
        <v>0</v>
      </c>
      <c r="AT787">
        <f>COUNTIF(Table67[[#This Row],[The mechanism of digital assets is difficult to understand, which discourages me from exploring it (E.g, Tokenization, Blockchain)]:[If I want to try different ways to invest, I will explore digital assets.]], 3)</f>
        <v>7</v>
      </c>
      <c r="AU787">
        <f>Table67[[#This Row],[Midpoint]]/21</f>
        <v>0.33333333333333331</v>
      </c>
      <c r="AV787">
        <f>_xlfn.PERCENTILE.INC(Table67[Midpoint ratio],0.9)</f>
        <v>0.5714285714285714</v>
      </c>
      <c r="AW787" t="b">
        <f>Table67[[#This Row],[Midpoint ratio]]&gt;=Table67[[#This Row],[Threshold of Midpoint ratio]]</f>
        <v>0</v>
      </c>
      <c r="AX787" t="b">
        <f>OR(Table67[[#This Row],[Extreme Response Style]],Table67[[#This Row],[Mid-point Response Style]])</f>
        <v>0</v>
      </c>
      <c r="AY787" t="b">
        <f>OR(Table67[[#This Row],[Delete? (Stage 1)]],Table67[[#This Row],[Delete? (Stage 2)]])</f>
        <v>0</v>
      </c>
      <c r="AZ787" t="s">
        <v>84</v>
      </c>
    </row>
    <row r="788" spans="1:52">
      <c r="A788">
        <f t="shared" si="51"/>
        <v>787</v>
      </c>
      <c r="B788" s="3">
        <v>46049.773587962998</v>
      </c>
      <c r="C788" s="3">
        <v>46049.777615740699</v>
      </c>
      <c r="D788" t="s">
        <v>53</v>
      </c>
      <c r="G788" t="s">
        <v>54</v>
      </c>
      <c r="H788" t="s">
        <v>55</v>
      </c>
      <c r="I788" t="s">
        <v>75</v>
      </c>
      <c r="J788" t="s">
        <v>57</v>
      </c>
      <c r="K788" t="s">
        <v>62</v>
      </c>
      <c r="L788" t="s">
        <v>58</v>
      </c>
      <c r="M788" t="s">
        <v>61</v>
      </c>
      <c r="N788">
        <v>4</v>
      </c>
      <c r="O788">
        <v>3</v>
      </c>
      <c r="P788">
        <v>4</v>
      </c>
      <c r="Q788">
        <v>3</v>
      </c>
      <c r="R788">
        <v>4</v>
      </c>
      <c r="S788">
        <v>4</v>
      </c>
      <c r="T788">
        <v>4</v>
      </c>
      <c r="U788">
        <v>5</v>
      </c>
      <c r="V788">
        <v>4</v>
      </c>
      <c r="W788">
        <v>4</v>
      </c>
      <c r="X788">
        <v>3</v>
      </c>
      <c r="Y788">
        <v>3</v>
      </c>
      <c r="Z788">
        <v>4</v>
      </c>
      <c r="AA788">
        <v>3</v>
      </c>
      <c r="AB788">
        <v>2</v>
      </c>
      <c r="AC788">
        <v>3</v>
      </c>
      <c r="AD788">
        <v>4</v>
      </c>
      <c r="AE788">
        <v>4</v>
      </c>
      <c r="AF788">
        <v>3</v>
      </c>
      <c r="AG788">
        <v>3</v>
      </c>
      <c r="AH788">
        <v>3</v>
      </c>
      <c r="AI788">
        <v>3</v>
      </c>
      <c r="AJ788">
        <v>3</v>
      </c>
      <c r="AK788" t="b">
        <f>Table67[[#This Row],[What is your age?]]&lt;&gt;"18 - 25"</f>
        <v>0</v>
      </c>
      <c r="AL788" t="b">
        <f t="shared" si="48"/>
        <v>0</v>
      </c>
      <c r="AM788" t="b">
        <f t="shared" si="49"/>
        <v>0</v>
      </c>
      <c r="AN788" t="b">
        <f t="shared" si="50"/>
        <v>0</v>
      </c>
      <c r="AO788" t="b">
        <f>OR(Table67[[#This Row],[Ineligible respondents]:[Inconsistent response on opposite question (3)]])</f>
        <v>0</v>
      </c>
      <c r="AP78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788">
        <f>Table67[[#This Row],[Extreme Response]]/21</f>
        <v>4.7619047619047616E-2</v>
      </c>
      <c r="AR788">
        <f>_xlfn.PERCENTILE.INC(Table67[Extrem Response Ratio (ERS)],0.9)</f>
        <v>0.61904761904761907</v>
      </c>
      <c r="AS788" t="b">
        <f>Table67[[#This Row],[Extrem Response Ratio (ERS)]]&gt;=Table67[[#This Row],[Threshold of ERS]]</f>
        <v>0</v>
      </c>
      <c r="AT788">
        <f>COUNTIF(Table67[[#This Row],[The mechanism of digital assets is difficult to understand, which discourages me from exploring it (E.g, Tokenization, Blockchain)]:[If I want to try different ways to invest, I will explore digital assets.]], 3)</f>
        <v>9</v>
      </c>
      <c r="AU788">
        <f>Table67[[#This Row],[Midpoint]]/21</f>
        <v>0.42857142857142855</v>
      </c>
      <c r="AV788">
        <f>_xlfn.PERCENTILE.INC(Table67[Midpoint ratio],0.9)</f>
        <v>0.5714285714285714</v>
      </c>
      <c r="AW788" t="b">
        <f>Table67[[#This Row],[Midpoint ratio]]&gt;=Table67[[#This Row],[Threshold of Midpoint ratio]]</f>
        <v>0</v>
      </c>
      <c r="AX788" t="b">
        <f>OR(Table67[[#This Row],[Extreme Response Style]],Table67[[#This Row],[Mid-point Response Style]])</f>
        <v>0</v>
      </c>
      <c r="AY788" t="b">
        <f>OR(Table67[[#This Row],[Delete? (Stage 1)]],Table67[[#This Row],[Delete? (Stage 2)]])</f>
        <v>0</v>
      </c>
      <c r="AZ788" t="s">
        <v>84</v>
      </c>
    </row>
    <row r="789" spans="1:52">
      <c r="A789">
        <f t="shared" si="51"/>
        <v>788</v>
      </c>
      <c r="B789" s="3">
        <v>46049.7742939815</v>
      </c>
      <c r="C789" s="3">
        <v>46049.7784606481</v>
      </c>
      <c r="D789" t="s">
        <v>53</v>
      </c>
      <c r="G789" t="s">
        <v>54</v>
      </c>
      <c r="H789" t="s">
        <v>55</v>
      </c>
      <c r="I789" t="s">
        <v>56</v>
      </c>
      <c r="J789" t="s">
        <v>57</v>
      </c>
      <c r="K789" t="s">
        <v>57</v>
      </c>
      <c r="L789" t="s">
        <v>61</v>
      </c>
      <c r="M789" t="s">
        <v>61</v>
      </c>
      <c r="N789">
        <v>3</v>
      </c>
      <c r="O789">
        <v>3</v>
      </c>
      <c r="P789">
        <v>2</v>
      </c>
      <c r="Q789">
        <v>2</v>
      </c>
      <c r="R789">
        <v>4</v>
      </c>
      <c r="S789">
        <v>5</v>
      </c>
      <c r="T789">
        <v>5</v>
      </c>
      <c r="U789">
        <v>5</v>
      </c>
      <c r="V789">
        <v>5</v>
      </c>
      <c r="W789">
        <v>5</v>
      </c>
      <c r="X789">
        <v>5</v>
      </c>
      <c r="Y789">
        <v>5</v>
      </c>
      <c r="Z789">
        <v>5</v>
      </c>
      <c r="AA789">
        <v>4</v>
      </c>
      <c r="AB789">
        <v>4</v>
      </c>
      <c r="AC789">
        <v>5</v>
      </c>
      <c r="AD789">
        <v>5</v>
      </c>
      <c r="AE789">
        <v>5</v>
      </c>
      <c r="AF789">
        <v>1</v>
      </c>
      <c r="AG789">
        <v>5</v>
      </c>
      <c r="AH789">
        <v>2</v>
      </c>
      <c r="AI789">
        <v>4</v>
      </c>
      <c r="AJ789">
        <v>5</v>
      </c>
      <c r="AK789" t="b">
        <f>Table67[[#This Row],[What is your age?]]&lt;&gt;"18 - 25"</f>
        <v>0</v>
      </c>
      <c r="AL789" t="b">
        <f t="shared" si="48"/>
        <v>0</v>
      </c>
      <c r="AM789" t="b">
        <f t="shared" si="49"/>
        <v>0</v>
      </c>
      <c r="AN789" t="b">
        <f t="shared" si="50"/>
        <v>0</v>
      </c>
      <c r="AO789" t="b">
        <f>OR(Table67[[#This Row],[Ineligible respondents]:[Inconsistent response on opposite question (3)]])</f>
        <v>0</v>
      </c>
      <c r="AP78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789">
        <f>Table67[[#This Row],[Extreme Response]]/21</f>
        <v>0.61904761904761907</v>
      </c>
      <c r="AR789">
        <f>_xlfn.PERCENTILE.INC(Table67[Extrem Response Ratio (ERS)],0.9)</f>
        <v>0.61904761904761907</v>
      </c>
      <c r="AS789" t="b">
        <f>Table67[[#This Row],[Extrem Response Ratio (ERS)]]&gt;=Table67[[#This Row],[Threshold of ERS]]</f>
        <v>1</v>
      </c>
      <c r="AT789">
        <f>COUNTIF(Table67[[#This Row],[The mechanism of digital assets is difficult to understand, which discourages me from exploring it (E.g, Tokenization, Blockchain)]:[If I want to try different ways to invest, I will explore digital assets.]], 3)</f>
        <v>2</v>
      </c>
      <c r="AU789">
        <f>Table67[[#This Row],[Midpoint]]/21</f>
        <v>9.5238095238095233E-2</v>
      </c>
      <c r="AV789">
        <f>_xlfn.PERCENTILE.INC(Table67[Midpoint ratio],0.9)</f>
        <v>0.5714285714285714</v>
      </c>
      <c r="AW789" t="b">
        <f>Table67[[#This Row],[Midpoint ratio]]&gt;=Table67[[#This Row],[Threshold of Midpoint ratio]]</f>
        <v>0</v>
      </c>
      <c r="AX789" t="b">
        <f>OR(Table67[[#This Row],[Extreme Response Style]],Table67[[#This Row],[Mid-point Response Style]])</f>
        <v>1</v>
      </c>
      <c r="AY789" t="b">
        <f>OR(Table67[[#This Row],[Delete? (Stage 1)]],Table67[[#This Row],[Delete? (Stage 2)]])</f>
        <v>1</v>
      </c>
      <c r="AZ789" t="s">
        <v>84</v>
      </c>
    </row>
    <row r="790" spans="1:52">
      <c r="A790">
        <f t="shared" si="51"/>
        <v>789</v>
      </c>
      <c r="B790" s="3">
        <v>46049.774432870399</v>
      </c>
      <c r="C790" s="3">
        <v>46049.781886574099</v>
      </c>
      <c r="D790" t="s">
        <v>53</v>
      </c>
      <c r="G790" t="s">
        <v>54</v>
      </c>
      <c r="H790" t="s">
        <v>55</v>
      </c>
      <c r="I790" t="s">
        <v>71</v>
      </c>
      <c r="J790" t="s">
        <v>62</v>
      </c>
      <c r="K790" t="s">
        <v>57</v>
      </c>
      <c r="L790" t="s">
        <v>58</v>
      </c>
      <c r="M790" t="s">
        <v>58</v>
      </c>
      <c r="N790">
        <v>2</v>
      </c>
      <c r="O790">
        <v>2</v>
      </c>
      <c r="P790">
        <v>5</v>
      </c>
      <c r="Q790">
        <v>3</v>
      </c>
      <c r="R790">
        <v>5</v>
      </c>
      <c r="S790">
        <v>5</v>
      </c>
      <c r="T790">
        <v>5</v>
      </c>
      <c r="U790">
        <v>5</v>
      </c>
      <c r="V790">
        <v>1</v>
      </c>
      <c r="W790">
        <v>5</v>
      </c>
      <c r="X790">
        <v>4</v>
      </c>
      <c r="Y790">
        <v>4</v>
      </c>
      <c r="Z790">
        <v>5</v>
      </c>
      <c r="AA790">
        <v>4</v>
      </c>
      <c r="AB790">
        <v>2</v>
      </c>
      <c r="AC790">
        <v>5</v>
      </c>
      <c r="AD790">
        <v>5</v>
      </c>
      <c r="AE790">
        <v>5</v>
      </c>
      <c r="AF790">
        <v>1</v>
      </c>
      <c r="AG790">
        <v>5</v>
      </c>
      <c r="AH790">
        <v>1</v>
      </c>
      <c r="AI790">
        <v>5</v>
      </c>
      <c r="AJ790">
        <v>5</v>
      </c>
      <c r="AK790" t="b">
        <f>Table67[[#This Row],[What is your age?]]&lt;&gt;"18 - 25"</f>
        <v>0</v>
      </c>
      <c r="AL790" t="b">
        <f t="shared" si="48"/>
        <v>0</v>
      </c>
      <c r="AM790" t="b">
        <f t="shared" si="49"/>
        <v>0</v>
      </c>
      <c r="AN790" t="b">
        <f t="shared" si="50"/>
        <v>0</v>
      </c>
      <c r="AO790" t="b">
        <f>OR(Table67[[#This Row],[Ineligible respondents]:[Inconsistent response on opposite question (3)]])</f>
        <v>0</v>
      </c>
      <c r="AP79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790">
        <f>Table67[[#This Row],[Extreme Response]]/21</f>
        <v>0.66666666666666663</v>
      </c>
      <c r="AR790">
        <f>_xlfn.PERCENTILE.INC(Table67[Extrem Response Ratio (ERS)],0.9)</f>
        <v>0.61904761904761907</v>
      </c>
      <c r="AS790" t="b">
        <f>Table67[[#This Row],[Extrem Response Ratio (ERS)]]&gt;=Table67[[#This Row],[Threshold of ERS]]</f>
        <v>1</v>
      </c>
      <c r="AT790">
        <f>COUNTIF(Table67[[#This Row],[The mechanism of digital assets is difficult to understand, which discourages me from exploring it (E.g, Tokenization, Blockchain)]:[If I want to try different ways to invest, I will explore digital assets.]], 3)</f>
        <v>1</v>
      </c>
      <c r="AU790">
        <f>Table67[[#This Row],[Midpoint]]/21</f>
        <v>4.7619047619047616E-2</v>
      </c>
      <c r="AV790">
        <f>_xlfn.PERCENTILE.INC(Table67[Midpoint ratio],0.9)</f>
        <v>0.5714285714285714</v>
      </c>
      <c r="AW790" t="b">
        <f>Table67[[#This Row],[Midpoint ratio]]&gt;=Table67[[#This Row],[Threshold of Midpoint ratio]]</f>
        <v>0</v>
      </c>
      <c r="AX790" t="b">
        <f>OR(Table67[[#This Row],[Extreme Response Style]],Table67[[#This Row],[Mid-point Response Style]])</f>
        <v>1</v>
      </c>
      <c r="AY790" t="b">
        <f>OR(Table67[[#This Row],[Delete? (Stage 1)]],Table67[[#This Row],[Delete? (Stage 2)]])</f>
        <v>1</v>
      </c>
      <c r="AZ790" t="s">
        <v>84</v>
      </c>
    </row>
    <row r="791" spans="1:52">
      <c r="A791">
        <f t="shared" si="51"/>
        <v>790</v>
      </c>
      <c r="B791" s="3">
        <v>46049.775567129604</v>
      </c>
      <c r="C791" s="3">
        <v>46049.781990740703</v>
      </c>
      <c r="D791" t="s">
        <v>53</v>
      </c>
      <c r="G791" t="s">
        <v>54</v>
      </c>
      <c r="H791" t="s">
        <v>63</v>
      </c>
      <c r="I791" t="s">
        <v>56</v>
      </c>
      <c r="J791" t="s">
        <v>62</v>
      </c>
      <c r="K791" t="s">
        <v>62</v>
      </c>
      <c r="L791" t="s">
        <v>58</v>
      </c>
      <c r="M791" t="s">
        <v>58</v>
      </c>
      <c r="N791">
        <v>4</v>
      </c>
      <c r="O791">
        <v>2</v>
      </c>
      <c r="P791">
        <v>3</v>
      </c>
      <c r="Q791">
        <v>2</v>
      </c>
      <c r="R791">
        <v>5</v>
      </c>
      <c r="S791">
        <v>4</v>
      </c>
      <c r="T791">
        <v>4</v>
      </c>
      <c r="U791">
        <v>2</v>
      </c>
      <c r="V791">
        <v>5</v>
      </c>
      <c r="W791">
        <v>5</v>
      </c>
      <c r="X791">
        <v>4</v>
      </c>
      <c r="Y791">
        <v>5</v>
      </c>
      <c r="Z791">
        <v>5</v>
      </c>
      <c r="AA791">
        <v>4</v>
      </c>
      <c r="AB791">
        <v>1</v>
      </c>
      <c r="AC791">
        <v>2</v>
      </c>
      <c r="AD791">
        <v>4</v>
      </c>
      <c r="AE791">
        <v>5</v>
      </c>
      <c r="AF791">
        <v>5</v>
      </c>
      <c r="AG791">
        <v>2</v>
      </c>
      <c r="AH791">
        <v>4</v>
      </c>
      <c r="AI791">
        <v>2</v>
      </c>
      <c r="AJ791">
        <v>1</v>
      </c>
      <c r="AK791" t="b">
        <f>Table67[[#This Row],[What is your age?]]&lt;&gt;"18 - 25"</f>
        <v>0</v>
      </c>
      <c r="AL791" t="b">
        <f t="shared" si="48"/>
        <v>0</v>
      </c>
      <c r="AM791" t="b">
        <f t="shared" si="49"/>
        <v>0</v>
      </c>
      <c r="AN791" t="b">
        <f t="shared" si="50"/>
        <v>0</v>
      </c>
      <c r="AO791" t="b">
        <f>OR(Table67[[#This Row],[Ineligible respondents]:[Inconsistent response on opposite question (3)]])</f>
        <v>0</v>
      </c>
      <c r="AP79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791">
        <f>Table67[[#This Row],[Extreme Response]]/21</f>
        <v>0.38095238095238093</v>
      </c>
      <c r="AR791">
        <f>_xlfn.PERCENTILE.INC(Table67[Extrem Response Ratio (ERS)],0.9)</f>
        <v>0.61904761904761907</v>
      </c>
      <c r="AS791" t="b">
        <f>Table67[[#This Row],[Extrem Response Ratio (ERS)]]&gt;=Table67[[#This Row],[Threshold of ERS]]</f>
        <v>0</v>
      </c>
      <c r="AT791">
        <f>COUNTIF(Table67[[#This Row],[The mechanism of digital assets is difficult to understand, which discourages me from exploring it (E.g, Tokenization, Blockchain)]:[If I want to try different ways to invest, I will explore digital assets.]], 3)</f>
        <v>1</v>
      </c>
      <c r="AU791">
        <f>Table67[[#This Row],[Midpoint]]/21</f>
        <v>4.7619047619047616E-2</v>
      </c>
      <c r="AV791">
        <f>_xlfn.PERCENTILE.INC(Table67[Midpoint ratio],0.9)</f>
        <v>0.5714285714285714</v>
      </c>
      <c r="AW791" t="b">
        <f>Table67[[#This Row],[Midpoint ratio]]&gt;=Table67[[#This Row],[Threshold of Midpoint ratio]]</f>
        <v>0</v>
      </c>
      <c r="AX791" t="b">
        <f>OR(Table67[[#This Row],[Extreme Response Style]],Table67[[#This Row],[Mid-point Response Style]])</f>
        <v>0</v>
      </c>
      <c r="AY791" t="b">
        <f>OR(Table67[[#This Row],[Delete? (Stage 1)]],Table67[[#This Row],[Delete? (Stage 2)]])</f>
        <v>0</v>
      </c>
      <c r="AZ791" t="s">
        <v>84</v>
      </c>
    </row>
    <row r="792" spans="1:52">
      <c r="A792">
        <f t="shared" si="51"/>
        <v>791</v>
      </c>
      <c r="B792" s="3">
        <v>46049.775636574101</v>
      </c>
      <c r="C792" s="3">
        <v>46049.778518518498</v>
      </c>
      <c r="D792" t="s">
        <v>53</v>
      </c>
      <c r="G792" t="s">
        <v>54</v>
      </c>
      <c r="H792" t="s">
        <v>55</v>
      </c>
      <c r="I792" t="s">
        <v>75</v>
      </c>
      <c r="J792" t="s">
        <v>62</v>
      </c>
      <c r="K792" t="s">
        <v>62</v>
      </c>
      <c r="L792" t="s">
        <v>58</v>
      </c>
      <c r="M792" t="s">
        <v>58</v>
      </c>
      <c r="N792">
        <v>4</v>
      </c>
      <c r="O792">
        <v>3</v>
      </c>
      <c r="P792">
        <v>4</v>
      </c>
      <c r="Q792">
        <v>3</v>
      </c>
      <c r="R792">
        <v>4</v>
      </c>
      <c r="S792">
        <v>3</v>
      </c>
      <c r="T792">
        <v>5</v>
      </c>
      <c r="U792">
        <v>4</v>
      </c>
      <c r="V792">
        <v>3</v>
      </c>
      <c r="W792">
        <v>4</v>
      </c>
      <c r="X792">
        <v>3</v>
      </c>
      <c r="Y792">
        <v>4</v>
      </c>
      <c r="Z792">
        <v>4</v>
      </c>
      <c r="AA792">
        <v>3</v>
      </c>
      <c r="AB792">
        <v>4</v>
      </c>
      <c r="AC792">
        <v>4</v>
      </c>
      <c r="AD792">
        <v>4</v>
      </c>
      <c r="AE792">
        <v>4</v>
      </c>
      <c r="AF792">
        <v>3</v>
      </c>
      <c r="AG792">
        <v>4</v>
      </c>
      <c r="AH792">
        <v>4</v>
      </c>
      <c r="AI792">
        <v>2</v>
      </c>
      <c r="AJ792">
        <v>3</v>
      </c>
      <c r="AK792" t="b">
        <f>Table67[[#This Row],[What is your age?]]&lt;&gt;"18 - 25"</f>
        <v>0</v>
      </c>
      <c r="AL792" t="b">
        <f t="shared" si="48"/>
        <v>0</v>
      </c>
      <c r="AM792" t="b">
        <f t="shared" si="49"/>
        <v>1</v>
      </c>
      <c r="AN792" t="b">
        <f t="shared" si="50"/>
        <v>0</v>
      </c>
      <c r="AO792" t="b">
        <f>OR(Table67[[#This Row],[Ineligible respondents]:[Inconsistent response on opposite question (3)]])</f>
        <v>1</v>
      </c>
      <c r="AP79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792">
        <f>Table67[[#This Row],[Extreme Response]]/21</f>
        <v>4.7619047619047616E-2</v>
      </c>
      <c r="AR792">
        <f>_xlfn.PERCENTILE.INC(Table67[Extrem Response Ratio (ERS)],0.9)</f>
        <v>0.61904761904761907</v>
      </c>
      <c r="AS792" t="b">
        <f>Table67[[#This Row],[Extrem Response Ratio (ERS)]]&gt;=Table67[[#This Row],[Threshold of ERS]]</f>
        <v>0</v>
      </c>
      <c r="AT792">
        <f>COUNTIF(Table67[[#This Row],[The mechanism of digital assets is difficult to understand, which discourages me from exploring it (E.g, Tokenization, Blockchain)]:[If I want to try different ways to invest, I will explore digital assets.]], 3)</f>
        <v>7</v>
      </c>
      <c r="AU792">
        <f>Table67[[#This Row],[Midpoint]]/21</f>
        <v>0.33333333333333331</v>
      </c>
      <c r="AV792">
        <f>_xlfn.PERCENTILE.INC(Table67[Midpoint ratio],0.9)</f>
        <v>0.5714285714285714</v>
      </c>
      <c r="AW792" t="b">
        <f>Table67[[#This Row],[Midpoint ratio]]&gt;=Table67[[#This Row],[Threshold of Midpoint ratio]]</f>
        <v>0</v>
      </c>
      <c r="AX792" t="b">
        <f>OR(Table67[[#This Row],[Extreme Response Style]],Table67[[#This Row],[Mid-point Response Style]])</f>
        <v>0</v>
      </c>
      <c r="AY792" t="b">
        <f>OR(Table67[[#This Row],[Delete? (Stage 1)]],Table67[[#This Row],[Delete? (Stage 2)]])</f>
        <v>1</v>
      </c>
      <c r="AZ792" t="s">
        <v>84</v>
      </c>
    </row>
    <row r="793" spans="1:52">
      <c r="A793">
        <f t="shared" si="51"/>
        <v>792</v>
      </c>
      <c r="B793" s="3">
        <v>46049.776111111103</v>
      </c>
      <c r="C793" s="3">
        <v>46049.795532407399</v>
      </c>
      <c r="D793" t="s">
        <v>53</v>
      </c>
      <c r="G793" t="s">
        <v>54</v>
      </c>
      <c r="H793" t="s">
        <v>55</v>
      </c>
      <c r="I793" t="s">
        <v>56</v>
      </c>
      <c r="J793" t="s">
        <v>62</v>
      </c>
      <c r="K793" t="s">
        <v>62</v>
      </c>
      <c r="L793" t="s">
        <v>58</v>
      </c>
      <c r="M793" t="s">
        <v>58</v>
      </c>
      <c r="N793">
        <v>4</v>
      </c>
      <c r="O793">
        <v>1</v>
      </c>
      <c r="P793">
        <v>4</v>
      </c>
      <c r="Q793">
        <v>4</v>
      </c>
      <c r="R793">
        <v>2</v>
      </c>
      <c r="S793">
        <v>4</v>
      </c>
      <c r="T793">
        <v>5</v>
      </c>
      <c r="U793">
        <v>5</v>
      </c>
      <c r="V793">
        <v>4</v>
      </c>
      <c r="W793">
        <v>3</v>
      </c>
      <c r="X793">
        <v>5</v>
      </c>
      <c r="Y793">
        <v>5</v>
      </c>
      <c r="Z793">
        <v>5</v>
      </c>
      <c r="AA793">
        <v>5</v>
      </c>
      <c r="AB793">
        <v>3</v>
      </c>
      <c r="AC793">
        <v>5</v>
      </c>
      <c r="AD793">
        <v>4</v>
      </c>
      <c r="AE793">
        <v>4</v>
      </c>
      <c r="AF793">
        <v>2</v>
      </c>
      <c r="AG793">
        <v>1</v>
      </c>
      <c r="AH793">
        <v>2</v>
      </c>
      <c r="AI793">
        <v>4</v>
      </c>
      <c r="AJ793">
        <v>4</v>
      </c>
      <c r="AK793" t="b">
        <f>Table67[[#This Row],[What is your age?]]&lt;&gt;"18 - 25"</f>
        <v>0</v>
      </c>
      <c r="AL793" t="b">
        <f t="shared" si="48"/>
        <v>0</v>
      </c>
      <c r="AM793" t="b">
        <f t="shared" si="49"/>
        <v>1</v>
      </c>
      <c r="AN793" t="b">
        <f t="shared" si="50"/>
        <v>0</v>
      </c>
      <c r="AO793" t="b">
        <f>OR(Table67[[#This Row],[Ineligible respondents]:[Inconsistent response on opposite question (3)]])</f>
        <v>1</v>
      </c>
      <c r="AP79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793">
        <f>Table67[[#This Row],[Extreme Response]]/21</f>
        <v>0.42857142857142855</v>
      </c>
      <c r="AR793">
        <f>_xlfn.PERCENTILE.INC(Table67[Extrem Response Ratio (ERS)],0.9)</f>
        <v>0.61904761904761907</v>
      </c>
      <c r="AS793" t="b">
        <f>Table67[[#This Row],[Extrem Response Ratio (ERS)]]&gt;=Table67[[#This Row],[Threshold of ERS]]</f>
        <v>0</v>
      </c>
      <c r="AT793">
        <f>COUNTIF(Table67[[#This Row],[The mechanism of digital assets is difficult to understand, which discourages me from exploring it (E.g, Tokenization, Blockchain)]:[If I want to try different ways to invest, I will explore digital assets.]], 3)</f>
        <v>2</v>
      </c>
      <c r="AU793">
        <f>Table67[[#This Row],[Midpoint]]/21</f>
        <v>9.5238095238095233E-2</v>
      </c>
      <c r="AV793">
        <f>_xlfn.PERCENTILE.INC(Table67[Midpoint ratio],0.9)</f>
        <v>0.5714285714285714</v>
      </c>
      <c r="AW793" t="b">
        <f>Table67[[#This Row],[Midpoint ratio]]&gt;=Table67[[#This Row],[Threshold of Midpoint ratio]]</f>
        <v>0</v>
      </c>
      <c r="AX793" t="b">
        <f>OR(Table67[[#This Row],[Extreme Response Style]],Table67[[#This Row],[Mid-point Response Style]])</f>
        <v>0</v>
      </c>
      <c r="AY793" t="b">
        <f>OR(Table67[[#This Row],[Delete? (Stage 1)]],Table67[[#This Row],[Delete? (Stage 2)]])</f>
        <v>1</v>
      </c>
      <c r="AZ793" t="s">
        <v>84</v>
      </c>
    </row>
    <row r="794" spans="1:52">
      <c r="A794">
        <f t="shared" si="51"/>
        <v>793</v>
      </c>
      <c r="B794" s="3">
        <v>46049.777175925898</v>
      </c>
      <c r="C794" s="3">
        <v>46049.7808912037</v>
      </c>
      <c r="D794" t="s">
        <v>53</v>
      </c>
      <c r="G794" t="s">
        <v>54</v>
      </c>
      <c r="H794" t="s">
        <v>55</v>
      </c>
      <c r="I794" t="s">
        <v>71</v>
      </c>
      <c r="J794" t="s">
        <v>62</v>
      </c>
      <c r="K794" t="s">
        <v>62</v>
      </c>
      <c r="L794" t="s">
        <v>58</v>
      </c>
      <c r="M794" t="s">
        <v>58</v>
      </c>
      <c r="N794">
        <v>4</v>
      </c>
      <c r="O794">
        <v>3</v>
      </c>
      <c r="P794">
        <v>4</v>
      </c>
      <c r="Q794">
        <v>4</v>
      </c>
      <c r="R794">
        <v>3</v>
      </c>
      <c r="S794">
        <v>4</v>
      </c>
      <c r="T794">
        <v>3</v>
      </c>
      <c r="U794">
        <v>4</v>
      </c>
      <c r="V794">
        <v>3</v>
      </c>
      <c r="W794">
        <v>4</v>
      </c>
      <c r="X794">
        <v>4</v>
      </c>
      <c r="Y794">
        <v>3</v>
      </c>
      <c r="Z794">
        <v>5</v>
      </c>
      <c r="AA794">
        <v>4</v>
      </c>
      <c r="AB794">
        <v>3</v>
      </c>
      <c r="AC794">
        <v>4</v>
      </c>
      <c r="AD794">
        <v>1</v>
      </c>
      <c r="AE794">
        <v>2</v>
      </c>
      <c r="AF794">
        <v>3</v>
      </c>
      <c r="AG794">
        <v>2</v>
      </c>
      <c r="AH794">
        <v>3</v>
      </c>
      <c r="AI794">
        <v>3</v>
      </c>
      <c r="AJ794">
        <v>3</v>
      </c>
      <c r="AK794" t="b">
        <f>Table67[[#This Row],[What is your age?]]&lt;&gt;"18 - 25"</f>
        <v>0</v>
      </c>
      <c r="AL794" t="b">
        <f t="shared" si="48"/>
        <v>0</v>
      </c>
      <c r="AM794" t="b">
        <f t="shared" si="49"/>
        <v>0</v>
      </c>
      <c r="AN794" t="b">
        <f t="shared" si="50"/>
        <v>1</v>
      </c>
      <c r="AO794" t="b">
        <f>OR(Table67[[#This Row],[Ineligible respondents]:[Inconsistent response on opposite question (3)]])</f>
        <v>1</v>
      </c>
      <c r="AP79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794">
        <f>Table67[[#This Row],[Extreme Response]]/21</f>
        <v>9.5238095238095233E-2</v>
      </c>
      <c r="AR794">
        <f>_xlfn.PERCENTILE.INC(Table67[Extrem Response Ratio (ERS)],0.9)</f>
        <v>0.61904761904761907</v>
      </c>
      <c r="AS794" t="b">
        <f>Table67[[#This Row],[Extrem Response Ratio (ERS)]]&gt;=Table67[[#This Row],[Threshold of ERS]]</f>
        <v>0</v>
      </c>
      <c r="AT794">
        <f>COUNTIF(Table67[[#This Row],[The mechanism of digital assets is difficult to understand, which discourages me from exploring it (E.g, Tokenization, Blockchain)]:[If I want to try different ways to invest, I will explore digital assets.]], 3)</f>
        <v>8</v>
      </c>
      <c r="AU794">
        <f>Table67[[#This Row],[Midpoint]]/21</f>
        <v>0.38095238095238093</v>
      </c>
      <c r="AV794">
        <f>_xlfn.PERCENTILE.INC(Table67[Midpoint ratio],0.9)</f>
        <v>0.5714285714285714</v>
      </c>
      <c r="AW794" t="b">
        <f>Table67[[#This Row],[Midpoint ratio]]&gt;=Table67[[#This Row],[Threshold of Midpoint ratio]]</f>
        <v>0</v>
      </c>
      <c r="AX794" t="b">
        <f>OR(Table67[[#This Row],[Extreme Response Style]],Table67[[#This Row],[Mid-point Response Style]])</f>
        <v>0</v>
      </c>
      <c r="AY794" t="b">
        <f>OR(Table67[[#This Row],[Delete? (Stage 1)]],Table67[[#This Row],[Delete? (Stage 2)]])</f>
        <v>1</v>
      </c>
      <c r="AZ794" t="s">
        <v>84</v>
      </c>
    </row>
    <row r="795" spans="1:52">
      <c r="A795">
        <f t="shared" si="51"/>
        <v>794</v>
      </c>
      <c r="B795" s="3">
        <v>46049.777719907397</v>
      </c>
      <c r="C795" s="3">
        <v>46049.783865740697</v>
      </c>
      <c r="D795" t="s">
        <v>53</v>
      </c>
      <c r="G795" t="s">
        <v>54</v>
      </c>
      <c r="H795" t="s">
        <v>63</v>
      </c>
      <c r="I795" t="s">
        <v>56</v>
      </c>
      <c r="J795" t="s">
        <v>62</v>
      </c>
      <c r="K795" t="s">
        <v>62</v>
      </c>
      <c r="L795" t="s">
        <v>61</v>
      </c>
      <c r="M795" t="s">
        <v>61</v>
      </c>
      <c r="N795">
        <v>2</v>
      </c>
      <c r="O795">
        <v>3</v>
      </c>
      <c r="P795">
        <v>2</v>
      </c>
      <c r="Q795">
        <v>2</v>
      </c>
      <c r="R795">
        <v>1</v>
      </c>
      <c r="S795">
        <v>1</v>
      </c>
      <c r="T795">
        <v>1</v>
      </c>
      <c r="U795">
        <v>2</v>
      </c>
      <c r="V795">
        <v>1</v>
      </c>
      <c r="W795">
        <v>1</v>
      </c>
      <c r="X795">
        <v>2</v>
      </c>
      <c r="Y795">
        <v>1</v>
      </c>
      <c r="Z795">
        <v>4</v>
      </c>
      <c r="AA795">
        <v>1</v>
      </c>
      <c r="AB795">
        <v>1</v>
      </c>
      <c r="AC795">
        <v>2</v>
      </c>
      <c r="AD795">
        <v>3</v>
      </c>
      <c r="AE795">
        <v>1</v>
      </c>
      <c r="AF795">
        <v>5</v>
      </c>
      <c r="AG795">
        <v>1</v>
      </c>
      <c r="AH795">
        <v>5</v>
      </c>
      <c r="AI795">
        <v>1</v>
      </c>
      <c r="AJ795">
        <v>1</v>
      </c>
      <c r="AK795" t="b">
        <f>Table67[[#This Row],[What is your age?]]&lt;&gt;"18 - 25"</f>
        <v>0</v>
      </c>
      <c r="AL795" t="b">
        <f t="shared" si="48"/>
        <v>0</v>
      </c>
      <c r="AM795" t="b">
        <f t="shared" si="49"/>
        <v>0</v>
      </c>
      <c r="AN795" t="b">
        <f t="shared" si="50"/>
        <v>0</v>
      </c>
      <c r="AO795" t="b">
        <f>OR(Table67[[#This Row],[Ineligible respondents]:[Inconsistent response on opposite question (3)]])</f>
        <v>0</v>
      </c>
      <c r="AP79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12</v>
      </c>
      <c r="AQ795">
        <f>Table67[[#This Row],[Extreme Response]]/21</f>
        <v>0.5714285714285714</v>
      </c>
      <c r="AR795">
        <f>_xlfn.PERCENTILE.INC(Table67[Extrem Response Ratio (ERS)],0.9)</f>
        <v>0.61904761904761907</v>
      </c>
      <c r="AS795" t="b">
        <f>Table67[[#This Row],[Extrem Response Ratio (ERS)]]&gt;=Table67[[#This Row],[Threshold of ERS]]</f>
        <v>0</v>
      </c>
      <c r="AT795">
        <f>COUNTIF(Table67[[#This Row],[The mechanism of digital assets is difficult to understand, which discourages me from exploring it (E.g, Tokenization, Blockchain)]:[If I want to try different ways to invest, I will explore digital assets.]], 3)</f>
        <v>2</v>
      </c>
      <c r="AU795">
        <f>Table67[[#This Row],[Midpoint]]/21</f>
        <v>9.5238095238095233E-2</v>
      </c>
      <c r="AV795">
        <f>_xlfn.PERCENTILE.INC(Table67[Midpoint ratio],0.9)</f>
        <v>0.5714285714285714</v>
      </c>
      <c r="AW795" t="b">
        <f>Table67[[#This Row],[Midpoint ratio]]&gt;=Table67[[#This Row],[Threshold of Midpoint ratio]]</f>
        <v>0</v>
      </c>
      <c r="AX795" t="b">
        <f>OR(Table67[[#This Row],[Extreme Response Style]],Table67[[#This Row],[Mid-point Response Style]])</f>
        <v>0</v>
      </c>
      <c r="AY795" t="b">
        <f>OR(Table67[[#This Row],[Delete? (Stage 1)]],Table67[[#This Row],[Delete? (Stage 2)]])</f>
        <v>0</v>
      </c>
      <c r="AZ795" t="s">
        <v>84</v>
      </c>
    </row>
    <row r="796" spans="1:52">
      <c r="A796">
        <f t="shared" si="51"/>
        <v>795</v>
      </c>
      <c r="B796" s="3">
        <v>46049.781238425901</v>
      </c>
      <c r="C796" s="3">
        <v>46049.782962963</v>
      </c>
      <c r="D796" t="s">
        <v>53</v>
      </c>
      <c r="G796" t="s">
        <v>54</v>
      </c>
      <c r="H796" t="s">
        <v>55</v>
      </c>
      <c r="I796" t="s">
        <v>56</v>
      </c>
      <c r="J796" t="s">
        <v>62</v>
      </c>
      <c r="K796" t="s">
        <v>57</v>
      </c>
      <c r="L796" t="s">
        <v>58</v>
      </c>
      <c r="M796" t="s">
        <v>58</v>
      </c>
      <c r="N796">
        <v>3</v>
      </c>
      <c r="O796">
        <v>3</v>
      </c>
      <c r="P796">
        <v>3</v>
      </c>
      <c r="Q796">
        <v>3</v>
      </c>
      <c r="R796">
        <v>3</v>
      </c>
      <c r="S796">
        <v>3</v>
      </c>
      <c r="T796">
        <v>3</v>
      </c>
      <c r="U796">
        <v>3</v>
      </c>
      <c r="V796">
        <v>3</v>
      </c>
      <c r="W796">
        <v>3</v>
      </c>
      <c r="X796">
        <v>3</v>
      </c>
      <c r="Y796">
        <v>3</v>
      </c>
      <c r="Z796">
        <v>3</v>
      </c>
      <c r="AA796">
        <v>3</v>
      </c>
      <c r="AB796">
        <v>3</v>
      </c>
      <c r="AC796">
        <v>3</v>
      </c>
      <c r="AD796">
        <v>3</v>
      </c>
      <c r="AE796">
        <v>3</v>
      </c>
      <c r="AF796">
        <v>3</v>
      </c>
      <c r="AG796">
        <v>3</v>
      </c>
      <c r="AH796">
        <v>3</v>
      </c>
      <c r="AI796">
        <v>3</v>
      </c>
      <c r="AJ796">
        <v>3</v>
      </c>
      <c r="AK796" t="b">
        <f>Table67[[#This Row],[What is your age?]]&lt;&gt;"18 - 25"</f>
        <v>0</v>
      </c>
      <c r="AL796" t="b">
        <f t="shared" si="48"/>
        <v>1</v>
      </c>
      <c r="AM796" t="b">
        <f t="shared" si="49"/>
        <v>0</v>
      </c>
      <c r="AN796" t="b">
        <f t="shared" si="50"/>
        <v>0</v>
      </c>
      <c r="AO796" t="b">
        <f>OR(Table67[[#This Row],[Ineligible respondents]:[Inconsistent response on opposite question (3)]])</f>
        <v>1</v>
      </c>
      <c r="AP79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796">
        <f>Table67[[#This Row],[Extreme Response]]/21</f>
        <v>0</v>
      </c>
      <c r="AR796">
        <f>_xlfn.PERCENTILE.INC(Table67[Extrem Response Ratio (ERS)],0.9)</f>
        <v>0.61904761904761907</v>
      </c>
      <c r="AS796" t="b">
        <f>Table67[[#This Row],[Extrem Response Ratio (ERS)]]&gt;=Table67[[#This Row],[Threshold of ERS]]</f>
        <v>0</v>
      </c>
      <c r="AT796">
        <f>COUNTIF(Table67[[#This Row],[The mechanism of digital assets is difficult to understand, which discourages me from exploring it (E.g, Tokenization, Blockchain)]:[If I want to try different ways to invest, I will explore digital assets.]], 3)</f>
        <v>21</v>
      </c>
      <c r="AU796">
        <f>Table67[[#This Row],[Midpoint]]/21</f>
        <v>1</v>
      </c>
      <c r="AV796">
        <f>_xlfn.PERCENTILE.INC(Table67[Midpoint ratio],0.9)</f>
        <v>0.5714285714285714</v>
      </c>
      <c r="AW796" t="b">
        <f>Table67[[#This Row],[Midpoint ratio]]&gt;=Table67[[#This Row],[Threshold of Midpoint ratio]]</f>
        <v>1</v>
      </c>
      <c r="AX796" t="b">
        <f>OR(Table67[[#This Row],[Extreme Response Style]],Table67[[#This Row],[Mid-point Response Style]])</f>
        <v>1</v>
      </c>
      <c r="AY796" t="b">
        <f>OR(Table67[[#This Row],[Delete? (Stage 1)]],Table67[[#This Row],[Delete? (Stage 2)]])</f>
        <v>1</v>
      </c>
      <c r="AZ796" t="s">
        <v>84</v>
      </c>
    </row>
    <row r="797" spans="1:52">
      <c r="A797">
        <f t="shared" si="51"/>
        <v>796</v>
      </c>
      <c r="B797" s="3">
        <v>46049.782187500001</v>
      </c>
      <c r="C797" s="3">
        <v>46049.7874421296</v>
      </c>
      <c r="D797" t="s">
        <v>53</v>
      </c>
      <c r="G797" t="s">
        <v>54</v>
      </c>
      <c r="H797" t="s">
        <v>55</v>
      </c>
      <c r="I797" t="s">
        <v>56</v>
      </c>
      <c r="J797" t="s">
        <v>62</v>
      </c>
      <c r="K797" t="s">
        <v>62</v>
      </c>
      <c r="L797" t="s">
        <v>61</v>
      </c>
      <c r="M797" t="s">
        <v>61</v>
      </c>
      <c r="N797">
        <v>4</v>
      </c>
      <c r="O797">
        <v>3</v>
      </c>
      <c r="P797">
        <v>5</v>
      </c>
      <c r="Q797">
        <v>2</v>
      </c>
      <c r="R797">
        <v>2</v>
      </c>
      <c r="S797">
        <v>5</v>
      </c>
      <c r="T797">
        <v>4</v>
      </c>
      <c r="U797">
        <v>2</v>
      </c>
      <c r="V797">
        <v>5</v>
      </c>
      <c r="W797">
        <v>4</v>
      </c>
      <c r="X797">
        <v>2</v>
      </c>
      <c r="Y797">
        <v>4</v>
      </c>
      <c r="Z797">
        <v>4</v>
      </c>
      <c r="AA797">
        <v>5</v>
      </c>
      <c r="AB797">
        <v>2</v>
      </c>
      <c r="AC797">
        <v>4</v>
      </c>
      <c r="AD797">
        <v>4</v>
      </c>
      <c r="AE797">
        <v>5</v>
      </c>
      <c r="AF797">
        <v>3</v>
      </c>
      <c r="AG797">
        <v>3</v>
      </c>
      <c r="AH797">
        <v>4</v>
      </c>
      <c r="AI797">
        <v>2</v>
      </c>
      <c r="AJ797">
        <v>3</v>
      </c>
      <c r="AK797" t="b">
        <f>Table67[[#This Row],[What is your age?]]&lt;&gt;"18 - 25"</f>
        <v>0</v>
      </c>
      <c r="AL797" t="b">
        <f t="shared" si="48"/>
        <v>0</v>
      </c>
      <c r="AM797" t="b">
        <f t="shared" si="49"/>
        <v>0</v>
      </c>
      <c r="AN797" t="b">
        <f t="shared" si="50"/>
        <v>1</v>
      </c>
      <c r="AO797" t="b">
        <f>OR(Table67[[#This Row],[Ineligible respondents]:[Inconsistent response on opposite question (3)]])</f>
        <v>1</v>
      </c>
      <c r="AP79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797">
        <f>Table67[[#This Row],[Extreme Response]]/21</f>
        <v>0.23809523809523808</v>
      </c>
      <c r="AR797">
        <f>_xlfn.PERCENTILE.INC(Table67[Extrem Response Ratio (ERS)],0.9)</f>
        <v>0.61904761904761907</v>
      </c>
      <c r="AS797" t="b">
        <f>Table67[[#This Row],[Extrem Response Ratio (ERS)]]&gt;=Table67[[#This Row],[Threshold of ERS]]</f>
        <v>0</v>
      </c>
      <c r="AT797">
        <f>COUNTIF(Table67[[#This Row],[The mechanism of digital assets is difficult to understand, which discourages me from exploring it (E.g, Tokenization, Blockchain)]:[If I want to try different ways to invest, I will explore digital assets.]], 3)</f>
        <v>3</v>
      </c>
      <c r="AU797">
        <f>Table67[[#This Row],[Midpoint]]/21</f>
        <v>0.14285714285714285</v>
      </c>
      <c r="AV797">
        <f>_xlfn.PERCENTILE.INC(Table67[Midpoint ratio],0.9)</f>
        <v>0.5714285714285714</v>
      </c>
      <c r="AW797" t="b">
        <f>Table67[[#This Row],[Midpoint ratio]]&gt;=Table67[[#This Row],[Threshold of Midpoint ratio]]</f>
        <v>0</v>
      </c>
      <c r="AX797" t="b">
        <f>OR(Table67[[#This Row],[Extreme Response Style]],Table67[[#This Row],[Mid-point Response Style]])</f>
        <v>0</v>
      </c>
      <c r="AY797" t="b">
        <f>OR(Table67[[#This Row],[Delete? (Stage 1)]],Table67[[#This Row],[Delete? (Stage 2)]])</f>
        <v>1</v>
      </c>
      <c r="AZ797" t="s">
        <v>84</v>
      </c>
    </row>
    <row r="798" spans="1:52">
      <c r="A798">
        <f t="shared" si="51"/>
        <v>797</v>
      </c>
      <c r="B798" s="3">
        <v>46049.782430555599</v>
      </c>
      <c r="C798" s="3">
        <v>46049.789710648103</v>
      </c>
      <c r="D798" t="s">
        <v>53</v>
      </c>
      <c r="G798" t="s">
        <v>54</v>
      </c>
      <c r="H798" t="s">
        <v>55</v>
      </c>
      <c r="I798" t="s">
        <v>71</v>
      </c>
      <c r="J798" t="s">
        <v>62</v>
      </c>
      <c r="K798" t="s">
        <v>62</v>
      </c>
      <c r="L798" t="s">
        <v>58</v>
      </c>
      <c r="M798" t="s">
        <v>58</v>
      </c>
      <c r="N798">
        <v>3</v>
      </c>
      <c r="O798">
        <v>4</v>
      </c>
      <c r="P798">
        <v>4</v>
      </c>
      <c r="Q798">
        <v>4</v>
      </c>
      <c r="R798">
        <v>3</v>
      </c>
      <c r="S798">
        <v>3</v>
      </c>
      <c r="T798">
        <v>5</v>
      </c>
      <c r="U798">
        <v>5</v>
      </c>
      <c r="V798">
        <v>5</v>
      </c>
      <c r="W798">
        <v>5</v>
      </c>
      <c r="X798">
        <v>3</v>
      </c>
      <c r="Y798">
        <v>4</v>
      </c>
      <c r="Z798">
        <v>3</v>
      </c>
      <c r="AA798">
        <v>5</v>
      </c>
      <c r="AB798">
        <v>2</v>
      </c>
      <c r="AC798">
        <v>5</v>
      </c>
      <c r="AD798">
        <v>5</v>
      </c>
      <c r="AE798">
        <v>2</v>
      </c>
      <c r="AF798">
        <v>3</v>
      </c>
      <c r="AG798">
        <v>3</v>
      </c>
      <c r="AH798">
        <v>2</v>
      </c>
      <c r="AI798">
        <v>4</v>
      </c>
      <c r="AJ798">
        <v>3</v>
      </c>
      <c r="AK798" t="b">
        <f>Table67[[#This Row],[What is your age?]]&lt;&gt;"18 - 25"</f>
        <v>0</v>
      </c>
      <c r="AL798" t="b">
        <f t="shared" si="48"/>
        <v>0</v>
      </c>
      <c r="AM798" t="b">
        <f t="shared" si="49"/>
        <v>0</v>
      </c>
      <c r="AN798" t="b">
        <f t="shared" si="50"/>
        <v>1</v>
      </c>
      <c r="AO798" t="b">
        <f>OR(Table67[[#This Row],[Ineligible respondents]:[Inconsistent response on opposite question (3)]])</f>
        <v>1</v>
      </c>
      <c r="AP79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798">
        <f>Table67[[#This Row],[Extreme Response]]/21</f>
        <v>0.33333333333333331</v>
      </c>
      <c r="AR798">
        <f>_xlfn.PERCENTILE.INC(Table67[Extrem Response Ratio (ERS)],0.9)</f>
        <v>0.61904761904761907</v>
      </c>
      <c r="AS798" t="b">
        <f>Table67[[#This Row],[Extrem Response Ratio (ERS)]]&gt;=Table67[[#This Row],[Threshold of ERS]]</f>
        <v>0</v>
      </c>
      <c r="AT798">
        <f>COUNTIF(Table67[[#This Row],[The mechanism of digital assets is difficult to understand, which discourages me from exploring it (E.g, Tokenization, Blockchain)]:[If I want to try different ways to invest, I will explore digital assets.]], 3)</f>
        <v>7</v>
      </c>
      <c r="AU798">
        <f>Table67[[#This Row],[Midpoint]]/21</f>
        <v>0.33333333333333331</v>
      </c>
      <c r="AV798">
        <f>_xlfn.PERCENTILE.INC(Table67[Midpoint ratio],0.9)</f>
        <v>0.5714285714285714</v>
      </c>
      <c r="AW798" t="b">
        <f>Table67[[#This Row],[Midpoint ratio]]&gt;=Table67[[#This Row],[Threshold of Midpoint ratio]]</f>
        <v>0</v>
      </c>
      <c r="AX798" t="b">
        <f>OR(Table67[[#This Row],[Extreme Response Style]],Table67[[#This Row],[Mid-point Response Style]])</f>
        <v>0</v>
      </c>
      <c r="AY798" t="b">
        <f>OR(Table67[[#This Row],[Delete? (Stage 1)]],Table67[[#This Row],[Delete? (Stage 2)]])</f>
        <v>1</v>
      </c>
      <c r="AZ798" t="s">
        <v>84</v>
      </c>
    </row>
    <row r="799" spans="1:52">
      <c r="A799">
        <f t="shared" si="51"/>
        <v>798</v>
      </c>
      <c r="B799" s="3">
        <v>46049.784733796303</v>
      </c>
      <c r="C799" s="3">
        <v>46049.786516203698</v>
      </c>
      <c r="D799" t="s">
        <v>53</v>
      </c>
      <c r="G799" t="s">
        <v>73</v>
      </c>
      <c r="H799" t="s">
        <v>55</v>
      </c>
      <c r="I799" t="s">
        <v>75</v>
      </c>
      <c r="J799" t="s">
        <v>62</v>
      </c>
      <c r="K799" t="s">
        <v>62</v>
      </c>
      <c r="L799" t="s">
        <v>61</v>
      </c>
      <c r="M799" t="s">
        <v>61</v>
      </c>
      <c r="N799">
        <v>2</v>
      </c>
      <c r="O799">
        <v>2</v>
      </c>
      <c r="P799">
        <v>2</v>
      </c>
      <c r="Q799">
        <v>2</v>
      </c>
      <c r="R799">
        <v>4</v>
      </c>
      <c r="S799">
        <v>1</v>
      </c>
      <c r="T799">
        <v>1</v>
      </c>
      <c r="U799">
        <v>1</v>
      </c>
      <c r="V799">
        <v>1</v>
      </c>
      <c r="W799">
        <v>2</v>
      </c>
      <c r="X799">
        <v>2</v>
      </c>
      <c r="Y799">
        <v>3</v>
      </c>
      <c r="Z799">
        <v>1</v>
      </c>
      <c r="AA799">
        <v>3</v>
      </c>
      <c r="AB799">
        <v>1</v>
      </c>
      <c r="AC799">
        <v>2</v>
      </c>
      <c r="AD799">
        <v>2</v>
      </c>
      <c r="AE799">
        <v>1</v>
      </c>
      <c r="AF799">
        <v>3</v>
      </c>
      <c r="AG799">
        <v>2</v>
      </c>
      <c r="AH799">
        <v>3</v>
      </c>
      <c r="AI799">
        <v>3</v>
      </c>
      <c r="AJ799">
        <v>3</v>
      </c>
      <c r="AK799" t="b">
        <f>Table67[[#This Row],[What is your age?]]&lt;&gt;"18 - 25"</f>
        <v>1</v>
      </c>
      <c r="AL799" t="b">
        <f t="shared" si="48"/>
        <v>0</v>
      </c>
      <c r="AM799" t="b">
        <f t="shared" si="49"/>
        <v>0</v>
      </c>
      <c r="AN799" t="b">
        <f t="shared" si="50"/>
        <v>1</v>
      </c>
      <c r="AO799" t="b">
        <f>OR(Table67[[#This Row],[Ineligible respondents]:[Inconsistent response on opposite question (3)]])</f>
        <v>1</v>
      </c>
      <c r="AP79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799">
        <f>Table67[[#This Row],[Extreme Response]]/21</f>
        <v>0.33333333333333331</v>
      </c>
      <c r="AR799">
        <f>_xlfn.PERCENTILE.INC(Table67[Extrem Response Ratio (ERS)],0.9)</f>
        <v>0.61904761904761907</v>
      </c>
      <c r="AS799" t="b">
        <f>Table67[[#This Row],[Extrem Response Ratio (ERS)]]&gt;=Table67[[#This Row],[Threshold of ERS]]</f>
        <v>0</v>
      </c>
      <c r="AT799">
        <f>COUNTIF(Table67[[#This Row],[The mechanism of digital assets is difficult to understand, which discourages me from exploring it (E.g, Tokenization, Blockchain)]:[If I want to try different ways to invest, I will explore digital assets.]], 3)</f>
        <v>4</v>
      </c>
      <c r="AU799">
        <f>Table67[[#This Row],[Midpoint]]/21</f>
        <v>0.19047619047619047</v>
      </c>
      <c r="AV799">
        <f>_xlfn.PERCENTILE.INC(Table67[Midpoint ratio],0.9)</f>
        <v>0.5714285714285714</v>
      </c>
      <c r="AW799" t="b">
        <f>Table67[[#This Row],[Midpoint ratio]]&gt;=Table67[[#This Row],[Threshold of Midpoint ratio]]</f>
        <v>0</v>
      </c>
      <c r="AX799" t="b">
        <f>OR(Table67[[#This Row],[Extreme Response Style]],Table67[[#This Row],[Mid-point Response Style]])</f>
        <v>0</v>
      </c>
      <c r="AY799" t="b">
        <f>OR(Table67[[#This Row],[Delete? (Stage 1)]],Table67[[#This Row],[Delete? (Stage 2)]])</f>
        <v>1</v>
      </c>
      <c r="AZ799" t="s">
        <v>84</v>
      </c>
    </row>
    <row r="800" spans="1:52">
      <c r="A800">
        <f t="shared" si="51"/>
        <v>799</v>
      </c>
      <c r="B800" s="3">
        <v>46049.786157407398</v>
      </c>
      <c r="C800" s="3">
        <v>46049.788229166697</v>
      </c>
      <c r="D800" t="s">
        <v>53</v>
      </c>
      <c r="G800" t="s">
        <v>73</v>
      </c>
      <c r="H800" t="s">
        <v>55</v>
      </c>
      <c r="I800" t="s">
        <v>75</v>
      </c>
      <c r="J800" t="s">
        <v>60</v>
      </c>
      <c r="K800" t="s">
        <v>62</v>
      </c>
      <c r="L800" t="s">
        <v>58</v>
      </c>
      <c r="M800" t="s">
        <v>61</v>
      </c>
      <c r="N800">
        <v>2</v>
      </c>
      <c r="O800">
        <v>5</v>
      </c>
      <c r="P800">
        <v>4</v>
      </c>
      <c r="Q800">
        <v>5</v>
      </c>
      <c r="R800">
        <v>5</v>
      </c>
      <c r="S800">
        <v>5</v>
      </c>
      <c r="T800">
        <v>1</v>
      </c>
      <c r="U800">
        <v>5</v>
      </c>
      <c r="V800">
        <v>5</v>
      </c>
      <c r="W800">
        <v>5</v>
      </c>
      <c r="X800">
        <v>5</v>
      </c>
      <c r="Y800">
        <v>5</v>
      </c>
      <c r="Z800">
        <v>5</v>
      </c>
      <c r="AA800">
        <v>5</v>
      </c>
      <c r="AB800">
        <v>5</v>
      </c>
      <c r="AC800">
        <v>5</v>
      </c>
      <c r="AD800">
        <v>5</v>
      </c>
      <c r="AE800">
        <v>5</v>
      </c>
      <c r="AF800">
        <v>5</v>
      </c>
      <c r="AG800">
        <v>5</v>
      </c>
      <c r="AH800">
        <v>5</v>
      </c>
      <c r="AI800">
        <v>1</v>
      </c>
      <c r="AJ800">
        <v>1</v>
      </c>
      <c r="AK800" t="b">
        <f>Table67[[#This Row],[What is your age?]]&lt;&gt;"18 - 25"</f>
        <v>1</v>
      </c>
      <c r="AL800" t="b">
        <f t="shared" si="48"/>
        <v>0</v>
      </c>
      <c r="AM800" t="b">
        <f t="shared" si="49"/>
        <v>1</v>
      </c>
      <c r="AN800" t="b">
        <f t="shared" si="50"/>
        <v>0</v>
      </c>
      <c r="AO800" t="b">
        <f>OR(Table67[[#This Row],[Ineligible respondents]:[Inconsistent response on opposite question (3)]])</f>
        <v>1</v>
      </c>
      <c r="AP80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19</v>
      </c>
      <c r="AQ800">
        <f>Table67[[#This Row],[Extreme Response]]/21</f>
        <v>0.90476190476190477</v>
      </c>
      <c r="AR800">
        <f>_xlfn.PERCENTILE.INC(Table67[Extrem Response Ratio (ERS)],0.9)</f>
        <v>0.61904761904761907</v>
      </c>
      <c r="AS800" t="b">
        <f>Table67[[#This Row],[Extrem Response Ratio (ERS)]]&gt;=Table67[[#This Row],[Threshold of ERS]]</f>
        <v>1</v>
      </c>
      <c r="AT800">
        <f>COUNTIF(Table67[[#This Row],[The mechanism of digital assets is difficult to understand, which discourages me from exploring it (E.g, Tokenization, Blockchain)]:[If I want to try different ways to invest, I will explore digital assets.]], 3)</f>
        <v>0</v>
      </c>
      <c r="AU800">
        <f>Table67[[#This Row],[Midpoint]]/21</f>
        <v>0</v>
      </c>
      <c r="AV800">
        <f>_xlfn.PERCENTILE.INC(Table67[Midpoint ratio],0.9)</f>
        <v>0.5714285714285714</v>
      </c>
      <c r="AW800" t="b">
        <f>Table67[[#This Row],[Midpoint ratio]]&gt;=Table67[[#This Row],[Threshold of Midpoint ratio]]</f>
        <v>0</v>
      </c>
      <c r="AX800" t="b">
        <f>OR(Table67[[#This Row],[Extreme Response Style]],Table67[[#This Row],[Mid-point Response Style]])</f>
        <v>1</v>
      </c>
      <c r="AY800" t="b">
        <f>OR(Table67[[#This Row],[Delete? (Stage 1)]],Table67[[#This Row],[Delete? (Stage 2)]])</f>
        <v>1</v>
      </c>
      <c r="AZ800" t="s">
        <v>84</v>
      </c>
    </row>
    <row r="801" spans="1:52">
      <c r="A801">
        <f t="shared" si="51"/>
        <v>800</v>
      </c>
      <c r="B801" s="3">
        <v>46049.7870833333</v>
      </c>
      <c r="C801" s="3">
        <v>46049.796087962997</v>
      </c>
      <c r="D801" t="s">
        <v>53</v>
      </c>
      <c r="G801" t="s">
        <v>54</v>
      </c>
      <c r="H801" t="s">
        <v>63</v>
      </c>
      <c r="I801" t="s">
        <v>56</v>
      </c>
      <c r="J801" t="s">
        <v>62</v>
      </c>
      <c r="K801" t="s">
        <v>57</v>
      </c>
      <c r="L801" t="s">
        <v>58</v>
      </c>
      <c r="M801" t="s">
        <v>58</v>
      </c>
      <c r="N801">
        <v>5</v>
      </c>
      <c r="O801">
        <v>3</v>
      </c>
      <c r="P801">
        <v>3</v>
      </c>
      <c r="Q801">
        <v>4</v>
      </c>
      <c r="R801">
        <v>2</v>
      </c>
      <c r="S801">
        <v>4</v>
      </c>
      <c r="T801">
        <v>3</v>
      </c>
      <c r="U801">
        <v>5</v>
      </c>
      <c r="V801">
        <v>4</v>
      </c>
      <c r="W801">
        <v>3</v>
      </c>
      <c r="X801">
        <v>4</v>
      </c>
      <c r="Y801">
        <v>4</v>
      </c>
      <c r="Z801">
        <v>4</v>
      </c>
      <c r="AA801">
        <v>4</v>
      </c>
      <c r="AB801">
        <v>3</v>
      </c>
      <c r="AC801">
        <v>3</v>
      </c>
      <c r="AD801">
        <v>3</v>
      </c>
      <c r="AE801">
        <v>2</v>
      </c>
      <c r="AF801">
        <v>2</v>
      </c>
      <c r="AG801">
        <v>4</v>
      </c>
      <c r="AH801">
        <v>3</v>
      </c>
      <c r="AI801">
        <v>3</v>
      </c>
      <c r="AJ801">
        <v>4</v>
      </c>
      <c r="AK801" t="b">
        <f>Table67[[#This Row],[What is your age?]]&lt;&gt;"18 - 25"</f>
        <v>0</v>
      </c>
      <c r="AL801" t="b">
        <f t="shared" si="48"/>
        <v>0</v>
      </c>
      <c r="AM801" t="b">
        <f t="shared" si="49"/>
        <v>0</v>
      </c>
      <c r="AN801" t="b">
        <f t="shared" si="50"/>
        <v>1</v>
      </c>
      <c r="AO801" t="b">
        <f>OR(Table67[[#This Row],[Ineligible respondents]:[Inconsistent response on opposite question (3)]])</f>
        <v>1</v>
      </c>
      <c r="AP80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801">
        <f>Table67[[#This Row],[Extreme Response]]/21</f>
        <v>9.5238095238095233E-2</v>
      </c>
      <c r="AR801">
        <f>_xlfn.PERCENTILE.INC(Table67[Extrem Response Ratio (ERS)],0.9)</f>
        <v>0.61904761904761907</v>
      </c>
      <c r="AS801" t="b">
        <f>Table67[[#This Row],[Extrem Response Ratio (ERS)]]&gt;=Table67[[#This Row],[Threshold of ERS]]</f>
        <v>0</v>
      </c>
      <c r="AT801">
        <f>COUNTIF(Table67[[#This Row],[The mechanism of digital assets is difficult to understand, which discourages me from exploring it (E.g, Tokenization, Blockchain)]:[If I want to try different ways to invest, I will explore digital assets.]], 3)</f>
        <v>8</v>
      </c>
      <c r="AU801">
        <f>Table67[[#This Row],[Midpoint]]/21</f>
        <v>0.38095238095238093</v>
      </c>
      <c r="AV801">
        <f>_xlfn.PERCENTILE.INC(Table67[Midpoint ratio],0.9)</f>
        <v>0.5714285714285714</v>
      </c>
      <c r="AW801" t="b">
        <f>Table67[[#This Row],[Midpoint ratio]]&gt;=Table67[[#This Row],[Threshold of Midpoint ratio]]</f>
        <v>0</v>
      </c>
      <c r="AX801" t="b">
        <f>OR(Table67[[#This Row],[Extreme Response Style]],Table67[[#This Row],[Mid-point Response Style]])</f>
        <v>0</v>
      </c>
      <c r="AY801" t="b">
        <f>OR(Table67[[#This Row],[Delete? (Stage 1)]],Table67[[#This Row],[Delete? (Stage 2)]])</f>
        <v>1</v>
      </c>
      <c r="AZ801" t="s">
        <v>84</v>
      </c>
    </row>
    <row r="802" spans="1:52">
      <c r="A802">
        <f t="shared" si="51"/>
        <v>801</v>
      </c>
      <c r="B802" s="3">
        <v>46049.788379629601</v>
      </c>
      <c r="C802" s="3">
        <v>46049.794212963003</v>
      </c>
      <c r="D802" t="s">
        <v>53</v>
      </c>
      <c r="G802" t="s">
        <v>54</v>
      </c>
      <c r="H802" t="s">
        <v>63</v>
      </c>
      <c r="I802" t="s">
        <v>82</v>
      </c>
      <c r="J802" t="s">
        <v>66</v>
      </c>
      <c r="K802" t="s">
        <v>72</v>
      </c>
      <c r="L802" t="s">
        <v>61</v>
      </c>
      <c r="M802" t="s">
        <v>61</v>
      </c>
      <c r="N802">
        <v>3</v>
      </c>
      <c r="O802">
        <v>2</v>
      </c>
      <c r="P802">
        <v>5</v>
      </c>
      <c r="Q802">
        <v>3</v>
      </c>
      <c r="R802">
        <v>4</v>
      </c>
      <c r="S802">
        <v>4</v>
      </c>
      <c r="T802">
        <v>2</v>
      </c>
      <c r="U802">
        <v>4</v>
      </c>
      <c r="V802">
        <v>5</v>
      </c>
      <c r="W802">
        <v>5</v>
      </c>
      <c r="X802">
        <v>5</v>
      </c>
      <c r="Y802">
        <v>5</v>
      </c>
      <c r="Z802">
        <v>5</v>
      </c>
      <c r="AA802">
        <v>3</v>
      </c>
      <c r="AB802">
        <v>4</v>
      </c>
      <c r="AC802">
        <v>3</v>
      </c>
      <c r="AD802">
        <v>5</v>
      </c>
      <c r="AE802">
        <v>4</v>
      </c>
      <c r="AF802">
        <v>4</v>
      </c>
      <c r="AG802">
        <v>2</v>
      </c>
      <c r="AH802">
        <v>3</v>
      </c>
      <c r="AI802">
        <v>3</v>
      </c>
      <c r="AJ802">
        <v>2</v>
      </c>
      <c r="AK802" t="b">
        <f>Table67[[#This Row],[What is your age?]]&lt;&gt;"18 - 25"</f>
        <v>0</v>
      </c>
      <c r="AL802" t="b">
        <f t="shared" si="48"/>
        <v>0</v>
      </c>
      <c r="AM802" t="b">
        <f t="shared" si="49"/>
        <v>0</v>
      </c>
      <c r="AN802" t="b">
        <f t="shared" si="50"/>
        <v>1</v>
      </c>
      <c r="AO802" t="b">
        <f>OR(Table67[[#This Row],[Ineligible respondents]:[Inconsistent response on opposite question (3)]])</f>
        <v>1</v>
      </c>
      <c r="AP80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802">
        <f>Table67[[#This Row],[Extreme Response]]/21</f>
        <v>0.33333333333333331</v>
      </c>
      <c r="AR802">
        <f>_xlfn.PERCENTILE.INC(Table67[Extrem Response Ratio (ERS)],0.9)</f>
        <v>0.61904761904761907</v>
      </c>
      <c r="AS802" t="b">
        <f>Table67[[#This Row],[Extrem Response Ratio (ERS)]]&gt;=Table67[[#This Row],[Threshold of ERS]]</f>
        <v>0</v>
      </c>
      <c r="AT802">
        <f>COUNTIF(Table67[[#This Row],[The mechanism of digital assets is difficult to understand, which discourages me from exploring it (E.g, Tokenization, Blockchain)]:[If I want to try different ways to invest, I will explore digital assets.]], 3)</f>
        <v>5</v>
      </c>
      <c r="AU802">
        <f>Table67[[#This Row],[Midpoint]]/21</f>
        <v>0.23809523809523808</v>
      </c>
      <c r="AV802">
        <f>_xlfn.PERCENTILE.INC(Table67[Midpoint ratio],0.9)</f>
        <v>0.5714285714285714</v>
      </c>
      <c r="AW802" t="b">
        <f>Table67[[#This Row],[Midpoint ratio]]&gt;=Table67[[#This Row],[Threshold of Midpoint ratio]]</f>
        <v>0</v>
      </c>
      <c r="AX802" t="b">
        <f>OR(Table67[[#This Row],[Extreme Response Style]],Table67[[#This Row],[Mid-point Response Style]])</f>
        <v>0</v>
      </c>
      <c r="AY802" t="b">
        <f>OR(Table67[[#This Row],[Delete? (Stage 1)]],Table67[[#This Row],[Delete? (Stage 2)]])</f>
        <v>1</v>
      </c>
      <c r="AZ802" t="s">
        <v>84</v>
      </c>
    </row>
    <row r="803" spans="1:52">
      <c r="A803">
        <f t="shared" si="51"/>
        <v>802</v>
      </c>
      <c r="B803" s="3">
        <v>46049.791018518503</v>
      </c>
      <c r="C803" s="3">
        <v>46049.793657407397</v>
      </c>
      <c r="D803" t="s">
        <v>53</v>
      </c>
      <c r="G803" t="s">
        <v>54</v>
      </c>
      <c r="H803" t="s">
        <v>55</v>
      </c>
      <c r="I803" t="s">
        <v>56</v>
      </c>
      <c r="J803" t="s">
        <v>60</v>
      </c>
      <c r="K803" t="s">
        <v>62</v>
      </c>
      <c r="L803" t="s">
        <v>61</v>
      </c>
      <c r="M803" t="s">
        <v>61</v>
      </c>
      <c r="N803">
        <v>3</v>
      </c>
      <c r="O803">
        <v>2</v>
      </c>
      <c r="P803">
        <v>1</v>
      </c>
      <c r="Q803">
        <v>2</v>
      </c>
      <c r="R803">
        <v>3</v>
      </c>
      <c r="S803">
        <v>3</v>
      </c>
      <c r="T803">
        <v>2</v>
      </c>
      <c r="U803">
        <v>4</v>
      </c>
      <c r="V803">
        <v>4</v>
      </c>
      <c r="W803">
        <v>5</v>
      </c>
      <c r="X803">
        <v>3</v>
      </c>
      <c r="Y803">
        <v>4</v>
      </c>
      <c r="Z803">
        <v>2</v>
      </c>
      <c r="AA803">
        <v>3</v>
      </c>
      <c r="AB803">
        <v>2</v>
      </c>
      <c r="AC803">
        <v>4</v>
      </c>
      <c r="AD803">
        <v>3</v>
      </c>
      <c r="AE803">
        <v>4</v>
      </c>
      <c r="AF803">
        <v>3</v>
      </c>
      <c r="AG803">
        <v>3</v>
      </c>
      <c r="AH803">
        <v>4</v>
      </c>
      <c r="AI803">
        <v>2</v>
      </c>
      <c r="AJ803">
        <v>3</v>
      </c>
      <c r="AK803" t="b">
        <f>Table67[[#This Row],[What is your age?]]&lt;&gt;"18 - 25"</f>
        <v>0</v>
      </c>
      <c r="AL803" t="b">
        <f t="shared" si="48"/>
        <v>0</v>
      </c>
      <c r="AM803" t="b">
        <f t="shared" si="49"/>
        <v>0</v>
      </c>
      <c r="AN803" t="b">
        <f t="shared" si="50"/>
        <v>1</v>
      </c>
      <c r="AO803" t="b">
        <f>OR(Table67[[#This Row],[Ineligible respondents]:[Inconsistent response on opposite question (3)]])</f>
        <v>1</v>
      </c>
      <c r="AP80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803">
        <f>Table67[[#This Row],[Extreme Response]]/21</f>
        <v>9.5238095238095233E-2</v>
      </c>
      <c r="AR803">
        <f>_xlfn.PERCENTILE.INC(Table67[Extrem Response Ratio (ERS)],0.9)</f>
        <v>0.61904761904761907</v>
      </c>
      <c r="AS803" t="b">
        <f>Table67[[#This Row],[Extrem Response Ratio (ERS)]]&gt;=Table67[[#This Row],[Threshold of ERS]]</f>
        <v>0</v>
      </c>
      <c r="AT803">
        <f>COUNTIF(Table67[[#This Row],[The mechanism of digital assets is difficult to understand, which discourages me from exploring it (E.g, Tokenization, Blockchain)]:[If I want to try different ways to invest, I will explore digital assets.]], 3)</f>
        <v>8</v>
      </c>
      <c r="AU803">
        <f>Table67[[#This Row],[Midpoint]]/21</f>
        <v>0.38095238095238093</v>
      </c>
      <c r="AV803">
        <f>_xlfn.PERCENTILE.INC(Table67[Midpoint ratio],0.9)</f>
        <v>0.5714285714285714</v>
      </c>
      <c r="AW803" t="b">
        <f>Table67[[#This Row],[Midpoint ratio]]&gt;=Table67[[#This Row],[Threshold of Midpoint ratio]]</f>
        <v>0</v>
      </c>
      <c r="AX803" t="b">
        <f>OR(Table67[[#This Row],[Extreme Response Style]],Table67[[#This Row],[Mid-point Response Style]])</f>
        <v>0</v>
      </c>
      <c r="AY803" t="b">
        <f>OR(Table67[[#This Row],[Delete? (Stage 1)]],Table67[[#This Row],[Delete? (Stage 2)]])</f>
        <v>1</v>
      </c>
      <c r="AZ803" t="s">
        <v>84</v>
      </c>
    </row>
    <row r="804" spans="1:52">
      <c r="A804">
        <f t="shared" si="51"/>
        <v>803</v>
      </c>
      <c r="B804" s="3">
        <v>46049.794074074103</v>
      </c>
      <c r="C804" s="3">
        <v>46049.802523148101</v>
      </c>
      <c r="D804" t="s">
        <v>53</v>
      </c>
      <c r="G804" t="s">
        <v>54</v>
      </c>
      <c r="H804" t="s">
        <v>63</v>
      </c>
      <c r="I804" t="s">
        <v>56</v>
      </c>
      <c r="J804" t="s">
        <v>62</v>
      </c>
      <c r="K804" t="s">
        <v>57</v>
      </c>
      <c r="L804" t="s">
        <v>61</v>
      </c>
      <c r="M804" t="s">
        <v>61</v>
      </c>
      <c r="N804">
        <v>2</v>
      </c>
      <c r="O804">
        <v>2</v>
      </c>
      <c r="P804">
        <v>4</v>
      </c>
      <c r="Q804">
        <v>2</v>
      </c>
      <c r="R804">
        <v>2</v>
      </c>
      <c r="S804">
        <v>4</v>
      </c>
      <c r="T804">
        <v>2</v>
      </c>
      <c r="U804">
        <v>4</v>
      </c>
      <c r="V804">
        <v>3</v>
      </c>
      <c r="W804">
        <v>4</v>
      </c>
      <c r="X804">
        <v>4</v>
      </c>
      <c r="Y804">
        <v>4</v>
      </c>
      <c r="Z804">
        <v>3</v>
      </c>
      <c r="AA804">
        <v>2</v>
      </c>
      <c r="AB804">
        <v>3</v>
      </c>
      <c r="AC804">
        <v>3</v>
      </c>
      <c r="AD804">
        <v>4</v>
      </c>
      <c r="AE804">
        <v>1</v>
      </c>
      <c r="AF804">
        <v>5</v>
      </c>
      <c r="AG804">
        <v>2</v>
      </c>
      <c r="AH804">
        <v>4</v>
      </c>
      <c r="AI804">
        <v>2</v>
      </c>
      <c r="AJ804">
        <v>1</v>
      </c>
      <c r="AK804" t="b">
        <f>Table67[[#This Row],[What is your age?]]&lt;&gt;"18 - 25"</f>
        <v>0</v>
      </c>
      <c r="AL804" t="b">
        <f t="shared" si="48"/>
        <v>0</v>
      </c>
      <c r="AM804" t="b">
        <f t="shared" si="49"/>
        <v>0</v>
      </c>
      <c r="AN804" t="b">
        <f t="shared" si="50"/>
        <v>0</v>
      </c>
      <c r="AO804" t="b">
        <f>OR(Table67[[#This Row],[Ineligible respondents]:[Inconsistent response on opposite question (3)]])</f>
        <v>0</v>
      </c>
      <c r="AP80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804">
        <f>Table67[[#This Row],[Extreme Response]]/21</f>
        <v>9.5238095238095233E-2</v>
      </c>
      <c r="AR804">
        <f>_xlfn.PERCENTILE.INC(Table67[Extrem Response Ratio (ERS)],0.9)</f>
        <v>0.61904761904761907</v>
      </c>
      <c r="AS804" t="b">
        <f>Table67[[#This Row],[Extrem Response Ratio (ERS)]]&gt;=Table67[[#This Row],[Threshold of ERS]]</f>
        <v>0</v>
      </c>
      <c r="AT804">
        <f>COUNTIF(Table67[[#This Row],[The mechanism of digital assets is difficult to understand, which discourages me from exploring it (E.g, Tokenization, Blockchain)]:[If I want to try different ways to invest, I will explore digital assets.]], 3)</f>
        <v>4</v>
      </c>
      <c r="AU804">
        <f>Table67[[#This Row],[Midpoint]]/21</f>
        <v>0.19047619047619047</v>
      </c>
      <c r="AV804">
        <f>_xlfn.PERCENTILE.INC(Table67[Midpoint ratio],0.9)</f>
        <v>0.5714285714285714</v>
      </c>
      <c r="AW804" t="b">
        <f>Table67[[#This Row],[Midpoint ratio]]&gt;=Table67[[#This Row],[Threshold of Midpoint ratio]]</f>
        <v>0</v>
      </c>
      <c r="AX804" t="b">
        <f>OR(Table67[[#This Row],[Extreme Response Style]],Table67[[#This Row],[Mid-point Response Style]])</f>
        <v>0</v>
      </c>
      <c r="AY804" t="b">
        <f>OR(Table67[[#This Row],[Delete? (Stage 1)]],Table67[[#This Row],[Delete? (Stage 2)]])</f>
        <v>0</v>
      </c>
      <c r="AZ804" t="s">
        <v>84</v>
      </c>
    </row>
    <row r="805" spans="1:52">
      <c r="A805">
        <f t="shared" si="51"/>
        <v>804</v>
      </c>
      <c r="B805" s="3">
        <v>46049.7963310185</v>
      </c>
      <c r="C805" s="3">
        <v>46049.798831018503</v>
      </c>
      <c r="D805" t="s">
        <v>53</v>
      </c>
      <c r="G805" t="s">
        <v>54</v>
      </c>
      <c r="H805" t="s">
        <v>55</v>
      </c>
      <c r="I805" t="s">
        <v>75</v>
      </c>
      <c r="J805" t="s">
        <v>60</v>
      </c>
      <c r="K805" t="s">
        <v>66</v>
      </c>
      <c r="L805" t="s">
        <v>58</v>
      </c>
      <c r="M805" t="s">
        <v>58</v>
      </c>
      <c r="N805">
        <v>4</v>
      </c>
      <c r="O805">
        <v>2</v>
      </c>
      <c r="P805">
        <v>4</v>
      </c>
      <c r="Q805">
        <v>4</v>
      </c>
      <c r="R805">
        <v>3</v>
      </c>
      <c r="S805">
        <v>5</v>
      </c>
      <c r="T805">
        <v>3</v>
      </c>
      <c r="U805">
        <v>3</v>
      </c>
      <c r="V805">
        <v>4</v>
      </c>
      <c r="W805">
        <v>4</v>
      </c>
      <c r="X805">
        <v>5</v>
      </c>
      <c r="Y805">
        <v>5</v>
      </c>
      <c r="Z805">
        <v>4</v>
      </c>
      <c r="AA805">
        <v>5</v>
      </c>
      <c r="AB805">
        <v>3</v>
      </c>
      <c r="AC805">
        <v>4</v>
      </c>
      <c r="AD805">
        <v>3</v>
      </c>
      <c r="AE805">
        <v>4</v>
      </c>
      <c r="AF805">
        <v>3</v>
      </c>
      <c r="AG805">
        <v>3</v>
      </c>
      <c r="AH805">
        <v>4</v>
      </c>
      <c r="AI805">
        <v>2</v>
      </c>
      <c r="AJ805">
        <v>3</v>
      </c>
      <c r="AK805" t="b">
        <f>Table67[[#This Row],[What is your age?]]&lt;&gt;"18 - 25"</f>
        <v>0</v>
      </c>
      <c r="AL805" t="b">
        <f t="shared" si="48"/>
        <v>0</v>
      </c>
      <c r="AM805" t="b">
        <f t="shared" si="49"/>
        <v>0</v>
      </c>
      <c r="AN805" t="b">
        <f t="shared" si="50"/>
        <v>1</v>
      </c>
      <c r="AO805" t="b">
        <f>OR(Table67[[#This Row],[Ineligible respondents]:[Inconsistent response on opposite question (3)]])</f>
        <v>1</v>
      </c>
      <c r="AP80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805">
        <f>Table67[[#This Row],[Extreme Response]]/21</f>
        <v>0.19047619047619047</v>
      </c>
      <c r="AR805">
        <f>_xlfn.PERCENTILE.INC(Table67[Extrem Response Ratio (ERS)],0.9)</f>
        <v>0.61904761904761907</v>
      </c>
      <c r="AS805" t="b">
        <f>Table67[[#This Row],[Extrem Response Ratio (ERS)]]&gt;=Table67[[#This Row],[Threshold of ERS]]</f>
        <v>0</v>
      </c>
      <c r="AT805">
        <f>COUNTIF(Table67[[#This Row],[The mechanism of digital assets is difficult to understand, which discourages me from exploring it (E.g, Tokenization, Blockchain)]:[If I want to try different ways to invest, I will explore digital assets.]], 3)</f>
        <v>7</v>
      </c>
      <c r="AU805">
        <f>Table67[[#This Row],[Midpoint]]/21</f>
        <v>0.33333333333333331</v>
      </c>
      <c r="AV805">
        <f>_xlfn.PERCENTILE.INC(Table67[Midpoint ratio],0.9)</f>
        <v>0.5714285714285714</v>
      </c>
      <c r="AW805" t="b">
        <f>Table67[[#This Row],[Midpoint ratio]]&gt;=Table67[[#This Row],[Threshold of Midpoint ratio]]</f>
        <v>0</v>
      </c>
      <c r="AX805" t="b">
        <f>OR(Table67[[#This Row],[Extreme Response Style]],Table67[[#This Row],[Mid-point Response Style]])</f>
        <v>0</v>
      </c>
      <c r="AY805" t="b">
        <f>OR(Table67[[#This Row],[Delete? (Stage 1)]],Table67[[#This Row],[Delete? (Stage 2)]])</f>
        <v>1</v>
      </c>
      <c r="AZ805" t="s">
        <v>84</v>
      </c>
    </row>
    <row r="806" spans="1:52">
      <c r="A806">
        <f t="shared" si="51"/>
        <v>805</v>
      </c>
      <c r="B806" s="3">
        <v>46049.801041666702</v>
      </c>
      <c r="C806" s="3">
        <v>46049.810405092598</v>
      </c>
      <c r="D806" t="s">
        <v>53</v>
      </c>
      <c r="G806" t="s">
        <v>54</v>
      </c>
      <c r="H806" t="s">
        <v>63</v>
      </c>
      <c r="I806" t="s">
        <v>56</v>
      </c>
      <c r="J806" t="s">
        <v>68</v>
      </c>
      <c r="K806" t="s">
        <v>67</v>
      </c>
      <c r="L806" t="s">
        <v>61</v>
      </c>
      <c r="M806" t="s">
        <v>61</v>
      </c>
      <c r="N806">
        <v>3</v>
      </c>
      <c r="O806">
        <v>2</v>
      </c>
      <c r="P806">
        <v>4</v>
      </c>
      <c r="Q806">
        <v>4</v>
      </c>
      <c r="R806">
        <v>4</v>
      </c>
      <c r="S806">
        <v>4</v>
      </c>
      <c r="T806">
        <v>4</v>
      </c>
      <c r="U806">
        <v>4</v>
      </c>
      <c r="V806">
        <v>3</v>
      </c>
      <c r="W806">
        <v>5</v>
      </c>
      <c r="X806">
        <v>4</v>
      </c>
      <c r="Y806">
        <v>4</v>
      </c>
      <c r="Z806">
        <v>5</v>
      </c>
      <c r="AA806">
        <v>4</v>
      </c>
      <c r="AB806">
        <v>2</v>
      </c>
      <c r="AC806">
        <v>4</v>
      </c>
      <c r="AD806">
        <v>4</v>
      </c>
      <c r="AE806">
        <v>3</v>
      </c>
      <c r="AF806">
        <v>2</v>
      </c>
      <c r="AG806">
        <v>4</v>
      </c>
      <c r="AH806">
        <v>3</v>
      </c>
      <c r="AI806">
        <v>3</v>
      </c>
      <c r="AJ806">
        <v>4</v>
      </c>
      <c r="AK806" t="b">
        <f>Table67[[#This Row],[What is your age?]]&lt;&gt;"18 - 25"</f>
        <v>0</v>
      </c>
      <c r="AL806" t="b">
        <f t="shared" si="48"/>
        <v>0</v>
      </c>
      <c r="AM806" t="b">
        <f t="shared" si="49"/>
        <v>0</v>
      </c>
      <c r="AN806" t="b">
        <f t="shared" si="50"/>
        <v>1</v>
      </c>
      <c r="AO806" t="b">
        <f>OR(Table67[[#This Row],[Ineligible respondents]:[Inconsistent response on opposite question (3)]])</f>
        <v>1</v>
      </c>
      <c r="AP80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806">
        <f>Table67[[#This Row],[Extreme Response]]/21</f>
        <v>9.5238095238095233E-2</v>
      </c>
      <c r="AR806">
        <f>_xlfn.PERCENTILE.INC(Table67[Extrem Response Ratio (ERS)],0.9)</f>
        <v>0.61904761904761907</v>
      </c>
      <c r="AS806" t="b">
        <f>Table67[[#This Row],[Extrem Response Ratio (ERS)]]&gt;=Table67[[#This Row],[Threshold of ERS]]</f>
        <v>0</v>
      </c>
      <c r="AT806">
        <f>COUNTIF(Table67[[#This Row],[The mechanism of digital assets is difficult to understand, which discourages me from exploring it (E.g, Tokenization, Blockchain)]:[If I want to try different ways to invest, I will explore digital assets.]], 3)</f>
        <v>4</v>
      </c>
      <c r="AU806">
        <f>Table67[[#This Row],[Midpoint]]/21</f>
        <v>0.19047619047619047</v>
      </c>
      <c r="AV806">
        <f>_xlfn.PERCENTILE.INC(Table67[Midpoint ratio],0.9)</f>
        <v>0.5714285714285714</v>
      </c>
      <c r="AW806" t="b">
        <f>Table67[[#This Row],[Midpoint ratio]]&gt;=Table67[[#This Row],[Threshold of Midpoint ratio]]</f>
        <v>0</v>
      </c>
      <c r="AX806" t="b">
        <f>OR(Table67[[#This Row],[Extreme Response Style]],Table67[[#This Row],[Mid-point Response Style]])</f>
        <v>0</v>
      </c>
      <c r="AY806" t="b">
        <f>OR(Table67[[#This Row],[Delete? (Stage 1)]],Table67[[#This Row],[Delete? (Stage 2)]])</f>
        <v>1</v>
      </c>
      <c r="AZ806" t="s">
        <v>84</v>
      </c>
    </row>
    <row r="807" spans="1:52">
      <c r="A807">
        <f t="shared" si="51"/>
        <v>806</v>
      </c>
      <c r="B807" s="3">
        <v>46049.806712963</v>
      </c>
      <c r="C807" s="3">
        <v>46049.814953703702</v>
      </c>
      <c r="D807" t="s">
        <v>53</v>
      </c>
      <c r="G807" t="s">
        <v>54</v>
      </c>
      <c r="H807" t="s">
        <v>55</v>
      </c>
      <c r="I807" t="s">
        <v>71</v>
      </c>
      <c r="J807" t="s">
        <v>62</v>
      </c>
      <c r="K807" t="s">
        <v>62</v>
      </c>
      <c r="L807" t="s">
        <v>61</v>
      </c>
      <c r="M807" t="s">
        <v>61</v>
      </c>
      <c r="N807">
        <v>2</v>
      </c>
      <c r="O807">
        <v>2</v>
      </c>
      <c r="P807">
        <v>2</v>
      </c>
      <c r="Q807">
        <v>2</v>
      </c>
      <c r="R807">
        <v>3</v>
      </c>
      <c r="S807">
        <v>2</v>
      </c>
      <c r="T807">
        <v>1</v>
      </c>
      <c r="U807">
        <v>2</v>
      </c>
      <c r="V807">
        <v>2</v>
      </c>
      <c r="W807">
        <v>4</v>
      </c>
      <c r="X807">
        <v>4</v>
      </c>
      <c r="Y807">
        <v>4</v>
      </c>
      <c r="Z807">
        <v>3</v>
      </c>
      <c r="AA807">
        <v>3</v>
      </c>
      <c r="AB807">
        <v>4</v>
      </c>
      <c r="AC807">
        <v>2</v>
      </c>
      <c r="AD807">
        <v>2</v>
      </c>
      <c r="AE807">
        <v>4</v>
      </c>
      <c r="AF807">
        <v>4</v>
      </c>
      <c r="AG807">
        <v>2</v>
      </c>
      <c r="AH807">
        <v>3</v>
      </c>
      <c r="AI807">
        <v>3</v>
      </c>
      <c r="AJ807">
        <v>2</v>
      </c>
      <c r="AK807" t="b">
        <f>Table67[[#This Row],[What is your age?]]&lt;&gt;"18 - 25"</f>
        <v>0</v>
      </c>
      <c r="AL807" t="b">
        <f t="shared" si="48"/>
        <v>0</v>
      </c>
      <c r="AM807" t="b">
        <f t="shared" si="49"/>
        <v>0</v>
      </c>
      <c r="AN807" t="b">
        <f t="shared" si="50"/>
        <v>1</v>
      </c>
      <c r="AO807" t="b">
        <f>OR(Table67[[#This Row],[Ineligible respondents]:[Inconsistent response on opposite question (3)]])</f>
        <v>1</v>
      </c>
      <c r="AP80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807">
        <f>Table67[[#This Row],[Extreme Response]]/21</f>
        <v>4.7619047619047616E-2</v>
      </c>
      <c r="AR807">
        <f>_xlfn.PERCENTILE.INC(Table67[Extrem Response Ratio (ERS)],0.9)</f>
        <v>0.61904761904761907</v>
      </c>
      <c r="AS807" t="b">
        <f>Table67[[#This Row],[Extrem Response Ratio (ERS)]]&gt;=Table67[[#This Row],[Threshold of ERS]]</f>
        <v>0</v>
      </c>
      <c r="AT807">
        <f>COUNTIF(Table67[[#This Row],[The mechanism of digital assets is difficult to understand, which discourages me from exploring it (E.g, Tokenization, Blockchain)]:[If I want to try different ways to invest, I will explore digital assets.]], 3)</f>
        <v>4</v>
      </c>
      <c r="AU807">
        <f>Table67[[#This Row],[Midpoint]]/21</f>
        <v>0.19047619047619047</v>
      </c>
      <c r="AV807">
        <f>_xlfn.PERCENTILE.INC(Table67[Midpoint ratio],0.9)</f>
        <v>0.5714285714285714</v>
      </c>
      <c r="AW807" t="b">
        <f>Table67[[#This Row],[Midpoint ratio]]&gt;=Table67[[#This Row],[Threshold of Midpoint ratio]]</f>
        <v>0</v>
      </c>
      <c r="AX807" t="b">
        <f>OR(Table67[[#This Row],[Extreme Response Style]],Table67[[#This Row],[Mid-point Response Style]])</f>
        <v>0</v>
      </c>
      <c r="AY807" t="b">
        <f>OR(Table67[[#This Row],[Delete? (Stage 1)]],Table67[[#This Row],[Delete? (Stage 2)]])</f>
        <v>1</v>
      </c>
      <c r="AZ807" t="s">
        <v>84</v>
      </c>
    </row>
    <row r="808" spans="1:52">
      <c r="A808">
        <f t="shared" si="51"/>
        <v>807</v>
      </c>
      <c r="B808" s="3">
        <v>46049.8071180556</v>
      </c>
      <c r="C808" s="3">
        <v>46049.809826388897</v>
      </c>
      <c r="D808" t="s">
        <v>53</v>
      </c>
      <c r="G808" t="s">
        <v>54</v>
      </c>
      <c r="H808" t="s">
        <v>55</v>
      </c>
      <c r="I808" t="s">
        <v>56</v>
      </c>
      <c r="J808" t="s">
        <v>62</v>
      </c>
      <c r="K808" t="s">
        <v>57</v>
      </c>
      <c r="L808" t="s">
        <v>58</v>
      </c>
      <c r="M808" t="s">
        <v>58</v>
      </c>
      <c r="N808">
        <v>2</v>
      </c>
      <c r="O808">
        <v>1</v>
      </c>
      <c r="P808">
        <v>5</v>
      </c>
      <c r="Q808">
        <v>2</v>
      </c>
      <c r="R808">
        <v>4</v>
      </c>
      <c r="S808">
        <v>4</v>
      </c>
      <c r="T808">
        <v>5</v>
      </c>
      <c r="U808">
        <v>5</v>
      </c>
      <c r="V808">
        <v>5</v>
      </c>
      <c r="W808">
        <v>1</v>
      </c>
      <c r="X808">
        <v>5</v>
      </c>
      <c r="Y808">
        <v>2</v>
      </c>
      <c r="Z808">
        <v>4</v>
      </c>
      <c r="AA808">
        <v>4</v>
      </c>
      <c r="AB808">
        <v>5</v>
      </c>
      <c r="AC808">
        <v>5</v>
      </c>
      <c r="AD808">
        <v>5</v>
      </c>
      <c r="AE808">
        <v>5</v>
      </c>
      <c r="AF808">
        <v>1</v>
      </c>
      <c r="AG808">
        <v>5</v>
      </c>
      <c r="AH808">
        <v>3</v>
      </c>
      <c r="AI808">
        <v>3</v>
      </c>
      <c r="AJ808">
        <v>5</v>
      </c>
      <c r="AK808" t="b">
        <f>Table67[[#This Row],[What is your age?]]&lt;&gt;"18 - 25"</f>
        <v>0</v>
      </c>
      <c r="AL808" t="b">
        <f t="shared" si="48"/>
        <v>0</v>
      </c>
      <c r="AM808" t="b">
        <f t="shared" si="49"/>
        <v>0</v>
      </c>
      <c r="AN808" t="b">
        <f t="shared" si="50"/>
        <v>1</v>
      </c>
      <c r="AO808" t="b">
        <f>OR(Table67[[#This Row],[Ineligible respondents]:[Inconsistent response on opposite question (3)]])</f>
        <v>1</v>
      </c>
      <c r="AP80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808">
        <f>Table67[[#This Row],[Extreme Response]]/21</f>
        <v>0.61904761904761907</v>
      </c>
      <c r="AR808">
        <f>_xlfn.PERCENTILE.INC(Table67[Extrem Response Ratio (ERS)],0.9)</f>
        <v>0.61904761904761907</v>
      </c>
      <c r="AS808" t="b">
        <f>Table67[[#This Row],[Extrem Response Ratio (ERS)]]&gt;=Table67[[#This Row],[Threshold of ERS]]</f>
        <v>1</v>
      </c>
      <c r="AT808">
        <f>COUNTIF(Table67[[#This Row],[The mechanism of digital assets is difficult to understand, which discourages me from exploring it (E.g, Tokenization, Blockchain)]:[If I want to try different ways to invest, I will explore digital assets.]], 3)</f>
        <v>1</v>
      </c>
      <c r="AU808">
        <f>Table67[[#This Row],[Midpoint]]/21</f>
        <v>4.7619047619047616E-2</v>
      </c>
      <c r="AV808">
        <f>_xlfn.PERCENTILE.INC(Table67[Midpoint ratio],0.9)</f>
        <v>0.5714285714285714</v>
      </c>
      <c r="AW808" t="b">
        <f>Table67[[#This Row],[Midpoint ratio]]&gt;=Table67[[#This Row],[Threshold of Midpoint ratio]]</f>
        <v>0</v>
      </c>
      <c r="AX808" t="b">
        <f>OR(Table67[[#This Row],[Extreme Response Style]],Table67[[#This Row],[Mid-point Response Style]])</f>
        <v>1</v>
      </c>
      <c r="AY808" t="b">
        <f>OR(Table67[[#This Row],[Delete? (Stage 1)]],Table67[[#This Row],[Delete? (Stage 2)]])</f>
        <v>1</v>
      </c>
      <c r="AZ808" t="s">
        <v>84</v>
      </c>
    </row>
    <row r="809" spans="1:52">
      <c r="A809">
        <f t="shared" si="51"/>
        <v>808</v>
      </c>
      <c r="B809" s="3">
        <v>46049.820659722202</v>
      </c>
      <c r="C809" s="3">
        <v>46049.8265509259</v>
      </c>
      <c r="D809" t="s">
        <v>53</v>
      </c>
      <c r="G809" t="s">
        <v>54</v>
      </c>
      <c r="H809" t="s">
        <v>63</v>
      </c>
      <c r="I809" t="s">
        <v>56</v>
      </c>
      <c r="J809" t="s">
        <v>57</v>
      </c>
      <c r="K809" t="s">
        <v>57</v>
      </c>
      <c r="L809" t="s">
        <v>58</v>
      </c>
      <c r="M809" t="s">
        <v>58</v>
      </c>
      <c r="N809">
        <v>4</v>
      </c>
      <c r="O809">
        <v>2</v>
      </c>
      <c r="P809">
        <v>2</v>
      </c>
      <c r="Q809">
        <v>3</v>
      </c>
      <c r="R809">
        <v>2</v>
      </c>
      <c r="S809">
        <v>2</v>
      </c>
      <c r="T809">
        <v>2</v>
      </c>
      <c r="U809">
        <v>3</v>
      </c>
      <c r="V809">
        <v>2</v>
      </c>
      <c r="W809">
        <v>2</v>
      </c>
      <c r="X809">
        <v>3</v>
      </c>
      <c r="Y809">
        <v>3</v>
      </c>
      <c r="Z809">
        <v>4</v>
      </c>
      <c r="AA809">
        <v>3</v>
      </c>
      <c r="AB809">
        <v>3</v>
      </c>
      <c r="AC809">
        <v>4</v>
      </c>
      <c r="AD809">
        <v>3</v>
      </c>
      <c r="AE809">
        <v>3</v>
      </c>
      <c r="AF809">
        <v>3</v>
      </c>
      <c r="AG809">
        <v>3</v>
      </c>
      <c r="AH809">
        <v>2</v>
      </c>
      <c r="AI809">
        <v>4</v>
      </c>
      <c r="AJ809">
        <v>3</v>
      </c>
      <c r="AK809" t="b">
        <f>Table67[[#This Row],[What is your age?]]&lt;&gt;"18 - 25"</f>
        <v>0</v>
      </c>
      <c r="AL809" t="b">
        <f t="shared" si="48"/>
        <v>0</v>
      </c>
      <c r="AM809" t="b">
        <f t="shared" si="49"/>
        <v>0</v>
      </c>
      <c r="AN809" t="b">
        <f t="shared" si="50"/>
        <v>1</v>
      </c>
      <c r="AO809" t="b">
        <f>OR(Table67[[#This Row],[Ineligible respondents]:[Inconsistent response on opposite question (3)]])</f>
        <v>1</v>
      </c>
      <c r="AP80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809">
        <f>Table67[[#This Row],[Extreme Response]]/21</f>
        <v>0</v>
      </c>
      <c r="AR809">
        <f>_xlfn.PERCENTILE.INC(Table67[Extrem Response Ratio (ERS)],0.9)</f>
        <v>0.61904761904761907</v>
      </c>
      <c r="AS809" t="b">
        <f>Table67[[#This Row],[Extrem Response Ratio (ERS)]]&gt;=Table67[[#This Row],[Threshold of ERS]]</f>
        <v>0</v>
      </c>
      <c r="AT809">
        <f>COUNTIF(Table67[[#This Row],[The mechanism of digital assets is difficult to understand, which discourages me from exploring it (E.g, Tokenization, Blockchain)]:[If I want to try different ways to invest, I will explore digital assets.]], 3)</f>
        <v>10</v>
      </c>
      <c r="AU809">
        <f>Table67[[#This Row],[Midpoint]]/21</f>
        <v>0.47619047619047616</v>
      </c>
      <c r="AV809">
        <f>_xlfn.PERCENTILE.INC(Table67[Midpoint ratio],0.9)</f>
        <v>0.5714285714285714</v>
      </c>
      <c r="AW809" t="b">
        <f>Table67[[#This Row],[Midpoint ratio]]&gt;=Table67[[#This Row],[Threshold of Midpoint ratio]]</f>
        <v>0</v>
      </c>
      <c r="AX809" t="b">
        <f>OR(Table67[[#This Row],[Extreme Response Style]],Table67[[#This Row],[Mid-point Response Style]])</f>
        <v>0</v>
      </c>
      <c r="AY809" t="b">
        <f>OR(Table67[[#This Row],[Delete? (Stage 1)]],Table67[[#This Row],[Delete? (Stage 2)]])</f>
        <v>1</v>
      </c>
      <c r="AZ809" t="s">
        <v>84</v>
      </c>
    </row>
    <row r="810" spans="1:52">
      <c r="A810">
        <f t="shared" si="51"/>
        <v>809</v>
      </c>
      <c r="B810" s="3">
        <v>46049.824074074102</v>
      </c>
      <c r="C810" s="3">
        <v>46049.827152777798</v>
      </c>
      <c r="D810" t="s">
        <v>53</v>
      </c>
      <c r="G810" t="s">
        <v>54</v>
      </c>
      <c r="H810" t="s">
        <v>55</v>
      </c>
      <c r="I810" t="s">
        <v>75</v>
      </c>
      <c r="J810" t="s">
        <v>62</v>
      </c>
      <c r="K810" t="s">
        <v>62</v>
      </c>
      <c r="L810" t="s">
        <v>58</v>
      </c>
      <c r="M810" t="s">
        <v>61</v>
      </c>
      <c r="N810">
        <v>2</v>
      </c>
      <c r="O810">
        <v>4</v>
      </c>
      <c r="P810">
        <v>5</v>
      </c>
      <c r="Q810">
        <v>4</v>
      </c>
      <c r="R810">
        <v>3</v>
      </c>
      <c r="S810">
        <v>5</v>
      </c>
      <c r="T810">
        <v>4</v>
      </c>
      <c r="U810">
        <v>4</v>
      </c>
      <c r="V810">
        <v>5</v>
      </c>
      <c r="W810">
        <v>4</v>
      </c>
      <c r="X810">
        <v>3</v>
      </c>
      <c r="Y810">
        <v>4</v>
      </c>
      <c r="Z810">
        <v>4</v>
      </c>
      <c r="AA810">
        <v>5</v>
      </c>
      <c r="AB810">
        <v>4</v>
      </c>
      <c r="AC810">
        <v>4</v>
      </c>
      <c r="AD810">
        <v>4</v>
      </c>
      <c r="AE810">
        <v>2</v>
      </c>
      <c r="AF810">
        <v>5</v>
      </c>
      <c r="AG810">
        <v>5</v>
      </c>
      <c r="AH810">
        <v>4</v>
      </c>
      <c r="AI810">
        <v>2</v>
      </c>
      <c r="AJ810">
        <v>1</v>
      </c>
      <c r="AK810" t="b">
        <f>Table67[[#This Row],[What is your age?]]&lt;&gt;"18 - 25"</f>
        <v>0</v>
      </c>
      <c r="AL810" t="b">
        <f t="shared" si="48"/>
        <v>0</v>
      </c>
      <c r="AM810" t="b">
        <f t="shared" si="49"/>
        <v>1</v>
      </c>
      <c r="AN810" t="b">
        <f t="shared" si="50"/>
        <v>0</v>
      </c>
      <c r="AO810" t="b">
        <f>OR(Table67[[#This Row],[Ineligible respondents]:[Inconsistent response on opposite question (3)]])</f>
        <v>1</v>
      </c>
      <c r="AP81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810">
        <f>Table67[[#This Row],[Extreme Response]]/21</f>
        <v>0.2857142857142857</v>
      </c>
      <c r="AR810">
        <f>_xlfn.PERCENTILE.INC(Table67[Extrem Response Ratio (ERS)],0.9)</f>
        <v>0.61904761904761907</v>
      </c>
      <c r="AS810" t="b">
        <f>Table67[[#This Row],[Extrem Response Ratio (ERS)]]&gt;=Table67[[#This Row],[Threshold of ERS]]</f>
        <v>0</v>
      </c>
      <c r="AT810">
        <f>COUNTIF(Table67[[#This Row],[The mechanism of digital assets is difficult to understand, which discourages me from exploring it (E.g, Tokenization, Blockchain)]:[If I want to try different ways to invest, I will explore digital assets.]], 3)</f>
        <v>2</v>
      </c>
      <c r="AU810">
        <f>Table67[[#This Row],[Midpoint]]/21</f>
        <v>9.5238095238095233E-2</v>
      </c>
      <c r="AV810">
        <f>_xlfn.PERCENTILE.INC(Table67[Midpoint ratio],0.9)</f>
        <v>0.5714285714285714</v>
      </c>
      <c r="AW810" t="b">
        <f>Table67[[#This Row],[Midpoint ratio]]&gt;=Table67[[#This Row],[Threshold of Midpoint ratio]]</f>
        <v>0</v>
      </c>
      <c r="AX810" t="b">
        <f>OR(Table67[[#This Row],[Extreme Response Style]],Table67[[#This Row],[Mid-point Response Style]])</f>
        <v>0</v>
      </c>
      <c r="AY810" t="b">
        <f>OR(Table67[[#This Row],[Delete? (Stage 1)]],Table67[[#This Row],[Delete? (Stage 2)]])</f>
        <v>1</v>
      </c>
      <c r="AZ810" t="s">
        <v>84</v>
      </c>
    </row>
    <row r="811" spans="1:52">
      <c r="A811">
        <f t="shared" si="51"/>
        <v>810</v>
      </c>
      <c r="B811" s="3">
        <v>46049.827754629601</v>
      </c>
      <c r="C811" s="3">
        <v>46049.8362962963</v>
      </c>
      <c r="D811" t="s">
        <v>53</v>
      </c>
      <c r="G811" t="s">
        <v>54</v>
      </c>
      <c r="H811" t="s">
        <v>55</v>
      </c>
      <c r="I811" t="s">
        <v>56</v>
      </c>
      <c r="J811" t="s">
        <v>62</v>
      </c>
      <c r="K811" t="s">
        <v>62</v>
      </c>
      <c r="L811" t="s">
        <v>61</v>
      </c>
      <c r="M811" t="s">
        <v>61</v>
      </c>
      <c r="N811">
        <v>3</v>
      </c>
      <c r="O811">
        <v>4</v>
      </c>
      <c r="P811">
        <v>4</v>
      </c>
      <c r="Q811">
        <v>3</v>
      </c>
      <c r="R811">
        <v>4</v>
      </c>
      <c r="S811">
        <v>4</v>
      </c>
      <c r="T811">
        <v>3</v>
      </c>
      <c r="U811">
        <v>4</v>
      </c>
      <c r="V811">
        <v>4</v>
      </c>
      <c r="W811">
        <v>4</v>
      </c>
      <c r="X811">
        <v>5</v>
      </c>
      <c r="Y811">
        <v>2</v>
      </c>
      <c r="Z811">
        <v>3</v>
      </c>
      <c r="AA811">
        <v>4</v>
      </c>
      <c r="AB811">
        <v>3</v>
      </c>
      <c r="AC811">
        <v>4</v>
      </c>
      <c r="AD811">
        <v>4</v>
      </c>
      <c r="AE811">
        <v>4</v>
      </c>
      <c r="AF811">
        <v>3</v>
      </c>
      <c r="AG811">
        <v>4</v>
      </c>
      <c r="AH811">
        <v>4</v>
      </c>
      <c r="AI811">
        <v>2</v>
      </c>
      <c r="AJ811">
        <v>3</v>
      </c>
      <c r="AK811" t="b">
        <f>Table67[[#This Row],[What is your age?]]&lt;&gt;"18 - 25"</f>
        <v>0</v>
      </c>
      <c r="AL811" t="b">
        <f t="shared" si="48"/>
        <v>0</v>
      </c>
      <c r="AM811" t="b">
        <f t="shared" si="49"/>
        <v>1</v>
      </c>
      <c r="AN811" t="b">
        <f t="shared" si="50"/>
        <v>0</v>
      </c>
      <c r="AO811" t="b">
        <f>OR(Table67[[#This Row],[Ineligible respondents]:[Inconsistent response on opposite question (3)]])</f>
        <v>1</v>
      </c>
      <c r="AP81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811">
        <f>Table67[[#This Row],[Extreme Response]]/21</f>
        <v>4.7619047619047616E-2</v>
      </c>
      <c r="AR811">
        <f>_xlfn.PERCENTILE.INC(Table67[Extrem Response Ratio (ERS)],0.9)</f>
        <v>0.61904761904761907</v>
      </c>
      <c r="AS811" t="b">
        <f>Table67[[#This Row],[Extrem Response Ratio (ERS)]]&gt;=Table67[[#This Row],[Threshold of ERS]]</f>
        <v>0</v>
      </c>
      <c r="AT811">
        <f>COUNTIF(Table67[[#This Row],[The mechanism of digital assets is difficult to understand, which discourages me from exploring it (E.g, Tokenization, Blockchain)]:[If I want to try different ways to invest, I will explore digital assets.]], 3)</f>
        <v>6</v>
      </c>
      <c r="AU811">
        <f>Table67[[#This Row],[Midpoint]]/21</f>
        <v>0.2857142857142857</v>
      </c>
      <c r="AV811">
        <f>_xlfn.PERCENTILE.INC(Table67[Midpoint ratio],0.9)</f>
        <v>0.5714285714285714</v>
      </c>
      <c r="AW811" t="b">
        <f>Table67[[#This Row],[Midpoint ratio]]&gt;=Table67[[#This Row],[Threshold of Midpoint ratio]]</f>
        <v>0</v>
      </c>
      <c r="AX811" t="b">
        <f>OR(Table67[[#This Row],[Extreme Response Style]],Table67[[#This Row],[Mid-point Response Style]])</f>
        <v>0</v>
      </c>
      <c r="AY811" t="b">
        <f>OR(Table67[[#This Row],[Delete? (Stage 1)]],Table67[[#This Row],[Delete? (Stage 2)]])</f>
        <v>1</v>
      </c>
      <c r="AZ811" t="s">
        <v>84</v>
      </c>
    </row>
    <row r="812" spans="1:52">
      <c r="A812">
        <f t="shared" si="51"/>
        <v>811</v>
      </c>
      <c r="B812" s="3">
        <v>46049.8280787037</v>
      </c>
      <c r="C812" s="3">
        <v>46049.833749999998</v>
      </c>
      <c r="D812" t="s">
        <v>53</v>
      </c>
      <c r="G812" t="s">
        <v>54</v>
      </c>
      <c r="H812" t="s">
        <v>55</v>
      </c>
      <c r="I812" t="s">
        <v>56</v>
      </c>
      <c r="J812" t="s">
        <v>64</v>
      </c>
      <c r="K812" t="s">
        <v>60</v>
      </c>
      <c r="L812" t="s">
        <v>61</v>
      </c>
      <c r="M812" t="s">
        <v>61</v>
      </c>
      <c r="N812">
        <v>3</v>
      </c>
      <c r="O812">
        <v>2</v>
      </c>
      <c r="P812">
        <v>3</v>
      </c>
      <c r="Q812">
        <v>4</v>
      </c>
      <c r="R812">
        <v>5</v>
      </c>
      <c r="S812">
        <v>3</v>
      </c>
      <c r="T812">
        <v>2</v>
      </c>
      <c r="U812">
        <v>3</v>
      </c>
      <c r="V812">
        <v>4</v>
      </c>
      <c r="W812">
        <v>4</v>
      </c>
      <c r="X812">
        <v>4</v>
      </c>
      <c r="Y812">
        <v>4</v>
      </c>
      <c r="Z812">
        <v>3</v>
      </c>
      <c r="AA812">
        <v>5</v>
      </c>
      <c r="AB812">
        <v>4</v>
      </c>
      <c r="AC812">
        <v>3</v>
      </c>
      <c r="AD812">
        <v>4</v>
      </c>
      <c r="AE812">
        <v>4</v>
      </c>
      <c r="AF812">
        <v>3</v>
      </c>
      <c r="AG812">
        <v>4</v>
      </c>
      <c r="AH812">
        <v>5</v>
      </c>
      <c r="AI812">
        <v>1</v>
      </c>
      <c r="AJ812">
        <v>3</v>
      </c>
      <c r="AK812" t="b">
        <f>Table67[[#This Row],[What is your age?]]&lt;&gt;"18 - 25"</f>
        <v>0</v>
      </c>
      <c r="AL812" t="b">
        <f t="shared" si="48"/>
        <v>0</v>
      </c>
      <c r="AM812" t="b">
        <f t="shared" si="49"/>
        <v>1</v>
      </c>
      <c r="AN812" t="b">
        <f t="shared" si="50"/>
        <v>0</v>
      </c>
      <c r="AO812" t="b">
        <f>OR(Table67[[#This Row],[Ineligible respondents]:[Inconsistent response on opposite question (3)]])</f>
        <v>1</v>
      </c>
      <c r="AP81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812">
        <f>Table67[[#This Row],[Extreme Response]]/21</f>
        <v>0.14285714285714285</v>
      </c>
      <c r="AR812">
        <f>_xlfn.PERCENTILE.INC(Table67[Extrem Response Ratio (ERS)],0.9)</f>
        <v>0.61904761904761907</v>
      </c>
      <c r="AS812" t="b">
        <f>Table67[[#This Row],[Extrem Response Ratio (ERS)]]&gt;=Table67[[#This Row],[Threshold of ERS]]</f>
        <v>0</v>
      </c>
      <c r="AT812">
        <f>COUNTIF(Table67[[#This Row],[The mechanism of digital assets is difficult to understand, which discourages me from exploring it (E.g, Tokenization, Blockchain)]:[If I want to try different ways to invest, I will explore digital assets.]], 3)</f>
        <v>7</v>
      </c>
      <c r="AU812">
        <f>Table67[[#This Row],[Midpoint]]/21</f>
        <v>0.33333333333333331</v>
      </c>
      <c r="AV812">
        <f>_xlfn.PERCENTILE.INC(Table67[Midpoint ratio],0.9)</f>
        <v>0.5714285714285714</v>
      </c>
      <c r="AW812" t="b">
        <f>Table67[[#This Row],[Midpoint ratio]]&gt;=Table67[[#This Row],[Threshold of Midpoint ratio]]</f>
        <v>0</v>
      </c>
      <c r="AX812" t="b">
        <f>OR(Table67[[#This Row],[Extreme Response Style]],Table67[[#This Row],[Mid-point Response Style]])</f>
        <v>0</v>
      </c>
      <c r="AY812" t="b">
        <f>OR(Table67[[#This Row],[Delete? (Stage 1)]],Table67[[#This Row],[Delete? (Stage 2)]])</f>
        <v>1</v>
      </c>
      <c r="AZ812" t="s">
        <v>84</v>
      </c>
    </row>
    <row r="813" spans="1:52">
      <c r="A813">
        <f t="shared" si="51"/>
        <v>812</v>
      </c>
      <c r="B813" s="3">
        <v>46049.829259259299</v>
      </c>
      <c r="C813" s="3">
        <v>46049.841168981497</v>
      </c>
      <c r="D813" t="s">
        <v>53</v>
      </c>
      <c r="G813" t="s">
        <v>54</v>
      </c>
      <c r="H813" t="s">
        <v>55</v>
      </c>
      <c r="I813" t="s">
        <v>69</v>
      </c>
      <c r="J813" t="s">
        <v>66</v>
      </c>
      <c r="K813" t="s">
        <v>65</v>
      </c>
      <c r="L813" t="s">
        <v>61</v>
      </c>
      <c r="M813" t="s">
        <v>61</v>
      </c>
      <c r="N813">
        <v>1</v>
      </c>
      <c r="O813">
        <v>1</v>
      </c>
      <c r="P813">
        <v>1</v>
      </c>
      <c r="Q813">
        <v>1</v>
      </c>
      <c r="R813">
        <v>1</v>
      </c>
      <c r="S813">
        <v>1</v>
      </c>
      <c r="T813">
        <v>1</v>
      </c>
      <c r="U813">
        <v>1</v>
      </c>
      <c r="V813">
        <v>3</v>
      </c>
      <c r="W813">
        <v>3</v>
      </c>
      <c r="X813">
        <v>3</v>
      </c>
      <c r="Y813">
        <v>2</v>
      </c>
      <c r="Z813">
        <v>1</v>
      </c>
      <c r="AA813">
        <v>1</v>
      </c>
      <c r="AB813">
        <v>1</v>
      </c>
      <c r="AC813">
        <v>1</v>
      </c>
      <c r="AD813">
        <v>4</v>
      </c>
      <c r="AE813">
        <v>4</v>
      </c>
      <c r="AF813">
        <v>5</v>
      </c>
      <c r="AG813">
        <v>1</v>
      </c>
      <c r="AH813">
        <v>5</v>
      </c>
      <c r="AI813">
        <v>1</v>
      </c>
      <c r="AJ813">
        <v>1</v>
      </c>
      <c r="AK813" t="b">
        <f>Table67[[#This Row],[What is your age?]]&lt;&gt;"18 - 25"</f>
        <v>0</v>
      </c>
      <c r="AL813" t="b">
        <f t="shared" si="48"/>
        <v>0</v>
      </c>
      <c r="AM813" t="b">
        <f t="shared" si="49"/>
        <v>0</v>
      </c>
      <c r="AN813" t="b">
        <f t="shared" si="50"/>
        <v>0</v>
      </c>
      <c r="AO813" t="b">
        <f>OR(Table67[[#This Row],[Ineligible respondents]:[Inconsistent response on opposite question (3)]])</f>
        <v>0</v>
      </c>
      <c r="AP81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813">
        <f>Table67[[#This Row],[Extreme Response]]/21</f>
        <v>0.7142857142857143</v>
      </c>
      <c r="AR813">
        <f>_xlfn.PERCENTILE.INC(Table67[Extrem Response Ratio (ERS)],0.9)</f>
        <v>0.61904761904761907</v>
      </c>
      <c r="AS813" t="b">
        <f>Table67[[#This Row],[Extrem Response Ratio (ERS)]]&gt;=Table67[[#This Row],[Threshold of ERS]]</f>
        <v>1</v>
      </c>
      <c r="AT813">
        <f>COUNTIF(Table67[[#This Row],[The mechanism of digital assets is difficult to understand, which discourages me from exploring it (E.g, Tokenization, Blockchain)]:[If I want to try different ways to invest, I will explore digital assets.]], 3)</f>
        <v>3</v>
      </c>
      <c r="AU813">
        <f>Table67[[#This Row],[Midpoint]]/21</f>
        <v>0.14285714285714285</v>
      </c>
      <c r="AV813">
        <f>_xlfn.PERCENTILE.INC(Table67[Midpoint ratio],0.9)</f>
        <v>0.5714285714285714</v>
      </c>
      <c r="AW813" t="b">
        <f>Table67[[#This Row],[Midpoint ratio]]&gt;=Table67[[#This Row],[Threshold of Midpoint ratio]]</f>
        <v>0</v>
      </c>
      <c r="AX813" t="b">
        <f>OR(Table67[[#This Row],[Extreme Response Style]],Table67[[#This Row],[Mid-point Response Style]])</f>
        <v>1</v>
      </c>
      <c r="AY813" t="b">
        <f>OR(Table67[[#This Row],[Delete? (Stage 1)]],Table67[[#This Row],[Delete? (Stage 2)]])</f>
        <v>1</v>
      </c>
      <c r="AZ813" t="s">
        <v>84</v>
      </c>
    </row>
    <row r="814" spans="1:52">
      <c r="A814">
        <f t="shared" si="51"/>
        <v>813</v>
      </c>
      <c r="B814" s="3">
        <v>46049.833113425899</v>
      </c>
      <c r="C814" s="3">
        <v>46049.853321759299</v>
      </c>
      <c r="D814" t="s">
        <v>53</v>
      </c>
      <c r="G814" t="s">
        <v>54</v>
      </c>
      <c r="H814" t="s">
        <v>63</v>
      </c>
      <c r="I814" t="s">
        <v>75</v>
      </c>
      <c r="J814" t="s">
        <v>60</v>
      </c>
      <c r="K814" t="s">
        <v>65</v>
      </c>
      <c r="L814" t="s">
        <v>58</v>
      </c>
      <c r="M814" t="s">
        <v>58</v>
      </c>
      <c r="N814">
        <v>4</v>
      </c>
      <c r="O814">
        <v>2</v>
      </c>
      <c r="P814">
        <v>4</v>
      </c>
      <c r="Q814">
        <v>3</v>
      </c>
      <c r="R814">
        <v>2</v>
      </c>
      <c r="S814">
        <v>3</v>
      </c>
      <c r="T814">
        <v>4</v>
      </c>
      <c r="U814">
        <v>5</v>
      </c>
      <c r="V814">
        <v>4</v>
      </c>
      <c r="W814">
        <v>4</v>
      </c>
      <c r="X814">
        <v>5</v>
      </c>
      <c r="Y814">
        <v>3</v>
      </c>
      <c r="Z814">
        <v>4</v>
      </c>
      <c r="AA814">
        <v>4</v>
      </c>
      <c r="AB814">
        <v>3</v>
      </c>
      <c r="AC814">
        <v>4</v>
      </c>
      <c r="AD814">
        <v>5</v>
      </c>
      <c r="AE814">
        <v>5</v>
      </c>
      <c r="AF814">
        <v>2</v>
      </c>
      <c r="AG814">
        <v>5</v>
      </c>
      <c r="AH814">
        <v>2</v>
      </c>
      <c r="AI814">
        <v>4</v>
      </c>
      <c r="AJ814">
        <v>4</v>
      </c>
      <c r="AK814" t="b">
        <f>Table67[[#This Row],[What is your age?]]&lt;&gt;"18 - 25"</f>
        <v>0</v>
      </c>
      <c r="AL814" t="b">
        <f t="shared" si="48"/>
        <v>0</v>
      </c>
      <c r="AM814" t="b">
        <f t="shared" si="49"/>
        <v>0</v>
      </c>
      <c r="AN814" t="b">
        <f t="shared" si="50"/>
        <v>0</v>
      </c>
      <c r="AO814" t="b">
        <f>OR(Table67[[#This Row],[Ineligible respondents]:[Inconsistent response on opposite question (3)]])</f>
        <v>0</v>
      </c>
      <c r="AP81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814">
        <f>Table67[[#This Row],[Extreme Response]]/21</f>
        <v>0.23809523809523808</v>
      </c>
      <c r="AR814">
        <f>_xlfn.PERCENTILE.INC(Table67[Extrem Response Ratio (ERS)],0.9)</f>
        <v>0.61904761904761907</v>
      </c>
      <c r="AS814" t="b">
        <f>Table67[[#This Row],[Extrem Response Ratio (ERS)]]&gt;=Table67[[#This Row],[Threshold of ERS]]</f>
        <v>0</v>
      </c>
      <c r="AT814">
        <f>COUNTIF(Table67[[#This Row],[The mechanism of digital assets is difficult to understand, which discourages me from exploring it (E.g, Tokenization, Blockchain)]:[If I want to try different ways to invest, I will explore digital assets.]], 3)</f>
        <v>4</v>
      </c>
      <c r="AU814">
        <f>Table67[[#This Row],[Midpoint]]/21</f>
        <v>0.19047619047619047</v>
      </c>
      <c r="AV814">
        <f>_xlfn.PERCENTILE.INC(Table67[Midpoint ratio],0.9)</f>
        <v>0.5714285714285714</v>
      </c>
      <c r="AW814" t="b">
        <f>Table67[[#This Row],[Midpoint ratio]]&gt;=Table67[[#This Row],[Threshold of Midpoint ratio]]</f>
        <v>0</v>
      </c>
      <c r="AX814" t="b">
        <f>OR(Table67[[#This Row],[Extreme Response Style]],Table67[[#This Row],[Mid-point Response Style]])</f>
        <v>0</v>
      </c>
      <c r="AY814" t="b">
        <f>OR(Table67[[#This Row],[Delete? (Stage 1)]],Table67[[#This Row],[Delete? (Stage 2)]])</f>
        <v>0</v>
      </c>
      <c r="AZ814" t="s">
        <v>84</v>
      </c>
    </row>
    <row r="815" spans="1:52">
      <c r="A815">
        <f t="shared" si="51"/>
        <v>814</v>
      </c>
      <c r="B815" s="3">
        <v>46049.837928240697</v>
      </c>
      <c r="C815" s="3">
        <v>46049.841620370396</v>
      </c>
      <c r="D815" t="s">
        <v>53</v>
      </c>
      <c r="G815" t="s">
        <v>54</v>
      </c>
      <c r="H815" t="s">
        <v>55</v>
      </c>
      <c r="I815" t="s">
        <v>56</v>
      </c>
      <c r="J815" t="s">
        <v>65</v>
      </c>
      <c r="K815" t="s">
        <v>72</v>
      </c>
      <c r="L815" t="s">
        <v>58</v>
      </c>
      <c r="M815" t="s">
        <v>58</v>
      </c>
      <c r="N815">
        <v>1</v>
      </c>
      <c r="O815">
        <v>1</v>
      </c>
      <c r="P815">
        <v>4</v>
      </c>
      <c r="Q815">
        <v>1</v>
      </c>
      <c r="R815">
        <v>2</v>
      </c>
      <c r="S815">
        <v>3</v>
      </c>
      <c r="T815">
        <v>3</v>
      </c>
      <c r="U815">
        <v>3</v>
      </c>
      <c r="V815">
        <v>1</v>
      </c>
      <c r="W815">
        <v>1</v>
      </c>
      <c r="X815">
        <v>1</v>
      </c>
      <c r="Y815">
        <v>1</v>
      </c>
      <c r="Z815">
        <v>4</v>
      </c>
      <c r="AA815">
        <v>3</v>
      </c>
      <c r="AB815">
        <v>3</v>
      </c>
      <c r="AC815">
        <v>3</v>
      </c>
      <c r="AD815">
        <v>3</v>
      </c>
      <c r="AE815">
        <v>2</v>
      </c>
      <c r="AF815">
        <v>3</v>
      </c>
      <c r="AG815">
        <v>3</v>
      </c>
      <c r="AH815">
        <v>4</v>
      </c>
      <c r="AI815">
        <v>2</v>
      </c>
      <c r="AJ815">
        <v>3</v>
      </c>
      <c r="AK815" t="b">
        <f>Table67[[#This Row],[What is your age?]]&lt;&gt;"18 - 25"</f>
        <v>0</v>
      </c>
      <c r="AL815" t="b">
        <f t="shared" si="48"/>
        <v>0</v>
      </c>
      <c r="AM815" t="b">
        <f t="shared" si="49"/>
        <v>0</v>
      </c>
      <c r="AN815" t="b">
        <f t="shared" si="50"/>
        <v>1</v>
      </c>
      <c r="AO815" t="b">
        <f>OR(Table67[[#This Row],[Ineligible respondents]:[Inconsistent response on opposite question (3)]])</f>
        <v>1</v>
      </c>
      <c r="AP81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815">
        <f>Table67[[#This Row],[Extreme Response]]/21</f>
        <v>0.33333333333333331</v>
      </c>
      <c r="AR815">
        <f>_xlfn.PERCENTILE.INC(Table67[Extrem Response Ratio (ERS)],0.9)</f>
        <v>0.61904761904761907</v>
      </c>
      <c r="AS815" t="b">
        <f>Table67[[#This Row],[Extrem Response Ratio (ERS)]]&gt;=Table67[[#This Row],[Threshold of ERS]]</f>
        <v>0</v>
      </c>
      <c r="AT815">
        <f>COUNTIF(Table67[[#This Row],[The mechanism of digital assets is difficult to understand, which discourages me from exploring it (E.g, Tokenization, Blockchain)]:[If I want to try different ways to invest, I will explore digital assets.]], 3)</f>
        <v>9</v>
      </c>
      <c r="AU815">
        <f>Table67[[#This Row],[Midpoint]]/21</f>
        <v>0.42857142857142855</v>
      </c>
      <c r="AV815">
        <f>_xlfn.PERCENTILE.INC(Table67[Midpoint ratio],0.9)</f>
        <v>0.5714285714285714</v>
      </c>
      <c r="AW815" t="b">
        <f>Table67[[#This Row],[Midpoint ratio]]&gt;=Table67[[#This Row],[Threshold of Midpoint ratio]]</f>
        <v>0</v>
      </c>
      <c r="AX815" t="b">
        <f>OR(Table67[[#This Row],[Extreme Response Style]],Table67[[#This Row],[Mid-point Response Style]])</f>
        <v>0</v>
      </c>
      <c r="AY815" t="b">
        <f>OR(Table67[[#This Row],[Delete? (Stage 1)]],Table67[[#This Row],[Delete? (Stage 2)]])</f>
        <v>1</v>
      </c>
      <c r="AZ815" t="s">
        <v>84</v>
      </c>
    </row>
    <row r="816" spans="1:52">
      <c r="A816">
        <f t="shared" si="51"/>
        <v>815</v>
      </c>
      <c r="B816" s="3">
        <v>46049.842372685198</v>
      </c>
      <c r="C816" s="3">
        <v>46049.8516087963</v>
      </c>
      <c r="D816" t="s">
        <v>53</v>
      </c>
      <c r="G816" t="s">
        <v>54</v>
      </c>
      <c r="H816" t="s">
        <v>63</v>
      </c>
      <c r="I816" t="s">
        <v>56</v>
      </c>
      <c r="J816" t="s">
        <v>64</v>
      </c>
      <c r="K816" t="s">
        <v>62</v>
      </c>
      <c r="L816" t="s">
        <v>58</v>
      </c>
      <c r="M816" t="s">
        <v>58</v>
      </c>
      <c r="N816">
        <v>4</v>
      </c>
      <c r="O816">
        <v>2</v>
      </c>
      <c r="P816">
        <v>4</v>
      </c>
      <c r="Q816">
        <v>4</v>
      </c>
      <c r="R816">
        <v>4</v>
      </c>
      <c r="S816">
        <v>4</v>
      </c>
      <c r="T816">
        <v>5</v>
      </c>
      <c r="U816">
        <v>5</v>
      </c>
      <c r="V816">
        <v>5</v>
      </c>
      <c r="W816">
        <v>5</v>
      </c>
      <c r="X816">
        <v>5</v>
      </c>
      <c r="Y816">
        <v>5</v>
      </c>
      <c r="Z816">
        <v>5</v>
      </c>
      <c r="AA816">
        <v>5</v>
      </c>
      <c r="AB816">
        <v>5</v>
      </c>
      <c r="AC816">
        <v>3</v>
      </c>
      <c r="AD816">
        <v>5</v>
      </c>
      <c r="AE816">
        <v>2</v>
      </c>
      <c r="AF816">
        <v>2</v>
      </c>
      <c r="AG816">
        <v>5</v>
      </c>
      <c r="AH816">
        <v>2</v>
      </c>
      <c r="AI816">
        <v>4</v>
      </c>
      <c r="AJ816">
        <v>4</v>
      </c>
      <c r="AK816" t="b">
        <f>Table67[[#This Row],[What is your age?]]&lt;&gt;"18 - 25"</f>
        <v>0</v>
      </c>
      <c r="AL816" t="b">
        <f t="shared" si="48"/>
        <v>0</v>
      </c>
      <c r="AM816" t="b">
        <f t="shared" si="49"/>
        <v>0</v>
      </c>
      <c r="AN816" t="b">
        <f t="shared" si="50"/>
        <v>0</v>
      </c>
      <c r="AO816" t="b">
        <f>OR(Table67[[#This Row],[Ineligible respondents]:[Inconsistent response on opposite question (3)]])</f>
        <v>0</v>
      </c>
      <c r="AP81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816">
        <f>Table67[[#This Row],[Extreme Response]]/21</f>
        <v>0.52380952380952384</v>
      </c>
      <c r="AR816">
        <f>_xlfn.PERCENTILE.INC(Table67[Extrem Response Ratio (ERS)],0.9)</f>
        <v>0.61904761904761907</v>
      </c>
      <c r="AS816" t="b">
        <f>Table67[[#This Row],[Extrem Response Ratio (ERS)]]&gt;=Table67[[#This Row],[Threshold of ERS]]</f>
        <v>0</v>
      </c>
      <c r="AT816">
        <f>COUNTIF(Table67[[#This Row],[The mechanism of digital assets is difficult to understand, which discourages me from exploring it (E.g, Tokenization, Blockchain)]:[If I want to try different ways to invest, I will explore digital assets.]], 3)</f>
        <v>1</v>
      </c>
      <c r="AU816">
        <f>Table67[[#This Row],[Midpoint]]/21</f>
        <v>4.7619047619047616E-2</v>
      </c>
      <c r="AV816">
        <f>_xlfn.PERCENTILE.INC(Table67[Midpoint ratio],0.9)</f>
        <v>0.5714285714285714</v>
      </c>
      <c r="AW816" t="b">
        <f>Table67[[#This Row],[Midpoint ratio]]&gt;=Table67[[#This Row],[Threshold of Midpoint ratio]]</f>
        <v>0</v>
      </c>
      <c r="AX816" t="b">
        <f>OR(Table67[[#This Row],[Extreme Response Style]],Table67[[#This Row],[Mid-point Response Style]])</f>
        <v>0</v>
      </c>
      <c r="AY816" t="b">
        <f>OR(Table67[[#This Row],[Delete? (Stage 1)]],Table67[[#This Row],[Delete? (Stage 2)]])</f>
        <v>0</v>
      </c>
      <c r="AZ816" t="s">
        <v>84</v>
      </c>
    </row>
    <row r="817" spans="1:52">
      <c r="A817">
        <f t="shared" si="51"/>
        <v>816</v>
      </c>
      <c r="B817" s="3">
        <v>46049.857280092598</v>
      </c>
      <c r="C817" s="3">
        <v>46049.864884259303</v>
      </c>
      <c r="D817" t="s">
        <v>53</v>
      </c>
      <c r="G817" t="s">
        <v>54</v>
      </c>
      <c r="H817" t="s">
        <v>63</v>
      </c>
      <c r="I817" t="s">
        <v>56</v>
      </c>
      <c r="J817" t="s">
        <v>60</v>
      </c>
      <c r="K817" t="s">
        <v>62</v>
      </c>
      <c r="L817" t="s">
        <v>61</v>
      </c>
      <c r="M817" t="s">
        <v>61</v>
      </c>
      <c r="N817">
        <v>3</v>
      </c>
      <c r="O817">
        <v>3</v>
      </c>
      <c r="P817">
        <v>5</v>
      </c>
      <c r="Q817">
        <v>3</v>
      </c>
      <c r="R817">
        <v>3</v>
      </c>
      <c r="S817">
        <v>3</v>
      </c>
      <c r="T817">
        <v>1</v>
      </c>
      <c r="U817">
        <v>3</v>
      </c>
      <c r="V817">
        <v>3</v>
      </c>
      <c r="W817">
        <v>3</v>
      </c>
      <c r="X817">
        <v>3</v>
      </c>
      <c r="Y817">
        <v>3</v>
      </c>
      <c r="Z817">
        <v>3</v>
      </c>
      <c r="AA817">
        <v>3</v>
      </c>
      <c r="AB817">
        <v>3</v>
      </c>
      <c r="AC817">
        <v>3</v>
      </c>
      <c r="AD817">
        <v>3</v>
      </c>
      <c r="AE817">
        <v>3</v>
      </c>
      <c r="AF817">
        <v>3</v>
      </c>
      <c r="AG817">
        <v>3</v>
      </c>
      <c r="AH817">
        <v>3</v>
      </c>
      <c r="AI817">
        <v>3</v>
      </c>
      <c r="AJ817">
        <v>3</v>
      </c>
      <c r="AK817" t="b">
        <f>Table67[[#This Row],[What is your age?]]&lt;&gt;"18 - 25"</f>
        <v>0</v>
      </c>
      <c r="AL817" t="b">
        <f t="shared" si="48"/>
        <v>0</v>
      </c>
      <c r="AM817" t="b">
        <f t="shared" si="49"/>
        <v>0</v>
      </c>
      <c r="AN817" t="b">
        <f t="shared" si="50"/>
        <v>0</v>
      </c>
      <c r="AO817" t="b">
        <f>OR(Table67[[#This Row],[Ineligible respondents]:[Inconsistent response on opposite question (3)]])</f>
        <v>0</v>
      </c>
      <c r="AP81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817">
        <f>Table67[[#This Row],[Extreme Response]]/21</f>
        <v>9.5238095238095233E-2</v>
      </c>
      <c r="AR817">
        <f>_xlfn.PERCENTILE.INC(Table67[Extrem Response Ratio (ERS)],0.9)</f>
        <v>0.61904761904761907</v>
      </c>
      <c r="AS817" t="b">
        <f>Table67[[#This Row],[Extrem Response Ratio (ERS)]]&gt;=Table67[[#This Row],[Threshold of ERS]]</f>
        <v>0</v>
      </c>
      <c r="AT817">
        <f>COUNTIF(Table67[[#This Row],[The mechanism of digital assets is difficult to understand, which discourages me from exploring it (E.g, Tokenization, Blockchain)]:[If I want to try different ways to invest, I will explore digital assets.]], 3)</f>
        <v>19</v>
      </c>
      <c r="AU817">
        <f>Table67[[#This Row],[Midpoint]]/21</f>
        <v>0.90476190476190477</v>
      </c>
      <c r="AV817">
        <f>_xlfn.PERCENTILE.INC(Table67[Midpoint ratio],0.9)</f>
        <v>0.5714285714285714</v>
      </c>
      <c r="AW817" t="b">
        <f>Table67[[#This Row],[Midpoint ratio]]&gt;=Table67[[#This Row],[Threshold of Midpoint ratio]]</f>
        <v>1</v>
      </c>
      <c r="AX817" t="b">
        <f>OR(Table67[[#This Row],[Extreme Response Style]],Table67[[#This Row],[Mid-point Response Style]])</f>
        <v>1</v>
      </c>
      <c r="AY817" t="b">
        <f>OR(Table67[[#This Row],[Delete? (Stage 1)]],Table67[[#This Row],[Delete? (Stage 2)]])</f>
        <v>1</v>
      </c>
      <c r="AZ817" t="s">
        <v>84</v>
      </c>
    </row>
    <row r="818" spans="1:52">
      <c r="A818">
        <f t="shared" si="51"/>
        <v>817</v>
      </c>
      <c r="B818" s="3">
        <v>46056.8733796296</v>
      </c>
      <c r="C818" s="3">
        <v>46056.877858796302</v>
      </c>
      <c r="D818" t="s">
        <v>53</v>
      </c>
      <c r="G818" t="s">
        <v>73</v>
      </c>
      <c r="H818" t="s">
        <v>63</v>
      </c>
      <c r="I818" t="s">
        <v>75</v>
      </c>
      <c r="J818" t="s">
        <v>57</v>
      </c>
      <c r="K818" t="s">
        <v>62</v>
      </c>
      <c r="L818" t="s">
        <v>58</v>
      </c>
      <c r="M818" t="s">
        <v>61</v>
      </c>
      <c r="N818">
        <v>4</v>
      </c>
      <c r="O818">
        <v>3</v>
      </c>
      <c r="P818">
        <v>4</v>
      </c>
      <c r="Q818">
        <v>2</v>
      </c>
      <c r="R818">
        <v>3</v>
      </c>
      <c r="S818">
        <v>4</v>
      </c>
      <c r="T818">
        <v>4</v>
      </c>
      <c r="U818">
        <v>3</v>
      </c>
      <c r="V818">
        <v>4</v>
      </c>
      <c r="W818">
        <v>4</v>
      </c>
      <c r="X818">
        <v>4</v>
      </c>
      <c r="Y818">
        <v>4</v>
      </c>
      <c r="Z818">
        <v>4</v>
      </c>
      <c r="AA818">
        <v>2</v>
      </c>
      <c r="AB818">
        <v>2</v>
      </c>
      <c r="AC818">
        <v>4</v>
      </c>
      <c r="AD818">
        <v>4</v>
      </c>
      <c r="AE818">
        <v>2</v>
      </c>
      <c r="AF818">
        <v>4</v>
      </c>
      <c r="AG818">
        <v>3</v>
      </c>
      <c r="AH818">
        <v>4</v>
      </c>
      <c r="AI818">
        <v>2</v>
      </c>
      <c r="AJ818">
        <v>2</v>
      </c>
      <c r="AK818" t="b">
        <f>Table67[[#This Row],[What is your age?]]&lt;&gt;"18 - 25"</f>
        <v>1</v>
      </c>
      <c r="AL818" t="b">
        <f t="shared" si="48"/>
        <v>0</v>
      </c>
      <c r="AM818" t="b">
        <f t="shared" si="49"/>
        <v>0</v>
      </c>
      <c r="AN818" t="b">
        <f t="shared" si="50"/>
        <v>1</v>
      </c>
      <c r="AO818" t="b">
        <f>OR(Table67[[#This Row],[Ineligible respondents]:[Inconsistent response on opposite question (3)]])</f>
        <v>1</v>
      </c>
      <c r="AP81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818">
        <f>Table67[[#This Row],[Extreme Response]]/21</f>
        <v>0</v>
      </c>
      <c r="AR818">
        <f>_xlfn.PERCENTILE.INC(Table67[Extrem Response Ratio (ERS)],0.9)</f>
        <v>0.61904761904761907</v>
      </c>
      <c r="AS818" t="b">
        <f>Table67[[#This Row],[Extrem Response Ratio (ERS)]]&gt;=Table67[[#This Row],[Threshold of ERS]]</f>
        <v>0</v>
      </c>
      <c r="AT818">
        <f>COUNTIF(Table67[[#This Row],[The mechanism of digital assets is difficult to understand, which discourages me from exploring it (E.g, Tokenization, Blockchain)]:[If I want to try different ways to invest, I will explore digital assets.]], 3)</f>
        <v>4</v>
      </c>
      <c r="AU818">
        <f>Table67[[#This Row],[Midpoint]]/21</f>
        <v>0.19047619047619047</v>
      </c>
      <c r="AV818">
        <f>_xlfn.PERCENTILE.INC(Table67[Midpoint ratio],0.9)</f>
        <v>0.5714285714285714</v>
      </c>
      <c r="AW818" t="b">
        <f>Table67[[#This Row],[Midpoint ratio]]&gt;=Table67[[#This Row],[Threshold of Midpoint ratio]]</f>
        <v>0</v>
      </c>
      <c r="AX818" t="b">
        <f>OR(Table67[[#This Row],[Extreme Response Style]],Table67[[#This Row],[Mid-point Response Style]])</f>
        <v>0</v>
      </c>
      <c r="AY818" t="b">
        <f>OR(Table67[[#This Row],[Delete? (Stage 1)]],Table67[[#This Row],[Delete? (Stage 2)]])</f>
        <v>1</v>
      </c>
      <c r="AZ818" t="s">
        <v>84</v>
      </c>
    </row>
    <row r="819" spans="1:52">
      <c r="A819">
        <f t="shared" si="51"/>
        <v>818</v>
      </c>
      <c r="B819" s="3">
        <v>46056.873506944401</v>
      </c>
      <c r="C819" s="3">
        <v>46056.876631944397</v>
      </c>
      <c r="D819" t="s">
        <v>53</v>
      </c>
      <c r="G819" t="s">
        <v>54</v>
      </c>
      <c r="H819" t="s">
        <v>63</v>
      </c>
      <c r="I819" t="s">
        <v>56</v>
      </c>
      <c r="J819" t="s">
        <v>57</v>
      </c>
      <c r="K819" t="s">
        <v>57</v>
      </c>
      <c r="L819" t="s">
        <v>58</v>
      </c>
      <c r="M819" t="s">
        <v>58</v>
      </c>
      <c r="N819">
        <v>5</v>
      </c>
      <c r="O819">
        <v>4</v>
      </c>
      <c r="P819">
        <v>4</v>
      </c>
      <c r="Q819">
        <v>4</v>
      </c>
      <c r="R819">
        <v>3</v>
      </c>
      <c r="S819">
        <v>3</v>
      </c>
      <c r="T819">
        <v>3</v>
      </c>
      <c r="U819">
        <v>5</v>
      </c>
      <c r="V819">
        <v>5</v>
      </c>
      <c r="W819">
        <v>5</v>
      </c>
      <c r="X819">
        <v>5</v>
      </c>
      <c r="Y819">
        <v>5</v>
      </c>
      <c r="Z819">
        <v>5</v>
      </c>
      <c r="AA819">
        <v>5</v>
      </c>
      <c r="AB819">
        <v>3</v>
      </c>
      <c r="AC819">
        <v>1</v>
      </c>
      <c r="AD819">
        <v>5</v>
      </c>
      <c r="AE819">
        <v>5</v>
      </c>
      <c r="AF819">
        <v>1</v>
      </c>
      <c r="AG819">
        <v>5</v>
      </c>
      <c r="AH819">
        <v>2</v>
      </c>
      <c r="AI819">
        <v>4</v>
      </c>
      <c r="AJ819">
        <v>5</v>
      </c>
      <c r="AK819" t="b">
        <f>Table67[[#This Row],[What is your age?]]&lt;&gt;"18 - 25"</f>
        <v>0</v>
      </c>
      <c r="AL819" t="b">
        <f t="shared" si="48"/>
        <v>0</v>
      </c>
      <c r="AM819" t="b">
        <f t="shared" si="49"/>
        <v>0</v>
      </c>
      <c r="AN819" t="b">
        <f t="shared" si="50"/>
        <v>0</v>
      </c>
      <c r="AO819" t="b">
        <f>OR(Table67[[#This Row],[Ineligible respondents]:[Inconsistent response on opposite question (3)]])</f>
        <v>0</v>
      </c>
      <c r="AP81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819">
        <f>Table67[[#This Row],[Extreme Response]]/21</f>
        <v>0.61904761904761907</v>
      </c>
      <c r="AR819">
        <f>_xlfn.PERCENTILE.INC(Table67[Extrem Response Ratio (ERS)],0.9)</f>
        <v>0.61904761904761907</v>
      </c>
      <c r="AS819" t="b">
        <f>Table67[[#This Row],[Extrem Response Ratio (ERS)]]&gt;=Table67[[#This Row],[Threshold of ERS]]</f>
        <v>1</v>
      </c>
      <c r="AT819">
        <f>COUNTIF(Table67[[#This Row],[The mechanism of digital assets is difficult to understand, which discourages me from exploring it (E.g, Tokenization, Blockchain)]:[If I want to try different ways to invest, I will explore digital assets.]], 3)</f>
        <v>4</v>
      </c>
      <c r="AU819">
        <f>Table67[[#This Row],[Midpoint]]/21</f>
        <v>0.19047619047619047</v>
      </c>
      <c r="AV819">
        <f>_xlfn.PERCENTILE.INC(Table67[Midpoint ratio],0.9)</f>
        <v>0.5714285714285714</v>
      </c>
      <c r="AW819" t="b">
        <f>Table67[[#This Row],[Midpoint ratio]]&gt;=Table67[[#This Row],[Threshold of Midpoint ratio]]</f>
        <v>0</v>
      </c>
      <c r="AX819" t="b">
        <f>OR(Table67[[#This Row],[Extreme Response Style]],Table67[[#This Row],[Mid-point Response Style]])</f>
        <v>1</v>
      </c>
      <c r="AY819" t="b">
        <f>OR(Table67[[#This Row],[Delete? (Stage 1)]],Table67[[#This Row],[Delete? (Stage 2)]])</f>
        <v>1</v>
      </c>
      <c r="AZ819" t="s">
        <v>84</v>
      </c>
    </row>
    <row r="820" spans="1:52">
      <c r="A820">
        <f t="shared" si="51"/>
        <v>819</v>
      </c>
      <c r="B820" s="3">
        <v>46056.873506944401</v>
      </c>
      <c r="C820" s="3">
        <v>46056.877835648098</v>
      </c>
      <c r="D820" t="s">
        <v>53</v>
      </c>
      <c r="G820" t="s">
        <v>54</v>
      </c>
      <c r="H820" t="s">
        <v>55</v>
      </c>
      <c r="I820" t="s">
        <v>75</v>
      </c>
      <c r="J820" t="s">
        <v>65</v>
      </c>
      <c r="K820" t="s">
        <v>60</v>
      </c>
      <c r="L820" t="s">
        <v>61</v>
      </c>
      <c r="M820" t="s">
        <v>61</v>
      </c>
      <c r="N820">
        <v>1</v>
      </c>
      <c r="O820">
        <v>1</v>
      </c>
      <c r="P820">
        <v>1</v>
      </c>
      <c r="Q820">
        <v>1</v>
      </c>
      <c r="R820">
        <v>1</v>
      </c>
      <c r="S820">
        <v>1</v>
      </c>
      <c r="T820">
        <v>1</v>
      </c>
      <c r="U820">
        <v>1</v>
      </c>
      <c r="V820">
        <v>3</v>
      </c>
      <c r="W820">
        <v>2</v>
      </c>
      <c r="X820">
        <v>2</v>
      </c>
      <c r="Y820">
        <v>2</v>
      </c>
      <c r="Z820">
        <v>3</v>
      </c>
      <c r="AA820">
        <v>2</v>
      </c>
      <c r="AB820">
        <v>1</v>
      </c>
      <c r="AC820">
        <v>2</v>
      </c>
      <c r="AD820">
        <v>1</v>
      </c>
      <c r="AE820">
        <v>3</v>
      </c>
      <c r="AF820">
        <v>5</v>
      </c>
      <c r="AG820">
        <v>1</v>
      </c>
      <c r="AH820">
        <v>5</v>
      </c>
      <c r="AI820">
        <v>1</v>
      </c>
      <c r="AJ820">
        <v>1</v>
      </c>
      <c r="AK820" t="b">
        <f>Table67[[#This Row],[What is your age?]]&lt;&gt;"18 - 25"</f>
        <v>0</v>
      </c>
      <c r="AL820" t="b">
        <f t="shared" si="48"/>
        <v>0</v>
      </c>
      <c r="AM820" t="b">
        <f t="shared" si="49"/>
        <v>0</v>
      </c>
      <c r="AN820" t="b">
        <f t="shared" si="50"/>
        <v>0</v>
      </c>
      <c r="AO820" t="b">
        <f>OR(Table67[[#This Row],[Ineligible respondents]:[Inconsistent response on opposite question (3)]])</f>
        <v>0</v>
      </c>
      <c r="AP82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820">
        <f>Table67[[#This Row],[Extreme Response]]/21</f>
        <v>0.61904761904761907</v>
      </c>
      <c r="AR820">
        <f>_xlfn.PERCENTILE.INC(Table67[Extrem Response Ratio (ERS)],0.9)</f>
        <v>0.61904761904761907</v>
      </c>
      <c r="AS820" t="b">
        <f>Table67[[#This Row],[Extrem Response Ratio (ERS)]]&gt;=Table67[[#This Row],[Threshold of ERS]]</f>
        <v>1</v>
      </c>
      <c r="AT820">
        <f>COUNTIF(Table67[[#This Row],[The mechanism of digital assets is difficult to understand, which discourages me from exploring it (E.g, Tokenization, Blockchain)]:[If I want to try different ways to invest, I will explore digital assets.]], 3)</f>
        <v>3</v>
      </c>
      <c r="AU820">
        <f>Table67[[#This Row],[Midpoint]]/21</f>
        <v>0.14285714285714285</v>
      </c>
      <c r="AV820">
        <f>_xlfn.PERCENTILE.INC(Table67[Midpoint ratio],0.9)</f>
        <v>0.5714285714285714</v>
      </c>
      <c r="AW820" t="b">
        <f>Table67[[#This Row],[Midpoint ratio]]&gt;=Table67[[#This Row],[Threshold of Midpoint ratio]]</f>
        <v>0</v>
      </c>
      <c r="AX820" t="b">
        <f>OR(Table67[[#This Row],[Extreme Response Style]],Table67[[#This Row],[Mid-point Response Style]])</f>
        <v>1</v>
      </c>
      <c r="AY820" t="b">
        <f>OR(Table67[[#This Row],[Delete? (Stage 1)]],Table67[[#This Row],[Delete? (Stage 2)]])</f>
        <v>1</v>
      </c>
      <c r="AZ820" t="s">
        <v>84</v>
      </c>
    </row>
    <row r="821" spans="1:52">
      <c r="A821">
        <f t="shared" si="51"/>
        <v>820</v>
      </c>
      <c r="B821" s="3">
        <v>46056.873576388898</v>
      </c>
      <c r="C821" s="3">
        <v>46056.8762615741</v>
      </c>
      <c r="D821" t="s">
        <v>53</v>
      </c>
      <c r="G821" t="s">
        <v>54</v>
      </c>
      <c r="H821" t="s">
        <v>63</v>
      </c>
      <c r="I821" t="s">
        <v>56</v>
      </c>
      <c r="J821" t="s">
        <v>60</v>
      </c>
      <c r="K821" t="s">
        <v>57</v>
      </c>
      <c r="L821" t="s">
        <v>58</v>
      </c>
      <c r="M821" t="s">
        <v>58</v>
      </c>
      <c r="N821">
        <v>3</v>
      </c>
      <c r="O821">
        <v>3</v>
      </c>
      <c r="P821">
        <v>4</v>
      </c>
      <c r="Q821">
        <v>3</v>
      </c>
      <c r="R821">
        <v>4</v>
      </c>
      <c r="S821">
        <v>4</v>
      </c>
      <c r="T821">
        <v>4</v>
      </c>
      <c r="U821">
        <v>4</v>
      </c>
      <c r="V821">
        <v>4</v>
      </c>
      <c r="W821">
        <v>3</v>
      </c>
      <c r="X821">
        <v>3</v>
      </c>
      <c r="Y821">
        <v>4</v>
      </c>
      <c r="Z821">
        <v>4</v>
      </c>
      <c r="AA821">
        <v>3</v>
      </c>
      <c r="AB821">
        <v>3</v>
      </c>
      <c r="AC821">
        <v>4</v>
      </c>
      <c r="AD821">
        <v>5</v>
      </c>
      <c r="AE821">
        <v>4</v>
      </c>
      <c r="AF821">
        <v>1</v>
      </c>
      <c r="AG821">
        <v>4</v>
      </c>
      <c r="AH821">
        <v>1</v>
      </c>
      <c r="AI821">
        <v>5</v>
      </c>
      <c r="AJ821">
        <v>5</v>
      </c>
      <c r="AK821" t="b">
        <f>Table67[[#This Row],[What is your age?]]&lt;&gt;"18 - 25"</f>
        <v>0</v>
      </c>
      <c r="AL821" t="b">
        <f t="shared" si="48"/>
        <v>0</v>
      </c>
      <c r="AM821" t="b">
        <f t="shared" si="49"/>
        <v>0</v>
      </c>
      <c r="AN821" t="b">
        <f t="shared" si="50"/>
        <v>0</v>
      </c>
      <c r="AO821" t="b">
        <f>OR(Table67[[#This Row],[Ineligible respondents]:[Inconsistent response on opposite question (3)]])</f>
        <v>0</v>
      </c>
      <c r="AP82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821">
        <f>Table67[[#This Row],[Extreme Response]]/21</f>
        <v>0.14285714285714285</v>
      </c>
      <c r="AR821">
        <f>_xlfn.PERCENTILE.INC(Table67[Extrem Response Ratio (ERS)],0.9)</f>
        <v>0.61904761904761907</v>
      </c>
      <c r="AS821" t="b">
        <f>Table67[[#This Row],[Extrem Response Ratio (ERS)]]&gt;=Table67[[#This Row],[Threshold of ERS]]</f>
        <v>0</v>
      </c>
      <c r="AT821">
        <f>COUNTIF(Table67[[#This Row],[The mechanism of digital assets is difficult to understand, which discourages me from exploring it (E.g, Tokenization, Blockchain)]:[If I want to try different ways to invest, I will explore digital assets.]], 3)</f>
        <v>7</v>
      </c>
      <c r="AU821">
        <f>Table67[[#This Row],[Midpoint]]/21</f>
        <v>0.33333333333333331</v>
      </c>
      <c r="AV821">
        <f>_xlfn.PERCENTILE.INC(Table67[Midpoint ratio],0.9)</f>
        <v>0.5714285714285714</v>
      </c>
      <c r="AW821" t="b">
        <f>Table67[[#This Row],[Midpoint ratio]]&gt;=Table67[[#This Row],[Threshold of Midpoint ratio]]</f>
        <v>0</v>
      </c>
      <c r="AX821" t="b">
        <f>OR(Table67[[#This Row],[Extreme Response Style]],Table67[[#This Row],[Mid-point Response Style]])</f>
        <v>0</v>
      </c>
      <c r="AY821" t="b">
        <f>OR(Table67[[#This Row],[Delete? (Stage 1)]],Table67[[#This Row],[Delete? (Stage 2)]])</f>
        <v>0</v>
      </c>
      <c r="AZ821" t="s">
        <v>84</v>
      </c>
    </row>
    <row r="822" spans="1:52">
      <c r="A822">
        <f t="shared" si="51"/>
        <v>821</v>
      </c>
      <c r="B822" s="3">
        <v>46056.873599537001</v>
      </c>
      <c r="C822" s="3">
        <v>46056.877500000002</v>
      </c>
      <c r="D822" t="s">
        <v>53</v>
      </c>
      <c r="G822" t="s">
        <v>54</v>
      </c>
      <c r="H822" t="s">
        <v>63</v>
      </c>
      <c r="I822" t="s">
        <v>82</v>
      </c>
      <c r="J822" t="s">
        <v>64</v>
      </c>
      <c r="K822" t="s">
        <v>60</v>
      </c>
      <c r="L822" t="s">
        <v>58</v>
      </c>
      <c r="M822" t="s">
        <v>58</v>
      </c>
      <c r="N822">
        <v>5</v>
      </c>
      <c r="O822">
        <v>4</v>
      </c>
      <c r="P822">
        <v>4</v>
      </c>
      <c r="Q822">
        <v>3</v>
      </c>
      <c r="R822">
        <v>3</v>
      </c>
      <c r="S822">
        <v>2</v>
      </c>
      <c r="T822">
        <v>4</v>
      </c>
      <c r="U822">
        <v>4</v>
      </c>
      <c r="V822">
        <v>5</v>
      </c>
      <c r="W822">
        <v>5</v>
      </c>
      <c r="X822">
        <v>4</v>
      </c>
      <c r="Y822">
        <v>5</v>
      </c>
      <c r="Z822">
        <v>4</v>
      </c>
      <c r="AA822">
        <v>5</v>
      </c>
      <c r="AB822">
        <v>4</v>
      </c>
      <c r="AC822">
        <v>4</v>
      </c>
      <c r="AD822">
        <v>4</v>
      </c>
      <c r="AE822">
        <v>5</v>
      </c>
      <c r="AF822">
        <v>4</v>
      </c>
      <c r="AG822">
        <v>5</v>
      </c>
      <c r="AH822">
        <v>4</v>
      </c>
      <c r="AI822">
        <v>2</v>
      </c>
      <c r="AJ822">
        <v>2</v>
      </c>
      <c r="AK822" t="b">
        <f>Table67[[#This Row],[What is your age?]]&lt;&gt;"18 - 25"</f>
        <v>0</v>
      </c>
      <c r="AL822" t="b">
        <f t="shared" si="48"/>
        <v>0</v>
      </c>
      <c r="AM822" t="b">
        <f t="shared" si="49"/>
        <v>1</v>
      </c>
      <c r="AN822" t="b">
        <f t="shared" si="50"/>
        <v>0</v>
      </c>
      <c r="AO822" t="b">
        <f>OR(Table67[[#This Row],[Ineligible respondents]:[Inconsistent response on opposite question (3)]])</f>
        <v>1</v>
      </c>
      <c r="AP82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822">
        <f>Table67[[#This Row],[Extreme Response]]/21</f>
        <v>0.33333333333333331</v>
      </c>
      <c r="AR822">
        <f>_xlfn.PERCENTILE.INC(Table67[Extrem Response Ratio (ERS)],0.9)</f>
        <v>0.61904761904761907</v>
      </c>
      <c r="AS822" t="b">
        <f>Table67[[#This Row],[Extrem Response Ratio (ERS)]]&gt;=Table67[[#This Row],[Threshold of ERS]]</f>
        <v>0</v>
      </c>
      <c r="AT822">
        <f>COUNTIF(Table67[[#This Row],[The mechanism of digital assets is difficult to understand, which discourages me from exploring it (E.g, Tokenization, Blockchain)]:[If I want to try different ways to invest, I will explore digital assets.]], 3)</f>
        <v>2</v>
      </c>
      <c r="AU822">
        <f>Table67[[#This Row],[Midpoint]]/21</f>
        <v>9.5238095238095233E-2</v>
      </c>
      <c r="AV822">
        <f>_xlfn.PERCENTILE.INC(Table67[Midpoint ratio],0.9)</f>
        <v>0.5714285714285714</v>
      </c>
      <c r="AW822" t="b">
        <f>Table67[[#This Row],[Midpoint ratio]]&gt;=Table67[[#This Row],[Threshold of Midpoint ratio]]</f>
        <v>0</v>
      </c>
      <c r="AX822" t="b">
        <f>OR(Table67[[#This Row],[Extreme Response Style]],Table67[[#This Row],[Mid-point Response Style]])</f>
        <v>0</v>
      </c>
      <c r="AY822" t="b">
        <f>OR(Table67[[#This Row],[Delete? (Stage 1)]],Table67[[#This Row],[Delete? (Stage 2)]])</f>
        <v>1</v>
      </c>
      <c r="AZ822" t="s">
        <v>84</v>
      </c>
    </row>
    <row r="823" spans="1:52">
      <c r="A823">
        <f t="shared" si="51"/>
        <v>822</v>
      </c>
      <c r="B823" s="3">
        <v>46056.873599537001</v>
      </c>
      <c r="C823" s="3">
        <v>46056.883807870399</v>
      </c>
      <c r="D823" t="s">
        <v>53</v>
      </c>
      <c r="G823" t="s">
        <v>54</v>
      </c>
      <c r="H823" t="s">
        <v>55</v>
      </c>
      <c r="I823" t="s">
        <v>56</v>
      </c>
      <c r="J823" t="s">
        <v>60</v>
      </c>
      <c r="K823" t="s">
        <v>62</v>
      </c>
      <c r="L823" t="s">
        <v>58</v>
      </c>
      <c r="M823" t="s">
        <v>58</v>
      </c>
      <c r="N823">
        <v>4</v>
      </c>
      <c r="O823">
        <v>2</v>
      </c>
      <c r="P823">
        <v>5</v>
      </c>
      <c r="Q823">
        <v>4</v>
      </c>
      <c r="R823">
        <v>4</v>
      </c>
      <c r="S823">
        <v>2</v>
      </c>
      <c r="T823">
        <v>3</v>
      </c>
      <c r="U823">
        <v>4</v>
      </c>
      <c r="V823">
        <v>2</v>
      </c>
      <c r="W823">
        <v>1</v>
      </c>
      <c r="X823">
        <v>4</v>
      </c>
      <c r="Y823">
        <v>4</v>
      </c>
      <c r="Z823">
        <v>5</v>
      </c>
      <c r="AA823">
        <v>2</v>
      </c>
      <c r="AB823">
        <v>1</v>
      </c>
      <c r="AC823">
        <v>2</v>
      </c>
      <c r="AD823">
        <v>5</v>
      </c>
      <c r="AE823">
        <v>4</v>
      </c>
      <c r="AF823">
        <v>4</v>
      </c>
      <c r="AG823">
        <v>5</v>
      </c>
      <c r="AH823">
        <v>3</v>
      </c>
      <c r="AI823">
        <v>3</v>
      </c>
      <c r="AJ823">
        <v>2</v>
      </c>
      <c r="AK823" t="b">
        <f>Table67[[#This Row],[What is your age?]]&lt;&gt;"18 - 25"</f>
        <v>0</v>
      </c>
      <c r="AL823" t="b">
        <f t="shared" si="48"/>
        <v>0</v>
      </c>
      <c r="AM823" t="b">
        <f t="shared" si="49"/>
        <v>0</v>
      </c>
      <c r="AN823" t="b">
        <f t="shared" si="50"/>
        <v>1</v>
      </c>
      <c r="AO823" t="b">
        <f>OR(Table67[[#This Row],[Ineligible respondents]:[Inconsistent response on opposite question (3)]])</f>
        <v>1</v>
      </c>
      <c r="AP82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823">
        <f>Table67[[#This Row],[Extreme Response]]/21</f>
        <v>0.2857142857142857</v>
      </c>
      <c r="AR823">
        <f>_xlfn.PERCENTILE.INC(Table67[Extrem Response Ratio (ERS)],0.9)</f>
        <v>0.61904761904761907</v>
      </c>
      <c r="AS823" t="b">
        <f>Table67[[#This Row],[Extrem Response Ratio (ERS)]]&gt;=Table67[[#This Row],[Threshold of ERS]]</f>
        <v>0</v>
      </c>
      <c r="AT823">
        <f>COUNTIF(Table67[[#This Row],[The mechanism of digital assets is difficult to understand, which discourages me from exploring it (E.g, Tokenization, Blockchain)]:[If I want to try different ways to invest, I will explore digital assets.]], 3)</f>
        <v>2</v>
      </c>
      <c r="AU823">
        <f>Table67[[#This Row],[Midpoint]]/21</f>
        <v>9.5238095238095233E-2</v>
      </c>
      <c r="AV823">
        <f>_xlfn.PERCENTILE.INC(Table67[Midpoint ratio],0.9)</f>
        <v>0.5714285714285714</v>
      </c>
      <c r="AW823" t="b">
        <f>Table67[[#This Row],[Midpoint ratio]]&gt;=Table67[[#This Row],[Threshold of Midpoint ratio]]</f>
        <v>0</v>
      </c>
      <c r="AX823" t="b">
        <f>OR(Table67[[#This Row],[Extreme Response Style]],Table67[[#This Row],[Mid-point Response Style]])</f>
        <v>0</v>
      </c>
      <c r="AY823" t="b">
        <f>OR(Table67[[#This Row],[Delete? (Stage 1)]],Table67[[#This Row],[Delete? (Stage 2)]])</f>
        <v>1</v>
      </c>
      <c r="AZ823" t="s">
        <v>84</v>
      </c>
    </row>
    <row r="824" spans="1:52">
      <c r="A824">
        <f t="shared" si="51"/>
        <v>823</v>
      </c>
      <c r="B824" s="3">
        <v>46056.873611111099</v>
      </c>
      <c r="C824" s="3">
        <v>46056.875821759299</v>
      </c>
      <c r="D824" t="s">
        <v>53</v>
      </c>
      <c r="G824" t="s">
        <v>54</v>
      </c>
      <c r="H824" t="s">
        <v>63</v>
      </c>
      <c r="I824" t="s">
        <v>71</v>
      </c>
      <c r="J824" t="s">
        <v>57</v>
      </c>
      <c r="K824" t="s">
        <v>57</v>
      </c>
      <c r="L824" t="s">
        <v>58</v>
      </c>
      <c r="M824" t="s">
        <v>58</v>
      </c>
      <c r="N824">
        <v>4</v>
      </c>
      <c r="O824">
        <v>2</v>
      </c>
      <c r="P824">
        <v>4</v>
      </c>
      <c r="Q824">
        <v>4</v>
      </c>
      <c r="R824">
        <v>4</v>
      </c>
      <c r="S824">
        <v>4</v>
      </c>
      <c r="T824">
        <v>4</v>
      </c>
      <c r="U824">
        <v>4</v>
      </c>
      <c r="V824">
        <v>4</v>
      </c>
      <c r="W824">
        <v>4</v>
      </c>
      <c r="X824">
        <v>4</v>
      </c>
      <c r="Y824">
        <v>4</v>
      </c>
      <c r="Z824">
        <v>4</v>
      </c>
      <c r="AA824">
        <v>4</v>
      </c>
      <c r="AB824">
        <v>3</v>
      </c>
      <c r="AC824">
        <v>4</v>
      </c>
      <c r="AD824">
        <v>4</v>
      </c>
      <c r="AE824">
        <v>3</v>
      </c>
      <c r="AF824">
        <v>1</v>
      </c>
      <c r="AG824">
        <v>4</v>
      </c>
      <c r="AH824">
        <v>1</v>
      </c>
      <c r="AI824">
        <v>5</v>
      </c>
      <c r="AJ824">
        <v>5</v>
      </c>
      <c r="AK824" t="b">
        <f>Table67[[#This Row],[What is your age?]]&lt;&gt;"18 - 25"</f>
        <v>0</v>
      </c>
      <c r="AL824" t="b">
        <f t="shared" si="48"/>
        <v>0</v>
      </c>
      <c r="AM824" t="b">
        <f t="shared" si="49"/>
        <v>0</v>
      </c>
      <c r="AN824" t="b">
        <f t="shared" si="50"/>
        <v>0</v>
      </c>
      <c r="AO824" t="b">
        <f>OR(Table67[[#This Row],[Ineligible respondents]:[Inconsistent response on opposite question (3)]])</f>
        <v>0</v>
      </c>
      <c r="AP82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824">
        <f>Table67[[#This Row],[Extreme Response]]/21</f>
        <v>9.5238095238095233E-2</v>
      </c>
      <c r="AR824">
        <f>_xlfn.PERCENTILE.INC(Table67[Extrem Response Ratio (ERS)],0.9)</f>
        <v>0.61904761904761907</v>
      </c>
      <c r="AS824" t="b">
        <f>Table67[[#This Row],[Extrem Response Ratio (ERS)]]&gt;=Table67[[#This Row],[Threshold of ERS]]</f>
        <v>0</v>
      </c>
      <c r="AT824">
        <f>COUNTIF(Table67[[#This Row],[The mechanism of digital assets is difficult to understand, which discourages me from exploring it (E.g, Tokenization, Blockchain)]:[If I want to try different ways to invest, I will explore digital assets.]], 3)</f>
        <v>2</v>
      </c>
      <c r="AU824">
        <f>Table67[[#This Row],[Midpoint]]/21</f>
        <v>9.5238095238095233E-2</v>
      </c>
      <c r="AV824">
        <f>_xlfn.PERCENTILE.INC(Table67[Midpoint ratio],0.9)</f>
        <v>0.5714285714285714</v>
      </c>
      <c r="AW824" t="b">
        <f>Table67[[#This Row],[Midpoint ratio]]&gt;=Table67[[#This Row],[Threshold of Midpoint ratio]]</f>
        <v>0</v>
      </c>
      <c r="AX824" t="b">
        <f>OR(Table67[[#This Row],[Extreme Response Style]],Table67[[#This Row],[Mid-point Response Style]])</f>
        <v>0</v>
      </c>
      <c r="AY824" t="b">
        <f>OR(Table67[[#This Row],[Delete? (Stage 1)]],Table67[[#This Row],[Delete? (Stage 2)]])</f>
        <v>0</v>
      </c>
      <c r="AZ824" t="s">
        <v>84</v>
      </c>
    </row>
    <row r="825" spans="1:52">
      <c r="A825">
        <f t="shared" si="51"/>
        <v>824</v>
      </c>
      <c r="B825" s="3">
        <v>46056.873611111099</v>
      </c>
      <c r="C825" s="3">
        <v>46056.876643518503</v>
      </c>
      <c r="D825" t="s">
        <v>53</v>
      </c>
      <c r="G825" t="s">
        <v>54</v>
      </c>
      <c r="H825" t="s">
        <v>63</v>
      </c>
      <c r="I825" t="s">
        <v>69</v>
      </c>
      <c r="J825" t="s">
        <v>60</v>
      </c>
      <c r="K825" t="s">
        <v>57</v>
      </c>
      <c r="L825" t="s">
        <v>58</v>
      </c>
      <c r="M825" t="s">
        <v>58</v>
      </c>
      <c r="N825">
        <v>5</v>
      </c>
      <c r="O825">
        <v>1</v>
      </c>
      <c r="P825">
        <v>5</v>
      </c>
      <c r="Q825">
        <v>5</v>
      </c>
      <c r="R825">
        <v>3</v>
      </c>
      <c r="S825">
        <v>5</v>
      </c>
      <c r="T825">
        <v>5</v>
      </c>
      <c r="U825">
        <v>5</v>
      </c>
      <c r="V825">
        <v>5</v>
      </c>
      <c r="W825">
        <v>5</v>
      </c>
      <c r="X825">
        <v>5</v>
      </c>
      <c r="Y825">
        <v>5</v>
      </c>
      <c r="Z825">
        <v>5</v>
      </c>
      <c r="AA825">
        <v>5</v>
      </c>
      <c r="AB825">
        <v>5</v>
      </c>
      <c r="AC825">
        <v>5</v>
      </c>
      <c r="AD825">
        <v>5</v>
      </c>
      <c r="AE825">
        <v>5</v>
      </c>
      <c r="AF825">
        <v>1</v>
      </c>
      <c r="AG825">
        <v>4</v>
      </c>
      <c r="AH825">
        <v>1</v>
      </c>
      <c r="AI825">
        <v>5</v>
      </c>
      <c r="AJ825">
        <v>5</v>
      </c>
      <c r="AK825" t="b">
        <f>Table67[[#This Row],[What is your age?]]&lt;&gt;"18 - 25"</f>
        <v>0</v>
      </c>
      <c r="AL825" t="b">
        <f t="shared" si="48"/>
        <v>0</v>
      </c>
      <c r="AM825" t="b">
        <f t="shared" si="49"/>
        <v>0</v>
      </c>
      <c r="AN825" t="b">
        <f t="shared" si="50"/>
        <v>0</v>
      </c>
      <c r="AO825" t="b">
        <f>OR(Table67[[#This Row],[Ineligible respondents]:[Inconsistent response on opposite question (3)]])</f>
        <v>0</v>
      </c>
      <c r="AP82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19</v>
      </c>
      <c r="AQ825">
        <f>Table67[[#This Row],[Extreme Response]]/21</f>
        <v>0.90476190476190477</v>
      </c>
      <c r="AR825">
        <f>_xlfn.PERCENTILE.INC(Table67[Extrem Response Ratio (ERS)],0.9)</f>
        <v>0.61904761904761907</v>
      </c>
      <c r="AS825" t="b">
        <f>Table67[[#This Row],[Extrem Response Ratio (ERS)]]&gt;=Table67[[#This Row],[Threshold of ERS]]</f>
        <v>1</v>
      </c>
      <c r="AT825">
        <f>COUNTIF(Table67[[#This Row],[The mechanism of digital assets is difficult to understand, which discourages me from exploring it (E.g, Tokenization, Blockchain)]:[If I want to try different ways to invest, I will explore digital assets.]], 3)</f>
        <v>1</v>
      </c>
      <c r="AU825">
        <f>Table67[[#This Row],[Midpoint]]/21</f>
        <v>4.7619047619047616E-2</v>
      </c>
      <c r="AV825">
        <f>_xlfn.PERCENTILE.INC(Table67[Midpoint ratio],0.9)</f>
        <v>0.5714285714285714</v>
      </c>
      <c r="AW825" t="b">
        <f>Table67[[#This Row],[Midpoint ratio]]&gt;=Table67[[#This Row],[Threshold of Midpoint ratio]]</f>
        <v>0</v>
      </c>
      <c r="AX825" t="b">
        <f>OR(Table67[[#This Row],[Extreme Response Style]],Table67[[#This Row],[Mid-point Response Style]])</f>
        <v>1</v>
      </c>
      <c r="AY825" t="b">
        <f>OR(Table67[[#This Row],[Delete? (Stage 1)]],Table67[[#This Row],[Delete? (Stage 2)]])</f>
        <v>1</v>
      </c>
      <c r="AZ825" t="s">
        <v>84</v>
      </c>
    </row>
    <row r="826" spans="1:52">
      <c r="A826">
        <f t="shared" si="51"/>
        <v>825</v>
      </c>
      <c r="B826" s="3">
        <v>46056.873611111099</v>
      </c>
      <c r="C826" s="3">
        <v>46056.879583333299</v>
      </c>
      <c r="D826" t="s">
        <v>53</v>
      </c>
      <c r="G826" t="s">
        <v>54</v>
      </c>
      <c r="H826" t="s">
        <v>55</v>
      </c>
      <c r="I826" t="s">
        <v>71</v>
      </c>
      <c r="J826" t="s">
        <v>57</v>
      </c>
      <c r="K826" t="s">
        <v>57</v>
      </c>
      <c r="L826" t="s">
        <v>58</v>
      </c>
      <c r="M826" t="s">
        <v>61</v>
      </c>
      <c r="N826">
        <v>1</v>
      </c>
      <c r="O826">
        <v>1</v>
      </c>
      <c r="P826">
        <v>3</v>
      </c>
      <c r="Q826">
        <v>1</v>
      </c>
      <c r="R826">
        <v>1</v>
      </c>
      <c r="S826">
        <v>1</v>
      </c>
      <c r="T826">
        <v>1</v>
      </c>
      <c r="U826">
        <v>4</v>
      </c>
      <c r="V826">
        <v>2</v>
      </c>
      <c r="W826">
        <v>5</v>
      </c>
      <c r="X826">
        <v>3</v>
      </c>
      <c r="Y826">
        <v>2</v>
      </c>
      <c r="Z826">
        <v>5</v>
      </c>
      <c r="AA826">
        <v>2</v>
      </c>
      <c r="AB826">
        <v>3</v>
      </c>
      <c r="AC826">
        <v>1</v>
      </c>
      <c r="AD826">
        <v>3</v>
      </c>
      <c r="AE826">
        <v>1</v>
      </c>
      <c r="AF826">
        <v>5</v>
      </c>
      <c r="AG826">
        <v>1</v>
      </c>
      <c r="AH826">
        <v>5</v>
      </c>
      <c r="AI826">
        <v>1</v>
      </c>
      <c r="AJ826">
        <v>1</v>
      </c>
      <c r="AK826" t="b">
        <f>Table67[[#This Row],[What is your age?]]&lt;&gt;"18 - 25"</f>
        <v>0</v>
      </c>
      <c r="AL826" t="b">
        <f t="shared" si="48"/>
        <v>0</v>
      </c>
      <c r="AM826" t="b">
        <f t="shared" si="49"/>
        <v>0</v>
      </c>
      <c r="AN826" t="b">
        <f t="shared" si="50"/>
        <v>0</v>
      </c>
      <c r="AO826" t="b">
        <f>OR(Table67[[#This Row],[Ineligible respondents]:[Inconsistent response on opposite question (3)]])</f>
        <v>0</v>
      </c>
      <c r="AP82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826">
        <f>Table67[[#This Row],[Extreme Response]]/21</f>
        <v>0.61904761904761907</v>
      </c>
      <c r="AR826">
        <f>_xlfn.PERCENTILE.INC(Table67[Extrem Response Ratio (ERS)],0.9)</f>
        <v>0.61904761904761907</v>
      </c>
      <c r="AS826" t="b">
        <f>Table67[[#This Row],[Extrem Response Ratio (ERS)]]&gt;=Table67[[#This Row],[Threshold of ERS]]</f>
        <v>1</v>
      </c>
      <c r="AT826">
        <f>COUNTIF(Table67[[#This Row],[The mechanism of digital assets is difficult to understand, which discourages me from exploring it (E.g, Tokenization, Blockchain)]:[If I want to try different ways to invest, I will explore digital assets.]], 3)</f>
        <v>4</v>
      </c>
      <c r="AU826">
        <f>Table67[[#This Row],[Midpoint]]/21</f>
        <v>0.19047619047619047</v>
      </c>
      <c r="AV826">
        <f>_xlfn.PERCENTILE.INC(Table67[Midpoint ratio],0.9)</f>
        <v>0.5714285714285714</v>
      </c>
      <c r="AW826" t="b">
        <f>Table67[[#This Row],[Midpoint ratio]]&gt;=Table67[[#This Row],[Threshold of Midpoint ratio]]</f>
        <v>0</v>
      </c>
      <c r="AX826" t="b">
        <f>OR(Table67[[#This Row],[Extreme Response Style]],Table67[[#This Row],[Mid-point Response Style]])</f>
        <v>1</v>
      </c>
      <c r="AY826" t="b">
        <f>OR(Table67[[#This Row],[Delete? (Stage 1)]],Table67[[#This Row],[Delete? (Stage 2)]])</f>
        <v>1</v>
      </c>
      <c r="AZ826" t="s">
        <v>84</v>
      </c>
    </row>
    <row r="827" spans="1:52">
      <c r="A827">
        <f t="shared" si="51"/>
        <v>826</v>
      </c>
      <c r="B827" s="3">
        <v>46056.873634259297</v>
      </c>
      <c r="C827" s="3">
        <v>46056.888564814799</v>
      </c>
      <c r="D827" t="s">
        <v>53</v>
      </c>
      <c r="G827" t="s">
        <v>54</v>
      </c>
      <c r="H827" t="s">
        <v>55</v>
      </c>
      <c r="I827" t="s">
        <v>69</v>
      </c>
      <c r="J827" t="s">
        <v>62</v>
      </c>
      <c r="K827" t="s">
        <v>62</v>
      </c>
      <c r="L827" t="s">
        <v>58</v>
      </c>
      <c r="M827" t="s">
        <v>58</v>
      </c>
      <c r="N827">
        <v>2</v>
      </c>
      <c r="O827">
        <v>2</v>
      </c>
      <c r="P827">
        <v>2</v>
      </c>
      <c r="Q827">
        <v>2</v>
      </c>
      <c r="R827">
        <v>2</v>
      </c>
      <c r="S827">
        <v>3</v>
      </c>
      <c r="T827">
        <v>2</v>
      </c>
      <c r="U827">
        <v>2</v>
      </c>
      <c r="V827">
        <v>2</v>
      </c>
      <c r="W827">
        <v>5</v>
      </c>
      <c r="X827">
        <v>3</v>
      </c>
      <c r="Y827">
        <v>2</v>
      </c>
      <c r="Z827">
        <v>5</v>
      </c>
      <c r="AA827">
        <v>5</v>
      </c>
      <c r="AB827">
        <v>2</v>
      </c>
      <c r="AC827">
        <v>2</v>
      </c>
      <c r="AD827">
        <v>4</v>
      </c>
      <c r="AE827">
        <v>4</v>
      </c>
      <c r="AF827">
        <v>4</v>
      </c>
      <c r="AG827">
        <v>2</v>
      </c>
      <c r="AH827">
        <v>3</v>
      </c>
      <c r="AI827">
        <v>3</v>
      </c>
      <c r="AJ827">
        <v>2</v>
      </c>
      <c r="AK827" t="b">
        <f>Table67[[#This Row],[What is your age?]]&lt;&gt;"18 - 25"</f>
        <v>0</v>
      </c>
      <c r="AL827" t="b">
        <f t="shared" si="48"/>
        <v>0</v>
      </c>
      <c r="AM827" t="b">
        <f t="shared" si="49"/>
        <v>0</v>
      </c>
      <c r="AN827" t="b">
        <f t="shared" si="50"/>
        <v>1</v>
      </c>
      <c r="AO827" t="b">
        <f>OR(Table67[[#This Row],[Ineligible respondents]:[Inconsistent response on opposite question (3)]])</f>
        <v>1</v>
      </c>
      <c r="AP82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827">
        <f>Table67[[#This Row],[Extreme Response]]/21</f>
        <v>0.14285714285714285</v>
      </c>
      <c r="AR827">
        <f>_xlfn.PERCENTILE.INC(Table67[Extrem Response Ratio (ERS)],0.9)</f>
        <v>0.61904761904761907</v>
      </c>
      <c r="AS827" t="b">
        <f>Table67[[#This Row],[Extrem Response Ratio (ERS)]]&gt;=Table67[[#This Row],[Threshold of ERS]]</f>
        <v>0</v>
      </c>
      <c r="AT827">
        <f>COUNTIF(Table67[[#This Row],[The mechanism of digital assets is difficult to understand, which discourages me from exploring it (E.g, Tokenization, Blockchain)]:[If I want to try different ways to invest, I will explore digital assets.]], 3)</f>
        <v>3</v>
      </c>
      <c r="AU827">
        <f>Table67[[#This Row],[Midpoint]]/21</f>
        <v>0.14285714285714285</v>
      </c>
      <c r="AV827">
        <f>_xlfn.PERCENTILE.INC(Table67[Midpoint ratio],0.9)</f>
        <v>0.5714285714285714</v>
      </c>
      <c r="AW827" t="b">
        <f>Table67[[#This Row],[Midpoint ratio]]&gt;=Table67[[#This Row],[Threshold of Midpoint ratio]]</f>
        <v>0</v>
      </c>
      <c r="AX827" t="b">
        <f>OR(Table67[[#This Row],[Extreme Response Style]],Table67[[#This Row],[Mid-point Response Style]])</f>
        <v>0</v>
      </c>
      <c r="AY827" t="b">
        <f>OR(Table67[[#This Row],[Delete? (Stage 1)]],Table67[[#This Row],[Delete? (Stage 2)]])</f>
        <v>1</v>
      </c>
      <c r="AZ827" t="s">
        <v>84</v>
      </c>
    </row>
    <row r="828" spans="1:52">
      <c r="A828">
        <f t="shared" si="51"/>
        <v>827</v>
      </c>
      <c r="B828" s="3">
        <v>46056.8737384259</v>
      </c>
      <c r="C828" s="3">
        <v>46056.878530092603</v>
      </c>
      <c r="D828" t="s">
        <v>53</v>
      </c>
      <c r="G828" t="s">
        <v>73</v>
      </c>
      <c r="H828" t="s">
        <v>63</v>
      </c>
      <c r="I828" t="s">
        <v>56</v>
      </c>
      <c r="J828" t="s">
        <v>62</v>
      </c>
      <c r="K828" t="s">
        <v>57</v>
      </c>
      <c r="L828" t="s">
        <v>61</v>
      </c>
      <c r="M828" t="s">
        <v>58</v>
      </c>
      <c r="N828">
        <v>3</v>
      </c>
      <c r="O828">
        <v>2</v>
      </c>
      <c r="P828">
        <v>4</v>
      </c>
      <c r="Q828">
        <v>4</v>
      </c>
      <c r="R828">
        <v>3</v>
      </c>
      <c r="S828">
        <v>4</v>
      </c>
      <c r="T828">
        <v>2</v>
      </c>
      <c r="U828">
        <v>3</v>
      </c>
      <c r="V828">
        <v>4</v>
      </c>
      <c r="W828">
        <v>4</v>
      </c>
      <c r="X828">
        <v>3</v>
      </c>
      <c r="Y828">
        <v>4</v>
      </c>
      <c r="Z828">
        <v>4</v>
      </c>
      <c r="AA828">
        <v>4</v>
      </c>
      <c r="AB828">
        <v>4</v>
      </c>
      <c r="AC828">
        <v>2</v>
      </c>
      <c r="AD828">
        <v>3</v>
      </c>
      <c r="AE828">
        <v>2</v>
      </c>
      <c r="AF828">
        <v>4</v>
      </c>
      <c r="AG828">
        <v>2</v>
      </c>
      <c r="AH828">
        <v>4</v>
      </c>
      <c r="AI828">
        <v>2</v>
      </c>
      <c r="AJ828">
        <v>2</v>
      </c>
      <c r="AK828" t="b">
        <f>Table67[[#This Row],[What is your age?]]&lt;&gt;"18 - 25"</f>
        <v>1</v>
      </c>
      <c r="AL828" t="b">
        <f t="shared" si="48"/>
        <v>0</v>
      </c>
      <c r="AM828" t="b">
        <f t="shared" si="49"/>
        <v>0</v>
      </c>
      <c r="AN828" t="b">
        <f t="shared" si="50"/>
        <v>0</v>
      </c>
      <c r="AO828" t="b">
        <f>OR(Table67[[#This Row],[Ineligible respondents]:[Inconsistent response on opposite question (3)]])</f>
        <v>1</v>
      </c>
      <c r="AP82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828">
        <f>Table67[[#This Row],[Extreme Response]]/21</f>
        <v>0</v>
      </c>
      <c r="AR828">
        <f>_xlfn.PERCENTILE.INC(Table67[Extrem Response Ratio (ERS)],0.9)</f>
        <v>0.61904761904761907</v>
      </c>
      <c r="AS828" t="b">
        <f>Table67[[#This Row],[Extrem Response Ratio (ERS)]]&gt;=Table67[[#This Row],[Threshold of ERS]]</f>
        <v>0</v>
      </c>
      <c r="AT828">
        <f>COUNTIF(Table67[[#This Row],[The mechanism of digital assets is difficult to understand, which discourages me from exploring it (E.g, Tokenization, Blockchain)]:[If I want to try different ways to invest, I will explore digital assets.]], 3)</f>
        <v>5</v>
      </c>
      <c r="AU828">
        <f>Table67[[#This Row],[Midpoint]]/21</f>
        <v>0.23809523809523808</v>
      </c>
      <c r="AV828">
        <f>_xlfn.PERCENTILE.INC(Table67[Midpoint ratio],0.9)</f>
        <v>0.5714285714285714</v>
      </c>
      <c r="AW828" t="b">
        <f>Table67[[#This Row],[Midpoint ratio]]&gt;=Table67[[#This Row],[Threshold of Midpoint ratio]]</f>
        <v>0</v>
      </c>
      <c r="AX828" t="b">
        <f>OR(Table67[[#This Row],[Extreme Response Style]],Table67[[#This Row],[Mid-point Response Style]])</f>
        <v>0</v>
      </c>
      <c r="AY828" t="b">
        <f>OR(Table67[[#This Row],[Delete? (Stage 1)]],Table67[[#This Row],[Delete? (Stage 2)]])</f>
        <v>1</v>
      </c>
      <c r="AZ828" t="s">
        <v>84</v>
      </c>
    </row>
    <row r="829" spans="1:52">
      <c r="A829">
        <f t="shared" si="51"/>
        <v>828</v>
      </c>
      <c r="B829" s="3">
        <v>46056.8737847222</v>
      </c>
      <c r="C829" s="3">
        <v>46056.877766203703</v>
      </c>
      <c r="D829" t="s">
        <v>53</v>
      </c>
      <c r="G829" t="s">
        <v>54</v>
      </c>
      <c r="H829" t="s">
        <v>63</v>
      </c>
      <c r="I829" t="s">
        <v>56</v>
      </c>
      <c r="J829" t="s">
        <v>65</v>
      </c>
      <c r="K829" t="s">
        <v>62</v>
      </c>
      <c r="L829" t="s">
        <v>61</v>
      </c>
      <c r="M829" t="s">
        <v>61</v>
      </c>
      <c r="N829">
        <v>4</v>
      </c>
      <c r="O829">
        <v>3</v>
      </c>
      <c r="P829">
        <v>3</v>
      </c>
      <c r="Q829">
        <v>3</v>
      </c>
      <c r="R829">
        <v>4</v>
      </c>
      <c r="S829">
        <v>4</v>
      </c>
      <c r="T829">
        <v>4</v>
      </c>
      <c r="U829">
        <v>4</v>
      </c>
      <c r="V829">
        <v>5</v>
      </c>
      <c r="W829">
        <v>4</v>
      </c>
      <c r="X829">
        <v>4</v>
      </c>
      <c r="Y829">
        <v>3</v>
      </c>
      <c r="Z829">
        <v>4</v>
      </c>
      <c r="AA829">
        <v>4</v>
      </c>
      <c r="AB829">
        <v>4</v>
      </c>
      <c r="AC829">
        <v>4</v>
      </c>
      <c r="AD829">
        <v>4</v>
      </c>
      <c r="AE829">
        <v>4</v>
      </c>
      <c r="AF829">
        <v>4</v>
      </c>
      <c r="AG829">
        <v>2</v>
      </c>
      <c r="AH829">
        <v>4</v>
      </c>
      <c r="AI829">
        <v>2</v>
      </c>
      <c r="AJ829">
        <v>2</v>
      </c>
      <c r="AK829" t="b">
        <f>Table67[[#This Row],[What is your age?]]&lt;&gt;"18 - 25"</f>
        <v>0</v>
      </c>
      <c r="AL829" t="b">
        <f t="shared" si="48"/>
        <v>0</v>
      </c>
      <c r="AM829" t="b">
        <f t="shared" si="49"/>
        <v>0</v>
      </c>
      <c r="AN829" t="b">
        <f t="shared" si="50"/>
        <v>0</v>
      </c>
      <c r="AO829" t="b">
        <f>OR(Table67[[#This Row],[Ineligible respondents]:[Inconsistent response on opposite question (3)]])</f>
        <v>0</v>
      </c>
      <c r="AP82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829">
        <f>Table67[[#This Row],[Extreme Response]]/21</f>
        <v>4.7619047619047616E-2</v>
      </c>
      <c r="AR829">
        <f>_xlfn.PERCENTILE.INC(Table67[Extrem Response Ratio (ERS)],0.9)</f>
        <v>0.61904761904761907</v>
      </c>
      <c r="AS829" t="b">
        <f>Table67[[#This Row],[Extrem Response Ratio (ERS)]]&gt;=Table67[[#This Row],[Threshold of ERS]]</f>
        <v>0</v>
      </c>
      <c r="AT829">
        <f>COUNTIF(Table67[[#This Row],[The mechanism of digital assets is difficult to understand, which discourages me from exploring it (E.g, Tokenization, Blockchain)]:[If I want to try different ways to invest, I will explore digital assets.]], 3)</f>
        <v>4</v>
      </c>
      <c r="AU829">
        <f>Table67[[#This Row],[Midpoint]]/21</f>
        <v>0.19047619047619047</v>
      </c>
      <c r="AV829">
        <f>_xlfn.PERCENTILE.INC(Table67[Midpoint ratio],0.9)</f>
        <v>0.5714285714285714</v>
      </c>
      <c r="AW829" t="b">
        <f>Table67[[#This Row],[Midpoint ratio]]&gt;=Table67[[#This Row],[Threshold of Midpoint ratio]]</f>
        <v>0</v>
      </c>
      <c r="AX829" t="b">
        <f>OR(Table67[[#This Row],[Extreme Response Style]],Table67[[#This Row],[Mid-point Response Style]])</f>
        <v>0</v>
      </c>
      <c r="AY829" t="b">
        <f>OR(Table67[[#This Row],[Delete? (Stage 1)]],Table67[[#This Row],[Delete? (Stage 2)]])</f>
        <v>0</v>
      </c>
      <c r="AZ829" t="s">
        <v>84</v>
      </c>
    </row>
    <row r="830" spans="1:52">
      <c r="A830">
        <f t="shared" si="51"/>
        <v>829</v>
      </c>
      <c r="B830" s="3">
        <v>46056.8737847222</v>
      </c>
      <c r="C830" s="3">
        <v>46056.878344907404</v>
      </c>
      <c r="D830" t="s">
        <v>53</v>
      </c>
      <c r="G830" t="s">
        <v>54</v>
      </c>
      <c r="H830" t="s">
        <v>63</v>
      </c>
      <c r="I830" t="s">
        <v>56</v>
      </c>
      <c r="J830" t="s">
        <v>64</v>
      </c>
      <c r="K830" t="s">
        <v>57</v>
      </c>
      <c r="L830" t="s">
        <v>58</v>
      </c>
      <c r="M830" t="s">
        <v>58</v>
      </c>
      <c r="N830">
        <v>4</v>
      </c>
      <c r="O830">
        <v>4</v>
      </c>
      <c r="P830">
        <v>4</v>
      </c>
      <c r="Q830">
        <v>3</v>
      </c>
      <c r="R830">
        <v>4</v>
      </c>
      <c r="S830">
        <v>4</v>
      </c>
      <c r="T830">
        <v>2</v>
      </c>
      <c r="U830">
        <v>3</v>
      </c>
      <c r="V830">
        <v>5</v>
      </c>
      <c r="W830">
        <v>4</v>
      </c>
      <c r="X830">
        <v>4</v>
      </c>
      <c r="Y830">
        <v>4</v>
      </c>
      <c r="Z830">
        <v>4</v>
      </c>
      <c r="AA830">
        <v>5</v>
      </c>
      <c r="AB830">
        <v>2</v>
      </c>
      <c r="AC830">
        <v>3</v>
      </c>
      <c r="AD830">
        <v>5</v>
      </c>
      <c r="AE830">
        <v>2</v>
      </c>
      <c r="AF830">
        <v>4</v>
      </c>
      <c r="AG830">
        <v>2</v>
      </c>
      <c r="AH830">
        <v>4</v>
      </c>
      <c r="AI830">
        <v>2</v>
      </c>
      <c r="AJ830">
        <v>2</v>
      </c>
      <c r="AK830" t="b">
        <f>Table67[[#This Row],[What is your age?]]&lt;&gt;"18 - 25"</f>
        <v>0</v>
      </c>
      <c r="AL830" t="b">
        <f t="shared" si="48"/>
        <v>0</v>
      </c>
      <c r="AM830" t="b">
        <f t="shared" si="49"/>
        <v>0</v>
      </c>
      <c r="AN830" t="b">
        <f t="shared" si="50"/>
        <v>0</v>
      </c>
      <c r="AO830" t="b">
        <f>OR(Table67[[#This Row],[Ineligible respondents]:[Inconsistent response on opposite question (3)]])</f>
        <v>0</v>
      </c>
      <c r="AP83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830">
        <f>Table67[[#This Row],[Extreme Response]]/21</f>
        <v>0.14285714285714285</v>
      </c>
      <c r="AR830">
        <f>_xlfn.PERCENTILE.INC(Table67[Extrem Response Ratio (ERS)],0.9)</f>
        <v>0.61904761904761907</v>
      </c>
      <c r="AS830" t="b">
        <f>Table67[[#This Row],[Extrem Response Ratio (ERS)]]&gt;=Table67[[#This Row],[Threshold of ERS]]</f>
        <v>0</v>
      </c>
      <c r="AT830">
        <f>COUNTIF(Table67[[#This Row],[The mechanism of digital assets is difficult to understand, which discourages me from exploring it (E.g, Tokenization, Blockchain)]:[If I want to try different ways to invest, I will explore digital assets.]], 3)</f>
        <v>3</v>
      </c>
      <c r="AU830">
        <f>Table67[[#This Row],[Midpoint]]/21</f>
        <v>0.14285714285714285</v>
      </c>
      <c r="AV830">
        <f>_xlfn.PERCENTILE.INC(Table67[Midpoint ratio],0.9)</f>
        <v>0.5714285714285714</v>
      </c>
      <c r="AW830" t="b">
        <f>Table67[[#This Row],[Midpoint ratio]]&gt;=Table67[[#This Row],[Threshold of Midpoint ratio]]</f>
        <v>0</v>
      </c>
      <c r="AX830" t="b">
        <f>OR(Table67[[#This Row],[Extreme Response Style]],Table67[[#This Row],[Mid-point Response Style]])</f>
        <v>0</v>
      </c>
      <c r="AY830" t="b">
        <f>OR(Table67[[#This Row],[Delete? (Stage 1)]],Table67[[#This Row],[Delete? (Stage 2)]])</f>
        <v>0</v>
      </c>
      <c r="AZ830" t="s">
        <v>84</v>
      </c>
    </row>
    <row r="831" spans="1:52">
      <c r="A831">
        <f t="shared" si="51"/>
        <v>830</v>
      </c>
      <c r="B831" s="3">
        <v>46056.873796296299</v>
      </c>
      <c r="C831" s="3">
        <v>46056.876701388901</v>
      </c>
      <c r="D831" t="s">
        <v>53</v>
      </c>
      <c r="G831" t="s">
        <v>54</v>
      </c>
      <c r="H831" t="s">
        <v>55</v>
      </c>
      <c r="I831" t="s">
        <v>56</v>
      </c>
      <c r="J831" t="s">
        <v>68</v>
      </c>
      <c r="K831" t="s">
        <v>60</v>
      </c>
      <c r="L831" t="s">
        <v>61</v>
      </c>
      <c r="M831" t="s">
        <v>61</v>
      </c>
      <c r="N831">
        <v>1</v>
      </c>
      <c r="O831">
        <v>3</v>
      </c>
      <c r="P831">
        <v>1</v>
      </c>
      <c r="Q831">
        <v>1</v>
      </c>
      <c r="R831">
        <v>5</v>
      </c>
      <c r="S831">
        <v>5</v>
      </c>
      <c r="T831">
        <v>1</v>
      </c>
      <c r="U831">
        <v>1</v>
      </c>
      <c r="V831">
        <v>3</v>
      </c>
      <c r="W831">
        <v>2</v>
      </c>
      <c r="X831">
        <v>2</v>
      </c>
      <c r="Y831">
        <v>2</v>
      </c>
      <c r="Z831">
        <v>5</v>
      </c>
      <c r="AA831">
        <v>3</v>
      </c>
      <c r="AB831">
        <v>5</v>
      </c>
      <c r="AC831">
        <v>1</v>
      </c>
      <c r="AD831">
        <v>4</v>
      </c>
      <c r="AE831">
        <v>5</v>
      </c>
      <c r="AF831">
        <v>5</v>
      </c>
      <c r="AG831">
        <v>1</v>
      </c>
      <c r="AH831">
        <v>5</v>
      </c>
      <c r="AI831">
        <v>1</v>
      </c>
      <c r="AJ831">
        <v>1</v>
      </c>
      <c r="AK831" t="b">
        <f>Table67[[#This Row],[What is your age?]]&lt;&gt;"18 - 25"</f>
        <v>0</v>
      </c>
      <c r="AL831" t="b">
        <f t="shared" si="48"/>
        <v>0</v>
      </c>
      <c r="AM831" t="b">
        <f t="shared" si="49"/>
        <v>0</v>
      </c>
      <c r="AN831" t="b">
        <f t="shared" si="50"/>
        <v>0</v>
      </c>
      <c r="AO831" t="b">
        <f>OR(Table67[[#This Row],[Ineligible respondents]:[Inconsistent response on opposite question (3)]])</f>
        <v>0</v>
      </c>
      <c r="AP83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831">
        <f>Table67[[#This Row],[Extreme Response]]/21</f>
        <v>0.66666666666666663</v>
      </c>
      <c r="AR831">
        <f>_xlfn.PERCENTILE.INC(Table67[Extrem Response Ratio (ERS)],0.9)</f>
        <v>0.61904761904761907</v>
      </c>
      <c r="AS831" t="b">
        <f>Table67[[#This Row],[Extrem Response Ratio (ERS)]]&gt;=Table67[[#This Row],[Threshold of ERS]]</f>
        <v>1</v>
      </c>
      <c r="AT831">
        <f>COUNTIF(Table67[[#This Row],[The mechanism of digital assets is difficult to understand, which discourages me from exploring it (E.g, Tokenization, Blockchain)]:[If I want to try different ways to invest, I will explore digital assets.]], 3)</f>
        <v>3</v>
      </c>
      <c r="AU831">
        <f>Table67[[#This Row],[Midpoint]]/21</f>
        <v>0.14285714285714285</v>
      </c>
      <c r="AV831">
        <f>_xlfn.PERCENTILE.INC(Table67[Midpoint ratio],0.9)</f>
        <v>0.5714285714285714</v>
      </c>
      <c r="AW831" t="b">
        <f>Table67[[#This Row],[Midpoint ratio]]&gt;=Table67[[#This Row],[Threshold of Midpoint ratio]]</f>
        <v>0</v>
      </c>
      <c r="AX831" t="b">
        <f>OR(Table67[[#This Row],[Extreme Response Style]],Table67[[#This Row],[Mid-point Response Style]])</f>
        <v>1</v>
      </c>
      <c r="AY831" t="b">
        <f>OR(Table67[[#This Row],[Delete? (Stage 1)]],Table67[[#This Row],[Delete? (Stage 2)]])</f>
        <v>1</v>
      </c>
      <c r="AZ831" t="s">
        <v>84</v>
      </c>
    </row>
    <row r="832" spans="1:52">
      <c r="A832">
        <f t="shared" si="51"/>
        <v>831</v>
      </c>
      <c r="B832" s="3">
        <v>46056.873796296299</v>
      </c>
      <c r="C832" s="3">
        <v>46056.876770833303</v>
      </c>
      <c r="D832" t="s">
        <v>53</v>
      </c>
      <c r="G832" t="s">
        <v>54</v>
      </c>
      <c r="H832" t="s">
        <v>55</v>
      </c>
      <c r="I832" t="s">
        <v>71</v>
      </c>
      <c r="J832" t="s">
        <v>62</v>
      </c>
      <c r="K832" t="s">
        <v>62</v>
      </c>
      <c r="L832" t="s">
        <v>58</v>
      </c>
      <c r="M832" t="s">
        <v>58</v>
      </c>
      <c r="N832">
        <v>2</v>
      </c>
      <c r="O832">
        <v>1</v>
      </c>
      <c r="P832">
        <v>4</v>
      </c>
      <c r="Q832">
        <v>5</v>
      </c>
      <c r="R832">
        <v>1</v>
      </c>
      <c r="S832">
        <v>5</v>
      </c>
      <c r="T832">
        <v>3</v>
      </c>
      <c r="U832">
        <v>2</v>
      </c>
      <c r="V832">
        <v>2</v>
      </c>
      <c r="W832">
        <v>1</v>
      </c>
      <c r="X832">
        <v>2</v>
      </c>
      <c r="Y832">
        <v>2</v>
      </c>
      <c r="Z832">
        <v>2</v>
      </c>
      <c r="AA832">
        <v>2</v>
      </c>
      <c r="AB832">
        <v>4</v>
      </c>
      <c r="AC832">
        <v>3</v>
      </c>
      <c r="AD832">
        <v>5</v>
      </c>
      <c r="AE832">
        <v>3</v>
      </c>
      <c r="AF832">
        <v>5</v>
      </c>
      <c r="AG832">
        <v>4</v>
      </c>
      <c r="AH832">
        <v>5</v>
      </c>
      <c r="AI832">
        <v>1</v>
      </c>
      <c r="AJ832">
        <v>1</v>
      </c>
      <c r="AK832" t="b">
        <f>Table67[[#This Row],[What is your age?]]&lt;&gt;"18 - 25"</f>
        <v>0</v>
      </c>
      <c r="AL832" t="b">
        <f t="shared" si="48"/>
        <v>0</v>
      </c>
      <c r="AM832" t="b">
        <f t="shared" si="49"/>
        <v>1</v>
      </c>
      <c r="AN832" t="b">
        <f t="shared" si="50"/>
        <v>0</v>
      </c>
      <c r="AO832" t="b">
        <f>OR(Table67[[#This Row],[Ineligible respondents]:[Inconsistent response on opposite question (3)]])</f>
        <v>1</v>
      </c>
      <c r="AP83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832">
        <f>Table67[[#This Row],[Extreme Response]]/21</f>
        <v>0.38095238095238093</v>
      </c>
      <c r="AR832">
        <f>_xlfn.PERCENTILE.INC(Table67[Extrem Response Ratio (ERS)],0.9)</f>
        <v>0.61904761904761907</v>
      </c>
      <c r="AS832" t="b">
        <f>Table67[[#This Row],[Extrem Response Ratio (ERS)]]&gt;=Table67[[#This Row],[Threshold of ERS]]</f>
        <v>0</v>
      </c>
      <c r="AT832">
        <f>COUNTIF(Table67[[#This Row],[The mechanism of digital assets is difficult to understand, which discourages me from exploring it (E.g, Tokenization, Blockchain)]:[If I want to try different ways to invest, I will explore digital assets.]], 3)</f>
        <v>3</v>
      </c>
      <c r="AU832">
        <f>Table67[[#This Row],[Midpoint]]/21</f>
        <v>0.14285714285714285</v>
      </c>
      <c r="AV832">
        <f>_xlfn.PERCENTILE.INC(Table67[Midpoint ratio],0.9)</f>
        <v>0.5714285714285714</v>
      </c>
      <c r="AW832" t="b">
        <f>Table67[[#This Row],[Midpoint ratio]]&gt;=Table67[[#This Row],[Threshold of Midpoint ratio]]</f>
        <v>0</v>
      </c>
      <c r="AX832" t="b">
        <f>OR(Table67[[#This Row],[Extreme Response Style]],Table67[[#This Row],[Mid-point Response Style]])</f>
        <v>0</v>
      </c>
      <c r="AY832" t="b">
        <f>OR(Table67[[#This Row],[Delete? (Stage 1)]],Table67[[#This Row],[Delete? (Stage 2)]])</f>
        <v>1</v>
      </c>
      <c r="AZ832" t="s">
        <v>84</v>
      </c>
    </row>
    <row r="833" spans="1:52">
      <c r="A833">
        <f t="shared" si="51"/>
        <v>832</v>
      </c>
      <c r="B833" s="3">
        <v>46056.873807870397</v>
      </c>
      <c r="C833" s="3">
        <v>46056.883113425902</v>
      </c>
      <c r="D833" t="s">
        <v>53</v>
      </c>
      <c r="G833" t="s">
        <v>54</v>
      </c>
      <c r="H833" t="s">
        <v>55</v>
      </c>
      <c r="I833" t="s">
        <v>56</v>
      </c>
      <c r="J833" t="s">
        <v>62</v>
      </c>
      <c r="K833" t="s">
        <v>62</v>
      </c>
      <c r="L833" t="s">
        <v>58</v>
      </c>
      <c r="M833" t="s">
        <v>58</v>
      </c>
      <c r="N833">
        <v>2</v>
      </c>
      <c r="O833">
        <v>2</v>
      </c>
      <c r="P833">
        <v>4</v>
      </c>
      <c r="Q833">
        <v>1</v>
      </c>
      <c r="R833">
        <v>2</v>
      </c>
      <c r="S833">
        <v>3</v>
      </c>
      <c r="T833">
        <v>2</v>
      </c>
      <c r="U833">
        <v>2</v>
      </c>
      <c r="V833">
        <v>2</v>
      </c>
      <c r="W833">
        <v>3</v>
      </c>
      <c r="X833">
        <v>2</v>
      </c>
      <c r="Y833">
        <v>2</v>
      </c>
      <c r="Z833">
        <v>2</v>
      </c>
      <c r="AA833">
        <v>2</v>
      </c>
      <c r="AB833">
        <v>2</v>
      </c>
      <c r="AC833">
        <v>2</v>
      </c>
      <c r="AD833">
        <v>3</v>
      </c>
      <c r="AE833">
        <v>4</v>
      </c>
      <c r="AF833">
        <v>3</v>
      </c>
      <c r="AG833">
        <v>2</v>
      </c>
      <c r="AH833">
        <v>4</v>
      </c>
      <c r="AI833">
        <v>2</v>
      </c>
      <c r="AJ833">
        <v>3</v>
      </c>
      <c r="AK833" t="b">
        <f>Table67[[#This Row],[What is your age?]]&lt;&gt;"18 - 25"</f>
        <v>0</v>
      </c>
      <c r="AL833" t="b">
        <f t="shared" si="48"/>
        <v>0</v>
      </c>
      <c r="AM833" t="b">
        <f t="shared" si="49"/>
        <v>0</v>
      </c>
      <c r="AN833" t="b">
        <f t="shared" si="50"/>
        <v>0</v>
      </c>
      <c r="AO833" t="b">
        <f>OR(Table67[[#This Row],[Ineligible respondents]:[Inconsistent response on opposite question (3)]])</f>
        <v>0</v>
      </c>
      <c r="AP83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833">
        <f>Table67[[#This Row],[Extreme Response]]/21</f>
        <v>4.7619047619047616E-2</v>
      </c>
      <c r="AR833">
        <f>_xlfn.PERCENTILE.INC(Table67[Extrem Response Ratio (ERS)],0.9)</f>
        <v>0.61904761904761907</v>
      </c>
      <c r="AS833" t="b">
        <f>Table67[[#This Row],[Extrem Response Ratio (ERS)]]&gt;=Table67[[#This Row],[Threshold of ERS]]</f>
        <v>0</v>
      </c>
      <c r="AT833">
        <f>COUNTIF(Table67[[#This Row],[The mechanism of digital assets is difficult to understand, which discourages me from exploring it (E.g, Tokenization, Blockchain)]:[If I want to try different ways to invest, I will explore digital assets.]], 3)</f>
        <v>4</v>
      </c>
      <c r="AU833">
        <f>Table67[[#This Row],[Midpoint]]/21</f>
        <v>0.19047619047619047</v>
      </c>
      <c r="AV833">
        <f>_xlfn.PERCENTILE.INC(Table67[Midpoint ratio],0.9)</f>
        <v>0.5714285714285714</v>
      </c>
      <c r="AW833" t="b">
        <f>Table67[[#This Row],[Midpoint ratio]]&gt;=Table67[[#This Row],[Threshold of Midpoint ratio]]</f>
        <v>0</v>
      </c>
      <c r="AX833" t="b">
        <f>OR(Table67[[#This Row],[Extreme Response Style]],Table67[[#This Row],[Mid-point Response Style]])</f>
        <v>0</v>
      </c>
      <c r="AY833" t="b">
        <f>OR(Table67[[#This Row],[Delete? (Stage 1)]],Table67[[#This Row],[Delete? (Stage 2)]])</f>
        <v>0</v>
      </c>
      <c r="AZ833" t="s">
        <v>84</v>
      </c>
    </row>
    <row r="834" spans="1:52">
      <c r="A834">
        <f t="shared" si="51"/>
        <v>833</v>
      </c>
      <c r="B834" s="3">
        <v>46056.873819444401</v>
      </c>
      <c r="C834" s="3">
        <v>46056.880509259303</v>
      </c>
      <c r="D834" t="s">
        <v>53</v>
      </c>
      <c r="G834" t="s">
        <v>54</v>
      </c>
      <c r="H834" t="s">
        <v>55</v>
      </c>
      <c r="I834" t="s">
        <v>56</v>
      </c>
      <c r="J834" t="s">
        <v>62</v>
      </c>
      <c r="K834" t="s">
        <v>62</v>
      </c>
      <c r="L834" t="s">
        <v>58</v>
      </c>
      <c r="M834" t="s">
        <v>58</v>
      </c>
      <c r="N834">
        <v>3</v>
      </c>
      <c r="O834">
        <v>5</v>
      </c>
      <c r="P834">
        <v>4</v>
      </c>
      <c r="Q834">
        <v>2</v>
      </c>
      <c r="R834">
        <v>3</v>
      </c>
      <c r="S834">
        <v>3</v>
      </c>
      <c r="T834">
        <v>1</v>
      </c>
      <c r="U834">
        <v>2</v>
      </c>
      <c r="V834">
        <v>5</v>
      </c>
      <c r="W834">
        <v>4</v>
      </c>
      <c r="X834">
        <v>4</v>
      </c>
      <c r="Y834">
        <v>2</v>
      </c>
      <c r="Z834">
        <v>4</v>
      </c>
      <c r="AA834">
        <v>2</v>
      </c>
      <c r="AB834">
        <v>1</v>
      </c>
      <c r="AC834">
        <v>3</v>
      </c>
      <c r="AD834">
        <v>3</v>
      </c>
      <c r="AE834">
        <v>5</v>
      </c>
      <c r="AF834">
        <v>5</v>
      </c>
      <c r="AG834">
        <v>1</v>
      </c>
      <c r="AH834">
        <v>2</v>
      </c>
      <c r="AI834">
        <v>4</v>
      </c>
      <c r="AJ834">
        <v>1</v>
      </c>
      <c r="AK834" t="b">
        <f>Table67[[#This Row],[What is your age?]]&lt;&gt;"18 - 25"</f>
        <v>0</v>
      </c>
      <c r="AL834" t="b">
        <f t="shared" si="48"/>
        <v>0</v>
      </c>
      <c r="AM834" t="b">
        <f t="shared" si="49"/>
        <v>1</v>
      </c>
      <c r="AN834" t="b">
        <f t="shared" si="50"/>
        <v>0</v>
      </c>
      <c r="AO834" t="b">
        <f>OR(Table67[[#This Row],[Ineligible respondents]:[Inconsistent response on opposite question (3)]])</f>
        <v>1</v>
      </c>
      <c r="AP83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834">
        <f>Table67[[#This Row],[Extreme Response]]/21</f>
        <v>0.33333333333333331</v>
      </c>
      <c r="AR834">
        <f>_xlfn.PERCENTILE.INC(Table67[Extrem Response Ratio (ERS)],0.9)</f>
        <v>0.61904761904761907</v>
      </c>
      <c r="AS834" t="b">
        <f>Table67[[#This Row],[Extrem Response Ratio (ERS)]]&gt;=Table67[[#This Row],[Threshold of ERS]]</f>
        <v>0</v>
      </c>
      <c r="AT834">
        <f>COUNTIF(Table67[[#This Row],[The mechanism of digital assets is difficult to understand, which discourages me from exploring it (E.g, Tokenization, Blockchain)]:[If I want to try different ways to invest, I will explore digital assets.]], 3)</f>
        <v>5</v>
      </c>
      <c r="AU834">
        <f>Table67[[#This Row],[Midpoint]]/21</f>
        <v>0.23809523809523808</v>
      </c>
      <c r="AV834">
        <f>_xlfn.PERCENTILE.INC(Table67[Midpoint ratio],0.9)</f>
        <v>0.5714285714285714</v>
      </c>
      <c r="AW834" t="b">
        <f>Table67[[#This Row],[Midpoint ratio]]&gt;=Table67[[#This Row],[Threshold of Midpoint ratio]]</f>
        <v>0</v>
      </c>
      <c r="AX834" t="b">
        <f>OR(Table67[[#This Row],[Extreme Response Style]],Table67[[#This Row],[Mid-point Response Style]])</f>
        <v>0</v>
      </c>
      <c r="AY834" t="b">
        <f>OR(Table67[[#This Row],[Delete? (Stage 1)]],Table67[[#This Row],[Delete? (Stage 2)]])</f>
        <v>1</v>
      </c>
      <c r="AZ834" t="s">
        <v>84</v>
      </c>
    </row>
    <row r="835" spans="1:52">
      <c r="A835">
        <f t="shared" si="51"/>
        <v>834</v>
      </c>
      <c r="B835" s="3">
        <v>46056.873854166697</v>
      </c>
      <c r="C835" s="3">
        <v>46056.875474537002</v>
      </c>
      <c r="D835" t="s">
        <v>53</v>
      </c>
      <c r="G835" t="s">
        <v>54</v>
      </c>
      <c r="H835" t="s">
        <v>55</v>
      </c>
      <c r="I835" t="s">
        <v>56</v>
      </c>
      <c r="J835" t="s">
        <v>68</v>
      </c>
      <c r="K835" t="s">
        <v>62</v>
      </c>
      <c r="L835" t="s">
        <v>58</v>
      </c>
      <c r="M835" t="s">
        <v>58</v>
      </c>
      <c r="N835">
        <v>4</v>
      </c>
      <c r="O835">
        <v>2</v>
      </c>
      <c r="P835">
        <v>4</v>
      </c>
      <c r="Q835">
        <v>3</v>
      </c>
      <c r="R835">
        <v>5</v>
      </c>
      <c r="S835">
        <v>5</v>
      </c>
      <c r="T835">
        <v>2</v>
      </c>
      <c r="U835">
        <v>4</v>
      </c>
      <c r="V835">
        <v>2</v>
      </c>
      <c r="W835">
        <v>3</v>
      </c>
      <c r="X835">
        <v>3</v>
      </c>
      <c r="Y835">
        <v>2</v>
      </c>
      <c r="Z835">
        <v>4</v>
      </c>
      <c r="AA835">
        <v>4</v>
      </c>
      <c r="AB835">
        <v>3</v>
      </c>
      <c r="AC835">
        <v>4</v>
      </c>
      <c r="AD835">
        <v>2</v>
      </c>
      <c r="AE835">
        <v>2</v>
      </c>
      <c r="AF835">
        <v>3</v>
      </c>
      <c r="AG835">
        <v>2</v>
      </c>
      <c r="AH835">
        <v>3</v>
      </c>
      <c r="AI835">
        <v>3</v>
      </c>
      <c r="AJ835">
        <v>3</v>
      </c>
      <c r="AK835" t="b">
        <f>Table67[[#This Row],[What is your age?]]&lt;&gt;"18 - 25"</f>
        <v>0</v>
      </c>
      <c r="AL835" t="b">
        <f t="shared" ref="AL835:AL898" si="52">COUNTIF(N835:AH835, N835) = COLUMNS(N835:AH835)</f>
        <v>0</v>
      </c>
      <c r="AM835" t="b">
        <f t="shared" ref="AM835:AM898" si="53">OR(AND(AG835=AH835, AG835&lt;&gt;3), AND(OR(AG835=1, AG835=2), OR(AH835=1, AH835=2)), AND(OR(AG835=4, AG835=5), OR(AH835=4, AH835=5)))</f>
        <v>0</v>
      </c>
      <c r="AN835" t="b">
        <f t="shared" ref="AN835:AN898" si="54">OR(AND(AG835=3, AH835&lt;&gt;3), AND(AH835=3, AG835&lt;&gt;3))</f>
        <v>1</v>
      </c>
      <c r="AO835" t="b">
        <f>OR(Table67[[#This Row],[Ineligible respondents]:[Inconsistent response on opposite question (3)]])</f>
        <v>1</v>
      </c>
      <c r="AP83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835">
        <f>Table67[[#This Row],[Extreme Response]]/21</f>
        <v>9.5238095238095233E-2</v>
      </c>
      <c r="AR835">
        <f>_xlfn.PERCENTILE.INC(Table67[Extrem Response Ratio (ERS)],0.9)</f>
        <v>0.61904761904761907</v>
      </c>
      <c r="AS835" t="b">
        <f>Table67[[#This Row],[Extrem Response Ratio (ERS)]]&gt;=Table67[[#This Row],[Threshold of ERS]]</f>
        <v>0</v>
      </c>
      <c r="AT835">
        <f>COUNTIF(Table67[[#This Row],[The mechanism of digital assets is difficult to understand, which discourages me from exploring it (E.g, Tokenization, Blockchain)]:[If I want to try different ways to invest, I will explore digital assets.]], 3)</f>
        <v>6</v>
      </c>
      <c r="AU835">
        <f>Table67[[#This Row],[Midpoint]]/21</f>
        <v>0.2857142857142857</v>
      </c>
      <c r="AV835">
        <f>_xlfn.PERCENTILE.INC(Table67[Midpoint ratio],0.9)</f>
        <v>0.5714285714285714</v>
      </c>
      <c r="AW835" t="b">
        <f>Table67[[#This Row],[Midpoint ratio]]&gt;=Table67[[#This Row],[Threshold of Midpoint ratio]]</f>
        <v>0</v>
      </c>
      <c r="AX835" t="b">
        <f>OR(Table67[[#This Row],[Extreme Response Style]],Table67[[#This Row],[Mid-point Response Style]])</f>
        <v>0</v>
      </c>
      <c r="AY835" t="b">
        <f>OR(Table67[[#This Row],[Delete? (Stage 1)]],Table67[[#This Row],[Delete? (Stage 2)]])</f>
        <v>1</v>
      </c>
      <c r="AZ835" t="s">
        <v>84</v>
      </c>
    </row>
    <row r="836" spans="1:52">
      <c r="A836">
        <f t="shared" ref="A836:A899" si="55">1+A835</f>
        <v>835</v>
      </c>
      <c r="B836" s="3">
        <v>46056.873854166697</v>
      </c>
      <c r="C836" s="3">
        <v>46056.876759259299</v>
      </c>
      <c r="D836" t="s">
        <v>53</v>
      </c>
      <c r="G836" t="s">
        <v>54</v>
      </c>
      <c r="H836" t="s">
        <v>63</v>
      </c>
      <c r="I836" t="s">
        <v>56</v>
      </c>
      <c r="J836" t="s">
        <v>62</v>
      </c>
      <c r="K836" t="s">
        <v>62</v>
      </c>
      <c r="L836" t="s">
        <v>61</v>
      </c>
      <c r="M836" t="s">
        <v>61</v>
      </c>
      <c r="N836">
        <v>3</v>
      </c>
      <c r="O836">
        <v>3</v>
      </c>
      <c r="P836">
        <v>2</v>
      </c>
      <c r="Q836">
        <v>3</v>
      </c>
      <c r="R836">
        <v>1</v>
      </c>
      <c r="S836">
        <v>1</v>
      </c>
      <c r="T836">
        <v>3</v>
      </c>
      <c r="U836">
        <v>3</v>
      </c>
      <c r="V836">
        <v>3</v>
      </c>
      <c r="W836">
        <v>3</v>
      </c>
      <c r="X836">
        <v>2</v>
      </c>
      <c r="Y836">
        <v>3</v>
      </c>
      <c r="Z836">
        <v>3</v>
      </c>
      <c r="AA836">
        <v>3</v>
      </c>
      <c r="AB836">
        <v>3</v>
      </c>
      <c r="AC836">
        <v>3</v>
      </c>
      <c r="AD836">
        <v>3</v>
      </c>
      <c r="AE836">
        <v>3</v>
      </c>
      <c r="AF836">
        <v>3</v>
      </c>
      <c r="AG836">
        <v>3</v>
      </c>
      <c r="AH836">
        <v>3</v>
      </c>
      <c r="AI836">
        <v>3</v>
      </c>
      <c r="AJ836">
        <v>3</v>
      </c>
      <c r="AK836" t="b">
        <f>Table67[[#This Row],[What is your age?]]&lt;&gt;"18 - 25"</f>
        <v>0</v>
      </c>
      <c r="AL836" t="b">
        <f t="shared" si="52"/>
        <v>0</v>
      </c>
      <c r="AM836" t="b">
        <f t="shared" si="53"/>
        <v>0</v>
      </c>
      <c r="AN836" t="b">
        <f t="shared" si="54"/>
        <v>0</v>
      </c>
      <c r="AO836" t="b">
        <f>OR(Table67[[#This Row],[Ineligible respondents]:[Inconsistent response on opposite question (3)]])</f>
        <v>0</v>
      </c>
      <c r="AP83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836">
        <f>Table67[[#This Row],[Extreme Response]]/21</f>
        <v>9.5238095238095233E-2</v>
      </c>
      <c r="AR836">
        <f>_xlfn.PERCENTILE.INC(Table67[Extrem Response Ratio (ERS)],0.9)</f>
        <v>0.61904761904761907</v>
      </c>
      <c r="AS836" t="b">
        <f>Table67[[#This Row],[Extrem Response Ratio (ERS)]]&gt;=Table67[[#This Row],[Threshold of ERS]]</f>
        <v>0</v>
      </c>
      <c r="AT836">
        <f>COUNTIF(Table67[[#This Row],[The mechanism of digital assets is difficult to understand, which discourages me from exploring it (E.g, Tokenization, Blockchain)]:[If I want to try different ways to invest, I will explore digital assets.]], 3)</f>
        <v>17</v>
      </c>
      <c r="AU836">
        <f>Table67[[#This Row],[Midpoint]]/21</f>
        <v>0.80952380952380953</v>
      </c>
      <c r="AV836">
        <f>_xlfn.PERCENTILE.INC(Table67[Midpoint ratio],0.9)</f>
        <v>0.5714285714285714</v>
      </c>
      <c r="AW836" t="b">
        <f>Table67[[#This Row],[Midpoint ratio]]&gt;=Table67[[#This Row],[Threshold of Midpoint ratio]]</f>
        <v>1</v>
      </c>
      <c r="AX836" t="b">
        <f>OR(Table67[[#This Row],[Extreme Response Style]],Table67[[#This Row],[Mid-point Response Style]])</f>
        <v>1</v>
      </c>
      <c r="AY836" t="b">
        <f>OR(Table67[[#This Row],[Delete? (Stage 1)]],Table67[[#This Row],[Delete? (Stage 2)]])</f>
        <v>1</v>
      </c>
      <c r="AZ836" t="s">
        <v>84</v>
      </c>
    </row>
    <row r="837" spans="1:52">
      <c r="A837">
        <f t="shared" si="55"/>
        <v>836</v>
      </c>
      <c r="B837" s="3">
        <v>46056.8739236111</v>
      </c>
      <c r="C837" s="3">
        <v>46056.879374999997</v>
      </c>
      <c r="D837" t="s">
        <v>53</v>
      </c>
      <c r="G837" t="s">
        <v>54</v>
      </c>
      <c r="H837" t="s">
        <v>55</v>
      </c>
      <c r="I837" t="s">
        <v>56</v>
      </c>
      <c r="J837" t="s">
        <v>60</v>
      </c>
      <c r="K837" t="s">
        <v>62</v>
      </c>
      <c r="L837" t="s">
        <v>61</v>
      </c>
      <c r="M837" t="s">
        <v>58</v>
      </c>
      <c r="N837">
        <v>2</v>
      </c>
      <c r="O837">
        <v>4</v>
      </c>
      <c r="P837">
        <v>5</v>
      </c>
      <c r="Q837">
        <v>3</v>
      </c>
      <c r="R837">
        <v>1</v>
      </c>
      <c r="S837">
        <v>3</v>
      </c>
      <c r="T837">
        <v>3</v>
      </c>
      <c r="U837">
        <v>2</v>
      </c>
      <c r="V837">
        <v>5</v>
      </c>
      <c r="W837">
        <v>5</v>
      </c>
      <c r="X837">
        <v>4</v>
      </c>
      <c r="Y837">
        <v>5</v>
      </c>
      <c r="Z837">
        <v>5</v>
      </c>
      <c r="AA837">
        <v>4</v>
      </c>
      <c r="AB837">
        <v>5</v>
      </c>
      <c r="AC837">
        <v>3</v>
      </c>
      <c r="AD837">
        <v>4</v>
      </c>
      <c r="AE837">
        <v>3</v>
      </c>
      <c r="AF837">
        <v>3</v>
      </c>
      <c r="AG837">
        <v>2</v>
      </c>
      <c r="AH837">
        <v>3</v>
      </c>
      <c r="AI837">
        <v>3</v>
      </c>
      <c r="AJ837">
        <v>3</v>
      </c>
      <c r="AK837" t="b">
        <f>Table67[[#This Row],[What is your age?]]&lt;&gt;"18 - 25"</f>
        <v>0</v>
      </c>
      <c r="AL837" t="b">
        <f t="shared" si="52"/>
        <v>0</v>
      </c>
      <c r="AM837" t="b">
        <f t="shared" si="53"/>
        <v>0</v>
      </c>
      <c r="AN837" t="b">
        <f t="shared" si="54"/>
        <v>1</v>
      </c>
      <c r="AO837" t="b">
        <f>OR(Table67[[#This Row],[Ineligible respondents]:[Inconsistent response on opposite question (3)]])</f>
        <v>1</v>
      </c>
      <c r="AP83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837">
        <f>Table67[[#This Row],[Extreme Response]]/21</f>
        <v>0.33333333333333331</v>
      </c>
      <c r="AR837">
        <f>_xlfn.PERCENTILE.INC(Table67[Extrem Response Ratio (ERS)],0.9)</f>
        <v>0.61904761904761907</v>
      </c>
      <c r="AS837" t="b">
        <f>Table67[[#This Row],[Extrem Response Ratio (ERS)]]&gt;=Table67[[#This Row],[Threshold of ERS]]</f>
        <v>0</v>
      </c>
      <c r="AT837">
        <f>COUNTIF(Table67[[#This Row],[The mechanism of digital assets is difficult to understand, which discourages me from exploring it (E.g, Tokenization, Blockchain)]:[If I want to try different ways to invest, I will explore digital assets.]], 3)</f>
        <v>7</v>
      </c>
      <c r="AU837">
        <f>Table67[[#This Row],[Midpoint]]/21</f>
        <v>0.33333333333333331</v>
      </c>
      <c r="AV837">
        <f>_xlfn.PERCENTILE.INC(Table67[Midpoint ratio],0.9)</f>
        <v>0.5714285714285714</v>
      </c>
      <c r="AW837" t="b">
        <f>Table67[[#This Row],[Midpoint ratio]]&gt;=Table67[[#This Row],[Threshold of Midpoint ratio]]</f>
        <v>0</v>
      </c>
      <c r="AX837" t="b">
        <f>OR(Table67[[#This Row],[Extreme Response Style]],Table67[[#This Row],[Mid-point Response Style]])</f>
        <v>0</v>
      </c>
      <c r="AY837" t="b">
        <f>OR(Table67[[#This Row],[Delete? (Stage 1)]],Table67[[#This Row],[Delete? (Stage 2)]])</f>
        <v>1</v>
      </c>
      <c r="AZ837" t="s">
        <v>84</v>
      </c>
    </row>
    <row r="838" spans="1:52">
      <c r="A838">
        <f t="shared" si="55"/>
        <v>837</v>
      </c>
      <c r="B838" s="3">
        <v>46056.873946759297</v>
      </c>
      <c r="C838" s="3">
        <v>46056.875972222202</v>
      </c>
      <c r="D838" t="s">
        <v>53</v>
      </c>
      <c r="G838" t="s">
        <v>54</v>
      </c>
      <c r="H838" t="s">
        <v>55</v>
      </c>
      <c r="I838" t="s">
        <v>56</v>
      </c>
      <c r="J838" t="s">
        <v>62</v>
      </c>
      <c r="K838" t="s">
        <v>62</v>
      </c>
      <c r="L838" t="s">
        <v>61</v>
      </c>
      <c r="M838" t="s">
        <v>58</v>
      </c>
      <c r="N838">
        <v>4</v>
      </c>
      <c r="O838">
        <v>1</v>
      </c>
      <c r="P838">
        <v>2</v>
      </c>
      <c r="Q838">
        <v>3</v>
      </c>
      <c r="R838">
        <v>4</v>
      </c>
      <c r="S838">
        <v>3</v>
      </c>
      <c r="T838">
        <v>3</v>
      </c>
      <c r="U838">
        <v>3</v>
      </c>
      <c r="V838">
        <v>3</v>
      </c>
      <c r="W838">
        <v>2</v>
      </c>
      <c r="X838">
        <v>4</v>
      </c>
      <c r="Y838">
        <v>3</v>
      </c>
      <c r="Z838">
        <v>4</v>
      </c>
      <c r="AA838">
        <v>4</v>
      </c>
      <c r="AB838">
        <v>3</v>
      </c>
      <c r="AC838">
        <v>3</v>
      </c>
      <c r="AD838">
        <v>3</v>
      </c>
      <c r="AE838">
        <v>3</v>
      </c>
      <c r="AF838">
        <v>3</v>
      </c>
      <c r="AG838">
        <v>3</v>
      </c>
      <c r="AH838">
        <v>3</v>
      </c>
      <c r="AI838">
        <v>3</v>
      </c>
      <c r="AJ838">
        <v>3</v>
      </c>
      <c r="AK838" t="b">
        <f>Table67[[#This Row],[What is your age?]]&lt;&gt;"18 - 25"</f>
        <v>0</v>
      </c>
      <c r="AL838" t="b">
        <f t="shared" si="52"/>
        <v>0</v>
      </c>
      <c r="AM838" t="b">
        <f t="shared" si="53"/>
        <v>0</v>
      </c>
      <c r="AN838" t="b">
        <f t="shared" si="54"/>
        <v>0</v>
      </c>
      <c r="AO838" t="b">
        <f>OR(Table67[[#This Row],[Ineligible respondents]:[Inconsistent response on opposite question (3)]])</f>
        <v>0</v>
      </c>
      <c r="AP83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838">
        <f>Table67[[#This Row],[Extreme Response]]/21</f>
        <v>4.7619047619047616E-2</v>
      </c>
      <c r="AR838">
        <f>_xlfn.PERCENTILE.INC(Table67[Extrem Response Ratio (ERS)],0.9)</f>
        <v>0.61904761904761907</v>
      </c>
      <c r="AS838" t="b">
        <f>Table67[[#This Row],[Extrem Response Ratio (ERS)]]&gt;=Table67[[#This Row],[Threshold of ERS]]</f>
        <v>0</v>
      </c>
      <c r="AT838">
        <f>COUNTIF(Table67[[#This Row],[The mechanism of digital assets is difficult to understand, which discourages me from exploring it (E.g, Tokenization, Blockchain)]:[If I want to try different ways to invest, I will explore digital assets.]], 3)</f>
        <v>13</v>
      </c>
      <c r="AU838">
        <f>Table67[[#This Row],[Midpoint]]/21</f>
        <v>0.61904761904761907</v>
      </c>
      <c r="AV838">
        <f>_xlfn.PERCENTILE.INC(Table67[Midpoint ratio],0.9)</f>
        <v>0.5714285714285714</v>
      </c>
      <c r="AW838" t="b">
        <f>Table67[[#This Row],[Midpoint ratio]]&gt;=Table67[[#This Row],[Threshold of Midpoint ratio]]</f>
        <v>1</v>
      </c>
      <c r="AX838" t="b">
        <f>OR(Table67[[#This Row],[Extreme Response Style]],Table67[[#This Row],[Mid-point Response Style]])</f>
        <v>1</v>
      </c>
      <c r="AY838" t="b">
        <f>OR(Table67[[#This Row],[Delete? (Stage 1)]],Table67[[#This Row],[Delete? (Stage 2)]])</f>
        <v>1</v>
      </c>
      <c r="AZ838" t="s">
        <v>84</v>
      </c>
    </row>
    <row r="839" spans="1:52">
      <c r="A839">
        <f t="shared" si="55"/>
        <v>838</v>
      </c>
      <c r="B839" s="3">
        <v>46056.873946759297</v>
      </c>
      <c r="C839" s="3">
        <v>46056.876655092601</v>
      </c>
      <c r="D839" t="s">
        <v>53</v>
      </c>
      <c r="G839" t="s">
        <v>54</v>
      </c>
      <c r="H839" t="s">
        <v>55</v>
      </c>
      <c r="I839" t="s">
        <v>83</v>
      </c>
      <c r="J839" t="s">
        <v>57</v>
      </c>
      <c r="K839" t="s">
        <v>57</v>
      </c>
      <c r="L839" t="s">
        <v>58</v>
      </c>
      <c r="M839" t="s">
        <v>58</v>
      </c>
      <c r="N839">
        <v>5</v>
      </c>
      <c r="O839">
        <v>1</v>
      </c>
      <c r="P839">
        <v>5</v>
      </c>
      <c r="Q839">
        <v>5</v>
      </c>
      <c r="R839">
        <v>5</v>
      </c>
      <c r="S839">
        <v>5</v>
      </c>
      <c r="T839">
        <v>5</v>
      </c>
      <c r="U839">
        <v>5</v>
      </c>
      <c r="V839">
        <v>5</v>
      </c>
      <c r="W839">
        <v>5</v>
      </c>
      <c r="X839">
        <v>5</v>
      </c>
      <c r="Y839">
        <v>5</v>
      </c>
      <c r="Z839">
        <v>5</v>
      </c>
      <c r="AA839">
        <v>5</v>
      </c>
      <c r="AB839">
        <v>5</v>
      </c>
      <c r="AC839">
        <v>5</v>
      </c>
      <c r="AD839">
        <v>5</v>
      </c>
      <c r="AE839">
        <v>5</v>
      </c>
      <c r="AF839">
        <v>1</v>
      </c>
      <c r="AG839">
        <v>5</v>
      </c>
      <c r="AH839">
        <v>1</v>
      </c>
      <c r="AI839">
        <v>5</v>
      </c>
      <c r="AJ839">
        <v>5</v>
      </c>
      <c r="AK839" t="b">
        <f>Table67[[#This Row],[What is your age?]]&lt;&gt;"18 - 25"</f>
        <v>0</v>
      </c>
      <c r="AL839" t="b">
        <f t="shared" si="52"/>
        <v>0</v>
      </c>
      <c r="AM839" t="b">
        <f t="shared" si="53"/>
        <v>0</v>
      </c>
      <c r="AN839" t="b">
        <f t="shared" si="54"/>
        <v>0</v>
      </c>
      <c r="AO839" t="b">
        <f>OR(Table67[[#This Row],[Ineligible respondents]:[Inconsistent response on opposite question (3)]])</f>
        <v>0</v>
      </c>
      <c r="AP83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21</v>
      </c>
      <c r="AQ839">
        <f>Table67[[#This Row],[Extreme Response]]/21</f>
        <v>1</v>
      </c>
      <c r="AR839">
        <f>_xlfn.PERCENTILE.INC(Table67[Extrem Response Ratio (ERS)],0.9)</f>
        <v>0.61904761904761907</v>
      </c>
      <c r="AS839" t="b">
        <f>Table67[[#This Row],[Extrem Response Ratio (ERS)]]&gt;=Table67[[#This Row],[Threshold of ERS]]</f>
        <v>1</v>
      </c>
      <c r="AT839">
        <f>COUNTIF(Table67[[#This Row],[The mechanism of digital assets is difficult to understand, which discourages me from exploring it (E.g, Tokenization, Blockchain)]:[If I want to try different ways to invest, I will explore digital assets.]], 3)</f>
        <v>0</v>
      </c>
      <c r="AU839">
        <f>Table67[[#This Row],[Midpoint]]/21</f>
        <v>0</v>
      </c>
      <c r="AV839">
        <f>_xlfn.PERCENTILE.INC(Table67[Midpoint ratio],0.9)</f>
        <v>0.5714285714285714</v>
      </c>
      <c r="AW839" t="b">
        <f>Table67[[#This Row],[Midpoint ratio]]&gt;=Table67[[#This Row],[Threshold of Midpoint ratio]]</f>
        <v>0</v>
      </c>
      <c r="AX839" t="b">
        <f>OR(Table67[[#This Row],[Extreme Response Style]],Table67[[#This Row],[Mid-point Response Style]])</f>
        <v>1</v>
      </c>
      <c r="AY839" t="b">
        <f>OR(Table67[[#This Row],[Delete? (Stage 1)]],Table67[[#This Row],[Delete? (Stage 2)]])</f>
        <v>1</v>
      </c>
      <c r="AZ839" t="s">
        <v>84</v>
      </c>
    </row>
    <row r="840" spans="1:52">
      <c r="A840">
        <f t="shared" si="55"/>
        <v>839</v>
      </c>
      <c r="B840" s="3">
        <v>46056.874004629601</v>
      </c>
      <c r="C840" s="3">
        <v>46056.877129629604</v>
      </c>
      <c r="D840" t="s">
        <v>53</v>
      </c>
      <c r="G840" t="s">
        <v>54</v>
      </c>
      <c r="H840" t="s">
        <v>55</v>
      </c>
      <c r="I840" t="s">
        <v>71</v>
      </c>
      <c r="J840" t="s">
        <v>62</v>
      </c>
      <c r="K840" t="s">
        <v>57</v>
      </c>
      <c r="L840" t="s">
        <v>58</v>
      </c>
      <c r="M840" t="s">
        <v>58</v>
      </c>
      <c r="N840">
        <v>4</v>
      </c>
      <c r="O840">
        <v>3</v>
      </c>
      <c r="P840">
        <v>4</v>
      </c>
      <c r="Q840">
        <v>4</v>
      </c>
      <c r="R840">
        <v>5</v>
      </c>
      <c r="S840">
        <v>5</v>
      </c>
      <c r="T840">
        <v>5</v>
      </c>
      <c r="U840">
        <v>4</v>
      </c>
      <c r="V840">
        <v>5</v>
      </c>
      <c r="W840">
        <v>4</v>
      </c>
      <c r="X840">
        <v>5</v>
      </c>
      <c r="Y840">
        <v>4</v>
      </c>
      <c r="Z840">
        <v>5</v>
      </c>
      <c r="AA840">
        <v>4</v>
      </c>
      <c r="AB840">
        <v>3</v>
      </c>
      <c r="AC840">
        <v>4</v>
      </c>
      <c r="AD840">
        <v>5</v>
      </c>
      <c r="AE840">
        <v>5</v>
      </c>
      <c r="AF840">
        <v>2</v>
      </c>
      <c r="AG840">
        <v>4</v>
      </c>
      <c r="AH840">
        <v>3</v>
      </c>
      <c r="AI840">
        <v>3</v>
      </c>
      <c r="AJ840">
        <v>4</v>
      </c>
      <c r="AK840" t="b">
        <f>Table67[[#This Row],[What is your age?]]&lt;&gt;"18 - 25"</f>
        <v>0</v>
      </c>
      <c r="AL840" t="b">
        <f t="shared" si="52"/>
        <v>0</v>
      </c>
      <c r="AM840" t="b">
        <f t="shared" si="53"/>
        <v>0</v>
      </c>
      <c r="AN840" t="b">
        <f t="shared" si="54"/>
        <v>1</v>
      </c>
      <c r="AO840" t="b">
        <f>OR(Table67[[#This Row],[Ineligible respondents]:[Inconsistent response on opposite question (3)]])</f>
        <v>1</v>
      </c>
      <c r="AP84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840">
        <f>Table67[[#This Row],[Extreme Response]]/21</f>
        <v>0.38095238095238093</v>
      </c>
      <c r="AR840">
        <f>_xlfn.PERCENTILE.INC(Table67[Extrem Response Ratio (ERS)],0.9)</f>
        <v>0.61904761904761907</v>
      </c>
      <c r="AS840" t="b">
        <f>Table67[[#This Row],[Extrem Response Ratio (ERS)]]&gt;=Table67[[#This Row],[Threshold of ERS]]</f>
        <v>0</v>
      </c>
      <c r="AT840">
        <f>COUNTIF(Table67[[#This Row],[The mechanism of digital assets is difficult to understand, which discourages me from exploring it (E.g, Tokenization, Blockchain)]:[If I want to try different ways to invest, I will explore digital assets.]], 3)</f>
        <v>3</v>
      </c>
      <c r="AU840">
        <f>Table67[[#This Row],[Midpoint]]/21</f>
        <v>0.14285714285714285</v>
      </c>
      <c r="AV840">
        <f>_xlfn.PERCENTILE.INC(Table67[Midpoint ratio],0.9)</f>
        <v>0.5714285714285714</v>
      </c>
      <c r="AW840" t="b">
        <f>Table67[[#This Row],[Midpoint ratio]]&gt;=Table67[[#This Row],[Threshold of Midpoint ratio]]</f>
        <v>0</v>
      </c>
      <c r="AX840" t="b">
        <f>OR(Table67[[#This Row],[Extreme Response Style]],Table67[[#This Row],[Mid-point Response Style]])</f>
        <v>0</v>
      </c>
      <c r="AY840" t="b">
        <f>OR(Table67[[#This Row],[Delete? (Stage 1)]],Table67[[#This Row],[Delete? (Stage 2)]])</f>
        <v>1</v>
      </c>
      <c r="AZ840" t="s">
        <v>84</v>
      </c>
    </row>
    <row r="841" spans="1:52">
      <c r="A841">
        <f t="shared" si="55"/>
        <v>840</v>
      </c>
      <c r="B841" s="3">
        <v>46056.874027777798</v>
      </c>
      <c r="C841" s="3">
        <v>46056.883206018501</v>
      </c>
      <c r="D841" t="s">
        <v>53</v>
      </c>
      <c r="G841" t="s">
        <v>54</v>
      </c>
      <c r="H841" t="s">
        <v>55</v>
      </c>
      <c r="I841" t="s">
        <v>56</v>
      </c>
      <c r="J841" t="s">
        <v>62</v>
      </c>
      <c r="K841" t="s">
        <v>62</v>
      </c>
      <c r="L841" t="s">
        <v>58</v>
      </c>
      <c r="M841" t="s">
        <v>58</v>
      </c>
      <c r="N841">
        <v>5</v>
      </c>
      <c r="O841">
        <v>1</v>
      </c>
      <c r="P841">
        <v>4</v>
      </c>
      <c r="Q841">
        <v>5</v>
      </c>
      <c r="R841">
        <v>3</v>
      </c>
      <c r="S841">
        <v>4</v>
      </c>
      <c r="T841">
        <v>3</v>
      </c>
      <c r="U841">
        <v>5</v>
      </c>
      <c r="V841">
        <v>5</v>
      </c>
      <c r="W841">
        <v>5</v>
      </c>
      <c r="X841">
        <v>5</v>
      </c>
      <c r="Y841">
        <v>5</v>
      </c>
      <c r="Z841">
        <v>5</v>
      </c>
      <c r="AA841">
        <v>5</v>
      </c>
      <c r="AB841">
        <v>3</v>
      </c>
      <c r="AC841">
        <v>5</v>
      </c>
      <c r="AD841">
        <v>4</v>
      </c>
      <c r="AE841">
        <v>2</v>
      </c>
      <c r="AF841">
        <v>3</v>
      </c>
      <c r="AG841">
        <v>3</v>
      </c>
      <c r="AH841">
        <v>4</v>
      </c>
      <c r="AI841">
        <v>2</v>
      </c>
      <c r="AJ841">
        <v>3</v>
      </c>
      <c r="AK841" t="b">
        <f>Table67[[#This Row],[What is your age?]]&lt;&gt;"18 - 25"</f>
        <v>0</v>
      </c>
      <c r="AL841" t="b">
        <f t="shared" si="52"/>
        <v>0</v>
      </c>
      <c r="AM841" t="b">
        <f t="shared" si="53"/>
        <v>0</v>
      </c>
      <c r="AN841" t="b">
        <f t="shared" si="54"/>
        <v>1</v>
      </c>
      <c r="AO841" t="b">
        <f>OR(Table67[[#This Row],[Ineligible respondents]:[Inconsistent response on opposite question (3)]])</f>
        <v>1</v>
      </c>
      <c r="AP84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841">
        <f>Table67[[#This Row],[Extreme Response]]/21</f>
        <v>0.52380952380952384</v>
      </c>
      <c r="AR841">
        <f>_xlfn.PERCENTILE.INC(Table67[Extrem Response Ratio (ERS)],0.9)</f>
        <v>0.61904761904761907</v>
      </c>
      <c r="AS841" t="b">
        <f>Table67[[#This Row],[Extrem Response Ratio (ERS)]]&gt;=Table67[[#This Row],[Threshold of ERS]]</f>
        <v>0</v>
      </c>
      <c r="AT841">
        <f>COUNTIF(Table67[[#This Row],[The mechanism of digital assets is difficult to understand, which discourages me from exploring it (E.g, Tokenization, Blockchain)]:[If I want to try different ways to invest, I will explore digital assets.]], 3)</f>
        <v>5</v>
      </c>
      <c r="AU841">
        <f>Table67[[#This Row],[Midpoint]]/21</f>
        <v>0.23809523809523808</v>
      </c>
      <c r="AV841">
        <f>_xlfn.PERCENTILE.INC(Table67[Midpoint ratio],0.9)</f>
        <v>0.5714285714285714</v>
      </c>
      <c r="AW841" t="b">
        <f>Table67[[#This Row],[Midpoint ratio]]&gt;=Table67[[#This Row],[Threshold of Midpoint ratio]]</f>
        <v>0</v>
      </c>
      <c r="AX841" t="b">
        <f>OR(Table67[[#This Row],[Extreme Response Style]],Table67[[#This Row],[Mid-point Response Style]])</f>
        <v>0</v>
      </c>
      <c r="AY841" t="b">
        <f>OR(Table67[[#This Row],[Delete? (Stage 1)]],Table67[[#This Row],[Delete? (Stage 2)]])</f>
        <v>1</v>
      </c>
      <c r="AZ841" t="s">
        <v>84</v>
      </c>
    </row>
    <row r="842" spans="1:52">
      <c r="A842">
        <f t="shared" si="55"/>
        <v>841</v>
      </c>
      <c r="B842" s="3">
        <v>46056.874050925901</v>
      </c>
      <c r="C842" s="3">
        <v>46056.876446759299</v>
      </c>
      <c r="D842" t="s">
        <v>53</v>
      </c>
      <c r="G842" t="s">
        <v>54</v>
      </c>
      <c r="H842" t="s">
        <v>55</v>
      </c>
      <c r="I842" t="s">
        <v>71</v>
      </c>
      <c r="J842" t="s">
        <v>62</v>
      </c>
      <c r="K842" t="s">
        <v>57</v>
      </c>
      <c r="L842" t="s">
        <v>58</v>
      </c>
      <c r="M842" t="s">
        <v>58</v>
      </c>
      <c r="N842">
        <v>5</v>
      </c>
      <c r="O842">
        <v>1</v>
      </c>
      <c r="P842">
        <v>4</v>
      </c>
      <c r="Q842">
        <v>1</v>
      </c>
      <c r="R842">
        <v>1</v>
      </c>
      <c r="S842">
        <v>1</v>
      </c>
      <c r="T842">
        <v>5</v>
      </c>
      <c r="U842">
        <v>5</v>
      </c>
      <c r="V842">
        <v>2</v>
      </c>
      <c r="W842">
        <v>4</v>
      </c>
      <c r="X842">
        <v>5</v>
      </c>
      <c r="Y842">
        <v>5</v>
      </c>
      <c r="Z842">
        <v>4</v>
      </c>
      <c r="AA842">
        <v>4</v>
      </c>
      <c r="AB842">
        <v>5</v>
      </c>
      <c r="AC842">
        <v>5</v>
      </c>
      <c r="AD842">
        <v>2</v>
      </c>
      <c r="AE842">
        <v>1</v>
      </c>
      <c r="AF842">
        <v>1</v>
      </c>
      <c r="AG842">
        <v>5</v>
      </c>
      <c r="AH842">
        <v>1</v>
      </c>
      <c r="AI842">
        <v>5</v>
      </c>
      <c r="AJ842">
        <v>5</v>
      </c>
      <c r="AK842" t="b">
        <f>Table67[[#This Row],[What is your age?]]&lt;&gt;"18 - 25"</f>
        <v>0</v>
      </c>
      <c r="AL842" t="b">
        <f t="shared" si="52"/>
        <v>0</v>
      </c>
      <c r="AM842" t="b">
        <f t="shared" si="53"/>
        <v>0</v>
      </c>
      <c r="AN842" t="b">
        <f t="shared" si="54"/>
        <v>0</v>
      </c>
      <c r="AO842" t="b">
        <f>OR(Table67[[#This Row],[Ineligible respondents]:[Inconsistent response on opposite question (3)]])</f>
        <v>0</v>
      </c>
      <c r="AP84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842">
        <f>Table67[[#This Row],[Extreme Response]]/21</f>
        <v>0.7142857142857143</v>
      </c>
      <c r="AR842">
        <f>_xlfn.PERCENTILE.INC(Table67[Extrem Response Ratio (ERS)],0.9)</f>
        <v>0.61904761904761907</v>
      </c>
      <c r="AS842" t="b">
        <f>Table67[[#This Row],[Extrem Response Ratio (ERS)]]&gt;=Table67[[#This Row],[Threshold of ERS]]</f>
        <v>1</v>
      </c>
      <c r="AT842">
        <f>COUNTIF(Table67[[#This Row],[The mechanism of digital assets is difficult to understand, which discourages me from exploring it (E.g, Tokenization, Blockchain)]:[If I want to try different ways to invest, I will explore digital assets.]], 3)</f>
        <v>0</v>
      </c>
      <c r="AU842">
        <f>Table67[[#This Row],[Midpoint]]/21</f>
        <v>0</v>
      </c>
      <c r="AV842">
        <f>_xlfn.PERCENTILE.INC(Table67[Midpoint ratio],0.9)</f>
        <v>0.5714285714285714</v>
      </c>
      <c r="AW842" t="b">
        <f>Table67[[#This Row],[Midpoint ratio]]&gt;=Table67[[#This Row],[Threshold of Midpoint ratio]]</f>
        <v>0</v>
      </c>
      <c r="AX842" t="b">
        <f>OR(Table67[[#This Row],[Extreme Response Style]],Table67[[#This Row],[Mid-point Response Style]])</f>
        <v>1</v>
      </c>
      <c r="AY842" t="b">
        <f>OR(Table67[[#This Row],[Delete? (Stage 1)]],Table67[[#This Row],[Delete? (Stage 2)]])</f>
        <v>1</v>
      </c>
      <c r="AZ842" t="s">
        <v>84</v>
      </c>
    </row>
    <row r="843" spans="1:52">
      <c r="A843">
        <f t="shared" si="55"/>
        <v>842</v>
      </c>
      <c r="B843" s="3">
        <v>46056.874050925901</v>
      </c>
      <c r="C843" s="3">
        <v>46056.877719907403</v>
      </c>
      <c r="D843" t="s">
        <v>53</v>
      </c>
      <c r="G843" t="s">
        <v>54</v>
      </c>
      <c r="H843" t="s">
        <v>55</v>
      </c>
      <c r="I843" t="s">
        <v>71</v>
      </c>
      <c r="J843" t="s">
        <v>57</v>
      </c>
      <c r="K843" t="s">
        <v>57</v>
      </c>
      <c r="L843" t="s">
        <v>58</v>
      </c>
      <c r="M843" t="s">
        <v>58</v>
      </c>
      <c r="N843">
        <v>3</v>
      </c>
      <c r="O843">
        <v>4</v>
      </c>
      <c r="P843">
        <v>4</v>
      </c>
      <c r="Q843">
        <v>3</v>
      </c>
      <c r="R843">
        <v>3</v>
      </c>
      <c r="S843">
        <v>4</v>
      </c>
      <c r="T843">
        <v>3</v>
      </c>
      <c r="U843">
        <v>5</v>
      </c>
      <c r="V843">
        <v>5</v>
      </c>
      <c r="W843">
        <v>4</v>
      </c>
      <c r="X843">
        <v>4</v>
      </c>
      <c r="Y843">
        <v>4</v>
      </c>
      <c r="Z843">
        <v>5</v>
      </c>
      <c r="AA843">
        <v>4</v>
      </c>
      <c r="AB843">
        <v>4</v>
      </c>
      <c r="AC843">
        <v>2</v>
      </c>
      <c r="AD843">
        <v>5</v>
      </c>
      <c r="AE843">
        <v>2</v>
      </c>
      <c r="AF843">
        <v>3</v>
      </c>
      <c r="AG843">
        <v>3</v>
      </c>
      <c r="AH843">
        <v>2</v>
      </c>
      <c r="AI843">
        <v>4</v>
      </c>
      <c r="AJ843">
        <v>3</v>
      </c>
      <c r="AK843" t="b">
        <f>Table67[[#This Row],[What is your age?]]&lt;&gt;"18 - 25"</f>
        <v>0</v>
      </c>
      <c r="AL843" t="b">
        <f t="shared" si="52"/>
        <v>0</v>
      </c>
      <c r="AM843" t="b">
        <f t="shared" si="53"/>
        <v>0</v>
      </c>
      <c r="AN843" t="b">
        <f t="shared" si="54"/>
        <v>1</v>
      </c>
      <c r="AO843" t="b">
        <f>OR(Table67[[#This Row],[Ineligible respondents]:[Inconsistent response on opposite question (3)]])</f>
        <v>1</v>
      </c>
      <c r="AP84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843">
        <f>Table67[[#This Row],[Extreme Response]]/21</f>
        <v>0.19047619047619047</v>
      </c>
      <c r="AR843">
        <f>_xlfn.PERCENTILE.INC(Table67[Extrem Response Ratio (ERS)],0.9)</f>
        <v>0.61904761904761907</v>
      </c>
      <c r="AS843" t="b">
        <f>Table67[[#This Row],[Extrem Response Ratio (ERS)]]&gt;=Table67[[#This Row],[Threshold of ERS]]</f>
        <v>0</v>
      </c>
      <c r="AT843">
        <f>COUNTIF(Table67[[#This Row],[The mechanism of digital assets is difficult to understand, which discourages me from exploring it (E.g, Tokenization, Blockchain)]:[If I want to try different ways to invest, I will explore digital assets.]], 3)</f>
        <v>6</v>
      </c>
      <c r="AU843">
        <f>Table67[[#This Row],[Midpoint]]/21</f>
        <v>0.2857142857142857</v>
      </c>
      <c r="AV843">
        <f>_xlfn.PERCENTILE.INC(Table67[Midpoint ratio],0.9)</f>
        <v>0.5714285714285714</v>
      </c>
      <c r="AW843" t="b">
        <f>Table67[[#This Row],[Midpoint ratio]]&gt;=Table67[[#This Row],[Threshold of Midpoint ratio]]</f>
        <v>0</v>
      </c>
      <c r="AX843" t="b">
        <f>OR(Table67[[#This Row],[Extreme Response Style]],Table67[[#This Row],[Mid-point Response Style]])</f>
        <v>0</v>
      </c>
      <c r="AY843" t="b">
        <f>OR(Table67[[#This Row],[Delete? (Stage 1)]],Table67[[#This Row],[Delete? (Stage 2)]])</f>
        <v>1</v>
      </c>
      <c r="AZ843" t="s">
        <v>84</v>
      </c>
    </row>
    <row r="844" spans="1:52">
      <c r="A844">
        <f t="shared" si="55"/>
        <v>843</v>
      </c>
      <c r="B844" s="3">
        <v>46056.874062499999</v>
      </c>
      <c r="C844" s="3">
        <v>46056.879236111097</v>
      </c>
      <c r="D844" t="s">
        <v>53</v>
      </c>
      <c r="G844" t="s">
        <v>54</v>
      </c>
      <c r="H844" t="s">
        <v>55</v>
      </c>
      <c r="I844" t="s">
        <v>71</v>
      </c>
      <c r="J844" t="s">
        <v>62</v>
      </c>
      <c r="K844" t="s">
        <v>62</v>
      </c>
      <c r="L844" t="s">
        <v>58</v>
      </c>
      <c r="M844" t="s">
        <v>58</v>
      </c>
      <c r="N844">
        <v>4</v>
      </c>
      <c r="O844">
        <v>1</v>
      </c>
      <c r="P844">
        <v>1</v>
      </c>
      <c r="Q844">
        <v>2</v>
      </c>
      <c r="R844">
        <v>1</v>
      </c>
      <c r="S844">
        <v>4</v>
      </c>
      <c r="T844">
        <v>3</v>
      </c>
      <c r="U844">
        <v>5</v>
      </c>
      <c r="V844">
        <v>1</v>
      </c>
      <c r="W844">
        <v>3</v>
      </c>
      <c r="X844">
        <v>4</v>
      </c>
      <c r="Y844">
        <v>5</v>
      </c>
      <c r="Z844">
        <v>3</v>
      </c>
      <c r="AA844">
        <v>5</v>
      </c>
      <c r="AB844">
        <v>4</v>
      </c>
      <c r="AC844">
        <v>5</v>
      </c>
      <c r="AD844">
        <v>5</v>
      </c>
      <c r="AE844">
        <v>4</v>
      </c>
      <c r="AF844">
        <v>1</v>
      </c>
      <c r="AG844">
        <v>2</v>
      </c>
      <c r="AH844">
        <v>3</v>
      </c>
      <c r="AI844">
        <v>3</v>
      </c>
      <c r="AJ844">
        <v>5</v>
      </c>
      <c r="AK844" t="b">
        <f>Table67[[#This Row],[What is your age?]]&lt;&gt;"18 - 25"</f>
        <v>0</v>
      </c>
      <c r="AL844" t="b">
        <f t="shared" si="52"/>
        <v>0</v>
      </c>
      <c r="AM844" t="b">
        <f t="shared" si="53"/>
        <v>0</v>
      </c>
      <c r="AN844" t="b">
        <f t="shared" si="54"/>
        <v>1</v>
      </c>
      <c r="AO844" t="b">
        <f>OR(Table67[[#This Row],[Ineligible respondents]:[Inconsistent response on opposite question (3)]])</f>
        <v>1</v>
      </c>
      <c r="AP84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10</v>
      </c>
      <c r="AQ844">
        <f>Table67[[#This Row],[Extreme Response]]/21</f>
        <v>0.47619047619047616</v>
      </c>
      <c r="AR844">
        <f>_xlfn.PERCENTILE.INC(Table67[Extrem Response Ratio (ERS)],0.9)</f>
        <v>0.61904761904761907</v>
      </c>
      <c r="AS844" t="b">
        <f>Table67[[#This Row],[Extrem Response Ratio (ERS)]]&gt;=Table67[[#This Row],[Threshold of ERS]]</f>
        <v>0</v>
      </c>
      <c r="AT844">
        <f>COUNTIF(Table67[[#This Row],[The mechanism of digital assets is difficult to understand, which discourages me from exploring it (E.g, Tokenization, Blockchain)]:[If I want to try different ways to invest, I will explore digital assets.]], 3)</f>
        <v>4</v>
      </c>
      <c r="AU844">
        <f>Table67[[#This Row],[Midpoint]]/21</f>
        <v>0.19047619047619047</v>
      </c>
      <c r="AV844">
        <f>_xlfn.PERCENTILE.INC(Table67[Midpoint ratio],0.9)</f>
        <v>0.5714285714285714</v>
      </c>
      <c r="AW844" t="b">
        <f>Table67[[#This Row],[Midpoint ratio]]&gt;=Table67[[#This Row],[Threshold of Midpoint ratio]]</f>
        <v>0</v>
      </c>
      <c r="AX844" t="b">
        <f>OR(Table67[[#This Row],[Extreme Response Style]],Table67[[#This Row],[Mid-point Response Style]])</f>
        <v>0</v>
      </c>
      <c r="AY844" t="b">
        <f>OR(Table67[[#This Row],[Delete? (Stage 1)]],Table67[[#This Row],[Delete? (Stage 2)]])</f>
        <v>1</v>
      </c>
      <c r="AZ844" t="s">
        <v>84</v>
      </c>
    </row>
    <row r="845" spans="1:52">
      <c r="A845">
        <f t="shared" si="55"/>
        <v>844</v>
      </c>
      <c r="B845" s="3">
        <v>46056.874062499999</v>
      </c>
      <c r="C845" s="3">
        <v>46056.881053240701</v>
      </c>
      <c r="D845" t="s">
        <v>53</v>
      </c>
      <c r="G845" t="s">
        <v>54</v>
      </c>
      <c r="H845" t="s">
        <v>55</v>
      </c>
      <c r="I845" t="s">
        <v>75</v>
      </c>
      <c r="J845" t="s">
        <v>62</v>
      </c>
      <c r="K845" t="s">
        <v>62</v>
      </c>
      <c r="L845" t="s">
        <v>61</v>
      </c>
      <c r="M845" t="s">
        <v>61</v>
      </c>
      <c r="N845">
        <v>4</v>
      </c>
      <c r="O845">
        <v>2</v>
      </c>
      <c r="P845">
        <v>4</v>
      </c>
      <c r="Q845">
        <v>4</v>
      </c>
      <c r="R845">
        <v>5</v>
      </c>
      <c r="S845">
        <v>4</v>
      </c>
      <c r="T845">
        <v>4</v>
      </c>
      <c r="U845">
        <v>4</v>
      </c>
      <c r="V845">
        <v>5</v>
      </c>
      <c r="W845">
        <v>5</v>
      </c>
      <c r="X845">
        <v>4</v>
      </c>
      <c r="Y845">
        <v>5</v>
      </c>
      <c r="Z845">
        <v>5</v>
      </c>
      <c r="AA845">
        <v>5</v>
      </c>
      <c r="AB845">
        <v>5</v>
      </c>
      <c r="AC845">
        <v>4</v>
      </c>
      <c r="AD845">
        <v>5</v>
      </c>
      <c r="AE845">
        <v>4</v>
      </c>
      <c r="AF845">
        <v>1</v>
      </c>
      <c r="AG845">
        <v>4</v>
      </c>
      <c r="AH845">
        <v>1</v>
      </c>
      <c r="AI845">
        <v>5</v>
      </c>
      <c r="AJ845">
        <v>5</v>
      </c>
      <c r="AK845" t="b">
        <f>Table67[[#This Row],[What is your age?]]&lt;&gt;"18 - 25"</f>
        <v>0</v>
      </c>
      <c r="AL845" t="b">
        <f t="shared" si="52"/>
        <v>0</v>
      </c>
      <c r="AM845" t="b">
        <f t="shared" si="53"/>
        <v>0</v>
      </c>
      <c r="AN845" t="b">
        <f t="shared" si="54"/>
        <v>0</v>
      </c>
      <c r="AO845" t="b">
        <f>OR(Table67[[#This Row],[Ineligible respondents]:[Inconsistent response on opposite question (3)]])</f>
        <v>0</v>
      </c>
      <c r="AP84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10</v>
      </c>
      <c r="AQ845">
        <f>Table67[[#This Row],[Extreme Response]]/21</f>
        <v>0.47619047619047616</v>
      </c>
      <c r="AR845">
        <f>_xlfn.PERCENTILE.INC(Table67[Extrem Response Ratio (ERS)],0.9)</f>
        <v>0.61904761904761907</v>
      </c>
      <c r="AS845" t="b">
        <f>Table67[[#This Row],[Extrem Response Ratio (ERS)]]&gt;=Table67[[#This Row],[Threshold of ERS]]</f>
        <v>0</v>
      </c>
      <c r="AT845">
        <f>COUNTIF(Table67[[#This Row],[The mechanism of digital assets is difficult to understand, which discourages me from exploring it (E.g, Tokenization, Blockchain)]:[If I want to try different ways to invest, I will explore digital assets.]], 3)</f>
        <v>0</v>
      </c>
      <c r="AU845">
        <f>Table67[[#This Row],[Midpoint]]/21</f>
        <v>0</v>
      </c>
      <c r="AV845">
        <f>_xlfn.PERCENTILE.INC(Table67[Midpoint ratio],0.9)</f>
        <v>0.5714285714285714</v>
      </c>
      <c r="AW845" t="b">
        <f>Table67[[#This Row],[Midpoint ratio]]&gt;=Table67[[#This Row],[Threshold of Midpoint ratio]]</f>
        <v>0</v>
      </c>
      <c r="AX845" t="b">
        <f>OR(Table67[[#This Row],[Extreme Response Style]],Table67[[#This Row],[Mid-point Response Style]])</f>
        <v>0</v>
      </c>
      <c r="AY845" t="b">
        <f>OR(Table67[[#This Row],[Delete? (Stage 1)]],Table67[[#This Row],[Delete? (Stage 2)]])</f>
        <v>0</v>
      </c>
      <c r="AZ845" t="s">
        <v>84</v>
      </c>
    </row>
    <row r="846" spans="1:52">
      <c r="A846">
        <f t="shared" si="55"/>
        <v>845</v>
      </c>
      <c r="B846" s="3">
        <v>46056.8740972222</v>
      </c>
      <c r="C846" s="3">
        <v>46056.876770833303</v>
      </c>
      <c r="D846" t="s">
        <v>53</v>
      </c>
      <c r="G846" t="s">
        <v>54</v>
      </c>
      <c r="H846" t="s">
        <v>55</v>
      </c>
      <c r="I846" t="s">
        <v>56</v>
      </c>
      <c r="J846" t="s">
        <v>72</v>
      </c>
      <c r="K846" t="s">
        <v>72</v>
      </c>
      <c r="L846" t="s">
        <v>58</v>
      </c>
      <c r="M846" t="s">
        <v>58</v>
      </c>
      <c r="N846">
        <v>2</v>
      </c>
      <c r="O846">
        <v>2</v>
      </c>
      <c r="P846">
        <v>4</v>
      </c>
      <c r="Q846">
        <v>3</v>
      </c>
      <c r="R846">
        <v>2</v>
      </c>
      <c r="S846">
        <v>3</v>
      </c>
      <c r="T846">
        <v>2</v>
      </c>
      <c r="U846">
        <v>3</v>
      </c>
      <c r="V846">
        <v>3</v>
      </c>
      <c r="W846">
        <v>4</v>
      </c>
      <c r="X846">
        <v>3</v>
      </c>
      <c r="Y846">
        <v>3</v>
      </c>
      <c r="Z846">
        <v>3</v>
      </c>
      <c r="AA846">
        <v>2</v>
      </c>
      <c r="AB846">
        <v>2</v>
      </c>
      <c r="AC846">
        <v>3</v>
      </c>
      <c r="AD846">
        <v>4</v>
      </c>
      <c r="AE846">
        <v>4</v>
      </c>
      <c r="AF846">
        <v>3</v>
      </c>
      <c r="AG846">
        <v>2</v>
      </c>
      <c r="AH846">
        <v>4</v>
      </c>
      <c r="AI846">
        <v>2</v>
      </c>
      <c r="AJ846">
        <v>3</v>
      </c>
      <c r="AK846" t="b">
        <f>Table67[[#This Row],[What is your age?]]&lt;&gt;"18 - 25"</f>
        <v>0</v>
      </c>
      <c r="AL846" t="b">
        <f t="shared" si="52"/>
        <v>0</v>
      </c>
      <c r="AM846" t="b">
        <f t="shared" si="53"/>
        <v>0</v>
      </c>
      <c r="AN846" t="b">
        <f t="shared" si="54"/>
        <v>0</v>
      </c>
      <c r="AO846" t="b">
        <f>OR(Table67[[#This Row],[Ineligible respondents]:[Inconsistent response on opposite question (3)]])</f>
        <v>0</v>
      </c>
      <c r="AP84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846">
        <f>Table67[[#This Row],[Extreme Response]]/21</f>
        <v>0</v>
      </c>
      <c r="AR846">
        <f>_xlfn.PERCENTILE.INC(Table67[Extrem Response Ratio (ERS)],0.9)</f>
        <v>0.61904761904761907</v>
      </c>
      <c r="AS846" t="b">
        <f>Table67[[#This Row],[Extrem Response Ratio (ERS)]]&gt;=Table67[[#This Row],[Threshold of ERS]]</f>
        <v>0</v>
      </c>
      <c r="AT846">
        <f>COUNTIF(Table67[[#This Row],[The mechanism of digital assets is difficult to understand, which discourages me from exploring it (E.g, Tokenization, Blockchain)]:[If I want to try different ways to invest, I will explore digital assets.]], 3)</f>
        <v>9</v>
      </c>
      <c r="AU846">
        <f>Table67[[#This Row],[Midpoint]]/21</f>
        <v>0.42857142857142855</v>
      </c>
      <c r="AV846">
        <f>_xlfn.PERCENTILE.INC(Table67[Midpoint ratio],0.9)</f>
        <v>0.5714285714285714</v>
      </c>
      <c r="AW846" t="b">
        <f>Table67[[#This Row],[Midpoint ratio]]&gt;=Table67[[#This Row],[Threshold of Midpoint ratio]]</f>
        <v>0</v>
      </c>
      <c r="AX846" t="b">
        <f>OR(Table67[[#This Row],[Extreme Response Style]],Table67[[#This Row],[Mid-point Response Style]])</f>
        <v>0</v>
      </c>
      <c r="AY846" t="b">
        <f>OR(Table67[[#This Row],[Delete? (Stage 1)]],Table67[[#This Row],[Delete? (Stage 2)]])</f>
        <v>0</v>
      </c>
      <c r="AZ846" t="s">
        <v>84</v>
      </c>
    </row>
    <row r="847" spans="1:52">
      <c r="A847">
        <f t="shared" si="55"/>
        <v>846</v>
      </c>
      <c r="B847" s="3">
        <v>46056.8741435185</v>
      </c>
      <c r="C847" s="3">
        <v>46056.878043981502</v>
      </c>
      <c r="D847" t="s">
        <v>53</v>
      </c>
      <c r="G847" t="s">
        <v>54</v>
      </c>
      <c r="H847" t="s">
        <v>55</v>
      </c>
      <c r="I847" t="s">
        <v>75</v>
      </c>
      <c r="J847" t="s">
        <v>62</v>
      </c>
      <c r="K847" t="s">
        <v>62</v>
      </c>
      <c r="L847" t="s">
        <v>58</v>
      </c>
      <c r="M847" t="s">
        <v>58</v>
      </c>
      <c r="N847">
        <v>2</v>
      </c>
      <c r="O847">
        <v>1</v>
      </c>
      <c r="P847">
        <v>5</v>
      </c>
      <c r="Q847">
        <v>1</v>
      </c>
      <c r="R847">
        <v>2</v>
      </c>
      <c r="S847">
        <v>1</v>
      </c>
      <c r="T847">
        <v>1</v>
      </c>
      <c r="U847">
        <v>3</v>
      </c>
      <c r="V847">
        <v>5</v>
      </c>
      <c r="W847">
        <v>1</v>
      </c>
      <c r="X847">
        <v>4</v>
      </c>
      <c r="Y847">
        <v>4</v>
      </c>
      <c r="Z847">
        <v>1</v>
      </c>
      <c r="AA847">
        <v>4</v>
      </c>
      <c r="AB847">
        <v>1</v>
      </c>
      <c r="AC847">
        <v>3</v>
      </c>
      <c r="AD847">
        <v>5</v>
      </c>
      <c r="AE847">
        <v>4</v>
      </c>
      <c r="AF847">
        <v>4</v>
      </c>
      <c r="AG847">
        <v>3</v>
      </c>
      <c r="AH847">
        <v>4</v>
      </c>
      <c r="AI847">
        <v>2</v>
      </c>
      <c r="AJ847">
        <v>2</v>
      </c>
      <c r="AK847" t="b">
        <f>Table67[[#This Row],[What is your age?]]&lt;&gt;"18 - 25"</f>
        <v>0</v>
      </c>
      <c r="AL847" t="b">
        <f t="shared" si="52"/>
        <v>0</v>
      </c>
      <c r="AM847" t="b">
        <f t="shared" si="53"/>
        <v>0</v>
      </c>
      <c r="AN847" t="b">
        <f t="shared" si="54"/>
        <v>1</v>
      </c>
      <c r="AO847" t="b">
        <f>OR(Table67[[#This Row],[Ineligible respondents]:[Inconsistent response on opposite question (3)]])</f>
        <v>1</v>
      </c>
      <c r="AP84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10</v>
      </c>
      <c r="AQ847">
        <f>Table67[[#This Row],[Extreme Response]]/21</f>
        <v>0.47619047619047616</v>
      </c>
      <c r="AR847">
        <f>_xlfn.PERCENTILE.INC(Table67[Extrem Response Ratio (ERS)],0.9)</f>
        <v>0.61904761904761907</v>
      </c>
      <c r="AS847" t="b">
        <f>Table67[[#This Row],[Extrem Response Ratio (ERS)]]&gt;=Table67[[#This Row],[Threshold of ERS]]</f>
        <v>0</v>
      </c>
      <c r="AT847">
        <f>COUNTIF(Table67[[#This Row],[The mechanism of digital assets is difficult to understand, which discourages me from exploring it (E.g, Tokenization, Blockchain)]:[If I want to try different ways to invest, I will explore digital assets.]], 3)</f>
        <v>3</v>
      </c>
      <c r="AU847">
        <f>Table67[[#This Row],[Midpoint]]/21</f>
        <v>0.14285714285714285</v>
      </c>
      <c r="AV847">
        <f>_xlfn.PERCENTILE.INC(Table67[Midpoint ratio],0.9)</f>
        <v>0.5714285714285714</v>
      </c>
      <c r="AW847" t="b">
        <f>Table67[[#This Row],[Midpoint ratio]]&gt;=Table67[[#This Row],[Threshold of Midpoint ratio]]</f>
        <v>0</v>
      </c>
      <c r="AX847" t="b">
        <f>OR(Table67[[#This Row],[Extreme Response Style]],Table67[[#This Row],[Mid-point Response Style]])</f>
        <v>0</v>
      </c>
      <c r="AY847" t="b">
        <f>OR(Table67[[#This Row],[Delete? (Stage 1)]],Table67[[#This Row],[Delete? (Stage 2)]])</f>
        <v>1</v>
      </c>
      <c r="AZ847" t="s">
        <v>84</v>
      </c>
    </row>
    <row r="848" spans="1:52">
      <c r="A848">
        <f t="shared" si="55"/>
        <v>847</v>
      </c>
      <c r="B848" s="3">
        <v>46056.8741435185</v>
      </c>
      <c r="C848" s="3">
        <v>46056.880243055602</v>
      </c>
      <c r="D848" t="s">
        <v>53</v>
      </c>
      <c r="G848" t="s">
        <v>54</v>
      </c>
      <c r="H848" t="s">
        <v>70</v>
      </c>
      <c r="I848" t="s">
        <v>71</v>
      </c>
      <c r="J848" t="s">
        <v>62</v>
      </c>
      <c r="K848" t="s">
        <v>57</v>
      </c>
      <c r="L848" t="s">
        <v>61</v>
      </c>
      <c r="M848" t="s">
        <v>61</v>
      </c>
      <c r="N848">
        <v>5</v>
      </c>
      <c r="O848">
        <v>2</v>
      </c>
      <c r="P848">
        <v>4</v>
      </c>
      <c r="Q848">
        <v>4</v>
      </c>
      <c r="R848">
        <v>3</v>
      </c>
      <c r="S848">
        <v>4</v>
      </c>
      <c r="T848">
        <v>5</v>
      </c>
      <c r="U848">
        <v>5</v>
      </c>
      <c r="V848">
        <v>5</v>
      </c>
      <c r="W848">
        <v>5</v>
      </c>
      <c r="X848">
        <v>4</v>
      </c>
      <c r="Y848">
        <v>5</v>
      </c>
      <c r="Z848">
        <v>4</v>
      </c>
      <c r="AA848">
        <v>4</v>
      </c>
      <c r="AB848">
        <v>5</v>
      </c>
      <c r="AC848">
        <v>4</v>
      </c>
      <c r="AD848">
        <v>2</v>
      </c>
      <c r="AE848">
        <v>5</v>
      </c>
      <c r="AF848">
        <v>2</v>
      </c>
      <c r="AG848">
        <v>4</v>
      </c>
      <c r="AH848">
        <v>3</v>
      </c>
      <c r="AI848">
        <v>3</v>
      </c>
      <c r="AJ848">
        <v>4</v>
      </c>
      <c r="AK848" t="b">
        <f>Table67[[#This Row],[What is your age?]]&lt;&gt;"18 - 25"</f>
        <v>0</v>
      </c>
      <c r="AL848" t="b">
        <f t="shared" si="52"/>
        <v>0</v>
      </c>
      <c r="AM848" t="b">
        <f t="shared" si="53"/>
        <v>0</v>
      </c>
      <c r="AN848" t="b">
        <f t="shared" si="54"/>
        <v>1</v>
      </c>
      <c r="AO848" t="b">
        <f>OR(Table67[[#This Row],[Ineligible respondents]:[Inconsistent response on opposite question (3)]])</f>
        <v>1</v>
      </c>
      <c r="AP84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848">
        <f>Table67[[#This Row],[Extreme Response]]/21</f>
        <v>0.38095238095238093</v>
      </c>
      <c r="AR848">
        <f>_xlfn.PERCENTILE.INC(Table67[Extrem Response Ratio (ERS)],0.9)</f>
        <v>0.61904761904761907</v>
      </c>
      <c r="AS848" t="b">
        <f>Table67[[#This Row],[Extrem Response Ratio (ERS)]]&gt;=Table67[[#This Row],[Threshold of ERS]]</f>
        <v>0</v>
      </c>
      <c r="AT848">
        <f>COUNTIF(Table67[[#This Row],[The mechanism of digital assets is difficult to understand, which discourages me from exploring it (E.g, Tokenization, Blockchain)]:[If I want to try different ways to invest, I will explore digital assets.]], 3)</f>
        <v>2</v>
      </c>
      <c r="AU848">
        <f>Table67[[#This Row],[Midpoint]]/21</f>
        <v>9.5238095238095233E-2</v>
      </c>
      <c r="AV848">
        <f>_xlfn.PERCENTILE.INC(Table67[Midpoint ratio],0.9)</f>
        <v>0.5714285714285714</v>
      </c>
      <c r="AW848" t="b">
        <f>Table67[[#This Row],[Midpoint ratio]]&gt;=Table67[[#This Row],[Threshold of Midpoint ratio]]</f>
        <v>0</v>
      </c>
      <c r="AX848" t="b">
        <f>OR(Table67[[#This Row],[Extreme Response Style]],Table67[[#This Row],[Mid-point Response Style]])</f>
        <v>0</v>
      </c>
      <c r="AY848" t="b">
        <f>OR(Table67[[#This Row],[Delete? (Stage 1)]],Table67[[#This Row],[Delete? (Stage 2)]])</f>
        <v>1</v>
      </c>
      <c r="AZ848" t="s">
        <v>84</v>
      </c>
    </row>
    <row r="849" spans="1:52">
      <c r="A849">
        <f t="shared" si="55"/>
        <v>848</v>
      </c>
      <c r="B849" s="3">
        <v>46056.874155092599</v>
      </c>
      <c r="C849" s="3">
        <v>46056.879525463002</v>
      </c>
      <c r="D849" t="s">
        <v>53</v>
      </c>
      <c r="G849" t="s">
        <v>54</v>
      </c>
      <c r="H849" t="s">
        <v>63</v>
      </c>
      <c r="I849" t="s">
        <v>75</v>
      </c>
      <c r="J849" t="s">
        <v>60</v>
      </c>
      <c r="K849" t="s">
        <v>57</v>
      </c>
      <c r="L849" t="s">
        <v>58</v>
      </c>
      <c r="M849" t="s">
        <v>58</v>
      </c>
      <c r="N849">
        <v>5</v>
      </c>
      <c r="O849">
        <v>1</v>
      </c>
      <c r="P849">
        <v>5</v>
      </c>
      <c r="Q849">
        <v>2</v>
      </c>
      <c r="R849">
        <v>2</v>
      </c>
      <c r="S849">
        <v>5</v>
      </c>
      <c r="T849">
        <v>5</v>
      </c>
      <c r="U849">
        <v>5</v>
      </c>
      <c r="V849">
        <v>5</v>
      </c>
      <c r="W849">
        <v>5</v>
      </c>
      <c r="X849">
        <v>4</v>
      </c>
      <c r="Y849">
        <v>4</v>
      </c>
      <c r="Z849">
        <v>5</v>
      </c>
      <c r="AA849">
        <v>4</v>
      </c>
      <c r="AB849">
        <v>2</v>
      </c>
      <c r="AC849">
        <v>5</v>
      </c>
      <c r="AD849">
        <v>5</v>
      </c>
      <c r="AE849">
        <v>1</v>
      </c>
      <c r="AF849">
        <v>1</v>
      </c>
      <c r="AG849">
        <v>5</v>
      </c>
      <c r="AH849">
        <v>1</v>
      </c>
      <c r="AI849">
        <v>5</v>
      </c>
      <c r="AJ849">
        <v>5</v>
      </c>
      <c r="AK849" t="b">
        <f>Table67[[#This Row],[What is your age?]]&lt;&gt;"18 - 25"</f>
        <v>0</v>
      </c>
      <c r="AL849" t="b">
        <f t="shared" si="52"/>
        <v>0</v>
      </c>
      <c r="AM849" t="b">
        <f t="shared" si="53"/>
        <v>0</v>
      </c>
      <c r="AN849" t="b">
        <f t="shared" si="54"/>
        <v>0</v>
      </c>
      <c r="AO849" t="b">
        <f>OR(Table67[[#This Row],[Ineligible respondents]:[Inconsistent response on opposite question (3)]])</f>
        <v>0</v>
      </c>
      <c r="AP84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849">
        <f>Table67[[#This Row],[Extreme Response]]/21</f>
        <v>0.7142857142857143</v>
      </c>
      <c r="AR849">
        <f>_xlfn.PERCENTILE.INC(Table67[Extrem Response Ratio (ERS)],0.9)</f>
        <v>0.61904761904761907</v>
      </c>
      <c r="AS849" t="b">
        <f>Table67[[#This Row],[Extrem Response Ratio (ERS)]]&gt;=Table67[[#This Row],[Threshold of ERS]]</f>
        <v>1</v>
      </c>
      <c r="AT849">
        <f>COUNTIF(Table67[[#This Row],[The mechanism of digital assets is difficult to understand, which discourages me from exploring it (E.g, Tokenization, Blockchain)]:[If I want to try different ways to invest, I will explore digital assets.]], 3)</f>
        <v>0</v>
      </c>
      <c r="AU849">
        <f>Table67[[#This Row],[Midpoint]]/21</f>
        <v>0</v>
      </c>
      <c r="AV849">
        <f>_xlfn.PERCENTILE.INC(Table67[Midpoint ratio],0.9)</f>
        <v>0.5714285714285714</v>
      </c>
      <c r="AW849" t="b">
        <f>Table67[[#This Row],[Midpoint ratio]]&gt;=Table67[[#This Row],[Threshold of Midpoint ratio]]</f>
        <v>0</v>
      </c>
      <c r="AX849" t="b">
        <f>OR(Table67[[#This Row],[Extreme Response Style]],Table67[[#This Row],[Mid-point Response Style]])</f>
        <v>1</v>
      </c>
      <c r="AY849" t="b">
        <f>OR(Table67[[#This Row],[Delete? (Stage 1)]],Table67[[#This Row],[Delete? (Stage 2)]])</f>
        <v>1</v>
      </c>
      <c r="AZ849" t="s">
        <v>84</v>
      </c>
    </row>
    <row r="850" spans="1:52">
      <c r="A850">
        <f t="shared" si="55"/>
        <v>849</v>
      </c>
      <c r="B850" s="3">
        <v>46056.874224537001</v>
      </c>
      <c r="C850" s="3">
        <v>46056.878182870401</v>
      </c>
      <c r="D850" t="s">
        <v>53</v>
      </c>
      <c r="G850" t="s">
        <v>54</v>
      </c>
      <c r="H850" t="s">
        <v>63</v>
      </c>
      <c r="I850" t="s">
        <v>56</v>
      </c>
      <c r="J850" t="s">
        <v>65</v>
      </c>
      <c r="K850" t="s">
        <v>62</v>
      </c>
      <c r="L850" t="s">
        <v>58</v>
      </c>
      <c r="M850" t="s">
        <v>58</v>
      </c>
      <c r="N850">
        <v>3</v>
      </c>
      <c r="O850">
        <v>2</v>
      </c>
      <c r="P850">
        <v>3</v>
      </c>
      <c r="Q850">
        <v>3</v>
      </c>
      <c r="R850">
        <v>4</v>
      </c>
      <c r="S850">
        <v>4</v>
      </c>
      <c r="T850">
        <v>3</v>
      </c>
      <c r="U850">
        <v>5</v>
      </c>
      <c r="V850">
        <v>4</v>
      </c>
      <c r="W850">
        <v>5</v>
      </c>
      <c r="X850">
        <v>4</v>
      </c>
      <c r="Y850">
        <v>4</v>
      </c>
      <c r="Z850">
        <v>4</v>
      </c>
      <c r="AA850">
        <v>4</v>
      </c>
      <c r="AB850">
        <v>3</v>
      </c>
      <c r="AC850">
        <v>3</v>
      </c>
      <c r="AD850">
        <v>5</v>
      </c>
      <c r="AE850">
        <v>3</v>
      </c>
      <c r="AF850">
        <v>2</v>
      </c>
      <c r="AG850">
        <v>4</v>
      </c>
      <c r="AH850">
        <v>4</v>
      </c>
      <c r="AI850">
        <v>2</v>
      </c>
      <c r="AJ850">
        <v>4</v>
      </c>
      <c r="AK850" t="b">
        <f>Table67[[#This Row],[What is your age?]]&lt;&gt;"18 - 25"</f>
        <v>0</v>
      </c>
      <c r="AL850" t="b">
        <f t="shared" si="52"/>
        <v>0</v>
      </c>
      <c r="AM850" t="b">
        <f t="shared" si="53"/>
        <v>1</v>
      </c>
      <c r="AN850" t="b">
        <f t="shared" si="54"/>
        <v>0</v>
      </c>
      <c r="AO850" t="b">
        <f>OR(Table67[[#This Row],[Ineligible respondents]:[Inconsistent response on opposite question (3)]])</f>
        <v>1</v>
      </c>
      <c r="AP85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850">
        <f>Table67[[#This Row],[Extreme Response]]/21</f>
        <v>0.14285714285714285</v>
      </c>
      <c r="AR850">
        <f>_xlfn.PERCENTILE.INC(Table67[Extrem Response Ratio (ERS)],0.9)</f>
        <v>0.61904761904761907</v>
      </c>
      <c r="AS850" t="b">
        <f>Table67[[#This Row],[Extrem Response Ratio (ERS)]]&gt;=Table67[[#This Row],[Threshold of ERS]]</f>
        <v>0</v>
      </c>
      <c r="AT850">
        <f>COUNTIF(Table67[[#This Row],[The mechanism of digital assets is difficult to understand, which discourages me from exploring it (E.g, Tokenization, Blockchain)]:[If I want to try different ways to invest, I will explore digital assets.]], 3)</f>
        <v>7</v>
      </c>
      <c r="AU850">
        <f>Table67[[#This Row],[Midpoint]]/21</f>
        <v>0.33333333333333331</v>
      </c>
      <c r="AV850">
        <f>_xlfn.PERCENTILE.INC(Table67[Midpoint ratio],0.9)</f>
        <v>0.5714285714285714</v>
      </c>
      <c r="AW850" t="b">
        <f>Table67[[#This Row],[Midpoint ratio]]&gt;=Table67[[#This Row],[Threshold of Midpoint ratio]]</f>
        <v>0</v>
      </c>
      <c r="AX850" t="b">
        <f>OR(Table67[[#This Row],[Extreme Response Style]],Table67[[#This Row],[Mid-point Response Style]])</f>
        <v>0</v>
      </c>
      <c r="AY850" t="b">
        <f>OR(Table67[[#This Row],[Delete? (Stage 1)]],Table67[[#This Row],[Delete? (Stage 2)]])</f>
        <v>1</v>
      </c>
      <c r="AZ850" t="s">
        <v>84</v>
      </c>
    </row>
    <row r="851" spans="1:52">
      <c r="A851">
        <f t="shared" si="55"/>
        <v>850</v>
      </c>
      <c r="B851" s="3">
        <v>46056.874247685198</v>
      </c>
      <c r="C851" s="3">
        <v>46056.880300925899</v>
      </c>
      <c r="D851" t="s">
        <v>53</v>
      </c>
      <c r="G851" t="s">
        <v>54</v>
      </c>
      <c r="H851" t="s">
        <v>55</v>
      </c>
      <c r="I851" t="s">
        <v>75</v>
      </c>
      <c r="J851" t="s">
        <v>62</v>
      </c>
      <c r="K851" t="s">
        <v>62</v>
      </c>
      <c r="L851" t="s">
        <v>58</v>
      </c>
      <c r="M851" t="s">
        <v>58</v>
      </c>
      <c r="N851">
        <v>4</v>
      </c>
      <c r="O851">
        <v>1</v>
      </c>
      <c r="P851">
        <v>5</v>
      </c>
      <c r="Q851">
        <v>5</v>
      </c>
      <c r="R851">
        <v>5</v>
      </c>
      <c r="S851">
        <v>5</v>
      </c>
      <c r="T851">
        <v>5</v>
      </c>
      <c r="U851">
        <v>5</v>
      </c>
      <c r="V851">
        <v>5</v>
      </c>
      <c r="W851">
        <v>5</v>
      </c>
      <c r="X851">
        <v>4</v>
      </c>
      <c r="Y851">
        <v>1</v>
      </c>
      <c r="Z851">
        <v>5</v>
      </c>
      <c r="AA851">
        <v>5</v>
      </c>
      <c r="AB851">
        <v>4</v>
      </c>
      <c r="AC851">
        <v>5</v>
      </c>
      <c r="AD851">
        <v>5</v>
      </c>
      <c r="AE851">
        <v>5</v>
      </c>
      <c r="AF851">
        <v>2</v>
      </c>
      <c r="AG851">
        <v>5</v>
      </c>
      <c r="AH851">
        <v>3</v>
      </c>
      <c r="AI851">
        <v>3</v>
      </c>
      <c r="AJ851">
        <v>4</v>
      </c>
      <c r="AK851" t="b">
        <f>Table67[[#This Row],[What is your age?]]&lt;&gt;"18 - 25"</f>
        <v>0</v>
      </c>
      <c r="AL851" t="b">
        <f t="shared" si="52"/>
        <v>0</v>
      </c>
      <c r="AM851" t="b">
        <f t="shared" si="53"/>
        <v>0</v>
      </c>
      <c r="AN851" t="b">
        <f t="shared" si="54"/>
        <v>1</v>
      </c>
      <c r="AO851" t="b">
        <f>OR(Table67[[#This Row],[Ineligible respondents]:[Inconsistent response on opposite question (3)]])</f>
        <v>1</v>
      </c>
      <c r="AP85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16</v>
      </c>
      <c r="AQ851">
        <f>Table67[[#This Row],[Extreme Response]]/21</f>
        <v>0.76190476190476186</v>
      </c>
      <c r="AR851">
        <f>_xlfn.PERCENTILE.INC(Table67[Extrem Response Ratio (ERS)],0.9)</f>
        <v>0.61904761904761907</v>
      </c>
      <c r="AS851" t="b">
        <f>Table67[[#This Row],[Extrem Response Ratio (ERS)]]&gt;=Table67[[#This Row],[Threshold of ERS]]</f>
        <v>1</v>
      </c>
      <c r="AT851">
        <f>COUNTIF(Table67[[#This Row],[The mechanism of digital assets is difficult to understand, which discourages me from exploring it (E.g, Tokenization, Blockchain)]:[If I want to try different ways to invest, I will explore digital assets.]], 3)</f>
        <v>1</v>
      </c>
      <c r="AU851">
        <f>Table67[[#This Row],[Midpoint]]/21</f>
        <v>4.7619047619047616E-2</v>
      </c>
      <c r="AV851">
        <f>_xlfn.PERCENTILE.INC(Table67[Midpoint ratio],0.9)</f>
        <v>0.5714285714285714</v>
      </c>
      <c r="AW851" t="b">
        <f>Table67[[#This Row],[Midpoint ratio]]&gt;=Table67[[#This Row],[Threshold of Midpoint ratio]]</f>
        <v>0</v>
      </c>
      <c r="AX851" t="b">
        <f>OR(Table67[[#This Row],[Extreme Response Style]],Table67[[#This Row],[Mid-point Response Style]])</f>
        <v>1</v>
      </c>
      <c r="AY851" t="b">
        <f>OR(Table67[[#This Row],[Delete? (Stage 1)]],Table67[[#This Row],[Delete? (Stage 2)]])</f>
        <v>1</v>
      </c>
      <c r="AZ851" t="s">
        <v>84</v>
      </c>
    </row>
    <row r="852" spans="1:52">
      <c r="A852">
        <f t="shared" si="55"/>
        <v>851</v>
      </c>
      <c r="B852" s="3">
        <v>46056.874259259297</v>
      </c>
      <c r="C852" s="3">
        <v>46056.8769791667</v>
      </c>
      <c r="D852" t="s">
        <v>53</v>
      </c>
      <c r="G852" t="s">
        <v>54</v>
      </c>
      <c r="H852" t="s">
        <v>63</v>
      </c>
      <c r="I852" t="s">
        <v>56</v>
      </c>
      <c r="J852" t="s">
        <v>64</v>
      </c>
      <c r="K852" t="s">
        <v>60</v>
      </c>
      <c r="L852" t="s">
        <v>58</v>
      </c>
      <c r="M852" t="s">
        <v>58</v>
      </c>
      <c r="N852">
        <v>5</v>
      </c>
      <c r="O852">
        <v>3</v>
      </c>
      <c r="P852">
        <v>5</v>
      </c>
      <c r="Q852">
        <v>4</v>
      </c>
      <c r="R852">
        <v>4</v>
      </c>
      <c r="S852">
        <v>4</v>
      </c>
      <c r="T852">
        <v>4</v>
      </c>
      <c r="U852">
        <v>4</v>
      </c>
      <c r="V852">
        <v>3</v>
      </c>
      <c r="W852">
        <v>5</v>
      </c>
      <c r="X852">
        <v>3</v>
      </c>
      <c r="Y852">
        <v>4</v>
      </c>
      <c r="Z852">
        <v>4</v>
      </c>
      <c r="AA852">
        <v>5</v>
      </c>
      <c r="AB852">
        <v>4</v>
      </c>
      <c r="AC852">
        <v>4</v>
      </c>
      <c r="AD852">
        <v>3</v>
      </c>
      <c r="AE852">
        <v>4</v>
      </c>
      <c r="AF852">
        <v>2</v>
      </c>
      <c r="AG852">
        <v>3</v>
      </c>
      <c r="AH852">
        <v>3</v>
      </c>
      <c r="AI852">
        <v>3</v>
      </c>
      <c r="AJ852">
        <v>4</v>
      </c>
      <c r="AK852" t="b">
        <f>Table67[[#This Row],[What is your age?]]&lt;&gt;"18 - 25"</f>
        <v>0</v>
      </c>
      <c r="AL852" t="b">
        <f t="shared" si="52"/>
        <v>0</v>
      </c>
      <c r="AM852" t="b">
        <f t="shared" si="53"/>
        <v>0</v>
      </c>
      <c r="AN852" t="b">
        <f t="shared" si="54"/>
        <v>0</v>
      </c>
      <c r="AO852" t="b">
        <f>OR(Table67[[#This Row],[Ineligible respondents]:[Inconsistent response on opposite question (3)]])</f>
        <v>0</v>
      </c>
      <c r="AP85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852">
        <f>Table67[[#This Row],[Extreme Response]]/21</f>
        <v>0.19047619047619047</v>
      </c>
      <c r="AR852">
        <f>_xlfn.PERCENTILE.INC(Table67[Extrem Response Ratio (ERS)],0.9)</f>
        <v>0.61904761904761907</v>
      </c>
      <c r="AS852" t="b">
        <f>Table67[[#This Row],[Extrem Response Ratio (ERS)]]&gt;=Table67[[#This Row],[Threshold of ERS]]</f>
        <v>0</v>
      </c>
      <c r="AT852">
        <f>COUNTIF(Table67[[#This Row],[The mechanism of digital assets is difficult to understand, which discourages me from exploring it (E.g, Tokenization, Blockchain)]:[If I want to try different ways to invest, I will explore digital assets.]], 3)</f>
        <v>6</v>
      </c>
      <c r="AU852">
        <f>Table67[[#This Row],[Midpoint]]/21</f>
        <v>0.2857142857142857</v>
      </c>
      <c r="AV852">
        <f>_xlfn.PERCENTILE.INC(Table67[Midpoint ratio],0.9)</f>
        <v>0.5714285714285714</v>
      </c>
      <c r="AW852" t="b">
        <f>Table67[[#This Row],[Midpoint ratio]]&gt;=Table67[[#This Row],[Threshold of Midpoint ratio]]</f>
        <v>0</v>
      </c>
      <c r="AX852" t="b">
        <f>OR(Table67[[#This Row],[Extreme Response Style]],Table67[[#This Row],[Mid-point Response Style]])</f>
        <v>0</v>
      </c>
      <c r="AY852" t="b">
        <f>OR(Table67[[#This Row],[Delete? (Stage 1)]],Table67[[#This Row],[Delete? (Stage 2)]])</f>
        <v>0</v>
      </c>
      <c r="AZ852" t="s">
        <v>84</v>
      </c>
    </row>
    <row r="853" spans="1:52">
      <c r="A853">
        <f t="shared" si="55"/>
        <v>852</v>
      </c>
      <c r="B853" s="3">
        <v>46056.874270833301</v>
      </c>
      <c r="C853" s="3">
        <v>46056.876400462999</v>
      </c>
      <c r="D853" t="s">
        <v>53</v>
      </c>
      <c r="G853" t="s">
        <v>54</v>
      </c>
      <c r="H853" t="s">
        <v>63</v>
      </c>
      <c r="I853" t="s">
        <v>56</v>
      </c>
      <c r="J853" t="s">
        <v>60</v>
      </c>
      <c r="K853" t="s">
        <v>62</v>
      </c>
      <c r="L853" t="s">
        <v>58</v>
      </c>
      <c r="M853" t="s">
        <v>58</v>
      </c>
      <c r="N853">
        <v>4</v>
      </c>
      <c r="O853">
        <v>3</v>
      </c>
      <c r="P853">
        <v>4</v>
      </c>
      <c r="Q853">
        <v>3</v>
      </c>
      <c r="R853">
        <v>2</v>
      </c>
      <c r="S853">
        <v>2</v>
      </c>
      <c r="T853">
        <v>3</v>
      </c>
      <c r="U853">
        <v>4</v>
      </c>
      <c r="V853">
        <v>5</v>
      </c>
      <c r="W853">
        <v>5</v>
      </c>
      <c r="X853">
        <v>3</v>
      </c>
      <c r="Y853">
        <v>5</v>
      </c>
      <c r="Z853">
        <v>5</v>
      </c>
      <c r="AA853">
        <v>3</v>
      </c>
      <c r="AB853">
        <v>2</v>
      </c>
      <c r="AC853">
        <v>3</v>
      </c>
      <c r="AD853">
        <v>3</v>
      </c>
      <c r="AE853">
        <v>3</v>
      </c>
      <c r="AF853">
        <v>5</v>
      </c>
      <c r="AG853">
        <v>2</v>
      </c>
      <c r="AH853">
        <v>4</v>
      </c>
      <c r="AI853">
        <v>2</v>
      </c>
      <c r="AJ853">
        <v>1</v>
      </c>
      <c r="AK853" t="b">
        <f>Table67[[#This Row],[What is your age?]]&lt;&gt;"18 - 25"</f>
        <v>0</v>
      </c>
      <c r="AL853" t="b">
        <f t="shared" si="52"/>
        <v>0</v>
      </c>
      <c r="AM853" t="b">
        <f t="shared" si="53"/>
        <v>0</v>
      </c>
      <c r="AN853" t="b">
        <f t="shared" si="54"/>
        <v>0</v>
      </c>
      <c r="AO853" t="b">
        <f>OR(Table67[[#This Row],[Ineligible respondents]:[Inconsistent response on opposite question (3)]])</f>
        <v>0</v>
      </c>
      <c r="AP85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853">
        <f>Table67[[#This Row],[Extreme Response]]/21</f>
        <v>0.23809523809523808</v>
      </c>
      <c r="AR853">
        <f>_xlfn.PERCENTILE.INC(Table67[Extrem Response Ratio (ERS)],0.9)</f>
        <v>0.61904761904761907</v>
      </c>
      <c r="AS853" t="b">
        <f>Table67[[#This Row],[Extrem Response Ratio (ERS)]]&gt;=Table67[[#This Row],[Threshold of ERS]]</f>
        <v>0</v>
      </c>
      <c r="AT853">
        <f>COUNTIF(Table67[[#This Row],[The mechanism of digital assets is difficult to understand, which discourages me from exploring it (E.g, Tokenization, Blockchain)]:[If I want to try different ways to invest, I will explore digital assets.]], 3)</f>
        <v>8</v>
      </c>
      <c r="AU853">
        <f>Table67[[#This Row],[Midpoint]]/21</f>
        <v>0.38095238095238093</v>
      </c>
      <c r="AV853">
        <f>_xlfn.PERCENTILE.INC(Table67[Midpoint ratio],0.9)</f>
        <v>0.5714285714285714</v>
      </c>
      <c r="AW853" t="b">
        <f>Table67[[#This Row],[Midpoint ratio]]&gt;=Table67[[#This Row],[Threshold of Midpoint ratio]]</f>
        <v>0</v>
      </c>
      <c r="AX853" t="b">
        <f>OR(Table67[[#This Row],[Extreme Response Style]],Table67[[#This Row],[Mid-point Response Style]])</f>
        <v>0</v>
      </c>
      <c r="AY853" t="b">
        <f>OR(Table67[[#This Row],[Delete? (Stage 1)]],Table67[[#This Row],[Delete? (Stage 2)]])</f>
        <v>0</v>
      </c>
      <c r="AZ853" t="s">
        <v>84</v>
      </c>
    </row>
    <row r="854" spans="1:52">
      <c r="A854">
        <f t="shared" si="55"/>
        <v>853</v>
      </c>
      <c r="B854" s="3">
        <v>46056.8742824074</v>
      </c>
      <c r="C854" s="3">
        <v>46056.8762615741</v>
      </c>
      <c r="D854" t="s">
        <v>53</v>
      </c>
      <c r="G854" t="s">
        <v>54</v>
      </c>
      <c r="H854" t="s">
        <v>63</v>
      </c>
      <c r="I854" t="s">
        <v>56</v>
      </c>
      <c r="J854" t="s">
        <v>62</v>
      </c>
      <c r="K854" t="s">
        <v>57</v>
      </c>
      <c r="L854" t="s">
        <v>58</v>
      </c>
      <c r="M854" t="s">
        <v>58</v>
      </c>
      <c r="N854">
        <v>5</v>
      </c>
      <c r="O854">
        <v>3</v>
      </c>
      <c r="P854">
        <v>4</v>
      </c>
      <c r="Q854">
        <v>4</v>
      </c>
      <c r="R854">
        <v>4</v>
      </c>
      <c r="S854">
        <v>4</v>
      </c>
      <c r="T854">
        <v>2</v>
      </c>
      <c r="U854">
        <v>4</v>
      </c>
      <c r="V854">
        <v>3</v>
      </c>
      <c r="W854">
        <v>3</v>
      </c>
      <c r="X854">
        <v>3</v>
      </c>
      <c r="Y854">
        <v>3</v>
      </c>
      <c r="Z854">
        <v>3</v>
      </c>
      <c r="AA854">
        <v>3</v>
      </c>
      <c r="AB854">
        <v>3</v>
      </c>
      <c r="AC854">
        <v>3</v>
      </c>
      <c r="AD854">
        <v>2</v>
      </c>
      <c r="AE854">
        <v>3</v>
      </c>
      <c r="AF854">
        <v>3</v>
      </c>
      <c r="AG854">
        <v>2</v>
      </c>
      <c r="AH854">
        <v>2</v>
      </c>
      <c r="AI854">
        <v>4</v>
      </c>
      <c r="AJ854">
        <v>3</v>
      </c>
      <c r="AK854" t="b">
        <f>Table67[[#This Row],[What is your age?]]&lt;&gt;"18 - 25"</f>
        <v>0</v>
      </c>
      <c r="AL854" t="b">
        <f t="shared" si="52"/>
        <v>0</v>
      </c>
      <c r="AM854" t="b">
        <f t="shared" si="53"/>
        <v>1</v>
      </c>
      <c r="AN854" t="b">
        <f t="shared" si="54"/>
        <v>0</v>
      </c>
      <c r="AO854" t="b">
        <f>OR(Table67[[#This Row],[Ineligible respondents]:[Inconsistent response on opposite question (3)]])</f>
        <v>1</v>
      </c>
      <c r="AP85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854">
        <f>Table67[[#This Row],[Extreme Response]]/21</f>
        <v>4.7619047619047616E-2</v>
      </c>
      <c r="AR854">
        <f>_xlfn.PERCENTILE.INC(Table67[Extrem Response Ratio (ERS)],0.9)</f>
        <v>0.61904761904761907</v>
      </c>
      <c r="AS854" t="b">
        <f>Table67[[#This Row],[Extrem Response Ratio (ERS)]]&gt;=Table67[[#This Row],[Threshold of ERS]]</f>
        <v>0</v>
      </c>
      <c r="AT854">
        <f>COUNTIF(Table67[[#This Row],[The mechanism of digital assets is difficult to understand, which discourages me from exploring it (E.g, Tokenization, Blockchain)]:[If I want to try different ways to invest, I will explore digital assets.]], 3)</f>
        <v>11</v>
      </c>
      <c r="AU854">
        <f>Table67[[#This Row],[Midpoint]]/21</f>
        <v>0.52380952380952384</v>
      </c>
      <c r="AV854">
        <f>_xlfn.PERCENTILE.INC(Table67[Midpoint ratio],0.9)</f>
        <v>0.5714285714285714</v>
      </c>
      <c r="AW854" t="b">
        <f>Table67[[#This Row],[Midpoint ratio]]&gt;=Table67[[#This Row],[Threshold of Midpoint ratio]]</f>
        <v>0</v>
      </c>
      <c r="AX854" t="b">
        <f>OR(Table67[[#This Row],[Extreme Response Style]],Table67[[#This Row],[Mid-point Response Style]])</f>
        <v>0</v>
      </c>
      <c r="AY854" t="b">
        <f>OR(Table67[[#This Row],[Delete? (Stage 1)]],Table67[[#This Row],[Delete? (Stage 2)]])</f>
        <v>1</v>
      </c>
      <c r="AZ854" t="s">
        <v>84</v>
      </c>
    </row>
    <row r="855" spans="1:52">
      <c r="A855">
        <f t="shared" si="55"/>
        <v>854</v>
      </c>
      <c r="B855" s="3">
        <v>46056.8742824074</v>
      </c>
      <c r="C855" s="3">
        <v>46056.881932870398</v>
      </c>
      <c r="D855" t="s">
        <v>53</v>
      </c>
      <c r="G855" t="s">
        <v>54</v>
      </c>
      <c r="H855" t="s">
        <v>55</v>
      </c>
      <c r="I855" t="s">
        <v>83</v>
      </c>
      <c r="J855" t="s">
        <v>62</v>
      </c>
      <c r="K855" t="s">
        <v>57</v>
      </c>
      <c r="L855" t="s">
        <v>58</v>
      </c>
      <c r="M855" t="s">
        <v>58</v>
      </c>
      <c r="N855">
        <v>4</v>
      </c>
      <c r="O855">
        <v>4</v>
      </c>
      <c r="P855">
        <v>3</v>
      </c>
      <c r="Q855">
        <v>2</v>
      </c>
      <c r="R855">
        <v>4</v>
      </c>
      <c r="S855">
        <v>3</v>
      </c>
      <c r="T855">
        <v>2</v>
      </c>
      <c r="U855">
        <v>4</v>
      </c>
      <c r="V855">
        <v>3</v>
      </c>
      <c r="W855">
        <v>4</v>
      </c>
      <c r="X855">
        <v>3</v>
      </c>
      <c r="Y855">
        <v>3</v>
      </c>
      <c r="Z855">
        <v>4</v>
      </c>
      <c r="AA855">
        <v>3</v>
      </c>
      <c r="AB855">
        <v>2</v>
      </c>
      <c r="AC855">
        <v>3</v>
      </c>
      <c r="AD855">
        <v>3</v>
      </c>
      <c r="AE855">
        <v>2</v>
      </c>
      <c r="AF855">
        <v>3</v>
      </c>
      <c r="AG855">
        <v>3</v>
      </c>
      <c r="AH855">
        <v>4</v>
      </c>
      <c r="AI855">
        <v>2</v>
      </c>
      <c r="AJ855">
        <v>3</v>
      </c>
      <c r="AK855" t="b">
        <f>Table67[[#This Row],[What is your age?]]&lt;&gt;"18 - 25"</f>
        <v>0</v>
      </c>
      <c r="AL855" t="b">
        <f t="shared" si="52"/>
        <v>0</v>
      </c>
      <c r="AM855" t="b">
        <f t="shared" si="53"/>
        <v>0</v>
      </c>
      <c r="AN855" t="b">
        <f t="shared" si="54"/>
        <v>1</v>
      </c>
      <c r="AO855" t="b">
        <f>OR(Table67[[#This Row],[Ineligible respondents]:[Inconsistent response on opposite question (3)]])</f>
        <v>1</v>
      </c>
      <c r="AP85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855">
        <f>Table67[[#This Row],[Extreme Response]]/21</f>
        <v>0</v>
      </c>
      <c r="AR855">
        <f>_xlfn.PERCENTILE.INC(Table67[Extrem Response Ratio (ERS)],0.9)</f>
        <v>0.61904761904761907</v>
      </c>
      <c r="AS855" t="b">
        <f>Table67[[#This Row],[Extrem Response Ratio (ERS)]]&gt;=Table67[[#This Row],[Threshold of ERS]]</f>
        <v>0</v>
      </c>
      <c r="AT855">
        <f>COUNTIF(Table67[[#This Row],[The mechanism of digital assets is difficult to understand, which discourages me from exploring it (E.g, Tokenization, Blockchain)]:[If I want to try different ways to invest, I will explore digital assets.]], 3)</f>
        <v>10</v>
      </c>
      <c r="AU855">
        <f>Table67[[#This Row],[Midpoint]]/21</f>
        <v>0.47619047619047616</v>
      </c>
      <c r="AV855">
        <f>_xlfn.PERCENTILE.INC(Table67[Midpoint ratio],0.9)</f>
        <v>0.5714285714285714</v>
      </c>
      <c r="AW855" t="b">
        <f>Table67[[#This Row],[Midpoint ratio]]&gt;=Table67[[#This Row],[Threshold of Midpoint ratio]]</f>
        <v>0</v>
      </c>
      <c r="AX855" t="b">
        <f>OR(Table67[[#This Row],[Extreme Response Style]],Table67[[#This Row],[Mid-point Response Style]])</f>
        <v>0</v>
      </c>
      <c r="AY855" t="b">
        <f>OR(Table67[[#This Row],[Delete? (Stage 1)]],Table67[[#This Row],[Delete? (Stage 2)]])</f>
        <v>1</v>
      </c>
      <c r="AZ855" t="s">
        <v>84</v>
      </c>
    </row>
    <row r="856" spans="1:52">
      <c r="A856">
        <f t="shared" si="55"/>
        <v>855</v>
      </c>
      <c r="B856" s="3">
        <v>46056.874293981498</v>
      </c>
      <c r="C856" s="3">
        <v>46056.877523148098</v>
      </c>
      <c r="D856" t="s">
        <v>53</v>
      </c>
      <c r="G856" t="s">
        <v>54</v>
      </c>
      <c r="H856" t="s">
        <v>63</v>
      </c>
      <c r="I856" t="s">
        <v>56</v>
      </c>
      <c r="J856" t="s">
        <v>60</v>
      </c>
      <c r="K856" t="s">
        <v>62</v>
      </c>
      <c r="L856" t="s">
        <v>58</v>
      </c>
      <c r="M856" t="s">
        <v>58</v>
      </c>
      <c r="N856">
        <v>4</v>
      </c>
      <c r="O856">
        <v>2</v>
      </c>
      <c r="P856">
        <v>2</v>
      </c>
      <c r="Q856">
        <v>5</v>
      </c>
      <c r="R856">
        <v>2</v>
      </c>
      <c r="S856">
        <v>1</v>
      </c>
      <c r="T856">
        <v>1</v>
      </c>
      <c r="U856">
        <v>1</v>
      </c>
      <c r="V856">
        <v>5</v>
      </c>
      <c r="W856">
        <v>4</v>
      </c>
      <c r="X856">
        <v>2</v>
      </c>
      <c r="Y856">
        <v>1</v>
      </c>
      <c r="Z856">
        <v>5</v>
      </c>
      <c r="AA856">
        <v>4</v>
      </c>
      <c r="AB856">
        <v>5</v>
      </c>
      <c r="AC856">
        <v>2</v>
      </c>
      <c r="AD856">
        <v>4</v>
      </c>
      <c r="AE856">
        <v>2</v>
      </c>
      <c r="AF856">
        <v>5</v>
      </c>
      <c r="AG856">
        <v>5</v>
      </c>
      <c r="AH856">
        <v>4</v>
      </c>
      <c r="AI856">
        <v>2</v>
      </c>
      <c r="AJ856">
        <v>1</v>
      </c>
      <c r="AK856" t="b">
        <f>Table67[[#This Row],[What is your age?]]&lt;&gt;"18 - 25"</f>
        <v>0</v>
      </c>
      <c r="AL856" t="b">
        <f t="shared" si="52"/>
        <v>0</v>
      </c>
      <c r="AM856" t="b">
        <f t="shared" si="53"/>
        <v>1</v>
      </c>
      <c r="AN856" t="b">
        <f t="shared" si="54"/>
        <v>0</v>
      </c>
      <c r="AO856" t="b">
        <f>OR(Table67[[#This Row],[Ineligible respondents]:[Inconsistent response on opposite question (3)]])</f>
        <v>1</v>
      </c>
      <c r="AP85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10</v>
      </c>
      <c r="AQ856">
        <f>Table67[[#This Row],[Extreme Response]]/21</f>
        <v>0.47619047619047616</v>
      </c>
      <c r="AR856">
        <f>_xlfn.PERCENTILE.INC(Table67[Extrem Response Ratio (ERS)],0.9)</f>
        <v>0.61904761904761907</v>
      </c>
      <c r="AS856" t="b">
        <f>Table67[[#This Row],[Extrem Response Ratio (ERS)]]&gt;=Table67[[#This Row],[Threshold of ERS]]</f>
        <v>0</v>
      </c>
      <c r="AT856">
        <f>COUNTIF(Table67[[#This Row],[The mechanism of digital assets is difficult to understand, which discourages me from exploring it (E.g, Tokenization, Blockchain)]:[If I want to try different ways to invest, I will explore digital assets.]], 3)</f>
        <v>0</v>
      </c>
      <c r="AU856">
        <f>Table67[[#This Row],[Midpoint]]/21</f>
        <v>0</v>
      </c>
      <c r="AV856">
        <f>_xlfn.PERCENTILE.INC(Table67[Midpoint ratio],0.9)</f>
        <v>0.5714285714285714</v>
      </c>
      <c r="AW856" t="b">
        <f>Table67[[#This Row],[Midpoint ratio]]&gt;=Table67[[#This Row],[Threshold of Midpoint ratio]]</f>
        <v>0</v>
      </c>
      <c r="AX856" t="b">
        <f>OR(Table67[[#This Row],[Extreme Response Style]],Table67[[#This Row],[Mid-point Response Style]])</f>
        <v>0</v>
      </c>
      <c r="AY856" t="b">
        <f>OR(Table67[[#This Row],[Delete? (Stage 1)]],Table67[[#This Row],[Delete? (Stage 2)]])</f>
        <v>1</v>
      </c>
      <c r="AZ856" t="s">
        <v>84</v>
      </c>
    </row>
    <row r="857" spans="1:52">
      <c r="A857">
        <f t="shared" si="55"/>
        <v>856</v>
      </c>
      <c r="B857" s="3">
        <v>46056.874293981498</v>
      </c>
      <c r="C857" s="3">
        <v>46056.880358796298</v>
      </c>
      <c r="D857" t="s">
        <v>53</v>
      </c>
      <c r="G857" t="s">
        <v>54</v>
      </c>
      <c r="H857" t="s">
        <v>63</v>
      </c>
      <c r="I857" t="s">
        <v>56</v>
      </c>
      <c r="J857" t="s">
        <v>60</v>
      </c>
      <c r="K857" t="s">
        <v>57</v>
      </c>
      <c r="L857" t="s">
        <v>58</v>
      </c>
      <c r="M857" t="s">
        <v>58</v>
      </c>
      <c r="N857">
        <v>4</v>
      </c>
      <c r="O857">
        <v>4</v>
      </c>
      <c r="P857">
        <v>4</v>
      </c>
      <c r="Q857">
        <v>5</v>
      </c>
      <c r="R857">
        <v>4</v>
      </c>
      <c r="S857">
        <v>4</v>
      </c>
      <c r="T857">
        <v>5</v>
      </c>
      <c r="U857">
        <v>5</v>
      </c>
      <c r="V857">
        <v>5</v>
      </c>
      <c r="W857">
        <v>5</v>
      </c>
      <c r="X857">
        <v>5</v>
      </c>
      <c r="Y857">
        <v>5</v>
      </c>
      <c r="Z857">
        <v>4</v>
      </c>
      <c r="AA857">
        <v>5</v>
      </c>
      <c r="AB857">
        <v>4</v>
      </c>
      <c r="AC857">
        <v>4</v>
      </c>
      <c r="AD857">
        <v>5</v>
      </c>
      <c r="AE857">
        <v>5</v>
      </c>
      <c r="AF857">
        <v>2</v>
      </c>
      <c r="AG857">
        <v>4</v>
      </c>
      <c r="AH857">
        <v>3</v>
      </c>
      <c r="AI857">
        <v>3</v>
      </c>
      <c r="AJ857">
        <v>4</v>
      </c>
      <c r="AK857" t="b">
        <f>Table67[[#This Row],[What is your age?]]&lt;&gt;"18 - 25"</f>
        <v>0</v>
      </c>
      <c r="AL857" t="b">
        <f t="shared" si="52"/>
        <v>0</v>
      </c>
      <c r="AM857" t="b">
        <f t="shared" si="53"/>
        <v>0</v>
      </c>
      <c r="AN857" t="b">
        <f t="shared" si="54"/>
        <v>1</v>
      </c>
      <c r="AO857" t="b">
        <f>OR(Table67[[#This Row],[Ineligible respondents]:[Inconsistent response on opposite question (3)]])</f>
        <v>1</v>
      </c>
      <c r="AP85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10</v>
      </c>
      <c r="AQ857">
        <f>Table67[[#This Row],[Extreme Response]]/21</f>
        <v>0.47619047619047616</v>
      </c>
      <c r="AR857">
        <f>_xlfn.PERCENTILE.INC(Table67[Extrem Response Ratio (ERS)],0.9)</f>
        <v>0.61904761904761907</v>
      </c>
      <c r="AS857" t="b">
        <f>Table67[[#This Row],[Extrem Response Ratio (ERS)]]&gt;=Table67[[#This Row],[Threshold of ERS]]</f>
        <v>0</v>
      </c>
      <c r="AT857">
        <f>COUNTIF(Table67[[#This Row],[The mechanism of digital assets is difficult to understand, which discourages me from exploring it (E.g, Tokenization, Blockchain)]:[If I want to try different ways to invest, I will explore digital assets.]], 3)</f>
        <v>1</v>
      </c>
      <c r="AU857">
        <f>Table67[[#This Row],[Midpoint]]/21</f>
        <v>4.7619047619047616E-2</v>
      </c>
      <c r="AV857">
        <f>_xlfn.PERCENTILE.INC(Table67[Midpoint ratio],0.9)</f>
        <v>0.5714285714285714</v>
      </c>
      <c r="AW857" t="b">
        <f>Table67[[#This Row],[Midpoint ratio]]&gt;=Table67[[#This Row],[Threshold of Midpoint ratio]]</f>
        <v>0</v>
      </c>
      <c r="AX857" t="b">
        <f>OR(Table67[[#This Row],[Extreme Response Style]],Table67[[#This Row],[Mid-point Response Style]])</f>
        <v>0</v>
      </c>
      <c r="AY857" t="b">
        <f>OR(Table67[[#This Row],[Delete? (Stage 1)]],Table67[[#This Row],[Delete? (Stage 2)]])</f>
        <v>1</v>
      </c>
      <c r="AZ857" t="s">
        <v>84</v>
      </c>
    </row>
    <row r="858" spans="1:52">
      <c r="A858">
        <f t="shared" si="55"/>
        <v>857</v>
      </c>
      <c r="B858" s="3">
        <v>46056.874305555597</v>
      </c>
      <c r="C858" s="3">
        <v>46056.877835648098</v>
      </c>
      <c r="D858" t="s">
        <v>53</v>
      </c>
      <c r="G858" t="s">
        <v>54</v>
      </c>
      <c r="H858" t="s">
        <v>63</v>
      </c>
      <c r="I858" t="s">
        <v>56</v>
      </c>
      <c r="J858" t="s">
        <v>62</v>
      </c>
      <c r="K858" t="s">
        <v>57</v>
      </c>
      <c r="L858" t="s">
        <v>58</v>
      </c>
      <c r="M858" t="s">
        <v>58</v>
      </c>
      <c r="N858">
        <v>4</v>
      </c>
      <c r="O858">
        <v>4</v>
      </c>
      <c r="P858">
        <v>4</v>
      </c>
      <c r="Q858">
        <v>4</v>
      </c>
      <c r="R858">
        <v>5</v>
      </c>
      <c r="S858">
        <v>2</v>
      </c>
      <c r="T858">
        <v>4</v>
      </c>
      <c r="U858">
        <v>5</v>
      </c>
      <c r="V858">
        <v>5</v>
      </c>
      <c r="W858">
        <v>5</v>
      </c>
      <c r="X858">
        <v>5</v>
      </c>
      <c r="Y858">
        <v>5</v>
      </c>
      <c r="Z858">
        <v>4</v>
      </c>
      <c r="AA858">
        <v>5</v>
      </c>
      <c r="AB858">
        <v>3</v>
      </c>
      <c r="AC858">
        <v>5</v>
      </c>
      <c r="AD858">
        <v>5</v>
      </c>
      <c r="AE858">
        <v>2</v>
      </c>
      <c r="AF858">
        <v>3</v>
      </c>
      <c r="AG858">
        <v>2</v>
      </c>
      <c r="AH858">
        <v>4</v>
      </c>
      <c r="AI858">
        <v>2</v>
      </c>
      <c r="AJ858">
        <v>3</v>
      </c>
      <c r="AK858" t="b">
        <f>Table67[[#This Row],[What is your age?]]&lt;&gt;"18 - 25"</f>
        <v>0</v>
      </c>
      <c r="AL858" t="b">
        <f t="shared" si="52"/>
        <v>0</v>
      </c>
      <c r="AM858" t="b">
        <f t="shared" si="53"/>
        <v>0</v>
      </c>
      <c r="AN858" t="b">
        <f t="shared" si="54"/>
        <v>0</v>
      </c>
      <c r="AO858" t="b">
        <f>OR(Table67[[#This Row],[Ineligible respondents]:[Inconsistent response on opposite question (3)]])</f>
        <v>0</v>
      </c>
      <c r="AP85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858">
        <f>Table67[[#This Row],[Extreme Response]]/21</f>
        <v>0.42857142857142855</v>
      </c>
      <c r="AR858">
        <f>_xlfn.PERCENTILE.INC(Table67[Extrem Response Ratio (ERS)],0.9)</f>
        <v>0.61904761904761907</v>
      </c>
      <c r="AS858" t="b">
        <f>Table67[[#This Row],[Extrem Response Ratio (ERS)]]&gt;=Table67[[#This Row],[Threshold of ERS]]</f>
        <v>0</v>
      </c>
      <c r="AT858">
        <f>COUNTIF(Table67[[#This Row],[The mechanism of digital assets is difficult to understand, which discourages me from exploring it (E.g, Tokenization, Blockchain)]:[If I want to try different ways to invest, I will explore digital assets.]], 3)</f>
        <v>2</v>
      </c>
      <c r="AU858">
        <f>Table67[[#This Row],[Midpoint]]/21</f>
        <v>9.5238095238095233E-2</v>
      </c>
      <c r="AV858">
        <f>_xlfn.PERCENTILE.INC(Table67[Midpoint ratio],0.9)</f>
        <v>0.5714285714285714</v>
      </c>
      <c r="AW858" t="b">
        <f>Table67[[#This Row],[Midpoint ratio]]&gt;=Table67[[#This Row],[Threshold of Midpoint ratio]]</f>
        <v>0</v>
      </c>
      <c r="AX858" t="b">
        <f>OR(Table67[[#This Row],[Extreme Response Style]],Table67[[#This Row],[Mid-point Response Style]])</f>
        <v>0</v>
      </c>
      <c r="AY858" t="b">
        <f>OR(Table67[[#This Row],[Delete? (Stage 1)]],Table67[[#This Row],[Delete? (Stage 2)]])</f>
        <v>0</v>
      </c>
      <c r="AZ858" t="s">
        <v>84</v>
      </c>
    </row>
    <row r="859" spans="1:52">
      <c r="A859">
        <f t="shared" si="55"/>
        <v>858</v>
      </c>
      <c r="B859" s="3">
        <v>46056.874305555597</v>
      </c>
      <c r="C859" s="3">
        <v>46056.879525463002</v>
      </c>
      <c r="D859" t="s">
        <v>53</v>
      </c>
      <c r="G859" t="s">
        <v>54</v>
      </c>
      <c r="H859" t="s">
        <v>63</v>
      </c>
      <c r="I859" t="s">
        <v>75</v>
      </c>
      <c r="J859" t="s">
        <v>66</v>
      </c>
      <c r="K859" t="s">
        <v>64</v>
      </c>
      <c r="L859" t="s">
        <v>58</v>
      </c>
      <c r="M859" t="s">
        <v>58</v>
      </c>
      <c r="N859">
        <v>4</v>
      </c>
      <c r="O859">
        <v>3</v>
      </c>
      <c r="P859">
        <v>3</v>
      </c>
      <c r="Q859">
        <v>3</v>
      </c>
      <c r="R859">
        <v>4</v>
      </c>
      <c r="S859">
        <v>3</v>
      </c>
      <c r="T859">
        <v>3</v>
      </c>
      <c r="U859">
        <v>4</v>
      </c>
      <c r="V859">
        <v>4</v>
      </c>
      <c r="W859">
        <v>3</v>
      </c>
      <c r="X859">
        <v>3</v>
      </c>
      <c r="Y859">
        <v>4</v>
      </c>
      <c r="Z859">
        <v>5</v>
      </c>
      <c r="AA859">
        <v>4</v>
      </c>
      <c r="AB859">
        <v>4</v>
      </c>
      <c r="AC859">
        <v>5</v>
      </c>
      <c r="AD859">
        <v>5</v>
      </c>
      <c r="AE859">
        <v>4</v>
      </c>
      <c r="AF859">
        <v>3</v>
      </c>
      <c r="AG859">
        <v>4</v>
      </c>
      <c r="AH859">
        <v>4</v>
      </c>
      <c r="AI859">
        <v>2</v>
      </c>
      <c r="AJ859">
        <v>3</v>
      </c>
      <c r="AK859" t="b">
        <f>Table67[[#This Row],[What is your age?]]&lt;&gt;"18 - 25"</f>
        <v>0</v>
      </c>
      <c r="AL859" t="b">
        <f t="shared" si="52"/>
        <v>0</v>
      </c>
      <c r="AM859" t="b">
        <f t="shared" si="53"/>
        <v>1</v>
      </c>
      <c r="AN859" t="b">
        <f t="shared" si="54"/>
        <v>0</v>
      </c>
      <c r="AO859" t="b">
        <f>OR(Table67[[#This Row],[Ineligible respondents]:[Inconsistent response on opposite question (3)]])</f>
        <v>1</v>
      </c>
      <c r="AP85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859">
        <f>Table67[[#This Row],[Extreme Response]]/21</f>
        <v>0.14285714285714285</v>
      </c>
      <c r="AR859">
        <f>_xlfn.PERCENTILE.INC(Table67[Extrem Response Ratio (ERS)],0.9)</f>
        <v>0.61904761904761907</v>
      </c>
      <c r="AS859" t="b">
        <f>Table67[[#This Row],[Extrem Response Ratio (ERS)]]&gt;=Table67[[#This Row],[Threshold of ERS]]</f>
        <v>0</v>
      </c>
      <c r="AT859">
        <f>COUNTIF(Table67[[#This Row],[The mechanism of digital assets is difficult to understand, which discourages me from exploring it (E.g, Tokenization, Blockchain)]:[If I want to try different ways to invest, I will explore digital assets.]], 3)</f>
        <v>8</v>
      </c>
      <c r="AU859">
        <f>Table67[[#This Row],[Midpoint]]/21</f>
        <v>0.38095238095238093</v>
      </c>
      <c r="AV859">
        <f>_xlfn.PERCENTILE.INC(Table67[Midpoint ratio],0.9)</f>
        <v>0.5714285714285714</v>
      </c>
      <c r="AW859" t="b">
        <f>Table67[[#This Row],[Midpoint ratio]]&gt;=Table67[[#This Row],[Threshold of Midpoint ratio]]</f>
        <v>0</v>
      </c>
      <c r="AX859" t="b">
        <f>OR(Table67[[#This Row],[Extreme Response Style]],Table67[[#This Row],[Mid-point Response Style]])</f>
        <v>0</v>
      </c>
      <c r="AY859" t="b">
        <f>OR(Table67[[#This Row],[Delete? (Stage 1)]],Table67[[#This Row],[Delete? (Stage 2)]])</f>
        <v>1</v>
      </c>
      <c r="AZ859" t="s">
        <v>84</v>
      </c>
    </row>
    <row r="860" spans="1:52">
      <c r="A860">
        <f t="shared" si="55"/>
        <v>859</v>
      </c>
      <c r="B860" s="3">
        <v>46056.874317129601</v>
      </c>
      <c r="C860" s="3">
        <v>46056.878761574102</v>
      </c>
      <c r="D860" t="s">
        <v>53</v>
      </c>
      <c r="G860" t="s">
        <v>54</v>
      </c>
      <c r="H860" t="s">
        <v>63</v>
      </c>
      <c r="I860" t="s">
        <v>75</v>
      </c>
      <c r="J860" t="s">
        <v>62</v>
      </c>
      <c r="K860" t="s">
        <v>62</v>
      </c>
      <c r="L860" t="s">
        <v>58</v>
      </c>
      <c r="M860" t="s">
        <v>58</v>
      </c>
      <c r="N860">
        <v>3</v>
      </c>
      <c r="O860">
        <v>3</v>
      </c>
      <c r="P860">
        <v>3</v>
      </c>
      <c r="Q860">
        <v>2</v>
      </c>
      <c r="R860">
        <v>2</v>
      </c>
      <c r="S860">
        <v>3</v>
      </c>
      <c r="T860">
        <v>2</v>
      </c>
      <c r="U860">
        <v>3</v>
      </c>
      <c r="V860">
        <v>4</v>
      </c>
      <c r="W860">
        <v>4</v>
      </c>
      <c r="X860">
        <v>3</v>
      </c>
      <c r="Y860">
        <v>4</v>
      </c>
      <c r="Z860">
        <v>3</v>
      </c>
      <c r="AA860">
        <v>4</v>
      </c>
      <c r="AB860">
        <v>2</v>
      </c>
      <c r="AC860">
        <v>2</v>
      </c>
      <c r="AD860">
        <v>4</v>
      </c>
      <c r="AE860">
        <v>2</v>
      </c>
      <c r="AF860">
        <v>4</v>
      </c>
      <c r="AG860">
        <v>2</v>
      </c>
      <c r="AH860">
        <v>4</v>
      </c>
      <c r="AI860">
        <v>2</v>
      </c>
      <c r="AJ860">
        <v>2</v>
      </c>
      <c r="AK860" t="b">
        <f>Table67[[#This Row],[What is your age?]]&lt;&gt;"18 - 25"</f>
        <v>0</v>
      </c>
      <c r="AL860" t="b">
        <f t="shared" si="52"/>
        <v>0</v>
      </c>
      <c r="AM860" t="b">
        <f t="shared" si="53"/>
        <v>0</v>
      </c>
      <c r="AN860" t="b">
        <f t="shared" si="54"/>
        <v>0</v>
      </c>
      <c r="AO860" t="b">
        <f>OR(Table67[[#This Row],[Ineligible respondents]:[Inconsistent response on opposite question (3)]])</f>
        <v>0</v>
      </c>
      <c r="AP86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860">
        <f>Table67[[#This Row],[Extreme Response]]/21</f>
        <v>0</v>
      </c>
      <c r="AR860">
        <f>_xlfn.PERCENTILE.INC(Table67[Extrem Response Ratio (ERS)],0.9)</f>
        <v>0.61904761904761907</v>
      </c>
      <c r="AS860" t="b">
        <f>Table67[[#This Row],[Extrem Response Ratio (ERS)]]&gt;=Table67[[#This Row],[Threshold of ERS]]</f>
        <v>0</v>
      </c>
      <c r="AT860">
        <f>COUNTIF(Table67[[#This Row],[The mechanism of digital assets is difficult to understand, which discourages me from exploring it (E.g, Tokenization, Blockchain)]:[If I want to try different ways to invest, I will explore digital assets.]], 3)</f>
        <v>7</v>
      </c>
      <c r="AU860">
        <f>Table67[[#This Row],[Midpoint]]/21</f>
        <v>0.33333333333333331</v>
      </c>
      <c r="AV860">
        <f>_xlfn.PERCENTILE.INC(Table67[Midpoint ratio],0.9)</f>
        <v>0.5714285714285714</v>
      </c>
      <c r="AW860" t="b">
        <f>Table67[[#This Row],[Midpoint ratio]]&gt;=Table67[[#This Row],[Threshold of Midpoint ratio]]</f>
        <v>0</v>
      </c>
      <c r="AX860" t="b">
        <f>OR(Table67[[#This Row],[Extreme Response Style]],Table67[[#This Row],[Mid-point Response Style]])</f>
        <v>0</v>
      </c>
      <c r="AY860" t="b">
        <f>OR(Table67[[#This Row],[Delete? (Stage 1)]],Table67[[#This Row],[Delete? (Stage 2)]])</f>
        <v>0</v>
      </c>
      <c r="AZ860" t="s">
        <v>84</v>
      </c>
    </row>
    <row r="861" spans="1:52">
      <c r="A861">
        <f t="shared" si="55"/>
        <v>860</v>
      </c>
      <c r="B861" s="3">
        <v>46056.874409722201</v>
      </c>
      <c r="C861" s="3">
        <v>46056.875833333303</v>
      </c>
      <c r="D861" t="s">
        <v>53</v>
      </c>
      <c r="G861" t="s">
        <v>54</v>
      </c>
      <c r="H861" t="s">
        <v>55</v>
      </c>
      <c r="I861" t="s">
        <v>56</v>
      </c>
      <c r="J861" t="s">
        <v>65</v>
      </c>
      <c r="K861" t="s">
        <v>64</v>
      </c>
      <c r="L861" t="s">
        <v>61</v>
      </c>
      <c r="M861" t="s">
        <v>61</v>
      </c>
      <c r="N861">
        <v>2</v>
      </c>
      <c r="O861">
        <v>1</v>
      </c>
      <c r="P861">
        <v>3</v>
      </c>
      <c r="Q861">
        <v>3</v>
      </c>
      <c r="R861">
        <v>3</v>
      </c>
      <c r="S861">
        <v>3</v>
      </c>
      <c r="T861">
        <v>3</v>
      </c>
      <c r="U861">
        <v>3</v>
      </c>
      <c r="V861">
        <v>3</v>
      </c>
      <c r="W861">
        <v>3</v>
      </c>
      <c r="X861">
        <v>3</v>
      </c>
      <c r="Y861">
        <v>3</v>
      </c>
      <c r="Z861">
        <v>3</v>
      </c>
      <c r="AA861">
        <v>3</v>
      </c>
      <c r="AB861">
        <v>3</v>
      </c>
      <c r="AC861">
        <v>3</v>
      </c>
      <c r="AD861">
        <v>3</v>
      </c>
      <c r="AE861">
        <v>3</v>
      </c>
      <c r="AF861">
        <v>3</v>
      </c>
      <c r="AG861">
        <v>3</v>
      </c>
      <c r="AH861">
        <v>3</v>
      </c>
      <c r="AI861">
        <v>3</v>
      </c>
      <c r="AJ861">
        <v>3</v>
      </c>
      <c r="AK861" t="b">
        <f>Table67[[#This Row],[What is your age?]]&lt;&gt;"18 - 25"</f>
        <v>0</v>
      </c>
      <c r="AL861" t="b">
        <f t="shared" si="52"/>
        <v>0</v>
      </c>
      <c r="AM861" t="b">
        <f t="shared" si="53"/>
        <v>0</v>
      </c>
      <c r="AN861" t="b">
        <f t="shared" si="54"/>
        <v>0</v>
      </c>
      <c r="AO861" t="b">
        <f>OR(Table67[[#This Row],[Ineligible respondents]:[Inconsistent response on opposite question (3)]])</f>
        <v>0</v>
      </c>
      <c r="AP86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861">
        <f>Table67[[#This Row],[Extreme Response]]/21</f>
        <v>4.7619047619047616E-2</v>
      </c>
      <c r="AR861">
        <f>_xlfn.PERCENTILE.INC(Table67[Extrem Response Ratio (ERS)],0.9)</f>
        <v>0.61904761904761907</v>
      </c>
      <c r="AS861" t="b">
        <f>Table67[[#This Row],[Extrem Response Ratio (ERS)]]&gt;=Table67[[#This Row],[Threshold of ERS]]</f>
        <v>0</v>
      </c>
      <c r="AT861">
        <f>COUNTIF(Table67[[#This Row],[The mechanism of digital assets is difficult to understand, which discourages me from exploring it (E.g, Tokenization, Blockchain)]:[If I want to try different ways to invest, I will explore digital assets.]], 3)</f>
        <v>19</v>
      </c>
      <c r="AU861">
        <f>Table67[[#This Row],[Midpoint]]/21</f>
        <v>0.90476190476190477</v>
      </c>
      <c r="AV861">
        <f>_xlfn.PERCENTILE.INC(Table67[Midpoint ratio],0.9)</f>
        <v>0.5714285714285714</v>
      </c>
      <c r="AW861" t="b">
        <f>Table67[[#This Row],[Midpoint ratio]]&gt;=Table67[[#This Row],[Threshold of Midpoint ratio]]</f>
        <v>1</v>
      </c>
      <c r="AX861" t="b">
        <f>OR(Table67[[#This Row],[Extreme Response Style]],Table67[[#This Row],[Mid-point Response Style]])</f>
        <v>1</v>
      </c>
      <c r="AY861" t="b">
        <f>OR(Table67[[#This Row],[Delete? (Stage 1)]],Table67[[#This Row],[Delete? (Stage 2)]])</f>
        <v>1</v>
      </c>
      <c r="AZ861" t="s">
        <v>84</v>
      </c>
    </row>
    <row r="862" spans="1:52">
      <c r="A862">
        <f t="shared" si="55"/>
        <v>861</v>
      </c>
      <c r="B862" s="3">
        <v>46056.874409722201</v>
      </c>
      <c r="C862" s="3">
        <v>46056.877893518496</v>
      </c>
      <c r="D862" t="s">
        <v>53</v>
      </c>
      <c r="G862" t="s">
        <v>54</v>
      </c>
      <c r="H862" t="s">
        <v>63</v>
      </c>
      <c r="I862" t="s">
        <v>75</v>
      </c>
      <c r="J862" t="s">
        <v>62</v>
      </c>
      <c r="K862" t="s">
        <v>57</v>
      </c>
      <c r="L862" t="s">
        <v>58</v>
      </c>
      <c r="M862" t="s">
        <v>58</v>
      </c>
      <c r="N862">
        <v>5</v>
      </c>
      <c r="O862">
        <v>2</v>
      </c>
      <c r="P862">
        <v>4</v>
      </c>
      <c r="Q862">
        <v>3</v>
      </c>
      <c r="R862">
        <v>4</v>
      </c>
      <c r="S862">
        <v>4</v>
      </c>
      <c r="T862">
        <v>5</v>
      </c>
      <c r="U862">
        <v>5</v>
      </c>
      <c r="V862">
        <v>5</v>
      </c>
      <c r="W862">
        <v>5</v>
      </c>
      <c r="X862">
        <v>5</v>
      </c>
      <c r="Y862">
        <v>5</v>
      </c>
      <c r="Z862">
        <v>5</v>
      </c>
      <c r="AA862">
        <v>5</v>
      </c>
      <c r="AB862">
        <v>5</v>
      </c>
      <c r="AC862">
        <v>5</v>
      </c>
      <c r="AD862">
        <v>5</v>
      </c>
      <c r="AE862">
        <v>5</v>
      </c>
      <c r="AF862">
        <v>4</v>
      </c>
      <c r="AG862">
        <v>2</v>
      </c>
      <c r="AH862">
        <v>4</v>
      </c>
      <c r="AI862">
        <v>2</v>
      </c>
      <c r="AJ862">
        <v>2</v>
      </c>
      <c r="AK862" t="b">
        <f>Table67[[#This Row],[What is your age?]]&lt;&gt;"18 - 25"</f>
        <v>0</v>
      </c>
      <c r="AL862" t="b">
        <f t="shared" si="52"/>
        <v>0</v>
      </c>
      <c r="AM862" t="b">
        <f t="shared" si="53"/>
        <v>0</v>
      </c>
      <c r="AN862" t="b">
        <f t="shared" si="54"/>
        <v>0</v>
      </c>
      <c r="AO862" t="b">
        <f>OR(Table67[[#This Row],[Ineligible respondents]:[Inconsistent response on opposite question (3)]])</f>
        <v>0</v>
      </c>
      <c r="AP86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862">
        <f>Table67[[#This Row],[Extreme Response]]/21</f>
        <v>0.61904761904761907</v>
      </c>
      <c r="AR862">
        <f>_xlfn.PERCENTILE.INC(Table67[Extrem Response Ratio (ERS)],0.9)</f>
        <v>0.61904761904761907</v>
      </c>
      <c r="AS862" t="b">
        <f>Table67[[#This Row],[Extrem Response Ratio (ERS)]]&gt;=Table67[[#This Row],[Threshold of ERS]]</f>
        <v>1</v>
      </c>
      <c r="AT862">
        <f>COUNTIF(Table67[[#This Row],[The mechanism of digital assets is difficult to understand, which discourages me from exploring it (E.g, Tokenization, Blockchain)]:[If I want to try different ways to invest, I will explore digital assets.]], 3)</f>
        <v>1</v>
      </c>
      <c r="AU862">
        <f>Table67[[#This Row],[Midpoint]]/21</f>
        <v>4.7619047619047616E-2</v>
      </c>
      <c r="AV862">
        <f>_xlfn.PERCENTILE.INC(Table67[Midpoint ratio],0.9)</f>
        <v>0.5714285714285714</v>
      </c>
      <c r="AW862" t="b">
        <f>Table67[[#This Row],[Midpoint ratio]]&gt;=Table67[[#This Row],[Threshold of Midpoint ratio]]</f>
        <v>0</v>
      </c>
      <c r="AX862" t="b">
        <f>OR(Table67[[#This Row],[Extreme Response Style]],Table67[[#This Row],[Mid-point Response Style]])</f>
        <v>1</v>
      </c>
      <c r="AY862" t="b">
        <f>OR(Table67[[#This Row],[Delete? (Stage 1)]],Table67[[#This Row],[Delete? (Stage 2)]])</f>
        <v>1</v>
      </c>
      <c r="AZ862" t="s">
        <v>84</v>
      </c>
    </row>
    <row r="863" spans="1:52">
      <c r="A863">
        <f t="shared" si="55"/>
        <v>862</v>
      </c>
      <c r="B863" s="3">
        <v>46056.874421296299</v>
      </c>
      <c r="C863" s="3">
        <v>46056.878333333298</v>
      </c>
      <c r="D863" t="s">
        <v>53</v>
      </c>
      <c r="G863" t="s">
        <v>54</v>
      </c>
      <c r="H863" t="s">
        <v>55</v>
      </c>
      <c r="I863" t="s">
        <v>71</v>
      </c>
      <c r="J863" t="s">
        <v>62</v>
      </c>
      <c r="K863" t="s">
        <v>62</v>
      </c>
      <c r="L863" t="s">
        <v>58</v>
      </c>
      <c r="M863" t="s">
        <v>58</v>
      </c>
      <c r="N863">
        <v>3</v>
      </c>
      <c r="O863">
        <v>1</v>
      </c>
      <c r="P863">
        <v>5</v>
      </c>
      <c r="Q863">
        <v>2</v>
      </c>
      <c r="R863">
        <v>3</v>
      </c>
      <c r="S863">
        <v>4</v>
      </c>
      <c r="T863">
        <v>5</v>
      </c>
      <c r="U863">
        <v>3</v>
      </c>
      <c r="V863">
        <v>4</v>
      </c>
      <c r="W863">
        <v>5</v>
      </c>
      <c r="X863">
        <v>4</v>
      </c>
      <c r="Y863">
        <v>3</v>
      </c>
      <c r="Z863">
        <v>4</v>
      </c>
      <c r="AA863">
        <v>5</v>
      </c>
      <c r="AB863">
        <v>3</v>
      </c>
      <c r="AC863">
        <v>5</v>
      </c>
      <c r="AD863">
        <v>4</v>
      </c>
      <c r="AE863">
        <v>5</v>
      </c>
      <c r="AF863">
        <v>3</v>
      </c>
      <c r="AG863">
        <v>4</v>
      </c>
      <c r="AH863">
        <v>4</v>
      </c>
      <c r="AI863">
        <v>2</v>
      </c>
      <c r="AJ863">
        <v>3</v>
      </c>
      <c r="AK863" t="b">
        <f>Table67[[#This Row],[What is your age?]]&lt;&gt;"18 - 25"</f>
        <v>0</v>
      </c>
      <c r="AL863" t="b">
        <f t="shared" si="52"/>
        <v>0</v>
      </c>
      <c r="AM863" t="b">
        <f t="shared" si="53"/>
        <v>1</v>
      </c>
      <c r="AN863" t="b">
        <f t="shared" si="54"/>
        <v>0</v>
      </c>
      <c r="AO863" t="b">
        <f>OR(Table67[[#This Row],[Ineligible respondents]:[Inconsistent response on opposite question (3)]])</f>
        <v>1</v>
      </c>
      <c r="AP86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863">
        <f>Table67[[#This Row],[Extreme Response]]/21</f>
        <v>0.33333333333333331</v>
      </c>
      <c r="AR863">
        <f>_xlfn.PERCENTILE.INC(Table67[Extrem Response Ratio (ERS)],0.9)</f>
        <v>0.61904761904761907</v>
      </c>
      <c r="AS863" t="b">
        <f>Table67[[#This Row],[Extrem Response Ratio (ERS)]]&gt;=Table67[[#This Row],[Threshold of ERS]]</f>
        <v>0</v>
      </c>
      <c r="AT863">
        <f>COUNTIF(Table67[[#This Row],[The mechanism of digital assets is difficult to understand, which discourages me from exploring it (E.g, Tokenization, Blockchain)]:[If I want to try different ways to invest, I will explore digital assets.]], 3)</f>
        <v>6</v>
      </c>
      <c r="AU863">
        <f>Table67[[#This Row],[Midpoint]]/21</f>
        <v>0.2857142857142857</v>
      </c>
      <c r="AV863">
        <f>_xlfn.PERCENTILE.INC(Table67[Midpoint ratio],0.9)</f>
        <v>0.5714285714285714</v>
      </c>
      <c r="AW863" t="b">
        <f>Table67[[#This Row],[Midpoint ratio]]&gt;=Table67[[#This Row],[Threshold of Midpoint ratio]]</f>
        <v>0</v>
      </c>
      <c r="AX863" t="b">
        <f>OR(Table67[[#This Row],[Extreme Response Style]],Table67[[#This Row],[Mid-point Response Style]])</f>
        <v>0</v>
      </c>
      <c r="AY863" t="b">
        <f>OR(Table67[[#This Row],[Delete? (Stage 1)]],Table67[[#This Row],[Delete? (Stage 2)]])</f>
        <v>1</v>
      </c>
      <c r="AZ863" t="s">
        <v>84</v>
      </c>
    </row>
    <row r="864" spans="1:52">
      <c r="A864">
        <f t="shared" si="55"/>
        <v>863</v>
      </c>
      <c r="B864" s="3">
        <v>46056.874432870398</v>
      </c>
      <c r="C864" s="3">
        <v>46056.877488425896</v>
      </c>
      <c r="D864" t="s">
        <v>53</v>
      </c>
      <c r="G864" t="s">
        <v>54</v>
      </c>
      <c r="H864" t="s">
        <v>55</v>
      </c>
      <c r="I864" t="s">
        <v>82</v>
      </c>
      <c r="J864" t="s">
        <v>68</v>
      </c>
      <c r="K864" t="s">
        <v>60</v>
      </c>
      <c r="L864" t="s">
        <v>61</v>
      </c>
      <c r="M864" t="s">
        <v>61</v>
      </c>
      <c r="N864">
        <v>3</v>
      </c>
      <c r="O864">
        <v>3</v>
      </c>
      <c r="P864">
        <v>2</v>
      </c>
      <c r="Q864">
        <v>4</v>
      </c>
      <c r="R864">
        <v>4</v>
      </c>
      <c r="S864">
        <v>2</v>
      </c>
      <c r="T864">
        <v>3</v>
      </c>
      <c r="U864">
        <v>4</v>
      </c>
      <c r="V864">
        <v>3</v>
      </c>
      <c r="W864">
        <v>4</v>
      </c>
      <c r="X864">
        <v>4</v>
      </c>
      <c r="Y864">
        <v>4</v>
      </c>
      <c r="Z864">
        <v>4</v>
      </c>
      <c r="AA864">
        <v>4</v>
      </c>
      <c r="AB864">
        <v>3</v>
      </c>
      <c r="AC864">
        <v>3</v>
      </c>
      <c r="AD864">
        <v>4</v>
      </c>
      <c r="AE864">
        <v>5</v>
      </c>
      <c r="AF864">
        <v>3</v>
      </c>
      <c r="AG864">
        <v>2</v>
      </c>
      <c r="AH864">
        <v>3</v>
      </c>
      <c r="AI864">
        <v>3</v>
      </c>
      <c r="AJ864">
        <v>3</v>
      </c>
      <c r="AK864" t="b">
        <f>Table67[[#This Row],[What is your age?]]&lt;&gt;"18 - 25"</f>
        <v>0</v>
      </c>
      <c r="AL864" t="b">
        <f t="shared" si="52"/>
        <v>0</v>
      </c>
      <c r="AM864" t="b">
        <f t="shared" si="53"/>
        <v>0</v>
      </c>
      <c r="AN864" t="b">
        <f t="shared" si="54"/>
        <v>1</v>
      </c>
      <c r="AO864" t="b">
        <f>OR(Table67[[#This Row],[Ineligible respondents]:[Inconsistent response on opposite question (3)]])</f>
        <v>1</v>
      </c>
      <c r="AP86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864">
        <f>Table67[[#This Row],[Extreme Response]]/21</f>
        <v>4.7619047619047616E-2</v>
      </c>
      <c r="AR864">
        <f>_xlfn.PERCENTILE.INC(Table67[Extrem Response Ratio (ERS)],0.9)</f>
        <v>0.61904761904761907</v>
      </c>
      <c r="AS864" t="b">
        <f>Table67[[#This Row],[Extrem Response Ratio (ERS)]]&gt;=Table67[[#This Row],[Threshold of ERS]]</f>
        <v>0</v>
      </c>
      <c r="AT864">
        <f>COUNTIF(Table67[[#This Row],[The mechanism of digital assets is difficult to understand, which discourages me from exploring it (E.g, Tokenization, Blockchain)]:[If I want to try different ways to invest, I will explore digital assets.]], 3)</f>
        <v>8</v>
      </c>
      <c r="AU864">
        <f>Table67[[#This Row],[Midpoint]]/21</f>
        <v>0.38095238095238093</v>
      </c>
      <c r="AV864">
        <f>_xlfn.PERCENTILE.INC(Table67[Midpoint ratio],0.9)</f>
        <v>0.5714285714285714</v>
      </c>
      <c r="AW864" t="b">
        <f>Table67[[#This Row],[Midpoint ratio]]&gt;=Table67[[#This Row],[Threshold of Midpoint ratio]]</f>
        <v>0</v>
      </c>
      <c r="AX864" t="b">
        <f>OR(Table67[[#This Row],[Extreme Response Style]],Table67[[#This Row],[Mid-point Response Style]])</f>
        <v>0</v>
      </c>
      <c r="AY864" t="b">
        <f>OR(Table67[[#This Row],[Delete? (Stage 1)]],Table67[[#This Row],[Delete? (Stage 2)]])</f>
        <v>1</v>
      </c>
      <c r="AZ864" t="s">
        <v>84</v>
      </c>
    </row>
    <row r="865" spans="1:52">
      <c r="A865">
        <f t="shared" si="55"/>
        <v>864</v>
      </c>
      <c r="B865" s="3">
        <v>46056.874432870398</v>
      </c>
      <c r="C865" s="3">
        <v>46056.880011574103</v>
      </c>
      <c r="D865" t="s">
        <v>53</v>
      </c>
      <c r="G865" t="s">
        <v>54</v>
      </c>
      <c r="H865" t="s">
        <v>55</v>
      </c>
      <c r="I865" t="s">
        <v>75</v>
      </c>
      <c r="J865" t="s">
        <v>65</v>
      </c>
      <c r="K865" t="s">
        <v>64</v>
      </c>
      <c r="L865" t="s">
        <v>58</v>
      </c>
      <c r="M865" t="s">
        <v>58</v>
      </c>
      <c r="N865">
        <v>2</v>
      </c>
      <c r="O865">
        <v>2</v>
      </c>
      <c r="P865">
        <v>4</v>
      </c>
      <c r="Q865">
        <v>3</v>
      </c>
      <c r="R865">
        <v>4</v>
      </c>
      <c r="S865">
        <v>3</v>
      </c>
      <c r="T865">
        <v>3</v>
      </c>
      <c r="U865">
        <v>3</v>
      </c>
      <c r="V865">
        <v>5</v>
      </c>
      <c r="W865">
        <v>3</v>
      </c>
      <c r="X865">
        <v>3</v>
      </c>
      <c r="Y865">
        <v>4</v>
      </c>
      <c r="Z865">
        <v>4</v>
      </c>
      <c r="AA865">
        <v>3</v>
      </c>
      <c r="AB865">
        <v>2</v>
      </c>
      <c r="AC865">
        <v>3</v>
      </c>
      <c r="AD865">
        <v>4</v>
      </c>
      <c r="AE865">
        <v>2</v>
      </c>
      <c r="AF865">
        <v>2</v>
      </c>
      <c r="AG865">
        <v>4</v>
      </c>
      <c r="AH865">
        <v>3</v>
      </c>
      <c r="AI865">
        <v>3</v>
      </c>
      <c r="AJ865">
        <v>4</v>
      </c>
      <c r="AK865" t="b">
        <f>Table67[[#This Row],[What is your age?]]&lt;&gt;"18 - 25"</f>
        <v>0</v>
      </c>
      <c r="AL865" t="b">
        <f t="shared" si="52"/>
        <v>0</v>
      </c>
      <c r="AM865" t="b">
        <f t="shared" si="53"/>
        <v>0</v>
      </c>
      <c r="AN865" t="b">
        <f t="shared" si="54"/>
        <v>1</v>
      </c>
      <c r="AO865" t="b">
        <f>OR(Table67[[#This Row],[Ineligible respondents]:[Inconsistent response on opposite question (3)]])</f>
        <v>1</v>
      </c>
      <c r="AP86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865">
        <f>Table67[[#This Row],[Extreme Response]]/21</f>
        <v>4.7619047619047616E-2</v>
      </c>
      <c r="AR865">
        <f>_xlfn.PERCENTILE.INC(Table67[Extrem Response Ratio (ERS)],0.9)</f>
        <v>0.61904761904761907</v>
      </c>
      <c r="AS865" t="b">
        <f>Table67[[#This Row],[Extrem Response Ratio (ERS)]]&gt;=Table67[[#This Row],[Threshold of ERS]]</f>
        <v>0</v>
      </c>
      <c r="AT865">
        <f>COUNTIF(Table67[[#This Row],[The mechanism of digital assets is difficult to understand, which discourages me from exploring it (E.g, Tokenization, Blockchain)]:[If I want to try different ways to invest, I will explore digital assets.]], 3)</f>
        <v>9</v>
      </c>
      <c r="AU865">
        <f>Table67[[#This Row],[Midpoint]]/21</f>
        <v>0.42857142857142855</v>
      </c>
      <c r="AV865">
        <f>_xlfn.PERCENTILE.INC(Table67[Midpoint ratio],0.9)</f>
        <v>0.5714285714285714</v>
      </c>
      <c r="AW865" t="b">
        <f>Table67[[#This Row],[Midpoint ratio]]&gt;=Table67[[#This Row],[Threshold of Midpoint ratio]]</f>
        <v>0</v>
      </c>
      <c r="AX865" t="b">
        <f>OR(Table67[[#This Row],[Extreme Response Style]],Table67[[#This Row],[Mid-point Response Style]])</f>
        <v>0</v>
      </c>
      <c r="AY865" t="b">
        <f>OR(Table67[[#This Row],[Delete? (Stage 1)]],Table67[[#This Row],[Delete? (Stage 2)]])</f>
        <v>1</v>
      </c>
      <c r="AZ865" t="s">
        <v>84</v>
      </c>
    </row>
    <row r="866" spans="1:52">
      <c r="A866">
        <f t="shared" si="55"/>
        <v>865</v>
      </c>
      <c r="B866" s="3">
        <v>46056.8745023148</v>
      </c>
      <c r="C866" s="3">
        <v>46056.877164351798</v>
      </c>
      <c r="D866" t="s">
        <v>53</v>
      </c>
      <c r="G866" t="s">
        <v>54</v>
      </c>
      <c r="H866" t="s">
        <v>55</v>
      </c>
      <c r="I866" t="s">
        <v>56</v>
      </c>
      <c r="J866" t="s">
        <v>60</v>
      </c>
      <c r="K866" t="s">
        <v>67</v>
      </c>
      <c r="L866" t="s">
        <v>58</v>
      </c>
      <c r="M866" t="s">
        <v>58</v>
      </c>
      <c r="N866">
        <v>1</v>
      </c>
      <c r="O866">
        <v>1</v>
      </c>
      <c r="P866">
        <v>3</v>
      </c>
      <c r="Q866">
        <v>1</v>
      </c>
      <c r="R866">
        <v>2</v>
      </c>
      <c r="S866">
        <v>1</v>
      </c>
      <c r="T866">
        <v>3</v>
      </c>
      <c r="U866">
        <v>4</v>
      </c>
      <c r="V866">
        <v>1</v>
      </c>
      <c r="W866">
        <v>2</v>
      </c>
      <c r="X866">
        <v>4</v>
      </c>
      <c r="Y866">
        <v>1</v>
      </c>
      <c r="Z866">
        <v>3</v>
      </c>
      <c r="AA866">
        <v>1</v>
      </c>
      <c r="AB866">
        <v>1</v>
      </c>
      <c r="AC866">
        <v>1</v>
      </c>
      <c r="AD866">
        <v>4</v>
      </c>
      <c r="AE866">
        <v>4</v>
      </c>
      <c r="AF866">
        <v>5</v>
      </c>
      <c r="AG866">
        <v>1</v>
      </c>
      <c r="AH866">
        <v>4</v>
      </c>
      <c r="AI866">
        <v>2</v>
      </c>
      <c r="AJ866">
        <v>1</v>
      </c>
      <c r="AK866" t="b">
        <f>Table67[[#This Row],[What is your age?]]&lt;&gt;"18 - 25"</f>
        <v>0</v>
      </c>
      <c r="AL866" t="b">
        <f t="shared" si="52"/>
        <v>0</v>
      </c>
      <c r="AM866" t="b">
        <f t="shared" si="53"/>
        <v>0</v>
      </c>
      <c r="AN866" t="b">
        <f t="shared" si="54"/>
        <v>0</v>
      </c>
      <c r="AO866" t="b">
        <f>OR(Table67[[#This Row],[Ineligible respondents]:[Inconsistent response on opposite question (3)]])</f>
        <v>0</v>
      </c>
      <c r="AP86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866">
        <f>Table67[[#This Row],[Extreme Response]]/21</f>
        <v>0.52380952380952384</v>
      </c>
      <c r="AR866">
        <f>_xlfn.PERCENTILE.INC(Table67[Extrem Response Ratio (ERS)],0.9)</f>
        <v>0.61904761904761907</v>
      </c>
      <c r="AS866" t="b">
        <f>Table67[[#This Row],[Extrem Response Ratio (ERS)]]&gt;=Table67[[#This Row],[Threshold of ERS]]</f>
        <v>0</v>
      </c>
      <c r="AT866">
        <f>COUNTIF(Table67[[#This Row],[The mechanism of digital assets is difficult to understand, which discourages me from exploring it (E.g, Tokenization, Blockchain)]:[If I want to try different ways to invest, I will explore digital assets.]], 3)</f>
        <v>3</v>
      </c>
      <c r="AU866">
        <f>Table67[[#This Row],[Midpoint]]/21</f>
        <v>0.14285714285714285</v>
      </c>
      <c r="AV866">
        <f>_xlfn.PERCENTILE.INC(Table67[Midpoint ratio],0.9)</f>
        <v>0.5714285714285714</v>
      </c>
      <c r="AW866" t="b">
        <f>Table67[[#This Row],[Midpoint ratio]]&gt;=Table67[[#This Row],[Threshold of Midpoint ratio]]</f>
        <v>0</v>
      </c>
      <c r="AX866" t="b">
        <f>OR(Table67[[#This Row],[Extreme Response Style]],Table67[[#This Row],[Mid-point Response Style]])</f>
        <v>0</v>
      </c>
      <c r="AY866" t="b">
        <f>OR(Table67[[#This Row],[Delete? (Stage 1)]],Table67[[#This Row],[Delete? (Stage 2)]])</f>
        <v>0</v>
      </c>
      <c r="AZ866" t="s">
        <v>84</v>
      </c>
    </row>
    <row r="867" spans="1:52">
      <c r="A867">
        <f t="shared" si="55"/>
        <v>866</v>
      </c>
      <c r="B867" s="3">
        <v>46056.8745023148</v>
      </c>
      <c r="C867" s="3">
        <v>46056.878449074102</v>
      </c>
      <c r="D867" t="s">
        <v>53</v>
      </c>
      <c r="G867" t="s">
        <v>54</v>
      </c>
      <c r="H867" t="s">
        <v>55</v>
      </c>
      <c r="I867" t="s">
        <v>75</v>
      </c>
      <c r="J867" t="s">
        <v>62</v>
      </c>
      <c r="K867" t="s">
        <v>62</v>
      </c>
      <c r="L867" t="s">
        <v>58</v>
      </c>
      <c r="M867" t="s">
        <v>58</v>
      </c>
      <c r="N867">
        <v>4</v>
      </c>
      <c r="O867">
        <v>2</v>
      </c>
      <c r="P867">
        <v>2</v>
      </c>
      <c r="Q867">
        <v>3</v>
      </c>
      <c r="R867">
        <v>4</v>
      </c>
      <c r="S867">
        <v>4</v>
      </c>
      <c r="T867">
        <v>2</v>
      </c>
      <c r="U867">
        <v>2</v>
      </c>
      <c r="V867">
        <v>5</v>
      </c>
      <c r="W867">
        <v>5</v>
      </c>
      <c r="X867">
        <v>3</v>
      </c>
      <c r="Y867">
        <v>4</v>
      </c>
      <c r="Z867">
        <v>4</v>
      </c>
      <c r="AA867">
        <v>3</v>
      </c>
      <c r="AB867">
        <v>3</v>
      </c>
      <c r="AC867">
        <v>4</v>
      </c>
      <c r="AD867">
        <v>3</v>
      </c>
      <c r="AE867">
        <v>2</v>
      </c>
      <c r="AF867">
        <v>4</v>
      </c>
      <c r="AG867">
        <v>3</v>
      </c>
      <c r="AH867">
        <v>4</v>
      </c>
      <c r="AI867">
        <v>2</v>
      </c>
      <c r="AJ867">
        <v>2</v>
      </c>
      <c r="AK867" t="b">
        <f>Table67[[#This Row],[What is your age?]]&lt;&gt;"18 - 25"</f>
        <v>0</v>
      </c>
      <c r="AL867" t="b">
        <f t="shared" si="52"/>
        <v>0</v>
      </c>
      <c r="AM867" t="b">
        <f t="shared" si="53"/>
        <v>0</v>
      </c>
      <c r="AN867" t="b">
        <f t="shared" si="54"/>
        <v>1</v>
      </c>
      <c r="AO867" t="b">
        <f>OR(Table67[[#This Row],[Ineligible respondents]:[Inconsistent response on opposite question (3)]])</f>
        <v>1</v>
      </c>
      <c r="AP86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867">
        <f>Table67[[#This Row],[Extreme Response]]/21</f>
        <v>9.5238095238095233E-2</v>
      </c>
      <c r="AR867">
        <f>_xlfn.PERCENTILE.INC(Table67[Extrem Response Ratio (ERS)],0.9)</f>
        <v>0.61904761904761907</v>
      </c>
      <c r="AS867" t="b">
        <f>Table67[[#This Row],[Extrem Response Ratio (ERS)]]&gt;=Table67[[#This Row],[Threshold of ERS]]</f>
        <v>0</v>
      </c>
      <c r="AT867">
        <f>COUNTIF(Table67[[#This Row],[The mechanism of digital assets is difficult to understand, which discourages me from exploring it (E.g, Tokenization, Blockchain)]:[If I want to try different ways to invest, I will explore digital assets.]], 3)</f>
        <v>6</v>
      </c>
      <c r="AU867">
        <f>Table67[[#This Row],[Midpoint]]/21</f>
        <v>0.2857142857142857</v>
      </c>
      <c r="AV867">
        <f>_xlfn.PERCENTILE.INC(Table67[Midpoint ratio],0.9)</f>
        <v>0.5714285714285714</v>
      </c>
      <c r="AW867" t="b">
        <f>Table67[[#This Row],[Midpoint ratio]]&gt;=Table67[[#This Row],[Threshold of Midpoint ratio]]</f>
        <v>0</v>
      </c>
      <c r="AX867" t="b">
        <f>OR(Table67[[#This Row],[Extreme Response Style]],Table67[[#This Row],[Mid-point Response Style]])</f>
        <v>0</v>
      </c>
      <c r="AY867" t="b">
        <f>OR(Table67[[#This Row],[Delete? (Stage 1)]],Table67[[#This Row],[Delete? (Stage 2)]])</f>
        <v>1</v>
      </c>
      <c r="AZ867" t="s">
        <v>84</v>
      </c>
    </row>
    <row r="868" spans="1:52">
      <c r="A868">
        <f t="shared" si="55"/>
        <v>867</v>
      </c>
      <c r="B868" s="3">
        <v>46056.874513888899</v>
      </c>
      <c r="C868" s="3">
        <v>46056.879143518498</v>
      </c>
      <c r="D868" t="s">
        <v>53</v>
      </c>
      <c r="G868" t="s">
        <v>54</v>
      </c>
      <c r="H868" t="s">
        <v>55</v>
      </c>
      <c r="I868" t="s">
        <v>75</v>
      </c>
      <c r="J868" t="s">
        <v>62</v>
      </c>
      <c r="K868" t="s">
        <v>62</v>
      </c>
      <c r="L868" t="s">
        <v>58</v>
      </c>
      <c r="M868" t="s">
        <v>58</v>
      </c>
      <c r="N868">
        <v>4</v>
      </c>
      <c r="O868">
        <v>2</v>
      </c>
      <c r="P868">
        <v>5</v>
      </c>
      <c r="Q868">
        <v>4</v>
      </c>
      <c r="R868">
        <v>4</v>
      </c>
      <c r="S868">
        <v>3</v>
      </c>
      <c r="T868">
        <v>5</v>
      </c>
      <c r="U868">
        <v>4</v>
      </c>
      <c r="V868">
        <v>4</v>
      </c>
      <c r="W868">
        <v>4</v>
      </c>
      <c r="X868">
        <v>4</v>
      </c>
      <c r="Y868">
        <v>4</v>
      </c>
      <c r="Z868">
        <v>4</v>
      </c>
      <c r="AA868">
        <v>4</v>
      </c>
      <c r="AB868">
        <v>4</v>
      </c>
      <c r="AC868">
        <v>4</v>
      </c>
      <c r="AD868">
        <v>5</v>
      </c>
      <c r="AE868">
        <v>4</v>
      </c>
      <c r="AF868">
        <v>2</v>
      </c>
      <c r="AG868">
        <v>3</v>
      </c>
      <c r="AH868">
        <v>3</v>
      </c>
      <c r="AI868">
        <v>3</v>
      </c>
      <c r="AJ868">
        <v>4</v>
      </c>
      <c r="AK868" t="b">
        <f>Table67[[#This Row],[What is your age?]]&lt;&gt;"18 - 25"</f>
        <v>0</v>
      </c>
      <c r="AL868" t="b">
        <f t="shared" si="52"/>
        <v>0</v>
      </c>
      <c r="AM868" t="b">
        <f t="shared" si="53"/>
        <v>0</v>
      </c>
      <c r="AN868" t="b">
        <f t="shared" si="54"/>
        <v>0</v>
      </c>
      <c r="AO868" t="b">
        <f>OR(Table67[[#This Row],[Ineligible respondents]:[Inconsistent response on opposite question (3)]])</f>
        <v>0</v>
      </c>
      <c r="AP86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868">
        <f>Table67[[#This Row],[Extreme Response]]/21</f>
        <v>0.14285714285714285</v>
      </c>
      <c r="AR868">
        <f>_xlfn.PERCENTILE.INC(Table67[Extrem Response Ratio (ERS)],0.9)</f>
        <v>0.61904761904761907</v>
      </c>
      <c r="AS868" t="b">
        <f>Table67[[#This Row],[Extrem Response Ratio (ERS)]]&gt;=Table67[[#This Row],[Threshold of ERS]]</f>
        <v>0</v>
      </c>
      <c r="AT868">
        <f>COUNTIF(Table67[[#This Row],[The mechanism of digital assets is difficult to understand, which discourages me from exploring it (E.g, Tokenization, Blockchain)]:[If I want to try different ways to invest, I will explore digital assets.]], 3)</f>
        <v>3</v>
      </c>
      <c r="AU868">
        <f>Table67[[#This Row],[Midpoint]]/21</f>
        <v>0.14285714285714285</v>
      </c>
      <c r="AV868">
        <f>_xlfn.PERCENTILE.INC(Table67[Midpoint ratio],0.9)</f>
        <v>0.5714285714285714</v>
      </c>
      <c r="AW868" t="b">
        <f>Table67[[#This Row],[Midpoint ratio]]&gt;=Table67[[#This Row],[Threshold of Midpoint ratio]]</f>
        <v>0</v>
      </c>
      <c r="AX868" t="b">
        <f>OR(Table67[[#This Row],[Extreme Response Style]],Table67[[#This Row],[Mid-point Response Style]])</f>
        <v>0</v>
      </c>
      <c r="AY868" t="b">
        <f>OR(Table67[[#This Row],[Delete? (Stage 1)]],Table67[[#This Row],[Delete? (Stage 2)]])</f>
        <v>0</v>
      </c>
      <c r="AZ868" t="s">
        <v>84</v>
      </c>
    </row>
    <row r="869" spans="1:52">
      <c r="A869">
        <f t="shared" si="55"/>
        <v>868</v>
      </c>
      <c r="B869" s="3">
        <v>46056.874513888899</v>
      </c>
      <c r="C869" s="3">
        <v>46056.879386574103</v>
      </c>
      <c r="D869" t="s">
        <v>53</v>
      </c>
      <c r="G869" t="s">
        <v>54</v>
      </c>
      <c r="H869" t="s">
        <v>63</v>
      </c>
      <c r="I869" t="s">
        <v>56</v>
      </c>
      <c r="J869" t="s">
        <v>60</v>
      </c>
      <c r="K869" t="s">
        <v>62</v>
      </c>
      <c r="L869" t="s">
        <v>61</v>
      </c>
      <c r="M869" t="s">
        <v>61</v>
      </c>
      <c r="N869">
        <v>3</v>
      </c>
      <c r="O869">
        <v>2</v>
      </c>
      <c r="P869">
        <v>2</v>
      </c>
      <c r="Q869">
        <v>3</v>
      </c>
      <c r="R869">
        <v>3</v>
      </c>
      <c r="S869">
        <v>3</v>
      </c>
      <c r="T869">
        <v>2</v>
      </c>
      <c r="U869">
        <v>2</v>
      </c>
      <c r="V869">
        <v>1</v>
      </c>
      <c r="W869">
        <v>2</v>
      </c>
      <c r="X869">
        <v>3</v>
      </c>
      <c r="Y869">
        <v>2</v>
      </c>
      <c r="Z869">
        <v>3</v>
      </c>
      <c r="AA869">
        <v>3</v>
      </c>
      <c r="AB869">
        <v>4</v>
      </c>
      <c r="AC869">
        <v>3</v>
      </c>
      <c r="AD869">
        <v>3</v>
      </c>
      <c r="AE869">
        <v>4</v>
      </c>
      <c r="AF869">
        <v>3</v>
      </c>
      <c r="AG869">
        <v>4</v>
      </c>
      <c r="AH869">
        <v>3</v>
      </c>
      <c r="AI869">
        <v>3</v>
      </c>
      <c r="AJ869">
        <v>3</v>
      </c>
      <c r="AK869" t="b">
        <f>Table67[[#This Row],[What is your age?]]&lt;&gt;"18 - 25"</f>
        <v>0</v>
      </c>
      <c r="AL869" t="b">
        <f t="shared" si="52"/>
        <v>0</v>
      </c>
      <c r="AM869" t="b">
        <f t="shared" si="53"/>
        <v>0</v>
      </c>
      <c r="AN869" t="b">
        <f t="shared" si="54"/>
        <v>1</v>
      </c>
      <c r="AO869" t="b">
        <f>OR(Table67[[#This Row],[Ineligible respondents]:[Inconsistent response on opposite question (3)]])</f>
        <v>1</v>
      </c>
      <c r="AP86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869">
        <f>Table67[[#This Row],[Extreme Response]]/21</f>
        <v>4.7619047619047616E-2</v>
      </c>
      <c r="AR869">
        <f>_xlfn.PERCENTILE.INC(Table67[Extrem Response Ratio (ERS)],0.9)</f>
        <v>0.61904761904761907</v>
      </c>
      <c r="AS869" t="b">
        <f>Table67[[#This Row],[Extrem Response Ratio (ERS)]]&gt;=Table67[[#This Row],[Threshold of ERS]]</f>
        <v>0</v>
      </c>
      <c r="AT869">
        <f>COUNTIF(Table67[[#This Row],[The mechanism of digital assets is difficult to understand, which discourages me from exploring it (E.g, Tokenization, Blockchain)]:[If I want to try different ways to invest, I will explore digital assets.]], 3)</f>
        <v>11</v>
      </c>
      <c r="AU869">
        <f>Table67[[#This Row],[Midpoint]]/21</f>
        <v>0.52380952380952384</v>
      </c>
      <c r="AV869">
        <f>_xlfn.PERCENTILE.INC(Table67[Midpoint ratio],0.9)</f>
        <v>0.5714285714285714</v>
      </c>
      <c r="AW869" t="b">
        <f>Table67[[#This Row],[Midpoint ratio]]&gt;=Table67[[#This Row],[Threshold of Midpoint ratio]]</f>
        <v>0</v>
      </c>
      <c r="AX869" t="b">
        <f>OR(Table67[[#This Row],[Extreme Response Style]],Table67[[#This Row],[Mid-point Response Style]])</f>
        <v>0</v>
      </c>
      <c r="AY869" t="b">
        <f>OR(Table67[[#This Row],[Delete? (Stage 1)]],Table67[[#This Row],[Delete? (Stage 2)]])</f>
        <v>1</v>
      </c>
      <c r="AZ869" t="s">
        <v>84</v>
      </c>
    </row>
    <row r="870" spans="1:52">
      <c r="A870">
        <f t="shared" si="55"/>
        <v>869</v>
      </c>
      <c r="B870" s="3">
        <v>46056.8745486111</v>
      </c>
      <c r="C870" s="3">
        <v>46056.879166666702</v>
      </c>
      <c r="D870" t="s">
        <v>53</v>
      </c>
      <c r="G870" t="s">
        <v>54</v>
      </c>
      <c r="H870" t="s">
        <v>63</v>
      </c>
      <c r="I870" t="s">
        <v>56</v>
      </c>
      <c r="J870" t="s">
        <v>60</v>
      </c>
      <c r="K870" t="s">
        <v>62</v>
      </c>
      <c r="L870" t="s">
        <v>58</v>
      </c>
      <c r="M870" t="s">
        <v>58</v>
      </c>
      <c r="N870">
        <v>1</v>
      </c>
      <c r="O870">
        <v>3</v>
      </c>
      <c r="P870">
        <v>1</v>
      </c>
      <c r="Q870">
        <v>1</v>
      </c>
      <c r="R870">
        <v>1</v>
      </c>
      <c r="S870">
        <v>1</v>
      </c>
      <c r="T870">
        <v>1</v>
      </c>
      <c r="U870">
        <v>2</v>
      </c>
      <c r="V870">
        <v>2</v>
      </c>
      <c r="W870">
        <v>3</v>
      </c>
      <c r="X870">
        <v>1</v>
      </c>
      <c r="Y870">
        <v>1</v>
      </c>
      <c r="Z870">
        <v>5</v>
      </c>
      <c r="AA870">
        <v>2</v>
      </c>
      <c r="AB870">
        <v>1</v>
      </c>
      <c r="AC870">
        <v>1</v>
      </c>
      <c r="AD870">
        <v>2</v>
      </c>
      <c r="AE870">
        <v>4</v>
      </c>
      <c r="AF870">
        <v>5</v>
      </c>
      <c r="AG870">
        <v>1</v>
      </c>
      <c r="AH870">
        <v>5</v>
      </c>
      <c r="AI870">
        <v>1</v>
      </c>
      <c r="AJ870">
        <v>1</v>
      </c>
      <c r="AK870" t="b">
        <f>Table67[[#This Row],[What is your age?]]&lt;&gt;"18 - 25"</f>
        <v>0</v>
      </c>
      <c r="AL870" t="b">
        <f t="shared" si="52"/>
        <v>0</v>
      </c>
      <c r="AM870" t="b">
        <f t="shared" si="53"/>
        <v>0</v>
      </c>
      <c r="AN870" t="b">
        <f t="shared" si="54"/>
        <v>0</v>
      </c>
      <c r="AO870" t="b">
        <f>OR(Table67[[#This Row],[Ineligible respondents]:[Inconsistent response on opposite question (3)]])</f>
        <v>0</v>
      </c>
      <c r="AP87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870">
        <f>Table67[[#This Row],[Extreme Response]]/21</f>
        <v>0.66666666666666663</v>
      </c>
      <c r="AR870">
        <f>_xlfn.PERCENTILE.INC(Table67[Extrem Response Ratio (ERS)],0.9)</f>
        <v>0.61904761904761907</v>
      </c>
      <c r="AS870" t="b">
        <f>Table67[[#This Row],[Extrem Response Ratio (ERS)]]&gt;=Table67[[#This Row],[Threshold of ERS]]</f>
        <v>1</v>
      </c>
      <c r="AT870">
        <f>COUNTIF(Table67[[#This Row],[The mechanism of digital assets is difficult to understand, which discourages me from exploring it (E.g, Tokenization, Blockchain)]:[If I want to try different ways to invest, I will explore digital assets.]], 3)</f>
        <v>2</v>
      </c>
      <c r="AU870">
        <f>Table67[[#This Row],[Midpoint]]/21</f>
        <v>9.5238095238095233E-2</v>
      </c>
      <c r="AV870">
        <f>_xlfn.PERCENTILE.INC(Table67[Midpoint ratio],0.9)</f>
        <v>0.5714285714285714</v>
      </c>
      <c r="AW870" t="b">
        <f>Table67[[#This Row],[Midpoint ratio]]&gt;=Table67[[#This Row],[Threshold of Midpoint ratio]]</f>
        <v>0</v>
      </c>
      <c r="AX870" t="b">
        <f>OR(Table67[[#This Row],[Extreme Response Style]],Table67[[#This Row],[Mid-point Response Style]])</f>
        <v>1</v>
      </c>
      <c r="AY870" t="b">
        <f>OR(Table67[[#This Row],[Delete? (Stage 1)]],Table67[[#This Row],[Delete? (Stage 2)]])</f>
        <v>1</v>
      </c>
      <c r="AZ870" t="s">
        <v>84</v>
      </c>
    </row>
    <row r="871" spans="1:52">
      <c r="A871">
        <f t="shared" si="55"/>
        <v>870</v>
      </c>
      <c r="B871" s="3">
        <v>46056.874560185199</v>
      </c>
      <c r="C871" s="3">
        <v>46056.878263888902</v>
      </c>
      <c r="D871" t="s">
        <v>53</v>
      </c>
      <c r="G871" t="s">
        <v>73</v>
      </c>
      <c r="H871" t="s">
        <v>63</v>
      </c>
      <c r="I871" t="s">
        <v>75</v>
      </c>
      <c r="J871" t="s">
        <v>64</v>
      </c>
      <c r="K871" t="s">
        <v>62</v>
      </c>
      <c r="L871" t="s">
        <v>58</v>
      </c>
      <c r="M871" t="s">
        <v>58</v>
      </c>
      <c r="N871">
        <v>5</v>
      </c>
      <c r="O871">
        <v>3</v>
      </c>
      <c r="P871">
        <v>5</v>
      </c>
      <c r="Q871">
        <v>2</v>
      </c>
      <c r="R871">
        <v>3</v>
      </c>
      <c r="S871">
        <v>3</v>
      </c>
      <c r="T871">
        <v>4</v>
      </c>
      <c r="U871">
        <v>5</v>
      </c>
      <c r="V871">
        <v>5</v>
      </c>
      <c r="W871">
        <v>5</v>
      </c>
      <c r="X871">
        <v>5</v>
      </c>
      <c r="Y871">
        <v>5</v>
      </c>
      <c r="Z871">
        <v>5</v>
      </c>
      <c r="AA871">
        <v>5</v>
      </c>
      <c r="AB871">
        <v>5</v>
      </c>
      <c r="AC871">
        <v>4</v>
      </c>
      <c r="AD871">
        <v>4</v>
      </c>
      <c r="AE871">
        <v>3</v>
      </c>
      <c r="AF871">
        <v>2</v>
      </c>
      <c r="AG871">
        <v>4</v>
      </c>
      <c r="AH871">
        <v>2</v>
      </c>
      <c r="AI871">
        <v>4</v>
      </c>
      <c r="AJ871">
        <v>4</v>
      </c>
      <c r="AK871" t="b">
        <f>Table67[[#This Row],[What is your age?]]&lt;&gt;"18 - 25"</f>
        <v>1</v>
      </c>
      <c r="AL871" t="b">
        <f t="shared" si="52"/>
        <v>0</v>
      </c>
      <c r="AM871" t="b">
        <f t="shared" si="53"/>
        <v>0</v>
      </c>
      <c r="AN871" t="b">
        <f t="shared" si="54"/>
        <v>0</v>
      </c>
      <c r="AO871" t="b">
        <f>OR(Table67[[#This Row],[Ineligible respondents]:[Inconsistent response on opposite question (3)]])</f>
        <v>1</v>
      </c>
      <c r="AP87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10</v>
      </c>
      <c r="AQ871">
        <f>Table67[[#This Row],[Extreme Response]]/21</f>
        <v>0.47619047619047616</v>
      </c>
      <c r="AR871">
        <f>_xlfn.PERCENTILE.INC(Table67[Extrem Response Ratio (ERS)],0.9)</f>
        <v>0.61904761904761907</v>
      </c>
      <c r="AS871" t="b">
        <f>Table67[[#This Row],[Extrem Response Ratio (ERS)]]&gt;=Table67[[#This Row],[Threshold of ERS]]</f>
        <v>0</v>
      </c>
      <c r="AT871">
        <f>COUNTIF(Table67[[#This Row],[The mechanism of digital assets is difficult to understand, which discourages me from exploring it (E.g, Tokenization, Blockchain)]:[If I want to try different ways to invest, I will explore digital assets.]], 3)</f>
        <v>4</v>
      </c>
      <c r="AU871">
        <f>Table67[[#This Row],[Midpoint]]/21</f>
        <v>0.19047619047619047</v>
      </c>
      <c r="AV871">
        <f>_xlfn.PERCENTILE.INC(Table67[Midpoint ratio],0.9)</f>
        <v>0.5714285714285714</v>
      </c>
      <c r="AW871" t="b">
        <f>Table67[[#This Row],[Midpoint ratio]]&gt;=Table67[[#This Row],[Threshold of Midpoint ratio]]</f>
        <v>0</v>
      </c>
      <c r="AX871" t="b">
        <f>OR(Table67[[#This Row],[Extreme Response Style]],Table67[[#This Row],[Mid-point Response Style]])</f>
        <v>0</v>
      </c>
      <c r="AY871" t="b">
        <f>OR(Table67[[#This Row],[Delete? (Stage 1)]],Table67[[#This Row],[Delete? (Stage 2)]])</f>
        <v>1</v>
      </c>
      <c r="AZ871" t="s">
        <v>84</v>
      </c>
    </row>
    <row r="872" spans="1:52">
      <c r="A872">
        <f t="shared" si="55"/>
        <v>871</v>
      </c>
      <c r="B872" s="3">
        <v>46056.8746875</v>
      </c>
      <c r="C872" s="3">
        <v>46056.877500000002</v>
      </c>
      <c r="D872" t="s">
        <v>53</v>
      </c>
      <c r="G872" t="s">
        <v>54</v>
      </c>
      <c r="H872" t="s">
        <v>55</v>
      </c>
      <c r="I872" t="s">
        <v>56</v>
      </c>
      <c r="J872" t="s">
        <v>57</v>
      </c>
      <c r="K872" t="s">
        <v>62</v>
      </c>
      <c r="L872" t="s">
        <v>58</v>
      </c>
      <c r="M872" t="s">
        <v>58</v>
      </c>
      <c r="N872">
        <v>3</v>
      </c>
      <c r="O872">
        <v>1</v>
      </c>
      <c r="P872">
        <v>5</v>
      </c>
      <c r="Q872">
        <v>2</v>
      </c>
      <c r="R872">
        <v>4</v>
      </c>
      <c r="S872">
        <v>1</v>
      </c>
      <c r="T872">
        <v>1</v>
      </c>
      <c r="U872">
        <v>5</v>
      </c>
      <c r="V872">
        <v>4</v>
      </c>
      <c r="W872">
        <v>5</v>
      </c>
      <c r="X872">
        <v>3</v>
      </c>
      <c r="Y872">
        <v>4</v>
      </c>
      <c r="Z872">
        <v>1</v>
      </c>
      <c r="AA872">
        <v>2</v>
      </c>
      <c r="AB872">
        <v>1</v>
      </c>
      <c r="AC872">
        <v>2</v>
      </c>
      <c r="AD872">
        <v>2</v>
      </c>
      <c r="AE872">
        <v>1</v>
      </c>
      <c r="AF872">
        <v>4</v>
      </c>
      <c r="AG872">
        <v>2</v>
      </c>
      <c r="AH872">
        <v>3</v>
      </c>
      <c r="AI872">
        <v>3</v>
      </c>
      <c r="AJ872">
        <v>2</v>
      </c>
      <c r="AK872" t="b">
        <f>Table67[[#This Row],[What is your age?]]&lt;&gt;"18 - 25"</f>
        <v>0</v>
      </c>
      <c r="AL872" t="b">
        <f t="shared" si="52"/>
        <v>0</v>
      </c>
      <c r="AM872" t="b">
        <f t="shared" si="53"/>
        <v>0</v>
      </c>
      <c r="AN872" t="b">
        <f t="shared" si="54"/>
        <v>1</v>
      </c>
      <c r="AO872" t="b">
        <f>OR(Table67[[#This Row],[Ineligible respondents]:[Inconsistent response on opposite question (3)]])</f>
        <v>1</v>
      </c>
      <c r="AP87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872">
        <f>Table67[[#This Row],[Extreme Response]]/21</f>
        <v>0.42857142857142855</v>
      </c>
      <c r="AR872">
        <f>_xlfn.PERCENTILE.INC(Table67[Extrem Response Ratio (ERS)],0.9)</f>
        <v>0.61904761904761907</v>
      </c>
      <c r="AS872" t="b">
        <f>Table67[[#This Row],[Extrem Response Ratio (ERS)]]&gt;=Table67[[#This Row],[Threshold of ERS]]</f>
        <v>0</v>
      </c>
      <c r="AT872">
        <f>COUNTIF(Table67[[#This Row],[The mechanism of digital assets is difficult to understand, which discourages me from exploring it (E.g, Tokenization, Blockchain)]:[If I want to try different ways to invest, I will explore digital assets.]], 3)</f>
        <v>3</v>
      </c>
      <c r="AU872">
        <f>Table67[[#This Row],[Midpoint]]/21</f>
        <v>0.14285714285714285</v>
      </c>
      <c r="AV872">
        <f>_xlfn.PERCENTILE.INC(Table67[Midpoint ratio],0.9)</f>
        <v>0.5714285714285714</v>
      </c>
      <c r="AW872" t="b">
        <f>Table67[[#This Row],[Midpoint ratio]]&gt;=Table67[[#This Row],[Threshold of Midpoint ratio]]</f>
        <v>0</v>
      </c>
      <c r="AX872" t="b">
        <f>OR(Table67[[#This Row],[Extreme Response Style]],Table67[[#This Row],[Mid-point Response Style]])</f>
        <v>0</v>
      </c>
      <c r="AY872" t="b">
        <f>OR(Table67[[#This Row],[Delete? (Stage 1)]],Table67[[#This Row],[Delete? (Stage 2)]])</f>
        <v>1</v>
      </c>
      <c r="AZ872" t="s">
        <v>84</v>
      </c>
    </row>
    <row r="873" spans="1:52">
      <c r="A873">
        <f t="shared" si="55"/>
        <v>872</v>
      </c>
      <c r="B873" s="3">
        <v>46056.874699074098</v>
      </c>
      <c r="C873" s="3">
        <v>46056.876724537004</v>
      </c>
      <c r="D873" t="s">
        <v>53</v>
      </c>
      <c r="G873" t="s">
        <v>54</v>
      </c>
      <c r="H873" t="s">
        <v>55</v>
      </c>
      <c r="I873" t="s">
        <v>75</v>
      </c>
      <c r="J873" t="s">
        <v>67</v>
      </c>
      <c r="K873" t="s">
        <v>62</v>
      </c>
      <c r="L873" t="s">
        <v>61</v>
      </c>
      <c r="M873" t="s">
        <v>61</v>
      </c>
      <c r="N873">
        <v>4</v>
      </c>
      <c r="O873">
        <v>3</v>
      </c>
      <c r="P873">
        <v>3</v>
      </c>
      <c r="Q873">
        <v>4</v>
      </c>
      <c r="R873">
        <v>4</v>
      </c>
      <c r="S873">
        <v>2</v>
      </c>
      <c r="T873">
        <v>4</v>
      </c>
      <c r="U873">
        <v>4</v>
      </c>
      <c r="V873">
        <v>5</v>
      </c>
      <c r="W873">
        <v>2</v>
      </c>
      <c r="X873">
        <v>3</v>
      </c>
      <c r="Y873">
        <v>4</v>
      </c>
      <c r="Z873">
        <v>4</v>
      </c>
      <c r="AA873">
        <v>3</v>
      </c>
      <c r="AB873">
        <v>3</v>
      </c>
      <c r="AC873">
        <v>4</v>
      </c>
      <c r="AD873">
        <v>5</v>
      </c>
      <c r="AE873">
        <v>4</v>
      </c>
      <c r="AF873">
        <v>2</v>
      </c>
      <c r="AG873">
        <v>4</v>
      </c>
      <c r="AH873">
        <v>3</v>
      </c>
      <c r="AI873">
        <v>3</v>
      </c>
      <c r="AJ873">
        <v>4</v>
      </c>
      <c r="AK873" t="b">
        <f>Table67[[#This Row],[What is your age?]]&lt;&gt;"18 - 25"</f>
        <v>0</v>
      </c>
      <c r="AL873" t="b">
        <f t="shared" si="52"/>
        <v>0</v>
      </c>
      <c r="AM873" t="b">
        <f t="shared" si="53"/>
        <v>0</v>
      </c>
      <c r="AN873" t="b">
        <f t="shared" si="54"/>
        <v>1</v>
      </c>
      <c r="AO873" t="b">
        <f>OR(Table67[[#This Row],[Ineligible respondents]:[Inconsistent response on opposite question (3)]])</f>
        <v>1</v>
      </c>
      <c r="AP87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873">
        <f>Table67[[#This Row],[Extreme Response]]/21</f>
        <v>9.5238095238095233E-2</v>
      </c>
      <c r="AR873">
        <f>_xlfn.PERCENTILE.INC(Table67[Extrem Response Ratio (ERS)],0.9)</f>
        <v>0.61904761904761907</v>
      </c>
      <c r="AS873" t="b">
        <f>Table67[[#This Row],[Extrem Response Ratio (ERS)]]&gt;=Table67[[#This Row],[Threshold of ERS]]</f>
        <v>0</v>
      </c>
      <c r="AT873">
        <f>COUNTIF(Table67[[#This Row],[The mechanism of digital assets is difficult to understand, which discourages me from exploring it (E.g, Tokenization, Blockchain)]:[If I want to try different ways to invest, I will explore digital assets.]], 3)</f>
        <v>6</v>
      </c>
      <c r="AU873">
        <f>Table67[[#This Row],[Midpoint]]/21</f>
        <v>0.2857142857142857</v>
      </c>
      <c r="AV873">
        <f>_xlfn.PERCENTILE.INC(Table67[Midpoint ratio],0.9)</f>
        <v>0.5714285714285714</v>
      </c>
      <c r="AW873" t="b">
        <f>Table67[[#This Row],[Midpoint ratio]]&gt;=Table67[[#This Row],[Threshold of Midpoint ratio]]</f>
        <v>0</v>
      </c>
      <c r="AX873" t="b">
        <f>OR(Table67[[#This Row],[Extreme Response Style]],Table67[[#This Row],[Mid-point Response Style]])</f>
        <v>0</v>
      </c>
      <c r="AY873" t="b">
        <f>OR(Table67[[#This Row],[Delete? (Stage 1)]],Table67[[#This Row],[Delete? (Stage 2)]])</f>
        <v>1</v>
      </c>
      <c r="AZ873" t="s">
        <v>84</v>
      </c>
    </row>
    <row r="874" spans="1:52">
      <c r="A874">
        <f t="shared" si="55"/>
        <v>873</v>
      </c>
      <c r="B874" s="3">
        <v>46056.874710648102</v>
      </c>
      <c r="C874" s="3">
        <v>46056.8765740741</v>
      </c>
      <c r="D874" t="s">
        <v>53</v>
      </c>
      <c r="G874" t="s">
        <v>54</v>
      </c>
      <c r="H874" t="s">
        <v>55</v>
      </c>
      <c r="I874" t="s">
        <v>56</v>
      </c>
      <c r="J874" t="s">
        <v>62</v>
      </c>
      <c r="K874" t="s">
        <v>62</v>
      </c>
      <c r="L874" t="s">
        <v>58</v>
      </c>
      <c r="M874" t="s">
        <v>58</v>
      </c>
      <c r="N874">
        <v>2</v>
      </c>
      <c r="O874">
        <v>4</v>
      </c>
      <c r="P874">
        <v>4</v>
      </c>
      <c r="Q874">
        <v>2</v>
      </c>
      <c r="R874">
        <v>4</v>
      </c>
      <c r="S874">
        <v>4</v>
      </c>
      <c r="T874">
        <v>3</v>
      </c>
      <c r="U874">
        <v>4</v>
      </c>
      <c r="V874">
        <v>4</v>
      </c>
      <c r="W874">
        <v>4</v>
      </c>
      <c r="X874">
        <v>3</v>
      </c>
      <c r="Y874">
        <v>4</v>
      </c>
      <c r="Z874">
        <v>4</v>
      </c>
      <c r="AA874">
        <v>4</v>
      </c>
      <c r="AB874">
        <v>3</v>
      </c>
      <c r="AC874">
        <v>3</v>
      </c>
      <c r="AD874">
        <v>4</v>
      </c>
      <c r="AE874">
        <v>2</v>
      </c>
      <c r="AF874">
        <v>4</v>
      </c>
      <c r="AG874">
        <v>4</v>
      </c>
      <c r="AH874">
        <v>4</v>
      </c>
      <c r="AI874">
        <v>2</v>
      </c>
      <c r="AJ874">
        <v>2</v>
      </c>
      <c r="AK874" t="b">
        <f>Table67[[#This Row],[What is your age?]]&lt;&gt;"18 - 25"</f>
        <v>0</v>
      </c>
      <c r="AL874" t="b">
        <f t="shared" si="52"/>
        <v>0</v>
      </c>
      <c r="AM874" t="b">
        <f t="shared" si="53"/>
        <v>1</v>
      </c>
      <c r="AN874" t="b">
        <f t="shared" si="54"/>
        <v>0</v>
      </c>
      <c r="AO874" t="b">
        <f>OR(Table67[[#This Row],[Ineligible respondents]:[Inconsistent response on opposite question (3)]])</f>
        <v>1</v>
      </c>
      <c r="AP87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874">
        <f>Table67[[#This Row],[Extreme Response]]/21</f>
        <v>0</v>
      </c>
      <c r="AR874">
        <f>_xlfn.PERCENTILE.INC(Table67[Extrem Response Ratio (ERS)],0.9)</f>
        <v>0.61904761904761907</v>
      </c>
      <c r="AS874" t="b">
        <f>Table67[[#This Row],[Extrem Response Ratio (ERS)]]&gt;=Table67[[#This Row],[Threshold of ERS]]</f>
        <v>0</v>
      </c>
      <c r="AT874">
        <f>COUNTIF(Table67[[#This Row],[The mechanism of digital assets is difficult to understand, which discourages me from exploring it (E.g, Tokenization, Blockchain)]:[If I want to try different ways to invest, I will explore digital assets.]], 3)</f>
        <v>4</v>
      </c>
      <c r="AU874">
        <f>Table67[[#This Row],[Midpoint]]/21</f>
        <v>0.19047619047619047</v>
      </c>
      <c r="AV874">
        <f>_xlfn.PERCENTILE.INC(Table67[Midpoint ratio],0.9)</f>
        <v>0.5714285714285714</v>
      </c>
      <c r="AW874" t="b">
        <f>Table67[[#This Row],[Midpoint ratio]]&gt;=Table67[[#This Row],[Threshold of Midpoint ratio]]</f>
        <v>0</v>
      </c>
      <c r="AX874" t="b">
        <f>OR(Table67[[#This Row],[Extreme Response Style]],Table67[[#This Row],[Mid-point Response Style]])</f>
        <v>0</v>
      </c>
      <c r="AY874" t="b">
        <f>OR(Table67[[#This Row],[Delete? (Stage 1)]],Table67[[#This Row],[Delete? (Stage 2)]])</f>
        <v>1</v>
      </c>
      <c r="AZ874" t="s">
        <v>84</v>
      </c>
    </row>
    <row r="875" spans="1:52">
      <c r="A875">
        <f t="shared" si="55"/>
        <v>874</v>
      </c>
      <c r="B875" s="3">
        <v>46056.874722222201</v>
      </c>
      <c r="C875" s="3">
        <v>46056.877500000002</v>
      </c>
      <c r="D875" t="s">
        <v>53</v>
      </c>
      <c r="G875" t="s">
        <v>54</v>
      </c>
      <c r="H875" t="s">
        <v>55</v>
      </c>
      <c r="I875" t="s">
        <v>75</v>
      </c>
      <c r="J875" t="s">
        <v>62</v>
      </c>
      <c r="K875" t="s">
        <v>62</v>
      </c>
      <c r="L875" t="s">
        <v>58</v>
      </c>
      <c r="M875" t="s">
        <v>58</v>
      </c>
      <c r="N875">
        <v>3</v>
      </c>
      <c r="O875">
        <v>3</v>
      </c>
      <c r="P875">
        <v>3</v>
      </c>
      <c r="Q875">
        <v>3</v>
      </c>
      <c r="R875">
        <v>4</v>
      </c>
      <c r="S875">
        <v>2</v>
      </c>
      <c r="T875">
        <v>4</v>
      </c>
      <c r="U875">
        <v>5</v>
      </c>
      <c r="V875">
        <v>5</v>
      </c>
      <c r="W875">
        <v>5</v>
      </c>
      <c r="X875">
        <v>1</v>
      </c>
      <c r="Y875">
        <v>3</v>
      </c>
      <c r="Z875">
        <v>3</v>
      </c>
      <c r="AA875">
        <v>3</v>
      </c>
      <c r="AB875">
        <v>3</v>
      </c>
      <c r="AC875">
        <v>4</v>
      </c>
      <c r="AD875">
        <v>4</v>
      </c>
      <c r="AE875">
        <v>3</v>
      </c>
      <c r="AF875">
        <v>4</v>
      </c>
      <c r="AG875">
        <v>4</v>
      </c>
      <c r="AH875">
        <v>3</v>
      </c>
      <c r="AI875">
        <v>3</v>
      </c>
      <c r="AJ875">
        <v>2</v>
      </c>
      <c r="AK875" t="b">
        <f>Table67[[#This Row],[What is your age?]]&lt;&gt;"18 - 25"</f>
        <v>0</v>
      </c>
      <c r="AL875" t="b">
        <f t="shared" si="52"/>
        <v>0</v>
      </c>
      <c r="AM875" t="b">
        <f t="shared" si="53"/>
        <v>0</v>
      </c>
      <c r="AN875" t="b">
        <f t="shared" si="54"/>
        <v>1</v>
      </c>
      <c r="AO875" t="b">
        <f>OR(Table67[[#This Row],[Ineligible respondents]:[Inconsistent response on opposite question (3)]])</f>
        <v>1</v>
      </c>
      <c r="AP87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875">
        <f>Table67[[#This Row],[Extreme Response]]/21</f>
        <v>0.19047619047619047</v>
      </c>
      <c r="AR875">
        <f>_xlfn.PERCENTILE.INC(Table67[Extrem Response Ratio (ERS)],0.9)</f>
        <v>0.61904761904761907</v>
      </c>
      <c r="AS875" t="b">
        <f>Table67[[#This Row],[Extrem Response Ratio (ERS)]]&gt;=Table67[[#This Row],[Threshold of ERS]]</f>
        <v>0</v>
      </c>
      <c r="AT875">
        <f>COUNTIF(Table67[[#This Row],[The mechanism of digital assets is difficult to understand, which discourages me from exploring it (E.g, Tokenization, Blockchain)]:[If I want to try different ways to invest, I will explore digital assets.]], 3)</f>
        <v>10</v>
      </c>
      <c r="AU875">
        <f>Table67[[#This Row],[Midpoint]]/21</f>
        <v>0.47619047619047616</v>
      </c>
      <c r="AV875">
        <f>_xlfn.PERCENTILE.INC(Table67[Midpoint ratio],0.9)</f>
        <v>0.5714285714285714</v>
      </c>
      <c r="AW875" t="b">
        <f>Table67[[#This Row],[Midpoint ratio]]&gt;=Table67[[#This Row],[Threshold of Midpoint ratio]]</f>
        <v>0</v>
      </c>
      <c r="AX875" t="b">
        <f>OR(Table67[[#This Row],[Extreme Response Style]],Table67[[#This Row],[Mid-point Response Style]])</f>
        <v>0</v>
      </c>
      <c r="AY875" t="b">
        <f>OR(Table67[[#This Row],[Delete? (Stage 1)]],Table67[[#This Row],[Delete? (Stage 2)]])</f>
        <v>1</v>
      </c>
      <c r="AZ875" t="s">
        <v>84</v>
      </c>
    </row>
    <row r="876" spans="1:52">
      <c r="A876">
        <f t="shared" si="55"/>
        <v>875</v>
      </c>
      <c r="B876" s="3">
        <v>46056.874756944402</v>
      </c>
      <c r="C876" s="3">
        <v>46056.877673611103</v>
      </c>
      <c r="D876" t="s">
        <v>53</v>
      </c>
      <c r="G876" t="s">
        <v>54</v>
      </c>
      <c r="H876" t="s">
        <v>63</v>
      </c>
      <c r="I876" t="s">
        <v>56</v>
      </c>
      <c r="J876" t="s">
        <v>64</v>
      </c>
      <c r="K876" t="s">
        <v>62</v>
      </c>
      <c r="L876" t="s">
        <v>58</v>
      </c>
      <c r="M876" t="s">
        <v>58</v>
      </c>
      <c r="N876">
        <v>4</v>
      </c>
      <c r="O876">
        <v>2</v>
      </c>
      <c r="P876">
        <v>5</v>
      </c>
      <c r="Q876">
        <v>3</v>
      </c>
      <c r="R876">
        <v>2</v>
      </c>
      <c r="S876">
        <v>5</v>
      </c>
      <c r="T876">
        <v>5</v>
      </c>
      <c r="U876">
        <v>5</v>
      </c>
      <c r="V876">
        <v>2</v>
      </c>
      <c r="W876">
        <v>3</v>
      </c>
      <c r="X876">
        <v>5</v>
      </c>
      <c r="Y876">
        <v>1</v>
      </c>
      <c r="Z876">
        <v>2</v>
      </c>
      <c r="AA876">
        <v>3</v>
      </c>
      <c r="AB876">
        <v>4</v>
      </c>
      <c r="AC876">
        <v>5</v>
      </c>
      <c r="AD876">
        <v>5</v>
      </c>
      <c r="AE876">
        <v>2</v>
      </c>
      <c r="AF876">
        <v>3</v>
      </c>
      <c r="AG876">
        <v>3</v>
      </c>
      <c r="AH876">
        <v>4</v>
      </c>
      <c r="AI876">
        <v>2</v>
      </c>
      <c r="AJ876">
        <v>3</v>
      </c>
      <c r="AK876" t="b">
        <f>Table67[[#This Row],[What is your age?]]&lt;&gt;"18 - 25"</f>
        <v>0</v>
      </c>
      <c r="AL876" t="b">
        <f t="shared" si="52"/>
        <v>0</v>
      </c>
      <c r="AM876" t="b">
        <f t="shared" si="53"/>
        <v>0</v>
      </c>
      <c r="AN876" t="b">
        <f t="shared" si="54"/>
        <v>1</v>
      </c>
      <c r="AO876" t="b">
        <f>OR(Table67[[#This Row],[Ineligible respondents]:[Inconsistent response on opposite question (3)]])</f>
        <v>1</v>
      </c>
      <c r="AP87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876">
        <f>Table67[[#This Row],[Extreme Response]]/21</f>
        <v>0.38095238095238093</v>
      </c>
      <c r="AR876">
        <f>_xlfn.PERCENTILE.INC(Table67[Extrem Response Ratio (ERS)],0.9)</f>
        <v>0.61904761904761907</v>
      </c>
      <c r="AS876" t="b">
        <f>Table67[[#This Row],[Extrem Response Ratio (ERS)]]&gt;=Table67[[#This Row],[Threshold of ERS]]</f>
        <v>0</v>
      </c>
      <c r="AT876">
        <f>COUNTIF(Table67[[#This Row],[The mechanism of digital assets is difficult to understand, which discourages me from exploring it (E.g, Tokenization, Blockchain)]:[If I want to try different ways to invest, I will explore digital assets.]], 3)</f>
        <v>5</v>
      </c>
      <c r="AU876">
        <f>Table67[[#This Row],[Midpoint]]/21</f>
        <v>0.23809523809523808</v>
      </c>
      <c r="AV876">
        <f>_xlfn.PERCENTILE.INC(Table67[Midpoint ratio],0.9)</f>
        <v>0.5714285714285714</v>
      </c>
      <c r="AW876" t="b">
        <f>Table67[[#This Row],[Midpoint ratio]]&gt;=Table67[[#This Row],[Threshold of Midpoint ratio]]</f>
        <v>0</v>
      </c>
      <c r="AX876" t="b">
        <f>OR(Table67[[#This Row],[Extreme Response Style]],Table67[[#This Row],[Mid-point Response Style]])</f>
        <v>0</v>
      </c>
      <c r="AY876" t="b">
        <f>OR(Table67[[#This Row],[Delete? (Stage 1)]],Table67[[#This Row],[Delete? (Stage 2)]])</f>
        <v>1</v>
      </c>
      <c r="AZ876" t="s">
        <v>84</v>
      </c>
    </row>
    <row r="877" spans="1:52">
      <c r="A877">
        <f t="shared" si="55"/>
        <v>876</v>
      </c>
      <c r="B877" s="3">
        <v>46056.874756944402</v>
      </c>
      <c r="C877" s="3">
        <v>46056.878159722197</v>
      </c>
      <c r="D877" t="s">
        <v>53</v>
      </c>
      <c r="G877" t="s">
        <v>54</v>
      </c>
      <c r="H877" t="s">
        <v>63</v>
      </c>
      <c r="I877" t="s">
        <v>75</v>
      </c>
      <c r="J877" t="s">
        <v>62</v>
      </c>
      <c r="K877" t="s">
        <v>62</v>
      </c>
      <c r="L877" t="s">
        <v>61</v>
      </c>
      <c r="M877" t="s">
        <v>61</v>
      </c>
      <c r="N877">
        <v>3</v>
      </c>
      <c r="O877">
        <v>3</v>
      </c>
      <c r="P877">
        <v>4</v>
      </c>
      <c r="Q877">
        <v>5</v>
      </c>
      <c r="R877">
        <v>5</v>
      </c>
      <c r="S877">
        <v>4</v>
      </c>
      <c r="T877">
        <v>1</v>
      </c>
      <c r="U877">
        <v>1</v>
      </c>
      <c r="V877">
        <v>4</v>
      </c>
      <c r="W877">
        <v>5</v>
      </c>
      <c r="X877">
        <v>1</v>
      </c>
      <c r="Y877">
        <v>1</v>
      </c>
      <c r="Z877">
        <v>1</v>
      </c>
      <c r="AA877">
        <v>1</v>
      </c>
      <c r="AB877">
        <v>1</v>
      </c>
      <c r="AC877">
        <v>1</v>
      </c>
      <c r="AD877">
        <v>2</v>
      </c>
      <c r="AE877">
        <v>1</v>
      </c>
      <c r="AF877">
        <v>4</v>
      </c>
      <c r="AG877">
        <v>1</v>
      </c>
      <c r="AH877">
        <v>4</v>
      </c>
      <c r="AI877">
        <v>2</v>
      </c>
      <c r="AJ877">
        <v>2</v>
      </c>
      <c r="AK877" t="b">
        <f>Table67[[#This Row],[What is your age?]]&lt;&gt;"18 - 25"</f>
        <v>0</v>
      </c>
      <c r="AL877" t="b">
        <f t="shared" si="52"/>
        <v>0</v>
      </c>
      <c r="AM877" t="b">
        <f t="shared" si="53"/>
        <v>0</v>
      </c>
      <c r="AN877" t="b">
        <f t="shared" si="54"/>
        <v>0</v>
      </c>
      <c r="AO877" t="b">
        <f>OR(Table67[[#This Row],[Ineligible respondents]:[Inconsistent response on opposite question (3)]])</f>
        <v>0</v>
      </c>
      <c r="AP87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877">
        <f>Table67[[#This Row],[Extreme Response]]/21</f>
        <v>0.61904761904761907</v>
      </c>
      <c r="AR877">
        <f>_xlfn.PERCENTILE.INC(Table67[Extrem Response Ratio (ERS)],0.9)</f>
        <v>0.61904761904761907</v>
      </c>
      <c r="AS877" t="b">
        <f>Table67[[#This Row],[Extrem Response Ratio (ERS)]]&gt;=Table67[[#This Row],[Threshold of ERS]]</f>
        <v>1</v>
      </c>
      <c r="AT877">
        <f>COUNTIF(Table67[[#This Row],[The mechanism of digital assets is difficult to understand, which discourages me from exploring it (E.g, Tokenization, Blockchain)]:[If I want to try different ways to invest, I will explore digital assets.]], 3)</f>
        <v>2</v>
      </c>
      <c r="AU877">
        <f>Table67[[#This Row],[Midpoint]]/21</f>
        <v>9.5238095238095233E-2</v>
      </c>
      <c r="AV877">
        <f>_xlfn.PERCENTILE.INC(Table67[Midpoint ratio],0.9)</f>
        <v>0.5714285714285714</v>
      </c>
      <c r="AW877" t="b">
        <f>Table67[[#This Row],[Midpoint ratio]]&gt;=Table67[[#This Row],[Threshold of Midpoint ratio]]</f>
        <v>0</v>
      </c>
      <c r="AX877" t="b">
        <f>OR(Table67[[#This Row],[Extreme Response Style]],Table67[[#This Row],[Mid-point Response Style]])</f>
        <v>1</v>
      </c>
      <c r="AY877" t="b">
        <f>OR(Table67[[#This Row],[Delete? (Stage 1)]],Table67[[#This Row],[Delete? (Stage 2)]])</f>
        <v>1</v>
      </c>
      <c r="AZ877" t="s">
        <v>84</v>
      </c>
    </row>
    <row r="878" spans="1:52">
      <c r="A878">
        <f t="shared" si="55"/>
        <v>877</v>
      </c>
      <c r="B878" s="3">
        <v>46056.874756944402</v>
      </c>
      <c r="C878" s="3">
        <v>46056.880162037</v>
      </c>
      <c r="D878" t="s">
        <v>53</v>
      </c>
      <c r="G878" t="s">
        <v>54</v>
      </c>
      <c r="H878" t="s">
        <v>63</v>
      </c>
      <c r="I878" t="s">
        <v>56</v>
      </c>
      <c r="J878" t="s">
        <v>60</v>
      </c>
      <c r="K878" t="s">
        <v>60</v>
      </c>
      <c r="L878" t="s">
        <v>61</v>
      </c>
      <c r="M878" t="s">
        <v>61</v>
      </c>
      <c r="N878">
        <v>3</v>
      </c>
      <c r="O878">
        <v>2</v>
      </c>
      <c r="P878">
        <v>4</v>
      </c>
      <c r="Q878">
        <v>3</v>
      </c>
      <c r="R878">
        <v>3</v>
      </c>
      <c r="S878">
        <v>2</v>
      </c>
      <c r="T878">
        <v>3</v>
      </c>
      <c r="U878">
        <v>4</v>
      </c>
      <c r="V878">
        <v>3</v>
      </c>
      <c r="W878">
        <v>4</v>
      </c>
      <c r="X878">
        <v>2</v>
      </c>
      <c r="Y878">
        <v>2</v>
      </c>
      <c r="Z878">
        <v>3</v>
      </c>
      <c r="AA878">
        <v>4</v>
      </c>
      <c r="AB878">
        <v>3</v>
      </c>
      <c r="AC878">
        <v>2</v>
      </c>
      <c r="AD878">
        <v>3</v>
      </c>
      <c r="AE878">
        <v>2</v>
      </c>
      <c r="AF878">
        <v>4</v>
      </c>
      <c r="AG878">
        <v>3</v>
      </c>
      <c r="AH878">
        <v>4</v>
      </c>
      <c r="AI878">
        <v>2</v>
      </c>
      <c r="AJ878">
        <v>2</v>
      </c>
      <c r="AK878" t="b">
        <f>Table67[[#This Row],[What is your age?]]&lt;&gt;"18 - 25"</f>
        <v>0</v>
      </c>
      <c r="AL878" t="b">
        <f t="shared" si="52"/>
        <v>0</v>
      </c>
      <c r="AM878" t="b">
        <f t="shared" si="53"/>
        <v>0</v>
      </c>
      <c r="AN878" t="b">
        <f t="shared" si="54"/>
        <v>1</v>
      </c>
      <c r="AO878" t="b">
        <f>OR(Table67[[#This Row],[Ineligible respondents]:[Inconsistent response on opposite question (3)]])</f>
        <v>1</v>
      </c>
      <c r="AP87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878">
        <f>Table67[[#This Row],[Extreme Response]]/21</f>
        <v>0</v>
      </c>
      <c r="AR878">
        <f>_xlfn.PERCENTILE.INC(Table67[Extrem Response Ratio (ERS)],0.9)</f>
        <v>0.61904761904761907</v>
      </c>
      <c r="AS878" t="b">
        <f>Table67[[#This Row],[Extrem Response Ratio (ERS)]]&gt;=Table67[[#This Row],[Threshold of ERS]]</f>
        <v>0</v>
      </c>
      <c r="AT878">
        <f>COUNTIF(Table67[[#This Row],[The mechanism of digital assets is difficult to understand, which discourages me from exploring it (E.g, Tokenization, Blockchain)]:[If I want to try different ways to invest, I will explore digital assets.]], 3)</f>
        <v>9</v>
      </c>
      <c r="AU878">
        <f>Table67[[#This Row],[Midpoint]]/21</f>
        <v>0.42857142857142855</v>
      </c>
      <c r="AV878">
        <f>_xlfn.PERCENTILE.INC(Table67[Midpoint ratio],0.9)</f>
        <v>0.5714285714285714</v>
      </c>
      <c r="AW878" t="b">
        <f>Table67[[#This Row],[Midpoint ratio]]&gt;=Table67[[#This Row],[Threshold of Midpoint ratio]]</f>
        <v>0</v>
      </c>
      <c r="AX878" t="b">
        <f>OR(Table67[[#This Row],[Extreme Response Style]],Table67[[#This Row],[Mid-point Response Style]])</f>
        <v>0</v>
      </c>
      <c r="AY878" t="b">
        <f>OR(Table67[[#This Row],[Delete? (Stage 1)]],Table67[[#This Row],[Delete? (Stage 2)]])</f>
        <v>1</v>
      </c>
      <c r="AZ878" t="s">
        <v>84</v>
      </c>
    </row>
    <row r="879" spans="1:52">
      <c r="A879">
        <f t="shared" si="55"/>
        <v>878</v>
      </c>
      <c r="B879" s="3">
        <v>46056.874814814801</v>
      </c>
      <c r="C879" s="3">
        <v>46056.877442129597</v>
      </c>
      <c r="D879" t="s">
        <v>53</v>
      </c>
      <c r="G879" t="s">
        <v>54</v>
      </c>
      <c r="H879" t="s">
        <v>55</v>
      </c>
      <c r="I879" t="s">
        <v>75</v>
      </c>
      <c r="J879" t="s">
        <v>62</v>
      </c>
      <c r="K879" t="s">
        <v>57</v>
      </c>
      <c r="L879" t="s">
        <v>58</v>
      </c>
      <c r="M879" t="s">
        <v>58</v>
      </c>
      <c r="N879">
        <v>4</v>
      </c>
      <c r="O879">
        <v>1</v>
      </c>
      <c r="P879">
        <v>3</v>
      </c>
      <c r="Q879">
        <v>4</v>
      </c>
      <c r="R879">
        <v>1</v>
      </c>
      <c r="S879">
        <v>2</v>
      </c>
      <c r="T879">
        <v>4</v>
      </c>
      <c r="U879">
        <v>5</v>
      </c>
      <c r="V879">
        <v>2</v>
      </c>
      <c r="W879">
        <v>4</v>
      </c>
      <c r="X879">
        <v>2</v>
      </c>
      <c r="Y879">
        <v>4</v>
      </c>
      <c r="Z879">
        <v>4</v>
      </c>
      <c r="AA879">
        <v>3</v>
      </c>
      <c r="AB879">
        <v>4</v>
      </c>
      <c r="AC879">
        <v>3</v>
      </c>
      <c r="AD879">
        <v>4</v>
      </c>
      <c r="AE879">
        <v>2</v>
      </c>
      <c r="AF879">
        <v>3</v>
      </c>
      <c r="AG879">
        <v>4</v>
      </c>
      <c r="AH879">
        <v>4</v>
      </c>
      <c r="AI879">
        <v>2</v>
      </c>
      <c r="AJ879">
        <v>3</v>
      </c>
      <c r="AK879" t="b">
        <f>Table67[[#This Row],[What is your age?]]&lt;&gt;"18 - 25"</f>
        <v>0</v>
      </c>
      <c r="AL879" t="b">
        <f t="shared" si="52"/>
        <v>0</v>
      </c>
      <c r="AM879" t="b">
        <f t="shared" si="53"/>
        <v>1</v>
      </c>
      <c r="AN879" t="b">
        <f t="shared" si="54"/>
        <v>0</v>
      </c>
      <c r="AO879" t="b">
        <f>OR(Table67[[#This Row],[Ineligible respondents]:[Inconsistent response on opposite question (3)]])</f>
        <v>1</v>
      </c>
      <c r="AP87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879">
        <f>Table67[[#This Row],[Extreme Response]]/21</f>
        <v>0.14285714285714285</v>
      </c>
      <c r="AR879">
        <f>_xlfn.PERCENTILE.INC(Table67[Extrem Response Ratio (ERS)],0.9)</f>
        <v>0.61904761904761907</v>
      </c>
      <c r="AS879" t="b">
        <f>Table67[[#This Row],[Extrem Response Ratio (ERS)]]&gt;=Table67[[#This Row],[Threshold of ERS]]</f>
        <v>0</v>
      </c>
      <c r="AT879">
        <f>COUNTIF(Table67[[#This Row],[The mechanism of digital assets is difficult to understand, which discourages me from exploring it (E.g, Tokenization, Blockchain)]:[If I want to try different ways to invest, I will explore digital assets.]], 3)</f>
        <v>4</v>
      </c>
      <c r="AU879">
        <f>Table67[[#This Row],[Midpoint]]/21</f>
        <v>0.19047619047619047</v>
      </c>
      <c r="AV879">
        <f>_xlfn.PERCENTILE.INC(Table67[Midpoint ratio],0.9)</f>
        <v>0.5714285714285714</v>
      </c>
      <c r="AW879" t="b">
        <f>Table67[[#This Row],[Midpoint ratio]]&gt;=Table67[[#This Row],[Threshold of Midpoint ratio]]</f>
        <v>0</v>
      </c>
      <c r="AX879" t="b">
        <f>OR(Table67[[#This Row],[Extreme Response Style]],Table67[[#This Row],[Mid-point Response Style]])</f>
        <v>0</v>
      </c>
      <c r="AY879" t="b">
        <f>OR(Table67[[#This Row],[Delete? (Stage 1)]],Table67[[#This Row],[Delete? (Stage 2)]])</f>
        <v>1</v>
      </c>
      <c r="AZ879" t="s">
        <v>84</v>
      </c>
    </row>
    <row r="880" spans="1:52">
      <c r="A880">
        <f t="shared" si="55"/>
        <v>879</v>
      </c>
      <c r="B880" s="3">
        <v>46056.874814814801</v>
      </c>
      <c r="C880" s="3">
        <v>46056.882060185198</v>
      </c>
      <c r="D880" t="s">
        <v>53</v>
      </c>
      <c r="G880" t="s">
        <v>54</v>
      </c>
      <c r="H880" t="s">
        <v>63</v>
      </c>
      <c r="I880" t="s">
        <v>75</v>
      </c>
      <c r="J880" t="s">
        <v>62</v>
      </c>
      <c r="K880" t="s">
        <v>57</v>
      </c>
      <c r="L880" t="s">
        <v>58</v>
      </c>
      <c r="M880" t="s">
        <v>58</v>
      </c>
      <c r="N880">
        <v>2</v>
      </c>
      <c r="O880">
        <v>2</v>
      </c>
      <c r="P880">
        <v>4</v>
      </c>
      <c r="Q880">
        <v>4</v>
      </c>
      <c r="R880">
        <v>2</v>
      </c>
      <c r="S880">
        <v>2</v>
      </c>
      <c r="T880">
        <v>3</v>
      </c>
      <c r="U880">
        <v>3</v>
      </c>
      <c r="V880">
        <v>3</v>
      </c>
      <c r="W880">
        <v>3</v>
      </c>
      <c r="X880">
        <v>2</v>
      </c>
      <c r="Y880">
        <v>2</v>
      </c>
      <c r="Z880">
        <v>3</v>
      </c>
      <c r="AA880">
        <v>2</v>
      </c>
      <c r="AB880">
        <v>3</v>
      </c>
      <c r="AC880">
        <v>3</v>
      </c>
      <c r="AD880">
        <v>4</v>
      </c>
      <c r="AE880">
        <v>4</v>
      </c>
      <c r="AF880">
        <v>3</v>
      </c>
      <c r="AG880">
        <v>3</v>
      </c>
      <c r="AH880">
        <v>3</v>
      </c>
      <c r="AI880">
        <v>3</v>
      </c>
      <c r="AJ880">
        <v>3</v>
      </c>
      <c r="AK880" t="b">
        <f>Table67[[#This Row],[What is your age?]]&lt;&gt;"18 - 25"</f>
        <v>0</v>
      </c>
      <c r="AL880" t="b">
        <f t="shared" si="52"/>
        <v>0</v>
      </c>
      <c r="AM880" t="b">
        <f t="shared" si="53"/>
        <v>0</v>
      </c>
      <c r="AN880" t="b">
        <f t="shared" si="54"/>
        <v>0</v>
      </c>
      <c r="AO880" t="b">
        <f>OR(Table67[[#This Row],[Ineligible respondents]:[Inconsistent response on opposite question (3)]])</f>
        <v>0</v>
      </c>
      <c r="AP88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880">
        <f>Table67[[#This Row],[Extreme Response]]/21</f>
        <v>0</v>
      </c>
      <c r="AR880">
        <f>_xlfn.PERCENTILE.INC(Table67[Extrem Response Ratio (ERS)],0.9)</f>
        <v>0.61904761904761907</v>
      </c>
      <c r="AS880" t="b">
        <f>Table67[[#This Row],[Extrem Response Ratio (ERS)]]&gt;=Table67[[#This Row],[Threshold of ERS]]</f>
        <v>0</v>
      </c>
      <c r="AT880">
        <f>COUNTIF(Table67[[#This Row],[The mechanism of digital assets is difficult to understand, which discourages me from exploring it (E.g, Tokenization, Blockchain)]:[If I want to try different ways to invest, I will explore digital assets.]], 3)</f>
        <v>10</v>
      </c>
      <c r="AU880">
        <f>Table67[[#This Row],[Midpoint]]/21</f>
        <v>0.47619047619047616</v>
      </c>
      <c r="AV880">
        <f>_xlfn.PERCENTILE.INC(Table67[Midpoint ratio],0.9)</f>
        <v>0.5714285714285714</v>
      </c>
      <c r="AW880" t="b">
        <f>Table67[[#This Row],[Midpoint ratio]]&gt;=Table67[[#This Row],[Threshold of Midpoint ratio]]</f>
        <v>0</v>
      </c>
      <c r="AX880" t="b">
        <f>OR(Table67[[#This Row],[Extreme Response Style]],Table67[[#This Row],[Mid-point Response Style]])</f>
        <v>0</v>
      </c>
      <c r="AY880" t="b">
        <f>OR(Table67[[#This Row],[Delete? (Stage 1)]],Table67[[#This Row],[Delete? (Stage 2)]])</f>
        <v>0</v>
      </c>
      <c r="AZ880" t="s">
        <v>84</v>
      </c>
    </row>
    <row r="881" spans="1:52">
      <c r="A881">
        <f t="shared" si="55"/>
        <v>880</v>
      </c>
      <c r="B881" s="3">
        <v>46056.874826388899</v>
      </c>
      <c r="C881" s="3">
        <v>46056.876990740697</v>
      </c>
      <c r="D881" t="s">
        <v>53</v>
      </c>
      <c r="G881" t="s">
        <v>54</v>
      </c>
      <c r="H881" t="s">
        <v>63</v>
      </c>
      <c r="I881" t="s">
        <v>56</v>
      </c>
      <c r="J881" t="s">
        <v>64</v>
      </c>
      <c r="K881" t="s">
        <v>62</v>
      </c>
      <c r="L881" t="s">
        <v>58</v>
      </c>
      <c r="M881" t="s">
        <v>58</v>
      </c>
      <c r="N881">
        <v>3</v>
      </c>
      <c r="O881">
        <v>3</v>
      </c>
      <c r="P881">
        <v>3</v>
      </c>
      <c r="Q881">
        <v>3</v>
      </c>
      <c r="R881">
        <v>3</v>
      </c>
      <c r="S881">
        <v>3</v>
      </c>
      <c r="T881">
        <v>3</v>
      </c>
      <c r="U881">
        <v>3</v>
      </c>
      <c r="V881">
        <v>3</v>
      </c>
      <c r="W881">
        <v>3</v>
      </c>
      <c r="X881">
        <v>3</v>
      </c>
      <c r="Y881">
        <v>3</v>
      </c>
      <c r="Z881">
        <v>3</v>
      </c>
      <c r="AA881">
        <v>3</v>
      </c>
      <c r="AB881">
        <v>3</v>
      </c>
      <c r="AC881">
        <v>3</v>
      </c>
      <c r="AD881">
        <v>3</v>
      </c>
      <c r="AE881">
        <v>3</v>
      </c>
      <c r="AF881">
        <v>3</v>
      </c>
      <c r="AG881">
        <v>3</v>
      </c>
      <c r="AH881">
        <v>3</v>
      </c>
      <c r="AI881">
        <v>3</v>
      </c>
      <c r="AJ881">
        <v>3</v>
      </c>
      <c r="AK881" t="b">
        <f>Table67[[#This Row],[What is your age?]]&lt;&gt;"18 - 25"</f>
        <v>0</v>
      </c>
      <c r="AL881" t="b">
        <f t="shared" si="52"/>
        <v>1</v>
      </c>
      <c r="AM881" t="b">
        <f t="shared" si="53"/>
        <v>0</v>
      </c>
      <c r="AN881" t="b">
        <f t="shared" si="54"/>
        <v>0</v>
      </c>
      <c r="AO881" t="b">
        <f>OR(Table67[[#This Row],[Ineligible respondents]:[Inconsistent response on opposite question (3)]])</f>
        <v>1</v>
      </c>
      <c r="AP88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881">
        <f>Table67[[#This Row],[Extreme Response]]/21</f>
        <v>0</v>
      </c>
      <c r="AR881">
        <f>_xlfn.PERCENTILE.INC(Table67[Extrem Response Ratio (ERS)],0.9)</f>
        <v>0.61904761904761907</v>
      </c>
      <c r="AS881" t="b">
        <f>Table67[[#This Row],[Extrem Response Ratio (ERS)]]&gt;=Table67[[#This Row],[Threshold of ERS]]</f>
        <v>0</v>
      </c>
      <c r="AT881">
        <f>COUNTIF(Table67[[#This Row],[The mechanism of digital assets is difficult to understand, which discourages me from exploring it (E.g, Tokenization, Blockchain)]:[If I want to try different ways to invest, I will explore digital assets.]], 3)</f>
        <v>21</v>
      </c>
      <c r="AU881">
        <f>Table67[[#This Row],[Midpoint]]/21</f>
        <v>1</v>
      </c>
      <c r="AV881">
        <f>_xlfn.PERCENTILE.INC(Table67[Midpoint ratio],0.9)</f>
        <v>0.5714285714285714</v>
      </c>
      <c r="AW881" t="b">
        <f>Table67[[#This Row],[Midpoint ratio]]&gt;=Table67[[#This Row],[Threshold of Midpoint ratio]]</f>
        <v>1</v>
      </c>
      <c r="AX881" t="b">
        <f>OR(Table67[[#This Row],[Extreme Response Style]],Table67[[#This Row],[Mid-point Response Style]])</f>
        <v>1</v>
      </c>
      <c r="AY881" t="b">
        <f>OR(Table67[[#This Row],[Delete? (Stage 1)]],Table67[[#This Row],[Delete? (Stage 2)]])</f>
        <v>1</v>
      </c>
      <c r="AZ881" t="s">
        <v>84</v>
      </c>
    </row>
    <row r="882" spans="1:52">
      <c r="A882">
        <f t="shared" si="55"/>
        <v>881</v>
      </c>
      <c r="B882" s="3">
        <v>46056.874826388899</v>
      </c>
      <c r="C882" s="3">
        <v>46056.879560185203</v>
      </c>
      <c r="D882" t="s">
        <v>53</v>
      </c>
      <c r="G882" t="s">
        <v>54</v>
      </c>
      <c r="H882" t="s">
        <v>55</v>
      </c>
      <c r="I882" t="s">
        <v>56</v>
      </c>
      <c r="J882" t="s">
        <v>57</v>
      </c>
      <c r="K882" t="s">
        <v>57</v>
      </c>
      <c r="L882" t="s">
        <v>58</v>
      </c>
      <c r="M882" t="s">
        <v>61</v>
      </c>
      <c r="N882">
        <v>5</v>
      </c>
      <c r="O882">
        <v>4</v>
      </c>
      <c r="P882">
        <v>4</v>
      </c>
      <c r="Q882">
        <v>3</v>
      </c>
      <c r="R882">
        <v>5</v>
      </c>
      <c r="S882">
        <v>5</v>
      </c>
      <c r="T882">
        <v>2</v>
      </c>
      <c r="U882">
        <v>5</v>
      </c>
      <c r="V882">
        <v>5</v>
      </c>
      <c r="W882">
        <v>1</v>
      </c>
      <c r="X882">
        <v>3</v>
      </c>
      <c r="Y882">
        <v>5</v>
      </c>
      <c r="Z882">
        <v>5</v>
      </c>
      <c r="AA882">
        <v>5</v>
      </c>
      <c r="AB882">
        <v>1</v>
      </c>
      <c r="AC882">
        <v>5</v>
      </c>
      <c r="AD882">
        <v>5</v>
      </c>
      <c r="AE882">
        <v>1</v>
      </c>
      <c r="AF882">
        <v>2</v>
      </c>
      <c r="AG882">
        <v>5</v>
      </c>
      <c r="AH882">
        <v>1</v>
      </c>
      <c r="AI882">
        <v>5</v>
      </c>
      <c r="AJ882">
        <v>4</v>
      </c>
      <c r="AK882" t="b">
        <f>Table67[[#This Row],[What is your age?]]&lt;&gt;"18 - 25"</f>
        <v>0</v>
      </c>
      <c r="AL882" t="b">
        <f t="shared" si="52"/>
        <v>0</v>
      </c>
      <c r="AM882" t="b">
        <f t="shared" si="53"/>
        <v>0</v>
      </c>
      <c r="AN882" t="b">
        <f t="shared" si="54"/>
        <v>0</v>
      </c>
      <c r="AO882" t="b">
        <f>OR(Table67[[#This Row],[Ineligible respondents]:[Inconsistent response on opposite question (3)]])</f>
        <v>0</v>
      </c>
      <c r="AP88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882">
        <f>Table67[[#This Row],[Extreme Response]]/21</f>
        <v>0.7142857142857143</v>
      </c>
      <c r="AR882">
        <f>_xlfn.PERCENTILE.INC(Table67[Extrem Response Ratio (ERS)],0.9)</f>
        <v>0.61904761904761907</v>
      </c>
      <c r="AS882" t="b">
        <f>Table67[[#This Row],[Extrem Response Ratio (ERS)]]&gt;=Table67[[#This Row],[Threshold of ERS]]</f>
        <v>1</v>
      </c>
      <c r="AT882">
        <f>COUNTIF(Table67[[#This Row],[The mechanism of digital assets is difficult to understand, which discourages me from exploring it (E.g, Tokenization, Blockchain)]:[If I want to try different ways to invest, I will explore digital assets.]], 3)</f>
        <v>2</v>
      </c>
      <c r="AU882">
        <f>Table67[[#This Row],[Midpoint]]/21</f>
        <v>9.5238095238095233E-2</v>
      </c>
      <c r="AV882">
        <f>_xlfn.PERCENTILE.INC(Table67[Midpoint ratio],0.9)</f>
        <v>0.5714285714285714</v>
      </c>
      <c r="AW882" t="b">
        <f>Table67[[#This Row],[Midpoint ratio]]&gt;=Table67[[#This Row],[Threshold of Midpoint ratio]]</f>
        <v>0</v>
      </c>
      <c r="AX882" t="b">
        <f>OR(Table67[[#This Row],[Extreme Response Style]],Table67[[#This Row],[Mid-point Response Style]])</f>
        <v>1</v>
      </c>
      <c r="AY882" t="b">
        <f>OR(Table67[[#This Row],[Delete? (Stage 1)]],Table67[[#This Row],[Delete? (Stage 2)]])</f>
        <v>1</v>
      </c>
      <c r="AZ882" t="s">
        <v>84</v>
      </c>
    </row>
    <row r="883" spans="1:52">
      <c r="A883">
        <f t="shared" si="55"/>
        <v>882</v>
      </c>
      <c r="B883" s="3">
        <v>46056.8748611111</v>
      </c>
      <c r="C883" s="3">
        <v>46056.882442129601</v>
      </c>
      <c r="D883" t="s">
        <v>53</v>
      </c>
      <c r="G883" t="s">
        <v>54</v>
      </c>
      <c r="H883" t="s">
        <v>63</v>
      </c>
      <c r="I883" t="s">
        <v>56</v>
      </c>
      <c r="J883" t="s">
        <v>57</v>
      </c>
      <c r="K883" t="s">
        <v>62</v>
      </c>
      <c r="L883" t="s">
        <v>61</v>
      </c>
      <c r="M883" t="s">
        <v>61</v>
      </c>
      <c r="N883">
        <v>4</v>
      </c>
      <c r="O883">
        <v>5</v>
      </c>
      <c r="P883">
        <v>4</v>
      </c>
      <c r="Q883">
        <v>1</v>
      </c>
      <c r="R883">
        <v>2</v>
      </c>
      <c r="S883">
        <v>2</v>
      </c>
      <c r="T883">
        <v>1</v>
      </c>
      <c r="U883">
        <v>2</v>
      </c>
      <c r="V883">
        <v>2</v>
      </c>
      <c r="W883">
        <v>2</v>
      </c>
      <c r="X883">
        <v>1</v>
      </c>
      <c r="Y883">
        <v>2</v>
      </c>
      <c r="Z883">
        <v>4</v>
      </c>
      <c r="AA883">
        <v>3</v>
      </c>
      <c r="AB883">
        <v>2</v>
      </c>
      <c r="AC883">
        <v>2</v>
      </c>
      <c r="AD883">
        <v>2</v>
      </c>
      <c r="AE883">
        <v>1</v>
      </c>
      <c r="AF883">
        <v>5</v>
      </c>
      <c r="AG883">
        <v>4</v>
      </c>
      <c r="AH883">
        <v>4</v>
      </c>
      <c r="AI883">
        <v>2</v>
      </c>
      <c r="AJ883">
        <v>1</v>
      </c>
      <c r="AK883" t="b">
        <f>Table67[[#This Row],[What is your age?]]&lt;&gt;"18 - 25"</f>
        <v>0</v>
      </c>
      <c r="AL883" t="b">
        <f t="shared" si="52"/>
        <v>0</v>
      </c>
      <c r="AM883" t="b">
        <f t="shared" si="53"/>
        <v>1</v>
      </c>
      <c r="AN883" t="b">
        <f t="shared" si="54"/>
        <v>0</v>
      </c>
      <c r="AO883" t="b">
        <f>OR(Table67[[#This Row],[Ineligible respondents]:[Inconsistent response on opposite question (3)]])</f>
        <v>1</v>
      </c>
      <c r="AP88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883">
        <f>Table67[[#This Row],[Extreme Response]]/21</f>
        <v>0.2857142857142857</v>
      </c>
      <c r="AR883">
        <f>_xlfn.PERCENTILE.INC(Table67[Extrem Response Ratio (ERS)],0.9)</f>
        <v>0.61904761904761907</v>
      </c>
      <c r="AS883" t="b">
        <f>Table67[[#This Row],[Extrem Response Ratio (ERS)]]&gt;=Table67[[#This Row],[Threshold of ERS]]</f>
        <v>0</v>
      </c>
      <c r="AT883">
        <f>COUNTIF(Table67[[#This Row],[The mechanism of digital assets is difficult to understand, which discourages me from exploring it (E.g, Tokenization, Blockchain)]:[If I want to try different ways to invest, I will explore digital assets.]], 3)</f>
        <v>1</v>
      </c>
      <c r="AU883">
        <f>Table67[[#This Row],[Midpoint]]/21</f>
        <v>4.7619047619047616E-2</v>
      </c>
      <c r="AV883">
        <f>_xlfn.PERCENTILE.INC(Table67[Midpoint ratio],0.9)</f>
        <v>0.5714285714285714</v>
      </c>
      <c r="AW883" t="b">
        <f>Table67[[#This Row],[Midpoint ratio]]&gt;=Table67[[#This Row],[Threshold of Midpoint ratio]]</f>
        <v>0</v>
      </c>
      <c r="AX883" t="b">
        <f>OR(Table67[[#This Row],[Extreme Response Style]],Table67[[#This Row],[Mid-point Response Style]])</f>
        <v>0</v>
      </c>
      <c r="AY883" t="b">
        <f>OR(Table67[[#This Row],[Delete? (Stage 1)]],Table67[[#This Row],[Delete? (Stage 2)]])</f>
        <v>1</v>
      </c>
      <c r="AZ883" t="s">
        <v>84</v>
      </c>
    </row>
    <row r="884" spans="1:52">
      <c r="A884">
        <f t="shared" si="55"/>
        <v>883</v>
      </c>
      <c r="B884" s="3">
        <v>46056.874895833302</v>
      </c>
      <c r="C884" s="3">
        <v>46056.8830787037</v>
      </c>
      <c r="D884" t="s">
        <v>53</v>
      </c>
      <c r="G884" t="s">
        <v>54</v>
      </c>
      <c r="H884" t="s">
        <v>63</v>
      </c>
      <c r="I884" t="s">
        <v>56</v>
      </c>
      <c r="J884" t="s">
        <v>60</v>
      </c>
      <c r="K884" t="s">
        <v>62</v>
      </c>
      <c r="L884" t="s">
        <v>61</v>
      </c>
      <c r="M884" t="s">
        <v>61</v>
      </c>
      <c r="N884">
        <v>4</v>
      </c>
      <c r="O884">
        <v>2</v>
      </c>
      <c r="P884">
        <v>4</v>
      </c>
      <c r="Q884">
        <v>3</v>
      </c>
      <c r="R884">
        <v>4</v>
      </c>
      <c r="S884">
        <v>5</v>
      </c>
      <c r="T884">
        <v>2</v>
      </c>
      <c r="U884">
        <v>5</v>
      </c>
      <c r="V884">
        <v>4</v>
      </c>
      <c r="W884">
        <v>3</v>
      </c>
      <c r="X884">
        <v>2</v>
      </c>
      <c r="Y884">
        <v>4</v>
      </c>
      <c r="Z884">
        <v>4</v>
      </c>
      <c r="AA884">
        <v>4</v>
      </c>
      <c r="AB884">
        <v>5</v>
      </c>
      <c r="AC884">
        <v>4</v>
      </c>
      <c r="AD884">
        <v>2</v>
      </c>
      <c r="AE884">
        <v>4</v>
      </c>
      <c r="AF884">
        <v>5</v>
      </c>
      <c r="AG884">
        <v>5</v>
      </c>
      <c r="AH884">
        <v>4</v>
      </c>
      <c r="AI884">
        <v>2</v>
      </c>
      <c r="AJ884">
        <v>1</v>
      </c>
      <c r="AK884" t="b">
        <f>Table67[[#This Row],[What is your age?]]&lt;&gt;"18 - 25"</f>
        <v>0</v>
      </c>
      <c r="AL884" t="b">
        <f t="shared" si="52"/>
        <v>0</v>
      </c>
      <c r="AM884" t="b">
        <f t="shared" si="53"/>
        <v>1</v>
      </c>
      <c r="AN884" t="b">
        <f t="shared" si="54"/>
        <v>0</v>
      </c>
      <c r="AO884" t="b">
        <f>OR(Table67[[#This Row],[Ineligible respondents]:[Inconsistent response on opposite question (3)]])</f>
        <v>1</v>
      </c>
      <c r="AP88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884">
        <f>Table67[[#This Row],[Extreme Response]]/21</f>
        <v>0.23809523809523808</v>
      </c>
      <c r="AR884">
        <f>_xlfn.PERCENTILE.INC(Table67[Extrem Response Ratio (ERS)],0.9)</f>
        <v>0.61904761904761907</v>
      </c>
      <c r="AS884" t="b">
        <f>Table67[[#This Row],[Extrem Response Ratio (ERS)]]&gt;=Table67[[#This Row],[Threshold of ERS]]</f>
        <v>0</v>
      </c>
      <c r="AT884">
        <f>COUNTIF(Table67[[#This Row],[The mechanism of digital assets is difficult to understand, which discourages me from exploring it (E.g, Tokenization, Blockchain)]:[If I want to try different ways to invest, I will explore digital assets.]], 3)</f>
        <v>2</v>
      </c>
      <c r="AU884">
        <f>Table67[[#This Row],[Midpoint]]/21</f>
        <v>9.5238095238095233E-2</v>
      </c>
      <c r="AV884">
        <f>_xlfn.PERCENTILE.INC(Table67[Midpoint ratio],0.9)</f>
        <v>0.5714285714285714</v>
      </c>
      <c r="AW884" t="b">
        <f>Table67[[#This Row],[Midpoint ratio]]&gt;=Table67[[#This Row],[Threshold of Midpoint ratio]]</f>
        <v>0</v>
      </c>
      <c r="AX884" t="b">
        <f>OR(Table67[[#This Row],[Extreme Response Style]],Table67[[#This Row],[Mid-point Response Style]])</f>
        <v>0</v>
      </c>
      <c r="AY884" t="b">
        <f>OR(Table67[[#This Row],[Delete? (Stage 1)]],Table67[[#This Row],[Delete? (Stage 2)]])</f>
        <v>1</v>
      </c>
      <c r="AZ884" t="s">
        <v>84</v>
      </c>
    </row>
    <row r="885" spans="1:52">
      <c r="A885">
        <f t="shared" si="55"/>
        <v>884</v>
      </c>
      <c r="B885" s="3">
        <v>46056.8749074074</v>
      </c>
      <c r="C885" s="3">
        <v>46056.880451388897</v>
      </c>
      <c r="D885" t="s">
        <v>53</v>
      </c>
      <c r="G885" t="s">
        <v>54</v>
      </c>
      <c r="H885" t="s">
        <v>63</v>
      </c>
      <c r="I885" t="s">
        <v>56</v>
      </c>
      <c r="J885" t="s">
        <v>62</v>
      </c>
      <c r="K885" t="s">
        <v>57</v>
      </c>
      <c r="L885" t="s">
        <v>58</v>
      </c>
      <c r="M885" t="s">
        <v>58</v>
      </c>
      <c r="N885">
        <v>4</v>
      </c>
      <c r="O885">
        <v>1</v>
      </c>
      <c r="P885">
        <v>4</v>
      </c>
      <c r="Q885">
        <v>4</v>
      </c>
      <c r="R885">
        <v>4</v>
      </c>
      <c r="S885">
        <v>5</v>
      </c>
      <c r="T885">
        <v>4</v>
      </c>
      <c r="U885">
        <v>5</v>
      </c>
      <c r="V885">
        <v>5</v>
      </c>
      <c r="W885">
        <v>2</v>
      </c>
      <c r="X885">
        <v>4</v>
      </c>
      <c r="Y885">
        <v>3</v>
      </c>
      <c r="Z885">
        <v>4</v>
      </c>
      <c r="AA885">
        <v>4</v>
      </c>
      <c r="AB885">
        <v>3</v>
      </c>
      <c r="AC885">
        <v>4</v>
      </c>
      <c r="AD885">
        <v>5</v>
      </c>
      <c r="AE885">
        <v>4</v>
      </c>
      <c r="AF885">
        <v>2</v>
      </c>
      <c r="AG885">
        <v>4</v>
      </c>
      <c r="AH885">
        <v>3</v>
      </c>
      <c r="AI885">
        <v>3</v>
      </c>
      <c r="AJ885">
        <v>4</v>
      </c>
      <c r="AK885" t="b">
        <f>Table67[[#This Row],[What is your age?]]&lt;&gt;"18 - 25"</f>
        <v>0</v>
      </c>
      <c r="AL885" t="b">
        <f t="shared" si="52"/>
        <v>0</v>
      </c>
      <c r="AM885" t="b">
        <f t="shared" si="53"/>
        <v>0</v>
      </c>
      <c r="AN885" t="b">
        <f t="shared" si="54"/>
        <v>1</v>
      </c>
      <c r="AO885" t="b">
        <f>OR(Table67[[#This Row],[Ineligible respondents]:[Inconsistent response on opposite question (3)]])</f>
        <v>1</v>
      </c>
      <c r="AP88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885">
        <f>Table67[[#This Row],[Extreme Response]]/21</f>
        <v>0.23809523809523808</v>
      </c>
      <c r="AR885">
        <f>_xlfn.PERCENTILE.INC(Table67[Extrem Response Ratio (ERS)],0.9)</f>
        <v>0.61904761904761907</v>
      </c>
      <c r="AS885" t="b">
        <f>Table67[[#This Row],[Extrem Response Ratio (ERS)]]&gt;=Table67[[#This Row],[Threshold of ERS]]</f>
        <v>0</v>
      </c>
      <c r="AT885">
        <f>COUNTIF(Table67[[#This Row],[The mechanism of digital assets is difficult to understand, which discourages me from exploring it (E.g, Tokenization, Blockchain)]:[If I want to try different ways to invest, I will explore digital assets.]], 3)</f>
        <v>3</v>
      </c>
      <c r="AU885">
        <f>Table67[[#This Row],[Midpoint]]/21</f>
        <v>0.14285714285714285</v>
      </c>
      <c r="AV885">
        <f>_xlfn.PERCENTILE.INC(Table67[Midpoint ratio],0.9)</f>
        <v>0.5714285714285714</v>
      </c>
      <c r="AW885" t="b">
        <f>Table67[[#This Row],[Midpoint ratio]]&gt;=Table67[[#This Row],[Threshold of Midpoint ratio]]</f>
        <v>0</v>
      </c>
      <c r="AX885" t="b">
        <f>OR(Table67[[#This Row],[Extreme Response Style]],Table67[[#This Row],[Mid-point Response Style]])</f>
        <v>0</v>
      </c>
      <c r="AY885" t="b">
        <f>OR(Table67[[#This Row],[Delete? (Stage 1)]],Table67[[#This Row],[Delete? (Stage 2)]])</f>
        <v>1</v>
      </c>
      <c r="AZ885" t="s">
        <v>84</v>
      </c>
    </row>
    <row r="886" spans="1:52">
      <c r="A886">
        <f t="shared" si="55"/>
        <v>885</v>
      </c>
      <c r="B886" s="3">
        <v>46056.874918981499</v>
      </c>
      <c r="C886" s="3">
        <v>46056.876956018503</v>
      </c>
      <c r="D886" t="s">
        <v>53</v>
      </c>
      <c r="G886" t="s">
        <v>54</v>
      </c>
      <c r="H886" t="s">
        <v>63</v>
      </c>
      <c r="I886" t="s">
        <v>56</v>
      </c>
      <c r="J886" t="s">
        <v>62</v>
      </c>
      <c r="K886" t="s">
        <v>62</v>
      </c>
      <c r="L886" t="s">
        <v>61</v>
      </c>
      <c r="M886" t="s">
        <v>58</v>
      </c>
      <c r="N886">
        <v>3</v>
      </c>
      <c r="O886">
        <v>3</v>
      </c>
      <c r="P886">
        <v>3</v>
      </c>
      <c r="Q886">
        <v>3</v>
      </c>
      <c r="R886">
        <v>2</v>
      </c>
      <c r="S886">
        <v>3</v>
      </c>
      <c r="T886">
        <v>2</v>
      </c>
      <c r="U886">
        <v>4</v>
      </c>
      <c r="V886">
        <v>3</v>
      </c>
      <c r="W886">
        <v>3</v>
      </c>
      <c r="X886">
        <v>2</v>
      </c>
      <c r="Y886">
        <v>2</v>
      </c>
      <c r="Z886">
        <v>3</v>
      </c>
      <c r="AA886">
        <v>3</v>
      </c>
      <c r="AB886">
        <v>3</v>
      </c>
      <c r="AC886">
        <v>2</v>
      </c>
      <c r="AD886">
        <v>3</v>
      </c>
      <c r="AE886">
        <v>2</v>
      </c>
      <c r="AF886">
        <v>3</v>
      </c>
      <c r="AG886">
        <v>2</v>
      </c>
      <c r="AH886">
        <v>3</v>
      </c>
      <c r="AI886">
        <v>3</v>
      </c>
      <c r="AJ886">
        <v>3</v>
      </c>
      <c r="AK886" t="b">
        <f>Table67[[#This Row],[What is your age?]]&lt;&gt;"18 - 25"</f>
        <v>0</v>
      </c>
      <c r="AL886" t="b">
        <f t="shared" si="52"/>
        <v>0</v>
      </c>
      <c r="AM886" t="b">
        <f t="shared" si="53"/>
        <v>0</v>
      </c>
      <c r="AN886" t="b">
        <f t="shared" si="54"/>
        <v>1</v>
      </c>
      <c r="AO886" t="b">
        <f>OR(Table67[[#This Row],[Ineligible respondents]:[Inconsistent response on opposite question (3)]])</f>
        <v>1</v>
      </c>
      <c r="AP88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886">
        <f>Table67[[#This Row],[Extreme Response]]/21</f>
        <v>0</v>
      </c>
      <c r="AR886">
        <f>_xlfn.PERCENTILE.INC(Table67[Extrem Response Ratio (ERS)],0.9)</f>
        <v>0.61904761904761907</v>
      </c>
      <c r="AS886" t="b">
        <f>Table67[[#This Row],[Extrem Response Ratio (ERS)]]&gt;=Table67[[#This Row],[Threshold of ERS]]</f>
        <v>0</v>
      </c>
      <c r="AT886">
        <f>COUNTIF(Table67[[#This Row],[The mechanism of digital assets is difficult to understand, which discourages me from exploring it (E.g, Tokenization, Blockchain)]:[If I want to try different ways to invest, I will explore digital assets.]], 3)</f>
        <v>13</v>
      </c>
      <c r="AU886">
        <f>Table67[[#This Row],[Midpoint]]/21</f>
        <v>0.61904761904761907</v>
      </c>
      <c r="AV886">
        <f>_xlfn.PERCENTILE.INC(Table67[Midpoint ratio],0.9)</f>
        <v>0.5714285714285714</v>
      </c>
      <c r="AW886" t="b">
        <f>Table67[[#This Row],[Midpoint ratio]]&gt;=Table67[[#This Row],[Threshold of Midpoint ratio]]</f>
        <v>1</v>
      </c>
      <c r="AX886" t="b">
        <f>OR(Table67[[#This Row],[Extreme Response Style]],Table67[[#This Row],[Mid-point Response Style]])</f>
        <v>1</v>
      </c>
      <c r="AY886" t="b">
        <f>OR(Table67[[#This Row],[Delete? (Stage 1)]],Table67[[#This Row],[Delete? (Stage 2)]])</f>
        <v>1</v>
      </c>
      <c r="AZ886" t="s">
        <v>84</v>
      </c>
    </row>
    <row r="887" spans="1:52">
      <c r="A887">
        <f t="shared" si="55"/>
        <v>886</v>
      </c>
      <c r="B887" s="3">
        <v>46056.874918981499</v>
      </c>
      <c r="C887" s="3">
        <v>46056.878611111097</v>
      </c>
      <c r="D887" t="s">
        <v>53</v>
      </c>
      <c r="G887" t="s">
        <v>54</v>
      </c>
      <c r="H887" t="s">
        <v>55</v>
      </c>
      <c r="I887" t="s">
        <v>69</v>
      </c>
      <c r="J887" t="s">
        <v>62</v>
      </c>
      <c r="K887" t="s">
        <v>60</v>
      </c>
      <c r="L887" t="s">
        <v>58</v>
      </c>
      <c r="M887" t="s">
        <v>58</v>
      </c>
      <c r="N887">
        <v>4</v>
      </c>
      <c r="O887">
        <v>1</v>
      </c>
      <c r="P887">
        <v>4</v>
      </c>
      <c r="Q887">
        <v>5</v>
      </c>
      <c r="R887">
        <v>2</v>
      </c>
      <c r="S887">
        <v>3</v>
      </c>
      <c r="T887">
        <v>4</v>
      </c>
      <c r="U887">
        <v>4</v>
      </c>
      <c r="V887">
        <v>5</v>
      </c>
      <c r="W887">
        <v>3</v>
      </c>
      <c r="X887">
        <v>4</v>
      </c>
      <c r="Y887">
        <v>3</v>
      </c>
      <c r="Z887">
        <v>5</v>
      </c>
      <c r="AA887">
        <v>4</v>
      </c>
      <c r="AB887">
        <v>5</v>
      </c>
      <c r="AC887">
        <v>3</v>
      </c>
      <c r="AD887">
        <v>5</v>
      </c>
      <c r="AE887">
        <v>3</v>
      </c>
      <c r="AF887">
        <v>4</v>
      </c>
      <c r="AG887">
        <v>3</v>
      </c>
      <c r="AH887">
        <v>4</v>
      </c>
      <c r="AI887">
        <v>2</v>
      </c>
      <c r="AJ887">
        <v>2</v>
      </c>
      <c r="AK887" t="b">
        <f>Table67[[#This Row],[What is your age?]]&lt;&gt;"18 - 25"</f>
        <v>0</v>
      </c>
      <c r="AL887" t="b">
        <f t="shared" si="52"/>
        <v>0</v>
      </c>
      <c r="AM887" t="b">
        <f t="shared" si="53"/>
        <v>0</v>
      </c>
      <c r="AN887" t="b">
        <f t="shared" si="54"/>
        <v>1</v>
      </c>
      <c r="AO887" t="b">
        <f>OR(Table67[[#This Row],[Ineligible respondents]:[Inconsistent response on opposite question (3)]])</f>
        <v>1</v>
      </c>
      <c r="AP88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887">
        <f>Table67[[#This Row],[Extreme Response]]/21</f>
        <v>0.2857142857142857</v>
      </c>
      <c r="AR887">
        <f>_xlfn.PERCENTILE.INC(Table67[Extrem Response Ratio (ERS)],0.9)</f>
        <v>0.61904761904761907</v>
      </c>
      <c r="AS887" t="b">
        <f>Table67[[#This Row],[Extrem Response Ratio (ERS)]]&gt;=Table67[[#This Row],[Threshold of ERS]]</f>
        <v>0</v>
      </c>
      <c r="AT887">
        <f>COUNTIF(Table67[[#This Row],[The mechanism of digital assets is difficult to understand, which discourages me from exploring it (E.g, Tokenization, Blockchain)]:[If I want to try different ways to invest, I will explore digital assets.]], 3)</f>
        <v>6</v>
      </c>
      <c r="AU887">
        <f>Table67[[#This Row],[Midpoint]]/21</f>
        <v>0.2857142857142857</v>
      </c>
      <c r="AV887">
        <f>_xlfn.PERCENTILE.INC(Table67[Midpoint ratio],0.9)</f>
        <v>0.5714285714285714</v>
      </c>
      <c r="AW887" t="b">
        <f>Table67[[#This Row],[Midpoint ratio]]&gt;=Table67[[#This Row],[Threshold of Midpoint ratio]]</f>
        <v>0</v>
      </c>
      <c r="AX887" t="b">
        <f>OR(Table67[[#This Row],[Extreme Response Style]],Table67[[#This Row],[Mid-point Response Style]])</f>
        <v>0</v>
      </c>
      <c r="AY887" t="b">
        <f>OR(Table67[[#This Row],[Delete? (Stage 1)]],Table67[[#This Row],[Delete? (Stage 2)]])</f>
        <v>1</v>
      </c>
      <c r="AZ887" t="s">
        <v>84</v>
      </c>
    </row>
    <row r="888" spans="1:52">
      <c r="A888">
        <f t="shared" si="55"/>
        <v>887</v>
      </c>
      <c r="B888" s="3">
        <v>46056.874930555598</v>
      </c>
      <c r="C888" s="3">
        <v>46056.876238425903</v>
      </c>
      <c r="D888" t="s">
        <v>53</v>
      </c>
      <c r="G888" t="s">
        <v>54</v>
      </c>
      <c r="H888" t="s">
        <v>55</v>
      </c>
      <c r="I888" t="s">
        <v>56</v>
      </c>
      <c r="J888" t="s">
        <v>62</v>
      </c>
      <c r="K888" t="s">
        <v>57</v>
      </c>
      <c r="L888" t="s">
        <v>58</v>
      </c>
      <c r="M888" t="s">
        <v>58</v>
      </c>
      <c r="N888">
        <v>4</v>
      </c>
      <c r="O888">
        <v>2</v>
      </c>
      <c r="P888">
        <v>4</v>
      </c>
      <c r="Q888">
        <v>4</v>
      </c>
      <c r="R888">
        <v>3</v>
      </c>
      <c r="S888">
        <v>3</v>
      </c>
      <c r="T888">
        <v>3</v>
      </c>
      <c r="U888">
        <v>4</v>
      </c>
      <c r="V888">
        <v>3</v>
      </c>
      <c r="W888">
        <v>4</v>
      </c>
      <c r="X888">
        <v>4</v>
      </c>
      <c r="Y888">
        <v>4</v>
      </c>
      <c r="Z888">
        <v>4</v>
      </c>
      <c r="AA888">
        <v>3</v>
      </c>
      <c r="AB888">
        <v>4</v>
      </c>
      <c r="AC888">
        <v>3</v>
      </c>
      <c r="AD888">
        <v>4</v>
      </c>
      <c r="AE888">
        <v>2</v>
      </c>
      <c r="AF888">
        <v>4</v>
      </c>
      <c r="AG888">
        <v>3</v>
      </c>
      <c r="AH888">
        <v>4</v>
      </c>
      <c r="AI888">
        <v>2</v>
      </c>
      <c r="AJ888">
        <v>2</v>
      </c>
      <c r="AK888" t="b">
        <f>Table67[[#This Row],[What is your age?]]&lt;&gt;"18 - 25"</f>
        <v>0</v>
      </c>
      <c r="AL888" t="b">
        <f t="shared" si="52"/>
        <v>0</v>
      </c>
      <c r="AM888" t="b">
        <f t="shared" si="53"/>
        <v>0</v>
      </c>
      <c r="AN888" t="b">
        <f t="shared" si="54"/>
        <v>1</v>
      </c>
      <c r="AO888" t="b">
        <f>OR(Table67[[#This Row],[Ineligible respondents]:[Inconsistent response on opposite question (3)]])</f>
        <v>1</v>
      </c>
      <c r="AP88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888">
        <f>Table67[[#This Row],[Extreme Response]]/21</f>
        <v>0</v>
      </c>
      <c r="AR888">
        <f>_xlfn.PERCENTILE.INC(Table67[Extrem Response Ratio (ERS)],0.9)</f>
        <v>0.61904761904761907</v>
      </c>
      <c r="AS888" t="b">
        <f>Table67[[#This Row],[Extrem Response Ratio (ERS)]]&gt;=Table67[[#This Row],[Threshold of ERS]]</f>
        <v>0</v>
      </c>
      <c r="AT888">
        <f>COUNTIF(Table67[[#This Row],[The mechanism of digital assets is difficult to understand, which discourages me from exploring it (E.g, Tokenization, Blockchain)]:[If I want to try different ways to invest, I will explore digital assets.]], 3)</f>
        <v>7</v>
      </c>
      <c r="AU888">
        <f>Table67[[#This Row],[Midpoint]]/21</f>
        <v>0.33333333333333331</v>
      </c>
      <c r="AV888">
        <f>_xlfn.PERCENTILE.INC(Table67[Midpoint ratio],0.9)</f>
        <v>0.5714285714285714</v>
      </c>
      <c r="AW888" t="b">
        <f>Table67[[#This Row],[Midpoint ratio]]&gt;=Table67[[#This Row],[Threshold of Midpoint ratio]]</f>
        <v>0</v>
      </c>
      <c r="AX888" t="b">
        <f>OR(Table67[[#This Row],[Extreme Response Style]],Table67[[#This Row],[Mid-point Response Style]])</f>
        <v>0</v>
      </c>
      <c r="AY888" t="b">
        <f>OR(Table67[[#This Row],[Delete? (Stage 1)]],Table67[[#This Row],[Delete? (Stage 2)]])</f>
        <v>1</v>
      </c>
      <c r="AZ888" t="s">
        <v>84</v>
      </c>
    </row>
    <row r="889" spans="1:52">
      <c r="A889">
        <f t="shared" si="55"/>
        <v>888</v>
      </c>
      <c r="B889" s="3">
        <v>46056.874942129602</v>
      </c>
      <c r="C889" s="3">
        <v>46056.880439814799</v>
      </c>
      <c r="D889" t="s">
        <v>53</v>
      </c>
      <c r="G889" t="s">
        <v>54</v>
      </c>
      <c r="H889" t="s">
        <v>63</v>
      </c>
      <c r="I889" t="s">
        <v>56</v>
      </c>
      <c r="J889" t="s">
        <v>62</v>
      </c>
      <c r="K889" t="s">
        <v>57</v>
      </c>
      <c r="L889" t="s">
        <v>58</v>
      </c>
      <c r="M889" t="s">
        <v>58</v>
      </c>
      <c r="N889">
        <v>3</v>
      </c>
      <c r="O889">
        <v>2</v>
      </c>
      <c r="P889">
        <v>2</v>
      </c>
      <c r="Q889">
        <v>2</v>
      </c>
      <c r="R889">
        <v>4</v>
      </c>
      <c r="S889">
        <v>4</v>
      </c>
      <c r="T889">
        <v>2</v>
      </c>
      <c r="U889">
        <v>4</v>
      </c>
      <c r="V889">
        <v>4</v>
      </c>
      <c r="W889">
        <v>4</v>
      </c>
      <c r="X889">
        <v>3</v>
      </c>
      <c r="Y889">
        <v>4</v>
      </c>
      <c r="Z889">
        <v>4</v>
      </c>
      <c r="AA889">
        <v>4</v>
      </c>
      <c r="AB889">
        <v>3</v>
      </c>
      <c r="AC889">
        <v>4</v>
      </c>
      <c r="AD889">
        <v>4</v>
      </c>
      <c r="AE889">
        <v>4</v>
      </c>
      <c r="AF889">
        <v>3</v>
      </c>
      <c r="AG889">
        <v>3</v>
      </c>
      <c r="AH889">
        <v>3</v>
      </c>
      <c r="AI889">
        <v>3</v>
      </c>
      <c r="AJ889">
        <v>3</v>
      </c>
      <c r="AK889" t="b">
        <f>Table67[[#This Row],[What is your age?]]&lt;&gt;"18 - 25"</f>
        <v>0</v>
      </c>
      <c r="AL889" t="b">
        <f t="shared" si="52"/>
        <v>0</v>
      </c>
      <c r="AM889" t="b">
        <f t="shared" si="53"/>
        <v>0</v>
      </c>
      <c r="AN889" t="b">
        <f t="shared" si="54"/>
        <v>0</v>
      </c>
      <c r="AO889" t="b">
        <f>OR(Table67[[#This Row],[Ineligible respondents]:[Inconsistent response on opposite question (3)]])</f>
        <v>0</v>
      </c>
      <c r="AP88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889">
        <f>Table67[[#This Row],[Extreme Response]]/21</f>
        <v>0</v>
      </c>
      <c r="AR889">
        <f>_xlfn.PERCENTILE.INC(Table67[Extrem Response Ratio (ERS)],0.9)</f>
        <v>0.61904761904761907</v>
      </c>
      <c r="AS889" t="b">
        <f>Table67[[#This Row],[Extrem Response Ratio (ERS)]]&gt;=Table67[[#This Row],[Threshold of ERS]]</f>
        <v>0</v>
      </c>
      <c r="AT889">
        <f>COUNTIF(Table67[[#This Row],[The mechanism of digital assets is difficult to understand, which discourages me from exploring it (E.g, Tokenization, Blockchain)]:[If I want to try different ways to invest, I will explore digital assets.]], 3)</f>
        <v>6</v>
      </c>
      <c r="AU889">
        <f>Table67[[#This Row],[Midpoint]]/21</f>
        <v>0.2857142857142857</v>
      </c>
      <c r="AV889">
        <f>_xlfn.PERCENTILE.INC(Table67[Midpoint ratio],0.9)</f>
        <v>0.5714285714285714</v>
      </c>
      <c r="AW889" t="b">
        <f>Table67[[#This Row],[Midpoint ratio]]&gt;=Table67[[#This Row],[Threshold of Midpoint ratio]]</f>
        <v>0</v>
      </c>
      <c r="AX889" t="b">
        <f>OR(Table67[[#This Row],[Extreme Response Style]],Table67[[#This Row],[Mid-point Response Style]])</f>
        <v>0</v>
      </c>
      <c r="AY889" t="b">
        <f>OR(Table67[[#This Row],[Delete? (Stage 1)]],Table67[[#This Row],[Delete? (Stage 2)]])</f>
        <v>0</v>
      </c>
      <c r="AZ889" t="s">
        <v>84</v>
      </c>
    </row>
    <row r="890" spans="1:52">
      <c r="A890">
        <f t="shared" si="55"/>
        <v>889</v>
      </c>
      <c r="B890" s="3">
        <v>46056.874976851803</v>
      </c>
      <c r="C890" s="3">
        <v>46056.876956018503</v>
      </c>
      <c r="D890" t="s">
        <v>53</v>
      </c>
      <c r="G890" t="s">
        <v>54</v>
      </c>
      <c r="H890" t="s">
        <v>63</v>
      </c>
      <c r="I890" t="s">
        <v>56</v>
      </c>
      <c r="J890" t="s">
        <v>62</v>
      </c>
      <c r="K890" t="s">
        <v>62</v>
      </c>
      <c r="L890" t="s">
        <v>61</v>
      </c>
      <c r="M890" t="s">
        <v>61</v>
      </c>
      <c r="N890">
        <v>5</v>
      </c>
      <c r="O890">
        <v>5</v>
      </c>
      <c r="P890">
        <v>5</v>
      </c>
      <c r="Q890">
        <v>5</v>
      </c>
      <c r="R890">
        <v>5</v>
      </c>
      <c r="S890">
        <v>5</v>
      </c>
      <c r="T890">
        <v>5</v>
      </c>
      <c r="U890">
        <v>3</v>
      </c>
      <c r="V890">
        <v>5</v>
      </c>
      <c r="W890">
        <v>5</v>
      </c>
      <c r="X890">
        <v>5</v>
      </c>
      <c r="Y890">
        <v>5</v>
      </c>
      <c r="Z890">
        <v>5</v>
      </c>
      <c r="AA890">
        <v>5</v>
      </c>
      <c r="AB890">
        <v>5</v>
      </c>
      <c r="AC890">
        <v>3</v>
      </c>
      <c r="AD890">
        <v>5</v>
      </c>
      <c r="AE890">
        <v>5</v>
      </c>
      <c r="AF890">
        <v>5</v>
      </c>
      <c r="AG890">
        <v>5</v>
      </c>
      <c r="AH890">
        <v>5</v>
      </c>
      <c r="AI890">
        <v>1</v>
      </c>
      <c r="AJ890">
        <v>1</v>
      </c>
      <c r="AK890" t="b">
        <f>Table67[[#This Row],[What is your age?]]&lt;&gt;"18 - 25"</f>
        <v>0</v>
      </c>
      <c r="AL890" t="b">
        <f t="shared" si="52"/>
        <v>0</v>
      </c>
      <c r="AM890" t="b">
        <f t="shared" si="53"/>
        <v>1</v>
      </c>
      <c r="AN890" t="b">
        <f t="shared" si="54"/>
        <v>0</v>
      </c>
      <c r="AO890" t="b">
        <f>OR(Table67[[#This Row],[Ineligible respondents]:[Inconsistent response on opposite question (3)]])</f>
        <v>1</v>
      </c>
      <c r="AP89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19</v>
      </c>
      <c r="AQ890">
        <f>Table67[[#This Row],[Extreme Response]]/21</f>
        <v>0.90476190476190477</v>
      </c>
      <c r="AR890">
        <f>_xlfn.PERCENTILE.INC(Table67[Extrem Response Ratio (ERS)],0.9)</f>
        <v>0.61904761904761907</v>
      </c>
      <c r="AS890" t="b">
        <f>Table67[[#This Row],[Extrem Response Ratio (ERS)]]&gt;=Table67[[#This Row],[Threshold of ERS]]</f>
        <v>1</v>
      </c>
      <c r="AT890">
        <f>COUNTIF(Table67[[#This Row],[The mechanism of digital assets is difficult to understand, which discourages me from exploring it (E.g, Tokenization, Blockchain)]:[If I want to try different ways to invest, I will explore digital assets.]], 3)</f>
        <v>2</v>
      </c>
      <c r="AU890">
        <f>Table67[[#This Row],[Midpoint]]/21</f>
        <v>9.5238095238095233E-2</v>
      </c>
      <c r="AV890">
        <f>_xlfn.PERCENTILE.INC(Table67[Midpoint ratio],0.9)</f>
        <v>0.5714285714285714</v>
      </c>
      <c r="AW890" t="b">
        <f>Table67[[#This Row],[Midpoint ratio]]&gt;=Table67[[#This Row],[Threshold of Midpoint ratio]]</f>
        <v>0</v>
      </c>
      <c r="AX890" t="b">
        <f>OR(Table67[[#This Row],[Extreme Response Style]],Table67[[#This Row],[Mid-point Response Style]])</f>
        <v>1</v>
      </c>
      <c r="AY890" t="b">
        <f>OR(Table67[[#This Row],[Delete? (Stage 1)]],Table67[[#This Row],[Delete? (Stage 2)]])</f>
        <v>1</v>
      </c>
      <c r="AZ890" t="s">
        <v>84</v>
      </c>
    </row>
    <row r="891" spans="1:52">
      <c r="A891">
        <f t="shared" si="55"/>
        <v>890</v>
      </c>
      <c r="B891" s="3">
        <v>46056.874988425901</v>
      </c>
      <c r="C891" s="3">
        <v>46056.877777777801</v>
      </c>
      <c r="D891" t="s">
        <v>53</v>
      </c>
      <c r="G891" t="s">
        <v>73</v>
      </c>
      <c r="H891" t="s">
        <v>55</v>
      </c>
      <c r="I891" t="s">
        <v>75</v>
      </c>
      <c r="J891" t="s">
        <v>65</v>
      </c>
      <c r="K891" t="s">
        <v>60</v>
      </c>
      <c r="L891" t="s">
        <v>58</v>
      </c>
      <c r="M891" t="s">
        <v>58</v>
      </c>
      <c r="N891">
        <v>4</v>
      </c>
      <c r="O891">
        <v>4</v>
      </c>
      <c r="P891">
        <v>4</v>
      </c>
      <c r="Q891">
        <v>3</v>
      </c>
      <c r="R891">
        <v>4</v>
      </c>
      <c r="S891">
        <v>5</v>
      </c>
      <c r="T891">
        <v>4</v>
      </c>
      <c r="U891">
        <v>4</v>
      </c>
      <c r="V891">
        <v>4</v>
      </c>
      <c r="W891">
        <v>4</v>
      </c>
      <c r="X891">
        <v>4</v>
      </c>
      <c r="Y891">
        <v>4</v>
      </c>
      <c r="Z891">
        <v>4</v>
      </c>
      <c r="AA891">
        <v>4</v>
      </c>
      <c r="AB891">
        <v>3</v>
      </c>
      <c r="AC891">
        <v>4</v>
      </c>
      <c r="AD891">
        <v>4</v>
      </c>
      <c r="AE891">
        <v>4</v>
      </c>
      <c r="AF891">
        <v>3</v>
      </c>
      <c r="AG891">
        <v>4</v>
      </c>
      <c r="AH891">
        <v>4</v>
      </c>
      <c r="AI891">
        <v>2</v>
      </c>
      <c r="AJ891">
        <v>3</v>
      </c>
      <c r="AK891" t="b">
        <f>Table67[[#This Row],[What is your age?]]&lt;&gt;"18 - 25"</f>
        <v>1</v>
      </c>
      <c r="AL891" t="b">
        <f t="shared" si="52"/>
        <v>0</v>
      </c>
      <c r="AM891" t="b">
        <f t="shared" si="53"/>
        <v>1</v>
      </c>
      <c r="AN891" t="b">
        <f t="shared" si="54"/>
        <v>0</v>
      </c>
      <c r="AO891" t="b">
        <f>OR(Table67[[#This Row],[Ineligible respondents]:[Inconsistent response on opposite question (3)]])</f>
        <v>1</v>
      </c>
      <c r="AP89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891">
        <f>Table67[[#This Row],[Extreme Response]]/21</f>
        <v>4.7619047619047616E-2</v>
      </c>
      <c r="AR891">
        <f>_xlfn.PERCENTILE.INC(Table67[Extrem Response Ratio (ERS)],0.9)</f>
        <v>0.61904761904761907</v>
      </c>
      <c r="AS891" t="b">
        <f>Table67[[#This Row],[Extrem Response Ratio (ERS)]]&gt;=Table67[[#This Row],[Threshold of ERS]]</f>
        <v>0</v>
      </c>
      <c r="AT891">
        <f>COUNTIF(Table67[[#This Row],[The mechanism of digital assets is difficult to understand, which discourages me from exploring it (E.g, Tokenization, Blockchain)]:[If I want to try different ways to invest, I will explore digital assets.]], 3)</f>
        <v>3</v>
      </c>
      <c r="AU891">
        <f>Table67[[#This Row],[Midpoint]]/21</f>
        <v>0.14285714285714285</v>
      </c>
      <c r="AV891">
        <f>_xlfn.PERCENTILE.INC(Table67[Midpoint ratio],0.9)</f>
        <v>0.5714285714285714</v>
      </c>
      <c r="AW891" t="b">
        <f>Table67[[#This Row],[Midpoint ratio]]&gt;=Table67[[#This Row],[Threshold of Midpoint ratio]]</f>
        <v>0</v>
      </c>
      <c r="AX891" t="b">
        <f>OR(Table67[[#This Row],[Extreme Response Style]],Table67[[#This Row],[Mid-point Response Style]])</f>
        <v>0</v>
      </c>
      <c r="AY891" t="b">
        <f>OR(Table67[[#This Row],[Delete? (Stage 1)]],Table67[[#This Row],[Delete? (Stage 2)]])</f>
        <v>1</v>
      </c>
      <c r="AZ891" t="s">
        <v>84</v>
      </c>
    </row>
    <row r="892" spans="1:52">
      <c r="A892">
        <f t="shared" si="55"/>
        <v>891</v>
      </c>
      <c r="B892" s="3">
        <v>46056.874988425901</v>
      </c>
      <c r="C892" s="3">
        <v>46056.879548611098</v>
      </c>
      <c r="D892" t="s">
        <v>53</v>
      </c>
      <c r="G892" t="s">
        <v>54</v>
      </c>
      <c r="H892" t="s">
        <v>55</v>
      </c>
      <c r="I892" t="s">
        <v>82</v>
      </c>
      <c r="J892" t="s">
        <v>62</v>
      </c>
      <c r="K892" t="s">
        <v>62</v>
      </c>
      <c r="L892" t="s">
        <v>58</v>
      </c>
      <c r="M892" t="s">
        <v>58</v>
      </c>
      <c r="N892">
        <v>5</v>
      </c>
      <c r="O892">
        <v>1</v>
      </c>
      <c r="P892">
        <v>4</v>
      </c>
      <c r="Q892">
        <v>5</v>
      </c>
      <c r="R892">
        <v>1</v>
      </c>
      <c r="S892">
        <v>1</v>
      </c>
      <c r="T892">
        <v>1</v>
      </c>
      <c r="U892">
        <v>5</v>
      </c>
      <c r="V892">
        <v>5</v>
      </c>
      <c r="W892">
        <v>5</v>
      </c>
      <c r="X892">
        <v>1</v>
      </c>
      <c r="Y892">
        <v>5</v>
      </c>
      <c r="Z892">
        <v>5</v>
      </c>
      <c r="AA892">
        <v>5</v>
      </c>
      <c r="AB892">
        <v>1</v>
      </c>
      <c r="AC892">
        <v>1</v>
      </c>
      <c r="AD892">
        <v>1</v>
      </c>
      <c r="AE892">
        <v>5</v>
      </c>
      <c r="AF892">
        <v>5</v>
      </c>
      <c r="AG892">
        <v>1</v>
      </c>
      <c r="AH892">
        <v>5</v>
      </c>
      <c r="AI892">
        <v>1</v>
      </c>
      <c r="AJ892">
        <v>1</v>
      </c>
      <c r="AK892" t="b">
        <f>Table67[[#This Row],[What is your age?]]&lt;&gt;"18 - 25"</f>
        <v>0</v>
      </c>
      <c r="AL892" t="b">
        <f t="shared" si="52"/>
        <v>0</v>
      </c>
      <c r="AM892" t="b">
        <f t="shared" si="53"/>
        <v>0</v>
      </c>
      <c r="AN892" t="b">
        <f t="shared" si="54"/>
        <v>0</v>
      </c>
      <c r="AO892" t="b">
        <f>OR(Table67[[#This Row],[Ineligible respondents]:[Inconsistent response on opposite question (3)]])</f>
        <v>0</v>
      </c>
      <c r="AP89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20</v>
      </c>
      <c r="AQ892">
        <f>Table67[[#This Row],[Extreme Response]]/21</f>
        <v>0.95238095238095233</v>
      </c>
      <c r="AR892">
        <f>_xlfn.PERCENTILE.INC(Table67[Extrem Response Ratio (ERS)],0.9)</f>
        <v>0.61904761904761907</v>
      </c>
      <c r="AS892" t="b">
        <f>Table67[[#This Row],[Extrem Response Ratio (ERS)]]&gt;=Table67[[#This Row],[Threshold of ERS]]</f>
        <v>1</v>
      </c>
      <c r="AT892">
        <f>COUNTIF(Table67[[#This Row],[The mechanism of digital assets is difficult to understand, which discourages me from exploring it (E.g, Tokenization, Blockchain)]:[If I want to try different ways to invest, I will explore digital assets.]], 3)</f>
        <v>0</v>
      </c>
      <c r="AU892">
        <f>Table67[[#This Row],[Midpoint]]/21</f>
        <v>0</v>
      </c>
      <c r="AV892">
        <f>_xlfn.PERCENTILE.INC(Table67[Midpoint ratio],0.9)</f>
        <v>0.5714285714285714</v>
      </c>
      <c r="AW892" t="b">
        <f>Table67[[#This Row],[Midpoint ratio]]&gt;=Table67[[#This Row],[Threshold of Midpoint ratio]]</f>
        <v>0</v>
      </c>
      <c r="AX892" t="b">
        <f>OR(Table67[[#This Row],[Extreme Response Style]],Table67[[#This Row],[Mid-point Response Style]])</f>
        <v>1</v>
      </c>
      <c r="AY892" t="b">
        <f>OR(Table67[[#This Row],[Delete? (Stage 1)]],Table67[[#This Row],[Delete? (Stage 2)]])</f>
        <v>1</v>
      </c>
      <c r="AZ892" t="s">
        <v>84</v>
      </c>
    </row>
    <row r="893" spans="1:52">
      <c r="A893">
        <f t="shared" si="55"/>
        <v>892</v>
      </c>
      <c r="B893" s="3">
        <v>46056.874988425901</v>
      </c>
      <c r="C893" s="3">
        <v>46056.890821759298</v>
      </c>
      <c r="D893" t="s">
        <v>53</v>
      </c>
      <c r="G893" t="s">
        <v>54</v>
      </c>
      <c r="H893" t="s">
        <v>55</v>
      </c>
      <c r="I893" t="s">
        <v>56</v>
      </c>
      <c r="J893" t="s">
        <v>57</v>
      </c>
      <c r="K893" t="s">
        <v>57</v>
      </c>
      <c r="L893" t="s">
        <v>58</v>
      </c>
      <c r="M893" t="s">
        <v>58</v>
      </c>
      <c r="N893">
        <v>3</v>
      </c>
      <c r="O893">
        <v>3</v>
      </c>
      <c r="P893">
        <v>5</v>
      </c>
      <c r="Q893">
        <v>4</v>
      </c>
      <c r="R893">
        <v>4</v>
      </c>
      <c r="S893">
        <v>5</v>
      </c>
      <c r="T893">
        <v>5</v>
      </c>
      <c r="U893">
        <v>3</v>
      </c>
      <c r="V893">
        <v>4</v>
      </c>
      <c r="W893">
        <v>4</v>
      </c>
      <c r="X893">
        <v>4</v>
      </c>
      <c r="Y893">
        <v>4</v>
      </c>
      <c r="Z893">
        <v>4</v>
      </c>
      <c r="AA893">
        <v>4</v>
      </c>
      <c r="AB893">
        <v>5</v>
      </c>
      <c r="AC893">
        <v>3</v>
      </c>
      <c r="AD893">
        <v>4</v>
      </c>
      <c r="AE893">
        <v>4</v>
      </c>
      <c r="AF893">
        <v>4</v>
      </c>
      <c r="AG893">
        <v>2</v>
      </c>
      <c r="AH893">
        <v>4</v>
      </c>
      <c r="AI893">
        <v>2</v>
      </c>
      <c r="AJ893">
        <v>2</v>
      </c>
      <c r="AK893" t="b">
        <f>Table67[[#This Row],[What is your age?]]&lt;&gt;"18 - 25"</f>
        <v>0</v>
      </c>
      <c r="AL893" t="b">
        <f t="shared" si="52"/>
        <v>0</v>
      </c>
      <c r="AM893" t="b">
        <f t="shared" si="53"/>
        <v>0</v>
      </c>
      <c r="AN893" t="b">
        <f t="shared" si="54"/>
        <v>0</v>
      </c>
      <c r="AO893" t="b">
        <f>OR(Table67[[#This Row],[Ineligible respondents]:[Inconsistent response on opposite question (3)]])</f>
        <v>0</v>
      </c>
      <c r="AP89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893">
        <f>Table67[[#This Row],[Extreme Response]]/21</f>
        <v>0.19047619047619047</v>
      </c>
      <c r="AR893">
        <f>_xlfn.PERCENTILE.INC(Table67[Extrem Response Ratio (ERS)],0.9)</f>
        <v>0.61904761904761907</v>
      </c>
      <c r="AS893" t="b">
        <f>Table67[[#This Row],[Extrem Response Ratio (ERS)]]&gt;=Table67[[#This Row],[Threshold of ERS]]</f>
        <v>0</v>
      </c>
      <c r="AT893">
        <f>COUNTIF(Table67[[#This Row],[The mechanism of digital assets is difficult to understand, which discourages me from exploring it (E.g, Tokenization, Blockchain)]:[If I want to try different ways to invest, I will explore digital assets.]], 3)</f>
        <v>4</v>
      </c>
      <c r="AU893">
        <f>Table67[[#This Row],[Midpoint]]/21</f>
        <v>0.19047619047619047</v>
      </c>
      <c r="AV893">
        <f>_xlfn.PERCENTILE.INC(Table67[Midpoint ratio],0.9)</f>
        <v>0.5714285714285714</v>
      </c>
      <c r="AW893" t="b">
        <f>Table67[[#This Row],[Midpoint ratio]]&gt;=Table67[[#This Row],[Threshold of Midpoint ratio]]</f>
        <v>0</v>
      </c>
      <c r="AX893" t="b">
        <f>OR(Table67[[#This Row],[Extreme Response Style]],Table67[[#This Row],[Mid-point Response Style]])</f>
        <v>0</v>
      </c>
      <c r="AY893" t="b">
        <f>OR(Table67[[#This Row],[Delete? (Stage 1)]],Table67[[#This Row],[Delete? (Stage 2)]])</f>
        <v>0</v>
      </c>
      <c r="AZ893" t="s">
        <v>84</v>
      </c>
    </row>
    <row r="894" spans="1:52">
      <c r="A894">
        <f t="shared" si="55"/>
        <v>893</v>
      </c>
      <c r="B894" s="3">
        <v>46056.875034722201</v>
      </c>
      <c r="C894" s="3">
        <v>46056.877002314803</v>
      </c>
      <c r="D894" t="s">
        <v>53</v>
      </c>
      <c r="G894" t="s">
        <v>54</v>
      </c>
      <c r="H894" t="s">
        <v>63</v>
      </c>
      <c r="I894" t="s">
        <v>56</v>
      </c>
      <c r="J894" t="s">
        <v>57</v>
      </c>
      <c r="K894" t="s">
        <v>57</v>
      </c>
      <c r="L894" t="s">
        <v>58</v>
      </c>
      <c r="M894" t="s">
        <v>58</v>
      </c>
      <c r="N894">
        <v>4</v>
      </c>
      <c r="O894">
        <v>4</v>
      </c>
      <c r="P894">
        <v>4</v>
      </c>
      <c r="Q894">
        <v>4</v>
      </c>
      <c r="R894">
        <v>4</v>
      </c>
      <c r="S894">
        <v>3</v>
      </c>
      <c r="T894">
        <v>4</v>
      </c>
      <c r="U894">
        <v>4</v>
      </c>
      <c r="V894">
        <v>5</v>
      </c>
      <c r="W894">
        <v>5</v>
      </c>
      <c r="X894">
        <v>3</v>
      </c>
      <c r="Y894">
        <v>4</v>
      </c>
      <c r="Z894">
        <v>3</v>
      </c>
      <c r="AA894">
        <v>3</v>
      </c>
      <c r="AB894">
        <v>3</v>
      </c>
      <c r="AC894">
        <v>4</v>
      </c>
      <c r="AD894">
        <v>3</v>
      </c>
      <c r="AE894">
        <v>2</v>
      </c>
      <c r="AF894">
        <v>1</v>
      </c>
      <c r="AG894">
        <v>2</v>
      </c>
      <c r="AH894">
        <v>2</v>
      </c>
      <c r="AI894">
        <v>4</v>
      </c>
      <c r="AJ894">
        <v>5</v>
      </c>
      <c r="AK894" t="b">
        <f>Table67[[#This Row],[What is your age?]]&lt;&gt;"18 - 25"</f>
        <v>0</v>
      </c>
      <c r="AL894" t="b">
        <f t="shared" si="52"/>
        <v>0</v>
      </c>
      <c r="AM894" t="b">
        <f t="shared" si="53"/>
        <v>1</v>
      </c>
      <c r="AN894" t="b">
        <f t="shared" si="54"/>
        <v>0</v>
      </c>
      <c r="AO894" t="b">
        <f>OR(Table67[[#This Row],[Ineligible respondents]:[Inconsistent response on opposite question (3)]])</f>
        <v>1</v>
      </c>
      <c r="AP89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894">
        <f>Table67[[#This Row],[Extreme Response]]/21</f>
        <v>0.14285714285714285</v>
      </c>
      <c r="AR894">
        <f>_xlfn.PERCENTILE.INC(Table67[Extrem Response Ratio (ERS)],0.9)</f>
        <v>0.61904761904761907</v>
      </c>
      <c r="AS894" t="b">
        <f>Table67[[#This Row],[Extrem Response Ratio (ERS)]]&gt;=Table67[[#This Row],[Threshold of ERS]]</f>
        <v>0</v>
      </c>
      <c r="AT894">
        <f>COUNTIF(Table67[[#This Row],[The mechanism of digital assets is difficult to understand, which discourages me from exploring it (E.g, Tokenization, Blockchain)]:[If I want to try different ways to invest, I will explore digital assets.]], 3)</f>
        <v>6</v>
      </c>
      <c r="AU894">
        <f>Table67[[#This Row],[Midpoint]]/21</f>
        <v>0.2857142857142857</v>
      </c>
      <c r="AV894">
        <f>_xlfn.PERCENTILE.INC(Table67[Midpoint ratio],0.9)</f>
        <v>0.5714285714285714</v>
      </c>
      <c r="AW894" t="b">
        <f>Table67[[#This Row],[Midpoint ratio]]&gt;=Table67[[#This Row],[Threshold of Midpoint ratio]]</f>
        <v>0</v>
      </c>
      <c r="AX894" t="b">
        <f>OR(Table67[[#This Row],[Extreme Response Style]],Table67[[#This Row],[Mid-point Response Style]])</f>
        <v>0</v>
      </c>
      <c r="AY894" t="b">
        <f>OR(Table67[[#This Row],[Delete? (Stage 1)]],Table67[[#This Row],[Delete? (Stage 2)]])</f>
        <v>1</v>
      </c>
      <c r="AZ894" t="s">
        <v>84</v>
      </c>
    </row>
    <row r="895" spans="1:52">
      <c r="A895">
        <f t="shared" si="55"/>
        <v>894</v>
      </c>
      <c r="B895" s="3">
        <v>46056.875081018501</v>
      </c>
      <c r="C895" s="3">
        <v>46056.880787037</v>
      </c>
      <c r="D895" t="s">
        <v>53</v>
      </c>
      <c r="G895" t="s">
        <v>54</v>
      </c>
      <c r="H895" t="s">
        <v>63</v>
      </c>
      <c r="I895" t="s">
        <v>71</v>
      </c>
      <c r="J895" t="s">
        <v>60</v>
      </c>
      <c r="K895" t="s">
        <v>62</v>
      </c>
      <c r="L895" t="s">
        <v>61</v>
      </c>
      <c r="M895" t="s">
        <v>61</v>
      </c>
      <c r="N895">
        <v>3</v>
      </c>
      <c r="O895">
        <v>2</v>
      </c>
      <c r="P895">
        <v>5</v>
      </c>
      <c r="Q895">
        <v>4</v>
      </c>
      <c r="R895">
        <v>3</v>
      </c>
      <c r="S895">
        <v>3</v>
      </c>
      <c r="T895">
        <v>4</v>
      </c>
      <c r="U895">
        <v>4</v>
      </c>
      <c r="V895">
        <v>3</v>
      </c>
      <c r="W895">
        <v>5</v>
      </c>
      <c r="X895">
        <v>4</v>
      </c>
      <c r="Y895">
        <v>3</v>
      </c>
      <c r="Z895">
        <v>3</v>
      </c>
      <c r="AA895">
        <v>3</v>
      </c>
      <c r="AB895">
        <v>3</v>
      </c>
      <c r="AC895">
        <v>2</v>
      </c>
      <c r="AD895">
        <v>3</v>
      </c>
      <c r="AE895">
        <v>4</v>
      </c>
      <c r="AF895">
        <v>4</v>
      </c>
      <c r="AG895">
        <v>3</v>
      </c>
      <c r="AH895">
        <v>4</v>
      </c>
      <c r="AI895">
        <v>2</v>
      </c>
      <c r="AJ895">
        <v>2</v>
      </c>
      <c r="AK895" t="b">
        <f>Table67[[#This Row],[What is your age?]]&lt;&gt;"18 - 25"</f>
        <v>0</v>
      </c>
      <c r="AL895" t="b">
        <f t="shared" si="52"/>
        <v>0</v>
      </c>
      <c r="AM895" t="b">
        <f t="shared" si="53"/>
        <v>0</v>
      </c>
      <c r="AN895" t="b">
        <f t="shared" si="54"/>
        <v>1</v>
      </c>
      <c r="AO895" t="b">
        <f>OR(Table67[[#This Row],[Ineligible respondents]:[Inconsistent response on opposite question (3)]])</f>
        <v>1</v>
      </c>
      <c r="AP89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895">
        <f>Table67[[#This Row],[Extreme Response]]/21</f>
        <v>9.5238095238095233E-2</v>
      </c>
      <c r="AR895">
        <f>_xlfn.PERCENTILE.INC(Table67[Extrem Response Ratio (ERS)],0.9)</f>
        <v>0.61904761904761907</v>
      </c>
      <c r="AS895" t="b">
        <f>Table67[[#This Row],[Extrem Response Ratio (ERS)]]&gt;=Table67[[#This Row],[Threshold of ERS]]</f>
        <v>0</v>
      </c>
      <c r="AT895">
        <f>COUNTIF(Table67[[#This Row],[The mechanism of digital assets is difficult to understand, which discourages me from exploring it (E.g, Tokenization, Blockchain)]:[If I want to try different ways to invest, I will explore digital assets.]], 3)</f>
        <v>10</v>
      </c>
      <c r="AU895">
        <f>Table67[[#This Row],[Midpoint]]/21</f>
        <v>0.47619047619047616</v>
      </c>
      <c r="AV895">
        <f>_xlfn.PERCENTILE.INC(Table67[Midpoint ratio],0.9)</f>
        <v>0.5714285714285714</v>
      </c>
      <c r="AW895" t="b">
        <f>Table67[[#This Row],[Midpoint ratio]]&gt;=Table67[[#This Row],[Threshold of Midpoint ratio]]</f>
        <v>0</v>
      </c>
      <c r="AX895" t="b">
        <f>OR(Table67[[#This Row],[Extreme Response Style]],Table67[[#This Row],[Mid-point Response Style]])</f>
        <v>0</v>
      </c>
      <c r="AY895" t="b">
        <f>OR(Table67[[#This Row],[Delete? (Stage 1)]],Table67[[#This Row],[Delete? (Stage 2)]])</f>
        <v>1</v>
      </c>
      <c r="AZ895" t="s">
        <v>84</v>
      </c>
    </row>
    <row r="896" spans="1:52">
      <c r="A896">
        <f t="shared" si="55"/>
        <v>895</v>
      </c>
      <c r="B896" s="3">
        <v>46056.875115740702</v>
      </c>
      <c r="C896" s="3">
        <v>46056.883321759298</v>
      </c>
      <c r="D896" t="s">
        <v>53</v>
      </c>
      <c r="G896" t="s">
        <v>54</v>
      </c>
      <c r="H896" t="s">
        <v>55</v>
      </c>
      <c r="I896" t="s">
        <v>56</v>
      </c>
      <c r="J896" t="s">
        <v>67</v>
      </c>
      <c r="K896" t="s">
        <v>62</v>
      </c>
      <c r="L896" t="s">
        <v>61</v>
      </c>
      <c r="M896" t="s">
        <v>58</v>
      </c>
      <c r="N896">
        <v>3</v>
      </c>
      <c r="O896">
        <v>4</v>
      </c>
      <c r="P896">
        <v>4</v>
      </c>
      <c r="Q896">
        <v>2</v>
      </c>
      <c r="R896">
        <v>5</v>
      </c>
      <c r="S896">
        <v>5</v>
      </c>
      <c r="T896">
        <v>2</v>
      </c>
      <c r="U896">
        <v>5</v>
      </c>
      <c r="V896">
        <v>5</v>
      </c>
      <c r="W896">
        <v>4</v>
      </c>
      <c r="X896">
        <v>2</v>
      </c>
      <c r="Y896">
        <v>4</v>
      </c>
      <c r="Z896">
        <v>4</v>
      </c>
      <c r="AA896">
        <v>5</v>
      </c>
      <c r="AB896">
        <v>1</v>
      </c>
      <c r="AC896">
        <v>3</v>
      </c>
      <c r="AD896">
        <v>4</v>
      </c>
      <c r="AE896">
        <v>3</v>
      </c>
      <c r="AF896">
        <v>4</v>
      </c>
      <c r="AG896">
        <v>3</v>
      </c>
      <c r="AH896">
        <v>4</v>
      </c>
      <c r="AI896">
        <v>2</v>
      </c>
      <c r="AJ896">
        <v>2</v>
      </c>
      <c r="AK896" t="b">
        <f>Table67[[#This Row],[What is your age?]]&lt;&gt;"18 - 25"</f>
        <v>0</v>
      </c>
      <c r="AL896" t="b">
        <f t="shared" si="52"/>
        <v>0</v>
      </c>
      <c r="AM896" t="b">
        <f t="shared" si="53"/>
        <v>0</v>
      </c>
      <c r="AN896" t="b">
        <f t="shared" si="54"/>
        <v>1</v>
      </c>
      <c r="AO896" t="b">
        <f>OR(Table67[[#This Row],[Ineligible respondents]:[Inconsistent response on opposite question (3)]])</f>
        <v>1</v>
      </c>
      <c r="AP89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896">
        <f>Table67[[#This Row],[Extreme Response]]/21</f>
        <v>0.2857142857142857</v>
      </c>
      <c r="AR896">
        <f>_xlfn.PERCENTILE.INC(Table67[Extrem Response Ratio (ERS)],0.9)</f>
        <v>0.61904761904761907</v>
      </c>
      <c r="AS896" t="b">
        <f>Table67[[#This Row],[Extrem Response Ratio (ERS)]]&gt;=Table67[[#This Row],[Threshold of ERS]]</f>
        <v>0</v>
      </c>
      <c r="AT896">
        <f>COUNTIF(Table67[[#This Row],[The mechanism of digital assets is difficult to understand, which discourages me from exploring it (E.g, Tokenization, Blockchain)]:[If I want to try different ways to invest, I will explore digital assets.]], 3)</f>
        <v>4</v>
      </c>
      <c r="AU896">
        <f>Table67[[#This Row],[Midpoint]]/21</f>
        <v>0.19047619047619047</v>
      </c>
      <c r="AV896">
        <f>_xlfn.PERCENTILE.INC(Table67[Midpoint ratio],0.9)</f>
        <v>0.5714285714285714</v>
      </c>
      <c r="AW896" t="b">
        <f>Table67[[#This Row],[Midpoint ratio]]&gt;=Table67[[#This Row],[Threshold of Midpoint ratio]]</f>
        <v>0</v>
      </c>
      <c r="AX896" t="b">
        <f>OR(Table67[[#This Row],[Extreme Response Style]],Table67[[#This Row],[Mid-point Response Style]])</f>
        <v>0</v>
      </c>
      <c r="AY896" t="b">
        <f>OR(Table67[[#This Row],[Delete? (Stage 1)]],Table67[[#This Row],[Delete? (Stage 2)]])</f>
        <v>1</v>
      </c>
      <c r="AZ896" t="s">
        <v>84</v>
      </c>
    </row>
    <row r="897" spans="1:52">
      <c r="A897">
        <f t="shared" si="55"/>
        <v>896</v>
      </c>
      <c r="B897" s="3">
        <v>46056.8751388889</v>
      </c>
      <c r="C897" s="3">
        <v>46056.878321759301</v>
      </c>
      <c r="D897" t="s">
        <v>53</v>
      </c>
      <c r="G897" t="s">
        <v>54</v>
      </c>
      <c r="H897" t="s">
        <v>63</v>
      </c>
      <c r="I897" t="s">
        <v>56</v>
      </c>
      <c r="J897" t="s">
        <v>65</v>
      </c>
      <c r="K897" t="s">
        <v>62</v>
      </c>
      <c r="L897" t="s">
        <v>58</v>
      </c>
      <c r="M897" t="s">
        <v>58</v>
      </c>
      <c r="N897">
        <v>3</v>
      </c>
      <c r="O897">
        <v>1</v>
      </c>
      <c r="P897">
        <v>5</v>
      </c>
      <c r="Q897">
        <v>1</v>
      </c>
      <c r="R897">
        <v>2</v>
      </c>
      <c r="S897">
        <v>3</v>
      </c>
      <c r="T897">
        <v>5</v>
      </c>
      <c r="U897">
        <v>5</v>
      </c>
      <c r="V897">
        <v>1</v>
      </c>
      <c r="W897">
        <v>1</v>
      </c>
      <c r="X897">
        <v>4</v>
      </c>
      <c r="Y897">
        <v>3</v>
      </c>
      <c r="Z897">
        <v>5</v>
      </c>
      <c r="AA897">
        <v>5</v>
      </c>
      <c r="AB897">
        <v>2</v>
      </c>
      <c r="AC897">
        <v>5</v>
      </c>
      <c r="AD897">
        <v>5</v>
      </c>
      <c r="AE897">
        <v>4</v>
      </c>
      <c r="AF897">
        <v>1</v>
      </c>
      <c r="AG897">
        <v>5</v>
      </c>
      <c r="AH897">
        <v>1</v>
      </c>
      <c r="AI897">
        <v>5</v>
      </c>
      <c r="AJ897">
        <v>5</v>
      </c>
      <c r="AK897" t="b">
        <f>Table67[[#This Row],[What is your age?]]&lt;&gt;"18 - 25"</f>
        <v>0</v>
      </c>
      <c r="AL897" t="b">
        <f t="shared" si="52"/>
        <v>0</v>
      </c>
      <c r="AM897" t="b">
        <f t="shared" si="53"/>
        <v>0</v>
      </c>
      <c r="AN897" t="b">
        <f t="shared" si="54"/>
        <v>0</v>
      </c>
      <c r="AO897" t="b">
        <f>OR(Table67[[#This Row],[Ineligible respondents]:[Inconsistent response on opposite question (3)]])</f>
        <v>0</v>
      </c>
      <c r="AP89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897">
        <f>Table67[[#This Row],[Extreme Response]]/21</f>
        <v>0.66666666666666663</v>
      </c>
      <c r="AR897">
        <f>_xlfn.PERCENTILE.INC(Table67[Extrem Response Ratio (ERS)],0.9)</f>
        <v>0.61904761904761907</v>
      </c>
      <c r="AS897" t="b">
        <f>Table67[[#This Row],[Extrem Response Ratio (ERS)]]&gt;=Table67[[#This Row],[Threshold of ERS]]</f>
        <v>1</v>
      </c>
      <c r="AT897">
        <f>COUNTIF(Table67[[#This Row],[The mechanism of digital assets is difficult to understand, which discourages me from exploring it (E.g, Tokenization, Blockchain)]:[If I want to try different ways to invest, I will explore digital assets.]], 3)</f>
        <v>3</v>
      </c>
      <c r="AU897">
        <f>Table67[[#This Row],[Midpoint]]/21</f>
        <v>0.14285714285714285</v>
      </c>
      <c r="AV897">
        <f>_xlfn.PERCENTILE.INC(Table67[Midpoint ratio],0.9)</f>
        <v>0.5714285714285714</v>
      </c>
      <c r="AW897" t="b">
        <f>Table67[[#This Row],[Midpoint ratio]]&gt;=Table67[[#This Row],[Threshold of Midpoint ratio]]</f>
        <v>0</v>
      </c>
      <c r="AX897" t="b">
        <f>OR(Table67[[#This Row],[Extreme Response Style]],Table67[[#This Row],[Mid-point Response Style]])</f>
        <v>1</v>
      </c>
      <c r="AY897" t="b">
        <f>OR(Table67[[#This Row],[Delete? (Stage 1)]],Table67[[#This Row],[Delete? (Stage 2)]])</f>
        <v>1</v>
      </c>
      <c r="AZ897" t="s">
        <v>84</v>
      </c>
    </row>
    <row r="898" spans="1:52">
      <c r="A898">
        <f t="shared" si="55"/>
        <v>897</v>
      </c>
      <c r="B898" s="3">
        <v>46056.8751388889</v>
      </c>
      <c r="C898" s="3">
        <v>46056.880243055602</v>
      </c>
      <c r="D898" t="s">
        <v>53</v>
      </c>
      <c r="G898" t="s">
        <v>54</v>
      </c>
      <c r="H898" t="s">
        <v>63</v>
      </c>
      <c r="I898" t="s">
        <v>69</v>
      </c>
      <c r="J898" t="s">
        <v>60</v>
      </c>
      <c r="K898" t="s">
        <v>62</v>
      </c>
      <c r="L898" t="s">
        <v>58</v>
      </c>
      <c r="M898" t="s">
        <v>61</v>
      </c>
      <c r="N898">
        <v>4</v>
      </c>
      <c r="O898">
        <v>3</v>
      </c>
      <c r="P898">
        <v>4</v>
      </c>
      <c r="Q898">
        <v>3</v>
      </c>
      <c r="R898">
        <v>4</v>
      </c>
      <c r="S898">
        <v>4</v>
      </c>
      <c r="T898">
        <v>2</v>
      </c>
      <c r="U898">
        <v>3</v>
      </c>
      <c r="V898">
        <v>4</v>
      </c>
      <c r="W898">
        <v>5</v>
      </c>
      <c r="X898">
        <v>2</v>
      </c>
      <c r="Y898">
        <v>3</v>
      </c>
      <c r="Z898">
        <v>3</v>
      </c>
      <c r="AA898">
        <v>3</v>
      </c>
      <c r="AB898">
        <v>3</v>
      </c>
      <c r="AC898">
        <v>2</v>
      </c>
      <c r="AD898">
        <v>2</v>
      </c>
      <c r="AE898">
        <v>3</v>
      </c>
      <c r="AF898">
        <v>4</v>
      </c>
      <c r="AG898">
        <v>2</v>
      </c>
      <c r="AH898">
        <v>4</v>
      </c>
      <c r="AI898">
        <v>2</v>
      </c>
      <c r="AJ898">
        <v>2</v>
      </c>
      <c r="AK898" t="b">
        <f>Table67[[#This Row],[What is your age?]]&lt;&gt;"18 - 25"</f>
        <v>0</v>
      </c>
      <c r="AL898" t="b">
        <f t="shared" si="52"/>
        <v>0</v>
      </c>
      <c r="AM898" t="b">
        <f t="shared" si="53"/>
        <v>0</v>
      </c>
      <c r="AN898" t="b">
        <f t="shared" si="54"/>
        <v>0</v>
      </c>
      <c r="AO898" t="b">
        <f>OR(Table67[[#This Row],[Ineligible respondents]:[Inconsistent response on opposite question (3)]])</f>
        <v>0</v>
      </c>
      <c r="AP89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898">
        <f>Table67[[#This Row],[Extreme Response]]/21</f>
        <v>4.7619047619047616E-2</v>
      </c>
      <c r="AR898">
        <f>_xlfn.PERCENTILE.INC(Table67[Extrem Response Ratio (ERS)],0.9)</f>
        <v>0.61904761904761907</v>
      </c>
      <c r="AS898" t="b">
        <f>Table67[[#This Row],[Extrem Response Ratio (ERS)]]&gt;=Table67[[#This Row],[Threshold of ERS]]</f>
        <v>0</v>
      </c>
      <c r="AT898">
        <f>COUNTIF(Table67[[#This Row],[The mechanism of digital assets is difficult to understand, which discourages me from exploring it (E.g, Tokenization, Blockchain)]:[If I want to try different ways to invest, I will explore digital assets.]], 3)</f>
        <v>8</v>
      </c>
      <c r="AU898">
        <f>Table67[[#This Row],[Midpoint]]/21</f>
        <v>0.38095238095238093</v>
      </c>
      <c r="AV898">
        <f>_xlfn.PERCENTILE.INC(Table67[Midpoint ratio],0.9)</f>
        <v>0.5714285714285714</v>
      </c>
      <c r="AW898" t="b">
        <f>Table67[[#This Row],[Midpoint ratio]]&gt;=Table67[[#This Row],[Threshold of Midpoint ratio]]</f>
        <v>0</v>
      </c>
      <c r="AX898" t="b">
        <f>OR(Table67[[#This Row],[Extreme Response Style]],Table67[[#This Row],[Mid-point Response Style]])</f>
        <v>0</v>
      </c>
      <c r="AY898" t="b">
        <f>OR(Table67[[#This Row],[Delete? (Stage 1)]],Table67[[#This Row],[Delete? (Stage 2)]])</f>
        <v>0</v>
      </c>
      <c r="AZ898" t="s">
        <v>84</v>
      </c>
    </row>
    <row r="899" spans="1:52">
      <c r="A899">
        <f t="shared" si="55"/>
        <v>898</v>
      </c>
      <c r="B899" s="3">
        <v>46056.8751388889</v>
      </c>
      <c r="C899" s="3">
        <v>46056.880937499998</v>
      </c>
      <c r="D899" t="s">
        <v>53</v>
      </c>
      <c r="G899" t="s">
        <v>54</v>
      </c>
      <c r="H899" t="s">
        <v>55</v>
      </c>
      <c r="I899" t="s">
        <v>71</v>
      </c>
      <c r="J899" t="s">
        <v>57</v>
      </c>
      <c r="K899" t="s">
        <v>57</v>
      </c>
      <c r="L899" t="s">
        <v>58</v>
      </c>
      <c r="M899" t="s">
        <v>58</v>
      </c>
      <c r="N899">
        <v>1</v>
      </c>
      <c r="O899">
        <v>1</v>
      </c>
      <c r="P899">
        <v>2</v>
      </c>
      <c r="Q899">
        <v>1</v>
      </c>
      <c r="R899">
        <v>1</v>
      </c>
      <c r="S899">
        <v>1</v>
      </c>
      <c r="T899">
        <v>2</v>
      </c>
      <c r="U899">
        <v>4</v>
      </c>
      <c r="V899">
        <v>3</v>
      </c>
      <c r="W899">
        <v>5</v>
      </c>
      <c r="X899">
        <v>1</v>
      </c>
      <c r="Y899">
        <v>3</v>
      </c>
      <c r="Z899">
        <v>5</v>
      </c>
      <c r="AA899">
        <v>4</v>
      </c>
      <c r="AB899">
        <v>1</v>
      </c>
      <c r="AC899">
        <v>3</v>
      </c>
      <c r="AD899">
        <v>5</v>
      </c>
      <c r="AE899">
        <v>1</v>
      </c>
      <c r="AF899">
        <v>2</v>
      </c>
      <c r="AG899">
        <v>4</v>
      </c>
      <c r="AH899">
        <v>3</v>
      </c>
      <c r="AI899">
        <v>3</v>
      </c>
      <c r="AJ899">
        <v>4</v>
      </c>
      <c r="AK899" t="b">
        <f>Table67[[#This Row],[What is your age?]]&lt;&gt;"18 - 25"</f>
        <v>0</v>
      </c>
      <c r="AL899" t="b">
        <f t="shared" ref="AL899:AL962" si="56">COUNTIF(N899:AH899, N899) = COLUMNS(N899:AH899)</f>
        <v>0</v>
      </c>
      <c r="AM899" t="b">
        <f t="shared" ref="AM899:AM962" si="57">OR(AND(AG899=AH899, AG899&lt;&gt;3), AND(OR(AG899=1, AG899=2), OR(AH899=1, AH899=2)), AND(OR(AG899=4, AG899=5), OR(AH899=4, AH899=5)))</f>
        <v>0</v>
      </c>
      <c r="AN899" t="b">
        <f t="shared" ref="AN899:AN962" si="58">OR(AND(AG899=3, AH899&lt;&gt;3), AND(AH899=3, AG899&lt;&gt;3))</f>
        <v>1</v>
      </c>
      <c r="AO899" t="b">
        <f>OR(Table67[[#This Row],[Ineligible respondents]:[Inconsistent response on opposite question (3)]])</f>
        <v>1</v>
      </c>
      <c r="AP89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899">
        <f>Table67[[#This Row],[Extreme Response]]/21</f>
        <v>0.52380952380952384</v>
      </c>
      <c r="AR899">
        <f>_xlfn.PERCENTILE.INC(Table67[Extrem Response Ratio (ERS)],0.9)</f>
        <v>0.61904761904761907</v>
      </c>
      <c r="AS899" t="b">
        <f>Table67[[#This Row],[Extrem Response Ratio (ERS)]]&gt;=Table67[[#This Row],[Threshold of ERS]]</f>
        <v>0</v>
      </c>
      <c r="AT899">
        <f>COUNTIF(Table67[[#This Row],[The mechanism of digital assets is difficult to understand, which discourages me from exploring it (E.g, Tokenization, Blockchain)]:[If I want to try different ways to invest, I will explore digital assets.]], 3)</f>
        <v>4</v>
      </c>
      <c r="AU899">
        <f>Table67[[#This Row],[Midpoint]]/21</f>
        <v>0.19047619047619047</v>
      </c>
      <c r="AV899">
        <f>_xlfn.PERCENTILE.INC(Table67[Midpoint ratio],0.9)</f>
        <v>0.5714285714285714</v>
      </c>
      <c r="AW899" t="b">
        <f>Table67[[#This Row],[Midpoint ratio]]&gt;=Table67[[#This Row],[Threshold of Midpoint ratio]]</f>
        <v>0</v>
      </c>
      <c r="AX899" t="b">
        <f>OR(Table67[[#This Row],[Extreme Response Style]],Table67[[#This Row],[Mid-point Response Style]])</f>
        <v>0</v>
      </c>
      <c r="AY899" t="b">
        <f>OR(Table67[[#This Row],[Delete? (Stage 1)]],Table67[[#This Row],[Delete? (Stage 2)]])</f>
        <v>1</v>
      </c>
      <c r="AZ899" t="s">
        <v>84</v>
      </c>
    </row>
    <row r="900" spans="1:52">
      <c r="A900">
        <f t="shared" ref="A900:A963" si="59">1+A899</f>
        <v>899</v>
      </c>
      <c r="B900" s="3">
        <v>46056.8751388889</v>
      </c>
      <c r="C900" s="3">
        <v>46056.881296296298</v>
      </c>
      <c r="D900" t="s">
        <v>53</v>
      </c>
      <c r="G900" t="s">
        <v>54</v>
      </c>
      <c r="H900" t="s">
        <v>63</v>
      </c>
      <c r="I900" t="s">
        <v>71</v>
      </c>
      <c r="J900" t="s">
        <v>62</v>
      </c>
      <c r="K900" t="s">
        <v>57</v>
      </c>
      <c r="L900" t="s">
        <v>58</v>
      </c>
      <c r="M900" t="s">
        <v>58</v>
      </c>
      <c r="N900">
        <v>4</v>
      </c>
      <c r="O900">
        <v>4</v>
      </c>
      <c r="P900">
        <v>2</v>
      </c>
      <c r="Q900">
        <v>4</v>
      </c>
      <c r="R900">
        <v>3</v>
      </c>
      <c r="S900">
        <v>2</v>
      </c>
      <c r="T900">
        <v>2</v>
      </c>
      <c r="U900">
        <v>4</v>
      </c>
      <c r="V900">
        <v>4</v>
      </c>
      <c r="W900">
        <v>4</v>
      </c>
      <c r="X900">
        <v>4</v>
      </c>
      <c r="Y900">
        <v>4</v>
      </c>
      <c r="Z900">
        <v>4</v>
      </c>
      <c r="AA900">
        <v>4</v>
      </c>
      <c r="AB900">
        <v>2</v>
      </c>
      <c r="AC900">
        <v>4</v>
      </c>
      <c r="AD900">
        <v>3</v>
      </c>
      <c r="AE900">
        <v>2</v>
      </c>
      <c r="AF900">
        <v>3</v>
      </c>
      <c r="AG900">
        <v>4</v>
      </c>
      <c r="AH900">
        <v>3</v>
      </c>
      <c r="AI900">
        <v>3</v>
      </c>
      <c r="AJ900">
        <v>3</v>
      </c>
      <c r="AK900" t="b">
        <f>Table67[[#This Row],[What is your age?]]&lt;&gt;"18 - 25"</f>
        <v>0</v>
      </c>
      <c r="AL900" t="b">
        <f t="shared" si="56"/>
        <v>0</v>
      </c>
      <c r="AM900" t="b">
        <f t="shared" si="57"/>
        <v>0</v>
      </c>
      <c r="AN900" t="b">
        <f t="shared" si="58"/>
        <v>1</v>
      </c>
      <c r="AO900" t="b">
        <f>OR(Table67[[#This Row],[Ineligible respondents]:[Inconsistent response on opposite question (3)]])</f>
        <v>1</v>
      </c>
      <c r="AP90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900">
        <f>Table67[[#This Row],[Extreme Response]]/21</f>
        <v>0</v>
      </c>
      <c r="AR900">
        <f>_xlfn.PERCENTILE.INC(Table67[Extrem Response Ratio (ERS)],0.9)</f>
        <v>0.61904761904761907</v>
      </c>
      <c r="AS900" t="b">
        <f>Table67[[#This Row],[Extrem Response Ratio (ERS)]]&gt;=Table67[[#This Row],[Threshold of ERS]]</f>
        <v>0</v>
      </c>
      <c r="AT900">
        <f>COUNTIF(Table67[[#This Row],[The mechanism of digital assets is difficult to understand, which discourages me from exploring it (E.g, Tokenization, Blockchain)]:[If I want to try different ways to invest, I will explore digital assets.]], 3)</f>
        <v>4</v>
      </c>
      <c r="AU900">
        <f>Table67[[#This Row],[Midpoint]]/21</f>
        <v>0.19047619047619047</v>
      </c>
      <c r="AV900">
        <f>_xlfn.PERCENTILE.INC(Table67[Midpoint ratio],0.9)</f>
        <v>0.5714285714285714</v>
      </c>
      <c r="AW900" t="b">
        <f>Table67[[#This Row],[Midpoint ratio]]&gt;=Table67[[#This Row],[Threshold of Midpoint ratio]]</f>
        <v>0</v>
      </c>
      <c r="AX900" t="b">
        <f>OR(Table67[[#This Row],[Extreme Response Style]],Table67[[#This Row],[Mid-point Response Style]])</f>
        <v>0</v>
      </c>
      <c r="AY900" t="b">
        <f>OR(Table67[[#This Row],[Delete? (Stage 1)]],Table67[[#This Row],[Delete? (Stage 2)]])</f>
        <v>1</v>
      </c>
      <c r="AZ900" t="s">
        <v>84</v>
      </c>
    </row>
    <row r="901" spans="1:52">
      <c r="A901">
        <f t="shared" si="59"/>
        <v>900</v>
      </c>
      <c r="B901" s="3">
        <v>46056.875243055598</v>
      </c>
      <c r="C901" s="3">
        <v>46056.877997685202</v>
      </c>
      <c r="D901" t="s">
        <v>53</v>
      </c>
      <c r="G901" t="s">
        <v>54</v>
      </c>
      <c r="H901" t="s">
        <v>63</v>
      </c>
      <c r="I901" t="s">
        <v>56</v>
      </c>
      <c r="J901" t="s">
        <v>57</v>
      </c>
      <c r="K901" t="s">
        <v>57</v>
      </c>
      <c r="L901" t="s">
        <v>58</v>
      </c>
      <c r="M901" t="s">
        <v>58</v>
      </c>
      <c r="N901">
        <v>5</v>
      </c>
      <c r="O901">
        <v>3</v>
      </c>
      <c r="P901">
        <v>4</v>
      </c>
      <c r="Q901">
        <v>4</v>
      </c>
      <c r="R901">
        <v>3</v>
      </c>
      <c r="S901">
        <v>3</v>
      </c>
      <c r="T901">
        <v>2</v>
      </c>
      <c r="U901">
        <v>4</v>
      </c>
      <c r="V901">
        <v>4</v>
      </c>
      <c r="W901">
        <v>4</v>
      </c>
      <c r="X901">
        <v>5</v>
      </c>
      <c r="Y901">
        <v>5</v>
      </c>
      <c r="Z901">
        <v>4</v>
      </c>
      <c r="AA901">
        <v>5</v>
      </c>
      <c r="AB901">
        <v>4</v>
      </c>
      <c r="AC901">
        <v>4</v>
      </c>
      <c r="AD901">
        <v>4</v>
      </c>
      <c r="AE901">
        <v>4</v>
      </c>
      <c r="AF901">
        <v>1</v>
      </c>
      <c r="AG901">
        <v>2</v>
      </c>
      <c r="AH901">
        <v>3</v>
      </c>
      <c r="AI901">
        <v>3</v>
      </c>
      <c r="AJ901">
        <v>5</v>
      </c>
      <c r="AK901" t="b">
        <f>Table67[[#This Row],[What is your age?]]&lt;&gt;"18 - 25"</f>
        <v>0</v>
      </c>
      <c r="AL901" t="b">
        <f t="shared" si="56"/>
        <v>0</v>
      </c>
      <c r="AM901" t="b">
        <f t="shared" si="57"/>
        <v>0</v>
      </c>
      <c r="AN901" t="b">
        <f t="shared" si="58"/>
        <v>1</v>
      </c>
      <c r="AO901" t="b">
        <f>OR(Table67[[#This Row],[Ineligible respondents]:[Inconsistent response on opposite question (3)]])</f>
        <v>1</v>
      </c>
      <c r="AP90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901">
        <f>Table67[[#This Row],[Extreme Response]]/21</f>
        <v>0.23809523809523808</v>
      </c>
      <c r="AR901">
        <f>_xlfn.PERCENTILE.INC(Table67[Extrem Response Ratio (ERS)],0.9)</f>
        <v>0.61904761904761907</v>
      </c>
      <c r="AS901" t="b">
        <f>Table67[[#This Row],[Extrem Response Ratio (ERS)]]&gt;=Table67[[#This Row],[Threshold of ERS]]</f>
        <v>0</v>
      </c>
      <c r="AT901">
        <f>COUNTIF(Table67[[#This Row],[The mechanism of digital assets is difficult to understand, which discourages me from exploring it (E.g, Tokenization, Blockchain)]:[If I want to try different ways to invest, I will explore digital assets.]], 3)</f>
        <v>4</v>
      </c>
      <c r="AU901">
        <f>Table67[[#This Row],[Midpoint]]/21</f>
        <v>0.19047619047619047</v>
      </c>
      <c r="AV901">
        <f>_xlfn.PERCENTILE.INC(Table67[Midpoint ratio],0.9)</f>
        <v>0.5714285714285714</v>
      </c>
      <c r="AW901" t="b">
        <f>Table67[[#This Row],[Midpoint ratio]]&gt;=Table67[[#This Row],[Threshold of Midpoint ratio]]</f>
        <v>0</v>
      </c>
      <c r="AX901" t="b">
        <f>OR(Table67[[#This Row],[Extreme Response Style]],Table67[[#This Row],[Mid-point Response Style]])</f>
        <v>0</v>
      </c>
      <c r="AY901" t="b">
        <f>OR(Table67[[#This Row],[Delete? (Stage 1)]],Table67[[#This Row],[Delete? (Stage 2)]])</f>
        <v>1</v>
      </c>
      <c r="AZ901" t="s">
        <v>84</v>
      </c>
    </row>
    <row r="902" spans="1:52">
      <c r="A902">
        <f t="shared" si="59"/>
        <v>901</v>
      </c>
      <c r="B902" s="3">
        <v>46056.8753587963</v>
      </c>
      <c r="C902" s="3">
        <v>46056.880671296298</v>
      </c>
      <c r="D902" t="s">
        <v>53</v>
      </c>
      <c r="G902" t="s">
        <v>54</v>
      </c>
      <c r="H902" t="s">
        <v>63</v>
      </c>
      <c r="I902" t="s">
        <v>82</v>
      </c>
      <c r="J902" t="s">
        <v>62</v>
      </c>
      <c r="K902" t="s">
        <v>57</v>
      </c>
      <c r="L902" t="s">
        <v>58</v>
      </c>
      <c r="M902" t="s">
        <v>58</v>
      </c>
      <c r="N902">
        <v>3</v>
      </c>
      <c r="O902">
        <v>1</v>
      </c>
      <c r="P902">
        <v>4</v>
      </c>
      <c r="Q902">
        <v>2</v>
      </c>
      <c r="R902">
        <v>2</v>
      </c>
      <c r="S902">
        <v>1</v>
      </c>
      <c r="T902">
        <v>3</v>
      </c>
      <c r="U902">
        <v>4</v>
      </c>
      <c r="V902">
        <v>4</v>
      </c>
      <c r="W902">
        <v>5</v>
      </c>
      <c r="X902">
        <v>4</v>
      </c>
      <c r="Y902">
        <v>5</v>
      </c>
      <c r="Z902">
        <v>3</v>
      </c>
      <c r="AA902">
        <v>4</v>
      </c>
      <c r="AB902">
        <v>3</v>
      </c>
      <c r="AC902">
        <v>4</v>
      </c>
      <c r="AD902">
        <v>5</v>
      </c>
      <c r="AE902">
        <v>4</v>
      </c>
      <c r="AF902">
        <v>2</v>
      </c>
      <c r="AG902">
        <v>3</v>
      </c>
      <c r="AH902">
        <v>4</v>
      </c>
      <c r="AI902">
        <v>2</v>
      </c>
      <c r="AJ902">
        <v>4</v>
      </c>
      <c r="AK902" t="b">
        <f>Table67[[#This Row],[What is your age?]]&lt;&gt;"18 - 25"</f>
        <v>0</v>
      </c>
      <c r="AL902" t="b">
        <f t="shared" si="56"/>
        <v>0</v>
      </c>
      <c r="AM902" t="b">
        <f t="shared" si="57"/>
        <v>0</v>
      </c>
      <c r="AN902" t="b">
        <f t="shared" si="58"/>
        <v>1</v>
      </c>
      <c r="AO902" t="b">
        <f>OR(Table67[[#This Row],[Ineligible respondents]:[Inconsistent response on opposite question (3)]])</f>
        <v>1</v>
      </c>
      <c r="AP90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902">
        <f>Table67[[#This Row],[Extreme Response]]/21</f>
        <v>0.23809523809523808</v>
      </c>
      <c r="AR902">
        <f>_xlfn.PERCENTILE.INC(Table67[Extrem Response Ratio (ERS)],0.9)</f>
        <v>0.61904761904761907</v>
      </c>
      <c r="AS902" t="b">
        <f>Table67[[#This Row],[Extrem Response Ratio (ERS)]]&gt;=Table67[[#This Row],[Threshold of ERS]]</f>
        <v>0</v>
      </c>
      <c r="AT902">
        <f>COUNTIF(Table67[[#This Row],[The mechanism of digital assets is difficult to understand, which discourages me from exploring it (E.g, Tokenization, Blockchain)]:[If I want to try different ways to invest, I will explore digital assets.]], 3)</f>
        <v>5</v>
      </c>
      <c r="AU902">
        <f>Table67[[#This Row],[Midpoint]]/21</f>
        <v>0.23809523809523808</v>
      </c>
      <c r="AV902">
        <f>_xlfn.PERCENTILE.INC(Table67[Midpoint ratio],0.9)</f>
        <v>0.5714285714285714</v>
      </c>
      <c r="AW902" t="b">
        <f>Table67[[#This Row],[Midpoint ratio]]&gt;=Table67[[#This Row],[Threshold of Midpoint ratio]]</f>
        <v>0</v>
      </c>
      <c r="AX902" t="b">
        <f>OR(Table67[[#This Row],[Extreme Response Style]],Table67[[#This Row],[Mid-point Response Style]])</f>
        <v>0</v>
      </c>
      <c r="AY902" t="b">
        <f>OR(Table67[[#This Row],[Delete? (Stage 1)]],Table67[[#This Row],[Delete? (Stage 2)]])</f>
        <v>1</v>
      </c>
      <c r="AZ902" t="s">
        <v>84</v>
      </c>
    </row>
    <row r="903" spans="1:52">
      <c r="A903">
        <f t="shared" si="59"/>
        <v>902</v>
      </c>
      <c r="B903" s="3">
        <v>46056.875416666699</v>
      </c>
      <c r="C903" s="3">
        <v>46056.877175925903</v>
      </c>
      <c r="D903" t="s">
        <v>53</v>
      </c>
      <c r="G903" t="s">
        <v>54</v>
      </c>
      <c r="H903" t="s">
        <v>55</v>
      </c>
      <c r="I903" t="s">
        <v>71</v>
      </c>
      <c r="J903" t="s">
        <v>68</v>
      </c>
      <c r="K903" t="s">
        <v>62</v>
      </c>
      <c r="L903" t="s">
        <v>58</v>
      </c>
      <c r="M903" t="s">
        <v>58</v>
      </c>
      <c r="N903">
        <v>4</v>
      </c>
      <c r="O903">
        <v>3</v>
      </c>
      <c r="P903">
        <v>5</v>
      </c>
      <c r="Q903">
        <v>4</v>
      </c>
      <c r="R903">
        <v>4</v>
      </c>
      <c r="S903">
        <v>4</v>
      </c>
      <c r="T903">
        <v>3</v>
      </c>
      <c r="U903">
        <v>5</v>
      </c>
      <c r="V903">
        <v>5</v>
      </c>
      <c r="W903">
        <v>4</v>
      </c>
      <c r="X903">
        <v>5</v>
      </c>
      <c r="Y903">
        <v>5</v>
      </c>
      <c r="Z903">
        <v>4</v>
      </c>
      <c r="AA903">
        <v>4</v>
      </c>
      <c r="AB903">
        <v>5</v>
      </c>
      <c r="AC903">
        <v>4</v>
      </c>
      <c r="AD903">
        <v>5</v>
      </c>
      <c r="AE903">
        <v>2</v>
      </c>
      <c r="AF903">
        <v>3</v>
      </c>
      <c r="AG903">
        <v>4</v>
      </c>
      <c r="AH903">
        <v>4</v>
      </c>
      <c r="AI903">
        <v>2</v>
      </c>
      <c r="AJ903">
        <v>3</v>
      </c>
      <c r="AK903" t="b">
        <f>Table67[[#This Row],[What is your age?]]&lt;&gt;"18 - 25"</f>
        <v>0</v>
      </c>
      <c r="AL903" t="b">
        <f t="shared" si="56"/>
        <v>0</v>
      </c>
      <c r="AM903" t="b">
        <f t="shared" si="57"/>
        <v>1</v>
      </c>
      <c r="AN903" t="b">
        <f t="shared" si="58"/>
        <v>0</v>
      </c>
      <c r="AO903" t="b">
        <f>OR(Table67[[#This Row],[Ineligible respondents]:[Inconsistent response on opposite question (3)]])</f>
        <v>1</v>
      </c>
      <c r="AP90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903">
        <f>Table67[[#This Row],[Extreme Response]]/21</f>
        <v>0.33333333333333331</v>
      </c>
      <c r="AR903">
        <f>_xlfn.PERCENTILE.INC(Table67[Extrem Response Ratio (ERS)],0.9)</f>
        <v>0.61904761904761907</v>
      </c>
      <c r="AS903" t="b">
        <f>Table67[[#This Row],[Extrem Response Ratio (ERS)]]&gt;=Table67[[#This Row],[Threshold of ERS]]</f>
        <v>0</v>
      </c>
      <c r="AT903">
        <f>COUNTIF(Table67[[#This Row],[The mechanism of digital assets is difficult to understand, which discourages me from exploring it (E.g, Tokenization, Blockchain)]:[If I want to try different ways to invest, I will explore digital assets.]], 3)</f>
        <v>3</v>
      </c>
      <c r="AU903">
        <f>Table67[[#This Row],[Midpoint]]/21</f>
        <v>0.14285714285714285</v>
      </c>
      <c r="AV903">
        <f>_xlfn.PERCENTILE.INC(Table67[Midpoint ratio],0.9)</f>
        <v>0.5714285714285714</v>
      </c>
      <c r="AW903" t="b">
        <f>Table67[[#This Row],[Midpoint ratio]]&gt;=Table67[[#This Row],[Threshold of Midpoint ratio]]</f>
        <v>0</v>
      </c>
      <c r="AX903" t="b">
        <f>OR(Table67[[#This Row],[Extreme Response Style]],Table67[[#This Row],[Mid-point Response Style]])</f>
        <v>0</v>
      </c>
      <c r="AY903" t="b">
        <f>OR(Table67[[#This Row],[Delete? (Stage 1)]],Table67[[#This Row],[Delete? (Stage 2)]])</f>
        <v>1</v>
      </c>
      <c r="AZ903" t="s">
        <v>84</v>
      </c>
    </row>
    <row r="904" spans="1:52">
      <c r="A904">
        <f t="shared" si="59"/>
        <v>903</v>
      </c>
      <c r="B904" s="3">
        <v>46056.875474537002</v>
      </c>
      <c r="C904" s="3">
        <v>46056.880810185197</v>
      </c>
      <c r="D904" t="s">
        <v>53</v>
      </c>
      <c r="G904" t="s">
        <v>54</v>
      </c>
      <c r="H904" t="s">
        <v>63</v>
      </c>
      <c r="I904" t="s">
        <v>56</v>
      </c>
      <c r="J904" t="s">
        <v>64</v>
      </c>
      <c r="K904" t="s">
        <v>60</v>
      </c>
      <c r="L904" t="s">
        <v>61</v>
      </c>
      <c r="M904" t="s">
        <v>61</v>
      </c>
      <c r="N904">
        <v>5</v>
      </c>
      <c r="O904">
        <v>5</v>
      </c>
      <c r="P904">
        <v>4</v>
      </c>
      <c r="Q904">
        <v>4</v>
      </c>
      <c r="R904">
        <v>2</v>
      </c>
      <c r="S904">
        <v>3</v>
      </c>
      <c r="T904">
        <v>2</v>
      </c>
      <c r="U904">
        <v>2</v>
      </c>
      <c r="V904">
        <v>5</v>
      </c>
      <c r="W904">
        <v>4</v>
      </c>
      <c r="X904">
        <v>2</v>
      </c>
      <c r="Y904">
        <v>3</v>
      </c>
      <c r="Z904">
        <v>3</v>
      </c>
      <c r="AA904">
        <v>4</v>
      </c>
      <c r="AB904">
        <v>4</v>
      </c>
      <c r="AC904">
        <v>3</v>
      </c>
      <c r="AD904">
        <v>5</v>
      </c>
      <c r="AE904">
        <v>4</v>
      </c>
      <c r="AF904">
        <v>5</v>
      </c>
      <c r="AG904">
        <v>4</v>
      </c>
      <c r="AH904">
        <v>5</v>
      </c>
      <c r="AI904">
        <v>1</v>
      </c>
      <c r="AJ904">
        <v>1</v>
      </c>
      <c r="AK904" t="b">
        <f>Table67[[#This Row],[What is your age?]]&lt;&gt;"18 - 25"</f>
        <v>0</v>
      </c>
      <c r="AL904" t="b">
        <f t="shared" si="56"/>
        <v>0</v>
      </c>
      <c r="AM904" t="b">
        <f t="shared" si="57"/>
        <v>1</v>
      </c>
      <c r="AN904" t="b">
        <f t="shared" si="58"/>
        <v>0</v>
      </c>
      <c r="AO904" t="b">
        <f>OR(Table67[[#This Row],[Ineligible respondents]:[Inconsistent response on opposite question (3)]])</f>
        <v>1</v>
      </c>
      <c r="AP90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904">
        <f>Table67[[#This Row],[Extreme Response]]/21</f>
        <v>0.2857142857142857</v>
      </c>
      <c r="AR904">
        <f>_xlfn.PERCENTILE.INC(Table67[Extrem Response Ratio (ERS)],0.9)</f>
        <v>0.61904761904761907</v>
      </c>
      <c r="AS904" t="b">
        <f>Table67[[#This Row],[Extrem Response Ratio (ERS)]]&gt;=Table67[[#This Row],[Threshold of ERS]]</f>
        <v>0</v>
      </c>
      <c r="AT904">
        <f>COUNTIF(Table67[[#This Row],[The mechanism of digital assets is difficult to understand, which discourages me from exploring it (E.g, Tokenization, Blockchain)]:[If I want to try different ways to invest, I will explore digital assets.]], 3)</f>
        <v>4</v>
      </c>
      <c r="AU904">
        <f>Table67[[#This Row],[Midpoint]]/21</f>
        <v>0.19047619047619047</v>
      </c>
      <c r="AV904">
        <f>_xlfn.PERCENTILE.INC(Table67[Midpoint ratio],0.9)</f>
        <v>0.5714285714285714</v>
      </c>
      <c r="AW904" t="b">
        <f>Table67[[#This Row],[Midpoint ratio]]&gt;=Table67[[#This Row],[Threshold of Midpoint ratio]]</f>
        <v>0</v>
      </c>
      <c r="AX904" t="b">
        <f>OR(Table67[[#This Row],[Extreme Response Style]],Table67[[#This Row],[Mid-point Response Style]])</f>
        <v>0</v>
      </c>
      <c r="AY904" t="b">
        <f>OR(Table67[[#This Row],[Delete? (Stage 1)]],Table67[[#This Row],[Delete? (Stage 2)]])</f>
        <v>1</v>
      </c>
      <c r="AZ904" t="s">
        <v>84</v>
      </c>
    </row>
    <row r="905" spans="1:52">
      <c r="A905">
        <f t="shared" si="59"/>
        <v>904</v>
      </c>
      <c r="B905" s="3">
        <v>46056.875509259298</v>
      </c>
      <c r="C905" s="3">
        <v>46056.878171296303</v>
      </c>
      <c r="D905" t="s">
        <v>53</v>
      </c>
      <c r="G905" t="s">
        <v>54</v>
      </c>
      <c r="H905" t="s">
        <v>55</v>
      </c>
      <c r="I905" t="s">
        <v>71</v>
      </c>
      <c r="J905" t="s">
        <v>62</v>
      </c>
      <c r="K905" t="s">
        <v>62</v>
      </c>
      <c r="L905" t="s">
        <v>58</v>
      </c>
      <c r="M905" t="s">
        <v>58</v>
      </c>
      <c r="N905">
        <v>4</v>
      </c>
      <c r="O905">
        <v>1</v>
      </c>
      <c r="P905">
        <v>5</v>
      </c>
      <c r="Q905">
        <v>3</v>
      </c>
      <c r="R905">
        <v>4</v>
      </c>
      <c r="S905">
        <v>3</v>
      </c>
      <c r="T905">
        <v>2</v>
      </c>
      <c r="U905">
        <v>4</v>
      </c>
      <c r="V905">
        <v>3</v>
      </c>
      <c r="W905">
        <v>3</v>
      </c>
      <c r="X905">
        <v>4</v>
      </c>
      <c r="Y905">
        <v>3</v>
      </c>
      <c r="Z905">
        <v>2</v>
      </c>
      <c r="AA905">
        <v>3</v>
      </c>
      <c r="AB905">
        <v>2</v>
      </c>
      <c r="AC905">
        <v>4</v>
      </c>
      <c r="AD905">
        <v>5</v>
      </c>
      <c r="AE905">
        <v>4</v>
      </c>
      <c r="AF905">
        <v>4</v>
      </c>
      <c r="AG905">
        <v>3</v>
      </c>
      <c r="AH905">
        <v>2</v>
      </c>
      <c r="AI905">
        <v>4</v>
      </c>
      <c r="AJ905">
        <v>2</v>
      </c>
      <c r="AK905" t="b">
        <f>Table67[[#This Row],[What is your age?]]&lt;&gt;"18 - 25"</f>
        <v>0</v>
      </c>
      <c r="AL905" t="b">
        <f t="shared" si="56"/>
        <v>0</v>
      </c>
      <c r="AM905" t="b">
        <f t="shared" si="57"/>
        <v>0</v>
      </c>
      <c r="AN905" t="b">
        <f t="shared" si="58"/>
        <v>1</v>
      </c>
      <c r="AO905" t="b">
        <f>OR(Table67[[#This Row],[Ineligible respondents]:[Inconsistent response on opposite question (3)]])</f>
        <v>1</v>
      </c>
      <c r="AP90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905">
        <f>Table67[[#This Row],[Extreme Response]]/21</f>
        <v>0.14285714285714285</v>
      </c>
      <c r="AR905">
        <f>_xlfn.PERCENTILE.INC(Table67[Extrem Response Ratio (ERS)],0.9)</f>
        <v>0.61904761904761907</v>
      </c>
      <c r="AS905" t="b">
        <f>Table67[[#This Row],[Extrem Response Ratio (ERS)]]&gt;=Table67[[#This Row],[Threshold of ERS]]</f>
        <v>0</v>
      </c>
      <c r="AT905">
        <f>COUNTIF(Table67[[#This Row],[The mechanism of digital assets is difficult to understand, which discourages me from exploring it (E.g, Tokenization, Blockchain)]:[If I want to try different ways to invest, I will explore digital assets.]], 3)</f>
        <v>7</v>
      </c>
      <c r="AU905">
        <f>Table67[[#This Row],[Midpoint]]/21</f>
        <v>0.33333333333333331</v>
      </c>
      <c r="AV905">
        <f>_xlfn.PERCENTILE.INC(Table67[Midpoint ratio],0.9)</f>
        <v>0.5714285714285714</v>
      </c>
      <c r="AW905" t="b">
        <f>Table67[[#This Row],[Midpoint ratio]]&gt;=Table67[[#This Row],[Threshold of Midpoint ratio]]</f>
        <v>0</v>
      </c>
      <c r="AX905" t="b">
        <f>OR(Table67[[#This Row],[Extreme Response Style]],Table67[[#This Row],[Mid-point Response Style]])</f>
        <v>0</v>
      </c>
      <c r="AY905" t="b">
        <f>OR(Table67[[#This Row],[Delete? (Stage 1)]],Table67[[#This Row],[Delete? (Stage 2)]])</f>
        <v>1</v>
      </c>
      <c r="AZ905" t="s">
        <v>84</v>
      </c>
    </row>
    <row r="906" spans="1:52">
      <c r="A906">
        <f t="shared" si="59"/>
        <v>905</v>
      </c>
      <c r="B906" s="3">
        <v>46056.875578703701</v>
      </c>
      <c r="C906" s="3">
        <v>46056.877708333297</v>
      </c>
      <c r="D906" t="s">
        <v>53</v>
      </c>
      <c r="G906" t="s">
        <v>54</v>
      </c>
      <c r="H906" t="s">
        <v>55</v>
      </c>
      <c r="I906" t="s">
        <v>56</v>
      </c>
      <c r="J906" t="s">
        <v>60</v>
      </c>
      <c r="K906" t="s">
        <v>62</v>
      </c>
      <c r="L906" t="s">
        <v>61</v>
      </c>
      <c r="M906" t="s">
        <v>61</v>
      </c>
      <c r="N906">
        <v>1</v>
      </c>
      <c r="O906">
        <v>1</v>
      </c>
      <c r="P906">
        <v>5</v>
      </c>
      <c r="Q906">
        <v>5</v>
      </c>
      <c r="R906">
        <v>5</v>
      </c>
      <c r="S906">
        <v>5</v>
      </c>
      <c r="T906">
        <v>5</v>
      </c>
      <c r="U906">
        <v>5</v>
      </c>
      <c r="V906">
        <v>5</v>
      </c>
      <c r="W906">
        <v>5</v>
      </c>
      <c r="X906">
        <v>2</v>
      </c>
      <c r="Y906">
        <v>5</v>
      </c>
      <c r="Z906">
        <v>5</v>
      </c>
      <c r="AA906">
        <v>5</v>
      </c>
      <c r="AB906">
        <v>5</v>
      </c>
      <c r="AC906">
        <v>5</v>
      </c>
      <c r="AD906">
        <v>5</v>
      </c>
      <c r="AE906">
        <v>5</v>
      </c>
      <c r="AF906">
        <v>5</v>
      </c>
      <c r="AG906">
        <v>5</v>
      </c>
      <c r="AH906">
        <v>5</v>
      </c>
      <c r="AI906">
        <v>1</v>
      </c>
      <c r="AJ906">
        <v>1</v>
      </c>
      <c r="AK906" t="b">
        <f>Table67[[#This Row],[What is your age?]]&lt;&gt;"18 - 25"</f>
        <v>0</v>
      </c>
      <c r="AL906" t="b">
        <f t="shared" si="56"/>
        <v>0</v>
      </c>
      <c r="AM906" t="b">
        <f t="shared" si="57"/>
        <v>1</v>
      </c>
      <c r="AN906" t="b">
        <f t="shared" si="58"/>
        <v>0</v>
      </c>
      <c r="AO906" t="b">
        <f>OR(Table67[[#This Row],[Ineligible respondents]:[Inconsistent response on opposite question (3)]])</f>
        <v>1</v>
      </c>
      <c r="AP90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20</v>
      </c>
      <c r="AQ906">
        <f>Table67[[#This Row],[Extreme Response]]/21</f>
        <v>0.95238095238095233</v>
      </c>
      <c r="AR906">
        <f>_xlfn.PERCENTILE.INC(Table67[Extrem Response Ratio (ERS)],0.9)</f>
        <v>0.61904761904761907</v>
      </c>
      <c r="AS906" t="b">
        <f>Table67[[#This Row],[Extrem Response Ratio (ERS)]]&gt;=Table67[[#This Row],[Threshold of ERS]]</f>
        <v>1</v>
      </c>
      <c r="AT906">
        <f>COUNTIF(Table67[[#This Row],[The mechanism of digital assets is difficult to understand, which discourages me from exploring it (E.g, Tokenization, Blockchain)]:[If I want to try different ways to invest, I will explore digital assets.]], 3)</f>
        <v>0</v>
      </c>
      <c r="AU906">
        <f>Table67[[#This Row],[Midpoint]]/21</f>
        <v>0</v>
      </c>
      <c r="AV906">
        <f>_xlfn.PERCENTILE.INC(Table67[Midpoint ratio],0.9)</f>
        <v>0.5714285714285714</v>
      </c>
      <c r="AW906" t="b">
        <f>Table67[[#This Row],[Midpoint ratio]]&gt;=Table67[[#This Row],[Threshold of Midpoint ratio]]</f>
        <v>0</v>
      </c>
      <c r="AX906" t="b">
        <f>OR(Table67[[#This Row],[Extreme Response Style]],Table67[[#This Row],[Mid-point Response Style]])</f>
        <v>1</v>
      </c>
      <c r="AY906" t="b">
        <f>OR(Table67[[#This Row],[Delete? (Stage 1)]],Table67[[#This Row],[Delete? (Stage 2)]])</f>
        <v>1</v>
      </c>
      <c r="AZ906" t="s">
        <v>84</v>
      </c>
    </row>
    <row r="907" spans="1:52">
      <c r="A907">
        <f t="shared" si="59"/>
        <v>906</v>
      </c>
      <c r="B907" s="3">
        <v>46056.875578703701</v>
      </c>
      <c r="C907" s="3">
        <v>46056.879062499997</v>
      </c>
      <c r="D907" t="s">
        <v>53</v>
      </c>
      <c r="G907" t="s">
        <v>54</v>
      </c>
      <c r="H907" t="s">
        <v>63</v>
      </c>
      <c r="I907" t="s">
        <v>56</v>
      </c>
      <c r="J907" t="s">
        <v>65</v>
      </c>
      <c r="K907" t="s">
        <v>64</v>
      </c>
      <c r="L907" t="s">
        <v>61</v>
      </c>
      <c r="M907" t="s">
        <v>61</v>
      </c>
      <c r="N907">
        <v>2</v>
      </c>
      <c r="O907">
        <v>2</v>
      </c>
      <c r="P907">
        <v>4</v>
      </c>
      <c r="Q907">
        <v>3</v>
      </c>
      <c r="R907">
        <v>4</v>
      </c>
      <c r="S907">
        <v>2</v>
      </c>
      <c r="T907">
        <v>3</v>
      </c>
      <c r="U907">
        <v>4</v>
      </c>
      <c r="V907">
        <v>5</v>
      </c>
      <c r="W907">
        <v>4</v>
      </c>
      <c r="X907">
        <v>3</v>
      </c>
      <c r="Y907">
        <v>4</v>
      </c>
      <c r="Z907">
        <v>4</v>
      </c>
      <c r="AA907">
        <v>4</v>
      </c>
      <c r="AB907">
        <v>4</v>
      </c>
      <c r="AC907">
        <v>3</v>
      </c>
      <c r="AD907">
        <v>4</v>
      </c>
      <c r="AE907">
        <v>5</v>
      </c>
      <c r="AF907">
        <v>2</v>
      </c>
      <c r="AG907">
        <v>4</v>
      </c>
      <c r="AH907">
        <v>4</v>
      </c>
      <c r="AI907">
        <v>2</v>
      </c>
      <c r="AJ907">
        <v>4</v>
      </c>
      <c r="AK907" t="b">
        <f>Table67[[#This Row],[What is your age?]]&lt;&gt;"18 - 25"</f>
        <v>0</v>
      </c>
      <c r="AL907" t="b">
        <f t="shared" si="56"/>
        <v>0</v>
      </c>
      <c r="AM907" t="b">
        <f t="shared" si="57"/>
        <v>1</v>
      </c>
      <c r="AN907" t="b">
        <f t="shared" si="58"/>
        <v>0</v>
      </c>
      <c r="AO907" t="b">
        <f>OR(Table67[[#This Row],[Ineligible respondents]:[Inconsistent response on opposite question (3)]])</f>
        <v>1</v>
      </c>
      <c r="AP90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907">
        <f>Table67[[#This Row],[Extreme Response]]/21</f>
        <v>9.5238095238095233E-2</v>
      </c>
      <c r="AR907">
        <f>_xlfn.PERCENTILE.INC(Table67[Extrem Response Ratio (ERS)],0.9)</f>
        <v>0.61904761904761907</v>
      </c>
      <c r="AS907" t="b">
        <f>Table67[[#This Row],[Extrem Response Ratio (ERS)]]&gt;=Table67[[#This Row],[Threshold of ERS]]</f>
        <v>0</v>
      </c>
      <c r="AT907">
        <f>COUNTIF(Table67[[#This Row],[The mechanism of digital assets is difficult to understand, which discourages me from exploring it (E.g, Tokenization, Blockchain)]:[If I want to try different ways to invest, I will explore digital assets.]], 3)</f>
        <v>4</v>
      </c>
      <c r="AU907">
        <f>Table67[[#This Row],[Midpoint]]/21</f>
        <v>0.19047619047619047</v>
      </c>
      <c r="AV907">
        <f>_xlfn.PERCENTILE.INC(Table67[Midpoint ratio],0.9)</f>
        <v>0.5714285714285714</v>
      </c>
      <c r="AW907" t="b">
        <f>Table67[[#This Row],[Midpoint ratio]]&gt;=Table67[[#This Row],[Threshold of Midpoint ratio]]</f>
        <v>0</v>
      </c>
      <c r="AX907" t="b">
        <f>OR(Table67[[#This Row],[Extreme Response Style]],Table67[[#This Row],[Mid-point Response Style]])</f>
        <v>0</v>
      </c>
      <c r="AY907" t="b">
        <f>OR(Table67[[#This Row],[Delete? (Stage 1)]],Table67[[#This Row],[Delete? (Stage 2)]])</f>
        <v>1</v>
      </c>
      <c r="AZ907" t="s">
        <v>84</v>
      </c>
    </row>
    <row r="908" spans="1:52">
      <c r="A908">
        <f t="shared" si="59"/>
        <v>907</v>
      </c>
      <c r="B908" s="3">
        <v>46056.875590277799</v>
      </c>
      <c r="C908" s="3">
        <v>46056.878136574102</v>
      </c>
      <c r="D908" t="s">
        <v>53</v>
      </c>
      <c r="G908" t="s">
        <v>54</v>
      </c>
      <c r="H908" t="s">
        <v>63</v>
      </c>
      <c r="I908" t="s">
        <v>56</v>
      </c>
      <c r="J908" t="s">
        <v>62</v>
      </c>
      <c r="K908" t="s">
        <v>66</v>
      </c>
      <c r="L908" t="s">
        <v>58</v>
      </c>
      <c r="M908" t="s">
        <v>58</v>
      </c>
      <c r="N908">
        <v>4</v>
      </c>
      <c r="O908">
        <v>1</v>
      </c>
      <c r="P908">
        <v>5</v>
      </c>
      <c r="Q908">
        <v>3</v>
      </c>
      <c r="R908">
        <v>4</v>
      </c>
      <c r="S908">
        <v>5</v>
      </c>
      <c r="T908">
        <v>3</v>
      </c>
      <c r="U908">
        <v>5</v>
      </c>
      <c r="V908">
        <v>3</v>
      </c>
      <c r="W908">
        <v>4</v>
      </c>
      <c r="X908">
        <v>5</v>
      </c>
      <c r="Y908">
        <v>5</v>
      </c>
      <c r="Z908">
        <v>5</v>
      </c>
      <c r="AA908">
        <v>5</v>
      </c>
      <c r="AB908">
        <v>3</v>
      </c>
      <c r="AC908">
        <v>4</v>
      </c>
      <c r="AD908">
        <v>5</v>
      </c>
      <c r="AE908">
        <v>1</v>
      </c>
      <c r="AF908">
        <v>3</v>
      </c>
      <c r="AG908">
        <v>4</v>
      </c>
      <c r="AH908">
        <v>4</v>
      </c>
      <c r="AI908">
        <v>2</v>
      </c>
      <c r="AJ908">
        <v>3</v>
      </c>
      <c r="AK908" t="b">
        <f>Table67[[#This Row],[What is your age?]]&lt;&gt;"18 - 25"</f>
        <v>0</v>
      </c>
      <c r="AL908" t="b">
        <f t="shared" si="56"/>
        <v>0</v>
      </c>
      <c r="AM908" t="b">
        <f t="shared" si="57"/>
        <v>1</v>
      </c>
      <c r="AN908" t="b">
        <f t="shared" si="58"/>
        <v>0</v>
      </c>
      <c r="AO908" t="b">
        <f>OR(Table67[[#This Row],[Ineligible respondents]:[Inconsistent response on opposite question (3)]])</f>
        <v>1</v>
      </c>
      <c r="AP90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10</v>
      </c>
      <c r="AQ908">
        <f>Table67[[#This Row],[Extreme Response]]/21</f>
        <v>0.47619047619047616</v>
      </c>
      <c r="AR908">
        <f>_xlfn.PERCENTILE.INC(Table67[Extrem Response Ratio (ERS)],0.9)</f>
        <v>0.61904761904761907</v>
      </c>
      <c r="AS908" t="b">
        <f>Table67[[#This Row],[Extrem Response Ratio (ERS)]]&gt;=Table67[[#This Row],[Threshold of ERS]]</f>
        <v>0</v>
      </c>
      <c r="AT908">
        <f>COUNTIF(Table67[[#This Row],[The mechanism of digital assets is difficult to understand, which discourages me from exploring it (E.g, Tokenization, Blockchain)]:[If I want to try different ways to invest, I will explore digital assets.]], 3)</f>
        <v>5</v>
      </c>
      <c r="AU908">
        <f>Table67[[#This Row],[Midpoint]]/21</f>
        <v>0.23809523809523808</v>
      </c>
      <c r="AV908">
        <f>_xlfn.PERCENTILE.INC(Table67[Midpoint ratio],0.9)</f>
        <v>0.5714285714285714</v>
      </c>
      <c r="AW908" t="b">
        <f>Table67[[#This Row],[Midpoint ratio]]&gt;=Table67[[#This Row],[Threshold of Midpoint ratio]]</f>
        <v>0</v>
      </c>
      <c r="AX908" t="b">
        <f>OR(Table67[[#This Row],[Extreme Response Style]],Table67[[#This Row],[Mid-point Response Style]])</f>
        <v>0</v>
      </c>
      <c r="AY908" t="b">
        <f>OR(Table67[[#This Row],[Delete? (Stage 1)]],Table67[[#This Row],[Delete? (Stage 2)]])</f>
        <v>1</v>
      </c>
      <c r="AZ908" t="s">
        <v>84</v>
      </c>
    </row>
    <row r="909" spans="1:52">
      <c r="A909">
        <f t="shared" si="59"/>
        <v>908</v>
      </c>
      <c r="B909" s="3">
        <v>46056.8756712963</v>
      </c>
      <c r="C909" s="3">
        <v>46056.878680555601</v>
      </c>
      <c r="D909" t="s">
        <v>53</v>
      </c>
      <c r="G909" t="s">
        <v>54</v>
      </c>
      <c r="H909" t="s">
        <v>63</v>
      </c>
      <c r="I909" t="s">
        <v>56</v>
      </c>
      <c r="J909" t="s">
        <v>57</v>
      </c>
      <c r="K909" t="s">
        <v>57</v>
      </c>
      <c r="L909" t="s">
        <v>58</v>
      </c>
      <c r="M909" t="s">
        <v>58</v>
      </c>
      <c r="N909">
        <v>4</v>
      </c>
      <c r="O909">
        <v>3</v>
      </c>
      <c r="P909">
        <v>4</v>
      </c>
      <c r="Q909">
        <v>3</v>
      </c>
      <c r="R909">
        <v>4</v>
      </c>
      <c r="S909">
        <v>4</v>
      </c>
      <c r="T909">
        <v>3</v>
      </c>
      <c r="U909">
        <v>3</v>
      </c>
      <c r="V909">
        <v>4</v>
      </c>
      <c r="W909">
        <v>3</v>
      </c>
      <c r="X909">
        <v>4</v>
      </c>
      <c r="Y909">
        <v>5</v>
      </c>
      <c r="Z909">
        <v>5</v>
      </c>
      <c r="AA909">
        <v>4</v>
      </c>
      <c r="AB909">
        <v>3</v>
      </c>
      <c r="AC909">
        <v>2</v>
      </c>
      <c r="AD909">
        <v>4</v>
      </c>
      <c r="AE909">
        <v>5</v>
      </c>
      <c r="AF909">
        <v>4</v>
      </c>
      <c r="AG909">
        <v>3</v>
      </c>
      <c r="AH909">
        <v>3</v>
      </c>
      <c r="AI909">
        <v>3</v>
      </c>
      <c r="AJ909">
        <v>2</v>
      </c>
      <c r="AK909" t="b">
        <f>Table67[[#This Row],[What is your age?]]&lt;&gt;"18 - 25"</f>
        <v>0</v>
      </c>
      <c r="AL909" t="b">
        <f t="shared" si="56"/>
        <v>0</v>
      </c>
      <c r="AM909" t="b">
        <f t="shared" si="57"/>
        <v>0</v>
      </c>
      <c r="AN909" t="b">
        <f t="shared" si="58"/>
        <v>0</v>
      </c>
      <c r="AO909" t="b">
        <f>OR(Table67[[#This Row],[Ineligible respondents]:[Inconsistent response on opposite question (3)]])</f>
        <v>0</v>
      </c>
      <c r="AP90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909">
        <f>Table67[[#This Row],[Extreme Response]]/21</f>
        <v>0.14285714285714285</v>
      </c>
      <c r="AR909">
        <f>_xlfn.PERCENTILE.INC(Table67[Extrem Response Ratio (ERS)],0.9)</f>
        <v>0.61904761904761907</v>
      </c>
      <c r="AS909" t="b">
        <f>Table67[[#This Row],[Extrem Response Ratio (ERS)]]&gt;=Table67[[#This Row],[Threshold of ERS]]</f>
        <v>0</v>
      </c>
      <c r="AT909">
        <f>COUNTIF(Table67[[#This Row],[The mechanism of digital assets is difficult to understand, which discourages me from exploring it (E.g, Tokenization, Blockchain)]:[If I want to try different ways to invest, I will explore digital assets.]], 3)</f>
        <v>8</v>
      </c>
      <c r="AU909">
        <f>Table67[[#This Row],[Midpoint]]/21</f>
        <v>0.38095238095238093</v>
      </c>
      <c r="AV909">
        <f>_xlfn.PERCENTILE.INC(Table67[Midpoint ratio],0.9)</f>
        <v>0.5714285714285714</v>
      </c>
      <c r="AW909" t="b">
        <f>Table67[[#This Row],[Midpoint ratio]]&gt;=Table67[[#This Row],[Threshold of Midpoint ratio]]</f>
        <v>0</v>
      </c>
      <c r="AX909" t="b">
        <f>OR(Table67[[#This Row],[Extreme Response Style]],Table67[[#This Row],[Mid-point Response Style]])</f>
        <v>0</v>
      </c>
      <c r="AY909" t="b">
        <f>OR(Table67[[#This Row],[Delete? (Stage 1)]],Table67[[#This Row],[Delete? (Stage 2)]])</f>
        <v>0</v>
      </c>
      <c r="AZ909" t="s">
        <v>84</v>
      </c>
    </row>
    <row r="910" spans="1:52">
      <c r="A910">
        <f t="shared" si="59"/>
        <v>909</v>
      </c>
      <c r="B910" s="3">
        <v>46056.8756712963</v>
      </c>
      <c r="C910" s="3">
        <v>46056.883761574099</v>
      </c>
      <c r="D910" t="s">
        <v>53</v>
      </c>
      <c r="G910" t="s">
        <v>54</v>
      </c>
      <c r="H910" t="s">
        <v>63</v>
      </c>
      <c r="I910" t="s">
        <v>56</v>
      </c>
      <c r="J910" t="s">
        <v>62</v>
      </c>
      <c r="K910" t="s">
        <v>57</v>
      </c>
      <c r="L910" t="s">
        <v>58</v>
      </c>
      <c r="M910" t="s">
        <v>58</v>
      </c>
      <c r="N910">
        <v>2</v>
      </c>
      <c r="O910">
        <v>3</v>
      </c>
      <c r="P910">
        <v>4</v>
      </c>
      <c r="Q910">
        <v>2</v>
      </c>
      <c r="R910">
        <v>2</v>
      </c>
      <c r="S910">
        <v>3</v>
      </c>
      <c r="T910">
        <v>2</v>
      </c>
      <c r="U910">
        <v>3</v>
      </c>
      <c r="V910">
        <v>5</v>
      </c>
      <c r="W910">
        <v>4</v>
      </c>
      <c r="X910">
        <v>3</v>
      </c>
      <c r="Y910">
        <v>4</v>
      </c>
      <c r="Z910">
        <v>3</v>
      </c>
      <c r="AA910">
        <v>2</v>
      </c>
      <c r="AB910">
        <v>1</v>
      </c>
      <c r="AC910">
        <v>2</v>
      </c>
      <c r="AD910">
        <v>1</v>
      </c>
      <c r="AE910">
        <v>1</v>
      </c>
      <c r="AF910">
        <v>4</v>
      </c>
      <c r="AG910">
        <v>2</v>
      </c>
      <c r="AH910">
        <v>4</v>
      </c>
      <c r="AI910">
        <v>2</v>
      </c>
      <c r="AJ910">
        <v>2</v>
      </c>
      <c r="AK910" t="b">
        <f>Table67[[#This Row],[What is your age?]]&lt;&gt;"18 - 25"</f>
        <v>0</v>
      </c>
      <c r="AL910" t="b">
        <f t="shared" si="56"/>
        <v>0</v>
      </c>
      <c r="AM910" t="b">
        <f t="shared" si="57"/>
        <v>0</v>
      </c>
      <c r="AN910" t="b">
        <f t="shared" si="58"/>
        <v>0</v>
      </c>
      <c r="AO910" t="b">
        <f>OR(Table67[[#This Row],[Ineligible respondents]:[Inconsistent response on opposite question (3)]])</f>
        <v>0</v>
      </c>
      <c r="AP91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910">
        <f>Table67[[#This Row],[Extreme Response]]/21</f>
        <v>0.19047619047619047</v>
      </c>
      <c r="AR910">
        <f>_xlfn.PERCENTILE.INC(Table67[Extrem Response Ratio (ERS)],0.9)</f>
        <v>0.61904761904761907</v>
      </c>
      <c r="AS910" t="b">
        <f>Table67[[#This Row],[Extrem Response Ratio (ERS)]]&gt;=Table67[[#This Row],[Threshold of ERS]]</f>
        <v>0</v>
      </c>
      <c r="AT910">
        <f>COUNTIF(Table67[[#This Row],[The mechanism of digital assets is difficult to understand, which discourages me from exploring it (E.g, Tokenization, Blockchain)]:[If I want to try different ways to invest, I will explore digital assets.]], 3)</f>
        <v>5</v>
      </c>
      <c r="AU910">
        <f>Table67[[#This Row],[Midpoint]]/21</f>
        <v>0.23809523809523808</v>
      </c>
      <c r="AV910">
        <f>_xlfn.PERCENTILE.INC(Table67[Midpoint ratio],0.9)</f>
        <v>0.5714285714285714</v>
      </c>
      <c r="AW910" t="b">
        <f>Table67[[#This Row],[Midpoint ratio]]&gt;=Table67[[#This Row],[Threshold of Midpoint ratio]]</f>
        <v>0</v>
      </c>
      <c r="AX910" t="b">
        <f>OR(Table67[[#This Row],[Extreme Response Style]],Table67[[#This Row],[Mid-point Response Style]])</f>
        <v>0</v>
      </c>
      <c r="AY910" t="b">
        <f>OR(Table67[[#This Row],[Delete? (Stage 1)]],Table67[[#This Row],[Delete? (Stage 2)]])</f>
        <v>0</v>
      </c>
      <c r="AZ910" t="s">
        <v>84</v>
      </c>
    </row>
    <row r="911" spans="1:52">
      <c r="A911">
        <f t="shared" si="59"/>
        <v>910</v>
      </c>
      <c r="B911" s="3">
        <v>46056.875706018502</v>
      </c>
      <c r="C911" s="3">
        <v>46056.885798611103</v>
      </c>
      <c r="D911" t="s">
        <v>53</v>
      </c>
      <c r="G911" t="s">
        <v>54</v>
      </c>
      <c r="H911" t="s">
        <v>55</v>
      </c>
      <c r="I911" t="s">
        <v>56</v>
      </c>
      <c r="J911" t="s">
        <v>57</v>
      </c>
      <c r="K911" t="s">
        <v>57</v>
      </c>
      <c r="L911" t="s">
        <v>58</v>
      </c>
      <c r="M911" t="s">
        <v>58</v>
      </c>
      <c r="N911">
        <v>3</v>
      </c>
      <c r="O911">
        <v>1</v>
      </c>
      <c r="P911">
        <v>4</v>
      </c>
      <c r="Q911">
        <v>4</v>
      </c>
      <c r="R911">
        <v>3</v>
      </c>
      <c r="S911">
        <v>5</v>
      </c>
      <c r="T911">
        <v>5</v>
      </c>
      <c r="U911">
        <v>4</v>
      </c>
      <c r="V911">
        <v>2</v>
      </c>
      <c r="W911">
        <v>3</v>
      </c>
      <c r="X911">
        <v>4</v>
      </c>
      <c r="Y911">
        <v>4</v>
      </c>
      <c r="Z911">
        <v>5</v>
      </c>
      <c r="AA911">
        <v>4</v>
      </c>
      <c r="AB911">
        <v>3</v>
      </c>
      <c r="AC911">
        <v>3</v>
      </c>
      <c r="AD911">
        <v>5</v>
      </c>
      <c r="AE911">
        <v>4</v>
      </c>
      <c r="AF911">
        <v>2</v>
      </c>
      <c r="AG911">
        <v>4</v>
      </c>
      <c r="AH911">
        <v>3</v>
      </c>
      <c r="AI911">
        <v>3</v>
      </c>
      <c r="AJ911">
        <v>4</v>
      </c>
      <c r="AK911" t="b">
        <f>Table67[[#This Row],[What is your age?]]&lt;&gt;"18 - 25"</f>
        <v>0</v>
      </c>
      <c r="AL911" t="b">
        <f t="shared" si="56"/>
        <v>0</v>
      </c>
      <c r="AM911" t="b">
        <f t="shared" si="57"/>
        <v>0</v>
      </c>
      <c r="AN911" t="b">
        <f t="shared" si="58"/>
        <v>1</v>
      </c>
      <c r="AO911" t="b">
        <f>OR(Table67[[#This Row],[Ineligible respondents]:[Inconsistent response on opposite question (3)]])</f>
        <v>1</v>
      </c>
      <c r="AP91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911">
        <f>Table67[[#This Row],[Extreme Response]]/21</f>
        <v>0.23809523809523808</v>
      </c>
      <c r="AR911">
        <f>_xlfn.PERCENTILE.INC(Table67[Extrem Response Ratio (ERS)],0.9)</f>
        <v>0.61904761904761907</v>
      </c>
      <c r="AS911" t="b">
        <f>Table67[[#This Row],[Extrem Response Ratio (ERS)]]&gt;=Table67[[#This Row],[Threshold of ERS]]</f>
        <v>0</v>
      </c>
      <c r="AT911">
        <f>COUNTIF(Table67[[#This Row],[The mechanism of digital assets is difficult to understand, which discourages me from exploring it (E.g, Tokenization, Blockchain)]:[If I want to try different ways to invest, I will explore digital assets.]], 3)</f>
        <v>6</v>
      </c>
      <c r="AU911">
        <f>Table67[[#This Row],[Midpoint]]/21</f>
        <v>0.2857142857142857</v>
      </c>
      <c r="AV911">
        <f>_xlfn.PERCENTILE.INC(Table67[Midpoint ratio],0.9)</f>
        <v>0.5714285714285714</v>
      </c>
      <c r="AW911" t="b">
        <f>Table67[[#This Row],[Midpoint ratio]]&gt;=Table67[[#This Row],[Threshold of Midpoint ratio]]</f>
        <v>0</v>
      </c>
      <c r="AX911" t="b">
        <f>OR(Table67[[#This Row],[Extreme Response Style]],Table67[[#This Row],[Mid-point Response Style]])</f>
        <v>0</v>
      </c>
      <c r="AY911" t="b">
        <f>OR(Table67[[#This Row],[Delete? (Stage 1)]],Table67[[#This Row],[Delete? (Stage 2)]])</f>
        <v>1</v>
      </c>
      <c r="AZ911" t="s">
        <v>84</v>
      </c>
    </row>
    <row r="912" spans="1:52">
      <c r="A912">
        <f t="shared" si="59"/>
        <v>911</v>
      </c>
      <c r="B912" s="3">
        <v>46056.875729166699</v>
      </c>
      <c r="C912" s="3">
        <v>46056.882581018501</v>
      </c>
      <c r="D912" t="s">
        <v>53</v>
      </c>
      <c r="G912" t="s">
        <v>54</v>
      </c>
      <c r="H912" t="s">
        <v>55</v>
      </c>
      <c r="I912" t="s">
        <v>56</v>
      </c>
      <c r="J912" t="s">
        <v>62</v>
      </c>
      <c r="K912" t="s">
        <v>62</v>
      </c>
      <c r="L912" t="s">
        <v>61</v>
      </c>
      <c r="M912" t="s">
        <v>61</v>
      </c>
      <c r="N912">
        <v>1</v>
      </c>
      <c r="O912">
        <v>1</v>
      </c>
      <c r="P912">
        <v>4</v>
      </c>
      <c r="Q912">
        <v>2</v>
      </c>
      <c r="R912">
        <v>3</v>
      </c>
      <c r="S912">
        <v>2</v>
      </c>
      <c r="T912">
        <v>2</v>
      </c>
      <c r="U912">
        <v>2</v>
      </c>
      <c r="V912">
        <v>4</v>
      </c>
      <c r="W912">
        <v>4</v>
      </c>
      <c r="X912">
        <v>3</v>
      </c>
      <c r="Y912">
        <v>2</v>
      </c>
      <c r="Z912">
        <v>4</v>
      </c>
      <c r="AA912">
        <v>3</v>
      </c>
      <c r="AB912">
        <v>1</v>
      </c>
      <c r="AC912">
        <v>2</v>
      </c>
      <c r="AD912">
        <v>4</v>
      </c>
      <c r="AE912">
        <v>5</v>
      </c>
      <c r="AF912">
        <v>4</v>
      </c>
      <c r="AG912">
        <v>3</v>
      </c>
      <c r="AH912">
        <v>4</v>
      </c>
      <c r="AI912">
        <v>2</v>
      </c>
      <c r="AJ912">
        <v>2</v>
      </c>
      <c r="AK912" t="b">
        <f>Table67[[#This Row],[What is your age?]]&lt;&gt;"18 - 25"</f>
        <v>0</v>
      </c>
      <c r="AL912" t="b">
        <f t="shared" si="56"/>
        <v>0</v>
      </c>
      <c r="AM912" t="b">
        <f t="shared" si="57"/>
        <v>0</v>
      </c>
      <c r="AN912" t="b">
        <f t="shared" si="58"/>
        <v>1</v>
      </c>
      <c r="AO912" t="b">
        <f>OR(Table67[[#This Row],[Ineligible respondents]:[Inconsistent response on opposite question (3)]])</f>
        <v>1</v>
      </c>
      <c r="AP91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912">
        <f>Table67[[#This Row],[Extreme Response]]/21</f>
        <v>0.19047619047619047</v>
      </c>
      <c r="AR912">
        <f>_xlfn.PERCENTILE.INC(Table67[Extrem Response Ratio (ERS)],0.9)</f>
        <v>0.61904761904761907</v>
      </c>
      <c r="AS912" t="b">
        <f>Table67[[#This Row],[Extrem Response Ratio (ERS)]]&gt;=Table67[[#This Row],[Threshold of ERS]]</f>
        <v>0</v>
      </c>
      <c r="AT912">
        <f>COUNTIF(Table67[[#This Row],[The mechanism of digital assets is difficult to understand, which discourages me from exploring it (E.g, Tokenization, Blockchain)]:[If I want to try different ways to invest, I will explore digital assets.]], 3)</f>
        <v>4</v>
      </c>
      <c r="AU912">
        <f>Table67[[#This Row],[Midpoint]]/21</f>
        <v>0.19047619047619047</v>
      </c>
      <c r="AV912">
        <f>_xlfn.PERCENTILE.INC(Table67[Midpoint ratio],0.9)</f>
        <v>0.5714285714285714</v>
      </c>
      <c r="AW912" t="b">
        <f>Table67[[#This Row],[Midpoint ratio]]&gt;=Table67[[#This Row],[Threshold of Midpoint ratio]]</f>
        <v>0</v>
      </c>
      <c r="AX912" t="b">
        <f>OR(Table67[[#This Row],[Extreme Response Style]],Table67[[#This Row],[Mid-point Response Style]])</f>
        <v>0</v>
      </c>
      <c r="AY912" t="b">
        <f>OR(Table67[[#This Row],[Delete? (Stage 1)]],Table67[[#This Row],[Delete? (Stage 2)]])</f>
        <v>1</v>
      </c>
      <c r="AZ912" t="s">
        <v>84</v>
      </c>
    </row>
    <row r="913" spans="1:52">
      <c r="A913">
        <f t="shared" si="59"/>
        <v>912</v>
      </c>
      <c r="B913" s="3">
        <v>46056.875740740703</v>
      </c>
      <c r="C913" s="3">
        <v>46056.8912962963</v>
      </c>
      <c r="D913" t="s">
        <v>53</v>
      </c>
      <c r="G913" t="s">
        <v>54</v>
      </c>
      <c r="H913" t="s">
        <v>55</v>
      </c>
      <c r="I913" t="s">
        <v>56</v>
      </c>
      <c r="J913" t="s">
        <v>62</v>
      </c>
      <c r="K913" t="s">
        <v>57</v>
      </c>
      <c r="L913" t="s">
        <v>58</v>
      </c>
      <c r="M913" t="s">
        <v>58</v>
      </c>
      <c r="N913">
        <v>3</v>
      </c>
      <c r="O913">
        <v>3</v>
      </c>
      <c r="P913">
        <v>3</v>
      </c>
      <c r="Q913">
        <v>3</v>
      </c>
      <c r="R913">
        <v>4</v>
      </c>
      <c r="S913">
        <v>4</v>
      </c>
      <c r="T913">
        <v>4</v>
      </c>
      <c r="U913">
        <v>4</v>
      </c>
      <c r="V913">
        <v>4</v>
      </c>
      <c r="W913">
        <v>4</v>
      </c>
      <c r="X913">
        <v>4</v>
      </c>
      <c r="Y913">
        <v>4</v>
      </c>
      <c r="Z913">
        <v>4</v>
      </c>
      <c r="AA913">
        <v>4</v>
      </c>
      <c r="AB913">
        <v>3</v>
      </c>
      <c r="AC913">
        <v>3</v>
      </c>
      <c r="AD913">
        <v>3</v>
      </c>
      <c r="AE913">
        <v>4</v>
      </c>
      <c r="AF913">
        <v>3</v>
      </c>
      <c r="AG913">
        <v>4</v>
      </c>
      <c r="AH913">
        <v>3</v>
      </c>
      <c r="AI913">
        <v>3</v>
      </c>
      <c r="AJ913">
        <v>3</v>
      </c>
      <c r="AK913" t="b">
        <f>Table67[[#This Row],[What is your age?]]&lt;&gt;"18 - 25"</f>
        <v>0</v>
      </c>
      <c r="AL913" t="b">
        <f t="shared" si="56"/>
        <v>0</v>
      </c>
      <c r="AM913" t="b">
        <f t="shared" si="57"/>
        <v>0</v>
      </c>
      <c r="AN913" t="b">
        <f t="shared" si="58"/>
        <v>1</v>
      </c>
      <c r="AO913" t="b">
        <f>OR(Table67[[#This Row],[Ineligible respondents]:[Inconsistent response on opposite question (3)]])</f>
        <v>1</v>
      </c>
      <c r="AP91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913">
        <f>Table67[[#This Row],[Extreme Response]]/21</f>
        <v>0</v>
      </c>
      <c r="AR913">
        <f>_xlfn.PERCENTILE.INC(Table67[Extrem Response Ratio (ERS)],0.9)</f>
        <v>0.61904761904761907</v>
      </c>
      <c r="AS913" t="b">
        <f>Table67[[#This Row],[Extrem Response Ratio (ERS)]]&gt;=Table67[[#This Row],[Threshold of ERS]]</f>
        <v>0</v>
      </c>
      <c r="AT913">
        <f>COUNTIF(Table67[[#This Row],[The mechanism of digital assets is difficult to understand, which discourages me from exploring it (E.g, Tokenization, Blockchain)]:[If I want to try different ways to invest, I will explore digital assets.]], 3)</f>
        <v>9</v>
      </c>
      <c r="AU913">
        <f>Table67[[#This Row],[Midpoint]]/21</f>
        <v>0.42857142857142855</v>
      </c>
      <c r="AV913">
        <f>_xlfn.PERCENTILE.INC(Table67[Midpoint ratio],0.9)</f>
        <v>0.5714285714285714</v>
      </c>
      <c r="AW913" t="b">
        <f>Table67[[#This Row],[Midpoint ratio]]&gt;=Table67[[#This Row],[Threshold of Midpoint ratio]]</f>
        <v>0</v>
      </c>
      <c r="AX913" t="b">
        <f>OR(Table67[[#This Row],[Extreme Response Style]],Table67[[#This Row],[Mid-point Response Style]])</f>
        <v>0</v>
      </c>
      <c r="AY913" t="b">
        <f>OR(Table67[[#This Row],[Delete? (Stage 1)]],Table67[[#This Row],[Delete? (Stage 2)]])</f>
        <v>1</v>
      </c>
      <c r="AZ913" t="s">
        <v>84</v>
      </c>
    </row>
    <row r="914" spans="1:52">
      <c r="A914">
        <f t="shared" si="59"/>
        <v>913</v>
      </c>
      <c r="B914" s="3">
        <v>46056.875844907401</v>
      </c>
      <c r="C914" s="3">
        <v>46056.883287037002</v>
      </c>
      <c r="D914" t="s">
        <v>53</v>
      </c>
      <c r="G914" t="s">
        <v>54</v>
      </c>
      <c r="H914" t="s">
        <v>55</v>
      </c>
      <c r="I914" t="s">
        <v>71</v>
      </c>
      <c r="J914" t="s">
        <v>57</v>
      </c>
      <c r="K914" t="s">
        <v>57</v>
      </c>
      <c r="L914" t="s">
        <v>58</v>
      </c>
      <c r="M914" t="s">
        <v>58</v>
      </c>
      <c r="N914">
        <v>4</v>
      </c>
      <c r="O914">
        <v>2</v>
      </c>
      <c r="P914">
        <v>5</v>
      </c>
      <c r="Q914">
        <v>5</v>
      </c>
      <c r="R914">
        <v>5</v>
      </c>
      <c r="S914">
        <v>5</v>
      </c>
      <c r="T914">
        <v>3</v>
      </c>
      <c r="U914">
        <v>5</v>
      </c>
      <c r="V914">
        <v>5</v>
      </c>
      <c r="W914">
        <v>5</v>
      </c>
      <c r="X914">
        <v>4</v>
      </c>
      <c r="Y914">
        <v>5</v>
      </c>
      <c r="Z914">
        <v>5</v>
      </c>
      <c r="AA914">
        <v>5</v>
      </c>
      <c r="AB914">
        <v>5</v>
      </c>
      <c r="AC914">
        <v>5</v>
      </c>
      <c r="AD914">
        <v>5</v>
      </c>
      <c r="AE914">
        <v>5</v>
      </c>
      <c r="AF914">
        <v>3</v>
      </c>
      <c r="AG914">
        <v>3</v>
      </c>
      <c r="AH914">
        <v>5</v>
      </c>
      <c r="AI914">
        <v>1</v>
      </c>
      <c r="AJ914">
        <v>3</v>
      </c>
      <c r="AK914" t="b">
        <f>Table67[[#This Row],[What is your age?]]&lt;&gt;"18 - 25"</f>
        <v>0</v>
      </c>
      <c r="AL914" t="b">
        <f t="shared" si="56"/>
        <v>0</v>
      </c>
      <c r="AM914" t="b">
        <f t="shared" si="57"/>
        <v>0</v>
      </c>
      <c r="AN914" t="b">
        <f t="shared" si="58"/>
        <v>1</v>
      </c>
      <c r="AO914" t="b">
        <f>OR(Table67[[#This Row],[Ineligible respondents]:[Inconsistent response on opposite question (3)]])</f>
        <v>1</v>
      </c>
      <c r="AP91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914">
        <f>Table67[[#This Row],[Extreme Response]]/21</f>
        <v>0.7142857142857143</v>
      </c>
      <c r="AR914">
        <f>_xlfn.PERCENTILE.INC(Table67[Extrem Response Ratio (ERS)],0.9)</f>
        <v>0.61904761904761907</v>
      </c>
      <c r="AS914" t="b">
        <f>Table67[[#This Row],[Extrem Response Ratio (ERS)]]&gt;=Table67[[#This Row],[Threshold of ERS]]</f>
        <v>1</v>
      </c>
      <c r="AT914">
        <f>COUNTIF(Table67[[#This Row],[The mechanism of digital assets is difficult to understand, which discourages me from exploring it (E.g, Tokenization, Blockchain)]:[If I want to try different ways to invest, I will explore digital assets.]], 3)</f>
        <v>3</v>
      </c>
      <c r="AU914">
        <f>Table67[[#This Row],[Midpoint]]/21</f>
        <v>0.14285714285714285</v>
      </c>
      <c r="AV914">
        <f>_xlfn.PERCENTILE.INC(Table67[Midpoint ratio],0.9)</f>
        <v>0.5714285714285714</v>
      </c>
      <c r="AW914" t="b">
        <f>Table67[[#This Row],[Midpoint ratio]]&gt;=Table67[[#This Row],[Threshold of Midpoint ratio]]</f>
        <v>0</v>
      </c>
      <c r="AX914" t="b">
        <f>OR(Table67[[#This Row],[Extreme Response Style]],Table67[[#This Row],[Mid-point Response Style]])</f>
        <v>1</v>
      </c>
      <c r="AY914" t="b">
        <f>OR(Table67[[#This Row],[Delete? (Stage 1)]],Table67[[#This Row],[Delete? (Stage 2)]])</f>
        <v>1</v>
      </c>
      <c r="AZ914" t="s">
        <v>84</v>
      </c>
    </row>
    <row r="915" spans="1:52">
      <c r="A915">
        <f t="shared" si="59"/>
        <v>914</v>
      </c>
      <c r="B915" s="3">
        <v>46056.875960648104</v>
      </c>
      <c r="C915" s="3">
        <v>46056.8836689815</v>
      </c>
      <c r="D915" t="s">
        <v>53</v>
      </c>
      <c r="G915" t="s">
        <v>54</v>
      </c>
      <c r="H915" t="s">
        <v>63</v>
      </c>
      <c r="I915" t="s">
        <v>56</v>
      </c>
      <c r="J915" t="s">
        <v>62</v>
      </c>
      <c r="K915" t="s">
        <v>57</v>
      </c>
      <c r="L915" t="s">
        <v>58</v>
      </c>
      <c r="M915" t="s">
        <v>58</v>
      </c>
      <c r="N915">
        <v>3</v>
      </c>
      <c r="O915">
        <v>3</v>
      </c>
      <c r="P915">
        <v>4</v>
      </c>
      <c r="Q915">
        <v>4</v>
      </c>
      <c r="R915">
        <v>4</v>
      </c>
      <c r="S915">
        <v>4</v>
      </c>
      <c r="T915">
        <v>2</v>
      </c>
      <c r="U915">
        <v>3</v>
      </c>
      <c r="V915">
        <v>4</v>
      </c>
      <c r="W915">
        <v>5</v>
      </c>
      <c r="X915">
        <v>5</v>
      </c>
      <c r="Y915">
        <v>5</v>
      </c>
      <c r="Z915">
        <v>5</v>
      </c>
      <c r="AA915">
        <v>4</v>
      </c>
      <c r="AB915">
        <v>4</v>
      </c>
      <c r="AC915">
        <v>2</v>
      </c>
      <c r="AD915">
        <v>4</v>
      </c>
      <c r="AE915">
        <v>2</v>
      </c>
      <c r="AF915">
        <v>3</v>
      </c>
      <c r="AG915">
        <v>4</v>
      </c>
      <c r="AH915">
        <v>3</v>
      </c>
      <c r="AI915">
        <v>3</v>
      </c>
      <c r="AJ915">
        <v>3</v>
      </c>
      <c r="AK915" t="b">
        <f>Table67[[#This Row],[What is your age?]]&lt;&gt;"18 - 25"</f>
        <v>0</v>
      </c>
      <c r="AL915" t="b">
        <f t="shared" si="56"/>
        <v>0</v>
      </c>
      <c r="AM915" t="b">
        <f t="shared" si="57"/>
        <v>0</v>
      </c>
      <c r="AN915" t="b">
        <f t="shared" si="58"/>
        <v>1</v>
      </c>
      <c r="AO915" t="b">
        <f>OR(Table67[[#This Row],[Ineligible respondents]:[Inconsistent response on opposite question (3)]])</f>
        <v>1</v>
      </c>
      <c r="AP91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915">
        <f>Table67[[#This Row],[Extreme Response]]/21</f>
        <v>0.19047619047619047</v>
      </c>
      <c r="AR915">
        <f>_xlfn.PERCENTILE.INC(Table67[Extrem Response Ratio (ERS)],0.9)</f>
        <v>0.61904761904761907</v>
      </c>
      <c r="AS915" t="b">
        <f>Table67[[#This Row],[Extrem Response Ratio (ERS)]]&gt;=Table67[[#This Row],[Threshold of ERS]]</f>
        <v>0</v>
      </c>
      <c r="AT915">
        <f>COUNTIF(Table67[[#This Row],[The mechanism of digital assets is difficult to understand, which discourages me from exploring it (E.g, Tokenization, Blockchain)]:[If I want to try different ways to invest, I will explore digital assets.]], 3)</f>
        <v>5</v>
      </c>
      <c r="AU915">
        <f>Table67[[#This Row],[Midpoint]]/21</f>
        <v>0.23809523809523808</v>
      </c>
      <c r="AV915">
        <f>_xlfn.PERCENTILE.INC(Table67[Midpoint ratio],0.9)</f>
        <v>0.5714285714285714</v>
      </c>
      <c r="AW915" t="b">
        <f>Table67[[#This Row],[Midpoint ratio]]&gt;=Table67[[#This Row],[Threshold of Midpoint ratio]]</f>
        <v>0</v>
      </c>
      <c r="AX915" t="b">
        <f>OR(Table67[[#This Row],[Extreme Response Style]],Table67[[#This Row],[Mid-point Response Style]])</f>
        <v>0</v>
      </c>
      <c r="AY915" t="b">
        <f>OR(Table67[[#This Row],[Delete? (Stage 1)]],Table67[[#This Row],[Delete? (Stage 2)]])</f>
        <v>1</v>
      </c>
      <c r="AZ915" t="s">
        <v>84</v>
      </c>
    </row>
    <row r="916" spans="1:52">
      <c r="A916">
        <f t="shared" si="59"/>
        <v>915</v>
      </c>
      <c r="B916" s="3">
        <v>46056.875960648104</v>
      </c>
      <c r="C916" s="3">
        <v>46056.886631944399</v>
      </c>
      <c r="D916" t="s">
        <v>53</v>
      </c>
      <c r="G916" t="s">
        <v>54</v>
      </c>
      <c r="H916" t="s">
        <v>63</v>
      </c>
      <c r="I916" t="s">
        <v>75</v>
      </c>
      <c r="J916" t="s">
        <v>66</v>
      </c>
      <c r="K916" t="s">
        <v>65</v>
      </c>
      <c r="L916" t="s">
        <v>61</v>
      </c>
      <c r="M916" t="s">
        <v>61</v>
      </c>
      <c r="N916">
        <v>5</v>
      </c>
      <c r="O916">
        <v>3</v>
      </c>
      <c r="P916">
        <v>4</v>
      </c>
      <c r="Q916">
        <v>2</v>
      </c>
      <c r="R916">
        <v>1</v>
      </c>
      <c r="S916">
        <v>5</v>
      </c>
      <c r="T916">
        <v>1</v>
      </c>
      <c r="U916">
        <v>3</v>
      </c>
      <c r="V916">
        <v>5</v>
      </c>
      <c r="W916">
        <v>5</v>
      </c>
      <c r="X916">
        <v>2</v>
      </c>
      <c r="Y916">
        <v>5</v>
      </c>
      <c r="Z916">
        <v>5</v>
      </c>
      <c r="AA916">
        <v>5</v>
      </c>
      <c r="AB916">
        <v>5</v>
      </c>
      <c r="AC916">
        <v>5</v>
      </c>
      <c r="AD916">
        <v>5</v>
      </c>
      <c r="AE916">
        <v>5</v>
      </c>
      <c r="AF916">
        <v>2</v>
      </c>
      <c r="AG916">
        <v>3</v>
      </c>
      <c r="AH916">
        <v>3</v>
      </c>
      <c r="AI916">
        <v>3</v>
      </c>
      <c r="AJ916">
        <v>4</v>
      </c>
      <c r="AK916" t="b">
        <f>Table67[[#This Row],[What is your age?]]&lt;&gt;"18 - 25"</f>
        <v>0</v>
      </c>
      <c r="AL916" t="b">
        <f t="shared" si="56"/>
        <v>0</v>
      </c>
      <c r="AM916" t="b">
        <f t="shared" si="57"/>
        <v>0</v>
      </c>
      <c r="AN916" t="b">
        <f t="shared" si="58"/>
        <v>0</v>
      </c>
      <c r="AO916" t="b">
        <f>OR(Table67[[#This Row],[Ineligible respondents]:[Inconsistent response on opposite question (3)]])</f>
        <v>0</v>
      </c>
      <c r="AP91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916">
        <f>Table67[[#This Row],[Extreme Response]]/21</f>
        <v>0.61904761904761907</v>
      </c>
      <c r="AR916">
        <f>_xlfn.PERCENTILE.INC(Table67[Extrem Response Ratio (ERS)],0.9)</f>
        <v>0.61904761904761907</v>
      </c>
      <c r="AS916" t="b">
        <f>Table67[[#This Row],[Extrem Response Ratio (ERS)]]&gt;=Table67[[#This Row],[Threshold of ERS]]</f>
        <v>1</v>
      </c>
      <c r="AT916">
        <f>COUNTIF(Table67[[#This Row],[The mechanism of digital assets is difficult to understand, which discourages me from exploring it (E.g, Tokenization, Blockchain)]:[If I want to try different ways to invest, I will explore digital assets.]], 3)</f>
        <v>4</v>
      </c>
      <c r="AU916">
        <f>Table67[[#This Row],[Midpoint]]/21</f>
        <v>0.19047619047619047</v>
      </c>
      <c r="AV916">
        <f>_xlfn.PERCENTILE.INC(Table67[Midpoint ratio],0.9)</f>
        <v>0.5714285714285714</v>
      </c>
      <c r="AW916" t="b">
        <f>Table67[[#This Row],[Midpoint ratio]]&gt;=Table67[[#This Row],[Threshold of Midpoint ratio]]</f>
        <v>0</v>
      </c>
      <c r="AX916" t="b">
        <f>OR(Table67[[#This Row],[Extreme Response Style]],Table67[[#This Row],[Mid-point Response Style]])</f>
        <v>1</v>
      </c>
      <c r="AY916" t="b">
        <f>OR(Table67[[#This Row],[Delete? (Stage 1)]],Table67[[#This Row],[Delete? (Stage 2)]])</f>
        <v>1</v>
      </c>
      <c r="AZ916" t="s">
        <v>84</v>
      </c>
    </row>
    <row r="917" spans="1:52">
      <c r="A917">
        <f t="shared" si="59"/>
        <v>916</v>
      </c>
      <c r="B917" s="3">
        <v>46056.875983796301</v>
      </c>
      <c r="C917" s="3">
        <v>46056.878229166701</v>
      </c>
      <c r="D917" t="s">
        <v>53</v>
      </c>
      <c r="G917" t="s">
        <v>54</v>
      </c>
      <c r="H917" t="s">
        <v>63</v>
      </c>
      <c r="I917" t="s">
        <v>56</v>
      </c>
      <c r="J917" t="s">
        <v>64</v>
      </c>
      <c r="K917" t="s">
        <v>62</v>
      </c>
      <c r="L917" t="s">
        <v>61</v>
      </c>
      <c r="M917" t="s">
        <v>61</v>
      </c>
      <c r="N917">
        <v>3</v>
      </c>
      <c r="O917">
        <v>2</v>
      </c>
      <c r="P917">
        <v>3</v>
      </c>
      <c r="Q917">
        <v>4</v>
      </c>
      <c r="R917">
        <v>3</v>
      </c>
      <c r="S917">
        <v>3</v>
      </c>
      <c r="T917">
        <v>2</v>
      </c>
      <c r="U917">
        <v>3</v>
      </c>
      <c r="V917">
        <v>2</v>
      </c>
      <c r="W917">
        <v>4</v>
      </c>
      <c r="X917">
        <v>3</v>
      </c>
      <c r="Y917">
        <v>3</v>
      </c>
      <c r="Z917">
        <v>3</v>
      </c>
      <c r="AA917">
        <v>3</v>
      </c>
      <c r="AB917">
        <v>3</v>
      </c>
      <c r="AC917">
        <v>2</v>
      </c>
      <c r="AD917">
        <v>3</v>
      </c>
      <c r="AE917">
        <v>4</v>
      </c>
      <c r="AF917">
        <v>4</v>
      </c>
      <c r="AG917">
        <v>3</v>
      </c>
      <c r="AH917">
        <v>3</v>
      </c>
      <c r="AI917">
        <v>3</v>
      </c>
      <c r="AJ917">
        <v>2</v>
      </c>
      <c r="AK917" t="b">
        <f>Table67[[#This Row],[What is your age?]]&lt;&gt;"18 - 25"</f>
        <v>0</v>
      </c>
      <c r="AL917" t="b">
        <f t="shared" si="56"/>
        <v>0</v>
      </c>
      <c r="AM917" t="b">
        <f t="shared" si="57"/>
        <v>0</v>
      </c>
      <c r="AN917" t="b">
        <f t="shared" si="58"/>
        <v>0</v>
      </c>
      <c r="AO917" t="b">
        <f>OR(Table67[[#This Row],[Ineligible respondents]:[Inconsistent response on opposite question (3)]])</f>
        <v>0</v>
      </c>
      <c r="AP91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917">
        <f>Table67[[#This Row],[Extreme Response]]/21</f>
        <v>0</v>
      </c>
      <c r="AR917">
        <f>_xlfn.PERCENTILE.INC(Table67[Extrem Response Ratio (ERS)],0.9)</f>
        <v>0.61904761904761907</v>
      </c>
      <c r="AS917" t="b">
        <f>Table67[[#This Row],[Extrem Response Ratio (ERS)]]&gt;=Table67[[#This Row],[Threshold of ERS]]</f>
        <v>0</v>
      </c>
      <c r="AT917">
        <f>COUNTIF(Table67[[#This Row],[The mechanism of digital assets is difficult to understand, which discourages me from exploring it (E.g, Tokenization, Blockchain)]:[If I want to try different ways to invest, I will explore digital assets.]], 3)</f>
        <v>13</v>
      </c>
      <c r="AU917">
        <f>Table67[[#This Row],[Midpoint]]/21</f>
        <v>0.61904761904761907</v>
      </c>
      <c r="AV917">
        <f>_xlfn.PERCENTILE.INC(Table67[Midpoint ratio],0.9)</f>
        <v>0.5714285714285714</v>
      </c>
      <c r="AW917" t="b">
        <f>Table67[[#This Row],[Midpoint ratio]]&gt;=Table67[[#This Row],[Threshold of Midpoint ratio]]</f>
        <v>1</v>
      </c>
      <c r="AX917" t="b">
        <f>OR(Table67[[#This Row],[Extreme Response Style]],Table67[[#This Row],[Mid-point Response Style]])</f>
        <v>1</v>
      </c>
      <c r="AY917" t="b">
        <f>OR(Table67[[#This Row],[Delete? (Stage 1)]],Table67[[#This Row],[Delete? (Stage 2)]])</f>
        <v>1</v>
      </c>
      <c r="AZ917" t="s">
        <v>84</v>
      </c>
    </row>
    <row r="918" spans="1:52">
      <c r="A918">
        <f t="shared" si="59"/>
        <v>917</v>
      </c>
      <c r="B918" s="3">
        <v>46056.876087962999</v>
      </c>
      <c r="C918" s="3">
        <v>46056.8811921296</v>
      </c>
      <c r="D918" t="s">
        <v>53</v>
      </c>
      <c r="G918" t="s">
        <v>54</v>
      </c>
      <c r="H918" t="s">
        <v>55</v>
      </c>
      <c r="I918" t="s">
        <v>69</v>
      </c>
      <c r="J918" t="s">
        <v>66</v>
      </c>
      <c r="K918" t="s">
        <v>65</v>
      </c>
      <c r="L918" t="s">
        <v>61</v>
      </c>
      <c r="M918" t="s">
        <v>61</v>
      </c>
      <c r="N918">
        <v>1</v>
      </c>
      <c r="O918">
        <v>1</v>
      </c>
      <c r="P918">
        <v>1</v>
      </c>
      <c r="Q918">
        <v>1</v>
      </c>
      <c r="R918">
        <v>1</v>
      </c>
      <c r="S918">
        <v>1</v>
      </c>
      <c r="T918">
        <v>1</v>
      </c>
      <c r="U918">
        <v>1</v>
      </c>
      <c r="V918">
        <v>2</v>
      </c>
      <c r="W918">
        <v>2</v>
      </c>
      <c r="X918">
        <v>2</v>
      </c>
      <c r="Y918">
        <v>1</v>
      </c>
      <c r="Z918">
        <v>1</v>
      </c>
      <c r="AA918">
        <v>1</v>
      </c>
      <c r="AB918">
        <v>1</v>
      </c>
      <c r="AC918">
        <v>1</v>
      </c>
      <c r="AD918">
        <v>3</v>
      </c>
      <c r="AE918">
        <v>4</v>
      </c>
      <c r="AF918">
        <v>5</v>
      </c>
      <c r="AG918">
        <v>1</v>
      </c>
      <c r="AH918">
        <v>5</v>
      </c>
      <c r="AI918">
        <v>1</v>
      </c>
      <c r="AJ918">
        <v>1</v>
      </c>
      <c r="AK918" t="b">
        <f>Table67[[#This Row],[What is your age?]]&lt;&gt;"18 - 25"</f>
        <v>0</v>
      </c>
      <c r="AL918" t="b">
        <f t="shared" si="56"/>
        <v>0</v>
      </c>
      <c r="AM918" t="b">
        <f t="shared" si="57"/>
        <v>0</v>
      </c>
      <c r="AN918" t="b">
        <f t="shared" si="58"/>
        <v>0</v>
      </c>
      <c r="AO918" t="b">
        <f>OR(Table67[[#This Row],[Ineligible respondents]:[Inconsistent response on opposite question (3)]])</f>
        <v>0</v>
      </c>
      <c r="AP91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16</v>
      </c>
      <c r="AQ918">
        <f>Table67[[#This Row],[Extreme Response]]/21</f>
        <v>0.76190476190476186</v>
      </c>
      <c r="AR918">
        <f>_xlfn.PERCENTILE.INC(Table67[Extrem Response Ratio (ERS)],0.9)</f>
        <v>0.61904761904761907</v>
      </c>
      <c r="AS918" t="b">
        <f>Table67[[#This Row],[Extrem Response Ratio (ERS)]]&gt;=Table67[[#This Row],[Threshold of ERS]]</f>
        <v>1</v>
      </c>
      <c r="AT918">
        <f>COUNTIF(Table67[[#This Row],[The mechanism of digital assets is difficult to understand, which discourages me from exploring it (E.g, Tokenization, Blockchain)]:[If I want to try different ways to invest, I will explore digital assets.]], 3)</f>
        <v>1</v>
      </c>
      <c r="AU918">
        <f>Table67[[#This Row],[Midpoint]]/21</f>
        <v>4.7619047619047616E-2</v>
      </c>
      <c r="AV918">
        <f>_xlfn.PERCENTILE.INC(Table67[Midpoint ratio],0.9)</f>
        <v>0.5714285714285714</v>
      </c>
      <c r="AW918" t="b">
        <f>Table67[[#This Row],[Midpoint ratio]]&gt;=Table67[[#This Row],[Threshold of Midpoint ratio]]</f>
        <v>0</v>
      </c>
      <c r="AX918" t="b">
        <f>OR(Table67[[#This Row],[Extreme Response Style]],Table67[[#This Row],[Mid-point Response Style]])</f>
        <v>1</v>
      </c>
      <c r="AY918" t="b">
        <f>OR(Table67[[#This Row],[Delete? (Stage 1)]],Table67[[#This Row],[Delete? (Stage 2)]])</f>
        <v>1</v>
      </c>
      <c r="AZ918" t="s">
        <v>84</v>
      </c>
    </row>
    <row r="919" spans="1:52">
      <c r="A919">
        <f t="shared" si="59"/>
        <v>918</v>
      </c>
      <c r="B919" s="3">
        <v>46056.876111111102</v>
      </c>
      <c r="C919" s="3">
        <v>46056.878067129597</v>
      </c>
      <c r="D919" t="s">
        <v>53</v>
      </c>
      <c r="G919" t="s">
        <v>54</v>
      </c>
      <c r="H919" t="s">
        <v>63</v>
      </c>
      <c r="I919" t="s">
        <v>75</v>
      </c>
      <c r="J919" t="s">
        <v>62</v>
      </c>
      <c r="K919" t="s">
        <v>62</v>
      </c>
      <c r="L919" t="s">
        <v>61</v>
      </c>
      <c r="M919" t="s">
        <v>61</v>
      </c>
      <c r="N919">
        <v>2</v>
      </c>
      <c r="O919">
        <v>3</v>
      </c>
      <c r="P919">
        <v>3</v>
      </c>
      <c r="Q919">
        <v>3</v>
      </c>
      <c r="R919">
        <v>2</v>
      </c>
      <c r="S919">
        <v>3</v>
      </c>
      <c r="T919">
        <v>3</v>
      </c>
      <c r="U919">
        <v>2</v>
      </c>
      <c r="V919">
        <v>3</v>
      </c>
      <c r="W919">
        <v>3</v>
      </c>
      <c r="X919">
        <v>3</v>
      </c>
      <c r="Y919">
        <v>4</v>
      </c>
      <c r="Z919">
        <v>4</v>
      </c>
      <c r="AA919">
        <v>4</v>
      </c>
      <c r="AB919">
        <v>4</v>
      </c>
      <c r="AC919">
        <v>4</v>
      </c>
      <c r="AD919">
        <v>3</v>
      </c>
      <c r="AE919">
        <v>4</v>
      </c>
      <c r="AF919">
        <v>4</v>
      </c>
      <c r="AG919">
        <v>4</v>
      </c>
      <c r="AH919">
        <v>4</v>
      </c>
      <c r="AI919">
        <v>2</v>
      </c>
      <c r="AJ919">
        <v>2</v>
      </c>
      <c r="AK919" t="b">
        <f>Table67[[#This Row],[What is your age?]]&lt;&gt;"18 - 25"</f>
        <v>0</v>
      </c>
      <c r="AL919" t="b">
        <f t="shared" si="56"/>
        <v>0</v>
      </c>
      <c r="AM919" t="b">
        <f t="shared" si="57"/>
        <v>1</v>
      </c>
      <c r="AN919" t="b">
        <f t="shared" si="58"/>
        <v>0</v>
      </c>
      <c r="AO919" t="b">
        <f>OR(Table67[[#This Row],[Ineligible respondents]:[Inconsistent response on opposite question (3)]])</f>
        <v>1</v>
      </c>
      <c r="AP91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919">
        <f>Table67[[#This Row],[Extreme Response]]/21</f>
        <v>0</v>
      </c>
      <c r="AR919">
        <f>_xlfn.PERCENTILE.INC(Table67[Extrem Response Ratio (ERS)],0.9)</f>
        <v>0.61904761904761907</v>
      </c>
      <c r="AS919" t="b">
        <f>Table67[[#This Row],[Extrem Response Ratio (ERS)]]&gt;=Table67[[#This Row],[Threshold of ERS]]</f>
        <v>0</v>
      </c>
      <c r="AT919">
        <f>COUNTIF(Table67[[#This Row],[The mechanism of digital assets is difficult to understand, which discourages me from exploring it (E.g, Tokenization, Blockchain)]:[If I want to try different ways to invest, I will explore digital assets.]], 3)</f>
        <v>9</v>
      </c>
      <c r="AU919">
        <f>Table67[[#This Row],[Midpoint]]/21</f>
        <v>0.42857142857142855</v>
      </c>
      <c r="AV919">
        <f>_xlfn.PERCENTILE.INC(Table67[Midpoint ratio],0.9)</f>
        <v>0.5714285714285714</v>
      </c>
      <c r="AW919" t="b">
        <f>Table67[[#This Row],[Midpoint ratio]]&gt;=Table67[[#This Row],[Threshold of Midpoint ratio]]</f>
        <v>0</v>
      </c>
      <c r="AX919" t="b">
        <f>OR(Table67[[#This Row],[Extreme Response Style]],Table67[[#This Row],[Mid-point Response Style]])</f>
        <v>0</v>
      </c>
      <c r="AY919" t="b">
        <f>OR(Table67[[#This Row],[Delete? (Stage 1)]],Table67[[#This Row],[Delete? (Stage 2)]])</f>
        <v>1</v>
      </c>
      <c r="AZ919" t="s">
        <v>84</v>
      </c>
    </row>
    <row r="920" spans="1:52">
      <c r="A920">
        <f t="shared" si="59"/>
        <v>919</v>
      </c>
      <c r="B920" s="3">
        <v>46056.8761226852</v>
      </c>
      <c r="C920" s="3">
        <v>46056.880983796298</v>
      </c>
      <c r="D920" t="s">
        <v>53</v>
      </c>
      <c r="G920" t="s">
        <v>54</v>
      </c>
      <c r="H920" t="s">
        <v>63</v>
      </c>
      <c r="I920" t="s">
        <v>56</v>
      </c>
      <c r="J920" t="s">
        <v>60</v>
      </c>
      <c r="K920" t="s">
        <v>62</v>
      </c>
      <c r="L920" t="s">
        <v>58</v>
      </c>
      <c r="M920" t="s">
        <v>58</v>
      </c>
      <c r="N920">
        <v>3</v>
      </c>
      <c r="O920">
        <v>1</v>
      </c>
      <c r="P920">
        <v>5</v>
      </c>
      <c r="Q920">
        <v>4</v>
      </c>
      <c r="R920">
        <v>4</v>
      </c>
      <c r="S920">
        <v>5</v>
      </c>
      <c r="T920">
        <v>5</v>
      </c>
      <c r="U920">
        <v>4</v>
      </c>
      <c r="V920">
        <v>5</v>
      </c>
      <c r="W920">
        <v>5</v>
      </c>
      <c r="X920">
        <v>4</v>
      </c>
      <c r="Y920">
        <v>4</v>
      </c>
      <c r="Z920">
        <v>5</v>
      </c>
      <c r="AA920">
        <v>4</v>
      </c>
      <c r="AB920">
        <v>2</v>
      </c>
      <c r="AC920">
        <v>4</v>
      </c>
      <c r="AD920">
        <v>5</v>
      </c>
      <c r="AE920">
        <v>4</v>
      </c>
      <c r="AF920">
        <v>2</v>
      </c>
      <c r="AG920">
        <v>4</v>
      </c>
      <c r="AH920">
        <v>3</v>
      </c>
      <c r="AI920">
        <v>3</v>
      </c>
      <c r="AJ920">
        <v>4</v>
      </c>
      <c r="AK920" t="b">
        <f>Table67[[#This Row],[What is your age?]]&lt;&gt;"18 - 25"</f>
        <v>0</v>
      </c>
      <c r="AL920" t="b">
        <f t="shared" si="56"/>
        <v>0</v>
      </c>
      <c r="AM920" t="b">
        <f t="shared" si="57"/>
        <v>0</v>
      </c>
      <c r="AN920" t="b">
        <f t="shared" si="58"/>
        <v>1</v>
      </c>
      <c r="AO920" t="b">
        <f>OR(Table67[[#This Row],[Ineligible respondents]:[Inconsistent response on opposite question (3)]])</f>
        <v>1</v>
      </c>
      <c r="AP92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920">
        <f>Table67[[#This Row],[Extreme Response]]/21</f>
        <v>0.38095238095238093</v>
      </c>
      <c r="AR920">
        <f>_xlfn.PERCENTILE.INC(Table67[Extrem Response Ratio (ERS)],0.9)</f>
        <v>0.61904761904761907</v>
      </c>
      <c r="AS920" t="b">
        <f>Table67[[#This Row],[Extrem Response Ratio (ERS)]]&gt;=Table67[[#This Row],[Threshold of ERS]]</f>
        <v>0</v>
      </c>
      <c r="AT920">
        <f>COUNTIF(Table67[[#This Row],[The mechanism of digital assets is difficult to understand, which discourages me from exploring it (E.g, Tokenization, Blockchain)]:[If I want to try different ways to invest, I will explore digital assets.]], 3)</f>
        <v>2</v>
      </c>
      <c r="AU920">
        <f>Table67[[#This Row],[Midpoint]]/21</f>
        <v>9.5238095238095233E-2</v>
      </c>
      <c r="AV920">
        <f>_xlfn.PERCENTILE.INC(Table67[Midpoint ratio],0.9)</f>
        <v>0.5714285714285714</v>
      </c>
      <c r="AW920" t="b">
        <f>Table67[[#This Row],[Midpoint ratio]]&gt;=Table67[[#This Row],[Threshold of Midpoint ratio]]</f>
        <v>0</v>
      </c>
      <c r="AX920" t="b">
        <f>OR(Table67[[#This Row],[Extreme Response Style]],Table67[[#This Row],[Mid-point Response Style]])</f>
        <v>0</v>
      </c>
      <c r="AY920" t="b">
        <f>OR(Table67[[#This Row],[Delete? (Stage 1)]],Table67[[#This Row],[Delete? (Stage 2)]])</f>
        <v>1</v>
      </c>
      <c r="AZ920" t="s">
        <v>84</v>
      </c>
    </row>
    <row r="921" spans="1:52">
      <c r="A921">
        <f t="shared" si="59"/>
        <v>920</v>
      </c>
      <c r="B921" s="3">
        <v>46056.876226851797</v>
      </c>
      <c r="C921" s="3">
        <v>46056.880555555603</v>
      </c>
      <c r="D921" t="s">
        <v>53</v>
      </c>
      <c r="G921" t="s">
        <v>54</v>
      </c>
      <c r="H921" t="s">
        <v>63</v>
      </c>
      <c r="I921" t="s">
        <v>75</v>
      </c>
      <c r="J921" t="s">
        <v>57</v>
      </c>
      <c r="K921" t="s">
        <v>57</v>
      </c>
      <c r="L921" t="s">
        <v>58</v>
      </c>
      <c r="M921" t="s">
        <v>58</v>
      </c>
      <c r="N921">
        <v>4</v>
      </c>
      <c r="O921">
        <v>1</v>
      </c>
      <c r="P921">
        <v>4</v>
      </c>
      <c r="Q921">
        <v>3</v>
      </c>
      <c r="R921">
        <v>4</v>
      </c>
      <c r="S921">
        <v>5</v>
      </c>
      <c r="T921">
        <v>5</v>
      </c>
      <c r="U921">
        <v>5</v>
      </c>
      <c r="V921">
        <v>4</v>
      </c>
      <c r="W921">
        <v>2</v>
      </c>
      <c r="X921">
        <v>5</v>
      </c>
      <c r="Y921">
        <v>3</v>
      </c>
      <c r="Z921">
        <v>5</v>
      </c>
      <c r="AA921">
        <v>4</v>
      </c>
      <c r="AB921">
        <v>1</v>
      </c>
      <c r="AC921">
        <v>4</v>
      </c>
      <c r="AD921">
        <v>5</v>
      </c>
      <c r="AE921">
        <v>5</v>
      </c>
      <c r="AF921">
        <v>1</v>
      </c>
      <c r="AG921">
        <v>1</v>
      </c>
      <c r="AH921">
        <v>1</v>
      </c>
      <c r="AI921">
        <v>5</v>
      </c>
      <c r="AJ921">
        <v>5</v>
      </c>
      <c r="AK921" t="b">
        <f>Table67[[#This Row],[What is your age?]]&lt;&gt;"18 - 25"</f>
        <v>0</v>
      </c>
      <c r="AL921" t="b">
        <f t="shared" si="56"/>
        <v>0</v>
      </c>
      <c r="AM921" t="b">
        <f t="shared" si="57"/>
        <v>1</v>
      </c>
      <c r="AN921" t="b">
        <f t="shared" si="58"/>
        <v>0</v>
      </c>
      <c r="AO921" t="b">
        <f>OR(Table67[[#This Row],[Ineligible respondents]:[Inconsistent response on opposite question (3)]])</f>
        <v>1</v>
      </c>
      <c r="AP92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12</v>
      </c>
      <c r="AQ921">
        <f>Table67[[#This Row],[Extreme Response]]/21</f>
        <v>0.5714285714285714</v>
      </c>
      <c r="AR921">
        <f>_xlfn.PERCENTILE.INC(Table67[Extrem Response Ratio (ERS)],0.9)</f>
        <v>0.61904761904761907</v>
      </c>
      <c r="AS921" t="b">
        <f>Table67[[#This Row],[Extrem Response Ratio (ERS)]]&gt;=Table67[[#This Row],[Threshold of ERS]]</f>
        <v>0</v>
      </c>
      <c r="AT921">
        <f>COUNTIF(Table67[[#This Row],[The mechanism of digital assets is difficult to understand, which discourages me from exploring it (E.g, Tokenization, Blockchain)]:[If I want to try different ways to invest, I will explore digital assets.]], 3)</f>
        <v>2</v>
      </c>
      <c r="AU921">
        <f>Table67[[#This Row],[Midpoint]]/21</f>
        <v>9.5238095238095233E-2</v>
      </c>
      <c r="AV921">
        <f>_xlfn.PERCENTILE.INC(Table67[Midpoint ratio],0.9)</f>
        <v>0.5714285714285714</v>
      </c>
      <c r="AW921" t="b">
        <f>Table67[[#This Row],[Midpoint ratio]]&gt;=Table67[[#This Row],[Threshold of Midpoint ratio]]</f>
        <v>0</v>
      </c>
      <c r="AX921" t="b">
        <f>OR(Table67[[#This Row],[Extreme Response Style]],Table67[[#This Row],[Mid-point Response Style]])</f>
        <v>0</v>
      </c>
      <c r="AY921" t="b">
        <f>OR(Table67[[#This Row],[Delete? (Stage 1)]],Table67[[#This Row],[Delete? (Stage 2)]])</f>
        <v>1</v>
      </c>
      <c r="AZ921" t="s">
        <v>84</v>
      </c>
    </row>
    <row r="922" spans="1:52">
      <c r="A922">
        <f t="shared" si="59"/>
        <v>921</v>
      </c>
      <c r="B922" s="3">
        <v>46056.876226851797</v>
      </c>
      <c r="C922" s="3">
        <v>46056.8808333333</v>
      </c>
      <c r="D922" t="s">
        <v>53</v>
      </c>
      <c r="G922" t="s">
        <v>54</v>
      </c>
      <c r="H922" t="s">
        <v>55</v>
      </c>
      <c r="I922" t="s">
        <v>56</v>
      </c>
      <c r="J922" t="s">
        <v>62</v>
      </c>
      <c r="K922" t="s">
        <v>57</v>
      </c>
      <c r="L922" t="s">
        <v>58</v>
      </c>
      <c r="M922" t="s">
        <v>61</v>
      </c>
      <c r="N922">
        <v>4</v>
      </c>
      <c r="O922">
        <v>1</v>
      </c>
      <c r="P922">
        <v>4</v>
      </c>
      <c r="Q922">
        <v>5</v>
      </c>
      <c r="R922">
        <v>4</v>
      </c>
      <c r="S922">
        <v>4</v>
      </c>
      <c r="T922">
        <v>4</v>
      </c>
      <c r="U922">
        <v>5</v>
      </c>
      <c r="V922">
        <v>3</v>
      </c>
      <c r="W922">
        <v>2</v>
      </c>
      <c r="X922">
        <v>4</v>
      </c>
      <c r="Y922">
        <v>4</v>
      </c>
      <c r="Z922">
        <v>4</v>
      </c>
      <c r="AA922">
        <v>5</v>
      </c>
      <c r="AB922">
        <v>2</v>
      </c>
      <c r="AC922">
        <v>4</v>
      </c>
      <c r="AD922">
        <v>4</v>
      </c>
      <c r="AE922">
        <v>2</v>
      </c>
      <c r="AF922">
        <v>2</v>
      </c>
      <c r="AG922">
        <v>4</v>
      </c>
      <c r="AH922">
        <v>3</v>
      </c>
      <c r="AI922">
        <v>3</v>
      </c>
      <c r="AJ922">
        <v>4</v>
      </c>
      <c r="AK922" t="b">
        <f>Table67[[#This Row],[What is your age?]]&lt;&gt;"18 - 25"</f>
        <v>0</v>
      </c>
      <c r="AL922" t="b">
        <f t="shared" si="56"/>
        <v>0</v>
      </c>
      <c r="AM922" t="b">
        <f t="shared" si="57"/>
        <v>0</v>
      </c>
      <c r="AN922" t="b">
        <f t="shared" si="58"/>
        <v>1</v>
      </c>
      <c r="AO922" t="b">
        <f>OR(Table67[[#This Row],[Ineligible respondents]:[Inconsistent response on opposite question (3)]])</f>
        <v>1</v>
      </c>
      <c r="AP92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922">
        <f>Table67[[#This Row],[Extreme Response]]/21</f>
        <v>0.19047619047619047</v>
      </c>
      <c r="AR922">
        <f>_xlfn.PERCENTILE.INC(Table67[Extrem Response Ratio (ERS)],0.9)</f>
        <v>0.61904761904761907</v>
      </c>
      <c r="AS922" t="b">
        <f>Table67[[#This Row],[Extrem Response Ratio (ERS)]]&gt;=Table67[[#This Row],[Threshold of ERS]]</f>
        <v>0</v>
      </c>
      <c r="AT922">
        <f>COUNTIF(Table67[[#This Row],[The mechanism of digital assets is difficult to understand, which discourages me from exploring it (E.g, Tokenization, Blockchain)]:[If I want to try different ways to invest, I will explore digital assets.]], 3)</f>
        <v>2</v>
      </c>
      <c r="AU922">
        <f>Table67[[#This Row],[Midpoint]]/21</f>
        <v>9.5238095238095233E-2</v>
      </c>
      <c r="AV922">
        <f>_xlfn.PERCENTILE.INC(Table67[Midpoint ratio],0.9)</f>
        <v>0.5714285714285714</v>
      </c>
      <c r="AW922" t="b">
        <f>Table67[[#This Row],[Midpoint ratio]]&gt;=Table67[[#This Row],[Threshold of Midpoint ratio]]</f>
        <v>0</v>
      </c>
      <c r="AX922" t="b">
        <f>OR(Table67[[#This Row],[Extreme Response Style]],Table67[[#This Row],[Mid-point Response Style]])</f>
        <v>0</v>
      </c>
      <c r="AY922" t="b">
        <f>OR(Table67[[#This Row],[Delete? (Stage 1)]],Table67[[#This Row],[Delete? (Stage 2)]])</f>
        <v>1</v>
      </c>
      <c r="AZ922" t="s">
        <v>84</v>
      </c>
    </row>
    <row r="923" spans="1:52">
      <c r="A923">
        <f t="shared" si="59"/>
        <v>922</v>
      </c>
      <c r="B923" s="3">
        <v>46056.876365740703</v>
      </c>
      <c r="C923" s="3">
        <v>46056.8776967593</v>
      </c>
      <c r="D923" t="s">
        <v>53</v>
      </c>
      <c r="G923" t="s">
        <v>54</v>
      </c>
      <c r="H923" t="s">
        <v>63</v>
      </c>
      <c r="I923" t="s">
        <v>56</v>
      </c>
      <c r="J923" t="s">
        <v>62</v>
      </c>
      <c r="K923" t="s">
        <v>64</v>
      </c>
      <c r="L923" t="s">
        <v>58</v>
      </c>
      <c r="M923" t="s">
        <v>61</v>
      </c>
      <c r="N923">
        <v>3</v>
      </c>
      <c r="O923">
        <v>3</v>
      </c>
      <c r="P923">
        <v>4</v>
      </c>
      <c r="Q923">
        <v>4</v>
      </c>
      <c r="R923">
        <v>3</v>
      </c>
      <c r="S923">
        <v>3</v>
      </c>
      <c r="T923">
        <v>2</v>
      </c>
      <c r="U923">
        <v>4</v>
      </c>
      <c r="V923">
        <v>2</v>
      </c>
      <c r="W923">
        <v>2</v>
      </c>
      <c r="X923">
        <v>4</v>
      </c>
      <c r="Y923">
        <v>3</v>
      </c>
      <c r="Z923">
        <v>4</v>
      </c>
      <c r="AA923">
        <v>4</v>
      </c>
      <c r="AB923">
        <v>4</v>
      </c>
      <c r="AC923">
        <v>4</v>
      </c>
      <c r="AD923">
        <v>3</v>
      </c>
      <c r="AE923">
        <v>4</v>
      </c>
      <c r="AF923">
        <v>4</v>
      </c>
      <c r="AG923">
        <v>2</v>
      </c>
      <c r="AH923">
        <v>3</v>
      </c>
      <c r="AI923">
        <v>3</v>
      </c>
      <c r="AJ923">
        <v>2</v>
      </c>
      <c r="AK923" t="b">
        <f>Table67[[#This Row],[What is your age?]]&lt;&gt;"18 - 25"</f>
        <v>0</v>
      </c>
      <c r="AL923" t="b">
        <f t="shared" si="56"/>
        <v>0</v>
      </c>
      <c r="AM923" t="b">
        <f t="shared" si="57"/>
        <v>0</v>
      </c>
      <c r="AN923" t="b">
        <f t="shared" si="58"/>
        <v>1</v>
      </c>
      <c r="AO923" t="b">
        <f>OR(Table67[[#This Row],[Ineligible respondents]:[Inconsistent response on opposite question (3)]])</f>
        <v>1</v>
      </c>
      <c r="AP92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923">
        <f>Table67[[#This Row],[Extreme Response]]/21</f>
        <v>0</v>
      </c>
      <c r="AR923">
        <f>_xlfn.PERCENTILE.INC(Table67[Extrem Response Ratio (ERS)],0.9)</f>
        <v>0.61904761904761907</v>
      </c>
      <c r="AS923" t="b">
        <f>Table67[[#This Row],[Extrem Response Ratio (ERS)]]&gt;=Table67[[#This Row],[Threshold of ERS]]</f>
        <v>0</v>
      </c>
      <c r="AT923">
        <f>COUNTIF(Table67[[#This Row],[The mechanism of digital assets is difficult to understand, which discourages me from exploring it (E.g, Tokenization, Blockchain)]:[If I want to try different ways to invest, I will explore digital assets.]], 3)</f>
        <v>7</v>
      </c>
      <c r="AU923">
        <f>Table67[[#This Row],[Midpoint]]/21</f>
        <v>0.33333333333333331</v>
      </c>
      <c r="AV923">
        <f>_xlfn.PERCENTILE.INC(Table67[Midpoint ratio],0.9)</f>
        <v>0.5714285714285714</v>
      </c>
      <c r="AW923" t="b">
        <f>Table67[[#This Row],[Midpoint ratio]]&gt;=Table67[[#This Row],[Threshold of Midpoint ratio]]</f>
        <v>0</v>
      </c>
      <c r="AX923" t="b">
        <f>OR(Table67[[#This Row],[Extreme Response Style]],Table67[[#This Row],[Mid-point Response Style]])</f>
        <v>0</v>
      </c>
      <c r="AY923" t="b">
        <f>OR(Table67[[#This Row],[Delete? (Stage 1)]],Table67[[#This Row],[Delete? (Stage 2)]])</f>
        <v>1</v>
      </c>
      <c r="AZ923" t="s">
        <v>84</v>
      </c>
    </row>
    <row r="924" spans="1:52">
      <c r="A924">
        <f t="shared" si="59"/>
        <v>923</v>
      </c>
      <c r="B924" s="3">
        <v>46056.876412037003</v>
      </c>
      <c r="C924" s="3">
        <v>46056.878425925897</v>
      </c>
      <c r="D924" t="s">
        <v>53</v>
      </c>
      <c r="G924" t="s">
        <v>54</v>
      </c>
      <c r="H924" t="s">
        <v>63</v>
      </c>
      <c r="I924" t="s">
        <v>56</v>
      </c>
      <c r="J924" t="s">
        <v>62</v>
      </c>
      <c r="K924" t="s">
        <v>62</v>
      </c>
      <c r="L924" t="s">
        <v>58</v>
      </c>
      <c r="M924" t="s">
        <v>61</v>
      </c>
      <c r="N924">
        <v>3</v>
      </c>
      <c r="O924">
        <v>3</v>
      </c>
      <c r="P924">
        <v>2</v>
      </c>
      <c r="Q924">
        <v>3</v>
      </c>
      <c r="R924">
        <v>3</v>
      </c>
      <c r="S924">
        <v>3</v>
      </c>
      <c r="T924">
        <v>2</v>
      </c>
      <c r="U924">
        <v>2</v>
      </c>
      <c r="V924">
        <v>4</v>
      </c>
      <c r="W924">
        <v>2</v>
      </c>
      <c r="X924">
        <v>4</v>
      </c>
      <c r="Y924">
        <v>4</v>
      </c>
      <c r="Z924">
        <v>3</v>
      </c>
      <c r="AA924">
        <v>4</v>
      </c>
      <c r="AB924">
        <v>3</v>
      </c>
      <c r="AC924">
        <v>3</v>
      </c>
      <c r="AD924">
        <v>3</v>
      </c>
      <c r="AE924">
        <v>3</v>
      </c>
      <c r="AF924">
        <v>4</v>
      </c>
      <c r="AG924">
        <v>3</v>
      </c>
      <c r="AH924">
        <v>4</v>
      </c>
      <c r="AI924">
        <v>2</v>
      </c>
      <c r="AJ924">
        <v>2</v>
      </c>
      <c r="AK924" t="b">
        <f>Table67[[#This Row],[What is your age?]]&lt;&gt;"18 - 25"</f>
        <v>0</v>
      </c>
      <c r="AL924" t="b">
        <f t="shared" si="56"/>
        <v>0</v>
      </c>
      <c r="AM924" t="b">
        <f t="shared" si="57"/>
        <v>0</v>
      </c>
      <c r="AN924" t="b">
        <f t="shared" si="58"/>
        <v>1</v>
      </c>
      <c r="AO924" t="b">
        <f>OR(Table67[[#This Row],[Ineligible respondents]:[Inconsistent response on opposite question (3)]])</f>
        <v>1</v>
      </c>
      <c r="AP92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924">
        <f>Table67[[#This Row],[Extreme Response]]/21</f>
        <v>0</v>
      </c>
      <c r="AR924">
        <f>_xlfn.PERCENTILE.INC(Table67[Extrem Response Ratio (ERS)],0.9)</f>
        <v>0.61904761904761907</v>
      </c>
      <c r="AS924" t="b">
        <f>Table67[[#This Row],[Extrem Response Ratio (ERS)]]&gt;=Table67[[#This Row],[Threshold of ERS]]</f>
        <v>0</v>
      </c>
      <c r="AT924">
        <f>COUNTIF(Table67[[#This Row],[The mechanism of digital assets is difficult to understand, which discourages me from exploring it (E.g, Tokenization, Blockchain)]:[If I want to try different ways to invest, I will explore digital assets.]], 3)</f>
        <v>11</v>
      </c>
      <c r="AU924">
        <f>Table67[[#This Row],[Midpoint]]/21</f>
        <v>0.52380952380952384</v>
      </c>
      <c r="AV924">
        <f>_xlfn.PERCENTILE.INC(Table67[Midpoint ratio],0.9)</f>
        <v>0.5714285714285714</v>
      </c>
      <c r="AW924" t="b">
        <f>Table67[[#This Row],[Midpoint ratio]]&gt;=Table67[[#This Row],[Threshold of Midpoint ratio]]</f>
        <v>0</v>
      </c>
      <c r="AX924" t="b">
        <f>OR(Table67[[#This Row],[Extreme Response Style]],Table67[[#This Row],[Mid-point Response Style]])</f>
        <v>0</v>
      </c>
      <c r="AY924" t="b">
        <f>OR(Table67[[#This Row],[Delete? (Stage 1)]],Table67[[#This Row],[Delete? (Stage 2)]])</f>
        <v>1</v>
      </c>
      <c r="AZ924" t="s">
        <v>84</v>
      </c>
    </row>
    <row r="925" spans="1:52">
      <c r="A925">
        <f t="shared" si="59"/>
        <v>924</v>
      </c>
      <c r="B925" s="3">
        <v>46056.876435185201</v>
      </c>
      <c r="C925" s="3">
        <v>46056.878611111097</v>
      </c>
      <c r="D925" t="s">
        <v>53</v>
      </c>
      <c r="G925" t="s">
        <v>54</v>
      </c>
      <c r="H925" t="s">
        <v>63</v>
      </c>
      <c r="I925" t="s">
        <v>56</v>
      </c>
      <c r="J925" t="s">
        <v>65</v>
      </c>
      <c r="K925" t="s">
        <v>62</v>
      </c>
      <c r="L925" t="s">
        <v>61</v>
      </c>
      <c r="M925" t="s">
        <v>61</v>
      </c>
      <c r="N925">
        <v>4</v>
      </c>
      <c r="O925">
        <v>3</v>
      </c>
      <c r="P925">
        <v>4</v>
      </c>
      <c r="Q925">
        <v>4</v>
      </c>
      <c r="R925">
        <v>5</v>
      </c>
      <c r="S925">
        <v>4</v>
      </c>
      <c r="T925">
        <v>4</v>
      </c>
      <c r="U925">
        <v>5</v>
      </c>
      <c r="V925">
        <v>4</v>
      </c>
      <c r="W925">
        <v>4</v>
      </c>
      <c r="X925">
        <v>4</v>
      </c>
      <c r="Y925">
        <v>4</v>
      </c>
      <c r="Z925">
        <v>5</v>
      </c>
      <c r="AA925">
        <v>4</v>
      </c>
      <c r="AB925">
        <v>3</v>
      </c>
      <c r="AC925">
        <v>3</v>
      </c>
      <c r="AD925">
        <v>4</v>
      </c>
      <c r="AE925">
        <v>3</v>
      </c>
      <c r="AF925">
        <v>4</v>
      </c>
      <c r="AG925">
        <v>3</v>
      </c>
      <c r="AH925">
        <v>4</v>
      </c>
      <c r="AI925">
        <v>2</v>
      </c>
      <c r="AJ925">
        <v>2</v>
      </c>
      <c r="AK925" t="b">
        <f>Table67[[#This Row],[What is your age?]]&lt;&gt;"18 - 25"</f>
        <v>0</v>
      </c>
      <c r="AL925" t="b">
        <f t="shared" si="56"/>
        <v>0</v>
      </c>
      <c r="AM925" t="b">
        <f t="shared" si="57"/>
        <v>0</v>
      </c>
      <c r="AN925" t="b">
        <f t="shared" si="58"/>
        <v>1</v>
      </c>
      <c r="AO925" t="b">
        <f>OR(Table67[[#This Row],[Ineligible respondents]:[Inconsistent response on opposite question (3)]])</f>
        <v>1</v>
      </c>
      <c r="AP92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925">
        <f>Table67[[#This Row],[Extreme Response]]/21</f>
        <v>0.14285714285714285</v>
      </c>
      <c r="AR925">
        <f>_xlfn.PERCENTILE.INC(Table67[Extrem Response Ratio (ERS)],0.9)</f>
        <v>0.61904761904761907</v>
      </c>
      <c r="AS925" t="b">
        <f>Table67[[#This Row],[Extrem Response Ratio (ERS)]]&gt;=Table67[[#This Row],[Threshold of ERS]]</f>
        <v>0</v>
      </c>
      <c r="AT925">
        <f>COUNTIF(Table67[[#This Row],[The mechanism of digital assets is difficult to understand, which discourages me from exploring it (E.g, Tokenization, Blockchain)]:[If I want to try different ways to invest, I will explore digital assets.]], 3)</f>
        <v>5</v>
      </c>
      <c r="AU925">
        <f>Table67[[#This Row],[Midpoint]]/21</f>
        <v>0.23809523809523808</v>
      </c>
      <c r="AV925">
        <f>_xlfn.PERCENTILE.INC(Table67[Midpoint ratio],0.9)</f>
        <v>0.5714285714285714</v>
      </c>
      <c r="AW925" t="b">
        <f>Table67[[#This Row],[Midpoint ratio]]&gt;=Table67[[#This Row],[Threshold of Midpoint ratio]]</f>
        <v>0</v>
      </c>
      <c r="AX925" t="b">
        <f>OR(Table67[[#This Row],[Extreme Response Style]],Table67[[#This Row],[Mid-point Response Style]])</f>
        <v>0</v>
      </c>
      <c r="AY925" t="b">
        <f>OR(Table67[[#This Row],[Delete? (Stage 1)]],Table67[[#This Row],[Delete? (Stage 2)]])</f>
        <v>1</v>
      </c>
      <c r="AZ925" t="s">
        <v>84</v>
      </c>
    </row>
    <row r="926" spans="1:52">
      <c r="A926">
        <f t="shared" si="59"/>
        <v>925</v>
      </c>
      <c r="B926" s="3">
        <v>46056.8766666667</v>
      </c>
      <c r="C926" s="3">
        <v>46056.880798611099</v>
      </c>
      <c r="D926" t="s">
        <v>53</v>
      </c>
      <c r="G926" t="s">
        <v>54</v>
      </c>
      <c r="H926" t="s">
        <v>63</v>
      </c>
      <c r="I926" t="s">
        <v>56</v>
      </c>
      <c r="J926" t="s">
        <v>67</v>
      </c>
      <c r="K926" t="s">
        <v>60</v>
      </c>
      <c r="L926" t="s">
        <v>58</v>
      </c>
      <c r="M926" t="s">
        <v>61</v>
      </c>
      <c r="N926">
        <v>5</v>
      </c>
      <c r="O926">
        <v>5</v>
      </c>
      <c r="P926">
        <v>5</v>
      </c>
      <c r="Q926">
        <v>3</v>
      </c>
      <c r="R926">
        <v>5</v>
      </c>
      <c r="S926">
        <v>5</v>
      </c>
      <c r="T926">
        <v>1</v>
      </c>
      <c r="U926">
        <v>4</v>
      </c>
      <c r="V926">
        <v>4</v>
      </c>
      <c r="W926">
        <v>5</v>
      </c>
      <c r="X926">
        <v>3</v>
      </c>
      <c r="Y926">
        <v>5</v>
      </c>
      <c r="Z926">
        <v>5</v>
      </c>
      <c r="AA926">
        <v>5</v>
      </c>
      <c r="AB926">
        <v>5</v>
      </c>
      <c r="AC926">
        <v>5</v>
      </c>
      <c r="AD926">
        <v>5</v>
      </c>
      <c r="AE926">
        <v>3</v>
      </c>
      <c r="AF926">
        <v>5</v>
      </c>
      <c r="AG926">
        <v>1</v>
      </c>
      <c r="AH926">
        <v>5</v>
      </c>
      <c r="AI926">
        <v>1</v>
      </c>
      <c r="AJ926">
        <v>1</v>
      </c>
      <c r="AK926" t="b">
        <f>Table67[[#This Row],[What is your age?]]&lt;&gt;"18 - 25"</f>
        <v>0</v>
      </c>
      <c r="AL926" t="b">
        <f t="shared" si="56"/>
        <v>0</v>
      </c>
      <c r="AM926" t="b">
        <f t="shared" si="57"/>
        <v>0</v>
      </c>
      <c r="AN926" t="b">
        <f t="shared" si="58"/>
        <v>0</v>
      </c>
      <c r="AO926" t="b">
        <f>OR(Table67[[#This Row],[Ineligible respondents]:[Inconsistent response on opposite question (3)]])</f>
        <v>0</v>
      </c>
      <c r="AP92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16</v>
      </c>
      <c r="AQ926">
        <f>Table67[[#This Row],[Extreme Response]]/21</f>
        <v>0.76190476190476186</v>
      </c>
      <c r="AR926">
        <f>_xlfn.PERCENTILE.INC(Table67[Extrem Response Ratio (ERS)],0.9)</f>
        <v>0.61904761904761907</v>
      </c>
      <c r="AS926" t="b">
        <f>Table67[[#This Row],[Extrem Response Ratio (ERS)]]&gt;=Table67[[#This Row],[Threshold of ERS]]</f>
        <v>1</v>
      </c>
      <c r="AT926">
        <f>COUNTIF(Table67[[#This Row],[The mechanism of digital assets is difficult to understand, which discourages me from exploring it (E.g, Tokenization, Blockchain)]:[If I want to try different ways to invest, I will explore digital assets.]], 3)</f>
        <v>3</v>
      </c>
      <c r="AU926">
        <f>Table67[[#This Row],[Midpoint]]/21</f>
        <v>0.14285714285714285</v>
      </c>
      <c r="AV926">
        <f>_xlfn.PERCENTILE.INC(Table67[Midpoint ratio],0.9)</f>
        <v>0.5714285714285714</v>
      </c>
      <c r="AW926" t="b">
        <f>Table67[[#This Row],[Midpoint ratio]]&gt;=Table67[[#This Row],[Threshold of Midpoint ratio]]</f>
        <v>0</v>
      </c>
      <c r="AX926" t="b">
        <f>OR(Table67[[#This Row],[Extreme Response Style]],Table67[[#This Row],[Mid-point Response Style]])</f>
        <v>1</v>
      </c>
      <c r="AY926" t="b">
        <f>OR(Table67[[#This Row],[Delete? (Stage 1)]],Table67[[#This Row],[Delete? (Stage 2)]])</f>
        <v>1</v>
      </c>
      <c r="AZ926" t="s">
        <v>84</v>
      </c>
    </row>
    <row r="927" spans="1:52">
      <c r="A927">
        <f t="shared" si="59"/>
        <v>926</v>
      </c>
      <c r="B927" s="3">
        <v>46056.876712963</v>
      </c>
      <c r="C927" s="3">
        <v>46056.878715277802</v>
      </c>
      <c r="D927" t="s">
        <v>53</v>
      </c>
      <c r="G927" t="s">
        <v>54</v>
      </c>
      <c r="H927" t="s">
        <v>63</v>
      </c>
      <c r="I927" t="s">
        <v>82</v>
      </c>
      <c r="J927" t="s">
        <v>66</v>
      </c>
      <c r="K927" t="s">
        <v>64</v>
      </c>
      <c r="L927" t="s">
        <v>61</v>
      </c>
      <c r="M927" t="s">
        <v>58</v>
      </c>
      <c r="N927">
        <v>3</v>
      </c>
      <c r="O927">
        <v>1</v>
      </c>
      <c r="P927">
        <v>4</v>
      </c>
      <c r="Q927">
        <v>4</v>
      </c>
      <c r="R927">
        <v>2</v>
      </c>
      <c r="S927">
        <v>4</v>
      </c>
      <c r="T927">
        <v>1</v>
      </c>
      <c r="U927">
        <v>2</v>
      </c>
      <c r="V927">
        <v>4</v>
      </c>
      <c r="W927">
        <v>5</v>
      </c>
      <c r="X927">
        <v>4</v>
      </c>
      <c r="Y927">
        <v>4</v>
      </c>
      <c r="Z927">
        <v>5</v>
      </c>
      <c r="AA927">
        <v>4</v>
      </c>
      <c r="AB927">
        <v>5</v>
      </c>
      <c r="AC927">
        <v>5</v>
      </c>
      <c r="AD927">
        <v>4</v>
      </c>
      <c r="AE927">
        <v>4</v>
      </c>
      <c r="AF927">
        <v>3</v>
      </c>
      <c r="AG927">
        <v>4</v>
      </c>
      <c r="AH927">
        <v>3</v>
      </c>
      <c r="AI927">
        <v>3</v>
      </c>
      <c r="AJ927">
        <v>3</v>
      </c>
      <c r="AK927" t="b">
        <f>Table67[[#This Row],[What is your age?]]&lt;&gt;"18 - 25"</f>
        <v>0</v>
      </c>
      <c r="AL927" t="b">
        <f t="shared" si="56"/>
        <v>0</v>
      </c>
      <c r="AM927" t="b">
        <f t="shared" si="57"/>
        <v>0</v>
      </c>
      <c r="AN927" t="b">
        <f t="shared" si="58"/>
        <v>1</v>
      </c>
      <c r="AO927" t="b">
        <f>OR(Table67[[#This Row],[Ineligible respondents]:[Inconsistent response on opposite question (3)]])</f>
        <v>1</v>
      </c>
      <c r="AP92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927">
        <f>Table67[[#This Row],[Extreme Response]]/21</f>
        <v>0.2857142857142857</v>
      </c>
      <c r="AR927">
        <f>_xlfn.PERCENTILE.INC(Table67[Extrem Response Ratio (ERS)],0.9)</f>
        <v>0.61904761904761907</v>
      </c>
      <c r="AS927" t="b">
        <f>Table67[[#This Row],[Extrem Response Ratio (ERS)]]&gt;=Table67[[#This Row],[Threshold of ERS]]</f>
        <v>0</v>
      </c>
      <c r="AT927">
        <f>COUNTIF(Table67[[#This Row],[The mechanism of digital assets is difficult to understand, which discourages me from exploring it (E.g, Tokenization, Blockchain)]:[If I want to try different ways to invest, I will explore digital assets.]], 3)</f>
        <v>3</v>
      </c>
      <c r="AU927">
        <f>Table67[[#This Row],[Midpoint]]/21</f>
        <v>0.14285714285714285</v>
      </c>
      <c r="AV927">
        <f>_xlfn.PERCENTILE.INC(Table67[Midpoint ratio],0.9)</f>
        <v>0.5714285714285714</v>
      </c>
      <c r="AW927" t="b">
        <f>Table67[[#This Row],[Midpoint ratio]]&gt;=Table67[[#This Row],[Threshold of Midpoint ratio]]</f>
        <v>0</v>
      </c>
      <c r="AX927" t="b">
        <f>OR(Table67[[#This Row],[Extreme Response Style]],Table67[[#This Row],[Mid-point Response Style]])</f>
        <v>0</v>
      </c>
      <c r="AY927" t="b">
        <f>OR(Table67[[#This Row],[Delete? (Stage 1)]],Table67[[#This Row],[Delete? (Stage 2)]])</f>
        <v>1</v>
      </c>
      <c r="AZ927" t="s">
        <v>84</v>
      </c>
    </row>
    <row r="928" spans="1:52">
      <c r="A928">
        <f t="shared" si="59"/>
        <v>927</v>
      </c>
      <c r="B928" s="3">
        <v>46056.877002314803</v>
      </c>
      <c r="C928" s="3">
        <v>46056.879641203697</v>
      </c>
      <c r="D928" t="s">
        <v>53</v>
      </c>
      <c r="G928" t="s">
        <v>54</v>
      </c>
      <c r="H928" t="s">
        <v>55</v>
      </c>
      <c r="I928" t="s">
        <v>56</v>
      </c>
      <c r="J928" t="s">
        <v>62</v>
      </c>
      <c r="K928" t="s">
        <v>62</v>
      </c>
      <c r="L928" t="s">
        <v>61</v>
      </c>
      <c r="M928" t="s">
        <v>61</v>
      </c>
      <c r="N928">
        <v>2</v>
      </c>
      <c r="O928">
        <v>1</v>
      </c>
      <c r="P928">
        <v>5</v>
      </c>
      <c r="Q928">
        <v>3</v>
      </c>
      <c r="R928">
        <v>5</v>
      </c>
      <c r="S928">
        <v>5</v>
      </c>
      <c r="T928">
        <v>1</v>
      </c>
      <c r="U928">
        <v>4</v>
      </c>
      <c r="V928">
        <v>5</v>
      </c>
      <c r="W928">
        <v>1</v>
      </c>
      <c r="X928">
        <v>2</v>
      </c>
      <c r="Y928">
        <v>1</v>
      </c>
      <c r="Z928">
        <v>2</v>
      </c>
      <c r="AA928">
        <v>4</v>
      </c>
      <c r="AB928">
        <v>1</v>
      </c>
      <c r="AC928">
        <v>1</v>
      </c>
      <c r="AD928">
        <v>1</v>
      </c>
      <c r="AE928">
        <v>4</v>
      </c>
      <c r="AF928">
        <v>5</v>
      </c>
      <c r="AG928">
        <v>1</v>
      </c>
      <c r="AH928">
        <v>5</v>
      </c>
      <c r="AI928">
        <v>1</v>
      </c>
      <c r="AJ928">
        <v>1</v>
      </c>
      <c r="AK928" t="b">
        <f>Table67[[#This Row],[What is your age?]]&lt;&gt;"18 - 25"</f>
        <v>0</v>
      </c>
      <c r="AL928" t="b">
        <f t="shared" si="56"/>
        <v>0</v>
      </c>
      <c r="AM928" t="b">
        <f t="shared" si="57"/>
        <v>0</v>
      </c>
      <c r="AN928" t="b">
        <f t="shared" si="58"/>
        <v>0</v>
      </c>
      <c r="AO928" t="b">
        <f>OR(Table67[[#This Row],[Ineligible respondents]:[Inconsistent response on opposite question (3)]])</f>
        <v>0</v>
      </c>
      <c r="AP92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928">
        <f>Table67[[#This Row],[Extreme Response]]/21</f>
        <v>0.66666666666666663</v>
      </c>
      <c r="AR928">
        <f>_xlfn.PERCENTILE.INC(Table67[Extrem Response Ratio (ERS)],0.9)</f>
        <v>0.61904761904761907</v>
      </c>
      <c r="AS928" t="b">
        <f>Table67[[#This Row],[Extrem Response Ratio (ERS)]]&gt;=Table67[[#This Row],[Threshold of ERS]]</f>
        <v>1</v>
      </c>
      <c r="AT928">
        <f>COUNTIF(Table67[[#This Row],[The mechanism of digital assets is difficult to understand, which discourages me from exploring it (E.g, Tokenization, Blockchain)]:[If I want to try different ways to invest, I will explore digital assets.]], 3)</f>
        <v>1</v>
      </c>
      <c r="AU928">
        <f>Table67[[#This Row],[Midpoint]]/21</f>
        <v>4.7619047619047616E-2</v>
      </c>
      <c r="AV928">
        <f>_xlfn.PERCENTILE.INC(Table67[Midpoint ratio],0.9)</f>
        <v>0.5714285714285714</v>
      </c>
      <c r="AW928" t="b">
        <f>Table67[[#This Row],[Midpoint ratio]]&gt;=Table67[[#This Row],[Threshold of Midpoint ratio]]</f>
        <v>0</v>
      </c>
      <c r="AX928" t="b">
        <f>OR(Table67[[#This Row],[Extreme Response Style]],Table67[[#This Row],[Mid-point Response Style]])</f>
        <v>1</v>
      </c>
      <c r="AY928" t="b">
        <f>OR(Table67[[#This Row],[Delete? (Stage 1)]],Table67[[#This Row],[Delete? (Stage 2)]])</f>
        <v>1</v>
      </c>
      <c r="AZ928" t="s">
        <v>84</v>
      </c>
    </row>
    <row r="929" spans="1:52">
      <c r="A929">
        <f t="shared" si="59"/>
        <v>928</v>
      </c>
      <c r="B929" s="3">
        <v>46056.8770717593</v>
      </c>
      <c r="C929" s="3">
        <v>46056.885949074102</v>
      </c>
      <c r="D929" t="s">
        <v>53</v>
      </c>
      <c r="G929" t="s">
        <v>54</v>
      </c>
      <c r="H929" t="s">
        <v>55</v>
      </c>
      <c r="I929" t="s">
        <v>69</v>
      </c>
      <c r="J929" t="s">
        <v>62</v>
      </c>
      <c r="K929" t="s">
        <v>57</v>
      </c>
      <c r="L929" t="s">
        <v>58</v>
      </c>
      <c r="M929" t="s">
        <v>58</v>
      </c>
      <c r="N929">
        <v>4</v>
      </c>
      <c r="O929">
        <v>4</v>
      </c>
      <c r="P929">
        <v>5</v>
      </c>
      <c r="Q929">
        <v>4</v>
      </c>
      <c r="R929">
        <v>4</v>
      </c>
      <c r="S929">
        <v>5</v>
      </c>
      <c r="T929">
        <v>4</v>
      </c>
      <c r="U929">
        <v>5</v>
      </c>
      <c r="V929">
        <v>4</v>
      </c>
      <c r="W929">
        <v>4</v>
      </c>
      <c r="X929">
        <v>2</v>
      </c>
      <c r="Y929">
        <v>4</v>
      </c>
      <c r="Z929">
        <v>4</v>
      </c>
      <c r="AA929">
        <v>4</v>
      </c>
      <c r="AB929">
        <v>4</v>
      </c>
      <c r="AC929">
        <v>3</v>
      </c>
      <c r="AD929">
        <v>5</v>
      </c>
      <c r="AE929">
        <v>3</v>
      </c>
      <c r="AF929">
        <v>3</v>
      </c>
      <c r="AG929">
        <v>2</v>
      </c>
      <c r="AH929">
        <v>3</v>
      </c>
      <c r="AI929">
        <v>3</v>
      </c>
      <c r="AJ929">
        <v>3</v>
      </c>
      <c r="AK929" t="b">
        <f>Table67[[#This Row],[What is your age?]]&lt;&gt;"18 - 25"</f>
        <v>0</v>
      </c>
      <c r="AL929" t="b">
        <f t="shared" si="56"/>
        <v>0</v>
      </c>
      <c r="AM929" t="b">
        <f t="shared" si="57"/>
        <v>0</v>
      </c>
      <c r="AN929" t="b">
        <f t="shared" si="58"/>
        <v>1</v>
      </c>
      <c r="AO929" t="b">
        <f>OR(Table67[[#This Row],[Ineligible respondents]:[Inconsistent response on opposite question (3)]])</f>
        <v>1</v>
      </c>
      <c r="AP92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929">
        <f>Table67[[#This Row],[Extreme Response]]/21</f>
        <v>0.19047619047619047</v>
      </c>
      <c r="AR929">
        <f>_xlfn.PERCENTILE.INC(Table67[Extrem Response Ratio (ERS)],0.9)</f>
        <v>0.61904761904761907</v>
      </c>
      <c r="AS929" t="b">
        <f>Table67[[#This Row],[Extrem Response Ratio (ERS)]]&gt;=Table67[[#This Row],[Threshold of ERS]]</f>
        <v>0</v>
      </c>
      <c r="AT929">
        <f>COUNTIF(Table67[[#This Row],[The mechanism of digital assets is difficult to understand, which discourages me from exploring it (E.g, Tokenization, Blockchain)]:[If I want to try different ways to invest, I will explore digital assets.]], 3)</f>
        <v>4</v>
      </c>
      <c r="AU929">
        <f>Table67[[#This Row],[Midpoint]]/21</f>
        <v>0.19047619047619047</v>
      </c>
      <c r="AV929">
        <f>_xlfn.PERCENTILE.INC(Table67[Midpoint ratio],0.9)</f>
        <v>0.5714285714285714</v>
      </c>
      <c r="AW929" t="b">
        <f>Table67[[#This Row],[Midpoint ratio]]&gt;=Table67[[#This Row],[Threshold of Midpoint ratio]]</f>
        <v>0</v>
      </c>
      <c r="AX929" t="b">
        <f>OR(Table67[[#This Row],[Extreme Response Style]],Table67[[#This Row],[Mid-point Response Style]])</f>
        <v>0</v>
      </c>
      <c r="AY929" t="b">
        <f>OR(Table67[[#This Row],[Delete? (Stage 1)]],Table67[[#This Row],[Delete? (Stage 2)]])</f>
        <v>1</v>
      </c>
      <c r="AZ929" t="s">
        <v>84</v>
      </c>
    </row>
    <row r="930" spans="1:52">
      <c r="A930">
        <f t="shared" si="59"/>
        <v>929</v>
      </c>
      <c r="B930" s="3">
        <v>46056.877094907402</v>
      </c>
      <c r="C930" s="3">
        <v>46056.8895023148</v>
      </c>
      <c r="D930" t="s">
        <v>53</v>
      </c>
      <c r="G930" t="s">
        <v>54</v>
      </c>
      <c r="H930" t="s">
        <v>55</v>
      </c>
      <c r="I930" t="s">
        <v>56</v>
      </c>
      <c r="J930" t="s">
        <v>62</v>
      </c>
      <c r="K930" t="s">
        <v>62</v>
      </c>
      <c r="L930" t="s">
        <v>58</v>
      </c>
      <c r="M930" t="s">
        <v>58</v>
      </c>
      <c r="N930">
        <v>2</v>
      </c>
      <c r="O930">
        <v>1</v>
      </c>
      <c r="P930">
        <v>5</v>
      </c>
      <c r="Q930">
        <v>3</v>
      </c>
      <c r="R930">
        <v>5</v>
      </c>
      <c r="S930">
        <v>5</v>
      </c>
      <c r="T930">
        <v>1</v>
      </c>
      <c r="U930">
        <v>1</v>
      </c>
      <c r="V930">
        <v>1</v>
      </c>
      <c r="W930">
        <v>5</v>
      </c>
      <c r="X930">
        <v>2</v>
      </c>
      <c r="Y930">
        <v>1</v>
      </c>
      <c r="Z930">
        <v>4</v>
      </c>
      <c r="AA930">
        <v>4</v>
      </c>
      <c r="AB930">
        <v>1</v>
      </c>
      <c r="AC930">
        <v>1</v>
      </c>
      <c r="AD930">
        <v>5</v>
      </c>
      <c r="AE930">
        <v>2</v>
      </c>
      <c r="AF930">
        <v>5</v>
      </c>
      <c r="AG930">
        <v>1</v>
      </c>
      <c r="AH930">
        <v>5</v>
      </c>
      <c r="AI930">
        <v>1</v>
      </c>
      <c r="AJ930">
        <v>1</v>
      </c>
      <c r="AK930" t="b">
        <f>Table67[[#This Row],[What is your age?]]&lt;&gt;"18 - 25"</f>
        <v>0</v>
      </c>
      <c r="AL930" t="b">
        <f t="shared" si="56"/>
        <v>0</v>
      </c>
      <c r="AM930" t="b">
        <f t="shared" si="57"/>
        <v>0</v>
      </c>
      <c r="AN930" t="b">
        <f t="shared" si="58"/>
        <v>0</v>
      </c>
      <c r="AO930" t="b">
        <f>OR(Table67[[#This Row],[Ineligible respondents]:[Inconsistent response on opposite question (3)]])</f>
        <v>0</v>
      </c>
      <c r="AP93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930">
        <f>Table67[[#This Row],[Extreme Response]]/21</f>
        <v>0.7142857142857143</v>
      </c>
      <c r="AR930">
        <f>_xlfn.PERCENTILE.INC(Table67[Extrem Response Ratio (ERS)],0.9)</f>
        <v>0.61904761904761907</v>
      </c>
      <c r="AS930" t="b">
        <f>Table67[[#This Row],[Extrem Response Ratio (ERS)]]&gt;=Table67[[#This Row],[Threshold of ERS]]</f>
        <v>1</v>
      </c>
      <c r="AT930">
        <f>COUNTIF(Table67[[#This Row],[The mechanism of digital assets is difficult to understand, which discourages me from exploring it (E.g, Tokenization, Blockchain)]:[If I want to try different ways to invest, I will explore digital assets.]], 3)</f>
        <v>1</v>
      </c>
      <c r="AU930">
        <f>Table67[[#This Row],[Midpoint]]/21</f>
        <v>4.7619047619047616E-2</v>
      </c>
      <c r="AV930">
        <f>_xlfn.PERCENTILE.INC(Table67[Midpoint ratio],0.9)</f>
        <v>0.5714285714285714</v>
      </c>
      <c r="AW930" t="b">
        <f>Table67[[#This Row],[Midpoint ratio]]&gt;=Table67[[#This Row],[Threshold of Midpoint ratio]]</f>
        <v>0</v>
      </c>
      <c r="AX930" t="b">
        <f>OR(Table67[[#This Row],[Extreme Response Style]],Table67[[#This Row],[Mid-point Response Style]])</f>
        <v>1</v>
      </c>
      <c r="AY930" t="b">
        <f>OR(Table67[[#This Row],[Delete? (Stage 1)]],Table67[[#This Row],[Delete? (Stage 2)]])</f>
        <v>1</v>
      </c>
      <c r="AZ930" t="s">
        <v>84</v>
      </c>
    </row>
    <row r="931" spans="1:52">
      <c r="A931">
        <f t="shared" si="59"/>
        <v>930</v>
      </c>
      <c r="B931" s="3">
        <v>46056.877129629604</v>
      </c>
      <c r="C931" s="3">
        <v>46056.879432870403</v>
      </c>
      <c r="D931" t="s">
        <v>53</v>
      </c>
      <c r="G931" t="s">
        <v>54</v>
      </c>
      <c r="H931" t="s">
        <v>55</v>
      </c>
      <c r="I931" t="s">
        <v>75</v>
      </c>
      <c r="J931" t="s">
        <v>57</v>
      </c>
      <c r="K931" t="s">
        <v>57</v>
      </c>
      <c r="L931" t="s">
        <v>58</v>
      </c>
      <c r="M931" t="s">
        <v>58</v>
      </c>
      <c r="N931">
        <v>4</v>
      </c>
      <c r="O931">
        <v>2</v>
      </c>
      <c r="P931">
        <v>4</v>
      </c>
      <c r="Q931">
        <v>4</v>
      </c>
      <c r="R931">
        <v>4</v>
      </c>
      <c r="S931">
        <v>5</v>
      </c>
      <c r="T931">
        <v>3</v>
      </c>
      <c r="U931">
        <v>4</v>
      </c>
      <c r="V931">
        <v>4</v>
      </c>
      <c r="W931">
        <v>4</v>
      </c>
      <c r="X931">
        <v>4</v>
      </c>
      <c r="Y931">
        <v>4</v>
      </c>
      <c r="Z931">
        <v>4</v>
      </c>
      <c r="AA931">
        <v>4</v>
      </c>
      <c r="AB931">
        <v>3</v>
      </c>
      <c r="AC931">
        <v>3</v>
      </c>
      <c r="AD931">
        <v>4</v>
      </c>
      <c r="AE931">
        <v>4</v>
      </c>
      <c r="AF931">
        <v>2</v>
      </c>
      <c r="AG931">
        <v>4</v>
      </c>
      <c r="AH931">
        <v>2</v>
      </c>
      <c r="AI931">
        <v>4</v>
      </c>
      <c r="AJ931">
        <v>4</v>
      </c>
      <c r="AK931" t="b">
        <f>Table67[[#This Row],[What is your age?]]&lt;&gt;"18 - 25"</f>
        <v>0</v>
      </c>
      <c r="AL931" t="b">
        <f t="shared" si="56"/>
        <v>0</v>
      </c>
      <c r="AM931" t="b">
        <f t="shared" si="57"/>
        <v>0</v>
      </c>
      <c r="AN931" t="b">
        <f t="shared" si="58"/>
        <v>0</v>
      </c>
      <c r="AO931" t="b">
        <f>OR(Table67[[#This Row],[Ineligible respondents]:[Inconsistent response on opposite question (3)]])</f>
        <v>0</v>
      </c>
      <c r="AP93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931">
        <f>Table67[[#This Row],[Extreme Response]]/21</f>
        <v>4.7619047619047616E-2</v>
      </c>
      <c r="AR931">
        <f>_xlfn.PERCENTILE.INC(Table67[Extrem Response Ratio (ERS)],0.9)</f>
        <v>0.61904761904761907</v>
      </c>
      <c r="AS931" t="b">
        <f>Table67[[#This Row],[Extrem Response Ratio (ERS)]]&gt;=Table67[[#This Row],[Threshold of ERS]]</f>
        <v>0</v>
      </c>
      <c r="AT931">
        <f>COUNTIF(Table67[[#This Row],[The mechanism of digital assets is difficult to understand, which discourages me from exploring it (E.g, Tokenization, Blockchain)]:[If I want to try different ways to invest, I will explore digital assets.]], 3)</f>
        <v>3</v>
      </c>
      <c r="AU931">
        <f>Table67[[#This Row],[Midpoint]]/21</f>
        <v>0.14285714285714285</v>
      </c>
      <c r="AV931">
        <f>_xlfn.PERCENTILE.INC(Table67[Midpoint ratio],0.9)</f>
        <v>0.5714285714285714</v>
      </c>
      <c r="AW931" t="b">
        <f>Table67[[#This Row],[Midpoint ratio]]&gt;=Table67[[#This Row],[Threshold of Midpoint ratio]]</f>
        <v>0</v>
      </c>
      <c r="AX931" t="b">
        <f>OR(Table67[[#This Row],[Extreme Response Style]],Table67[[#This Row],[Mid-point Response Style]])</f>
        <v>0</v>
      </c>
      <c r="AY931" t="b">
        <f>OR(Table67[[#This Row],[Delete? (Stage 1)]],Table67[[#This Row],[Delete? (Stage 2)]])</f>
        <v>0</v>
      </c>
      <c r="AZ931" t="s">
        <v>84</v>
      </c>
    </row>
    <row r="932" spans="1:52">
      <c r="A932">
        <f t="shared" si="59"/>
        <v>931</v>
      </c>
      <c r="B932" s="3">
        <v>46056.877141203702</v>
      </c>
      <c r="C932" s="3">
        <v>46056.880856481497</v>
      </c>
      <c r="D932" t="s">
        <v>53</v>
      </c>
      <c r="G932" t="s">
        <v>54</v>
      </c>
      <c r="H932" t="s">
        <v>55</v>
      </c>
      <c r="I932" t="s">
        <v>69</v>
      </c>
      <c r="J932" t="s">
        <v>62</v>
      </c>
      <c r="K932" t="s">
        <v>62</v>
      </c>
      <c r="L932" t="s">
        <v>58</v>
      </c>
      <c r="M932" t="s">
        <v>58</v>
      </c>
      <c r="N932">
        <v>4</v>
      </c>
      <c r="O932">
        <v>2</v>
      </c>
      <c r="P932">
        <v>4</v>
      </c>
      <c r="Q932">
        <v>4</v>
      </c>
      <c r="R932">
        <v>4</v>
      </c>
      <c r="S932">
        <v>4</v>
      </c>
      <c r="T932">
        <v>2</v>
      </c>
      <c r="U932">
        <v>4</v>
      </c>
      <c r="V932">
        <v>4</v>
      </c>
      <c r="W932">
        <v>4</v>
      </c>
      <c r="X932">
        <v>2</v>
      </c>
      <c r="Y932">
        <v>4</v>
      </c>
      <c r="Z932">
        <v>4</v>
      </c>
      <c r="AA932">
        <v>3</v>
      </c>
      <c r="AB932">
        <v>2</v>
      </c>
      <c r="AC932">
        <v>2</v>
      </c>
      <c r="AD932">
        <v>3</v>
      </c>
      <c r="AE932">
        <v>2</v>
      </c>
      <c r="AF932">
        <v>4</v>
      </c>
      <c r="AG932">
        <v>2</v>
      </c>
      <c r="AH932">
        <v>4</v>
      </c>
      <c r="AI932">
        <v>2</v>
      </c>
      <c r="AJ932">
        <v>2</v>
      </c>
      <c r="AK932" t="b">
        <f>Table67[[#This Row],[What is your age?]]&lt;&gt;"18 - 25"</f>
        <v>0</v>
      </c>
      <c r="AL932" t="b">
        <f t="shared" si="56"/>
        <v>0</v>
      </c>
      <c r="AM932" t="b">
        <f t="shared" si="57"/>
        <v>0</v>
      </c>
      <c r="AN932" t="b">
        <f t="shared" si="58"/>
        <v>0</v>
      </c>
      <c r="AO932" t="b">
        <f>OR(Table67[[#This Row],[Ineligible respondents]:[Inconsistent response on opposite question (3)]])</f>
        <v>0</v>
      </c>
      <c r="AP93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932">
        <f>Table67[[#This Row],[Extreme Response]]/21</f>
        <v>0</v>
      </c>
      <c r="AR932">
        <f>_xlfn.PERCENTILE.INC(Table67[Extrem Response Ratio (ERS)],0.9)</f>
        <v>0.61904761904761907</v>
      </c>
      <c r="AS932" t="b">
        <f>Table67[[#This Row],[Extrem Response Ratio (ERS)]]&gt;=Table67[[#This Row],[Threshold of ERS]]</f>
        <v>0</v>
      </c>
      <c r="AT932">
        <f>COUNTIF(Table67[[#This Row],[The mechanism of digital assets is difficult to understand, which discourages me from exploring it (E.g, Tokenization, Blockchain)]:[If I want to try different ways to invest, I will explore digital assets.]], 3)</f>
        <v>2</v>
      </c>
      <c r="AU932">
        <f>Table67[[#This Row],[Midpoint]]/21</f>
        <v>9.5238095238095233E-2</v>
      </c>
      <c r="AV932">
        <f>_xlfn.PERCENTILE.INC(Table67[Midpoint ratio],0.9)</f>
        <v>0.5714285714285714</v>
      </c>
      <c r="AW932" t="b">
        <f>Table67[[#This Row],[Midpoint ratio]]&gt;=Table67[[#This Row],[Threshold of Midpoint ratio]]</f>
        <v>0</v>
      </c>
      <c r="AX932" t="b">
        <f>OR(Table67[[#This Row],[Extreme Response Style]],Table67[[#This Row],[Mid-point Response Style]])</f>
        <v>0</v>
      </c>
      <c r="AY932" t="b">
        <f>OR(Table67[[#This Row],[Delete? (Stage 1)]],Table67[[#This Row],[Delete? (Stage 2)]])</f>
        <v>0</v>
      </c>
      <c r="AZ932" t="s">
        <v>84</v>
      </c>
    </row>
    <row r="933" spans="1:52">
      <c r="A933">
        <f t="shared" si="59"/>
        <v>932</v>
      </c>
      <c r="B933" s="3">
        <v>46056.877175925903</v>
      </c>
      <c r="C933" s="3">
        <v>46056.884467592601</v>
      </c>
      <c r="D933" t="s">
        <v>53</v>
      </c>
      <c r="G933" t="s">
        <v>73</v>
      </c>
      <c r="H933" t="s">
        <v>55</v>
      </c>
      <c r="I933" t="s">
        <v>56</v>
      </c>
      <c r="J933" t="s">
        <v>62</v>
      </c>
      <c r="K933" t="s">
        <v>62</v>
      </c>
      <c r="L933" t="s">
        <v>58</v>
      </c>
      <c r="M933" t="s">
        <v>61</v>
      </c>
      <c r="N933">
        <v>4</v>
      </c>
      <c r="O933">
        <v>3</v>
      </c>
      <c r="P933">
        <v>2</v>
      </c>
      <c r="Q933">
        <v>2</v>
      </c>
      <c r="R933">
        <v>4</v>
      </c>
      <c r="S933">
        <v>4</v>
      </c>
      <c r="T933">
        <v>3</v>
      </c>
      <c r="U933">
        <v>2</v>
      </c>
      <c r="V933">
        <v>4</v>
      </c>
      <c r="W933">
        <v>4</v>
      </c>
      <c r="X933">
        <v>3</v>
      </c>
      <c r="Y933">
        <v>4</v>
      </c>
      <c r="Z933">
        <v>4</v>
      </c>
      <c r="AA933">
        <v>4</v>
      </c>
      <c r="AB933">
        <v>2</v>
      </c>
      <c r="AC933">
        <v>5</v>
      </c>
      <c r="AD933">
        <v>3</v>
      </c>
      <c r="AE933">
        <v>4</v>
      </c>
      <c r="AF933">
        <v>4</v>
      </c>
      <c r="AG933">
        <v>3</v>
      </c>
      <c r="AH933">
        <v>4</v>
      </c>
      <c r="AI933">
        <v>2</v>
      </c>
      <c r="AJ933">
        <v>2</v>
      </c>
      <c r="AK933" t="b">
        <f>Table67[[#This Row],[What is your age?]]&lt;&gt;"18 - 25"</f>
        <v>1</v>
      </c>
      <c r="AL933" t="b">
        <f t="shared" si="56"/>
        <v>0</v>
      </c>
      <c r="AM933" t="b">
        <f t="shared" si="57"/>
        <v>0</v>
      </c>
      <c r="AN933" t="b">
        <f t="shared" si="58"/>
        <v>1</v>
      </c>
      <c r="AO933" t="b">
        <f>OR(Table67[[#This Row],[Ineligible respondents]:[Inconsistent response on opposite question (3)]])</f>
        <v>1</v>
      </c>
      <c r="AP93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933">
        <f>Table67[[#This Row],[Extreme Response]]/21</f>
        <v>4.7619047619047616E-2</v>
      </c>
      <c r="AR933">
        <f>_xlfn.PERCENTILE.INC(Table67[Extrem Response Ratio (ERS)],0.9)</f>
        <v>0.61904761904761907</v>
      </c>
      <c r="AS933" t="b">
        <f>Table67[[#This Row],[Extrem Response Ratio (ERS)]]&gt;=Table67[[#This Row],[Threshold of ERS]]</f>
        <v>0</v>
      </c>
      <c r="AT933">
        <f>COUNTIF(Table67[[#This Row],[The mechanism of digital assets is difficult to understand, which discourages me from exploring it (E.g, Tokenization, Blockchain)]:[If I want to try different ways to invest, I will explore digital assets.]], 3)</f>
        <v>5</v>
      </c>
      <c r="AU933">
        <f>Table67[[#This Row],[Midpoint]]/21</f>
        <v>0.23809523809523808</v>
      </c>
      <c r="AV933">
        <f>_xlfn.PERCENTILE.INC(Table67[Midpoint ratio],0.9)</f>
        <v>0.5714285714285714</v>
      </c>
      <c r="AW933" t="b">
        <f>Table67[[#This Row],[Midpoint ratio]]&gt;=Table67[[#This Row],[Threshold of Midpoint ratio]]</f>
        <v>0</v>
      </c>
      <c r="AX933" t="b">
        <f>OR(Table67[[#This Row],[Extreme Response Style]],Table67[[#This Row],[Mid-point Response Style]])</f>
        <v>0</v>
      </c>
      <c r="AY933" t="b">
        <f>OR(Table67[[#This Row],[Delete? (Stage 1)]],Table67[[#This Row],[Delete? (Stage 2)]])</f>
        <v>1</v>
      </c>
      <c r="AZ933" t="s">
        <v>84</v>
      </c>
    </row>
    <row r="934" spans="1:52">
      <c r="A934">
        <f t="shared" si="59"/>
        <v>933</v>
      </c>
      <c r="B934" s="3">
        <v>46056.877187500002</v>
      </c>
      <c r="C934" s="3">
        <v>46056.8816898148</v>
      </c>
      <c r="D934" t="s">
        <v>53</v>
      </c>
      <c r="G934" t="s">
        <v>54</v>
      </c>
      <c r="H934" t="s">
        <v>63</v>
      </c>
      <c r="I934" t="s">
        <v>56</v>
      </c>
      <c r="J934" t="s">
        <v>62</v>
      </c>
      <c r="K934" t="s">
        <v>57</v>
      </c>
      <c r="L934" t="s">
        <v>58</v>
      </c>
      <c r="M934" t="s">
        <v>61</v>
      </c>
      <c r="N934">
        <v>3</v>
      </c>
      <c r="O934">
        <v>3</v>
      </c>
      <c r="P934">
        <v>3</v>
      </c>
      <c r="Q934">
        <v>2</v>
      </c>
      <c r="R934">
        <v>4</v>
      </c>
      <c r="S934">
        <v>3</v>
      </c>
      <c r="T934">
        <v>4</v>
      </c>
      <c r="U934">
        <v>2</v>
      </c>
      <c r="V934">
        <v>4</v>
      </c>
      <c r="W934">
        <v>4</v>
      </c>
      <c r="X934">
        <v>3</v>
      </c>
      <c r="Y934">
        <v>3</v>
      </c>
      <c r="Z934">
        <v>4</v>
      </c>
      <c r="AA934">
        <v>3</v>
      </c>
      <c r="AB934">
        <v>3</v>
      </c>
      <c r="AC934">
        <v>3</v>
      </c>
      <c r="AD934">
        <v>3</v>
      </c>
      <c r="AE934">
        <v>2</v>
      </c>
      <c r="AF934">
        <v>5</v>
      </c>
      <c r="AG934">
        <v>1</v>
      </c>
      <c r="AH934">
        <v>4</v>
      </c>
      <c r="AI934">
        <v>2</v>
      </c>
      <c r="AJ934">
        <v>1</v>
      </c>
      <c r="AK934" t="b">
        <f>Table67[[#This Row],[What is your age?]]&lt;&gt;"18 - 25"</f>
        <v>0</v>
      </c>
      <c r="AL934" t="b">
        <f t="shared" si="56"/>
        <v>0</v>
      </c>
      <c r="AM934" t="b">
        <f t="shared" si="57"/>
        <v>0</v>
      </c>
      <c r="AN934" t="b">
        <f t="shared" si="58"/>
        <v>0</v>
      </c>
      <c r="AO934" t="b">
        <f>OR(Table67[[#This Row],[Ineligible respondents]:[Inconsistent response on opposite question (3)]])</f>
        <v>0</v>
      </c>
      <c r="AP93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934">
        <f>Table67[[#This Row],[Extreme Response]]/21</f>
        <v>9.5238095238095233E-2</v>
      </c>
      <c r="AR934">
        <f>_xlfn.PERCENTILE.INC(Table67[Extrem Response Ratio (ERS)],0.9)</f>
        <v>0.61904761904761907</v>
      </c>
      <c r="AS934" t="b">
        <f>Table67[[#This Row],[Extrem Response Ratio (ERS)]]&gt;=Table67[[#This Row],[Threshold of ERS]]</f>
        <v>0</v>
      </c>
      <c r="AT934">
        <f>COUNTIF(Table67[[#This Row],[The mechanism of digital assets is difficult to understand, which discourages me from exploring it (E.g, Tokenization, Blockchain)]:[If I want to try different ways to invest, I will explore digital assets.]], 3)</f>
        <v>10</v>
      </c>
      <c r="AU934">
        <f>Table67[[#This Row],[Midpoint]]/21</f>
        <v>0.47619047619047616</v>
      </c>
      <c r="AV934">
        <f>_xlfn.PERCENTILE.INC(Table67[Midpoint ratio],0.9)</f>
        <v>0.5714285714285714</v>
      </c>
      <c r="AW934" t="b">
        <f>Table67[[#This Row],[Midpoint ratio]]&gt;=Table67[[#This Row],[Threshold of Midpoint ratio]]</f>
        <v>0</v>
      </c>
      <c r="AX934" t="b">
        <f>OR(Table67[[#This Row],[Extreme Response Style]],Table67[[#This Row],[Mid-point Response Style]])</f>
        <v>0</v>
      </c>
      <c r="AY934" t="b">
        <f>OR(Table67[[#This Row],[Delete? (Stage 1)]],Table67[[#This Row],[Delete? (Stage 2)]])</f>
        <v>0</v>
      </c>
      <c r="AZ934" t="s">
        <v>84</v>
      </c>
    </row>
    <row r="935" spans="1:52">
      <c r="A935">
        <f t="shared" si="59"/>
        <v>934</v>
      </c>
      <c r="B935" s="3">
        <v>46056.877256944397</v>
      </c>
      <c r="C935" s="3">
        <v>46056.8815046296</v>
      </c>
      <c r="D935" t="s">
        <v>53</v>
      </c>
      <c r="G935" t="s">
        <v>54</v>
      </c>
      <c r="H935" t="s">
        <v>63</v>
      </c>
      <c r="I935" t="s">
        <v>56</v>
      </c>
      <c r="J935" t="s">
        <v>62</v>
      </c>
      <c r="K935" t="s">
        <v>57</v>
      </c>
      <c r="L935" t="s">
        <v>58</v>
      </c>
      <c r="M935" t="s">
        <v>61</v>
      </c>
      <c r="N935">
        <v>4</v>
      </c>
      <c r="O935">
        <v>4</v>
      </c>
      <c r="P935">
        <v>5</v>
      </c>
      <c r="Q935">
        <v>4</v>
      </c>
      <c r="R935">
        <v>4</v>
      </c>
      <c r="S935">
        <v>5</v>
      </c>
      <c r="T935">
        <v>3</v>
      </c>
      <c r="U935">
        <v>3</v>
      </c>
      <c r="V935">
        <v>5</v>
      </c>
      <c r="W935">
        <v>5</v>
      </c>
      <c r="X935">
        <v>5</v>
      </c>
      <c r="Y935">
        <v>5</v>
      </c>
      <c r="Z935">
        <v>5</v>
      </c>
      <c r="AA935">
        <v>5</v>
      </c>
      <c r="AB935">
        <v>3</v>
      </c>
      <c r="AC935">
        <v>4</v>
      </c>
      <c r="AD935">
        <v>4</v>
      </c>
      <c r="AE935">
        <v>3</v>
      </c>
      <c r="AF935">
        <v>4</v>
      </c>
      <c r="AG935">
        <v>3</v>
      </c>
      <c r="AH935">
        <v>4</v>
      </c>
      <c r="AI935">
        <v>2</v>
      </c>
      <c r="AJ935">
        <v>2</v>
      </c>
      <c r="AK935" t="b">
        <f>Table67[[#This Row],[What is your age?]]&lt;&gt;"18 - 25"</f>
        <v>0</v>
      </c>
      <c r="AL935" t="b">
        <f t="shared" si="56"/>
        <v>0</v>
      </c>
      <c r="AM935" t="b">
        <f t="shared" si="57"/>
        <v>0</v>
      </c>
      <c r="AN935" t="b">
        <f t="shared" si="58"/>
        <v>1</v>
      </c>
      <c r="AO935" t="b">
        <f>OR(Table67[[#This Row],[Ineligible respondents]:[Inconsistent response on opposite question (3)]])</f>
        <v>1</v>
      </c>
      <c r="AP93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935">
        <f>Table67[[#This Row],[Extreme Response]]/21</f>
        <v>0.38095238095238093</v>
      </c>
      <c r="AR935">
        <f>_xlfn.PERCENTILE.INC(Table67[Extrem Response Ratio (ERS)],0.9)</f>
        <v>0.61904761904761907</v>
      </c>
      <c r="AS935" t="b">
        <f>Table67[[#This Row],[Extrem Response Ratio (ERS)]]&gt;=Table67[[#This Row],[Threshold of ERS]]</f>
        <v>0</v>
      </c>
      <c r="AT935">
        <f>COUNTIF(Table67[[#This Row],[The mechanism of digital assets is difficult to understand, which discourages me from exploring it (E.g, Tokenization, Blockchain)]:[If I want to try different ways to invest, I will explore digital assets.]], 3)</f>
        <v>5</v>
      </c>
      <c r="AU935">
        <f>Table67[[#This Row],[Midpoint]]/21</f>
        <v>0.23809523809523808</v>
      </c>
      <c r="AV935">
        <f>_xlfn.PERCENTILE.INC(Table67[Midpoint ratio],0.9)</f>
        <v>0.5714285714285714</v>
      </c>
      <c r="AW935" t="b">
        <f>Table67[[#This Row],[Midpoint ratio]]&gt;=Table67[[#This Row],[Threshold of Midpoint ratio]]</f>
        <v>0</v>
      </c>
      <c r="AX935" t="b">
        <f>OR(Table67[[#This Row],[Extreme Response Style]],Table67[[#This Row],[Mid-point Response Style]])</f>
        <v>0</v>
      </c>
      <c r="AY935" t="b">
        <f>OR(Table67[[#This Row],[Delete? (Stage 1)]],Table67[[#This Row],[Delete? (Stage 2)]])</f>
        <v>1</v>
      </c>
      <c r="AZ935" t="s">
        <v>84</v>
      </c>
    </row>
    <row r="936" spans="1:52">
      <c r="A936">
        <f t="shared" si="59"/>
        <v>935</v>
      </c>
      <c r="B936" s="3">
        <v>46056.877303240697</v>
      </c>
      <c r="C936" s="3">
        <v>46056.882893518501</v>
      </c>
      <c r="D936" t="s">
        <v>53</v>
      </c>
      <c r="G936" t="s">
        <v>54</v>
      </c>
      <c r="H936" t="s">
        <v>55</v>
      </c>
      <c r="I936" t="s">
        <v>56</v>
      </c>
      <c r="J936" t="s">
        <v>62</v>
      </c>
      <c r="K936" t="s">
        <v>62</v>
      </c>
      <c r="L936" t="s">
        <v>61</v>
      </c>
      <c r="M936" t="s">
        <v>61</v>
      </c>
      <c r="N936">
        <v>2</v>
      </c>
      <c r="O936">
        <v>2</v>
      </c>
      <c r="P936">
        <v>2</v>
      </c>
      <c r="Q936">
        <v>1</v>
      </c>
      <c r="R936">
        <v>1</v>
      </c>
      <c r="S936">
        <v>1</v>
      </c>
      <c r="T936">
        <v>2</v>
      </c>
      <c r="U936">
        <v>2</v>
      </c>
      <c r="V936">
        <v>3</v>
      </c>
      <c r="W936">
        <v>3</v>
      </c>
      <c r="X936">
        <v>3</v>
      </c>
      <c r="Y936">
        <v>3</v>
      </c>
      <c r="Z936">
        <v>4</v>
      </c>
      <c r="AA936">
        <v>4</v>
      </c>
      <c r="AB936">
        <v>2</v>
      </c>
      <c r="AC936">
        <v>2</v>
      </c>
      <c r="AD936">
        <v>4</v>
      </c>
      <c r="AE936">
        <v>2</v>
      </c>
      <c r="AF936">
        <v>4</v>
      </c>
      <c r="AG936">
        <v>4</v>
      </c>
      <c r="AH936">
        <v>2</v>
      </c>
      <c r="AI936">
        <v>4</v>
      </c>
      <c r="AJ936">
        <v>2</v>
      </c>
      <c r="AK936" t="b">
        <f>Table67[[#This Row],[What is your age?]]&lt;&gt;"18 - 25"</f>
        <v>0</v>
      </c>
      <c r="AL936" t="b">
        <f t="shared" si="56"/>
        <v>0</v>
      </c>
      <c r="AM936" t="b">
        <f t="shared" si="57"/>
        <v>0</v>
      </c>
      <c r="AN936" t="b">
        <f t="shared" si="58"/>
        <v>0</v>
      </c>
      <c r="AO936" t="b">
        <f>OR(Table67[[#This Row],[Ineligible respondents]:[Inconsistent response on opposite question (3)]])</f>
        <v>0</v>
      </c>
      <c r="AP93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936">
        <f>Table67[[#This Row],[Extreme Response]]/21</f>
        <v>0.14285714285714285</v>
      </c>
      <c r="AR936">
        <f>_xlfn.PERCENTILE.INC(Table67[Extrem Response Ratio (ERS)],0.9)</f>
        <v>0.61904761904761907</v>
      </c>
      <c r="AS936" t="b">
        <f>Table67[[#This Row],[Extrem Response Ratio (ERS)]]&gt;=Table67[[#This Row],[Threshold of ERS]]</f>
        <v>0</v>
      </c>
      <c r="AT936">
        <f>COUNTIF(Table67[[#This Row],[The mechanism of digital assets is difficult to understand, which discourages me from exploring it (E.g, Tokenization, Blockchain)]:[If I want to try different ways to invest, I will explore digital assets.]], 3)</f>
        <v>4</v>
      </c>
      <c r="AU936">
        <f>Table67[[#This Row],[Midpoint]]/21</f>
        <v>0.19047619047619047</v>
      </c>
      <c r="AV936">
        <f>_xlfn.PERCENTILE.INC(Table67[Midpoint ratio],0.9)</f>
        <v>0.5714285714285714</v>
      </c>
      <c r="AW936" t="b">
        <f>Table67[[#This Row],[Midpoint ratio]]&gt;=Table67[[#This Row],[Threshold of Midpoint ratio]]</f>
        <v>0</v>
      </c>
      <c r="AX936" t="b">
        <f>OR(Table67[[#This Row],[Extreme Response Style]],Table67[[#This Row],[Mid-point Response Style]])</f>
        <v>0</v>
      </c>
      <c r="AY936" t="b">
        <f>OR(Table67[[#This Row],[Delete? (Stage 1)]],Table67[[#This Row],[Delete? (Stage 2)]])</f>
        <v>0</v>
      </c>
      <c r="AZ936" t="s">
        <v>84</v>
      </c>
    </row>
    <row r="937" spans="1:52">
      <c r="A937">
        <f t="shared" si="59"/>
        <v>936</v>
      </c>
      <c r="B937" s="3">
        <v>46056.877349536997</v>
      </c>
      <c r="C937" s="3">
        <v>46056.881898148102</v>
      </c>
      <c r="D937" t="s">
        <v>53</v>
      </c>
      <c r="G937" t="s">
        <v>54</v>
      </c>
      <c r="H937" t="s">
        <v>55</v>
      </c>
      <c r="I937" t="s">
        <v>56</v>
      </c>
      <c r="J937" t="s">
        <v>60</v>
      </c>
      <c r="K937" t="s">
        <v>62</v>
      </c>
      <c r="L937" t="s">
        <v>58</v>
      </c>
      <c r="M937" t="s">
        <v>58</v>
      </c>
      <c r="N937">
        <v>3</v>
      </c>
      <c r="O937">
        <v>1</v>
      </c>
      <c r="P937">
        <v>5</v>
      </c>
      <c r="Q937">
        <v>5</v>
      </c>
      <c r="R937">
        <v>3</v>
      </c>
      <c r="S937">
        <v>5</v>
      </c>
      <c r="T937">
        <v>4</v>
      </c>
      <c r="U937">
        <v>5</v>
      </c>
      <c r="V937">
        <v>5</v>
      </c>
      <c r="W937">
        <v>5</v>
      </c>
      <c r="X937">
        <v>5</v>
      </c>
      <c r="Y937">
        <v>5</v>
      </c>
      <c r="Z937">
        <v>5</v>
      </c>
      <c r="AA937">
        <v>5</v>
      </c>
      <c r="AB937">
        <v>3</v>
      </c>
      <c r="AC937">
        <v>3</v>
      </c>
      <c r="AD937">
        <v>5</v>
      </c>
      <c r="AE937">
        <v>4</v>
      </c>
      <c r="AF937">
        <v>3</v>
      </c>
      <c r="AG937">
        <v>3</v>
      </c>
      <c r="AH937">
        <v>3</v>
      </c>
      <c r="AI937">
        <v>3</v>
      </c>
      <c r="AJ937">
        <v>3</v>
      </c>
      <c r="AK937" t="b">
        <f>Table67[[#This Row],[What is your age?]]&lt;&gt;"18 - 25"</f>
        <v>0</v>
      </c>
      <c r="AL937" t="b">
        <f t="shared" si="56"/>
        <v>0</v>
      </c>
      <c r="AM937" t="b">
        <f t="shared" si="57"/>
        <v>0</v>
      </c>
      <c r="AN937" t="b">
        <f t="shared" si="58"/>
        <v>0</v>
      </c>
      <c r="AO937" t="b">
        <f>OR(Table67[[#This Row],[Ineligible respondents]:[Inconsistent response on opposite question (3)]])</f>
        <v>0</v>
      </c>
      <c r="AP93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12</v>
      </c>
      <c r="AQ937">
        <f>Table67[[#This Row],[Extreme Response]]/21</f>
        <v>0.5714285714285714</v>
      </c>
      <c r="AR937">
        <f>_xlfn.PERCENTILE.INC(Table67[Extrem Response Ratio (ERS)],0.9)</f>
        <v>0.61904761904761907</v>
      </c>
      <c r="AS937" t="b">
        <f>Table67[[#This Row],[Extrem Response Ratio (ERS)]]&gt;=Table67[[#This Row],[Threshold of ERS]]</f>
        <v>0</v>
      </c>
      <c r="AT937">
        <f>COUNTIF(Table67[[#This Row],[The mechanism of digital assets is difficult to understand, which discourages me from exploring it (E.g, Tokenization, Blockchain)]:[If I want to try different ways to invest, I will explore digital assets.]], 3)</f>
        <v>7</v>
      </c>
      <c r="AU937">
        <f>Table67[[#This Row],[Midpoint]]/21</f>
        <v>0.33333333333333331</v>
      </c>
      <c r="AV937">
        <f>_xlfn.PERCENTILE.INC(Table67[Midpoint ratio],0.9)</f>
        <v>0.5714285714285714</v>
      </c>
      <c r="AW937" t="b">
        <f>Table67[[#This Row],[Midpoint ratio]]&gt;=Table67[[#This Row],[Threshold of Midpoint ratio]]</f>
        <v>0</v>
      </c>
      <c r="AX937" t="b">
        <f>OR(Table67[[#This Row],[Extreme Response Style]],Table67[[#This Row],[Mid-point Response Style]])</f>
        <v>0</v>
      </c>
      <c r="AY937" t="b">
        <f>OR(Table67[[#This Row],[Delete? (Stage 1)]],Table67[[#This Row],[Delete? (Stage 2)]])</f>
        <v>0</v>
      </c>
      <c r="AZ937" t="s">
        <v>84</v>
      </c>
    </row>
    <row r="938" spans="1:52">
      <c r="A938">
        <f t="shared" si="59"/>
        <v>937</v>
      </c>
      <c r="B938" s="3">
        <v>46056.877407407403</v>
      </c>
      <c r="C938" s="3">
        <v>46056.881979166697</v>
      </c>
      <c r="D938" t="s">
        <v>53</v>
      </c>
      <c r="G938" t="s">
        <v>54</v>
      </c>
      <c r="H938" t="s">
        <v>63</v>
      </c>
      <c r="I938" t="s">
        <v>56</v>
      </c>
      <c r="J938" t="s">
        <v>68</v>
      </c>
      <c r="K938" t="s">
        <v>60</v>
      </c>
      <c r="L938" t="s">
        <v>61</v>
      </c>
      <c r="M938" t="s">
        <v>61</v>
      </c>
      <c r="N938">
        <v>2</v>
      </c>
      <c r="O938">
        <v>2</v>
      </c>
      <c r="P938">
        <v>3</v>
      </c>
      <c r="Q938">
        <v>3</v>
      </c>
      <c r="R938">
        <v>2</v>
      </c>
      <c r="S938">
        <v>3</v>
      </c>
      <c r="T938">
        <v>2</v>
      </c>
      <c r="U938">
        <v>3</v>
      </c>
      <c r="V938">
        <v>4</v>
      </c>
      <c r="W938">
        <v>4</v>
      </c>
      <c r="X938">
        <v>2</v>
      </c>
      <c r="Y938">
        <v>2</v>
      </c>
      <c r="Z938">
        <v>4</v>
      </c>
      <c r="AA938">
        <v>3</v>
      </c>
      <c r="AB938">
        <v>4</v>
      </c>
      <c r="AC938">
        <v>4</v>
      </c>
      <c r="AD938">
        <v>3</v>
      </c>
      <c r="AE938">
        <v>4</v>
      </c>
      <c r="AF938">
        <v>5</v>
      </c>
      <c r="AG938">
        <v>4</v>
      </c>
      <c r="AH938">
        <v>4</v>
      </c>
      <c r="AI938">
        <v>2</v>
      </c>
      <c r="AJ938">
        <v>1</v>
      </c>
      <c r="AK938" t="b">
        <f>Table67[[#This Row],[What is your age?]]&lt;&gt;"18 - 25"</f>
        <v>0</v>
      </c>
      <c r="AL938" t="b">
        <f t="shared" si="56"/>
        <v>0</v>
      </c>
      <c r="AM938" t="b">
        <f t="shared" si="57"/>
        <v>1</v>
      </c>
      <c r="AN938" t="b">
        <f t="shared" si="58"/>
        <v>0</v>
      </c>
      <c r="AO938" t="b">
        <f>OR(Table67[[#This Row],[Ineligible respondents]:[Inconsistent response on opposite question (3)]])</f>
        <v>1</v>
      </c>
      <c r="AP93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938">
        <f>Table67[[#This Row],[Extreme Response]]/21</f>
        <v>4.7619047619047616E-2</v>
      </c>
      <c r="AR938">
        <f>_xlfn.PERCENTILE.INC(Table67[Extrem Response Ratio (ERS)],0.9)</f>
        <v>0.61904761904761907</v>
      </c>
      <c r="AS938" t="b">
        <f>Table67[[#This Row],[Extrem Response Ratio (ERS)]]&gt;=Table67[[#This Row],[Threshold of ERS]]</f>
        <v>0</v>
      </c>
      <c r="AT938">
        <f>COUNTIF(Table67[[#This Row],[The mechanism of digital assets is difficult to understand, which discourages me from exploring it (E.g, Tokenization, Blockchain)]:[If I want to try different ways to invest, I will explore digital assets.]], 3)</f>
        <v>6</v>
      </c>
      <c r="AU938">
        <f>Table67[[#This Row],[Midpoint]]/21</f>
        <v>0.2857142857142857</v>
      </c>
      <c r="AV938">
        <f>_xlfn.PERCENTILE.INC(Table67[Midpoint ratio],0.9)</f>
        <v>0.5714285714285714</v>
      </c>
      <c r="AW938" t="b">
        <f>Table67[[#This Row],[Midpoint ratio]]&gt;=Table67[[#This Row],[Threshold of Midpoint ratio]]</f>
        <v>0</v>
      </c>
      <c r="AX938" t="b">
        <f>OR(Table67[[#This Row],[Extreme Response Style]],Table67[[#This Row],[Mid-point Response Style]])</f>
        <v>0</v>
      </c>
      <c r="AY938" t="b">
        <f>OR(Table67[[#This Row],[Delete? (Stage 1)]],Table67[[#This Row],[Delete? (Stage 2)]])</f>
        <v>1</v>
      </c>
      <c r="AZ938" t="s">
        <v>84</v>
      </c>
    </row>
    <row r="939" spans="1:52">
      <c r="A939">
        <f t="shared" si="59"/>
        <v>938</v>
      </c>
      <c r="B939" s="3">
        <v>46056.877592592602</v>
      </c>
      <c r="C939" s="3">
        <v>46056.880196759303</v>
      </c>
      <c r="D939" t="s">
        <v>53</v>
      </c>
      <c r="G939" t="s">
        <v>54</v>
      </c>
      <c r="H939" t="s">
        <v>55</v>
      </c>
      <c r="I939" t="s">
        <v>56</v>
      </c>
      <c r="J939" t="s">
        <v>62</v>
      </c>
      <c r="K939" t="s">
        <v>62</v>
      </c>
      <c r="L939" t="s">
        <v>58</v>
      </c>
      <c r="M939" t="s">
        <v>58</v>
      </c>
      <c r="N939">
        <v>5</v>
      </c>
      <c r="O939">
        <v>3</v>
      </c>
      <c r="P939">
        <v>4</v>
      </c>
      <c r="Q939">
        <v>3</v>
      </c>
      <c r="R939">
        <v>4</v>
      </c>
      <c r="S939">
        <v>5</v>
      </c>
      <c r="T939">
        <v>4</v>
      </c>
      <c r="U939">
        <v>4</v>
      </c>
      <c r="V939">
        <v>3</v>
      </c>
      <c r="W939">
        <v>4</v>
      </c>
      <c r="X939">
        <v>3</v>
      </c>
      <c r="Y939">
        <v>3</v>
      </c>
      <c r="Z939">
        <v>4</v>
      </c>
      <c r="AA939">
        <v>3</v>
      </c>
      <c r="AB939">
        <v>3</v>
      </c>
      <c r="AC939">
        <v>4</v>
      </c>
      <c r="AD939">
        <v>5</v>
      </c>
      <c r="AE939">
        <v>4</v>
      </c>
      <c r="AF939">
        <v>2</v>
      </c>
      <c r="AG939">
        <v>4</v>
      </c>
      <c r="AH939">
        <v>2</v>
      </c>
      <c r="AI939">
        <v>4</v>
      </c>
      <c r="AJ939">
        <v>4</v>
      </c>
      <c r="AK939" t="b">
        <f>Table67[[#This Row],[What is your age?]]&lt;&gt;"18 - 25"</f>
        <v>0</v>
      </c>
      <c r="AL939" t="b">
        <f t="shared" si="56"/>
        <v>0</v>
      </c>
      <c r="AM939" t="b">
        <f t="shared" si="57"/>
        <v>0</v>
      </c>
      <c r="AN939" t="b">
        <f t="shared" si="58"/>
        <v>0</v>
      </c>
      <c r="AO939" t="b">
        <f>OR(Table67[[#This Row],[Ineligible respondents]:[Inconsistent response on opposite question (3)]])</f>
        <v>0</v>
      </c>
      <c r="AP93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939">
        <f>Table67[[#This Row],[Extreme Response]]/21</f>
        <v>0.14285714285714285</v>
      </c>
      <c r="AR939">
        <f>_xlfn.PERCENTILE.INC(Table67[Extrem Response Ratio (ERS)],0.9)</f>
        <v>0.61904761904761907</v>
      </c>
      <c r="AS939" t="b">
        <f>Table67[[#This Row],[Extrem Response Ratio (ERS)]]&gt;=Table67[[#This Row],[Threshold of ERS]]</f>
        <v>0</v>
      </c>
      <c r="AT939">
        <f>COUNTIF(Table67[[#This Row],[The mechanism of digital assets is difficult to understand, which discourages me from exploring it (E.g, Tokenization, Blockchain)]:[If I want to try different ways to invest, I will explore digital assets.]], 3)</f>
        <v>7</v>
      </c>
      <c r="AU939">
        <f>Table67[[#This Row],[Midpoint]]/21</f>
        <v>0.33333333333333331</v>
      </c>
      <c r="AV939">
        <f>_xlfn.PERCENTILE.INC(Table67[Midpoint ratio],0.9)</f>
        <v>0.5714285714285714</v>
      </c>
      <c r="AW939" t="b">
        <f>Table67[[#This Row],[Midpoint ratio]]&gt;=Table67[[#This Row],[Threshold of Midpoint ratio]]</f>
        <v>0</v>
      </c>
      <c r="AX939" t="b">
        <f>OR(Table67[[#This Row],[Extreme Response Style]],Table67[[#This Row],[Mid-point Response Style]])</f>
        <v>0</v>
      </c>
      <c r="AY939" t="b">
        <f>OR(Table67[[#This Row],[Delete? (Stage 1)]],Table67[[#This Row],[Delete? (Stage 2)]])</f>
        <v>0</v>
      </c>
      <c r="AZ939" t="s">
        <v>84</v>
      </c>
    </row>
    <row r="940" spans="1:52">
      <c r="A940">
        <f t="shared" si="59"/>
        <v>939</v>
      </c>
      <c r="B940" s="3">
        <v>46056.877615740697</v>
      </c>
      <c r="C940" s="3">
        <v>46056.882974537002</v>
      </c>
      <c r="D940" t="s">
        <v>53</v>
      </c>
      <c r="G940" t="s">
        <v>54</v>
      </c>
      <c r="H940" t="s">
        <v>55</v>
      </c>
      <c r="I940" t="s">
        <v>56</v>
      </c>
      <c r="J940" t="s">
        <v>62</v>
      </c>
      <c r="K940" t="s">
        <v>62</v>
      </c>
      <c r="L940" t="s">
        <v>58</v>
      </c>
      <c r="M940" t="s">
        <v>58</v>
      </c>
      <c r="N940">
        <v>4</v>
      </c>
      <c r="O940">
        <v>4</v>
      </c>
      <c r="P940">
        <v>3</v>
      </c>
      <c r="Q940">
        <v>3</v>
      </c>
      <c r="R940">
        <v>3</v>
      </c>
      <c r="S940">
        <v>4</v>
      </c>
      <c r="T940">
        <v>4</v>
      </c>
      <c r="U940">
        <v>4</v>
      </c>
      <c r="V940">
        <v>3</v>
      </c>
      <c r="W940">
        <v>3</v>
      </c>
      <c r="X940">
        <v>3</v>
      </c>
      <c r="Y940">
        <v>4</v>
      </c>
      <c r="Z940">
        <v>4</v>
      </c>
      <c r="AA940">
        <v>3</v>
      </c>
      <c r="AB940">
        <v>4</v>
      </c>
      <c r="AC940">
        <v>3</v>
      </c>
      <c r="AD940">
        <v>4</v>
      </c>
      <c r="AE940">
        <v>3</v>
      </c>
      <c r="AF940">
        <v>4</v>
      </c>
      <c r="AG940">
        <v>3</v>
      </c>
      <c r="AH940">
        <v>4</v>
      </c>
      <c r="AI940">
        <v>2</v>
      </c>
      <c r="AJ940">
        <v>2</v>
      </c>
      <c r="AK940" t="b">
        <f>Table67[[#This Row],[What is your age?]]&lt;&gt;"18 - 25"</f>
        <v>0</v>
      </c>
      <c r="AL940" t="b">
        <f t="shared" si="56"/>
        <v>0</v>
      </c>
      <c r="AM940" t="b">
        <f t="shared" si="57"/>
        <v>0</v>
      </c>
      <c r="AN940" t="b">
        <f t="shared" si="58"/>
        <v>1</v>
      </c>
      <c r="AO940" t="b">
        <f>OR(Table67[[#This Row],[Ineligible respondents]:[Inconsistent response on opposite question (3)]])</f>
        <v>1</v>
      </c>
      <c r="AP94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940">
        <f>Table67[[#This Row],[Extreme Response]]/21</f>
        <v>0</v>
      </c>
      <c r="AR940">
        <f>_xlfn.PERCENTILE.INC(Table67[Extrem Response Ratio (ERS)],0.9)</f>
        <v>0.61904761904761907</v>
      </c>
      <c r="AS940" t="b">
        <f>Table67[[#This Row],[Extrem Response Ratio (ERS)]]&gt;=Table67[[#This Row],[Threshold of ERS]]</f>
        <v>0</v>
      </c>
      <c r="AT940">
        <f>COUNTIF(Table67[[#This Row],[The mechanism of digital assets is difficult to understand, which discourages me from exploring it (E.g, Tokenization, Blockchain)]:[If I want to try different ways to invest, I will explore digital assets.]], 3)</f>
        <v>10</v>
      </c>
      <c r="AU940">
        <f>Table67[[#This Row],[Midpoint]]/21</f>
        <v>0.47619047619047616</v>
      </c>
      <c r="AV940">
        <f>_xlfn.PERCENTILE.INC(Table67[Midpoint ratio],0.9)</f>
        <v>0.5714285714285714</v>
      </c>
      <c r="AW940" t="b">
        <f>Table67[[#This Row],[Midpoint ratio]]&gt;=Table67[[#This Row],[Threshold of Midpoint ratio]]</f>
        <v>0</v>
      </c>
      <c r="AX940" t="b">
        <f>OR(Table67[[#This Row],[Extreme Response Style]],Table67[[#This Row],[Mid-point Response Style]])</f>
        <v>0</v>
      </c>
      <c r="AY940" t="b">
        <f>OR(Table67[[#This Row],[Delete? (Stage 1)]],Table67[[#This Row],[Delete? (Stage 2)]])</f>
        <v>1</v>
      </c>
      <c r="AZ940" t="s">
        <v>84</v>
      </c>
    </row>
    <row r="941" spans="1:52">
      <c r="A941">
        <f t="shared" si="59"/>
        <v>940</v>
      </c>
      <c r="B941" s="3">
        <v>46056.877615740697</v>
      </c>
      <c r="C941" s="3">
        <v>46056.883541666699</v>
      </c>
      <c r="D941" t="s">
        <v>53</v>
      </c>
      <c r="G941" t="s">
        <v>54</v>
      </c>
      <c r="H941" t="s">
        <v>55</v>
      </c>
      <c r="I941" t="s">
        <v>71</v>
      </c>
      <c r="J941" t="s">
        <v>62</v>
      </c>
      <c r="K941" t="s">
        <v>57</v>
      </c>
      <c r="L941" t="s">
        <v>58</v>
      </c>
      <c r="M941" t="s">
        <v>58</v>
      </c>
      <c r="N941">
        <v>5</v>
      </c>
      <c r="O941">
        <v>1</v>
      </c>
      <c r="P941">
        <v>3</v>
      </c>
      <c r="Q941">
        <v>2</v>
      </c>
      <c r="R941">
        <v>4</v>
      </c>
      <c r="S941">
        <v>4</v>
      </c>
      <c r="T941">
        <v>4</v>
      </c>
      <c r="U941">
        <v>4</v>
      </c>
      <c r="V941">
        <v>5</v>
      </c>
      <c r="W941">
        <v>3</v>
      </c>
      <c r="X941">
        <v>5</v>
      </c>
      <c r="Y941">
        <v>5</v>
      </c>
      <c r="Z941">
        <v>5</v>
      </c>
      <c r="AA941">
        <v>5</v>
      </c>
      <c r="AB941">
        <v>2</v>
      </c>
      <c r="AC941">
        <v>4</v>
      </c>
      <c r="AD941">
        <v>5</v>
      </c>
      <c r="AE941">
        <v>1</v>
      </c>
      <c r="AF941">
        <v>2</v>
      </c>
      <c r="AG941">
        <v>4</v>
      </c>
      <c r="AH941">
        <v>4</v>
      </c>
      <c r="AI941">
        <v>2</v>
      </c>
      <c r="AJ941">
        <v>4</v>
      </c>
      <c r="AK941" t="b">
        <f>Table67[[#This Row],[What is your age?]]&lt;&gt;"18 - 25"</f>
        <v>0</v>
      </c>
      <c r="AL941" t="b">
        <f t="shared" si="56"/>
        <v>0</v>
      </c>
      <c r="AM941" t="b">
        <f t="shared" si="57"/>
        <v>1</v>
      </c>
      <c r="AN941" t="b">
        <f t="shared" si="58"/>
        <v>0</v>
      </c>
      <c r="AO941" t="b">
        <f>OR(Table67[[#This Row],[Ineligible respondents]:[Inconsistent response on opposite question (3)]])</f>
        <v>1</v>
      </c>
      <c r="AP94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941">
        <f>Table67[[#This Row],[Extreme Response]]/21</f>
        <v>0.42857142857142855</v>
      </c>
      <c r="AR941">
        <f>_xlfn.PERCENTILE.INC(Table67[Extrem Response Ratio (ERS)],0.9)</f>
        <v>0.61904761904761907</v>
      </c>
      <c r="AS941" t="b">
        <f>Table67[[#This Row],[Extrem Response Ratio (ERS)]]&gt;=Table67[[#This Row],[Threshold of ERS]]</f>
        <v>0</v>
      </c>
      <c r="AT941">
        <f>COUNTIF(Table67[[#This Row],[The mechanism of digital assets is difficult to understand, which discourages me from exploring it (E.g, Tokenization, Blockchain)]:[If I want to try different ways to invest, I will explore digital assets.]], 3)</f>
        <v>2</v>
      </c>
      <c r="AU941">
        <f>Table67[[#This Row],[Midpoint]]/21</f>
        <v>9.5238095238095233E-2</v>
      </c>
      <c r="AV941">
        <f>_xlfn.PERCENTILE.INC(Table67[Midpoint ratio],0.9)</f>
        <v>0.5714285714285714</v>
      </c>
      <c r="AW941" t="b">
        <f>Table67[[#This Row],[Midpoint ratio]]&gt;=Table67[[#This Row],[Threshold of Midpoint ratio]]</f>
        <v>0</v>
      </c>
      <c r="AX941" t="b">
        <f>OR(Table67[[#This Row],[Extreme Response Style]],Table67[[#This Row],[Mid-point Response Style]])</f>
        <v>0</v>
      </c>
      <c r="AY941" t="b">
        <f>OR(Table67[[#This Row],[Delete? (Stage 1)]],Table67[[#This Row],[Delete? (Stage 2)]])</f>
        <v>1</v>
      </c>
      <c r="AZ941" t="s">
        <v>84</v>
      </c>
    </row>
    <row r="942" spans="1:52">
      <c r="A942">
        <f t="shared" si="59"/>
        <v>941</v>
      </c>
      <c r="B942" s="3">
        <v>46056.877708333297</v>
      </c>
      <c r="C942" s="3">
        <v>46056.888761574097</v>
      </c>
      <c r="D942" t="s">
        <v>53</v>
      </c>
      <c r="G942" t="s">
        <v>54</v>
      </c>
      <c r="H942" t="s">
        <v>55</v>
      </c>
      <c r="I942" t="s">
        <v>56</v>
      </c>
      <c r="J942" t="s">
        <v>62</v>
      </c>
      <c r="K942" t="s">
        <v>62</v>
      </c>
      <c r="L942" t="s">
        <v>58</v>
      </c>
      <c r="M942" t="s">
        <v>58</v>
      </c>
      <c r="N942">
        <v>4</v>
      </c>
      <c r="O942">
        <v>3</v>
      </c>
      <c r="P942">
        <v>3</v>
      </c>
      <c r="Q942">
        <v>3</v>
      </c>
      <c r="R942">
        <v>3</v>
      </c>
      <c r="S942">
        <v>4</v>
      </c>
      <c r="T942">
        <v>2</v>
      </c>
      <c r="U942">
        <v>4</v>
      </c>
      <c r="V942">
        <v>3</v>
      </c>
      <c r="W942">
        <v>3</v>
      </c>
      <c r="X942">
        <v>3</v>
      </c>
      <c r="Y942">
        <v>2</v>
      </c>
      <c r="Z942">
        <v>4</v>
      </c>
      <c r="AA942">
        <v>3</v>
      </c>
      <c r="AB942">
        <v>2</v>
      </c>
      <c r="AC942">
        <v>4</v>
      </c>
      <c r="AD942">
        <v>3</v>
      </c>
      <c r="AE942">
        <v>2</v>
      </c>
      <c r="AF942">
        <v>4</v>
      </c>
      <c r="AG942">
        <v>4</v>
      </c>
      <c r="AH942">
        <v>3</v>
      </c>
      <c r="AI942">
        <v>3</v>
      </c>
      <c r="AJ942">
        <v>2</v>
      </c>
      <c r="AK942" t="b">
        <f>Table67[[#This Row],[What is your age?]]&lt;&gt;"18 - 25"</f>
        <v>0</v>
      </c>
      <c r="AL942" t="b">
        <f t="shared" si="56"/>
        <v>0</v>
      </c>
      <c r="AM942" t="b">
        <f t="shared" si="57"/>
        <v>0</v>
      </c>
      <c r="AN942" t="b">
        <f t="shared" si="58"/>
        <v>1</v>
      </c>
      <c r="AO942" t="b">
        <f>OR(Table67[[#This Row],[Ineligible respondents]:[Inconsistent response on opposite question (3)]])</f>
        <v>1</v>
      </c>
      <c r="AP94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942">
        <f>Table67[[#This Row],[Extreme Response]]/21</f>
        <v>0</v>
      </c>
      <c r="AR942">
        <f>_xlfn.PERCENTILE.INC(Table67[Extrem Response Ratio (ERS)],0.9)</f>
        <v>0.61904761904761907</v>
      </c>
      <c r="AS942" t="b">
        <f>Table67[[#This Row],[Extrem Response Ratio (ERS)]]&gt;=Table67[[#This Row],[Threshold of ERS]]</f>
        <v>0</v>
      </c>
      <c r="AT942">
        <f>COUNTIF(Table67[[#This Row],[The mechanism of digital assets is difficult to understand, which discourages me from exploring it (E.g, Tokenization, Blockchain)]:[If I want to try different ways to invest, I will explore digital assets.]], 3)</f>
        <v>10</v>
      </c>
      <c r="AU942">
        <f>Table67[[#This Row],[Midpoint]]/21</f>
        <v>0.47619047619047616</v>
      </c>
      <c r="AV942">
        <f>_xlfn.PERCENTILE.INC(Table67[Midpoint ratio],0.9)</f>
        <v>0.5714285714285714</v>
      </c>
      <c r="AW942" t="b">
        <f>Table67[[#This Row],[Midpoint ratio]]&gt;=Table67[[#This Row],[Threshold of Midpoint ratio]]</f>
        <v>0</v>
      </c>
      <c r="AX942" t="b">
        <f>OR(Table67[[#This Row],[Extreme Response Style]],Table67[[#This Row],[Mid-point Response Style]])</f>
        <v>0</v>
      </c>
      <c r="AY942" t="b">
        <f>OR(Table67[[#This Row],[Delete? (Stage 1)]],Table67[[#This Row],[Delete? (Stage 2)]])</f>
        <v>1</v>
      </c>
      <c r="AZ942" t="s">
        <v>84</v>
      </c>
    </row>
    <row r="943" spans="1:52">
      <c r="A943">
        <f t="shared" si="59"/>
        <v>942</v>
      </c>
      <c r="B943" s="3">
        <v>46056.877835648098</v>
      </c>
      <c r="C943" s="3">
        <v>46056.893958333298</v>
      </c>
      <c r="D943" t="s">
        <v>53</v>
      </c>
      <c r="G943" t="s">
        <v>54</v>
      </c>
      <c r="H943" t="s">
        <v>63</v>
      </c>
      <c r="I943" t="s">
        <v>71</v>
      </c>
      <c r="J943" t="s">
        <v>64</v>
      </c>
      <c r="K943" t="s">
        <v>62</v>
      </c>
      <c r="L943" t="s">
        <v>58</v>
      </c>
      <c r="M943" t="s">
        <v>58</v>
      </c>
      <c r="N943">
        <v>3</v>
      </c>
      <c r="O943">
        <v>4</v>
      </c>
      <c r="P943">
        <v>4</v>
      </c>
      <c r="Q943">
        <v>3</v>
      </c>
      <c r="R943">
        <v>3</v>
      </c>
      <c r="S943">
        <v>3</v>
      </c>
      <c r="T943">
        <v>4</v>
      </c>
      <c r="U943">
        <v>4</v>
      </c>
      <c r="V943">
        <v>5</v>
      </c>
      <c r="W943">
        <v>5</v>
      </c>
      <c r="X943">
        <v>3</v>
      </c>
      <c r="Y943">
        <v>3</v>
      </c>
      <c r="Z943">
        <v>4</v>
      </c>
      <c r="AA943">
        <v>3</v>
      </c>
      <c r="AB943">
        <v>3</v>
      </c>
      <c r="AC943">
        <v>4</v>
      </c>
      <c r="AD943">
        <v>4</v>
      </c>
      <c r="AE943">
        <v>2</v>
      </c>
      <c r="AF943">
        <v>3</v>
      </c>
      <c r="AG943">
        <v>3</v>
      </c>
      <c r="AH943">
        <v>3</v>
      </c>
      <c r="AI943">
        <v>3</v>
      </c>
      <c r="AJ943">
        <v>3</v>
      </c>
      <c r="AK943" t="b">
        <f>Table67[[#This Row],[What is your age?]]&lt;&gt;"18 - 25"</f>
        <v>0</v>
      </c>
      <c r="AL943" t="b">
        <f t="shared" si="56"/>
        <v>0</v>
      </c>
      <c r="AM943" t="b">
        <f t="shared" si="57"/>
        <v>0</v>
      </c>
      <c r="AN943" t="b">
        <f t="shared" si="58"/>
        <v>0</v>
      </c>
      <c r="AO943" t="b">
        <f>OR(Table67[[#This Row],[Ineligible respondents]:[Inconsistent response on opposite question (3)]])</f>
        <v>0</v>
      </c>
      <c r="AP94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943">
        <f>Table67[[#This Row],[Extreme Response]]/21</f>
        <v>9.5238095238095233E-2</v>
      </c>
      <c r="AR943">
        <f>_xlfn.PERCENTILE.INC(Table67[Extrem Response Ratio (ERS)],0.9)</f>
        <v>0.61904761904761907</v>
      </c>
      <c r="AS943" t="b">
        <f>Table67[[#This Row],[Extrem Response Ratio (ERS)]]&gt;=Table67[[#This Row],[Threshold of ERS]]</f>
        <v>0</v>
      </c>
      <c r="AT943">
        <f>COUNTIF(Table67[[#This Row],[The mechanism of digital assets is difficult to understand, which discourages me from exploring it (E.g, Tokenization, Blockchain)]:[If I want to try different ways to invest, I will explore digital assets.]], 3)</f>
        <v>11</v>
      </c>
      <c r="AU943">
        <f>Table67[[#This Row],[Midpoint]]/21</f>
        <v>0.52380952380952384</v>
      </c>
      <c r="AV943">
        <f>_xlfn.PERCENTILE.INC(Table67[Midpoint ratio],0.9)</f>
        <v>0.5714285714285714</v>
      </c>
      <c r="AW943" t="b">
        <f>Table67[[#This Row],[Midpoint ratio]]&gt;=Table67[[#This Row],[Threshold of Midpoint ratio]]</f>
        <v>0</v>
      </c>
      <c r="AX943" t="b">
        <f>OR(Table67[[#This Row],[Extreme Response Style]],Table67[[#This Row],[Mid-point Response Style]])</f>
        <v>0</v>
      </c>
      <c r="AY943" t="b">
        <f>OR(Table67[[#This Row],[Delete? (Stage 1)]],Table67[[#This Row],[Delete? (Stage 2)]])</f>
        <v>0</v>
      </c>
      <c r="AZ943" t="s">
        <v>84</v>
      </c>
    </row>
    <row r="944" spans="1:52">
      <c r="A944">
        <f t="shared" si="59"/>
        <v>943</v>
      </c>
      <c r="B944" s="3">
        <v>46056.877847222197</v>
      </c>
      <c r="C944" s="3">
        <v>46056.882060185198</v>
      </c>
      <c r="D944" t="s">
        <v>53</v>
      </c>
      <c r="G944" t="s">
        <v>54</v>
      </c>
      <c r="H944" t="s">
        <v>55</v>
      </c>
      <c r="I944" t="s">
        <v>71</v>
      </c>
      <c r="J944" t="s">
        <v>62</v>
      </c>
      <c r="K944" t="s">
        <v>62</v>
      </c>
      <c r="L944" t="s">
        <v>58</v>
      </c>
      <c r="M944" t="s">
        <v>58</v>
      </c>
      <c r="N944">
        <v>1</v>
      </c>
      <c r="O944">
        <v>1</v>
      </c>
      <c r="P944">
        <v>5</v>
      </c>
      <c r="Q944">
        <v>5</v>
      </c>
      <c r="R944">
        <v>5</v>
      </c>
      <c r="S944">
        <v>5</v>
      </c>
      <c r="T944">
        <v>5</v>
      </c>
      <c r="U944">
        <v>5</v>
      </c>
      <c r="V944">
        <v>2</v>
      </c>
      <c r="W944">
        <v>4</v>
      </c>
      <c r="X944">
        <v>5</v>
      </c>
      <c r="Y944">
        <v>2</v>
      </c>
      <c r="Z944">
        <v>5</v>
      </c>
      <c r="AA944">
        <v>3</v>
      </c>
      <c r="AB944">
        <v>3</v>
      </c>
      <c r="AC944">
        <v>5</v>
      </c>
      <c r="AD944">
        <v>5</v>
      </c>
      <c r="AE944">
        <v>4</v>
      </c>
      <c r="AF944">
        <v>1</v>
      </c>
      <c r="AG944">
        <v>5</v>
      </c>
      <c r="AH944">
        <v>1</v>
      </c>
      <c r="AI944">
        <v>5</v>
      </c>
      <c r="AJ944">
        <v>5</v>
      </c>
      <c r="AK944" t="b">
        <f>Table67[[#This Row],[What is your age?]]&lt;&gt;"18 - 25"</f>
        <v>0</v>
      </c>
      <c r="AL944" t="b">
        <f t="shared" si="56"/>
        <v>0</v>
      </c>
      <c r="AM944" t="b">
        <f t="shared" si="57"/>
        <v>0</v>
      </c>
      <c r="AN944" t="b">
        <f t="shared" si="58"/>
        <v>0</v>
      </c>
      <c r="AO944" t="b">
        <f>OR(Table67[[#This Row],[Ineligible respondents]:[Inconsistent response on opposite question (3)]])</f>
        <v>0</v>
      </c>
      <c r="AP94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944">
        <f>Table67[[#This Row],[Extreme Response]]/21</f>
        <v>0.7142857142857143</v>
      </c>
      <c r="AR944">
        <f>_xlfn.PERCENTILE.INC(Table67[Extrem Response Ratio (ERS)],0.9)</f>
        <v>0.61904761904761907</v>
      </c>
      <c r="AS944" t="b">
        <f>Table67[[#This Row],[Extrem Response Ratio (ERS)]]&gt;=Table67[[#This Row],[Threshold of ERS]]</f>
        <v>1</v>
      </c>
      <c r="AT944">
        <f>COUNTIF(Table67[[#This Row],[The mechanism of digital assets is difficult to understand, which discourages me from exploring it (E.g, Tokenization, Blockchain)]:[If I want to try different ways to invest, I will explore digital assets.]], 3)</f>
        <v>2</v>
      </c>
      <c r="AU944">
        <f>Table67[[#This Row],[Midpoint]]/21</f>
        <v>9.5238095238095233E-2</v>
      </c>
      <c r="AV944">
        <f>_xlfn.PERCENTILE.INC(Table67[Midpoint ratio],0.9)</f>
        <v>0.5714285714285714</v>
      </c>
      <c r="AW944" t="b">
        <f>Table67[[#This Row],[Midpoint ratio]]&gt;=Table67[[#This Row],[Threshold of Midpoint ratio]]</f>
        <v>0</v>
      </c>
      <c r="AX944" t="b">
        <f>OR(Table67[[#This Row],[Extreme Response Style]],Table67[[#This Row],[Mid-point Response Style]])</f>
        <v>1</v>
      </c>
      <c r="AY944" t="b">
        <f>OR(Table67[[#This Row],[Delete? (Stage 1)]],Table67[[#This Row],[Delete? (Stage 2)]])</f>
        <v>1</v>
      </c>
      <c r="AZ944" t="s">
        <v>84</v>
      </c>
    </row>
    <row r="945" spans="1:52">
      <c r="A945">
        <f t="shared" si="59"/>
        <v>944</v>
      </c>
      <c r="B945" s="3">
        <v>46056.877870370401</v>
      </c>
      <c r="C945" s="3">
        <v>46056.880231481497</v>
      </c>
      <c r="D945" t="s">
        <v>53</v>
      </c>
      <c r="G945" t="s">
        <v>73</v>
      </c>
      <c r="H945" t="s">
        <v>55</v>
      </c>
      <c r="I945" t="s">
        <v>56</v>
      </c>
      <c r="J945" t="s">
        <v>65</v>
      </c>
      <c r="K945" t="s">
        <v>65</v>
      </c>
      <c r="L945" t="s">
        <v>61</v>
      </c>
      <c r="M945" t="s">
        <v>61</v>
      </c>
      <c r="N945">
        <v>4</v>
      </c>
      <c r="O945">
        <v>3</v>
      </c>
      <c r="P945">
        <v>3</v>
      </c>
      <c r="Q945">
        <v>4</v>
      </c>
      <c r="R945">
        <v>3</v>
      </c>
      <c r="S945">
        <v>5</v>
      </c>
      <c r="T945">
        <v>3</v>
      </c>
      <c r="U945">
        <v>3</v>
      </c>
      <c r="V945">
        <v>4</v>
      </c>
      <c r="W945">
        <v>3</v>
      </c>
      <c r="X945">
        <v>3</v>
      </c>
      <c r="Y945">
        <v>4</v>
      </c>
      <c r="Z945">
        <v>3</v>
      </c>
      <c r="AA945">
        <v>4</v>
      </c>
      <c r="AB945">
        <v>5</v>
      </c>
      <c r="AC945">
        <v>3</v>
      </c>
      <c r="AD945">
        <v>3</v>
      </c>
      <c r="AE945">
        <v>5</v>
      </c>
      <c r="AF945">
        <v>4</v>
      </c>
      <c r="AG945">
        <v>3</v>
      </c>
      <c r="AH945">
        <v>4</v>
      </c>
      <c r="AI945">
        <v>2</v>
      </c>
      <c r="AJ945">
        <v>2</v>
      </c>
      <c r="AK945" t="b">
        <f>Table67[[#This Row],[What is your age?]]&lt;&gt;"18 - 25"</f>
        <v>1</v>
      </c>
      <c r="AL945" t="b">
        <f t="shared" si="56"/>
        <v>0</v>
      </c>
      <c r="AM945" t="b">
        <f t="shared" si="57"/>
        <v>0</v>
      </c>
      <c r="AN945" t="b">
        <f t="shared" si="58"/>
        <v>1</v>
      </c>
      <c r="AO945" t="b">
        <f>OR(Table67[[#This Row],[Ineligible respondents]:[Inconsistent response on opposite question (3)]])</f>
        <v>1</v>
      </c>
      <c r="AP94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945">
        <f>Table67[[#This Row],[Extreme Response]]/21</f>
        <v>0.14285714285714285</v>
      </c>
      <c r="AR945">
        <f>_xlfn.PERCENTILE.INC(Table67[Extrem Response Ratio (ERS)],0.9)</f>
        <v>0.61904761904761907</v>
      </c>
      <c r="AS945" t="b">
        <f>Table67[[#This Row],[Extrem Response Ratio (ERS)]]&gt;=Table67[[#This Row],[Threshold of ERS]]</f>
        <v>0</v>
      </c>
      <c r="AT945">
        <f>COUNTIF(Table67[[#This Row],[The mechanism of digital assets is difficult to understand, which discourages me from exploring it (E.g, Tokenization, Blockchain)]:[If I want to try different ways to invest, I will explore digital assets.]], 3)</f>
        <v>11</v>
      </c>
      <c r="AU945">
        <f>Table67[[#This Row],[Midpoint]]/21</f>
        <v>0.52380952380952384</v>
      </c>
      <c r="AV945">
        <f>_xlfn.PERCENTILE.INC(Table67[Midpoint ratio],0.9)</f>
        <v>0.5714285714285714</v>
      </c>
      <c r="AW945" t="b">
        <f>Table67[[#This Row],[Midpoint ratio]]&gt;=Table67[[#This Row],[Threshold of Midpoint ratio]]</f>
        <v>0</v>
      </c>
      <c r="AX945" t="b">
        <f>OR(Table67[[#This Row],[Extreme Response Style]],Table67[[#This Row],[Mid-point Response Style]])</f>
        <v>0</v>
      </c>
      <c r="AY945" t="b">
        <f>OR(Table67[[#This Row],[Delete? (Stage 1)]],Table67[[#This Row],[Delete? (Stage 2)]])</f>
        <v>1</v>
      </c>
      <c r="AZ945" t="s">
        <v>84</v>
      </c>
    </row>
    <row r="946" spans="1:52">
      <c r="A946">
        <f t="shared" si="59"/>
        <v>945</v>
      </c>
      <c r="B946" s="3">
        <v>46056.877939814804</v>
      </c>
      <c r="C946" s="3">
        <v>46056.881354166697</v>
      </c>
      <c r="D946" t="s">
        <v>53</v>
      </c>
      <c r="G946" t="s">
        <v>54</v>
      </c>
      <c r="H946" t="s">
        <v>55</v>
      </c>
      <c r="I946" t="s">
        <v>71</v>
      </c>
      <c r="J946" t="s">
        <v>57</v>
      </c>
      <c r="K946" t="s">
        <v>57</v>
      </c>
      <c r="L946" t="s">
        <v>58</v>
      </c>
      <c r="M946" t="s">
        <v>58</v>
      </c>
      <c r="N946">
        <v>4</v>
      </c>
      <c r="O946">
        <v>5</v>
      </c>
      <c r="P946">
        <v>3</v>
      </c>
      <c r="Q946">
        <v>5</v>
      </c>
      <c r="R946">
        <v>5</v>
      </c>
      <c r="S946">
        <v>5</v>
      </c>
      <c r="T946">
        <v>3</v>
      </c>
      <c r="U946">
        <v>1</v>
      </c>
      <c r="V946">
        <v>5</v>
      </c>
      <c r="W946">
        <v>5</v>
      </c>
      <c r="X946">
        <v>3</v>
      </c>
      <c r="Y946">
        <v>5</v>
      </c>
      <c r="Z946">
        <v>5</v>
      </c>
      <c r="AA946">
        <v>5</v>
      </c>
      <c r="AB946">
        <v>4</v>
      </c>
      <c r="AC946">
        <v>5</v>
      </c>
      <c r="AD946">
        <v>4</v>
      </c>
      <c r="AE946">
        <v>4</v>
      </c>
      <c r="AF946">
        <v>3</v>
      </c>
      <c r="AG946">
        <v>4</v>
      </c>
      <c r="AH946">
        <v>3</v>
      </c>
      <c r="AI946">
        <v>3</v>
      </c>
      <c r="AJ946">
        <v>3</v>
      </c>
      <c r="AK946" t="b">
        <f>Table67[[#This Row],[What is your age?]]&lt;&gt;"18 - 25"</f>
        <v>0</v>
      </c>
      <c r="AL946" t="b">
        <f t="shared" si="56"/>
        <v>0</v>
      </c>
      <c r="AM946" t="b">
        <f t="shared" si="57"/>
        <v>0</v>
      </c>
      <c r="AN946" t="b">
        <f t="shared" si="58"/>
        <v>1</v>
      </c>
      <c r="AO946" t="b">
        <f>OR(Table67[[#This Row],[Ineligible respondents]:[Inconsistent response on opposite question (3)]])</f>
        <v>1</v>
      </c>
      <c r="AP94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946">
        <f>Table67[[#This Row],[Extreme Response]]/21</f>
        <v>0.52380952380952384</v>
      </c>
      <c r="AR946">
        <f>_xlfn.PERCENTILE.INC(Table67[Extrem Response Ratio (ERS)],0.9)</f>
        <v>0.61904761904761907</v>
      </c>
      <c r="AS946" t="b">
        <f>Table67[[#This Row],[Extrem Response Ratio (ERS)]]&gt;=Table67[[#This Row],[Threshold of ERS]]</f>
        <v>0</v>
      </c>
      <c r="AT946">
        <f>COUNTIF(Table67[[#This Row],[The mechanism of digital assets is difficult to understand, which discourages me from exploring it (E.g, Tokenization, Blockchain)]:[If I want to try different ways to invest, I will explore digital assets.]], 3)</f>
        <v>5</v>
      </c>
      <c r="AU946">
        <f>Table67[[#This Row],[Midpoint]]/21</f>
        <v>0.23809523809523808</v>
      </c>
      <c r="AV946">
        <f>_xlfn.PERCENTILE.INC(Table67[Midpoint ratio],0.9)</f>
        <v>0.5714285714285714</v>
      </c>
      <c r="AW946" t="b">
        <f>Table67[[#This Row],[Midpoint ratio]]&gt;=Table67[[#This Row],[Threshold of Midpoint ratio]]</f>
        <v>0</v>
      </c>
      <c r="AX946" t="b">
        <f>OR(Table67[[#This Row],[Extreme Response Style]],Table67[[#This Row],[Mid-point Response Style]])</f>
        <v>0</v>
      </c>
      <c r="AY946" t="b">
        <f>OR(Table67[[#This Row],[Delete? (Stage 1)]],Table67[[#This Row],[Delete? (Stage 2)]])</f>
        <v>1</v>
      </c>
      <c r="AZ946" t="s">
        <v>84</v>
      </c>
    </row>
    <row r="947" spans="1:52">
      <c r="A947">
        <f t="shared" si="59"/>
        <v>946</v>
      </c>
      <c r="B947" s="3">
        <v>46056.877974536997</v>
      </c>
      <c r="C947" s="3">
        <v>46056.8797569444</v>
      </c>
      <c r="D947" t="s">
        <v>53</v>
      </c>
      <c r="G947" t="s">
        <v>54</v>
      </c>
      <c r="H947" t="s">
        <v>55</v>
      </c>
      <c r="I947" t="s">
        <v>75</v>
      </c>
      <c r="J947" t="s">
        <v>62</v>
      </c>
      <c r="K947" t="s">
        <v>57</v>
      </c>
      <c r="L947" t="s">
        <v>58</v>
      </c>
      <c r="M947" t="s">
        <v>58</v>
      </c>
      <c r="N947">
        <v>3</v>
      </c>
      <c r="O947">
        <v>3</v>
      </c>
      <c r="P947">
        <v>3</v>
      </c>
      <c r="Q947">
        <v>3</v>
      </c>
      <c r="R947">
        <v>4</v>
      </c>
      <c r="S947">
        <v>4</v>
      </c>
      <c r="T947">
        <v>2</v>
      </c>
      <c r="U947">
        <v>4</v>
      </c>
      <c r="V947">
        <v>4</v>
      </c>
      <c r="W947">
        <v>4</v>
      </c>
      <c r="X947">
        <v>4</v>
      </c>
      <c r="Y947">
        <v>4</v>
      </c>
      <c r="Z947">
        <v>4</v>
      </c>
      <c r="AA947">
        <v>4</v>
      </c>
      <c r="AB947">
        <v>4</v>
      </c>
      <c r="AC947">
        <v>4</v>
      </c>
      <c r="AD947">
        <v>4</v>
      </c>
      <c r="AE947">
        <v>2</v>
      </c>
      <c r="AF947">
        <v>2</v>
      </c>
      <c r="AG947">
        <v>2</v>
      </c>
      <c r="AH947">
        <v>2</v>
      </c>
      <c r="AI947">
        <v>4</v>
      </c>
      <c r="AJ947">
        <v>4</v>
      </c>
      <c r="AK947" t="b">
        <f>Table67[[#This Row],[What is your age?]]&lt;&gt;"18 - 25"</f>
        <v>0</v>
      </c>
      <c r="AL947" t="b">
        <f t="shared" si="56"/>
        <v>0</v>
      </c>
      <c r="AM947" t="b">
        <f t="shared" si="57"/>
        <v>1</v>
      </c>
      <c r="AN947" t="b">
        <f t="shared" si="58"/>
        <v>0</v>
      </c>
      <c r="AO947" t="b">
        <f>OR(Table67[[#This Row],[Ineligible respondents]:[Inconsistent response on opposite question (3)]])</f>
        <v>1</v>
      </c>
      <c r="AP94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947">
        <f>Table67[[#This Row],[Extreme Response]]/21</f>
        <v>0</v>
      </c>
      <c r="AR947">
        <f>_xlfn.PERCENTILE.INC(Table67[Extrem Response Ratio (ERS)],0.9)</f>
        <v>0.61904761904761907</v>
      </c>
      <c r="AS947" t="b">
        <f>Table67[[#This Row],[Extrem Response Ratio (ERS)]]&gt;=Table67[[#This Row],[Threshold of ERS]]</f>
        <v>0</v>
      </c>
      <c r="AT947">
        <f>COUNTIF(Table67[[#This Row],[The mechanism of digital assets is difficult to understand, which discourages me from exploring it (E.g, Tokenization, Blockchain)]:[If I want to try different ways to invest, I will explore digital assets.]], 3)</f>
        <v>4</v>
      </c>
      <c r="AU947">
        <f>Table67[[#This Row],[Midpoint]]/21</f>
        <v>0.19047619047619047</v>
      </c>
      <c r="AV947">
        <f>_xlfn.PERCENTILE.INC(Table67[Midpoint ratio],0.9)</f>
        <v>0.5714285714285714</v>
      </c>
      <c r="AW947" t="b">
        <f>Table67[[#This Row],[Midpoint ratio]]&gt;=Table67[[#This Row],[Threshold of Midpoint ratio]]</f>
        <v>0</v>
      </c>
      <c r="AX947" t="b">
        <f>OR(Table67[[#This Row],[Extreme Response Style]],Table67[[#This Row],[Mid-point Response Style]])</f>
        <v>0</v>
      </c>
      <c r="AY947" t="b">
        <f>OR(Table67[[#This Row],[Delete? (Stage 1)]],Table67[[#This Row],[Delete? (Stage 2)]])</f>
        <v>1</v>
      </c>
      <c r="AZ947" t="s">
        <v>84</v>
      </c>
    </row>
    <row r="948" spans="1:52">
      <c r="A948">
        <f t="shared" si="59"/>
        <v>947</v>
      </c>
      <c r="B948" s="3">
        <v>46056.877974536997</v>
      </c>
      <c r="C948" s="3">
        <v>46056.8811921296</v>
      </c>
      <c r="D948" t="s">
        <v>53</v>
      </c>
      <c r="G948" t="s">
        <v>54</v>
      </c>
      <c r="H948" t="s">
        <v>63</v>
      </c>
      <c r="I948" t="s">
        <v>56</v>
      </c>
      <c r="J948" t="s">
        <v>60</v>
      </c>
      <c r="K948" t="s">
        <v>57</v>
      </c>
      <c r="L948" t="s">
        <v>58</v>
      </c>
      <c r="M948" t="s">
        <v>58</v>
      </c>
      <c r="N948">
        <v>4</v>
      </c>
      <c r="O948">
        <v>3</v>
      </c>
      <c r="P948">
        <v>2</v>
      </c>
      <c r="Q948">
        <v>3</v>
      </c>
      <c r="R948">
        <v>3</v>
      </c>
      <c r="S948">
        <v>3</v>
      </c>
      <c r="T948">
        <v>4</v>
      </c>
      <c r="U948">
        <v>4</v>
      </c>
      <c r="V948">
        <v>3</v>
      </c>
      <c r="W948">
        <v>3</v>
      </c>
      <c r="X948">
        <v>3</v>
      </c>
      <c r="Y948">
        <v>3</v>
      </c>
      <c r="Z948">
        <v>3</v>
      </c>
      <c r="AA948">
        <v>3</v>
      </c>
      <c r="AB948">
        <v>4</v>
      </c>
      <c r="AC948">
        <v>4</v>
      </c>
      <c r="AD948">
        <v>4</v>
      </c>
      <c r="AE948">
        <v>4</v>
      </c>
      <c r="AF948">
        <v>3</v>
      </c>
      <c r="AG948">
        <v>3</v>
      </c>
      <c r="AH948">
        <v>3</v>
      </c>
      <c r="AI948">
        <v>3</v>
      </c>
      <c r="AJ948">
        <v>3</v>
      </c>
      <c r="AK948" t="b">
        <f>Table67[[#This Row],[What is your age?]]&lt;&gt;"18 - 25"</f>
        <v>0</v>
      </c>
      <c r="AL948" t="b">
        <f t="shared" si="56"/>
        <v>0</v>
      </c>
      <c r="AM948" t="b">
        <f t="shared" si="57"/>
        <v>0</v>
      </c>
      <c r="AN948" t="b">
        <f t="shared" si="58"/>
        <v>0</v>
      </c>
      <c r="AO948" t="b">
        <f>OR(Table67[[#This Row],[Ineligible respondents]:[Inconsistent response on opposite question (3)]])</f>
        <v>0</v>
      </c>
      <c r="AP94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948">
        <f>Table67[[#This Row],[Extreme Response]]/21</f>
        <v>0</v>
      </c>
      <c r="AR948">
        <f>_xlfn.PERCENTILE.INC(Table67[Extrem Response Ratio (ERS)],0.9)</f>
        <v>0.61904761904761907</v>
      </c>
      <c r="AS948" t="b">
        <f>Table67[[#This Row],[Extrem Response Ratio (ERS)]]&gt;=Table67[[#This Row],[Threshold of ERS]]</f>
        <v>0</v>
      </c>
      <c r="AT948">
        <f>COUNTIF(Table67[[#This Row],[The mechanism of digital assets is difficult to understand, which discourages me from exploring it (E.g, Tokenization, Blockchain)]:[If I want to try different ways to invest, I will explore digital assets.]], 3)</f>
        <v>13</v>
      </c>
      <c r="AU948">
        <f>Table67[[#This Row],[Midpoint]]/21</f>
        <v>0.61904761904761907</v>
      </c>
      <c r="AV948">
        <f>_xlfn.PERCENTILE.INC(Table67[Midpoint ratio],0.9)</f>
        <v>0.5714285714285714</v>
      </c>
      <c r="AW948" t="b">
        <f>Table67[[#This Row],[Midpoint ratio]]&gt;=Table67[[#This Row],[Threshold of Midpoint ratio]]</f>
        <v>1</v>
      </c>
      <c r="AX948" t="b">
        <f>OR(Table67[[#This Row],[Extreme Response Style]],Table67[[#This Row],[Mid-point Response Style]])</f>
        <v>1</v>
      </c>
      <c r="AY948" t="b">
        <f>OR(Table67[[#This Row],[Delete? (Stage 1)]],Table67[[#This Row],[Delete? (Stage 2)]])</f>
        <v>1</v>
      </c>
      <c r="AZ948" t="s">
        <v>84</v>
      </c>
    </row>
    <row r="949" spans="1:52">
      <c r="A949">
        <f t="shared" si="59"/>
        <v>948</v>
      </c>
      <c r="B949" s="3">
        <v>46056.878078703703</v>
      </c>
      <c r="C949" s="3">
        <v>46056.885289351798</v>
      </c>
      <c r="D949" t="s">
        <v>53</v>
      </c>
      <c r="G949" t="s">
        <v>54</v>
      </c>
      <c r="H949" t="s">
        <v>63</v>
      </c>
      <c r="I949" t="s">
        <v>56</v>
      </c>
      <c r="J949" t="s">
        <v>62</v>
      </c>
      <c r="K949" t="s">
        <v>62</v>
      </c>
      <c r="L949" t="s">
        <v>58</v>
      </c>
      <c r="M949" t="s">
        <v>61</v>
      </c>
      <c r="N949">
        <v>4</v>
      </c>
      <c r="O949">
        <v>4</v>
      </c>
      <c r="P949">
        <v>3</v>
      </c>
      <c r="Q949">
        <v>2</v>
      </c>
      <c r="R949">
        <v>3</v>
      </c>
      <c r="S949">
        <v>4</v>
      </c>
      <c r="T949">
        <v>4</v>
      </c>
      <c r="U949">
        <v>1</v>
      </c>
      <c r="V949">
        <v>1</v>
      </c>
      <c r="W949">
        <v>2</v>
      </c>
      <c r="X949">
        <v>4</v>
      </c>
      <c r="Y949">
        <v>4</v>
      </c>
      <c r="Z949">
        <v>3</v>
      </c>
      <c r="AA949">
        <v>4</v>
      </c>
      <c r="AB949">
        <v>4</v>
      </c>
      <c r="AC949">
        <v>4</v>
      </c>
      <c r="AD949">
        <v>4</v>
      </c>
      <c r="AE949">
        <v>3</v>
      </c>
      <c r="AF949">
        <v>5</v>
      </c>
      <c r="AG949">
        <v>3</v>
      </c>
      <c r="AH949">
        <v>5</v>
      </c>
      <c r="AI949">
        <v>1</v>
      </c>
      <c r="AJ949">
        <v>1</v>
      </c>
      <c r="AK949" t="b">
        <f>Table67[[#This Row],[What is your age?]]&lt;&gt;"18 - 25"</f>
        <v>0</v>
      </c>
      <c r="AL949" t="b">
        <f t="shared" si="56"/>
        <v>0</v>
      </c>
      <c r="AM949" t="b">
        <f t="shared" si="57"/>
        <v>0</v>
      </c>
      <c r="AN949" t="b">
        <f t="shared" si="58"/>
        <v>1</v>
      </c>
      <c r="AO949" t="b">
        <f>OR(Table67[[#This Row],[Ineligible respondents]:[Inconsistent response on opposite question (3)]])</f>
        <v>1</v>
      </c>
      <c r="AP94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949">
        <f>Table67[[#This Row],[Extreme Response]]/21</f>
        <v>0.19047619047619047</v>
      </c>
      <c r="AR949">
        <f>_xlfn.PERCENTILE.INC(Table67[Extrem Response Ratio (ERS)],0.9)</f>
        <v>0.61904761904761907</v>
      </c>
      <c r="AS949" t="b">
        <f>Table67[[#This Row],[Extrem Response Ratio (ERS)]]&gt;=Table67[[#This Row],[Threshold of ERS]]</f>
        <v>0</v>
      </c>
      <c r="AT949">
        <f>COUNTIF(Table67[[#This Row],[The mechanism of digital assets is difficult to understand, which discourages me from exploring it (E.g, Tokenization, Blockchain)]:[If I want to try different ways to invest, I will explore digital assets.]], 3)</f>
        <v>5</v>
      </c>
      <c r="AU949">
        <f>Table67[[#This Row],[Midpoint]]/21</f>
        <v>0.23809523809523808</v>
      </c>
      <c r="AV949">
        <f>_xlfn.PERCENTILE.INC(Table67[Midpoint ratio],0.9)</f>
        <v>0.5714285714285714</v>
      </c>
      <c r="AW949" t="b">
        <f>Table67[[#This Row],[Midpoint ratio]]&gt;=Table67[[#This Row],[Threshold of Midpoint ratio]]</f>
        <v>0</v>
      </c>
      <c r="AX949" t="b">
        <f>OR(Table67[[#This Row],[Extreme Response Style]],Table67[[#This Row],[Mid-point Response Style]])</f>
        <v>0</v>
      </c>
      <c r="AY949" t="b">
        <f>OR(Table67[[#This Row],[Delete? (Stage 1)]],Table67[[#This Row],[Delete? (Stage 2)]])</f>
        <v>1</v>
      </c>
      <c r="AZ949" t="s">
        <v>84</v>
      </c>
    </row>
    <row r="950" spans="1:52">
      <c r="A950">
        <f t="shared" si="59"/>
        <v>949</v>
      </c>
      <c r="B950" s="3">
        <v>46056.878113425897</v>
      </c>
      <c r="C950" s="3">
        <v>46056.881400462997</v>
      </c>
      <c r="D950" t="s">
        <v>53</v>
      </c>
      <c r="G950" t="s">
        <v>54</v>
      </c>
      <c r="H950" t="s">
        <v>63</v>
      </c>
      <c r="I950" t="s">
        <v>56</v>
      </c>
      <c r="J950" t="s">
        <v>67</v>
      </c>
      <c r="K950" t="s">
        <v>57</v>
      </c>
      <c r="L950" t="s">
        <v>58</v>
      </c>
      <c r="M950" t="s">
        <v>61</v>
      </c>
      <c r="N950">
        <v>4</v>
      </c>
      <c r="O950">
        <v>4</v>
      </c>
      <c r="P950">
        <v>4</v>
      </c>
      <c r="Q950">
        <v>3</v>
      </c>
      <c r="R950">
        <v>5</v>
      </c>
      <c r="S950">
        <v>5</v>
      </c>
      <c r="T950">
        <v>3</v>
      </c>
      <c r="U950">
        <v>4</v>
      </c>
      <c r="V950">
        <v>4</v>
      </c>
      <c r="W950">
        <v>4</v>
      </c>
      <c r="X950">
        <v>4</v>
      </c>
      <c r="Y950">
        <v>4</v>
      </c>
      <c r="Z950">
        <v>3</v>
      </c>
      <c r="AA950">
        <v>5</v>
      </c>
      <c r="AB950">
        <v>2</v>
      </c>
      <c r="AC950">
        <v>3</v>
      </c>
      <c r="AD950">
        <v>4</v>
      </c>
      <c r="AE950">
        <v>2</v>
      </c>
      <c r="AF950">
        <v>4</v>
      </c>
      <c r="AG950">
        <v>2</v>
      </c>
      <c r="AH950">
        <v>4</v>
      </c>
      <c r="AI950">
        <v>2</v>
      </c>
      <c r="AJ950">
        <v>2</v>
      </c>
      <c r="AK950" t="b">
        <f>Table67[[#This Row],[What is your age?]]&lt;&gt;"18 - 25"</f>
        <v>0</v>
      </c>
      <c r="AL950" t="b">
        <f t="shared" si="56"/>
        <v>0</v>
      </c>
      <c r="AM950" t="b">
        <f t="shared" si="57"/>
        <v>0</v>
      </c>
      <c r="AN950" t="b">
        <f t="shared" si="58"/>
        <v>0</v>
      </c>
      <c r="AO950" t="b">
        <f>OR(Table67[[#This Row],[Ineligible respondents]:[Inconsistent response on opposite question (3)]])</f>
        <v>0</v>
      </c>
      <c r="AP95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950">
        <f>Table67[[#This Row],[Extreme Response]]/21</f>
        <v>0.14285714285714285</v>
      </c>
      <c r="AR950">
        <f>_xlfn.PERCENTILE.INC(Table67[Extrem Response Ratio (ERS)],0.9)</f>
        <v>0.61904761904761907</v>
      </c>
      <c r="AS950" t="b">
        <f>Table67[[#This Row],[Extrem Response Ratio (ERS)]]&gt;=Table67[[#This Row],[Threshold of ERS]]</f>
        <v>0</v>
      </c>
      <c r="AT950">
        <f>COUNTIF(Table67[[#This Row],[The mechanism of digital assets is difficult to understand, which discourages me from exploring it (E.g, Tokenization, Blockchain)]:[If I want to try different ways to invest, I will explore digital assets.]], 3)</f>
        <v>4</v>
      </c>
      <c r="AU950">
        <f>Table67[[#This Row],[Midpoint]]/21</f>
        <v>0.19047619047619047</v>
      </c>
      <c r="AV950">
        <f>_xlfn.PERCENTILE.INC(Table67[Midpoint ratio],0.9)</f>
        <v>0.5714285714285714</v>
      </c>
      <c r="AW950" t="b">
        <f>Table67[[#This Row],[Midpoint ratio]]&gt;=Table67[[#This Row],[Threshold of Midpoint ratio]]</f>
        <v>0</v>
      </c>
      <c r="AX950" t="b">
        <f>OR(Table67[[#This Row],[Extreme Response Style]],Table67[[#This Row],[Mid-point Response Style]])</f>
        <v>0</v>
      </c>
      <c r="AY950" t="b">
        <f>OR(Table67[[#This Row],[Delete? (Stage 1)]],Table67[[#This Row],[Delete? (Stage 2)]])</f>
        <v>0</v>
      </c>
      <c r="AZ950" t="s">
        <v>84</v>
      </c>
    </row>
    <row r="951" spans="1:52">
      <c r="A951">
        <f t="shared" si="59"/>
        <v>950</v>
      </c>
      <c r="B951" s="3">
        <v>46056.878125000003</v>
      </c>
      <c r="C951" s="3">
        <v>46056.881296296298</v>
      </c>
      <c r="D951" t="s">
        <v>53</v>
      </c>
      <c r="G951" t="s">
        <v>54</v>
      </c>
      <c r="H951" t="s">
        <v>55</v>
      </c>
      <c r="I951" t="s">
        <v>56</v>
      </c>
      <c r="J951" t="s">
        <v>62</v>
      </c>
      <c r="K951" t="s">
        <v>62</v>
      </c>
      <c r="L951" t="s">
        <v>58</v>
      </c>
      <c r="M951" t="s">
        <v>61</v>
      </c>
      <c r="N951">
        <v>3</v>
      </c>
      <c r="O951">
        <v>2</v>
      </c>
      <c r="P951">
        <v>3</v>
      </c>
      <c r="Q951">
        <v>4</v>
      </c>
      <c r="R951">
        <v>5</v>
      </c>
      <c r="S951">
        <v>3</v>
      </c>
      <c r="T951">
        <v>3</v>
      </c>
      <c r="U951">
        <v>3</v>
      </c>
      <c r="V951">
        <v>3</v>
      </c>
      <c r="W951">
        <v>3</v>
      </c>
      <c r="X951">
        <v>2</v>
      </c>
      <c r="Y951">
        <v>2</v>
      </c>
      <c r="Z951">
        <v>5</v>
      </c>
      <c r="AA951">
        <v>3</v>
      </c>
      <c r="AB951">
        <v>3</v>
      </c>
      <c r="AC951">
        <v>4</v>
      </c>
      <c r="AD951">
        <v>4</v>
      </c>
      <c r="AE951">
        <v>3</v>
      </c>
      <c r="AF951">
        <v>3</v>
      </c>
      <c r="AG951">
        <v>3</v>
      </c>
      <c r="AH951">
        <v>3</v>
      </c>
      <c r="AI951">
        <v>3</v>
      </c>
      <c r="AJ951">
        <v>3</v>
      </c>
      <c r="AK951" t="b">
        <f>Table67[[#This Row],[What is your age?]]&lt;&gt;"18 - 25"</f>
        <v>0</v>
      </c>
      <c r="AL951" t="b">
        <f t="shared" si="56"/>
        <v>0</v>
      </c>
      <c r="AM951" t="b">
        <f t="shared" si="57"/>
        <v>0</v>
      </c>
      <c r="AN951" t="b">
        <f t="shared" si="58"/>
        <v>0</v>
      </c>
      <c r="AO951" t="b">
        <f>OR(Table67[[#This Row],[Ineligible respondents]:[Inconsistent response on opposite question (3)]])</f>
        <v>0</v>
      </c>
      <c r="AP95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951">
        <f>Table67[[#This Row],[Extreme Response]]/21</f>
        <v>9.5238095238095233E-2</v>
      </c>
      <c r="AR951">
        <f>_xlfn.PERCENTILE.INC(Table67[Extrem Response Ratio (ERS)],0.9)</f>
        <v>0.61904761904761907</v>
      </c>
      <c r="AS951" t="b">
        <f>Table67[[#This Row],[Extrem Response Ratio (ERS)]]&gt;=Table67[[#This Row],[Threshold of ERS]]</f>
        <v>0</v>
      </c>
      <c r="AT951">
        <f>COUNTIF(Table67[[#This Row],[The mechanism of digital assets is difficult to understand, which discourages me from exploring it (E.g, Tokenization, Blockchain)]:[If I want to try different ways to invest, I will explore digital assets.]], 3)</f>
        <v>13</v>
      </c>
      <c r="AU951">
        <f>Table67[[#This Row],[Midpoint]]/21</f>
        <v>0.61904761904761907</v>
      </c>
      <c r="AV951">
        <f>_xlfn.PERCENTILE.INC(Table67[Midpoint ratio],0.9)</f>
        <v>0.5714285714285714</v>
      </c>
      <c r="AW951" t="b">
        <f>Table67[[#This Row],[Midpoint ratio]]&gt;=Table67[[#This Row],[Threshold of Midpoint ratio]]</f>
        <v>1</v>
      </c>
      <c r="AX951" t="b">
        <f>OR(Table67[[#This Row],[Extreme Response Style]],Table67[[#This Row],[Mid-point Response Style]])</f>
        <v>1</v>
      </c>
      <c r="AY951" t="b">
        <f>OR(Table67[[#This Row],[Delete? (Stage 1)]],Table67[[#This Row],[Delete? (Stage 2)]])</f>
        <v>1</v>
      </c>
      <c r="AZ951" t="s">
        <v>84</v>
      </c>
    </row>
    <row r="952" spans="1:52">
      <c r="A952">
        <f t="shared" si="59"/>
        <v>951</v>
      </c>
      <c r="B952" s="3">
        <v>46056.878217592603</v>
      </c>
      <c r="C952" s="3">
        <v>46056.8894097222</v>
      </c>
      <c r="D952" t="s">
        <v>53</v>
      </c>
      <c r="G952" t="s">
        <v>54</v>
      </c>
      <c r="H952" t="s">
        <v>55</v>
      </c>
      <c r="I952" t="s">
        <v>56</v>
      </c>
      <c r="J952" t="s">
        <v>62</v>
      </c>
      <c r="K952" t="s">
        <v>62</v>
      </c>
      <c r="L952" t="s">
        <v>58</v>
      </c>
      <c r="M952" t="s">
        <v>58</v>
      </c>
      <c r="N952">
        <v>3</v>
      </c>
      <c r="O952">
        <v>2</v>
      </c>
      <c r="P952">
        <v>4</v>
      </c>
      <c r="Q952">
        <v>4</v>
      </c>
      <c r="R952">
        <v>5</v>
      </c>
      <c r="S952">
        <v>4</v>
      </c>
      <c r="T952">
        <v>3</v>
      </c>
      <c r="U952">
        <v>3</v>
      </c>
      <c r="V952">
        <v>5</v>
      </c>
      <c r="W952">
        <v>5</v>
      </c>
      <c r="X952">
        <v>3</v>
      </c>
      <c r="Y952">
        <v>4</v>
      </c>
      <c r="Z952">
        <v>5</v>
      </c>
      <c r="AA952">
        <v>4</v>
      </c>
      <c r="AB952">
        <v>2</v>
      </c>
      <c r="AC952">
        <v>4</v>
      </c>
      <c r="AD952">
        <v>5</v>
      </c>
      <c r="AE952">
        <v>4</v>
      </c>
      <c r="AF952">
        <v>2</v>
      </c>
      <c r="AG952">
        <v>4</v>
      </c>
      <c r="AH952">
        <v>3</v>
      </c>
      <c r="AI952">
        <v>3</v>
      </c>
      <c r="AJ952">
        <v>4</v>
      </c>
      <c r="AK952" t="b">
        <f>Table67[[#This Row],[What is your age?]]&lt;&gt;"18 - 25"</f>
        <v>0</v>
      </c>
      <c r="AL952" t="b">
        <f t="shared" si="56"/>
        <v>0</v>
      </c>
      <c r="AM952" t="b">
        <f t="shared" si="57"/>
        <v>0</v>
      </c>
      <c r="AN952" t="b">
        <f t="shared" si="58"/>
        <v>1</v>
      </c>
      <c r="AO952" t="b">
        <f>OR(Table67[[#This Row],[Ineligible respondents]:[Inconsistent response on opposite question (3)]])</f>
        <v>1</v>
      </c>
      <c r="AP95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952">
        <f>Table67[[#This Row],[Extreme Response]]/21</f>
        <v>0.23809523809523808</v>
      </c>
      <c r="AR952">
        <f>_xlfn.PERCENTILE.INC(Table67[Extrem Response Ratio (ERS)],0.9)</f>
        <v>0.61904761904761907</v>
      </c>
      <c r="AS952" t="b">
        <f>Table67[[#This Row],[Extrem Response Ratio (ERS)]]&gt;=Table67[[#This Row],[Threshold of ERS]]</f>
        <v>0</v>
      </c>
      <c r="AT952">
        <f>COUNTIF(Table67[[#This Row],[The mechanism of digital assets is difficult to understand, which discourages me from exploring it (E.g, Tokenization, Blockchain)]:[If I want to try different ways to invest, I will explore digital assets.]], 3)</f>
        <v>5</v>
      </c>
      <c r="AU952">
        <f>Table67[[#This Row],[Midpoint]]/21</f>
        <v>0.23809523809523808</v>
      </c>
      <c r="AV952">
        <f>_xlfn.PERCENTILE.INC(Table67[Midpoint ratio],0.9)</f>
        <v>0.5714285714285714</v>
      </c>
      <c r="AW952" t="b">
        <f>Table67[[#This Row],[Midpoint ratio]]&gt;=Table67[[#This Row],[Threshold of Midpoint ratio]]</f>
        <v>0</v>
      </c>
      <c r="AX952" t="b">
        <f>OR(Table67[[#This Row],[Extreme Response Style]],Table67[[#This Row],[Mid-point Response Style]])</f>
        <v>0</v>
      </c>
      <c r="AY952" t="b">
        <f>OR(Table67[[#This Row],[Delete? (Stage 1)]],Table67[[#This Row],[Delete? (Stage 2)]])</f>
        <v>1</v>
      </c>
      <c r="AZ952" t="s">
        <v>84</v>
      </c>
    </row>
    <row r="953" spans="1:52">
      <c r="A953">
        <f t="shared" si="59"/>
        <v>952</v>
      </c>
      <c r="B953" s="3">
        <v>46056.878217592603</v>
      </c>
      <c r="C953" s="3">
        <v>46056.894039351799</v>
      </c>
      <c r="D953" t="s">
        <v>53</v>
      </c>
      <c r="G953" t="s">
        <v>54</v>
      </c>
      <c r="H953" t="s">
        <v>55</v>
      </c>
      <c r="I953" t="s">
        <v>75</v>
      </c>
      <c r="J953" t="s">
        <v>64</v>
      </c>
      <c r="K953" t="s">
        <v>62</v>
      </c>
      <c r="L953" t="s">
        <v>58</v>
      </c>
      <c r="M953" t="s">
        <v>58</v>
      </c>
      <c r="N953">
        <v>3</v>
      </c>
      <c r="O953">
        <v>3</v>
      </c>
      <c r="P953">
        <v>3</v>
      </c>
      <c r="Q953">
        <v>3</v>
      </c>
      <c r="R953">
        <v>3</v>
      </c>
      <c r="S953">
        <v>3</v>
      </c>
      <c r="T953">
        <v>3</v>
      </c>
      <c r="U953">
        <v>3</v>
      </c>
      <c r="V953">
        <v>3</v>
      </c>
      <c r="W953">
        <v>3</v>
      </c>
      <c r="X953">
        <v>4</v>
      </c>
      <c r="Y953">
        <v>4</v>
      </c>
      <c r="Z953">
        <v>4</v>
      </c>
      <c r="AA953">
        <v>4</v>
      </c>
      <c r="AB953">
        <v>2</v>
      </c>
      <c r="AC953">
        <v>2</v>
      </c>
      <c r="AD953">
        <v>3</v>
      </c>
      <c r="AE953">
        <v>1</v>
      </c>
      <c r="AF953">
        <v>4</v>
      </c>
      <c r="AG953">
        <v>2</v>
      </c>
      <c r="AH953">
        <v>4</v>
      </c>
      <c r="AI953">
        <v>2</v>
      </c>
      <c r="AJ953">
        <v>2</v>
      </c>
      <c r="AK953" t="b">
        <f>Table67[[#This Row],[What is your age?]]&lt;&gt;"18 - 25"</f>
        <v>0</v>
      </c>
      <c r="AL953" t="b">
        <f t="shared" si="56"/>
        <v>0</v>
      </c>
      <c r="AM953" t="b">
        <f t="shared" si="57"/>
        <v>0</v>
      </c>
      <c r="AN953" t="b">
        <f t="shared" si="58"/>
        <v>0</v>
      </c>
      <c r="AO953" t="b">
        <f>OR(Table67[[#This Row],[Ineligible respondents]:[Inconsistent response on opposite question (3)]])</f>
        <v>0</v>
      </c>
      <c r="AP95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953">
        <f>Table67[[#This Row],[Extreme Response]]/21</f>
        <v>4.7619047619047616E-2</v>
      </c>
      <c r="AR953">
        <f>_xlfn.PERCENTILE.INC(Table67[Extrem Response Ratio (ERS)],0.9)</f>
        <v>0.61904761904761907</v>
      </c>
      <c r="AS953" t="b">
        <f>Table67[[#This Row],[Extrem Response Ratio (ERS)]]&gt;=Table67[[#This Row],[Threshold of ERS]]</f>
        <v>0</v>
      </c>
      <c r="AT953">
        <f>COUNTIF(Table67[[#This Row],[The mechanism of digital assets is difficult to understand, which discourages me from exploring it (E.g, Tokenization, Blockchain)]:[If I want to try different ways to invest, I will explore digital assets.]], 3)</f>
        <v>11</v>
      </c>
      <c r="AU953">
        <f>Table67[[#This Row],[Midpoint]]/21</f>
        <v>0.52380952380952384</v>
      </c>
      <c r="AV953">
        <f>_xlfn.PERCENTILE.INC(Table67[Midpoint ratio],0.9)</f>
        <v>0.5714285714285714</v>
      </c>
      <c r="AW953" t="b">
        <f>Table67[[#This Row],[Midpoint ratio]]&gt;=Table67[[#This Row],[Threshold of Midpoint ratio]]</f>
        <v>0</v>
      </c>
      <c r="AX953" t="b">
        <f>OR(Table67[[#This Row],[Extreme Response Style]],Table67[[#This Row],[Mid-point Response Style]])</f>
        <v>0</v>
      </c>
      <c r="AY953" t="b">
        <f>OR(Table67[[#This Row],[Delete? (Stage 1)]],Table67[[#This Row],[Delete? (Stage 2)]])</f>
        <v>0</v>
      </c>
      <c r="AZ953" t="s">
        <v>84</v>
      </c>
    </row>
    <row r="954" spans="1:52">
      <c r="A954">
        <f t="shared" si="59"/>
        <v>953</v>
      </c>
      <c r="B954" s="3">
        <v>46056.878229166701</v>
      </c>
      <c r="C954" s="3">
        <v>46056.882060185198</v>
      </c>
      <c r="D954" t="s">
        <v>53</v>
      </c>
      <c r="G954" t="s">
        <v>54</v>
      </c>
      <c r="H954" t="s">
        <v>63</v>
      </c>
      <c r="I954" t="s">
        <v>71</v>
      </c>
      <c r="J954" t="s">
        <v>57</v>
      </c>
      <c r="K954" t="s">
        <v>57</v>
      </c>
      <c r="L954" t="s">
        <v>58</v>
      </c>
      <c r="M954" t="s">
        <v>58</v>
      </c>
      <c r="N954">
        <v>4</v>
      </c>
      <c r="O954">
        <v>4</v>
      </c>
      <c r="P954">
        <v>2</v>
      </c>
      <c r="Q954">
        <v>4</v>
      </c>
      <c r="R954">
        <v>1</v>
      </c>
      <c r="S954">
        <v>4</v>
      </c>
      <c r="T954">
        <v>4</v>
      </c>
      <c r="U954">
        <v>5</v>
      </c>
      <c r="V954">
        <v>2</v>
      </c>
      <c r="W954">
        <v>3</v>
      </c>
      <c r="X954">
        <v>4</v>
      </c>
      <c r="Y954">
        <v>5</v>
      </c>
      <c r="Z954">
        <v>4</v>
      </c>
      <c r="AA954">
        <v>5</v>
      </c>
      <c r="AB954">
        <v>4</v>
      </c>
      <c r="AC954">
        <v>4</v>
      </c>
      <c r="AD954">
        <v>5</v>
      </c>
      <c r="AE954">
        <v>4</v>
      </c>
      <c r="AF954">
        <v>2</v>
      </c>
      <c r="AG954">
        <v>4</v>
      </c>
      <c r="AH954">
        <v>4</v>
      </c>
      <c r="AI954">
        <v>2</v>
      </c>
      <c r="AJ954">
        <v>4</v>
      </c>
      <c r="AK954" t="b">
        <f>Table67[[#This Row],[What is your age?]]&lt;&gt;"18 - 25"</f>
        <v>0</v>
      </c>
      <c r="AL954" t="b">
        <f t="shared" si="56"/>
        <v>0</v>
      </c>
      <c r="AM954" t="b">
        <f t="shared" si="57"/>
        <v>1</v>
      </c>
      <c r="AN954" t="b">
        <f t="shared" si="58"/>
        <v>0</v>
      </c>
      <c r="AO954" t="b">
        <f>OR(Table67[[#This Row],[Ineligible respondents]:[Inconsistent response on opposite question (3)]])</f>
        <v>1</v>
      </c>
      <c r="AP95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954">
        <f>Table67[[#This Row],[Extreme Response]]/21</f>
        <v>0.23809523809523808</v>
      </c>
      <c r="AR954">
        <f>_xlfn.PERCENTILE.INC(Table67[Extrem Response Ratio (ERS)],0.9)</f>
        <v>0.61904761904761907</v>
      </c>
      <c r="AS954" t="b">
        <f>Table67[[#This Row],[Extrem Response Ratio (ERS)]]&gt;=Table67[[#This Row],[Threshold of ERS]]</f>
        <v>0</v>
      </c>
      <c r="AT954">
        <f>COUNTIF(Table67[[#This Row],[The mechanism of digital assets is difficult to understand, which discourages me from exploring it (E.g, Tokenization, Blockchain)]:[If I want to try different ways to invest, I will explore digital assets.]], 3)</f>
        <v>1</v>
      </c>
      <c r="AU954">
        <f>Table67[[#This Row],[Midpoint]]/21</f>
        <v>4.7619047619047616E-2</v>
      </c>
      <c r="AV954">
        <f>_xlfn.PERCENTILE.INC(Table67[Midpoint ratio],0.9)</f>
        <v>0.5714285714285714</v>
      </c>
      <c r="AW954" t="b">
        <f>Table67[[#This Row],[Midpoint ratio]]&gt;=Table67[[#This Row],[Threshold of Midpoint ratio]]</f>
        <v>0</v>
      </c>
      <c r="AX954" t="b">
        <f>OR(Table67[[#This Row],[Extreme Response Style]],Table67[[#This Row],[Mid-point Response Style]])</f>
        <v>0</v>
      </c>
      <c r="AY954" t="b">
        <f>OR(Table67[[#This Row],[Delete? (Stage 1)]],Table67[[#This Row],[Delete? (Stage 2)]])</f>
        <v>1</v>
      </c>
      <c r="AZ954" t="s">
        <v>84</v>
      </c>
    </row>
    <row r="955" spans="1:52">
      <c r="A955">
        <f t="shared" si="59"/>
        <v>954</v>
      </c>
      <c r="B955" s="3">
        <v>46056.878252314797</v>
      </c>
      <c r="C955" s="3">
        <v>46056.881770833301</v>
      </c>
      <c r="D955" t="s">
        <v>53</v>
      </c>
      <c r="G955" t="s">
        <v>73</v>
      </c>
      <c r="H955" t="s">
        <v>55</v>
      </c>
      <c r="I955" t="s">
        <v>69</v>
      </c>
      <c r="J955" t="s">
        <v>68</v>
      </c>
      <c r="K955" t="s">
        <v>64</v>
      </c>
      <c r="L955" t="s">
        <v>61</v>
      </c>
      <c r="M955" t="s">
        <v>61</v>
      </c>
      <c r="N955">
        <v>3</v>
      </c>
      <c r="O955">
        <v>1</v>
      </c>
      <c r="P955">
        <v>4</v>
      </c>
      <c r="Q955">
        <v>3</v>
      </c>
      <c r="R955">
        <v>2</v>
      </c>
      <c r="S955">
        <v>2</v>
      </c>
      <c r="T955">
        <v>2</v>
      </c>
      <c r="U955">
        <v>4</v>
      </c>
      <c r="V955">
        <v>5</v>
      </c>
      <c r="W955">
        <v>5</v>
      </c>
      <c r="X955">
        <v>4</v>
      </c>
      <c r="Y955">
        <v>5</v>
      </c>
      <c r="Z955">
        <v>4</v>
      </c>
      <c r="AA955">
        <v>3</v>
      </c>
      <c r="AB955">
        <v>2</v>
      </c>
      <c r="AC955">
        <v>2</v>
      </c>
      <c r="AD955">
        <v>4</v>
      </c>
      <c r="AE955">
        <v>5</v>
      </c>
      <c r="AF955">
        <v>4</v>
      </c>
      <c r="AG955">
        <v>2</v>
      </c>
      <c r="AH955">
        <v>4</v>
      </c>
      <c r="AI955">
        <v>2</v>
      </c>
      <c r="AJ955">
        <v>2</v>
      </c>
      <c r="AK955" t="b">
        <f>Table67[[#This Row],[What is your age?]]&lt;&gt;"18 - 25"</f>
        <v>1</v>
      </c>
      <c r="AL955" t="b">
        <f t="shared" si="56"/>
        <v>0</v>
      </c>
      <c r="AM955" t="b">
        <f t="shared" si="57"/>
        <v>0</v>
      </c>
      <c r="AN955" t="b">
        <f t="shared" si="58"/>
        <v>0</v>
      </c>
      <c r="AO955" t="b">
        <f>OR(Table67[[#This Row],[Ineligible respondents]:[Inconsistent response on opposite question (3)]])</f>
        <v>1</v>
      </c>
      <c r="AP95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955">
        <f>Table67[[#This Row],[Extreme Response]]/21</f>
        <v>0.23809523809523808</v>
      </c>
      <c r="AR955">
        <f>_xlfn.PERCENTILE.INC(Table67[Extrem Response Ratio (ERS)],0.9)</f>
        <v>0.61904761904761907</v>
      </c>
      <c r="AS955" t="b">
        <f>Table67[[#This Row],[Extrem Response Ratio (ERS)]]&gt;=Table67[[#This Row],[Threshold of ERS]]</f>
        <v>0</v>
      </c>
      <c r="AT955">
        <f>COUNTIF(Table67[[#This Row],[The mechanism of digital assets is difficult to understand, which discourages me from exploring it (E.g, Tokenization, Blockchain)]:[If I want to try different ways to invest, I will explore digital assets.]], 3)</f>
        <v>3</v>
      </c>
      <c r="AU955">
        <f>Table67[[#This Row],[Midpoint]]/21</f>
        <v>0.14285714285714285</v>
      </c>
      <c r="AV955">
        <f>_xlfn.PERCENTILE.INC(Table67[Midpoint ratio],0.9)</f>
        <v>0.5714285714285714</v>
      </c>
      <c r="AW955" t="b">
        <f>Table67[[#This Row],[Midpoint ratio]]&gt;=Table67[[#This Row],[Threshold of Midpoint ratio]]</f>
        <v>0</v>
      </c>
      <c r="AX955" t="b">
        <f>OR(Table67[[#This Row],[Extreme Response Style]],Table67[[#This Row],[Mid-point Response Style]])</f>
        <v>0</v>
      </c>
      <c r="AY955" t="b">
        <f>OR(Table67[[#This Row],[Delete? (Stage 1)]],Table67[[#This Row],[Delete? (Stage 2)]])</f>
        <v>1</v>
      </c>
      <c r="AZ955" t="s">
        <v>84</v>
      </c>
    </row>
    <row r="956" spans="1:52">
      <c r="A956">
        <f t="shared" si="59"/>
        <v>955</v>
      </c>
      <c r="B956" s="3">
        <v>46056.878495370402</v>
      </c>
      <c r="C956" s="3">
        <v>46056.881412037001</v>
      </c>
      <c r="D956" t="s">
        <v>53</v>
      </c>
      <c r="G956" t="s">
        <v>54</v>
      </c>
      <c r="H956" t="s">
        <v>55</v>
      </c>
      <c r="I956" t="s">
        <v>75</v>
      </c>
      <c r="J956" t="s">
        <v>67</v>
      </c>
      <c r="K956" t="s">
        <v>62</v>
      </c>
      <c r="L956" t="s">
        <v>61</v>
      </c>
      <c r="M956" t="s">
        <v>58</v>
      </c>
      <c r="N956">
        <v>3</v>
      </c>
      <c r="O956">
        <v>2</v>
      </c>
      <c r="P956">
        <v>4</v>
      </c>
      <c r="Q956">
        <v>2</v>
      </c>
      <c r="R956">
        <v>2</v>
      </c>
      <c r="S956">
        <v>2</v>
      </c>
      <c r="T956">
        <v>3</v>
      </c>
      <c r="U956">
        <v>4</v>
      </c>
      <c r="V956">
        <v>2</v>
      </c>
      <c r="W956">
        <v>4</v>
      </c>
      <c r="X956">
        <v>2</v>
      </c>
      <c r="Y956">
        <v>2</v>
      </c>
      <c r="Z956">
        <v>2</v>
      </c>
      <c r="AA956">
        <v>3</v>
      </c>
      <c r="AB956">
        <v>2</v>
      </c>
      <c r="AC956">
        <v>3</v>
      </c>
      <c r="AD956">
        <v>3</v>
      </c>
      <c r="AE956">
        <v>3</v>
      </c>
      <c r="AF956">
        <v>3</v>
      </c>
      <c r="AG956">
        <v>2</v>
      </c>
      <c r="AH956">
        <v>3</v>
      </c>
      <c r="AI956">
        <v>3</v>
      </c>
      <c r="AJ956">
        <v>3</v>
      </c>
      <c r="AK956" t="b">
        <f>Table67[[#This Row],[What is your age?]]&lt;&gt;"18 - 25"</f>
        <v>0</v>
      </c>
      <c r="AL956" t="b">
        <f t="shared" si="56"/>
        <v>0</v>
      </c>
      <c r="AM956" t="b">
        <f t="shared" si="57"/>
        <v>0</v>
      </c>
      <c r="AN956" t="b">
        <f t="shared" si="58"/>
        <v>1</v>
      </c>
      <c r="AO956" t="b">
        <f>OR(Table67[[#This Row],[Ineligible respondents]:[Inconsistent response on opposite question (3)]])</f>
        <v>1</v>
      </c>
      <c r="AP95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956">
        <f>Table67[[#This Row],[Extreme Response]]/21</f>
        <v>0</v>
      </c>
      <c r="AR956">
        <f>_xlfn.PERCENTILE.INC(Table67[Extrem Response Ratio (ERS)],0.9)</f>
        <v>0.61904761904761907</v>
      </c>
      <c r="AS956" t="b">
        <f>Table67[[#This Row],[Extrem Response Ratio (ERS)]]&gt;=Table67[[#This Row],[Threshold of ERS]]</f>
        <v>0</v>
      </c>
      <c r="AT956">
        <f>COUNTIF(Table67[[#This Row],[The mechanism of digital assets is difficult to understand, which discourages me from exploring it (E.g, Tokenization, Blockchain)]:[If I want to try different ways to invest, I will explore digital assets.]], 3)</f>
        <v>8</v>
      </c>
      <c r="AU956">
        <f>Table67[[#This Row],[Midpoint]]/21</f>
        <v>0.38095238095238093</v>
      </c>
      <c r="AV956">
        <f>_xlfn.PERCENTILE.INC(Table67[Midpoint ratio],0.9)</f>
        <v>0.5714285714285714</v>
      </c>
      <c r="AW956" t="b">
        <f>Table67[[#This Row],[Midpoint ratio]]&gt;=Table67[[#This Row],[Threshold of Midpoint ratio]]</f>
        <v>0</v>
      </c>
      <c r="AX956" t="b">
        <f>OR(Table67[[#This Row],[Extreme Response Style]],Table67[[#This Row],[Mid-point Response Style]])</f>
        <v>0</v>
      </c>
      <c r="AY956" t="b">
        <f>OR(Table67[[#This Row],[Delete? (Stage 1)]],Table67[[#This Row],[Delete? (Stage 2)]])</f>
        <v>1</v>
      </c>
      <c r="AZ956" t="s">
        <v>84</v>
      </c>
    </row>
    <row r="957" spans="1:52">
      <c r="A957">
        <f t="shared" si="59"/>
        <v>956</v>
      </c>
      <c r="B957" s="3">
        <v>46056.878611111097</v>
      </c>
      <c r="C957" s="3">
        <v>46056.882118055597</v>
      </c>
      <c r="D957" t="s">
        <v>53</v>
      </c>
      <c r="G957" t="s">
        <v>54</v>
      </c>
      <c r="H957" t="s">
        <v>55</v>
      </c>
      <c r="I957" t="s">
        <v>69</v>
      </c>
      <c r="J957" t="s">
        <v>62</v>
      </c>
      <c r="K957" t="s">
        <v>62</v>
      </c>
      <c r="L957" t="s">
        <v>58</v>
      </c>
      <c r="M957" t="s">
        <v>58</v>
      </c>
      <c r="N957">
        <v>3</v>
      </c>
      <c r="O957">
        <v>1</v>
      </c>
      <c r="P957">
        <v>4</v>
      </c>
      <c r="Q957">
        <v>4</v>
      </c>
      <c r="R957">
        <v>2</v>
      </c>
      <c r="S957">
        <v>4</v>
      </c>
      <c r="T957">
        <v>4</v>
      </c>
      <c r="U957">
        <v>3</v>
      </c>
      <c r="V957">
        <v>4</v>
      </c>
      <c r="W957">
        <v>4</v>
      </c>
      <c r="X957">
        <v>4</v>
      </c>
      <c r="Y957">
        <v>4</v>
      </c>
      <c r="Z957">
        <v>4</v>
      </c>
      <c r="AA957">
        <v>4</v>
      </c>
      <c r="AB957">
        <v>2</v>
      </c>
      <c r="AC957">
        <v>3</v>
      </c>
      <c r="AD957">
        <v>5</v>
      </c>
      <c r="AE957">
        <v>3</v>
      </c>
      <c r="AF957">
        <v>4</v>
      </c>
      <c r="AG957">
        <v>3</v>
      </c>
      <c r="AH957">
        <v>4</v>
      </c>
      <c r="AI957">
        <v>2</v>
      </c>
      <c r="AJ957">
        <v>2</v>
      </c>
      <c r="AK957" t="b">
        <f>Table67[[#This Row],[What is your age?]]&lt;&gt;"18 - 25"</f>
        <v>0</v>
      </c>
      <c r="AL957" t="b">
        <f t="shared" si="56"/>
        <v>0</v>
      </c>
      <c r="AM957" t="b">
        <f t="shared" si="57"/>
        <v>0</v>
      </c>
      <c r="AN957" t="b">
        <f t="shared" si="58"/>
        <v>1</v>
      </c>
      <c r="AO957" t="b">
        <f>OR(Table67[[#This Row],[Ineligible respondents]:[Inconsistent response on opposite question (3)]])</f>
        <v>1</v>
      </c>
      <c r="AP95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957">
        <f>Table67[[#This Row],[Extreme Response]]/21</f>
        <v>9.5238095238095233E-2</v>
      </c>
      <c r="AR957">
        <f>_xlfn.PERCENTILE.INC(Table67[Extrem Response Ratio (ERS)],0.9)</f>
        <v>0.61904761904761907</v>
      </c>
      <c r="AS957" t="b">
        <f>Table67[[#This Row],[Extrem Response Ratio (ERS)]]&gt;=Table67[[#This Row],[Threshold of ERS]]</f>
        <v>0</v>
      </c>
      <c r="AT957">
        <f>COUNTIF(Table67[[#This Row],[The mechanism of digital assets is difficult to understand, which discourages me from exploring it (E.g, Tokenization, Blockchain)]:[If I want to try different ways to invest, I will explore digital assets.]], 3)</f>
        <v>5</v>
      </c>
      <c r="AU957">
        <f>Table67[[#This Row],[Midpoint]]/21</f>
        <v>0.23809523809523808</v>
      </c>
      <c r="AV957">
        <f>_xlfn.PERCENTILE.INC(Table67[Midpoint ratio],0.9)</f>
        <v>0.5714285714285714</v>
      </c>
      <c r="AW957" t="b">
        <f>Table67[[#This Row],[Midpoint ratio]]&gt;=Table67[[#This Row],[Threshold of Midpoint ratio]]</f>
        <v>0</v>
      </c>
      <c r="AX957" t="b">
        <f>OR(Table67[[#This Row],[Extreme Response Style]],Table67[[#This Row],[Mid-point Response Style]])</f>
        <v>0</v>
      </c>
      <c r="AY957" t="b">
        <f>OR(Table67[[#This Row],[Delete? (Stage 1)]],Table67[[#This Row],[Delete? (Stage 2)]])</f>
        <v>1</v>
      </c>
      <c r="AZ957" t="s">
        <v>84</v>
      </c>
    </row>
    <row r="958" spans="1:52">
      <c r="A958">
        <f t="shared" si="59"/>
        <v>957</v>
      </c>
      <c r="B958" s="3">
        <v>46056.878634259301</v>
      </c>
      <c r="C958" s="3">
        <v>46056.8849305556</v>
      </c>
      <c r="D958" t="s">
        <v>53</v>
      </c>
      <c r="G958" t="s">
        <v>54</v>
      </c>
      <c r="H958" t="s">
        <v>63</v>
      </c>
      <c r="I958" t="s">
        <v>56</v>
      </c>
      <c r="J958" t="s">
        <v>57</v>
      </c>
      <c r="K958" t="s">
        <v>57</v>
      </c>
      <c r="L958" t="s">
        <v>58</v>
      </c>
      <c r="M958" t="s">
        <v>58</v>
      </c>
      <c r="N958">
        <v>4</v>
      </c>
      <c r="O958">
        <v>2</v>
      </c>
      <c r="P958">
        <v>4</v>
      </c>
      <c r="Q958">
        <v>3</v>
      </c>
      <c r="R958">
        <v>3</v>
      </c>
      <c r="S958">
        <v>3</v>
      </c>
      <c r="T958">
        <v>4</v>
      </c>
      <c r="U958">
        <v>4</v>
      </c>
      <c r="V958">
        <v>4</v>
      </c>
      <c r="W958">
        <v>4</v>
      </c>
      <c r="X958">
        <v>3</v>
      </c>
      <c r="Y958">
        <v>3</v>
      </c>
      <c r="Z958">
        <v>4</v>
      </c>
      <c r="AA958">
        <v>3</v>
      </c>
      <c r="AB958">
        <v>2</v>
      </c>
      <c r="AC958">
        <v>3</v>
      </c>
      <c r="AD958">
        <v>5</v>
      </c>
      <c r="AE958">
        <v>2</v>
      </c>
      <c r="AF958">
        <v>4</v>
      </c>
      <c r="AG958">
        <v>3</v>
      </c>
      <c r="AH958">
        <v>4</v>
      </c>
      <c r="AI958">
        <v>2</v>
      </c>
      <c r="AJ958">
        <v>2</v>
      </c>
      <c r="AK958" t="b">
        <f>Table67[[#This Row],[What is your age?]]&lt;&gt;"18 - 25"</f>
        <v>0</v>
      </c>
      <c r="AL958" t="b">
        <f t="shared" si="56"/>
        <v>0</v>
      </c>
      <c r="AM958" t="b">
        <f t="shared" si="57"/>
        <v>0</v>
      </c>
      <c r="AN958" t="b">
        <f t="shared" si="58"/>
        <v>1</v>
      </c>
      <c r="AO958" t="b">
        <f>OR(Table67[[#This Row],[Ineligible respondents]:[Inconsistent response on opposite question (3)]])</f>
        <v>1</v>
      </c>
      <c r="AP95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958">
        <f>Table67[[#This Row],[Extreme Response]]/21</f>
        <v>4.7619047619047616E-2</v>
      </c>
      <c r="AR958">
        <f>_xlfn.PERCENTILE.INC(Table67[Extrem Response Ratio (ERS)],0.9)</f>
        <v>0.61904761904761907</v>
      </c>
      <c r="AS958" t="b">
        <f>Table67[[#This Row],[Extrem Response Ratio (ERS)]]&gt;=Table67[[#This Row],[Threshold of ERS]]</f>
        <v>0</v>
      </c>
      <c r="AT958">
        <f>COUNTIF(Table67[[#This Row],[The mechanism of digital assets is difficult to understand, which discourages me from exploring it (E.g, Tokenization, Blockchain)]:[If I want to try different ways to invest, I will explore digital assets.]], 3)</f>
        <v>8</v>
      </c>
      <c r="AU958">
        <f>Table67[[#This Row],[Midpoint]]/21</f>
        <v>0.38095238095238093</v>
      </c>
      <c r="AV958">
        <f>_xlfn.PERCENTILE.INC(Table67[Midpoint ratio],0.9)</f>
        <v>0.5714285714285714</v>
      </c>
      <c r="AW958" t="b">
        <f>Table67[[#This Row],[Midpoint ratio]]&gt;=Table67[[#This Row],[Threshold of Midpoint ratio]]</f>
        <v>0</v>
      </c>
      <c r="AX958" t="b">
        <f>OR(Table67[[#This Row],[Extreme Response Style]],Table67[[#This Row],[Mid-point Response Style]])</f>
        <v>0</v>
      </c>
      <c r="AY958" t="b">
        <f>OR(Table67[[#This Row],[Delete? (Stage 1)]],Table67[[#This Row],[Delete? (Stage 2)]])</f>
        <v>1</v>
      </c>
      <c r="AZ958" t="s">
        <v>84</v>
      </c>
    </row>
    <row r="959" spans="1:52">
      <c r="A959">
        <f t="shared" si="59"/>
        <v>958</v>
      </c>
      <c r="B959" s="3">
        <v>46056.878692129598</v>
      </c>
      <c r="C959" s="3">
        <v>46056.879942129599</v>
      </c>
      <c r="D959" t="s">
        <v>53</v>
      </c>
      <c r="G959" t="s">
        <v>54</v>
      </c>
      <c r="H959" t="s">
        <v>63</v>
      </c>
      <c r="I959" t="s">
        <v>56</v>
      </c>
      <c r="J959" t="s">
        <v>68</v>
      </c>
      <c r="K959" t="s">
        <v>64</v>
      </c>
      <c r="L959" t="s">
        <v>61</v>
      </c>
      <c r="M959" t="s">
        <v>61</v>
      </c>
      <c r="N959">
        <v>4</v>
      </c>
      <c r="O959">
        <v>3</v>
      </c>
      <c r="P959">
        <v>4</v>
      </c>
      <c r="Q959">
        <v>4</v>
      </c>
      <c r="R959">
        <v>3</v>
      </c>
      <c r="S959">
        <v>4</v>
      </c>
      <c r="T959">
        <v>4</v>
      </c>
      <c r="U959">
        <v>3</v>
      </c>
      <c r="V959">
        <v>4</v>
      </c>
      <c r="W959">
        <v>4</v>
      </c>
      <c r="X959">
        <v>3</v>
      </c>
      <c r="Y959">
        <v>4</v>
      </c>
      <c r="Z959">
        <v>4</v>
      </c>
      <c r="AA959">
        <v>3</v>
      </c>
      <c r="AB959">
        <v>4</v>
      </c>
      <c r="AC959">
        <v>3</v>
      </c>
      <c r="AD959">
        <v>4</v>
      </c>
      <c r="AE959">
        <v>3</v>
      </c>
      <c r="AF959">
        <v>4</v>
      </c>
      <c r="AG959">
        <v>3</v>
      </c>
      <c r="AH959">
        <v>4</v>
      </c>
      <c r="AI959">
        <v>2</v>
      </c>
      <c r="AJ959">
        <v>2</v>
      </c>
      <c r="AK959" t="b">
        <f>Table67[[#This Row],[What is your age?]]&lt;&gt;"18 - 25"</f>
        <v>0</v>
      </c>
      <c r="AL959" t="b">
        <f t="shared" si="56"/>
        <v>0</v>
      </c>
      <c r="AM959" t="b">
        <f t="shared" si="57"/>
        <v>0</v>
      </c>
      <c r="AN959" t="b">
        <f t="shared" si="58"/>
        <v>1</v>
      </c>
      <c r="AO959" t="b">
        <f>OR(Table67[[#This Row],[Ineligible respondents]:[Inconsistent response on opposite question (3)]])</f>
        <v>1</v>
      </c>
      <c r="AP95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959">
        <f>Table67[[#This Row],[Extreme Response]]/21</f>
        <v>0</v>
      </c>
      <c r="AR959">
        <f>_xlfn.PERCENTILE.INC(Table67[Extrem Response Ratio (ERS)],0.9)</f>
        <v>0.61904761904761907</v>
      </c>
      <c r="AS959" t="b">
        <f>Table67[[#This Row],[Extrem Response Ratio (ERS)]]&gt;=Table67[[#This Row],[Threshold of ERS]]</f>
        <v>0</v>
      </c>
      <c r="AT959">
        <f>COUNTIF(Table67[[#This Row],[The mechanism of digital assets is difficult to understand, which discourages me from exploring it (E.g, Tokenization, Blockchain)]:[If I want to try different ways to invest, I will explore digital assets.]], 3)</f>
        <v>8</v>
      </c>
      <c r="AU959">
        <f>Table67[[#This Row],[Midpoint]]/21</f>
        <v>0.38095238095238093</v>
      </c>
      <c r="AV959">
        <f>_xlfn.PERCENTILE.INC(Table67[Midpoint ratio],0.9)</f>
        <v>0.5714285714285714</v>
      </c>
      <c r="AW959" t="b">
        <f>Table67[[#This Row],[Midpoint ratio]]&gt;=Table67[[#This Row],[Threshold of Midpoint ratio]]</f>
        <v>0</v>
      </c>
      <c r="AX959" t="b">
        <f>OR(Table67[[#This Row],[Extreme Response Style]],Table67[[#This Row],[Mid-point Response Style]])</f>
        <v>0</v>
      </c>
      <c r="AY959" t="b">
        <f>OR(Table67[[#This Row],[Delete? (Stage 1)]],Table67[[#This Row],[Delete? (Stage 2)]])</f>
        <v>1</v>
      </c>
      <c r="AZ959" t="s">
        <v>84</v>
      </c>
    </row>
    <row r="960" spans="1:52">
      <c r="A960">
        <f t="shared" si="59"/>
        <v>959</v>
      </c>
      <c r="B960" s="3">
        <v>46056.878761574102</v>
      </c>
      <c r="C960" s="3">
        <v>46056.884409722203</v>
      </c>
      <c r="D960" t="s">
        <v>53</v>
      </c>
      <c r="G960" t="s">
        <v>54</v>
      </c>
      <c r="H960" t="s">
        <v>55</v>
      </c>
      <c r="I960" t="s">
        <v>82</v>
      </c>
      <c r="J960" t="s">
        <v>62</v>
      </c>
      <c r="K960" t="s">
        <v>57</v>
      </c>
      <c r="L960" t="s">
        <v>58</v>
      </c>
      <c r="M960" t="s">
        <v>58</v>
      </c>
      <c r="N960">
        <v>4</v>
      </c>
      <c r="O960">
        <v>3</v>
      </c>
      <c r="P960">
        <v>3</v>
      </c>
      <c r="Q960">
        <v>4</v>
      </c>
      <c r="R960">
        <v>4</v>
      </c>
      <c r="S960">
        <v>4</v>
      </c>
      <c r="T960">
        <v>3</v>
      </c>
      <c r="U960">
        <v>3</v>
      </c>
      <c r="V960">
        <v>4</v>
      </c>
      <c r="W960">
        <v>4</v>
      </c>
      <c r="X960">
        <v>5</v>
      </c>
      <c r="Y960">
        <v>5</v>
      </c>
      <c r="Z960">
        <v>4</v>
      </c>
      <c r="AA960">
        <v>4</v>
      </c>
      <c r="AB960">
        <v>3</v>
      </c>
      <c r="AC960">
        <v>3</v>
      </c>
      <c r="AD960">
        <v>5</v>
      </c>
      <c r="AE960">
        <v>3</v>
      </c>
      <c r="AF960">
        <v>3</v>
      </c>
      <c r="AG960">
        <v>3</v>
      </c>
      <c r="AH960">
        <v>3</v>
      </c>
      <c r="AI960">
        <v>3</v>
      </c>
      <c r="AJ960">
        <v>3</v>
      </c>
      <c r="AK960" t="b">
        <f>Table67[[#This Row],[What is your age?]]&lt;&gt;"18 - 25"</f>
        <v>0</v>
      </c>
      <c r="AL960" t="b">
        <f t="shared" si="56"/>
        <v>0</v>
      </c>
      <c r="AM960" t="b">
        <f t="shared" si="57"/>
        <v>0</v>
      </c>
      <c r="AN960" t="b">
        <f t="shared" si="58"/>
        <v>0</v>
      </c>
      <c r="AO960" t="b">
        <f>OR(Table67[[#This Row],[Ineligible respondents]:[Inconsistent response on opposite question (3)]])</f>
        <v>0</v>
      </c>
      <c r="AP96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960">
        <f>Table67[[#This Row],[Extreme Response]]/21</f>
        <v>0.14285714285714285</v>
      </c>
      <c r="AR960">
        <f>_xlfn.PERCENTILE.INC(Table67[Extrem Response Ratio (ERS)],0.9)</f>
        <v>0.61904761904761907</v>
      </c>
      <c r="AS960" t="b">
        <f>Table67[[#This Row],[Extrem Response Ratio (ERS)]]&gt;=Table67[[#This Row],[Threshold of ERS]]</f>
        <v>0</v>
      </c>
      <c r="AT960">
        <f>COUNTIF(Table67[[#This Row],[The mechanism of digital assets is difficult to understand, which discourages me from exploring it (E.g, Tokenization, Blockchain)]:[If I want to try different ways to invest, I will explore digital assets.]], 3)</f>
        <v>10</v>
      </c>
      <c r="AU960">
        <f>Table67[[#This Row],[Midpoint]]/21</f>
        <v>0.47619047619047616</v>
      </c>
      <c r="AV960">
        <f>_xlfn.PERCENTILE.INC(Table67[Midpoint ratio],0.9)</f>
        <v>0.5714285714285714</v>
      </c>
      <c r="AW960" t="b">
        <f>Table67[[#This Row],[Midpoint ratio]]&gt;=Table67[[#This Row],[Threshold of Midpoint ratio]]</f>
        <v>0</v>
      </c>
      <c r="AX960" t="b">
        <f>OR(Table67[[#This Row],[Extreme Response Style]],Table67[[#This Row],[Mid-point Response Style]])</f>
        <v>0</v>
      </c>
      <c r="AY960" t="b">
        <f>OR(Table67[[#This Row],[Delete? (Stage 1)]],Table67[[#This Row],[Delete? (Stage 2)]])</f>
        <v>0</v>
      </c>
      <c r="AZ960" t="s">
        <v>84</v>
      </c>
    </row>
    <row r="961" spans="1:52">
      <c r="A961">
        <f t="shared" si="59"/>
        <v>960</v>
      </c>
      <c r="B961" s="3">
        <v>46056.878865740699</v>
      </c>
      <c r="C961" s="3">
        <v>46056.882997685199</v>
      </c>
      <c r="D961" t="s">
        <v>53</v>
      </c>
      <c r="G961" t="s">
        <v>54</v>
      </c>
      <c r="H961" t="s">
        <v>55</v>
      </c>
      <c r="I961" t="s">
        <v>71</v>
      </c>
      <c r="J961" t="s">
        <v>64</v>
      </c>
      <c r="K961" t="s">
        <v>62</v>
      </c>
      <c r="L961" t="s">
        <v>58</v>
      </c>
      <c r="M961" t="s">
        <v>58</v>
      </c>
      <c r="N961">
        <v>4</v>
      </c>
      <c r="O961">
        <v>1</v>
      </c>
      <c r="P961">
        <v>3</v>
      </c>
      <c r="Q961">
        <v>3</v>
      </c>
      <c r="R961">
        <v>4</v>
      </c>
      <c r="S961">
        <v>4</v>
      </c>
      <c r="T961">
        <v>4</v>
      </c>
      <c r="U961">
        <v>5</v>
      </c>
      <c r="V961">
        <v>3</v>
      </c>
      <c r="W961">
        <v>2</v>
      </c>
      <c r="X961">
        <v>3</v>
      </c>
      <c r="Y961">
        <v>3</v>
      </c>
      <c r="Z961">
        <v>3</v>
      </c>
      <c r="AA961">
        <v>3</v>
      </c>
      <c r="AB961">
        <v>2</v>
      </c>
      <c r="AC961">
        <v>3</v>
      </c>
      <c r="AD961">
        <v>4</v>
      </c>
      <c r="AE961">
        <v>3</v>
      </c>
      <c r="AF961">
        <v>3</v>
      </c>
      <c r="AG961">
        <v>3</v>
      </c>
      <c r="AH961">
        <v>3</v>
      </c>
      <c r="AI961">
        <v>3</v>
      </c>
      <c r="AJ961">
        <v>3</v>
      </c>
      <c r="AK961" t="b">
        <f>Table67[[#This Row],[What is your age?]]&lt;&gt;"18 - 25"</f>
        <v>0</v>
      </c>
      <c r="AL961" t="b">
        <f t="shared" si="56"/>
        <v>0</v>
      </c>
      <c r="AM961" t="b">
        <f t="shared" si="57"/>
        <v>0</v>
      </c>
      <c r="AN961" t="b">
        <f t="shared" si="58"/>
        <v>0</v>
      </c>
      <c r="AO961" t="b">
        <f>OR(Table67[[#This Row],[Ineligible respondents]:[Inconsistent response on opposite question (3)]])</f>
        <v>0</v>
      </c>
      <c r="AP96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961">
        <f>Table67[[#This Row],[Extreme Response]]/21</f>
        <v>9.5238095238095233E-2</v>
      </c>
      <c r="AR961">
        <f>_xlfn.PERCENTILE.INC(Table67[Extrem Response Ratio (ERS)],0.9)</f>
        <v>0.61904761904761907</v>
      </c>
      <c r="AS961" t="b">
        <f>Table67[[#This Row],[Extrem Response Ratio (ERS)]]&gt;=Table67[[#This Row],[Threshold of ERS]]</f>
        <v>0</v>
      </c>
      <c r="AT961">
        <f>COUNTIF(Table67[[#This Row],[The mechanism of digital assets is difficult to understand, which discourages me from exploring it (E.g, Tokenization, Blockchain)]:[If I want to try different ways to invest, I will explore digital assets.]], 3)</f>
        <v>12</v>
      </c>
      <c r="AU961">
        <f>Table67[[#This Row],[Midpoint]]/21</f>
        <v>0.5714285714285714</v>
      </c>
      <c r="AV961">
        <f>_xlfn.PERCENTILE.INC(Table67[Midpoint ratio],0.9)</f>
        <v>0.5714285714285714</v>
      </c>
      <c r="AW961" t="b">
        <f>Table67[[#This Row],[Midpoint ratio]]&gt;=Table67[[#This Row],[Threshold of Midpoint ratio]]</f>
        <v>1</v>
      </c>
      <c r="AX961" t="b">
        <f>OR(Table67[[#This Row],[Extreme Response Style]],Table67[[#This Row],[Mid-point Response Style]])</f>
        <v>1</v>
      </c>
      <c r="AY961" t="b">
        <f>OR(Table67[[#This Row],[Delete? (Stage 1)]],Table67[[#This Row],[Delete? (Stage 2)]])</f>
        <v>1</v>
      </c>
      <c r="AZ961" t="s">
        <v>84</v>
      </c>
    </row>
    <row r="962" spans="1:52">
      <c r="A962">
        <f t="shared" si="59"/>
        <v>961</v>
      </c>
      <c r="B962" s="3">
        <v>46056.878900463002</v>
      </c>
      <c r="C962" s="3">
        <v>46056.882187499999</v>
      </c>
      <c r="D962" t="s">
        <v>53</v>
      </c>
      <c r="G962" t="s">
        <v>54</v>
      </c>
      <c r="H962" t="s">
        <v>55</v>
      </c>
      <c r="I962" t="s">
        <v>71</v>
      </c>
      <c r="J962" t="s">
        <v>62</v>
      </c>
      <c r="K962" t="s">
        <v>62</v>
      </c>
      <c r="L962" t="s">
        <v>58</v>
      </c>
      <c r="M962" t="s">
        <v>58</v>
      </c>
      <c r="N962">
        <v>5</v>
      </c>
      <c r="O962">
        <v>1</v>
      </c>
      <c r="P962">
        <v>5</v>
      </c>
      <c r="Q962">
        <v>2</v>
      </c>
      <c r="R962">
        <v>5</v>
      </c>
      <c r="S962">
        <v>4</v>
      </c>
      <c r="T962">
        <v>4</v>
      </c>
      <c r="U962">
        <v>5</v>
      </c>
      <c r="V962">
        <v>2</v>
      </c>
      <c r="W962">
        <v>5</v>
      </c>
      <c r="X962">
        <v>5</v>
      </c>
      <c r="Y962">
        <v>5</v>
      </c>
      <c r="Z962">
        <v>2</v>
      </c>
      <c r="AA962">
        <v>4</v>
      </c>
      <c r="AB962">
        <v>4</v>
      </c>
      <c r="AC962">
        <v>5</v>
      </c>
      <c r="AD962">
        <v>5</v>
      </c>
      <c r="AE962">
        <v>3</v>
      </c>
      <c r="AF962">
        <v>1</v>
      </c>
      <c r="AG962">
        <v>3</v>
      </c>
      <c r="AH962">
        <v>2</v>
      </c>
      <c r="AI962">
        <v>4</v>
      </c>
      <c r="AJ962">
        <v>5</v>
      </c>
      <c r="AK962" t="b">
        <f>Table67[[#This Row],[What is your age?]]&lt;&gt;"18 - 25"</f>
        <v>0</v>
      </c>
      <c r="AL962" t="b">
        <f t="shared" si="56"/>
        <v>0</v>
      </c>
      <c r="AM962" t="b">
        <f t="shared" si="57"/>
        <v>0</v>
      </c>
      <c r="AN962" t="b">
        <f t="shared" si="58"/>
        <v>1</v>
      </c>
      <c r="AO962" t="b">
        <f>OR(Table67[[#This Row],[Ineligible respondents]:[Inconsistent response on opposite question (3)]])</f>
        <v>1</v>
      </c>
      <c r="AP96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962">
        <f>Table67[[#This Row],[Extreme Response]]/21</f>
        <v>0.52380952380952384</v>
      </c>
      <c r="AR962">
        <f>_xlfn.PERCENTILE.INC(Table67[Extrem Response Ratio (ERS)],0.9)</f>
        <v>0.61904761904761907</v>
      </c>
      <c r="AS962" t="b">
        <f>Table67[[#This Row],[Extrem Response Ratio (ERS)]]&gt;=Table67[[#This Row],[Threshold of ERS]]</f>
        <v>0</v>
      </c>
      <c r="AT962">
        <f>COUNTIF(Table67[[#This Row],[The mechanism of digital assets is difficult to understand, which discourages me from exploring it (E.g, Tokenization, Blockchain)]:[If I want to try different ways to invest, I will explore digital assets.]], 3)</f>
        <v>2</v>
      </c>
      <c r="AU962">
        <f>Table67[[#This Row],[Midpoint]]/21</f>
        <v>9.5238095238095233E-2</v>
      </c>
      <c r="AV962">
        <f>_xlfn.PERCENTILE.INC(Table67[Midpoint ratio],0.9)</f>
        <v>0.5714285714285714</v>
      </c>
      <c r="AW962" t="b">
        <f>Table67[[#This Row],[Midpoint ratio]]&gt;=Table67[[#This Row],[Threshold of Midpoint ratio]]</f>
        <v>0</v>
      </c>
      <c r="AX962" t="b">
        <f>OR(Table67[[#This Row],[Extreme Response Style]],Table67[[#This Row],[Mid-point Response Style]])</f>
        <v>0</v>
      </c>
      <c r="AY962" t="b">
        <f>OR(Table67[[#This Row],[Delete? (Stage 1)]],Table67[[#This Row],[Delete? (Stage 2)]])</f>
        <v>1</v>
      </c>
      <c r="AZ962" t="s">
        <v>84</v>
      </c>
    </row>
    <row r="963" spans="1:52">
      <c r="A963">
        <f t="shared" si="59"/>
        <v>962</v>
      </c>
      <c r="B963" s="3">
        <v>46056.878900463002</v>
      </c>
      <c r="C963" s="3">
        <v>46056.8835763889</v>
      </c>
      <c r="D963" t="s">
        <v>53</v>
      </c>
      <c r="G963" t="s">
        <v>54</v>
      </c>
      <c r="H963" t="s">
        <v>63</v>
      </c>
      <c r="I963" t="s">
        <v>75</v>
      </c>
      <c r="J963" t="s">
        <v>62</v>
      </c>
      <c r="K963" t="s">
        <v>62</v>
      </c>
      <c r="L963" t="s">
        <v>58</v>
      </c>
      <c r="M963" t="s">
        <v>58</v>
      </c>
      <c r="N963">
        <v>2</v>
      </c>
      <c r="O963">
        <v>1</v>
      </c>
      <c r="P963">
        <v>4</v>
      </c>
      <c r="Q963">
        <v>4</v>
      </c>
      <c r="R963">
        <v>3</v>
      </c>
      <c r="S963">
        <v>4</v>
      </c>
      <c r="T963">
        <v>2</v>
      </c>
      <c r="U963">
        <v>2</v>
      </c>
      <c r="V963">
        <v>3</v>
      </c>
      <c r="W963">
        <v>4</v>
      </c>
      <c r="X963">
        <v>2</v>
      </c>
      <c r="Y963">
        <v>3</v>
      </c>
      <c r="Z963">
        <v>4</v>
      </c>
      <c r="AA963">
        <v>3</v>
      </c>
      <c r="AB963">
        <v>3</v>
      </c>
      <c r="AC963">
        <v>3</v>
      </c>
      <c r="AD963">
        <v>3</v>
      </c>
      <c r="AE963">
        <v>4</v>
      </c>
      <c r="AF963">
        <v>4</v>
      </c>
      <c r="AG963">
        <v>4</v>
      </c>
      <c r="AH963">
        <v>5</v>
      </c>
      <c r="AI963">
        <v>1</v>
      </c>
      <c r="AJ963">
        <v>2</v>
      </c>
      <c r="AK963" t="b">
        <f>Table67[[#This Row],[What is your age?]]&lt;&gt;"18 - 25"</f>
        <v>0</v>
      </c>
      <c r="AL963" t="b">
        <f t="shared" ref="AL963:AL1026" si="60">COUNTIF(N963:AH963, N963) = COLUMNS(N963:AH963)</f>
        <v>0</v>
      </c>
      <c r="AM963" t="b">
        <f t="shared" ref="AM963:AM1026" si="61">OR(AND(AG963=AH963, AG963&lt;&gt;3), AND(OR(AG963=1, AG963=2), OR(AH963=1, AH963=2)), AND(OR(AG963=4, AG963=5), OR(AH963=4, AH963=5)))</f>
        <v>1</v>
      </c>
      <c r="AN963" t="b">
        <f t="shared" ref="AN963:AN1026" si="62">OR(AND(AG963=3, AH963&lt;&gt;3), AND(AH963=3, AG963&lt;&gt;3))</f>
        <v>0</v>
      </c>
      <c r="AO963" t="b">
        <f>OR(Table67[[#This Row],[Ineligible respondents]:[Inconsistent response on opposite question (3)]])</f>
        <v>1</v>
      </c>
      <c r="AP96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963">
        <f>Table67[[#This Row],[Extreme Response]]/21</f>
        <v>9.5238095238095233E-2</v>
      </c>
      <c r="AR963">
        <f>_xlfn.PERCENTILE.INC(Table67[Extrem Response Ratio (ERS)],0.9)</f>
        <v>0.61904761904761907</v>
      </c>
      <c r="AS963" t="b">
        <f>Table67[[#This Row],[Extrem Response Ratio (ERS)]]&gt;=Table67[[#This Row],[Threshold of ERS]]</f>
        <v>0</v>
      </c>
      <c r="AT963">
        <f>COUNTIF(Table67[[#This Row],[The mechanism of digital assets is difficult to understand, which discourages me from exploring it (E.g, Tokenization, Blockchain)]:[If I want to try different ways to invest, I will explore digital assets.]], 3)</f>
        <v>7</v>
      </c>
      <c r="AU963">
        <f>Table67[[#This Row],[Midpoint]]/21</f>
        <v>0.33333333333333331</v>
      </c>
      <c r="AV963">
        <f>_xlfn.PERCENTILE.INC(Table67[Midpoint ratio],0.9)</f>
        <v>0.5714285714285714</v>
      </c>
      <c r="AW963" t="b">
        <f>Table67[[#This Row],[Midpoint ratio]]&gt;=Table67[[#This Row],[Threshold of Midpoint ratio]]</f>
        <v>0</v>
      </c>
      <c r="AX963" t="b">
        <f>OR(Table67[[#This Row],[Extreme Response Style]],Table67[[#This Row],[Mid-point Response Style]])</f>
        <v>0</v>
      </c>
      <c r="AY963" t="b">
        <f>OR(Table67[[#This Row],[Delete? (Stage 1)]],Table67[[#This Row],[Delete? (Stage 2)]])</f>
        <v>1</v>
      </c>
      <c r="AZ963" t="s">
        <v>84</v>
      </c>
    </row>
    <row r="964" spans="1:52">
      <c r="A964">
        <f t="shared" ref="A964:A1027" si="63">1+A963</f>
        <v>963</v>
      </c>
      <c r="B964" s="3">
        <v>46056.879039351901</v>
      </c>
      <c r="C964" s="3">
        <v>46056.886932870402</v>
      </c>
      <c r="D964" t="s">
        <v>53</v>
      </c>
      <c r="G964" t="s">
        <v>54</v>
      </c>
      <c r="H964" t="s">
        <v>63</v>
      </c>
      <c r="I964" t="s">
        <v>56</v>
      </c>
      <c r="J964" t="s">
        <v>57</v>
      </c>
      <c r="K964" t="s">
        <v>57</v>
      </c>
      <c r="L964" t="s">
        <v>58</v>
      </c>
      <c r="M964" t="s">
        <v>61</v>
      </c>
      <c r="N964">
        <v>2</v>
      </c>
      <c r="O964">
        <v>1</v>
      </c>
      <c r="P964">
        <v>2</v>
      </c>
      <c r="Q964">
        <v>3</v>
      </c>
      <c r="R964">
        <v>1</v>
      </c>
      <c r="S964">
        <v>3</v>
      </c>
      <c r="T964">
        <v>2</v>
      </c>
      <c r="U964">
        <v>2</v>
      </c>
      <c r="V964">
        <v>2</v>
      </c>
      <c r="W964">
        <v>1</v>
      </c>
      <c r="X964">
        <v>2</v>
      </c>
      <c r="Y964">
        <v>2</v>
      </c>
      <c r="Z964">
        <v>3</v>
      </c>
      <c r="AA964">
        <v>3</v>
      </c>
      <c r="AB964">
        <v>3</v>
      </c>
      <c r="AC964">
        <v>1</v>
      </c>
      <c r="AD964">
        <v>4</v>
      </c>
      <c r="AE964">
        <v>1</v>
      </c>
      <c r="AF964">
        <v>4</v>
      </c>
      <c r="AG964">
        <v>1</v>
      </c>
      <c r="AH964">
        <v>5</v>
      </c>
      <c r="AI964">
        <v>1</v>
      </c>
      <c r="AJ964">
        <v>2</v>
      </c>
      <c r="AK964" t="b">
        <f>Table67[[#This Row],[What is your age?]]&lt;&gt;"18 - 25"</f>
        <v>0</v>
      </c>
      <c r="AL964" t="b">
        <f t="shared" si="60"/>
        <v>0</v>
      </c>
      <c r="AM964" t="b">
        <f t="shared" si="61"/>
        <v>0</v>
      </c>
      <c r="AN964" t="b">
        <f t="shared" si="62"/>
        <v>0</v>
      </c>
      <c r="AO964" t="b">
        <f>OR(Table67[[#This Row],[Ineligible respondents]:[Inconsistent response on opposite question (3)]])</f>
        <v>0</v>
      </c>
      <c r="AP96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964">
        <f>Table67[[#This Row],[Extreme Response]]/21</f>
        <v>0.33333333333333331</v>
      </c>
      <c r="AR964">
        <f>_xlfn.PERCENTILE.INC(Table67[Extrem Response Ratio (ERS)],0.9)</f>
        <v>0.61904761904761907</v>
      </c>
      <c r="AS964" t="b">
        <f>Table67[[#This Row],[Extrem Response Ratio (ERS)]]&gt;=Table67[[#This Row],[Threshold of ERS]]</f>
        <v>0</v>
      </c>
      <c r="AT964">
        <f>COUNTIF(Table67[[#This Row],[The mechanism of digital assets is difficult to understand, which discourages me from exploring it (E.g, Tokenization, Blockchain)]:[If I want to try different ways to invest, I will explore digital assets.]], 3)</f>
        <v>5</v>
      </c>
      <c r="AU964">
        <f>Table67[[#This Row],[Midpoint]]/21</f>
        <v>0.23809523809523808</v>
      </c>
      <c r="AV964">
        <f>_xlfn.PERCENTILE.INC(Table67[Midpoint ratio],0.9)</f>
        <v>0.5714285714285714</v>
      </c>
      <c r="AW964" t="b">
        <f>Table67[[#This Row],[Midpoint ratio]]&gt;=Table67[[#This Row],[Threshold of Midpoint ratio]]</f>
        <v>0</v>
      </c>
      <c r="AX964" t="b">
        <f>OR(Table67[[#This Row],[Extreme Response Style]],Table67[[#This Row],[Mid-point Response Style]])</f>
        <v>0</v>
      </c>
      <c r="AY964" t="b">
        <f>OR(Table67[[#This Row],[Delete? (Stage 1)]],Table67[[#This Row],[Delete? (Stage 2)]])</f>
        <v>0</v>
      </c>
      <c r="AZ964" t="s">
        <v>84</v>
      </c>
    </row>
    <row r="965" spans="1:52">
      <c r="A965">
        <f t="shared" si="63"/>
        <v>964</v>
      </c>
      <c r="B965" s="3">
        <v>46056.879050925898</v>
      </c>
      <c r="C965" s="3">
        <v>46056.880706018499</v>
      </c>
      <c r="D965" t="s">
        <v>53</v>
      </c>
      <c r="G965" t="s">
        <v>54</v>
      </c>
      <c r="H965" t="s">
        <v>70</v>
      </c>
      <c r="I965" t="s">
        <v>71</v>
      </c>
      <c r="J965" t="s">
        <v>57</v>
      </c>
      <c r="K965" t="s">
        <v>57</v>
      </c>
      <c r="L965" t="s">
        <v>58</v>
      </c>
      <c r="M965" t="s">
        <v>58</v>
      </c>
      <c r="N965">
        <v>4</v>
      </c>
      <c r="O965">
        <v>2</v>
      </c>
      <c r="P965">
        <v>4</v>
      </c>
      <c r="Q965">
        <v>3</v>
      </c>
      <c r="R965">
        <v>4</v>
      </c>
      <c r="S965">
        <v>5</v>
      </c>
      <c r="T965">
        <v>4</v>
      </c>
      <c r="U965">
        <v>4</v>
      </c>
      <c r="V965">
        <v>5</v>
      </c>
      <c r="W965">
        <v>4</v>
      </c>
      <c r="X965">
        <v>5</v>
      </c>
      <c r="Y965">
        <v>5</v>
      </c>
      <c r="Z965">
        <v>4</v>
      </c>
      <c r="AA965">
        <v>4</v>
      </c>
      <c r="AB965">
        <v>4</v>
      </c>
      <c r="AC965">
        <v>4</v>
      </c>
      <c r="AD965">
        <v>4</v>
      </c>
      <c r="AE965">
        <v>2</v>
      </c>
      <c r="AF965">
        <v>1</v>
      </c>
      <c r="AG965">
        <v>4</v>
      </c>
      <c r="AH965">
        <v>2</v>
      </c>
      <c r="AI965">
        <v>4</v>
      </c>
      <c r="AJ965">
        <v>5</v>
      </c>
      <c r="AK965" t="b">
        <f>Table67[[#This Row],[What is your age?]]&lt;&gt;"18 - 25"</f>
        <v>0</v>
      </c>
      <c r="AL965" t="b">
        <f t="shared" si="60"/>
        <v>0</v>
      </c>
      <c r="AM965" t="b">
        <f t="shared" si="61"/>
        <v>0</v>
      </c>
      <c r="AN965" t="b">
        <f t="shared" si="62"/>
        <v>0</v>
      </c>
      <c r="AO965" t="b">
        <f>OR(Table67[[#This Row],[Ineligible respondents]:[Inconsistent response on opposite question (3)]])</f>
        <v>0</v>
      </c>
      <c r="AP96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965">
        <f>Table67[[#This Row],[Extreme Response]]/21</f>
        <v>0.23809523809523808</v>
      </c>
      <c r="AR965">
        <f>_xlfn.PERCENTILE.INC(Table67[Extrem Response Ratio (ERS)],0.9)</f>
        <v>0.61904761904761907</v>
      </c>
      <c r="AS965" t="b">
        <f>Table67[[#This Row],[Extrem Response Ratio (ERS)]]&gt;=Table67[[#This Row],[Threshold of ERS]]</f>
        <v>0</v>
      </c>
      <c r="AT965">
        <f>COUNTIF(Table67[[#This Row],[The mechanism of digital assets is difficult to understand, which discourages me from exploring it (E.g, Tokenization, Blockchain)]:[If I want to try different ways to invest, I will explore digital assets.]], 3)</f>
        <v>1</v>
      </c>
      <c r="AU965">
        <f>Table67[[#This Row],[Midpoint]]/21</f>
        <v>4.7619047619047616E-2</v>
      </c>
      <c r="AV965">
        <f>_xlfn.PERCENTILE.INC(Table67[Midpoint ratio],0.9)</f>
        <v>0.5714285714285714</v>
      </c>
      <c r="AW965" t="b">
        <f>Table67[[#This Row],[Midpoint ratio]]&gt;=Table67[[#This Row],[Threshold of Midpoint ratio]]</f>
        <v>0</v>
      </c>
      <c r="AX965" t="b">
        <f>OR(Table67[[#This Row],[Extreme Response Style]],Table67[[#This Row],[Mid-point Response Style]])</f>
        <v>0</v>
      </c>
      <c r="AY965" t="b">
        <f>OR(Table67[[#This Row],[Delete? (Stage 1)]],Table67[[#This Row],[Delete? (Stage 2)]])</f>
        <v>0</v>
      </c>
      <c r="AZ965" t="s">
        <v>84</v>
      </c>
    </row>
    <row r="966" spans="1:52">
      <c r="A966">
        <f t="shared" si="63"/>
        <v>965</v>
      </c>
      <c r="B966" s="3">
        <v>46056.879305555602</v>
      </c>
      <c r="C966" s="3">
        <v>46056.882627314801</v>
      </c>
      <c r="D966" t="s">
        <v>53</v>
      </c>
      <c r="G966" t="s">
        <v>54</v>
      </c>
      <c r="H966" t="s">
        <v>55</v>
      </c>
      <c r="I966" t="s">
        <v>56</v>
      </c>
      <c r="J966" t="s">
        <v>57</v>
      </c>
      <c r="K966" t="s">
        <v>57</v>
      </c>
      <c r="L966" t="s">
        <v>58</v>
      </c>
      <c r="M966" t="s">
        <v>58</v>
      </c>
      <c r="N966">
        <v>4</v>
      </c>
      <c r="O966">
        <v>2</v>
      </c>
      <c r="P966">
        <v>4</v>
      </c>
      <c r="Q966">
        <v>4</v>
      </c>
      <c r="R966">
        <v>4</v>
      </c>
      <c r="S966">
        <v>4</v>
      </c>
      <c r="T966">
        <v>3</v>
      </c>
      <c r="U966">
        <v>4</v>
      </c>
      <c r="V966">
        <v>4</v>
      </c>
      <c r="W966">
        <v>4</v>
      </c>
      <c r="X966">
        <v>4</v>
      </c>
      <c r="Y966">
        <v>4</v>
      </c>
      <c r="Z966">
        <v>5</v>
      </c>
      <c r="AA966">
        <v>4</v>
      </c>
      <c r="AB966">
        <v>3</v>
      </c>
      <c r="AC966">
        <v>4</v>
      </c>
      <c r="AD966">
        <v>4</v>
      </c>
      <c r="AE966">
        <v>3</v>
      </c>
      <c r="AF966">
        <v>3</v>
      </c>
      <c r="AG966">
        <v>4</v>
      </c>
      <c r="AH966">
        <v>2</v>
      </c>
      <c r="AI966">
        <v>4</v>
      </c>
      <c r="AJ966">
        <v>3</v>
      </c>
      <c r="AK966" t="b">
        <f>Table67[[#This Row],[What is your age?]]&lt;&gt;"18 - 25"</f>
        <v>0</v>
      </c>
      <c r="AL966" t="b">
        <f t="shared" si="60"/>
        <v>0</v>
      </c>
      <c r="AM966" t="b">
        <f t="shared" si="61"/>
        <v>0</v>
      </c>
      <c r="AN966" t="b">
        <f t="shared" si="62"/>
        <v>0</v>
      </c>
      <c r="AO966" t="b">
        <f>OR(Table67[[#This Row],[Ineligible respondents]:[Inconsistent response on opposite question (3)]])</f>
        <v>0</v>
      </c>
      <c r="AP96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966">
        <f>Table67[[#This Row],[Extreme Response]]/21</f>
        <v>4.7619047619047616E-2</v>
      </c>
      <c r="AR966">
        <f>_xlfn.PERCENTILE.INC(Table67[Extrem Response Ratio (ERS)],0.9)</f>
        <v>0.61904761904761907</v>
      </c>
      <c r="AS966" t="b">
        <f>Table67[[#This Row],[Extrem Response Ratio (ERS)]]&gt;=Table67[[#This Row],[Threshold of ERS]]</f>
        <v>0</v>
      </c>
      <c r="AT966">
        <f>COUNTIF(Table67[[#This Row],[The mechanism of digital assets is difficult to understand, which discourages me from exploring it (E.g, Tokenization, Blockchain)]:[If I want to try different ways to invest, I will explore digital assets.]], 3)</f>
        <v>4</v>
      </c>
      <c r="AU966">
        <f>Table67[[#This Row],[Midpoint]]/21</f>
        <v>0.19047619047619047</v>
      </c>
      <c r="AV966">
        <f>_xlfn.PERCENTILE.INC(Table67[Midpoint ratio],0.9)</f>
        <v>0.5714285714285714</v>
      </c>
      <c r="AW966" t="b">
        <f>Table67[[#This Row],[Midpoint ratio]]&gt;=Table67[[#This Row],[Threshold of Midpoint ratio]]</f>
        <v>0</v>
      </c>
      <c r="AX966" t="b">
        <f>OR(Table67[[#This Row],[Extreme Response Style]],Table67[[#This Row],[Mid-point Response Style]])</f>
        <v>0</v>
      </c>
      <c r="AY966" t="b">
        <f>OR(Table67[[#This Row],[Delete? (Stage 1)]],Table67[[#This Row],[Delete? (Stage 2)]])</f>
        <v>0</v>
      </c>
      <c r="AZ966" t="s">
        <v>84</v>
      </c>
    </row>
    <row r="967" spans="1:52">
      <c r="A967">
        <f t="shared" si="63"/>
        <v>966</v>
      </c>
      <c r="B967" s="3">
        <v>46056.879525463002</v>
      </c>
      <c r="C967" s="3">
        <v>46056.887152777803</v>
      </c>
      <c r="D967" t="s">
        <v>53</v>
      </c>
      <c r="G967" t="s">
        <v>54</v>
      </c>
      <c r="H967" t="s">
        <v>63</v>
      </c>
      <c r="I967" t="s">
        <v>75</v>
      </c>
      <c r="J967" t="s">
        <v>62</v>
      </c>
      <c r="K967" t="s">
        <v>62</v>
      </c>
      <c r="L967" t="s">
        <v>58</v>
      </c>
      <c r="M967" t="s">
        <v>58</v>
      </c>
      <c r="N967">
        <v>5</v>
      </c>
      <c r="O967">
        <v>1</v>
      </c>
      <c r="P967">
        <v>4</v>
      </c>
      <c r="Q967">
        <v>3</v>
      </c>
      <c r="R967">
        <v>2</v>
      </c>
      <c r="S967">
        <v>4</v>
      </c>
      <c r="T967">
        <v>4</v>
      </c>
      <c r="U967">
        <v>5</v>
      </c>
      <c r="V967">
        <v>4</v>
      </c>
      <c r="W967">
        <v>4</v>
      </c>
      <c r="X967">
        <v>5</v>
      </c>
      <c r="Y967">
        <v>4</v>
      </c>
      <c r="Z967">
        <v>5</v>
      </c>
      <c r="AA967">
        <v>4</v>
      </c>
      <c r="AB967">
        <v>3</v>
      </c>
      <c r="AC967">
        <v>2</v>
      </c>
      <c r="AD967">
        <v>5</v>
      </c>
      <c r="AE967">
        <v>5</v>
      </c>
      <c r="AF967">
        <v>2</v>
      </c>
      <c r="AG967">
        <v>4</v>
      </c>
      <c r="AH967">
        <v>4</v>
      </c>
      <c r="AI967">
        <v>2</v>
      </c>
      <c r="AJ967">
        <v>4</v>
      </c>
      <c r="AK967" t="b">
        <f>Table67[[#This Row],[What is your age?]]&lt;&gt;"18 - 25"</f>
        <v>0</v>
      </c>
      <c r="AL967" t="b">
        <f t="shared" si="60"/>
        <v>0</v>
      </c>
      <c r="AM967" t="b">
        <f t="shared" si="61"/>
        <v>1</v>
      </c>
      <c r="AN967" t="b">
        <f t="shared" si="62"/>
        <v>0</v>
      </c>
      <c r="AO967" t="b">
        <f>OR(Table67[[#This Row],[Ineligible respondents]:[Inconsistent response on opposite question (3)]])</f>
        <v>1</v>
      </c>
      <c r="AP96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967">
        <f>Table67[[#This Row],[Extreme Response]]/21</f>
        <v>0.33333333333333331</v>
      </c>
      <c r="AR967">
        <f>_xlfn.PERCENTILE.INC(Table67[Extrem Response Ratio (ERS)],0.9)</f>
        <v>0.61904761904761907</v>
      </c>
      <c r="AS967" t="b">
        <f>Table67[[#This Row],[Extrem Response Ratio (ERS)]]&gt;=Table67[[#This Row],[Threshold of ERS]]</f>
        <v>0</v>
      </c>
      <c r="AT967">
        <f>COUNTIF(Table67[[#This Row],[The mechanism of digital assets is difficult to understand, which discourages me from exploring it (E.g, Tokenization, Blockchain)]:[If I want to try different ways to invest, I will explore digital assets.]], 3)</f>
        <v>2</v>
      </c>
      <c r="AU967">
        <f>Table67[[#This Row],[Midpoint]]/21</f>
        <v>9.5238095238095233E-2</v>
      </c>
      <c r="AV967">
        <f>_xlfn.PERCENTILE.INC(Table67[Midpoint ratio],0.9)</f>
        <v>0.5714285714285714</v>
      </c>
      <c r="AW967" t="b">
        <f>Table67[[#This Row],[Midpoint ratio]]&gt;=Table67[[#This Row],[Threshold of Midpoint ratio]]</f>
        <v>0</v>
      </c>
      <c r="AX967" t="b">
        <f>OR(Table67[[#This Row],[Extreme Response Style]],Table67[[#This Row],[Mid-point Response Style]])</f>
        <v>0</v>
      </c>
      <c r="AY967" t="b">
        <f>OR(Table67[[#This Row],[Delete? (Stage 1)]],Table67[[#This Row],[Delete? (Stage 2)]])</f>
        <v>1</v>
      </c>
      <c r="AZ967" t="s">
        <v>84</v>
      </c>
    </row>
    <row r="968" spans="1:52">
      <c r="A968">
        <f t="shared" si="63"/>
        <v>967</v>
      </c>
      <c r="B968" s="3">
        <v>46056.879594907397</v>
      </c>
      <c r="C968" s="3">
        <v>46056.881793981498</v>
      </c>
      <c r="D968" t="s">
        <v>53</v>
      </c>
      <c r="G968" t="s">
        <v>54</v>
      </c>
      <c r="H968" t="s">
        <v>55</v>
      </c>
      <c r="I968" t="s">
        <v>56</v>
      </c>
      <c r="J968" t="s">
        <v>67</v>
      </c>
      <c r="K968" t="s">
        <v>62</v>
      </c>
      <c r="L968" t="s">
        <v>58</v>
      </c>
      <c r="M968" t="s">
        <v>61</v>
      </c>
      <c r="N968">
        <v>4</v>
      </c>
      <c r="O968">
        <v>4</v>
      </c>
      <c r="P968">
        <v>4</v>
      </c>
      <c r="Q968">
        <v>4</v>
      </c>
      <c r="R968">
        <v>4</v>
      </c>
      <c r="S968">
        <v>4</v>
      </c>
      <c r="T968">
        <v>3</v>
      </c>
      <c r="U968">
        <v>4</v>
      </c>
      <c r="V968">
        <v>4</v>
      </c>
      <c r="W968">
        <v>5</v>
      </c>
      <c r="X968">
        <v>4</v>
      </c>
      <c r="Y968">
        <v>4</v>
      </c>
      <c r="Z968">
        <v>5</v>
      </c>
      <c r="AA968">
        <v>5</v>
      </c>
      <c r="AB968">
        <v>3</v>
      </c>
      <c r="AC968">
        <v>4</v>
      </c>
      <c r="AD968">
        <v>4</v>
      </c>
      <c r="AE968">
        <v>3</v>
      </c>
      <c r="AF968">
        <v>3</v>
      </c>
      <c r="AG968">
        <v>3</v>
      </c>
      <c r="AH968">
        <v>2</v>
      </c>
      <c r="AI968">
        <v>4</v>
      </c>
      <c r="AJ968">
        <v>3</v>
      </c>
      <c r="AK968" t="b">
        <f>Table67[[#This Row],[What is your age?]]&lt;&gt;"18 - 25"</f>
        <v>0</v>
      </c>
      <c r="AL968" t="b">
        <f t="shared" si="60"/>
        <v>0</v>
      </c>
      <c r="AM968" t="b">
        <f t="shared" si="61"/>
        <v>0</v>
      </c>
      <c r="AN968" t="b">
        <f t="shared" si="62"/>
        <v>1</v>
      </c>
      <c r="AO968" t="b">
        <f>OR(Table67[[#This Row],[Ineligible respondents]:[Inconsistent response on opposite question (3)]])</f>
        <v>1</v>
      </c>
      <c r="AP96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968">
        <f>Table67[[#This Row],[Extreme Response]]/21</f>
        <v>0.14285714285714285</v>
      </c>
      <c r="AR968">
        <f>_xlfn.PERCENTILE.INC(Table67[Extrem Response Ratio (ERS)],0.9)</f>
        <v>0.61904761904761907</v>
      </c>
      <c r="AS968" t="b">
        <f>Table67[[#This Row],[Extrem Response Ratio (ERS)]]&gt;=Table67[[#This Row],[Threshold of ERS]]</f>
        <v>0</v>
      </c>
      <c r="AT968">
        <f>COUNTIF(Table67[[#This Row],[The mechanism of digital assets is difficult to understand, which discourages me from exploring it (E.g, Tokenization, Blockchain)]:[If I want to try different ways to invest, I will explore digital assets.]], 3)</f>
        <v>5</v>
      </c>
      <c r="AU968">
        <f>Table67[[#This Row],[Midpoint]]/21</f>
        <v>0.23809523809523808</v>
      </c>
      <c r="AV968">
        <f>_xlfn.PERCENTILE.INC(Table67[Midpoint ratio],0.9)</f>
        <v>0.5714285714285714</v>
      </c>
      <c r="AW968" t="b">
        <f>Table67[[#This Row],[Midpoint ratio]]&gt;=Table67[[#This Row],[Threshold of Midpoint ratio]]</f>
        <v>0</v>
      </c>
      <c r="AX968" t="b">
        <f>OR(Table67[[#This Row],[Extreme Response Style]],Table67[[#This Row],[Mid-point Response Style]])</f>
        <v>0</v>
      </c>
      <c r="AY968" t="b">
        <f>OR(Table67[[#This Row],[Delete? (Stage 1)]],Table67[[#This Row],[Delete? (Stage 2)]])</f>
        <v>1</v>
      </c>
      <c r="AZ968" t="s">
        <v>84</v>
      </c>
    </row>
    <row r="969" spans="1:52">
      <c r="A969">
        <f t="shared" si="63"/>
        <v>968</v>
      </c>
      <c r="B969" s="3">
        <v>46056.8797106481</v>
      </c>
      <c r="C969" s="3">
        <v>46056.881377314799</v>
      </c>
      <c r="D969" t="s">
        <v>53</v>
      </c>
      <c r="G969" t="s">
        <v>54</v>
      </c>
      <c r="H969" t="s">
        <v>55</v>
      </c>
      <c r="I969" t="s">
        <v>56</v>
      </c>
      <c r="J969" t="s">
        <v>60</v>
      </c>
      <c r="K969" t="s">
        <v>62</v>
      </c>
      <c r="L969" t="s">
        <v>61</v>
      </c>
      <c r="M969" t="s">
        <v>61</v>
      </c>
      <c r="N969">
        <v>4</v>
      </c>
      <c r="O969">
        <v>4</v>
      </c>
      <c r="P969">
        <v>4</v>
      </c>
      <c r="Q969">
        <v>5</v>
      </c>
      <c r="R969">
        <v>3</v>
      </c>
      <c r="S969">
        <v>5</v>
      </c>
      <c r="T969">
        <v>4</v>
      </c>
      <c r="U969">
        <v>5</v>
      </c>
      <c r="V969">
        <v>3</v>
      </c>
      <c r="W969">
        <v>4</v>
      </c>
      <c r="X969">
        <v>3</v>
      </c>
      <c r="Y969">
        <v>1</v>
      </c>
      <c r="Z969">
        <v>4</v>
      </c>
      <c r="AA969">
        <v>5</v>
      </c>
      <c r="AB969">
        <v>4</v>
      </c>
      <c r="AC969">
        <v>4</v>
      </c>
      <c r="AD969">
        <v>5</v>
      </c>
      <c r="AE969">
        <v>4</v>
      </c>
      <c r="AF969">
        <v>3</v>
      </c>
      <c r="AG969">
        <v>4</v>
      </c>
      <c r="AH969">
        <v>5</v>
      </c>
      <c r="AI969">
        <v>1</v>
      </c>
      <c r="AJ969">
        <v>3</v>
      </c>
      <c r="AK969" t="b">
        <f>Table67[[#This Row],[What is your age?]]&lt;&gt;"18 - 25"</f>
        <v>0</v>
      </c>
      <c r="AL969" t="b">
        <f t="shared" si="60"/>
        <v>0</v>
      </c>
      <c r="AM969" t="b">
        <f t="shared" si="61"/>
        <v>1</v>
      </c>
      <c r="AN969" t="b">
        <f t="shared" si="62"/>
        <v>0</v>
      </c>
      <c r="AO969" t="b">
        <f>OR(Table67[[#This Row],[Ineligible respondents]:[Inconsistent response on opposite question (3)]])</f>
        <v>1</v>
      </c>
      <c r="AP96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969">
        <f>Table67[[#This Row],[Extreme Response]]/21</f>
        <v>0.33333333333333331</v>
      </c>
      <c r="AR969">
        <f>_xlfn.PERCENTILE.INC(Table67[Extrem Response Ratio (ERS)],0.9)</f>
        <v>0.61904761904761907</v>
      </c>
      <c r="AS969" t="b">
        <f>Table67[[#This Row],[Extrem Response Ratio (ERS)]]&gt;=Table67[[#This Row],[Threshold of ERS]]</f>
        <v>0</v>
      </c>
      <c r="AT969">
        <f>COUNTIF(Table67[[#This Row],[The mechanism of digital assets is difficult to understand, which discourages me from exploring it (E.g, Tokenization, Blockchain)]:[If I want to try different ways to invest, I will explore digital assets.]], 3)</f>
        <v>4</v>
      </c>
      <c r="AU969">
        <f>Table67[[#This Row],[Midpoint]]/21</f>
        <v>0.19047619047619047</v>
      </c>
      <c r="AV969">
        <f>_xlfn.PERCENTILE.INC(Table67[Midpoint ratio],0.9)</f>
        <v>0.5714285714285714</v>
      </c>
      <c r="AW969" t="b">
        <f>Table67[[#This Row],[Midpoint ratio]]&gt;=Table67[[#This Row],[Threshold of Midpoint ratio]]</f>
        <v>0</v>
      </c>
      <c r="AX969" t="b">
        <f>OR(Table67[[#This Row],[Extreme Response Style]],Table67[[#This Row],[Mid-point Response Style]])</f>
        <v>0</v>
      </c>
      <c r="AY969" t="b">
        <f>OR(Table67[[#This Row],[Delete? (Stage 1)]],Table67[[#This Row],[Delete? (Stage 2)]])</f>
        <v>1</v>
      </c>
      <c r="AZ969" t="s">
        <v>84</v>
      </c>
    </row>
    <row r="970" spans="1:52">
      <c r="A970">
        <f t="shared" si="63"/>
        <v>969</v>
      </c>
      <c r="B970" s="3">
        <v>46056.879791666703</v>
      </c>
      <c r="C970" s="3">
        <v>46056.883541666699</v>
      </c>
      <c r="D970" t="s">
        <v>53</v>
      </c>
      <c r="G970" t="s">
        <v>54</v>
      </c>
      <c r="H970" t="s">
        <v>70</v>
      </c>
      <c r="I970" t="s">
        <v>71</v>
      </c>
      <c r="J970" t="s">
        <v>57</v>
      </c>
      <c r="K970" t="s">
        <v>62</v>
      </c>
      <c r="L970" t="s">
        <v>58</v>
      </c>
      <c r="M970" t="s">
        <v>58</v>
      </c>
      <c r="N970">
        <v>3</v>
      </c>
      <c r="O970">
        <v>2</v>
      </c>
      <c r="P970">
        <v>5</v>
      </c>
      <c r="Q970">
        <v>5</v>
      </c>
      <c r="R970">
        <v>4</v>
      </c>
      <c r="S970">
        <v>5</v>
      </c>
      <c r="T970">
        <v>3</v>
      </c>
      <c r="U970">
        <v>4</v>
      </c>
      <c r="V970">
        <v>5</v>
      </c>
      <c r="W970">
        <v>3</v>
      </c>
      <c r="X970">
        <v>4</v>
      </c>
      <c r="Y970">
        <v>4</v>
      </c>
      <c r="Z970">
        <v>5</v>
      </c>
      <c r="AA970">
        <v>4</v>
      </c>
      <c r="AB970">
        <v>2</v>
      </c>
      <c r="AC970">
        <v>5</v>
      </c>
      <c r="AD970">
        <v>5</v>
      </c>
      <c r="AE970">
        <v>3</v>
      </c>
      <c r="AF970">
        <v>2</v>
      </c>
      <c r="AG970">
        <v>3</v>
      </c>
      <c r="AH970">
        <v>4</v>
      </c>
      <c r="AI970">
        <v>2</v>
      </c>
      <c r="AJ970">
        <v>4</v>
      </c>
      <c r="AK970" t="b">
        <f>Table67[[#This Row],[What is your age?]]&lt;&gt;"18 - 25"</f>
        <v>0</v>
      </c>
      <c r="AL970" t="b">
        <f t="shared" si="60"/>
        <v>0</v>
      </c>
      <c r="AM970" t="b">
        <f t="shared" si="61"/>
        <v>0</v>
      </c>
      <c r="AN970" t="b">
        <f t="shared" si="62"/>
        <v>1</v>
      </c>
      <c r="AO970" t="b">
        <f>OR(Table67[[#This Row],[Ineligible respondents]:[Inconsistent response on opposite question (3)]])</f>
        <v>1</v>
      </c>
      <c r="AP97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970">
        <f>Table67[[#This Row],[Extreme Response]]/21</f>
        <v>0.33333333333333331</v>
      </c>
      <c r="AR970">
        <f>_xlfn.PERCENTILE.INC(Table67[Extrem Response Ratio (ERS)],0.9)</f>
        <v>0.61904761904761907</v>
      </c>
      <c r="AS970" t="b">
        <f>Table67[[#This Row],[Extrem Response Ratio (ERS)]]&gt;=Table67[[#This Row],[Threshold of ERS]]</f>
        <v>0</v>
      </c>
      <c r="AT970">
        <f>COUNTIF(Table67[[#This Row],[The mechanism of digital assets is difficult to understand, which discourages me from exploring it (E.g, Tokenization, Blockchain)]:[If I want to try different ways to invest, I will explore digital assets.]], 3)</f>
        <v>5</v>
      </c>
      <c r="AU970">
        <f>Table67[[#This Row],[Midpoint]]/21</f>
        <v>0.23809523809523808</v>
      </c>
      <c r="AV970">
        <f>_xlfn.PERCENTILE.INC(Table67[Midpoint ratio],0.9)</f>
        <v>0.5714285714285714</v>
      </c>
      <c r="AW970" t="b">
        <f>Table67[[#This Row],[Midpoint ratio]]&gt;=Table67[[#This Row],[Threshold of Midpoint ratio]]</f>
        <v>0</v>
      </c>
      <c r="AX970" t="b">
        <f>OR(Table67[[#This Row],[Extreme Response Style]],Table67[[#This Row],[Mid-point Response Style]])</f>
        <v>0</v>
      </c>
      <c r="AY970" t="b">
        <f>OR(Table67[[#This Row],[Delete? (Stage 1)]],Table67[[#This Row],[Delete? (Stage 2)]])</f>
        <v>1</v>
      </c>
      <c r="AZ970" t="s">
        <v>84</v>
      </c>
    </row>
    <row r="971" spans="1:52">
      <c r="A971">
        <f t="shared" si="63"/>
        <v>970</v>
      </c>
      <c r="B971" s="3">
        <v>46056.879930555602</v>
      </c>
      <c r="C971" s="3">
        <v>46056.8858680556</v>
      </c>
      <c r="D971" t="s">
        <v>53</v>
      </c>
      <c r="G971" t="s">
        <v>54</v>
      </c>
      <c r="H971" t="s">
        <v>63</v>
      </c>
      <c r="I971" t="s">
        <v>69</v>
      </c>
      <c r="J971" t="s">
        <v>62</v>
      </c>
      <c r="K971" t="s">
        <v>62</v>
      </c>
      <c r="L971" t="s">
        <v>61</v>
      </c>
      <c r="M971" t="s">
        <v>61</v>
      </c>
      <c r="N971">
        <v>3</v>
      </c>
      <c r="O971">
        <v>2</v>
      </c>
      <c r="P971">
        <v>4</v>
      </c>
      <c r="Q971">
        <v>2</v>
      </c>
      <c r="R971">
        <v>4</v>
      </c>
      <c r="S971">
        <v>3</v>
      </c>
      <c r="T971">
        <v>2</v>
      </c>
      <c r="U971">
        <v>4</v>
      </c>
      <c r="V971">
        <v>4</v>
      </c>
      <c r="W971">
        <v>3</v>
      </c>
      <c r="X971">
        <v>4</v>
      </c>
      <c r="Y971">
        <v>4</v>
      </c>
      <c r="Z971">
        <v>4</v>
      </c>
      <c r="AA971">
        <v>4</v>
      </c>
      <c r="AB971">
        <v>3</v>
      </c>
      <c r="AC971">
        <v>3</v>
      </c>
      <c r="AD971">
        <v>3</v>
      </c>
      <c r="AE971">
        <v>2</v>
      </c>
      <c r="AF971">
        <v>3</v>
      </c>
      <c r="AG971">
        <v>4</v>
      </c>
      <c r="AH971">
        <v>4</v>
      </c>
      <c r="AI971">
        <v>2</v>
      </c>
      <c r="AJ971">
        <v>3</v>
      </c>
      <c r="AK971" t="b">
        <f>Table67[[#This Row],[What is your age?]]&lt;&gt;"18 - 25"</f>
        <v>0</v>
      </c>
      <c r="AL971" t="b">
        <f t="shared" si="60"/>
        <v>0</v>
      </c>
      <c r="AM971" t="b">
        <f t="shared" si="61"/>
        <v>1</v>
      </c>
      <c r="AN971" t="b">
        <f t="shared" si="62"/>
        <v>0</v>
      </c>
      <c r="AO971" t="b">
        <f>OR(Table67[[#This Row],[Ineligible respondents]:[Inconsistent response on opposite question (3)]])</f>
        <v>1</v>
      </c>
      <c r="AP97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971">
        <f>Table67[[#This Row],[Extreme Response]]/21</f>
        <v>0</v>
      </c>
      <c r="AR971">
        <f>_xlfn.PERCENTILE.INC(Table67[Extrem Response Ratio (ERS)],0.9)</f>
        <v>0.61904761904761907</v>
      </c>
      <c r="AS971" t="b">
        <f>Table67[[#This Row],[Extrem Response Ratio (ERS)]]&gt;=Table67[[#This Row],[Threshold of ERS]]</f>
        <v>0</v>
      </c>
      <c r="AT971">
        <f>COUNTIF(Table67[[#This Row],[The mechanism of digital assets is difficult to understand, which discourages me from exploring it (E.g, Tokenization, Blockchain)]:[If I want to try different ways to invest, I will explore digital assets.]], 3)</f>
        <v>7</v>
      </c>
      <c r="AU971">
        <f>Table67[[#This Row],[Midpoint]]/21</f>
        <v>0.33333333333333331</v>
      </c>
      <c r="AV971">
        <f>_xlfn.PERCENTILE.INC(Table67[Midpoint ratio],0.9)</f>
        <v>0.5714285714285714</v>
      </c>
      <c r="AW971" t="b">
        <f>Table67[[#This Row],[Midpoint ratio]]&gt;=Table67[[#This Row],[Threshold of Midpoint ratio]]</f>
        <v>0</v>
      </c>
      <c r="AX971" t="b">
        <f>OR(Table67[[#This Row],[Extreme Response Style]],Table67[[#This Row],[Mid-point Response Style]])</f>
        <v>0</v>
      </c>
      <c r="AY971" t="b">
        <f>OR(Table67[[#This Row],[Delete? (Stage 1)]],Table67[[#This Row],[Delete? (Stage 2)]])</f>
        <v>1</v>
      </c>
      <c r="AZ971" t="s">
        <v>84</v>
      </c>
    </row>
    <row r="972" spans="1:52">
      <c r="A972">
        <f t="shared" si="63"/>
        <v>971</v>
      </c>
      <c r="B972" s="3">
        <v>46056.879953703698</v>
      </c>
      <c r="C972" s="3">
        <v>46056.887384259302</v>
      </c>
      <c r="D972" t="s">
        <v>53</v>
      </c>
      <c r="G972" t="s">
        <v>54</v>
      </c>
      <c r="H972" t="s">
        <v>63</v>
      </c>
      <c r="I972" t="s">
        <v>56</v>
      </c>
      <c r="J972" t="s">
        <v>60</v>
      </c>
      <c r="K972" t="s">
        <v>62</v>
      </c>
      <c r="L972" t="s">
        <v>61</v>
      </c>
      <c r="M972" t="s">
        <v>61</v>
      </c>
      <c r="N972">
        <v>4</v>
      </c>
      <c r="O972">
        <v>1</v>
      </c>
      <c r="P972">
        <v>5</v>
      </c>
      <c r="Q972">
        <v>4</v>
      </c>
      <c r="R972">
        <v>2</v>
      </c>
      <c r="S972">
        <v>2</v>
      </c>
      <c r="T972">
        <v>1</v>
      </c>
      <c r="U972">
        <v>1</v>
      </c>
      <c r="V972">
        <v>5</v>
      </c>
      <c r="W972">
        <v>5</v>
      </c>
      <c r="X972">
        <v>2</v>
      </c>
      <c r="Y972">
        <v>5</v>
      </c>
      <c r="Z972">
        <v>5</v>
      </c>
      <c r="AA972">
        <v>5</v>
      </c>
      <c r="AB972">
        <v>5</v>
      </c>
      <c r="AC972">
        <v>1</v>
      </c>
      <c r="AD972">
        <v>4</v>
      </c>
      <c r="AE972">
        <v>1</v>
      </c>
      <c r="AF972">
        <v>5</v>
      </c>
      <c r="AG972">
        <v>1</v>
      </c>
      <c r="AH972">
        <v>5</v>
      </c>
      <c r="AI972">
        <v>1</v>
      </c>
      <c r="AJ972">
        <v>1</v>
      </c>
      <c r="AK972" t="b">
        <f>Table67[[#This Row],[What is your age?]]&lt;&gt;"18 - 25"</f>
        <v>0</v>
      </c>
      <c r="AL972" t="b">
        <f t="shared" si="60"/>
        <v>0</v>
      </c>
      <c r="AM972" t="b">
        <f t="shared" si="61"/>
        <v>0</v>
      </c>
      <c r="AN972" t="b">
        <f t="shared" si="62"/>
        <v>0</v>
      </c>
      <c r="AO972" t="b">
        <f>OR(Table67[[#This Row],[Ineligible respondents]:[Inconsistent response on opposite question (3)]])</f>
        <v>0</v>
      </c>
      <c r="AP97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972">
        <f>Table67[[#This Row],[Extreme Response]]/21</f>
        <v>0.7142857142857143</v>
      </c>
      <c r="AR972">
        <f>_xlfn.PERCENTILE.INC(Table67[Extrem Response Ratio (ERS)],0.9)</f>
        <v>0.61904761904761907</v>
      </c>
      <c r="AS972" t="b">
        <f>Table67[[#This Row],[Extrem Response Ratio (ERS)]]&gt;=Table67[[#This Row],[Threshold of ERS]]</f>
        <v>1</v>
      </c>
      <c r="AT972">
        <f>COUNTIF(Table67[[#This Row],[The mechanism of digital assets is difficult to understand, which discourages me from exploring it (E.g, Tokenization, Blockchain)]:[If I want to try different ways to invest, I will explore digital assets.]], 3)</f>
        <v>0</v>
      </c>
      <c r="AU972">
        <f>Table67[[#This Row],[Midpoint]]/21</f>
        <v>0</v>
      </c>
      <c r="AV972">
        <f>_xlfn.PERCENTILE.INC(Table67[Midpoint ratio],0.9)</f>
        <v>0.5714285714285714</v>
      </c>
      <c r="AW972" t="b">
        <f>Table67[[#This Row],[Midpoint ratio]]&gt;=Table67[[#This Row],[Threshold of Midpoint ratio]]</f>
        <v>0</v>
      </c>
      <c r="AX972" t="b">
        <f>OR(Table67[[#This Row],[Extreme Response Style]],Table67[[#This Row],[Mid-point Response Style]])</f>
        <v>1</v>
      </c>
      <c r="AY972" t="b">
        <f>OR(Table67[[#This Row],[Delete? (Stage 1)]],Table67[[#This Row],[Delete? (Stage 2)]])</f>
        <v>1</v>
      </c>
      <c r="AZ972" t="s">
        <v>84</v>
      </c>
    </row>
    <row r="973" spans="1:52">
      <c r="A973">
        <f t="shared" si="63"/>
        <v>972</v>
      </c>
      <c r="B973" s="3">
        <v>46056.880011574103</v>
      </c>
      <c r="C973" s="3">
        <v>46056.884398148097</v>
      </c>
      <c r="D973" t="s">
        <v>53</v>
      </c>
      <c r="G973" t="s">
        <v>54</v>
      </c>
      <c r="H973" t="s">
        <v>63</v>
      </c>
      <c r="I973" t="s">
        <v>75</v>
      </c>
      <c r="J973" t="s">
        <v>65</v>
      </c>
      <c r="K973" t="s">
        <v>64</v>
      </c>
      <c r="L973" t="s">
        <v>61</v>
      </c>
      <c r="M973" t="s">
        <v>61</v>
      </c>
      <c r="N973">
        <v>4</v>
      </c>
      <c r="O973">
        <v>2</v>
      </c>
      <c r="P973">
        <v>4</v>
      </c>
      <c r="Q973">
        <v>3</v>
      </c>
      <c r="R973">
        <v>5</v>
      </c>
      <c r="S973">
        <v>3</v>
      </c>
      <c r="T973">
        <v>2</v>
      </c>
      <c r="U973">
        <v>5</v>
      </c>
      <c r="V973">
        <v>3</v>
      </c>
      <c r="W973">
        <v>4</v>
      </c>
      <c r="X973">
        <v>5</v>
      </c>
      <c r="Y973">
        <v>3</v>
      </c>
      <c r="Z973">
        <v>3</v>
      </c>
      <c r="AA973">
        <v>4</v>
      </c>
      <c r="AB973">
        <v>5</v>
      </c>
      <c r="AC973">
        <v>5</v>
      </c>
      <c r="AD973">
        <v>4</v>
      </c>
      <c r="AE973">
        <v>5</v>
      </c>
      <c r="AF973">
        <v>3</v>
      </c>
      <c r="AG973">
        <v>3</v>
      </c>
      <c r="AH973">
        <v>5</v>
      </c>
      <c r="AI973">
        <v>1</v>
      </c>
      <c r="AJ973">
        <v>3</v>
      </c>
      <c r="AK973" t="b">
        <f>Table67[[#This Row],[What is your age?]]&lt;&gt;"18 - 25"</f>
        <v>0</v>
      </c>
      <c r="AL973" t="b">
        <f t="shared" si="60"/>
        <v>0</v>
      </c>
      <c r="AM973" t="b">
        <f t="shared" si="61"/>
        <v>0</v>
      </c>
      <c r="AN973" t="b">
        <f t="shared" si="62"/>
        <v>1</v>
      </c>
      <c r="AO973" t="b">
        <f>OR(Table67[[#This Row],[Ineligible respondents]:[Inconsistent response on opposite question (3)]])</f>
        <v>1</v>
      </c>
      <c r="AP97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973">
        <f>Table67[[#This Row],[Extreme Response]]/21</f>
        <v>0.33333333333333331</v>
      </c>
      <c r="AR973">
        <f>_xlfn.PERCENTILE.INC(Table67[Extrem Response Ratio (ERS)],0.9)</f>
        <v>0.61904761904761907</v>
      </c>
      <c r="AS973" t="b">
        <f>Table67[[#This Row],[Extrem Response Ratio (ERS)]]&gt;=Table67[[#This Row],[Threshold of ERS]]</f>
        <v>0</v>
      </c>
      <c r="AT973">
        <f>COUNTIF(Table67[[#This Row],[The mechanism of digital assets is difficult to understand, which discourages me from exploring it (E.g, Tokenization, Blockchain)]:[If I want to try different ways to invest, I will explore digital assets.]], 3)</f>
        <v>7</v>
      </c>
      <c r="AU973">
        <f>Table67[[#This Row],[Midpoint]]/21</f>
        <v>0.33333333333333331</v>
      </c>
      <c r="AV973">
        <f>_xlfn.PERCENTILE.INC(Table67[Midpoint ratio],0.9)</f>
        <v>0.5714285714285714</v>
      </c>
      <c r="AW973" t="b">
        <f>Table67[[#This Row],[Midpoint ratio]]&gt;=Table67[[#This Row],[Threshold of Midpoint ratio]]</f>
        <v>0</v>
      </c>
      <c r="AX973" t="b">
        <f>OR(Table67[[#This Row],[Extreme Response Style]],Table67[[#This Row],[Mid-point Response Style]])</f>
        <v>0</v>
      </c>
      <c r="AY973" t="b">
        <f>OR(Table67[[#This Row],[Delete? (Stage 1)]],Table67[[#This Row],[Delete? (Stage 2)]])</f>
        <v>1</v>
      </c>
      <c r="AZ973" t="s">
        <v>84</v>
      </c>
    </row>
    <row r="974" spans="1:52">
      <c r="A974">
        <f t="shared" si="63"/>
        <v>973</v>
      </c>
      <c r="B974" s="3">
        <v>46056.880057870403</v>
      </c>
      <c r="C974" s="3">
        <v>46056.882916666698</v>
      </c>
      <c r="D974" t="s">
        <v>53</v>
      </c>
      <c r="G974" t="s">
        <v>54</v>
      </c>
      <c r="H974" t="s">
        <v>55</v>
      </c>
      <c r="I974" t="s">
        <v>56</v>
      </c>
      <c r="J974" t="s">
        <v>62</v>
      </c>
      <c r="K974" t="s">
        <v>57</v>
      </c>
      <c r="L974" t="s">
        <v>58</v>
      </c>
      <c r="M974" t="s">
        <v>58</v>
      </c>
      <c r="N974">
        <v>4</v>
      </c>
      <c r="O974">
        <v>2</v>
      </c>
      <c r="P974">
        <v>4</v>
      </c>
      <c r="Q974">
        <v>4</v>
      </c>
      <c r="R974">
        <v>4</v>
      </c>
      <c r="S974">
        <v>4</v>
      </c>
      <c r="T974">
        <v>2</v>
      </c>
      <c r="U974">
        <v>3</v>
      </c>
      <c r="V974">
        <v>4</v>
      </c>
      <c r="W974">
        <v>4</v>
      </c>
      <c r="X974">
        <v>2</v>
      </c>
      <c r="Y974">
        <v>4</v>
      </c>
      <c r="Z974">
        <v>4</v>
      </c>
      <c r="AA974">
        <v>4</v>
      </c>
      <c r="AB974">
        <v>2</v>
      </c>
      <c r="AC974">
        <v>4</v>
      </c>
      <c r="AD974">
        <v>5</v>
      </c>
      <c r="AE974">
        <v>4</v>
      </c>
      <c r="AF974">
        <v>4</v>
      </c>
      <c r="AG974">
        <v>2</v>
      </c>
      <c r="AH974">
        <v>4</v>
      </c>
      <c r="AI974">
        <v>2</v>
      </c>
      <c r="AJ974">
        <v>2</v>
      </c>
      <c r="AK974" t="b">
        <f>Table67[[#This Row],[What is your age?]]&lt;&gt;"18 - 25"</f>
        <v>0</v>
      </c>
      <c r="AL974" t="b">
        <f t="shared" si="60"/>
        <v>0</v>
      </c>
      <c r="AM974" t="b">
        <f t="shared" si="61"/>
        <v>0</v>
      </c>
      <c r="AN974" t="b">
        <f t="shared" si="62"/>
        <v>0</v>
      </c>
      <c r="AO974" t="b">
        <f>OR(Table67[[#This Row],[Ineligible respondents]:[Inconsistent response on opposite question (3)]])</f>
        <v>0</v>
      </c>
      <c r="AP97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974">
        <f>Table67[[#This Row],[Extreme Response]]/21</f>
        <v>4.7619047619047616E-2</v>
      </c>
      <c r="AR974">
        <f>_xlfn.PERCENTILE.INC(Table67[Extrem Response Ratio (ERS)],0.9)</f>
        <v>0.61904761904761907</v>
      </c>
      <c r="AS974" t="b">
        <f>Table67[[#This Row],[Extrem Response Ratio (ERS)]]&gt;=Table67[[#This Row],[Threshold of ERS]]</f>
        <v>0</v>
      </c>
      <c r="AT974">
        <f>COUNTIF(Table67[[#This Row],[The mechanism of digital assets is difficult to understand, which discourages me from exploring it (E.g, Tokenization, Blockchain)]:[If I want to try different ways to invest, I will explore digital assets.]], 3)</f>
        <v>1</v>
      </c>
      <c r="AU974">
        <f>Table67[[#This Row],[Midpoint]]/21</f>
        <v>4.7619047619047616E-2</v>
      </c>
      <c r="AV974">
        <f>_xlfn.PERCENTILE.INC(Table67[Midpoint ratio],0.9)</f>
        <v>0.5714285714285714</v>
      </c>
      <c r="AW974" t="b">
        <f>Table67[[#This Row],[Midpoint ratio]]&gt;=Table67[[#This Row],[Threshold of Midpoint ratio]]</f>
        <v>0</v>
      </c>
      <c r="AX974" t="b">
        <f>OR(Table67[[#This Row],[Extreme Response Style]],Table67[[#This Row],[Mid-point Response Style]])</f>
        <v>0</v>
      </c>
      <c r="AY974" t="b">
        <f>OR(Table67[[#This Row],[Delete? (Stage 1)]],Table67[[#This Row],[Delete? (Stage 2)]])</f>
        <v>0</v>
      </c>
      <c r="AZ974" t="s">
        <v>84</v>
      </c>
    </row>
    <row r="975" spans="1:52">
      <c r="A975">
        <f t="shared" si="63"/>
        <v>974</v>
      </c>
      <c r="B975" s="3">
        <v>46056.880057870403</v>
      </c>
      <c r="C975" s="3">
        <v>46056.883611111101</v>
      </c>
      <c r="D975" t="s">
        <v>53</v>
      </c>
      <c r="G975" t="s">
        <v>54</v>
      </c>
      <c r="H975" t="s">
        <v>55</v>
      </c>
      <c r="I975" t="s">
        <v>56</v>
      </c>
      <c r="J975" t="s">
        <v>64</v>
      </c>
      <c r="K975" t="s">
        <v>60</v>
      </c>
      <c r="L975" t="s">
        <v>58</v>
      </c>
      <c r="M975" t="s">
        <v>58</v>
      </c>
      <c r="N975">
        <v>3</v>
      </c>
      <c r="O975">
        <v>4</v>
      </c>
      <c r="P975">
        <v>4</v>
      </c>
      <c r="Q975">
        <v>3</v>
      </c>
      <c r="R975">
        <v>4</v>
      </c>
      <c r="S975">
        <v>4</v>
      </c>
      <c r="T975">
        <v>2</v>
      </c>
      <c r="U975">
        <v>4</v>
      </c>
      <c r="V975">
        <v>5</v>
      </c>
      <c r="W975">
        <v>4</v>
      </c>
      <c r="X975">
        <v>4</v>
      </c>
      <c r="Y975">
        <v>4</v>
      </c>
      <c r="Z975">
        <v>4</v>
      </c>
      <c r="AA975">
        <v>3</v>
      </c>
      <c r="AB975">
        <v>2</v>
      </c>
      <c r="AC975">
        <v>4</v>
      </c>
      <c r="AD975">
        <v>3</v>
      </c>
      <c r="AE975">
        <v>3</v>
      </c>
      <c r="AF975">
        <v>3</v>
      </c>
      <c r="AG975">
        <v>3</v>
      </c>
      <c r="AH975">
        <v>3</v>
      </c>
      <c r="AI975">
        <v>3</v>
      </c>
      <c r="AJ975">
        <v>3</v>
      </c>
      <c r="AK975" t="b">
        <f>Table67[[#This Row],[What is your age?]]&lt;&gt;"18 - 25"</f>
        <v>0</v>
      </c>
      <c r="AL975" t="b">
        <f t="shared" si="60"/>
        <v>0</v>
      </c>
      <c r="AM975" t="b">
        <f t="shared" si="61"/>
        <v>0</v>
      </c>
      <c r="AN975" t="b">
        <f t="shared" si="62"/>
        <v>0</v>
      </c>
      <c r="AO975" t="b">
        <f>OR(Table67[[#This Row],[Ineligible respondents]:[Inconsistent response on opposite question (3)]])</f>
        <v>0</v>
      </c>
      <c r="AP97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975">
        <f>Table67[[#This Row],[Extreme Response]]/21</f>
        <v>4.7619047619047616E-2</v>
      </c>
      <c r="AR975">
        <f>_xlfn.PERCENTILE.INC(Table67[Extrem Response Ratio (ERS)],0.9)</f>
        <v>0.61904761904761907</v>
      </c>
      <c r="AS975" t="b">
        <f>Table67[[#This Row],[Extrem Response Ratio (ERS)]]&gt;=Table67[[#This Row],[Threshold of ERS]]</f>
        <v>0</v>
      </c>
      <c r="AT975">
        <f>COUNTIF(Table67[[#This Row],[The mechanism of digital assets is difficult to understand, which discourages me from exploring it (E.g, Tokenization, Blockchain)]:[If I want to try different ways to invest, I will explore digital assets.]], 3)</f>
        <v>8</v>
      </c>
      <c r="AU975">
        <f>Table67[[#This Row],[Midpoint]]/21</f>
        <v>0.38095238095238093</v>
      </c>
      <c r="AV975">
        <f>_xlfn.PERCENTILE.INC(Table67[Midpoint ratio],0.9)</f>
        <v>0.5714285714285714</v>
      </c>
      <c r="AW975" t="b">
        <f>Table67[[#This Row],[Midpoint ratio]]&gt;=Table67[[#This Row],[Threshold of Midpoint ratio]]</f>
        <v>0</v>
      </c>
      <c r="AX975" t="b">
        <f>OR(Table67[[#This Row],[Extreme Response Style]],Table67[[#This Row],[Mid-point Response Style]])</f>
        <v>0</v>
      </c>
      <c r="AY975" t="b">
        <f>OR(Table67[[#This Row],[Delete? (Stage 1)]],Table67[[#This Row],[Delete? (Stage 2)]])</f>
        <v>0</v>
      </c>
      <c r="AZ975" t="s">
        <v>84</v>
      </c>
    </row>
    <row r="976" spans="1:52">
      <c r="A976">
        <f t="shared" si="63"/>
        <v>975</v>
      </c>
      <c r="B976" s="3">
        <v>46056.880092592597</v>
      </c>
      <c r="C976" s="3">
        <v>46056.889016203699</v>
      </c>
      <c r="D976" t="s">
        <v>53</v>
      </c>
      <c r="G976" t="s">
        <v>54</v>
      </c>
      <c r="H976" t="s">
        <v>63</v>
      </c>
      <c r="I976" t="s">
        <v>56</v>
      </c>
      <c r="J976" t="s">
        <v>64</v>
      </c>
      <c r="K976" t="s">
        <v>62</v>
      </c>
      <c r="L976" t="s">
        <v>58</v>
      </c>
      <c r="M976" t="s">
        <v>61</v>
      </c>
      <c r="N976">
        <v>2</v>
      </c>
      <c r="O976">
        <v>2</v>
      </c>
      <c r="P976">
        <v>2</v>
      </c>
      <c r="Q976">
        <v>2</v>
      </c>
      <c r="R976">
        <v>3</v>
      </c>
      <c r="S976">
        <v>2</v>
      </c>
      <c r="T976">
        <v>1</v>
      </c>
      <c r="U976">
        <v>2</v>
      </c>
      <c r="V976">
        <v>3</v>
      </c>
      <c r="W976">
        <v>3</v>
      </c>
      <c r="X976">
        <v>2</v>
      </c>
      <c r="Y976">
        <v>2</v>
      </c>
      <c r="Z976">
        <v>4</v>
      </c>
      <c r="AA976">
        <v>2</v>
      </c>
      <c r="AB976">
        <v>1</v>
      </c>
      <c r="AC976">
        <v>2</v>
      </c>
      <c r="AD976">
        <v>3</v>
      </c>
      <c r="AE976">
        <v>2</v>
      </c>
      <c r="AF976">
        <v>4</v>
      </c>
      <c r="AG976">
        <v>2</v>
      </c>
      <c r="AH976">
        <v>4</v>
      </c>
      <c r="AI976">
        <v>2</v>
      </c>
      <c r="AJ976">
        <v>2</v>
      </c>
      <c r="AK976" t="b">
        <f>Table67[[#This Row],[What is your age?]]&lt;&gt;"18 - 25"</f>
        <v>0</v>
      </c>
      <c r="AL976" t="b">
        <f t="shared" si="60"/>
        <v>0</v>
      </c>
      <c r="AM976" t="b">
        <f t="shared" si="61"/>
        <v>0</v>
      </c>
      <c r="AN976" t="b">
        <f t="shared" si="62"/>
        <v>0</v>
      </c>
      <c r="AO976" t="b">
        <f>OR(Table67[[#This Row],[Ineligible respondents]:[Inconsistent response on opposite question (3)]])</f>
        <v>0</v>
      </c>
      <c r="AP97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976">
        <f>Table67[[#This Row],[Extreme Response]]/21</f>
        <v>9.5238095238095233E-2</v>
      </c>
      <c r="AR976">
        <f>_xlfn.PERCENTILE.INC(Table67[Extrem Response Ratio (ERS)],0.9)</f>
        <v>0.61904761904761907</v>
      </c>
      <c r="AS976" t="b">
        <f>Table67[[#This Row],[Extrem Response Ratio (ERS)]]&gt;=Table67[[#This Row],[Threshold of ERS]]</f>
        <v>0</v>
      </c>
      <c r="AT976">
        <f>COUNTIF(Table67[[#This Row],[The mechanism of digital assets is difficult to understand, which discourages me from exploring it (E.g, Tokenization, Blockchain)]:[If I want to try different ways to invest, I will explore digital assets.]], 3)</f>
        <v>4</v>
      </c>
      <c r="AU976">
        <f>Table67[[#This Row],[Midpoint]]/21</f>
        <v>0.19047619047619047</v>
      </c>
      <c r="AV976">
        <f>_xlfn.PERCENTILE.INC(Table67[Midpoint ratio],0.9)</f>
        <v>0.5714285714285714</v>
      </c>
      <c r="AW976" t="b">
        <f>Table67[[#This Row],[Midpoint ratio]]&gt;=Table67[[#This Row],[Threshold of Midpoint ratio]]</f>
        <v>0</v>
      </c>
      <c r="AX976" t="b">
        <f>OR(Table67[[#This Row],[Extreme Response Style]],Table67[[#This Row],[Mid-point Response Style]])</f>
        <v>0</v>
      </c>
      <c r="AY976" t="b">
        <f>OR(Table67[[#This Row],[Delete? (Stage 1)]],Table67[[#This Row],[Delete? (Stage 2)]])</f>
        <v>0</v>
      </c>
      <c r="AZ976" t="s">
        <v>84</v>
      </c>
    </row>
    <row r="977" spans="1:52">
      <c r="A977">
        <f t="shared" si="63"/>
        <v>976</v>
      </c>
      <c r="B977" s="3">
        <v>46056.880150463003</v>
      </c>
      <c r="C977" s="3">
        <v>46056.883645833303</v>
      </c>
      <c r="D977" t="s">
        <v>53</v>
      </c>
      <c r="G977" t="s">
        <v>54</v>
      </c>
      <c r="H977" t="s">
        <v>63</v>
      </c>
      <c r="I977" t="s">
        <v>56</v>
      </c>
      <c r="J977" t="s">
        <v>62</v>
      </c>
      <c r="K977" t="s">
        <v>62</v>
      </c>
      <c r="L977" t="s">
        <v>58</v>
      </c>
      <c r="M977" t="s">
        <v>61</v>
      </c>
      <c r="N977">
        <v>3</v>
      </c>
      <c r="O977">
        <v>2</v>
      </c>
      <c r="P977">
        <v>3</v>
      </c>
      <c r="Q977">
        <v>3</v>
      </c>
      <c r="R977">
        <v>5</v>
      </c>
      <c r="S977">
        <v>4</v>
      </c>
      <c r="T977">
        <v>2</v>
      </c>
      <c r="U977">
        <v>4</v>
      </c>
      <c r="V977">
        <v>4</v>
      </c>
      <c r="W977">
        <v>5</v>
      </c>
      <c r="X977">
        <v>4</v>
      </c>
      <c r="Y977">
        <v>4</v>
      </c>
      <c r="Z977">
        <v>4</v>
      </c>
      <c r="AA977">
        <v>3</v>
      </c>
      <c r="AB977">
        <v>3</v>
      </c>
      <c r="AC977">
        <v>3</v>
      </c>
      <c r="AD977">
        <v>3</v>
      </c>
      <c r="AE977">
        <v>4</v>
      </c>
      <c r="AF977">
        <v>5</v>
      </c>
      <c r="AG977">
        <v>2</v>
      </c>
      <c r="AH977">
        <v>5</v>
      </c>
      <c r="AI977">
        <v>1</v>
      </c>
      <c r="AJ977">
        <v>1</v>
      </c>
      <c r="AK977" t="b">
        <f>Table67[[#This Row],[What is your age?]]&lt;&gt;"18 - 25"</f>
        <v>0</v>
      </c>
      <c r="AL977" t="b">
        <f t="shared" si="60"/>
        <v>0</v>
      </c>
      <c r="AM977" t="b">
        <f t="shared" si="61"/>
        <v>0</v>
      </c>
      <c r="AN977" t="b">
        <f t="shared" si="62"/>
        <v>0</v>
      </c>
      <c r="AO977" t="b">
        <f>OR(Table67[[#This Row],[Ineligible respondents]:[Inconsistent response on opposite question (3)]])</f>
        <v>0</v>
      </c>
      <c r="AP97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977">
        <f>Table67[[#This Row],[Extreme Response]]/21</f>
        <v>0.19047619047619047</v>
      </c>
      <c r="AR977">
        <f>_xlfn.PERCENTILE.INC(Table67[Extrem Response Ratio (ERS)],0.9)</f>
        <v>0.61904761904761907</v>
      </c>
      <c r="AS977" t="b">
        <f>Table67[[#This Row],[Extrem Response Ratio (ERS)]]&gt;=Table67[[#This Row],[Threshold of ERS]]</f>
        <v>0</v>
      </c>
      <c r="AT977">
        <f>COUNTIF(Table67[[#This Row],[The mechanism of digital assets is difficult to understand, which discourages me from exploring it (E.g, Tokenization, Blockchain)]:[If I want to try different ways to invest, I will explore digital assets.]], 3)</f>
        <v>7</v>
      </c>
      <c r="AU977">
        <f>Table67[[#This Row],[Midpoint]]/21</f>
        <v>0.33333333333333331</v>
      </c>
      <c r="AV977">
        <f>_xlfn.PERCENTILE.INC(Table67[Midpoint ratio],0.9)</f>
        <v>0.5714285714285714</v>
      </c>
      <c r="AW977" t="b">
        <f>Table67[[#This Row],[Midpoint ratio]]&gt;=Table67[[#This Row],[Threshold of Midpoint ratio]]</f>
        <v>0</v>
      </c>
      <c r="AX977" t="b">
        <f>OR(Table67[[#This Row],[Extreme Response Style]],Table67[[#This Row],[Mid-point Response Style]])</f>
        <v>0</v>
      </c>
      <c r="AY977" t="b">
        <f>OR(Table67[[#This Row],[Delete? (Stage 1)]],Table67[[#This Row],[Delete? (Stage 2)]])</f>
        <v>0</v>
      </c>
      <c r="AZ977" t="s">
        <v>84</v>
      </c>
    </row>
    <row r="978" spans="1:52">
      <c r="A978">
        <f t="shared" si="63"/>
        <v>977</v>
      </c>
      <c r="B978" s="3">
        <v>46056.880173611098</v>
      </c>
      <c r="C978" s="3">
        <v>46056.882939814801</v>
      </c>
      <c r="D978" t="s">
        <v>53</v>
      </c>
      <c r="G978" t="s">
        <v>54</v>
      </c>
      <c r="H978" t="s">
        <v>55</v>
      </c>
      <c r="I978" t="s">
        <v>71</v>
      </c>
      <c r="J978" t="s">
        <v>62</v>
      </c>
      <c r="K978" t="s">
        <v>57</v>
      </c>
      <c r="L978" t="s">
        <v>58</v>
      </c>
      <c r="M978" t="s">
        <v>61</v>
      </c>
      <c r="N978">
        <v>2</v>
      </c>
      <c r="O978">
        <v>4</v>
      </c>
      <c r="P978">
        <v>2</v>
      </c>
      <c r="Q978">
        <v>4</v>
      </c>
      <c r="R978">
        <v>1</v>
      </c>
      <c r="S978">
        <v>3</v>
      </c>
      <c r="T978">
        <v>2</v>
      </c>
      <c r="U978">
        <v>4</v>
      </c>
      <c r="V978">
        <v>5</v>
      </c>
      <c r="W978">
        <v>4</v>
      </c>
      <c r="X978">
        <v>2</v>
      </c>
      <c r="Y978">
        <v>4</v>
      </c>
      <c r="Z978">
        <v>4</v>
      </c>
      <c r="AA978">
        <v>5</v>
      </c>
      <c r="AB978">
        <v>3</v>
      </c>
      <c r="AC978">
        <v>2</v>
      </c>
      <c r="AD978">
        <v>4</v>
      </c>
      <c r="AE978">
        <v>3</v>
      </c>
      <c r="AF978">
        <v>3</v>
      </c>
      <c r="AG978">
        <v>2</v>
      </c>
      <c r="AH978">
        <v>2</v>
      </c>
      <c r="AI978">
        <v>4</v>
      </c>
      <c r="AJ978">
        <v>3</v>
      </c>
      <c r="AK978" t="b">
        <f>Table67[[#This Row],[What is your age?]]&lt;&gt;"18 - 25"</f>
        <v>0</v>
      </c>
      <c r="AL978" t="b">
        <f t="shared" si="60"/>
        <v>0</v>
      </c>
      <c r="AM978" t="b">
        <f t="shared" si="61"/>
        <v>1</v>
      </c>
      <c r="AN978" t="b">
        <f t="shared" si="62"/>
        <v>0</v>
      </c>
      <c r="AO978" t="b">
        <f>OR(Table67[[#This Row],[Ineligible respondents]:[Inconsistent response on opposite question (3)]])</f>
        <v>1</v>
      </c>
      <c r="AP97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978">
        <f>Table67[[#This Row],[Extreme Response]]/21</f>
        <v>0.14285714285714285</v>
      </c>
      <c r="AR978">
        <f>_xlfn.PERCENTILE.INC(Table67[Extrem Response Ratio (ERS)],0.9)</f>
        <v>0.61904761904761907</v>
      </c>
      <c r="AS978" t="b">
        <f>Table67[[#This Row],[Extrem Response Ratio (ERS)]]&gt;=Table67[[#This Row],[Threshold of ERS]]</f>
        <v>0</v>
      </c>
      <c r="AT978">
        <f>COUNTIF(Table67[[#This Row],[The mechanism of digital assets is difficult to understand, which discourages me from exploring it (E.g, Tokenization, Blockchain)]:[If I want to try different ways to invest, I will explore digital assets.]], 3)</f>
        <v>4</v>
      </c>
      <c r="AU978">
        <f>Table67[[#This Row],[Midpoint]]/21</f>
        <v>0.19047619047619047</v>
      </c>
      <c r="AV978">
        <f>_xlfn.PERCENTILE.INC(Table67[Midpoint ratio],0.9)</f>
        <v>0.5714285714285714</v>
      </c>
      <c r="AW978" t="b">
        <f>Table67[[#This Row],[Midpoint ratio]]&gt;=Table67[[#This Row],[Threshold of Midpoint ratio]]</f>
        <v>0</v>
      </c>
      <c r="AX978" t="b">
        <f>OR(Table67[[#This Row],[Extreme Response Style]],Table67[[#This Row],[Mid-point Response Style]])</f>
        <v>0</v>
      </c>
      <c r="AY978" t="b">
        <f>OR(Table67[[#This Row],[Delete? (Stage 1)]],Table67[[#This Row],[Delete? (Stage 2)]])</f>
        <v>1</v>
      </c>
      <c r="AZ978" t="s">
        <v>84</v>
      </c>
    </row>
    <row r="979" spans="1:52">
      <c r="A979">
        <f t="shared" si="63"/>
        <v>978</v>
      </c>
      <c r="B979" s="3">
        <v>46056.880231481497</v>
      </c>
      <c r="C979" s="3">
        <v>46056.881886574098</v>
      </c>
      <c r="D979" t="s">
        <v>53</v>
      </c>
      <c r="G979" t="s">
        <v>54</v>
      </c>
      <c r="H979" t="s">
        <v>55</v>
      </c>
      <c r="I979" t="s">
        <v>56</v>
      </c>
      <c r="J979" t="s">
        <v>64</v>
      </c>
      <c r="K979" t="s">
        <v>62</v>
      </c>
      <c r="L979" t="s">
        <v>58</v>
      </c>
      <c r="M979" t="s">
        <v>58</v>
      </c>
      <c r="N979">
        <v>4</v>
      </c>
      <c r="O979">
        <v>2</v>
      </c>
      <c r="P979">
        <v>4</v>
      </c>
      <c r="Q979">
        <v>5</v>
      </c>
      <c r="R979">
        <v>3</v>
      </c>
      <c r="S979">
        <v>4</v>
      </c>
      <c r="T979">
        <v>4</v>
      </c>
      <c r="U979">
        <v>5</v>
      </c>
      <c r="V979">
        <v>5</v>
      </c>
      <c r="W979">
        <v>4</v>
      </c>
      <c r="X979">
        <v>5</v>
      </c>
      <c r="Y979">
        <v>4</v>
      </c>
      <c r="Z979">
        <v>4</v>
      </c>
      <c r="AA979">
        <v>4</v>
      </c>
      <c r="AB979">
        <v>3</v>
      </c>
      <c r="AC979">
        <v>4</v>
      </c>
      <c r="AD979">
        <v>5</v>
      </c>
      <c r="AE979">
        <v>5</v>
      </c>
      <c r="AF979">
        <v>2</v>
      </c>
      <c r="AG979">
        <v>4</v>
      </c>
      <c r="AH979">
        <v>2</v>
      </c>
      <c r="AI979">
        <v>4</v>
      </c>
      <c r="AJ979">
        <v>4</v>
      </c>
      <c r="AK979" t="b">
        <f>Table67[[#This Row],[What is your age?]]&lt;&gt;"18 - 25"</f>
        <v>0</v>
      </c>
      <c r="AL979" t="b">
        <f t="shared" si="60"/>
        <v>0</v>
      </c>
      <c r="AM979" t="b">
        <f t="shared" si="61"/>
        <v>0</v>
      </c>
      <c r="AN979" t="b">
        <f t="shared" si="62"/>
        <v>0</v>
      </c>
      <c r="AO979" t="b">
        <f>OR(Table67[[#This Row],[Ineligible respondents]:[Inconsistent response on opposite question (3)]])</f>
        <v>0</v>
      </c>
      <c r="AP97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979">
        <f>Table67[[#This Row],[Extreme Response]]/21</f>
        <v>0.2857142857142857</v>
      </c>
      <c r="AR979">
        <f>_xlfn.PERCENTILE.INC(Table67[Extrem Response Ratio (ERS)],0.9)</f>
        <v>0.61904761904761907</v>
      </c>
      <c r="AS979" t="b">
        <f>Table67[[#This Row],[Extrem Response Ratio (ERS)]]&gt;=Table67[[#This Row],[Threshold of ERS]]</f>
        <v>0</v>
      </c>
      <c r="AT979">
        <f>COUNTIF(Table67[[#This Row],[The mechanism of digital assets is difficult to understand, which discourages me from exploring it (E.g, Tokenization, Blockchain)]:[If I want to try different ways to invest, I will explore digital assets.]], 3)</f>
        <v>2</v>
      </c>
      <c r="AU979">
        <f>Table67[[#This Row],[Midpoint]]/21</f>
        <v>9.5238095238095233E-2</v>
      </c>
      <c r="AV979">
        <f>_xlfn.PERCENTILE.INC(Table67[Midpoint ratio],0.9)</f>
        <v>0.5714285714285714</v>
      </c>
      <c r="AW979" t="b">
        <f>Table67[[#This Row],[Midpoint ratio]]&gt;=Table67[[#This Row],[Threshold of Midpoint ratio]]</f>
        <v>0</v>
      </c>
      <c r="AX979" t="b">
        <f>OR(Table67[[#This Row],[Extreme Response Style]],Table67[[#This Row],[Mid-point Response Style]])</f>
        <v>0</v>
      </c>
      <c r="AY979" t="b">
        <f>OR(Table67[[#This Row],[Delete? (Stage 1)]],Table67[[#This Row],[Delete? (Stage 2)]])</f>
        <v>0</v>
      </c>
      <c r="AZ979" t="s">
        <v>84</v>
      </c>
    </row>
    <row r="980" spans="1:52">
      <c r="A980">
        <f t="shared" si="63"/>
        <v>979</v>
      </c>
      <c r="B980" s="3">
        <v>46056.880532407398</v>
      </c>
      <c r="C980" s="3">
        <v>46056.883113425902</v>
      </c>
      <c r="D980" t="s">
        <v>53</v>
      </c>
      <c r="G980" t="s">
        <v>74</v>
      </c>
      <c r="H980" t="s">
        <v>55</v>
      </c>
      <c r="I980" t="s">
        <v>56</v>
      </c>
      <c r="J980" t="s">
        <v>65</v>
      </c>
      <c r="K980" t="s">
        <v>60</v>
      </c>
      <c r="L980" t="s">
        <v>58</v>
      </c>
      <c r="M980" t="s">
        <v>58</v>
      </c>
      <c r="N980">
        <v>4</v>
      </c>
      <c r="O980">
        <v>3</v>
      </c>
      <c r="P980">
        <v>4</v>
      </c>
      <c r="Q980">
        <v>4</v>
      </c>
      <c r="R980">
        <v>3</v>
      </c>
      <c r="S980">
        <v>3</v>
      </c>
      <c r="T980">
        <v>4</v>
      </c>
      <c r="U980">
        <v>4</v>
      </c>
      <c r="V980">
        <v>3</v>
      </c>
      <c r="W980">
        <v>4</v>
      </c>
      <c r="X980">
        <v>2</v>
      </c>
      <c r="Y980">
        <v>4</v>
      </c>
      <c r="Z980">
        <v>4</v>
      </c>
      <c r="AA980">
        <v>3</v>
      </c>
      <c r="AB980">
        <v>4</v>
      </c>
      <c r="AC980">
        <v>3</v>
      </c>
      <c r="AD980">
        <v>3</v>
      </c>
      <c r="AE980">
        <v>3</v>
      </c>
      <c r="AF980">
        <v>5</v>
      </c>
      <c r="AG980">
        <v>3</v>
      </c>
      <c r="AH980">
        <v>3</v>
      </c>
      <c r="AI980">
        <v>3</v>
      </c>
      <c r="AJ980">
        <v>1</v>
      </c>
      <c r="AK980" t="b">
        <f>Table67[[#This Row],[What is your age?]]&lt;&gt;"18 - 25"</f>
        <v>1</v>
      </c>
      <c r="AL980" t="b">
        <f t="shared" si="60"/>
        <v>0</v>
      </c>
      <c r="AM980" t="b">
        <f t="shared" si="61"/>
        <v>0</v>
      </c>
      <c r="AN980" t="b">
        <f t="shared" si="62"/>
        <v>0</v>
      </c>
      <c r="AO980" t="b">
        <f>OR(Table67[[#This Row],[Ineligible respondents]:[Inconsistent response on opposite question (3)]])</f>
        <v>1</v>
      </c>
      <c r="AP98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980">
        <f>Table67[[#This Row],[Extreme Response]]/21</f>
        <v>4.7619047619047616E-2</v>
      </c>
      <c r="AR980">
        <f>_xlfn.PERCENTILE.INC(Table67[Extrem Response Ratio (ERS)],0.9)</f>
        <v>0.61904761904761907</v>
      </c>
      <c r="AS980" t="b">
        <f>Table67[[#This Row],[Extrem Response Ratio (ERS)]]&gt;=Table67[[#This Row],[Threshold of ERS]]</f>
        <v>0</v>
      </c>
      <c r="AT980">
        <f>COUNTIF(Table67[[#This Row],[The mechanism of digital assets is difficult to understand, which discourages me from exploring it (E.g, Tokenization, Blockchain)]:[If I want to try different ways to invest, I will explore digital assets.]], 3)</f>
        <v>10</v>
      </c>
      <c r="AU980">
        <f>Table67[[#This Row],[Midpoint]]/21</f>
        <v>0.47619047619047616</v>
      </c>
      <c r="AV980">
        <f>_xlfn.PERCENTILE.INC(Table67[Midpoint ratio],0.9)</f>
        <v>0.5714285714285714</v>
      </c>
      <c r="AW980" t="b">
        <f>Table67[[#This Row],[Midpoint ratio]]&gt;=Table67[[#This Row],[Threshold of Midpoint ratio]]</f>
        <v>0</v>
      </c>
      <c r="AX980" t="b">
        <f>OR(Table67[[#This Row],[Extreme Response Style]],Table67[[#This Row],[Mid-point Response Style]])</f>
        <v>0</v>
      </c>
      <c r="AY980" t="b">
        <f>OR(Table67[[#This Row],[Delete? (Stage 1)]],Table67[[#This Row],[Delete? (Stage 2)]])</f>
        <v>1</v>
      </c>
      <c r="AZ980" t="s">
        <v>84</v>
      </c>
    </row>
    <row r="981" spans="1:52">
      <c r="A981">
        <f t="shared" si="63"/>
        <v>980</v>
      </c>
      <c r="B981" s="3">
        <v>46056.880543981497</v>
      </c>
      <c r="C981" s="3">
        <v>46056.883807870399</v>
      </c>
      <c r="D981" t="s">
        <v>53</v>
      </c>
      <c r="G981" t="s">
        <v>54</v>
      </c>
      <c r="H981" t="s">
        <v>63</v>
      </c>
      <c r="I981" t="s">
        <v>69</v>
      </c>
      <c r="J981" t="s">
        <v>62</v>
      </c>
      <c r="K981" t="s">
        <v>62</v>
      </c>
      <c r="L981" t="s">
        <v>61</v>
      </c>
      <c r="M981" t="s">
        <v>61</v>
      </c>
      <c r="N981">
        <v>2</v>
      </c>
      <c r="O981">
        <v>1</v>
      </c>
      <c r="P981">
        <v>5</v>
      </c>
      <c r="Q981">
        <v>1</v>
      </c>
      <c r="R981">
        <v>5</v>
      </c>
      <c r="S981">
        <v>5</v>
      </c>
      <c r="T981">
        <v>1</v>
      </c>
      <c r="U981">
        <v>1</v>
      </c>
      <c r="V981">
        <v>5</v>
      </c>
      <c r="W981">
        <v>5</v>
      </c>
      <c r="X981">
        <v>5</v>
      </c>
      <c r="Y981">
        <v>5</v>
      </c>
      <c r="Z981">
        <v>5</v>
      </c>
      <c r="AA981">
        <v>5</v>
      </c>
      <c r="AB981">
        <v>5</v>
      </c>
      <c r="AC981">
        <v>1</v>
      </c>
      <c r="AD981">
        <v>1</v>
      </c>
      <c r="AE981">
        <v>5</v>
      </c>
      <c r="AF981">
        <v>5</v>
      </c>
      <c r="AG981">
        <v>5</v>
      </c>
      <c r="AH981">
        <v>5</v>
      </c>
      <c r="AI981">
        <v>1</v>
      </c>
      <c r="AJ981">
        <v>1</v>
      </c>
      <c r="AK981" t="b">
        <f>Table67[[#This Row],[What is your age?]]&lt;&gt;"18 - 25"</f>
        <v>0</v>
      </c>
      <c r="AL981" t="b">
        <f t="shared" si="60"/>
        <v>0</v>
      </c>
      <c r="AM981" t="b">
        <f t="shared" si="61"/>
        <v>1</v>
      </c>
      <c r="AN981" t="b">
        <f t="shared" si="62"/>
        <v>0</v>
      </c>
      <c r="AO981" t="b">
        <f>OR(Table67[[#This Row],[Ineligible respondents]:[Inconsistent response on opposite question (3)]])</f>
        <v>1</v>
      </c>
      <c r="AP98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20</v>
      </c>
      <c r="AQ981">
        <f>Table67[[#This Row],[Extreme Response]]/21</f>
        <v>0.95238095238095233</v>
      </c>
      <c r="AR981">
        <f>_xlfn.PERCENTILE.INC(Table67[Extrem Response Ratio (ERS)],0.9)</f>
        <v>0.61904761904761907</v>
      </c>
      <c r="AS981" t="b">
        <f>Table67[[#This Row],[Extrem Response Ratio (ERS)]]&gt;=Table67[[#This Row],[Threshold of ERS]]</f>
        <v>1</v>
      </c>
      <c r="AT981">
        <f>COUNTIF(Table67[[#This Row],[The mechanism of digital assets is difficult to understand, which discourages me from exploring it (E.g, Tokenization, Blockchain)]:[If I want to try different ways to invest, I will explore digital assets.]], 3)</f>
        <v>0</v>
      </c>
      <c r="AU981">
        <f>Table67[[#This Row],[Midpoint]]/21</f>
        <v>0</v>
      </c>
      <c r="AV981">
        <f>_xlfn.PERCENTILE.INC(Table67[Midpoint ratio],0.9)</f>
        <v>0.5714285714285714</v>
      </c>
      <c r="AW981" t="b">
        <f>Table67[[#This Row],[Midpoint ratio]]&gt;=Table67[[#This Row],[Threshold of Midpoint ratio]]</f>
        <v>0</v>
      </c>
      <c r="AX981" t="b">
        <f>OR(Table67[[#This Row],[Extreme Response Style]],Table67[[#This Row],[Mid-point Response Style]])</f>
        <v>1</v>
      </c>
      <c r="AY981" t="b">
        <f>OR(Table67[[#This Row],[Delete? (Stage 1)]],Table67[[#This Row],[Delete? (Stage 2)]])</f>
        <v>1</v>
      </c>
      <c r="AZ981" t="s">
        <v>84</v>
      </c>
    </row>
    <row r="982" spans="1:52">
      <c r="A982">
        <f t="shared" si="63"/>
        <v>981</v>
      </c>
      <c r="B982" s="3">
        <v>46056.880682870396</v>
      </c>
      <c r="C982" s="3">
        <v>46056.8878819444</v>
      </c>
      <c r="D982" t="s">
        <v>53</v>
      </c>
      <c r="G982" t="s">
        <v>54</v>
      </c>
      <c r="H982" t="s">
        <v>63</v>
      </c>
      <c r="I982" t="s">
        <v>56</v>
      </c>
      <c r="J982" t="s">
        <v>60</v>
      </c>
      <c r="K982" t="s">
        <v>62</v>
      </c>
      <c r="L982" t="s">
        <v>61</v>
      </c>
      <c r="M982" t="s">
        <v>61</v>
      </c>
      <c r="N982">
        <v>2</v>
      </c>
      <c r="O982">
        <v>2</v>
      </c>
      <c r="P982">
        <v>2</v>
      </c>
      <c r="Q982">
        <v>1</v>
      </c>
      <c r="R982">
        <v>3</v>
      </c>
      <c r="S982">
        <v>2</v>
      </c>
      <c r="T982">
        <v>1</v>
      </c>
      <c r="U982">
        <v>3</v>
      </c>
      <c r="V982">
        <v>1</v>
      </c>
      <c r="W982">
        <v>3</v>
      </c>
      <c r="X982">
        <v>3</v>
      </c>
      <c r="Y982">
        <v>2</v>
      </c>
      <c r="Z982">
        <v>3</v>
      </c>
      <c r="AA982">
        <v>4</v>
      </c>
      <c r="AB982">
        <v>1</v>
      </c>
      <c r="AC982">
        <v>1</v>
      </c>
      <c r="AD982">
        <v>4</v>
      </c>
      <c r="AE982">
        <v>5</v>
      </c>
      <c r="AF982">
        <v>4</v>
      </c>
      <c r="AG982">
        <v>2</v>
      </c>
      <c r="AH982">
        <v>3</v>
      </c>
      <c r="AI982">
        <v>3</v>
      </c>
      <c r="AJ982">
        <v>2</v>
      </c>
      <c r="AK982" t="b">
        <f>Table67[[#This Row],[What is your age?]]&lt;&gt;"18 - 25"</f>
        <v>0</v>
      </c>
      <c r="AL982" t="b">
        <f t="shared" si="60"/>
        <v>0</v>
      </c>
      <c r="AM982" t="b">
        <f t="shared" si="61"/>
        <v>0</v>
      </c>
      <c r="AN982" t="b">
        <f t="shared" si="62"/>
        <v>1</v>
      </c>
      <c r="AO982" t="b">
        <f>OR(Table67[[#This Row],[Ineligible respondents]:[Inconsistent response on opposite question (3)]])</f>
        <v>1</v>
      </c>
      <c r="AP98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982">
        <f>Table67[[#This Row],[Extreme Response]]/21</f>
        <v>0.2857142857142857</v>
      </c>
      <c r="AR982">
        <f>_xlfn.PERCENTILE.INC(Table67[Extrem Response Ratio (ERS)],0.9)</f>
        <v>0.61904761904761907</v>
      </c>
      <c r="AS982" t="b">
        <f>Table67[[#This Row],[Extrem Response Ratio (ERS)]]&gt;=Table67[[#This Row],[Threshold of ERS]]</f>
        <v>0</v>
      </c>
      <c r="AT982">
        <f>COUNTIF(Table67[[#This Row],[The mechanism of digital assets is difficult to understand, which discourages me from exploring it (E.g, Tokenization, Blockchain)]:[If I want to try different ways to invest, I will explore digital assets.]], 3)</f>
        <v>6</v>
      </c>
      <c r="AU982">
        <f>Table67[[#This Row],[Midpoint]]/21</f>
        <v>0.2857142857142857</v>
      </c>
      <c r="AV982">
        <f>_xlfn.PERCENTILE.INC(Table67[Midpoint ratio],0.9)</f>
        <v>0.5714285714285714</v>
      </c>
      <c r="AW982" t="b">
        <f>Table67[[#This Row],[Midpoint ratio]]&gt;=Table67[[#This Row],[Threshold of Midpoint ratio]]</f>
        <v>0</v>
      </c>
      <c r="AX982" t="b">
        <f>OR(Table67[[#This Row],[Extreme Response Style]],Table67[[#This Row],[Mid-point Response Style]])</f>
        <v>0</v>
      </c>
      <c r="AY982" t="b">
        <f>OR(Table67[[#This Row],[Delete? (Stage 1)]],Table67[[#This Row],[Delete? (Stage 2)]])</f>
        <v>1</v>
      </c>
      <c r="AZ982" t="s">
        <v>84</v>
      </c>
    </row>
    <row r="983" spans="1:52">
      <c r="A983">
        <f t="shared" si="63"/>
        <v>982</v>
      </c>
      <c r="B983" s="3">
        <v>46056.880706018499</v>
      </c>
      <c r="C983" s="3">
        <v>46056.885902777802</v>
      </c>
      <c r="D983" t="s">
        <v>53</v>
      </c>
      <c r="G983" t="s">
        <v>54</v>
      </c>
      <c r="H983" t="s">
        <v>55</v>
      </c>
      <c r="I983" t="s">
        <v>56</v>
      </c>
      <c r="J983" t="s">
        <v>60</v>
      </c>
      <c r="K983" t="s">
        <v>62</v>
      </c>
      <c r="L983" t="s">
        <v>61</v>
      </c>
      <c r="M983" t="s">
        <v>61</v>
      </c>
      <c r="N983">
        <v>1</v>
      </c>
      <c r="O983">
        <v>1</v>
      </c>
      <c r="P983">
        <v>4</v>
      </c>
      <c r="Q983">
        <v>1</v>
      </c>
      <c r="R983">
        <v>3</v>
      </c>
      <c r="S983">
        <v>3</v>
      </c>
      <c r="T983">
        <v>1</v>
      </c>
      <c r="U983">
        <v>2</v>
      </c>
      <c r="V983">
        <v>5</v>
      </c>
      <c r="W983">
        <v>5</v>
      </c>
      <c r="X983">
        <v>2</v>
      </c>
      <c r="Y983">
        <v>1</v>
      </c>
      <c r="Z983">
        <v>1</v>
      </c>
      <c r="AA983">
        <v>1</v>
      </c>
      <c r="AB983">
        <v>1</v>
      </c>
      <c r="AC983">
        <v>1</v>
      </c>
      <c r="AD983">
        <v>1</v>
      </c>
      <c r="AE983">
        <v>1</v>
      </c>
      <c r="AF983">
        <v>5</v>
      </c>
      <c r="AG983">
        <v>1</v>
      </c>
      <c r="AH983">
        <v>5</v>
      </c>
      <c r="AI983">
        <v>1</v>
      </c>
      <c r="AJ983">
        <v>1</v>
      </c>
      <c r="AK983" t="b">
        <f>Table67[[#This Row],[What is your age?]]&lt;&gt;"18 - 25"</f>
        <v>0</v>
      </c>
      <c r="AL983" t="b">
        <f t="shared" si="60"/>
        <v>0</v>
      </c>
      <c r="AM983" t="b">
        <f t="shared" si="61"/>
        <v>0</v>
      </c>
      <c r="AN983" t="b">
        <f t="shared" si="62"/>
        <v>0</v>
      </c>
      <c r="AO983" t="b">
        <f>OR(Table67[[#This Row],[Ineligible respondents]:[Inconsistent response on opposite question (3)]])</f>
        <v>0</v>
      </c>
      <c r="AP98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16</v>
      </c>
      <c r="AQ983">
        <f>Table67[[#This Row],[Extreme Response]]/21</f>
        <v>0.76190476190476186</v>
      </c>
      <c r="AR983">
        <f>_xlfn.PERCENTILE.INC(Table67[Extrem Response Ratio (ERS)],0.9)</f>
        <v>0.61904761904761907</v>
      </c>
      <c r="AS983" t="b">
        <f>Table67[[#This Row],[Extrem Response Ratio (ERS)]]&gt;=Table67[[#This Row],[Threshold of ERS]]</f>
        <v>1</v>
      </c>
      <c r="AT983">
        <f>COUNTIF(Table67[[#This Row],[The mechanism of digital assets is difficult to understand, which discourages me from exploring it (E.g, Tokenization, Blockchain)]:[If I want to try different ways to invest, I will explore digital assets.]], 3)</f>
        <v>2</v>
      </c>
      <c r="AU983">
        <f>Table67[[#This Row],[Midpoint]]/21</f>
        <v>9.5238095238095233E-2</v>
      </c>
      <c r="AV983">
        <f>_xlfn.PERCENTILE.INC(Table67[Midpoint ratio],0.9)</f>
        <v>0.5714285714285714</v>
      </c>
      <c r="AW983" t="b">
        <f>Table67[[#This Row],[Midpoint ratio]]&gt;=Table67[[#This Row],[Threshold of Midpoint ratio]]</f>
        <v>0</v>
      </c>
      <c r="AX983" t="b">
        <f>OR(Table67[[#This Row],[Extreme Response Style]],Table67[[#This Row],[Mid-point Response Style]])</f>
        <v>1</v>
      </c>
      <c r="AY983" t="b">
        <f>OR(Table67[[#This Row],[Delete? (Stage 1)]],Table67[[#This Row],[Delete? (Stage 2)]])</f>
        <v>1</v>
      </c>
      <c r="AZ983" t="s">
        <v>84</v>
      </c>
    </row>
    <row r="984" spans="1:52">
      <c r="A984">
        <f t="shared" si="63"/>
        <v>983</v>
      </c>
      <c r="B984" s="3">
        <v>46056.880717592598</v>
      </c>
      <c r="C984" s="3">
        <v>46056.896435185197</v>
      </c>
      <c r="D984" t="s">
        <v>53</v>
      </c>
      <c r="G984" t="s">
        <v>54</v>
      </c>
      <c r="H984" t="s">
        <v>55</v>
      </c>
      <c r="I984" t="s">
        <v>56</v>
      </c>
      <c r="J984" t="s">
        <v>62</v>
      </c>
      <c r="K984" t="s">
        <v>62</v>
      </c>
      <c r="L984" t="s">
        <v>58</v>
      </c>
      <c r="M984" t="s">
        <v>58</v>
      </c>
      <c r="N984">
        <v>3</v>
      </c>
      <c r="O984">
        <v>5</v>
      </c>
      <c r="P984">
        <v>4</v>
      </c>
      <c r="Q984">
        <v>4</v>
      </c>
      <c r="R984">
        <v>3</v>
      </c>
      <c r="S984">
        <v>1</v>
      </c>
      <c r="T984">
        <v>2</v>
      </c>
      <c r="U984">
        <v>2</v>
      </c>
      <c r="V984">
        <v>4</v>
      </c>
      <c r="W984">
        <v>4</v>
      </c>
      <c r="X984">
        <v>3</v>
      </c>
      <c r="Y984">
        <v>5</v>
      </c>
      <c r="Z984">
        <v>5</v>
      </c>
      <c r="AA984">
        <v>3</v>
      </c>
      <c r="AB984">
        <v>2</v>
      </c>
      <c r="AC984">
        <v>3</v>
      </c>
      <c r="AD984">
        <v>5</v>
      </c>
      <c r="AE984">
        <v>3</v>
      </c>
      <c r="AF984">
        <v>3</v>
      </c>
      <c r="AG984">
        <v>3</v>
      </c>
      <c r="AH984">
        <v>4</v>
      </c>
      <c r="AI984">
        <v>2</v>
      </c>
      <c r="AJ984">
        <v>3</v>
      </c>
      <c r="AK984" t="b">
        <f>Table67[[#This Row],[What is your age?]]&lt;&gt;"18 - 25"</f>
        <v>0</v>
      </c>
      <c r="AL984" t="b">
        <f t="shared" si="60"/>
        <v>0</v>
      </c>
      <c r="AM984" t="b">
        <f t="shared" si="61"/>
        <v>0</v>
      </c>
      <c r="AN984" t="b">
        <f t="shared" si="62"/>
        <v>1</v>
      </c>
      <c r="AO984" t="b">
        <f>OR(Table67[[#This Row],[Ineligible respondents]:[Inconsistent response on opposite question (3)]])</f>
        <v>1</v>
      </c>
      <c r="AP98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984">
        <f>Table67[[#This Row],[Extreme Response]]/21</f>
        <v>0.23809523809523808</v>
      </c>
      <c r="AR984">
        <f>_xlfn.PERCENTILE.INC(Table67[Extrem Response Ratio (ERS)],0.9)</f>
        <v>0.61904761904761907</v>
      </c>
      <c r="AS984" t="b">
        <f>Table67[[#This Row],[Extrem Response Ratio (ERS)]]&gt;=Table67[[#This Row],[Threshold of ERS]]</f>
        <v>0</v>
      </c>
      <c r="AT984">
        <f>COUNTIF(Table67[[#This Row],[The mechanism of digital assets is difficult to understand, which discourages me from exploring it (E.g, Tokenization, Blockchain)]:[If I want to try different ways to invest, I will explore digital assets.]], 3)</f>
        <v>8</v>
      </c>
      <c r="AU984">
        <f>Table67[[#This Row],[Midpoint]]/21</f>
        <v>0.38095238095238093</v>
      </c>
      <c r="AV984">
        <f>_xlfn.PERCENTILE.INC(Table67[Midpoint ratio],0.9)</f>
        <v>0.5714285714285714</v>
      </c>
      <c r="AW984" t="b">
        <f>Table67[[#This Row],[Midpoint ratio]]&gt;=Table67[[#This Row],[Threshold of Midpoint ratio]]</f>
        <v>0</v>
      </c>
      <c r="AX984" t="b">
        <f>OR(Table67[[#This Row],[Extreme Response Style]],Table67[[#This Row],[Mid-point Response Style]])</f>
        <v>0</v>
      </c>
      <c r="AY984" t="b">
        <f>OR(Table67[[#This Row],[Delete? (Stage 1)]],Table67[[#This Row],[Delete? (Stage 2)]])</f>
        <v>1</v>
      </c>
      <c r="AZ984" t="s">
        <v>84</v>
      </c>
    </row>
    <row r="985" spans="1:52">
      <c r="A985">
        <f t="shared" si="63"/>
        <v>984</v>
      </c>
      <c r="B985" s="3">
        <v>46056.8807407407</v>
      </c>
      <c r="C985" s="3">
        <v>46056.8840277778</v>
      </c>
      <c r="D985" t="s">
        <v>53</v>
      </c>
      <c r="G985" t="s">
        <v>54</v>
      </c>
      <c r="H985" t="s">
        <v>63</v>
      </c>
      <c r="I985" t="s">
        <v>71</v>
      </c>
      <c r="J985" t="s">
        <v>62</v>
      </c>
      <c r="K985" t="s">
        <v>62</v>
      </c>
      <c r="L985" t="s">
        <v>58</v>
      </c>
      <c r="M985" t="s">
        <v>58</v>
      </c>
      <c r="N985">
        <v>4</v>
      </c>
      <c r="O985">
        <v>3</v>
      </c>
      <c r="P985">
        <v>2</v>
      </c>
      <c r="Q985">
        <v>4</v>
      </c>
      <c r="R985">
        <v>2</v>
      </c>
      <c r="S985">
        <v>4</v>
      </c>
      <c r="T985">
        <v>4</v>
      </c>
      <c r="U985">
        <v>5</v>
      </c>
      <c r="V985">
        <v>5</v>
      </c>
      <c r="W985">
        <v>5</v>
      </c>
      <c r="X985">
        <v>4</v>
      </c>
      <c r="Y985">
        <v>5</v>
      </c>
      <c r="Z985">
        <v>5</v>
      </c>
      <c r="AA985">
        <v>3</v>
      </c>
      <c r="AB985">
        <v>2</v>
      </c>
      <c r="AC985">
        <v>2</v>
      </c>
      <c r="AD985">
        <v>3</v>
      </c>
      <c r="AE985">
        <v>4</v>
      </c>
      <c r="AF985">
        <v>4</v>
      </c>
      <c r="AG985">
        <v>3</v>
      </c>
      <c r="AH985">
        <v>2</v>
      </c>
      <c r="AI985">
        <v>4</v>
      </c>
      <c r="AJ985">
        <v>2</v>
      </c>
      <c r="AK985" t="b">
        <f>Table67[[#This Row],[What is your age?]]&lt;&gt;"18 - 25"</f>
        <v>0</v>
      </c>
      <c r="AL985" t="b">
        <f t="shared" si="60"/>
        <v>0</v>
      </c>
      <c r="AM985" t="b">
        <f t="shared" si="61"/>
        <v>0</v>
      </c>
      <c r="AN985" t="b">
        <f t="shared" si="62"/>
        <v>1</v>
      </c>
      <c r="AO985" t="b">
        <f>OR(Table67[[#This Row],[Ineligible respondents]:[Inconsistent response on opposite question (3)]])</f>
        <v>1</v>
      </c>
      <c r="AP98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985">
        <f>Table67[[#This Row],[Extreme Response]]/21</f>
        <v>0.23809523809523808</v>
      </c>
      <c r="AR985">
        <f>_xlfn.PERCENTILE.INC(Table67[Extrem Response Ratio (ERS)],0.9)</f>
        <v>0.61904761904761907</v>
      </c>
      <c r="AS985" t="b">
        <f>Table67[[#This Row],[Extrem Response Ratio (ERS)]]&gt;=Table67[[#This Row],[Threshold of ERS]]</f>
        <v>0</v>
      </c>
      <c r="AT985">
        <f>COUNTIF(Table67[[#This Row],[The mechanism of digital assets is difficult to understand, which discourages me from exploring it (E.g, Tokenization, Blockchain)]:[If I want to try different ways to invest, I will explore digital assets.]], 3)</f>
        <v>4</v>
      </c>
      <c r="AU985">
        <f>Table67[[#This Row],[Midpoint]]/21</f>
        <v>0.19047619047619047</v>
      </c>
      <c r="AV985">
        <f>_xlfn.PERCENTILE.INC(Table67[Midpoint ratio],0.9)</f>
        <v>0.5714285714285714</v>
      </c>
      <c r="AW985" t="b">
        <f>Table67[[#This Row],[Midpoint ratio]]&gt;=Table67[[#This Row],[Threshold of Midpoint ratio]]</f>
        <v>0</v>
      </c>
      <c r="AX985" t="b">
        <f>OR(Table67[[#This Row],[Extreme Response Style]],Table67[[#This Row],[Mid-point Response Style]])</f>
        <v>0</v>
      </c>
      <c r="AY985" t="b">
        <f>OR(Table67[[#This Row],[Delete? (Stage 1)]],Table67[[#This Row],[Delete? (Stage 2)]])</f>
        <v>1</v>
      </c>
      <c r="AZ985" t="s">
        <v>84</v>
      </c>
    </row>
    <row r="986" spans="1:52">
      <c r="A986">
        <f t="shared" si="63"/>
        <v>985</v>
      </c>
      <c r="B986" s="3">
        <v>46056.880752314799</v>
      </c>
      <c r="C986" s="3">
        <v>46056.883703703701</v>
      </c>
      <c r="D986" t="s">
        <v>53</v>
      </c>
      <c r="G986" t="s">
        <v>54</v>
      </c>
      <c r="H986" t="s">
        <v>63</v>
      </c>
      <c r="I986" t="s">
        <v>75</v>
      </c>
      <c r="J986" t="s">
        <v>62</v>
      </c>
      <c r="K986" t="s">
        <v>57</v>
      </c>
      <c r="L986" t="s">
        <v>58</v>
      </c>
      <c r="M986" t="s">
        <v>58</v>
      </c>
      <c r="N986">
        <v>3</v>
      </c>
      <c r="O986">
        <v>2</v>
      </c>
      <c r="P986">
        <v>5</v>
      </c>
      <c r="Q986">
        <v>3</v>
      </c>
      <c r="R986">
        <v>4</v>
      </c>
      <c r="S986">
        <v>4</v>
      </c>
      <c r="T986">
        <v>2</v>
      </c>
      <c r="U986">
        <v>5</v>
      </c>
      <c r="V986">
        <v>5</v>
      </c>
      <c r="W986">
        <v>4</v>
      </c>
      <c r="X986">
        <v>5</v>
      </c>
      <c r="Y986">
        <v>4</v>
      </c>
      <c r="Z986">
        <v>5</v>
      </c>
      <c r="AA986">
        <v>5</v>
      </c>
      <c r="AB986">
        <v>2</v>
      </c>
      <c r="AC986">
        <v>3</v>
      </c>
      <c r="AD986">
        <v>4</v>
      </c>
      <c r="AE986">
        <v>1</v>
      </c>
      <c r="AF986">
        <v>4</v>
      </c>
      <c r="AG986">
        <v>3</v>
      </c>
      <c r="AH986">
        <v>4</v>
      </c>
      <c r="AI986">
        <v>2</v>
      </c>
      <c r="AJ986">
        <v>2</v>
      </c>
      <c r="AK986" t="b">
        <f>Table67[[#This Row],[What is your age?]]&lt;&gt;"18 - 25"</f>
        <v>0</v>
      </c>
      <c r="AL986" t="b">
        <f t="shared" si="60"/>
        <v>0</v>
      </c>
      <c r="AM986" t="b">
        <f t="shared" si="61"/>
        <v>0</v>
      </c>
      <c r="AN986" t="b">
        <f t="shared" si="62"/>
        <v>1</v>
      </c>
      <c r="AO986" t="b">
        <f>OR(Table67[[#This Row],[Ineligible respondents]:[Inconsistent response on opposite question (3)]])</f>
        <v>1</v>
      </c>
      <c r="AP98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986">
        <f>Table67[[#This Row],[Extreme Response]]/21</f>
        <v>0.33333333333333331</v>
      </c>
      <c r="AR986">
        <f>_xlfn.PERCENTILE.INC(Table67[Extrem Response Ratio (ERS)],0.9)</f>
        <v>0.61904761904761907</v>
      </c>
      <c r="AS986" t="b">
        <f>Table67[[#This Row],[Extrem Response Ratio (ERS)]]&gt;=Table67[[#This Row],[Threshold of ERS]]</f>
        <v>0</v>
      </c>
      <c r="AT986">
        <f>COUNTIF(Table67[[#This Row],[The mechanism of digital assets is difficult to understand, which discourages me from exploring it (E.g, Tokenization, Blockchain)]:[If I want to try different ways to invest, I will explore digital assets.]], 3)</f>
        <v>4</v>
      </c>
      <c r="AU986">
        <f>Table67[[#This Row],[Midpoint]]/21</f>
        <v>0.19047619047619047</v>
      </c>
      <c r="AV986">
        <f>_xlfn.PERCENTILE.INC(Table67[Midpoint ratio],0.9)</f>
        <v>0.5714285714285714</v>
      </c>
      <c r="AW986" t="b">
        <f>Table67[[#This Row],[Midpoint ratio]]&gt;=Table67[[#This Row],[Threshold of Midpoint ratio]]</f>
        <v>0</v>
      </c>
      <c r="AX986" t="b">
        <f>OR(Table67[[#This Row],[Extreme Response Style]],Table67[[#This Row],[Mid-point Response Style]])</f>
        <v>0</v>
      </c>
      <c r="AY986" t="b">
        <f>OR(Table67[[#This Row],[Delete? (Stage 1)]],Table67[[#This Row],[Delete? (Stage 2)]])</f>
        <v>1</v>
      </c>
      <c r="AZ986" t="s">
        <v>84</v>
      </c>
    </row>
    <row r="987" spans="1:52">
      <c r="A987">
        <f t="shared" si="63"/>
        <v>986</v>
      </c>
      <c r="B987" s="3">
        <v>46056.880856481497</v>
      </c>
      <c r="C987" s="3">
        <v>46056.883900462999</v>
      </c>
      <c r="D987" t="s">
        <v>53</v>
      </c>
      <c r="G987" t="s">
        <v>54</v>
      </c>
      <c r="H987" t="s">
        <v>63</v>
      </c>
      <c r="I987" t="s">
        <v>71</v>
      </c>
      <c r="J987" t="s">
        <v>62</v>
      </c>
      <c r="K987" t="s">
        <v>62</v>
      </c>
      <c r="L987" t="s">
        <v>58</v>
      </c>
      <c r="M987" t="s">
        <v>58</v>
      </c>
      <c r="N987">
        <v>3</v>
      </c>
      <c r="O987">
        <v>1</v>
      </c>
      <c r="P987">
        <v>5</v>
      </c>
      <c r="Q987">
        <v>5</v>
      </c>
      <c r="R987">
        <v>1</v>
      </c>
      <c r="S987">
        <v>1</v>
      </c>
      <c r="T987">
        <v>1</v>
      </c>
      <c r="U987">
        <v>1</v>
      </c>
      <c r="V987">
        <v>5</v>
      </c>
      <c r="W987">
        <v>5</v>
      </c>
      <c r="X987">
        <v>4</v>
      </c>
      <c r="Y987">
        <v>5</v>
      </c>
      <c r="Z987">
        <v>5</v>
      </c>
      <c r="AA987">
        <v>5</v>
      </c>
      <c r="AB987">
        <v>5</v>
      </c>
      <c r="AC987">
        <v>5</v>
      </c>
      <c r="AD987">
        <v>3</v>
      </c>
      <c r="AE987">
        <v>5</v>
      </c>
      <c r="AF987">
        <v>5</v>
      </c>
      <c r="AG987">
        <v>1</v>
      </c>
      <c r="AH987">
        <v>5</v>
      </c>
      <c r="AI987">
        <v>1</v>
      </c>
      <c r="AJ987">
        <v>1</v>
      </c>
      <c r="AK987" t="b">
        <f>Table67[[#This Row],[What is your age?]]&lt;&gt;"18 - 25"</f>
        <v>0</v>
      </c>
      <c r="AL987" t="b">
        <f t="shared" si="60"/>
        <v>0</v>
      </c>
      <c r="AM987" t="b">
        <f t="shared" si="61"/>
        <v>0</v>
      </c>
      <c r="AN987" t="b">
        <f t="shared" si="62"/>
        <v>0</v>
      </c>
      <c r="AO987" t="b">
        <f>OR(Table67[[#This Row],[Ineligible respondents]:[Inconsistent response on opposite question (3)]])</f>
        <v>0</v>
      </c>
      <c r="AP98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18</v>
      </c>
      <c r="AQ987">
        <f>Table67[[#This Row],[Extreme Response]]/21</f>
        <v>0.8571428571428571</v>
      </c>
      <c r="AR987">
        <f>_xlfn.PERCENTILE.INC(Table67[Extrem Response Ratio (ERS)],0.9)</f>
        <v>0.61904761904761907</v>
      </c>
      <c r="AS987" t="b">
        <f>Table67[[#This Row],[Extrem Response Ratio (ERS)]]&gt;=Table67[[#This Row],[Threshold of ERS]]</f>
        <v>1</v>
      </c>
      <c r="AT987">
        <f>COUNTIF(Table67[[#This Row],[The mechanism of digital assets is difficult to understand, which discourages me from exploring it (E.g, Tokenization, Blockchain)]:[If I want to try different ways to invest, I will explore digital assets.]], 3)</f>
        <v>2</v>
      </c>
      <c r="AU987">
        <f>Table67[[#This Row],[Midpoint]]/21</f>
        <v>9.5238095238095233E-2</v>
      </c>
      <c r="AV987">
        <f>_xlfn.PERCENTILE.INC(Table67[Midpoint ratio],0.9)</f>
        <v>0.5714285714285714</v>
      </c>
      <c r="AW987" t="b">
        <f>Table67[[#This Row],[Midpoint ratio]]&gt;=Table67[[#This Row],[Threshold of Midpoint ratio]]</f>
        <v>0</v>
      </c>
      <c r="AX987" t="b">
        <f>OR(Table67[[#This Row],[Extreme Response Style]],Table67[[#This Row],[Mid-point Response Style]])</f>
        <v>1</v>
      </c>
      <c r="AY987" t="b">
        <f>OR(Table67[[#This Row],[Delete? (Stage 1)]],Table67[[#This Row],[Delete? (Stage 2)]])</f>
        <v>1</v>
      </c>
      <c r="AZ987" t="s">
        <v>84</v>
      </c>
    </row>
    <row r="988" spans="1:52">
      <c r="A988">
        <f t="shared" si="63"/>
        <v>987</v>
      </c>
      <c r="B988" s="3">
        <v>46056.8809259259</v>
      </c>
      <c r="C988" s="3">
        <v>46056.884282407402</v>
      </c>
      <c r="D988" t="s">
        <v>53</v>
      </c>
      <c r="G988" t="s">
        <v>54</v>
      </c>
      <c r="H988" t="s">
        <v>55</v>
      </c>
      <c r="I988" t="s">
        <v>56</v>
      </c>
      <c r="J988" t="s">
        <v>57</v>
      </c>
      <c r="K988" t="s">
        <v>57</v>
      </c>
      <c r="L988" t="s">
        <v>58</v>
      </c>
      <c r="M988" t="s">
        <v>58</v>
      </c>
      <c r="N988">
        <v>3</v>
      </c>
      <c r="O988">
        <v>1</v>
      </c>
      <c r="P988">
        <v>2</v>
      </c>
      <c r="Q988">
        <v>2</v>
      </c>
      <c r="R988">
        <v>3</v>
      </c>
      <c r="S988">
        <v>3</v>
      </c>
      <c r="T988">
        <v>3</v>
      </c>
      <c r="U988">
        <v>2</v>
      </c>
      <c r="V988">
        <v>2</v>
      </c>
      <c r="W988">
        <v>2</v>
      </c>
      <c r="X988">
        <v>2</v>
      </c>
      <c r="Y988">
        <v>2</v>
      </c>
      <c r="Z988">
        <v>2</v>
      </c>
      <c r="AA988">
        <v>3</v>
      </c>
      <c r="AB988">
        <v>2</v>
      </c>
      <c r="AC988">
        <v>2</v>
      </c>
      <c r="AD988">
        <v>2</v>
      </c>
      <c r="AE988">
        <v>3</v>
      </c>
      <c r="AF988">
        <v>4</v>
      </c>
      <c r="AG988">
        <v>3</v>
      </c>
      <c r="AH988">
        <v>4</v>
      </c>
      <c r="AI988">
        <v>2</v>
      </c>
      <c r="AJ988">
        <v>2</v>
      </c>
      <c r="AK988" t="b">
        <f>Table67[[#This Row],[What is your age?]]&lt;&gt;"18 - 25"</f>
        <v>0</v>
      </c>
      <c r="AL988" t="b">
        <f t="shared" si="60"/>
        <v>0</v>
      </c>
      <c r="AM988" t="b">
        <f t="shared" si="61"/>
        <v>0</v>
      </c>
      <c r="AN988" t="b">
        <f t="shared" si="62"/>
        <v>1</v>
      </c>
      <c r="AO988" t="b">
        <f>OR(Table67[[#This Row],[Ineligible respondents]:[Inconsistent response on opposite question (3)]])</f>
        <v>1</v>
      </c>
      <c r="AP98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988">
        <f>Table67[[#This Row],[Extreme Response]]/21</f>
        <v>4.7619047619047616E-2</v>
      </c>
      <c r="AR988">
        <f>_xlfn.PERCENTILE.INC(Table67[Extrem Response Ratio (ERS)],0.9)</f>
        <v>0.61904761904761907</v>
      </c>
      <c r="AS988" t="b">
        <f>Table67[[#This Row],[Extrem Response Ratio (ERS)]]&gt;=Table67[[#This Row],[Threshold of ERS]]</f>
        <v>0</v>
      </c>
      <c r="AT988">
        <f>COUNTIF(Table67[[#This Row],[The mechanism of digital assets is difficult to understand, which discourages me from exploring it (E.g, Tokenization, Blockchain)]:[If I want to try different ways to invest, I will explore digital assets.]], 3)</f>
        <v>7</v>
      </c>
      <c r="AU988">
        <f>Table67[[#This Row],[Midpoint]]/21</f>
        <v>0.33333333333333331</v>
      </c>
      <c r="AV988">
        <f>_xlfn.PERCENTILE.INC(Table67[Midpoint ratio],0.9)</f>
        <v>0.5714285714285714</v>
      </c>
      <c r="AW988" t="b">
        <f>Table67[[#This Row],[Midpoint ratio]]&gt;=Table67[[#This Row],[Threshold of Midpoint ratio]]</f>
        <v>0</v>
      </c>
      <c r="AX988" t="b">
        <f>OR(Table67[[#This Row],[Extreme Response Style]],Table67[[#This Row],[Mid-point Response Style]])</f>
        <v>0</v>
      </c>
      <c r="AY988" t="b">
        <f>OR(Table67[[#This Row],[Delete? (Stage 1)]],Table67[[#This Row],[Delete? (Stage 2)]])</f>
        <v>1</v>
      </c>
      <c r="AZ988" t="s">
        <v>84</v>
      </c>
    </row>
    <row r="989" spans="1:52">
      <c r="A989">
        <f t="shared" si="63"/>
        <v>988</v>
      </c>
      <c r="B989" s="3">
        <v>46056.880937499998</v>
      </c>
      <c r="C989" s="3">
        <v>46056.887303240699</v>
      </c>
      <c r="D989" t="s">
        <v>53</v>
      </c>
      <c r="G989" t="s">
        <v>54</v>
      </c>
      <c r="H989" t="s">
        <v>55</v>
      </c>
      <c r="I989" t="s">
        <v>71</v>
      </c>
      <c r="J989" t="s">
        <v>57</v>
      </c>
      <c r="K989" t="s">
        <v>57</v>
      </c>
      <c r="L989" t="s">
        <v>58</v>
      </c>
      <c r="M989" t="s">
        <v>58</v>
      </c>
      <c r="N989">
        <v>3</v>
      </c>
      <c r="O989">
        <v>1</v>
      </c>
      <c r="P989">
        <v>4</v>
      </c>
      <c r="Q989">
        <v>5</v>
      </c>
      <c r="R989">
        <v>1</v>
      </c>
      <c r="S989">
        <v>4</v>
      </c>
      <c r="T989">
        <v>5</v>
      </c>
      <c r="U989">
        <v>5</v>
      </c>
      <c r="V989">
        <v>1</v>
      </c>
      <c r="W989">
        <v>1</v>
      </c>
      <c r="X989">
        <v>5</v>
      </c>
      <c r="Y989">
        <v>4</v>
      </c>
      <c r="Z989">
        <v>3</v>
      </c>
      <c r="AA989">
        <v>5</v>
      </c>
      <c r="AB989">
        <v>3</v>
      </c>
      <c r="AC989">
        <v>5</v>
      </c>
      <c r="AD989">
        <v>5</v>
      </c>
      <c r="AE989">
        <v>5</v>
      </c>
      <c r="AF989">
        <v>1</v>
      </c>
      <c r="AG989">
        <v>4</v>
      </c>
      <c r="AH989">
        <v>1</v>
      </c>
      <c r="AI989">
        <v>5</v>
      </c>
      <c r="AJ989">
        <v>5</v>
      </c>
      <c r="AK989" t="b">
        <f>Table67[[#This Row],[What is your age?]]&lt;&gt;"18 - 25"</f>
        <v>0</v>
      </c>
      <c r="AL989" t="b">
        <f t="shared" si="60"/>
        <v>0</v>
      </c>
      <c r="AM989" t="b">
        <f t="shared" si="61"/>
        <v>0</v>
      </c>
      <c r="AN989" t="b">
        <f t="shared" si="62"/>
        <v>0</v>
      </c>
      <c r="AO989" t="b">
        <f>OR(Table67[[#This Row],[Ineligible respondents]:[Inconsistent response on opposite question (3)]])</f>
        <v>0</v>
      </c>
      <c r="AP98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989">
        <f>Table67[[#This Row],[Extreme Response]]/21</f>
        <v>0.66666666666666663</v>
      </c>
      <c r="AR989">
        <f>_xlfn.PERCENTILE.INC(Table67[Extrem Response Ratio (ERS)],0.9)</f>
        <v>0.61904761904761907</v>
      </c>
      <c r="AS989" t="b">
        <f>Table67[[#This Row],[Extrem Response Ratio (ERS)]]&gt;=Table67[[#This Row],[Threshold of ERS]]</f>
        <v>1</v>
      </c>
      <c r="AT989">
        <f>COUNTIF(Table67[[#This Row],[The mechanism of digital assets is difficult to understand, which discourages me from exploring it (E.g, Tokenization, Blockchain)]:[If I want to try different ways to invest, I will explore digital assets.]], 3)</f>
        <v>3</v>
      </c>
      <c r="AU989">
        <f>Table67[[#This Row],[Midpoint]]/21</f>
        <v>0.14285714285714285</v>
      </c>
      <c r="AV989">
        <f>_xlfn.PERCENTILE.INC(Table67[Midpoint ratio],0.9)</f>
        <v>0.5714285714285714</v>
      </c>
      <c r="AW989" t="b">
        <f>Table67[[#This Row],[Midpoint ratio]]&gt;=Table67[[#This Row],[Threshold of Midpoint ratio]]</f>
        <v>0</v>
      </c>
      <c r="AX989" t="b">
        <f>OR(Table67[[#This Row],[Extreme Response Style]],Table67[[#This Row],[Mid-point Response Style]])</f>
        <v>1</v>
      </c>
      <c r="AY989" t="b">
        <f>OR(Table67[[#This Row],[Delete? (Stage 1)]],Table67[[#This Row],[Delete? (Stage 2)]])</f>
        <v>1</v>
      </c>
      <c r="AZ989" t="s">
        <v>84</v>
      </c>
    </row>
    <row r="990" spans="1:52">
      <c r="A990">
        <f t="shared" si="63"/>
        <v>989</v>
      </c>
      <c r="B990" s="3">
        <v>46056.880960648101</v>
      </c>
      <c r="C990" s="3">
        <v>46056.888391203698</v>
      </c>
      <c r="D990" t="s">
        <v>53</v>
      </c>
      <c r="G990" t="s">
        <v>54</v>
      </c>
      <c r="H990" t="s">
        <v>63</v>
      </c>
      <c r="I990" t="s">
        <v>71</v>
      </c>
      <c r="J990" t="s">
        <v>62</v>
      </c>
      <c r="K990" t="s">
        <v>62</v>
      </c>
      <c r="L990" t="s">
        <v>58</v>
      </c>
      <c r="M990" t="s">
        <v>58</v>
      </c>
      <c r="N990">
        <v>4</v>
      </c>
      <c r="O990">
        <v>3</v>
      </c>
      <c r="P990">
        <v>5</v>
      </c>
      <c r="Q990">
        <v>4</v>
      </c>
      <c r="R990">
        <v>4</v>
      </c>
      <c r="S990">
        <v>5</v>
      </c>
      <c r="T990">
        <v>1</v>
      </c>
      <c r="U990">
        <v>1</v>
      </c>
      <c r="V990">
        <v>1</v>
      </c>
      <c r="W990">
        <v>2</v>
      </c>
      <c r="X990">
        <v>1</v>
      </c>
      <c r="Y990">
        <v>1</v>
      </c>
      <c r="Z990">
        <v>3</v>
      </c>
      <c r="AA990">
        <v>1</v>
      </c>
      <c r="AB990">
        <v>1</v>
      </c>
      <c r="AC990">
        <v>3</v>
      </c>
      <c r="AD990">
        <v>2</v>
      </c>
      <c r="AE990">
        <v>2</v>
      </c>
      <c r="AF990">
        <v>2</v>
      </c>
      <c r="AG990">
        <v>3</v>
      </c>
      <c r="AH990">
        <v>4</v>
      </c>
      <c r="AI990">
        <v>2</v>
      </c>
      <c r="AJ990">
        <v>4</v>
      </c>
      <c r="AK990" t="b">
        <f>Table67[[#This Row],[What is your age?]]&lt;&gt;"18 - 25"</f>
        <v>0</v>
      </c>
      <c r="AL990" t="b">
        <f t="shared" si="60"/>
        <v>0</v>
      </c>
      <c r="AM990" t="b">
        <f t="shared" si="61"/>
        <v>0</v>
      </c>
      <c r="AN990" t="b">
        <f t="shared" si="62"/>
        <v>1</v>
      </c>
      <c r="AO990" t="b">
        <f>OR(Table67[[#This Row],[Ineligible respondents]:[Inconsistent response on opposite question (3)]])</f>
        <v>1</v>
      </c>
      <c r="AP99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990">
        <f>Table67[[#This Row],[Extreme Response]]/21</f>
        <v>0.42857142857142855</v>
      </c>
      <c r="AR990">
        <f>_xlfn.PERCENTILE.INC(Table67[Extrem Response Ratio (ERS)],0.9)</f>
        <v>0.61904761904761907</v>
      </c>
      <c r="AS990" t="b">
        <f>Table67[[#This Row],[Extrem Response Ratio (ERS)]]&gt;=Table67[[#This Row],[Threshold of ERS]]</f>
        <v>0</v>
      </c>
      <c r="AT990">
        <f>COUNTIF(Table67[[#This Row],[The mechanism of digital assets is difficult to understand, which discourages me from exploring it (E.g, Tokenization, Blockchain)]:[If I want to try different ways to invest, I will explore digital assets.]], 3)</f>
        <v>4</v>
      </c>
      <c r="AU990">
        <f>Table67[[#This Row],[Midpoint]]/21</f>
        <v>0.19047619047619047</v>
      </c>
      <c r="AV990">
        <f>_xlfn.PERCENTILE.INC(Table67[Midpoint ratio],0.9)</f>
        <v>0.5714285714285714</v>
      </c>
      <c r="AW990" t="b">
        <f>Table67[[#This Row],[Midpoint ratio]]&gt;=Table67[[#This Row],[Threshold of Midpoint ratio]]</f>
        <v>0</v>
      </c>
      <c r="AX990" t="b">
        <f>OR(Table67[[#This Row],[Extreme Response Style]],Table67[[#This Row],[Mid-point Response Style]])</f>
        <v>0</v>
      </c>
      <c r="AY990" t="b">
        <f>OR(Table67[[#This Row],[Delete? (Stage 1)]],Table67[[#This Row],[Delete? (Stage 2)]])</f>
        <v>1</v>
      </c>
      <c r="AZ990" t="s">
        <v>84</v>
      </c>
    </row>
    <row r="991" spans="1:52">
      <c r="A991">
        <f t="shared" si="63"/>
        <v>990</v>
      </c>
      <c r="B991" s="3">
        <v>46056.881030092598</v>
      </c>
      <c r="C991" s="3">
        <v>46056.885937500003</v>
      </c>
      <c r="D991" t="s">
        <v>53</v>
      </c>
      <c r="G991" t="s">
        <v>54</v>
      </c>
      <c r="H991" t="s">
        <v>63</v>
      </c>
      <c r="I991" t="s">
        <v>56</v>
      </c>
      <c r="J991" t="s">
        <v>60</v>
      </c>
      <c r="K991" t="s">
        <v>66</v>
      </c>
      <c r="L991" t="s">
        <v>58</v>
      </c>
      <c r="M991" t="s">
        <v>58</v>
      </c>
      <c r="N991">
        <v>1</v>
      </c>
      <c r="O991">
        <v>3</v>
      </c>
      <c r="P991">
        <v>3</v>
      </c>
      <c r="Q991">
        <v>3</v>
      </c>
      <c r="R991">
        <v>5</v>
      </c>
      <c r="S991">
        <v>5</v>
      </c>
      <c r="T991">
        <v>1</v>
      </c>
      <c r="U991">
        <v>1</v>
      </c>
      <c r="V991">
        <v>5</v>
      </c>
      <c r="W991">
        <v>5</v>
      </c>
      <c r="X991">
        <v>3</v>
      </c>
      <c r="Y991">
        <v>3</v>
      </c>
      <c r="Z991">
        <v>5</v>
      </c>
      <c r="AA991">
        <v>1</v>
      </c>
      <c r="AB991">
        <v>1</v>
      </c>
      <c r="AC991">
        <v>1</v>
      </c>
      <c r="AD991">
        <v>3</v>
      </c>
      <c r="AE991">
        <v>5</v>
      </c>
      <c r="AF991">
        <v>5</v>
      </c>
      <c r="AG991">
        <v>1</v>
      </c>
      <c r="AH991">
        <v>5</v>
      </c>
      <c r="AI991">
        <v>1</v>
      </c>
      <c r="AJ991">
        <v>1</v>
      </c>
      <c r="AK991" t="b">
        <f>Table67[[#This Row],[What is your age?]]&lt;&gt;"18 - 25"</f>
        <v>0</v>
      </c>
      <c r="AL991" t="b">
        <f t="shared" si="60"/>
        <v>0</v>
      </c>
      <c r="AM991" t="b">
        <f t="shared" si="61"/>
        <v>0</v>
      </c>
      <c r="AN991" t="b">
        <f t="shared" si="62"/>
        <v>0</v>
      </c>
      <c r="AO991" t="b">
        <f>OR(Table67[[#This Row],[Ineligible respondents]:[Inconsistent response on opposite question (3)]])</f>
        <v>0</v>
      </c>
      <c r="AP99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991">
        <f>Table67[[#This Row],[Extreme Response]]/21</f>
        <v>0.7142857142857143</v>
      </c>
      <c r="AR991">
        <f>_xlfn.PERCENTILE.INC(Table67[Extrem Response Ratio (ERS)],0.9)</f>
        <v>0.61904761904761907</v>
      </c>
      <c r="AS991" t="b">
        <f>Table67[[#This Row],[Extrem Response Ratio (ERS)]]&gt;=Table67[[#This Row],[Threshold of ERS]]</f>
        <v>1</v>
      </c>
      <c r="AT991">
        <f>COUNTIF(Table67[[#This Row],[The mechanism of digital assets is difficult to understand, which discourages me from exploring it (E.g, Tokenization, Blockchain)]:[If I want to try different ways to invest, I will explore digital assets.]], 3)</f>
        <v>6</v>
      </c>
      <c r="AU991">
        <f>Table67[[#This Row],[Midpoint]]/21</f>
        <v>0.2857142857142857</v>
      </c>
      <c r="AV991">
        <f>_xlfn.PERCENTILE.INC(Table67[Midpoint ratio],0.9)</f>
        <v>0.5714285714285714</v>
      </c>
      <c r="AW991" t="b">
        <f>Table67[[#This Row],[Midpoint ratio]]&gt;=Table67[[#This Row],[Threshold of Midpoint ratio]]</f>
        <v>0</v>
      </c>
      <c r="AX991" t="b">
        <f>OR(Table67[[#This Row],[Extreme Response Style]],Table67[[#This Row],[Mid-point Response Style]])</f>
        <v>1</v>
      </c>
      <c r="AY991" t="b">
        <f>OR(Table67[[#This Row],[Delete? (Stage 1)]],Table67[[#This Row],[Delete? (Stage 2)]])</f>
        <v>1</v>
      </c>
      <c r="AZ991" t="s">
        <v>84</v>
      </c>
    </row>
    <row r="992" spans="1:52">
      <c r="A992">
        <f t="shared" si="63"/>
        <v>991</v>
      </c>
      <c r="B992" s="3">
        <v>46056.881030092598</v>
      </c>
      <c r="C992" s="3">
        <v>46056.887453703697</v>
      </c>
      <c r="D992" t="s">
        <v>53</v>
      </c>
      <c r="G992" t="s">
        <v>54</v>
      </c>
      <c r="H992" t="s">
        <v>63</v>
      </c>
      <c r="I992" t="s">
        <v>56</v>
      </c>
      <c r="J992" t="s">
        <v>62</v>
      </c>
      <c r="K992" t="s">
        <v>62</v>
      </c>
      <c r="L992" t="s">
        <v>58</v>
      </c>
      <c r="M992" t="s">
        <v>58</v>
      </c>
      <c r="N992">
        <v>3</v>
      </c>
      <c r="O992">
        <v>3</v>
      </c>
      <c r="P992">
        <v>3</v>
      </c>
      <c r="Q992">
        <v>3</v>
      </c>
      <c r="R992">
        <v>3</v>
      </c>
      <c r="S992">
        <v>3</v>
      </c>
      <c r="T992">
        <v>3</v>
      </c>
      <c r="U992">
        <v>3</v>
      </c>
      <c r="V992">
        <v>5</v>
      </c>
      <c r="W992">
        <v>4</v>
      </c>
      <c r="X992">
        <v>4</v>
      </c>
      <c r="Y992">
        <v>4</v>
      </c>
      <c r="Z992">
        <v>3</v>
      </c>
      <c r="AA992">
        <v>3</v>
      </c>
      <c r="AB992">
        <v>3</v>
      </c>
      <c r="AC992">
        <v>3</v>
      </c>
      <c r="AD992">
        <v>3</v>
      </c>
      <c r="AE992">
        <v>4</v>
      </c>
      <c r="AF992">
        <v>3</v>
      </c>
      <c r="AG992">
        <v>3</v>
      </c>
      <c r="AH992">
        <v>4</v>
      </c>
      <c r="AI992">
        <v>2</v>
      </c>
      <c r="AJ992">
        <v>3</v>
      </c>
      <c r="AK992" t="b">
        <f>Table67[[#This Row],[What is your age?]]&lt;&gt;"18 - 25"</f>
        <v>0</v>
      </c>
      <c r="AL992" t="b">
        <f t="shared" si="60"/>
        <v>0</v>
      </c>
      <c r="AM992" t="b">
        <f t="shared" si="61"/>
        <v>0</v>
      </c>
      <c r="AN992" t="b">
        <f t="shared" si="62"/>
        <v>1</v>
      </c>
      <c r="AO992" t="b">
        <f>OR(Table67[[#This Row],[Ineligible respondents]:[Inconsistent response on opposite question (3)]])</f>
        <v>1</v>
      </c>
      <c r="AP99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992">
        <f>Table67[[#This Row],[Extreme Response]]/21</f>
        <v>4.7619047619047616E-2</v>
      </c>
      <c r="AR992">
        <f>_xlfn.PERCENTILE.INC(Table67[Extrem Response Ratio (ERS)],0.9)</f>
        <v>0.61904761904761907</v>
      </c>
      <c r="AS992" t="b">
        <f>Table67[[#This Row],[Extrem Response Ratio (ERS)]]&gt;=Table67[[#This Row],[Threshold of ERS]]</f>
        <v>0</v>
      </c>
      <c r="AT992">
        <f>COUNTIF(Table67[[#This Row],[The mechanism of digital assets is difficult to understand, which discourages me from exploring it (E.g, Tokenization, Blockchain)]:[If I want to try different ways to invest, I will explore digital assets.]], 3)</f>
        <v>15</v>
      </c>
      <c r="AU992">
        <f>Table67[[#This Row],[Midpoint]]/21</f>
        <v>0.7142857142857143</v>
      </c>
      <c r="AV992">
        <f>_xlfn.PERCENTILE.INC(Table67[Midpoint ratio],0.9)</f>
        <v>0.5714285714285714</v>
      </c>
      <c r="AW992" t="b">
        <f>Table67[[#This Row],[Midpoint ratio]]&gt;=Table67[[#This Row],[Threshold of Midpoint ratio]]</f>
        <v>1</v>
      </c>
      <c r="AX992" t="b">
        <f>OR(Table67[[#This Row],[Extreme Response Style]],Table67[[#This Row],[Mid-point Response Style]])</f>
        <v>1</v>
      </c>
      <c r="AY992" t="b">
        <f>OR(Table67[[#This Row],[Delete? (Stage 1)]],Table67[[#This Row],[Delete? (Stage 2)]])</f>
        <v>1</v>
      </c>
      <c r="AZ992" t="s">
        <v>84</v>
      </c>
    </row>
    <row r="993" spans="1:52">
      <c r="A993">
        <f t="shared" si="63"/>
        <v>992</v>
      </c>
      <c r="B993" s="3">
        <v>46056.881053240701</v>
      </c>
      <c r="C993" s="3">
        <v>46056.8828587963</v>
      </c>
      <c r="D993" t="s">
        <v>53</v>
      </c>
      <c r="G993" t="s">
        <v>54</v>
      </c>
      <c r="H993" t="s">
        <v>63</v>
      </c>
      <c r="I993" t="s">
        <v>56</v>
      </c>
      <c r="J993" t="s">
        <v>68</v>
      </c>
      <c r="K993" t="s">
        <v>62</v>
      </c>
      <c r="L993" t="s">
        <v>61</v>
      </c>
      <c r="M993" t="s">
        <v>61</v>
      </c>
      <c r="N993">
        <v>5</v>
      </c>
      <c r="O993">
        <v>5</v>
      </c>
      <c r="P993">
        <v>5</v>
      </c>
      <c r="Q993">
        <v>3</v>
      </c>
      <c r="R993">
        <v>5</v>
      </c>
      <c r="S993">
        <v>4</v>
      </c>
      <c r="T993">
        <v>3</v>
      </c>
      <c r="U993">
        <v>4</v>
      </c>
      <c r="V993">
        <v>5</v>
      </c>
      <c r="W993">
        <v>4</v>
      </c>
      <c r="X993">
        <v>5</v>
      </c>
      <c r="Y993">
        <v>4</v>
      </c>
      <c r="Z993">
        <v>4</v>
      </c>
      <c r="AA993">
        <v>3</v>
      </c>
      <c r="AB993">
        <v>4</v>
      </c>
      <c r="AC993">
        <v>5</v>
      </c>
      <c r="AD993">
        <v>4</v>
      </c>
      <c r="AE993">
        <v>4</v>
      </c>
      <c r="AF993">
        <v>5</v>
      </c>
      <c r="AG993">
        <v>3</v>
      </c>
      <c r="AH993">
        <v>5</v>
      </c>
      <c r="AI993">
        <v>1</v>
      </c>
      <c r="AJ993">
        <v>1</v>
      </c>
      <c r="AK993" t="b">
        <f>Table67[[#This Row],[What is your age?]]&lt;&gt;"18 - 25"</f>
        <v>0</v>
      </c>
      <c r="AL993" t="b">
        <f t="shared" si="60"/>
        <v>0</v>
      </c>
      <c r="AM993" t="b">
        <f t="shared" si="61"/>
        <v>0</v>
      </c>
      <c r="AN993" t="b">
        <f t="shared" si="62"/>
        <v>1</v>
      </c>
      <c r="AO993" t="b">
        <f>OR(Table67[[#This Row],[Ineligible respondents]:[Inconsistent response on opposite question (3)]])</f>
        <v>1</v>
      </c>
      <c r="AP99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993">
        <f>Table67[[#This Row],[Extreme Response]]/21</f>
        <v>0.42857142857142855</v>
      </c>
      <c r="AR993">
        <f>_xlfn.PERCENTILE.INC(Table67[Extrem Response Ratio (ERS)],0.9)</f>
        <v>0.61904761904761907</v>
      </c>
      <c r="AS993" t="b">
        <f>Table67[[#This Row],[Extrem Response Ratio (ERS)]]&gt;=Table67[[#This Row],[Threshold of ERS]]</f>
        <v>0</v>
      </c>
      <c r="AT993">
        <f>COUNTIF(Table67[[#This Row],[The mechanism of digital assets is difficult to understand, which discourages me from exploring it (E.g, Tokenization, Blockchain)]:[If I want to try different ways to invest, I will explore digital assets.]], 3)</f>
        <v>4</v>
      </c>
      <c r="AU993">
        <f>Table67[[#This Row],[Midpoint]]/21</f>
        <v>0.19047619047619047</v>
      </c>
      <c r="AV993">
        <f>_xlfn.PERCENTILE.INC(Table67[Midpoint ratio],0.9)</f>
        <v>0.5714285714285714</v>
      </c>
      <c r="AW993" t="b">
        <f>Table67[[#This Row],[Midpoint ratio]]&gt;=Table67[[#This Row],[Threshold of Midpoint ratio]]</f>
        <v>0</v>
      </c>
      <c r="AX993" t="b">
        <f>OR(Table67[[#This Row],[Extreme Response Style]],Table67[[#This Row],[Mid-point Response Style]])</f>
        <v>0</v>
      </c>
      <c r="AY993" t="b">
        <f>OR(Table67[[#This Row],[Delete? (Stage 1)]],Table67[[#This Row],[Delete? (Stage 2)]])</f>
        <v>1</v>
      </c>
      <c r="AZ993" t="s">
        <v>84</v>
      </c>
    </row>
    <row r="994" spans="1:52">
      <c r="A994">
        <f t="shared" si="63"/>
        <v>993</v>
      </c>
      <c r="B994" s="3">
        <v>46056.881076388898</v>
      </c>
      <c r="C994" s="3">
        <v>46056.8889583333</v>
      </c>
      <c r="D994" t="s">
        <v>53</v>
      </c>
      <c r="G994" t="s">
        <v>54</v>
      </c>
      <c r="H994" t="s">
        <v>63</v>
      </c>
      <c r="I994" t="s">
        <v>56</v>
      </c>
      <c r="J994" t="s">
        <v>66</v>
      </c>
      <c r="K994" t="s">
        <v>57</v>
      </c>
      <c r="L994" t="s">
        <v>58</v>
      </c>
      <c r="M994" t="s">
        <v>58</v>
      </c>
      <c r="N994">
        <v>2</v>
      </c>
      <c r="O994">
        <v>1</v>
      </c>
      <c r="P994">
        <v>4</v>
      </c>
      <c r="Q994">
        <v>3</v>
      </c>
      <c r="R994">
        <v>4</v>
      </c>
      <c r="S994">
        <v>5</v>
      </c>
      <c r="T994">
        <v>3</v>
      </c>
      <c r="U994">
        <v>5</v>
      </c>
      <c r="V994">
        <v>5</v>
      </c>
      <c r="W994">
        <v>5</v>
      </c>
      <c r="X994">
        <v>4</v>
      </c>
      <c r="Y994">
        <v>5</v>
      </c>
      <c r="Z994">
        <v>4</v>
      </c>
      <c r="AA994">
        <v>3</v>
      </c>
      <c r="AB994">
        <v>2</v>
      </c>
      <c r="AC994">
        <v>4</v>
      </c>
      <c r="AD994">
        <v>5</v>
      </c>
      <c r="AE994">
        <v>3</v>
      </c>
      <c r="AF994">
        <v>3</v>
      </c>
      <c r="AG994">
        <v>2</v>
      </c>
      <c r="AH994">
        <v>3</v>
      </c>
      <c r="AI994">
        <v>3</v>
      </c>
      <c r="AJ994">
        <v>3</v>
      </c>
      <c r="AK994" t="b">
        <f>Table67[[#This Row],[What is your age?]]&lt;&gt;"18 - 25"</f>
        <v>0</v>
      </c>
      <c r="AL994" t="b">
        <f t="shared" si="60"/>
        <v>0</v>
      </c>
      <c r="AM994" t="b">
        <f t="shared" si="61"/>
        <v>0</v>
      </c>
      <c r="AN994" t="b">
        <f t="shared" si="62"/>
        <v>1</v>
      </c>
      <c r="AO994" t="b">
        <f>OR(Table67[[#This Row],[Ineligible respondents]:[Inconsistent response on opposite question (3)]])</f>
        <v>1</v>
      </c>
      <c r="AP99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994">
        <f>Table67[[#This Row],[Extreme Response]]/21</f>
        <v>0.33333333333333331</v>
      </c>
      <c r="AR994">
        <f>_xlfn.PERCENTILE.INC(Table67[Extrem Response Ratio (ERS)],0.9)</f>
        <v>0.61904761904761907</v>
      </c>
      <c r="AS994" t="b">
        <f>Table67[[#This Row],[Extrem Response Ratio (ERS)]]&gt;=Table67[[#This Row],[Threshold of ERS]]</f>
        <v>0</v>
      </c>
      <c r="AT994">
        <f>COUNTIF(Table67[[#This Row],[The mechanism of digital assets is difficult to understand, which discourages me from exploring it (E.g, Tokenization, Blockchain)]:[If I want to try different ways to invest, I will explore digital assets.]], 3)</f>
        <v>6</v>
      </c>
      <c r="AU994">
        <f>Table67[[#This Row],[Midpoint]]/21</f>
        <v>0.2857142857142857</v>
      </c>
      <c r="AV994">
        <f>_xlfn.PERCENTILE.INC(Table67[Midpoint ratio],0.9)</f>
        <v>0.5714285714285714</v>
      </c>
      <c r="AW994" t="b">
        <f>Table67[[#This Row],[Midpoint ratio]]&gt;=Table67[[#This Row],[Threshold of Midpoint ratio]]</f>
        <v>0</v>
      </c>
      <c r="AX994" t="b">
        <f>OR(Table67[[#This Row],[Extreme Response Style]],Table67[[#This Row],[Mid-point Response Style]])</f>
        <v>0</v>
      </c>
      <c r="AY994" t="b">
        <f>OR(Table67[[#This Row],[Delete? (Stage 1)]],Table67[[#This Row],[Delete? (Stage 2)]])</f>
        <v>1</v>
      </c>
      <c r="AZ994" t="s">
        <v>84</v>
      </c>
    </row>
    <row r="995" spans="1:52">
      <c r="A995">
        <f t="shared" si="63"/>
        <v>994</v>
      </c>
      <c r="B995" s="3">
        <v>46056.881215277797</v>
      </c>
      <c r="C995" s="3">
        <v>46056.884606481501</v>
      </c>
      <c r="D995" t="s">
        <v>53</v>
      </c>
      <c r="G995" t="s">
        <v>54</v>
      </c>
      <c r="H995" t="s">
        <v>55</v>
      </c>
      <c r="I995" t="s">
        <v>56</v>
      </c>
      <c r="J995" t="s">
        <v>67</v>
      </c>
      <c r="K995" t="s">
        <v>60</v>
      </c>
      <c r="L995" t="s">
        <v>58</v>
      </c>
      <c r="M995" t="s">
        <v>58</v>
      </c>
      <c r="N995">
        <v>3</v>
      </c>
      <c r="O995">
        <v>1</v>
      </c>
      <c r="P995">
        <v>4</v>
      </c>
      <c r="Q995">
        <v>2</v>
      </c>
      <c r="R995">
        <v>4</v>
      </c>
      <c r="S995">
        <v>4</v>
      </c>
      <c r="T995">
        <v>5</v>
      </c>
      <c r="U995">
        <v>4</v>
      </c>
      <c r="V995">
        <v>2</v>
      </c>
      <c r="W995">
        <v>5</v>
      </c>
      <c r="X995">
        <v>4</v>
      </c>
      <c r="Y995">
        <v>5</v>
      </c>
      <c r="Z995">
        <v>2</v>
      </c>
      <c r="AA995">
        <v>3</v>
      </c>
      <c r="AB995">
        <v>2</v>
      </c>
      <c r="AC995">
        <v>4</v>
      </c>
      <c r="AD995">
        <v>5</v>
      </c>
      <c r="AE995">
        <v>4</v>
      </c>
      <c r="AF995">
        <v>3</v>
      </c>
      <c r="AG995">
        <v>4</v>
      </c>
      <c r="AH995">
        <v>4</v>
      </c>
      <c r="AI995">
        <v>2</v>
      </c>
      <c r="AJ995">
        <v>3</v>
      </c>
      <c r="AK995" t="b">
        <f>Table67[[#This Row],[What is your age?]]&lt;&gt;"18 - 25"</f>
        <v>0</v>
      </c>
      <c r="AL995" t="b">
        <f t="shared" si="60"/>
        <v>0</v>
      </c>
      <c r="AM995" t="b">
        <f t="shared" si="61"/>
        <v>1</v>
      </c>
      <c r="AN995" t="b">
        <f t="shared" si="62"/>
        <v>0</v>
      </c>
      <c r="AO995" t="b">
        <f>OR(Table67[[#This Row],[Ineligible respondents]:[Inconsistent response on opposite question (3)]])</f>
        <v>1</v>
      </c>
      <c r="AP99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995">
        <f>Table67[[#This Row],[Extreme Response]]/21</f>
        <v>0.23809523809523808</v>
      </c>
      <c r="AR995">
        <f>_xlfn.PERCENTILE.INC(Table67[Extrem Response Ratio (ERS)],0.9)</f>
        <v>0.61904761904761907</v>
      </c>
      <c r="AS995" t="b">
        <f>Table67[[#This Row],[Extrem Response Ratio (ERS)]]&gt;=Table67[[#This Row],[Threshold of ERS]]</f>
        <v>0</v>
      </c>
      <c r="AT995">
        <f>COUNTIF(Table67[[#This Row],[The mechanism of digital assets is difficult to understand, which discourages me from exploring it (E.g, Tokenization, Blockchain)]:[If I want to try different ways to invest, I will explore digital assets.]], 3)</f>
        <v>3</v>
      </c>
      <c r="AU995">
        <f>Table67[[#This Row],[Midpoint]]/21</f>
        <v>0.14285714285714285</v>
      </c>
      <c r="AV995">
        <f>_xlfn.PERCENTILE.INC(Table67[Midpoint ratio],0.9)</f>
        <v>0.5714285714285714</v>
      </c>
      <c r="AW995" t="b">
        <f>Table67[[#This Row],[Midpoint ratio]]&gt;=Table67[[#This Row],[Threshold of Midpoint ratio]]</f>
        <v>0</v>
      </c>
      <c r="AX995" t="b">
        <f>OR(Table67[[#This Row],[Extreme Response Style]],Table67[[#This Row],[Mid-point Response Style]])</f>
        <v>0</v>
      </c>
      <c r="AY995" t="b">
        <f>OR(Table67[[#This Row],[Delete? (Stage 1)]],Table67[[#This Row],[Delete? (Stage 2)]])</f>
        <v>1</v>
      </c>
      <c r="AZ995" t="s">
        <v>84</v>
      </c>
    </row>
    <row r="996" spans="1:52">
      <c r="A996">
        <f t="shared" si="63"/>
        <v>995</v>
      </c>
      <c r="B996" s="3">
        <v>46056.881226851903</v>
      </c>
      <c r="C996" s="3">
        <v>46056.882997685199</v>
      </c>
      <c r="D996" t="s">
        <v>53</v>
      </c>
      <c r="G996" t="s">
        <v>54</v>
      </c>
      <c r="H996" t="s">
        <v>55</v>
      </c>
      <c r="I996" t="s">
        <v>56</v>
      </c>
      <c r="J996" t="s">
        <v>60</v>
      </c>
      <c r="K996" t="s">
        <v>62</v>
      </c>
      <c r="L996" t="s">
        <v>58</v>
      </c>
      <c r="M996" t="s">
        <v>58</v>
      </c>
      <c r="N996">
        <v>2</v>
      </c>
      <c r="O996">
        <v>1</v>
      </c>
      <c r="P996">
        <v>3</v>
      </c>
      <c r="Q996">
        <v>2</v>
      </c>
      <c r="R996">
        <v>2</v>
      </c>
      <c r="S996">
        <v>2</v>
      </c>
      <c r="T996">
        <v>1</v>
      </c>
      <c r="U996">
        <v>4</v>
      </c>
      <c r="V996">
        <v>5</v>
      </c>
      <c r="W996">
        <v>2</v>
      </c>
      <c r="X996">
        <v>4</v>
      </c>
      <c r="Y996">
        <v>3</v>
      </c>
      <c r="Z996">
        <v>2</v>
      </c>
      <c r="AA996">
        <v>2</v>
      </c>
      <c r="AB996">
        <v>1</v>
      </c>
      <c r="AC996">
        <v>5</v>
      </c>
      <c r="AD996">
        <v>5</v>
      </c>
      <c r="AE996">
        <v>3</v>
      </c>
      <c r="AF996">
        <v>2</v>
      </c>
      <c r="AG996">
        <v>3</v>
      </c>
      <c r="AH996">
        <v>2</v>
      </c>
      <c r="AI996">
        <v>4</v>
      </c>
      <c r="AJ996">
        <v>4</v>
      </c>
      <c r="AK996" t="b">
        <f>Table67[[#This Row],[What is your age?]]&lt;&gt;"18 - 25"</f>
        <v>0</v>
      </c>
      <c r="AL996" t="b">
        <f t="shared" si="60"/>
        <v>0</v>
      </c>
      <c r="AM996" t="b">
        <f t="shared" si="61"/>
        <v>0</v>
      </c>
      <c r="AN996" t="b">
        <f t="shared" si="62"/>
        <v>1</v>
      </c>
      <c r="AO996" t="b">
        <f>OR(Table67[[#This Row],[Ineligible respondents]:[Inconsistent response on opposite question (3)]])</f>
        <v>1</v>
      </c>
      <c r="AP99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996">
        <f>Table67[[#This Row],[Extreme Response]]/21</f>
        <v>0.2857142857142857</v>
      </c>
      <c r="AR996">
        <f>_xlfn.PERCENTILE.INC(Table67[Extrem Response Ratio (ERS)],0.9)</f>
        <v>0.61904761904761907</v>
      </c>
      <c r="AS996" t="b">
        <f>Table67[[#This Row],[Extrem Response Ratio (ERS)]]&gt;=Table67[[#This Row],[Threshold of ERS]]</f>
        <v>0</v>
      </c>
      <c r="AT996">
        <f>COUNTIF(Table67[[#This Row],[The mechanism of digital assets is difficult to understand, which discourages me from exploring it (E.g, Tokenization, Blockchain)]:[If I want to try different ways to invest, I will explore digital assets.]], 3)</f>
        <v>4</v>
      </c>
      <c r="AU996">
        <f>Table67[[#This Row],[Midpoint]]/21</f>
        <v>0.19047619047619047</v>
      </c>
      <c r="AV996">
        <f>_xlfn.PERCENTILE.INC(Table67[Midpoint ratio],0.9)</f>
        <v>0.5714285714285714</v>
      </c>
      <c r="AW996" t="b">
        <f>Table67[[#This Row],[Midpoint ratio]]&gt;=Table67[[#This Row],[Threshold of Midpoint ratio]]</f>
        <v>0</v>
      </c>
      <c r="AX996" t="b">
        <f>OR(Table67[[#This Row],[Extreme Response Style]],Table67[[#This Row],[Mid-point Response Style]])</f>
        <v>0</v>
      </c>
      <c r="AY996" t="b">
        <f>OR(Table67[[#This Row],[Delete? (Stage 1)]],Table67[[#This Row],[Delete? (Stage 2)]])</f>
        <v>1</v>
      </c>
      <c r="AZ996" t="s">
        <v>84</v>
      </c>
    </row>
    <row r="997" spans="1:52">
      <c r="A997">
        <f t="shared" si="63"/>
        <v>996</v>
      </c>
      <c r="B997" s="3">
        <v>46056.881226851903</v>
      </c>
      <c r="C997" s="3">
        <v>46056.893865740698</v>
      </c>
      <c r="D997" t="s">
        <v>53</v>
      </c>
      <c r="G997" t="s">
        <v>54</v>
      </c>
      <c r="H997" t="s">
        <v>63</v>
      </c>
      <c r="I997" t="s">
        <v>71</v>
      </c>
      <c r="J997" t="s">
        <v>62</v>
      </c>
      <c r="K997" t="s">
        <v>57</v>
      </c>
      <c r="L997" t="s">
        <v>58</v>
      </c>
      <c r="M997" t="s">
        <v>58</v>
      </c>
      <c r="N997">
        <v>4</v>
      </c>
      <c r="O997">
        <v>3</v>
      </c>
      <c r="P997">
        <v>4</v>
      </c>
      <c r="Q997">
        <v>2</v>
      </c>
      <c r="R997">
        <v>4</v>
      </c>
      <c r="S997">
        <v>4</v>
      </c>
      <c r="T997">
        <v>3</v>
      </c>
      <c r="U997">
        <v>3</v>
      </c>
      <c r="V997">
        <v>4</v>
      </c>
      <c r="W997">
        <v>4</v>
      </c>
      <c r="X997">
        <v>3</v>
      </c>
      <c r="Y997">
        <v>4</v>
      </c>
      <c r="Z997">
        <v>3</v>
      </c>
      <c r="AA997">
        <v>4</v>
      </c>
      <c r="AB997">
        <v>3</v>
      </c>
      <c r="AC997">
        <v>3</v>
      </c>
      <c r="AD997">
        <v>4</v>
      </c>
      <c r="AE997">
        <v>4</v>
      </c>
      <c r="AF997">
        <v>4</v>
      </c>
      <c r="AG997">
        <v>4</v>
      </c>
      <c r="AH997">
        <v>4</v>
      </c>
      <c r="AI997">
        <v>2</v>
      </c>
      <c r="AJ997">
        <v>2</v>
      </c>
      <c r="AK997" t="b">
        <f>Table67[[#This Row],[What is your age?]]&lt;&gt;"18 - 25"</f>
        <v>0</v>
      </c>
      <c r="AL997" t="b">
        <f t="shared" si="60"/>
        <v>0</v>
      </c>
      <c r="AM997" t="b">
        <f t="shared" si="61"/>
        <v>1</v>
      </c>
      <c r="AN997" t="b">
        <f t="shared" si="62"/>
        <v>0</v>
      </c>
      <c r="AO997" t="b">
        <f>OR(Table67[[#This Row],[Ineligible respondents]:[Inconsistent response on opposite question (3)]])</f>
        <v>1</v>
      </c>
      <c r="AP99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997">
        <f>Table67[[#This Row],[Extreme Response]]/21</f>
        <v>0</v>
      </c>
      <c r="AR997">
        <f>_xlfn.PERCENTILE.INC(Table67[Extrem Response Ratio (ERS)],0.9)</f>
        <v>0.61904761904761907</v>
      </c>
      <c r="AS997" t="b">
        <f>Table67[[#This Row],[Extrem Response Ratio (ERS)]]&gt;=Table67[[#This Row],[Threshold of ERS]]</f>
        <v>0</v>
      </c>
      <c r="AT997">
        <f>COUNTIF(Table67[[#This Row],[The mechanism of digital assets is difficult to understand, which discourages me from exploring it (E.g, Tokenization, Blockchain)]:[If I want to try different ways to invest, I will explore digital assets.]], 3)</f>
        <v>7</v>
      </c>
      <c r="AU997">
        <f>Table67[[#This Row],[Midpoint]]/21</f>
        <v>0.33333333333333331</v>
      </c>
      <c r="AV997">
        <f>_xlfn.PERCENTILE.INC(Table67[Midpoint ratio],0.9)</f>
        <v>0.5714285714285714</v>
      </c>
      <c r="AW997" t="b">
        <f>Table67[[#This Row],[Midpoint ratio]]&gt;=Table67[[#This Row],[Threshold of Midpoint ratio]]</f>
        <v>0</v>
      </c>
      <c r="AX997" t="b">
        <f>OR(Table67[[#This Row],[Extreme Response Style]],Table67[[#This Row],[Mid-point Response Style]])</f>
        <v>0</v>
      </c>
      <c r="AY997" t="b">
        <f>OR(Table67[[#This Row],[Delete? (Stage 1)]],Table67[[#This Row],[Delete? (Stage 2)]])</f>
        <v>1</v>
      </c>
      <c r="AZ997" t="s">
        <v>84</v>
      </c>
    </row>
    <row r="998" spans="1:52">
      <c r="A998">
        <f t="shared" si="63"/>
        <v>997</v>
      </c>
      <c r="B998" s="3">
        <v>46056.881354166697</v>
      </c>
      <c r="C998" s="3">
        <v>46056.8833101852</v>
      </c>
      <c r="D998" t="s">
        <v>53</v>
      </c>
      <c r="G998" t="s">
        <v>54</v>
      </c>
      <c r="H998" t="s">
        <v>63</v>
      </c>
      <c r="I998" t="s">
        <v>56</v>
      </c>
      <c r="J998" t="s">
        <v>62</v>
      </c>
      <c r="K998" t="s">
        <v>62</v>
      </c>
      <c r="L998" t="s">
        <v>61</v>
      </c>
      <c r="M998" t="s">
        <v>61</v>
      </c>
      <c r="N998">
        <v>5</v>
      </c>
      <c r="O998">
        <v>5</v>
      </c>
      <c r="P998">
        <v>3</v>
      </c>
      <c r="Q998">
        <v>4</v>
      </c>
      <c r="R998">
        <v>5</v>
      </c>
      <c r="S998">
        <v>4</v>
      </c>
      <c r="T998">
        <v>5</v>
      </c>
      <c r="U998">
        <v>2</v>
      </c>
      <c r="V998">
        <v>5</v>
      </c>
      <c r="W998">
        <v>5</v>
      </c>
      <c r="X998">
        <v>2</v>
      </c>
      <c r="Y998">
        <v>5</v>
      </c>
      <c r="Z998">
        <v>4</v>
      </c>
      <c r="AA998">
        <v>2</v>
      </c>
      <c r="AB998">
        <v>3</v>
      </c>
      <c r="AC998">
        <v>2</v>
      </c>
      <c r="AD998">
        <v>5</v>
      </c>
      <c r="AE998">
        <v>4</v>
      </c>
      <c r="AF998">
        <v>5</v>
      </c>
      <c r="AG998">
        <v>2</v>
      </c>
      <c r="AH998">
        <v>5</v>
      </c>
      <c r="AI998">
        <v>1</v>
      </c>
      <c r="AJ998">
        <v>1</v>
      </c>
      <c r="AK998" t="b">
        <f>Table67[[#This Row],[What is your age?]]&lt;&gt;"18 - 25"</f>
        <v>0</v>
      </c>
      <c r="AL998" t="b">
        <f t="shared" si="60"/>
        <v>0</v>
      </c>
      <c r="AM998" t="b">
        <f t="shared" si="61"/>
        <v>0</v>
      </c>
      <c r="AN998" t="b">
        <f t="shared" si="62"/>
        <v>0</v>
      </c>
      <c r="AO998" t="b">
        <f>OR(Table67[[#This Row],[Ineligible respondents]:[Inconsistent response on opposite question (3)]])</f>
        <v>0</v>
      </c>
      <c r="AP99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10</v>
      </c>
      <c r="AQ998">
        <f>Table67[[#This Row],[Extreme Response]]/21</f>
        <v>0.47619047619047616</v>
      </c>
      <c r="AR998">
        <f>_xlfn.PERCENTILE.INC(Table67[Extrem Response Ratio (ERS)],0.9)</f>
        <v>0.61904761904761907</v>
      </c>
      <c r="AS998" t="b">
        <f>Table67[[#This Row],[Extrem Response Ratio (ERS)]]&gt;=Table67[[#This Row],[Threshold of ERS]]</f>
        <v>0</v>
      </c>
      <c r="AT998">
        <f>COUNTIF(Table67[[#This Row],[The mechanism of digital assets is difficult to understand, which discourages me from exploring it (E.g, Tokenization, Blockchain)]:[If I want to try different ways to invest, I will explore digital assets.]], 3)</f>
        <v>2</v>
      </c>
      <c r="AU998">
        <f>Table67[[#This Row],[Midpoint]]/21</f>
        <v>9.5238095238095233E-2</v>
      </c>
      <c r="AV998">
        <f>_xlfn.PERCENTILE.INC(Table67[Midpoint ratio],0.9)</f>
        <v>0.5714285714285714</v>
      </c>
      <c r="AW998" t="b">
        <f>Table67[[#This Row],[Midpoint ratio]]&gt;=Table67[[#This Row],[Threshold of Midpoint ratio]]</f>
        <v>0</v>
      </c>
      <c r="AX998" t="b">
        <f>OR(Table67[[#This Row],[Extreme Response Style]],Table67[[#This Row],[Mid-point Response Style]])</f>
        <v>0</v>
      </c>
      <c r="AY998" t="b">
        <f>OR(Table67[[#This Row],[Delete? (Stage 1)]],Table67[[#This Row],[Delete? (Stage 2)]])</f>
        <v>0</v>
      </c>
      <c r="AZ998" t="s">
        <v>84</v>
      </c>
    </row>
    <row r="999" spans="1:52">
      <c r="A999">
        <f t="shared" si="63"/>
        <v>998</v>
      </c>
      <c r="B999" s="3">
        <v>46056.881388888898</v>
      </c>
      <c r="C999" s="3">
        <v>46056.883125</v>
      </c>
      <c r="D999" t="s">
        <v>53</v>
      </c>
      <c r="G999" t="s">
        <v>54</v>
      </c>
      <c r="H999" t="s">
        <v>55</v>
      </c>
      <c r="I999" t="s">
        <v>56</v>
      </c>
      <c r="J999" t="s">
        <v>66</v>
      </c>
      <c r="K999" t="s">
        <v>62</v>
      </c>
      <c r="L999" t="s">
        <v>58</v>
      </c>
      <c r="M999" t="s">
        <v>58</v>
      </c>
      <c r="N999">
        <v>4</v>
      </c>
      <c r="O999">
        <v>5</v>
      </c>
      <c r="P999">
        <v>5</v>
      </c>
      <c r="Q999">
        <v>5</v>
      </c>
      <c r="R999">
        <v>5</v>
      </c>
      <c r="S999">
        <v>5</v>
      </c>
      <c r="T999">
        <v>5</v>
      </c>
      <c r="U999">
        <v>5</v>
      </c>
      <c r="V999">
        <v>5</v>
      </c>
      <c r="W999">
        <v>3</v>
      </c>
      <c r="X999">
        <v>5</v>
      </c>
      <c r="Y999">
        <v>5</v>
      </c>
      <c r="Z999">
        <v>5</v>
      </c>
      <c r="AA999">
        <v>5</v>
      </c>
      <c r="AB999">
        <v>5</v>
      </c>
      <c r="AC999">
        <v>5</v>
      </c>
      <c r="AD999">
        <v>5</v>
      </c>
      <c r="AE999">
        <v>5</v>
      </c>
      <c r="AF999">
        <v>2</v>
      </c>
      <c r="AG999">
        <v>4</v>
      </c>
      <c r="AH999">
        <v>5</v>
      </c>
      <c r="AI999">
        <v>1</v>
      </c>
      <c r="AJ999">
        <v>4</v>
      </c>
      <c r="AK999" t="b">
        <f>Table67[[#This Row],[What is your age?]]&lt;&gt;"18 - 25"</f>
        <v>0</v>
      </c>
      <c r="AL999" t="b">
        <f t="shared" si="60"/>
        <v>0</v>
      </c>
      <c r="AM999" t="b">
        <f t="shared" si="61"/>
        <v>1</v>
      </c>
      <c r="AN999" t="b">
        <f t="shared" si="62"/>
        <v>0</v>
      </c>
      <c r="AO999" t="b">
        <f>OR(Table67[[#This Row],[Ineligible respondents]:[Inconsistent response on opposite question (3)]])</f>
        <v>1</v>
      </c>
      <c r="AP99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17</v>
      </c>
      <c r="AQ999">
        <f>Table67[[#This Row],[Extreme Response]]/21</f>
        <v>0.80952380952380953</v>
      </c>
      <c r="AR999">
        <f>_xlfn.PERCENTILE.INC(Table67[Extrem Response Ratio (ERS)],0.9)</f>
        <v>0.61904761904761907</v>
      </c>
      <c r="AS999" t="b">
        <f>Table67[[#This Row],[Extrem Response Ratio (ERS)]]&gt;=Table67[[#This Row],[Threshold of ERS]]</f>
        <v>1</v>
      </c>
      <c r="AT999">
        <f>COUNTIF(Table67[[#This Row],[The mechanism of digital assets is difficult to understand, which discourages me from exploring it (E.g, Tokenization, Blockchain)]:[If I want to try different ways to invest, I will explore digital assets.]], 3)</f>
        <v>1</v>
      </c>
      <c r="AU999">
        <f>Table67[[#This Row],[Midpoint]]/21</f>
        <v>4.7619047619047616E-2</v>
      </c>
      <c r="AV999">
        <f>_xlfn.PERCENTILE.INC(Table67[Midpoint ratio],0.9)</f>
        <v>0.5714285714285714</v>
      </c>
      <c r="AW999" t="b">
        <f>Table67[[#This Row],[Midpoint ratio]]&gt;=Table67[[#This Row],[Threshold of Midpoint ratio]]</f>
        <v>0</v>
      </c>
      <c r="AX999" t="b">
        <f>OR(Table67[[#This Row],[Extreme Response Style]],Table67[[#This Row],[Mid-point Response Style]])</f>
        <v>1</v>
      </c>
      <c r="AY999" t="b">
        <f>OR(Table67[[#This Row],[Delete? (Stage 1)]],Table67[[#This Row],[Delete? (Stage 2)]])</f>
        <v>1</v>
      </c>
      <c r="AZ999" t="s">
        <v>84</v>
      </c>
    </row>
    <row r="1000" spans="1:52">
      <c r="A1000">
        <f t="shared" si="63"/>
        <v>999</v>
      </c>
      <c r="B1000" s="3">
        <v>46056.881412037001</v>
      </c>
      <c r="C1000" s="3">
        <v>46056.884618055599</v>
      </c>
      <c r="D1000" t="s">
        <v>53</v>
      </c>
      <c r="G1000" t="s">
        <v>54</v>
      </c>
      <c r="H1000" t="s">
        <v>55</v>
      </c>
      <c r="I1000" t="s">
        <v>56</v>
      </c>
      <c r="J1000" t="s">
        <v>68</v>
      </c>
      <c r="K1000" t="s">
        <v>64</v>
      </c>
      <c r="L1000" t="s">
        <v>61</v>
      </c>
      <c r="M1000" t="s">
        <v>58</v>
      </c>
      <c r="N1000">
        <v>4</v>
      </c>
      <c r="O1000">
        <v>2</v>
      </c>
      <c r="P1000">
        <v>5</v>
      </c>
      <c r="Q1000">
        <v>4</v>
      </c>
      <c r="R1000">
        <v>4</v>
      </c>
      <c r="S1000">
        <v>5</v>
      </c>
      <c r="T1000">
        <v>5</v>
      </c>
      <c r="U1000">
        <v>3</v>
      </c>
      <c r="V1000">
        <v>4</v>
      </c>
      <c r="W1000">
        <v>2</v>
      </c>
      <c r="X1000">
        <v>5</v>
      </c>
      <c r="Y1000">
        <v>5</v>
      </c>
      <c r="Z1000">
        <v>5</v>
      </c>
      <c r="AA1000">
        <v>5</v>
      </c>
      <c r="AB1000">
        <v>5</v>
      </c>
      <c r="AC1000">
        <v>3</v>
      </c>
      <c r="AD1000">
        <v>5</v>
      </c>
      <c r="AE1000">
        <v>5</v>
      </c>
      <c r="AF1000">
        <v>5</v>
      </c>
      <c r="AG1000">
        <v>2</v>
      </c>
      <c r="AH1000">
        <v>3</v>
      </c>
      <c r="AI1000">
        <v>3</v>
      </c>
      <c r="AJ1000">
        <v>1</v>
      </c>
      <c r="AK1000" t="b">
        <f>Table67[[#This Row],[What is your age?]]&lt;&gt;"18 - 25"</f>
        <v>0</v>
      </c>
      <c r="AL1000" t="b">
        <f t="shared" si="60"/>
        <v>0</v>
      </c>
      <c r="AM1000" t="b">
        <f t="shared" si="61"/>
        <v>0</v>
      </c>
      <c r="AN1000" t="b">
        <f t="shared" si="62"/>
        <v>1</v>
      </c>
      <c r="AO1000" t="b">
        <f>OR(Table67[[#This Row],[Ineligible respondents]:[Inconsistent response on opposite question (3)]])</f>
        <v>1</v>
      </c>
      <c r="AP100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1000">
        <f>Table67[[#This Row],[Extreme Response]]/21</f>
        <v>0.52380952380952384</v>
      </c>
      <c r="AR1000">
        <f>_xlfn.PERCENTILE.INC(Table67[Extrem Response Ratio (ERS)],0.9)</f>
        <v>0.61904761904761907</v>
      </c>
      <c r="AS1000" t="b">
        <f>Table67[[#This Row],[Extrem Response Ratio (ERS)]]&gt;=Table67[[#This Row],[Threshold of ERS]]</f>
        <v>0</v>
      </c>
      <c r="AT1000">
        <f>COUNTIF(Table67[[#This Row],[The mechanism of digital assets is difficult to understand, which discourages me from exploring it (E.g, Tokenization, Blockchain)]:[If I want to try different ways to invest, I will explore digital assets.]], 3)</f>
        <v>3</v>
      </c>
      <c r="AU1000">
        <f>Table67[[#This Row],[Midpoint]]/21</f>
        <v>0.14285714285714285</v>
      </c>
      <c r="AV1000">
        <f>_xlfn.PERCENTILE.INC(Table67[Midpoint ratio],0.9)</f>
        <v>0.5714285714285714</v>
      </c>
      <c r="AW1000" t="b">
        <f>Table67[[#This Row],[Midpoint ratio]]&gt;=Table67[[#This Row],[Threshold of Midpoint ratio]]</f>
        <v>0</v>
      </c>
      <c r="AX1000" t="b">
        <f>OR(Table67[[#This Row],[Extreme Response Style]],Table67[[#This Row],[Mid-point Response Style]])</f>
        <v>0</v>
      </c>
      <c r="AY1000" t="b">
        <f>OR(Table67[[#This Row],[Delete? (Stage 1)]],Table67[[#This Row],[Delete? (Stage 2)]])</f>
        <v>1</v>
      </c>
      <c r="AZ1000" t="s">
        <v>84</v>
      </c>
    </row>
    <row r="1001" spans="1:52">
      <c r="A1001">
        <f t="shared" si="63"/>
        <v>1000</v>
      </c>
      <c r="B1001" s="3">
        <v>46056.8816898148</v>
      </c>
      <c r="C1001" s="3">
        <v>46056.889224537001</v>
      </c>
      <c r="D1001" t="s">
        <v>53</v>
      </c>
      <c r="G1001" t="s">
        <v>54</v>
      </c>
      <c r="H1001" t="s">
        <v>63</v>
      </c>
      <c r="I1001" t="s">
        <v>56</v>
      </c>
      <c r="J1001" t="s">
        <v>62</v>
      </c>
      <c r="K1001" t="s">
        <v>57</v>
      </c>
      <c r="L1001" t="s">
        <v>58</v>
      </c>
      <c r="M1001" t="s">
        <v>61</v>
      </c>
      <c r="N1001">
        <v>3</v>
      </c>
      <c r="O1001">
        <v>4</v>
      </c>
      <c r="P1001">
        <v>4</v>
      </c>
      <c r="Q1001">
        <v>5</v>
      </c>
      <c r="R1001">
        <v>3</v>
      </c>
      <c r="S1001">
        <v>5</v>
      </c>
      <c r="T1001">
        <v>3</v>
      </c>
      <c r="U1001">
        <v>4</v>
      </c>
      <c r="V1001">
        <v>5</v>
      </c>
      <c r="W1001">
        <v>5</v>
      </c>
      <c r="X1001">
        <v>4</v>
      </c>
      <c r="Y1001">
        <v>5</v>
      </c>
      <c r="Z1001">
        <v>4</v>
      </c>
      <c r="AA1001">
        <v>4</v>
      </c>
      <c r="AB1001">
        <v>5</v>
      </c>
      <c r="AC1001">
        <v>2</v>
      </c>
      <c r="AD1001">
        <v>5</v>
      </c>
      <c r="AE1001">
        <v>4</v>
      </c>
      <c r="AF1001">
        <v>4</v>
      </c>
      <c r="AG1001">
        <v>5</v>
      </c>
      <c r="AH1001">
        <v>4</v>
      </c>
      <c r="AI1001">
        <v>2</v>
      </c>
      <c r="AJ1001">
        <v>2</v>
      </c>
      <c r="AK1001" t="b">
        <f>Table67[[#This Row],[What is your age?]]&lt;&gt;"18 - 25"</f>
        <v>0</v>
      </c>
      <c r="AL1001" t="b">
        <f t="shared" si="60"/>
        <v>0</v>
      </c>
      <c r="AM1001" t="b">
        <f t="shared" si="61"/>
        <v>1</v>
      </c>
      <c r="AN1001" t="b">
        <f t="shared" si="62"/>
        <v>0</v>
      </c>
      <c r="AO1001" t="b">
        <f>OR(Table67[[#This Row],[Ineligible respondents]:[Inconsistent response on opposite question (3)]])</f>
        <v>1</v>
      </c>
      <c r="AP100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1001">
        <f>Table67[[#This Row],[Extreme Response]]/21</f>
        <v>0.38095238095238093</v>
      </c>
      <c r="AR1001">
        <f>_xlfn.PERCENTILE.INC(Table67[Extrem Response Ratio (ERS)],0.9)</f>
        <v>0.61904761904761907</v>
      </c>
      <c r="AS1001" t="b">
        <f>Table67[[#This Row],[Extrem Response Ratio (ERS)]]&gt;=Table67[[#This Row],[Threshold of ERS]]</f>
        <v>0</v>
      </c>
      <c r="AT1001">
        <f>COUNTIF(Table67[[#This Row],[The mechanism of digital assets is difficult to understand, which discourages me from exploring it (E.g, Tokenization, Blockchain)]:[If I want to try different ways to invest, I will explore digital assets.]], 3)</f>
        <v>3</v>
      </c>
      <c r="AU1001">
        <f>Table67[[#This Row],[Midpoint]]/21</f>
        <v>0.14285714285714285</v>
      </c>
      <c r="AV1001">
        <f>_xlfn.PERCENTILE.INC(Table67[Midpoint ratio],0.9)</f>
        <v>0.5714285714285714</v>
      </c>
      <c r="AW1001" t="b">
        <f>Table67[[#This Row],[Midpoint ratio]]&gt;=Table67[[#This Row],[Threshold of Midpoint ratio]]</f>
        <v>0</v>
      </c>
      <c r="AX1001" t="b">
        <f>OR(Table67[[#This Row],[Extreme Response Style]],Table67[[#This Row],[Mid-point Response Style]])</f>
        <v>0</v>
      </c>
      <c r="AY1001" t="b">
        <f>OR(Table67[[#This Row],[Delete? (Stage 1)]],Table67[[#This Row],[Delete? (Stage 2)]])</f>
        <v>1</v>
      </c>
      <c r="AZ1001" t="s">
        <v>84</v>
      </c>
    </row>
    <row r="1002" spans="1:52">
      <c r="A1002">
        <f t="shared" si="63"/>
        <v>1001</v>
      </c>
      <c r="B1002" s="3">
        <v>46056.881851851896</v>
      </c>
      <c r="C1002" s="3">
        <v>46056.883993055599</v>
      </c>
      <c r="D1002" t="s">
        <v>53</v>
      </c>
      <c r="G1002" t="s">
        <v>54</v>
      </c>
      <c r="H1002" t="s">
        <v>63</v>
      </c>
      <c r="I1002" t="s">
        <v>56</v>
      </c>
      <c r="J1002" t="s">
        <v>60</v>
      </c>
      <c r="K1002" t="s">
        <v>62</v>
      </c>
      <c r="L1002" t="s">
        <v>61</v>
      </c>
      <c r="M1002" t="s">
        <v>58</v>
      </c>
      <c r="N1002">
        <v>4</v>
      </c>
      <c r="O1002">
        <v>2</v>
      </c>
      <c r="P1002">
        <v>3</v>
      </c>
      <c r="Q1002">
        <v>3</v>
      </c>
      <c r="R1002">
        <v>3</v>
      </c>
      <c r="S1002">
        <v>4</v>
      </c>
      <c r="T1002">
        <v>2</v>
      </c>
      <c r="U1002">
        <v>3</v>
      </c>
      <c r="V1002">
        <v>4</v>
      </c>
      <c r="W1002">
        <v>4</v>
      </c>
      <c r="X1002">
        <v>4</v>
      </c>
      <c r="Y1002">
        <v>2</v>
      </c>
      <c r="Z1002">
        <v>4</v>
      </c>
      <c r="AA1002">
        <v>3</v>
      </c>
      <c r="AB1002">
        <v>4</v>
      </c>
      <c r="AC1002">
        <v>4</v>
      </c>
      <c r="AD1002">
        <v>2</v>
      </c>
      <c r="AE1002">
        <v>4</v>
      </c>
      <c r="AF1002">
        <v>4</v>
      </c>
      <c r="AG1002">
        <v>4</v>
      </c>
      <c r="AH1002">
        <v>4</v>
      </c>
      <c r="AI1002">
        <v>2</v>
      </c>
      <c r="AJ1002">
        <v>2</v>
      </c>
      <c r="AK1002" t="b">
        <f>Table67[[#This Row],[What is your age?]]&lt;&gt;"18 - 25"</f>
        <v>0</v>
      </c>
      <c r="AL1002" t="b">
        <f t="shared" si="60"/>
        <v>0</v>
      </c>
      <c r="AM1002" t="b">
        <f t="shared" si="61"/>
        <v>1</v>
      </c>
      <c r="AN1002" t="b">
        <f t="shared" si="62"/>
        <v>0</v>
      </c>
      <c r="AO1002" t="b">
        <f>OR(Table67[[#This Row],[Ineligible respondents]:[Inconsistent response on opposite question (3)]])</f>
        <v>1</v>
      </c>
      <c r="AP100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002">
        <f>Table67[[#This Row],[Extreme Response]]/21</f>
        <v>0</v>
      </c>
      <c r="AR1002">
        <f>_xlfn.PERCENTILE.INC(Table67[Extrem Response Ratio (ERS)],0.9)</f>
        <v>0.61904761904761907</v>
      </c>
      <c r="AS1002" t="b">
        <f>Table67[[#This Row],[Extrem Response Ratio (ERS)]]&gt;=Table67[[#This Row],[Threshold of ERS]]</f>
        <v>0</v>
      </c>
      <c r="AT1002">
        <f>COUNTIF(Table67[[#This Row],[The mechanism of digital assets is difficult to understand, which discourages me from exploring it (E.g, Tokenization, Blockchain)]:[If I want to try different ways to invest, I will explore digital assets.]], 3)</f>
        <v>5</v>
      </c>
      <c r="AU1002">
        <f>Table67[[#This Row],[Midpoint]]/21</f>
        <v>0.23809523809523808</v>
      </c>
      <c r="AV1002">
        <f>_xlfn.PERCENTILE.INC(Table67[Midpoint ratio],0.9)</f>
        <v>0.5714285714285714</v>
      </c>
      <c r="AW1002" t="b">
        <f>Table67[[#This Row],[Midpoint ratio]]&gt;=Table67[[#This Row],[Threshold of Midpoint ratio]]</f>
        <v>0</v>
      </c>
      <c r="AX1002" t="b">
        <f>OR(Table67[[#This Row],[Extreme Response Style]],Table67[[#This Row],[Mid-point Response Style]])</f>
        <v>0</v>
      </c>
      <c r="AY1002" t="b">
        <f>OR(Table67[[#This Row],[Delete? (Stage 1)]],Table67[[#This Row],[Delete? (Stage 2)]])</f>
        <v>1</v>
      </c>
      <c r="AZ1002" t="s">
        <v>84</v>
      </c>
    </row>
    <row r="1003" spans="1:52">
      <c r="A1003">
        <f t="shared" si="63"/>
        <v>1002</v>
      </c>
      <c r="B1003" s="3">
        <v>46056.881944444402</v>
      </c>
      <c r="C1003" s="3">
        <v>46056.884016203701</v>
      </c>
      <c r="D1003" t="s">
        <v>53</v>
      </c>
      <c r="G1003" t="s">
        <v>73</v>
      </c>
      <c r="H1003" t="s">
        <v>55</v>
      </c>
      <c r="I1003" t="s">
        <v>69</v>
      </c>
      <c r="J1003" t="s">
        <v>67</v>
      </c>
      <c r="K1003" t="s">
        <v>64</v>
      </c>
      <c r="L1003" t="s">
        <v>61</v>
      </c>
      <c r="M1003" t="s">
        <v>61</v>
      </c>
      <c r="N1003">
        <v>3</v>
      </c>
      <c r="O1003">
        <v>3</v>
      </c>
      <c r="P1003">
        <v>4</v>
      </c>
      <c r="Q1003">
        <v>3</v>
      </c>
      <c r="R1003">
        <v>4</v>
      </c>
      <c r="S1003">
        <v>1</v>
      </c>
      <c r="T1003">
        <v>4</v>
      </c>
      <c r="U1003">
        <v>3</v>
      </c>
      <c r="V1003">
        <v>5</v>
      </c>
      <c r="W1003">
        <v>5</v>
      </c>
      <c r="X1003">
        <v>5</v>
      </c>
      <c r="Y1003">
        <v>5</v>
      </c>
      <c r="Z1003">
        <v>5</v>
      </c>
      <c r="AA1003">
        <v>5</v>
      </c>
      <c r="AB1003">
        <v>4</v>
      </c>
      <c r="AC1003">
        <v>4</v>
      </c>
      <c r="AD1003">
        <v>5</v>
      </c>
      <c r="AE1003">
        <v>3</v>
      </c>
      <c r="AF1003">
        <v>4</v>
      </c>
      <c r="AG1003">
        <v>4</v>
      </c>
      <c r="AH1003">
        <v>4</v>
      </c>
      <c r="AI1003">
        <v>2</v>
      </c>
      <c r="AJ1003">
        <v>2</v>
      </c>
      <c r="AK1003" t="b">
        <f>Table67[[#This Row],[What is your age?]]&lt;&gt;"18 - 25"</f>
        <v>1</v>
      </c>
      <c r="AL1003" t="b">
        <f t="shared" si="60"/>
        <v>0</v>
      </c>
      <c r="AM1003" t="b">
        <f t="shared" si="61"/>
        <v>1</v>
      </c>
      <c r="AN1003" t="b">
        <f t="shared" si="62"/>
        <v>0</v>
      </c>
      <c r="AO1003" t="b">
        <f>OR(Table67[[#This Row],[Ineligible respondents]:[Inconsistent response on opposite question (3)]])</f>
        <v>1</v>
      </c>
      <c r="AP100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1003">
        <f>Table67[[#This Row],[Extreme Response]]/21</f>
        <v>0.38095238095238093</v>
      </c>
      <c r="AR1003">
        <f>_xlfn.PERCENTILE.INC(Table67[Extrem Response Ratio (ERS)],0.9)</f>
        <v>0.61904761904761907</v>
      </c>
      <c r="AS1003" t="b">
        <f>Table67[[#This Row],[Extrem Response Ratio (ERS)]]&gt;=Table67[[#This Row],[Threshold of ERS]]</f>
        <v>0</v>
      </c>
      <c r="AT1003">
        <f>COUNTIF(Table67[[#This Row],[The mechanism of digital assets is difficult to understand, which discourages me from exploring it (E.g, Tokenization, Blockchain)]:[If I want to try different ways to invest, I will explore digital assets.]], 3)</f>
        <v>5</v>
      </c>
      <c r="AU1003">
        <f>Table67[[#This Row],[Midpoint]]/21</f>
        <v>0.23809523809523808</v>
      </c>
      <c r="AV1003">
        <f>_xlfn.PERCENTILE.INC(Table67[Midpoint ratio],0.9)</f>
        <v>0.5714285714285714</v>
      </c>
      <c r="AW1003" t="b">
        <f>Table67[[#This Row],[Midpoint ratio]]&gt;=Table67[[#This Row],[Threshold of Midpoint ratio]]</f>
        <v>0</v>
      </c>
      <c r="AX1003" t="b">
        <f>OR(Table67[[#This Row],[Extreme Response Style]],Table67[[#This Row],[Mid-point Response Style]])</f>
        <v>0</v>
      </c>
      <c r="AY1003" t="b">
        <f>OR(Table67[[#This Row],[Delete? (Stage 1)]],Table67[[#This Row],[Delete? (Stage 2)]])</f>
        <v>1</v>
      </c>
      <c r="AZ1003" t="s">
        <v>84</v>
      </c>
    </row>
    <row r="1004" spans="1:52">
      <c r="A1004">
        <f t="shared" si="63"/>
        <v>1003</v>
      </c>
      <c r="B1004" s="3">
        <v>46056.881990740701</v>
      </c>
      <c r="C1004" s="3">
        <v>46056.8890509259</v>
      </c>
      <c r="D1004" t="s">
        <v>53</v>
      </c>
      <c r="G1004" t="s">
        <v>54</v>
      </c>
      <c r="H1004" t="s">
        <v>55</v>
      </c>
      <c r="I1004" t="s">
        <v>56</v>
      </c>
      <c r="J1004" t="s">
        <v>62</v>
      </c>
      <c r="K1004" t="s">
        <v>62</v>
      </c>
      <c r="L1004" t="s">
        <v>61</v>
      </c>
      <c r="M1004" t="s">
        <v>58</v>
      </c>
      <c r="N1004">
        <v>3</v>
      </c>
      <c r="O1004">
        <v>2</v>
      </c>
      <c r="P1004">
        <v>5</v>
      </c>
      <c r="Q1004">
        <v>4</v>
      </c>
      <c r="R1004">
        <v>4</v>
      </c>
      <c r="S1004">
        <v>5</v>
      </c>
      <c r="T1004">
        <v>2</v>
      </c>
      <c r="U1004">
        <v>4</v>
      </c>
      <c r="V1004">
        <v>4</v>
      </c>
      <c r="W1004">
        <v>5</v>
      </c>
      <c r="X1004">
        <v>4</v>
      </c>
      <c r="Y1004">
        <v>5</v>
      </c>
      <c r="Z1004">
        <v>5</v>
      </c>
      <c r="AA1004">
        <v>4</v>
      </c>
      <c r="AB1004">
        <v>4</v>
      </c>
      <c r="AC1004">
        <v>4</v>
      </c>
      <c r="AD1004">
        <v>4</v>
      </c>
      <c r="AE1004">
        <v>3</v>
      </c>
      <c r="AF1004">
        <v>3</v>
      </c>
      <c r="AG1004">
        <v>4</v>
      </c>
      <c r="AH1004">
        <v>3</v>
      </c>
      <c r="AI1004">
        <v>3</v>
      </c>
      <c r="AJ1004">
        <v>3</v>
      </c>
      <c r="AK1004" t="b">
        <f>Table67[[#This Row],[What is your age?]]&lt;&gt;"18 - 25"</f>
        <v>0</v>
      </c>
      <c r="AL1004" t="b">
        <f t="shared" si="60"/>
        <v>0</v>
      </c>
      <c r="AM1004" t="b">
        <f t="shared" si="61"/>
        <v>0</v>
      </c>
      <c r="AN1004" t="b">
        <f t="shared" si="62"/>
        <v>1</v>
      </c>
      <c r="AO1004" t="b">
        <f>OR(Table67[[#This Row],[Ineligible respondents]:[Inconsistent response on opposite question (3)]])</f>
        <v>1</v>
      </c>
      <c r="AP100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004">
        <f>Table67[[#This Row],[Extreme Response]]/21</f>
        <v>0.23809523809523808</v>
      </c>
      <c r="AR1004">
        <f>_xlfn.PERCENTILE.INC(Table67[Extrem Response Ratio (ERS)],0.9)</f>
        <v>0.61904761904761907</v>
      </c>
      <c r="AS1004" t="b">
        <f>Table67[[#This Row],[Extrem Response Ratio (ERS)]]&gt;=Table67[[#This Row],[Threshold of ERS]]</f>
        <v>0</v>
      </c>
      <c r="AT1004">
        <f>COUNTIF(Table67[[#This Row],[The mechanism of digital assets is difficult to understand, which discourages me from exploring it (E.g, Tokenization, Blockchain)]:[If I want to try different ways to invest, I will explore digital assets.]], 3)</f>
        <v>4</v>
      </c>
      <c r="AU1004">
        <f>Table67[[#This Row],[Midpoint]]/21</f>
        <v>0.19047619047619047</v>
      </c>
      <c r="AV1004">
        <f>_xlfn.PERCENTILE.INC(Table67[Midpoint ratio],0.9)</f>
        <v>0.5714285714285714</v>
      </c>
      <c r="AW1004" t="b">
        <f>Table67[[#This Row],[Midpoint ratio]]&gt;=Table67[[#This Row],[Threshold of Midpoint ratio]]</f>
        <v>0</v>
      </c>
      <c r="AX1004" t="b">
        <f>OR(Table67[[#This Row],[Extreme Response Style]],Table67[[#This Row],[Mid-point Response Style]])</f>
        <v>0</v>
      </c>
      <c r="AY1004" t="b">
        <f>OR(Table67[[#This Row],[Delete? (Stage 1)]],Table67[[#This Row],[Delete? (Stage 2)]])</f>
        <v>1</v>
      </c>
      <c r="AZ1004" t="s">
        <v>84</v>
      </c>
    </row>
    <row r="1005" spans="1:52">
      <c r="A1005">
        <f t="shared" si="63"/>
        <v>1004</v>
      </c>
      <c r="B1005" s="3">
        <v>46056.882280092599</v>
      </c>
      <c r="C1005" s="3">
        <v>46056.888449074097</v>
      </c>
      <c r="D1005" t="s">
        <v>53</v>
      </c>
      <c r="G1005" t="s">
        <v>54</v>
      </c>
      <c r="H1005" t="s">
        <v>55</v>
      </c>
      <c r="I1005" t="s">
        <v>71</v>
      </c>
      <c r="J1005" t="s">
        <v>60</v>
      </c>
      <c r="K1005" t="s">
        <v>62</v>
      </c>
      <c r="L1005" t="s">
        <v>58</v>
      </c>
      <c r="M1005" t="s">
        <v>61</v>
      </c>
      <c r="N1005">
        <v>3</v>
      </c>
      <c r="O1005">
        <v>3</v>
      </c>
      <c r="P1005">
        <v>4</v>
      </c>
      <c r="Q1005">
        <v>4</v>
      </c>
      <c r="R1005">
        <v>4</v>
      </c>
      <c r="S1005">
        <v>4</v>
      </c>
      <c r="T1005">
        <v>4</v>
      </c>
      <c r="U1005">
        <v>5</v>
      </c>
      <c r="V1005">
        <v>4</v>
      </c>
      <c r="W1005">
        <v>3</v>
      </c>
      <c r="X1005">
        <v>4</v>
      </c>
      <c r="Y1005">
        <v>4</v>
      </c>
      <c r="Z1005">
        <v>4</v>
      </c>
      <c r="AA1005">
        <v>4</v>
      </c>
      <c r="AB1005">
        <v>4</v>
      </c>
      <c r="AC1005">
        <v>3</v>
      </c>
      <c r="AD1005">
        <v>4</v>
      </c>
      <c r="AE1005">
        <v>2</v>
      </c>
      <c r="AF1005">
        <v>4</v>
      </c>
      <c r="AG1005">
        <v>3</v>
      </c>
      <c r="AH1005">
        <v>3</v>
      </c>
      <c r="AI1005">
        <v>3</v>
      </c>
      <c r="AJ1005">
        <v>2</v>
      </c>
      <c r="AK1005" t="b">
        <f>Table67[[#This Row],[What is your age?]]&lt;&gt;"18 - 25"</f>
        <v>0</v>
      </c>
      <c r="AL1005" t="b">
        <f t="shared" si="60"/>
        <v>0</v>
      </c>
      <c r="AM1005" t="b">
        <f t="shared" si="61"/>
        <v>0</v>
      </c>
      <c r="AN1005" t="b">
        <f t="shared" si="62"/>
        <v>0</v>
      </c>
      <c r="AO1005" t="b">
        <f>OR(Table67[[#This Row],[Ineligible respondents]:[Inconsistent response on opposite question (3)]])</f>
        <v>0</v>
      </c>
      <c r="AP100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005">
        <f>Table67[[#This Row],[Extreme Response]]/21</f>
        <v>4.7619047619047616E-2</v>
      </c>
      <c r="AR1005">
        <f>_xlfn.PERCENTILE.INC(Table67[Extrem Response Ratio (ERS)],0.9)</f>
        <v>0.61904761904761907</v>
      </c>
      <c r="AS1005" t="b">
        <f>Table67[[#This Row],[Extrem Response Ratio (ERS)]]&gt;=Table67[[#This Row],[Threshold of ERS]]</f>
        <v>0</v>
      </c>
      <c r="AT1005">
        <f>COUNTIF(Table67[[#This Row],[The mechanism of digital assets is difficult to understand, which discourages me from exploring it (E.g, Tokenization, Blockchain)]:[If I want to try different ways to invest, I will explore digital assets.]], 3)</f>
        <v>6</v>
      </c>
      <c r="AU1005">
        <f>Table67[[#This Row],[Midpoint]]/21</f>
        <v>0.2857142857142857</v>
      </c>
      <c r="AV1005">
        <f>_xlfn.PERCENTILE.INC(Table67[Midpoint ratio],0.9)</f>
        <v>0.5714285714285714</v>
      </c>
      <c r="AW1005" t="b">
        <f>Table67[[#This Row],[Midpoint ratio]]&gt;=Table67[[#This Row],[Threshold of Midpoint ratio]]</f>
        <v>0</v>
      </c>
      <c r="AX1005" t="b">
        <f>OR(Table67[[#This Row],[Extreme Response Style]],Table67[[#This Row],[Mid-point Response Style]])</f>
        <v>0</v>
      </c>
      <c r="AY1005" t="b">
        <f>OR(Table67[[#This Row],[Delete? (Stage 1)]],Table67[[#This Row],[Delete? (Stage 2)]])</f>
        <v>0</v>
      </c>
      <c r="AZ1005" t="s">
        <v>84</v>
      </c>
    </row>
    <row r="1006" spans="1:52">
      <c r="A1006">
        <f t="shared" si="63"/>
        <v>1005</v>
      </c>
      <c r="B1006" s="3">
        <v>46056.882291666698</v>
      </c>
      <c r="C1006" s="3">
        <v>46056.885254629597</v>
      </c>
      <c r="D1006" t="s">
        <v>53</v>
      </c>
      <c r="G1006" t="s">
        <v>54</v>
      </c>
      <c r="H1006" t="s">
        <v>55</v>
      </c>
      <c r="I1006" t="s">
        <v>71</v>
      </c>
      <c r="J1006" t="s">
        <v>60</v>
      </c>
      <c r="K1006" t="s">
        <v>62</v>
      </c>
      <c r="L1006" t="s">
        <v>61</v>
      </c>
      <c r="M1006" t="s">
        <v>61</v>
      </c>
      <c r="N1006">
        <v>4</v>
      </c>
      <c r="O1006">
        <v>4</v>
      </c>
      <c r="P1006">
        <v>4</v>
      </c>
      <c r="Q1006">
        <v>4</v>
      </c>
      <c r="R1006">
        <v>3</v>
      </c>
      <c r="S1006">
        <v>5</v>
      </c>
      <c r="T1006">
        <v>3</v>
      </c>
      <c r="U1006">
        <v>3</v>
      </c>
      <c r="V1006">
        <v>4</v>
      </c>
      <c r="W1006">
        <v>5</v>
      </c>
      <c r="X1006">
        <v>4</v>
      </c>
      <c r="Y1006">
        <v>4</v>
      </c>
      <c r="Z1006">
        <v>4</v>
      </c>
      <c r="AA1006">
        <v>3</v>
      </c>
      <c r="AB1006">
        <v>5</v>
      </c>
      <c r="AC1006">
        <v>2</v>
      </c>
      <c r="AD1006">
        <v>3</v>
      </c>
      <c r="AE1006">
        <v>4</v>
      </c>
      <c r="AF1006">
        <v>5</v>
      </c>
      <c r="AG1006">
        <v>2</v>
      </c>
      <c r="AH1006">
        <v>4</v>
      </c>
      <c r="AI1006">
        <v>2</v>
      </c>
      <c r="AJ1006">
        <v>1</v>
      </c>
      <c r="AK1006" t="b">
        <f>Table67[[#This Row],[What is your age?]]&lt;&gt;"18 - 25"</f>
        <v>0</v>
      </c>
      <c r="AL1006" t="b">
        <f t="shared" si="60"/>
        <v>0</v>
      </c>
      <c r="AM1006" t="b">
        <f t="shared" si="61"/>
        <v>0</v>
      </c>
      <c r="AN1006" t="b">
        <f t="shared" si="62"/>
        <v>0</v>
      </c>
      <c r="AO1006" t="b">
        <f>OR(Table67[[#This Row],[Ineligible respondents]:[Inconsistent response on opposite question (3)]])</f>
        <v>0</v>
      </c>
      <c r="AP100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006">
        <f>Table67[[#This Row],[Extreme Response]]/21</f>
        <v>0.19047619047619047</v>
      </c>
      <c r="AR1006">
        <f>_xlfn.PERCENTILE.INC(Table67[Extrem Response Ratio (ERS)],0.9)</f>
        <v>0.61904761904761907</v>
      </c>
      <c r="AS1006" t="b">
        <f>Table67[[#This Row],[Extrem Response Ratio (ERS)]]&gt;=Table67[[#This Row],[Threshold of ERS]]</f>
        <v>0</v>
      </c>
      <c r="AT1006">
        <f>COUNTIF(Table67[[#This Row],[The mechanism of digital assets is difficult to understand, which discourages me from exploring it (E.g, Tokenization, Blockchain)]:[If I want to try different ways to invest, I will explore digital assets.]], 3)</f>
        <v>5</v>
      </c>
      <c r="AU1006">
        <f>Table67[[#This Row],[Midpoint]]/21</f>
        <v>0.23809523809523808</v>
      </c>
      <c r="AV1006">
        <f>_xlfn.PERCENTILE.INC(Table67[Midpoint ratio],0.9)</f>
        <v>0.5714285714285714</v>
      </c>
      <c r="AW1006" t="b">
        <f>Table67[[#This Row],[Midpoint ratio]]&gt;=Table67[[#This Row],[Threshold of Midpoint ratio]]</f>
        <v>0</v>
      </c>
      <c r="AX1006" t="b">
        <f>OR(Table67[[#This Row],[Extreme Response Style]],Table67[[#This Row],[Mid-point Response Style]])</f>
        <v>0</v>
      </c>
      <c r="AY1006" t="b">
        <f>OR(Table67[[#This Row],[Delete? (Stage 1)]],Table67[[#This Row],[Delete? (Stage 2)]])</f>
        <v>0</v>
      </c>
      <c r="AZ1006" t="s">
        <v>84</v>
      </c>
    </row>
    <row r="1007" spans="1:52">
      <c r="A1007">
        <f t="shared" si="63"/>
        <v>1006</v>
      </c>
      <c r="B1007" s="3">
        <v>46056.8824537037</v>
      </c>
      <c r="C1007" s="3">
        <v>46056.889027777797</v>
      </c>
      <c r="D1007" t="s">
        <v>53</v>
      </c>
      <c r="G1007" t="s">
        <v>54</v>
      </c>
      <c r="H1007" t="s">
        <v>63</v>
      </c>
      <c r="I1007" t="s">
        <v>75</v>
      </c>
      <c r="J1007" t="s">
        <v>72</v>
      </c>
      <c r="K1007" t="s">
        <v>60</v>
      </c>
      <c r="L1007" t="s">
        <v>61</v>
      </c>
      <c r="M1007" t="s">
        <v>58</v>
      </c>
      <c r="N1007">
        <v>2</v>
      </c>
      <c r="O1007">
        <v>2</v>
      </c>
      <c r="P1007">
        <v>4</v>
      </c>
      <c r="Q1007">
        <v>3</v>
      </c>
      <c r="R1007">
        <v>4</v>
      </c>
      <c r="S1007">
        <v>3</v>
      </c>
      <c r="T1007">
        <v>4</v>
      </c>
      <c r="U1007">
        <v>3</v>
      </c>
      <c r="V1007">
        <v>5</v>
      </c>
      <c r="W1007">
        <v>4</v>
      </c>
      <c r="X1007">
        <v>3</v>
      </c>
      <c r="Y1007">
        <v>4</v>
      </c>
      <c r="Z1007">
        <v>4</v>
      </c>
      <c r="AA1007">
        <v>4</v>
      </c>
      <c r="AB1007">
        <v>3</v>
      </c>
      <c r="AC1007">
        <v>4</v>
      </c>
      <c r="AD1007">
        <v>4</v>
      </c>
      <c r="AE1007">
        <v>3</v>
      </c>
      <c r="AF1007">
        <v>4</v>
      </c>
      <c r="AG1007">
        <v>3</v>
      </c>
      <c r="AH1007">
        <v>4</v>
      </c>
      <c r="AI1007">
        <v>2</v>
      </c>
      <c r="AJ1007">
        <v>2</v>
      </c>
      <c r="AK1007" t="b">
        <f>Table67[[#This Row],[What is your age?]]&lt;&gt;"18 - 25"</f>
        <v>0</v>
      </c>
      <c r="AL1007" t="b">
        <f t="shared" si="60"/>
        <v>0</v>
      </c>
      <c r="AM1007" t="b">
        <f t="shared" si="61"/>
        <v>0</v>
      </c>
      <c r="AN1007" t="b">
        <f t="shared" si="62"/>
        <v>1</v>
      </c>
      <c r="AO1007" t="b">
        <f>OR(Table67[[#This Row],[Ineligible respondents]:[Inconsistent response on opposite question (3)]])</f>
        <v>1</v>
      </c>
      <c r="AP100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007">
        <f>Table67[[#This Row],[Extreme Response]]/21</f>
        <v>4.7619047619047616E-2</v>
      </c>
      <c r="AR1007">
        <f>_xlfn.PERCENTILE.INC(Table67[Extrem Response Ratio (ERS)],0.9)</f>
        <v>0.61904761904761907</v>
      </c>
      <c r="AS1007" t="b">
        <f>Table67[[#This Row],[Extrem Response Ratio (ERS)]]&gt;=Table67[[#This Row],[Threshold of ERS]]</f>
        <v>0</v>
      </c>
      <c r="AT1007">
        <f>COUNTIF(Table67[[#This Row],[The mechanism of digital assets is difficult to understand, which discourages me from exploring it (E.g, Tokenization, Blockchain)]:[If I want to try different ways to invest, I will explore digital assets.]], 3)</f>
        <v>7</v>
      </c>
      <c r="AU1007">
        <f>Table67[[#This Row],[Midpoint]]/21</f>
        <v>0.33333333333333331</v>
      </c>
      <c r="AV1007">
        <f>_xlfn.PERCENTILE.INC(Table67[Midpoint ratio],0.9)</f>
        <v>0.5714285714285714</v>
      </c>
      <c r="AW1007" t="b">
        <f>Table67[[#This Row],[Midpoint ratio]]&gt;=Table67[[#This Row],[Threshold of Midpoint ratio]]</f>
        <v>0</v>
      </c>
      <c r="AX1007" t="b">
        <f>OR(Table67[[#This Row],[Extreme Response Style]],Table67[[#This Row],[Mid-point Response Style]])</f>
        <v>0</v>
      </c>
      <c r="AY1007" t="b">
        <f>OR(Table67[[#This Row],[Delete? (Stage 1)]],Table67[[#This Row],[Delete? (Stage 2)]])</f>
        <v>1</v>
      </c>
      <c r="AZ1007" t="s">
        <v>84</v>
      </c>
    </row>
    <row r="1008" spans="1:52">
      <c r="A1008">
        <f t="shared" si="63"/>
        <v>1007</v>
      </c>
      <c r="B1008" s="3">
        <v>46056.882465277798</v>
      </c>
      <c r="C1008" s="3">
        <v>46056.884756944397</v>
      </c>
      <c r="D1008" t="s">
        <v>53</v>
      </c>
      <c r="G1008" t="s">
        <v>54</v>
      </c>
      <c r="H1008" t="s">
        <v>63</v>
      </c>
      <c r="I1008" t="s">
        <v>56</v>
      </c>
      <c r="J1008" t="s">
        <v>62</v>
      </c>
      <c r="K1008" t="s">
        <v>57</v>
      </c>
      <c r="L1008" t="s">
        <v>58</v>
      </c>
      <c r="M1008" t="s">
        <v>58</v>
      </c>
      <c r="N1008">
        <v>3</v>
      </c>
      <c r="O1008">
        <v>3</v>
      </c>
      <c r="P1008">
        <v>2</v>
      </c>
      <c r="Q1008">
        <v>4</v>
      </c>
      <c r="R1008">
        <v>4</v>
      </c>
      <c r="S1008">
        <v>4</v>
      </c>
      <c r="T1008">
        <v>3</v>
      </c>
      <c r="U1008">
        <v>3</v>
      </c>
      <c r="V1008">
        <v>4</v>
      </c>
      <c r="W1008">
        <v>4</v>
      </c>
      <c r="X1008">
        <v>3</v>
      </c>
      <c r="Y1008">
        <v>4</v>
      </c>
      <c r="Z1008">
        <v>3</v>
      </c>
      <c r="AA1008">
        <v>3</v>
      </c>
      <c r="AB1008">
        <v>4</v>
      </c>
      <c r="AC1008">
        <v>3</v>
      </c>
      <c r="AD1008">
        <v>3</v>
      </c>
      <c r="AE1008">
        <v>3</v>
      </c>
      <c r="AF1008">
        <v>3</v>
      </c>
      <c r="AG1008">
        <v>3</v>
      </c>
      <c r="AH1008">
        <v>3</v>
      </c>
      <c r="AI1008">
        <v>3</v>
      </c>
      <c r="AJ1008">
        <v>3</v>
      </c>
      <c r="AK1008" t="b">
        <f>Table67[[#This Row],[What is your age?]]&lt;&gt;"18 - 25"</f>
        <v>0</v>
      </c>
      <c r="AL1008" t="b">
        <f t="shared" si="60"/>
        <v>0</v>
      </c>
      <c r="AM1008" t="b">
        <f t="shared" si="61"/>
        <v>0</v>
      </c>
      <c r="AN1008" t="b">
        <f t="shared" si="62"/>
        <v>0</v>
      </c>
      <c r="AO1008" t="b">
        <f>OR(Table67[[#This Row],[Ineligible respondents]:[Inconsistent response on opposite question (3)]])</f>
        <v>0</v>
      </c>
      <c r="AP100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008">
        <f>Table67[[#This Row],[Extreme Response]]/21</f>
        <v>0</v>
      </c>
      <c r="AR1008">
        <f>_xlfn.PERCENTILE.INC(Table67[Extrem Response Ratio (ERS)],0.9)</f>
        <v>0.61904761904761907</v>
      </c>
      <c r="AS1008" t="b">
        <f>Table67[[#This Row],[Extrem Response Ratio (ERS)]]&gt;=Table67[[#This Row],[Threshold of ERS]]</f>
        <v>0</v>
      </c>
      <c r="AT1008">
        <f>COUNTIF(Table67[[#This Row],[The mechanism of digital assets is difficult to understand, which discourages me from exploring it (E.g, Tokenization, Blockchain)]:[If I want to try different ways to invest, I will explore digital assets.]], 3)</f>
        <v>13</v>
      </c>
      <c r="AU1008">
        <f>Table67[[#This Row],[Midpoint]]/21</f>
        <v>0.61904761904761907</v>
      </c>
      <c r="AV1008">
        <f>_xlfn.PERCENTILE.INC(Table67[Midpoint ratio],0.9)</f>
        <v>0.5714285714285714</v>
      </c>
      <c r="AW1008" t="b">
        <f>Table67[[#This Row],[Midpoint ratio]]&gt;=Table67[[#This Row],[Threshold of Midpoint ratio]]</f>
        <v>1</v>
      </c>
      <c r="AX1008" t="b">
        <f>OR(Table67[[#This Row],[Extreme Response Style]],Table67[[#This Row],[Mid-point Response Style]])</f>
        <v>1</v>
      </c>
      <c r="AY1008" t="b">
        <f>OR(Table67[[#This Row],[Delete? (Stage 1)]],Table67[[#This Row],[Delete? (Stage 2)]])</f>
        <v>1</v>
      </c>
      <c r="AZ1008" t="s">
        <v>84</v>
      </c>
    </row>
    <row r="1009" spans="1:52">
      <c r="A1009">
        <f t="shared" si="63"/>
        <v>1008</v>
      </c>
      <c r="B1009" s="3">
        <v>46056.882627314801</v>
      </c>
      <c r="C1009" s="3">
        <v>46056.886851851901</v>
      </c>
      <c r="D1009" t="s">
        <v>53</v>
      </c>
      <c r="G1009" t="s">
        <v>54</v>
      </c>
      <c r="H1009" t="s">
        <v>55</v>
      </c>
      <c r="I1009" t="s">
        <v>56</v>
      </c>
      <c r="J1009" t="s">
        <v>62</v>
      </c>
      <c r="K1009" t="s">
        <v>57</v>
      </c>
      <c r="L1009" t="s">
        <v>58</v>
      </c>
      <c r="M1009" t="s">
        <v>58</v>
      </c>
      <c r="N1009">
        <v>2</v>
      </c>
      <c r="O1009">
        <v>2</v>
      </c>
      <c r="P1009">
        <v>3</v>
      </c>
      <c r="Q1009">
        <v>3</v>
      </c>
      <c r="R1009">
        <v>2</v>
      </c>
      <c r="S1009">
        <v>2</v>
      </c>
      <c r="T1009">
        <v>4</v>
      </c>
      <c r="U1009">
        <v>5</v>
      </c>
      <c r="V1009">
        <v>4</v>
      </c>
      <c r="W1009">
        <v>4</v>
      </c>
      <c r="X1009">
        <v>4</v>
      </c>
      <c r="Y1009">
        <v>3</v>
      </c>
      <c r="Z1009">
        <v>5</v>
      </c>
      <c r="AA1009">
        <v>4</v>
      </c>
      <c r="AB1009">
        <v>3</v>
      </c>
      <c r="AC1009">
        <v>4</v>
      </c>
      <c r="AD1009">
        <v>5</v>
      </c>
      <c r="AE1009">
        <v>2</v>
      </c>
      <c r="AF1009">
        <v>3</v>
      </c>
      <c r="AG1009">
        <v>3</v>
      </c>
      <c r="AH1009">
        <v>3</v>
      </c>
      <c r="AI1009">
        <v>3</v>
      </c>
      <c r="AJ1009">
        <v>3</v>
      </c>
      <c r="AK1009" t="b">
        <f>Table67[[#This Row],[What is your age?]]&lt;&gt;"18 - 25"</f>
        <v>0</v>
      </c>
      <c r="AL1009" t="b">
        <f t="shared" si="60"/>
        <v>0</v>
      </c>
      <c r="AM1009" t="b">
        <f t="shared" si="61"/>
        <v>0</v>
      </c>
      <c r="AN1009" t="b">
        <f t="shared" si="62"/>
        <v>0</v>
      </c>
      <c r="AO1009" t="b">
        <f>OR(Table67[[#This Row],[Ineligible respondents]:[Inconsistent response on opposite question (3)]])</f>
        <v>0</v>
      </c>
      <c r="AP100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009">
        <f>Table67[[#This Row],[Extreme Response]]/21</f>
        <v>0.14285714285714285</v>
      </c>
      <c r="AR1009">
        <f>_xlfn.PERCENTILE.INC(Table67[Extrem Response Ratio (ERS)],0.9)</f>
        <v>0.61904761904761907</v>
      </c>
      <c r="AS1009" t="b">
        <f>Table67[[#This Row],[Extrem Response Ratio (ERS)]]&gt;=Table67[[#This Row],[Threshold of ERS]]</f>
        <v>0</v>
      </c>
      <c r="AT1009">
        <f>COUNTIF(Table67[[#This Row],[The mechanism of digital assets is difficult to understand, which discourages me from exploring it (E.g, Tokenization, Blockchain)]:[If I want to try different ways to invest, I will explore digital assets.]], 3)</f>
        <v>7</v>
      </c>
      <c r="AU1009">
        <f>Table67[[#This Row],[Midpoint]]/21</f>
        <v>0.33333333333333331</v>
      </c>
      <c r="AV1009">
        <f>_xlfn.PERCENTILE.INC(Table67[Midpoint ratio],0.9)</f>
        <v>0.5714285714285714</v>
      </c>
      <c r="AW1009" t="b">
        <f>Table67[[#This Row],[Midpoint ratio]]&gt;=Table67[[#This Row],[Threshold of Midpoint ratio]]</f>
        <v>0</v>
      </c>
      <c r="AX1009" t="b">
        <f>OR(Table67[[#This Row],[Extreme Response Style]],Table67[[#This Row],[Mid-point Response Style]])</f>
        <v>0</v>
      </c>
      <c r="AY1009" t="b">
        <f>OR(Table67[[#This Row],[Delete? (Stage 1)]],Table67[[#This Row],[Delete? (Stage 2)]])</f>
        <v>0</v>
      </c>
      <c r="AZ1009" t="s">
        <v>84</v>
      </c>
    </row>
    <row r="1010" spans="1:52">
      <c r="A1010">
        <f t="shared" si="63"/>
        <v>1009</v>
      </c>
      <c r="B1010" s="3">
        <v>46056.882708333302</v>
      </c>
      <c r="C1010" s="3">
        <v>46056.885138888902</v>
      </c>
      <c r="D1010" t="s">
        <v>53</v>
      </c>
      <c r="G1010" t="s">
        <v>54</v>
      </c>
      <c r="H1010" t="s">
        <v>63</v>
      </c>
      <c r="I1010" t="s">
        <v>75</v>
      </c>
      <c r="J1010" t="s">
        <v>62</v>
      </c>
      <c r="K1010" t="s">
        <v>57</v>
      </c>
      <c r="L1010" t="s">
        <v>58</v>
      </c>
      <c r="M1010" t="s">
        <v>58</v>
      </c>
      <c r="N1010">
        <v>4</v>
      </c>
      <c r="O1010">
        <v>5</v>
      </c>
      <c r="P1010">
        <v>5</v>
      </c>
      <c r="Q1010">
        <v>4</v>
      </c>
      <c r="R1010">
        <v>5</v>
      </c>
      <c r="S1010">
        <v>5</v>
      </c>
      <c r="T1010">
        <v>2</v>
      </c>
      <c r="U1010">
        <v>4</v>
      </c>
      <c r="V1010">
        <v>5</v>
      </c>
      <c r="W1010">
        <v>5</v>
      </c>
      <c r="X1010">
        <v>5</v>
      </c>
      <c r="Y1010">
        <v>5</v>
      </c>
      <c r="Z1010">
        <v>5</v>
      </c>
      <c r="AA1010">
        <v>5</v>
      </c>
      <c r="AB1010">
        <v>4</v>
      </c>
      <c r="AC1010">
        <v>4</v>
      </c>
      <c r="AD1010">
        <v>5</v>
      </c>
      <c r="AE1010">
        <v>4</v>
      </c>
      <c r="AF1010">
        <v>1</v>
      </c>
      <c r="AG1010">
        <v>5</v>
      </c>
      <c r="AH1010">
        <v>5</v>
      </c>
      <c r="AI1010">
        <v>1</v>
      </c>
      <c r="AJ1010">
        <v>5</v>
      </c>
      <c r="AK1010" t="b">
        <f>Table67[[#This Row],[What is your age?]]&lt;&gt;"18 - 25"</f>
        <v>0</v>
      </c>
      <c r="AL1010" t="b">
        <f t="shared" si="60"/>
        <v>0</v>
      </c>
      <c r="AM1010" t="b">
        <f t="shared" si="61"/>
        <v>1</v>
      </c>
      <c r="AN1010" t="b">
        <f t="shared" si="62"/>
        <v>0</v>
      </c>
      <c r="AO1010" t="b">
        <f>OR(Table67[[#This Row],[Ineligible respondents]:[Inconsistent response on opposite question (3)]])</f>
        <v>1</v>
      </c>
      <c r="AP101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1010">
        <f>Table67[[#This Row],[Extreme Response]]/21</f>
        <v>0.66666666666666663</v>
      </c>
      <c r="AR1010">
        <f>_xlfn.PERCENTILE.INC(Table67[Extrem Response Ratio (ERS)],0.9)</f>
        <v>0.61904761904761907</v>
      </c>
      <c r="AS1010" t="b">
        <f>Table67[[#This Row],[Extrem Response Ratio (ERS)]]&gt;=Table67[[#This Row],[Threshold of ERS]]</f>
        <v>1</v>
      </c>
      <c r="AT1010">
        <f>COUNTIF(Table67[[#This Row],[The mechanism of digital assets is difficult to understand, which discourages me from exploring it (E.g, Tokenization, Blockchain)]:[If I want to try different ways to invest, I will explore digital assets.]], 3)</f>
        <v>0</v>
      </c>
      <c r="AU1010">
        <f>Table67[[#This Row],[Midpoint]]/21</f>
        <v>0</v>
      </c>
      <c r="AV1010">
        <f>_xlfn.PERCENTILE.INC(Table67[Midpoint ratio],0.9)</f>
        <v>0.5714285714285714</v>
      </c>
      <c r="AW1010" t="b">
        <f>Table67[[#This Row],[Midpoint ratio]]&gt;=Table67[[#This Row],[Threshold of Midpoint ratio]]</f>
        <v>0</v>
      </c>
      <c r="AX1010" t="b">
        <f>OR(Table67[[#This Row],[Extreme Response Style]],Table67[[#This Row],[Mid-point Response Style]])</f>
        <v>1</v>
      </c>
      <c r="AY1010" t="b">
        <f>OR(Table67[[#This Row],[Delete? (Stage 1)]],Table67[[#This Row],[Delete? (Stage 2)]])</f>
        <v>1</v>
      </c>
      <c r="AZ1010" t="s">
        <v>84</v>
      </c>
    </row>
    <row r="1011" spans="1:52">
      <c r="A1011">
        <f t="shared" si="63"/>
        <v>1010</v>
      </c>
      <c r="B1011" s="3">
        <v>46056.882754629602</v>
      </c>
      <c r="C1011" s="3">
        <v>46056.894004629597</v>
      </c>
      <c r="D1011" t="s">
        <v>53</v>
      </c>
      <c r="G1011" t="s">
        <v>54</v>
      </c>
      <c r="H1011" t="s">
        <v>55</v>
      </c>
      <c r="I1011" t="s">
        <v>56</v>
      </c>
      <c r="J1011" t="s">
        <v>62</v>
      </c>
      <c r="K1011" t="s">
        <v>57</v>
      </c>
      <c r="L1011" t="s">
        <v>61</v>
      </c>
      <c r="M1011" t="s">
        <v>58</v>
      </c>
      <c r="N1011">
        <v>2</v>
      </c>
      <c r="O1011">
        <v>1</v>
      </c>
      <c r="P1011">
        <v>5</v>
      </c>
      <c r="Q1011">
        <v>1</v>
      </c>
      <c r="R1011">
        <v>1</v>
      </c>
      <c r="S1011">
        <v>3</v>
      </c>
      <c r="T1011">
        <v>1</v>
      </c>
      <c r="U1011">
        <v>1</v>
      </c>
      <c r="V1011">
        <v>2</v>
      </c>
      <c r="W1011">
        <v>1</v>
      </c>
      <c r="X1011">
        <v>4</v>
      </c>
      <c r="Y1011">
        <v>1</v>
      </c>
      <c r="Z1011">
        <v>2</v>
      </c>
      <c r="AA1011">
        <v>1</v>
      </c>
      <c r="AB1011">
        <v>1</v>
      </c>
      <c r="AC1011">
        <v>2</v>
      </c>
      <c r="AD1011">
        <v>2</v>
      </c>
      <c r="AE1011">
        <v>4</v>
      </c>
      <c r="AF1011">
        <v>5</v>
      </c>
      <c r="AG1011">
        <v>1</v>
      </c>
      <c r="AH1011">
        <v>5</v>
      </c>
      <c r="AI1011">
        <v>1</v>
      </c>
      <c r="AJ1011">
        <v>1</v>
      </c>
      <c r="AK1011" t="b">
        <f>Table67[[#This Row],[What is your age?]]&lt;&gt;"18 - 25"</f>
        <v>0</v>
      </c>
      <c r="AL1011" t="b">
        <f t="shared" si="60"/>
        <v>0</v>
      </c>
      <c r="AM1011" t="b">
        <f t="shared" si="61"/>
        <v>0</v>
      </c>
      <c r="AN1011" t="b">
        <f t="shared" si="62"/>
        <v>0</v>
      </c>
      <c r="AO1011" t="b">
        <f>OR(Table67[[#This Row],[Ineligible respondents]:[Inconsistent response on opposite question (3)]])</f>
        <v>0</v>
      </c>
      <c r="AP101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1011">
        <f>Table67[[#This Row],[Extreme Response]]/21</f>
        <v>0.61904761904761907</v>
      </c>
      <c r="AR1011">
        <f>_xlfn.PERCENTILE.INC(Table67[Extrem Response Ratio (ERS)],0.9)</f>
        <v>0.61904761904761907</v>
      </c>
      <c r="AS1011" t="b">
        <f>Table67[[#This Row],[Extrem Response Ratio (ERS)]]&gt;=Table67[[#This Row],[Threshold of ERS]]</f>
        <v>1</v>
      </c>
      <c r="AT1011">
        <f>COUNTIF(Table67[[#This Row],[The mechanism of digital assets is difficult to understand, which discourages me from exploring it (E.g, Tokenization, Blockchain)]:[If I want to try different ways to invest, I will explore digital assets.]], 3)</f>
        <v>1</v>
      </c>
      <c r="AU1011">
        <f>Table67[[#This Row],[Midpoint]]/21</f>
        <v>4.7619047619047616E-2</v>
      </c>
      <c r="AV1011">
        <f>_xlfn.PERCENTILE.INC(Table67[Midpoint ratio],0.9)</f>
        <v>0.5714285714285714</v>
      </c>
      <c r="AW1011" t="b">
        <f>Table67[[#This Row],[Midpoint ratio]]&gt;=Table67[[#This Row],[Threshold of Midpoint ratio]]</f>
        <v>0</v>
      </c>
      <c r="AX1011" t="b">
        <f>OR(Table67[[#This Row],[Extreme Response Style]],Table67[[#This Row],[Mid-point Response Style]])</f>
        <v>1</v>
      </c>
      <c r="AY1011" t="b">
        <f>OR(Table67[[#This Row],[Delete? (Stage 1)]],Table67[[#This Row],[Delete? (Stage 2)]])</f>
        <v>1</v>
      </c>
      <c r="AZ1011" t="s">
        <v>84</v>
      </c>
    </row>
    <row r="1012" spans="1:52">
      <c r="A1012">
        <f t="shared" si="63"/>
        <v>1011</v>
      </c>
      <c r="B1012" s="3">
        <v>46056.882789351803</v>
      </c>
      <c r="C1012" s="3">
        <v>46056.884907407402</v>
      </c>
      <c r="D1012" t="s">
        <v>53</v>
      </c>
      <c r="G1012" t="s">
        <v>54</v>
      </c>
      <c r="H1012" t="s">
        <v>55</v>
      </c>
      <c r="I1012" t="s">
        <v>56</v>
      </c>
      <c r="J1012" t="s">
        <v>66</v>
      </c>
      <c r="K1012" t="s">
        <v>57</v>
      </c>
      <c r="L1012" t="s">
        <v>58</v>
      </c>
      <c r="M1012" t="s">
        <v>58</v>
      </c>
      <c r="N1012">
        <v>4</v>
      </c>
      <c r="O1012">
        <v>4</v>
      </c>
      <c r="P1012">
        <v>3</v>
      </c>
      <c r="Q1012">
        <v>4</v>
      </c>
      <c r="R1012">
        <v>3</v>
      </c>
      <c r="S1012">
        <v>4</v>
      </c>
      <c r="T1012">
        <v>4</v>
      </c>
      <c r="U1012">
        <v>3</v>
      </c>
      <c r="V1012">
        <v>4</v>
      </c>
      <c r="W1012">
        <v>4</v>
      </c>
      <c r="X1012">
        <v>3</v>
      </c>
      <c r="Y1012">
        <v>4</v>
      </c>
      <c r="Z1012">
        <v>4</v>
      </c>
      <c r="AA1012">
        <v>4</v>
      </c>
      <c r="AB1012">
        <v>4</v>
      </c>
      <c r="AC1012">
        <v>4</v>
      </c>
      <c r="AD1012">
        <v>4</v>
      </c>
      <c r="AE1012">
        <v>3</v>
      </c>
      <c r="AF1012">
        <v>2</v>
      </c>
      <c r="AG1012">
        <v>2</v>
      </c>
      <c r="AH1012">
        <v>4</v>
      </c>
      <c r="AI1012">
        <v>2</v>
      </c>
      <c r="AJ1012">
        <v>4</v>
      </c>
      <c r="AK1012" t="b">
        <f>Table67[[#This Row],[What is your age?]]&lt;&gt;"18 - 25"</f>
        <v>0</v>
      </c>
      <c r="AL1012" t="b">
        <f t="shared" si="60"/>
        <v>0</v>
      </c>
      <c r="AM1012" t="b">
        <f t="shared" si="61"/>
        <v>0</v>
      </c>
      <c r="AN1012" t="b">
        <f t="shared" si="62"/>
        <v>0</v>
      </c>
      <c r="AO1012" t="b">
        <f>OR(Table67[[#This Row],[Ineligible respondents]:[Inconsistent response on opposite question (3)]])</f>
        <v>0</v>
      </c>
      <c r="AP101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012">
        <f>Table67[[#This Row],[Extreme Response]]/21</f>
        <v>0</v>
      </c>
      <c r="AR1012">
        <f>_xlfn.PERCENTILE.INC(Table67[Extrem Response Ratio (ERS)],0.9)</f>
        <v>0.61904761904761907</v>
      </c>
      <c r="AS1012" t="b">
        <f>Table67[[#This Row],[Extrem Response Ratio (ERS)]]&gt;=Table67[[#This Row],[Threshold of ERS]]</f>
        <v>0</v>
      </c>
      <c r="AT1012">
        <f>COUNTIF(Table67[[#This Row],[The mechanism of digital assets is difficult to understand, which discourages me from exploring it (E.g, Tokenization, Blockchain)]:[If I want to try different ways to invest, I will explore digital assets.]], 3)</f>
        <v>5</v>
      </c>
      <c r="AU1012">
        <f>Table67[[#This Row],[Midpoint]]/21</f>
        <v>0.23809523809523808</v>
      </c>
      <c r="AV1012">
        <f>_xlfn.PERCENTILE.INC(Table67[Midpoint ratio],0.9)</f>
        <v>0.5714285714285714</v>
      </c>
      <c r="AW1012" t="b">
        <f>Table67[[#This Row],[Midpoint ratio]]&gt;=Table67[[#This Row],[Threshold of Midpoint ratio]]</f>
        <v>0</v>
      </c>
      <c r="AX1012" t="b">
        <f>OR(Table67[[#This Row],[Extreme Response Style]],Table67[[#This Row],[Mid-point Response Style]])</f>
        <v>0</v>
      </c>
      <c r="AY1012" t="b">
        <f>OR(Table67[[#This Row],[Delete? (Stage 1)]],Table67[[#This Row],[Delete? (Stage 2)]])</f>
        <v>0</v>
      </c>
      <c r="AZ1012" t="s">
        <v>84</v>
      </c>
    </row>
    <row r="1013" spans="1:52">
      <c r="A1013">
        <f t="shared" si="63"/>
        <v>1012</v>
      </c>
      <c r="B1013" s="3">
        <v>46056.882789351803</v>
      </c>
      <c r="C1013" s="3">
        <v>46056.891655092601</v>
      </c>
      <c r="D1013" t="s">
        <v>53</v>
      </c>
      <c r="G1013" t="s">
        <v>54</v>
      </c>
      <c r="H1013" t="s">
        <v>55</v>
      </c>
      <c r="I1013" t="s">
        <v>56</v>
      </c>
      <c r="J1013" t="s">
        <v>60</v>
      </c>
      <c r="K1013" t="s">
        <v>62</v>
      </c>
      <c r="L1013" t="s">
        <v>61</v>
      </c>
      <c r="M1013" t="s">
        <v>61</v>
      </c>
      <c r="N1013">
        <v>4</v>
      </c>
      <c r="O1013">
        <v>2</v>
      </c>
      <c r="P1013">
        <v>4</v>
      </c>
      <c r="Q1013">
        <v>3</v>
      </c>
      <c r="R1013">
        <v>3</v>
      </c>
      <c r="S1013">
        <v>4</v>
      </c>
      <c r="T1013">
        <v>3</v>
      </c>
      <c r="U1013">
        <v>3</v>
      </c>
      <c r="V1013">
        <v>4</v>
      </c>
      <c r="W1013">
        <v>4</v>
      </c>
      <c r="X1013">
        <v>4</v>
      </c>
      <c r="Y1013">
        <v>4</v>
      </c>
      <c r="Z1013">
        <v>5</v>
      </c>
      <c r="AA1013">
        <v>4</v>
      </c>
      <c r="AB1013">
        <v>3</v>
      </c>
      <c r="AC1013">
        <v>4</v>
      </c>
      <c r="AD1013">
        <v>4</v>
      </c>
      <c r="AE1013">
        <v>3</v>
      </c>
      <c r="AF1013">
        <v>3</v>
      </c>
      <c r="AG1013">
        <v>4</v>
      </c>
      <c r="AH1013">
        <v>3</v>
      </c>
      <c r="AI1013">
        <v>3</v>
      </c>
      <c r="AJ1013">
        <v>3</v>
      </c>
      <c r="AK1013" t="b">
        <f>Table67[[#This Row],[What is your age?]]&lt;&gt;"18 - 25"</f>
        <v>0</v>
      </c>
      <c r="AL1013" t="b">
        <f t="shared" si="60"/>
        <v>0</v>
      </c>
      <c r="AM1013" t="b">
        <f t="shared" si="61"/>
        <v>0</v>
      </c>
      <c r="AN1013" t="b">
        <f t="shared" si="62"/>
        <v>1</v>
      </c>
      <c r="AO1013" t="b">
        <f>OR(Table67[[#This Row],[Ineligible respondents]:[Inconsistent response on opposite question (3)]])</f>
        <v>1</v>
      </c>
      <c r="AP101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013">
        <f>Table67[[#This Row],[Extreme Response]]/21</f>
        <v>4.7619047619047616E-2</v>
      </c>
      <c r="AR1013">
        <f>_xlfn.PERCENTILE.INC(Table67[Extrem Response Ratio (ERS)],0.9)</f>
        <v>0.61904761904761907</v>
      </c>
      <c r="AS1013" t="b">
        <f>Table67[[#This Row],[Extrem Response Ratio (ERS)]]&gt;=Table67[[#This Row],[Threshold of ERS]]</f>
        <v>0</v>
      </c>
      <c r="AT1013">
        <f>COUNTIF(Table67[[#This Row],[The mechanism of digital assets is difficult to understand, which discourages me from exploring it (E.g, Tokenization, Blockchain)]:[If I want to try different ways to invest, I will explore digital assets.]], 3)</f>
        <v>8</v>
      </c>
      <c r="AU1013">
        <f>Table67[[#This Row],[Midpoint]]/21</f>
        <v>0.38095238095238093</v>
      </c>
      <c r="AV1013">
        <f>_xlfn.PERCENTILE.INC(Table67[Midpoint ratio],0.9)</f>
        <v>0.5714285714285714</v>
      </c>
      <c r="AW1013" t="b">
        <f>Table67[[#This Row],[Midpoint ratio]]&gt;=Table67[[#This Row],[Threshold of Midpoint ratio]]</f>
        <v>0</v>
      </c>
      <c r="AX1013" t="b">
        <f>OR(Table67[[#This Row],[Extreme Response Style]],Table67[[#This Row],[Mid-point Response Style]])</f>
        <v>0</v>
      </c>
      <c r="AY1013" t="b">
        <f>OR(Table67[[#This Row],[Delete? (Stage 1)]],Table67[[#This Row],[Delete? (Stage 2)]])</f>
        <v>1</v>
      </c>
      <c r="AZ1013" t="s">
        <v>84</v>
      </c>
    </row>
    <row r="1014" spans="1:52">
      <c r="A1014">
        <f t="shared" si="63"/>
        <v>1013</v>
      </c>
      <c r="B1014" s="3">
        <v>46056.8829050926</v>
      </c>
      <c r="C1014" s="3">
        <v>46056.888495370396</v>
      </c>
      <c r="D1014" t="s">
        <v>53</v>
      </c>
      <c r="G1014" t="s">
        <v>54</v>
      </c>
      <c r="H1014" t="s">
        <v>63</v>
      </c>
      <c r="I1014" t="s">
        <v>56</v>
      </c>
      <c r="J1014" t="s">
        <v>62</v>
      </c>
      <c r="K1014" t="s">
        <v>57</v>
      </c>
      <c r="L1014" t="s">
        <v>58</v>
      </c>
      <c r="M1014" t="s">
        <v>58</v>
      </c>
      <c r="N1014">
        <v>4</v>
      </c>
      <c r="O1014">
        <v>4</v>
      </c>
      <c r="P1014">
        <v>3</v>
      </c>
      <c r="Q1014">
        <v>4</v>
      </c>
      <c r="R1014">
        <v>3</v>
      </c>
      <c r="S1014">
        <v>5</v>
      </c>
      <c r="T1014">
        <v>3</v>
      </c>
      <c r="U1014">
        <v>5</v>
      </c>
      <c r="V1014">
        <v>5</v>
      </c>
      <c r="W1014">
        <v>5</v>
      </c>
      <c r="X1014">
        <v>4</v>
      </c>
      <c r="Y1014">
        <v>5</v>
      </c>
      <c r="Z1014">
        <v>5</v>
      </c>
      <c r="AA1014">
        <v>4</v>
      </c>
      <c r="AB1014">
        <v>3</v>
      </c>
      <c r="AC1014">
        <v>4</v>
      </c>
      <c r="AD1014">
        <v>4</v>
      </c>
      <c r="AE1014">
        <v>3</v>
      </c>
      <c r="AF1014">
        <v>3</v>
      </c>
      <c r="AG1014">
        <v>3</v>
      </c>
      <c r="AH1014">
        <v>3</v>
      </c>
      <c r="AI1014">
        <v>3</v>
      </c>
      <c r="AJ1014">
        <v>3</v>
      </c>
      <c r="AK1014" t="b">
        <f>Table67[[#This Row],[What is your age?]]&lt;&gt;"18 - 25"</f>
        <v>0</v>
      </c>
      <c r="AL1014" t="b">
        <f t="shared" si="60"/>
        <v>0</v>
      </c>
      <c r="AM1014" t="b">
        <f t="shared" si="61"/>
        <v>0</v>
      </c>
      <c r="AN1014" t="b">
        <f t="shared" si="62"/>
        <v>0</v>
      </c>
      <c r="AO1014" t="b">
        <f>OR(Table67[[#This Row],[Ineligible respondents]:[Inconsistent response on opposite question (3)]])</f>
        <v>0</v>
      </c>
      <c r="AP101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014">
        <f>Table67[[#This Row],[Extreme Response]]/21</f>
        <v>0.2857142857142857</v>
      </c>
      <c r="AR1014">
        <f>_xlfn.PERCENTILE.INC(Table67[Extrem Response Ratio (ERS)],0.9)</f>
        <v>0.61904761904761907</v>
      </c>
      <c r="AS1014" t="b">
        <f>Table67[[#This Row],[Extrem Response Ratio (ERS)]]&gt;=Table67[[#This Row],[Threshold of ERS]]</f>
        <v>0</v>
      </c>
      <c r="AT1014">
        <f>COUNTIF(Table67[[#This Row],[The mechanism of digital assets is difficult to understand, which discourages me from exploring it (E.g, Tokenization, Blockchain)]:[If I want to try different ways to invest, I will explore digital assets.]], 3)</f>
        <v>8</v>
      </c>
      <c r="AU1014">
        <f>Table67[[#This Row],[Midpoint]]/21</f>
        <v>0.38095238095238093</v>
      </c>
      <c r="AV1014">
        <f>_xlfn.PERCENTILE.INC(Table67[Midpoint ratio],0.9)</f>
        <v>0.5714285714285714</v>
      </c>
      <c r="AW1014" t="b">
        <f>Table67[[#This Row],[Midpoint ratio]]&gt;=Table67[[#This Row],[Threshold of Midpoint ratio]]</f>
        <v>0</v>
      </c>
      <c r="AX1014" t="b">
        <f>OR(Table67[[#This Row],[Extreme Response Style]],Table67[[#This Row],[Mid-point Response Style]])</f>
        <v>0</v>
      </c>
      <c r="AY1014" t="b">
        <f>OR(Table67[[#This Row],[Delete? (Stage 1)]],Table67[[#This Row],[Delete? (Stage 2)]])</f>
        <v>0</v>
      </c>
      <c r="AZ1014" t="s">
        <v>84</v>
      </c>
    </row>
    <row r="1015" spans="1:52">
      <c r="A1015">
        <f t="shared" si="63"/>
        <v>1014</v>
      </c>
      <c r="B1015" s="3">
        <v>46056.882974537002</v>
      </c>
      <c r="C1015" s="3">
        <v>46056.887407407397</v>
      </c>
      <c r="D1015" t="s">
        <v>53</v>
      </c>
      <c r="G1015" t="s">
        <v>54</v>
      </c>
      <c r="H1015" t="s">
        <v>63</v>
      </c>
      <c r="I1015" t="s">
        <v>75</v>
      </c>
      <c r="J1015" t="s">
        <v>62</v>
      </c>
      <c r="K1015" t="s">
        <v>62</v>
      </c>
      <c r="L1015" t="s">
        <v>58</v>
      </c>
      <c r="M1015" t="s">
        <v>61</v>
      </c>
      <c r="N1015">
        <v>4</v>
      </c>
      <c r="O1015">
        <v>3</v>
      </c>
      <c r="P1015">
        <v>5</v>
      </c>
      <c r="Q1015">
        <v>5</v>
      </c>
      <c r="R1015">
        <v>5</v>
      </c>
      <c r="S1015">
        <v>4</v>
      </c>
      <c r="T1015">
        <v>1</v>
      </c>
      <c r="U1015">
        <v>3</v>
      </c>
      <c r="V1015">
        <v>5</v>
      </c>
      <c r="W1015">
        <v>5</v>
      </c>
      <c r="X1015">
        <v>3</v>
      </c>
      <c r="Y1015">
        <v>5</v>
      </c>
      <c r="Z1015">
        <v>5</v>
      </c>
      <c r="AA1015">
        <v>5</v>
      </c>
      <c r="AB1015">
        <v>5</v>
      </c>
      <c r="AC1015">
        <v>5</v>
      </c>
      <c r="AD1015">
        <v>3</v>
      </c>
      <c r="AE1015">
        <v>4</v>
      </c>
      <c r="AF1015">
        <v>5</v>
      </c>
      <c r="AG1015">
        <v>1</v>
      </c>
      <c r="AH1015">
        <v>5</v>
      </c>
      <c r="AI1015">
        <v>1</v>
      </c>
      <c r="AJ1015">
        <v>1</v>
      </c>
      <c r="AK1015" t="b">
        <f>Table67[[#This Row],[What is your age?]]&lt;&gt;"18 - 25"</f>
        <v>0</v>
      </c>
      <c r="AL1015" t="b">
        <f t="shared" si="60"/>
        <v>0</v>
      </c>
      <c r="AM1015" t="b">
        <f t="shared" si="61"/>
        <v>0</v>
      </c>
      <c r="AN1015" t="b">
        <f t="shared" si="62"/>
        <v>0</v>
      </c>
      <c r="AO1015" t="b">
        <f>OR(Table67[[#This Row],[Ineligible respondents]:[Inconsistent response on opposite question (3)]])</f>
        <v>0</v>
      </c>
      <c r="AP101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1015">
        <f>Table67[[#This Row],[Extreme Response]]/21</f>
        <v>0.66666666666666663</v>
      </c>
      <c r="AR1015">
        <f>_xlfn.PERCENTILE.INC(Table67[Extrem Response Ratio (ERS)],0.9)</f>
        <v>0.61904761904761907</v>
      </c>
      <c r="AS1015" t="b">
        <f>Table67[[#This Row],[Extrem Response Ratio (ERS)]]&gt;=Table67[[#This Row],[Threshold of ERS]]</f>
        <v>1</v>
      </c>
      <c r="AT1015">
        <f>COUNTIF(Table67[[#This Row],[The mechanism of digital assets is difficult to understand, which discourages me from exploring it (E.g, Tokenization, Blockchain)]:[If I want to try different ways to invest, I will explore digital assets.]], 3)</f>
        <v>4</v>
      </c>
      <c r="AU1015">
        <f>Table67[[#This Row],[Midpoint]]/21</f>
        <v>0.19047619047619047</v>
      </c>
      <c r="AV1015">
        <f>_xlfn.PERCENTILE.INC(Table67[Midpoint ratio],0.9)</f>
        <v>0.5714285714285714</v>
      </c>
      <c r="AW1015" t="b">
        <f>Table67[[#This Row],[Midpoint ratio]]&gt;=Table67[[#This Row],[Threshold of Midpoint ratio]]</f>
        <v>0</v>
      </c>
      <c r="AX1015" t="b">
        <f>OR(Table67[[#This Row],[Extreme Response Style]],Table67[[#This Row],[Mid-point Response Style]])</f>
        <v>1</v>
      </c>
      <c r="AY1015" t="b">
        <f>OR(Table67[[#This Row],[Delete? (Stage 1)]],Table67[[#This Row],[Delete? (Stage 2)]])</f>
        <v>1</v>
      </c>
      <c r="AZ1015" t="s">
        <v>84</v>
      </c>
    </row>
    <row r="1016" spans="1:52">
      <c r="A1016">
        <f t="shared" si="63"/>
        <v>1015</v>
      </c>
      <c r="B1016" s="3">
        <v>46056.883032407401</v>
      </c>
      <c r="C1016" s="3">
        <v>46056.889085648101</v>
      </c>
      <c r="D1016" t="s">
        <v>53</v>
      </c>
      <c r="G1016" t="s">
        <v>54</v>
      </c>
      <c r="H1016" t="s">
        <v>63</v>
      </c>
      <c r="I1016" t="s">
        <v>56</v>
      </c>
      <c r="J1016" t="s">
        <v>60</v>
      </c>
      <c r="K1016" t="s">
        <v>60</v>
      </c>
      <c r="L1016" t="s">
        <v>58</v>
      </c>
      <c r="M1016" t="s">
        <v>58</v>
      </c>
      <c r="N1016">
        <v>5</v>
      </c>
      <c r="O1016">
        <v>4</v>
      </c>
      <c r="P1016">
        <v>5</v>
      </c>
      <c r="Q1016">
        <v>4</v>
      </c>
      <c r="R1016">
        <v>5</v>
      </c>
      <c r="S1016">
        <v>5</v>
      </c>
      <c r="T1016">
        <v>5</v>
      </c>
      <c r="U1016">
        <v>5</v>
      </c>
      <c r="V1016">
        <v>5</v>
      </c>
      <c r="W1016">
        <v>4</v>
      </c>
      <c r="X1016">
        <v>5</v>
      </c>
      <c r="Y1016">
        <v>5</v>
      </c>
      <c r="Z1016">
        <v>4</v>
      </c>
      <c r="AA1016">
        <v>5</v>
      </c>
      <c r="AB1016">
        <v>5</v>
      </c>
      <c r="AC1016">
        <v>5</v>
      </c>
      <c r="AD1016">
        <v>5</v>
      </c>
      <c r="AE1016">
        <v>5</v>
      </c>
      <c r="AF1016">
        <v>2</v>
      </c>
      <c r="AG1016">
        <v>5</v>
      </c>
      <c r="AH1016">
        <v>1</v>
      </c>
      <c r="AI1016">
        <v>5</v>
      </c>
      <c r="AJ1016">
        <v>4</v>
      </c>
      <c r="AK1016" t="b">
        <f>Table67[[#This Row],[What is your age?]]&lt;&gt;"18 - 25"</f>
        <v>0</v>
      </c>
      <c r="AL1016" t="b">
        <f t="shared" si="60"/>
        <v>0</v>
      </c>
      <c r="AM1016" t="b">
        <f t="shared" si="61"/>
        <v>0</v>
      </c>
      <c r="AN1016" t="b">
        <f t="shared" si="62"/>
        <v>0</v>
      </c>
      <c r="AO1016" t="b">
        <f>OR(Table67[[#This Row],[Ineligible respondents]:[Inconsistent response on opposite question (3)]])</f>
        <v>0</v>
      </c>
      <c r="AP101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16</v>
      </c>
      <c r="AQ1016">
        <f>Table67[[#This Row],[Extreme Response]]/21</f>
        <v>0.76190476190476186</v>
      </c>
      <c r="AR1016">
        <f>_xlfn.PERCENTILE.INC(Table67[Extrem Response Ratio (ERS)],0.9)</f>
        <v>0.61904761904761907</v>
      </c>
      <c r="AS1016" t="b">
        <f>Table67[[#This Row],[Extrem Response Ratio (ERS)]]&gt;=Table67[[#This Row],[Threshold of ERS]]</f>
        <v>1</v>
      </c>
      <c r="AT1016">
        <f>COUNTIF(Table67[[#This Row],[The mechanism of digital assets is difficult to understand, which discourages me from exploring it (E.g, Tokenization, Blockchain)]:[If I want to try different ways to invest, I will explore digital assets.]], 3)</f>
        <v>0</v>
      </c>
      <c r="AU1016">
        <f>Table67[[#This Row],[Midpoint]]/21</f>
        <v>0</v>
      </c>
      <c r="AV1016">
        <f>_xlfn.PERCENTILE.INC(Table67[Midpoint ratio],0.9)</f>
        <v>0.5714285714285714</v>
      </c>
      <c r="AW1016" t="b">
        <f>Table67[[#This Row],[Midpoint ratio]]&gt;=Table67[[#This Row],[Threshold of Midpoint ratio]]</f>
        <v>0</v>
      </c>
      <c r="AX1016" t="b">
        <f>OR(Table67[[#This Row],[Extreme Response Style]],Table67[[#This Row],[Mid-point Response Style]])</f>
        <v>1</v>
      </c>
      <c r="AY1016" t="b">
        <f>OR(Table67[[#This Row],[Delete? (Stage 1)]],Table67[[#This Row],[Delete? (Stage 2)]])</f>
        <v>1</v>
      </c>
      <c r="AZ1016" t="s">
        <v>84</v>
      </c>
    </row>
    <row r="1017" spans="1:52">
      <c r="A1017">
        <f t="shared" si="63"/>
        <v>1016</v>
      </c>
      <c r="B1017" s="3">
        <v>46056.883055555598</v>
      </c>
      <c r="C1017" s="3">
        <v>46056.886921296304</v>
      </c>
      <c r="D1017" t="s">
        <v>53</v>
      </c>
      <c r="G1017" t="s">
        <v>54</v>
      </c>
      <c r="H1017" t="s">
        <v>55</v>
      </c>
      <c r="I1017" t="s">
        <v>75</v>
      </c>
      <c r="J1017" t="s">
        <v>62</v>
      </c>
      <c r="K1017" t="s">
        <v>57</v>
      </c>
      <c r="L1017" t="s">
        <v>58</v>
      </c>
      <c r="M1017" t="s">
        <v>58</v>
      </c>
      <c r="N1017">
        <v>2</v>
      </c>
      <c r="O1017">
        <v>2</v>
      </c>
      <c r="P1017">
        <v>4</v>
      </c>
      <c r="Q1017">
        <v>3</v>
      </c>
      <c r="R1017">
        <v>1</v>
      </c>
      <c r="S1017">
        <v>4</v>
      </c>
      <c r="T1017">
        <v>3</v>
      </c>
      <c r="U1017">
        <v>4</v>
      </c>
      <c r="V1017">
        <v>4</v>
      </c>
      <c r="W1017">
        <v>2</v>
      </c>
      <c r="X1017">
        <v>3</v>
      </c>
      <c r="Y1017">
        <v>5</v>
      </c>
      <c r="Z1017">
        <v>5</v>
      </c>
      <c r="AA1017">
        <v>5</v>
      </c>
      <c r="AB1017">
        <v>5</v>
      </c>
      <c r="AC1017">
        <v>2</v>
      </c>
      <c r="AD1017">
        <v>4</v>
      </c>
      <c r="AE1017">
        <v>5</v>
      </c>
      <c r="AF1017">
        <v>4</v>
      </c>
      <c r="AG1017">
        <v>4</v>
      </c>
      <c r="AH1017">
        <v>3</v>
      </c>
      <c r="AI1017">
        <v>3</v>
      </c>
      <c r="AJ1017">
        <v>2</v>
      </c>
      <c r="AK1017" t="b">
        <f>Table67[[#This Row],[What is your age?]]&lt;&gt;"18 - 25"</f>
        <v>0</v>
      </c>
      <c r="AL1017" t="b">
        <f t="shared" si="60"/>
        <v>0</v>
      </c>
      <c r="AM1017" t="b">
        <f t="shared" si="61"/>
        <v>0</v>
      </c>
      <c r="AN1017" t="b">
        <f t="shared" si="62"/>
        <v>1</v>
      </c>
      <c r="AO1017" t="b">
        <f>OR(Table67[[#This Row],[Ineligible respondents]:[Inconsistent response on opposite question (3)]])</f>
        <v>1</v>
      </c>
      <c r="AP101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017">
        <f>Table67[[#This Row],[Extreme Response]]/21</f>
        <v>0.2857142857142857</v>
      </c>
      <c r="AR1017">
        <f>_xlfn.PERCENTILE.INC(Table67[Extrem Response Ratio (ERS)],0.9)</f>
        <v>0.61904761904761907</v>
      </c>
      <c r="AS1017" t="b">
        <f>Table67[[#This Row],[Extrem Response Ratio (ERS)]]&gt;=Table67[[#This Row],[Threshold of ERS]]</f>
        <v>0</v>
      </c>
      <c r="AT1017">
        <f>COUNTIF(Table67[[#This Row],[The mechanism of digital assets is difficult to understand, which discourages me from exploring it (E.g, Tokenization, Blockchain)]:[If I want to try different ways to invest, I will explore digital assets.]], 3)</f>
        <v>4</v>
      </c>
      <c r="AU1017">
        <f>Table67[[#This Row],[Midpoint]]/21</f>
        <v>0.19047619047619047</v>
      </c>
      <c r="AV1017">
        <f>_xlfn.PERCENTILE.INC(Table67[Midpoint ratio],0.9)</f>
        <v>0.5714285714285714</v>
      </c>
      <c r="AW1017" t="b">
        <f>Table67[[#This Row],[Midpoint ratio]]&gt;=Table67[[#This Row],[Threshold of Midpoint ratio]]</f>
        <v>0</v>
      </c>
      <c r="AX1017" t="b">
        <f>OR(Table67[[#This Row],[Extreme Response Style]],Table67[[#This Row],[Mid-point Response Style]])</f>
        <v>0</v>
      </c>
      <c r="AY1017" t="b">
        <f>OR(Table67[[#This Row],[Delete? (Stage 1)]],Table67[[#This Row],[Delete? (Stage 2)]])</f>
        <v>1</v>
      </c>
      <c r="AZ1017" t="s">
        <v>84</v>
      </c>
    </row>
    <row r="1018" spans="1:52">
      <c r="A1018">
        <f t="shared" si="63"/>
        <v>1017</v>
      </c>
      <c r="B1018" s="3">
        <v>46056.883055555598</v>
      </c>
      <c r="C1018" s="3">
        <v>46056.8909837963</v>
      </c>
      <c r="D1018" t="s">
        <v>53</v>
      </c>
      <c r="G1018" t="s">
        <v>54</v>
      </c>
      <c r="H1018" t="s">
        <v>55</v>
      </c>
      <c r="I1018" t="s">
        <v>56</v>
      </c>
      <c r="J1018" t="s">
        <v>62</v>
      </c>
      <c r="K1018" t="s">
        <v>57</v>
      </c>
      <c r="L1018" t="s">
        <v>58</v>
      </c>
      <c r="M1018" t="s">
        <v>58</v>
      </c>
      <c r="N1018">
        <v>4</v>
      </c>
      <c r="O1018">
        <v>4</v>
      </c>
      <c r="P1018">
        <v>5</v>
      </c>
      <c r="Q1018">
        <v>3</v>
      </c>
      <c r="R1018">
        <v>5</v>
      </c>
      <c r="S1018">
        <v>5</v>
      </c>
      <c r="T1018">
        <v>5</v>
      </c>
      <c r="U1018">
        <v>5</v>
      </c>
      <c r="V1018">
        <v>5</v>
      </c>
      <c r="W1018">
        <v>5</v>
      </c>
      <c r="X1018">
        <v>4</v>
      </c>
      <c r="Y1018">
        <v>5</v>
      </c>
      <c r="Z1018">
        <v>3</v>
      </c>
      <c r="AA1018">
        <v>5</v>
      </c>
      <c r="AB1018">
        <v>3</v>
      </c>
      <c r="AC1018">
        <v>4</v>
      </c>
      <c r="AD1018">
        <v>3</v>
      </c>
      <c r="AE1018">
        <v>4</v>
      </c>
      <c r="AF1018">
        <v>3</v>
      </c>
      <c r="AG1018">
        <v>3</v>
      </c>
      <c r="AH1018">
        <v>3</v>
      </c>
      <c r="AI1018">
        <v>3</v>
      </c>
      <c r="AJ1018">
        <v>3</v>
      </c>
      <c r="AK1018" t="b">
        <f>Table67[[#This Row],[What is your age?]]&lt;&gt;"18 - 25"</f>
        <v>0</v>
      </c>
      <c r="AL1018" t="b">
        <f t="shared" si="60"/>
        <v>0</v>
      </c>
      <c r="AM1018" t="b">
        <f t="shared" si="61"/>
        <v>0</v>
      </c>
      <c r="AN1018" t="b">
        <f t="shared" si="62"/>
        <v>0</v>
      </c>
      <c r="AO1018" t="b">
        <f>OR(Table67[[#This Row],[Ineligible respondents]:[Inconsistent response on opposite question (3)]])</f>
        <v>0</v>
      </c>
      <c r="AP101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1018">
        <f>Table67[[#This Row],[Extreme Response]]/21</f>
        <v>0.42857142857142855</v>
      </c>
      <c r="AR1018">
        <f>_xlfn.PERCENTILE.INC(Table67[Extrem Response Ratio (ERS)],0.9)</f>
        <v>0.61904761904761907</v>
      </c>
      <c r="AS1018" t="b">
        <f>Table67[[#This Row],[Extrem Response Ratio (ERS)]]&gt;=Table67[[#This Row],[Threshold of ERS]]</f>
        <v>0</v>
      </c>
      <c r="AT1018">
        <f>COUNTIF(Table67[[#This Row],[The mechanism of digital assets is difficult to understand, which discourages me from exploring it (E.g, Tokenization, Blockchain)]:[If I want to try different ways to invest, I will explore digital assets.]], 3)</f>
        <v>7</v>
      </c>
      <c r="AU1018">
        <f>Table67[[#This Row],[Midpoint]]/21</f>
        <v>0.33333333333333331</v>
      </c>
      <c r="AV1018">
        <f>_xlfn.PERCENTILE.INC(Table67[Midpoint ratio],0.9)</f>
        <v>0.5714285714285714</v>
      </c>
      <c r="AW1018" t="b">
        <f>Table67[[#This Row],[Midpoint ratio]]&gt;=Table67[[#This Row],[Threshold of Midpoint ratio]]</f>
        <v>0</v>
      </c>
      <c r="AX1018" t="b">
        <f>OR(Table67[[#This Row],[Extreme Response Style]],Table67[[#This Row],[Mid-point Response Style]])</f>
        <v>0</v>
      </c>
      <c r="AY1018" t="b">
        <f>OR(Table67[[#This Row],[Delete? (Stage 1)]],Table67[[#This Row],[Delete? (Stage 2)]])</f>
        <v>0</v>
      </c>
      <c r="AZ1018" t="s">
        <v>84</v>
      </c>
    </row>
    <row r="1019" spans="1:52">
      <c r="A1019">
        <f t="shared" si="63"/>
        <v>1018</v>
      </c>
      <c r="B1019" s="3">
        <v>46056.883136574099</v>
      </c>
      <c r="C1019" s="3">
        <v>46056.887164351901</v>
      </c>
      <c r="D1019" t="s">
        <v>53</v>
      </c>
      <c r="G1019" t="s">
        <v>54</v>
      </c>
      <c r="H1019" t="s">
        <v>55</v>
      </c>
      <c r="I1019" t="s">
        <v>69</v>
      </c>
      <c r="J1019" t="s">
        <v>60</v>
      </c>
      <c r="K1019" t="s">
        <v>57</v>
      </c>
      <c r="L1019" t="s">
        <v>58</v>
      </c>
      <c r="M1019" t="s">
        <v>58</v>
      </c>
      <c r="N1019">
        <v>2</v>
      </c>
      <c r="O1019">
        <v>1</v>
      </c>
      <c r="P1019">
        <v>3</v>
      </c>
      <c r="Q1019">
        <v>3</v>
      </c>
      <c r="R1019">
        <v>2</v>
      </c>
      <c r="S1019">
        <v>2</v>
      </c>
      <c r="T1019">
        <v>2</v>
      </c>
      <c r="U1019">
        <v>4</v>
      </c>
      <c r="V1019">
        <v>3</v>
      </c>
      <c r="W1019">
        <v>4</v>
      </c>
      <c r="X1019">
        <v>3</v>
      </c>
      <c r="Y1019">
        <v>4</v>
      </c>
      <c r="Z1019">
        <v>4</v>
      </c>
      <c r="AA1019">
        <v>4</v>
      </c>
      <c r="AB1019">
        <v>2</v>
      </c>
      <c r="AC1019">
        <v>4</v>
      </c>
      <c r="AD1019">
        <v>4</v>
      </c>
      <c r="AE1019">
        <v>3</v>
      </c>
      <c r="AF1019">
        <v>4</v>
      </c>
      <c r="AG1019">
        <v>3</v>
      </c>
      <c r="AH1019">
        <v>4</v>
      </c>
      <c r="AI1019">
        <v>2</v>
      </c>
      <c r="AJ1019">
        <v>2</v>
      </c>
      <c r="AK1019" t="b">
        <f>Table67[[#This Row],[What is your age?]]&lt;&gt;"18 - 25"</f>
        <v>0</v>
      </c>
      <c r="AL1019" t="b">
        <f t="shared" si="60"/>
        <v>0</v>
      </c>
      <c r="AM1019" t="b">
        <f t="shared" si="61"/>
        <v>0</v>
      </c>
      <c r="AN1019" t="b">
        <f t="shared" si="62"/>
        <v>1</v>
      </c>
      <c r="AO1019" t="b">
        <f>OR(Table67[[#This Row],[Ineligible respondents]:[Inconsistent response on opposite question (3)]])</f>
        <v>1</v>
      </c>
      <c r="AP101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019">
        <f>Table67[[#This Row],[Extreme Response]]/21</f>
        <v>4.7619047619047616E-2</v>
      </c>
      <c r="AR1019">
        <f>_xlfn.PERCENTILE.INC(Table67[Extrem Response Ratio (ERS)],0.9)</f>
        <v>0.61904761904761907</v>
      </c>
      <c r="AS1019" t="b">
        <f>Table67[[#This Row],[Extrem Response Ratio (ERS)]]&gt;=Table67[[#This Row],[Threshold of ERS]]</f>
        <v>0</v>
      </c>
      <c r="AT1019">
        <f>COUNTIF(Table67[[#This Row],[The mechanism of digital assets is difficult to understand, which discourages me from exploring it (E.g, Tokenization, Blockchain)]:[If I want to try different ways to invest, I will explore digital assets.]], 3)</f>
        <v>6</v>
      </c>
      <c r="AU1019">
        <f>Table67[[#This Row],[Midpoint]]/21</f>
        <v>0.2857142857142857</v>
      </c>
      <c r="AV1019">
        <f>_xlfn.PERCENTILE.INC(Table67[Midpoint ratio],0.9)</f>
        <v>0.5714285714285714</v>
      </c>
      <c r="AW1019" t="b">
        <f>Table67[[#This Row],[Midpoint ratio]]&gt;=Table67[[#This Row],[Threshold of Midpoint ratio]]</f>
        <v>0</v>
      </c>
      <c r="AX1019" t="b">
        <f>OR(Table67[[#This Row],[Extreme Response Style]],Table67[[#This Row],[Mid-point Response Style]])</f>
        <v>0</v>
      </c>
      <c r="AY1019" t="b">
        <f>OR(Table67[[#This Row],[Delete? (Stage 1)]],Table67[[#This Row],[Delete? (Stage 2)]])</f>
        <v>1</v>
      </c>
      <c r="AZ1019" t="s">
        <v>84</v>
      </c>
    </row>
    <row r="1020" spans="1:52">
      <c r="A1020">
        <f t="shared" si="63"/>
        <v>1019</v>
      </c>
      <c r="B1020" s="3">
        <v>46056.883229166699</v>
      </c>
      <c r="C1020" s="3">
        <v>46056.886053240698</v>
      </c>
      <c r="D1020" t="s">
        <v>53</v>
      </c>
      <c r="G1020" t="s">
        <v>54</v>
      </c>
      <c r="H1020" t="s">
        <v>63</v>
      </c>
      <c r="I1020" t="s">
        <v>71</v>
      </c>
      <c r="J1020" t="s">
        <v>57</v>
      </c>
      <c r="K1020" t="s">
        <v>57</v>
      </c>
      <c r="L1020" t="s">
        <v>58</v>
      </c>
      <c r="M1020" t="s">
        <v>61</v>
      </c>
      <c r="N1020">
        <v>5</v>
      </c>
      <c r="O1020">
        <v>1</v>
      </c>
      <c r="P1020">
        <v>3</v>
      </c>
      <c r="Q1020">
        <v>4</v>
      </c>
      <c r="R1020">
        <v>4</v>
      </c>
      <c r="S1020">
        <v>4</v>
      </c>
      <c r="T1020">
        <v>5</v>
      </c>
      <c r="U1020">
        <v>5</v>
      </c>
      <c r="V1020">
        <v>5</v>
      </c>
      <c r="W1020">
        <v>4</v>
      </c>
      <c r="X1020">
        <v>5</v>
      </c>
      <c r="Y1020">
        <v>5</v>
      </c>
      <c r="Z1020">
        <v>4</v>
      </c>
      <c r="AA1020">
        <v>4</v>
      </c>
      <c r="AB1020">
        <v>2</v>
      </c>
      <c r="AC1020">
        <v>4</v>
      </c>
      <c r="AD1020">
        <v>5</v>
      </c>
      <c r="AE1020">
        <v>1</v>
      </c>
      <c r="AF1020">
        <v>2</v>
      </c>
      <c r="AG1020">
        <v>3</v>
      </c>
      <c r="AH1020">
        <v>4</v>
      </c>
      <c r="AI1020">
        <v>2</v>
      </c>
      <c r="AJ1020">
        <v>4</v>
      </c>
      <c r="AK1020" t="b">
        <f>Table67[[#This Row],[What is your age?]]&lt;&gt;"18 - 25"</f>
        <v>0</v>
      </c>
      <c r="AL1020" t="b">
        <f t="shared" si="60"/>
        <v>0</v>
      </c>
      <c r="AM1020" t="b">
        <f t="shared" si="61"/>
        <v>0</v>
      </c>
      <c r="AN1020" t="b">
        <f t="shared" si="62"/>
        <v>1</v>
      </c>
      <c r="AO1020" t="b">
        <f>OR(Table67[[#This Row],[Ineligible respondents]:[Inconsistent response on opposite question (3)]])</f>
        <v>1</v>
      </c>
      <c r="AP102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1020">
        <f>Table67[[#This Row],[Extreme Response]]/21</f>
        <v>0.42857142857142855</v>
      </c>
      <c r="AR1020">
        <f>_xlfn.PERCENTILE.INC(Table67[Extrem Response Ratio (ERS)],0.9)</f>
        <v>0.61904761904761907</v>
      </c>
      <c r="AS1020" t="b">
        <f>Table67[[#This Row],[Extrem Response Ratio (ERS)]]&gt;=Table67[[#This Row],[Threshold of ERS]]</f>
        <v>0</v>
      </c>
      <c r="AT1020">
        <f>COUNTIF(Table67[[#This Row],[The mechanism of digital assets is difficult to understand, which discourages me from exploring it (E.g, Tokenization, Blockchain)]:[If I want to try different ways to invest, I will explore digital assets.]], 3)</f>
        <v>2</v>
      </c>
      <c r="AU1020">
        <f>Table67[[#This Row],[Midpoint]]/21</f>
        <v>9.5238095238095233E-2</v>
      </c>
      <c r="AV1020">
        <f>_xlfn.PERCENTILE.INC(Table67[Midpoint ratio],0.9)</f>
        <v>0.5714285714285714</v>
      </c>
      <c r="AW1020" t="b">
        <f>Table67[[#This Row],[Midpoint ratio]]&gt;=Table67[[#This Row],[Threshold of Midpoint ratio]]</f>
        <v>0</v>
      </c>
      <c r="AX1020" t="b">
        <f>OR(Table67[[#This Row],[Extreme Response Style]],Table67[[#This Row],[Mid-point Response Style]])</f>
        <v>0</v>
      </c>
      <c r="AY1020" t="b">
        <f>OR(Table67[[#This Row],[Delete? (Stage 1)]],Table67[[#This Row],[Delete? (Stage 2)]])</f>
        <v>1</v>
      </c>
      <c r="AZ1020" t="s">
        <v>84</v>
      </c>
    </row>
    <row r="1021" spans="1:52">
      <c r="A1021">
        <f t="shared" si="63"/>
        <v>1020</v>
      </c>
      <c r="B1021" s="3">
        <v>46056.8832638889</v>
      </c>
      <c r="C1021" s="3">
        <v>46056.886064814797</v>
      </c>
      <c r="D1021" t="s">
        <v>53</v>
      </c>
      <c r="G1021" t="s">
        <v>54</v>
      </c>
      <c r="H1021" t="s">
        <v>55</v>
      </c>
      <c r="I1021" t="s">
        <v>75</v>
      </c>
      <c r="J1021" t="s">
        <v>62</v>
      </c>
      <c r="K1021" t="s">
        <v>57</v>
      </c>
      <c r="L1021" t="s">
        <v>58</v>
      </c>
      <c r="M1021" t="s">
        <v>58</v>
      </c>
      <c r="N1021">
        <v>5</v>
      </c>
      <c r="O1021">
        <v>1</v>
      </c>
      <c r="P1021">
        <v>5</v>
      </c>
      <c r="Q1021">
        <v>5</v>
      </c>
      <c r="R1021">
        <v>5</v>
      </c>
      <c r="S1021">
        <v>5</v>
      </c>
      <c r="T1021">
        <v>5</v>
      </c>
      <c r="U1021">
        <v>5</v>
      </c>
      <c r="V1021">
        <v>5</v>
      </c>
      <c r="W1021">
        <v>5</v>
      </c>
      <c r="X1021">
        <v>5</v>
      </c>
      <c r="Y1021">
        <v>5</v>
      </c>
      <c r="Z1021">
        <v>5</v>
      </c>
      <c r="AA1021">
        <v>5</v>
      </c>
      <c r="AB1021">
        <v>5</v>
      </c>
      <c r="AC1021">
        <v>5</v>
      </c>
      <c r="AD1021">
        <v>5</v>
      </c>
      <c r="AE1021">
        <v>5</v>
      </c>
      <c r="AF1021">
        <v>1</v>
      </c>
      <c r="AG1021">
        <v>5</v>
      </c>
      <c r="AH1021">
        <v>1</v>
      </c>
      <c r="AI1021">
        <v>5</v>
      </c>
      <c r="AJ1021">
        <v>5</v>
      </c>
      <c r="AK1021" t="b">
        <f>Table67[[#This Row],[What is your age?]]&lt;&gt;"18 - 25"</f>
        <v>0</v>
      </c>
      <c r="AL1021" t="b">
        <f t="shared" si="60"/>
        <v>0</v>
      </c>
      <c r="AM1021" t="b">
        <f t="shared" si="61"/>
        <v>0</v>
      </c>
      <c r="AN1021" t="b">
        <f t="shared" si="62"/>
        <v>0</v>
      </c>
      <c r="AO1021" t="b">
        <f>OR(Table67[[#This Row],[Ineligible respondents]:[Inconsistent response on opposite question (3)]])</f>
        <v>0</v>
      </c>
      <c r="AP102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21</v>
      </c>
      <c r="AQ1021">
        <f>Table67[[#This Row],[Extreme Response]]/21</f>
        <v>1</v>
      </c>
      <c r="AR1021">
        <f>_xlfn.PERCENTILE.INC(Table67[Extrem Response Ratio (ERS)],0.9)</f>
        <v>0.61904761904761907</v>
      </c>
      <c r="AS1021" t="b">
        <f>Table67[[#This Row],[Extrem Response Ratio (ERS)]]&gt;=Table67[[#This Row],[Threshold of ERS]]</f>
        <v>1</v>
      </c>
      <c r="AT1021">
        <f>COUNTIF(Table67[[#This Row],[The mechanism of digital assets is difficult to understand, which discourages me from exploring it (E.g, Tokenization, Blockchain)]:[If I want to try different ways to invest, I will explore digital assets.]], 3)</f>
        <v>0</v>
      </c>
      <c r="AU1021">
        <f>Table67[[#This Row],[Midpoint]]/21</f>
        <v>0</v>
      </c>
      <c r="AV1021">
        <f>_xlfn.PERCENTILE.INC(Table67[Midpoint ratio],0.9)</f>
        <v>0.5714285714285714</v>
      </c>
      <c r="AW1021" t="b">
        <f>Table67[[#This Row],[Midpoint ratio]]&gt;=Table67[[#This Row],[Threshold of Midpoint ratio]]</f>
        <v>0</v>
      </c>
      <c r="AX1021" t="b">
        <f>OR(Table67[[#This Row],[Extreme Response Style]],Table67[[#This Row],[Mid-point Response Style]])</f>
        <v>1</v>
      </c>
      <c r="AY1021" t="b">
        <f>OR(Table67[[#This Row],[Delete? (Stage 1)]],Table67[[#This Row],[Delete? (Stage 2)]])</f>
        <v>1</v>
      </c>
      <c r="AZ1021" t="s">
        <v>84</v>
      </c>
    </row>
    <row r="1022" spans="1:52">
      <c r="A1022">
        <f t="shared" si="63"/>
        <v>1021</v>
      </c>
      <c r="B1022" s="3">
        <v>46056.8832638889</v>
      </c>
      <c r="C1022" s="3">
        <v>46056.886574074102</v>
      </c>
      <c r="D1022" t="s">
        <v>53</v>
      </c>
      <c r="G1022" t="s">
        <v>54</v>
      </c>
      <c r="H1022" t="s">
        <v>55</v>
      </c>
      <c r="I1022" t="s">
        <v>56</v>
      </c>
      <c r="J1022" t="s">
        <v>62</v>
      </c>
      <c r="K1022" t="s">
        <v>62</v>
      </c>
      <c r="L1022" t="s">
        <v>58</v>
      </c>
      <c r="M1022" t="s">
        <v>61</v>
      </c>
      <c r="N1022">
        <v>3</v>
      </c>
      <c r="O1022">
        <v>4</v>
      </c>
      <c r="P1022">
        <v>5</v>
      </c>
      <c r="Q1022">
        <v>4</v>
      </c>
      <c r="R1022">
        <v>5</v>
      </c>
      <c r="S1022">
        <v>5</v>
      </c>
      <c r="T1022">
        <v>3</v>
      </c>
      <c r="U1022">
        <v>2</v>
      </c>
      <c r="V1022">
        <v>4</v>
      </c>
      <c r="W1022">
        <v>4</v>
      </c>
      <c r="X1022">
        <v>3</v>
      </c>
      <c r="Y1022">
        <v>2</v>
      </c>
      <c r="Z1022">
        <v>4</v>
      </c>
      <c r="AA1022">
        <v>3</v>
      </c>
      <c r="AB1022">
        <v>3</v>
      </c>
      <c r="AC1022">
        <v>3</v>
      </c>
      <c r="AD1022">
        <v>4</v>
      </c>
      <c r="AE1022">
        <v>2</v>
      </c>
      <c r="AF1022">
        <v>4</v>
      </c>
      <c r="AG1022">
        <v>4</v>
      </c>
      <c r="AH1022">
        <v>4</v>
      </c>
      <c r="AI1022">
        <v>2</v>
      </c>
      <c r="AJ1022">
        <v>2</v>
      </c>
      <c r="AK1022" t="b">
        <f>Table67[[#This Row],[What is your age?]]&lt;&gt;"18 - 25"</f>
        <v>0</v>
      </c>
      <c r="AL1022" t="b">
        <f t="shared" si="60"/>
        <v>0</v>
      </c>
      <c r="AM1022" t="b">
        <f t="shared" si="61"/>
        <v>1</v>
      </c>
      <c r="AN1022" t="b">
        <f t="shared" si="62"/>
        <v>0</v>
      </c>
      <c r="AO1022" t="b">
        <f>OR(Table67[[#This Row],[Ineligible respondents]:[Inconsistent response on opposite question (3)]])</f>
        <v>1</v>
      </c>
      <c r="AP102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022">
        <f>Table67[[#This Row],[Extreme Response]]/21</f>
        <v>0.14285714285714285</v>
      </c>
      <c r="AR1022">
        <f>_xlfn.PERCENTILE.INC(Table67[Extrem Response Ratio (ERS)],0.9)</f>
        <v>0.61904761904761907</v>
      </c>
      <c r="AS1022" t="b">
        <f>Table67[[#This Row],[Extrem Response Ratio (ERS)]]&gt;=Table67[[#This Row],[Threshold of ERS]]</f>
        <v>0</v>
      </c>
      <c r="AT1022">
        <f>COUNTIF(Table67[[#This Row],[The mechanism of digital assets is difficult to understand, which discourages me from exploring it (E.g, Tokenization, Blockchain)]:[If I want to try different ways to invest, I will explore digital assets.]], 3)</f>
        <v>6</v>
      </c>
      <c r="AU1022">
        <f>Table67[[#This Row],[Midpoint]]/21</f>
        <v>0.2857142857142857</v>
      </c>
      <c r="AV1022">
        <f>_xlfn.PERCENTILE.INC(Table67[Midpoint ratio],0.9)</f>
        <v>0.5714285714285714</v>
      </c>
      <c r="AW1022" t="b">
        <f>Table67[[#This Row],[Midpoint ratio]]&gt;=Table67[[#This Row],[Threshold of Midpoint ratio]]</f>
        <v>0</v>
      </c>
      <c r="AX1022" t="b">
        <f>OR(Table67[[#This Row],[Extreme Response Style]],Table67[[#This Row],[Mid-point Response Style]])</f>
        <v>0</v>
      </c>
      <c r="AY1022" t="b">
        <f>OR(Table67[[#This Row],[Delete? (Stage 1)]],Table67[[#This Row],[Delete? (Stage 2)]])</f>
        <v>1</v>
      </c>
      <c r="AZ1022" t="s">
        <v>84</v>
      </c>
    </row>
    <row r="1023" spans="1:52">
      <c r="A1023">
        <f t="shared" si="63"/>
        <v>1022</v>
      </c>
      <c r="B1023" s="3">
        <v>46056.8833564815</v>
      </c>
      <c r="C1023" s="3">
        <v>46056.887418981503</v>
      </c>
      <c r="D1023" t="s">
        <v>53</v>
      </c>
      <c r="G1023" t="s">
        <v>54</v>
      </c>
      <c r="H1023" t="s">
        <v>55</v>
      </c>
      <c r="I1023" t="s">
        <v>56</v>
      </c>
      <c r="J1023" t="s">
        <v>72</v>
      </c>
      <c r="K1023" t="s">
        <v>62</v>
      </c>
      <c r="L1023" t="s">
        <v>61</v>
      </c>
      <c r="M1023" t="s">
        <v>61</v>
      </c>
      <c r="N1023">
        <v>1</v>
      </c>
      <c r="O1023">
        <v>1</v>
      </c>
      <c r="P1023">
        <v>3</v>
      </c>
      <c r="Q1023">
        <v>1</v>
      </c>
      <c r="R1023">
        <v>4</v>
      </c>
      <c r="S1023">
        <v>3</v>
      </c>
      <c r="T1023">
        <v>2</v>
      </c>
      <c r="U1023">
        <v>3</v>
      </c>
      <c r="V1023">
        <v>5</v>
      </c>
      <c r="W1023">
        <v>5</v>
      </c>
      <c r="X1023">
        <v>1</v>
      </c>
      <c r="Y1023">
        <v>2</v>
      </c>
      <c r="Z1023">
        <v>4</v>
      </c>
      <c r="AA1023">
        <v>1</v>
      </c>
      <c r="AB1023">
        <v>1</v>
      </c>
      <c r="AC1023">
        <v>2</v>
      </c>
      <c r="AD1023">
        <v>5</v>
      </c>
      <c r="AE1023">
        <v>5</v>
      </c>
      <c r="AF1023">
        <v>5</v>
      </c>
      <c r="AG1023">
        <v>1</v>
      </c>
      <c r="AH1023">
        <v>5</v>
      </c>
      <c r="AI1023">
        <v>1</v>
      </c>
      <c r="AJ1023">
        <v>1</v>
      </c>
      <c r="AK1023" t="b">
        <f>Table67[[#This Row],[What is your age?]]&lt;&gt;"18 - 25"</f>
        <v>0</v>
      </c>
      <c r="AL1023" t="b">
        <f t="shared" si="60"/>
        <v>0</v>
      </c>
      <c r="AM1023" t="b">
        <f t="shared" si="61"/>
        <v>0</v>
      </c>
      <c r="AN1023" t="b">
        <f t="shared" si="62"/>
        <v>0</v>
      </c>
      <c r="AO1023" t="b">
        <f>OR(Table67[[#This Row],[Ineligible respondents]:[Inconsistent response on opposite question (3)]])</f>
        <v>0</v>
      </c>
      <c r="AP102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1023">
        <f>Table67[[#This Row],[Extreme Response]]/21</f>
        <v>0.61904761904761907</v>
      </c>
      <c r="AR1023">
        <f>_xlfn.PERCENTILE.INC(Table67[Extrem Response Ratio (ERS)],0.9)</f>
        <v>0.61904761904761907</v>
      </c>
      <c r="AS1023" t="b">
        <f>Table67[[#This Row],[Extrem Response Ratio (ERS)]]&gt;=Table67[[#This Row],[Threshold of ERS]]</f>
        <v>1</v>
      </c>
      <c r="AT1023">
        <f>COUNTIF(Table67[[#This Row],[The mechanism of digital assets is difficult to understand, which discourages me from exploring it (E.g, Tokenization, Blockchain)]:[If I want to try different ways to invest, I will explore digital assets.]], 3)</f>
        <v>3</v>
      </c>
      <c r="AU1023">
        <f>Table67[[#This Row],[Midpoint]]/21</f>
        <v>0.14285714285714285</v>
      </c>
      <c r="AV1023">
        <f>_xlfn.PERCENTILE.INC(Table67[Midpoint ratio],0.9)</f>
        <v>0.5714285714285714</v>
      </c>
      <c r="AW1023" t="b">
        <f>Table67[[#This Row],[Midpoint ratio]]&gt;=Table67[[#This Row],[Threshold of Midpoint ratio]]</f>
        <v>0</v>
      </c>
      <c r="AX1023" t="b">
        <f>OR(Table67[[#This Row],[Extreme Response Style]],Table67[[#This Row],[Mid-point Response Style]])</f>
        <v>1</v>
      </c>
      <c r="AY1023" t="b">
        <f>OR(Table67[[#This Row],[Delete? (Stage 1)]],Table67[[#This Row],[Delete? (Stage 2)]])</f>
        <v>1</v>
      </c>
      <c r="AZ1023" t="s">
        <v>84</v>
      </c>
    </row>
    <row r="1024" spans="1:52">
      <c r="A1024">
        <f t="shared" si="63"/>
        <v>1023</v>
      </c>
      <c r="B1024" s="3">
        <v>46056.883495370399</v>
      </c>
      <c r="C1024" s="3">
        <v>46056.887152777803</v>
      </c>
      <c r="D1024" t="s">
        <v>53</v>
      </c>
      <c r="G1024" t="s">
        <v>54</v>
      </c>
      <c r="H1024" t="s">
        <v>55</v>
      </c>
      <c r="I1024" t="s">
        <v>56</v>
      </c>
      <c r="J1024" t="s">
        <v>66</v>
      </c>
      <c r="K1024" t="s">
        <v>66</v>
      </c>
      <c r="L1024" t="s">
        <v>58</v>
      </c>
      <c r="M1024" t="s">
        <v>58</v>
      </c>
      <c r="N1024">
        <v>3</v>
      </c>
      <c r="O1024">
        <v>2</v>
      </c>
      <c r="P1024">
        <v>4</v>
      </c>
      <c r="Q1024">
        <v>4</v>
      </c>
      <c r="R1024">
        <v>2</v>
      </c>
      <c r="S1024">
        <v>2</v>
      </c>
      <c r="T1024">
        <v>2</v>
      </c>
      <c r="U1024">
        <v>4</v>
      </c>
      <c r="V1024">
        <v>5</v>
      </c>
      <c r="W1024">
        <v>4</v>
      </c>
      <c r="X1024">
        <v>3</v>
      </c>
      <c r="Y1024">
        <v>5</v>
      </c>
      <c r="Z1024">
        <v>5</v>
      </c>
      <c r="AA1024">
        <v>4</v>
      </c>
      <c r="AB1024">
        <v>3</v>
      </c>
      <c r="AC1024">
        <v>4</v>
      </c>
      <c r="AD1024">
        <v>4</v>
      </c>
      <c r="AE1024">
        <v>3</v>
      </c>
      <c r="AF1024">
        <v>3</v>
      </c>
      <c r="AG1024">
        <v>4</v>
      </c>
      <c r="AH1024">
        <v>3</v>
      </c>
      <c r="AI1024">
        <v>3</v>
      </c>
      <c r="AJ1024">
        <v>3</v>
      </c>
      <c r="AK1024" t="b">
        <f>Table67[[#This Row],[What is your age?]]&lt;&gt;"18 - 25"</f>
        <v>0</v>
      </c>
      <c r="AL1024" t="b">
        <f t="shared" si="60"/>
        <v>0</v>
      </c>
      <c r="AM1024" t="b">
        <f t="shared" si="61"/>
        <v>0</v>
      </c>
      <c r="AN1024" t="b">
        <f t="shared" si="62"/>
        <v>1</v>
      </c>
      <c r="AO1024" t="b">
        <f>OR(Table67[[#This Row],[Ineligible respondents]:[Inconsistent response on opposite question (3)]])</f>
        <v>1</v>
      </c>
      <c r="AP102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024">
        <f>Table67[[#This Row],[Extreme Response]]/21</f>
        <v>0.14285714285714285</v>
      </c>
      <c r="AR1024">
        <f>_xlfn.PERCENTILE.INC(Table67[Extrem Response Ratio (ERS)],0.9)</f>
        <v>0.61904761904761907</v>
      </c>
      <c r="AS1024" t="b">
        <f>Table67[[#This Row],[Extrem Response Ratio (ERS)]]&gt;=Table67[[#This Row],[Threshold of ERS]]</f>
        <v>0</v>
      </c>
      <c r="AT1024">
        <f>COUNTIF(Table67[[#This Row],[The mechanism of digital assets is difficult to understand, which discourages me from exploring it (E.g, Tokenization, Blockchain)]:[If I want to try different ways to invest, I will explore digital assets.]], 3)</f>
        <v>6</v>
      </c>
      <c r="AU1024">
        <f>Table67[[#This Row],[Midpoint]]/21</f>
        <v>0.2857142857142857</v>
      </c>
      <c r="AV1024">
        <f>_xlfn.PERCENTILE.INC(Table67[Midpoint ratio],0.9)</f>
        <v>0.5714285714285714</v>
      </c>
      <c r="AW1024" t="b">
        <f>Table67[[#This Row],[Midpoint ratio]]&gt;=Table67[[#This Row],[Threshold of Midpoint ratio]]</f>
        <v>0</v>
      </c>
      <c r="AX1024" t="b">
        <f>OR(Table67[[#This Row],[Extreme Response Style]],Table67[[#This Row],[Mid-point Response Style]])</f>
        <v>0</v>
      </c>
      <c r="AY1024" t="b">
        <f>OR(Table67[[#This Row],[Delete? (Stage 1)]],Table67[[#This Row],[Delete? (Stage 2)]])</f>
        <v>1</v>
      </c>
      <c r="AZ1024" t="s">
        <v>84</v>
      </c>
    </row>
    <row r="1025" spans="1:52">
      <c r="A1025">
        <f t="shared" si="63"/>
        <v>1024</v>
      </c>
      <c r="B1025" s="3">
        <v>46056.883645833303</v>
      </c>
      <c r="C1025" s="3">
        <v>46056.892928240697</v>
      </c>
      <c r="D1025" t="s">
        <v>53</v>
      </c>
      <c r="G1025" t="s">
        <v>54</v>
      </c>
      <c r="H1025" t="s">
        <v>55</v>
      </c>
      <c r="I1025" t="s">
        <v>56</v>
      </c>
      <c r="J1025" t="s">
        <v>62</v>
      </c>
      <c r="K1025" t="s">
        <v>62</v>
      </c>
      <c r="L1025" t="s">
        <v>61</v>
      </c>
      <c r="M1025" t="s">
        <v>58</v>
      </c>
      <c r="N1025">
        <v>1</v>
      </c>
      <c r="O1025">
        <v>1</v>
      </c>
      <c r="P1025">
        <v>2</v>
      </c>
      <c r="Q1025">
        <v>4</v>
      </c>
      <c r="R1025">
        <v>2</v>
      </c>
      <c r="S1025">
        <v>2</v>
      </c>
      <c r="T1025">
        <v>2</v>
      </c>
      <c r="U1025">
        <v>2</v>
      </c>
      <c r="V1025">
        <v>5</v>
      </c>
      <c r="W1025">
        <v>5</v>
      </c>
      <c r="X1025">
        <v>3</v>
      </c>
      <c r="Y1025">
        <v>4</v>
      </c>
      <c r="Z1025">
        <v>4</v>
      </c>
      <c r="AA1025">
        <v>4</v>
      </c>
      <c r="AB1025">
        <v>1</v>
      </c>
      <c r="AC1025">
        <v>3</v>
      </c>
      <c r="AD1025">
        <v>4</v>
      </c>
      <c r="AE1025">
        <v>4</v>
      </c>
      <c r="AF1025">
        <v>4</v>
      </c>
      <c r="AG1025">
        <v>5</v>
      </c>
      <c r="AH1025">
        <v>5</v>
      </c>
      <c r="AI1025">
        <v>1</v>
      </c>
      <c r="AJ1025">
        <v>2</v>
      </c>
      <c r="AK1025" t="b">
        <f>Table67[[#This Row],[What is your age?]]&lt;&gt;"18 - 25"</f>
        <v>0</v>
      </c>
      <c r="AL1025" t="b">
        <f t="shared" si="60"/>
        <v>0</v>
      </c>
      <c r="AM1025" t="b">
        <f t="shared" si="61"/>
        <v>1</v>
      </c>
      <c r="AN1025" t="b">
        <f t="shared" si="62"/>
        <v>0</v>
      </c>
      <c r="AO1025" t="b">
        <f>OR(Table67[[#This Row],[Ineligible respondents]:[Inconsistent response on opposite question (3)]])</f>
        <v>1</v>
      </c>
      <c r="AP102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025">
        <f>Table67[[#This Row],[Extreme Response]]/21</f>
        <v>0.33333333333333331</v>
      </c>
      <c r="AR1025">
        <f>_xlfn.PERCENTILE.INC(Table67[Extrem Response Ratio (ERS)],0.9)</f>
        <v>0.61904761904761907</v>
      </c>
      <c r="AS1025" t="b">
        <f>Table67[[#This Row],[Extrem Response Ratio (ERS)]]&gt;=Table67[[#This Row],[Threshold of ERS]]</f>
        <v>0</v>
      </c>
      <c r="AT1025">
        <f>COUNTIF(Table67[[#This Row],[The mechanism of digital assets is difficult to understand, which discourages me from exploring it (E.g, Tokenization, Blockchain)]:[If I want to try different ways to invest, I will explore digital assets.]], 3)</f>
        <v>2</v>
      </c>
      <c r="AU1025">
        <f>Table67[[#This Row],[Midpoint]]/21</f>
        <v>9.5238095238095233E-2</v>
      </c>
      <c r="AV1025">
        <f>_xlfn.PERCENTILE.INC(Table67[Midpoint ratio],0.9)</f>
        <v>0.5714285714285714</v>
      </c>
      <c r="AW1025" t="b">
        <f>Table67[[#This Row],[Midpoint ratio]]&gt;=Table67[[#This Row],[Threshold of Midpoint ratio]]</f>
        <v>0</v>
      </c>
      <c r="AX1025" t="b">
        <f>OR(Table67[[#This Row],[Extreme Response Style]],Table67[[#This Row],[Mid-point Response Style]])</f>
        <v>0</v>
      </c>
      <c r="AY1025" t="b">
        <f>OR(Table67[[#This Row],[Delete? (Stage 1)]],Table67[[#This Row],[Delete? (Stage 2)]])</f>
        <v>1</v>
      </c>
      <c r="AZ1025" t="s">
        <v>84</v>
      </c>
    </row>
    <row r="1026" spans="1:52">
      <c r="A1026">
        <f t="shared" si="63"/>
        <v>1025</v>
      </c>
      <c r="B1026" s="3">
        <v>46056.883842592601</v>
      </c>
      <c r="C1026" s="3">
        <v>46056.890856481499</v>
      </c>
      <c r="D1026" t="s">
        <v>53</v>
      </c>
      <c r="G1026" t="s">
        <v>54</v>
      </c>
      <c r="H1026" t="s">
        <v>55</v>
      </c>
      <c r="I1026" t="s">
        <v>56</v>
      </c>
      <c r="J1026" t="s">
        <v>62</v>
      </c>
      <c r="K1026" t="s">
        <v>62</v>
      </c>
      <c r="L1026" t="s">
        <v>61</v>
      </c>
      <c r="M1026" t="s">
        <v>61</v>
      </c>
      <c r="N1026">
        <v>1</v>
      </c>
      <c r="O1026">
        <v>1</v>
      </c>
      <c r="P1026">
        <v>5</v>
      </c>
      <c r="Q1026">
        <v>5</v>
      </c>
      <c r="R1026">
        <v>5</v>
      </c>
      <c r="S1026">
        <v>5</v>
      </c>
      <c r="T1026">
        <v>1</v>
      </c>
      <c r="U1026">
        <v>1</v>
      </c>
      <c r="V1026">
        <v>1</v>
      </c>
      <c r="W1026">
        <v>5</v>
      </c>
      <c r="X1026">
        <v>1</v>
      </c>
      <c r="Y1026">
        <v>1</v>
      </c>
      <c r="Z1026">
        <v>5</v>
      </c>
      <c r="AA1026">
        <v>3</v>
      </c>
      <c r="AB1026">
        <v>1</v>
      </c>
      <c r="AC1026">
        <v>1</v>
      </c>
      <c r="AD1026">
        <v>3</v>
      </c>
      <c r="AE1026">
        <v>1</v>
      </c>
      <c r="AF1026">
        <v>5</v>
      </c>
      <c r="AG1026">
        <v>5</v>
      </c>
      <c r="AH1026">
        <v>5</v>
      </c>
      <c r="AI1026">
        <v>1</v>
      </c>
      <c r="AJ1026">
        <v>1</v>
      </c>
      <c r="AK1026" t="b">
        <f>Table67[[#This Row],[What is your age?]]&lt;&gt;"18 - 25"</f>
        <v>0</v>
      </c>
      <c r="AL1026" t="b">
        <f t="shared" si="60"/>
        <v>0</v>
      </c>
      <c r="AM1026" t="b">
        <f t="shared" si="61"/>
        <v>1</v>
      </c>
      <c r="AN1026" t="b">
        <f t="shared" si="62"/>
        <v>0</v>
      </c>
      <c r="AO1026" t="b">
        <f>OR(Table67[[#This Row],[Ineligible respondents]:[Inconsistent response on opposite question (3)]])</f>
        <v>1</v>
      </c>
      <c r="AP102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19</v>
      </c>
      <c r="AQ1026">
        <f>Table67[[#This Row],[Extreme Response]]/21</f>
        <v>0.90476190476190477</v>
      </c>
      <c r="AR1026">
        <f>_xlfn.PERCENTILE.INC(Table67[Extrem Response Ratio (ERS)],0.9)</f>
        <v>0.61904761904761907</v>
      </c>
      <c r="AS1026" t="b">
        <f>Table67[[#This Row],[Extrem Response Ratio (ERS)]]&gt;=Table67[[#This Row],[Threshold of ERS]]</f>
        <v>1</v>
      </c>
      <c r="AT1026">
        <f>COUNTIF(Table67[[#This Row],[The mechanism of digital assets is difficult to understand, which discourages me from exploring it (E.g, Tokenization, Blockchain)]:[If I want to try different ways to invest, I will explore digital assets.]], 3)</f>
        <v>2</v>
      </c>
      <c r="AU1026">
        <f>Table67[[#This Row],[Midpoint]]/21</f>
        <v>9.5238095238095233E-2</v>
      </c>
      <c r="AV1026">
        <f>_xlfn.PERCENTILE.INC(Table67[Midpoint ratio],0.9)</f>
        <v>0.5714285714285714</v>
      </c>
      <c r="AW1026" t="b">
        <f>Table67[[#This Row],[Midpoint ratio]]&gt;=Table67[[#This Row],[Threshold of Midpoint ratio]]</f>
        <v>0</v>
      </c>
      <c r="AX1026" t="b">
        <f>OR(Table67[[#This Row],[Extreme Response Style]],Table67[[#This Row],[Mid-point Response Style]])</f>
        <v>1</v>
      </c>
      <c r="AY1026" t="b">
        <f>OR(Table67[[#This Row],[Delete? (Stage 1)]],Table67[[#This Row],[Delete? (Stage 2)]])</f>
        <v>1</v>
      </c>
      <c r="AZ1026" t="s">
        <v>84</v>
      </c>
    </row>
    <row r="1027" spans="1:52">
      <c r="A1027">
        <f t="shared" si="63"/>
        <v>1026</v>
      </c>
      <c r="B1027" s="3">
        <v>46056.883854166699</v>
      </c>
      <c r="C1027" s="3">
        <v>46056.890104166698</v>
      </c>
      <c r="D1027" t="s">
        <v>53</v>
      </c>
      <c r="G1027" t="s">
        <v>54</v>
      </c>
      <c r="H1027" t="s">
        <v>63</v>
      </c>
      <c r="I1027" t="s">
        <v>56</v>
      </c>
      <c r="J1027" t="s">
        <v>60</v>
      </c>
      <c r="K1027" t="s">
        <v>62</v>
      </c>
      <c r="L1027" t="s">
        <v>58</v>
      </c>
      <c r="M1027" t="s">
        <v>61</v>
      </c>
      <c r="N1027">
        <v>1</v>
      </c>
      <c r="O1027">
        <v>3</v>
      </c>
      <c r="P1027">
        <v>4</v>
      </c>
      <c r="Q1027">
        <v>3</v>
      </c>
      <c r="R1027">
        <v>1</v>
      </c>
      <c r="S1027">
        <v>2</v>
      </c>
      <c r="T1027">
        <v>3</v>
      </c>
      <c r="U1027">
        <v>4</v>
      </c>
      <c r="V1027">
        <v>4</v>
      </c>
      <c r="W1027">
        <v>4</v>
      </c>
      <c r="X1027">
        <v>3</v>
      </c>
      <c r="Y1027">
        <v>4</v>
      </c>
      <c r="Z1027">
        <v>3</v>
      </c>
      <c r="AA1027">
        <v>4</v>
      </c>
      <c r="AB1027">
        <v>3</v>
      </c>
      <c r="AC1027">
        <v>3</v>
      </c>
      <c r="AD1027">
        <v>4</v>
      </c>
      <c r="AE1027">
        <v>4</v>
      </c>
      <c r="AF1027">
        <v>4</v>
      </c>
      <c r="AG1027">
        <v>2</v>
      </c>
      <c r="AH1027">
        <v>4</v>
      </c>
      <c r="AI1027">
        <v>2</v>
      </c>
      <c r="AJ1027">
        <v>2</v>
      </c>
      <c r="AK1027" t="b">
        <f>Table67[[#This Row],[What is your age?]]&lt;&gt;"18 - 25"</f>
        <v>0</v>
      </c>
      <c r="AL1027" t="b">
        <f t="shared" ref="AL1027:AL1090" si="64">COUNTIF(N1027:AH1027, N1027) = COLUMNS(N1027:AH1027)</f>
        <v>0</v>
      </c>
      <c r="AM1027" t="b">
        <f t="shared" ref="AM1027:AM1090" si="65">OR(AND(AG1027=AH1027, AG1027&lt;&gt;3), AND(OR(AG1027=1, AG1027=2), OR(AH1027=1, AH1027=2)), AND(OR(AG1027=4, AG1027=5), OR(AH1027=4, AH1027=5)))</f>
        <v>0</v>
      </c>
      <c r="AN1027" t="b">
        <f t="shared" ref="AN1027:AN1090" si="66">OR(AND(AG1027=3, AH1027&lt;&gt;3), AND(AH1027=3, AG1027&lt;&gt;3))</f>
        <v>0</v>
      </c>
      <c r="AO1027" t="b">
        <f>OR(Table67[[#This Row],[Ineligible respondents]:[Inconsistent response on opposite question (3)]])</f>
        <v>0</v>
      </c>
      <c r="AP102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027">
        <f>Table67[[#This Row],[Extreme Response]]/21</f>
        <v>9.5238095238095233E-2</v>
      </c>
      <c r="AR1027">
        <f>_xlfn.PERCENTILE.INC(Table67[Extrem Response Ratio (ERS)],0.9)</f>
        <v>0.61904761904761907</v>
      </c>
      <c r="AS1027" t="b">
        <f>Table67[[#This Row],[Extrem Response Ratio (ERS)]]&gt;=Table67[[#This Row],[Threshold of ERS]]</f>
        <v>0</v>
      </c>
      <c r="AT1027">
        <f>COUNTIF(Table67[[#This Row],[The mechanism of digital assets is difficult to understand, which discourages me from exploring it (E.g, Tokenization, Blockchain)]:[If I want to try different ways to invest, I will explore digital assets.]], 3)</f>
        <v>7</v>
      </c>
      <c r="AU1027">
        <f>Table67[[#This Row],[Midpoint]]/21</f>
        <v>0.33333333333333331</v>
      </c>
      <c r="AV1027">
        <f>_xlfn.PERCENTILE.INC(Table67[Midpoint ratio],0.9)</f>
        <v>0.5714285714285714</v>
      </c>
      <c r="AW1027" t="b">
        <f>Table67[[#This Row],[Midpoint ratio]]&gt;=Table67[[#This Row],[Threshold of Midpoint ratio]]</f>
        <v>0</v>
      </c>
      <c r="AX1027" t="b">
        <f>OR(Table67[[#This Row],[Extreme Response Style]],Table67[[#This Row],[Mid-point Response Style]])</f>
        <v>0</v>
      </c>
      <c r="AY1027" t="b">
        <f>OR(Table67[[#This Row],[Delete? (Stage 1)]],Table67[[#This Row],[Delete? (Stage 2)]])</f>
        <v>0</v>
      </c>
      <c r="AZ1027" t="s">
        <v>84</v>
      </c>
    </row>
    <row r="1028" spans="1:52">
      <c r="A1028">
        <f t="shared" ref="A1028:A1091" si="67">1+A1027</f>
        <v>1027</v>
      </c>
      <c r="B1028" s="3">
        <v>46056.8838888889</v>
      </c>
      <c r="C1028" s="3">
        <v>46056.897094907399</v>
      </c>
      <c r="D1028" t="s">
        <v>53</v>
      </c>
      <c r="G1028" t="s">
        <v>54</v>
      </c>
      <c r="H1028" t="s">
        <v>55</v>
      </c>
      <c r="I1028" t="s">
        <v>69</v>
      </c>
      <c r="J1028" t="s">
        <v>60</v>
      </c>
      <c r="K1028" t="s">
        <v>62</v>
      </c>
      <c r="L1028" t="s">
        <v>58</v>
      </c>
      <c r="M1028" t="s">
        <v>61</v>
      </c>
      <c r="N1028">
        <v>1</v>
      </c>
      <c r="O1028">
        <v>1</v>
      </c>
      <c r="P1028">
        <v>5</v>
      </c>
      <c r="Q1028">
        <v>1</v>
      </c>
      <c r="R1028">
        <v>5</v>
      </c>
      <c r="S1028">
        <v>5</v>
      </c>
      <c r="T1028">
        <v>5</v>
      </c>
      <c r="U1028">
        <v>5</v>
      </c>
      <c r="V1028">
        <v>3</v>
      </c>
      <c r="W1028">
        <v>5</v>
      </c>
      <c r="X1028">
        <v>3</v>
      </c>
      <c r="Y1028">
        <v>5</v>
      </c>
      <c r="Z1028">
        <v>1</v>
      </c>
      <c r="AA1028">
        <v>5</v>
      </c>
      <c r="AB1028">
        <v>5</v>
      </c>
      <c r="AC1028">
        <v>3</v>
      </c>
      <c r="AD1028">
        <v>5</v>
      </c>
      <c r="AE1028">
        <v>5</v>
      </c>
      <c r="AF1028">
        <v>3</v>
      </c>
      <c r="AG1028">
        <v>4</v>
      </c>
      <c r="AH1028">
        <v>2</v>
      </c>
      <c r="AI1028">
        <v>4</v>
      </c>
      <c r="AJ1028">
        <v>3</v>
      </c>
      <c r="AK1028" t="b">
        <f>Table67[[#This Row],[What is your age?]]&lt;&gt;"18 - 25"</f>
        <v>0</v>
      </c>
      <c r="AL1028" t="b">
        <f t="shared" si="64"/>
        <v>0</v>
      </c>
      <c r="AM1028" t="b">
        <f t="shared" si="65"/>
        <v>0</v>
      </c>
      <c r="AN1028" t="b">
        <f t="shared" si="66"/>
        <v>0</v>
      </c>
      <c r="AO1028" t="b">
        <f>OR(Table67[[#This Row],[Ineligible respondents]:[Inconsistent response on opposite question (3)]])</f>
        <v>0</v>
      </c>
      <c r="AP102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1028">
        <f>Table67[[#This Row],[Extreme Response]]/21</f>
        <v>0.7142857142857143</v>
      </c>
      <c r="AR1028">
        <f>_xlfn.PERCENTILE.INC(Table67[Extrem Response Ratio (ERS)],0.9)</f>
        <v>0.61904761904761907</v>
      </c>
      <c r="AS1028" t="b">
        <f>Table67[[#This Row],[Extrem Response Ratio (ERS)]]&gt;=Table67[[#This Row],[Threshold of ERS]]</f>
        <v>1</v>
      </c>
      <c r="AT1028">
        <f>COUNTIF(Table67[[#This Row],[The mechanism of digital assets is difficult to understand, which discourages me from exploring it (E.g, Tokenization, Blockchain)]:[If I want to try different ways to invest, I will explore digital assets.]], 3)</f>
        <v>4</v>
      </c>
      <c r="AU1028">
        <f>Table67[[#This Row],[Midpoint]]/21</f>
        <v>0.19047619047619047</v>
      </c>
      <c r="AV1028">
        <f>_xlfn.PERCENTILE.INC(Table67[Midpoint ratio],0.9)</f>
        <v>0.5714285714285714</v>
      </c>
      <c r="AW1028" t="b">
        <f>Table67[[#This Row],[Midpoint ratio]]&gt;=Table67[[#This Row],[Threshold of Midpoint ratio]]</f>
        <v>0</v>
      </c>
      <c r="AX1028" t="b">
        <f>OR(Table67[[#This Row],[Extreme Response Style]],Table67[[#This Row],[Mid-point Response Style]])</f>
        <v>1</v>
      </c>
      <c r="AY1028" t="b">
        <f>OR(Table67[[#This Row],[Delete? (Stage 1)]],Table67[[#This Row],[Delete? (Stage 2)]])</f>
        <v>1</v>
      </c>
      <c r="AZ1028" t="s">
        <v>84</v>
      </c>
    </row>
    <row r="1029" spans="1:52">
      <c r="A1029">
        <f t="shared" si="67"/>
        <v>1028</v>
      </c>
      <c r="B1029" s="3">
        <v>46056.8839814815</v>
      </c>
      <c r="C1029" s="3">
        <v>46056.888275463003</v>
      </c>
      <c r="D1029" t="s">
        <v>53</v>
      </c>
      <c r="G1029" t="s">
        <v>54</v>
      </c>
      <c r="H1029" t="s">
        <v>55</v>
      </c>
      <c r="I1029" t="s">
        <v>56</v>
      </c>
      <c r="J1029" t="s">
        <v>62</v>
      </c>
      <c r="K1029" t="s">
        <v>62</v>
      </c>
      <c r="L1029" t="s">
        <v>58</v>
      </c>
      <c r="M1029" t="s">
        <v>58</v>
      </c>
      <c r="N1029">
        <v>2</v>
      </c>
      <c r="O1029">
        <v>1</v>
      </c>
      <c r="P1029">
        <v>5</v>
      </c>
      <c r="Q1029">
        <v>4</v>
      </c>
      <c r="R1029">
        <v>1</v>
      </c>
      <c r="S1029">
        <v>2</v>
      </c>
      <c r="T1029">
        <v>4</v>
      </c>
      <c r="U1029">
        <v>4</v>
      </c>
      <c r="V1029">
        <v>4</v>
      </c>
      <c r="W1029">
        <v>4</v>
      </c>
      <c r="X1029">
        <v>5</v>
      </c>
      <c r="Y1029">
        <v>4</v>
      </c>
      <c r="Z1029">
        <v>5</v>
      </c>
      <c r="AA1029">
        <v>5</v>
      </c>
      <c r="AB1029">
        <v>4</v>
      </c>
      <c r="AC1029">
        <v>5</v>
      </c>
      <c r="AD1029">
        <v>5</v>
      </c>
      <c r="AE1029">
        <v>5</v>
      </c>
      <c r="AF1029">
        <v>2</v>
      </c>
      <c r="AG1029">
        <v>4</v>
      </c>
      <c r="AH1029">
        <v>2</v>
      </c>
      <c r="AI1029">
        <v>4</v>
      </c>
      <c r="AJ1029">
        <v>4</v>
      </c>
      <c r="AK1029" t="b">
        <f>Table67[[#This Row],[What is your age?]]&lt;&gt;"18 - 25"</f>
        <v>0</v>
      </c>
      <c r="AL1029" t="b">
        <f t="shared" si="64"/>
        <v>0</v>
      </c>
      <c r="AM1029" t="b">
        <f t="shared" si="65"/>
        <v>0</v>
      </c>
      <c r="AN1029" t="b">
        <f t="shared" si="66"/>
        <v>0</v>
      </c>
      <c r="AO1029" t="b">
        <f>OR(Table67[[#This Row],[Ineligible respondents]:[Inconsistent response on opposite question (3)]])</f>
        <v>0</v>
      </c>
      <c r="AP102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1029">
        <f>Table67[[#This Row],[Extreme Response]]/21</f>
        <v>0.42857142857142855</v>
      </c>
      <c r="AR1029">
        <f>_xlfn.PERCENTILE.INC(Table67[Extrem Response Ratio (ERS)],0.9)</f>
        <v>0.61904761904761907</v>
      </c>
      <c r="AS1029" t="b">
        <f>Table67[[#This Row],[Extrem Response Ratio (ERS)]]&gt;=Table67[[#This Row],[Threshold of ERS]]</f>
        <v>0</v>
      </c>
      <c r="AT1029">
        <f>COUNTIF(Table67[[#This Row],[The mechanism of digital assets is difficult to understand, which discourages me from exploring it (E.g, Tokenization, Blockchain)]:[If I want to try different ways to invest, I will explore digital assets.]], 3)</f>
        <v>0</v>
      </c>
      <c r="AU1029">
        <f>Table67[[#This Row],[Midpoint]]/21</f>
        <v>0</v>
      </c>
      <c r="AV1029">
        <f>_xlfn.PERCENTILE.INC(Table67[Midpoint ratio],0.9)</f>
        <v>0.5714285714285714</v>
      </c>
      <c r="AW1029" t="b">
        <f>Table67[[#This Row],[Midpoint ratio]]&gt;=Table67[[#This Row],[Threshold of Midpoint ratio]]</f>
        <v>0</v>
      </c>
      <c r="AX1029" t="b">
        <f>OR(Table67[[#This Row],[Extreme Response Style]],Table67[[#This Row],[Mid-point Response Style]])</f>
        <v>0</v>
      </c>
      <c r="AY1029" t="b">
        <f>OR(Table67[[#This Row],[Delete? (Stage 1)]],Table67[[#This Row],[Delete? (Stage 2)]])</f>
        <v>0</v>
      </c>
      <c r="AZ1029" t="s">
        <v>84</v>
      </c>
    </row>
    <row r="1030" spans="1:52">
      <c r="A1030">
        <f t="shared" si="67"/>
        <v>1029</v>
      </c>
      <c r="B1030" s="3">
        <v>46056.884259259299</v>
      </c>
      <c r="C1030" s="3">
        <v>46056.887175925898</v>
      </c>
      <c r="D1030" t="s">
        <v>53</v>
      </c>
      <c r="G1030" t="s">
        <v>54</v>
      </c>
      <c r="H1030" t="s">
        <v>63</v>
      </c>
      <c r="I1030" t="s">
        <v>56</v>
      </c>
      <c r="J1030" t="s">
        <v>57</v>
      </c>
      <c r="K1030" t="s">
        <v>57</v>
      </c>
      <c r="L1030" t="s">
        <v>58</v>
      </c>
      <c r="M1030" t="s">
        <v>58</v>
      </c>
      <c r="N1030">
        <v>5</v>
      </c>
      <c r="O1030">
        <v>5</v>
      </c>
      <c r="P1030">
        <v>3</v>
      </c>
      <c r="Q1030">
        <v>3</v>
      </c>
      <c r="R1030">
        <v>3</v>
      </c>
      <c r="S1030">
        <v>5</v>
      </c>
      <c r="T1030">
        <v>5</v>
      </c>
      <c r="U1030">
        <v>4</v>
      </c>
      <c r="V1030">
        <v>5</v>
      </c>
      <c r="W1030">
        <v>5</v>
      </c>
      <c r="X1030">
        <v>1</v>
      </c>
      <c r="Y1030">
        <v>5</v>
      </c>
      <c r="Z1030">
        <v>3</v>
      </c>
      <c r="AA1030">
        <v>4</v>
      </c>
      <c r="AB1030">
        <v>2</v>
      </c>
      <c r="AC1030">
        <v>4</v>
      </c>
      <c r="AD1030">
        <v>3</v>
      </c>
      <c r="AE1030">
        <v>1</v>
      </c>
      <c r="AF1030">
        <v>1</v>
      </c>
      <c r="AG1030">
        <v>1</v>
      </c>
      <c r="AH1030">
        <v>3</v>
      </c>
      <c r="AI1030">
        <v>3</v>
      </c>
      <c r="AJ1030">
        <v>5</v>
      </c>
      <c r="AK1030" t="b">
        <f>Table67[[#This Row],[What is your age?]]&lt;&gt;"18 - 25"</f>
        <v>0</v>
      </c>
      <c r="AL1030" t="b">
        <f t="shared" si="64"/>
        <v>0</v>
      </c>
      <c r="AM1030" t="b">
        <f t="shared" si="65"/>
        <v>0</v>
      </c>
      <c r="AN1030" t="b">
        <f t="shared" si="66"/>
        <v>1</v>
      </c>
      <c r="AO1030" t="b">
        <f>OR(Table67[[#This Row],[Ineligible respondents]:[Inconsistent response on opposite question (3)]])</f>
        <v>1</v>
      </c>
      <c r="AP103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1030">
        <f>Table67[[#This Row],[Extreme Response]]/21</f>
        <v>0.52380952380952384</v>
      </c>
      <c r="AR1030">
        <f>_xlfn.PERCENTILE.INC(Table67[Extrem Response Ratio (ERS)],0.9)</f>
        <v>0.61904761904761907</v>
      </c>
      <c r="AS1030" t="b">
        <f>Table67[[#This Row],[Extrem Response Ratio (ERS)]]&gt;=Table67[[#This Row],[Threshold of ERS]]</f>
        <v>0</v>
      </c>
      <c r="AT1030">
        <f>COUNTIF(Table67[[#This Row],[The mechanism of digital assets is difficult to understand, which discourages me from exploring it (E.g, Tokenization, Blockchain)]:[If I want to try different ways to invest, I will explore digital assets.]], 3)</f>
        <v>6</v>
      </c>
      <c r="AU1030">
        <f>Table67[[#This Row],[Midpoint]]/21</f>
        <v>0.2857142857142857</v>
      </c>
      <c r="AV1030">
        <f>_xlfn.PERCENTILE.INC(Table67[Midpoint ratio],0.9)</f>
        <v>0.5714285714285714</v>
      </c>
      <c r="AW1030" t="b">
        <f>Table67[[#This Row],[Midpoint ratio]]&gt;=Table67[[#This Row],[Threshold of Midpoint ratio]]</f>
        <v>0</v>
      </c>
      <c r="AX1030" t="b">
        <f>OR(Table67[[#This Row],[Extreme Response Style]],Table67[[#This Row],[Mid-point Response Style]])</f>
        <v>0</v>
      </c>
      <c r="AY1030" t="b">
        <f>OR(Table67[[#This Row],[Delete? (Stage 1)]],Table67[[#This Row],[Delete? (Stage 2)]])</f>
        <v>1</v>
      </c>
      <c r="AZ1030" t="s">
        <v>84</v>
      </c>
    </row>
    <row r="1031" spans="1:52">
      <c r="A1031">
        <f t="shared" si="67"/>
        <v>1030</v>
      </c>
      <c r="B1031" s="3">
        <v>46056.884317129603</v>
      </c>
      <c r="C1031" s="3">
        <v>46056.885879629597</v>
      </c>
      <c r="D1031" t="s">
        <v>53</v>
      </c>
      <c r="G1031" t="s">
        <v>54</v>
      </c>
      <c r="H1031" t="s">
        <v>63</v>
      </c>
      <c r="I1031" t="s">
        <v>56</v>
      </c>
      <c r="J1031" t="s">
        <v>62</v>
      </c>
      <c r="K1031" t="s">
        <v>62</v>
      </c>
      <c r="L1031" t="s">
        <v>61</v>
      </c>
      <c r="M1031" t="s">
        <v>61</v>
      </c>
      <c r="N1031">
        <v>4</v>
      </c>
      <c r="O1031">
        <v>3</v>
      </c>
      <c r="P1031">
        <v>5</v>
      </c>
      <c r="Q1031">
        <v>4</v>
      </c>
      <c r="R1031">
        <v>4</v>
      </c>
      <c r="S1031">
        <v>4</v>
      </c>
      <c r="T1031">
        <v>4</v>
      </c>
      <c r="U1031">
        <v>4</v>
      </c>
      <c r="V1031">
        <v>4</v>
      </c>
      <c r="W1031">
        <v>4</v>
      </c>
      <c r="X1031">
        <v>4</v>
      </c>
      <c r="Y1031">
        <v>3</v>
      </c>
      <c r="Z1031">
        <v>4</v>
      </c>
      <c r="AA1031">
        <v>5</v>
      </c>
      <c r="AB1031">
        <v>4</v>
      </c>
      <c r="AC1031">
        <v>4</v>
      </c>
      <c r="AD1031">
        <v>4</v>
      </c>
      <c r="AE1031">
        <v>3</v>
      </c>
      <c r="AF1031">
        <v>5</v>
      </c>
      <c r="AG1031">
        <v>2</v>
      </c>
      <c r="AH1031">
        <v>5</v>
      </c>
      <c r="AI1031">
        <v>1</v>
      </c>
      <c r="AJ1031">
        <v>1</v>
      </c>
      <c r="AK1031" t="b">
        <f>Table67[[#This Row],[What is your age?]]&lt;&gt;"18 - 25"</f>
        <v>0</v>
      </c>
      <c r="AL1031" t="b">
        <f t="shared" si="64"/>
        <v>0</v>
      </c>
      <c r="AM1031" t="b">
        <f t="shared" si="65"/>
        <v>0</v>
      </c>
      <c r="AN1031" t="b">
        <f t="shared" si="66"/>
        <v>0</v>
      </c>
      <c r="AO1031" t="b">
        <f>OR(Table67[[#This Row],[Ineligible respondents]:[Inconsistent response on opposite question (3)]])</f>
        <v>0</v>
      </c>
      <c r="AP103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031">
        <f>Table67[[#This Row],[Extreme Response]]/21</f>
        <v>0.19047619047619047</v>
      </c>
      <c r="AR1031">
        <f>_xlfn.PERCENTILE.INC(Table67[Extrem Response Ratio (ERS)],0.9)</f>
        <v>0.61904761904761907</v>
      </c>
      <c r="AS1031" t="b">
        <f>Table67[[#This Row],[Extrem Response Ratio (ERS)]]&gt;=Table67[[#This Row],[Threshold of ERS]]</f>
        <v>0</v>
      </c>
      <c r="AT1031">
        <f>COUNTIF(Table67[[#This Row],[The mechanism of digital assets is difficult to understand, which discourages me from exploring it (E.g, Tokenization, Blockchain)]:[If I want to try different ways to invest, I will explore digital assets.]], 3)</f>
        <v>3</v>
      </c>
      <c r="AU1031">
        <f>Table67[[#This Row],[Midpoint]]/21</f>
        <v>0.14285714285714285</v>
      </c>
      <c r="AV1031">
        <f>_xlfn.PERCENTILE.INC(Table67[Midpoint ratio],0.9)</f>
        <v>0.5714285714285714</v>
      </c>
      <c r="AW1031" t="b">
        <f>Table67[[#This Row],[Midpoint ratio]]&gt;=Table67[[#This Row],[Threshold of Midpoint ratio]]</f>
        <v>0</v>
      </c>
      <c r="AX1031" t="b">
        <f>OR(Table67[[#This Row],[Extreme Response Style]],Table67[[#This Row],[Mid-point Response Style]])</f>
        <v>0</v>
      </c>
      <c r="AY1031" t="b">
        <f>OR(Table67[[#This Row],[Delete? (Stage 1)]],Table67[[#This Row],[Delete? (Stage 2)]])</f>
        <v>0</v>
      </c>
      <c r="AZ1031" t="s">
        <v>84</v>
      </c>
    </row>
    <row r="1032" spans="1:52">
      <c r="A1032">
        <f t="shared" si="67"/>
        <v>1031</v>
      </c>
      <c r="B1032" s="3">
        <v>46056.8843402778</v>
      </c>
      <c r="C1032" s="3">
        <v>46056.887951388897</v>
      </c>
      <c r="D1032" t="s">
        <v>53</v>
      </c>
      <c r="G1032" t="s">
        <v>54</v>
      </c>
      <c r="H1032" t="s">
        <v>63</v>
      </c>
      <c r="I1032" t="s">
        <v>56</v>
      </c>
      <c r="J1032" t="s">
        <v>62</v>
      </c>
      <c r="K1032" t="s">
        <v>57</v>
      </c>
      <c r="L1032" t="s">
        <v>58</v>
      </c>
      <c r="M1032" t="s">
        <v>58</v>
      </c>
      <c r="N1032">
        <v>3</v>
      </c>
      <c r="O1032">
        <v>1</v>
      </c>
      <c r="P1032">
        <v>2</v>
      </c>
      <c r="Q1032">
        <v>2</v>
      </c>
      <c r="R1032">
        <v>3</v>
      </c>
      <c r="S1032">
        <v>4</v>
      </c>
      <c r="T1032">
        <v>5</v>
      </c>
      <c r="U1032">
        <v>5</v>
      </c>
      <c r="V1032">
        <v>3</v>
      </c>
      <c r="W1032">
        <v>1</v>
      </c>
      <c r="X1032">
        <v>4</v>
      </c>
      <c r="Y1032">
        <v>4</v>
      </c>
      <c r="Z1032">
        <v>3</v>
      </c>
      <c r="AA1032">
        <v>2</v>
      </c>
      <c r="AB1032">
        <v>3</v>
      </c>
      <c r="AC1032">
        <v>4</v>
      </c>
      <c r="AD1032">
        <v>4</v>
      </c>
      <c r="AE1032">
        <v>4</v>
      </c>
      <c r="AF1032">
        <v>2</v>
      </c>
      <c r="AG1032">
        <v>3</v>
      </c>
      <c r="AH1032">
        <v>4</v>
      </c>
      <c r="AI1032">
        <v>2</v>
      </c>
      <c r="AJ1032">
        <v>4</v>
      </c>
      <c r="AK1032" t="b">
        <f>Table67[[#This Row],[What is your age?]]&lt;&gt;"18 - 25"</f>
        <v>0</v>
      </c>
      <c r="AL1032" t="b">
        <f t="shared" si="64"/>
        <v>0</v>
      </c>
      <c r="AM1032" t="b">
        <f t="shared" si="65"/>
        <v>0</v>
      </c>
      <c r="AN1032" t="b">
        <f t="shared" si="66"/>
        <v>1</v>
      </c>
      <c r="AO1032" t="b">
        <f>OR(Table67[[#This Row],[Ineligible respondents]:[Inconsistent response on opposite question (3)]])</f>
        <v>1</v>
      </c>
      <c r="AP103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032">
        <f>Table67[[#This Row],[Extreme Response]]/21</f>
        <v>0.19047619047619047</v>
      </c>
      <c r="AR1032">
        <f>_xlfn.PERCENTILE.INC(Table67[Extrem Response Ratio (ERS)],0.9)</f>
        <v>0.61904761904761907</v>
      </c>
      <c r="AS1032" t="b">
        <f>Table67[[#This Row],[Extrem Response Ratio (ERS)]]&gt;=Table67[[#This Row],[Threshold of ERS]]</f>
        <v>0</v>
      </c>
      <c r="AT1032">
        <f>COUNTIF(Table67[[#This Row],[The mechanism of digital assets is difficult to understand, which discourages me from exploring it (E.g, Tokenization, Blockchain)]:[If I want to try different ways to invest, I will explore digital assets.]], 3)</f>
        <v>6</v>
      </c>
      <c r="AU1032">
        <f>Table67[[#This Row],[Midpoint]]/21</f>
        <v>0.2857142857142857</v>
      </c>
      <c r="AV1032">
        <f>_xlfn.PERCENTILE.INC(Table67[Midpoint ratio],0.9)</f>
        <v>0.5714285714285714</v>
      </c>
      <c r="AW1032" t="b">
        <f>Table67[[#This Row],[Midpoint ratio]]&gt;=Table67[[#This Row],[Threshold of Midpoint ratio]]</f>
        <v>0</v>
      </c>
      <c r="AX1032" t="b">
        <f>OR(Table67[[#This Row],[Extreme Response Style]],Table67[[#This Row],[Mid-point Response Style]])</f>
        <v>0</v>
      </c>
      <c r="AY1032" t="b">
        <f>OR(Table67[[#This Row],[Delete? (Stage 1)]],Table67[[#This Row],[Delete? (Stage 2)]])</f>
        <v>1</v>
      </c>
      <c r="AZ1032" t="s">
        <v>84</v>
      </c>
    </row>
    <row r="1033" spans="1:52">
      <c r="A1033">
        <f t="shared" si="67"/>
        <v>1032</v>
      </c>
      <c r="B1033" s="3">
        <v>46056.884375000001</v>
      </c>
      <c r="C1033" s="3">
        <v>46056.888703703698</v>
      </c>
      <c r="D1033" t="s">
        <v>53</v>
      </c>
      <c r="G1033" t="s">
        <v>54</v>
      </c>
      <c r="H1033" t="s">
        <v>63</v>
      </c>
      <c r="I1033" t="s">
        <v>56</v>
      </c>
      <c r="J1033" t="s">
        <v>62</v>
      </c>
      <c r="K1033" t="s">
        <v>62</v>
      </c>
      <c r="L1033" t="s">
        <v>58</v>
      </c>
      <c r="M1033" t="s">
        <v>58</v>
      </c>
      <c r="N1033">
        <v>3</v>
      </c>
      <c r="O1033">
        <v>3</v>
      </c>
      <c r="P1033">
        <v>4</v>
      </c>
      <c r="Q1033">
        <v>3</v>
      </c>
      <c r="R1033">
        <v>4</v>
      </c>
      <c r="S1033">
        <v>5</v>
      </c>
      <c r="T1033">
        <v>2</v>
      </c>
      <c r="U1033">
        <v>5</v>
      </c>
      <c r="V1033">
        <v>4</v>
      </c>
      <c r="W1033">
        <v>5</v>
      </c>
      <c r="X1033">
        <v>4</v>
      </c>
      <c r="Y1033">
        <v>3</v>
      </c>
      <c r="Z1033">
        <v>4</v>
      </c>
      <c r="AA1033">
        <v>3</v>
      </c>
      <c r="AB1033">
        <v>4</v>
      </c>
      <c r="AC1033">
        <v>4</v>
      </c>
      <c r="AD1033">
        <v>4</v>
      </c>
      <c r="AE1033">
        <v>3</v>
      </c>
      <c r="AF1033">
        <v>2</v>
      </c>
      <c r="AG1033">
        <v>4</v>
      </c>
      <c r="AH1033">
        <v>3</v>
      </c>
      <c r="AI1033">
        <v>3</v>
      </c>
      <c r="AJ1033">
        <v>4</v>
      </c>
      <c r="AK1033" t="b">
        <f>Table67[[#This Row],[What is your age?]]&lt;&gt;"18 - 25"</f>
        <v>0</v>
      </c>
      <c r="AL1033" t="b">
        <f t="shared" si="64"/>
        <v>0</v>
      </c>
      <c r="AM1033" t="b">
        <f t="shared" si="65"/>
        <v>0</v>
      </c>
      <c r="AN1033" t="b">
        <f t="shared" si="66"/>
        <v>1</v>
      </c>
      <c r="AO1033" t="b">
        <f>OR(Table67[[#This Row],[Ineligible respondents]:[Inconsistent response on opposite question (3)]])</f>
        <v>1</v>
      </c>
      <c r="AP103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033">
        <f>Table67[[#This Row],[Extreme Response]]/21</f>
        <v>0.14285714285714285</v>
      </c>
      <c r="AR1033">
        <f>_xlfn.PERCENTILE.INC(Table67[Extrem Response Ratio (ERS)],0.9)</f>
        <v>0.61904761904761907</v>
      </c>
      <c r="AS1033" t="b">
        <f>Table67[[#This Row],[Extrem Response Ratio (ERS)]]&gt;=Table67[[#This Row],[Threshold of ERS]]</f>
        <v>0</v>
      </c>
      <c r="AT1033">
        <f>COUNTIF(Table67[[#This Row],[The mechanism of digital assets is difficult to understand, which discourages me from exploring it (E.g, Tokenization, Blockchain)]:[If I want to try different ways to invest, I will explore digital assets.]], 3)</f>
        <v>7</v>
      </c>
      <c r="AU1033">
        <f>Table67[[#This Row],[Midpoint]]/21</f>
        <v>0.33333333333333331</v>
      </c>
      <c r="AV1033">
        <f>_xlfn.PERCENTILE.INC(Table67[Midpoint ratio],0.9)</f>
        <v>0.5714285714285714</v>
      </c>
      <c r="AW1033" t="b">
        <f>Table67[[#This Row],[Midpoint ratio]]&gt;=Table67[[#This Row],[Threshold of Midpoint ratio]]</f>
        <v>0</v>
      </c>
      <c r="AX1033" t="b">
        <f>OR(Table67[[#This Row],[Extreme Response Style]],Table67[[#This Row],[Mid-point Response Style]])</f>
        <v>0</v>
      </c>
      <c r="AY1033" t="b">
        <f>OR(Table67[[#This Row],[Delete? (Stage 1)]],Table67[[#This Row],[Delete? (Stage 2)]])</f>
        <v>1</v>
      </c>
      <c r="AZ1033" t="s">
        <v>84</v>
      </c>
    </row>
    <row r="1034" spans="1:52">
      <c r="A1034">
        <f t="shared" si="67"/>
        <v>1033</v>
      </c>
      <c r="B1034" s="3">
        <v>46056.8844328704</v>
      </c>
      <c r="C1034" s="3">
        <v>46056.891400462999</v>
      </c>
      <c r="D1034" t="s">
        <v>53</v>
      </c>
      <c r="G1034" t="s">
        <v>54</v>
      </c>
      <c r="H1034" t="s">
        <v>55</v>
      </c>
      <c r="I1034" t="s">
        <v>56</v>
      </c>
      <c r="J1034" t="s">
        <v>57</v>
      </c>
      <c r="K1034" t="s">
        <v>57</v>
      </c>
      <c r="L1034" t="s">
        <v>58</v>
      </c>
      <c r="M1034" t="s">
        <v>58</v>
      </c>
      <c r="N1034">
        <v>4</v>
      </c>
      <c r="O1034">
        <v>5</v>
      </c>
      <c r="P1034">
        <v>4</v>
      </c>
      <c r="Q1034">
        <v>3</v>
      </c>
      <c r="R1034">
        <v>4</v>
      </c>
      <c r="S1034">
        <v>4</v>
      </c>
      <c r="T1034">
        <v>5</v>
      </c>
      <c r="U1034">
        <v>4</v>
      </c>
      <c r="V1034">
        <v>5</v>
      </c>
      <c r="W1034">
        <v>5</v>
      </c>
      <c r="X1034">
        <v>4</v>
      </c>
      <c r="Y1034">
        <v>4</v>
      </c>
      <c r="Z1034">
        <v>5</v>
      </c>
      <c r="AA1034">
        <v>5</v>
      </c>
      <c r="AB1034">
        <v>2</v>
      </c>
      <c r="AC1034">
        <v>4</v>
      </c>
      <c r="AD1034">
        <v>5</v>
      </c>
      <c r="AE1034">
        <v>5</v>
      </c>
      <c r="AF1034">
        <v>5</v>
      </c>
      <c r="AG1034">
        <v>4</v>
      </c>
      <c r="AH1034">
        <v>2</v>
      </c>
      <c r="AI1034">
        <v>4</v>
      </c>
      <c r="AJ1034">
        <v>1</v>
      </c>
      <c r="AK1034" t="b">
        <f>Table67[[#This Row],[What is your age?]]&lt;&gt;"18 - 25"</f>
        <v>0</v>
      </c>
      <c r="AL1034" t="b">
        <f t="shared" si="64"/>
        <v>0</v>
      </c>
      <c r="AM1034" t="b">
        <f t="shared" si="65"/>
        <v>0</v>
      </c>
      <c r="AN1034" t="b">
        <f t="shared" si="66"/>
        <v>0</v>
      </c>
      <c r="AO1034" t="b">
        <f>OR(Table67[[#This Row],[Ineligible respondents]:[Inconsistent response on opposite question (3)]])</f>
        <v>0</v>
      </c>
      <c r="AP103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1034">
        <f>Table67[[#This Row],[Extreme Response]]/21</f>
        <v>0.42857142857142855</v>
      </c>
      <c r="AR1034">
        <f>_xlfn.PERCENTILE.INC(Table67[Extrem Response Ratio (ERS)],0.9)</f>
        <v>0.61904761904761907</v>
      </c>
      <c r="AS1034" t="b">
        <f>Table67[[#This Row],[Extrem Response Ratio (ERS)]]&gt;=Table67[[#This Row],[Threshold of ERS]]</f>
        <v>0</v>
      </c>
      <c r="AT1034">
        <f>COUNTIF(Table67[[#This Row],[The mechanism of digital assets is difficult to understand, which discourages me from exploring it (E.g, Tokenization, Blockchain)]:[If I want to try different ways to invest, I will explore digital assets.]], 3)</f>
        <v>1</v>
      </c>
      <c r="AU1034">
        <f>Table67[[#This Row],[Midpoint]]/21</f>
        <v>4.7619047619047616E-2</v>
      </c>
      <c r="AV1034">
        <f>_xlfn.PERCENTILE.INC(Table67[Midpoint ratio],0.9)</f>
        <v>0.5714285714285714</v>
      </c>
      <c r="AW1034" t="b">
        <f>Table67[[#This Row],[Midpoint ratio]]&gt;=Table67[[#This Row],[Threshold of Midpoint ratio]]</f>
        <v>0</v>
      </c>
      <c r="AX1034" t="b">
        <f>OR(Table67[[#This Row],[Extreme Response Style]],Table67[[#This Row],[Mid-point Response Style]])</f>
        <v>0</v>
      </c>
      <c r="AY1034" t="b">
        <f>OR(Table67[[#This Row],[Delete? (Stage 1)]],Table67[[#This Row],[Delete? (Stage 2)]])</f>
        <v>0</v>
      </c>
      <c r="AZ1034" t="s">
        <v>84</v>
      </c>
    </row>
    <row r="1035" spans="1:52">
      <c r="A1035">
        <f t="shared" si="67"/>
        <v>1034</v>
      </c>
      <c r="B1035" s="3">
        <v>46056.884513888901</v>
      </c>
      <c r="C1035" s="3">
        <v>46056.888101851902</v>
      </c>
      <c r="D1035" t="s">
        <v>53</v>
      </c>
      <c r="G1035" t="s">
        <v>54</v>
      </c>
      <c r="H1035" t="s">
        <v>55</v>
      </c>
      <c r="I1035" t="s">
        <v>56</v>
      </c>
      <c r="J1035" t="s">
        <v>62</v>
      </c>
      <c r="K1035" t="s">
        <v>62</v>
      </c>
      <c r="L1035" t="s">
        <v>58</v>
      </c>
      <c r="M1035" t="s">
        <v>58</v>
      </c>
      <c r="N1035">
        <v>3</v>
      </c>
      <c r="O1035">
        <v>2</v>
      </c>
      <c r="P1035">
        <v>3</v>
      </c>
      <c r="Q1035">
        <v>2</v>
      </c>
      <c r="R1035">
        <v>3</v>
      </c>
      <c r="S1035">
        <v>4</v>
      </c>
      <c r="T1035">
        <v>4</v>
      </c>
      <c r="U1035">
        <v>4</v>
      </c>
      <c r="V1035">
        <v>2</v>
      </c>
      <c r="W1035">
        <v>4</v>
      </c>
      <c r="X1035">
        <v>3</v>
      </c>
      <c r="Y1035">
        <v>2</v>
      </c>
      <c r="Z1035">
        <v>2</v>
      </c>
      <c r="AA1035">
        <v>3</v>
      </c>
      <c r="AB1035">
        <v>2</v>
      </c>
      <c r="AC1035">
        <v>3</v>
      </c>
      <c r="AD1035">
        <v>5</v>
      </c>
      <c r="AE1035">
        <v>4</v>
      </c>
      <c r="AF1035">
        <v>2</v>
      </c>
      <c r="AG1035">
        <v>4</v>
      </c>
      <c r="AH1035">
        <v>3</v>
      </c>
      <c r="AI1035">
        <v>3</v>
      </c>
      <c r="AJ1035">
        <v>4</v>
      </c>
      <c r="AK1035" t="b">
        <f>Table67[[#This Row],[What is your age?]]&lt;&gt;"18 - 25"</f>
        <v>0</v>
      </c>
      <c r="AL1035" t="b">
        <f t="shared" si="64"/>
        <v>0</v>
      </c>
      <c r="AM1035" t="b">
        <f t="shared" si="65"/>
        <v>0</v>
      </c>
      <c r="AN1035" t="b">
        <f t="shared" si="66"/>
        <v>1</v>
      </c>
      <c r="AO1035" t="b">
        <f>OR(Table67[[#This Row],[Ineligible respondents]:[Inconsistent response on opposite question (3)]])</f>
        <v>1</v>
      </c>
      <c r="AP103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035">
        <f>Table67[[#This Row],[Extreme Response]]/21</f>
        <v>4.7619047619047616E-2</v>
      </c>
      <c r="AR1035">
        <f>_xlfn.PERCENTILE.INC(Table67[Extrem Response Ratio (ERS)],0.9)</f>
        <v>0.61904761904761907</v>
      </c>
      <c r="AS1035" t="b">
        <f>Table67[[#This Row],[Extrem Response Ratio (ERS)]]&gt;=Table67[[#This Row],[Threshold of ERS]]</f>
        <v>0</v>
      </c>
      <c r="AT1035">
        <f>COUNTIF(Table67[[#This Row],[The mechanism of digital assets is difficult to understand, which discourages me from exploring it (E.g, Tokenization, Blockchain)]:[If I want to try different ways to invest, I will explore digital assets.]], 3)</f>
        <v>7</v>
      </c>
      <c r="AU1035">
        <f>Table67[[#This Row],[Midpoint]]/21</f>
        <v>0.33333333333333331</v>
      </c>
      <c r="AV1035">
        <f>_xlfn.PERCENTILE.INC(Table67[Midpoint ratio],0.9)</f>
        <v>0.5714285714285714</v>
      </c>
      <c r="AW1035" t="b">
        <f>Table67[[#This Row],[Midpoint ratio]]&gt;=Table67[[#This Row],[Threshold of Midpoint ratio]]</f>
        <v>0</v>
      </c>
      <c r="AX1035" t="b">
        <f>OR(Table67[[#This Row],[Extreme Response Style]],Table67[[#This Row],[Mid-point Response Style]])</f>
        <v>0</v>
      </c>
      <c r="AY1035" t="b">
        <f>OR(Table67[[#This Row],[Delete? (Stage 1)]],Table67[[#This Row],[Delete? (Stage 2)]])</f>
        <v>1</v>
      </c>
      <c r="AZ1035" t="s">
        <v>84</v>
      </c>
    </row>
    <row r="1036" spans="1:52">
      <c r="A1036">
        <f t="shared" si="67"/>
        <v>1035</v>
      </c>
      <c r="B1036" s="3">
        <v>46056.884571759299</v>
      </c>
      <c r="C1036" s="3">
        <v>46056.885636574101</v>
      </c>
      <c r="D1036" t="s">
        <v>53</v>
      </c>
      <c r="G1036" t="s">
        <v>54</v>
      </c>
      <c r="H1036" t="s">
        <v>63</v>
      </c>
      <c r="I1036" t="s">
        <v>71</v>
      </c>
      <c r="J1036" t="s">
        <v>62</v>
      </c>
      <c r="K1036" t="s">
        <v>62</v>
      </c>
      <c r="L1036" t="s">
        <v>58</v>
      </c>
      <c r="M1036" t="s">
        <v>61</v>
      </c>
      <c r="N1036">
        <v>3</v>
      </c>
      <c r="O1036">
        <v>4</v>
      </c>
      <c r="P1036">
        <v>4</v>
      </c>
      <c r="Q1036">
        <v>3</v>
      </c>
      <c r="R1036">
        <v>4</v>
      </c>
      <c r="S1036">
        <v>3</v>
      </c>
      <c r="T1036">
        <v>3</v>
      </c>
      <c r="U1036">
        <v>4</v>
      </c>
      <c r="V1036">
        <v>2</v>
      </c>
      <c r="W1036">
        <v>3</v>
      </c>
      <c r="X1036">
        <v>3</v>
      </c>
      <c r="Y1036">
        <v>4</v>
      </c>
      <c r="Z1036">
        <v>4</v>
      </c>
      <c r="AA1036">
        <v>3</v>
      </c>
      <c r="AB1036">
        <v>3</v>
      </c>
      <c r="AC1036">
        <v>4</v>
      </c>
      <c r="AD1036">
        <v>3</v>
      </c>
      <c r="AE1036">
        <v>4</v>
      </c>
      <c r="AF1036">
        <v>3</v>
      </c>
      <c r="AG1036">
        <v>3</v>
      </c>
      <c r="AH1036">
        <v>4</v>
      </c>
      <c r="AI1036">
        <v>2</v>
      </c>
      <c r="AJ1036">
        <v>3</v>
      </c>
      <c r="AK1036" t="b">
        <f>Table67[[#This Row],[What is your age?]]&lt;&gt;"18 - 25"</f>
        <v>0</v>
      </c>
      <c r="AL1036" t="b">
        <f t="shared" si="64"/>
        <v>0</v>
      </c>
      <c r="AM1036" t="b">
        <f t="shared" si="65"/>
        <v>0</v>
      </c>
      <c r="AN1036" t="b">
        <f t="shared" si="66"/>
        <v>1</v>
      </c>
      <c r="AO1036" t="b">
        <f>OR(Table67[[#This Row],[Ineligible respondents]:[Inconsistent response on opposite question (3)]])</f>
        <v>1</v>
      </c>
      <c r="AP103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036">
        <f>Table67[[#This Row],[Extreme Response]]/21</f>
        <v>0</v>
      </c>
      <c r="AR1036">
        <f>_xlfn.PERCENTILE.INC(Table67[Extrem Response Ratio (ERS)],0.9)</f>
        <v>0.61904761904761907</v>
      </c>
      <c r="AS1036" t="b">
        <f>Table67[[#This Row],[Extrem Response Ratio (ERS)]]&gt;=Table67[[#This Row],[Threshold of ERS]]</f>
        <v>0</v>
      </c>
      <c r="AT1036">
        <f>COUNTIF(Table67[[#This Row],[The mechanism of digital assets is difficult to understand, which discourages me from exploring it (E.g, Tokenization, Blockchain)]:[If I want to try different ways to invest, I will explore digital assets.]], 3)</f>
        <v>11</v>
      </c>
      <c r="AU1036">
        <f>Table67[[#This Row],[Midpoint]]/21</f>
        <v>0.52380952380952384</v>
      </c>
      <c r="AV1036">
        <f>_xlfn.PERCENTILE.INC(Table67[Midpoint ratio],0.9)</f>
        <v>0.5714285714285714</v>
      </c>
      <c r="AW1036" t="b">
        <f>Table67[[#This Row],[Midpoint ratio]]&gt;=Table67[[#This Row],[Threshold of Midpoint ratio]]</f>
        <v>0</v>
      </c>
      <c r="AX1036" t="b">
        <f>OR(Table67[[#This Row],[Extreme Response Style]],Table67[[#This Row],[Mid-point Response Style]])</f>
        <v>0</v>
      </c>
      <c r="AY1036" t="b">
        <f>OR(Table67[[#This Row],[Delete? (Stage 1)]],Table67[[#This Row],[Delete? (Stage 2)]])</f>
        <v>1</v>
      </c>
      <c r="AZ1036" t="s">
        <v>84</v>
      </c>
    </row>
    <row r="1037" spans="1:52">
      <c r="A1037">
        <f t="shared" si="67"/>
        <v>1036</v>
      </c>
      <c r="B1037" s="3">
        <v>46056.884618055599</v>
      </c>
      <c r="C1037" s="3">
        <v>46056.888113425899</v>
      </c>
      <c r="D1037" t="s">
        <v>53</v>
      </c>
      <c r="G1037" t="s">
        <v>54</v>
      </c>
      <c r="H1037" t="s">
        <v>55</v>
      </c>
      <c r="I1037" t="s">
        <v>56</v>
      </c>
      <c r="J1037" t="s">
        <v>60</v>
      </c>
      <c r="K1037" t="s">
        <v>62</v>
      </c>
      <c r="L1037" t="s">
        <v>58</v>
      </c>
      <c r="M1037" t="s">
        <v>58</v>
      </c>
      <c r="N1037">
        <v>3</v>
      </c>
      <c r="O1037">
        <v>2</v>
      </c>
      <c r="P1037">
        <v>2</v>
      </c>
      <c r="Q1037">
        <v>5</v>
      </c>
      <c r="R1037">
        <v>4</v>
      </c>
      <c r="S1037">
        <v>3</v>
      </c>
      <c r="T1037">
        <v>2</v>
      </c>
      <c r="U1037">
        <v>4</v>
      </c>
      <c r="V1037">
        <v>5</v>
      </c>
      <c r="W1037">
        <v>5</v>
      </c>
      <c r="X1037">
        <v>5</v>
      </c>
      <c r="Y1037">
        <v>4</v>
      </c>
      <c r="Z1037">
        <v>3</v>
      </c>
      <c r="AA1037">
        <v>4</v>
      </c>
      <c r="AB1037">
        <v>2</v>
      </c>
      <c r="AC1037">
        <v>4</v>
      </c>
      <c r="AD1037">
        <v>5</v>
      </c>
      <c r="AE1037">
        <v>4</v>
      </c>
      <c r="AF1037">
        <v>3</v>
      </c>
      <c r="AG1037">
        <v>2</v>
      </c>
      <c r="AH1037">
        <v>3</v>
      </c>
      <c r="AI1037">
        <v>3</v>
      </c>
      <c r="AJ1037">
        <v>3</v>
      </c>
      <c r="AK1037" t="b">
        <f>Table67[[#This Row],[What is your age?]]&lt;&gt;"18 - 25"</f>
        <v>0</v>
      </c>
      <c r="AL1037" t="b">
        <f t="shared" si="64"/>
        <v>0</v>
      </c>
      <c r="AM1037" t="b">
        <f t="shared" si="65"/>
        <v>0</v>
      </c>
      <c r="AN1037" t="b">
        <f t="shared" si="66"/>
        <v>1</v>
      </c>
      <c r="AO1037" t="b">
        <f>OR(Table67[[#This Row],[Ineligible respondents]:[Inconsistent response on opposite question (3)]])</f>
        <v>1</v>
      </c>
      <c r="AP103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037">
        <f>Table67[[#This Row],[Extreme Response]]/21</f>
        <v>0.23809523809523808</v>
      </c>
      <c r="AR1037">
        <f>_xlfn.PERCENTILE.INC(Table67[Extrem Response Ratio (ERS)],0.9)</f>
        <v>0.61904761904761907</v>
      </c>
      <c r="AS1037" t="b">
        <f>Table67[[#This Row],[Extrem Response Ratio (ERS)]]&gt;=Table67[[#This Row],[Threshold of ERS]]</f>
        <v>0</v>
      </c>
      <c r="AT1037">
        <f>COUNTIF(Table67[[#This Row],[The mechanism of digital assets is difficult to understand, which discourages me from exploring it (E.g, Tokenization, Blockchain)]:[If I want to try different ways to invest, I will explore digital assets.]], 3)</f>
        <v>5</v>
      </c>
      <c r="AU1037">
        <f>Table67[[#This Row],[Midpoint]]/21</f>
        <v>0.23809523809523808</v>
      </c>
      <c r="AV1037">
        <f>_xlfn.PERCENTILE.INC(Table67[Midpoint ratio],0.9)</f>
        <v>0.5714285714285714</v>
      </c>
      <c r="AW1037" t="b">
        <f>Table67[[#This Row],[Midpoint ratio]]&gt;=Table67[[#This Row],[Threshold of Midpoint ratio]]</f>
        <v>0</v>
      </c>
      <c r="AX1037" t="b">
        <f>OR(Table67[[#This Row],[Extreme Response Style]],Table67[[#This Row],[Mid-point Response Style]])</f>
        <v>0</v>
      </c>
      <c r="AY1037" t="b">
        <f>OR(Table67[[#This Row],[Delete? (Stage 1)]],Table67[[#This Row],[Delete? (Stage 2)]])</f>
        <v>1</v>
      </c>
      <c r="AZ1037" t="s">
        <v>84</v>
      </c>
    </row>
    <row r="1038" spans="1:52">
      <c r="A1038">
        <f t="shared" si="67"/>
        <v>1037</v>
      </c>
      <c r="B1038" s="3">
        <v>46056.884629629603</v>
      </c>
      <c r="C1038" s="3">
        <v>46056.885844907403</v>
      </c>
      <c r="D1038" t="s">
        <v>53</v>
      </c>
      <c r="G1038" t="s">
        <v>54</v>
      </c>
      <c r="H1038" t="s">
        <v>63</v>
      </c>
      <c r="I1038" t="s">
        <v>75</v>
      </c>
      <c r="J1038" t="s">
        <v>67</v>
      </c>
      <c r="K1038" t="s">
        <v>62</v>
      </c>
      <c r="L1038" t="s">
        <v>61</v>
      </c>
      <c r="M1038" t="s">
        <v>61</v>
      </c>
      <c r="N1038">
        <v>5</v>
      </c>
      <c r="O1038">
        <v>1</v>
      </c>
      <c r="P1038">
        <v>5</v>
      </c>
      <c r="Q1038">
        <v>1</v>
      </c>
      <c r="R1038">
        <v>5</v>
      </c>
      <c r="S1038">
        <v>5</v>
      </c>
      <c r="T1038">
        <v>5</v>
      </c>
      <c r="U1038">
        <v>5</v>
      </c>
      <c r="V1038">
        <v>5</v>
      </c>
      <c r="W1038">
        <v>5</v>
      </c>
      <c r="X1038">
        <v>5</v>
      </c>
      <c r="Y1038">
        <v>1</v>
      </c>
      <c r="Z1038">
        <v>5</v>
      </c>
      <c r="AA1038">
        <v>5</v>
      </c>
      <c r="AB1038">
        <v>5</v>
      </c>
      <c r="AC1038">
        <v>5</v>
      </c>
      <c r="AD1038">
        <v>5</v>
      </c>
      <c r="AE1038">
        <v>5</v>
      </c>
      <c r="AF1038">
        <v>5</v>
      </c>
      <c r="AG1038">
        <v>1</v>
      </c>
      <c r="AH1038">
        <v>3</v>
      </c>
      <c r="AI1038">
        <v>3</v>
      </c>
      <c r="AJ1038">
        <v>1</v>
      </c>
      <c r="AK1038" t="b">
        <f>Table67[[#This Row],[What is your age?]]&lt;&gt;"18 - 25"</f>
        <v>0</v>
      </c>
      <c r="AL1038" t="b">
        <f t="shared" si="64"/>
        <v>0</v>
      </c>
      <c r="AM1038" t="b">
        <f t="shared" si="65"/>
        <v>0</v>
      </c>
      <c r="AN1038" t="b">
        <f t="shared" si="66"/>
        <v>1</v>
      </c>
      <c r="AO1038" t="b">
        <f>OR(Table67[[#This Row],[Ineligible respondents]:[Inconsistent response on opposite question (3)]])</f>
        <v>1</v>
      </c>
      <c r="AP103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20</v>
      </c>
      <c r="AQ1038">
        <f>Table67[[#This Row],[Extreme Response]]/21</f>
        <v>0.95238095238095233</v>
      </c>
      <c r="AR1038">
        <f>_xlfn.PERCENTILE.INC(Table67[Extrem Response Ratio (ERS)],0.9)</f>
        <v>0.61904761904761907</v>
      </c>
      <c r="AS1038" t="b">
        <f>Table67[[#This Row],[Extrem Response Ratio (ERS)]]&gt;=Table67[[#This Row],[Threshold of ERS]]</f>
        <v>1</v>
      </c>
      <c r="AT1038">
        <f>COUNTIF(Table67[[#This Row],[The mechanism of digital assets is difficult to understand, which discourages me from exploring it (E.g, Tokenization, Blockchain)]:[If I want to try different ways to invest, I will explore digital assets.]], 3)</f>
        <v>1</v>
      </c>
      <c r="AU1038">
        <f>Table67[[#This Row],[Midpoint]]/21</f>
        <v>4.7619047619047616E-2</v>
      </c>
      <c r="AV1038">
        <f>_xlfn.PERCENTILE.INC(Table67[Midpoint ratio],0.9)</f>
        <v>0.5714285714285714</v>
      </c>
      <c r="AW1038" t="b">
        <f>Table67[[#This Row],[Midpoint ratio]]&gt;=Table67[[#This Row],[Threshold of Midpoint ratio]]</f>
        <v>0</v>
      </c>
      <c r="AX1038" t="b">
        <f>OR(Table67[[#This Row],[Extreme Response Style]],Table67[[#This Row],[Mid-point Response Style]])</f>
        <v>1</v>
      </c>
      <c r="AY1038" t="b">
        <f>OR(Table67[[#This Row],[Delete? (Stage 1)]],Table67[[#This Row],[Delete? (Stage 2)]])</f>
        <v>1</v>
      </c>
      <c r="AZ1038" t="s">
        <v>84</v>
      </c>
    </row>
    <row r="1039" spans="1:52">
      <c r="A1039">
        <f t="shared" si="67"/>
        <v>1038</v>
      </c>
      <c r="B1039" s="3">
        <v>46056.8846990741</v>
      </c>
      <c r="C1039" s="3">
        <v>46056.889421296299</v>
      </c>
      <c r="D1039" t="s">
        <v>53</v>
      </c>
      <c r="G1039" t="s">
        <v>54</v>
      </c>
      <c r="H1039" t="s">
        <v>55</v>
      </c>
      <c r="I1039" t="s">
        <v>56</v>
      </c>
      <c r="J1039" t="s">
        <v>62</v>
      </c>
      <c r="K1039" t="s">
        <v>62</v>
      </c>
      <c r="L1039" t="s">
        <v>61</v>
      </c>
      <c r="M1039" t="s">
        <v>61</v>
      </c>
      <c r="N1039">
        <v>1</v>
      </c>
      <c r="O1039">
        <v>1</v>
      </c>
      <c r="P1039">
        <v>5</v>
      </c>
      <c r="Q1039">
        <v>1</v>
      </c>
      <c r="R1039">
        <v>1</v>
      </c>
      <c r="S1039">
        <v>5</v>
      </c>
      <c r="T1039">
        <v>1</v>
      </c>
      <c r="U1039">
        <v>1</v>
      </c>
      <c r="V1039">
        <v>5</v>
      </c>
      <c r="W1039">
        <v>5</v>
      </c>
      <c r="X1039">
        <v>1</v>
      </c>
      <c r="Y1039">
        <v>5</v>
      </c>
      <c r="Z1039">
        <v>1</v>
      </c>
      <c r="AA1039">
        <v>1</v>
      </c>
      <c r="AB1039">
        <v>1</v>
      </c>
      <c r="AC1039">
        <v>1</v>
      </c>
      <c r="AD1039">
        <v>1</v>
      </c>
      <c r="AE1039">
        <v>5</v>
      </c>
      <c r="AF1039">
        <v>5</v>
      </c>
      <c r="AG1039">
        <v>1</v>
      </c>
      <c r="AH1039">
        <v>5</v>
      </c>
      <c r="AI1039">
        <v>1</v>
      </c>
      <c r="AJ1039">
        <v>1</v>
      </c>
      <c r="AK1039" t="b">
        <f>Table67[[#This Row],[What is your age?]]&lt;&gt;"18 - 25"</f>
        <v>0</v>
      </c>
      <c r="AL1039" t="b">
        <f t="shared" si="64"/>
        <v>0</v>
      </c>
      <c r="AM1039" t="b">
        <f t="shared" si="65"/>
        <v>0</v>
      </c>
      <c r="AN1039" t="b">
        <f t="shared" si="66"/>
        <v>0</v>
      </c>
      <c r="AO1039" t="b">
        <f>OR(Table67[[#This Row],[Ineligible respondents]:[Inconsistent response on opposite question (3)]])</f>
        <v>0</v>
      </c>
      <c r="AP103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21</v>
      </c>
      <c r="AQ1039">
        <f>Table67[[#This Row],[Extreme Response]]/21</f>
        <v>1</v>
      </c>
      <c r="AR1039">
        <f>_xlfn.PERCENTILE.INC(Table67[Extrem Response Ratio (ERS)],0.9)</f>
        <v>0.61904761904761907</v>
      </c>
      <c r="AS1039" t="b">
        <f>Table67[[#This Row],[Extrem Response Ratio (ERS)]]&gt;=Table67[[#This Row],[Threshold of ERS]]</f>
        <v>1</v>
      </c>
      <c r="AT1039">
        <f>COUNTIF(Table67[[#This Row],[The mechanism of digital assets is difficult to understand, which discourages me from exploring it (E.g, Tokenization, Blockchain)]:[If I want to try different ways to invest, I will explore digital assets.]], 3)</f>
        <v>0</v>
      </c>
      <c r="AU1039">
        <f>Table67[[#This Row],[Midpoint]]/21</f>
        <v>0</v>
      </c>
      <c r="AV1039">
        <f>_xlfn.PERCENTILE.INC(Table67[Midpoint ratio],0.9)</f>
        <v>0.5714285714285714</v>
      </c>
      <c r="AW1039" t="b">
        <f>Table67[[#This Row],[Midpoint ratio]]&gt;=Table67[[#This Row],[Threshold of Midpoint ratio]]</f>
        <v>0</v>
      </c>
      <c r="AX1039" t="b">
        <f>OR(Table67[[#This Row],[Extreme Response Style]],Table67[[#This Row],[Mid-point Response Style]])</f>
        <v>1</v>
      </c>
      <c r="AY1039" t="b">
        <f>OR(Table67[[#This Row],[Delete? (Stage 1)]],Table67[[#This Row],[Delete? (Stage 2)]])</f>
        <v>1</v>
      </c>
      <c r="AZ1039" t="s">
        <v>84</v>
      </c>
    </row>
    <row r="1040" spans="1:52">
      <c r="A1040">
        <f t="shared" si="67"/>
        <v>1039</v>
      </c>
      <c r="B1040" s="3">
        <v>46056.884733796302</v>
      </c>
      <c r="C1040" s="3">
        <v>46056.8905324074</v>
      </c>
      <c r="D1040" t="s">
        <v>53</v>
      </c>
      <c r="G1040" t="s">
        <v>54</v>
      </c>
      <c r="H1040" t="s">
        <v>63</v>
      </c>
      <c r="I1040" t="s">
        <v>56</v>
      </c>
      <c r="J1040" t="s">
        <v>62</v>
      </c>
      <c r="K1040" t="s">
        <v>57</v>
      </c>
      <c r="L1040" t="s">
        <v>58</v>
      </c>
      <c r="M1040" t="s">
        <v>58</v>
      </c>
      <c r="N1040">
        <v>4</v>
      </c>
      <c r="O1040">
        <v>2</v>
      </c>
      <c r="P1040">
        <v>4</v>
      </c>
      <c r="Q1040">
        <v>3</v>
      </c>
      <c r="R1040">
        <v>2</v>
      </c>
      <c r="S1040">
        <v>2</v>
      </c>
      <c r="T1040">
        <v>4</v>
      </c>
      <c r="U1040">
        <v>5</v>
      </c>
      <c r="V1040">
        <v>4</v>
      </c>
      <c r="W1040">
        <v>4</v>
      </c>
      <c r="X1040">
        <v>5</v>
      </c>
      <c r="Y1040">
        <v>4</v>
      </c>
      <c r="Z1040">
        <v>3</v>
      </c>
      <c r="AA1040">
        <v>4</v>
      </c>
      <c r="AB1040">
        <v>3</v>
      </c>
      <c r="AC1040">
        <v>3</v>
      </c>
      <c r="AD1040">
        <v>4</v>
      </c>
      <c r="AE1040">
        <v>4</v>
      </c>
      <c r="AF1040">
        <v>2</v>
      </c>
      <c r="AG1040">
        <v>4</v>
      </c>
      <c r="AH1040">
        <v>2</v>
      </c>
      <c r="AI1040">
        <v>4</v>
      </c>
      <c r="AJ1040">
        <v>4</v>
      </c>
      <c r="AK1040" t="b">
        <f>Table67[[#This Row],[What is your age?]]&lt;&gt;"18 - 25"</f>
        <v>0</v>
      </c>
      <c r="AL1040" t="b">
        <f t="shared" si="64"/>
        <v>0</v>
      </c>
      <c r="AM1040" t="b">
        <f t="shared" si="65"/>
        <v>0</v>
      </c>
      <c r="AN1040" t="b">
        <f t="shared" si="66"/>
        <v>0</v>
      </c>
      <c r="AO1040" t="b">
        <f>OR(Table67[[#This Row],[Ineligible respondents]:[Inconsistent response on opposite question (3)]])</f>
        <v>0</v>
      </c>
      <c r="AP104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040">
        <f>Table67[[#This Row],[Extreme Response]]/21</f>
        <v>9.5238095238095233E-2</v>
      </c>
      <c r="AR1040">
        <f>_xlfn.PERCENTILE.INC(Table67[Extrem Response Ratio (ERS)],0.9)</f>
        <v>0.61904761904761907</v>
      </c>
      <c r="AS1040" t="b">
        <f>Table67[[#This Row],[Extrem Response Ratio (ERS)]]&gt;=Table67[[#This Row],[Threshold of ERS]]</f>
        <v>0</v>
      </c>
      <c r="AT1040">
        <f>COUNTIF(Table67[[#This Row],[The mechanism of digital assets is difficult to understand, which discourages me from exploring it (E.g, Tokenization, Blockchain)]:[If I want to try different ways to invest, I will explore digital assets.]], 3)</f>
        <v>4</v>
      </c>
      <c r="AU1040">
        <f>Table67[[#This Row],[Midpoint]]/21</f>
        <v>0.19047619047619047</v>
      </c>
      <c r="AV1040">
        <f>_xlfn.PERCENTILE.INC(Table67[Midpoint ratio],0.9)</f>
        <v>0.5714285714285714</v>
      </c>
      <c r="AW1040" t="b">
        <f>Table67[[#This Row],[Midpoint ratio]]&gt;=Table67[[#This Row],[Threshold of Midpoint ratio]]</f>
        <v>0</v>
      </c>
      <c r="AX1040" t="b">
        <f>OR(Table67[[#This Row],[Extreme Response Style]],Table67[[#This Row],[Mid-point Response Style]])</f>
        <v>0</v>
      </c>
      <c r="AY1040" t="b">
        <f>OR(Table67[[#This Row],[Delete? (Stage 1)]],Table67[[#This Row],[Delete? (Stage 2)]])</f>
        <v>0</v>
      </c>
      <c r="AZ1040" t="s">
        <v>84</v>
      </c>
    </row>
    <row r="1041" spans="1:52">
      <c r="A1041">
        <f t="shared" si="67"/>
        <v>1040</v>
      </c>
      <c r="B1041" s="3">
        <v>46056.8847453704</v>
      </c>
      <c r="C1041" s="3">
        <v>46056.887222222198</v>
      </c>
      <c r="D1041" t="s">
        <v>53</v>
      </c>
      <c r="G1041" t="s">
        <v>54</v>
      </c>
      <c r="H1041" t="s">
        <v>63</v>
      </c>
      <c r="I1041" t="s">
        <v>56</v>
      </c>
      <c r="J1041" t="s">
        <v>68</v>
      </c>
      <c r="K1041" t="s">
        <v>62</v>
      </c>
      <c r="L1041" t="s">
        <v>58</v>
      </c>
      <c r="M1041" t="s">
        <v>58</v>
      </c>
      <c r="N1041">
        <v>4</v>
      </c>
      <c r="O1041">
        <v>5</v>
      </c>
      <c r="P1041">
        <v>3</v>
      </c>
      <c r="Q1041">
        <v>4</v>
      </c>
      <c r="R1041">
        <v>4</v>
      </c>
      <c r="S1041">
        <v>4</v>
      </c>
      <c r="T1041">
        <v>4</v>
      </c>
      <c r="U1041">
        <v>4</v>
      </c>
      <c r="V1041">
        <v>5</v>
      </c>
      <c r="W1041">
        <v>5</v>
      </c>
      <c r="X1041">
        <v>4</v>
      </c>
      <c r="Y1041">
        <v>5</v>
      </c>
      <c r="Z1041">
        <v>5</v>
      </c>
      <c r="AA1041">
        <v>4</v>
      </c>
      <c r="AB1041">
        <v>4</v>
      </c>
      <c r="AC1041">
        <v>4</v>
      </c>
      <c r="AD1041">
        <v>4</v>
      </c>
      <c r="AE1041">
        <v>4</v>
      </c>
      <c r="AF1041">
        <v>3</v>
      </c>
      <c r="AG1041">
        <v>4</v>
      </c>
      <c r="AH1041">
        <v>4</v>
      </c>
      <c r="AI1041">
        <v>2</v>
      </c>
      <c r="AJ1041">
        <v>3</v>
      </c>
      <c r="AK1041" t="b">
        <f>Table67[[#This Row],[What is your age?]]&lt;&gt;"18 - 25"</f>
        <v>0</v>
      </c>
      <c r="AL1041" t="b">
        <f t="shared" si="64"/>
        <v>0</v>
      </c>
      <c r="AM1041" t="b">
        <f t="shared" si="65"/>
        <v>1</v>
      </c>
      <c r="AN1041" t="b">
        <f t="shared" si="66"/>
        <v>0</v>
      </c>
      <c r="AO1041" t="b">
        <f>OR(Table67[[#This Row],[Ineligible respondents]:[Inconsistent response on opposite question (3)]])</f>
        <v>1</v>
      </c>
      <c r="AP104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041">
        <f>Table67[[#This Row],[Extreme Response]]/21</f>
        <v>0.23809523809523808</v>
      </c>
      <c r="AR1041">
        <f>_xlfn.PERCENTILE.INC(Table67[Extrem Response Ratio (ERS)],0.9)</f>
        <v>0.61904761904761907</v>
      </c>
      <c r="AS1041" t="b">
        <f>Table67[[#This Row],[Extrem Response Ratio (ERS)]]&gt;=Table67[[#This Row],[Threshold of ERS]]</f>
        <v>0</v>
      </c>
      <c r="AT1041">
        <f>COUNTIF(Table67[[#This Row],[The mechanism of digital assets is difficult to understand, which discourages me from exploring it (E.g, Tokenization, Blockchain)]:[If I want to try different ways to invest, I will explore digital assets.]], 3)</f>
        <v>2</v>
      </c>
      <c r="AU1041">
        <f>Table67[[#This Row],[Midpoint]]/21</f>
        <v>9.5238095238095233E-2</v>
      </c>
      <c r="AV1041">
        <f>_xlfn.PERCENTILE.INC(Table67[Midpoint ratio],0.9)</f>
        <v>0.5714285714285714</v>
      </c>
      <c r="AW1041" t="b">
        <f>Table67[[#This Row],[Midpoint ratio]]&gt;=Table67[[#This Row],[Threshold of Midpoint ratio]]</f>
        <v>0</v>
      </c>
      <c r="AX1041" t="b">
        <f>OR(Table67[[#This Row],[Extreme Response Style]],Table67[[#This Row],[Mid-point Response Style]])</f>
        <v>0</v>
      </c>
      <c r="AY1041" t="b">
        <f>OR(Table67[[#This Row],[Delete? (Stage 1)]],Table67[[#This Row],[Delete? (Stage 2)]])</f>
        <v>1</v>
      </c>
      <c r="AZ1041" t="s">
        <v>84</v>
      </c>
    </row>
    <row r="1042" spans="1:52">
      <c r="A1042">
        <f t="shared" si="67"/>
        <v>1041</v>
      </c>
      <c r="B1042" s="3">
        <v>46056.884803240697</v>
      </c>
      <c r="C1042" s="3">
        <v>46056.886226851799</v>
      </c>
      <c r="D1042" t="s">
        <v>53</v>
      </c>
      <c r="G1042" t="s">
        <v>54</v>
      </c>
      <c r="H1042" t="s">
        <v>63</v>
      </c>
      <c r="I1042" t="s">
        <v>75</v>
      </c>
      <c r="J1042" t="s">
        <v>62</v>
      </c>
      <c r="K1042" t="s">
        <v>64</v>
      </c>
      <c r="L1042" t="s">
        <v>58</v>
      </c>
      <c r="M1042" t="s">
        <v>58</v>
      </c>
      <c r="N1042">
        <v>4</v>
      </c>
      <c r="O1042">
        <v>3</v>
      </c>
      <c r="P1042">
        <v>4</v>
      </c>
      <c r="Q1042">
        <v>4</v>
      </c>
      <c r="R1042">
        <v>2</v>
      </c>
      <c r="S1042">
        <v>4</v>
      </c>
      <c r="T1042">
        <v>4</v>
      </c>
      <c r="U1042">
        <v>4</v>
      </c>
      <c r="V1042">
        <v>4</v>
      </c>
      <c r="W1042">
        <v>4</v>
      </c>
      <c r="X1042">
        <v>3</v>
      </c>
      <c r="Y1042">
        <v>3</v>
      </c>
      <c r="Z1042">
        <v>4</v>
      </c>
      <c r="AA1042">
        <v>3</v>
      </c>
      <c r="AB1042">
        <v>3</v>
      </c>
      <c r="AC1042">
        <v>4</v>
      </c>
      <c r="AD1042">
        <v>4</v>
      </c>
      <c r="AE1042">
        <v>2</v>
      </c>
      <c r="AF1042">
        <v>3</v>
      </c>
      <c r="AG1042">
        <v>4</v>
      </c>
      <c r="AH1042">
        <v>3</v>
      </c>
      <c r="AI1042">
        <v>3</v>
      </c>
      <c r="AJ1042">
        <v>3</v>
      </c>
      <c r="AK1042" t="b">
        <f>Table67[[#This Row],[What is your age?]]&lt;&gt;"18 - 25"</f>
        <v>0</v>
      </c>
      <c r="AL1042" t="b">
        <f t="shared" si="64"/>
        <v>0</v>
      </c>
      <c r="AM1042" t="b">
        <f t="shared" si="65"/>
        <v>0</v>
      </c>
      <c r="AN1042" t="b">
        <f t="shared" si="66"/>
        <v>1</v>
      </c>
      <c r="AO1042" t="b">
        <f>OR(Table67[[#This Row],[Ineligible respondents]:[Inconsistent response on opposite question (3)]])</f>
        <v>1</v>
      </c>
      <c r="AP104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042">
        <f>Table67[[#This Row],[Extreme Response]]/21</f>
        <v>0</v>
      </c>
      <c r="AR1042">
        <f>_xlfn.PERCENTILE.INC(Table67[Extrem Response Ratio (ERS)],0.9)</f>
        <v>0.61904761904761907</v>
      </c>
      <c r="AS1042" t="b">
        <f>Table67[[#This Row],[Extrem Response Ratio (ERS)]]&gt;=Table67[[#This Row],[Threshold of ERS]]</f>
        <v>0</v>
      </c>
      <c r="AT1042">
        <f>COUNTIF(Table67[[#This Row],[The mechanism of digital assets is difficult to understand, which discourages me from exploring it (E.g, Tokenization, Blockchain)]:[If I want to try different ways to invest, I will explore digital assets.]], 3)</f>
        <v>7</v>
      </c>
      <c r="AU1042">
        <f>Table67[[#This Row],[Midpoint]]/21</f>
        <v>0.33333333333333331</v>
      </c>
      <c r="AV1042">
        <f>_xlfn.PERCENTILE.INC(Table67[Midpoint ratio],0.9)</f>
        <v>0.5714285714285714</v>
      </c>
      <c r="AW1042" t="b">
        <f>Table67[[#This Row],[Midpoint ratio]]&gt;=Table67[[#This Row],[Threshold of Midpoint ratio]]</f>
        <v>0</v>
      </c>
      <c r="AX1042" t="b">
        <f>OR(Table67[[#This Row],[Extreme Response Style]],Table67[[#This Row],[Mid-point Response Style]])</f>
        <v>0</v>
      </c>
      <c r="AY1042" t="b">
        <f>OR(Table67[[#This Row],[Delete? (Stage 1)]],Table67[[#This Row],[Delete? (Stage 2)]])</f>
        <v>1</v>
      </c>
      <c r="AZ1042" t="s">
        <v>84</v>
      </c>
    </row>
    <row r="1043" spans="1:52">
      <c r="A1043">
        <f t="shared" si="67"/>
        <v>1042</v>
      </c>
      <c r="B1043" s="3">
        <v>46056.884918981501</v>
      </c>
      <c r="C1043" s="3">
        <v>46056.888541666704</v>
      </c>
      <c r="D1043" t="s">
        <v>53</v>
      </c>
      <c r="G1043" t="s">
        <v>54</v>
      </c>
      <c r="H1043" t="s">
        <v>55</v>
      </c>
      <c r="I1043" t="s">
        <v>56</v>
      </c>
      <c r="J1043" t="s">
        <v>62</v>
      </c>
      <c r="K1043" t="s">
        <v>57</v>
      </c>
      <c r="L1043" t="s">
        <v>58</v>
      </c>
      <c r="M1043" t="s">
        <v>58</v>
      </c>
      <c r="N1043">
        <v>4</v>
      </c>
      <c r="O1043">
        <v>2</v>
      </c>
      <c r="P1043">
        <v>3</v>
      </c>
      <c r="Q1043">
        <v>4</v>
      </c>
      <c r="R1043">
        <v>4</v>
      </c>
      <c r="S1043">
        <v>4</v>
      </c>
      <c r="T1043">
        <v>2</v>
      </c>
      <c r="U1043">
        <v>3</v>
      </c>
      <c r="V1043">
        <v>4</v>
      </c>
      <c r="W1043">
        <v>5</v>
      </c>
      <c r="X1043">
        <v>3</v>
      </c>
      <c r="Y1043">
        <v>4</v>
      </c>
      <c r="Z1043">
        <v>3</v>
      </c>
      <c r="AA1043">
        <v>2</v>
      </c>
      <c r="AB1043">
        <v>3</v>
      </c>
      <c r="AC1043">
        <v>2</v>
      </c>
      <c r="AD1043">
        <v>5</v>
      </c>
      <c r="AE1043">
        <v>4</v>
      </c>
      <c r="AF1043">
        <v>2</v>
      </c>
      <c r="AG1043">
        <v>2</v>
      </c>
      <c r="AH1043">
        <v>3</v>
      </c>
      <c r="AI1043">
        <v>3</v>
      </c>
      <c r="AJ1043">
        <v>4</v>
      </c>
      <c r="AK1043" t="b">
        <f>Table67[[#This Row],[What is your age?]]&lt;&gt;"18 - 25"</f>
        <v>0</v>
      </c>
      <c r="AL1043" t="b">
        <f t="shared" si="64"/>
        <v>0</v>
      </c>
      <c r="AM1043" t="b">
        <f t="shared" si="65"/>
        <v>0</v>
      </c>
      <c r="AN1043" t="b">
        <f t="shared" si="66"/>
        <v>1</v>
      </c>
      <c r="AO1043" t="b">
        <f>OR(Table67[[#This Row],[Ineligible respondents]:[Inconsistent response on opposite question (3)]])</f>
        <v>1</v>
      </c>
      <c r="AP104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043">
        <f>Table67[[#This Row],[Extreme Response]]/21</f>
        <v>9.5238095238095233E-2</v>
      </c>
      <c r="AR1043">
        <f>_xlfn.PERCENTILE.INC(Table67[Extrem Response Ratio (ERS)],0.9)</f>
        <v>0.61904761904761907</v>
      </c>
      <c r="AS1043" t="b">
        <f>Table67[[#This Row],[Extrem Response Ratio (ERS)]]&gt;=Table67[[#This Row],[Threshold of ERS]]</f>
        <v>0</v>
      </c>
      <c r="AT1043">
        <f>COUNTIF(Table67[[#This Row],[The mechanism of digital assets is difficult to understand, which discourages me from exploring it (E.g, Tokenization, Blockchain)]:[If I want to try different ways to invest, I will explore digital assets.]], 3)</f>
        <v>6</v>
      </c>
      <c r="AU1043">
        <f>Table67[[#This Row],[Midpoint]]/21</f>
        <v>0.2857142857142857</v>
      </c>
      <c r="AV1043">
        <f>_xlfn.PERCENTILE.INC(Table67[Midpoint ratio],0.9)</f>
        <v>0.5714285714285714</v>
      </c>
      <c r="AW1043" t="b">
        <f>Table67[[#This Row],[Midpoint ratio]]&gt;=Table67[[#This Row],[Threshold of Midpoint ratio]]</f>
        <v>0</v>
      </c>
      <c r="AX1043" t="b">
        <f>OR(Table67[[#This Row],[Extreme Response Style]],Table67[[#This Row],[Mid-point Response Style]])</f>
        <v>0</v>
      </c>
      <c r="AY1043" t="b">
        <f>OR(Table67[[#This Row],[Delete? (Stage 1)]],Table67[[#This Row],[Delete? (Stage 2)]])</f>
        <v>1</v>
      </c>
      <c r="AZ1043" t="s">
        <v>84</v>
      </c>
    </row>
    <row r="1044" spans="1:52">
      <c r="A1044">
        <f t="shared" si="67"/>
        <v>1043</v>
      </c>
      <c r="B1044" s="3">
        <v>46056.884918981501</v>
      </c>
      <c r="C1044" s="3">
        <v>46056.888912037</v>
      </c>
      <c r="D1044" t="s">
        <v>53</v>
      </c>
      <c r="G1044" t="s">
        <v>54</v>
      </c>
      <c r="H1044" t="s">
        <v>63</v>
      </c>
      <c r="I1044" t="s">
        <v>69</v>
      </c>
      <c r="J1044" t="s">
        <v>62</v>
      </c>
      <c r="K1044" t="s">
        <v>57</v>
      </c>
      <c r="L1044" t="s">
        <v>58</v>
      </c>
      <c r="M1044" t="s">
        <v>58</v>
      </c>
      <c r="N1044">
        <v>4</v>
      </c>
      <c r="O1044">
        <v>2</v>
      </c>
      <c r="P1044">
        <v>4</v>
      </c>
      <c r="Q1044">
        <v>4</v>
      </c>
      <c r="R1044">
        <v>4</v>
      </c>
      <c r="S1044">
        <v>3</v>
      </c>
      <c r="T1044">
        <v>5</v>
      </c>
      <c r="U1044">
        <v>4</v>
      </c>
      <c r="V1044">
        <v>5</v>
      </c>
      <c r="W1044">
        <v>4</v>
      </c>
      <c r="X1044">
        <v>5</v>
      </c>
      <c r="Y1044">
        <v>5</v>
      </c>
      <c r="Z1044">
        <v>5</v>
      </c>
      <c r="AA1044">
        <v>5</v>
      </c>
      <c r="AB1044">
        <v>5</v>
      </c>
      <c r="AC1044">
        <v>4</v>
      </c>
      <c r="AD1044">
        <v>5</v>
      </c>
      <c r="AE1044">
        <v>4</v>
      </c>
      <c r="AF1044">
        <v>1</v>
      </c>
      <c r="AG1044">
        <v>4</v>
      </c>
      <c r="AH1044">
        <v>5</v>
      </c>
      <c r="AI1044">
        <v>1</v>
      </c>
      <c r="AJ1044">
        <v>5</v>
      </c>
      <c r="AK1044" t="b">
        <f>Table67[[#This Row],[What is your age?]]&lt;&gt;"18 - 25"</f>
        <v>0</v>
      </c>
      <c r="AL1044" t="b">
        <f t="shared" si="64"/>
        <v>0</v>
      </c>
      <c r="AM1044" t="b">
        <f t="shared" si="65"/>
        <v>1</v>
      </c>
      <c r="AN1044" t="b">
        <f t="shared" si="66"/>
        <v>0</v>
      </c>
      <c r="AO1044" t="b">
        <f>OR(Table67[[#This Row],[Ineligible respondents]:[Inconsistent response on opposite question (3)]])</f>
        <v>1</v>
      </c>
      <c r="AP104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10</v>
      </c>
      <c r="AQ1044">
        <f>Table67[[#This Row],[Extreme Response]]/21</f>
        <v>0.47619047619047616</v>
      </c>
      <c r="AR1044">
        <f>_xlfn.PERCENTILE.INC(Table67[Extrem Response Ratio (ERS)],0.9)</f>
        <v>0.61904761904761907</v>
      </c>
      <c r="AS1044" t="b">
        <f>Table67[[#This Row],[Extrem Response Ratio (ERS)]]&gt;=Table67[[#This Row],[Threshold of ERS]]</f>
        <v>0</v>
      </c>
      <c r="AT1044">
        <f>COUNTIF(Table67[[#This Row],[The mechanism of digital assets is difficult to understand, which discourages me from exploring it (E.g, Tokenization, Blockchain)]:[If I want to try different ways to invest, I will explore digital assets.]], 3)</f>
        <v>1</v>
      </c>
      <c r="AU1044">
        <f>Table67[[#This Row],[Midpoint]]/21</f>
        <v>4.7619047619047616E-2</v>
      </c>
      <c r="AV1044">
        <f>_xlfn.PERCENTILE.INC(Table67[Midpoint ratio],0.9)</f>
        <v>0.5714285714285714</v>
      </c>
      <c r="AW1044" t="b">
        <f>Table67[[#This Row],[Midpoint ratio]]&gt;=Table67[[#This Row],[Threshold of Midpoint ratio]]</f>
        <v>0</v>
      </c>
      <c r="AX1044" t="b">
        <f>OR(Table67[[#This Row],[Extreme Response Style]],Table67[[#This Row],[Mid-point Response Style]])</f>
        <v>0</v>
      </c>
      <c r="AY1044" t="b">
        <f>OR(Table67[[#This Row],[Delete? (Stage 1)]],Table67[[#This Row],[Delete? (Stage 2)]])</f>
        <v>1</v>
      </c>
      <c r="AZ1044" t="s">
        <v>84</v>
      </c>
    </row>
    <row r="1045" spans="1:52">
      <c r="A1045">
        <f t="shared" si="67"/>
        <v>1044</v>
      </c>
      <c r="B1045" s="3">
        <v>46056.884942129604</v>
      </c>
      <c r="C1045" s="3">
        <v>46056.893831018497</v>
      </c>
      <c r="D1045" t="s">
        <v>53</v>
      </c>
      <c r="G1045" t="s">
        <v>54</v>
      </c>
      <c r="H1045" t="s">
        <v>55</v>
      </c>
      <c r="I1045" t="s">
        <v>56</v>
      </c>
      <c r="J1045" t="s">
        <v>57</v>
      </c>
      <c r="K1045" t="s">
        <v>57</v>
      </c>
      <c r="L1045" t="s">
        <v>58</v>
      </c>
      <c r="M1045" t="s">
        <v>58</v>
      </c>
      <c r="N1045">
        <v>5</v>
      </c>
      <c r="O1045">
        <v>1</v>
      </c>
      <c r="P1045">
        <v>5</v>
      </c>
      <c r="Q1045">
        <v>4</v>
      </c>
      <c r="R1045">
        <v>2</v>
      </c>
      <c r="S1045">
        <v>5</v>
      </c>
      <c r="T1045">
        <v>4</v>
      </c>
      <c r="U1045">
        <v>5</v>
      </c>
      <c r="V1045">
        <v>5</v>
      </c>
      <c r="W1045">
        <v>2</v>
      </c>
      <c r="X1045">
        <v>3</v>
      </c>
      <c r="Y1045">
        <v>3</v>
      </c>
      <c r="Z1045">
        <v>5</v>
      </c>
      <c r="AA1045">
        <v>4</v>
      </c>
      <c r="AB1045">
        <v>2</v>
      </c>
      <c r="AC1045">
        <v>4</v>
      </c>
      <c r="AD1045">
        <v>5</v>
      </c>
      <c r="AE1045">
        <v>2</v>
      </c>
      <c r="AF1045">
        <v>1</v>
      </c>
      <c r="AG1045">
        <v>1</v>
      </c>
      <c r="AH1045">
        <v>2</v>
      </c>
      <c r="AI1045">
        <v>4</v>
      </c>
      <c r="AJ1045">
        <v>5</v>
      </c>
      <c r="AK1045" t="b">
        <f>Table67[[#This Row],[What is your age?]]&lt;&gt;"18 - 25"</f>
        <v>0</v>
      </c>
      <c r="AL1045" t="b">
        <f t="shared" si="64"/>
        <v>0</v>
      </c>
      <c r="AM1045" t="b">
        <f t="shared" si="65"/>
        <v>1</v>
      </c>
      <c r="AN1045" t="b">
        <f t="shared" si="66"/>
        <v>0</v>
      </c>
      <c r="AO1045" t="b">
        <f>OR(Table67[[#This Row],[Ineligible respondents]:[Inconsistent response on opposite question (3)]])</f>
        <v>1</v>
      </c>
      <c r="AP104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10</v>
      </c>
      <c r="AQ1045">
        <f>Table67[[#This Row],[Extreme Response]]/21</f>
        <v>0.47619047619047616</v>
      </c>
      <c r="AR1045">
        <f>_xlfn.PERCENTILE.INC(Table67[Extrem Response Ratio (ERS)],0.9)</f>
        <v>0.61904761904761907</v>
      </c>
      <c r="AS1045" t="b">
        <f>Table67[[#This Row],[Extrem Response Ratio (ERS)]]&gt;=Table67[[#This Row],[Threshold of ERS]]</f>
        <v>0</v>
      </c>
      <c r="AT1045">
        <f>COUNTIF(Table67[[#This Row],[The mechanism of digital assets is difficult to understand, which discourages me from exploring it (E.g, Tokenization, Blockchain)]:[If I want to try different ways to invest, I will explore digital assets.]], 3)</f>
        <v>2</v>
      </c>
      <c r="AU1045">
        <f>Table67[[#This Row],[Midpoint]]/21</f>
        <v>9.5238095238095233E-2</v>
      </c>
      <c r="AV1045">
        <f>_xlfn.PERCENTILE.INC(Table67[Midpoint ratio],0.9)</f>
        <v>0.5714285714285714</v>
      </c>
      <c r="AW1045" t="b">
        <f>Table67[[#This Row],[Midpoint ratio]]&gt;=Table67[[#This Row],[Threshold of Midpoint ratio]]</f>
        <v>0</v>
      </c>
      <c r="AX1045" t="b">
        <f>OR(Table67[[#This Row],[Extreme Response Style]],Table67[[#This Row],[Mid-point Response Style]])</f>
        <v>0</v>
      </c>
      <c r="AY1045" t="b">
        <f>OR(Table67[[#This Row],[Delete? (Stage 1)]],Table67[[#This Row],[Delete? (Stage 2)]])</f>
        <v>1</v>
      </c>
      <c r="AZ1045" t="s">
        <v>84</v>
      </c>
    </row>
    <row r="1046" spans="1:52">
      <c r="A1046">
        <f t="shared" si="67"/>
        <v>1045</v>
      </c>
      <c r="B1046" s="3">
        <v>46056.884942129604</v>
      </c>
      <c r="C1046" s="3">
        <v>46056.894699074102</v>
      </c>
      <c r="D1046" t="s">
        <v>53</v>
      </c>
      <c r="G1046" t="s">
        <v>54</v>
      </c>
      <c r="H1046" t="s">
        <v>55</v>
      </c>
      <c r="I1046" t="s">
        <v>56</v>
      </c>
      <c r="J1046" t="s">
        <v>67</v>
      </c>
      <c r="K1046" t="s">
        <v>62</v>
      </c>
      <c r="L1046" t="s">
        <v>58</v>
      </c>
      <c r="M1046" t="s">
        <v>58</v>
      </c>
      <c r="N1046">
        <v>4</v>
      </c>
      <c r="O1046">
        <v>1</v>
      </c>
      <c r="P1046">
        <v>4</v>
      </c>
      <c r="Q1046">
        <v>4</v>
      </c>
      <c r="R1046">
        <v>5</v>
      </c>
      <c r="S1046">
        <v>5</v>
      </c>
      <c r="T1046">
        <v>4</v>
      </c>
      <c r="U1046">
        <v>4</v>
      </c>
      <c r="V1046">
        <v>5</v>
      </c>
      <c r="W1046">
        <v>4</v>
      </c>
      <c r="X1046">
        <v>4</v>
      </c>
      <c r="Y1046">
        <v>5</v>
      </c>
      <c r="Z1046">
        <v>4</v>
      </c>
      <c r="AA1046">
        <v>5</v>
      </c>
      <c r="AB1046">
        <v>3</v>
      </c>
      <c r="AC1046">
        <v>4</v>
      </c>
      <c r="AD1046">
        <v>5</v>
      </c>
      <c r="AE1046">
        <v>3</v>
      </c>
      <c r="AF1046">
        <v>3</v>
      </c>
      <c r="AG1046">
        <v>4</v>
      </c>
      <c r="AH1046">
        <v>3</v>
      </c>
      <c r="AI1046">
        <v>3</v>
      </c>
      <c r="AJ1046">
        <v>3</v>
      </c>
      <c r="AK1046" t="b">
        <f>Table67[[#This Row],[What is your age?]]&lt;&gt;"18 - 25"</f>
        <v>0</v>
      </c>
      <c r="AL1046" t="b">
        <f t="shared" si="64"/>
        <v>0</v>
      </c>
      <c r="AM1046" t="b">
        <f t="shared" si="65"/>
        <v>0</v>
      </c>
      <c r="AN1046" t="b">
        <f t="shared" si="66"/>
        <v>1</v>
      </c>
      <c r="AO1046" t="b">
        <f>OR(Table67[[#This Row],[Ineligible respondents]:[Inconsistent response on opposite question (3)]])</f>
        <v>1</v>
      </c>
      <c r="AP104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046">
        <f>Table67[[#This Row],[Extreme Response]]/21</f>
        <v>0.33333333333333331</v>
      </c>
      <c r="AR1046">
        <f>_xlfn.PERCENTILE.INC(Table67[Extrem Response Ratio (ERS)],0.9)</f>
        <v>0.61904761904761907</v>
      </c>
      <c r="AS1046" t="b">
        <f>Table67[[#This Row],[Extrem Response Ratio (ERS)]]&gt;=Table67[[#This Row],[Threshold of ERS]]</f>
        <v>0</v>
      </c>
      <c r="AT1046">
        <f>COUNTIF(Table67[[#This Row],[The mechanism of digital assets is difficult to understand, which discourages me from exploring it (E.g, Tokenization, Blockchain)]:[If I want to try different ways to invest, I will explore digital assets.]], 3)</f>
        <v>4</v>
      </c>
      <c r="AU1046">
        <f>Table67[[#This Row],[Midpoint]]/21</f>
        <v>0.19047619047619047</v>
      </c>
      <c r="AV1046">
        <f>_xlfn.PERCENTILE.INC(Table67[Midpoint ratio],0.9)</f>
        <v>0.5714285714285714</v>
      </c>
      <c r="AW1046" t="b">
        <f>Table67[[#This Row],[Midpoint ratio]]&gt;=Table67[[#This Row],[Threshold of Midpoint ratio]]</f>
        <v>0</v>
      </c>
      <c r="AX1046" t="b">
        <f>OR(Table67[[#This Row],[Extreme Response Style]],Table67[[#This Row],[Mid-point Response Style]])</f>
        <v>0</v>
      </c>
      <c r="AY1046" t="b">
        <f>OR(Table67[[#This Row],[Delete? (Stage 1)]],Table67[[#This Row],[Delete? (Stage 2)]])</f>
        <v>1</v>
      </c>
      <c r="AZ1046" t="s">
        <v>84</v>
      </c>
    </row>
    <row r="1047" spans="1:52">
      <c r="A1047">
        <f t="shared" si="67"/>
        <v>1046</v>
      </c>
      <c r="B1047" s="3">
        <v>46056.885034722203</v>
      </c>
      <c r="C1047" s="3">
        <v>46056.888101851902</v>
      </c>
      <c r="D1047" t="s">
        <v>53</v>
      </c>
      <c r="G1047" t="s">
        <v>54</v>
      </c>
      <c r="H1047" t="s">
        <v>55</v>
      </c>
      <c r="I1047" t="s">
        <v>56</v>
      </c>
      <c r="J1047" t="s">
        <v>62</v>
      </c>
      <c r="K1047" t="s">
        <v>60</v>
      </c>
      <c r="L1047" t="s">
        <v>61</v>
      </c>
      <c r="M1047" t="s">
        <v>61</v>
      </c>
      <c r="N1047">
        <v>4</v>
      </c>
      <c r="O1047">
        <v>2</v>
      </c>
      <c r="P1047">
        <v>5</v>
      </c>
      <c r="Q1047">
        <v>5</v>
      </c>
      <c r="R1047">
        <v>3</v>
      </c>
      <c r="S1047">
        <v>3</v>
      </c>
      <c r="T1047">
        <v>5</v>
      </c>
      <c r="U1047">
        <v>5</v>
      </c>
      <c r="V1047">
        <v>5</v>
      </c>
      <c r="W1047">
        <v>5</v>
      </c>
      <c r="X1047">
        <v>5</v>
      </c>
      <c r="Y1047">
        <v>5</v>
      </c>
      <c r="Z1047">
        <v>5</v>
      </c>
      <c r="AA1047">
        <v>5</v>
      </c>
      <c r="AB1047">
        <v>4</v>
      </c>
      <c r="AC1047">
        <v>5</v>
      </c>
      <c r="AD1047">
        <v>5</v>
      </c>
      <c r="AE1047">
        <v>5</v>
      </c>
      <c r="AF1047">
        <v>1</v>
      </c>
      <c r="AG1047">
        <v>5</v>
      </c>
      <c r="AH1047">
        <v>1</v>
      </c>
      <c r="AI1047">
        <v>5</v>
      </c>
      <c r="AJ1047">
        <v>5</v>
      </c>
      <c r="AK1047" t="b">
        <f>Table67[[#This Row],[What is your age?]]&lt;&gt;"18 - 25"</f>
        <v>0</v>
      </c>
      <c r="AL1047" t="b">
        <f t="shared" si="64"/>
        <v>0</v>
      </c>
      <c r="AM1047" t="b">
        <f t="shared" si="65"/>
        <v>0</v>
      </c>
      <c r="AN1047" t="b">
        <f t="shared" si="66"/>
        <v>0</v>
      </c>
      <c r="AO1047" t="b">
        <f>OR(Table67[[#This Row],[Ineligible respondents]:[Inconsistent response on opposite question (3)]])</f>
        <v>0</v>
      </c>
      <c r="AP104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16</v>
      </c>
      <c r="AQ1047">
        <f>Table67[[#This Row],[Extreme Response]]/21</f>
        <v>0.76190476190476186</v>
      </c>
      <c r="AR1047">
        <f>_xlfn.PERCENTILE.INC(Table67[Extrem Response Ratio (ERS)],0.9)</f>
        <v>0.61904761904761907</v>
      </c>
      <c r="AS1047" t="b">
        <f>Table67[[#This Row],[Extrem Response Ratio (ERS)]]&gt;=Table67[[#This Row],[Threshold of ERS]]</f>
        <v>1</v>
      </c>
      <c r="AT1047">
        <f>COUNTIF(Table67[[#This Row],[The mechanism of digital assets is difficult to understand, which discourages me from exploring it (E.g, Tokenization, Blockchain)]:[If I want to try different ways to invest, I will explore digital assets.]], 3)</f>
        <v>2</v>
      </c>
      <c r="AU1047">
        <f>Table67[[#This Row],[Midpoint]]/21</f>
        <v>9.5238095238095233E-2</v>
      </c>
      <c r="AV1047">
        <f>_xlfn.PERCENTILE.INC(Table67[Midpoint ratio],0.9)</f>
        <v>0.5714285714285714</v>
      </c>
      <c r="AW1047" t="b">
        <f>Table67[[#This Row],[Midpoint ratio]]&gt;=Table67[[#This Row],[Threshold of Midpoint ratio]]</f>
        <v>0</v>
      </c>
      <c r="AX1047" t="b">
        <f>OR(Table67[[#This Row],[Extreme Response Style]],Table67[[#This Row],[Mid-point Response Style]])</f>
        <v>1</v>
      </c>
      <c r="AY1047" t="b">
        <f>OR(Table67[[#This Row],[Delete? (Stage 1)]],Table67[[#This Row],[Delete? (Stage 2)]])</f>
        <v>1</v>
      </c>
      <c r="AZ1047" t="s">
        <v>84</v>
      </c>
    </row>
    <row r="1048" spans="1:52">
      <c r="A1048">
        <f t="shared" si="67"/>
        <v>1047</v>
      </c>
      <c r="B1048" s="3">
        <v>46056.8850578704</v>
      </c>
      <c r="C1048" s="3">
        <v>46056.890520833302</v>
      </c>
      <c r="D1048" t="s">
        <v>53</v>
      </c>
      <c r="G1048" t="s">
        <v>54</v>
      </c>
      <c r="H1048" t="s">
        <v>55</v>
      </c>
      <c r="I1048" t="s">
        <v>69</v>
      </c>
      <c r="J1048" t="s">
        <v>60</v>
      </c>
      <c r="K1048" t="s">
        <v>57</v>
      </c>
      <c r="L1048" t="s">
        <v>58</v>
      </c>
      <c r="M1048" t="s">
        <v>58</v>
      </c>
      <c r="N1048">
        <v>5</v>
      </c>
      <c r="O1048">
        <v>1</v>
      </c>
      <c r="P1048">
        <v>4</v>
      </c>
      <c r="Q1048">
        <v>3</v>
      </c>
      <c r="R1048">
        <v>5</v>
      </c>
      <c r="S1048">
        <v>3</v>
      </c>
      <c r="T1048">
        <v>3</v>
      </c>
      <c r="U1048">
        <v>5</v>
      </c>
      <c r="V1048">
        <v>5</v>
      </c>
      <c r="W1048">
        <v>5</v>
      </c>
      <c r="X1048">
        <v>3</v>
      </c>
      <c r="Y1048">
        <v>4</v>
      </c>
      <c r="Z1048">
        <v>2</v>
      </c>
      <c r="AA1048">
        <v>4</v>
      </c>
      <c r="AB1048">
        <v>3</v>
      </c>
      <c r="AC1048">
        <v>3</v>
      </c>
      <c r="AD1048">
        <v>4</v>
      </c>
      <c r="AE1048">
        <v>5</v>
      </c>
      <c r="AF1048">
        <v>3</v>
      </c>
      <c r="AG1048">
        <v>3</v>
      </c>
      <c r="AH1048">
        <v>4</v>
      </c>
      <c r="AI1048">
        <v>2</v>
      </c>
      <c r="AJ1048">
        <v>3</v>
      </c>
      <c r="AK1048" t="b">
        <f>Table67[[#This Row],[What is your age?]]&lt;&gt;"18 - 25"</f>
        <v>0</v>
      </c>
      <c r="AL1048" t="b">
        <f t="shared" si="64"/>
        <v>0</v>
      </c>
      <c r="AM1048" t="b">
        <f t="shared" si="65"/>
        <v>0</v>
      </c>
      <c r="AN1048" t="b">
        <f t="shared" si="66"/>
        <v>1</v>
      </c>
      <c r="AO1048" t="b">
        <f>OR(Table67[[#This Row],[Ineligible respondents]:[Inconsistent response on opposite question (3)]])</f>
        <v>1</v>
      </c>
      <c r="AP104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048">
        <f>Table67[[#This Row],[Extreme Response]]/21</f>
        <v>0.33333333333333331</v>
      </c>
      <c r="AR1048">
        <f>_xlfn.PERCENTILE.INC(Table67[Extrem Response Ratio (ERS)],0.9)</f>
        <v>0.61904761904761907</v>
      </c>
      <c r="AS1048" t="b">
        <f>Table67[[#This Row],[Extrem Response Ratio (ERS)]]&gt;=Table67[[#This Row],[Threshold of ERS]]</f>
        <v>0</v>
      </c>
      <c r="AT1048">
        <f>COUNTIF(Table67[[#This Row],[The mechanism of digital assets is difficult to understand, which discourages me from exploring it (E.g, Tokenization, Blockchain)]:[If I want to try different ways to invest, I will explore digital assets.]], 3)</f>
        <v>8</v>
      </c>
      <c r="AU1048">
        <f>Table67[[#This Row],[Midpoint]]/21</f>
        <v>0.38095238095238093</v>
      </c>
      <c r="AV1048">
        <f>_xlfn.PERCENTILE.INC(Table67[Midpoint ratio],0.9)</f>
        <v>0.5714285714285714</v>
      </c>
      <c r="AW1048" t="b">
        <f>Table67[[#This Row],[Midpoint ratio]]&gt;=Table67[[#This Row],[Threshold of Midpoint ratio]]</f>
        <v>0</v>
      </c>
      <c r="AX1048" t="b">
        <f>OR(Table67[[#This Row],[Extreme Response Style]],Table67[[#This Row],[Mid-point Response Style]])</f>
        <v>0</v>
      </c>
      <c r="AY1048" t="b">
        <f>OR(Table67[[#This Row],[Delete? (Stage 1)]],Table67[[#This Row],[Delete? (Stage 2)]])</f>
        <v>1</v>
      </c>
      <c r="AZ1048" t="s">
        <v>84</v>
      </c>
    </row>
    <row r="1049" spans="1:52">
      <c r="A1049">
        <f t="shared" si="67"/>
        <v>1048</v>
      </c>
      <c r="B1049" s="3">
        <v>46056.885173611103</v>
      </c>
      <c r="C1049" s="3">
        <v>46056.889444444401</v>
      </c>
      <c r="D1049" t="s">
        <v>53</v>
      </c>
      <c r="G1049" t="s">
        <v>54</v>
      </c>
      <c r="H1049" t="s">
        <v>63</v>
      </c>
      <c r="I1049" t="s">
        <v>56</v>
      </c>
      <c r="J1049" t="s">
        <v>67</v>
      </c>
      <c r="K1049" t="s">
        <v>57</v>
      </c>
      <c r="L1049" t="s">
        <v>58</v>
      </c>
      <c r="M1049" t="s">
        <v>58</v>
      </c>
      <c r="N1049">
        <v>4</v>
      </c>
      <c r="O1049">
        <v>3</v>
      </c>
      <c r="P1049">
        <v>3</v>
      </c>
      <c r="Q1049">
        <v>4</v>
      </c>
      <c r="R1049">
        <v>4</v>
      </c>
      <c r="S1049">
        <v>4</v>
      </c>
      <c r="T1049">
        <v>4</v>
      </c>
      <c r="U1049">
        <v>4</v>
      </c>
      <c r="V1049">
        <v>5</v>
      </c>
      <c r="W1049">
        <v>3</v>
      </c>
      <c r="X1049">
        <v>5</v>
      </c>
      <c r="Y1049">
        <v>5</v>
      </c>
      <c r="Z1049">
        <v>4</v>
      </c>
      <c r="AA1049">
        <v>4</v>
      </c>
      <c r="AB1049">
        <v>3</v>
      </c>
      <c r="AC1049">
        <v>4</v>
      </c>
      <c r="AD1049">
        <v>5</v>
      </c>
      <c r="AE1049">
        <v>4</v>
      </c>
      <c r="AF1049">
        <v>3</v>
      </c>
      <c r="AG1049">
        <v>3</v>
      </c>
      <c r="AH1049">
        <v>3</v>
      </c>
      <c r="AI1049">
        <v>3</v>
      </c>
      <c r="AJ1049">
        <v>3</v>
      </c>
      <c r="AK1049" t="b">
        <f>Table67[[#This Row],[What is your age?]]&lt;&gt;"18 - 25"</f>
        <v>0</v>
      </c>
      <c r="AL1049" t="b">
        <f t="shared" si="64"/>
        <v>0</v>
      </c>
      <c r="AM1049" t="b">
        <f t="shared" si="65"/>
        <v>0</v>
      </c>
      <c r="AN1049" t="b">
        <f t="shared" si="66"/>
        <v>0</v>
      </c>
      <c r="AO1049" t="b">
        <f>OR(Table67[[#This Row],[Ineligible respondents]:[Inconsistent response on opposite question (3)]])</f>
        <v>0</v>
      </c>
      <c r="AP104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049">
        <f>Table67[[#This Row],[Extreme Response]]/21</f>
        <v>0.19047619047619047</v>
      </c>
      <c r="AR1049">
        <f>_xlfn.PERCENTILE.INC(Table67[Extrem Response Ratio (ERS)],0.9)</f>
        <v>0.61904761904761907</v>
      </c>
      <c r="AS1049" t="b">
        <f>Table67[[#This Row],[Extrem Response Ratio (ERS)]]&gt;=Table67[[#This Row],[Threshold of ERS]]</f>
        <v>0</v>
      </c>
      <c r="AT1049">
        <f>COUNTIF(Table67[[#This Row],[The mechanism of digital assets is difficult to understand, which discourages me from exploring it (E.g, Tokenization, Blockchain)]:[If I want to try different ways to invest, I will explore digital assets.]], 3)</f>
        <v>7</v>
      </c>
      <c r="AU1049">
        <f>Table67[[#This Row],[Midpoint]]/21</f>
        <v>0.33333333333333331</v>
      </c>
      <c r="AV1049">
        <f>_xlfn.PERCENTILE.INC(Table67[Midpoint ratio],0.9)</f>
        <v>0.5714285714285714</v>
      </c>
      <c r="AW1049" t="b">
        <f>Table67[[#This Row],[Midpoint ratio]]&gt;=Table67[[#This Row],[Threshold of Midpoint ratio]]</f>
        <v>0</v>
      </c>
      <c r="AX1049" t="b">
        <f>OR(Table67[[#This Row],[Extreme Response Style]],Table67[[#This Row],[Mid-point Response Style]])</f>
        <v>0</v>
      </c>
      <c r="AY1049" t="b">
        <f>OR(Table67[[#This Row],[Delete? (Stage 1)]],Table67[[#This Row],[Delete? (Stage 2)]])</f>
        <v>0</v>
      </c>
      <c r="AZ1049" t="s">
        <v>84</v>
      </c>
    </row>
    <row r="1050" spans="1:52">
      <c r="A1050">
        <f t="shared" si="67"/>
        <v>1049</v>
      </c>
      <c r="B1050" s="3">
        <v>46056.8852430556</v>
      </c>
      <c r="C1050" s="3">
        <v>46056.8886458333</v>
      </c>
      <c r="D1050" t="s">
        <v>53</v>
      </c>
      <c r="G1050" t="s">
        <v>54</v>
      </c>
      <c r="H1050" t="s">
        <v>63</v>
      </c>
      <c r="I1050" t="s">
        <v>75</v>
      </c>
      <c r="J1050" t="s">
        <v>62</v>
      </c>
      <c r="K1050" t="s">
        <v>62</v>
      </c>
      <c r="L1050" t="s">
        <v>61</v>
      </c>
      <c r="M1050" t="s">
        <v>61</v>
      </c>
      <c r="N1050">
        <v>1</v>
      </c>
      <c r="O1050">
        <v>1</v>
      </c>
      <c r="P1050">
        <v>1</v>
      </c>
      <c r="Q1050">
        <v>1</v>
      </c>
      <c r="R1050">
        <v>1</v>
      </c>
      <c r="S1050">
        <v>1</v>
      </c>
      <c r="T1050">
        <v>1</v>
      </c>
      <c r="U1050">
        <v>3</v>
      </c>
      <c r="V1050">
        <v>3</v>
      </c>
      <c r="W1050">
        <v>5</v>
      </c>
      <c r="X1050">
        <v>4</v>
      </c>
      <c r="Y1050">
        <v>1</v>
      </c>
      <c r="Z1050">
        <v>5</v>
      </c>
      <c r="AA1050">
        <v>1</v>
      </c>
      <c r="AB1050">
        <v>1</v>
      </c>
      <c r="AC1050">
        <v>1</v>
      </c>
      <c r="AD1050">
        <v>3</v>
      </c>
      <c r="AE1050">
        <v>3</v>
      </c>
      <c r="AF1050">
        <v>5</v>
      </c>
      <c r="AG1050">
        <v>1</v>
      </c>
      <c r="AH1050">
        <v>5</v>
      </c>
      <c r="AI1050">
        <v>1</v>
      </c>
      <c r="AJ1050">
        <v>1</v>
      </c>
      <c r="AK1050" t="b">
        <f>Table67[[#This Row],[What is your age?]]&lt;&gt;"18 - 25"</f>
        <v>0</v>
      </c>
      <c r="AL1050" t="b">
        <f t="shared" si="64"/>
        <v>0</v>
      </c>
      <c r="AM1050" t="b">
        <f t="shared" si="65"/>
        <v>0</v>
      </c>
      <c r="AN1050" t="b">
        <f t="shared" si="66"/>
        <v>0</v>
      </c>
      <c r="AO1050" t="b">
        <f>OR(Table67[[#This Row],[Ineligible respondents]:[Inconsistent response on opposite question (3)]])</f>
        <v>0</v>
      </c>
      <c r="AP105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16</v>
      </c>
      <c r="AQ1050">
        <f>Table67[[#This Row],[Extreme Response]]/21</f>
        <v>0.76190476190476186</v>
      </c>
      <c r="AR1050">
        <f>_xlfn.PERCENTILE.INC(Table67[Extrem Response Ratio (ERS)],0.9)</f>
        <v>0.61904761904761907</v>
      </c>
      <c r="AS1050" t="b">
        <f>Table67[[#This Row],[Extrem Response Ratio (ERS)]]&gt;=Table67[[#This Row],[Threshold of ERS]]</f>
        <v>1</v>
      </c>
      <c r="AT1050">
        <f>COUNTIF(Table67[[#This Row],[The mechanism of digital assets is difficult to understand, which discourages me from exploring it (E.g, Tokenization, Blockchain)]:[If I want to try different ways to invest, I will explore digital assets.]], 3)</f>
        <v>4</v>
      </c>
      <c r="AU1050">
        <f>Table67[[#This Row],[Midpoint]]/21</f>
        <v>0.19047619047619047</v>
      </c>
      <c r="AV1050">
        <f>_xlfn.PERCENTILE.INC(Table67[Midpoint ratio],0.9)</f>
        <v>0.5714285714285714</v>
      </c>
      <c r="AW1050" t="b">
        <f>Table67[[#This Row],[Midpoint ratio]]&gt;=Table67[[#This Row],[Threshold of Midpoint ratio]]</f>
        <v>0</v>
      </c>
      <c r="AX1050" t="b">
        <f>OR(Table67[[#This Row],[Extreme Response Style]],Table67[[#This Row],[Mid-point Response Style]])</f>
        <v>1</v>
      </c>
      <c r="AY1050" t="b">
        <f>OR(Table67[[#This Row],[Delete? (Stage 1)]],Table67[[#This Row],[Delete? (Stage 2)]])</f>
        <v>1</v>
      </c>
      <c r="AZ1050" t="s">
        <v>84</v>
      </c>
    </row>
    <row r="1051" spans="1:52">
      <c r="A1051">
        <f t="shared" si="67"/>
        <v>1050</v>
      </c>
      <c r="B1051" s="3">
        <v>46056.885254629597</v>
      </c>
      <c r="C1051" s="3">
        <v>46056.885844907403</v>
      </c>
      <c r="D1051" t="s">
        <v>53</v>
      </c>
      <c r="G1051" t="s">
        <v>54</v>
      </c>
      <c r="H1051" t="s">
        <v>55</v>
      </c>
      <c r="I1051" t="s">
        <v>69</v>
      </c>
      <c r="J1051" t="s">
        <v>68</v>
      </c>
      <c r="K1051" t="s">
        <v>62</v>
      </c>
      <c r="L1051" t="s">
        <v>58</v>
      </c>
      <c r="M1051" t="s">
        <v>61</v>
      </c>
      <c r="N1051">
        <v>4</v>
      </c>
      <c r="O1051">
        <v>5</v>
      </c>
      <c r="P1051">
        <v>3</v>
      </c>
      <c r="Q1051">
        <v>4</v>
      </c>
      <c r="R1051">
        <v>3</v>
      </c>
      <c r="S1051">
        <v>4</v>
      </c>
      <c r="T1051">
        <v>3</v>
      </c>
      <c r="U1051">
        <v>3</v>
      </c>
      <c r="V1051">
        <v>4</v>
      </c>
      <c r="W1051">
        <v>4</v>
      </c>
      <c r="X1051">
        <v>5</v>
      </c>
      <c r="Y1051">
        <v>4</v>
      </c>
      <c r="Z1051">
        <v>3</v>
      </c>
      <c r="AA1051">
        <v>4</v>
      </c>
      <c r="AB1051">
        <v>4</v>
      </c>
      <c r="AC1051">
        <v>3</v>
      </c>
      <c r="AD1051">
        <v>4</v>
      </c>
      <c r="AE1051">
        <v>3</v>
      </c>
      <c r="AF1051">
        <v>4</v>
      </c>
      <c r="AG1051">
        <v>4</v>
      </c>
      <c r="AH1051">
        <v>5</v>
      </c>
      <c r="AI1051">
        <v>1</v>
      </c>
      <c r="AJ1051">
        <v>2</v>
      </c>
      <c r="AK1051" t="b">
        <f>Table67[[#This Row],[What is your age?]]&lt;&gt;"18 - 25"</f>
        <v>0</v>
      </c>
      <c r="AL1051" t="b">
        <f t="shared" si="64"/>
        <v>0</v>
      </c>
      <c r="AM1051" t="b">
        <f t="shared" si="65"/>
        <v>1</v>
      </c>
      <c r="AN1051" t="b">
        <f t="shared" si="66"/>
        <v>0</v>
      </c>
      <c r="AO1051" t="b">
        <f>OR(Table67[[#This Row],[Ineligible respondents]:[Inconsistent response on opposite question (3)]])</f>
        <v>1</v>
      </c>
      <c r="AP105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051">
        <f>Table67[[#This Row],[Extreme Response]]/21</f>
        <v>0.14285714285714285</v>
      </c>
      <c r="AR1051">
        <f>_xlfn.PERCENTILE.INC(Table67[Extrem Response Ratio (ERS)],0.9)</f>
        <v>0.61904761904761907</v>
      </c>
      <c r="AS1051" t="b">
        <f>Table67[[#This Row],[Extrem Response Ratio (ERS)]]&gt;=Table67[[#This Row],[Threshold of ERS]]</f>
        <v>0</v>
      </c>
      <c r="AT1051">
        <f>COUNTIF(Table67[[#This Row],[The mechanism of digital assets is difficult to understand, which discourages me from exploring it (E.g, Tokenization, Blockchain)]:[If I want to try different ways to invest, I will explore digital assets.]], 3)</f>
        <v>7</v>
      </c>
      <c r="AU1051">
        <f>Table67[[#This Row],[Midpoint]]/21</f>
        <v>0.33333333333333331</v>
      </c>
      <c r="AV1051">
        <f>_xlfn.PERCENTILE.INC(Table67[Midpoint ratio],0.9)</f>
        <v>0.5714285714285714</v>
      </c>
      <c r="AW1051" t="b">
        <f>Table67[[#This Row],[Midpoint ratio]]&gt;=Table67[[#This Row],[Threshold of Midpoint ratio]]</f>
        <v>0</v>
      </c>
      <c r="AX1051" t="b">
        <f>OR(Table67[[#This Row],[Extreme Response Style]],Table67[[#This Row],[Mid-point Response Style]])</f>
        <v>0</v>
      </c>
      <c r="AY1051" t="b">
        <f>OR(Table67[[#This Row],[Delete? (Stage 1)]],Table67[[#This Row],[Delete? (Stage 2)]])</f>
        <v>1</v>
      </c>
      <c r="AZ1051" t="s">
        <v>84</v>
      </c>
    </row>
    <row r="1052" spans="1:52">
      <c r="A1052">
        <f t="shared" si="67"/>
        <v>1051</v>
      </c>
      <c r="B1052" s="3">
        <v>46056.885347222204</v>
      </c>
      <c r="C1052" s="3">
        <v>46056.8903125</v>
      </c>
      <c r="D1052" t="s">
        <v>53</v>
      </c>
      <c r="G1052" t="s">
        <v>54</v>
      </c>
      <c r="H1052" t="s">
        <v>55</v>
      </c>
      <c r="I1052" t="s">
        <v>75</v>
      </c>
      <c r="J1052" t="s">
        <v>64</v>
      </c>
      <c r="K1052" t="s">
        <v>60</v>
      </c>
      <c r="L1052" t="s">
        <v>61</v>
      </c>
      <c r="M1052" t="s">
        <v>61</v>
      </c>
      <c r="N1052">
        <v>3</v>
      </c>
      <c r="O1052">
        <v>1</v>
      </c>
      <c r="P1052">
        <v>5</v>
      </c>
      <c r="Q1052">
        <v>1</v>
      </c>
      <c r="R1052">
        <v>2</v>
      </c>
      <c r="S1052">
        <v>1</v>
      </c>
      <c r="T1052">
        <v>2</v>
      </c>
      <c r="U1052">
        <v>4</v>
      </c>
      <c r="V1052">
        <v>5</v>
      </c>
      <c r="W1052">
        <v>5</v>
      </c>
      <c r="X1052">
        <v>3</v>
      </c>
      <c r="Y1052">
        <v>4</v>
      </c>
      <c r="Z1052">
        <v>4</v>
      </c>
      <c r="AA1052">
        <v>3</v>
      </c>
      <c r="AB1052">
        <v>3</v>
      </c>
      <c r="AC1052">
        <v>2</v>
      </c>
      <c r="AD1052">
        <v>2</v>
      </c>
      <c r="AE1052">
        <v>4</v>
      </c>
      <c r="AF1052">
        <v>5</v>
      </c>
      <c r="AG1052">
        <v>2</v>
      </c>
      <c r="AH1052">
        <v>3</v>
      </c>
      <c r="AI1052">
        <v>3</v>
      </c>
      <c r="AJ1052">
        <v>1</v>
      </c>
      <c r="AK1052" t="b">
        <f>Table67[[#This Row],[What is your age?]]&lt;&gt;"18 - 25"</f>
        <v>0</v>
      </c>
      <c r="AL1052" t="b">
        <f t="shared" si="64"/>
        <v>0</v>
      </c>
      <c r="AM1052" t="b">
        <f t="shared" si="65"/>
        <v>0</v>
      </c>
      <c r="AN1052" t="b">
        <f t="shared" si="66"/>
        <v>1</v>
      </c>
      <c r="AO1052" t="b">
        <f>OR(Table67[[#This Row],[Ineligible respondents]:[Inconsistent response on opposite question (3)]])</f>
        <v>1</v>
      </c>
      <c r="AP105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052">
        <f>Table67[[#This Row],[Extreme Response]]/21</f>
        <v>0.33333333333333331</v>
      </c>
      <c r="AR1052">
        <f>_xlfn.PERCENTILE.INC(Table67[Extrem Response Ratio (ERS)],0.9)</f>
        <v>0.61904761904761907</v>
      </c>
      <c r="AS1052" t="b">
        <f>Table67[[#This Row],[Extrem Response Ratio (ERS)]]&gt;=Table67[[#This Row],[Threshold of ERS]]</f>
        <v>0</v>
      </c>
      <c r="AT1052">
        <f>COUNTIF(Table67[[#This Row],[The mechanism of digital assets is difficult to understand, which discourages me from exploring it (E.g, Tokenization, Blockchain)]:[If I want to try different ways to invest, I will explore digital assets.]], 3)</f>
        <v>5</v>
      </c>
      <c r="AU1052">
        <f>Table67[[#This Row],[Midpoint]]/21</f>
        <v>0.23809523809523808</v>
      </c>
      <c r="AV1052">
        <f>_xlfn.PERCENTILE.INC(Table67[Midpoint ratio],0.9)</f>
        <v>0.5714285714285714</v>
      </c>
      <c r="AW1052" t="b">
        <f>Table67[[#This Row],[Midpoint ratio]]&gt;=Table67[[#This Row],[Threshold of Midpoint ratio]]</f>
        <v>0</v>
      </c>
      <c r="AX1052" t="b">
        <f>OR(Table67[[#This Row],[Extreme Response Style]],Table67[[#This Row],[Mid-point Response Style]])</f>
        <v>0</v>
      </c>
      <c r="AY1052" t="b">
        <f>OR(Table67[[#This Row],[Delete? (Stage 1)]],Table67[[#This Row],[Delete? (Stage 2)]])</f>
        <v>1</v>
      </c>
      <c r="AZ1052" t="s">
        <v>84</v>
      </c>
    </row>
    <row r="1053" spans="1:52">
      <c r="A1053">
        <f t="shared" si="67"/>
        <v>1052</v>
      </c>
      <c r="B1053" s="3">
        <v>46056.885381944398</v>
      </c>
      <c r="C1053" s="3">
        <v>46056.893344907403</v>
      </c>
      <c r="D1053" t="s">
        <v>53</v>
      </c>
      <c r="G1053" t="s">
        <v>54</v>
      </c>
      <c r="H1053" t="s">
        <v>55</v>
      </c>
      <c r="I1053" t="s">
        <v>69</v>
      </c>
      <c r="J1053" t="s">
        <v>62</v>
      </c>
      <c r="K1053" t="s">
        <v>57</v>
      </c>
      <c r="L1053" t="s">
        <v>58</v>
      </c>
      <c r="M1053" t="s">
        <v>58</v>
      </c>
      <c r="N1053">
        <v>4</v>
      </c>
      <c r="O1053">
        <v>4</v>
      </c>
      <c r="P1053">
        <v>5</v>
      </c>
      <c r="Q1053">
        <v>4</v>
      </c>
      <c r="R1053">
        <v>3</v>
      </c>
      <c r="S1053">
        <v>4</v>
      </c>
      <c r="T1053">
        <v>4</v>
      </c>
      <c r="U1053">
        <v>4</v>
      </c>
      <c r="V1053">
        <v>4</v>
      </c>
      <c r="W1053">
        <v>2</v>
      </c>
      <c r="X1053">
        <v>4</v>
      </c>
      <c r="Y1053">
        <v>3</v>
      </c>
      <c r="Z1053">
        <v>4</v>
      </c>
      <c r="AA1053">
        <v>3</v>
      </c>
      <c r="AB1053">
        <v>4</v>
      </c>
      <c r="AC1053">
        <v>4</v>
      </c>
      <c r="AD1053">
        <v>3</v>
      </c>
      <c r="AE1053">
        <v>1</v>
      </c>
      <c r="AF1053">
        <v>3</v>
      </c>
      <c r="AG1053">
        <v>3</v>
      </c>
      <c r="AH1053">
        <v>3</v>
      </c>
      <c r="AI1053">
        <v>3</v>
      </c>
      <c r="AJ1053">
        <v>3</v>
      </c>
      <c r="AK1053" t="b">
        <f>Table67[[#This Row],[What is your age?]]&lt;&gt;"18 - 25"</f>
        <v>0</v>
      </c>
      <c r="AL1053" t="b">
        <f t="shared" si="64"/>
        <v>0</v>
      </c>
      <c r="AM1053" t="b">
        <f t="shared" si="65"/>
        <v>0</v>
      </c>
      <c r="AN1053" t="b">
        <f t="shared" si="66"/>
        <v>0</v>
      </c>
      <c r="AO1053" t="b">
        <f>OR(Table67[[#This Row],[Ineligible respondents]:[Inconsistent response on opposite question (3)]])</f>
        <v>0</v>
      </c>
      <c r="AP105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053">
        <f>Table67[[#This Row],[Extreme Response]]/21</f>
        <v>9.5238095238095233E-2</v>
      </c>
      <c r="AR1053">
        <f>_xlfn.PERCENTILE.INC(Table67[Extrem Response Ratio (ERS)],0.9)</f>
        <v>0.61904761904761907</v>
      </c>
      <c r="AS1053" t="b">
        <f>Table67[[#This Row],[Extrem Response Ratio (ERS)]]&gt;=Table67[[#This Row],[Threshold of ERS]]</f>
        <v>0</v>
      </c>
      <c r="AT1053">
        <f>COUNTIF(Table67[[#This Row],[The mechanism of digital assets is difficult to understand, which discourages me from exploring it (E.g, Tokenization, Blockchain)]:[If I want to try different ways to invest, I will explore digital assets.]], 3)</f>
        <v>7</v>
      </c>
      <c r="AU1053">
        <f>Table67[[#This Row],[Midpoint]]/21</f>
        <v>0.33333333333333331</v>
      </c>
      <c r="AV1053">
        <f>_xlfn.PERCENTILE.INC(Table67[Midpoint ratio],0.9)</f>
        <v>0.5714285714285714</v>
      </c>
      <c r="AW1053" t="b">
        <f>Table67[[#This Row],[Midpoint ratio]]&gt;=Table67[[#This Row],[Threshold of Midpoint ratio]]</f>
        <v>0</v>
      </c>
      <c r="AX1053" t="b">
        <f>OR(Table67[[#This Row],[Extreme Response Style]],Table67[[#This Row],[Mid-point Response Style]])</f>
        <v>0</v>
      </c>
      <c r="AY1053" t="b">
        <f>OR(Table67[[#This Row],[Delete? (Stage 1)]],Table67[[#This Row],[Delete? (Stage 2)]])</f>
        <v>0</v>
      </c>
      <c r="AZ1053" t="s">
        <v>84</v>
      </c>
    </row>
    <row r="1054" spans="1:52">
      <c r="A1054">
        <f t="shared" si="67"/>
        <v>1053</v>
      </c>
      <c r="B1054" s="3">
        <v>46056.885428240697</v>
      </c>
      <c r="C1054" s="3">
        <v>46056.895659722199</v>
      </c>
      <c r="D1054" t="s">
        <v>53</v>
      </c>
      <c r="G1054" t="s">
        <v>54</v>
      </c>
      <c r="H1054" t="s">
        <v>63</v>
      </c>
      <c r="I1054" t="s">
        <v>56</v>
      </c>
      <c r="J1054" t="s">
        <v>62</v>
      </c>
      <c r="K1054" t="s">
        <v>57</v>
      </c>
      <c r="L1054" t="s">
        <v>61</v>
      </c>
      <c r="M1054" t="s">
        <v>61</v>
      </c>
      <c r="N1054">
        <v>1</v>
      </c>
      <c r="O1054">
        <v>1</v>
      </c>
      <c r="P1054">
        <v>2</v>
      </c>
      <c r="Q1054">
        <v>3</v>
      </c>
      <c r="R1054">
        <v>1</v>
      </c>
      <c r="S1054">
        <v>5</v>
      </c>
      <c r="T1054">
        <v>1</v>
      </c>
      <c r="U1054">
        <v>5</v>
      </c>
      <c r="V1054">
        <v>1</v>
      </c>
      <c r="W1054">
        <v>5</v>
      </c>
      <c r="X1054">
        <v>3</v>
      </c>
      <c r="Y1054">
        <v>3</v>
      </c>
      <c r="Z1054">
        <v>5</v>
      </c>
      <c r="AA1054">
        <v>3</v>
      </c>
      <c r="AB1054">
        <v>3</v>
      </c>
      <c r="AC1054">
        <v>3</v>
      </c>
      <c r="AD1054">
        <v>5</v>
      </c>
      <c r="AE1054">
        <v>3</v>
      </c>
      <c r="AF1054">
        <v>3</v>
      </c>
      <c r="AG1054">
        <v>4</v>
      </c>
      <c r="AH1054">
        <v>4</v>
      </c>
      <c r="AI1054">
        <v>2</v>
      </c>
      <c r="AJ1054">
        <v>3</v>
      </c>
      <c r="AK1054" t="b">
        <f>Table67[[#This Row],[What is your age?]]&lt;&gt;"18 - 25"</f>
        <v>0</v>
      </c>
      <c r="AL1054" t="b">
        <f t="shared" si="64"/>
        <v>0</v>
      </c>
      <c r="AM1054" t="b">
        <f t="shared" si="65"/>
        <v>1</v>
      </c>
      <c r="AN1054" t="b">
        <f t="shared" si="66"/>
        <v>0</v>
      </c>
      <c r="AO1054" t="b">
        <f>OR(Table67[[#This Row],[Ineligible respondents]:[Inconsistent response on opposite question (3)]])</f>
        <v>1</v>
      </c>
      <c r="AP105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10</v>
      </c>
      <c r="AQ1054">
        <f>Table67[[#This Row],[Extreme Response]]/21</f>
        <v>0.47619047619047616</v>
      </c>
      <c r="AR1054">
        <f>_xlfn.PERCENTILE.INC(Table67[Extrem Response Ratio (ERS)],0.9)</f>
        <v>0.61904761904761907</v>
      </c>
      <c r="AS1054" t="b">
        <f>Table67[[#This Row],[Extrem Response Ratio (ERS)]]&gt;=Table67[[#This Row],[Threshold of ERS]]</f>
        <v>0</v>
      </c>
      <c r="AT1054">
        <f>COUNTIF(Table67[[#This Row],[The mechanism of digital assets is difficult to understand, which discourages me from exploring it (E.g, Tokenization, Blockchain)]:[If I want to try different ways to invest, I will explore digital assets.]], 3)</f>
        <v>8</v>
      </c>
      <c r="AU1054">
        <f>Table67[[#This Row],[Midpoint]]/21</f>
        <v>0.38095238095238093</v>
      </c>
      <c r="AV1054">
        <f>_xlfn.PERCENTILE.INC(Table67[Midpoint ratio],0.9)</f>
        <v>0.5714285714285714</v>
      </c>
      <c r="AW1054" t="b">
        <f>Table67[[#This Row],[Midpoint ratio]]&gt;=Table67[[#This Row],[Threshold of Midpoint ratio]]</f>
        <v>0</v>
      </c>
      <c r="AX1054" t="b">
        <f>OR(Table67[[#This Row],[Extreme Response Style]],Table67[[#This Row],[Mid-point Response Style]])</f>
        <v>0</v>
      </c>
      <c r="AY1054" t="b">
        <f>OR(Table67[[#This Row],[Delete? (Stage 1)]],Table67[[#This Row],[Delete? (Stage 2)]])</f>
        <v>1</v>
      </c>
      <c r="AZ1054" t="s">
        <v>84</v>
      </c>
    </row>
    <row r="1055" spans="1:52">
      <c r="A1055">
        <f t="shared" si="67"/>
        <v>1054</v>
      </c>
      <c r="B1055" s="3">
        <v>46056.885439814803</v>
      </c>
      <c r="C1055" s="3">
        <v>46056.8882407407</v>
      </c>
      <c r="D1055" t="s">
        <v>53</v>
      </c>
      <c r="G1055" t="s">
        <v>54</v>
      </c>
      <c r="H1055" t="s">
        <v>70</v>
      </c>
      <c r="I1055" t="s">
        <v>69</v>
      </c>
      <c r="J1055" t="s">
        <v>62</v>
      </c>
      <c r="K1055" t="s">
        <v>57</v>
      </c>
      <c r="L1055" t="s">
        <v>58</v>
      </c>
      <c r="M1055" t="s">
        <v>58</v>
      </c>
      <c r="N1055">
        <v>5</v>
      </c>
      <c r="O1055">
        <v>4</v>
      </c>
      <c r="P1055">
        <v>4</v>
      </c>
      <c r="Q1055">
        <v>4</v>
      </c>
      <c r="R1055">
        <v>4</v>
      </c>
      <c r="S1055">
        <v>5</v>
      </c>
      <c r="T1055">
        <v>5</v>
      </c>
      <c r="U1055">
        <v>5</v>
      </c>
      <c r="V1055">
        <v>5</v>
      </c>
      <c r="W1055">
        <v>5</v>
      </c>
      <c r="X1055">
        <v>4</v>
      </c>
      <c r="Y1055">
        <v>5</v>
      </c>
      <c r="Z1055">
        <v>4</v>
      </c>
      <c r="AA1055">
        <v>5</v>
      </c>
      <c r="AB1055">
        <v>2</v>
      </c>
      <c r="AC1055">
        <v>5</v>
      </c>
      <c r="AD1055">
        <v>5</v>
      </c>
      <c r="AE1055">
        <v>5</v>
      </c>
      <c r="AF1055">
        <v>2</v>
      </c>
      <c r="AG1055">
        <v>5</v>
      </c>
      <c r="AH1055">
        <v>2</v>
      </c>
      <c r="AI1055">
        <v>4</v>
      </c>
      <c r="AJ1055">
        <v>4</v>
      </c>
      <c r="AK1055" t="b">
        <f>Table67[[#This Row],[What is your age?]]&lt;&gt;"18 - 25"</f>
        <v>0</v>
      </c>
      <c r="AL1055" t="b">
        <f t="shared" si="64"/>
        <v>0</v>
      </c>
      <c r="AM1055" t="b">
        <f t="shared" si="65"/>
        <v>0</v>
      </c>
      <c r="AN1055" t="b">
        <f t="shared" si="66"/>
        <v>0</v>
      </c>
      <c r="AO1055" t="b">
        <f>OR(Table67[[#This Row],[Ineligible respondents]:[Inconsistent response on opposite question (3)]])</f>
        <v>0</v>
      </c>
      <c r="AP105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12</v>
      </c>
      <c r="AQ1055">
        <f>Table67[[#This Row],[Extreme Response]]/21</f>
        <v>0.5714285714285714</v>
      </c>
      <c r="AR1055">
        <f>_xlfn.PERCENTILE.INC(Table67[Extrem Response Ratio (ERS)],0.9)</f>
        <v>0.61904761904761907</v>
      </c>
      <c r="AS1055" t="b">
        <f>Table67[[#This Row],[Extrem Response Ratio (ERS)]]&gt;=Table67[[#This Row],[Threshold of ERS]]</f>
        <v>0</v>
      </c>
      <c r="AT1055">
        <f>COUNTIF(Table67[[#This Row],[The mechanism of digital assets is difficult to understand, which discourages me from exploring it (E.g, Tokenization, Blockchain)]:[If I want to try different ways to invest, I will explore digital assets.]], 3)</f>
        <v>0</v>
      </c>
      <c r="AU1055">
        <f>Table67[[#This Row],[Midpoint]]/21</f>
        <v>0</v>
      </c>
      <c r="AV1055">
        <f>_xlfn.PERCENTILE.INC(Table67[Midpoint ratio],0.9)</f>
        <v>0.5714285714285714</v>
      </c>
      <c r="AW1055" t="b">
        <f>Table67[[#This Row],[Midpoint ratio]]&gt;=Table67[[#This Row],[Threshold of Midpoint ratio]]</f>
        <v>0</v>
      </c>
      <c r="AX1055" t="b">
        <f>OR(Table67[[#This Row],[Extreme Response Style]],Table67[[#This Row],[Mid-point Response Style]])</f>
        <v>0</v>
      </c>
      <c r="AY1055" t="b">
        <f>OR(Table67[[#This Row],[Delete? (Stage 1)]],Table67[[#This Row],[Delete? (Stage 2)]])</f>
        <v>0</v>
      </c>
      <c r="AZ1055" t="s">
        <v>84</v>
      </c>
    </row>
    <row r="1056" spans="1:52">
      <c r="A1056">
        <f t="shared" si="67"/>
        <v>1055</v>
      </c>
      <c r="B1056" s="3">
        <v>46056.885439814803</v>
      </c>
      <c r="C1056" s="3">
        <v>46056.8991087963</v>
      </c>
      <c r="D1056" t="s">
        <v>53</v>
      </c>
      <c r="G1056" t="s">
        <v>54</v>
      </c>
      <c r="H1056" t="s">
        <v>63</v>
      </c>
      <c r="I1056" t="s">
        <v>69</v>
      </c>
      <c r="J1056" t="s">
        <v>57</v>
      </c>
      <c r="K1056" t="s">
        <v>57</v>
      </c>
      <c r="L1056" t="s">
        <v>58</v>
      </c>
      <c r="M1056" t="s">
        <v>58</v>
      </c>
      <c r="N1056">
        <v>3</v>
      </c>
      <c r="O1056">
        <v>1</v>
      </c>
      <c r="P1056">
        <v>4</v>
      </c>
      <c r="Q1056">
        <v>3</v>
      </c>
      <c r="R1056">
        <v>5</v>
      </c>
      <c r="S1056">
        <v>5</v>
      </c>
      <c r="T1056">
        <v>2</v>
      </c>
      <c r="U1056">
        <v>5</v>
      </c>
      <c r="V1056">
        <v>5</v>
      </c>
      <c r="W1056">
        <v>4</v>
      </c>
      <c r="X1056">
        <v>4</v>
      </c>
      <c r="Y1056">
        <v>4</v>
      </c>
      <c r="Z1056">
        <v>3</v>
      </c>
      <c r="AA1056">
        <v>2</v>
      </c>
      <c r="AB1056">
        <v>1</v>
      </c>
      <c r="AC1056">
        <v>3</v>
      </c>
      <c r="AD1056">
        <v>3</v>
      </c>
      <c r="AE1056">
        <v>2</v>
      </c>
      <c r="AF1056">
        <v>3</v>
      </c>
      <c r="AG1056">
        <v>4</v>
      </c>
      <c r="AH1056">
        <v>3</v>
      </c>
      <c r="AI1056">
        <v>3</v>
      </c>
      <c r="AJ1056">
        <v>3</v>
      </c>
      <c r="AK1056" t="b">
        <f>Table67[[#This Row],[What is your age?]]&lt;&gt;"18 - 25"</f>
        <v>0</v>
      </c>
      <c r="AL1056" t="b">
        <f t="shared" si="64"/>
        <v>0</v>
      </c>
      <c r="AM1056" t="b">
        <f t="shared" si="65"/>
        <v>0</v>
      </c>
      <c r="AN1056" t="b">
        <f t="shared" si="66"/>
        <v>1</v>
      </c>
      <c r="AO1056" t="b">
        <f>OR(Table67[[#This Row],[Ineligible respondents]:[Inconsistent response on opposite question (3)]])</f>
        <v>1</v>
      </c>
      <c r="AP105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056">
        <f>Table67[[#This Row],[Extreme Response]]/21</f>
        <v>0.2857142857142857</v>
      </c>
      <c r="AR1056">
        <f>_xlfn.PERCENTILE.INC(Table67[Extrem Response Ratio (ERS)],0.9)</f>
        <v>0.61904761904761907</v>
      </c>
      <c r="AS1056" t="b">
        <f>Table67[[#This Row],[Extrem Response Ratio (ERS)]]&gt;=Table67[[#This Row],[Threshold of ERS]]</f>
        <v>0</v>
      </c>
      <c r="AT1056">
        <f>COUNTIF(Table67[[#This Row],[The mechanism of digital assets is difficult to understand, which discourages me from exploring it (E.g, Tokenization, Blockchain)]:[If I want to try different ways to invest, I will explore digital assets.]], 3)</f>
        <v>7</v>
      </c>
      <c r="AU1056">
        <f>Table67[[#This Row],[Midpoint]]/21</f>
        <v>0.33333333333333331</v>
      </c>
      <c r="AV1056">
        <f>_xlfn.PERCENTILE.INC(Table67[Midpoint ratio],0.9)</f>
        <v>0.5714285714285714</v>
      </c>
      <c r="AW1056" t="b">
        <f>Table67[[#This Row],[Midpoint ratio]]&gt;=Table67[[#This Row],[Threshold of Midpoint ratio]]</f>
        <v>0</v>
      </c>
      <c r="AX1056" t="b">
        <f>OR(Table67[[#This Row],[Extreme Response Style]],Table67[[#This Row],[Mid-point Response Style]])</f>
        <v>0</v>
      </c>
      <c r="AY1056" t="b">
        <f>OR(Table67[[#This Row],[Delete? (Stage 1)]],Table67[[#This Row],[Delete? (Stage 2)]])</f>
        <v>1</v>
      </c>
      <c r="AZ1056" t="s">
        <v>84</v>
      </c>
    </row>
    <row r="1057" spans="1:52">
      <c r="A1057">
        <f t="shared" si="67"/>
        <v>1056</v>
      </c>
      <c r="B1057" s="3">
        <v>46056.885486111103</v>
      </c>
      <c r="C1057" s="3">
        <v>46056.887118055602</v>
      </c>
      <c r="D1057" t="s">
        <v>53</v>
      </c>
      <c r="G1057" t="s">
        <v>54</v>
      </c>
      <c r="H1057" t="s">
        <v>63</v>
      </c>
      <c r="I1057" t="s">
        <v>56</v>
      </c>
      <c r="J1057" t="s">
        <v>62</v>
      </c>
      <c r="K1057" t="s">
        <v>62</v>
      </c>
      <c r="L1057" t="s">
        <v>58</v>
      </c>
      <c r="M1057" t="s">
        <v>58</v>
      </c>
      <c r="N1057">
        <v>4</v>
      </c>
      <c r="O1057">
        <v>3</v>
      </c>
      <c r="P1057">
        <v>5</v>
      </c>
      <c r="Q1057">
        <v>3</v>
      </c>
      <c r="R1057">
        <v>4</v>
      </c>
      <c r="S1057">
        <v>5</v>
      </c>
      <c r="T1057">
        <v>3</v>
      </c>
      <c r="U1057">
        <v>3</v>
      </c>
      <c r="V1057">
        <v>4</v>
      </c>
      <c r="W1057">
        <v>4</v>
      </c>
      <c r="X1057">
        <v>3</v>
      </c>
      <c r="Y1057">
        <v>4</v>
      </c>
      <c r="Z1057">
        <v>3</v>
      </c>
      <c r="AA1057">
        <v>4</v>
      </c>
      <c r="AB1057">
        <v>4</v>
      </c>
      <c r="AC1057">
        <v>4</v>
      </c>
      <c r="AD1057">
        <v>4</v>
      </c>
      <c r="AE1057">
        <v>2</v>
      </c>
      <c r="AF1057">
        <v>3</v>
      </c>
      <c r="AG1057">
        <v>3</v>
      </c>
      <c r="AH1057">
        <v>3</v>
      </c>
      <c r="AI1057">
        <v>3</v>
      </c>
      <c r="AJ1057">
        <v>3</v>
      </c>
      <c r="AK1057" t="b">
        <f>Table67[[#This Row],[What is your age?]]&lt;&gt;"18 - 25"</f>
        <v>0</v>
      </c>
      <c r="AL1057" t="b">
        <f t="shared" si="64"/>
        <v>0</v>
      </c>
      <c r="AM1057" t="b">
        <f t="shared" si="65"/>
        <v>0</v>
      </c>
      <c r="AN1057" t="b">
        <f t="shared" si="66"/>
        <v>0</v>
      </c>
      <c r="AO1057" t="b">
        <f>OR(Table67[[#This Row],[Ineligible respondents]:[Inconsistent response on opposite question (3)]])</f>
        <v>0</v>
      </c>
      <c r="AP105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057">
        <f>Table67[[#This Row],[Extreme Response]]/21</f>
        <v>9.5238095238095233E-2</v>
      </c>
      <c r="AR1057">
        <f>_xlfn.PERCENTILE.INC(Table67[Extrem Response Ratio (ERS)],0.9)</f>
        <v>0.61904761904761907</v>
      </c>
      <c r="AS1057" t="b">
        <f>Table67[[#This Row],[Extrem Response Ratio (ERS)]]&gt;=Table67[[#This Row],[Threshold of ERS]]</f>
        <v>0</v>
      </c>
      <c r="AT1057">
        <f>COUNTIF(Table67[[#This Row],[The mechanism of digital assets is difficult to understand, which discourages me from exploring it (E.g, Tokenization, Blockchain)]:[If I want to try different ways to invest, I will explore digital assets.]], 3)</f>
        <v>9</v>
      </c>
      <c r="AU1057">
        <f>Table67[[#This Row],[Midpoint]]/21</f>
        <v>0.42857142857142855</v>
      </c>
      <c r="AV1057">
        <f>_xlfn.PERCENTILE.INC(Table67[Midpoint ratio],0.9)</f>
        <v>0.5714285714285714</v>
      </c>
      <c r="AW1057" t="b">
        <f>Table67[[#This Row],[Midpoint ratio]]&gt;=Table67[[#This Row],[Threshold of Midpoint ratio]]</f>
        <v>0</v>
      </c>
      <c r="AX1057" t="b">
        <f>OR(Table67[[#This Row],[Extreme Response Style]],Table67[[#This Row],[Mid-point Response Style]])</f>
        <v>0</v>
      </c>
      <c r="AY1057" t="b">
        <f>OR(Table67[[#This Row],[Delete? (Stage 1)]],Table67[[#This Row],[Delete? (Stage 2)]])</f>
        <v>0</v>
      </c>
      <c r="AZ1057" t="s">
        <v>84</v>
      </c>
    </row>
    <row r="1058" spans="1:52">
      <c r="A1058">
        <f t="shared" si="67"/>
        <v>1057</v>
      </c>
      <c r="B1058" s="3">
        <v>46056.8855555556</v>
      </c>
      <c r="C1058" s="3">
        <v>46056.888055555602</v>
      </c>
      <c r="D1058" t="s">
        <v>53</v>
      </c>
      <c r="G1058" t="s">
        <v>54</v>
      </c>
      <c r="H1058" t="s">
        <v>55</v>
      </c>
      <c r="I1058" t="s">
        <v>75</v>
      </c>
      <c r="J1058" t="s">
        <v>65</v>
      </c>
      <c r="K1058" t="s">
        <v>60</v>
      </c>
      <c r="L1058" t="s">
        <v>58</v>
      </c>
      <c r="M1058" t="s">
        <v>58</v>
      </c>
      <c r="N1058">
        <v>4</v>
      </c>
      <c r="O1058">
        <v>1</v>
      </c>
      <c r="P1058">
        <v>4</v>
      </c>
      <c r="Q1058">
        <v>3</v>
      </c>
      <c r="R1058">
        <v>1</v>
      </c>
      <c r="S1058">
        <v>2</v>
      </c>
      <c r="T1058">
        <v>4</v>
      </c>
      <c r="U1058">
        <v>4</v>
      </c>
      <c r="V1058">
        <v>3</v>
      </c>
      <c r="W1058">
        <v>4</v>
      </c>
      <c r="X1058">
        <v>3</v>
      </c>
      <c r="Y1058">
        <v>5</v>
      </c>
      <c r="Z1058">
        <v>4</v>
      </c>
      <c r="AA1058">
        <v>5</v>
      </c>
      <c r="AB1058">
        <v>2</v>
      </c>
      <c r="AC1058">
        <v>4</v>
      </c>
      <c r="AD1058">
        <v>4</v>
      </c>
      <c r="AE1058">
        <v>1</v>
      </c>
      <c r="AF1058">
        <v>2</v>
      </c>
      <c r="AG1058">
        <v>2</v>
      </c>
      <c r="AH1058">
        <v>2</v>
      </c>
      <c r="AI1058">
        <v>4</v>
      </c>
      <c r="AJ1058">
        <v>4</v>
      </c>
      <c r="AK1058" t="b">
        <f>Table67[[#This Row],[What is your age?]]&lt;&gt;"18 - 25"</f>
        <v>0</v>
      </c>
      <c r="AL1058" t="b">
        <f t="shared" si="64"/>
        <v>0</v>
      </c>
      <c r="AM1058" t="b">
        <f t="shared" si="65"/>
        <v>1</v>
      </c>
      <c r="AN1058" t="b">
        <f t="shared" si="66"/>
        <v>0</v>
      </c>
      <c r="AO1058" t="b">
        <f>OR(Table67[[#This Row],[Ineligible respondents]:[Inconsistent response on opposite question (3)]])</f>
        <v>1</v>
      </c>
      <c r="AP105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058">
        <f>Table67[[#This Row],[Extreme Response]]/21</f>
        <v>0.23809523809523808</v>
      </c>
      <c r="AR1058">
        <f>_xlfn.PERCENTILE.INC(Table67[Extrem Response Ratio (ERS)],0.9)</f>
        <v>0.61904761904761907</v>
      </c>
      <c r="AS1058" t="b">
        <f>Table67[[#This Row],[Extrem Response Ratio (ERS)]]&gt;=Table67[[#This Row],[Threshold of ERS]]</f>
        <v>0</v>
      </c>
      <c r="AT1058">
        <f>COUNTIF(Table67[[#This Row],[The mechanism of digital assets is difficult to understand, which discourages me from exploring it (E.g, Tokenization, Blockchain)]:[If I want to try different ways to invest, I will explore digital assets.]], 3)</f>
        <v>3</v>
      </c>
      <c r="AU1058">
        <f>Table67[[#This Row],[Midpoint]]/21</f>
        <v>0.14285714285714285</v>
      </c>
      <c r="AV1058">
        <f>_xlfn.PERCENTILE.INC(Table67[Midpoint ratio],0.9)</f>
        <v>0.5714285714285714</v>
      </c>
      <c r="AW1058" t="b">
        <f>Table67[[#This Row],[Midpoint ratio]]&gt;=Table67[[#This Row],[Threshold of Midpoint ratio]]</f>
        <v>0</v>
      </c>
      <c r="AX1058" t="b">
        <f>OR(Table67[[#This Row],[Extreme Response Style]],Table67[[#This Row],[Mid-point Response Style]])</f>
        <v>0</v>
      </c>
      <c r="AY1058" t="b">
        <f>OR(Table67[[#This Row],[Delete? (Stage 1)]],Table67[[#This Row],[Delete? (Stage 2)]])</f>
        <v>1</v>
      </c>
      <c r="AZ1058" t="s">
        <v>84</v>
      </c>
    </row>
    <row r="1059" spans="1:52">
      <c r="A1059">
        <f t="shared" si="67"/>
        <v>1058</v>
      </c>
      <c r="B1059" s="3">
        <v>46056.8855555556</v>
      </c>
      <c r="C1059" s="3">
        <v>46056.892210648097</v>
      </c>
      <c r="D1059" t="s">
        <v>53</v>
      </c>
      <c r="G1059" t="s">
        <v>54</v>
      </c>
      <c r="H1059" t="s">
        <v>55</v>
      </c>
      <c r="I1059" t="s">
        <v>56</v>
      </c>
      <c r="J1059" t="s">
        <v>57</v>
      </c>
      <c r="K1059" t="s">
        <v>57</v>
      </c>
      <c r="L1059" t="s">
        <v>58</v>
      </c>
      <c r="M1059" t="s">
        <v>58</v>
      </c>
      <c r="N1059">
        <v>2</v>
      </c>
      <c r="O1059">
        <v>1</v>
      </c>
      <c r="P1059">
        <v>4</v>
      </c>
      <c r="Q1059">
        <v>3</v>
      </c>
      <c r="R1059">
        <v>2</v>
      </c>
      <c r="S1059">
        <v>4</v>
      </c>
      <c r="T1059">
        <v>4</v>
      </c>
      <c r="U1059">
        <v>4</v>
      </c>
      <c r="V1059">
        <v>4</v>
      </c>
      <c r="W1059">
        <v>4</v>
      </c>
      <c r="X1059">
        <v>4</v>
      </c>
      <c r="Y1059">
        <v>4</v>
      </c>
      <c r="Z1059">
        <v>4</v>
      </c>
      <c r="AA1059">
        <v>4</v>
      </c>
      <c r="AB1059">
        <v>3</v>
      </c>
      <c r="AC1059">
        <v>3</v>
      </c>
      <c r="AD1059">
        <v>4</v>
      </c>
      <c r="AE1059">
        <v>2</v>
      </c>
      <c r="AF1059">
        <v>2</v>
      </c>
      <c r="AG1059">
        <v>4</v>
      </c>
      <c r="AH1059">
        <v>2</v>
      </c>
      <c r="AI1059">
        <v>4</v>
      </c>
      <c r="AJ1059">
        <v>4</v>
      </c>
      <c r="AK1059" t="b">
        <f>Table67[[#This Row],[What is your age?]]&lt;&gt;"18 - 25"</f>
        <v>0</v>
      </c>
      <c r="AL1059" t="b">
        <f t="shared" si="64"/>
        <v>0</v>
      </c>
      <c r="AM1059" t="b">
        <f t="shared" si="65"/>
        <v>0</v>
      </c>
      <c r="AN1059" t="b">
        <f t="shared" si="66"/>
        <v>0</v>
      </c>
      <c r="AO1059" t="b">
        <f>OR(Table67[[#This Row],[Ineligible respondents]:[Inconsistent response on opposite question (3)]])</f>
        <v>0</v>
      </c>
      <c r="AP105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059">
        <f>Table67[[#This Row],[Extreme Response]]/21</f>
        <v>4.7619047619047616E-2</v>
      </c>
      <c r="AR1059">
        <f>_xlfn.PERCENTILE.INC(Table67[Extrem Response Ratio (ERS)],0.9)</f>
        <v>0.61904761904761907</v>
      </c>
      <c r="AS1059" t="b">
        <f>Table67[[#This Row],[Extrem Response Ratio (ERS)]]&gt;=Table67[[#This Row],[Threshold of ERS]]</f>
        <v>0</v>
      </c>
      <c r="AT1059">
        <f>COUNTIF(Table67[[#This Row],[The mechanism of digital assets is difficult to understand, which discourages me from exploring it (E.g, Tokenization, Blockchain)]:[If I want to try different ways to invest, I will explore digital assets.]], 3)</f>
        <v>3</v>
      </c>
      <c r="AU1059">
        <f>Table67[[#This Row],[Midpoint]]/21</f>
        <v>0.14285714285714285</v>
      </c>
      <c r="AV1059">
        <f>_xlfn.PERCENTILE.INC(Table67[Midpoint ratio],0.9)</f>
        <v>0.5714285714285714</v>
      </c>
      <c r="AW1059" t="b">
        <f>Table67[[#This Row],[Midpoint ratio]]&gt;=Table67[[#This Row],[Threshold of Midpoint ratio]]</f>
        <v>0</v>
      </c>
      <c r="AX1059" t="b">
        <f>OR(Table67[[#This Row],[Extreme Response Style]],Table67[[#This Row],[Mid-point Response Style]])</f>
        <v>0</v>
      </c>
      <c r="AY1059" t="b">
        <f>OR(Table67[[#This Row],[Delete? (Stage 1)]],Table67[[#This Row],[Delete? (Stage 2)]])</f>
        <v>0</v>
      </c>
      <c r="AZ1059" t="s">
        <v>84</v>
      </c>
    </row>
    <row r="1060" spans="1:52">
      <c r="A1060">
        <f t="shared" si="67"/>
        <v>1059</v>
      </c>
      <c r="B1060" s="3">
        <v>46056.885601851798</v>
      </c>
      <c r="C1060" s="3">
        <v>46056.888275463003</v>
      </c>
      <c r="D1060" t="s">
        <v>53</v>
      </c>
      <c r="G1060" t="s">
        <v>54</v>
      </c>
      <c r="H1060" t="s">
        <v>63</v>
      </c>
      <c r="I1060" t="s">
        <v>71</v>
      </c>
      <c r="J1060" t="s">
        <v>62</v>
      </c>
      <c r="K1060" t="s">
        <v>62</v>
      </c>
      <c r="L1060" t="s">
        <v>61</v>
      </c>
      <c r="M1060" t="s">
        <v>61</v>
      </c>
      <c r="N1060">
        <v>4</v>
      </c>
      <c r="O1060">
        <v>4</v>
      </c>
      <c r="P1060">
        <v>5</v>
      </c>
      <c r="Q1060">
        <v>4</v>
      </c>
      <c r="R1060">
        <v>2</v>
      </c>
      <c r="S1060">
        <v>2</v>
      </c>
      <c r="T1060">
        <v>4</v>
      </c>
      <c r="U1060">
        <v>4</v>
      </c>
      <c r="V1060">
        <v>4</v>
      </c>
      <c r="W1060">
        <v>5</v>
      </c>
      <c r="X1060">
        <v>3</v>
      </c>
      <c r="Y1060">
        <v>4</v>
      </c>
      <c r="Z1060">
        <v>1</v>
      </c>
      <c r="AA1060">
        <v>4</v>
      </c>
      <c r="AB1060">
        <v>4</v>
      </c>
      <c r="AC1060">
        <v>4</v>
      </c>
      <c r="AD1060">
        <v>5</v>
      </c>
      <c r="AE1060">
        <v>5</v>
      </c>
      <c r="AF1060">
        <v>3</v>
      </c>
      <c r="AG1060">
        <v>3</v>
      </c>
      <c r="AH1060">
        <v>4</v>
      </c>
      <c r="AI1060">
        <v>2</v>
      </c>
      <c r="AJ1060">
        <v>3</v>
      </c>
      <c r="AK1060" t="b">
        <f>Table67[[#This Row],[What is your age?]]&lt;&gt;"18 - 25"</f>
        <v>0</v>
      </c>
      <c r="AL1060" t="b">
        <f t="shared" si="64"/>
        <v>0</v>
      </c>
      <c r="AM1060" t="b">
        <f t="shared" si="65"/>
        <v>0</v>
      </c>
      <c r="AN1060" t="b">
        <f t="shared" si="66"/>
        <v>1</v>
      </c>
      <c r="AO1060" t="b">
        <f>OR(Table67[[#This Row],[Ineligible respondents]:[Inconsistent response on opposite question (3)]])</f>
        <v>1</v>
      </c>
      <c r="AP106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060">
        <f>Table67[[#This Row],[Extreme Response]]/21</f>
        <v>0.23809523809523808</v>
      </c>
      <c r="AR1060">
        <f>_xlfn.PERCENTILE.INC(Table67[Extrem Response Ratio (ERS)],0.9)</f>
        <v>0.61904761904761907</v>
      </c>
      <c r="AS1060" t="b">
        <f>Table67[[#This Row],[Extrem Response Ratio (ERS)]]&gt;=Table67[[#This Row],[Threshold of ERS]]</f>
        <v>0</v>
      </c>
      <c r="AT1060">
        <f>COUNTIF(Table67[[#This Row],[The mechanism of digital assets is difficult to understand, which discourages me from exploring it (E.g, Tokenization, Blockchain)]:[If I want to try different ways to invest, I will explore digital assets.]], 3)</f>
        <v>3</v>
      </c>
      <c r="AU1060">
        <f>Table67[[#This Row],[Midpoint]]/21</f>
        <v>0.14285714285714285</v>
      </c>
      <c r="AV1060">
        <f>_xlfn.PERCENTILE.INC(Table67[Midpoint ratio],0.9)</f>
        <v>0.5714285714285714</v>
      </c>
      <c r="AW1060" t="b">
        <f>Table67[[#This Row],[Midpoint ratio]]&gt;=Table67[[#This Row],[Threshold of Midpoint ratio]]</f>
        <v>0</v>
      </c>
      <c r="AX1060" t="b">
        <f>OR(Table67[[#This Row],[Extreme Response Style]],Table67[[#This Row],[Mid-point Response Style]])</f>
        <v>0</v>
      </c>
      <c r="AY1060" t="b">
        <f>OR(Table67[[#This Row],[Delete? (Stage 1)]],Table67[[#This Row],[Delete? (Stage 2)]])</f>
        <v>1</v>
      </c>
      <c r="AZ1060" t="s">
        <v>84</v>
      </c>
    </row>
    <row r="1061" spans="1:52">
      <c r="A1061">
        <f t="shared" si="67"/>
        <v>1060</v>
      </c>
      <c r="B1061" s="3">
        <v>46056.885601851798</v>
      </c>
      <c r="C1061" s="3">
        <v>46056.897337962997</v>
      </c>
      <c r="D1061" t="s">
        <v>53</v>
      </c>
      <c r="G1061" t="s">
        <v>54</v>
      </c>
      <c r="H1061" t="s">
        <v>63</v>
      </c>
      <c r="I1061" t="s">
        <v>56</v>
      </c>
      <c r="J1061" t="s">
        <v>62</v>
      </c>
      <c r="K1061" t="s">
        <v>62</v>
      </c>
      <c r="L1061" t="s">
        <v>61</v>
      </c>
      <c r="M1061" t="s">
        <v>61</v>
      </c>
      <c r="N1061">
        <v>4</v>
      </c>
      <c r="O1061">
        <v>1</v>
      </c>
      <c r="P1061">
        <v>4</v>
      </c>
      <c r="Q1061">
        <v>1</v>
      </c>
      <c r="R1061">
        <v>4</v>
      </c>
      <c r="S1061">
        <v>4</v>
      </c>
      <c r="T1061">
        <v>1</v>
      </c>
      <c r="U1061">
        <v>2</v>
      </c>
      <c r="V1061">
        <v>3</v>
      </c>
      <c r="W1061">
        <v>2</v>
      </c>
      <c r="X1061">
        <v>3</v>
      </c>
      <c r="Y1061">
        <v>2</v>
      </c>
      <c r="Z1061">
        <v>2</v>
      </c>
      <c r="AA1061">
        <v>3</v>
      </c>
      <c r="AB1061">
        <v>3</v>
      </c>
      <c r="AC1061">
        <v>4</v>
      </c>
      <c r="AD1061">
        <v>4</v>
      </c>
      <c r="AE1061">
        <v>5</v>
      </c>
      <c r="AF1061">
        <v>5</v>
      </c>
      <c r="AG1061">
        <v>5</v>
      </c>
      <c r="AH1061">
        <v>4</v>
      </c>
      <c r="AI1061">
        <v>2</v>
      </c>
      <c r="AJ1061">
        <v>1</v>
      </c>
      <c r="AK1061" t="b">
        <f>Table67[[#This Row],[What is your age?]]&lt;&gt;"18 - 25"</f>
        <v>0</v>
      </c>
      <c r="AL1061" t="b">
        <f t="shared" si="64"/>
        <v>0</v>
      </c>
      <c r="AM1061" t="b">
        <f t="shared" si="65"/>
        <v>1</v>
      </c>
      <c r="AN1061" t="b">
        <f t="shared" si="66"/>
        <v>0</v>
      </c>
      <c r="AO1061" t="b">
        <f>OR(Table67[[#This Row],[Ineligible respondents]:[Inconsistent response on opposite question (3)]])</f>
        <v>1</v>
      </c>
      <c r="AP106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061">
        <f>Table67[[#This Row],[Extreme Response]]/21</f>
        <v>0.2857142857142857</v>
      </c>
      <c r="AR1061">
        <f>_xlfn.PERCENTILE.INC(Table67[Extrem Response Ratio (ERS)],0.9)</f>
        <v>0.61904761904761907</v>
      </c>
      <c r="AS1061" t="b">
        <f>Table67[[#This Row],[Extrem Response Ratio (ERS)]]&gt;=Table67[[#This Row],[Threshold of ERS]]</f>
        <v>0</v>
      </c>
      <c r="AT1061">
        <f>COUNTIF(Table67[[#This Row],[The mechanism of digital assets is difficult to understand, which discourages me from exploring it (E.g, Tokenization, Blockchain)]:[If I want to try different ways to invest, I will explore digital assets.]], 3)</f>
        <v>4</v>
      </c>
      <c r="AU1061">
        <f>Table67[[#This Row],[Midpoint]]/21</f>
        <v>0.19047619047619047</v>
      </c>
      <c r="AV1061">
        <f>_xlfn.PERCENTILE.INC(Table67[Midpoint ratio],0.9)</f>
        <v>0.5714285714285714</v>
      </c>
      <c r="AW1061" t="b">
        <f>Table67[[#This Row],[Midpoint ratio]]&gt;=Table67[[#This Row],[Threshold of Midpoint ratio]]</f>
        <v>0</v>
      </c>
      <c r="AX1061" t="b">
        <f>OR(Table67[[#This Row],[Extreme Response Style]],Table67[[#This Row],[Mid-point Response Style]])</f>
        <v>0</v>
      </c>
      <c r="AY1061" t="b">
        <f>OR(Table67[[#This Row],[Delete? (Stage 1)]],Table67[[#This Row],[Delete? (Stage 2)]])</f>
        <v>1</v>
      </c>
      <c r="AZ1061" t="s">
        <v>84</v>
      </c>
    </row>
    <row r="1062" spans="1:52">
      <c r="A1062">
        <f t="shared" si="67"/>
        <v>1061</v>
      </c>
      <c r="B1062" s="3">
        <v>46056.885648148098</v>
      </c>
      <c r="C1062" s="3">
        <v>46056.890011574098</v>
      </c>
      <c r="D1062" t="s">
        <v>53</v>
      </c>
      <c r="G1062" t="s">
        <v>54</v>
      </c>
      <c r="H1062" t="s">
        <v>63</v>
      </c>
      <c r="I1062" t="s">
        <v>75</v>
      </c>
      <c r="J1062" t="s">
        <v>57</v>
      </c>
      <c r="K1062" t="s">
        <v>57</v>
      </c>
      <c r="L1062" t="s">
        <v>58</v>
      </c>
      <c r="M1062" t="s">
        <v>58</v>
      </c>
      <c r="N1062">
        <v>3</v>
      </c>
      <c r="O1062">
        <v>3</v>
      </c>
      <c r="P1062">
        <v>4</v>
      </c>
      <c r="Q1062">
        <v>4</v>
      </c>
      <c r="R1062">
        <v>4</v>
      </c>
      <c r="S1062">
        <v>4</v>
      </c>
      <c r="T1062">
        <v>4</v>
      </c>
      <c r="U1062">
        <v>4</v>
      </c>
      <c r="V1062">
        <v>5</v>
      </c>
      <c r="W1062">
        <v>5</v>
      </c>
      <c r="X1062">
        <v>3</v>
      </c>
      <c r="Y1062">
        <v>4</v>
      </c>
      <c r="Z1062">
        <v>4</v>
      </c>
      <c r="AA1062">
        <v>4</v>
      </c>
      <c r="AB1062">
        <v>3</v>
      </c>
      <c r="AC1062">
        <v>3</v>
      </c>
      <c r="AD1062">
        <v>4</v>
      </c>
      <c r="AE1062">
        <v>4</v>
      </c>
      <c r="AF1062">
        <v>3</v>
      </c>
      <c r="AG1062">
        <v>3</v>
      </c>
      <c r="AH1062">
        <v>3</v>
      </c>
      <c r="AI1062">
        <v>3</v>
      </c>
      <c r="AJ1062">
        <v>3</v>
      </c>
      <c r="AK1062" t="b">
        <f>Table67[[#This Row],[What is your age?]]&lt;&gt;"18 - 25"</f>
        <v>0</v>
      </c>
      <c r="AL1062" t="b">
        <f t="shared" si="64"/>
        <v>0</v>
      </c>
      <c r="AM1062" t="b">
        <f t="shared" si="65"/>
        <v>0</v>
      </c>
      <c r="AN1062" t="b">
        <f t="shared" si="66"/>
        <v>0</v>
      </c>
      <c r="AO1062" t="b">
        <f>OR(Table67[[#This Row],[Ineligible respondents]:[Inconsistent response on opposite question (3)]])</f>
        <v>0</v>
      </c>
      <c r="AP106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062">
        <f>Table67[[#This Row],[Extreme Response]]/21</f>
        <v>9.5238095238095233E-2</v>
      </c>
      <c r="AR1062">
        <f>_xlfn.PERCENTILE.INC(Table67[Extrem Response Ratio (ERS)],0.9)</f>
        <v>0.61904761904761907</v>
      </c>
      <c r="AS1062" t="b">
        <f>Table67[[#This Row],[Extrem Response Ratio (ERS)]]&gt;=Table67[[#This Row],[Threshold of ERS]]</f>
        <v>0</v>
      </c>
      <c r="AT1062">
        <f>COUNTIF(Table67[[#This Row],[The mechanism of digital assets is difficult to understand, which discourages me from exploring it (E.g, Tokenization, Blockchain)]:[If I want to try different ways to invest, I will explore digital assets.]], 3)</f>
        <v>8</v>
      </c>
      <c r="AU1062">
        <f>Table67[[#This Row],[Midpoint]]/21</f>
        <v>0.38095238095238093</v>
      </c>
      <c r="AV1062">
        <f>_xlfn.PERCENTILE.INC(Table67[Midpoint ratio],0.9)</f>
        <v>0.5714285714285714</v>
      </c>
      <c r="AW1062" t="b">
        <f>Table67[[#This Row],[Midpoint ratio]]&gt;=Table67[[#This Row],[Threshold of Midpoint ratio]]</f>
        <v>0</v>
      </c>
      <c r="AX1062" t="b">
        <f>OR(Table67[[#This Row],[Extreme Response Style]],Table67[[#This Row],[Mid-point Response Style]])</f>
        <v>0</v>
      </c>
      <c r="AY1062" t="b">
        <f>OR(Table67[[#This Row],[Delete? (Stage 1)]],Table67[[#This Row],[Delete? (Stage 2)]])</f>
        <v>0</v>
      </c>
      <c r="AZ1062" t="s">
        <v>84</v>
      </c>
    </row>
    <row r="1063" spans="1:52">
      <c r="A1063">
        <f t="shared" si="67"/>
        <v>1062</v>
      </c>
      <c r="B1063" s="3">
        <v>46056.885671296302</v>
      </c>
      <c r="C1063" s="3">
        <v>46056.8878356481</v>
      </c>
      <c r="D1063" t="s">
        <v>53</v>
      </c>
      <c r="G1063" t="s">
        <v>54</v>
      </c>
      <c r="H1063" t="s">
        <v>63</v>
      </c>
      <c r="I1063" t="s">
        <v>82</v>
      </c>
      <c r="J1063" t="s">
        <v>66</v>
      </c>
      <c r="K1063" t="s">
        <v>64</v>
      </c>
      <c r="L1063" t="s">
        <v>61</v>
      </c>
      <c r="M1063" t="s">
        <v>61</v>
      </c>
      <c r="N1063">
        <v>1</v>
      </c>
      <c r="O1063">
        <v>1</v>
      </c>
      <c r="P1063">
        <v>4</v>
      </c>
      <c r="Q1063">
        <v>1</v>
      </c>
      <c r="R1063">
        <v>3</v>
      </c>
      <c r="S1063">
        <v>1</v>
      </c>
      <c r="T1063">
        <v>5</v>
      </c>
      <c r="U1063">
        <v>1</v>
      </c>
      <c r="V1063">
        <v>5</v>
      </c>
      <c r="W1063">
        <v>5</v>
      </c>
      <c r="X1063">
        <v>5</v>
      </c>
      <c r="Y1063">
        <v>5</v>
      </c>
      <c r="Z1063">
        <v>5</v>
      </c>
      <c r="AA1063">
        <v>5</v>
      </c>
      <c r="AB1063">
        <v>5</v>
      </c>
      <c r="AC1063">
        <v>1</v>
      </c>
      <c r="AD1063">
        <v>1</v>
      </c>
      <c r="AE1063">
        <v>5</v>
      </c>
      <c r="AF1063">
        <v>5</v>
      </c>
      <c r="AG1063">
        <v>1</v>
      </c>
      <c r="AH1063">
        <v>5</v>
      </c>
      <c r="AI1063">
        <v>1</v>
      </c>
      <c r="AJ1063">
        <v>1</v>
      </c>
      <c r="AK1063" t="b">
        <f>Table67[[#This Row],[What is your age?]]&lt;&gt;"18 - 25"</f>
        <v>0</v>
      </c>
      <c r="AL1063" t="b">
        <f t="shared" si="64"/>
        <v>0</v>
      </c>
      <c r="AM1063" t="b">
        <f t="shared" si="65"/>
        <v>0</v>
      </c>
      <c r="AN1063" t="b">
        <f t="shared" si="66"/>
        <v>0</v>
      </c>
      <c r="AO1063" t="b">
        <f>OR(Table67[[#This Row],[Ineligible respondents]:[Inconsistent response on opposite question (3)]])</f>
        <v>0</v>
      </c>
      <c r="AP106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19</v>
      </c>
      <c r="AQ1063">
        <f>Table67[[#This Row],[Extreme Response]]/21</f>
        <v>0.90476190476190477</v>
      </c>
      <c r="AR1063">
        <f>_xlfn.PERCENTILE.INC(Table67[Extrem Response Ratio (ERS)],0.9)</f>
        <v>0.61904761904761907</v>
      </c>
      <c r="AS1063" t="b">
        <f>Table67[[#This Row],[Extrem Response Ratio (ERS)]]&gt;=Table67[[#This Row],[Threshold of ERS]]</f>
        <v>1</v>
      </c>
      <c r="AT1063">
        <f>COUNTIF(Table67[[#This Row],[The mechanism of digital assets is difficult to understand, which discourages me from exploring it (E.g, Tokenization, Blockchain)]:[If I want to try different ways to invest, I will explore digital assets.]], 3)</f>
        <v>1</v>
      </c>
      <c r="AU1063">
        <f>Table67[[#This Row],[Midpoint]]/21</f>
        <v>4.7619047619047616E-2</v>
      </c>
      <c r="AV1063">
        <f>_xlfn.PERCENTILE.INC(Table67[Midpoint ratio],0.9)</f>
        <v>0.5714285714285714</v>
      </c>
      <c r="AW1063" t="b">
        <f>Table67[[#This Row],[Midpoint ratio]]&gt;=Table67[[#This Row],[Threshold of Midpoint ratio]]</f>
        <v>0</v>
      </c>
      <c r="AX1063" t="b">
        <f>OR(Table67[[#This Row],[Extreme Response Style]],Table67[[#This Row],[Mid-point Response Style]])</f>
        <v>1</v>
      </c>
      <c r="AY1063" t="b">
        <f>OR(Table67[[#This Row],[Delete? (Stage 1)]],Table67[[#This Row],[Delete? (Stage 2)]])</f>
        <v>1</v>
      </c>
      <c r="AZ1063" t="s">
        <v>84</v>
      </c>
    </row>
    <row r="1064" spans="1:52">
      <c r="A1064">
        <f t="shared" si="67"/>
        <v>1063</v>
      </c>
      <c r="B1064" s="3">
        <v>46056.885682870401</v>
      </c>
      <c r="C1064" s="3">
        <v>46056.890520833302</v>
      </c>
      <c r="D1064" t="s">
        <v>53</v>
      </c>
      <c r="G1064" t="s">
        <v>54</v>
      </c>
      <c r="H1064" t="s">
        <v>55</v>
      </c>
      <c r="I1064" t="s">
        <v>56</v>
      </c>
      <c r="J1064" t="s">
        <v>62</v>
      </c>
      <c r="K1064" t="s">
        <v>62</v>
      </c>
      <c r="L1064" t="s">
        <v>58</v>
      </c>
      <c r="M1064" t="s">
        <v>58</v>
      </c>
      <c r="N1064">
        <v>4</v>
      </c>
      <c r="O1064">
        <v>2</v>
      </c>
      <c r="P1064">
        <v>4</v>
      </c>
      <c r="Q1064">
        <v>3</v>
      </c>
      <c r="R1064">
        <v>5</v>
      </c>
      <c r="S1064">
        <v>3</v>
      </c>
      <c r="T1064">
        <v>3</v>
      </c>
      <c r="U1064">
        <v>5</v>
      </c>
      <c r="V1064">
        <v>5</v>
      </c>
      <c r="W1064">
        <v>5</v>
      </c>
      <c r="X1064">
        <v>5</v>
      </c>
      <c r="Y1064">
        <v>5</v>
      </c>
      <c r="Z1064">
        <v>5</v>
      </c>
      <c r="AA1064">
        <v>5</v>
      </c>
      <c r="AB1064">
        <v>3</v>
      </c>
      <c r="AC1064">
        <v>5</v>
      </c>
      <c r="AD1064">
        <v>5</v>
      </c>
      <c r="AE1064">
        <v>5</v>
      </c>
      <c r="AF1064">
        <v>1</v>
      </c>
      <c r="AG1064">
        <v>5</v>
      </c>
      <c r="AH1064">
        <v>1</v>
      </c>
      <c r="AI1064">
        <v>5</v>
      </c>
      <c r="AJ1064">
        <v>5</v>
      </c>
      <c r="AK1064" t="b">
        <f>Table67[[#This Row],[What is your age?]]&lt;&gt;"18 - 25"</f>
        <v>0</v>
      </c>
      <c r="AL1064" t="b">
        <f t="shared" si="64"/>
        <v>0</v>
      </c>
      <c r="AM1064" t="b">
        <f t="shared" si="65"/>
        <v>0</v>
      </c>
      <c r="AN1064" t="b">
        <f t="shared" si="66"/>
        <v>0</v>
      </c>
      <c r="AO1064" t="b">
        <f>OR(Table67[[#This Row],[Ineligible respondents]:[Inconsistent response on opposite question (3)]])</f>
        <v>0</v>
      </c>
      <c r="AP106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1064">
        <f>Table67[[#This Row],[Extreme Response]]/21</f>
        <v>0.66666666666666663</v>
      </c>
      <c r="AR1064">
        <f>_xlfn.PERCENTILE.INC(Table67[Extrem Response Ratio (ERS)],0.9)</f>
        <v>0.61904761904761907</v>
      </c>
      <c r="AS1064" t="b">
        <f>Table67[[#This Row],[Extrem Response Ratio (ERS)]]&gt;=Table67[[#This Row],[Threshold of ERS]]</f>
        <v>1</v>
      </c>
      <c r="AT1064">
        <f>COUNTIF(Table67[[#This Row],[The mechanism of digital assets is difficult to understand, which discourages me from exploring it (E.g, Tokenization, Blockchain)]:[If I want to try different ways to invest, I will explore digital assets.]], 3)</f>
        <v>4</v>
      </c>
      <c r="AU1064">
        <f>Table67[[#This Row],[Midpoint]]/21</f>
        <v>0.19047619047619047</v>
      </c>
      <c r="AV1064">
        <f>_xlfn.PERCENTILE.INC(Table67[Midpoint ratio],0.9)</f>
        <v>0.5714285714285714</v>
      </c>
      <c r="AW1064" t="b">
        <f>Table67[[#This Row],[Midpoint ratio]]&gt;=Table67[[#This Row],[Threshold of Midpoint ratio]]</f>
        <v>0</v>
      </c>
      <c r="AX1064" t="b">
        <f>OR(Table67[[#This Row],[Extreme Response Style]],Table67[[#This Row],[Mid-point Response Style]])</f>
        <v>1</v>
      </c>
      <c r="AY1064" t="b">
        <f>OR(Table67[[#This Row],[Delete? (Stage 1)]],Table67[[#This Row],[Delete? (Stage 2)]])</f>
        <v>1</v>
      </c>
      <c r="AZ1064" t="s">
        <v>84</v>
      </c>
    </row>
    <row r="1065" spans="1:52">
      <c r="A1065">
        <f t="shared" si="67"/>
        <v>1064</v>
      </c>
      <c r="B1065" s="3">
        <v>46056.885694444398</v>
      </c>
      <c r="C1065" s="3">
        <v>46056.892268518503</v>
      </c>
      <c r="D1065" t="s">
        <v>53</v>
      </c>
      <c r="G1065" t="s">
        <v>54</v>
      </c>
      <c r="H1065" t="s">
        <v>55</v>
      </c>
      <c r="I1065" t="s">
        <v>71</v>
      </c>
      <c r="J1065" t="s">
        <v>62</v>
      </c>
      <c r="K1065" t="s">
        <v>62</v>
      </c>
      <c r="L1065" t="s">
        <v>61</v>
      </c>
      <c r="M1065" t="s">
        <v>61</v>
      </c>
      <c r="N1065">
        <v>1</v>
      </c>
      <c r="O1065">
        <v>1</v>
      </c>
      <c r="P1065">
        <v>5</v>
      </c>
      <c r="Q1065">
        <v>5</v>
      </c>
      <c r="R1065">
        <v>5</v>
      </c>
      <c r="S1065">
        <v>5</v>
      </c>
      <c r="T1065">
        <v>5</v>
      </c>
      <c r="U1065">
        <v>5</v>
      </c>
      <c r="V1065">
        <v>5</v>
      </c>
      <c r="W1065">
        <v>5</v>
      </c>
      <c r="X1065">
        <v>5</v>
      </c>
      <c r="Y1065">
        <v>5</v>
      </c>
      <c r="Z1065">
        <v>5</v>
      </c>
      <c r="AA1065">
        <v>5</v>
      </c>
      <c r="AB1065">
        <v>5</v>
      </c>
      <c r="AC1065">
        <v>5</v>
      </c>
      <c r="AD1065">
        <v>5</v>
      </c>
      <c r="AE1065">
        <v>5</v>
      </c>
      <c r="AF1065">
        <v>1</v>
      </c>
      <c r="AG1065">
        <v>5</v>
      </c>
      <c r="AH1065">
        <v>1</v>
      </c>
      <c r="AI1065">
        <v>5</v>
      </c>
      <c r="AJ1065">
        <v>5</v>
      </c>
      <c r="AK1065" t="b">
        <f>Table67[[#This Row],[What is your age?]]&lt;&gt;"18 - 25"</f>
        <v>0</v>
      </c>
      <c r="AL1065" t="b">
        <f t="shared" si="64"/>
        <v>0</v>
      </c>
      <c r="AM1065" t="b">
        <f t="shared" si="65"/>
        <v>0</v>
      </c>
      <c r="AN1065" t="b">
        <f t="shared" si="66"/>
        <v>0</v>
      </c>
      <c r="AO1065" t="b">
        <f>OR(Table67[[#This Row],[Ineligible respondents]:[Inconsistent response on opposite question (3)]])</f>
        <v>0</v>
      </c>
      <c r="AP106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21</v>
      </c>
      <c r="AQ1065">
        <f>Table67[[#This Row],[Extreme Response]]/21</f>
        <v>1</v>
      </c>
      <c r="AR1065">
        <f>_xlfn.PERCENTILE.INC(Table67[Extrem Response Ratio (ERS)],0.9)</f>
        <v>0.61904761904761907</v>
      </c>
      <c r="AS1065" t="b">
        <f>Table67[[#This Row],[Extrem Response Ratio (ERS)]]&gt;=Table67[[#This Row],[Threshold of ERS]]</f>
        <v>1</v>
      </c>
      <c r="AT1065">
        <f>COUNTIF(Table67[[#This Row],[The mechanism of digital assets is difficult to understand, which discourages me from exploring it (E.g, Tokenization, Blockchain)]:[If I want to try different ways to invest, I will explore digital assets.]], 3)</f>
        <v>0</v>
      </c>
      <c r="AU1065">
        <f>Table67[[#This Row],[Midpoint]]/21</f>
        <v>0</v>
      </c>
      <c r="AV1065">
        <f>_xlfn.PERCENTILE.INC(Table67[Midpoint ratio],0.9)</f>
        <v>0.5714285714285714</v>
      </c>
      <c r="AW1065" t="b">
        <f>Table67[[#This Row],[Midpoint ratio]]&gt;=Table67[[#This Row],[Threshold of Midpoint ratio]]</f>
        <v>0</v>
      </c>
      <c r="AX1065" t="b">
        <f>OR(Table67[[#This Row],[Extreme Response Style]],Table67[[#This Row],[Mid-point Response Style]])</f>
        <v>1</v>
      </c>
      <c r="AY1065" t="b">
        <f>OR(Table67[[#This Row],[Delete? (Stage 1)]],Table67[[#This Row],[Delete? (Stage 2)]])</f>
        <v>1</v>
      </c>
      <c r="AZ1065" t="s">
        <v>84</v>
      </c>
    </row>
    <row r="1066" spans="1:52">
      <c r="A1066">
        <f t="shared" si="67"/>
        <v>1065</v>
      </c>
      <c r="B1066" s="3">
        <v>46056.885717592602</v>
      </c>
      <c r="C1066" s="3">
        <v>46056.890277777798</v>
      </c>
      <c r="D1066" t="s">
        <v>53</v>
      </c>
      <c r="G1066" t="s">
        <v>54</v>
      </c>
      <c r="H1066" t="s">
        <v>63</v>
      </c>
      <c r="I1066" t="s">
        <v>71</v>
      </c>
      <c r="J1066" t="s">
        <v>62</v>
      </c>
      <c r="K1066" t="s">
        <v>62</v>
      </c>
      <c r="L1066" t="s">
        <v>61</v>
      </c>
      <c r="M1066" t="s">
        <v>61</v>
      </c>
      <c r="N1066">
        <v>3</v>
      </c>
      <c r="O1066">
        <v>2</v>
      </c>
      <c r="P1066">
        <v>3</v>
      </c>
      <c r="Q1066">
        <v>3</v>
      </c>
      <c r="R1066">
        <v>4</v>
      </c>
      <c r="S1066">
        <v>3</v>
      </c>
      <c r="T1066">
        <v>3</v>
      </c>
      <c r="U1066">
        <v>4</v>
      </c>
      <c r="V1066">
        <v>5</v>
      </c>
      <c r="W1066">
        <v>5</v>
      </c>
      <c r="X1066">
        <v>5</v>
      </c>
      <c r="Y1066">
        <v>5</v>
      </c>
      <c r="Z1066">
        <v>5</v>
      </c>
      <c r="AA1066">
        <v>3</v>
      </c>
      <c r="AB1066">
        <v>3</v>
      </c>
      <c r="AC1066">
        <v>2</v>
      </c>
      <c r="AD1066">
        <v>3</v>
      </c>
      <c r="AE1066">
        <v>1</v>
      </c>
      <c r="AF1066">
        <v>4</v>
      </c>
      <c r="AG1066">
        <v>2</v>
      </c>
      <c r="AH1066">
        <v>3</v>
      </c>
      <c r="AI1066">
        <v>3</v>
      </c>
      <c r="AJ1066">
        <v>2</v>
      </c>
      <c r="AK1066" t="b">
        <f>Table67[[#This Row],[What is your age?]]&lt;&gt;"18 - 25"</f>
        <v>0</v>
      </c>
      <c r="AL1066" t="b">
        <f t="shared" si="64"/>
        <v>0</v>
      </c>
      <c r="AM1066" t="b">
        <f t="shared" si="65"/>
        <v>0</v>
      </c>
      <c r="AN1066" t="b">
        <f t="shared" si="66"/>
        <v>1</v>
      </c>
      <c r="AO1066" t="b">
        <f>OR(Table67[[#This Row],[Ineligible respondents]:[Inconsistent response on opposite question (3)]])</f>
        <v>1</v>
      </c>
      <c r="AP106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066">
        <f>Table67[[#This Row],[Extreme Response]]/21</f>
        <v>0.2857142857142857</v>
      </c>
      <c r="AR1066">
        <f>_xlfn.PERCENTILE.INC(Table67[Extrem Response Ratio (ERS)],0.9)</f>
        <v>0.61904761904761907</v>
      </c>
      <c r="AS1066" t="b">
        <f>Table67[[#This Row],[Extrem Response Ratio (ERS)]]&gt;=Table67[[#This Row],[Threshold of ERS]]</f>
        <v>0</v>
      </c>
      <c r="AT1066">
        <f>COUNTIF(Table67[[#This Row],[The mechanism of digital assets is difficult to understand, which discourages me from exploring it (E.g, Tokenization, Blockchain)]:[If I want to try different ways to invest, I will explore digital assets.]], 3)</f>
        <v>9</v>
      </c>
      <c r="AU1066">
        <f>Table67[[#This Row],[Midpoint]]/21</f>
        <v>0.42857142857142855</v>
      </c>
      <c r="AV1066">
        <f>_xlfn.PERCENTILE.INC(Table67[Midpoint ratio],0.9)</f>
        <v>0.5714285714285714</v>
      </c>
      <c r="AW1066" t="b">
        <f>Table67[[#This Row],[Midpoint ratio]]&gt;=Table67[[#This Row],[Threshold of Midpoint ratio]]</f>
        <v>0</v>
      </c>
      <c r="AX1066" t="b">
        <f>OR(Table67[[#This Row],[Extreme Response Style]],Table67[[#This Row],[Mid-point Response Style]])</f>
        <v>0</v>
      </c>
      <c r="AY1066" t="b">
        <f>OR(Table67[[#This Row],[Delete? (Stage 1)]],Table67[[#This Row],[Delete? (Stage 2)]])</f>
        <v>1</v>
      </c>
      <c r="AZ1066" t="s">
        <v>84</v>
      </c>
    </row>
    <row r="1067" spans="1:52">
      <c r="A1067">
        <f t="shared" si="67"/>
        <v>1066</v>
      </c>
      <c r="B1067" s="3">
        <v>46056.885740740698</v>
      </c>
      <c r="C1067" s="3">
        <v>46056.890104166698</v>
      </c>
      <c r="D1067" t="s">
        <v>53</v>
      </c>
      <c r="G1067" t="s">
        <v>54</v>
      </c>
      <c r="H1067" t="s">
        <v>55</v>
      </c>
      <c r="I1067" t="s">
        <v>71</v>
      </c>
      <c r="J1067" t="s">
        <v>67</v>
      </c>
      <c r="K1067" t="s">
        <v>66</v>
      </c>
      <c r="L1067" t="s">
        <v>58</v>
      </c>
      <c r="M1067" t="s">
        <v>61</v>
      </c>
      <c r="N1067">
        <v>3</v>
      </c>
      <c r="O1067">
        <v>2</v>
      </c>
      <c r="P1067">
        <v>3</v>
      </c>
      <c r="Q1067">
        <v>4</v>
      </c>
      <c r="R1067">
        <v>2</v>
      </c>
      <c r="S1067">
        <v>5</v>
      </c>
      <c r="T1067">
        <v>5</v>
      </c>
      <c r="U1067">
        <v>4</v>
      </c>
      <c r="V1067">
        <v>4</v>
      </c>
      <c r="W1067">
        <v>5</v>
      </c>
      <c r="X1067">
        <v>2</v>
      </c>
      <c r="Y1067">
        <v>4</v>
      </c>
      <c r="Z1067">
        <v>4</v>
      </c>
      <c r="AA1067">
        <v>3</v>
      </c>
      <c r="AB1067">
        <v>2</v>
      </c>
      <c r="AC1067">
        <v>4</v>
      </c>
      <c r="AD1067">
        <v>5</v>
      </c>
      <c r="AE1067">
        <v>4</v>
      </c>
      <c r="AF1067">
        <v>3</v>
      </c>
      <c r="AG1067">
        <v>2</v>
      </c>
      <c r="AH1067">
        <v>3</v>
      </c>
      <c r="AI1067">
        <v>3</v>
      </c>
      <c r="AJ1067">
        <v>3</v>
      </c>
      <c r="AK1067" t="b">
        <f>Table67[[#This Row],[What is your age?]]&lt;&gt;"18 - 25"</f>
        <v>0</v>
      </c>
      <c r="AL1067" t="b">
        <f t="shared" si="64"/>
        <v>0</v>
      </c>
      <c r="AM1067" t="b">
        <f t="shared" si="65"/>
        <v>0</v>
      </c>
      <c r="AN1067" t="b">
        <f t="shared" si="66"/>
        <v>1</v>
      </c>
      <c r="AO1067" t="b">
        <f>OR(Table67[[#This Row],[Ineligible respondents]:[Inconsistent response on opposite question (3)]])</f>
        <v>1</v>
      </c>
      <c r="AP106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067">
        <f>Table67[[#This Row],[Extreme Response]]/21</f>
        <v>0.19047619047619047</v>
      </c>
      <c r="AR1067">
        <f>_xlfn.PERCENTILE.INC(Table67[Extrem Response Ratio (ERS)],0.9)</f>
        <v>0.61904761904761907</v>
      </c>
      <c r="AS1067" t="b">
        <f>Table67[[#This Row],[Extrem Response Ratio (ERS)]]&gt;=Table67[[#This Row],[Threshold of ERS]]</f>
        <v>0</v>
      </c>
      <c r="AT1067">
        <f>COUNTIF(Table67[[#This Row],[The mechanism of digital assets is difficult to understand, which discourages me from exploring it (E.g, Tokenization, Blockchain)]:[If I want to try different ways to invest, I will explore digital assets.]], 3)</f>
        <v>5</v>
      </c>
      <c r="AU1067">
        <f>Table67[[#This Row],[Midpoint]]/21</f>
        <v>0.23809523809523808</v>
      </c>
      <c r="AV1067">
        <f>_xlfn.PERCENTILE.INC(Table67[Midpoint ratio],0.9)</f>
        <v>0.5714285714285714</v>
      </c>
      <c r="AW1067" t="b">
        <f>Table67[[#This Row],[Midpoint ratio]]&gt;=Table67[[#This Row],[Threshold of Midpoint ratio]]</f>
        <v>0</v>
      </c>
      <c r="AX1067" t="b">
        <f>OR(Table67[[#This Row],[Extreme Response Style]],Table67[[#This Row],[Mid-point Response Style]])</f>
        <v>0</v>
      </c>
      <c r="AY1067" t="b">
        <f>OR(Table67[[#This Row],[Delete? (Stage 1)]],Table67[[#This Row],[Delete? (Stage 2)]])</f>
        <v>1</v>
      </c>
      <c r="AZ1067" t="s">
        <v>84</v>
      </c>
    </row>
    <row r="1068" spans="1:52">
      <c r="A1068">
        <f t="shared" si="67"/>
        <v>1067</v>
      </c>
      <c r="B1068" s="3">
        <v>46056.885752314804</v>
      </c>
      <c r="C1068" s="3">
        <v>46056.888414351903</v>
      </c>
      <c r="D1068" t="s">
        <v>53</v>
      </c>
      <c r="G1068" t="s">
        <v>54</v>
      </c>
      <c r="H1068" t="s">
        <v>55</v>
      </c>
      <c r="I1068" t="s">
        <v>71</v>
      </c>
      <c r="J1068" t="s">
        <v>57</v>
      </c>
      <c r="K1068" t="s">
        <v>57</v>
      </c>
      <c r="L1068" t="s">
        <v>58</v>
      </c>
      <c r="M1068" t="s">
        <v>58</v>
      </c>
      <c r="N1068">
        <v>4</v>
      </c>
      <c r="O1068">
        <v>1</v>
      </c>
      <c r="P1068">
        <v>1</v>
      </c>
      <c r="Q1068">
        <v>2</v>
      </c>
      <c r="R1068">
        <v>1</v>
      </c>
      <c r="S1068">
        <v>1</v>
      </c>
      <c r="T1068">
        <v>5</v>
      </c>
      <c r="U1068">
        <v>5</v>
      </c>
      <c r="V1068">
        <v>1</v>
      </c>
      <c r="W1068">
        <v>1</v>
      </c>
      <c r="X1068">
        <v>5</v>
      </c>
      <c r="Y1068">
        <v>2</v>
      </c>
      <c r="Z1068">
        <v>5</v>
      </c>
      <c r="AA1068">
        <v>5</v>
      </c>
      <c r="AB1068">
        <v>5</v>
      </c>
      <c r="AC1068">
        <v>5</v>
      </c>
      <c r="AD1068">
        <v>3</v>
      </c>
      <c r="AE1068">
        <v>5</v>
      </c>
      <c r="AF1068">
        <v>2</v>
      </c>
      <c r="AG1068">
        <v>1</v>
      </c>
      <c r="AH1068">
        <v>3</v>
      </c>
      <c r="AI1068">
        <v>3</v>
      </c>
      <c r="AJ1068">
        <v>4</v>
      </c>
      <c r="AK1068" t="b">
        <f>Table67[[#This Row],[What is your age?]]&lt;&gt;"18 - 25"</f>
        <v>0</v>
      </c>
      <c r="AL1068" t="b">
        <f t="shared" si="64"/>
        <v>0</v>
      </c>
      <c r="AM1068" t="b">
        <f t="shared" si="65"/>
        <v>0</v>
      </c>
      <c r="AN1068" t="b">
        <f t="shared" si="66"/>
        <v>1</v>
      </c>
      <c r="AO1068" t="b">
        <f>OR(Table67[[#This Row],[Ineligible respondents]:[Inconsistent response on opposite question (3)]])</f>
        <v>1</v>
      </c>
      <c r="AP106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1068">
        <f>Table67[[#This Row],[Extreme Response]]/21</f>
        <v>0.7142857142857143</v>
      </c>
      <c r="AR1068">
        <f>_xlfn.PERCENTILE.INC(Table67[Extrem Response Ratio (ERS)],0.9)</f>
        <v>0.61904761904761907</v>
      </c>
      <c r="AS1068" t="b">
        <f>Table67[[#This Row],[Extrem Response Ratio (ERS)]]&gt;=Table67[[#This Row],[Threshold of ERS]]</f>
        <v>1</v>
      </c>
      <c r="AT1068">
        <f>COUNTIF(Table67[[#This Row],[The mechanism of digital assets is difficult to understand, which discourages me from exploring it (E.g, Tokenization, Blockchain)]:[If I want to try different ways to invest, I will explore digital assets.]], 3)</f>
        <v>2</v>
      </c>
      <c r="AU1068">
        <f>Table67[[#This Row],[Midpoint]]/21</f>
        <v>9.5238095238095233E-2</v>
      </c>
      <c r="AV1068">
        <f>_xlfn.PERCENTILE.INC(Table67[Midpoint ratio],0.9)</f>
        <v>0.5714285714285714</v>
      </c>
      <c r="AW1068" t="b">
        <f>Table67[[#This Row],[Midpoint ratio]]&gt;=Table67[[#This Row],[Threshold of Midpoint ratio]]</f>
        <v>0</v>
      </c>
      <c r="AX1068" t="b">
        <f>OR(Table67[[#This Row],[Extreme Response Style]],Table67[[#This Row],[Mid-point Response Style]])</f>
        <v>1</v>
      </c>
      <c r="AY1068" t="b">
        <f>OR(Table67[[#This Row],[Delete? (Stage 1)]],Table67[[#This Row],[Delete? (Stage 2)]])</f>
        <v>1</v>
      </c>
      <c r="AZ1068" t="s">
        <v>84</v>
      </c>
    </row>
    <row r="1069" spans="1:52">
      <c r="A1069">
        <f t="shared" si="67"/>
        <v>1068</v>
      </c>
      <c r="B1069" s="3">
        <v>46056.885798611103</v>
      </c>
      <c r="C1069" s="3">
        <v>46056.888171296298</v>
      </c>
      <c r="D1069" t="s">
        <v>53</v>
      </c>
      <c r="G1069" t="s">
        <v>54</v>
      </c>
      <c r="H1069" t="s">
        <v>63</v>
      </c>
      <c r="I1069" t="s">
        <v>56</v>
      </c>
      <c r="J1069" t="s">
        <v>60</v>
      </c>
      <c r="K1069" t="s">
        <v>62</v>
      </c>
      <c r="L1069" t="s">
        <v>61</v>
      </c>
      <c r="M1069" t="s">
        <v>61</v>
      </c>
      <c r="N1069">
        <v>2</v>
      </c>
      <c r="O1069">
        <v>2</v>
      </c>
      <c r="P1069">
        <v>5</v>
      </c>
      <c r="Q1069">
        <v>3</v>
      </c>
      <c r="R1069">
        <v>4</v>
      </c>
      <c r="S1069">
        <v>5</v>
      </c>
      <c r="T1069">
        <v>3</v>
      </c>
      <c r="U1069">
        <v>4</v>
      </c>
      <c r="V1069">
        <v>4</v>
      </c>
      <c r="W1069">
        <v>4</v>
      </c>
      <c r="X1069">
        <v>2</v>
      </c>
      <c r="Y1069">
        <v>2</v>
      </c>
      <c r="Z1069">
        <v>4</v>
      </c>
      <c r="AA1069">
        <v>3</v>
      </c>
      <c r="AB1069">
        <v>2</v>
      </c>
      <c r="AC1069">
        <v>2</v>
      </c>
      <c r="AD1069">
        <v>3</v>
      </c>
      <c r="AE1069">
        <v>4</v>
      </c>
      <c r="AF1069">
        <v>4</v>
      </c>
      <c r="AG1069">
        <v>3</v>
      </c>
      <c r="AH1069">
        <v>2</v>
      </c>
      <c r="AI1069">
        <v>4</v>
      </c>
      <c r="AJ1069">
        <v>2</v>
      </c>
      <c r="AK1069" t="b">
        <f>Table67[[#This Row],[What is your age?]]&lt;&gt;"18 - 25"</f>
        <v>0</v>
      </c>
      <c r="AL1069" t="b">
        <f t="shared" si="64"/>
        <v>0</v>
      </c>
      <c r="AM1069" t="b">
        <f t="shared" si="65"/>
        <v>0</v>
      </c>
      <c r="AN1069" t="b">
        <f t="shared" si="66"/>
        <v>1</v>
      </c>
      <c r="AO1069" t="b">
        <f>OR(Table67[[#This Row],[Ineligible respondents]:[Inconsistent response on opposite question (3)]])</f>
        <v>1</v>
      </c>
      <c r="AP106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069">
        <f>Table67[[#This Row],[Extreme Response]]/21</f>
        <v>9.5238095238095233E-2</v>
      </c>
      <c r="AR1069">
        <f>_xlfn.PERCENTILE.INC(Table67[Extrem Response Ratio (ERS)],0.9)</f>
        <v>0.61904761904761907</v>
      </c>
      <c r="AS1069" t="b">
        <f>Table67[[#This Row],[Extrem Response Ratio (ERS)]]&gt;=Table67[[#This Row],[Threshold of ERS]]</f>
        <v>0</v>
      </c>
      <c r="AT1069">
        <f>COUNTIF(Table67[[#This Row],[The mechanism of digital assets is difficult to understand, which discourages me from exploring it (E.g, Tokenization, Blockchain)]:[If I want to try different ways to invest, I will explore digital assets.]], 3)</f>
        <v>5</v>
      </c>
      <c r="AU1069">
        <f>Table67[[#This Row],[Midpoint]]/21</f>
        <v>0.23809523809523808</v>
      </c>
      <c r="AV1069">
        <f>_xlfn.PERCENTILE.INC(Table67[Midpoint ratio],0.9)</f>
        <v>0.5714285714285714</v>
      </c>
      <c r="AW1069" t="b">
        <f>Table67[[#This Row],[Midpoint ratio]]&gt;=Table67[[#This Row],[Threshold of Midpoint ratio]]</f>
        <v>0</v>
      </c>
      <c r="AX1069" t="b">
        <f>OR(Table67[[#This Row],[Extreme Response Style]],Table67[[#This Row],[Mid-point Response Style]])</f>
        <v>0</v>
      </c>
      <c r="AY1069" t="b">
        <f>OR(Table67[[#This Row],[Delete? (Stage 1)]],Table67[[#This Row],[Delete? (Stage 2)]])</f>
        <v>1</v>
      </c>
      <c r="AZ1069" t="s">
        <v>84</v>
      </c>
    </row>
    <row r="1070" spans="1:52">
      <c r="A1070">
        <f t="shared" si="67"/>
        <v>1069</v>
      </c>
      <c r="B1070" s="3">
        <v>46056.885833333297</v>
      </c>
      <c r="C1070" s="3">
        <v>46056.890520833302</v>
      </c>
      <c r="D1070" t="s">
        <v>53</v>
      </c>
      <c r="G1070" t="s">
        <v>54</v>
      </c>
      <c r="H1070" t="s">
        <v>55</v>
      </c>
      <c r="I1070" t="s">
        <v>56</v>
      </c>
      <c r="J1070" t="s">
        <v>67</v>
      </c>
      <c r="K1070" t="s">
        <v>64</v>
      </c>
      <c r="L1070" t="s">
        <v>58</v>
      </c>
      <c r="M1070" t="s">
        <v>58</v>
      </c>
      <c r="N1070">
        <v>1</v>
      </c>
      <c r="O1070">
        <v>3</v>
      </c>
      <c r="P1070">
        <v>3</v>
      </c>
      <c r="Q1070">
        <v>3</v>
      </c>
      <c r="R1070">
        <v>2</v>
      </c>
      <c r="S1070">
        <v>3</v>
      </c>
      <c r="T1070">
        <v>2</v>
      </c>
      <c r="U1070">
        <v>2</v>
      </c>
      <c r="V1070">
        <v>4</v>
      </c>
      <c r="W1070">
        <v>2</v>
      </c>
      <c r="X1070">
        <v>3</v>
      </c>
      <c r="Y1070">
        <v>2</v>
      </c>
      <c r="Z1070">
        <v>4</v>
      </c>
      <c r="AA1070">
        <v>2</v>
      </c>
      <c r="AB1070">
        <v>3</v>
      </c>
      <c r="AC1070">
        <v>3</v>
      </c>
      <c r="AD1070">
        <v>3</v>
      </c>
      <c r="AE1070">
        <v>2</v>
      </c>
      <c r="AF1070">
        <v>4</v>
      </c>
      <c r="AG1070">
        <v>3</v>
      </c>
      <c r="AH1070">
        <v>2</v>
      </c>
      <c r="AI1070">
        <v>4</v>
      </c>
      <c r="AJ1070">
        <v>2</v>
      </c>
      <c r="AK1070" t="b">
        <f>Table67[[#This Row],[What is your age?]]&lt;&gt;"18 - 25"</f>
        <v>0</v>
      </c>
      <c r="AL1070" t="b">
        <f t="shared" si="64"/>
        <v>0</v>
      </c>
      <c r="AM1070" t="b">
        <f t="shared" si="65"/>
        <v>0</v>
      </c>
      <c r="AN1070" t="b">
        <f t="shared" si="66"/>
        <v>1</v>
      </c>
      <c r="AO1070" t="b">
        <f>OR(Table67[[#This Row],[Ineligible respondents]:[Inconsistent response on opposite question (3)]])</f>
        <v>1</v>
      </c>
      <c r="AP107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070">
        <f>Table67[[#This Row],[Extreme Response]]/21</f>
        <v>4.7619047619047616E-2</v>
      </c>
      <c r="AR1070">
        <f>_xlfn.PERCENTILE.INC(Table67[Extrem Response Ratio (ERS)],0.9)</f>
        <v>0.61904761904761907</v>
      </c>
      <c r="AS1070" t="b">
        <f>Table67[[#This Row],[Extrem Response Ratio (ERS)]]&gt;=Table67[[#This Row],[Threshold of ERS]]</f>
        <v>0</v>
      </c>
      <c r="AT1070">
        <f>COUNTIF(Table67[[#This Row],[The mechanism of digital assets is difficult to understand, which discourages me from exploring it (E.g, Tokenization, Blockchain)]:[If I want to try different ways to invest, I will explore digital assets.]], 3)</f>
        <v>9</v>
      </c>
      <c r="AU1070">
        <f>Table67[[#This Row],[Midpoint]]/21</f>
        <v>0.42857142857142855</v>
      </c>
      <c r="AV1070">
        <f>_xlfn.PERCENTILE.INC(Table67[Midpoint ratio],0.9)</f>
        <v>0.5714285714285714</v>
      </c>
      <c r="AW1070" t="b">
        <f>Table67[[#This Row],[Midpoint ratio]]&gt;=Table67[[#This Row],[Threshold of Midpoint ratio]]</f>
        <v>0</v>
      </c>
      <c r="AX1070" t="b">
        <f>OR(Table67[[#This Row],[Extreme Response Style]],Table67[[#This Row],[Mid-point Response Style]])</f>
        <v>0</v>
      </c>
      <c r="AY1070" t="b">
        <f>OR(Table67[[#This Row],[Delete? (Stage 1)]],Table67[[#This Row],[Delete? (Stage 2)]])</f>
        <v>1</v>
      </c>
      <c r="AZ1070" t="s">
        <v>84</v>
      </c>
    </row>
    <row r="1071" spans="1:52">
      <c r="A1071">
        <f t="shared" si="67"/>
        <v>1070</v>
      </c>
      <c r="B1071" s="3">
        <v>46056.886030092603</v>
      </c>
      <c r="C1071" s="3">
        <v>46056.889305555596</v>
      </c>
      <c r="D1071" t="s">
        <v>53</v>
      </c>
      <c r="G1071" t="s">
        <v>54</v>
      </c>
      <c r="H1071" t="s">
        <v>55</v>
      </c>
      <c r="I1071" t="s">
        <v>56</v>
      </c>
      <c r="J1071" t="s">
        <v>65</v>
      </c>
      <c r="K1071" t="s">
        <v>64</v>
      </c>
      <c r="L1071" t="s">
        <v>61</v>
      </c>
      <c r="M1071" t="s">
        <v>61</v>
      </c>
      <c r="N1071">
        <v>1</v>
      </c>
      <c r="O1071">
        <v>2</v>
      </c>
      <c r="P1071">
        <v>2</v>
      </c>
      <c r="Q1071">
        <v>1</v>
      </c>
      <c r="R1071">
        <v>3</v>
      </c>
      <c r="S1071">
        <v>3</v>
      </c>
      <c r="T1071">
        <v>1</v>
      </c>
      <c r="U1071">
        <v>1</v>
      </c>
      <c r="V1071">
        <v>1</v>
      </c>
      <c r="W1071">
        <v>1</v>
      </c>
      <c r="X1071">
        <v>1</v>
      </c>
      <c r="Y1071">
        <v>2</v>
      </c>
      <c r="Z1071">
        <v>3</v>
      </c>
      <c r="AA1071">
        <v>1</v>
      </c>
      <c r="AB1071">
        <v>2</v>
      </c>
      <c r="AC1071">
        <v>1</v>
      </c>
      <c r="AD1071">
        <v>2</v>
      </c>
      <c r="AE1071">
        <v>2</v>
      </c>
      <c r="AF1071">
        <v>5</v>
      </c>
      <c r="AG1071">
        <v>1</v>
      </c>
      <c r="AH1071">
        <v>5</v>
      </c>
      <c r="AI1071">
        <v>1</v>
      </c>
      <c r="AJ1071">
        <v>1</v>
      </c>
      <c r="AK1071" t="b">
        <f>Table67[[#This Row],[What is your age?]]&lt;&gt;"18 - 25"</f>
        <v>0</v>
      </c>
      <c r="AL1071" t="b">
        <f t="shared" si="64"/>
        <v>0</v>
      </c>
      <c r="AM1071" t="b">
        <f t="shared" si="65"/>
        <v>0</v>
      </c>
      <c r="AN1071" t="b">
        <f t="shared" si="66"/>
        <v>0</v>
      </c>
      <c r="AO1071" t="b">
        <f>OR(Table67[[#This Row],[Ineligible respondents]:[Inconsistent response on opposite question (3)]])</f>
        <v>0</v>
      </c>
      <c r="AP107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12</v>
      </c>
      <c r="AQ1071">
        <f>Table67[[#This Row],[Extreme Response]]/21</f>
        <v>0.5714285714285714</v>
      </c>
      <c r="AR1071">
        <f>_xlfn.PERCENTILE.INC(Table67[Extrem Response Ratio (ERS)],0.9)</f>
        <v>0.61904761904761907</v>
      </c>
      <c r="AS1071" t="b">
        <f>Table67[[#This Row],[Extrem Response Ratio (ERS)]]&gt;=Table67[[#This Row],[Threshold of ERS]]</f>
        <v>0</v>
      </c>
      <c r="AT1071">
        <f>COUNTIF(Table67[[#This Row],[The mechanism of digital assets is difficult to understand, which discourages me from exploring it (E.g, Tokenization, Blockchain)]:[If I want to try different ways to invest, I will explore digital assets.]], 3)</f>
        <v>3</v>
      </c>
      <c r="AU1071">
        <f>Table67[[#This Row],[Midpoint]]/21</f>
        <v>0.14285714285714285</v>
      </c>
      <c r="AV1071">
        <f>_xlfn.PERCENTILE.INC(Table67[Midpoint ratio],0.9)</f>
        <v>0.5714285714285714</v>
      </c>
      <c r="AW1071" t="b">
        <f>Table67[[#This Row],[Midpoint ratio]]&gt;=Table67[[#This Row],[Threshold of Midpoint ratio]]</f>
        <v>0</v>
      </c>
      <c r="AX1071" t="b">
        <f>OR(Table67[[#This Row],[Extreme Response Style]],Table67[[#This Row],[Mid-point Response Style]])</f>
        <v>0</v>
      </c>
      <c r="AY1071" t="b">
        <f>OR(Table67[[#This Row],[Delete? (Stage 1)]],Table67[[#This Row],[Delete? (Stage 2)]])</f>
        <v>0</v>
      </c>
      <c r="AZ1071" t="s">
        <v>84</v>
      </c>
    </row>
    <row r="1072" spans="1:52">
      <c r="A1072">
        <f t="shared" si="67"/>
        <v>1071</v>
      </c>
      <c r="B1072" s="3">
        <v>46056.886053240698</v>
      </c>
      <c r="C1072" s="3">
        <v>46056.891875000001</v>
      </c>
      <c r="D1072" t="s">
        <v>53</v>
      </c>
      <c r="G1072" t="s">
        <v>54</v>
      </c>
      <c r="H1072" t="s">
        <v>63</v>
      </c>
      <c r="I1072" t="s">
        <v>82</v>
      </c>
      <c r="J1072" t="s">
        <v>60</v>
      </c>
      <c r="K1072" t="s">
        <v>62</v>
      </c>
      <c r="L1072" t="s">
        <v>61</v>
      </c>
      <c r="M1072" t="s">
        <v>61</v>
      </c>
      <c r="N1072">
        <v>3</v>
      </c>
      <c r="O1072">
        <v>3</v>
      </c>
      <c r="P1072">
        <v>4</v>
      </c>
      <c r="Q1072">
        <v>3</v>
      </c>
      <c r="R1072">
        <v>4</v>
      </c>
      <c r="S1072">
        <v>3</v>
      </c>
      <c r="T1072">
        <v>2</v>
      </c>
      <c r="U1072">
        <v>4</v>
      </c>
      <c r="V1072">
        <v>4</v>
      </c>
      <c r="W1072">
        <v>4</v>
      </c>
      <c r="X1072">
        <v>4</v>
      </c>
      <c r="Y1072">
        <v>4</v>
      </c>
      <c r="Z1072">
        <v>4</v>
      </c>
      <c r="AA1072">
        <v>2</v>
      </c>
      <c r="AB1072">
        <v>2</v>
      </c>
      <c r="AC1072">
        <v>2</v>
      </c>
      <c r="AD1072">
        <v>3</v>
      </c>
      <c r="AE1072">
        <v>3</v>
      </c>
      <c r="AF1072">
        <v>3</v>
      </c>
      <c r="AG1072">
        <v>2</v>
      </c>
      <c r="AH1072">
        <v>4</v>
      </c>
      <c r="AI1072">
        <v>2</v>
      </c>
      <c r="AJ1072">
        <v>3</v>
      </c>
      <c r="AK1072" t="b">
        <f>Table67[[#This Row],[What is your age?]]&lt;&gt;"18 - 25"</f>
        <v>0</v>
      </c>
      <c r="AL1072" t="b">
        <f t="shared" si="64"/>
        <v>0</v>
      </c>
      <c r="AM1072" t="b">
        <f t="shared" si="65"/>
        <v>0</v>
      </c>
      <c r="AN1072" t="b">
        <f t="shared" si="66"/>
        <v>0</v>
      </c>
      <c r="AO1072" t="b">
        <f>OR(Table67[[#This Row],[Ineligible respondents]:[Inconsistent response on opposite question (3)]])</f>
        <v>0</v>
      </c>
      <c r="AP107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072">
        <f>Table67[[#This Row],[Extreme Response]]/21</f>
        <v>0</v>
      </c>
      <c r="AR1072">
        <f>_xlfn.PERCENTILE.INC(Table67[Extrem Response Ratio (ERS)],0.9)</f>
        <v>0.61904761904761907</v>
      </c>
      <c r="AS1072" t="b">
        <f>Table67[[#This Row],[Extrem Response Ratio (ERS)]]&gt;=Table67[[#This Row],[Threshold of ERS]]</f>
        <v>0</v>
      </c>
      <c r="AT1072">
        <f>COUNTIF(Table67[[#This Row],[The mechanism of digital assets is difficult to understand, which discourages me from exploring it (E.g, Tokenization, Blockchain)]:[If I want to try different ways to invest, I will explore digital assets.]], 3)</f>
        <v>7</v>
      </c>
      <c r="AU1072">
        <f>Table67[[#This Row],[Midpoint]]/21</f>
        <v>0.33333333333333331</v>
      </c>
      <c r="AV1072">
        <f>_xlfn.PERCENTILE.INC(Table67[Midpoint ratio],0.9)</f>
        <v>0.5714285714285714</v>
      </c>
      <c r="AW1072" t="b">
        <f>Table67[[#This Row],[Midpoint ratio]]&gt;=Table67[[#This Row],[Threshold of Midpoint ratio]]</f>
        <v>0</v>
      </c>
      <c r="AX1072" t="b">
        <f>OR(Table67[[#This Row],[Extreme Response Style]],Table67[[#This Row],[Mid-point Response Style]])</f>
        <v>0</v>
      </c>
      <c r="AY1072" t="b">
        <f>OR(Table67[[#This Row],[Delete? (Stage 1)]],Table67[[#This Row],[Delete? (Stage 2)]])</f>
        <v>0</v>
      </c>
      <c r="AZ1072" t="s">
        <v>84</v>
      </c>
    </row>
    <row r="1073" spans="1:52">
      <c r="A1073">
        <f t="shared" si="67"/>
        <v>1072</v>
      </c>
      <c r="B1073" s="3">
        <v>46056.886134259301</v>
      </c>
      <c r="C1073" s="3">
        <v>46056.890833333302</v>
      </c>
      <c r="D1073" t="s">
        <v>53</v>
      </c>
      <c r="G1073" t="s">
        <v>54</v>
      </c>
      <c r="H1073" t="s">
        <v>63</v>
      </c>
      <c r="I1073" t="s">
        <v>82</v>
      </c>
      <c r="J1073" t="s">
        <v>62</v>
      </c>
      <c r="K1073" t="s">
        <v>62</v>
      </c>
      <c r="L1073" t="s">
        <v>58</v>
      </c>
      <c r="M1073" t="s">
        <v>58</v>
      </c>
      <c r="N1073">
        <v>3</v>
      </c>
      <c r="O1073">
        <v>3</v>
      </c>
      <c r="P1073">
        <v>4</v>
      </c>
      <c r="Q1073">
        <v>3</v>
      </c>
      <c r="R1073">
        <v>3</v>
      </c>
      <c r="S1073">
        <v>2</v>
      </c>
      <c r="T1073">
        <v>2</v>
      </c>
      <c r="U1073">
        <v>2</v>
      </c>
      <c r="V1073">
        <v>2</v>
      </c>
      <c r="W1073">
        <v>5</v>
      </c>
      <c r="X1073">
        <v>4</v>
      </c>
      <c r="Y1073">
        <v>4</v>
      </c>
      <c r="Z1073">
        <v>4</v>
      </c>
      <c r="AA1073">
        <v>3</v>
      </c>
      <c r="AB1073">
        <v>3</v>
      </c>
      <c r="AC1073">
        <v>2</v>
      </c>
      <c r="AD1073">
        <v>4</v>
      </c>
      <c r="AE1073">
        <v>2</v>
      </c>
      <c r="AF1073">
        <v>2</v>
      </c>
      <c r="AG1073">
        <v>3</v>
      </c>
      <c r="AH1073">
        <v>4</v>
      </c>
      <c r="AI1073">
        <v>2</v>
      </c>
      <c r="AJ1073">
        <v>4</v>
      </c>
      <c r="AK1073" t="b">
        <f>Table67[[#This Row],[What is your age?]]&lt;&gt;"18 - 25"</f>
        <v>0</v>
      </c>
      <c r="AL1073" t="b">
        <f t="shared" si="64"/>
        <v>0</v>
      </c>
      <c r="AM1073" t="b">
        <f t="shared" si="65"/>
        <v>0</v>
      </c>
      <c r="AN1073" t="b">
        <f t="shared" si="66"/>
        <v>1</v>
      </c>
      <c r="AO1073" t="b">
        <f>OR(Table67[[#This Row],[Ineligible respondents]:[Inconsistent response on opposite question (3)]])</f>
        <v>1</v>
      </c>
      <c r="AP107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073">
        <f>Table67[[#This Row],[Extreme Response]]/21</f>
        <v>4.7619047619047616E-2</v>
      </c>
      <c r="AR1073">
        <f>_xlfn.PERCENTILE.INC(Table67[Extrem Response Ratio (ERS)],0.9)</f>
        <v>0.61904761904761907</v>
      </c>
      <c r="AS1073" t="b">
        <f>Table67[[#This Row],[Extrem Response Ratio (ERS)]]&gt;=Table67[[#This Row],[Threshold of ERS]]</f>
        <v>0</v>
      </c>
      <c r="AT1073">
        <f>COUNTIF(Table67[[#This Row],[The mechanism of digital assets is difficult to understand, which discourages me from exploring it (E.g, Tokenization, Blockchain)]:[If I want to try different ways to invest, I will explore digital assets.]], 3)</f>
        <v>7</v>
      </c>
      <c r="AU1073">
        <f>Table67[[#This Row],[Midpoint]]/21</f>
        <v>0.33333333333333331</v>
      </c>
      <c r="AV1073">
        <f>_xlfn.PERCENTILE.INC(Table67[Midpoint ratio],0.9)</f>
        <v>0.5714285714285714</v>
      </c>
      <c r="AW1073" t="b">
        <f>Table67[[#This Row],[Midpoint ratio]]&gt;=Table67[[#This Row],[Threshold of Midpoint ratio]]</f>
        <v>0</v>
      </c>
      <c r="AX1073" t="b">
        <f>OR(Table67[[#This Row],[Extreme Response Style]],Table67[[#This Row],[Mid-point Response Style]])</f>
        <v>0</v>
      </c>
      <c r="AY1073" t="b">
        <f>OR(Table67[[#This Row],[Delete? (Stage 1)]],Table67[[#This Row],[Delete? (Stage 2)]])</f>
        <v>1</v>
      </c>
      <c r="AZ1073" t="s">
        <v>84</v>
      </c>
    </row>
    <row r="1074" spans="1:52">
      <c r="A1074">
        <f t="shared" si="67"/>
        <v>1073</v>
      </c>
      <c r="B1074" s="3">
        <v>46056.886203703703</v>
      </c>
      <c r="C1074" s="3">
        <v>46056.894930555602</v>
      </c>
      <c r="D1074" t="s">
        <v>53</v>
      </c>
      <c r="G1074" t="s">
        <v>54</v>
      </c>
      <c r="H1074" t="s">
        <v>55</v>
      </c>
      <c r="I1074" t="s">
        <v>56</v>
      </c>
      <c r="J1074" t="s">
        <v>62</v>
      </c>
      <c r="K1074" t="s">
        <v>62</v>
      </c>
      <c r="L1074" t="s">
        <v>58</v>
      </c>
      <c r="M1074" t="s">
        <v>61</v>
      </c>
      <c r="N1074">
        <v>4</v>
      </c>
      <c r="O1074">
        <v>2</v>
      </c>
      <c r="P1074">
        <v>4</v>
      </c>
      <c r="Q1074">
        <v>4</v>
      </c>
      <c r="R1074">
        <v>3</v>
      </c>
      <c r="S1074">
        <v>3</v>
      </c>
      <c r="T1074">
        <v>2</v>
      </c>
      <c r="U1074">
        <v>4</v>
      </c>
      <c r="V1074">
        <v>5</v>
      </c>
      <c r="W1074">
        <v>5</v>
      </c>
      <c r="X1074">
        <v>4</v>
      </c>
      <c r="Y1074">
        <v>5</v>
      </c>
      <c r="Z1074">
        <v>5</v>
      </c>
      <c r="AA1074">
        <v>5</v>
      </c>
      <c r="AB1074">
        <v>3</v>
      </c>
      <c r="AC1074">
        <v>4</v>
      </c>
      <c r="AD1074">
        <v>5</v>
      </c>
      <c r="AE1074">
        <v>4</v>
      </c>
      <c r="AF1074">
        <v>2</v>
      </c>
      <c r="AG1074">
        <v>4</v>
      </c>
      <c r="AH1074">
        <v>3</v>
      </c>
      <c r="AI1074">
        <v>3</v>
      </c>
      <c r="AJ1074">
        <v>4</v>
      </c>
      <c r="AK1074" t="b">
        <f>Table67[[#This Row],[What is your age?]]&lt;&gt;"18 - 25"</f>
        <v>0</v>
      </c>
      <c r="AL1074" t="b">
        <f t="shared" si="64"/>
        <v>0</v>
      </c>
      <c r="AM1074" t="b">
        <f t="shared" si="65"/>
        <v>0</v>
      </c>
      <c r="AN1074" t="b">
        <f t="shared" si="66"/>
        <v>1</v>
      </c>
      <c r="AO1074" t="b">
        <f>OR(Table67[[#This Row],[Ineligible respondents]:[Inconsistent response on opposite question (3)]])</f>
        <v>1</v>
      </c>
      <c r="AP107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074">
        <f>Table67[[#This Row],[Extreme Response]]/21</f>
        <v>0.2857142857142857</v>
      </c>
      <c r="AR1074">
        <f>_xlfn.PERCENTILE.INC(Table67[Extrem Response Ratio (ERS)],0.9)</f>
        <v>0.61904761904761907</v>
      </c>
      <c r="AS1074" t="b">
        <f>Table67[[#This Row],[Extrem Response Ratio (ERS)]]&gt;=Table67[[#This Row],[Threshold of ERS]]</f>
        <v>0</v>
      </c>
      <c r="AT1074">
        <f>COUNTIF(Table67[[#This Row],[The mechanism of digital assets is difficult to understand, which discourages me from exploring it (E.g, Tokenization, Blockchain)]:[If I want to try different ways to invest, I will explore digital assets.]], 3)</f>
        <v>4</v>
      </c>
      <c r="AU1074">
        <f>Table67[[#This Row],[Midpoint]]/21</f>
        <v>0.19047619047619047</v>
      </c>
      <c r="AV1074">
        <f>_xlfn.PERCENTILE.INC(Table67[Midpoint ratio],0.9)</f>
        <v>0.5714285714285714</v>
      </c>
      <c r="AW1074" t="b">
        <f>Table67[[#This Row],[Midpoint ratio]]&gt;=Table67[[#This Row],[Threshold of Midpoint ratio]]</f>
        <v>0</v>
      </c>
      <c r="AX1074" t="b">
        <f>OR(Table67[[#This Row],[Extreme Response Style]],Table67[[#This Row],[Mid-point Response Style]])</f>
        <v>0</v>
      </c>
      <c r="AY1074" t="b">
        <f>OR(Table67[[#This Row],[Delete? (Stage 1)]],Table67[[#This Row],[Delete? (Stage 2)]])</f>
        <v>1</v>
      </c>
      <c r="AZ1074" t="s">
        <v>84</v>
      </c>
    </row>
    <row r="1075" spans="1:52">
      <c r="A1075">
        <f t="shared" si="67"/>
        <v>1074</v>
      </c>
      <c r="B1075" s="3">
        <v>46056.886215277802</v>
      </c>
      <c r="C1075" s="3">
        <v>46056.8912962963</v>
      </c>
      <c r="D1075" t="s">
        <v>53</v>
      </c>
      <c r="G1075" t="s">
        <v>54</v>
      </c>
      <c r="H1075" t="s">
        <v>55</v>
      </c>
      <c r="I1075" t="s">
        <v>56</v>
      </c>
      <c r="J1075" t="s">
        <v>67</v>
      </c>
      <c r="K1075" t="s">
        <v>65</v>
      </c>
      <c r="L1075" t="s">
        <v>61</v>
      </c>
      <c r="M1075" t="s">
        <v>61</v>
      </c>
      <c r="N1075">
        <v>3</v>
      </c>
      <c r="O1075">
        <v>2</v>
      </c>
      <c r="P1075">
        <v>4</v>
      </c>
      <c r="Q1075">
        <v>3</v>
      </c>
      <c r="R1075">
        <v>3</v>
      </c>
      <c r="S1075">
        <v>3</v>
      </c>
      <c r="T1075">
        <v>2</v>
      </c>
      <c r="U1075">
        <v>3</v>
      </c>
      <c r="V1075">
        <v>2</v>
      </c>
      <c r="W1075">
        <v>4</v>
      </c>
      <c r="X1075">
        <v>4</v>
      </c>
      <c r="Y1075">
        <v>4</v>
      </c>
      <c r="Z1075">
        <v>4</v>
      </c>
      <c r="AA1075">
        <v>3</v>
      </c>
      <c r="AB1075">
        <v>3</v>
      </c>
      <c r="AC1075">
        <v>3</v>
      </c>
      <c r="AD1075">
        <v>4</v>
      </c>
      <c r="AE1075">
        <v>4</v>
      </c>
      <c r="AF1075">
        <v>4</v>
      </c>
      <c r="AG1075">
        <v>3</v>
      </c>
      <c r="AH1075">
        <v>3</v>
      </c>
      <c r="AI1075">
        <v>3</v>
      </c>
      <c r="AJ1075">
        <v>2</v>
      </c>
      <c r="AK1075" t="b">
        <f>Table67[[#This Row],[What is your age?]]&lt;&gt;"18 - 25"</f>
        <v>0</v>
      </c>
      <c r="AL1075" t="b">
        <f t="shared" si="64"/>
        <v>0</v>
      </c>
      <c r="AM1075" t="b">
        <f t="shared" si="65"/>
        <v>0</v>
      </c>
      <c r="AN1075" t="b">
        <f t="shared" si="66"/>
        <v>0</v>
      </c>
      <c r="AO1075" t="b">
        <f>OR(Table67[[#This Row],[Ineligible respondents]:[Inconsistent response on opposite question (3)]])</f>
        <v>0</v>
      </c>
      <c r="AP107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075">
        <f>Table67[[#This Row],[Extreme Response]]/21</f>
        <v>0</v>
      </c>
      <c r="AR1075">
        <f>_xlfn.PERCENTILE.INC(Table67[Extrem Response Ratio (ERS)],0.9)</f>
        <v>0.61904761904761907</v>
      </c>
      <c r="AS1075" t="b">
        <f>Table67[[#This Row],[Extrem Response Ratio (ERS)]]&gt;=Table67[[#This Row],[Threshold of ERS]]</f>
        <v>0</v>
      </c>
      <c r="AT1075">
        <f>COUNTIF(Table67[[#This Row],[The mechanism of digital assets is difficult to understand, which discourages me from exploring it (E.g, Tokenization, Blockchain)]:[If I want to try different ways to invest, I will explore digital assets.]], 3)</f>
        <v>10</v>
      </c>
      <c r="AU1075">
        <f>Table67[[#This Row],[Midpoint]]/21</f>
        <v>0.47619047619047616</v>
      </c>
      <c r="AV1075">
        <f>_xlfn.PERCENTILE.INC(Table67[Midpoint ratio],0.9)</f>
        <v>0.5714285714285714</v>
      </c>
      <c r="AW1075" t="b">
        <f>Table67[[#This Row],[Midpoint ratio]]&gt;=Table67[[#This Row],[Threshold of Midpoint ratio]]</f>
        <v>0</v>
      </c>
      <c r="AX1075" t="b">
        <f>OR(Table67[[#This Row],[Extreme Response Style]],Table67[[#This Row],[Mid-point Response Style]])</f>
        <v>0</v>
      </c>
      <c r="AY1075" t="b">
        <f>OR(Table67[[#This Row],[Delete? (Stage 1)]],Table67[[#This Row],[Delete? (Stage 2)]])</f>
        <v>0</v>
      </c>
      <c r="AZ1075" t="s">
        <v>84</v>
      </c>
    </row>
    <row r="1076" spans="1:52">
      <c r="A1076">
        <f t="shared" si="67"/>
        <v>1075</v>
      </c>
      <c r="B1076" s="3">
        <v>46056.886238425897</v>
      </c>
      <c r="C1076" s="3">
        <v>46056.886712963002</v>
      </c>
      <c r="D1076" t="s">
        <v>53</v>
      </c>
      <c r="G1076" t="s">
        <v>54</v>
      </c>
      <c r="H1076" t="s">
        <v>55</v>
      </c>
      <c r="I1076" t="s">
        <v>71</v>
      </c>
      <c r="J1076" t="s">
        <v>68</v>
      </c>
      <c r="K1076" t="s">
        <v>62</v>
      </c>
      <c r="L1076" t="s">
        <v>58</v>
      </c>
      <c r="M1076" t="s">
        <v>61</v>
      </c>
      <c r="N1076">
        <v>4</v>
      </c>
      <c r="O1076">
        <v>4</v>
      </c>
      <c r="P1076">
        <v>4</v>
      </c>
      <c r="Q1076">
        <v>3</v>
      </c>
      <c r="R1076">
        <v>5</v>
      </c>
      <c r="S1076">
        <v>4</v>
      </c>
      <c r="T1076">
        <v>3</v>
      </c>
      <c r="U1076">
        <v>4</v>
      </c>
      <c r="V1076">
        <v>4</v>
      </c>
      <c r="W1076">
        <v>4</v>
      </c>
      <c r="X1076">
        <v>4</v>
      </c>
      <c r="Y1076">
        <v>5</v>
      </c>
      <c r="Z1076">
        <v>3</v>
      </c>
      <c r="AA1076">
        <v>3</v>
      </c>
      <c r="AB1076">
        <v>4</v>
      </c>
      <c r="AC1076">
        <v>4</v>
      </c>
      <c r="AD1076">
        <v>5</v>
      </c>
      <c r="AE1076">
        <v>4</v>
      </c>
      <c r="AF1076">
        <v>3</v>
      </c>
      <c r="AG1076">
        <v>3</v>
      </c>
      <c r="AH1076">
        <v>4</v>
      </c>
      <c r="AI1076">
        <v>2</v>
      </c>
      <c r="AJ1076">
        <v>3</v>
      </c>
      <c r="AK1076" t="b">
        <f>Table67[[#This Row],[What is your age?]]&lt;&gt;"18 - 25"</f>
        <v>0</v>
      </c>
      <c r="AL1076" t="b">
        <f t="shared" si="64"/>
        <v>0</v>
      </c>
      <c r="AM1076" t="b">
        <f t="shared" si="65"/>
        <v>0</v>
      </c>
      <c r="AN1076" t="b">
        <f t="shared" si="66"/>
        <v>1</v>
      </c>
      <c r="AO1076" t="b">
        <f>OR(Table67[[#This Row],[Ineligible respondents]:[Inconsistent response on opposite question (3)]])</f>
        <v>1</v>
      </c>
      <c r="AP107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076">
        <f>Table67[[#This Row],[Extreme Response]]/21</f>
        <v>0.14285714285714285</v>
      </c>
      <c r="AR1076">
        <f>_xlfn.PERCENTILE.INC(Table67[Extrem Response Ratio (ERS)],0.9)</f>
        <v>0.61904761904761907</v>
      </c>
      <c r="AS1076" t="b">
        <f>Table67[[#This Row],[Extrem Response Ratio (ERS)]]&gt;=Table67[[#This Row],[Threshold of ERS]]</f>
        <v>0</v>
      </c>
      <c r="AT1076">
        <f>COUNTIF(Table67[[#This Row],[The mechanism of digital assets is difficult to understand, which discourages me from exploring it (E.g, Tokenization, Blockchain)]:[If I want to try different ways to invest, I will explore digital assets.]], 3)</f>
        <v>6</v>
      </c>
      <c r="AU1076">
        <f>Table67[[#This Row],[Midpoint]]/21</f>
        <v>0.2857142857142857</v>
      </c>
      <c r="AV1076">
        <f>_xlfn.PERCENTILE.INC(Table67[Midpoint ratio],0.9)</f>
        <v>0.5714285714285714</v>
      </c>
      <c r="AW1076" t="b">
        <f>Table67[[#This Row],[Midpoint ratio]]&gt;=Table67[[#This Row],[Threshold of Midpoint ratio]]</f>
        <v>0</v>
      </c>
      <c r="AX1076" t="b">
        <f>OR(Table67[[#This Row],[Extreme Response Style]],Table67[[#This Row],[Mid-point Response Style]])</f>
        <v>0</v>
      </c>
      <c r="AY1076" t="b">
        <f>OR(Table67[[#This Row],[Delete? (Stage 1)]],Table67[[#This Row],[Delete? (Stage 2)]])</f>
        <v>1</v>
      </c>
      <c r="AZ1076" t="s">
        <v>84</v>
      </c>
    </row>
    <row r="1077" spans="1:52">
      <c r="A1077">
        <f t="shared" si="67"/>
        <v>1076</v>
      </c>
      <c r="B1077" s="3">
        <v>46056.886250000003</v>
      </c>
      <c r="C1077" s="3">
        <v>46056.895624999997</v>
      </c>
      <c r="D1077" t="s">
        <v>53</v>
      </c>
      <c r="G1077" t="s">
        <v>54</v>
      </c>
      <c r="H1077" t="s">
        <v>55</v>
      </c>
      <c r="I1077" t="s">
        <v>56</v>
      </c>
      <c r="J1077" t="s">
        <v>57</v>
      </c>
      <c r="K1077" t="s">
        <v>62</v>
      </c>
      <c r="L1077" t="s">
        <v>58</v>
      </c>
      <c r="M1077" t="s">
        <v>61</v>
      </c>
      <c r="N1077">
        <v>3</v>
      </c>
      <c r="O1077">
        <v>3</v>
      </c>
      <c r="P1077">
        <v>3</v>
      </c>
      <c r="Q1077">
        <v>1</v>
      </c>
      <c r="R1077">
        <v>3</v>
      </c>
      <c r="S1077">
        <v>3</v>
      </c>
      <c r="T1077">
        <v>2</v>
      </c>
      <c r="U1077">
        <v>3</v>
      </c>
      <c r="V1077">
        <v>4</v>
      </c>
      <c r="W1077">
        <v>3</v>
      </c>
      <c r="X1077">
        <v>3</v>
      </c>
      <c r="Y1077">
        <v>3</v>
      </c>
      <c r="Z1077">
        <v>1</v>
      </c>
      <c r="AA1077">
        <v>2</v>
      </c>
      <c r="AB1077">
        <v>3</v>
      </c>
      <c r="AC1077">
        <v>3</v>
      </c>
      <c r="AD1077">
        <v>3</v>
      </c>
      <c r="AE1077">
        <v>4</v>
      </c>
      <c r="AF1077">
        <v>3</v>
      </c>
      <c r="AG1077">
        <v>4</v>
      </c>
      <c r="AH1077">
        <v>4</v>
      </c>
      <c r="AI1077">
        <v>2</v>
      </c>
      <c r="AJ1077">
        <v>3</v>
      </c>
      <c r="AK1077" t="b">
        <f>Table67[[#This Row],[What is your age?]]&lt;&gt;"18 - 25"</f>
        <v>0</v>
      </c>
      <c r="AL1077" t="b">
        <f t="shared" si="64"/>
        <v>0</v>
      </c>
      <c r="AM1077" t="b">
        <f t="shared" si="65"/>
        <v>1</v>
      </c>
      <c r="AN1077" t="b">
        <f t="shared" si="66"/>
        <v>0</v>
      </c>
      <c r="AO1077" t="b">
        <f>OR(Table67[[#This Row],[Ineligible respondents]:[Inconsistent response on opposite question (3)]])</f>
        <v>1</v>
      </c>
      <c r="AP107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077">
        <f>Table67[[#This Row],[Extreme Response]]/21</f>
        <v>9.5238095238095233E-2</v>
      </c>
      <c r="AR1077">
        <f>_xlfn.PERCENTILE.INC(Table67[Extrem Response Ratio (ERS)],0.9)</f>
        <v>0.61904761904761907</v>
      </c>
      <c r="AS1077" t="b">
        <f>Table67[[#This Row],[Extrem Response Ratio (ERS)]]&gt;=Table67[[#This Row],[Threshold of ERS]]</f>
        <v>0</v>
      </c>
      <c r="AT1077">
        <f>COUNTIF(Table67[[#This Row],[The mechanism of digital assets is difficult to understand, which discourages me from exploring it (E.g, Tokenization, Blockchain)]:[If I want to try different ways to invest, I will explore digital assets.]], 3)</f>
        <v>13</v>
      </c>
      <c r="AU1077">
        <f>Table67[[#This Row],[Midpoint]]/21</f>
        <v>0.61904761904761907</v>
      </c>
      <c r="AV1077">
        <f>_xlfn.PERCENTILE.INC(Table67[Midpoint ratio],0.9)</f>
        <v>0.5714285714285714</v>
      </c>
      <c r="AW1077" t="b">
        <f>Table67[[#This Row],[Midpoint ratio]]&gt;=Table67[[#This Row],[Threshold of Midpoint ratio]]</f>
        <v>1</v>
      </c>
      <c r="AX1077" t="b">
        <f>OR(Table67[[#This Row],[Extreme Response Style]],Table67[[#This Row],[Mid-point Response Style]])</f>
        <v>1</v>
      </c>
      <c r="AY1077" t="b">
        <f>OR(Table67[[#This Row],[Delete? (Stage 1)]],Table67[[#This Row],[Delete? (Stage 2)]])</f>
        <v>1</v>
      </c>
      <c r="AZ1077" t="s">
        <v>84</v>
      </c>
    </row>
    <row r="1078" spans="1:52">
      <c r="A1078">
        <f t="shared" si="67"/>
        <v>1077</v>
      </c>
      <c r="B1078" s="3">
        <v>46056.886273148099</v>
      </c>
      <c r="C1078" s="3">
        <v>46056.889687499999</v>
      </c>
      <c r="D1078" t="s">
        <v>53</v>
      </c>
      <c r="G1078" t="s">
        <v>54</v>
      </c>
      <c r="H1078" t="s">
        <v>55</v>
      </c>
      <c r="I1078" t="s">
        <v>56</v>
      </c>
      <c r="J1078" t="s">
        <v>65</v>
      </c>
      <c r="K1078" t="s">
        <v>60</v>
      </c>
      <c r="L1078" t="s">
        <v>58</v>
      </c>
      <c r="M1078" t="s">
        <v>58</v>
      </c>
      <c r="N1078">
        <v>3</v>
      </c>
      <c r="O1078">
        <v>1</v>
      </c>
      <c r="P1078">
        <v>4</v>
      </c>
      <c r="Q1078">
        <v>3</v>
      </c>
      <c r="R1078">
        <v>5</v>
      </c>
      <c r="S1078">
        <v>4</v>
      </c>
      <c r="T1078">
        <v>4</v>
      </c>
      <c r="U1078">
        <v>5</v>
      </c>
      <c r="V1078">
        <v>4</v>
      </c>
      <c r="W1078">
        <v>5</v>
      </c>
      <c r="X1078">
        <v>3</v>
      </c>
      <c r="Y1078">
        <v>4</v>
      </c>
      <c r="Z1078">
        <v>4</v>
      </c>
      <c r="AA1078">
        <v>5</v>
      </c>
      <c r="AB1078">
        <v>4</v>
      </c>
      <c r="AC1078">
        <v>4</v>
      </c>
      <c r="AD1078">
        <v>4</v>
      </c>
      <c r="AE1078">
        <v>2</v>
      </c>
      <c r="AF1078">
        <v>3</v>
      </c>
      <c r="AG1078">
        <v>4</v>
      </c>
      <c r="AH1078">
        <v>3</v>
      </c>
      <c r="AI1078">
        <v>3</v>
      </c>
      <c r="AJ1078">
        <v>3</v>
      </c>
      <c r="AK1078" t="b">
        <f>Table67[[#This Row],[What is your age?]]&lt;&gt;"18 - 25"</f>
        <v>0</v>
      </c>
      <c r="AL1078" t="b">
        <f t="shared" si="64"/>
        <v>0</v>
      </c>
      <c r="AM1078" t="b">
        <f t="shared" si="65"/>
        <v>0</v>
      </c>
      <c r="AN1078" t="b">
        <f t="shared" si="66"/>
        <v>1</v>
      </c>
      <c r="AO1078" t="b">
        <f>OR(Table67[[#This Row],[Ineligible respondents]:[Inconsistent response on opposite question (3)]])</f>
        <v>1</v>
      </c>
      <c r="AP107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078">
        <f>Table67[[#This Row],[Extreme Response]]/21</f>
        <v>0.23809523809523808</v>
      </c>
      <c r="AR1078">
        <f>_xlfn.PERCENTILE.INC(Table67[Extrem Response Ratio (ERS)],0.9)</f>
        <v>0.61904761904761907</v>
      </c>
      <c r="AS1078" t="b">
        <f>Table67[[#This Row],[Extrem Response Ratio (ERS)]]&gt;=Table67[[#This Row],[Threshold of ERS]]</f>
        <v>0</v>
      </c>
      <c r="AT1078">
        <f>COUNTIF(Table67[[#This Row],[The mechanism of digital assets is difficult to understand, which discourages me from exploring it (E.g, Tokenization, Blockchain)]:[If I want to try different ways to invest, I will explore digital assets.]], 3)</f>
        <v>5</v>
      </c>
      <c r="AU1078">
        <f>Table67[[#This Row],[Midpoint]]/21</f>
        <v>0.23809523809523808</v>
      </c>
      <c r="AV1078">
        <f>_xlfn.PERCENTILE.INC(Table67[Midpoint ratio],0.9)</f>
        <v>0.5714285714285714</v>
      </c>
      <c r="AW1078" t="b">
        <f>Table67[[#This Row],[Midpoint ratio]]&gt;=Table67[[#This Row],[Threshold of Midpoint ratio]]</f>
        <v>0</v>
      </c>
      <c r="AX1078" t="b">
        <f>OR(Table67[[#This Row],[Extreme Response Style]],Table67[[#This Row],[Mid-point Response Style]])</f>
        <v>0</v>
      </c>
      <c r="AY1078" t="b">
        <f>OR(Table67[[#This Row],[Delete? (Stage 1)]],Table67[[#This Row],[Delete? (Stage 2)]])</f>
        <v>1</v>
      </c>
      <c r="AZ1078" t="s">
        <v>84</v>
      </c>
    </row>
    <row r="1079" spans="1:52">
      <c r="A1079">
        <f t="shared" si="67"/>
        <v>1078</v>
      </c>
      <c r="B1079" s="3">
        <v>46056.886284722197</v>
      </c>
      <c r="C1079" s="3">
        <v>46056.889965277798</v>
      </c>
      <c r="D1079" t="s">
        <v>53</v>
      </c>
      <c r="G1079" t="s">
        <v>54</v>
      </c>
      <c r="H1079" t="s">
        <v>55</v>
      </c>
      <c r="I1079" t="s">
        <v>56</v>
      </c>
      <c r="J1079" t="s">
        <v>62</v>
      </c>
      <c r="K1079" t="s">
        <v>62</v>
      </c>
      <c r="L1079" t="s">
        <v>61</v>
      </c>
      <c r="M1079" t="s">
        <v>61</v>
      </c>
      <c r="N1079">
        <v>4</v>
      </c>
      <c r="O1079">
        <v>4</v>
      </c>
      <c r="P1079">
        <v>5</v>
      </c>
      <c r="Q1079">
        <v>3</v>
      </c>
      <c r="R1079">
        <v>4</v>
      </c>
      <c r="S1079">
        <v>5</v>
      </c>
      <c r="T1079">
        <v>4</v>
      </c>
      <c r="U1079">
        <v>5</v>
      </c>
      <c r="V1079">
        <v>5</v>
      </c>
      <c r="W1079">
        <v>4</v>
      </c>
      <c r="X1079">
        <v>2</v>
      </c>
      <c r="Y1079">
        <v>4</v>
      </c>
      <c r="Z1079">
        <v>4</v>
      </c>
      <c r="AA1079">
        <v>4</v>
      </c>
      <c r="AB1079">
        <v>2</v>
      </c>
      <c r="AC1079">
        <v>2</v>
      </c>
      <c r="AD1079">
        <v>4</v>
      </c>
      <c r="AE1079">
        <v>3</v>
      </c>
      <c r="AF1079">
        <v>3</v>
      </c>
      <c r="AG1079">
        <v>3</v>
      </c>
      <c r="AH1079">
        <v>4</v>
      </c>
      <c r="AI1079">
        <v>2</v>
      </c>
      <c r="AJ1079">
        <v>3</v>
      </c>
      <c r="AK1079" t="b">
        <f>Table67[[#This Row],[What is your age?]]&lt;&gt;"18 - 25"</f>
        <v>0</v>
      </c>
      <c r="AL1079" t="b">
        <f t="shared" si="64"/>
        <v>0</v>
      </c>
      <c r="AM1079" t="b">
        <f t="shared" si="65"/>
        <v>0</v>
      </c>
      <c r="AN1079" t="b">
        <f t="shared" si="66"/>
        <v>1</v>
      </c>
      <c r="AO1079" t="b">
        <f>OR(Table67[[#This Row],[Ineligible respondents]:[Inconsistent response on opposite question (3)]])</f>
        <v>1</v>
      </c>
      <c r="AP107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079">
        <f>Table67[[#This Row],[Extreme Response]]/21</f>
        <v>0.19047619047619047</v>
      </c>
      <c r="AR1079">
        <f>_xlfn.PERCENTILE.INC(Table67[Extrem Response Ratio (ERS)],0.9)</f>
        <v>0.61904761904761907</v>
      </c>
      <c r="AS1079" t="b">
        <f>Table67[[#This Row],[Extrem Response Ratio (ERS)]]&gt;=Table67[[#This Row],[Threshold of ERS]]</f>
        <v>0</v>
      </c>
      <c r="AT1079">
        <f>COUNTIF(Table67[[#This Row],[The mechanism of digital assets is difficult to understand, which discourages me from exploring it (E.g, Tokenization, Blockchain)]:[If I want to try different ways to invest, I will explore digital assets.]], 3)</f>
        <v>4</v>
      </c>
      <c r="AU1079">
        <f>Table67[[#This Row],[Midpoint]]/21</f>
        <v>0.19047619047619047</v>
      </c>
      <c r="AV1079">
        <f>_xlfn.PERCENTILE.INC(Table67[Midpoint ratio],0.9)</f>
        <v>0.5714285714285714</v>
      </c>
      <c r="AW1079" t="b">
        <f>Table67[[#This Row],[Midpoint ratio]]&gt;=Table67[[#This Row],[Threshold of Midpoint ratio]]</f>
        <v>0</v>
      </c>
      <c r="AX1079" t="b">
        <f>OR(Table67[[#This Row],[Extreme Response Style]],Table67[[#This Row],[Mid-point Response Style]])</f>
        <v>0</v>
      </c>
      <c r="AY1079" t="b">
        <f>OR(Table67[[#This Row],[Delete? (Stage 1)]],Table67[[#This Row],[Delete? (Stage 2)]])</f>
        <v>1</v>
      </c>
      <c r="AZ1079" t="s">
        <v>84</v>
      </c>
    </row>
    <row r="1080" spans="1:52">
      <c r="A1080">
        <f t="shared" si="67"/>
        <v>1079</v>
      </c>
      <c r="B1080" s="3">
        <v>46056.886319444398</v>
      </c>
      <c r="C1080" s="3">
        <v>46056.888680555603</v>
      </c>
      <c r="D1080" t="s">
        <v>53</v>
      </c>
      <c r="G1080" t="s">
        <v>54</v>
      </c>
      <c r="H1080" t="s">
        <v>55</v>
      </c>
      <c r="I1080" t="s">
        <v>56</v>
      </c>
      <c r="J1080" t="s">
        <v>64</v>
      </c>
      <c r="K1080" t="s">
        <v>60</v>
      </c>
      <c r="L1080" t="s">
        <v>58</v>
      </c>
      <c r="M1080" t="s">
        <v>58</v>
      </c>
      <c r="N1080">
        <v>3</v>
      </c>
      <c r="O1080">
        <v>4</v>
      </c>
      <c r="P1080">
        <v>4</v>
      </c>
      <c r="Q1080">
        <v>4</v>
      </c>
      <c r="R1080">
        <v>4</v>
      </c>
      <c r="S1080">
        <v>3</v>
      </c>
      <c r="T1080">
        <v>4</v>
      </c>
      <c r="U1080">
        <v>2</v>
      </c>
      <c r="V1080">
        <v>4</v>
      </c>
      <c r="W1080">
        <v>3</v>
      </c>
      <c r="X1080">
        <v>4</v>
      </c>
      <c r="Y1080">
        <v>3</v>
      </c>
      <c r="Z1080">
        <v>3</v>
      </c>
      <c r="AA1080">
        <v>4</v>
      </c>
      <c r="AB1080">
        <v>3</v>
      </c>
      <c r="AC1080">
        <v>4</v>
      </c>
      <c r="AD1080">
        <v>3</v>
      </c>
      <c r="AE1080">
        <v>2</v>
      </c>
      <c r="AF1080">
        <v>4</v>
      </c>
      <c r="AG1080">
        <v>4</v>
      </c>
      <c r="AH1080">
        <v>3</v>
      </c>
      <c r="AI1080">
        <v>3</v>
      </c>
      <c r="AJ1080">
        <v>2</v>
      </c>
      <c r="AK1080" t="b">
        <f>Table67[[#This Row],[What is your age?]]&lt;&gt;"18 - 25"</f>
        <v>0</v>
      </c>
      <c r="AL1080" t="b">
        <f t="shared" si="64"/>
        <v>0</v>
      </c>
      <c r="AM1080" t="b">
        <f t="shared" si="65"/>
        <v>0</v>
      </c>
      <c r="AN1080" t="b">
        <f t="shared" si="66"/>
        <v>1</v>
      </c>
      <c r="AO1080" t="b">
        <f>OR(Table67[[#This Row],[Ineligible respondents]:[Inconsistent response on opposite question (3)]])</f>
        <v>1</v>
      </c>
      <c r="AP108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080">
        <f>Table67[[#This Row],[Extreme Response]]/21</f>
        <v>0</v>
      </c>
      <c r="AR1080">
        <f>_xlfn.PERCENTILE.INC(Table67[Extrem Response Ratio (ERS)],0.9)</f>
        <v>0.61904761904761907</v>
      </c>
      <c r="AS1080" t="b">
        <f>Table67[[#This Row],[Extrem Response Ratio (ERS)]]&gt;=Table67[[#This Row],[Threshold of ERS]]</f>
        <v>0</v>
      </c>
      <c r="AT1080">
        <f>COUNTIF(Table67[[#This Row],[The mechanism of digital assets is difficult to understand, which discourages me from exploring it (E.g, Tokenization, Blockchain)]:[If I want to try different ways to invest, I will explore digital assets.]], 3)</f>
        <v>8</v>
      </c>
      <c r="AU1080">
        <f>Table67[[#This Row],[Midpoint]]/21</f>
        <v>0.38095238095238093</v>
      </c>
      <c r="AV1080">
        <f>_xlfn.PERCENTILE.INC(Table67[Midpoint ratio],0.9)</f>
        <v>0.5714285714285714</v>
      </c>
      <c r="AW1080" t="b">
        <f>Table67[[#This Row],[Midpoint ratio]]&gt;=Table67[[#This Row],[Threshold of Midpoint ratio]]</f>
        <v>0</v>
      </c>
      <c r="AX1080" t="b">
        <f>OR(Table67[[#This Row],[Extreme Response Style]],Table67[[#This Row],[Mid-point Response Style]])</f>
        <v>0</v>
      </c>
      <c r="AY1080" t="b">
        <f>OR(Table67[[#This Row],[Delete? (Stage 1)]],Table67[[#This Row],[Delete? (Stage 2)]])</f>
        <v>1</v>
      </c>
      <c r="AZ1080" t="s">
        <v>84</v>
      </c>
    </row>
    <row r="1081" spans="1:52">
      <c r="A1081">
        <f t="shared" si="67"/>
        <v>1080</v>
      </c>
      <c r="B1081" s="3">
        <v>46056.886354166701</v>
      </c>
      <c r="C1081" s="3">
        <v>46056.898807870399</v>
      </c>
      <c r="D1081" t="s">
        <v>53</v>
      </c>
      <c r="G1081" t="s">
        <v>54</v>
      </c>
      <c r="H1081" t="s">
        <v>55</v>
      </c>
      <c r="I1081" t="s">
        <v>71</v>
      </c>
      <c r="J1081" t="s">
        <v>60</v>
      </c>
      <c r="K1081" t="s">
        <v>62</v>
      </c>
      <c r="L1081" t="s">
        <v>61</v>
      </c>
      <c r="M1081" t="s">
        <v>61</v>
      </c>
      <c r="N1081">
        <v>4</v>
      </c>
      <c r="O1081">
        <v>2</v>
      </c>
      <c r="P1081">
        <v>4</v>
      </c>
      <c r="Q1081">
        <v>2</v>
      </c>
      <c r="R1081">
        <v>2</v>
      </c>
      <c r="S1081">
        <v>2</v>
      </c>
      <c r="T1081">
        <v>3</v>
      </c>
      <c r="U1081">
        <v>4</v>
      </c>
      <c r="V1081">
        <v>4</v>
      </c>
      <c r="W1081">
        <v>4</v>
      </c>
      <c r="X1081">
        <v>4</v>
      </c>
      <c r="Y1081">
        <v>4</v>
      </c>
      <c r="Z1081">
        <v>5</v>
      </c>
      <c r="AA1081">
        <v>4</v>
      </c>
      <c r="AB1081">
        <v>3</v>
      </c>
      <c r="AC1081">
        <v>4</v>
      </c>
      <c r="AD1081">
        <v>4</v>
      </c>
      <c r="AE1081">
        <v>4</v>
      </c>
      <c r="AF1081">
        <v>2</v>
      </c>
      <c r="AG1081">
        <v>4</v>
      </c>
      <c r="AH1081">
        <v>2</v>
      </c>
      <c r="AI1081">
        <v>4</v>
      </c>
      <c r="AJ1081">
        <v>4</v>
      </c>
      <c r="AK1081" t="b">
        <f>Table67[[#This Row],[What is your age?]]&lt;&gt;"18 - 25"</f>
        <v>0</v>
      </c>
      <c r="AL1081" t="b">
        <f t="shared" si="64"/>
        <v>0</v>
      </c>
      <c r="AM1081" t="b">
        <f t="shared" si="65"/>
        <v>0</v>
      </c>
      <c r="AN1081" t="b">
        <f t="shared" si="66"/>
        <v>0</v>
      </c>
      <c r="AO1081" t="b">
        <f>OR(Table67[[#This Row],[Ineligible respondents]:[Inconsistent response on opposite question (3)]])</f>
        <v>0</v>
      </c>
      <c r="AP108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081">
        <f>Table67[[#This Row],[Extreme Response]]/21</f>
        <v>4.7619047619047616E-2</v>
      </c>
      <c r="AR1081">
        <f>_xlfn.PERCENTILE.INC(Table67[Extrem Response Ratio (ERS)],0.9)</f>
        <v>0.61904761904761907</v>
      </c>
      <c r="AS1081" t="b">
        <f>Table67[[#This Row],[Extrem Response Ratio (ERS)]]&gt;=Table67[[#This Row],[Threshold of ERS]]</f>
        <v>0</v>
      </c>
      <c r="AT1081">
        <f>COUNTIF(Table67[[#This Row],[The mechanism of digital assets is difficult to understand, which discourages me from exploring it (E.g, Tokenization, Blockchain)]:[If I want to try different ways to invest, I will explore digital assets.]], 3)</f>
        <v>2</v>
      </c>
      <c r="AU1081">
        <f>Table67[[#This Row],[Midpoint]]/21</f>
        <v>9.5238095238095233E-2</v>
      </c>
      <c r="AV1081">
        <f>_xlfn.PERCENTILE.INC(Table67[Midpoint ratio],0.9)</f>
        <v>0.5714285714285714</v>
      </c>
      <c r="AW1081" t="b">
        <f>Table67[[#This Row],[Midpoint ratio]]&gt;=Table67[[#This Row],[Threshold of Midpoint ratio]]</f>
        <v>0</v>
      </c>
      <c r="AX1081" t="b">
        <f>OR(Table67[[#This Row],[Extreme Response Style]],Table67[[#This Row],[Mid-point Response Style]])</f>
        <v>0</v>
      </c>
      <c r="AY1081" t="b">
        <f>OR(Table67[[#This Row],[Delete? (Stage 1)]],Table67[[#This Row],[Delete? (Stage 2)]])</f>
        <v>0</v>
      </c>
      <c r="AZ1081" t="s">
        <v>84</v>
      </c>
    </row>
    <row r="1082" spans="1:52">
      <c r="A1082">
        <f t="shared" si="67"/>
        <v>1081</v>
      </c>
      <c r="B1082" s="3">
        <v>46056.886423611097</v>
      </c>
      <c r="C1082" s="3">
        <v>46056.890914351803</v>
      </c>
      <c r="D1082" t="s">
        <v>53</v>
      </c>
      <c r="G1082" t="s">
        <v>54</v>
      </c>
      <c r="H1082" t="s">
        <v>63</v>
      </c>
      <c r="I1082" t="s">
        <v>56</v>
      </c>
      <c r="J1082" t="s">
        <v>57</v>
      </c>
      <c r="K1082" t="s">
        <v>57</v>
      </c>
      <c r="L1082" t="s">
        <v>58</v>
      </c>
      <c r="M1082" t="s">
        <v>61</v>
      </c>
      <c r="N1082">
        <v>4</v>
      </c>
      <c r="O1082">
        <v>2</v>
      </c>
      <c r="P1082">
        <v>4</v>
      </c>
      <c r="Q1082">
        <v>3</v>
      </c>
      <c r="R1082">
        <v>4</v>
      </c>
      <c r="S1082">
        <v>3</v>
      </c>
      <c r="T1082">
        <v>2</v>
      </c>
      <c r="U1082">
        <v>3</v>
      </c>
      <c r="V1082">
        <v>4</v>
      </c>
      <c r="W1082">
        <v>4</v>
      </c>
      <c r="X1082">
        <v>4</v>
      </c>
      <c r="Y1082">
        <v>4</v>
      </c>
      <c r="Z1082">
        <v>4</v>
      </c>
      <c r="AA1082">
        <v>3</v>
      </c>
      <c r="AB1082">
        <v>2</v>
      </c>
      <c r="AC1082">
        <v>3</v>
      </c>
      <c r="AD1082">
        <v>3</v>
      </c>
      <c r="AE1082">
        <v>2</v>
      </c>
      <c r="AF1082">
        <v>4</v>
      </c>
      <c r="AG1082">
        <v>3</v>
      </c>
      <c r="AH1082">
        <v>3</v>
      </c>
      <c r="AI1082">
        <v>3</v>
      </c>
      <c r="AJ1082">
        <v>2</v>
      </c>
      <c r="AK1082" t="b">
        <f>Table67[[#This Row],[What is your age?]]&lt;&gt;"18 - 25"</f>
        <v>0</v>
      </c>
      <c r="AL1082" t="b">
        <f t="shared" si="64"/>
        <v>0</v>
      </c>
      <c r="AM1082" t="b">
        <f t="shared" si="65"/>
        <v>0</v>
      </c>
      <c r="AN1082" t="b">
        <f t="shared" si="66"/>
        <v>0</v>
      </c>
      <c r="AO1082" t="b">
        <f>OR(Table67[[#This Row],[Ineligible respondents]:[Inconsistent response on opposite question (3)]])</f>
        <v>0</v>
      </c>
      <c r="AP108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082">
        <f>Table67[[#This Row],[Extreme Response]]/21</f>
        <v>0</v>
      </c>
      <c r="AR1082">
        <f>_xlfn.PERCENTILE.INC(Table67[Extrem Response Ratio (ERS)],0.9)</f>
        <v>0.61904761904761907</v>
      </c>
      <c r="AS1082" t="b">
        <f>Table67[[#This Row],[Extrem Response Ratio (ERS)]]&gt;=Table67[[#This Row],[Threshold of ERS]]</f>
        <v>0</v>
      </c>
      <c r="AT1082">
        <f>COUNTIF(Table67[[#This Row],[The mechanism of digital assets is difficult to understand, which discourages me from exploring it (E.g, Tokenization, Blockchain)]:[If I want to try different ways to invest, I will explore digital assets.]], 3)</f>
        <v>8</v>
      </c>
      <c r="AU1082">
        <f>Table67[[#This Row],[Midpoint]]/21</f>
        <v>0.38095238095238093</v>
      </c>
      <c r="AV1082">
        <f>_xlfn.PERCENTILE.INC(Table67[Midpoint ratio],0.9)</f>
        <v>0.5714285714285714</v>
      </c>
      <c r="AW1082" t="b">
        <f>Table67[[#This Row],[Midpoint ratio]]&gt;=Table67[[#This Row],[Threshold of Midpoint ratio]]</f>
        <v>0</v>
      </c>
      <c r="AX1082" t="b">
        <f>OR(Table67[[#This Row],[Extreme Response Style]],Table67[[#This Row],[Mid-point Response Style]])</f>
        <v>0</v>
      </c>
      <c r="AY1082" t="b">
        <f>OR(Table67[[#This Row],[Delete? (Stage 1)]],Table67[[#This Row],[Delete? (Stage 2)]])</f>
        <v>0</v>
      </c>
      <c r="AZ1082" t="s">
        <v>84</v>
      </c>
    </row>
    <row r="1083" spans="1:52">
      <c r="A1083">
        <f t="shared" si="67"/>
        <v>1082</v>
      </c>
      <c r="B1083" s="3">
        <v>46056.886458333298</v>
      </c>
      <c r="C1083" s="3">
        <v>46056.890787037002</v>
      </c>
      <c r="D1083" t="s">
        <v>53</v>
      </c>
      <c r="G1083" t="s">
        <v>54</v>
      </c>
      <c r="H1083" t="s">
        <v>55</v>
      </c>
      <c r="I1083" t="s">
        <v>69</v>
      </c>
      <c r="J1083" t="s">
        <v>62</v>
      </c>
      <c r="K1083" t="s">
        <v>57</v>
      </c>
      <c r="L1083" t="s">
        <v>58</v>
      </c>
      <c r="M1083" t="s">
        <v>58</v>
      </c>
      <c r="N1083">
        <v>3</v>
      </c>
      <c r="O1083">
        <v>1</v>
      </c>
      <c r="P1083">
        <v>2</v>
      </c>
      <c r="Q1083">
        <v>4</v>
      </c>
      <c r="R1083">
        <v>5</v>
      </c>
      <c r="S1083">
        <v>5</v>
      </c>
      <c r="T1083">
        <v>1</v>
      </c>
      <c r="U1083">
        <v>2</v>
      </c>
      <c r="V1083">
        <v>5</v>
      </c>
      <c r="W1083">
        <v>5</v>
      </c>
      <c r="X1083">
        <v>2</v>
      </c>
      <c r="Y1083">
        <v>5</v>
      </c>
      <c r="Z1083">
        <v>5</v>
      </c>
      <c r="AA1083">
        <v>5</v>
      </c>
      <c r="AB1083">
        <v>4</v>
      </c>
      <c r="AC1083">
        <v>5</v>
      </c>
      <c r="AD1083">
        <v>5</v>
      </c>
      <c r="AE1083">
        <v>1</v>
      </c>
      <c r="AF1083">
        <v>5</v>
      </c>
      <c r="AG1083">
        <v>5</v>
      </c>
      <c r="AH1083">
        <v>5</v>
      </c>
      <c r="AI1083">
        <v>1</v>
      </c>
      <c r="AJ1083">
        <v>1</v>
      </c>
      <c r="AK1083" t="b">
        <f>Table67[[#This Row],[What is your age?]]&lt;&gt;"18 - 25"</f>
        <v>0</v>
      </c>
      <c r="AL1083" t="b">
        <f t="shared" si="64"/>
        <v>0</v>
      </c>
      <c r="AM1083" t="b">
        <f t="shared" si="65"/>
        <v>1</v>
      </c>
      <c r="AN1083" t="b">
        <f t="shared" si="66"/>
        <v>0</v>
      </c>
      <c r="AO1083" t="b">
        <f>OR(Table67[[#This Row],[Ineligible respondents]:[Inconsistent response on opposite question (3)]])</f>
        <v>1</v>
      </c>
      <c r="AP108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1083">
        <f>Table67[[#This Row],[Extreme Response]]/21</f>
        <v>0.7142857142857143</v>
      </c>
      <c r="AR1083">
        <f>_xlfn.PERCENTILE.INC(Table67[Extrem Response Ratio (ERS)],0.9)</f>
        <v>0.61904761904761907</v>
      </c>
      <c r="AS1083" t="b">
        <f>Table67[[#This Row],[Extrem Response Ratio (ERS)]]&gt;=Table67[[#This Row],[Threshold of ERS]]</f>
        <v>1</v>
      </c>
      <c r="AT1083">
        <f>COUNTIF(Table67[[#This Row],[The mechanism of digital assets is difficult to understand, which discourages me from exploring it (E.g, Tokenization, Blockchain)]:[If I want to try different ways to invest, I will explore digital assets.]], 3)</f>
        <v>1</v>
      </c>
      <c r="AU1083">
        <f>Table67[[#This Row],[Midpoint]]/21</f>
        <v>4.7619047619047616E-2</v>
      </c>
      <c r="AV1083">
        <f>_xlfn.PERCENTILE.INC(Table67[Midpoint ratio],0.9)</f>
        <v>0.5714285714285714</v>
      </c>
      <c r="AW1083" t="b">
        <f>Table67[[#This Row],[Midpoint ratio]]&gt;=Table67[[#This Row],[Threshold of Midpoint ratio]]</f>
        <v>0</v>
      </c>
      <c r="AX1083" t="b">
        <f>OR(Table67[[#This Row],[Extreme Response Style]],Table67[[#This Row],[Mid-point Response Style]])</f>
        <v>1</v>
      </c>
      <c r="AY1083" t="b">
        <f>OR(Table67[[#This Row],[Delete? (Stage 1)]],Table67[[#This Row],[Delete? (Stage 2)]])</f>
        <v>1</v>
      </c>
      <c r="AZ1083" t="s">
        <v>84</v>
      </c>
    </row>
    <row r="1084" spans="1:52">
      <c r="A1084">
        <f t="shared" si="67"/>
        <v>1083</v>
      </c>
      <c r="B1084" s="3">
        <v>46056.886481481502</v>
      </c>
      <c r="C1084" s="3">
        <v>46056.888715277797</v>
      </c>
      <c r="D1084" t="s">
        <v>53</v>
      </c>
      <c r="G1084" t="s">
        <v>54</v>
      </c>
      <c r="H1084" t="s">
        <v>55</v>
      </c>
      <c r="I1084" t="s">
        <v>56</v>
      </c>
      <c r="J1084" t="s">
        <v>62</v>
      </c>
      <c r="K1084" t="s">
        <v>62</v>
      </c>
      <c r="L1084" t="s">
        <v>58</v>
      </c>
      <c r="M1084" t="s">
        <v>58</v>
      </c>
      <c r="N1084">
        <v>4</v>
      </c>
      <c r="O1084">
        <v>1</v>
      </c>
      <c r="P1084">
        <v>4</v>
      </c>
      <c r="Q1084">
        <v>1</v>
      </c>
      <c r="R1084">
        <v>2</v>
      </c>
      <c r="S1084">
        <v>2</v>
      </c>
      <c r="T1084">
        <v>4</v>
      </c>
      <c r="U1084">
        <v>4</v>
      </c>
      <c r="V1084">
        <v>5</v>
      </c>
      <c r="W1084">
        <v>4</v>
      </c>
      <c r="X1084">
        <v>5</v>
      </c>
      <c r="Y1084">
        <v>3</v>
      </c>
      <c r="Z1084">
        <v>4</v>
      </c>
      <c r="AA1084">
        <v>3</v>
      </c>
      <c r="AB1084">
        <v>2</v>
      </c>
      <c r="AC1084">
        <v>2</v>
      </c>
      <c r="AD1084">
        <v>4</v>
      </c>
      <c r="AE1084">
        <v>4</v>
      </c>
      <c r="AF1084">
        <v>3</v>
      </c>
      <c r="AG1084">
        <v>3</v>
      </c>
      <c r="AH1084">
        <v>4</v>
      </c>
      <c r="AI1084">
        <v>2</v>
      </c>
      <c r="AJ1084">
        <v>3</v>
      </c>
      <c r="AK1084" t="b">
        <f>Table67[[#This Row],[What is your age?]]&lt;&gt;"18 - 25"</f>
        <v>0</v>
      </c>
      <c r="AL1084" t="b">
        <f t="shared" si="64"/>
        <v>0</v>
      </c>
      <c r="AM1084" t="b">
        <f t="shared" si="65"/>
        <v>0</v>
      </c>
      <c r="AN1084" t="b">
        <f t="shared" si="66"/>
        <v>1</v>
      </c>
      <c r="AO1084" t="b">
        <f>OR(Table67[[#This Row],[Ineligible respondents]:[Inconsistent response on opposite question (3)]])</f>
        <v>1</v>
      </c>
      <c r="AP108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084">
        <f>Table67[[#This Row],[Extreme Response]]/21</f>
        <v>0.19047619047619047</v>
      </c>
      <c r="AR1084">
        <f>_xlfn.PERCENTILE.INC(Table67[Extrem Response Ratio (ERS)],0.9)</f>
        <v>0.61904761904761907</v>
      </c>
      <c r="AS1084" t="b">
        <f>Table67[[#This Row],[Extrem Response Ratio (ERS)]]&gt;=Table67[[#This Row],[Threshold of ERS]]</f>
        <v>0</v>
      </c>
      <c r="AT1084">
        <f>COUNTIF(Table67[[#This Row],[The mechanism of digital assets is difficult to understand, which discourages me from exploring it (E.g, Tokenization, Blockchain)]:[If I want to try different ways to invest, I will explore digital assets.]], 3)</f>
        <v>4</v>
      </c>
      <c r="AU1084">
        <f>Table67[[#This Row],[Midpoint]]/21</f>
        <v>0.19047619047619047</v>
      </c>
      <c r="AV1084">
        <f>_xlfn.PERCENTILE.INC(Table67[Midpoint ratio],0.9)</f>
        <v>0.5714285714285714</v>
      </c>
      <c r="AW1084" t="b">
        <f>Table67[[#This Row],[Midpoint ratio]]&gt;=Table67[[#This Row],[Threshold of Midpoint ratio]]</f>
        <v>0</v>
      </c>
      <c r="AX1084" t="b">
        <f>OR(Table67[[#This Row],[Extreme Response Style]],Table67[[#This Row],[Mid-point Response Style]])</f>
        <v>0</v>
      </c>
      <c r="AY1084" t="b">
        <f>OR(Table67[[#This Row],[Delete? (Stage 1)]],Table67[[#This Row],[Delete? (Stage 2)]])</f>
        <v>1</v>
      </c>
      <c r="AZ1084" t="s">
        <v>84</v>
      </c>
    </row>
    <row r="1085" spans="1:52">
      <c r="A1085">
        <f t="shared" si="67"/>
        <v>1084</v>
      </c>
      <c r="B1085" s="3">
        <v>46056.886516203696</v>
      </c>
      <c r="C1085" s="3">
        <v>46056.888344907398</v>
      </c>
      <c r="D1085" t="s">
        <v>53</v>
      </c>
      <c r="G1085" t="s">
        <v>54</v>
      </c>
      <c r="H1085" t="s">
        <v>55</v>
      </c>
      <c r="I1085" t="s">
        <v>56</v>
      </c>
      <c r="J1085" t="s">
        <v>67</v>
      </c>
      <c r="K1085" t="s">
        <v>62</v>
      </c>
      <c r="L1085" t="s">
        <v>58</v>
      </c>
      <c r="M1085" t="s">
        <v>58</v>
      </c>
      <c r="N1085">
        <v>4</v>
      </c>
      <c r="O1085">
        <v>5</v>
      </c>
      <c r="P1085">
        <v>4</v>
      </c>
      <c r="Q1085">
        <v>3</v>
      </c>
      <c r="R1085">
        <v>2</v>
      </c>
      <c r="S1085">
        <v>4</v>
      </c>
      <c r="T1085">
        <v>5</v>
      </c>
      <c r="U1085">
        <v>4</v>
      </c>
      <c r="V1085">
        <v>4</v>
      </c>
      <c r="W1085">
        <v>2</v>
      </c>
      <c r="X1085">
        <v>3</v>
      </c>
      <c r="Y1085">
        <v>2</v>
      </c>
      <c r="Z1085">
        <v>4</v>
      </c>
      <c r="AA1085">
        <v>2</v>
      </c>
      <c r="AB1085">
        <v>3</v>
      </c>
      <c r="AC1085">
        <v>4</v>
      </c>
      <c r="AD1085">
        <v>4</v>
      </c>
      <c r="AE1085">
        <v>1</v>
      </c>
      <c r="AF1085">
        <v>3</v>
      </c>
      <c r="AG1085">
        <v>4</v>
      </c>
      <c r="AH1085">
        <v>4</v>
      </c>
      <c r="AI1085">
        <v>2</v>
      </c>
      <c r="AJ1085">
        <v>3</v>
      </c>
      <c r="AK1085" t="b">
        <f>Table67[[#This Row],[What is your age?]]&lt;&gt;"18 - 25"</f>
        <v>0</v>
      </c>
      <c r="AL1085" t="b">
        <f t="shared" si="64"/>
        <v>0</v>
      </c>
      <c r="AM1085" t="b">
        <f t="shared" si="65"/>
        <v>1</v>
      </c>
      <c r="AN1085" t="b">
        <f t="shared" si="66"/>
        <v>0</v>
      </c>
      <c r="AO1085" t="b">
        <f>OR(Table67[[#This Row],[Ineligible respondents]:[Inconsistent response on opposite question (3)]])</f>
        <v>1</v>
      </c>
      <c r="AP108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085">
        <f>Table67[[#This Row],[Extreme Response]]/21</f>
        <v>0.14285714285714285</v>
      </c>
      <c r="AR1085">
        <f>_xlfn.PERCENTILE.INC(Table67[Extrem Response Ratio (ERS)],0.9)</f>
        <v>0.61904761904761907</v>
      </c>
      <c r="AS1085" t="b">
        <f>Table67[[#This Row],[Extrem Response Ratio (ERS)]]&gt;=Table67[[#This Row],[Threshold of ERS]]</f>
        <v>0</v>
      </c>
      <c r="AT1085">
        <f>COUNTIF(Table67[[#This Row],[The mechanism of digital assets is difficult to understand, which discourages me from exploring it (E.g, Tokenization, Blockchain)]:[If I want to try different ways to invest, I will explore digital assets.]], 3)</f>
        <v>4</v>
      </c>
      <c r="AU1085">
        <f>Table67[[#This Row],[Midpoint]]/21</f>
        <v>0.19047619047619047</v>
      </c>
      <c r="AV1085">
        <f>_xlfn.PERCENTILE.INC(Table67[Midpoint ratio],0.9)</f>
        <v>0.5714285714285714</v>
      </c>
      <c r="AW1085" t="b">
        <f>Table67[[#This Row],[Midpoint ratio]]&gt;=Table67[[#This Row],[Threshold of Midpoint ratio]]</f>
        <v>0</v>
      </c>
      <c r="AX1085" t="b">
        <f>OR(Table67[[#This Row],[Extreme Response Style]],Table67[[#This Row],[Mid-point Response Style]])</f>
        <v>0</v>
      </c>
      <c r="AY1085" t="b">
        <f>OR(Table67[[#This Row],[Delete? (Stage 1)]],Table67[[#This Row],[Delete? (Stage 2)]])</f>
        <v>1</v>
      </c>
      <c r="AZ1085" t="s">
        <v>84</v>
      </c>
    </row>
    <row r="1086" spans="1:52">
      <c r="A1086">
        <f t="shared" si="67"/>
        <v>1085</v>
      </c>
      <c r="B1086" s="3">
        <v>46056.886527777802</v>
      </c>
      <c r="C1086" s="3">
        <v>46056.8926041667</v>
      </c>
      <c r="D1086" t="s">
        <v>53</v>
      </c>
      <c r="G1086" t="s">
        <v>54</v>
      </c>
      <c r="H1086" t="s">
        <v>55</v>
      </c>
      <c r="I1086" t="s">
        <v>56</v>
      </c>
      <c r="J1086" t="s">
        <v>62</v>
      </c>
      <c r="K1086" t="s">
        <v>57</v>
      </c>
      <c r="L1086" t="s">
        <v>58</v>
      </c>
      <c r="M1086" t="s">
        <v>58</v>
      </c>
      <c r="N1086">
        <v>5</v>
      </c>
      <c r="O1086">
        <v>2</v>
      </c>
      <c r="P1086">
        <v>4</v>
      </c>
      <c r="Q1086">
        <v>4</v>
      </c>
      <c r="R1086">
        <v>1</v>
      </c>
      <c r="S1086">
        <v>2</v>
      </c>
      <c r="T1086">
        <v>2</v>
      </c>
      <c r="U1086">
        <v>5</v>
      </c>
      <c r="V1086">
        <v>5</v>
      </c>
      <c r="W1086">
        <v>5</v>
      </c>
      <c r="X1086">
        <v>1</v>
      </c>
      <c r="Y1086">
        <v>4</v>
      </c>
      <c r="Z1086">
        <v>3</v>
      </c>
      <c r="AA1086">
        <v>2</v>
      </c>
      <c r="AB1086">
        <v>2</v>
      </c>
      <c r="AC1086">
        <v>5</v>
      </c>
      <c r="AD1086">
        <v>1</v>
      </c>
      <c r="AE1086">
        <v>3</v>
      </c>
      <c r="AF1086">
        <v>4</v>
      </c>
      <c r="AG1086">
        <v>3</v>
      </c>
      <c r="AH1086">
        <v>4</v>
      </c>
      <c r="AI1086">
        <v>2</v>
      </c>
      <c r="AJ1086">
        <v>2</v>
      </c>
      <c r="AK1086" t="b">
        <f>Table67[[#This Row],[What is your age?]]&lt;&gt;"18 - 25"</f>
        <v>0</v>
      </c>
      <c r="AL1086" t="b">
        <f t="shared" si="64"/>
        <v>0</v>
      </c>
      <c r="AM1086" t="b">
        <f t="shared" si="65"/>
        <v>0</v>
      </c>
      <c r="AN1086" t="b">
        <f t="shared" si="66"/>
        <v>1</v>
      </c>
      <c r="AO1086" t="b">
        <f>OR(Table67[[#This Row],[Ineligible respondents]:[Inconsistent response on opposite question (3)]])</f>
        <v>1</v>
      </c>
      <c r="AP108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1086">
        <f>Table67[[#This Row],[Extreme Response]]/21</f>
        <v>0.38095238095238093</v>
      </c>
      <c r="AR1086">
        <f>_xlfn.PERCENTILE.INC(Table67[Extrem Response Ratio (ERS)],0.9)</f>
        <v>0.61904761904761907</v>
      </c>
      <c r="AS1086" t="b">
        <f>Table67[[#This Row],[Extrem Response Ratio (ERS)]]&gt;=Table67[[#This Row],[Threshold of ERS]]</f>
        <v>0</v>
      </c>
      <c r="AT1086">
        <f>COUNTIF(Table67[[#This Row],[The mechanism of digital assets is difficult to understand, which discourages me from exploring it (E.g, Tokenization, Blockchain)]:[If I want to try different ways to invest, I will explore digital assets.]], 3)</f>
        <v>3</v>
      </c>
      <c r="AU1086">
        <f>Table67[[#This Row],[Midpoint]]/21</f>
        <v>0.14285714285714285</v>
      </c>
      <c r="AV1086">
        <f>_xlfn.PERCENTILE.INC(Table67[Midpoint ratio],0.9)</f>
        <v>0.5714285714285714</v>
      </c>
      <c r="AW1086" t="b">
        <f>Table67[[#This Row],[Midpoint ratio]]&gt;=Table67[[#This Row],[Threshold of Midpoint ratio]]</f>
        <v>0</v>
      </c>
      <c r="AX1086" t="b">
        <f>OR(Table67[[#This Row],[Extreme Response Style]],Table67[[#This Row],[Mid-point Response Style]])</f>
        <v>0</v>
      </c>
      <c r="AY1086" t="b">
        <f>OR(Table67[[#This Row],[Delete? (Stage 1)]],Table67[[#This Row],[Delete? (Stage 2)]])</f>
        <v>1</v>
      </c>
      <c r="AZ1086" t="s">
        <v>84</v>
      </c>
    </row>
    <row r="1087" spans="1:52">
      <c r="A1087">
        <f t="shared" si="67"/>
        <v>1086</v>
      </c>
      <c r="B1087" s="3">
        <v>46056.886539351799</v>
      </c>
      <c r="C1087" s="3">
        <v>46056.889756944402</v>
      </c>
      <c r="D1087" t="s">
        <v>53</v>
      </c>
      <c r="G1087" t="s">
        <v>54</v>
      </c>
      <c r="H1087" t="s">
        <v>55</v>
      </c>
      <c r="I1087" t="s">
        <v>56</v>
      </c>
      <c r="J1087" t="s">
        <v>62</v>
      </c>
      <c r="K1087" t="s">
        <v>64</v>
      </c>
      <c r="L1087" t="s">
        <v>58</v>
      </c>
      <c r="M1087" t="s">
        <v>58</v>
      </c>
      <c r="N1087">
        <v>3</v>
      </c>
      <c r="O1087">
        <v>1</v>
      </c>
      <c r="P1087">
        <v>4</v>
      </c>
      <c r="Q1087">
        <v>3</v>
      </c>
      <c r="R1087">
        <v>2</v>
      </c>
      <c r="S1087">
        <v>2</v>
      </c>
      <c r="T1087">
        <v>4</v>
      </c>
      <c r="U1087">
        <v>4</v>
      </c>
      <c r="V1087">
        <v>5</v>
      </c>
      <c r="W1087">
        <v>5</v>
      </c>
      <c r="X1087">
        <v>4</v>
      </c>
      <c r="Y1087">
        <v>5</v>
      </c>
      <c r="Z1087">
        <v>5</v>
      </c>
      <c r="AA1087">
        <v>3</v>
      </c>
      <c r="AB1087">
        <v>4</v>
      </c>
      <c r="AC1087">
        <v>5</v>
      </c>
      <c r="AD1087">
        <v>5</v>
      </c>
      <c r="AE1087">
        <v>4</v>
      </c>
      <c r="AF1087">
        <v>2</v>
      </c>
      <c r="AG1087">
        <v>4</v>
      </c>
      <c r="AH1087">
        <v>2</v>
      </c>
      <c r="AI1087">
        <v>4</v>
      </c>
      <c r="AJ1087">
        <v>4</v>
      </c>
      <c r="AK1087" t="b">
        <f>Table67[[#This Row],[What is your age?]]&lt;&gt;"18 - 25"</f>
        <v>0</v>
      </c>
      <c r="AL1087" t="b">
        <f t="shared" si="64"/>
        <v>0</v>
      </c>
      <c r="AM1087" t="b">
        <f t="shared" si="65"/>
        <v>0</v>
      </c>
      <c r="AN1087" t="b">
        <f t="shared" si="66"/>
        <v>0</v>
      </c>
      <c r="AO1087" t="b">
        <f>OR(Table67[[#This Row],[Ineligible respondents]:[Inconsistent response on opposite question (3)]])</f>
        <v>0</v>
      </c>
      <c r="AP108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087">
        <f>Table67[[#This Row],[Extreme Response]]/21</f>
        <v>0.33333333333333331</v>
      </c>
      <c r="AR1087">
        <f>_xlfn.PERCENTILE.INC(Table67[Extrem Response Ratio (ERS)],0.9)</f>
        <v>0.61904761904761907</v>
      </c>
      <c r="AS1087" t="b">
        <f>Table67[[#This Row],[Extrem Response Ratio (ERS)]]&gt;=Table67[[#This Row],[Threshold of ERS]]</f>
        <v>0</v>
      </c>
      <c r="AT1087">
        <f>COUNTIF(Table67[[#This Row],[The mechanism of digital assets is difficult to understand, which discourages me from exploring it (E.g, Tokenization, Blockchain)]:[If I want to try different ways to invest, I will explore digital assets.]], 3)</f>
        <v>3</v>
      </c>
      <c r="AU1087">
        <f>Table67[[#This Row],[Midpoint]]/21</f>
        <v>0.14285714285714285</v>
      </c>
      <c r="AV1087">
        <f>_xlfn.PERCENTILE.INC(Table67[Midpoint ratio],0.9)</f>
        <v>0.5714285714285714</v>
      </c>
      <c r="AW1087" t="b">
        <f>Table67[[#This Row],[Midpoint ratio]]&gt;=Table67[[#This Row],[Threshold of Midpoint ratio]]</f>
        <v>0</v>
      </c>
      <c r="AX1087" t="b">
        <f>OR(Table67[[#This Row],[Extreme Response Style]],Table67[[#This Row],[Mid-point Response Style]])</f>
        <v>0</v>
      </c>
      <c r="AY1087" t="b">
        <f>OR(Table67[[#This Row],[Delete? (Stage 1)]],Table67[[#This Row],[Delete? (Stage 2)]])</f>
        <v>0</v>
      </c>
      <c r="AZ1087" t="s">
        <v>84</v>
      </c>
    </row>
    <row r="1088" spans="1:52">
      <c r="A1088">
        <f t="shared" si="67"/>
        <v>1087</v>
      </c>
      <c r="B1088" s="3">
        <v>46056.886608796303</v>
      </c>
      <c r="C1088" s="3">
        <v>46056.892465277801</v>
      </c>
      <c r="D1088" t="s">
        <v>53</v>
      </c>
      <c r="G1088" t="s">
        <v>54</v>
      </c>
      <c r="H1088" t="s">
        <v>55</v>
      </c>
      <c r="I1088" t="s">
        <v>69</v>
      </c>
      <c r="J1088" t="s">
        <v>62</v>
      </c>
      <c r="K1088" t="s">
        <v>57</v>
      </c>
      <c r="L1088" t="s">
        <v>58</v>
      </c>
      <c r="M1088" t="s">
        <v>58</v>
      </c>
      <c r="N1088">
        <v>3</v>
      </c>
      <c r="O1088">
        <v>1</v>
      </c>
      <c r="P1088">
        <v>3</v>
      </c>
      <c r="Q1088">
        <v>3</v>
      </c>
      <c r="R1088">
        <v>3</v>
      </c>
      <c r="S1088">
        <v>1</v>
      </c>
      <c r="T1088">
        <v>1</v>
      </c>
      <c r="U1088">
        <v>3</v>
      </c>
      <c r="V1088">
        <v>4</v>
      </c>
      <c r="W1088">
        <v>4</v>
      </c>
      <c r="X1088">
        <v>3</v>
      </c>
      <c r="Y1088">
        <v>3</v>
      </c>
      <c r="Z1088">
        <v>4</v>
      </c>
      <c r="AA1088">
        <v>4</v>
      </c>
      <c r="AB1088">
        <v>3</v>
      </c>
      <c r="AC1088">
        <v>2</v>
      </c>
      <c r="AD1088">
        <v>4</v>
      </c>
      <c r="AE1088">
        <v>2</v>
      </c>
      <c r="AF1088">
        <v>3</v>
      </c>
      <c r="AG1088">
        <v>3</v>
      </c>
      <c r="AH1088">
        <v>4</v>
      </c>
      <c r="AI1088">
        <v>2</v>
      </c>
      <c r="AJ1088">
        <v>3</v>
      </c>
      <c r="AK1088" t="b">
        <f>Table67[[#This Row],[What is your age?]]&lt;&gt;"18 - 25"</f>
        <v>0</v>
      </c>
      <c r="AL1088" t="b">
        <f t="shared" si="64"/>
        <v>0</v>
      </c>
      <c r="AM1088" t="b">
        <f t="shared" si="65"/>
        <v>0</v>
      </c>
      <c r="AN1088" t="b">
        <f t="shared" si="66"/>
        <v>1</v>
      </c>
      <c r="AO1088" t="b">
        <f>OR(Table67[[#This Row],[Ineligible respondents]:[Inconsistent response on opposite question (3)]])</f>
        <v>1</v>
      </c>
      <c r="AP108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088">
        <f>Table67[[#This Row],[Extreme Response]]/21</f>
        <v>0.14285714285714285</v>
      </c>
      <c r="AR1088">
        <f>_xlfn.PERCENTILE.INC(Table67[Extrem Response Ratio (ERS)],0.9)</f>
        <v>0.61904761904761907</v>
      </c>
      <c r="AS1088" t="b">
        <f>Table67[[#This Row],[Extrem Response Ratio (ERS)]]&gt;=Table67[[#This Row],[Threshold of ERS]]</f>
        <v>0</v>
      </c>
      <c r="AT1088">
        <f>COUNTIF(Table67[[#This Row],[The mechanism of digital assets is difficult to understand, which discourages me from exploring it (E.g, Tokenization, Blockchain)]:[If I want to try different ways to invest, I will explore digital assets.]], 3)</f>
        <v>10</v>
      </c>
      <c r="AU1088">
        <f>Table67[[#This Row],[Midpoint]]/21</f>
        <v>0.47619047619047616</v>
      </c>
      <c r="AV1088">
        <f>_xlfn.PERCENTILE.INC(Table67[Midpoint ratio],0.9)</f>
        <v>0.5714285714285714</v>
      </c>
      <c r="AW1088" t="b">
        <f>Table67[[#This Row],[Midpoint ratio]]&gt;=Table67[[#This Row],[Threshold of Midpoint ratio]]</f>
        <v>0</v>
      </c>
      <c r="AX1088" t="b">
        <f>OR(Table67[[#This Row],[Extreme Response Style]],Table67[[#This Row],[Mid-point Response Style]])</f>
        <v>0</v>
      </c>
      <c r="AY1088" t="b">
        <f>OR(Table67[[#This Row],[Delete? (Stage 1)]],Table67[[#This Row],[Delete? (Stage 2)]])</f>
        <v>1</v>
      </c>
      <c r="AZ1088" t="s">
        <v>84</v>
      </c>
    </row>
    <row r="1089" spans="1:52">
      <c r="A1089">
        <f t="shared" si="67"/>
        <v>1088</v>
      </c>
      <c r="B1089" s="3">
        <v>46056.886620370402</v>
      </c>
      <c r="C1089" s="3">
        <v>46056.888472222199</v>
      </c>
      <c r="D1089" t="s">
        <v>53</v>
      </c>
      <c r="G1089" t="s">
        <v>54</v>
      </c>
      <c r="H1089" t="s">
        <v>63</v>
      </c>
      <c r="I1089" t="s">
        <v>71</v>
      </c>
      <c r="J1089" t="s">
        <v>57</v>
      </c>
      <c r="K1089" t="s">
        <v>57</v>
      </c>
      <c r="L1089" t="s">
        <v>58</v>
      </c>
      <c r="M1089" t="s">
        <v>58</v>
      </c>
      <c r="N1089">
        <v>5</v>
      </c>
      <c r="O1089">
        <v>1</v>
      </c>
      <c r="P1089">
        <v>4</v>
      </c>
      <c r="Q1089">
        <v>5</v>
      </c>
      <c r="R1089">
        <v>5</v>
      </c>
      <c r="S1089">
        <v>1</v>
      </c>
      <c r="T1089">
        <v>5</v>
      </c>
      <c r="U1089">
        <v>5</v>
      </c>
      <c r="V1089">
        <v>5</v>
      </c>
      <c r="W1089">
        <v>5</v>
      </c>
      <c r="X1089">
        <v>4</v>
      </c>
      <c r="Y1089">
        <v>4</v>
      </c>
      <c r="Z1089">
        <v>5</v>
      </c>
      <c r="AA1089">
        <v>4</v>
      </c>
      <c r="AB1089">
        <v>4</v>
      </c>
      <c r="AC1089">
        <v>4</v>
      </c>
      <c r="AD1089">
        <v>5</v>
      </c>
      <c r="AE1089">
        <v>2</v>
      </c>
      <c r="AF1089">
        <v>1</v>
      </c>
      <c r="AG1089">
        <v>4</v>
      </c>
      <c r="AH1089">
        <v>1</v>
      </c>
      <c r="AI1089">
        <v>5</v>
      </c>
      <c r="AJ1089">
        <v>5</v>
      </c>
      <c r="AK1089" t="b">
        <f>Table67[[#This Row],[What is your age?]]&lt;&gt;"18 - 25"</f>
        <v>0</v>
      </c>
      <c r="AL1089" t="b">
        <f t="shared" si="64"/>
        <v>0</v>
      </c>
      <c r="AM1089" t="b">
        <f t="shared" si="65"/>
        <v>0</v>
      </c>
      <c r="AN1089" t="b">
        <f t="shared" si="66"/>
        <v>0</v>
      </c>
      <c r="AO1089" t="b">
        <f>OR(Table67[[#This Row],[Ineligible respondents]:[Inconsistent response on opposite question (3)]])</f>
        <v>0</v>
      </c>
      <c r="AP108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1089">
        <f>Table67[[#This Row],[Extreme Response]]/21</f>
        <v>0.61904761904761907</v>
      </c>
      <c r="AR1089">
        <f>_xlfn.PERCENTILE.INC(Table67[Extrem Response Ratio (ERS)],0.9)</f>
        <v>0.61904761904761907</v>
      </c>
      <c r="AS1089" t="b">
        <f>Table67[[#This Row],[Extrem Response Ratio (ERS)]]&gt;=Table67[[#This Row],[Threshold of ERS]]</f>
        <v>1</v>
      </c>
      <c r="AT1089">
        <f>COUNTIF(Table67[[#This Row],[The mechanism of digital assets is difficult to understand, which discourages me from exploring it (E.g, Tokenization, Blockchain)]:[If I want to try different ways to invest, I will explore digital assets.]], 3)</f>
        <v>0</v>
      </c>
      <c r="AU1089">
        <f>Table67[[#This Row],[Midpoint]]/21</f>
        <v>0</v>
      </c>
      <c r="AV1089">
        <f>_xlfn.PERCENTILE.INC(Table67[Midpoint ratio],0.9)</f>
        <v>0.5714285714285714</v>
      </c>
      <c r="AW1089" t="b">
        <f>Table67[[#This Row],[Midpoint ratio]]&gt;=Table67[[#This Row],[Threshold of Midpoint ratio]]</f>
        <v>0</v>
      </c>
      <c r="AX1089" t="b">
        <f>OR(Table67[[#This Row],[Extreme Response Style]],Table67[[#This Row],[Mid-point Response Style]])</f>
        <v>1</v>
      </c>
      <c r="AY1089" t="b">
        <f>OR(Table67[[#This Row],[Delete? (Stage 1)]],Table67[[#This Row],[Delete? (Stage 2)]])</f>
        <v>1</v>
      </c>
      <c r="AZ1089" t="s">
        <v>84</v>
      </c>
    </row>
    <row r="1090" spans="1:52">
      <c r="A1090">
        <f t="shared" si="67"/>
        <v>1089</v>
      </c>
      <c r="B1090" s="3">
        <v>46056.886620370402</v>
      </c>
      <c r="C1090" s="3">
        <v>46056.895844907398</v>
      </c>
      <c r="D1090" t="s">
        <v>53</v>
      </c>
      <c r="G1090" t="s">
        <v>54</v>
      </c>
      <c r="H1090" t="s">
        <v>70</v>
      </c>
      <c r="I1090" t="s">
        <v>71</v>
      </c>
      <c r="J1090" t="s">
        <v>62</v>
      </c>
      <c r="K1090" t="s">
        <v>62</v>
      </c>
      <c r="L1090" t="s">
        <v>58</v>
      </c>
      <c r="M1090" t="s">
        <v>58</v>
      </c>
      <c r="N1090">
        <v>4</v>
      </c>
      <c r="O1090">
        <v>2</v>
      </c>
      <c r="P1090">
        <v>3</v>
      </c>
      <c r="Q1090">
        <v>4</v>
      </c>
      <c r="R1090">
        <v>4</v>
      </c>
      <c r="S1090">
        <v>4</v>
      </c>
      <c r="T1090">
        <v>4</v>
      </c>
      <c r="U1090">
        <v>4</v>
      </c>
      <c r="V1090">
        <v>5</v>
      </c>
      <c r="W1090">
        <v>5</v>
      </c>
      <c r="X1090">
        <v>4</v>
      </c>
      <c r="Y1090">
        <v>5</v>
      </c>
      <c r="Z1090">
        <v>5</v>
      </c>
      <c r="AA1090">
        <v>5</v>
      </c>
      <c r="AB1090">
        <v>5</v>
      </c>
      <c r="AC1090">
        <v>4</v>
      </c>
      <c r="AD1090">
        <v>5</v>
      </c>
      <c r="AE1090">
        <v>2</v>
      </c>
      <c r="AF1090">
        <v>2</v>
      </c>
      <c r="AG1090">
        <v>2</v>
      </c>
      <c r="AH1090">
        <v>2</v>
      </c>
      <c r="AI1090">
        <v>4</v>
      </c>
      <c r="AJ1090">
        <v>4</v>
      </c>
      <c r="AK1090" t="b">
        <f>Table67[[#This Row],[What is your age?]]&lt;&gt;"18 - 25"</f>
        <v>0</v>
      </c>
      <c r="AL1090" t="b">
        <f t="shared" si="64"/>
        <v>0</v>
      </c>
      <c r="AM1090" t="b">
        <f t="shared" si="65"/>
        <v>1</v>
      </c>
      <c r="AN1090" t="b">
        <f t="shared" si="66"/>
        <v>0</v>
      </c>
      <c r="AO1090" t="b">
        <f>OR(Table67[[#This Row],[Ineligible respondents]:[Inconsistent response on opposite question (3)]])</f>
        <v>1</v>
      </c>
      <c r="AP109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090">
        <f>Table67[[#This Row],[Extreme Response]]/21</f>
        <v>0.33333333333333331</v>
      </c>
      <c r="AR1090">
        <f>_xlfn.PERCENTILE.INC(Table67[Extrem Response Ratio (ERS)],0.9)</f>
        <v>0.61904761904761907</v>
      </c>
      <c r="AS1090" t="b">
        <f>Table67[[#This Row],[Extrem Response Ratio (ERS)]]&gt;=Table67[[#This Row],[Threshold of ERS]]</f>
        <v>0</v>
      </c>
      <c r="AT1090">
        <f>COUNTIF(Table67[[#This Row],[The mechanism of digital assets is difficult to understand, which discourages me from exploring it (E.g, Tokenization, Blockchain)]:[If I want to try different ways to invest, I will explore digital assets.]], 3)</f>
        <v>1</v>
      </c>
      <c r="AU1090">
        <f>Table67[[#This Row],[Midpoint]]/21</f>
        <v>4.7619047619047616E-2</v>
      </c>
      <c r="AV1090">
        <f>_xlfn.PERCENTILE.INC(Table67[Midpoint ratio],0.9)</f>
        <v>0.5714285714285714</v>
      </c>
      <c r="AW1090" t="b">
        <f>Table67[[#This Row],[Midpoint ratio]]&gt;=Table67[[#This Row],[Threshold of Midpoint ratio]]</f>
        <v>0</v>
      </c>
      <c r="AX1090" t="b">
        <f>OR(Table67[[#This Row],[Extreme Response Style]],Table67[[#This Row],[Mid-point Response Style]])</f>
        <v>0</v>
      </c>
      <c r="AY1090" t="b">
        <f>OR(Table67[[#This Row],[Delete? (Stage 1)]],Table67[[#This Row],[Delete? (Stage 2)]])</f>
        <v>1</v>
      </c>
      <c r="AZ1090" t="s">
        <v>84</v>
      </c>
    </row>
    <row r="1091" spans="1:52">
      <c r="A1091">
        <f t="shared" si="67"/>
        <v>1090</v>
      </c>
      <c r="B1091" s="3">
        <v>46056.886701388903</v>
      </c>
      <c r="C1091" s="3">
        <v>46056.892777777801</v>
      </c>
      <c r="D1091" t="s">
        <v>53</v>
      </c>
      <c r="G1091" t="s">
        <v>54</v>
      </c>
      <c r="H1091" t="s">
        <v>55</v>
      </c>
      <c r="I1091" t="s">
        <v>75</v>
      </c>
      <c r="J1091" t="s">
        <v>60</v>
      </c>
      <c r="K1091" t="s">
        <v>62</v>
      </c>
      <c r="L1091" t="s">
        <v>58</v>
      </c>
      <c r="M1091" t="s">
        <v>61</v>
      </c>
      <c r="N1091">
        <v>2</v>
      </c>
      <c r="O1091">
        <v>2</v>
      </c>
      <c r="P1091">
        <v>4</v>
      </c>
      <c r="Q1091">
        <v>2</v>
      </c>
      <c r="R1091">
        <v>2</v>
      </c>
      <c r="S1091">
        <v>4</v>
      </c>
      <c r="T1091">
        <v>2</v>
      </c>
      <c r="U1091">
        <v>1</v>
      </c>
      <c r="V1091">
        <v>1</v>
      </c>
      <c r="W1091">
        <v>2</v>
      </c>
      <c r="X1091">
        <v>2</v>
      </c>
      <c r="Y1091">
        <v>3</v>
      </c>
      <c r="Z1091">
        <v>3</v>
      </c>
      <c r="AA1091">
        <v>2</v>
      </c>
      <c r="AB1091">
        <v>2</v>
      </c>
      <c r="AC1091">
        <v>2</v>
      </c>
      <c r="AD1091">
        <v>3</v>
      </c>
      <c r="AE1091">
        <v>3</v>
      </c>
      <c r="AF1091">
        <v>4</v>
      </c>
      <c r="AG1091">
        <v>2</v>
      </c>
      <c r="AH1091">
        <v>4</v>
      </c>
      <c r="AI1091">
        <v>2</v>
      </c>
      <c r="AJ1091">
        <v>2</v>
      </c>
      <c r="AK1091" t="b">
        <f>Table67[[#This Row],[What is your age?]]&lt;&gt;"18 - 25"</f>
        <v>0</v>
      </c>
      <c r="AL1091" t="b">
        <f t="shared" ref="AL1091:AL1154" si="68">COUNTIF(N1091:AH1091, N1091) = COLUMNS(N1091:AH1091)</f>
        <v>0</v>
      </c>
      <c r="AM1091" t="b">
        <f t="shared" ref="AM1091:AM1154" si="69">OR(AND(AG1091=AH1091, AG1091&lt;&gt;3), AND(OR(AG1091=1, AG1091=2), OR(AH1091=1, AH1091=2)), AND(OR(AG1091=4, AG1091=5), OR(AH1091=4, AH1091=5)))</f>
        <v>0</v>
      </c>
      <c r="AN1091" t="b">
        <f t="shared" ref="AN1091:AN1154" si="70">OR(AND(AG1091=3, AH1091&lt;&gt;3), AND(AH1091=3, AG1091&lt;&gt;3))</f>
        <v>0</v>
      </c>
      <c r="AO1091" t="b">
        <f>OR(Table67[[#This Row],[Ineligible respondents]:[Inconsistent response on opposite question (3)]])</f>
        <v>0</v>
      </c>
      <c r="AP109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091">
        <f>Table67[[#This Row],[Extreme Response]]/21</f>
        <v>9.5238095238095233E-2</v>
      </c>
      <c r="AR1091">
        <f>_xlfn.PERCENTILE.INC(Table67[Extrem Response Ratio (ERS)],0.9)</f>
        <v>0.61904761904761907</v>
      </c>
      <c r="AS1091" t="b">
        <f>Table67[[#This Row],[Extrem Response Ratio (ERS)]]&gt;=Table67[[#This Row],[Threshold of ERS]]</f>
        <v>0</v>
      </c>
      <c r="AT1091">
        <f>COUNTIF(Table67[[#This Row],[The mechanism of digital assets is difficult to understand, which discourages me from exploring it (E.g, Tokenization, Blockchain)]:[If I want to try different ways to invest, I will explore digital assets.]], 3)</f>
        <v>4</v>
      </c>
      <c r="AU1091">
        <f>Table67[[#This Row],[Midpoint]]/21</f>
        <v>0.19047619047619047</v>
      </c>
      <c r="AV1091">
        <f>_xlfn.PERCENTILE.INC(Table67[Midpoint ratio],0.9)</f>
        <v>0.5714285714285714</v>
      </c>
      <c r="AW1091" t="b">
        <f>Table67[[#This Row],[Midpoint ratio]]&gt;=Table67[[#This Row],[Threshold of Midpoint ratio]]</f>
        <v>0</v>
      </c>
      <c r="AX1091" t="b">
        <f>OR(Table67[[#This Row],[Extreme Response Style]],Table67[[#This Row],[Mid-point Response Style]])</f>
        <v>0</v>
      </c>
      <c r="AY1091" t="b">
        <f>OR(Table67[[#This Row],[Delete? (Stage 1)]],Table67[[#This Row],[Delete? (Stage 2)]])</f>
        <v>0</v>
      </c>
      <c r="AZ1091" t="s">
        <v>84</v>
      </c>
    </row>
    <row r="1092" spans="1:52">
      <c r="A1092">
        <f t="shared" ref="A1092:A1155" si="71">1+A1091</f>
        <v>1091</v>
      </c>
      <c r="B1092" s="3">
        <v>46056.886712963002</v>
      </c>
      <c r="C1092" s="3">
        <v>46056.889490740701</v>
      </c>
      <c r="D1092" t="s">
        <v>53</v>
      </c>
      <c r="G1092" t="s">
        <v>54</v>
      </c>
      <c r="H1092" t="s">
        <v>63</v>
      </c>
      <c r="I1092" t="s">
        <v>56</v>
      </c>
      <c r="J1092" t="s">
        <v>62</v>
      </c>
      <c r="K1092" t="s">
        <v>62</v>
      </c>
      <c r="L1092" t="s">
        <v>61</v>
      </c>
      <c r="M1092" t="s">
        <v>61</v>
      </c>
      <c r="N1092">
        <v>4</v>
      </c>
      <c r="O1092">
        <v>3</v>
      </c>
      <c r="P1092">
        <v>4</v>
      </c>
      <c r="Q1092">
        <v>4</v>
      </c>
      <c r="R1092">
        <v>4</v>
      </c>
      <c r="S1092">
        <v>5</v>
      </c>
      <c r="T1092">
        <v>5</v>
      </c>
      <c r="U1092">
        <v>4</v>
      </c>
      <c r="V1092">
        <v>5</v>
      </c>
      <c r="W1092">
        <v>4</v>
      </c>
      <c r="X1092">
        <v>4</v>
      </c>
      <c r="Y1092">
        <v>4</v>
      </c>
      <c r="Z1092">
        <v>4</v>
      </c>
      <c r="AA1092">
        <v>3</v>
      </c>
      <c r="AB1092">
        <v>4</v>
      </c>
      <c r="AC1092">
        <v>3</v>
      </c>
      <c r="AD1092">
        <v>4</v>
      </c>
      <c r="AE1092">
        <v>1</v>
      </c>
      <c r="AF1092">
        <v>3</v>
      </c>
      <c r="AG1092">
        <v>3</v>
      </c>
      <c r="AH1092">
        <v>3</v>
      </c>
      <c r="AI1092">
        <v>3</v>
      </c>
      <c r="AJ1092">
        <v>3</v>
      </c>
      <c r="AK1092" t="b">
        <f>Table67[[#This Row],[What is your age?]]&lt;&gt;"18 - 25"</f>
        <v>0</v>
      </c>
      <c r="AL1092" t="b">
        <f t="shared" si="68"/>
        <v>0</v>
      </c>
      <c r="AM1092" t="b">
        <f t="shared" si="69"/>
        <v>0</v>
      </c>
      <c r="AN1092" t="b">
        <f t="shared" si="70"/>
        <v>0</v>
      </c>
      <c r="AO1092" t="b">
        <f>OR(Table67[[#This Row],[Ineligible respondents]:[Inconsistent response on opposite question (3)]])</f>
        <v>0</v>
      </c>
      <c r="AP109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092">
        <f>Table67[[#This Row],[Extreme Response]]/21</f>
        <v>0.19047619047619047</v>
      </c>
      <c r="AR1092">
        <f>_xlfn.PERCENTILE.INC(Table67[Extrem Response Ratio (ERS)],0.9)</f>
        <v>0.61904761904761907</v>
      </c>
      <c r="AS1092" t="b">
        <f>Table67[[#This Row],[Extrem Response Ratio (ERS)]]&gt;=Table67[[#This Row],[Threshold of ERS]]</f>
        <v>0</v>
      </c>
      <c r="AT1092">
        <f>COUNTIF(Table67[[#This Row],[The mechanism of digital assets is difficult to understand, which discourages me from exploring it (E.g, Tokenization, Blockchain)]:[If I want to try different ways to invest, I will explore digital assets.]], 3)</f>
        <v>6</v>
      </c>
      <c r="AU1092">
        <f>Table67[[#This Row],[Midpoint]]/21</f>
        <v>0.2857142857142857</v>
      </c>
      <c r="AV1092">
        <f>_xlfn.PERCENTILE.INC(Table67[Midpoint ratio],0.9)</f>
        <v>0.5714285714285714</v>
      </c>
      <c r="AW1092" t="b">
        <f>Table67[[#This Row],[Midpoint ratio]]&gt;=Table67[[#This Row],[Threshold of Midpoint ratio]]</f>
        <v>0</v>
      </c>
      <c r="AX1092" t="b">
        <f>OR(Table67[[#This Row],[Extreme Response Style]],Table67[[#This Row],[Mid-point Response Style]])</f>
        <v>0</v>
      </c>
      <c r="AY1092" t="b">
        <f>OR(Table67[[#This Row],[Delete? (Stage 1)]],Table67[[#This Row],[Delete? (Stage 2)]])</f>
        <v>0</v>
      </c>
      <c r="AZ1092" t="s">
        <v>84</v>
      </c>
    </row>
    <row r="1093" spans="1:52">
      <c r="A1093">
        <f t="shared" si="71"/>
        <v>1092</v>
      </c>
      <c r="B1093" s="3">
        <v>46056.886828703697</v>
      </c>
      <c r="C1093" s="3">
        <v>46056.890636574099</v>
      </c>
      <c r="D1093" t="s">
        <v>53</v>
      </c>
      <c r="G1093" t="s">
        <v>54</v>
      </c>
      <c r="H1093" t="s">
        <v>63</v>
      </c>
      <c r="I1093" t="s">
        <v>56</v>
      </c>
      <c r="J1093" t="s">
        <v>62</v>
      </c>
      <c r="K1093" t="s">
        <v>62</v>
      </c>
      <c r="L1093" t="s">
        <v>58</v>
      </c>
      <c r="M1093" t="s">
        <v>58</v>
      </c>
      <c r="N1093">
        <v>2</v>
      </c>
      <c r="O1093">
        <v>3</v>
      </c>
      <c r="P1093">
        <v>4</v>
      </c>
      <c r="Q1093">
        <v>3</v>
      </c>
      <c r="R1093">
        <v>2</v>
      </c>
      <c r="S1093">
        <v>2</v>
      </c>
      <c r="T1093">
        <v>4</v>
      </c>
      <c r="U1093">
        <v>4</v>
      </c>
      <c r="V1093">
        <v>5</v>
      </c>
      <c r="W1093">
        <v>4</v>
      </c>
      <c r="X1093">
        <v>4</v>
      </c>
      <c r="Y1093">
        <v>5</v>
      </c>
      <c r="Z1093">
        <v>4</v>
      </c>
      <c r="AA1093">
        <v>4</v>
      </c>
      <c r="AB1093">
        <v>2</v>
      </c>
      <c r="AC1093">
        <v>3</v>
      </c>
      <c r="AD1093">
        <v>4</v>
      </c>
      <c r="AE1093">
        <v>2</v>
      </c>
      <c r="AF1093">
        <v>4</v>
      </c>
      <c r="AG1093">
        <v>2</v>
      </c>
      <c r="AH1093">
        <v>4</v>
      </c>
      <c r="AI1093">
        <v>2</v>
      </c>
      <c r="AJ1093">
        <v>2</v>
      </c>
      <c r="AK1093" t="b">
        <f>Table67[[#This Row],[What is your age?]]&lt;&gt;"18 - 25"</f>
        <v>0</v>
      </c>
      <c r="AL1093" t="b">
        <f t="shared" si="68"/>
        <v>0</v>
      </c>
      <c r="AM1093" t="b">
        <f t="shared" si="69"/>
        <v>0</v>
      </c>
      <c r="AN1093" t="b">
        <f t="shared" si="70"/>
        <v>0</v>
      </c>
      <c r="AO1093" t="b">
        <f>OR(Table67[[#This Row],[Ineligible respondents]:[Inconsistent response on opposite question (3)]])</f>
        <v>0</v>
      </c>
      <c r="AP109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093">
        <f>Table67[[#This Row],[Extreme Response]]/21</f>
        <v>9.5238095238095233E-2</v>
      </c>
      <c r="AR1093">
        <f>_xlfn.PERCENTILE.INC(Table67[Extrem Response Ratio (ERS)],0.9)</f>
        <v>0.61904761904761907</v>
      </c>
      <c r="AS1093" t="b">
        <f>Table67[[#This Row],[Extrem Response Ratio (ERS)]]&gt;=Table67[[#This Row],[Threshold of ERS]]</f>
        <v>0</v>
      </c>
      <c r="AT1093">
        <f>COUNTIF(Table67[[#This Row],[The mechanism of digital assets is difficult to understand, which discourages me from exploring it (E.g, Tokenization, Blockchain)]:[If I want to try different ways to invest, I will explore digital assets.]], 3)</f>
        <v>3</v>
      </c>
      <c r="AU1093">
        <f>Table67[[#This Row],[Midpoint]]/21</f>
        <v>0.14285714285714285</v>
      </c>
      <c r="AV1093">
        <f>_xlfn.PERCENTILE.INC(Table67[Midpoint ratio],0.9)</f>
        <v>0.5714285714285714</v>
      </c>
      <c r="AW1093" t="b">
        <f>Table67[[#This Row],[Midpoint ratio]]&gt;=Table67[[#This Row],[Threshold of Midpoint ratio]]</f>
        <v>0</v>
      </c>
      <c r="AX1093" t="b">
        <f>OR(Table67[[#This Row],[Extreme Response Style]],Table67[[#This Row],[Mid-point Response Style]])</f>
        <v>0</v>
      </c>
      <c r="AY1093" t="b">
        <f>OR(Table67[[#This Row],[Delete? (Stage 1)]],Table67[[#This Row],[Delete? (Stage 2)]])</f>
        <v>0</v>
      </c>
      <c r="AZ1093" t="s">
        <v>84</v>
      </c>
    </row>
    <row r="1094" spans="1:52">
      <c r="A1094">
        <f t="shared" si="71"/>
        <v>1093</v>
      </c>
      <c r="B1094" s="3">
        <v>46056.886944444399</v>
      </c>
      <c r="C1094" s="3">
        <v>46056.889525462997</v>
      </c>
      <c r="D1094" t="s">
        <v>53</v>
      </c>
      <c r="G1094" t="s">
        <v>54</v>
      </c>
      <c r="H1094" t="s">
        <v>55</v>
      </c>
      <c r="I1094" t="s">
        <v>56</v>
      </c>
      <c r="J1094" t="s">
        <v>62</v>
      </c>
      <c r="K1094" t="s">
        <v>62</v>
      </c>
      <c r="L1094" t="s">
        <v>61</v>
      </c>
      <c r="M1094" t="s">
        <v>61</v>
      </c>
      <c r="N1094">
        <v>4</v>
      </c>
      <c r="O1094">
        <v>4</v>
      </c>
      <c r="P1094">
        <v>4</v>
      </c>
      <c r="Q1094">
        <v>4</v>
      </c>
      <c r="R1094">
        <v>3</v>
      </c>
      <c r="S1094">
        <v>4</v>
      </c>
      <c r="T1094">
        <v>4</v>
      </c>
      <c r="U1094">
        <v>4</v>
      </c>
      <c r="V1094">
        <v>3</v>
      </c>
      <c r="W1094">
        <v>4</v>
      </c>
      <c r="X1094">
        <v>4</v>
      </c>
      <c r="Y1094">
        <v>3</v>
      </c>
      <c r="Z1094">
        <v>4</v>
      </c>
      <c r="AA1094">
        <v>4</v>
      </c>
      <c r="AB1094">
        <v>4</v>
      </c>
      <c r="AC1094">
        <v>3</v>
      </c>
      <c r="AD1094">
        <v>4</v>
      </c>
      <c r="AE1094">
        <v>3</v>
      </c>
      <c r="AF1094">
        <v>4</v>
      </c>
      <c r="AG1094">
        <v>4</v>
      </c>
      <c r="AH1094">
        <v>2</v>
      </c>
      <c r="AI1094">
        <v>4</v>
      </c>
      <c r="AJ1094">
        <v>2</v>
      </c>
      <c r="AK1094" t="b">
        <f>Table67[[#This Row],[What is your age?]]&lt;&gt;"18 - 25"</f>
        <v>0</v>
      </c>
      <c r="AL1094" t="b">
        <f t="shared" si="68"/>
        <v>0</v>
      </c>
      <c r="AM1094" t="b">
        <f t="shared" si="69"/>
        <v>0</v>
      </c>
      <c r="AN1094" t="b">
        <f t="shared" si="70"/>
        <v>0</v>
      </c>
      <c r="AO1094" t="b">
        <f>OR(Table67[[#This Row],[Ineligible respondents]:[Inconsistent response on opposite question (3)]])</f>
        <v>0</v>
      </c>
      <c r="AP109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094">
        <f>Table67[[#This Row],[Extreme Response]]/21</f>
        <v>0</v>
      </c>
      <c r="AR1094">
        <f>_xlfn.PERCENTILE.INC(Table67[Extrem Response Ratio (ERS)],0.9)</f>
        <v>0.61904761904761907</v>
      </c>
      <c r="AS1094" t="b">
        <f>Table67[[#This Row],[Extrem Response Ratio (ERS)]]&gt;=Table67[[#This Row],[Threshold of ERS]]</f>
        <v>0</v>
      </c>
      <c r="AT1094">
        <f>COUNTIF(Table67[[#This Row],[The mechanism of digital assets is difficult to understand, which discourages me from exploring it (E.g, Tokenization, Blockchain)]:[If I want to try different ways to invest, I will explore digital assets.]], 3)</f>
        <v>5</v>
      </c>
      <c r="AU1094">
        <f>Table67[[#This Row],[Midpoint]]/21</f>
        <v>0.23809523809523808</v>
      </c>
      <c r="AV1094">
        <f>_xlfn.PERCENTILE.INC(Table67[Midpoint ratio],0.9)</f>
        <v>0.5714285714285714</v>
      </c>
      <c r="AW1094" t="b">
        <f>Table67[[#This Row],[Midpoint ratio]]&gt;=Table67[[#This Row],[Threshold of Midpoint ratio]]</f>
        <v>0</v>
      </c>
      <c r="AX1094" t="b">
        <f>OR(Table67[[#This Row],[Extreme Response Style]],Table67[[#This Row],[Mid-point Response Style]])</f>
        <v>0</v>
      </c>
      <c r="AY1094" t="b">
        <f>OR(Table67[[#This Row],[Delete? (Stage 1)]],Table67[[#This Row],[Delete? (Stage 2)]])</f>
        <v>0</v>
      </c>
      <c r="AZ1094" t="s">
        <v>84</v>
      </c>
    </row>
    <row r="1095" spans="1:52">
      <c r="A1095">
        <f t="shared" si="71"/>
        <v>1094</v>
      </c>
      <c r="B1095" s="3">
        <v>46056.886979166702</v>
      </c>
      <c r="C1095" s="3">
        <v>46056.888368055603</v>
      </c>
      <c r="D1095" t="s">
        <v>53</v>
      </c>
      <c r="G1095" t="s">
        <v>54</v>
      </c>
      <c r="H1095" t="s">
        <v>55</v>
      </c>
      <c r="I1095" t="s">
        <v>71</v>
      </c>
      <c r="J1095" t="s">
        <v>60</v>
      </c>
      <c r="K1095" t="s">
        <v>57</v>
      </c>
      <c r="L1095" t="s">
        <v>58</v>
      </c>
      <c r="M1095" t="s">
        <v>58</v>
      </c>
      <c r="N1095">
        <v>3</v>
      </c>
      <c r="O1095">
        <v>4</v>
      </c>
      <c r="P1095">
        <v>5</v>
      </c>
      <c r="Q1095">
        <v>4</v>
      </c>
      <c r="R1095">
        <v>3</v>
      </c>
      <c r="S1095">
        <v>4</v>
      </c>
      <c r="T1095">
        <v>4</v>
      </c>
      <c r="U1095">
        <v>2</v>
      </c>
      <c r="V1095">
        <v>4</v>
      </c>
      <c r="W1095">
        <v>5</v>
      </c>
      <c r="X1095">
        <v>5</v>
      </c>
      <c r="Y1095">
        <v>4</v>
      </c>
      <c r="Z1095">
        <v>4</v>
      </c>
      <c r="AA1095">
        <v>5</v>
      </c>
      <c r="AB1095">
        <v>4</v>
      </c>
      <c r="AC1095">
        <v>3</v>
      </c>
      <c r="AD1095">
        <v>5</v>
      </c>
      <c r="AE1095">
        <v>4</v>
      </c>
      <c r="AF1095">
        <v>5</v>
      </c>
      <c r="AG1095">
        <v>3</v>
      </c>
      <c r="AH1095">
        <v>4</v>
      </c>
      <c r="AI1095">
        <v>2</v>
      </c>
      <c r="AJ1095">
        <v>1</v>
      </c>
      <c r="AK1095" t="b">
        <f>Table67[[#This Row],[What is your age?]]&lt;&gt;"18 - 25"</f>
        <v>0</v>
      </c>
      <c r="AL1095" t="b">
        <f t="shared" si="68"/>
        <v>0</v>
      </c>
      <c r="AM1095" t="b">
        <f t="shared" si="69"/>
        <v>0</v>
      </c>
      <c r="AN1095" t="b">
        <f t="shared" si="70"/>
        <v>1</v>
      </c>
      <c r="AO1095" t="b">
        <f>OR(Table67[[#This Row],[Ineligible respondents]:[Inconsistent response on opposite question (3)]])</f>
        <v>1</v>
      </c>
      <c r="AP109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095">
        <f>Table67[[#This Row],[Extreme Response]]/21</f>
        <v>0.2857142857142857</v>
      </c>
      <c r="AR1095">
        <f>_xlfn.PERCENTILE.INC(Table67[Extrem Response Ratio (ERS)],0.9)</f>
        <v>0.61904761904761907</v>
      </c>
      <c r="AS1095" t="b">
        <f>Table67[[#This Row],[Extrem Response Ratio (ERS)]]&gt;=Table67[[#This Row],[Threshold of ERS]]</f>
        <v>0</v>
      </c>
      <c r="AT1095">
        <f>COUNTIF(Table67[[#This Row],[The mechanism of digital assets is difficult to understand, which discourages me from exploring it (E.g, Tokenization, Blockchain)]:[If I want to try different ways to invest, I will explore digital assets.]], 3)</f>
        <v>4</v>
      </c>
      <c r="AU1095">
        <f>Table67[[#This Row],[Midpoint]]/21</f>
        <v>0.19047619047619047</v>
      </c>
      <c r="AV1095">
        <f>_xlfn.PERCENTILE.INC(Table67[Midpoint ratio],0.9)</f>
        <v>0.5714285714285714</v>
      </c>
      <c r="AW1095" t="b">
        <f>Table67[[#This Row],[Midpoint ratio]]&gt;=Table67[[#This Row],[Threshold of Midpoint ratio]]</f>
        <v>0</v>
      </c>
      <c r="AX1095" t="b">
        <f>OR(Table67[[#This Row],[Extreme Response Style]],Table67[[#This Row],[Mid-point Response Style]])</f>
        <v>0</v>
      </c>
      <c r="AY1095" t="b">
        <f>OR(Table67[[#This Row],[Delete? (Stage 1)]],Table67[[#This Row],[Delete? (Stage 2)]])</f>
        <v>1</v>
      </c>
      <c r="AZ1095" t="s">
        <v>84</v>
      </c>
    </row>
    <row r="1096" spans="1:52">
      <c r="A1096">
        <f t="shared" si="71"/>
        <v>1095</v>
      </c>
      <c r="B1096" s="3">
        <v>46056.887141203697</v>
      </c>
      <c r="C1096" s="3">
        <v>46056.891875000001</v>
      </c>
      <c r="D1096" t="s">
        <v>53</v>
      </c>
      <c r="G1096" t="s">
        <v>54</v>
      </c>
      <c r="H1096" t="s">
        <v>55</v>
      </c>
      <c r="I1096" t="s">
        <v>56</v>
      </c>
      <c r="J1096" t="s">
        <v>57</v>
      </c>
      <c r="K1096" t="s">
        <v>57</v>
      </c>
      <c r="L1096" t="s">
        <v>61</v>
      </c>
      <c r="M1096" t="s">
        <v>61</v>
      </c>
      <c r="N1096">
        <v>2</v>
      </c>
      <c r="O1096">
        <v>1</v>
      </c>
      <c r="P1096">
        <v>4</v>
      </c>
      <c r="Q1096">
        <v>3</v>
      </c>
      <c r="R1096">
        <v>3</v>
      </c>
      <c r="S1096">
        <v>4</v>
      </c>
      <c r="T1096">
        <v>2</v>
      </c>
      <c r="U1096">
        <v>3</v>
      </c>
      <c r="V1096">
        <v>4</v>
      </c>
      <c r="W1096">
        <v>4</v>
      </c>
      <c r="X1096">
        <v>4</v>
      </c>
      <c r="Y1096">
        <v>4</v>
      </c>
      <c r="Z1096">
        <v>4</v>
      </c>
      <c r="AA1096">
        <v>3</v>
      </c>
      <c r="AB1096">
        <v>3</v>
      </c>
      <c r="AC1096">
        <v>2</v>
      </c>
      <c r="AD1096">
        <v>3</v>
      </c>
      <c r="AE1096">
        <v>3</v>
      </c>
      <c r="AF1096">
        <v>4</v>
      </c>
      <c r="AG1096">
        <v>2</v>
      </c>
      <c r="AH1096">
        <v>4</v>
      </c>
      <c r="AI1096">
        <v>2</v>
      </c>
      <c r="AJ1096">
        <v>2</v>
      </c>
      <c r="AK1096" t="b">
        <f>Table67[[#This Row],[What is your age?]]&lt;&gt;"18 - 25"</f>
        <v>0</v>
      </c>
      <c r="AL1096" t="b">
        <f t="shared" si="68"/>
        <v>0</v>
      </c>
      <c r="AM1096" t="b">
        <f t="shared" si="69"/>
        <v>0</v>
      </c>
      <c r="AN1096" t="b">
        <f t="shared" si="70"/>
        <v>0</v>
      </c>
      <c r="AO1096" t="b">
        <f>OR(Table67[[#This Row],[Ineligible respondents]:[Inconsistent response on opposite question (3)]])</f>
        <v>0</v>
      </c>
      <c r="AP109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096">
        <f>Table67[[#This Row],[Extreme Response]]/21</f>
        <v>4.7619047619047616E-2</v>
      </c>
      <c r="AR1096">
        <f>_xlfn.PERCENTILE.INC(Table67[Extrem Response Ratio (ERS)],0.9)</f>
        <v>0.61904761904761907</v>
      </c>
      <c r="AS1096" t="b">
        <f>Table67[[#This Row],[Extrem Response Ratio (ERS)]]&gt;=Table67[[#This Row],[Threshold of ERS]]</f>
        <v>0</v>
      </c>
      <c r="AT1096">
        <f>COUNTIF(Table67[[#This Row],[The mechanism of digital assets is difficult to understand, which discourages me from exploring it (E.g, Tokenization, Blockchain)]:[If I want to try different ways to invest, I will explore digital assets.]], 3)</f>
        <v>7</v>
      </c>
      <c r="AU1096">
        <f>Table67[[#This Row],[Midpoint]]/21</f>
        <v>0.33333333333333331</v>
      </c>
      <c r="AV1096">
        <f>_xlfn.PERCENTILE.INC(Table67[Midpoint ratio],0.9)</f>
        <v>0.5714285714285714</v>
      </c>
      <c r="AW1096" t="b">
        <f>Table67[[#This Row],[Midpoint ratio]]&gt;=Table67[[#This Row],[Threshold of Midpoint ratio]]</f>
        <v>0</v>
      </c>
      <c r="AX1096" t="b">
        <f>OR(Table67[[#This Row],[Extreme Response Style]],Table67[[#This Row],[Mid-point Response Style]])</f>
        <v>0</v>
      </c>
      <c r="AY1096" t="b">
        <f>OR(Table67[[#This Row],[Delete? (Stage 1)]],Table67[[#This Row],[Delete? (Stage 2)]])</f>
        <v>0</v>
      </c>
      <c r="AZ1096" t="s">
        <v>84</v>
      </c>
    </row>
    <row r="1097" spans="1:52">
      <c r="A1097">
        <f t="shared" si="71"/>
        <v>1096</v>
      </c>
      <c r="B1097" s="3">
        <v>46056.887141203697</v>
      </c>
      <c r="C1097" s="3">
        <v>46056.892835648097</v>
      </c>
      <c r="D1097" t="s">
        <v>53</v>
      </c>
      <c r="G1097" t="s">
        <v>79</v>
      </c>
      <c r="H1097" t="s">
        <v>55</v>
      </c>
      <c r="I1097" t="s">
        <v>71</v>
      </c>
      <c r="J1097" t="s">
        <v>62</v>
      </c>
      <c r="K1097" t="s">
        <v>62</v>
      </c>
      <c r="L1097" t="s">
        <v>58</v>
      </c>
      <c r="M1097" t="s">
        <v>58</v>
      </c>
      <c r="N1097">
        <v>1</v>
      </c>
      <c r="O1097">
        <v>4</v>
      </c>
      <c r="P1097">
        <v>5</v>
      </c>
      <c r="Q1097">
        <v>3</v>
      </c>
      <c r="R1097">
        <v>2</v>
      </c>
      <c r="S1097">
        <v>5</v>
      </c>
      <c r="T1097">
        <v>1</v>
      </c>
      <c r="U1097">
        <v>2</v>
      </c>
      <c r="V1097">
        <v>3</v>
      </c>
      <c r="W1097">
        <v>2</v>
      </c>
      <c r="X1097">
        <v>3</v>
      </c>
      <c r="Y1097">
        <v>3</v>
      </c>
      <c r="Z1097">
        <v>5</v>
      </c>
      <c r="AA1097">
        <v>3</v>
      </c>
      <c r="AB1097">
        <v>5</v>
      </c>
      <c r="AC1097">
        <v>2</v>
      </c>
      <c r="AD1097">
        <v>5</v>
      </c>
      <c r="AE1097">
        <v>2</v>
      </c>
      <c r="AF1097">
        <v>4</v>
      </c>
      <c r="AG1097">
        <v>2</v>
      </c>
      <c r="AH1097">
        <v>4</v>
      </c>
      <c r="AI1097">
        <v>2</v>
      </c>
      <c r="AJ1097">
        <v>2</v>
      </c>
      <c r="AK1097" t="b">
        <f>Table67[[#This Row],[What is your age?]]&lt;&gt;"18 - 25"</f>
        <v>1</v>
      </c>
      <c r="AL1097" t="b">
        <f t="shared" si="68"/>
        <v>0</v>
      </c>
      <c r="AM1097" t="b">
        <f t="shared" si="69"/>
        <v>0</v>
      </c>
      <c r="AN1097" t="b">
        <f t="shared" si="70"/>
        <v>0</v>
      </c>
      <c r="AO1097" t="b">
        <f>OR(Table67[[#This Row],[Ineligible respondents]:[Inconsistent response on opposite question (3)]])</f>
        <v>1</v>
      </c>
      <c r="AP109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097">
        <f>Table67[[#This Row],[Extreme Response]]/21</f>
        <v>0.33333333333333331</v>
      </c>
      <c r="AR1097">
        <f>_xlfn.PERCENTILE.INC(Table67[Extrem Response Ratio (ERS)],0.9)</f>
        <v>0.61904761904761907</v>
      </c>
      <c r="AS1097" t="b">
        <f>Table67[[#This Row],[Extrem Response Ratio (ERS)]]&gt;=Table67[[#This Row],[Threshold of ERS]]</f>
        <v>0</v>
      </c>
      <c r="AT1097">
        <f>COUNTIF(Table67[[#This Row],[The mechanism of digital assets is difficult to understand, which discourages me from exploring it (E.g, Tokenization, Blockchain)]:[If I want to try different ways to invest, I will explore digital assets.]], 3)</f>
        <v>5</v>
      </c>
      <c r="AU1097">
        <f>Table67[[#This Row],[Midpoint]]/21</f>
        <v>0.23809523809523808</v>
      </c>
      <c r="AV1097">
        <f>_xlfn.PERCENTILE.INC(Table67[Midpoint ratio],0.9)</f>
        <v>0.5714285714285714</v>
      </c>
      <c r="AW1097" t="b">
        <f>Table67[[#This Row],[Midpoint ratio]]&gt;=Table67[[#This Row],[Threshold of Midpoint ratio]]</f>
        <v>0</v>
      </c>
      <c r="AX1097" t="b">
        <f>OR(Table67[[#This Row],[Extreme Response Style]],Table67[[#This Row],[Mid-point Response Style]])</f>
        <v>0</v>
      </c>
      <c r="AY1097" t="b">
        <f>OR(Table67[[#This Row],[Delete? (Stage 1)]],Table67[[#This Row],[Delete? (Stage 2)]])</f>
        <v>1</v>
      </c>
      <c r="AZ1097" t="s">
        <v>84</v>
      </c>
    </row>
    <row r="1098" spans="1:52">
      <c r="A1098">
        <f t="shared" si="71"/>
        <v>1097</v>
      </c>
      <c r="B1098" s="3">
        <v>46056.887222222198</v>
      </c>
      <c r="C1098" s="3">
        <v>46056.891898148097</v>
      </c>
      <c r="D1098" t="s">
        <v>53</v>
      </c>
      <c r="G1098" t="s">
        <v>54</v>
      </c>
      <c r="H1098" t="s">
        <v>55</v>
      </c>
      <c r="I1098" t="s">
        <v>75</v>
      </c>
      <c r="J1098" t="s">
        <v>62</v>
      </c>
      <c r="K1098" t="s">
        <v>64</v>
      </c>
      <c r="L1098" t="s">
        <v>61</v>
      </c>
      <c r="M1098" t="s">
        <v>61</v>
      </c>
      <c r="N1098">
        <v>3</v>
      </c>
      <c r="O1098">
        <v>1</v>
      </c>
      <c r="P1098">
        <v>4</v>
      </c>
      <c r="Q1098">
        <v>4</v>
      </c>
      <c r="R1098">
        <v>4</v>
      </c>
      <c r="S1098">
        <v>3</v>
      </c>
      <c r="T1098">
        <v>4</v>
      </c>
      <c r="U1098">
        <v>3</v>
      </c>
      <c r="V1098">
        <v>3</v>
      </c>
      <c r="W1098">
        <v>4</v>
      </c>
      <c r="X1098">
        <v>1</v>
      </c>
      <c r="Y1098">
        <v>2</v>
      </c>
      <c r="Z1098">
        <v>4</v>
      </c>
      <c r="AA1098">
        <v>4</v>
      </c>
      <c r="AB1098">
        <v>3</v>
      </c>
      <c r="AC1098">
        <v>3</v>
      </c>
      <c r="AD1098">
        <v>3</v>
      </c>
      <c r="AE1098">
        <v>2</v>
      </c>
      <c r="AF1098">
        <v>2</v>
      </c>
      <c r="AG1098">
        <v>4</v>
      </c>
      <c r="AH1098">
        <v>3</v>
      </c>
      <c r="AI1098">
        <v>3</v>
      </c>
      <c r="AJ1098">
        <v>4</v>
      </c>
      <c r="AK1098" t="b">
        <f>Table67[[#This Row],[What is your age?]]&lt;&gt;"18 - 25"</f>
        <v>0</v>
      </c>
      <c r="AL1098" t="b">
        <f t="shared" si="68"/>
        <v>0</v>
      </c>
      <c r="AM1098" t="b">
        <f t="shared" si="69"/>
        <v>0</v>
      </c>
      <c r="AN1098" t="b">
        <f t="shared" si="70"/>
        <v>1</v>
      </c>
      <c r="AO1098" t="b">
        <f>OR(Table67[[#This Row],[Ineligible respondents]:[Inconsistent response on opposite question (3)]])</f>
        <v>1</v>
      </c>
      <c r="AP109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098">
        <f>Table67[[#This Row],[Extreme Response]]/21</f>
        <v>9.5238095238095233E-2</v>
      </c>
      <c r="AR1098">
        <f>_xlfn.PERCENTILE.INC(Table67[Extrem Response Ratio (ERS)],0.9)</f>
        <v>0.61904761904761907</v>
      </c>
      <c r="AS1098" t="b">
        <f>Table67[[#This Row],[Extrem Response Ratio (ERS)]]&gt;=Table67[[#This Row],[Threshold of ERS]]</f>
        <v>0</v>
      </c>
      <c r="AT1098">
        <f>COUNTIF(Table67[[#This Row],[The mechanism of digital assets is difficult to understand, which discourages me from exploring it (E.g, Tokenization, Blockchain)]:[If I want to try different ways to invest, I will explore digital assets.]], 3)</f>
        <v>8</v>
      </c>
      <c r="AU1098">
        <f>Table67[[#This Row],[Midpoint]]/21</f>
        <v>0.38095238095238093</v>
      </c>
      <c r="AV1098">
        <f>_xlfn.PERCENTILE.INC(Table67[Midpoint ratio],0.9)</f>
        <v>0.5714285714285714</v>
      </c>
      <c r="AW1098" t="b">
        <f>Table67[[#This Row],[Midpoint ratio]]&gt;=Table67[[#This Row],[Threshold of Midpoint ratio]]</f>
        <v>0</v>
      </c>
      <c r="AX1098" t="b">
        <f>OR(Table67[[#This Row],[Extreme Response Style]],Table67[[#This Row],[Mid-point Response Style]])</f>
        <v>0</v>
      </c>
      <c r="AY1098" t="b">
        <f>OR(Table67[[#This Row],[Delete? (Stage 1)]],Table67[[#This Row],[Delete? (Stage 2)]])</f>
        <v>1</v>
      </c>
      <c r="AZ1098" t="s">
        <v>84</v>
      </c>
    </row>
    <row r="1099" spans="1:52">
      <c r="A1099">
        <f t="shared" si="71"/>
        <v>1098</v>
      </c>
      <c r="B1099" s="3">
        <v>46056.887268518498</v>
      </c>
      <c r="C1099" s="3">
        <v>46056.890682870398</v>
      </c>
      <c r="D1099" t="s">
        <v>53</v>
      </c>
      <c r="G1099" t="s">
        <v>54</v>
      </c>
      <c r="H1099" t="s">
        <v>55</v>
      </c>
      <c r="I1099" t="s">
        <v>69</v>
      </c>
      <c r="J1099" t="s">
        <v>67</v>
      </c>
      <c r="K1099" t="s">
        <v>62</v>
      </c>
      <c r="L1099" t="s">
        <v>58</v>
      </c>
      <c r="M1099" t="s">
        <v>58</v>
      </c>
      <c r="N1099">
        <v>3</v>
      </c>
      <c r="O1099">
        <v>1</v>
      </c>
      <c r="P1099">
        <v>4</v>
      </c>
      <c r="Q1099">
        <v>2</v>
      </c>
      <c r="R1099">
        <v>3</v>
      </c>
      <c r="S1099">
        <v>5</v>
      </c>
      <c r="T1099">
        <v>3</v>
      </c>
      <c r="U1099">
        <v>3</v>
      </c>
      <c r="V1099">
        <v>4</v>
      </c>
      <c r="W1099">
        <v>4</v>
      </c>
      <c r="X1099">
        <v>3</v>
      </c>
      <c r="Y1099">
        <v>4</v>
      </c>
      <c r="Z1099">
        <v>4</v>
      </c>
      <c r="AA1099">
        <v>4</v>
      </c>
      <c r="AB1099">
        <v>3</v>
      </c>
      <c r="AC1099">
        <v>3</v>
      </c>
      <c r="AD1099">
        <v>4</v>
      </c>
      <c r="AE1099">
        <v>2</v>
      </c>
      <c r="AF1099">
        <v>3</v>
      </c>
      <c r="AG1099">
        <v>4</v>
      </c>
      <c r="AH1099">
        <v>3</v>
      </c>
      <c r="AI1099">
        <v>3</v>
      </c>
      <c r="AJ1099">
        <v>3</v>
      </c>
      <c r="AK1099" t="b">
        <f>Table67[[#This Row],[What is your age?]]&lt;&gt;"18 - 25"</f>
        <v>0</v>
      </c>
      <c r="AL1099" t="b">
        <f t="shared" si="68"/>
        <v>0</v>
      </c>
      <c r="AM1099" t="b">
        <f t="shared" si="69"/>
        <v>0</v>
      </c>
      <c r="AN1099" t="b">
        <f t="shared" si="70"/>
        <v>1</v>
      </c>
      <c r="AO1099" t="b">
        <f>OR(Table67[[#This Row],[Ineligible respondents]:[Inconsistent response on opposite question (3)]])</f>
        <v>1</v>
      </c>
      <c r="AP109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099">
        <f>Table67[[#This Row],[Extreme Response]]/21</f>
        <v>9.5238095238095233E-2</v>
      </c>
      <c r="AR1099">
        <f>_xlfn.PERCENTILE.INC(Table67[Extrem Response Ratio (ERS)],0.9)</f>
        <v>0.61904761904761907</v>
      </c>
      <c r="AS1099" t="b">
        <f>Table67[[#This Row],[Extrem Response Ratio (ERS)]]&gt;=Table67[[#This Row],[Threshold of ERS]]</f>
        <v>0</v>
      </c>
      <c r="AT1099">
        <f>COUNTIF(Table67[[#This Row],[The mechanism of digital assets is difficult to understand, which discourages me from exploring it (E.g, Tokenization, Blockchain)]:[If I want to try different ways to invest, I will explore digital assets.]], 3)</f>
        <v>9</v>
      </c>
      <c r="AU1099">
        <f>Table67[[#This Row],[Midpoint]]/21</f>
        <v>0.42857142857142855</v>
      </c>
      <c r="AV1099">
        <f>_xlfn.PERCENTILE.INC(Table67[Midpoint ratio],0.9)</f>
        <v>0.5714285714285714</v>
      </c>
      <c r="AW1099" t="b">
        <f>Table67[[#This Row],[Midpoint ratio]]&gt;=Table67[[#This Row],[Threshold of Midpoint ratio]]</f>
        <v>0</v>
      </c>
      <c r="AX1099" t="b">
        <f>OR(Table67[[#This Row],[Extreme Response Style]],Table67[[#This Row],[Mid-point Response Style]])</f>
        <v>0</v>
      </c>
      <c r="AY1099" t="b">
        <f>OR(Table67[[#This Row],[Delete? (Stage 1)]],Table67[[#This Row],[Delete? (Stage 2)]])</f>
        <v>1</v>
      </c>
      <c r="AZ1099" t="s">
        <v>84</v>
      </c>
    </row>
    <row r="1100" spans="1:52">
      <c r="A1100">
        <f t="shared" si="71"/>
        <v>1099</v>
      </c>
      <c r="B1100" s="3">
        <v>46056.887384259302</v>
      </c>
      <c r="C1100" s="3">
        <v>46056.890416666698</v>
      </c>
      <c r="D1100" t="s">
        <v>53</v>
      </c>
      <c r="G1100" t="s">
        <v>54</v>
      </c>
      <c r="H1100" t="s">
        <v>55</v>
      </c>
      <c r="I1100" t="s">
        <v>71</v>
      </c>
      <c r="J1100" t="s">
        <v>62</v>
      </c>
      <c r="K1100" t="s">
        <v>62</v>
      </c>
      <c r="L1100" t="s">
        <v>61</v>
      </c>
      <c r="M1100" t="s">
        <v>58</v>
      </c>
      <c r="N1100">
        <v>4</v>
      </c>
      <c r="O1100">
        <v>3</v>
      </c>
      <c r="P1100">
        <v>1</v>
      </c>
      <c r="Q1100">
        <v>2</v>
      </c>
      <c r="R1100">
        <v>1</v>
      </c>
      <c r="S1100">
        <v>5</v>
      </c>
      <c r="T1100">
        <v>5</v>
      </c>
      <c r="U1100">
        <v>5</v>
      </c>
      <c r="V1100">
        <v>2</v>
      </c>
      <c r="W1100">
        <v>1</v>
      </c>
      <c r="X1100">
        <v>4</v>
      </c>
      <c r="Y1100">
        <v>4</v>
      </c>
      <c r="Z1100">
        <v>5</v>
      </c>
      <c r="AA1100">
        <v>4</v>
      </c>
      <c r="AB1100">
        <v>5</v>
      </c>
      <c r="AC1100">
        <v>5</v>
      </c>
      <c r="AD1100">
        <v>5</v>
      </c>
      <c r="AE1100">
        <v>5</v>
      </c>
      <c r="AF1100">
        <v>2</v>
      </c>
      <c r="AG1100">
        <v>4</v>
      </c>
      <c r="AH1100">
        <v>3</v>
      </c>
      <c r="AI1100">
        <v>3</v>
      </c>
      <c r="AJ1100">
        <v>4</v>
      </c>
      <c r="AK1100" t="b">
        <f>Table67[[#This Row],[What is your age?]]&lt;&gt;"18 - 25"</f>
        <v>0</v>
      </c>
      <c r="AL1100" t="b">
        <f t="shared" si="68"/>
        <v>0</v>
      </c>
      <c r="AM1100" t="b">
        <f t="shared" si="69"/>
        <v>0</v>
      </c>
      <c r="AN1100" t="b">
        <f t="shared" si="70"/>
        <v>1</v>
      </c>
      <c r="AO1100" t="b">
        <f>OR(Table67[[#This Row],[Ineligible respondents]:[Inconsistent response on opposite question (3)]])</f>
        <v>1</v>
      </c>
      <c r="AP110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1100">
        <f>Table67[[#This Row],[Extreme Response]]/21</f>
        <v>0.52380952380952384</v>
      </c>
      <c r="AR1100">
        <f>_xlfn.PERCENTILE.INC(Table67[Extrem Response Ratio (ERS)],0.9)</f>
        <v>0.61904761904761907</v>
      </c>
      <c r="AS1100" t="b">
        <f>Table67[[#This Row],[Extrem Response Ratio (ERS)]]&gt;=Table67[[#This Row],[Threshold of ERS]]</f>
        <v>0</v>
      </c>
      <c r="AT1100">
        <f>COUNTIF(Table67[[#This Row],[The mechanism of digital assets is difficult to understand, which discourages me from exploring it (E.g, Tokenization, Blockchain)]:[If I want to try different ways to invest, I will explore digital assets.]], 3)</f>
        <v>2</v>
      </c>
      <c r="AU1100">
        <f>Table67[[#This Row],[Midpoint]]/21</f>
        <v>9.5238095238095233E-2</v>
      </c>
      <c r="AV1100">
        <f>_xlfn.PERCENTILE.INC(Table67[Midpoint ratio],0.9)</f>
        <v>0.5714285714285714</v>
      </c>
      <c r="AW1100" t="b">
        <f>Table67[[#This Row],[Midpoint ratio]]&gt;=Table67[[#This Row],[Threshold of Midpoint ratio]]</f>
        <v>0</v>
      </c>
      <c r="AX1100" t="b">
        <f>OR(Table67[[#This Row],[Extreme Response Style]],Table67[[#This Row],[Mid-point Response Style]])</f>
        <v>0</v>
      </c>
      <c r="AY1100" t="b">
        <f>OR(Table67[[#This Row],[Delete? (Stage 1)]],Table67[[#This Row],[Delete? (Stage 2)]])</f>
        <v>1</v>
      </c>
      <c r="AZ1100" t="s">
        <v>84</v>
      </c>
    </row>
    <row r="1101" spans="1:52">
      <c r="A1101">
        <f t="shared" si="71"/>
        <v>1100</v>
      </c>
      <c r="B1101" s="3">
        <v>46056.8875694444</v>
      </c>
      <c r="C1101" s="3">
        <v>46056.903275463003</v>
      </c>
      <c r="D1101" t="s">
        <v>53</v>
      </c>
      <c r="G1101" t="s">
        <v>54</v>
      </c>
      <c r="H1101" t="s">
        <v>55</v>
      </c>
      <c r="I1101" t="s">
        <v>56</v>
      </c>
      <c r="J1101" t="s">
        <v>62</v>
      </c>
      <c r="K1101" t="s">
        <v>62</v>
      </c>
      <c r="L1101" t="s">
        <v>61</v>
      </c>
      <c r="M1101" t="s">
        <v>61</v>
      </c>
      <c r="N1101">
        <v>3</v>
      </c>
      <c r="O1101">
        <v>3</v>
      </c>
      <c r="P1101">
        <v>3</v>
      </c>
      <c r="Q1101">
        <v>4</v>
      </c>
      <c r="R1101">
        <v>2</v>
      </c>
      <c r="S1101">
        <v>3</v>
      </c>
      <c r="T1101">
        <v>4</v>
      </c>
      <c r="U1101">
        <v>3</v>
      </c>
      <c r="V1101">
        <v>2</v>
      </c>
      <c r="W1101">
        <v>3</v>
      </c>
      <c r="X1101">
        <v>2</v>
      </c>
      <c r="Y1101">
        <v>4</v>
      </c>
      <c r="Z1101">
        <v>3</v>
      </c>
      <c r="AA1101">
        <v>4</v>
      </c>
      <c r="AB1101">
        <v>2</v>
      </c>
      <c r="AC1101">
        <v>3</v>
      </c>
      <c r="AD1101">
        <v>3</v>
      </c>
      <c r="AE1101">
        <v>4</v>
      </c>
      <c r="AF1101">
        <v>3</v>
      </c>
      <c r="AG1101">
        <v>4</v>
      </c>
      <c r="AH1101">
        <v>3</v>
      </c>
      <c r="AI1101">
        <v>3</v>
      </c>
      <c r="AJ1101">
        <v>3</v>
      </c>
      <c r="AK1101" t="b">
        <f>Table67[[#This Row],[What is your age?]]&lt;&gt;"18 - 25"</f>
        <v>0</v>
      </c>
      <c r="AL1101" t="b">
        <f t="shared" si="68"/>
        <v>0</v>
      </c>
      <c r="AM1101" t="b">
        <f t="shared" si="69"/>
        <v>0</v>
      </c>
      <c r="AN1101" t="b">
        <f t="shared" si="70"/>
        <v>1</v>
      </c>
      <c r="AO1101" t="b">
        <f>OR(Table67[[#This Row],[Ineligible respondents]:[Inconsistent response on opposite question (3)]])</f>
        <v>1</v>
      </c>
      <c r="AP110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101">
        <f>Table67[[#This Row],[Extreme Response]]/21</f>
        <v>0</v>
      </c>
      <c r="AR1101">
        <f>_xlfn.PERCENTILE.INC(Table67[Extrem Response Ratio (ERS)],0.9)</f>
        <v>0.61904761904761907</v>
      </c>
      <c r="AS1101" t="b">
        <f>Table67[[#This Row],[Extrem Response Ratio (ERS)]]&gt;=Table67[[#This Row],[Threshold of ERS]]</f>
        <v>0</v>
      </c>
      <c r="AT1101">
        <f>COUNTIF(Table67[[#This Row],[The mechanism of digital assets is difficult to understand, which discourages me from exploring it (E.g, Tokenization, Blockchain)]:[If I want to try different ways to invest, I will explore digital assets.]], 3)</f>
        <v>11</v>
      </c>
      <c r="AU1101">
        <f>Table67[[#This Row],[Midpoint]]/21</f>
        <v>0.52380952380952384</v>
      </c>
      <c r="AV1101">
        <f>_xlfn.PERCENTILE.INC(Table67[Midpoint ratio],0.9)</f>
        <v>0.5714285714285714</v>
      </c>
      <c r="AW1101" t="b">
        <f>Table67[[#This Row],[Midpoint ratio]]&gt;=Table67[[#This Row],[Threshold of Midpoint ratio]]</f>
        <v>0</v>
      </c>
      <c r="AX1101" t="b">
        <f>OR(Table67[[#This Row],[Extreme Response Style]],Table67[[#This Row],[Mid-point Response Style]])</f>
        <v>0</v>
      </c>
      <c r="AY1101" t="b">
        <f>OR(Table67[[#This Row],[Delete? (Stage 1)]],Table67[[#This Row],[Delete? (Stage 2)]])</f>
        <v>1</v>
      </c>
      <c r="AZ1101" t="s">
        <v>84</v>
      </c>
    </row>
    <row r="1102" spans="1:52">
      <c r="A1102">
        <f t="shared" si="71"/>
        <v>1101</v>
      </c>
      <c r="B1102" s="3">
        <v>46056.887581018498</v>
      </c>
      <c r="C1102" s="3">
        <v>46056.894803240699</v>
      </c>
      <c r="D1102" t="s">
        <v>53</v>
      </c>
      <c r="G1102" t="s">
        <v>54</v>
      </c>
      <c r="H1102" t="s">
        <v>63</v>
      </c>
      <c r="I1102" t="s">
        <v>71</v>
      </c>
      <c r="J1102" t="s">
        <v>62</v>
      </c>
      <c r="K1102" t="s">
        <v>57</v>
      </c>
      <c r="L1102" t="s">
        <v>58</v>
      </c>
      <c r="M1102" t="s">
        <v>58</v>
      </c>
      <c r="N1102">
        <v>4</v>
      </c>
      <c r="O1102">
        <v>3</v>
      </c>
      <c r="P1102">
        <v>3</v>
      </c>
      <c r="Q1102">
        <v>4</v>
      </c>
      <c r="R1102">
        <v>4</v>
      </c>
      <c r="S1102">
        <v>4</v>
      </c>
      <c r="T1102">
        <v>4</v>
      </c>
      <c r="U1102">
        <v>5</v>
      </c>
      <c r="V1102">
        <v>4</v>
      </c>
      <c r="W1102">
        <v>4</v>
      </c>
      <c r="X1102">
        <v>4</v>
      </c>
      <c r="Y1102">
        <v>4</v>
      </c>
      <c r="Z1102">
        <v>4</v>
      </c>
      <c r="AA1102">
        <v>4</v>
      </c>
      <c r="AB1102">
        <v>2</v>
      </c>
      <c r="AC1102">
        <v>4</v>
      </c>
      <c r="AD1102">
        <v>5</v>
      </c>
      <c r="AE1102">
        <v>2</v>
      </c>
      <c r="AF1102">
        <v>3</v>
      </c>
      <c r="AG1102">
        <v>4</v>
      </c>
      <c r="AH1102">
        <v>3</v>
      </c>
      <c r="AI1102">
        <v>3</v>
      </c>
      <c r="AJ1102">
        <v>3</v>
      </c>
      <c r="AK1102" t="b">
        <f>Table67[[#This Row],[What is your age?]]&lt;&gt;"18 - 25"</f>
        <v>0</v>
      </c>
      <c r="AL1102" t="b">
        <f t="shared" si="68"/>
        <v>0</v>
      </c>
      <c r="AM1102" t="b">
        <f t="shared" si="69"/>
        <v>0</v>
      </c>
      <c r="AN1102" t="b">
        <f t="shared" si="70"/>
        <v>1</v>
      </c>
      <c r="AO1102" t="b">
        <f>OR(Table67[[#This Row],[Ineligible respondents]:[Inconsistent response on opposite question (3)]])</f>
        <v>1</v>
      </c>
      <c r="AP110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102">
        <f>Table67[[#This Row],[Extreme Response]]/21</f>
        <v>9.5238095238095233E-2</v>
      </c>
      <c r="AR1102">
        <f>_xlfn.PERCENTILE.INC(Table67[Extrem Response Ratio (ERS)],0.9)</f>
        <v>0.61904761904761907</v>
      </c>
      <c r="AS1102" t="b">
        <f>Table67[[#This Row],[Extrem Response Ratio (ERS)]]&gt;=Table67[[#This Row],[Threshold of ERS]]</f>
        <v>0</v>
      </c>
      <c r="AT1102">
        <f>COUNTIF(Table67[[#This Row],[The mechanism of digital assets is difficult to understand, which discourages me from exploring it (E.g, Tokenization, Blockchain)]:[If I want to try different ways to invest, I will explore digital assets.]], 3)</f>
        <v>4</v>
      </c>
      <c r="AU1102">
        <f>Table67[[#This Row],[Midpoint]]/21</f>
        <v>0.19047619047619047</v>
      </c>
      <c r="AV1102">
        <f>_xlfn.PERCENTILE.INC(Table67[Midpoint ratio],0.9)</f>
        <v>0.5714285714285714</v>
      </c>
      <c r="AW1102" t="b">
        <f>Table67[[#This Row],[Midpoint ratio]]&gt;=Table67[[#This Row],[Threshold of Midpoint ratio]]</f>
        <v>0</v>
      </c>
      <c r="AX1102" t="b">
        <f>OR(Table67[[#This Row],[Extreme Response Style]],Table67[[#This Row],[Mid-point Response Style]])</f>
        <v>0</v>
      </c>
      <c r="AY1102" t="b">
        <f>OR(Table67[[#This Row],[Delete? (Stage 1)]],Table67[[#This Row],[Delete? (Stage 2)]])</f>
        <v>1</v>
      </c>
      <c r="AZ1102" t="s">
        <v>84</v>
      </c>
    </row>
    <row r="1103" spans="1:52">
      <c r="A1103">
        <f t="shared" si="71"/>
        <v>1102</v>
      </c>
      <c r="B1103" s="3">
        <v>46056.887824074103</v>
      </c>
      <c r="C1103" s="3">
        <v>46056.8900810185</v>
      </c>
      <c r="D1103" t="s">
        <v>53</v>
      </c>
      <c r="G1103" t="s">
        <v>54</v>
      </c>
      <c r="H1103" t="s">
        <v>63</v>
      </c>
      <c r="I1103" t="s">
        <v>71</v>
      </c>
      <c r="J1103" t="s">
        <v>62</v>
      </c>
      <c r="K1103" t="s">
        <v>62</v>
      </c>
      <c r="L1103" t="s">
        <v>61</v>
      </c>
      <c r="M1103" t="s">
        <v>61</v>
      </c>
      <c r="N1103">
        <v>1</v>
      </c>
      <c r="O1103">
        <v>2</v>
      </c>
      <c r="P1103">
        <v>4</v>
      </c>
      <c r="Q1103">
        <v>3</v>
      </c>
      <c r="R1103">
        <v>3</v>
      </c>
      <c r="S1103">
        <v>2</v>
      </c>
      <c r="T1103">
        <v>2</v>
      </c>
      <c r="U1103">
        <v>3</v>
      </c>
      <c r="V1103">
        <v>2</v>
      </c>
      <c r="W1103">
        <v>3</v>
      </c>
      <c r="X1103">
        <v>2</v>
      </c>
      <c r="Y1103">
        <v>2</v>
      </c>
      <c r="Z1103">
        <v>3</v>
      </c>
      <c r="AA1103">
        <v>2</v>
      </c>
      <c r="AB1103">
        <v>2</v>
      </c>
      <c r="AC1103">
        <v>2</v>
      </c>
      <c r="AD1103">
        <v>2</v>
      </c>
      <c r="AE1103">
        <v>2</v>
      </c>
      <c r="AF1103">
        <v>4</v>
      </c>
      <c r="AG1103">
        <v>3</v>
      </c>
      <c r="AH1103">
        <v>3</v>
      </c>
      <c r="AI1103">
        <v>3</v>
      </c>
      <c r="AJ1103">
        <v>2</v>
      </c>
      <c r="AK1103" t="b">
        <f>Table67[[#This Row],[What is your age?]]&lt;&gt;"18 - 25"</f>
        <v>0</v>
      </c>
      <c r="AL1103" t="b">
        <f t="shared" si="68"/>
        <v>0</v>
      </c>
      <c r="AM1103" t="b">
        <f t="shared" si="69"/>
        <v>0</v>
      </c>
      <c r="AN1103" t="b">
        <f t="shared" si="70"/>
        <v>0</v>
      </c>
      <c r="AO1103" t="b">
        <f>OR(Table67[[#This Row],[Ineligible respondents]:[Inconsistent response on opposite question (3)]])</f>
        <v>0</v>
      </c>
      <c r="AP110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103">
        <f>Table67[[#This Row],[Extreme Response]]/21</f>
        <v>4.7619047619047616E-2</v>
      </c>
      <c r="AR1103">
        <f>_xlfn.PERCENTILE.INC(Table67[Extrem Response Ratio (ERS)],0.9)</f>
        <v>0.61904761904761907</v>
      </c>
      <c r="AS1103" t="b">
        <f>Table67[[#This Row],[Extrem Response Ratio (ERS)]]&gt;=Table67[[#This Row],[Threshold of ERS]]</f>
        <v>0</v>
      </c>
      <c r="AT1103">
        <f>COUNTIF(Table67[[#This Row],[The mechanism of digital assets is difficult to understand, which discourages me from exploring it (E.g, Tokenization, Blockchain)]:[If I want to try different ways to invest, I will explore digital assets.]], 3)</f>
        <v>7</v>
      </c>
      <c r="AU1103">
        <f>Table67[[#This Row],[Midpoint]]/21</f>
        <v>0.33333333333333331</v>
      </c>
      <c r="AV1103">
        <f>_xlfn.PERCENTILE.INC(Table67[Midpoint ratio],0.9)</f>
        <v>0.5714285714285714</v>
      </c>
      <c r="AW1103" t="b">
        <f>Table67[[#This Row],[Midpoint ratio]]&gt;=Table67[[#This Row],[Threshold of Midpoint ratio]]</f>
        <v>0</v>
      </c>
      <c r="AX1103" t="b">
        <f>OR(Table67[[#This Row],[Extreme Response Style]],Table67[[#This Row],[Mid-point Response Style]])</f>
        <v>0</v>
      </c>
      <c r="AY1103" t="b">
        <f>OR(Table67[[#This Row],[Delete? (Stage 1)]],Table67[[#This Row],[Delete? (Stage 2)]])</f>
        <v>0</v>
      </c>
      <c r="AZ1103" t="s">
        <v>84</v>
      </c>
    </row>
    <row r="1104" spans="1:52">
      <c r="A1104">
        <f t="shared" si="71"/>
        <v>1103</v>
      </c>
      <c r="B1104" s="3">
        <v>46056.887951388897</v>
      </c>
      <c r="C1104" s="3">
        <v>46056.8899537037</v>
      </c>
      <c r="D1104" t="s">
        <v>53</v>
      </c>
      <c r="G1104" t="s">
        <v>54</v>
      </c>
      <c r="H1104" t="s">
        <v>63</v>
      </c>
      <c r="I1104" t="s">
        <v>56</v>
      </c>
      <c r="J1104" t="s">
        <v>62</v>
      </c>
      <c r="K1104" t="s">
        <v>62</v>
      </c>
      <c r="L1104" t="s">
        <v>58</v>
      </c>
      <c r="M1104" t="s">
        <v>58</v>
      </c>
      <c r="N1104">
        <v>3</v>
      </c>
      <c r="O1104">
        <v>1</v>
      </c>
      <c r="P1104">
        <v>3</v>
      </c>
      <c r="Q1104">
        <v>4</v>
      </c>
      <c r="R1104">
        <v>4</v>
      </c>
      <c r="S1104">
        <v>3</v>
      </c>
      <c r="T1104">
        <v>2</v>
      </c>
      <c r="U1104">
        <v>2</v>
      </c>
      <c r="V1104">
        <v>5</v>
      </c>
      <c r="W1104">
        <v>3</v>
      </c>
      <c r="X1104">
        <v>3</v>
      </c>
      <c r="Y1104">
        <v>3</v>
      </c>
      <c r="Z1104">
        <v>3</v>
      </c>
      <c r="AA1104">
        <v>3</v>
      </c>
      <c r="AB1104">
        <v>1</v>
      </c>
      <c r="AC1104">
        <v>3</v>
      </c>
      <c r="AD1104">
        <v>1</v>
      </c>
      <c r="AE1104">
        <v>3</v>
      </c>
      <c r="AF1104">
        <v>4</v>
      </c>
      <c r="AG1104">
        <v>4</v>
      </c>
      <c r="AH1104">
        <v>4</v>
      </c>
      <c r="AI1104">
        <v>2</v>
      </c>
      <c r="AJ1104">
        <v>2</v>
      </c>
      <c r="AK1104" t="b">
        <f>Table67[[#This Row],[What is your age?]]&lt;&gt;"18 - 25"</f>
        <v>0</v>
      </c>
      <c r="AL1104" t="b">
        <f t="shared" si="68"/>
        <v>0</v>
      </c>
      <c r="AM1104" t="b">
        <f t="shared" si="69"/>
        <v>1</v>
      </c>
      <c r="AN1104" t="b">
        <f t="shared" si="70"/>
        <v>0</v>
      </c>
      <c r="AO1104" t="b">
        <f>OR(Table67[[#This Row],[Ineligible respondents]:[Inconsistent response on opposite question (3)]])</f>
        <v>1</v>
      </c>
      <c r="AP110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104">
        <f>Table67[[#This Row],[Extreme Response]]/21</f>
        <v>0.19047619047619047</v>
      </c>
      <c r="AR1104">
        <f>_xlfn.PERCENTILE.INC(Table67[Extrem Response Ratio (ERS)],0.9)</f>
        <v>0.61904761904761907</v>
      </c>
      <c r="AS1104" t="b">
        <f>Table67[[#This Row],[Extrem Response Ratio (ERS)]]&gt;=Table67[[#This Row],[Threshold of ERS]]</f>
        <v>0</v>
      </c>
      <c r="AT1104">
        <f>COUNTIF(Table67[[#This Row],[The mechanism of digital assets is difficult to understand, which discourages me from exploring it (E.g, Tokenization, Blockchain)]:[If I want to try different ways to invest, I will explore digital assets.]], 3)</f>
        <v>10</v>
      </c>
      <c r="AU1104">
        <f>Table67[[#This Row],[Midpoint]]/21</f>
        <v>0.47619047619047616</v>
      </c>
      <c r="AV1104">
        <f>_xlfn.PERCENTILE.INC(Table67[Midpoint ratio],0.9)</f>
        <v>0.5714285714285714</v>
      </c>
      <c r="AW1104" t="b">
        <f>Table67[[#This Row],[Midpoint ratio]]&gt;=Table67[[#This Row],[Threshold of Midpoint ratio]]</f>
        <v>0</v>
      </c>
      <c r="AX1104" t="b">
        <f>OR(Table67[[#This Row],[Extreme Response Style]],Table67[[#This Row],[Mid-point Response Style]])</f>
        <v>0</v>
      </c>
      <c r="AY1104" t="b">
        <f>OR(Table67[[#This Row],[Delete? (Stage 1)]],Table67[[#This Row],[Delete? (Stage 2)]])</f>
        <v>1</v>
      </c>
      <c r="AZ1104" t="s">
        <v>84</v>
      </c>
    </row>
    <row r="1105" spans="1:52">
      <c r="A1105">
        <f t="shared" si="71"/>
        <v>1104</v>
      </c>
      <c r="B1105" s="3">
        <v>46056.887951388897</v>
      </c>
      <c r="C1105" s="3">
        <v>46056.894490740699</v>
      </c>
      <c r="D1105" t="s">
        <v>53</v>
      </c>
      <c r="G1105" t="s">
        <v>54</v>
      </c>
      <c r="H1105" t="s">
        <v>63</v>
      </c>
      <c r="I1105" t="s">
        <v>69</v>
      </c>
      <c r="J1105" t="s">
        <v>60</v>
      </c>
      <c r="K1105" t="s">
        <v>57</v>
      </c>
      <c r="L1105" t="s">
        <v>58</v>
      </c>
      <c r="M1105" t="s">
        <v>61</v>
      </c>
      <c r="N1105">
        <v>4</v>
      </c>
      <c r="O1105">
        <v>1</v>
      </c>
      <c r="P1105">
        <v>4</v>
      </c>
      <c r="Q1105">
        <v>3</v>
      </c>
      <c r="R1105">
        <v>1</v>
      </c>
      <c r="S1105">
        <v>4</v>
      </c>
      <c r="T1105">
        <v>3</v>
      </c>
      <c r="U1105">
        <v>2</v>
      </c>
      <c r="V1105">
        <v>5</v>
      </c>
      <c r="W1105">
        <v>4</v>
      </c>
      <c r="X1105">
        <v>3</v>
      </c>
      <c r="Y1105">
        <v>4</v>
      </c>
      <c r="Z1105">
        <v>5</v>
      </c>
      <c r="AA1105">
        <v>4</v>
      </c>
      <c r="AB1105">
        <v>4</v>
      </c>
      <c r="AC1105">
        <v>4</v>
      </c>
      <c r="AD1105">
        <v>3</v>
      </c>
      <c r="AE1105">
        <v>5</v>
      </c>
      <c r="AF1105">
        <v>2</v>
      </c>
      <c r="AG1105">
        <v>2</v>
      </c>
      <c r="AH1105">
        <v>3</v>
      </c>
      <c r="AI1105">
        <v>3</v>
      </c>
      <c r="AJ1105">
        <v>4</v>
      </c>
      <c r="AK1105" t="b">
        <f>Table67[[#This Row],[What is your age?]]&lt;&gt;"18 - 25"</f>
        <v>0</v>
      </c>
      <c r="AL1105" t="b">
        <f t="shared" si="68"/>
        <v>0</v>
      </c>
      <c r="AM1105" t="b">
        <f t="shared" si="69"/>
        <v>0</v>
      </c>
      <c r="AN1105" t="b">
        <f t="shared" si="70"/>
        <v>1</v>
      </c>
      <c r="AO1105" t="b">
        <f>OR(Table67[[#This Row],[Ineligible respondents]:[Inconsistent response on opposite question (3)]])</f>
        <v>1</v>
      </c>
      <c r="AP110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105">
        <f>Table67[[#This Row],[Extreme Response]]/21</f>
        <v>0.23809523809523808</v>
      </c>
      <c r="AR1105">
        <f>_xlfn.PERCENTILE.INC(Table67[Extrem Response Ratio (ERS)],0.9)</f>
        <v>0.61904761904761907</v>
      </c>
      <c r="AS1105" t="b">
        <f>Table67[[#This Row],[Extrem Response Ratio (ERS)]]&gt;=Table67[[#This Row],[Threshold of ERS]]</f>
        <v>0</v>
      </c>
      <c r="AT1105">
        <f>COUNTIF(Table67[[#This Row],[The mechanism of digital assets is difficult to understand, which discourages me from exploring it (E.g, Tokenization, Blockchain)]:[If I want to try different ways to invest, I will explore digital assets.]], 3)</f>
        <v>5</v>
      </c>
      <c r="AU1105">
        <f>Table67[[#This Row],[Midpoint]]/21</f>
        <v>0.23809523809523808</v>
      </c>
      <c r="AV1105">
        <f>_xlfn.PERCENTILE.INC(Table67[Midpoint ratio],0.9)</f>
        <v>0.5714285714285714</v>
      </c>
      <c r="AW1105" t="b">
        <f>Table67[[#This Row],[Midpoint ratio]]&gt;=Table67[[#This Row],[Threshold of Midpoint ratio]]</f>
        <v>0</v>
      </c>
      <c r="AX1105" t="b">
        <f>OR(Table67[[#This Row],[Extreme Response Style]],Table67[[#This Row],[Mid-point Response Style]])</f>
        <v>0</v>
      </c>
      <c r="AY1105" t="b">
        <f>OR(Table67[[#This Row],[Delete? (Stage 1)]],Table67[[#This Row],[Delete? (Stage 2)]])</f>
        <v>1</v>
      </c>
      <c r="AZ1105" t="s">
        <v>84</v>
      </c>
    </row>
    <row r="1106" spans="1:52">
      <c r="A1106">
        <f t="shared" si="71"/>
        <v>1105</v>
      </c>
      <c r="B1106" s="3">
        <v>46056.887962963003</v>
      </c>
      <c r="C1106" s="3">
        <v>46056.891273148103</v>
      </c>
      <c r="D1106" t="s">
        <v>53</v>
      </c>
      <c r="G1106" t="s">
        <v>54</v>
      </c>
      <c r="H1106" t="s">
        <v>63</v>
      </c>
      <c r="I1106" t="s">
        <v>56</v>
      </c>
      <c r="J1106" t="s">
        <v>62</v>
      </c>
      <c r="K1106" t="s">
        <v>62</v>
      </c>
      <c r="L1106" t="s">
        <v>61</v>
      </c>
      <c r="M1106" t="s">
        <v>61</v>
      </c>
      <c r="N1106">
        <v>5</v>
      </c>
      <c r="O1106">
        <v>5</v>
      </c>
      <c r="P1106">
        <v>3</v>
      </c>
      <c r="Q1106">
        <v>4</v>
      </c>
      <c r="R1106">
        <v>2</v>
      </c>
      <c r="S1106">
        <v>1</v>
      </c>
      <c r="T1106">
        <v>5</v>
      </c>
      <c r="U1106">
        <v>3</v>
      </c>
      <c r="V1106">
        <v>5</v>
      </c>
      <c r="W1106">
        <v>5</v>
      </c>
      <c r="X1106">
        <v>2</v>
      </c>
      <c r="Y1106">
        <v>4</v>
      </c>
      <c r="Z1106">
        <v>4</v>
      </c>
      <c r="AA1106">
        <v>5</v>
      </c>
      <c r="AB1106">
        <v>5</v>
      </c>
      <c r="AC1106">
        <v>4</v>
      </c>
      <c r="AD1106">
        <v>5</v>
      </c>
      <c r="AE1106">
        <v>1</v>
      </c>
      <c r="AF1106">
        <v>4</v>
      </c>
      <c r="AG1106">
        <v>4</v>
      </c>
      <c r="AH1106">
        <v>4</v>
      </c>
      <c r="AI1106">
        <v>2</v>
      </c>
      <c r="AJ1106">
        <v>2</v>
      </c>
      <c r="AK1106" t="b">
        <f>Table67[[#This Row],[What is your age?]]&lt;&gt;"18 - 25"</f>
        <v>0</v>
      </c>
      <c r="AL1106" t="b">
        <f t="shared" si="68"/>
        <v>0</v>
      </c>
      <c r="AM1106" t="b">
        <f t="shared" si="69"/>
        <v>1</v>
      </c>
      <c r="AN1106" t="b">
        <f t="shared" si="70"/>
        <v>0</v>
      </c>
      <c r="AO1106" t="b">
        <f>OR(Table67[[#This Row],[Ineligible respondents]:[Inconsistent response on opposite question (3)]])</f>
        <v>1</v>
      </c>
      <c r="AP110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10</v>
      </c>
      <c r="AQ1106">
        <f>Table67[[#This Row],[Extreme Response]]/21</f>
        <v>0.47619047619047616</v>
      </c>
      <c r="AR1106">
        <f>_xlfn.PERCENTILE.INC(Table67[Extrem Response Ratio (ERS)],0.9)</f>
        <v>0.61904761904761907</v>
      </c>
      <c r="AS1106" t="b">
        <f>Table67[[#This Row],[Extrem Response Ratio (ERS)]]&gt;=Table67[[#This Row],[Threshold of ERS]]</f>
        <v>0</v>
      </c>
      <c r="AT1106">
        <f>COUNTIF(Table67[[#This Row],[The mechanism of digital assets is difficult to understand, which discourages me from exploring it (E.g, Tokenization, Blockchain)]:[If I want to try different ways to invest, I will explore digital assets.]], 3)</f>
        <v>2</v>
      </c>
      <c r="AU1106">
        <f>Table67[[#This Row],[Midpoint]]/21</f>
        <v>9.5238095238095233E-2</v>
      </c>
      <c r="AV1106">
        <f>_xlfn.PERCENTILE.INC(Table67[Midpoint ratio],0.9)</f>
        <v>0.5714285714285714</v>
      </c>
      <c r="AW1106" t="b">
        <f>Table67[[#This Row],[Midpoint ratio]]&gt;=Table67[[#This Row],[Threshold of Midpoint ratio]]</f>
        <v>0</v>
      </c>
      <c r="AX1106" t="b">
        <f>OR(Table67[[#This Row],[Extreme Response Style]],Table67[[#This Row],[Mid-point Response Style]])</f>
        <v>0</v>
      </c>
      <c r="AY1106" t="b">
        <f>OR(Table67[[#This Row],[Delete? (Stage 1)]],Table67[[#This Row],[Delete? (Stage 2)]])</f>
        <v>1</v>
      </c>
      <c r="AZ1106" t="s">
        <v>84</v>
      </c>
    </row>
    <row r="1107" spans="1:52">
      <c r="A1107">
        <f t="shared" si="71"/>
        <v>1106</v>
      </c>
      <c r="B1107" s="3">
        <v>46056.887986111098</v>
      </c>
      <c r="C1107" s="3">
        <v>46056.892800925903</v>
      </c>
      <c r="D1107" t="s">
        <v>53</v>
      </c>
      <c r="G1107" t="s">
        <v>54</v>
      </c>
      <c r="H1107" t="s">
        <v>55</v>
      </c>
      <c r="I1107" t="s">
        <v>71</v>
      </c>
      <c r="J1107" t="s">
        <v>62</v>
      </c>
      <c r="K1107" t="s">
        <v>57</v>
      </c>
      <c r="L1107" t="s">
        <v>58</v>
      </c>
      <c r="M1107" t="s">
        <v>58</v>
      </c>
      <c r="N1107">
        <v>3</v>
      </c>
      <c r="O1107">
        <v>1</v>
      </c>
      <c r="P1107">
        <v>1</v>
      </c>
      <c r="Q1107">
        <v>4</v>
      </c>
      <c r="R1107">
        <v>4</v>
      </c>
      <c r="S1107">
        <v>5</v>
      </c>
      <c r="T1107">
        <v>2</v>
      </c>
      <c r="U1107">
        <v>3</v>
      </c>
      <c r="V1107">
        <v>5</v>
      </c>
      <c r="W1107">
        <v>5</v>
      </c>
      <c r="X1107">
        <v>4</v>
      </c>
      <c r="Y1107">
        <v>4</v>
      </c>
      <c r="Z1107">
        <v>5</v>
      </c>
      <c r="AA1107">
        <v>4</v>
      </c>
      <c r="AB1107">
        <v>2</v>
      </c>
      <c r="AC1107">
        <v>3</v>
      </c>
      <c r="AD1107">
        <v>5</v>
      </c>
      <c r="AE1107">
        <v>1</v>
      </c>
      <c r="AF1107">
        <v>1</v>
      </c>
      <c r="AG1107">
        <v>3</v>
      </c>
      <c r="AH1107">
        <v>4</v>
      </c>
      <c r="AI1107">
        <v>2</v>
      </c>
      <c r="AJ1107">
        <v>5</v>
      </c>
      <c r="AK1107" t="b">
        <f>Table67[[#This Row],[What is your age?]]&lt;&gt;"18 - 25"</f>
        <v>0</v>
      </c>
      <c r="AL1107" t="b">
        <f t="shared" si="68"/>
        <v>0</v>
      </c>
      <c r="AM1107" t="b">
        <f t="shared" si="69"/>
        <v>0</v>
      </c>
      <c r="AN1107" t="b">
        <f t="shared" si="70"/>
        <v>1</v>
      </c>
      <c r="AO1107" t="b">
        <f>OR(Table67[[#This Row],[Ineligible respondents]:[Inconsistent response on opposite question (3)]])</f>
        <v>1</v>
      </c>
      <c r="AP110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1107">
        <f>Table67[[#This Row],[Extreme Response]]/21</f>
        <v>0.42857142857142855</v>
      </c>
      <c r="AR1107">
        <f>_xlfn.PERCENTILE.INC(Table67[Extrem Response Ratio (ERS)],0.9)</f>
        <v>0.61904761904761907</v>
      </c>
      <c r="AS1107" t="b">
        <f>Table67[[#This Row],[Extrem Response Ratio (ERS)]]&gt;=Table67[[#This Row],[Threshold of ERS]]</f>
        <v>0</v>
      </c>
      <c r="AT1107">
        <f>COUNTIF(Table67[[#This Row],[The mechanism of digital assets is difficult to understand, which discourages me from exploring it (E.g, Tokenization, Blockchain)]:[If I want to try different ways to invest, I will explore digital assets.]], 3)</f>
        <v>4</v>
      </c>
      <c r="AU1107">
        <f>Table67[[#This Row],[Midpoint]]/21</f>
        <v>0.19047619047619047</v>
      </c>
      <c r="AV1107">
        <f>_xlfn.PERCENTILE.INC(Table67[Midpoint ratio],0.9)</f>
        <v>0.5714285714285714</v>
      </c>
      <c r="AW1107" t="b">
        <f>Table67[[#This Row],[Midpoint ratio]]&gt;=Table67[[#This Row],[Threshold of Midpoint ratio]]</f>
        <v>0</v>
      </c>
      <c r="AX1107" t="b">
        <f>OR(Table67[[#This Row],[Extreme Response Style]],Table67[[#This Row],[Mid-point Response Style]])</f>
        <v>0</v>
      </c>
      <c r="AY1107" t="b">
        <f>OR(Table67[[#This Row],[Delete? (Stage 1)]],Table67[[#This Row],[Delete? (Stage 2)]])</f>
        <v>1</v>
      </c>
      <c r="AZ1107" t="s">
        <v>84</v>
      </c>
    </row>
    <row r="1108" spans="1:52">
      <c r="A1108">
        <f t="shared" si="71"/>
        <v>1107</v>
      </c>
      <c r="B1108" s="3">
        <v>46056.888020833299</v>
      </c>
      <c r="C1108" s="3">
        <v>46056.895578703698</v>
      </c>
      <c r="D1108" t="s">
        <v>53</v>
      </c>
      <c r="G1108" t="s">
        <v>54</v>
      </c>
      <c r="H1108" t="s">
        <v>63</v>
      </c>
      <c r="I1108" t="s">
        <v>56</v>
      </c>
      <c r="J1108" t="s">
        <v>62</v>
      </c>
      <c r="K1108" t="s">
        <v>62</v>
      </c>
      <c r="L1108" t="s">
        <v>58</v>
      </c>
      <c r="M1108" t="s">
        <v>58</v>
      </c>
      <c r="N1108">
        <v>4</v>
      </c>
      <c r="O1108">
        <v>4</v>
      </c>
      <c r="P1108">
        <v>4</v>
      </c>
      <c r="Q1108">
        <v>2</v>
      </c>
      <c r="R1108">
        <v>3</v>
      </c>
      <c r="S1108">
        <v>4</v>
      </c>
      <c r="T1108">
        <v>3</v>
      </c>
      <c r="U1108">
        <v>3</v>
      </c>
      <c r="V1108">
        <v>4</v>
      </c>
      <c r="W1108">
        <v>4</v>
      </c>
      <c r="X1108">
        <v>4</v>
      </c>
      <c r="Y1108">
        <v>4</v>
      </c>
      <c r="Z1108">
        <v>4</v>
      </c>
      <c r="AA1108">
        <v>4</v>
      </c>
      <c r="AB1108">
        <v>2</v>
      </c>
      <c r="AC1108">
        <v>4</v>
      </c>
      <c r="AD1108">
        <v>4</v>
      </c>
      <c r="AE1108">
        <v>4</v>
      </c>
      <c r="AF1108">
        <v>3</v>
      </c>
      <c r="AG1108">
        <v>2</v>
      </c>
      <c r="AH1108">
        <v>4</v>
      </c>
      <c r="AI1108">
        <v>2</v>
      </c>
      <c r="AJ1108">
        <v>3</v>
      </c>
      <c r="AK1108" t="b">
        <f>Table67[[#This Row],[What is your age?]]&lt;&gt;"18 - 25"</f>
        <v>0</v>
      </c>
      <c r="AL1108" t="b">
        <f t="shared" si="68"/>
        <v>0</v>
      </c>
      <c r="AM1108" t="b">
        <f t="shared" si="69"/>
        <v>0</v>
      </c>
      <c r="AN1108" t="b">
        <f t="shared" si="70"/>
        <v>0</v>
      </c>
      <c r="AO1108" t="b">
        <f>OR(Table67[[#This Row],[Ineligible respondents]:[Inconsistent response on opposite question (3)]])</f>
        <v>0</v>
      </c>
      <c r="AP110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108">
        <f>Table67[[#This Row],[Extreme Response]]/21</f>
        <v>0</v>
      </c>
      <c r="AR1108">
        <f>_xlfn.PERCENTILE.INC(Table67[Extrem Response Ratio (ERS)],0.9)</f>
        <v>0.61904761904761907</v>
      </c>
      <c r="AS1108" t="b">
        <f>Table67[[#This Row],[Extrem Response Ratio (ERS)]]&gt;=Table67[[#This Row],[Threshold of ERS]]</f>
        <v>0</v>
      </c>
      <c r="AT1108">
        <f>COUNTIF(Table67[[#This Row],[The mechanism of digital assets is difficult to understand, which discourages me from exploring it (E.g, Tokenization, Blockchain)]:[If I want to try different ways to invest, I will explore digital assets.]], 3)</f>
        <v>4</v>
      </c>
      <c r="AU1108">
        <f>Table67[[#This Row],[Midpoint]]/21</f>
        <v>0.19047619047619047</v>
      </c>
      <c r="AV1108">
        <f>_xlfn.PERCENTILE.INC(Table67[Midpoint ratio],0.9)</f>
        <v>0.5714285714285714</v>
      </c>
      <c r="AW1108" t="b">
        <f>Table67[[#This Row],[Midpoint ratio]]&gt;=Table67[[#This Row],[Threshold of Midpoint ratio]]</f>
        <v>0</v>
      </c>
      <c r="AX1108" t="b">
        <f>OR(Table67[[#This Row],[Extreme Response Style]],Table67[[#This Row],[Mid-point Response Style]])</f>
        <v>0</v>
      </c>
      <c r="AY1108" t="b">
        <f>OR(Table67[[#This Row],[Delete? (Stage 1)]],Table67[[#This Row],[Delete? (Stage 2)]])</f>
        <v>0</v>
      </c>
      <c r="AZ1108" t="s">
        <v>84</v>
      </c>
    </row>
    <row r="1109" spans="1:52">
      <c r="A1109">
        <f t="shared" si="71"/>
        <v>1108</v>
      </c>
      <c r="B1109" s="3">
        <v>46056.888113425899</v>
      </c>
      <c r="C1109" s="3">
        <v>46056.890497685199</v>
      </c>
      <c r="D1109" t="s">
        <v>53</v>
      </c>
      <c r="G1109" t="s">
        <v>54</v>
      </c>
      <c r="H1109" t="s">
        <v>63</v>
      </c>
      <c r="I1109" t="s">
        <v>71</v>
      </c>
      <c r="J1109" t="s">
        <v>60</v>
      </c>
      <c r="K1109" t="s">
        <v>60</v>
      </c>
      <c r="L1109" t="s">
        <v>58</v>
      </c>
      <c r="M1109" t="s">
        <v>58</v>
      </c>
      <c r="N1109">
        <v>4</v>
      </c>
      <c r="O1109">
        <v>2</v>
      </c>
      <c r="P1109">
        <v>4</v>
      </c>
      <c r="Q1109">
        <v>3</v>
      </c>
      <c r="R1109">
        <v>2</v>
      </c>
      <c r="S1109">
        <v>4</v>
      </c>
      <c r="T1109">
        <v>3</v>
      </c>
      <c r="U1109">
        <v>4</v>
      </c>
      <c r="V1109">
        <v>4</v>
      </c>
      <c r="W1109">
        <v>3</v>
      </c>
      <c r="X1109">
        <v>4</v>
      </c>
      <c r="Y1109">
        <v>4</v>
      </c>
      <c r="Z1109">
        <v>3</v>
      </c>
      <c r="AA1109">
        <v>4</v>
      </c>
      <c r="AB1109">
        <v>4</v>
      </c>
      <c r="AC1109">
        <v>4</v>
      </c>
      <c r="AD1109">
        <v>5</v>
      </c>
      <c r="AE1109">
        <v>4</v>
      </c>
      <c r="AF1109">
        <v>3</v>
      </c>
      <c r="AG1109">
        <v>4</v>
      </c>
      <c r="AH1109">
        <v>4</v>
      </c>
      <c r="AI1109">
        <v>2</v>
      </c>
      <c r="AJ1109">
        <v>3</v>
      </c>
      <c r="AK1109" t="b">
        <f>Table67[[#This Row],[What is your age?]]&lt;&gt;"18 - 25"</f>
        <v>0</v>
      </c>
      <c r="AL1109" t="b">
        <f t="shared" si="68"/>
        <v>0</v>
      </c>
      <c r="AM1109" t="b">
        <f t="shared" si="69"/>
        <v>1</v>
      </c>
      <c r="AN1109" t="b">
        <f t="shared" si="70"/>
        <v>0</v>
      </c>
      <c r="AO1109" t="b">
        <f>OR(Table67[[#This Row],[Ineligible respondents]:[Inconsistent response on opposite question (3)]])</f>
        <v>1</v>
      </c>
      <c r="AP110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109">
        <f>Table67[[#This Row],[Extreme Response]]/21</f>
        <v>4.7619047619047616E-2</v>
      </c>
      <c r="AR1109">
        <f>_xlfn.PERCENTILE.INC(Table67[Extrem Response Ratio (ERS)],0.9)</f>
        <v>0.61904761904761907</v>
      </c>
      <c r="AS1109" t="b">
        <f>Table67[[#This Row],[Extrem Response Ratio (ERS)]]&gt;=Table67[[#This Row],[Threshold of ERS]]</f>
        <v>0</v>
      </c>
      <c r="AT1109">
        <f>COUNTIF(Table67[[#This Row],[The mechanism of digital assets is difficult to understand, which discourages me from exploring it (E.g, Tokenization, Blockchain)]:[If I want to try different ways to invest, I will explore digital assets.]], 3)</f>
        <v>5</v>
      </c>
      <c r="AU1109">
        <f>Table67[[#This Row],[Midpoint]]/21</f>
        <v>0.23809523809523808</v>
      </c>
      <c r="AV1109">
        <f>_xlfn.PERCENTILE.INC(Table67[Midpoint ratio],0.9)</f>
        <v>0.5714285714285714</v>
      </c>
      <c r="AW1109" t="b">
        <f>Table67[[#This Row],[Midpoint ratio]]&gt;=Table67[[#This Row],[Threshold of Midpoint ratio]]</f>
        <v>0</v>
      </c>
      <c r="AX1109" t="b">
        <f>OR(Table67[[#This Row],[Extreme Response Style]],Table67[[#This Row],[Mid-point Response Style]])</f>
        <v>0</v>
      </c>
      <c r="AY1109" t="b">
        <f>OR(Table67[[#This Row],[Delete? (Stage 1)]],Table67[[#This Row],[Delete? (Stage 2)]])</f>
        <v>1</v>
      </c>
      <c r="AZ1109" t="s">
        <v>84</v>
      </c>
    </row>
    <row r="1110" spans="1:52">
      <c r="A1110">
        <f t="shared" si="71"/>
        <v>1109</v>
      </c>
      <c r="B1110" s="3">
        <v>46056.888159722199</v>
      </c>
      <c r="C1110" s="3">
        <v>46056.9004166667</v>
      </c>
      <c r="D1110" t="s">
        <v>53</v>
      </c>
      <c r="G1110" t="s">
        <v>54</v>
      </c>
      <c r="H1110" t="s">
        <v>63</v>
      </c>
      <c r="I1110" t="s">
        <v>56</v>
      </c>
      <c r="J1110" t="s">
        <v>62</v>
      </c>
      <c r="K1110" t="s">
        <v>57</v>
      </c>
      <c r="L1110" t="s">
        <v>61</v>
      </c>
      <c r="M1110" t="s">
        <v>61</v>
      </c>
      <c r="N1110">
        <v>3</v>
      </c>
      <c r="O1110">
        <v>1</v>
      </c>
      <c r="P1110">
        <v>3</v>
      </c>
      <c r="Q1110">
        <v>3</v>
      </c>
      <c r="R1110">
        <v>5</v>
      </c>
      <c r="S1110">
        <v>5</v>
      </c>
      <c r="T1110">
        <v>1</v>
      </c>
      <c r="U1110">
        <v>5</v>
      </c>
      <c r="V1110">
        <v>1</v>
      </c>
      <c r="W1110">
        <v>3</v>
      </c>
      <c r="X1110">
        <v>3</v>
      </c>
      <c r="Y1110">
        <v>3</v>
      </c>
      <c r="Z1110">
        <v>3</v>
      </c>
      <c r="AA1110">
        <v>3</v>
      </c>
      <c r="AB1110">
        <v>3</v>
      </c>
      <c r="AC1110">
        <v>5</v>
      </c>
      <c r="AD1110">
        <v>3</v>
      </c>
      <c r="AE1110">
        <v>3</v>
      </c>
      <c r="AF1110">
        <v>1</v>
      </c>
      <c r="AG1110">
        <v>1</v>
      </c>
      <c r="AH1110">
        <v>1</v>
      </c>
      <c r="AI1110">
        <v>5</v>
      </c>
      <c r="AJ1110">
        <v>5</v>
      </c>
      <c r="AK1110" t="b">
        <f>Table67[[#This Row],[What is your age?]]&lt;&gt;"18 - 25"</f>
        <v>0</v>
      </c>
      <c r="AL1110" t="b">
        <f t="shared" si="68"/>
        <v>0</v>
      </c>
      <c r="AM1110" t="b">
        <f t="shared" si="69"/>
        <v>1</v>
      </c>
      <c r="AN1110" t="b">
        <f t="shared" si="70"/>
        <v>0</v>
      </c>
      <c r="AO1110" t="b">
        <f>OR(Table67[[#This Row],[Ineligible respondents]:[Inconsistent response on opposite question (3)]])</f>
        <v>1</v>
      </c>
      <c r="AP111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10</v>
      </c>
      <c r="AQ1110">
        <f>Table67[[#This Row],[Extreme Response]]/21</f>
        <v>0.47619047619047616</v>
      </c>
      <c r="AR1110">
        <f>_xlfn.PERCENTILE.INC(Table67[Extrem Response Ratio (ERS)],0.9)</f>
        <v>0.61904761904761907</v>
      </c>
      <c r="AS1110" t="b">
        <f>Table67[[#This Row],[Extrem Response Ratio (ERS)]]&gt;=Table67[[#This Row],[Threshold of ERS]]</f>
        <v>0</v>
      </c>
      <c r="AT1110">
        <f>COUNTIF(Table67[[#This Row],[The mechanism of digital assets is difficult to understand, which discourages me from exploring it (E.g, Tokenization, Blockchain)]:[If I want to try different ways to invest, I will explore digital assets.]], 3)</f>
        <v>11</v>
      </c>
      <c r="AU1110">
        <f>Table67[[#This Row],[Midpoint]]/21</f>
        <v>0.52380952380952384</v>
      </c>
      <c r="AV1110">
        <f>_xlfn.PERCENTILE.INC(Table67[Midpoint ratio],0.9)</f>
        <v>0.5714285714285714</v>
      </c>
      <c r="AW1110" t="b">
        <f>Table67[[#This Row],[Midpoint ratio]]&gt;=Table67[[#This Row],[Threshold of Midpoint ratio]]</f>
        <v>0</v>
      </c>
      <c r="AX1110" t="b">
        <f>OR(Table67[[#This Row],[Extreme Response Style]],Table67[[#This Row],[Mid-point Response Style]])</f>
        <v>0</v>
      </c>
      <c r="AY1110" t="b">
        <f>OR(Table67[[#This Row],[Delete? (Stage 1)]],Table67[[#This Row],[Delete? (Stage 2)]])</f>
        <v>1</v>
      </c>
      <c r="AZ1110" t="s">
        <v>84</v>
      </c>
    </row>
    <row r="1111" spans="1:52">
      <c r="A1111">
        <f t="shared" si="71"/>
        <v>1110</v>
      </c>
      <c r="B1111" s="3">
        <v>46056.888206018499</v>
      </c>
      <c r="C1111" s="3">
        <v>46056.890300925901</v>
      </c>
      <c r="D1111" t="s">
        <v>53</v>
      </c>
      <c r="G1111" t="s">
        <v>54</v>
      </c>
      <c r="H1111" t="s">
        <v>63</v>
      </c>
      <c r="I1111" t="s">
        <v>56</v>
      </c>
      <c r="J1111" t="s">
        <v>62</v>
      </c>
      <c r="K1111" t="s">
        <v>62</v>
      </c>
      <c r="L1111" t="s">
        <v>61</v>
      </c>
      <c r="M1111" t="s">
        <v>61</v>
      </c>
      <c r="N1111">
        <v>2</v>
      </c>
      <c r="O1111">
        <v>2</v>
      </c>
      <c r="P1111">
        <v>3</v>
      </c>
      <c r="Q1111">
        <v>4</v>
      </c>
      <c r="R1111">
        <v>2</v>
      </c>
      <c r="S1111">
        <v>1</v>
      </c>
      <c r="T1111">
        <v>2</v>
      </c>
      <c r="U1111">
        <v>3</v>
      </c>
      <c r="V1111">
        <v>2</v>
      </c>
      <c r="W1111">
        <v>2</v>
      </c>
      <c r="X1111">
        <v>2</v>
      </c>
      <c r="Y1111">
        <v>2</v>
      </c>
      <c r="Z1111">
        <v>3</v>
      </c>
      <c r="AA1111">
        <v>4</v>
      </c>
      <c r="AB1111">
        <v>4</v>
      </c>
      <c r="AC1111">
        <v>2</v>
      </c>
      <c r="AD1111">
        <v>3</v>
      </c>
      <c r="AE1111">
        <v>5</v>
      </c>
      <c r="AF1111">
        <v>5</v>
      </c>
      <c r="AG1111">
        <v>2</v>
      </c>
      <c r="AH1111">
        <v>5</v>
      </c>
      <c r="AI1111">
        <v>1</v>
      </c>
      <c r="AJ1111">
        <v>1</v>
      </c>
      <c r="AK1111" t="b">
        <f>Table67[[#This Row],[What is your age?]]&lt;&gt;"18 - 25"</f>
        <v>0</v>
      </c>
      <c r="AL1111" t="b">
        <f t="shared" si="68"/>
        <v>0</v>
      </c>
      <c r="AM1111" t="b">
        <f t="shared" si="69"/>
        <v>0</v>
      </c>
      <c r="AN1111" t="b">
        <f t="shared" si="70"/>
        <v>0</v>
      </c>
      <c r="AO1111" t="b">
        <f>OR(Table67[[#This Row],[Ineligible respondents]:[Inconsistent response on opposite question (3)]])</f>
        <v>0</v>
      </c>
      <c r="AP111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111">
        <f>Table67[[#This Row],[Extreme Response]]/21</f>
        <v>0.19047619047619047</v>
      </c>
      <c r="AR1111">
        <f>_xlfn.PERCENTILE.INC(Table67[Extrem Response Ratio (ERS)],0.9)</f>
        <v>0.61904761904761907</v>
      </c>
      <c r="AS1111" t="b">
        <f>Table67[[#This Row],[Extrem Response Ratio (ERS)]]&gt;=Table67[[#This Row],[Threshold of ERS]]</f>
        <v>0</v>
      </c>
      <c r="AT1111">
        <f>COUNTIF(Table67[[#This Row],[The mechanism of digital assets is difficult to understand, which discourages me from exploring it (E.g, Tokenization, Blockchain)]:[If I want to try different ways to invest, I will explore digital assets.]], 3)</f>
        <v>4</v>
      </c>
      <c r="AU1111">
        <f>Table67[[#This Row],[Midpoint]]/21</f>
        <v>0.19047619047619047</v>
      </c>
      <c r="AV1111">
        <f>_xlfn.PERCENTILE.INC(Table67[Midpoint ratio],0.9)</f>
        <v>0.5714285714285714</v>
      </c>
      <c r="AW1111" t="b">
        <f>Table67[[#This Row],[Midpoint ratio]]&gt;=Table67[[#This Row],[Threshold of Midpoint ratio]]</f>
        <v>0</v>
      </c>
      <c r="AX1111" t="b">
        <f>OR(Table67[[#This Row],[Extreme Response Style]],Table67[[#This Row],[Mid-point Response Style]])</f>
        <v>0</v>
      </c>
      <c r="AY1111" t="b">
        <f>OR(Table67[[#This Row],[Delete? (Stage 1)]],Table67[[#This Row],[Delete? (Stage 2)]])</f>
        <v>0</v>
      </c>
      <c r="AZ1111" t="s">
        <v>84</v>
      </c>
    </row>
    <row r="1112" spans="1:52">
      <c r="A1112">
        <f t="shared" si="71"/>
        <v>1111</v>
      </c>
      <c r="B1112" s="3">
        <v>46056.888206018499</v>
      </c>
      <c r="C1112" s="3">
        <v>46056.896736111099</v>
      </c>
      <c r="D1112" t="s">
        <v>53</v>
      </c>
      <c r="G1112" t="s">
        <v>54</v>
      </c>
      <c r="H1112" t="s">
        <v>55</v>
      </c>
      <c r="I1112" t="s">
        <v>71</v>
      </c>
      <c r="J1112" t="s">
        <v>62</v>
      </c>
      <c r="K1112" t="s">
        <v>62</v>
      </c>
      <c r="L1112" t="s">
        <v>58</v>
      </c>
      <c r="M1112" t="s">
        <v>58</v>
      </c>
      <c r="N1112">
        <v>1</v>
      </c>
      <c r="O1112">
        <v>2</v>
      </c>
      <c r="P1112">
        <v>2</v>
      </c>
      <c r="Q1112">
        <v>2</v>
      </c>
      <c r="R1112">
        <v>3</v>
      </c>
      <c r="S1112">
        <v>2</v>
      </c>
      <c r="T1112">
        <v>1</v>
      </c>
      <c r="U1112">
        <v>2</v>
      </c>
      <c r="V1112">
        <v>5</v>
      </c>
      <c r="W1112">
        <v>5</v>
      </c>
      <c r="X1112">
        <v>4</v>
      </c>
      <c r="Y1112">
        <v>4</v>
      </c>
      <c r="Z1112">
        <v>5</v>
      </c>
      <c r="AA1112">
        <v>3</v>
      </c>
      <c r="AB1112">
        <v>2</v>
      </c>
      <c r="AC1112">
        <v>1</v>
      </c>
      <c r="AD1112">
        <v>3</v>
      </c>
      <c r="AE1112">
        <v>4</v>
      </c>
      <c r="AF1112">
        <v>5</v>
      </c>
      <c r="AG1112">
        <v>1</v>
      </c>
      <c r="AH1112">
        <v>5</v>
      </c>
      <c r="AI1112">
        <v>1</v>
      </c>
      <c r="AJ1112">
        <v>1</v>
      </c>
      <c r="AK1112" t="b">
        <f>Table67[[#This Row],[What is your age?]]&lt;&gt;"18 - 25"</f>
        <v>0</v>
      </c>
      <c r="AL1112" t="b">
        <f t="shared" si="68"/>
        <v>0</v>
      </c>
      <c r="AM1112" t="b">
        <f t="shared" si="69"/>
        <v>0</v>
      </c>
      <c r="AN1112" t="b">
        <f t="shared" si="70"/>
        <v>0</v>
      </c>
      <c r="AO1112" t="b">
        <f>OR(Table67[[#This Row],[Ineligible respondents]:[Inconsistent response on opposite question (3)]])</f>
        <v>0</v>
      </c>
      <c r="AP111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1112">
        <f>Table67[[#This Row],[Extreme Response]]/21</f>
        <v>0.42857142857142855</v>
      </c>
      <c r="AR1112">
        <f>_xlfn.PERCENTILE.INC(Table67[Extrem Response Ratio (ERS)],0.9)</f>
        <v>0.61904761904761907</v>
      </c>
      <c r="AS1112" t="b">
        <f>Table67[[#This Row],[Extrem Response Ratio (ERS)]]&gt;=Table67[[#This Row],[Threshold of ERS]]</f>
        <v>0</v>
      </c>
      <c r="AT1112">
        <f>COUNTIF(Table67[[#This Row],[The mechanism of digital assets is difficult to understand, which discourages me from exploring it (E.g, Tokenization, Blockchain)]:[If I want to try different ways to invest, I will explore digital assets.]], 3)</f>
        <v>3</v>
      </c>
      <c r="AU1112">
        <f>Table67[[#This Row],[Midpoint]]/21</f>
        <v>0.14285714285714285</v>
      </c>
      <c r="AV1112">
        <f>_xlfn.PERCENTILE.INC(Table67[Midpoint ratio],0.9)</f>
        <v>0.5714285714285714</v>
      </c>
      <c r="AW1112" t="b">
        <f>Table67[[#This Row],[Midpoint ratio]]&gt;=Table67[[#This Row],[Threshold of Midpoint ratio]]</f>
        <v>0</v>
      </c>
      <c r="AX1112" t="b">
        <f>OR(Table67[[#This Row],[Extreme Response Style]],Table67[[#This Row],[Mid-point Response Style]])</f>
        <v>0</v>
      </c>
      <c r="AY1112" t="b">
        <f>OR(Table67[[#This Row],[Delete? (Stage 1)]],Table67[[#This Row],[Delete? (Stage 2)]])</f>
        <v>0</v>
      </c>
      <c r="AZ1112" t="s">
        <v>84</v>
      </c>
    </row>
    <row r="1113" spans="1:52">
      <c r="A1113">
        <f t="shared" si="71"/>
        <v>1112</v>
      </c>
      <c r="B1113" s="3">
        <v>46056.888229166703</v>
      </c>
      <c r="C1113" s="3">
        <v>46056.891944444404</v>
      </c>
      <c r="D1113" t="s">
        <v>53</v>
      </c>
      <c r="G1113" t="s">
        <v>54</v>
      </c>
      <c r="H1113" t="s">
        <v>63</v>
      </c>
      <c r="I1113" t="s">
        <v>82</v>
      </c>
      <c r="J1113" t="s">
        <v>65</v>
      </c>
      <c r="K1113" t="s">
        <v>57</v>
      </c>
      <c r="L1113" t="s">
        <v>58</v>
      </c>
      <c r="M1113" t="s">
        <v>58</v>
      </c>
      <c r="N1113">
        <v>1</v>
      </c>
      <c r="O1113">
        <v>1</v>
      </c>
      <c r="P1113">
        <v>5</v>
      </c>
      <c r="Q1113">
        <v>5</v>
      </c>
      <c r="R1113">
        <v>5</v>
      </c>
      <c r="S1113">
        <v>5</v>
      </c>
      <c r="T1113">
        <v>3</v>
      </c>
      <c r="U1113">
        <v>2</v>
      </c>
      <c r="V1113">
        <v>5</v>
      </c>
      <c r="W1113">
        <v>5</v>
      </c>
      <c r="X1113">
        <v>1</v>
      </c>
      <c r="Y1113">
        <v>5</v>
      </c>
      <c r="Z1113">
        <v>1</v>
      </c>
      <c r="AA1113">
        <v>3</v>
      </c>
      <c r="AB1113">
        <v>1</v>
      </c>
      <c r="AC1113">
        <v>1</v>
      </c>
      <c r="AD1113">
        <v>5</v>
      </c>
      <c r="AE1113">
        <v>1</v>
      </c>
      <c r="AF1113">
        <v>5</v>
      </c>
      <c r="AG1113">
        <v>1</v>
      </c>
      <c r="AH1113">
        <v>5</v>
      </c>
      <c r="AI1113">
        <v>1</v>
      </c>
      <c r="AJ1113">
        <v>1</v>
      </c>
      <c r="AK1113" t="b">
        <f>Table67[[#This Row],[What is your age?]]&lt;&gt;"18 - 25"</f>
        <v>0</v>
      </c>
      <c r="AL1113" t="b">
        <f t="shared" si="68"/>
        <v>0</v>
      </c>
      <c r="AM1113" t="b">
        <f t="shared" si="69"/>
        <v>0</v>
      </c>
      <c r="AN1113" t="b">
        <f t="shared" si="70"/>
        <v>0</v>
      </c>
      <c r="AO1113" t="b">
        <f>OR(Table67[[#This Row],[Ineligible respondents]:[Inconsistent response on opposite question (3)]])</f>
        <v>0</v>
      </c>
      <c r="AP111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18</v>
      </c>
      <c r="AQ1113">
        <f>Table67[[#This Row],[Extreme Response]]/21</f>
        <v>0.8571428571428571</v>
      </c>
      <c r="AR1113">
        <f>_xlfn.PERCENTILE.INC(Table67[Extrem Response Ratio (ERS)],0.9)</f>
        <v>0.61904761904761907</v>
      </c>
      <c r="AS1113" t="b">
        <f>Table67[[#This Row],[Extrem Response Ratio (ERS)]]&gt;=Table67[[#This Row],[Threshold of ERS]]</f>
        <v>1</v>
      </c>
      <c r="AT1113">
        <f>COUNTIF(Table67[[#This Row],[The mechanism of digital assets is difficult to understand, which discourages me from exploring it (E.g, Tokenization, Blockchain)]:[If I want to try different ways to invest, I will explore digital assets.]], 3)</f>
        <v>2</v>
      </c>
      <c r="AU1113">
        <f>Table67[[#This Row],[Midpoint]]/21</f>
        <v>9.5238095238095233E-2</v>
      </c>
      <c r="AV1113">
        <f>_xlfn.PERCENTILE.INC(Table67[Midpoint ratio],0.9)</f>
        <v>0.5714285714285714</v>
      </c>
      <c r="AW1113" t="b">
        <f>Table67[[#This Row],[Midpoint ratio]]&gt;=Table67[[#This Row],[Threshold of Midpoint ratio]]</f>
        <v>0</v>
      </c>
      <c r="AX1113" t="b">
        <f>OR(Table67[[#This Row],[Extreme Response Style]],Table67[[#This Row],[Mid-point Response Style]])</f>
        <v>1</v>
      </c>
      <c r="AY1113" t="b">
        <f>OR(Table67[[#This Row],[Delete? (Stage 1)]],Table67[[#This Row],[Delete? (Stage 2)]])</f>
        <v>1</v>
      </c>
      <c r="AZ1113" t="s">
        <v>84</v>
      </c>
    </row>
    <row r="1114" spans="1:52">
      <c r="A1114">
        <f t="shared" si="71"/>
        <v>1113</v>
      </c>
      <c r="B1114" s="3">
        <v>46056.888287037</v>
      </c>
      <c r="C1114" s="3">
        <v>46056.894849536999</v>
      </c>
      <c r="D1114" t="s">
        <v>53</v>
      </c>
      <c r="G1114" t="s">
        <v>54</v>
      </c>
      <c r="H1114" t="s">
        <v>55</v>
      </c>
      <c r="I1114" t="s">
        <v>56</v>
      </c>
      <c r="J1114" t="s">
        <v>57</v>
      </c>
      <c r="K1114" t="s">
        <v>62</v>
      </c>
      <c r="L1114" t="s">
        <v>58</v>
      </c>
      <c r="M1114" t="s">
        <v>58</v>
      </c>
      <c r="N1114">
        <v>3</v>
      </c>
      <c r="O1114">
        <v>3</v>
      </c>
      <c r="P1114">
        <v>3</v>
      </c>
      <c r="Q1114">
        <v>3</v>
      </c>
      <c r="R1114">
        <v>3</v>
      </c>
      <c r="S1114">
        <v>3</v>
      </c>
      <c r="T1114">
        <v>3</v>
      </c>
      <c r="U1114">
        <v>3</v>
      </c>
      <c r="V1114">
        <v>3</v>
      </c>
      <c r="W1114">
        <v>3</v>
      </c>
      <c r="X1114">
        <v>3</v>
      </c>
      <c r="Y1114">
        <v>3</v>
      </c>
      <c r="Z1114">
        <v>3</v>
      </c>
      <c r="AA1114">
        <v>3</v>
      </c>
      <c r="AB1114">
        <v>3</v>
      </c>
      <c r="AC1114">
        <v>3</v>
      </c>
      <c r="AD1114">
        <v>3</v>
      </c>
      <c r="AE1114">
        <v>3</v>
      </c>
      <c r="AF1114">
        <v>3</v>
      </c>
      <c r="AG1114">
        <v>3</v>
      </c>
      <c r="AH1114">
        <v>3</v>
      </c>
      <c r="AI1114">
        <v>3</v>
      </c>
      <c r="AJ1114">
        <v>3</v>
      </c>
      <c r="AK1114" t="b">
        <f>Table67[[#This Row],[What is your age?]]&lt;&gt;"18 - 25"</f>
        <v>0</v>
      </c>
      <c r="AL1114" t="b">
        <f t="shared" si="68"/>
        <v>1</v>
      </c>
      <c r="AM1114" t="b">
        <f t="shared" si="69"/>
        <v>0</v>
      </c>
      <c r="AN1114" t="b">
        <f t="shared" si="70"/>
        <v>0</v>
      </c>
      <c r="AO1114" t="b">
        <f>OR(Table67[[#This Row],[Ineligible respondents]:[Inconsistent response on opposite question (3)]])</f>
        <v>1</v>
      </c>
      <c r="AP111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114">
        <f>Table67[[#This Row],[Extreme Response]]/21</f>
        <v>0</v>
      </c>
      <c r="AR1114">
        <f>_xlfn.PERCENTILE.INC(Table67[Extrem Response Ratio (ERS)],0.9)</f>
        <v>0.61904761904761907</v>
      </c>
      <c r="AS1114" t="b">
        <f>Table67[[#This Row],[Extrem Response Ratio (ERS)]]&gt;=Table67[[#This Row],[Threshold of ERS]]</f>
        <v>0</v>
      </c>
      <c r="AT1114">
        <f>COUNTIF(Table67[[#This Row],[The mechanism of digital assets is difficult to understand, which discourages me from exploring it (E.g, Tokenization, Blockchain)]:[If I want to try different ways to invest, I will explore digital assets.]], 3)</f>
        <v>21</v>
      </c>
      <c r="AU1114">
        <f>Table67[[#This Row],[Midpoint]]/21</f>
        <v>1</v>
      </c>
      <c r="AV1114">
        <f>_xlfn.PERCENTILE.INC(Table67[Midpoint ratio],0.9)</f>
        <v>0.5714285714285714</v>
      </c>
      <c r="AW1114" t="b">
        <f>Table67[[#This Row],[Midpoint ratio]]&gt;=Table67[[#This Row],[Threshold of Midpoint ratio]]</f>
        <v>1</v>
      </c>
      <c r="AX1114" t="b">
        <f>OR(Table67[[#This Row],[Extreme Response Style]],Table67[[#This Row],[Mid-point Response Style]])</f>
        <v>1</v>
      </c>
      <c r="AY1114" t="b">
        <f>OR(Table67[[#This Row],[Delete? (Stage 1)]],Table67[[#This Row],[Delete? (Stage 2)]])</f>
        <v>1</v>
      </c>
      <c r="AZ1114" t="s">
        <v>84</v>
      </c>
    </row>
    <row r="1115" spans="1:52">
      <c r="A1115">
        <f t="shared" si="71"/>
        <v>1114</v>
      </c>
      <c r="B1115" s="3">
        <v>46056.888298611098</v>
      </c>
      <c r="C1115" s="3">
        <v>46056.895081018498</v>
      </c>
      <c r="D1115" t="s">
        <v>53</v>
      </c>
      <c r="G1115" t="s">
        <v>54</v>
      </c>
      <c r="H1115" t="s">
        <v>55</v>
      </c>
      <c r="I1115" t="s">
        <v>56</v>
      </c>
      <c r="J1115" t="s">
        <v>62</v>
      </c>
      <c r="K1115" t="s">
        <v>62</v>
      </c>
      <c r="L1115" t="s">
        <v>58</v>
      </c>
      <c r="M1115" t="s">
        <v>58</v>
      </c>
      <c r="N1115">
        <v>4</v>
      </c>
      <c r="O1115">
        <v>2</v>
      </c>
      <c r="P1115">
        <v>4</v>
      </c>
      <c r="Q1115">
        <v>4</v>
      </c>
      <c r="R1115">
        <v>4</v>
      </c>
      <c r="S1115">
        <v>4</v>
      </c>
      <c r="T1115">
        <v>4</v>
      </c>
      <c r="U1115">
        <v>5</v>
      </c>
      <c r="V1115">
        <v>4</v>
      </c>
      <c r="W1115">
        <v>5</v>
      </c>
      <c r="X1115">
        <v>5</v>
      </c>
      <c r="Y1115">
        <v>5</v>
      </c>
      <c r="Z1115">
        <v>5</v>
      </c>
      <c r="AA1115">
        <v>5</v>
      </c>
      <c r="AB1115">
        <v>4</v>
      </c>
      <c r="AC1115">
        <v>5</v>
      </c>
      <c r="AD1115">
        <v>5</v>
      </c>
      <c r="AE1115">
        <v>4</v>
      </c>
      <c r="AF1115">
        <v>1</v>
      </c>
      <c r="AG1115">
        <v>5</v>
      </c>
      <c r="AH1115">
        <v>1</v>
      </c>
      <c r="AI1115">
        <v>5</v>
      </c>
      <c r="AJ1115">
        <v>5</v>
      </c>
      <c r="AK1115" t="b">
        <f>Table67[[#This Row],[What is your age?]]&lt;&gt;"18 - 25"</f>
        <v>0</v>
      </c>
      <c r="AL1115" t="b">
        <f t="shared" si="68"/>
        <v>0</v>
      </c>
      <c r="AM1115" t="b">
        <f t="shared" si="69"/>
        <v>0</v>
      </c>
      <c r="AN1115" t="b">
        <f t="shared" si="70"/>
        <v>0</v>
      </c>
      <c r="AO1115" t="b">
        <f>OR(Table67[[#This Row],[Ineligible respondents]:[Inconsistent response on opposite question (3)]])</f>
        <v>0</v>
      </c>
      <c r="AP111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1115">
        <f>Table67[[#This Row],[Extreme Response]]/21</f>
        <v>0.52380952380952384</v>
      </c>
      <c r="AR1115">
        <f>_xlfn.PERCENTILE.INC(Table67[Extrem Response Ratio (ERS)],0.9)</f>
        <v>0.61904761904761907</v>
      </c>
      <c r="AS1115" t="b">
        <f>Table67[[#This Row],[Extrem Response Ratio (ERS)]]&gt;=Table67[[#This Row],[Threshold of ERS]]</f>
        <v>0</v>
      </c>
      <c r="AT1115">
        <f>COUNTIF(Table67[[#This Row],[The mechanism of digital assets is difficult to understand, which discourages me from exploring it (E.g, Tokenization, Blockchain)]:[If I want to try different ways to invest, I will explore digital assets.]], 3)</f>
        <v>0</v>
      </c>
      <c r="AU1115">
        <f>Table67[[#This Row],[Midpoint]]/21</f>
        <v>0</v>
      </c>
      <c r="AV1115">
        <f>_xlfn.PERCENTILE.INC(Table67[Midpoint ratio],0.9)</f>
        <v>0.5714285714285714</v>
      </c>
      <c r="AW1115" t="b">
        <f>Table67[[#This Row],[Midpoint ratio]]&gt;=Table67[[#This Row],[Threshold of Midpoint ratio]]</f>
        <v>0</v>
      </c>
      <c r="AX1115" t="b">
        <f>OR(Table67[[#This Row],[Extreme Response Style]],Table67[[#This Row],[Mid-point Response Style]])</f>
        <v>0</v>
      </c>
      <c r="AY1115" t="b">
        <f>OR(Table67[[#This Row],[Delete? (Stage 1)]],Table67[[#This Row],[Delete? (Stage 2)]])</f>
        <v>0</v>
      </c>
      <c r="AZ1115" t="s">
        <v>84</v>
      </c>
    </row>
    <row r="1116" spans="1:52">
      <c r="A1116">
        <f t="shared" si="71"/>
        <v>1115</v>
      </c>
      <c r="B1116" s="3">
        <v>46056.888437499998</v>
      </c>
      <c r="C1116" s="3">
        <v>46056.891724537003</v>
      </c>
      <c r="D1116" t="s">
        <v>53</v>
      </c>
      <c r="G1116" t="s">
        <v>54</v>
      </c>
      <c r="H1116" t="s">
        <v>63</v>
      </c>
      <c r="I1116" t="s">
        <v>71</v>
      </c>
      <c r="J1116" t="s">
        <v>62</v>
      </c>
      <c r="K1116" t="s">
        <v>62</v>
      </c>
      <c r="L1116" t="s">
        <v>58</v>
      </c>
      <c r="M1116" t="s">
        <v>58</v>
      </c>
      <c r="N1116">
        <v>3</v>
      </c>
      <c r="O1116">
        <v>2</v>
      </c>
      <c r="P1116">
        <v>3</v>
      </c>
      <c r="Q1116">
        <v>4</v>
      </c>
      <c r="R1116">
        <v>4</v>
      </c>
      <c r="S1116">
        <v>2</v>
      </c>
      <c r="T1116">
        <v>4</v>
      </c>
      <c r="U1116">
        <v>4</v>
      </c>
      <c r="V1116">
        <v>4</v>
      </c>
      <c r="W1116">
        <v>3</v>
      </c>
      <c r="X1116">
        <v>3</v>
      </c>
      <c r="Y1116">
        <v>2</v>
      </c>
      <c r="Z1116">
        <v>4</v>
      </c>
      <c r="AA1116">
        <v>3</v>
      </c>
      <c r="AB1116">
        <v>3</v>
      </c>
      <c r="AC1116">
        <v>1</v>
      </c>
      <c r="AD1116">
        <v>3</v>
      </c>
      <c r="AE1116">
        <v>3</v>
      </c>
      <c r="AF1116">
        <v>4</v>
      </c>
      <c r="AG1116">
        <v>3</v>
      </c>
      <c r="AH1116">
        <v>4</v>
      </c>
      <c r="AI1116">
        <v>2</v>
      </c>
      <c r="AJ1116">
        <v>2</v>
      </c>
      <c r="AK1116" t="b">
        <f>Table67[[#This Row],[What is your age?]]&lt;&gt;"18 - 25"</f>
        <v>0</v>
      </c>
      <c r="AL1116" t="b">
        <f t="shared" si="68"/>
        <v>0</v>
      </c>
      <c r="AM1116" t="b">
        <f t="shared" si="69"/>
        <v>0</v>
      </c>
      <c r="AN1116" t="b">
        <f t="shared" si="70"/>
        <v>1</v>
      </c>
      <c r="AO1116" t="b">
        <f>OR(Table67[[#This Row],[Ineligible respondents]:[Inconsistent response on opposite question (3)]])</f>
        <v>1</v>
      </c>
      <c r="AP111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116">
        <f>Table67[[#This Row],[Extreme Response]]/21</f>
        <v>4.7619047619047616E-2</v>
      </c>
      <c r="AR1116">
        <f>_xlfn.PERCENTILE.INC(Table67[Extrem Response Ratio (ERS)],0.9)</f>
        <v>0.61904761904761907</v>
      </c>
      <c r="AS1116" t="b">
        <f>Table67[[#This Row],[Extrem Response Ratio (ERS)]]&gt;=Table67[[#This Row],[Threshold of ERS]]</f>
        <v>0</v>
      </c>
      <c r="AT1116">
        <f>COUNTIF(Table67[[#This Row],[The mechanism of digital assets is difficult to understand, which discourages me from exploring it (E.g, Tokenization, Blockchain)]:[If I want to try different ways to invest, I will explore digital assets.]], 3)</f>
        <v>9</v>
      </c>
      <c r="AU1116">
        <f>Table67[[#This Row],[Midpoint]]/21</f>
        <v>0.42857142857142855</v>
      </c>
      <c r="AV1116">
        <f>_xlfn.PERCENTILE.INC(Table67[Midpoint ratio],0.9)</f>
        <v>0.5714285714285714</v>
      </c>
      <c r="AW1116" t="b">
        <f>Table67[[#This Row],[Midpoint ratio]]&gt;=Table67[[#This Row],[Threshold of Midpoint ratio]]</f>
        <v>0</v>
      </c>
      <c r="AX1116" t="b">
        <f>OR(Table67[[#This Row],[Extreme Response Style]],Table67[[#This Row],[Mid-point Response Style]])</f>
        <v>0</v>
      </c>
      <c r="AY1116" t="b">
        <f>OR(Table67[[#This Row],[Delete? (Stage 1)]],Table67[[#This Row],[Delete? (Stage 2)]])</f>
        <v>1</v>
      </c>
      <c r="AZ1116" t="s">
        <v>84</v>
      </c>
    </row>
    <row r="1117" spans="1:52">
      <c r="A1117">
        <f t="shared" si="71"/>
        <v>1116</v>
      </c>
      <c r="B1117" s="3">
        <v>46056.888460648101</v>
      </c>
      <c r="C1117" s="3">
        <v>46056.892800925903</v>
      </c>
      <c r="D1117" t="s">
        <v>53</v>
      </c>
      <c r="G1117" t="s">
        <v>54</v>
      </c>
      <c r="H1117" t="s">
        <v>63</v>
      </c>
      <c r="I1117" t="s">
        <v>75</v>
      </c>
      <c r="J1117" t="s">
        <v>62</v>
      </c>
      <c r="K1117" t="s">
        <v>60</v>
      </c>
      <c r="L1117" t="s">
        <v>58</v>
      </c>
      <c r="M1117" t="s">
        <v>58</v>
      </c>
      <c r="N1117">
        <v>4</v>
      </c>
      <c r="O1117">
        <v>3</v>
      </c>
      <c r="P1117">
        <v>5</v>
      </c>
      <c r="Q1117">
        <v>4</v>
      </c>
      <c r="R1117">
        <v>5</v>
      </c>
      <c r="S1117">
        <v>4</v>
      </c>
      <c r="T1117">
        <v>2</v>
      </c>
      <c r="U1117">
        <v>3</v>
      </c>
      <c r="V1117">
        <v>3</v>
      </c>
      <c r="W1117">
        <v>3</v>
      </c>
      <c r="X1117">
        <v>4</v>
      </c>
      <c r="Y1117">
        <v>4</v>
      </c>
      <c r="Z1117">
        <v>5</v>
      </c>
      <c r="AA1117">
        <v>4</v>
      </c>
      <c r="AB1117">
        <v>4</v>
      </c>
      <c r="AC1117">
        <v>5</v>
      </c>
      <c r="AD1117">
        <v>5</v>
      </c>
      <c r="AE1117">
        <v>4</v>
      </c>
      <c r="AF1117">
        <v>2</v>
      </c>
      <c r="AG1117">
        <v>3</v>
      </c>
      <c r="AH1117">
        <v>1</v>
      </c>
      <c r="AI1117">
        <v>5</v>
      </c>
      <c r="AJ1117">
        <v>4</v>
      </c>
      <c r="AK1117" t="b">
        <f>Table67[[#This Row],[What is your age?]]&lt;&gt;"18 - 25"</f>
        <v>0</v>
      </c>
      <c r="AL1117" t="b">
        <f t="shared" si="68"/>
        <v>0</v>
      </c>
      <c r="AM1117" t="b">
        <f t="shared" si="69"/>
        <v>0</v>
      </c>
      <c r="AN1117" t="b">
        <f t="shared" si="70"/>
        <v>1</v>
      </c>
      <c r="AO1117" t="b">
        <f>OR(Table67[[#This Row],[Ineligible respondents]:[Inconsistent response on opposite question (3)]])</f>
        <v>1</v>
      </c>
      <c r="AP111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117">
        <f>Table67[[#This Row],[Extreme Response]]/21</f>
        <v>0.2857142857142857</v>
      </c>
      <c r="AR1117">
        <f>_xlfn.PERCENTILE.INC(Table67[Extrem Response Ratio (ERS)],0.9)</f>
        <v>0.61904761904761907</v>
      </c>
      <c r="AS1117" t="b">
        <f>Table67[[#This Row],[Extrem Response Ratio (ERS)]]&gt;=Table67[[#This Row],[Threshold of ERS]]</f>
        <v>0</v>
      </c>
      <c r="AT1117">
        <f>COUNTIF(Table67[[#This Row],[The mechanism of digital assets is difficult to understand, which discourages me from exploring it (E.g, Tokenization, Blockchain)]:[If I want to try different ways to invest, I will explore digital assets.]], 3)</f>
        <v>5</v>
      </c>
      <c r="AU1117">
        <f>Table67[[#This Row],[Midpoint]]/21</f>
        <v>0.23809523809523808</v>
      </c>
      <c r="AV1117">
        <f>_xlfn.PERCENTILE.INC(Table67[Midpoint ratio],0.9)</f>
        <v>0.5714285714285714</v>
      </c>
      <c r="AW1117" t="b">
        <f>Table67[[#This Row],[Midpoint ratio]]&gt;=Table67[[#This Row],[Threshold of Midpoint ratio]]</f>
        <v>0</v>
      </c>
      <c r="AX1117" t="b">
        <f>OR(Table67[[#This Row],[Extreme Response Style]],Table67[[#This Row],[Mid-point Response Style]])</f>
        <v>0</v>
      </c>
      <c r="AY1117" t="b">
        <f>OR(Table67[[#This Row],[Delete? (Stage 1)]],Table67[[#This Row],[Delete? (Stage 2)]])</f>
        <v>1</v>
      </c>
      <c r="AZ1117" t="s">
        <v>84</v>
      </c>
    </row>
    <row r="1118" spans="1:52">
      <c r="A1118">
        <f t="shared" si="71"/>
        <v>1117</v>
      </c>
      <c r="B1118" s="3">
        <v>46056.888483796298</v>
      </c>
      <c r="C1118" s="3">
        <v>46056.892187500001</v>
      </c>
      <c r="D1118" t="s">
        <v>53</v>
      </c>
      <c r="G1118" t="s">
        <v>54</v>
      </c>
      <c r="H1118" t="s">
        <v>63</v>
      </c>
      <c r="I1118" t="s">
        <v>71</v>
      </c>
      <c r="J1118" t="s">
        <v>65</v>
      </c>
      <c r="K1118" t="s">
        <v>66</v>
      </c>
      <c r="L1118" t="s">
        <v>58</v>
      </c>
      <c r="M1118" t="s">
        <v>58</v>
      </c>
      <c r="N1118">
        <v>3</v>
      </c>
      <c r="O1118">
        <v>2</v>
      </c>
      <c r="P1118">
        <v>3</v>
      </c>
      <c r="Q1118">
        <v>3</v>
      </c>
      <c r="R1118">
        <v>4</v>
      </c>
      <c r="S1118">
        <v>4</v>
      </c>
      <c r="T1118">
        <v>4</v>
      </c>
      <c r="U1118">
        <v>4</v>
      </c>
      <c r="V1118">
        <v>3</v>
      </c>
      <c r="W1118">
        <v>2</v>
      </c>
      <c r="X1118">
        <v>3</v>
      </c>
      <c r="Y1118">
        <v>3</v>
      </c>
      <c r="Z1118">
        <v>2</v>
      </c>
      <c r="AA1118">
        <v>3</v>
      </c>
      <c r="AB1118">
        <v>4</v>
      </c>
      <c r="AC1118">
        <v>4</v>
      </c>
      <c r="AD1118">
        <v>4</v>
      </c>
      <c r="AE1118">
        <v>3</v>
      </c>
      <c r="AF1118">
        <v>1</v>
      </c>
      <c r="AG1118">
        <v>4</v>
      </c>
      <c r="AH1118">
        <v>2</v>
      </c>
      <c r="AI1118">
        <v>4</v>
      </c>
      <c r="AJ1118">
        <v>5</v>
      </c>
      <c r="AK1118" t="b">
        <f>Table67[[#This Row],[What is your age?]]&lt;&gt;"18 - 25"</f>
        <v>0</v>
      </c>
      <c r="AL1118" t="b">
        <f t="shared" si="68"/>
        <v>0</v>
      </c>
      <c r="AM1118" t="b">
        <f t="shared" si="69"/>
        <v>0</v>
      </c>
      <c r="AN1118" t="b">
        <f t="shared" si="70"/>
        <v>0</v>
      </c>
      <c r="AO1118" t="b">
        <f>OR(Table67[[#This Row],[Ineligible respondents]:[Inconsistent response on opposite question (3)]])</f>
        <v>0</v>
      </c>
      <c r="AP111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118">
        <f>Table67[[#This Row],[Extreme Response]]/21</f>
        <v>4.7619047619047616E-2</v>
      </c>
      <c r="AR1118">
        <f>_xlfn.PERCENTILE.INC(Table67[Extrem Response Ratio (ERS)],0.9)</f>
        <v>0.61904761904761907</v>
      </c>
      <c r="AS1118" t="b">
        <f>Table67[[#This Row],[Extrem Response Ratio (ERS)]]&gt;=Table67[[#This Row],[Threshold of ERS]]</f>
        <v>0</v>
      </c>
      <c r="AT1118">
        <f>COUNTIF(Table67[[#This Row],[The mechanism of digital assets is difficult to understand, which discourages me from exploring it (E.g, Tokenization, Blockchain)]:[If I want to try different ways to invest, I will explore digital assets.]], 3)</f>
        <v>8</v>
      </c>
      <c r="AU1118">
        <f>Table67[[#This Row],[Midpoint]]/21</f>
        <v>0.38095238095238093</v>
      </c>
      <c r="AV1118">
        <f>_xlfn.PERCENTILE.INC(Table67[Midpoint ratio],0.9)</f>
        <v>0.5714285714285714</v>
      </c>
      <c r="AW1118" t="b">
        <f>Table67[[#This Row],[Midpoint ratio]]&gt;=Table67[[#This Row],[Threshold of Midpoint ratio]]</f>
        <v>0</v>
      </c>
      <c r="AX1118" t="b">
        <f>OR(Table67[[#This Row],[Extreme Response Style]],Table67[[#This Row],[Mid-point Response Style]])</f>
        <v>0</v>
      </c>
      <c r="AY1118" t="b">
        <f>OR(Table67[[#This Row],[Delete? (Stage 1)]],Table67[[#This Row],[Delete? (Stage 2)]])</f>
        <v>0</v>
      </c>
      <c r="AZ1118" t="s">
        <v>84</v>
      </c>
    </row>
    <row r="1119" spans="1:52">
      <c r="A1119">
        <f t="shared" si="71"/>
        <v>1118</v>
      </c>
      <c r="B1119" s="3">
        <v>46056.888796296298</v>
      </c>
      <c r="C1119" s="3">
        <v>46056.900486111103</v>
      </c>
      <c r="D1119" t="s">
        <v>53</v>
      </c>
      <c r="G1119" t="s">
        <v>54</v>
      </c>
      <c r="H1119" t="s">
        <v>63</v>
      </c>
      <c r="I1119" t="s">
        <v>56</v>
      </c>
      <c r="J1119" t="s">
        <v>57</v>
      </c>
      <c r="K1119" t="s">
        <v>57</v>
      </c>
      <c r="L1119" t="s">
        <v>58</v>
      </c>
      <c r="M1119" t="s">
        <v>58</v>
      </c>
      <c r="N1119">
        <v>4</v>
      </c>
      <c r="O1119">
        <v>4</v>
      </c>
      <c r="P1119">
        <v>3</v>
      </c>
      <c r="Q1119">
        <v>3</v>
      </c>
      <c r="R1119">
        <v>3</v>
      </c>
      <c r="S1119">
        <v>3</v>
      </c>
      <c r="T1119">
        <v>4</v>
      </c>
      <c r="U1119">
        <v>4</v>
      </c>
      <c r="V1119">
        <v>4</v>
      </c>
      <c r="W1119">
        <v>4</v>
      </c>
      <c r="X1119">
        <v>3</v>
      </c>
      <c r="Y1119">
        <v>4</v>
      </c>
      <c r="Z1119">
        <v>4</v>
      </c>
      <c r="AA1119">
        <v>4</v>
      </c>
      <c r="AB1119">
        <v>3</v>
      </c>
      <c r="AC1119">
        <v>4</v>
      </c>
      <c r="AD1119">
        <v>4</v>
      </c>
      <c r="AE1119">
        <v>2</v>
      </c>
      <c r="AF1119">
        <v>2</v>
      </c>
      <c r="AG1119">
        <v>4</v>
      </c>
      <c r="AH1119">
        <v>2</v>
      </c>
      <c r="AI1119">
        <v>4</v>
      </c>
      <c r="AJ1119">
        <v>4</v>
      </c>
      <c r="AK1119" t="b">
        <f>Table67[[#This Row],[What is your age?]]&lt;&gt;"18 - 25"</f>
        <v>0</v>
      </c>
      <c r="AL1119" t="b">
        <f t="shared" si="68"/>
        <v>0</v>
      </c>
      <c r="AM1119" t="b">
        <f t="shared" si="69"/>
        <v>0</v>
      </c>
      <c r="AN1119" t="b">
        <f t="shared" si="70"/>
        <v>0</v>
      </c>
      <c r="AO1119" t="b">
        <f>OR(Table67[[#This Row],[Ineligible respondents]:[Inconsistent response on opposite question (3)]])</f>
        <v>0</v>
      </c>
      <c r="AP111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119">
        <f>Table67[[#This Row],[Extreme Response]]/21</f>
        <v>0</v>
      </c>
      <c r="AR1119">
        <f>_xlfn.PERCENTILE.INC(Table67[Extrem Response Ratio (ERS)],0.9)</f>
        <v>0.61904761904761907</v>
      </c>
      <c r="AS1119" t="b">
        <f>Table67[[#This Row],[Extrem Response Ratio (ERS)]]&gt;=Table67[[#This Row],[Threshold of ERS]]</f>
        <v>0</v>
      </c>
      <c r="AT1119">
        <f>COUNTIF(Table67[[#This Row],[The mechanism of digital assets is difficult to understand, which discourages me from exploring it (E.g, Tokenization, Blockchain)]:[If I want to try different ways to invest, I will explore digital assets.]], 3)</f>
        <v>6</v>
      </c>
      <c r="AU1119">
        <f>Table67[[#This Row],[Midpoint]]/21</f>
        <v>0.2857142857142857</v>
      </c>
      <c r="AV1119">
        <f>_xlfn.PERCENTILE.INC(Table67[Midpoint ratio],0.9)</f>
        <v>0.5714285714285714</v>
      </c>
      <c r="AW1119" t="b">
        <f>Table67[[#This Row],[Midpoint ratio]]&gt;=Table67[[#This Row],[Threshold of Midpoint ratio]]</f>
        <v>0</v>
      </c>
      <c r="AX1119" t="b">
        <f>OR(Table67[[#This Row],[Extreme Response Style]],Table67[[#This Row],[Mid-point Response Style]])</f>
        <v>0</v>
      </c>
      <c r="AY1119" t="b">
        <f>OR(Table67[[#This Row],[Delete? (Stage 1)]],Table67[[#This Row],[Delete? (Stage 2)]])</f>
        <v>0</v>
      </c>
      <c r="AZ1119" t="s">
        <v>84</v>
      </c>
    </row>
    <row r="1120" spans="1:52">
      <c r="A1120">
        <f t="shared" si="71"/>
        <v>1119</v>
      </c>
      <c r="B1120" s="3">
        <v>46056.888877314799</v>
      </c>
      <c r="C1120" s="3">
        <v>46056.895416666703</v>
      </c>
      <c r="D1120" t="s">
        <v>53</v>
      </c>
      <c r="G1120" t="s">
        <v>54</v>
      </c>
      <c r="H1120" t="s">
        <v>63</v>
      </c>
      <c r="I1120" t="s">
        <v>71</v>
      </c>
      <c r="J1120" t="s">
        <v>57</v>
      </c>
      <c r="K1120" t="s">
        <v>57</v>
      </c>
      <c r="L1120" t="s">
        <v>58</v>
      </c>
      <c r="M1120" t="s">
        <v>58</v>
      </c>
      <c r="N1120">
        <v>3</v>
      </c>
      <c r="O1120">
        <v>1</v>
      </c>
      <c r="P1120">
        <v>3</v>
      </c>
      <c r="Q1120">
        <v>2</v>
      </c>
      <c r="R1120">
        <v>4</v>
      </c>
      <c r="S1120">
        <v>3</v>
      </c>
      <c r="T1120">
        <v>2</v>
      </c>
      <c r="U1120">
        <v>4</v>
      </c>
      <c r="V1120">
        <v>3</v>
      </c>
      <c r="W1120">
        <v>2</v>
      </c>
      <c r="X1120">
        <v>3</v>
      </c>
      <c r="Y1120">
        <v>4</v>
      </c>
      <c r="Z1120">
        <v>3</v>
      </c>
      <c r="AA1120">
        <v>3</v>
      </c>
      <c r="AB1120">
        <v>3</v>
      </c>
      <c r="AC1120">
        <v>2</v>
      </c>
      <c r="AD1120">
        <v>4</v>
      </c>
      <c r="AE1120">
        <v>2</v>
      </c>
      <c r="AF1120">
        <v>3</v>
      </c>
      <c r="AG1120">
        <v>3</v>
      </c>
      <c r="AH1120">
        <v>2</v>
      </c>
      <c r="AI1120">
        <v>4</v>
      </c>
      <c r="AJ1120">
        <v>3</v>
      </c>
      <c r="AK1120" t="b">
        <f>Table67[[#This Row],[What is your age?]]&lt;&gt;"18 - 25"</f>
        <v>0</v>
      </c>
      <c r="AL1120" t="b">
        <f t="shared" si="68"/>
        <v>0</v>
      </c>
      <c r="AM1120" t="b">
        <f t="shared" si="69"/>
        <v>0</v>
      </c>
      <c r="AN1120" t="b">
        <f t="shared" si="70"/>
        <v>1</v>
      </c>
      <c r="AO1120" t="b">
        <f>OR(Table67[[#This Row],[Ineligible respondents]:[Inconsistent response on opposite question (3)]])</f>
        <v>1</v>
      </c>
      <c r="AP112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120">
        <f>Table67[[#This Row],[Extreme Response]]/21</f>
        <v>4.7619047619047616E-2</v>
      </c>
      <c r="AR1120">
        <f>_xlfn.PERCENTILE.INC(Table67[Extrem Response Ratio (ERS)],0.9)</f>
        <v>0.61904761904761907</v>
      </c>
      <c r="AS1120" t="b">
        <f>Table67[[#This Row],[Extrem Response Ratio (ERS)]]&gt;=Table67[[#This Row],[Threshold of ERS]]</f>
        <v>0</v>
      </c>
      <c r="AT1120">
        <f>COUNTIF(Table67[[#This Row],[The mechanism of digital assets is difficult to understand, which discourages me from exploring it (E.g, Tokenization, Blockchain)]:[If I want to try different ways to invest, I will explore digital assets.]], 3)</f>
        <v>10</v>
      </c>
      <c r="AU1120">
        <f>Table67[[#This Row],[Midpoint]]/21</f>
        <v>0.47619047619047616</v>
      </c>
      <c r="AV1120">
        <f>_xlfn.PERCENTILE.INC(Table67[Midpoint ratio],0.9)</f>
        <v>0.5714285714285714</v>
      </c>
      <c r="AW1120" t="b">
        <f>Table67[[#This Row],[Midpoint ratio]]&gt;=Table67[[#This Row],[Threshold of Midpoint ratio]]</f>
        <v>0</v>
      </c>
      <c r="AX1120" t="b">
        <f>OR(Table67[[#This Row],[Extreme Response Style]],Table67[[#This Row],[Mid-point Response Style]])</f>
        <v>0</v>
      </c>
      <c r="AY1120" t="b">
        <f>OR(Table67[[#This Row],[Delete? (Stage 1)]],Table67[[#This Row],[Delete? (Stage 2)]])</f>
        <v>1</v>
      </c>
      <c r="AZ1120" t="s">
        <v>84</v>
      </c>
    </row>
    <row r="1121" spans="1:52">
      <c r="A1121">
        <f t="shared" si="71"/>
        <v>1120</v>
      </c>
      <c r="B1121" s="3">
        <v>46056.8895023148</v>
      </c>
      <c r="C1121" s="3">
        <v>46056.904374999998</v>
      </c>
      <c r="D1121" t="s">
        <v>53</v>
      </c>
      <c r="G1121" t="s">
        <v>54</v>
      </c>
      <c r="H1121" t="s">
        <v>63</v>
      </c>
      <c r="I1121" t="s">
        <v>56</v>
      </c>
      <c r="J1121" t="s">
        <v>62</v>
      </c>
      <c r="K1121" t="s">
        <v>57</v>
      </c>
      <c r="L1121" t="s">
        <v>58</v>
      </c>
      <c r="M1121" t="s">
        <v>58</v>
      </c>
      <c r="N1121">
        <v>4</v>
      </c>
      <c r="O1121">
        <v>2</v>
      </c>
      <c r="P1121">
        <v>4</v>
      </c>
      <c r="Q1121">
        <v>4</v>
      </c>
      <c r="R1121">
        <v>4</v>
      </c>
      <c r="S1121">
        <v>4</v>
      </c>
      <c r="T1121">
        <v>4</v>
      </c>
      <c r="U1121">
        <v>4</v>
      </c>
      <c r="V1121">
        <v>4</v>
      </c>
      <c r="W1121">
        <v>4</v>
      </c>
      <c r="X1121">
        <v>4</v>
      </c>
      <c r="Y1121">
        <v>4</v>
      </c>
      <c r="Z1121">
        <v>4</v>
      </c>
      <c r="AA1121">
        <v>4</v>
      </c>
      <c r="AB1121">
        <v>4</v>
      </c>
      <c r="AC1121">
        <v>4</v>
      </c>
      <c r="AD1121">
        <v>4</v>
      </c>
      <c r="AE1121">
        <v>4</v>
      </c>
      <c r="AF1121">
        <v>3</v>
      </c>
      <c r="AG1121">
        <v>2</v>
      </c>
      <c r="AH1121">
        <v>3</v>
      </c>
      <c r="AI1121">
        <v>3</v>
      </c>
      <c r="AJ1121">
        <v>3</v>
      </c>
      <c r="AK1121" t="b">
        <f>Table67[[#This Row],[What is your age?]]&lt;&gt;"18 - 25"</f>
        <v>0</v>
      </c>
      <c r="AL1121" t="b">
        <f t="shared" si="68"/>
        <v>0</v>
      </c>
      <c r="AM1121" t="b">
        <f t="shared" si="69"/>
        <v>0</v>
      </c>
      <c r="AN1121" t="b">
        <f t="shared" si="70"/>
        <v>1</v>
      </c>
      <c r="AO1121" t="b">
        <f>OR(Table67[[#This Row],[Ineligible respondents]:[Inconsistent response on opposite question (3)]])</f>
        <v>1</v>
      </c>
      <c r="AP112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121">
        <f>Table67[[#This Row],[Extreme Response]]/21</f>
        <v>0</v>
      </c>
      <c r="AR1121">
        <f>_xlfn.PERCENTILE.INC(Table67[Extrem Response Ratio (ERS)],0.9)</f>
        <v>0.61904761904761907</v>
      </c>
      <c r="AS1121" t="b">
        <f>Table67[[#This Row],[Extrem Response Ratio (ERS)]]&gt;=Table67[[#This Row],[Threshold of ERS]]</f>
        <v>0</v>
      </c>
      <c r="AT1121">
        <f>COUNTIF(Table67[[#This Row],[The mechanism of digital assets is difficult to understand, which discourages me from exploring it (E.g, Tokenization, Blockchain)]:[If I want to try different ways to invest, I will explore digital assets.]], 3)</f>
        <v>2</v>
      </c>
      <c r="AU1121">
        <f>Table67[[#This Row],[Midpoint]]/21</f>
        <v>9.5238095238095233E-2</v>
      </c>
      <c r="AV1121">
        <f>_xlfn.PERCENTILE.INC(Table67[Midpoint ratio],0.9)</f>
        <v>0.5714285714285714</v>
      </c>
      <c r="AW1121" t="b">
        <f>Table67[[#This Row],[Midpoint ratio]]&gt;=Table67[[#This Row],[Threshold of Midpoint ratio]]</f>
        <v>0</v>
      </c>
      <c r="AX1121" t="b">
        <f>OR(Table67[[#This Row],[Extreme Response Style]],Table67[[#This Row],[Mid-point Response Style]])</f>
        <v>0</v>
      </c>
      <c r="AY1121" t="b">
        <f>OR(Table67[[#This Row],[Delete? (Stage 1)]],Table67[[#This Row],[Delete? (Stage 2)]])</f>
        <v>1</v>
      </c>
      <c r="AZ1121" t="s">
        <v>84</v>
      </c>
    </row>
    <row r="1122" spans="1:52">
      <c r="A1122">
        <f t="shared" si="71"/>
        <v>1121</v>
      </c>
      <c r="B1122" s="3">
        <v>46056.889872685198</v>
      </c>
      <c r="C1122" s="3">
        <v>46056.897442129601</v>
      </c>
      <c r="D1122" t="s">
        <v>53</v>
      </c>
      <c r="G1122" t="s">
        <v>54</v>
      </c>
      <c r="H1122" t="s">
        <v>63</v>
      </c>
      <c r="I1122" t="s">
        <v>56</v>
      </c>
      <c r="J1122" t="s">
        <v>62</v>
      </c>
      <c r="K1122" t="s">
        <v>62</v>
      </c>
      <c r="L1122" t="s">
        <v>61</v>
      </c>
      <c r="M1122" t="s">
        <v>61</v>
      </c>
      <c r="N1122">
        <v>2</v>
      </c>
      <c r="O1122">
        <v>1</v>
      </c>
      <c r="P1122">
        <v>5</v>
      </c>
      <c r="Q1122">
        <v>3</v>
      </c>
      <c r="R1122">
        <v>1</v>
      </c>
      <c r="S1122">
        <v>1</v>
      </c>
      <c r="T1122">
        <v>1</v>
      </c>
      <c r="U1122">
        <v>1</v>
      </c>
      <c r="V1122">
        <v>1</v>
      </c>
      <c r="W1122">
        <v>1</v>
      </c>
      <c r="X1122">
        <v>3</v>
      </c>
      <c r="Y1122">
        <v>1</v>
      </c>
      <c r="Z1122">
        <v>2</v>
      </c>
      <c r="AA1122">
        <v>1</v>
      </c>
      <c r="AB1122">
        <v>2</v>
      </c>
      <c r="AC1122">
        <v>1</v>
      </c>
      <c r="AD1122">
        <v>1</v>
      </c>
      <c r="AE1122">
        <v>1</v>
      </c>
      <c r="AF1122">
        <v>5</v>
      </c>
      <c r="AG1122">
        <v>1</v>
      </c>
      <c r="AH1122">
        <v>5</v>
      </c>
      <c r="AI1122">
        <v>1</v>
      </c>
      <c r="AJ1122">
        <v>1</v>
      </c>
      <c r="AK1122" t="b">
        <f>Table67[[#This Row],[What is your age?]]&lt;&gt;"18 - 25"</f>
        <v>0</v>
      </c>
      <c r="AL1122" t="b">
        <f t="shared" si="68"/>
        <v>0</v>
      </c>
      <c r="AM1122" t="b">
        <f t="shared" si="69"/>
        <v>0</v>
      </c>
      <c r="AN1122" t="b">
        <f t="shared" si="70"/>
        <v>0</v>
      </c>
      <c r="AO1122" t="b">
        <f>OR(Table67[[#This Row],[Ineligible respondents]:[Inconsistent response on opposite question (3)]])</f>
        <v>0</v>
      </c>
      <c r="AP112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16</v>
      </c>
      <c r="AQ1122">
        <f>Table67[[#This Row],[Extreme Response]]/21</f>
        <v>0.76190476190476186</v>
      </c>
      <c r="AR1122">
        <f>_xlfn.PERCENTILE.INC(Table67[Extrem Response Ratio (ERS)],0.9)</f>
        <v>0.61904761904761907</v>
      </c>
      <c r="AS1122" t="b">
        <f>Table67[[#This Row],[Extrem Response Ratio (ERS)]]&gt;=Table67[[#This Row],[Threshold of ERS]]</f>
        <v>1</v>
      </c>
      <c r="AT1122">
        <f>COUNTIF(Table67[[#This Row],[The mechanism of digital assets is difficult to understand, which discourages me from exploring it (E.g, Tokenization, Blockchain)]:[If I want to try different ways to invest, I will explore digital assets.]], 3)</f>
        <v>2</v>
      </c>
      <c r="AU1122">
        <f>Table67[[#This Row],[Midpoint]]/21</f>
        <v>9.5238095238095233E-2</v>
      </c>
      <c r="AV1122">
        <f>_xlfn.PERCENTILE.INC(Table67[Midpoint ratio],0.9)</f>
        <v>0.5714285714285714</v>
      </c>
      <c r="AW1122" t="b">
        <f>Table67[[#This Row],[Midpoint ratio]]&gt;=Table67[[#This Row],[Threshold of Midpoint ratio]]</f>
        <v>0</v>
      </c>
      <c r="AX1122" t="b">
        <f>OR(Table67[[#This Row],[Extreme Response Style]],Table67[[#This Row],[Mid-point Response Style]])</f>
        <v>1</v>
      </c>
      <c r="AY1122" t="b">
        <f>OR(Table67[[#This Row],[Delete? (Stage 1)]],Table67[[#This Row],[Delete? (Stage 2)]])</f>
        <v>1</v>
      </c>
      <c r="AZ1122" t="s">
        <v>84</v>
      </c>
    </row>
    <row r="1123" spans="1:52">
      <c r="A1123">
        <f t="shared" si="71"/>
        <v>1122</v>
      </c>
      <c r="B1123" s="3">
        <v>46056.889918981498</v>
      </c>
      <c r="C1123" s="3">
        <v>46056.898368055598</v>
      </c>
      <c r="D1123" t="s">
        <v>53</v>
      </c>
      <c r="G1123" t="s">
        <v>54</v>
      </c>
      <c r="H1123" t="s">
        <v>55</v>
      </c>
      <c r="I1123" t="s">
        <v>56</v>
      </c>
      <c r="J1123" t="s">
        <v>57</v>
      </c>
      <c r="K1123" t="s">
        <v>57</v>
      </c>
      <c r="L1123" t="s">
        <v>58</v>
      </c>
      <c r="M1123" t="s">
        <v>58</v>
      </c>
      <c r="N1123">
        <v>3</v>
      </c>
      <c r="O1123">
        <v>2</v>
      </c>
      <c r="P1123">
        <v>2</v>
      </c>
      <c r="Q1123">
        <v>1</v>
      </c>
      <c r="R1123">
        <v>1</v>
      </c>
      <c r="S1123">
        <v>1</v>
      </c>
      <c r="T1123">
        <v>2</v>
      </c>
      <c r="U1123">
        <v>5</v>
      </c>
      <c r="V1123">
        <v>1</v>
      </c>
      <c r="W1123">
        <v>5</v>
      </c>
      <c r="X1123">
        <v>4</v>
      </c>
      <c r="Y1123">
        <v>5</v>
      </c>
      <c r="Z1123">
        <v>3</v>
      </c>
      <c r="AA1123">
        <v>3</v>
      </c>
      <c r="AB1123">
        <v>2</v>
      </c>
      <c r="AC1123">
        <v>2</v>
      </c>
      <c r="AD1123">
        <v>4</v>
      </c>
      <c r="AE1123">
        <v>4</v>
      </c>
      <c r="AF1123">
        <v>2</v>
      </c>
      <c r="AG1123">
        <v>3</v>
      </c>
      <c r="AH1123">
        <v>4</v>
      </c>
      <c r="AI1123">
        <v>2</v>
      </c>
      <c r="AJ1123">
        <v>4</v>
      </c>
      <c r="AK1123" t="b">
        <f>Table67[[#This Row],[What is your age?]]&lt;&gt;"18 - 25"</f>
        <v>0</v>
      </c>
      <c r="AL1123" t="b">
        <f t="shared" si="68"/>
        <v>0</v>
      </c>
      <c r="AM1123" t="b">
        <f t="shared" si="69"/>
        <v>0</v>
      </c>
      <c r="AN1123" t="b">
        <f t="shared" si="70"/>
        <v>1</v>
      </c>
      <c r="AO1123" t="b">
        <f>OR(Table67[[#This Row],[Ineligible respondents]:[Inconsistent response on opposite question (3)]])</f>
        <v>1</v>
      </c>
      <c r="AP112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123">
        <f>Table67[[#This Row],[Extreme Response]]/21</f>
        <v>0.33333333333333331</v>
      </c>
      <c r="AR1123">
        <f>_xlfn.PERCENTILE.INC(Table67[Extrem Response Ratio (ERS)],0.9)</f>
        <v>0.61904761904761907</v>
      </c>
      <c r="AS1123" t="b">
        <f>Table67[[#This Row],[Extrem Response Ratio (ERS)]]&gt;=Table67[[#This Row],[Threshold of ERS]]</f>
        <v>0</v>
      </c>
      <c r="AT1123">
        <f>COUNTIF(Table67[[#This Row],[The mechanism of digital assets is difficult to understand, which discourages me from exploring it (E.g, Tokenization, Blockchain)]:[If I want to try different ways to invest, I will explore digital assets.]], 3)</f>
        <v>4</v>
      </c>
      <c r="AU1123">
        <f>Table67[[#This Row],[Midpoint]]/21</f>
        <v>0.19047619047619047</v>
      </c>
      <c r="AV1123">
        <f>_xlfn.PERCENTILE.INC(Table67[Midpoint ratio],0.9)</f>
        <v>0.5714285714285714</v>
      </c>
      <c r="AW1123" t="b">
        <f>Table67[[#This Row],[Midpoint ratio]]&gt;=Table67[[#This Row],[Threshold of Midpoint ratio]]</f>
        <v>0</v>
      </c>
      <c r="AX1123" t="b">
        <f>OR(Table67[[#This Row],[Extreme Response Style]],Table67[[#This Row],[Mid-point Response Style]])</f>
        <v>0</v>
      </c>
      <c r="AY1123" t="b">
        <f>OR(Table67[[#This Row],[Delete? (Stage 1)]],Table67[[#This Row],[Delete? (Stage 2)]])</f>
        <v>1</v>
      </c>
      <c r="AZ1123" t="s">
        <v>84</v>
      </c>
    </row>
    <row r="1124" spans="1:52">
      <c r="A1124">
        <f t="shared" si="71"/>
        <v>1123</v>
      </c>
      <c r="B1124" s="3">
        <v>46056.890115740702</v>
      </c>
      <c r="C1124" s="3">
        <v>46056.8961458333</v>
      </c>
      <c r="D1124" t="s">
        <v>53</v>
      </c>
      <c r="G1124" t="s">
        <v>54</v>
      </c>
      <c r="H1124" t="s">
        <v>55</v>
      </c>
      <c r="I1124" t="s">
        <v>71</v>
      </c>
      <c r="J1124" t="s">
        <v>57</v>
      </c>
      <c r="K1124" t="s">
        <v>57</v>
      </c>
      <c r="L1124" t="s">
        <v>58</v>
      </c>
      <c r="M1124" t="s">
        <v>58</v>
      </c>
      <c r="N1124">
        <v>4</v>
      </c>
      <c r="O1124">
        <v>5</v>
      </c>
      <c r="P1124">
        <v>3</v>
      </c>
      <c r="Q1124">
        <v>2</v>
      </c>
      <c r="R1124">
        <v>2</v>
      </c>
      <c r="S1124">
        <v>4</v>
      </c>
      <c r="T1124">
        <v>5</v>
      </c>
      <c r="U1124">
        <v>5</v>
      </c>
      <c r="V1124">
        <v>5</v>
      </c>
      <c r="W1124">
        <v>4</v>
      </c>
      <c r="X1124">
        <v>2</v>
      </c>
      <c r="Y1124">
        <v>3</v>
      </c>
      <c r="Z1124">
        <v>3</v>
      </c>
      <c r="AA1124">
        <v>4</v>
      </c>
      <c r="AB1124">
        <v>5</v>
      </c>
      <c r="AC1124">
        <v>4</v>
      </c>
      <c r="AD1124">
        <v>3</v>
      </c>
      <c r="AE1124">
        <v>2</v>
      </c>
      <c r="AF1124">
        <v>2</v>
      </c>
      <c r="AG1124">
        <v>3</v>
      </c>
      <c r="AH1124">
        <v>4</v>
      </c>
      <c r="AI1124">
        <v>2</v>
      </c>
      <c r="AJ1124">
        <v>4</v>
      </c>
      <c r="AK1124" t="b">
        <f>Table67[[#This Row],[What is your age?]]&lt;&gt;"18 - 25"</f>
        <v>0</v>
      </c>
      <c r="AL1124" t="b">
        <f t="shared" si="68"/>
        <v>0</v>
      </c>
      <c r="AM1124" t="b">
        <f t="shared" si="69"/>
        <v>0</v>
      </c>
      <c r="AN1124" t="b">
        <f t="shared" si="70"/>
        <v>1</v>
      </c>
      <c r="AO1124" t="b">
        <f>OR(Table67[[#This Row],[Ineligible respondents]:[Inconsistent response on opposite question (3)]])</f>
        <v>1</v>
      </c>
      <c r="AP112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124">
        <f>Table67[[#This Row],[Extreme Response]]/21</f>
        <v>0.23809523809523808</v>
      </c>
      <c r="AR1124">
        <f>_xlfn.PERCENTILE.INC(Table67[Extrem Response Ratio (ERS)],0.9)</f>
        <v>0.61904761904761907</v>
      </c>
      <c r="AS1124" t="b">
        <f>Table67[[#This Row],[Extrem Response Ratio (ERS)]]&gt;=Table67[[#This Row],[Threshold of ERS]]</f>
        <v>0</v>
      </c>
      <c r="AT1124">
        <f>COUNTIF(Table67[[#This Row],[The mechanism of digital assets is difficult to understand, which discourages me from exploring it (E.g, Tokenization, Blockchain)]:[If I want to try different ways to invest, I will explore digital assets.]], 3)</f>
        <v>5</v>
      </c>
      <c r="AU1124">
        <f>Table67[[#This Row],[Midpoint]]/21</f>
        <v>0.23809523809523808</v>
      </c>
      <c r="AV1124">
        <f>_xlfn.PERCENTILE.INC(Table67[Midpoint ratio],0.9)</f>
        <v>0.5714285714285714</v>
      </c>
      <c r="AW1124" t="b">
        <f>Table67[[#This Row],[Midpoint ratio]]&gt;=Table67[[#This Row],[Threshold of Midpoint ratio]]</f>
        <v>0</v>
      </c>
      <c r="AX1124" t="b">
        <f>OR(Table67[[#This Row],[Extreme Response Style]],Table67[[#This Row],[Mid-point Response Style]])</f>
        <v>0</v>
      </c>
      <c r="AY1124" t="b">
        <f>OR(Table67[[#This Row],[Delete? (Stage 1)]],Table67[[#This Row],[Delete? (Stage 2)]])</f>
        <v>1</v>
      </c>
      <c r="AZ1124" t="s">
        <v>84</v>
      </c>
    </row>
    <row r="1125" spans="1:52">
      <c r="A1125">
        <f t="shared" si="71"/>
        <v>1124</v>
      </c>
      <c r="B1125" s="3">
        <v>46056.890439814801</v>
      </c>
      <c r="C1125" s="3">
        <v>46056.892534722203</v>
      </c>
      <c r="D1125" t="s">
        <v>53</v>
      </c>
      <c r="G1125" t="s">
        <v>54</v>
      </c>
      <c r="H1125" t="s">
        <v>55</v>
      </c>
      <c r="I1125" t="s">
        <v>69</v>
      </c>
      <c r="J1125" t="s">
        <v>62</v>
      </c>
      <c r="K1125" t="s">
        <v>62</v>
      </c>
      <c r="L1125" t="s">
        <v>61</v>
      </c>
      <c r="M1125" t="s">
        <v>61</v>
      </c>
      <c r="N1125">
        <v>3</v>
      </c>
      <c r="O1125">
        <v>2</v>
      </c>
      <c r="P1125">
        <v>2</v>
      </c>
      <c r="Q1125">
        <v>5</v>
      </c>
      <c r="R1125">
        <v>4</v>
      </c>
      <c r="S1125">
        <v>5</v>
      </c>
      <c r="T1125">
        <v>2</v>
      </c>
      <c r="U1125">
        <v>4</v>
      </c>
      <c r="V1125">
        <v>5</v>
      </c>
      <c r="W1125">
        <v>5</v>
      </c>
      <c r="X1125">
        <v>1</v>
      </c>
      <c r="Y1125">
        <v>2</v>
      </c>
      <c r="Z1125">
        <v>5</v>
      </c>
      <c r="AA1125">
        <v>3</v>
      </c>
      <c r="AB1125">
        <v>5</v>
      </c>
      <c r="AC1125">
        <v>1</v>
      </c>
      <c r="AD1125">
        <v>5</v>
      </c>
      <c r="AE1125">
        <v>3</v>
      </c>
      <c r="AF1125">
        <v>5</v>
      </c>
      <c r="AG1125">
        <v>3</v>
      </c>
      <c r="AH1125">
        <v>5</v>
      </c>
      <c r="AI1125">
        <v>1</v>
      </c>
      <c r="AJ1125">
        <v>1</v>
      </c>
      <c r="AK1125" t="b">
        <f>Table67[[#This Row],[What is your age?]]&lt;&gt;"18 - 25"</f>
        <v>0</v>
      </c>
      <c r="AL1125" t="b">
        <f t="shared" si="68"/>
        <v>0</v>
      </c>
      <c r="AM1125" t="b">
        <f t="shared" si="69"/>
        <v>0</v>
      </c>
      <c r="AN1125" t="b">
        <f t="shared" si="70"/>
        <v>1</v>
      </c>
      <c r="AO1125" t="b">
        <f>OR(Table67[[#This Row],[Ineligible respondents]:[Inconsistent response on opposite question (3)]])</f>
        <v>1</v>
      </c>
      <c r="AP112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1125">
        <f>Table67[[#This Row],[Extreme Response]]/21</f>
        <v>0.52380952380952384</v>
      </c>
      <c r="AR1125">
        <f>_xlfn.PERCENTILE.INC(Table67[Extrem Response Ratio (ERS)],0.9)</f>
        <v>0.61904761904761907</v>
      </c>
      <c r="AS1125" t="b">
        <f>Table67[[#This Row],[Extrem Response Ratio (ERS)]]&gt;=Table67[[#This Row],[Threshold of ERS]]</f>
        <v>0</v>
      </c>
      <c r="AT1125">
        <f>COUNTIF(Table67[[#This Row],[The mechanism of digital assets is difficult to understand, which discourages me from exploring it (E.g, Tokenization, Blockchain)]:[If I want to try different ways to invest, I will explore digital assets.]], 3)</f>
        <v>4</v>
      </c>
      <c r="AU1125">
        <f>Table67[[#This Row],[Midpoint]]/21</f>
        <v>0.19047619047619047</v>
      </c>
      <c r="AV1125">
        <f>_xlfn.PERCENTILE.INC(Table67[Midpoint ratio],0.9)</f>
        <v>0.5714285714285714</v>
      </c>
      <c r="AW1125" t="b">
        <f>Table67[[#This Row],[Midpoint ratio]]&gt;=Table67[[#This Row],[Threshold of Midpoint ratio]]</f>
        <v>0</v>
      </c>
      <c r="AX1125" t="b">
        <f>OR(Table67[[#This Row],[Extreme Response Style]],Table67[[#This Row],[Mid-point Response Style]])</f>
        <v>0</v>
      </c>
      <c r="AY1125" t="b">
        <f>OR(Table67[[#This Row],[Delete? (Stage 1)]],Table67[[#This Row],[Delete? (Stage 2)]])</f>
        <v>1</v>
      </c>
      <c r="AZ1125" t="s">
        <v>84</v>
      </c>
    </row>
    <row r="1126" spans="1:52">
      <c r="A1126">
        <f t="shared" si="71"/>
        <v>1125</v>
      </c>
      <c r="B1126" s="3">
        <v>46056.890833333302</v>
      </c>
      <c r="C1126" s="3">
        <v>46056.894837963002</v>
      </c>
      <c r="D1126" t="s">
        <v>53</v>
      </c>
      <c r="G1126" t="s">
        <v>54</v>
      </c>
      <c r="H1126" t="s">
        <v>63</v>
      </c>
      <c r="I1126" t="s">
        <v>75</v>
      </c>
      <c r="J1126" t="s">
        <v>66</v>
      </c>
      <c r="K1126" t="s">
        <v>67</v>
      </c>
      <c r="L1126" t="s">
        <v>61</v>
      </c>
      <c r="M1126" t="s">
        <v>61</v>
      </c>
      <c r="N1126">
        <v>5</v>
      </c>
      <c r="O1126">
        <v>3</v>
      </c>
      <c r="P1126">
        <v>5</v>
      </c>
      <c r="Q1126">
        <v>3</v>
      </c>
      <c r="R1126">
        <v>4</v>
      </c>
      <c r="S1126">
        <v>4</v>
      </c>
      <c r="T1126">
        <v>4</v>
      </c>
      <c r="U1126">
        <v>4</v>
      </c>
      <c r="V1126">
        <v>5</v>
      </c>
      <c r="W1126">
        <v>5</v>
      </c>
      <c r="X1126">
        <v>2</v>
      </c>
      <c r="Y1126">
        <v>3</v>
      </c>
      <c r="Z1126">
        <v>3</v>
      </c>
      <c r="AA1126">
        <v>4</v>
      </c>
      <c r="AB1126">
        <v>2</v>
      </c>
      <c r="AC1126">
        <v>3</v>
      </c>
      <c r="AD1126">
        <v>3</v>
      </c>
      <c r="AE1126">
        <v>5</v>
      </c>
      <c r="AF1126">
        <v>5</v>
      </c>
      <c r="AG1126">
        <v>5</v>
      </c>
      <c r="AH1126">
        <v>3</v>
      </c>
      <c r="AI1126">
        <v>3</v>
      </c>
      <c r="AJ1126">
        <v>1</v>
      </c>
      <c r="AK1126" t="b">
        <f>Table67[[#This Row],[What is your age?]]&lt;&gt;"18 - 25"</f>
        <v>0</v>
      </c>
      <c r="AL1126" t="b">
        <f t="shared" si="68"/>
        <v>0</v>
      </c>
      <c r="AM1126" t="b">
        <f t="shared" si="69"/>
        <v>0</v>
      </c>
      <c r="AN1126" t="b">
        <f t="shared" si="70"/>
        <v>1</v>
      </c>
      <c r="AO1126" t="b">
        <f>OR(Table67[[#This Row],[Ineligible respondents]:[Inconsistent response on opposite question (3)]])</f>
        <v>1</v>
      </c>
      <c r="AP112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126">
        <f>Table67[[#This Row],[Extreme Response]]/21</f>
        <v>0.33333333333333331</v>
      </c>
      <c r="AR1126">
        <f>_xlfn.PERCENTILE.INC(Table67[Extrem Response Ratio (ERS)],0.9)</f>
        <v>0.61904761904761907</v>
      </c>
      <c r="AS1126" t="b">
        <f>Table67[[#This Row],[Extrem Response Ratio (ERS)]]&gt;=Table67[[#This Row],[Threshold of ERS]]</f>
        <v>0</v>
      </c>
      <c r="AT1126">
        <f>COUNTIF(Table67[[#This Row],[The mechanism of digital assets is difficult to understand, which discourages me from exploring it (E.g, Tokenization, Blockchain)]:[If I want to try different ways to invest, I will explore digital assets.]], 3)</f>
        <v>7</v>
      </c>
      <c r="AU1126">
        <f>Table67[[#This Row],[Midpoint]]/21</f>
        <v>0.33333333333333331</v>
      </c>
      <c r="AV1126">
        <f>_xlfn.PERCENTILE.INC(Table67[Midpoint ratio],0.9)</f>
        <v>0.5714285714285714</v>
      </c>
      <c r="AW1126" t="b">
        <f>Table67[[#This Row],[Midpoint ratio]]&gt;=Table67[[#This Row],[Threshold of Midpoint ratio]]</f>
        <v>0</v>
      </c>
      <c r="AX1126" t="b">
        <f>OR(Table67[[#This Row],[Extreme Response Style]],Table67[[#This Row],[Mid-point Response Style]])</f>
        <v>0</v>
      </c>
      <c r="AY1126" t="b">
        <f>OR(Table67[[#This Row],[Delete? (Stage 1)]],Table67[[#This Row],[Delete? (Stage 2)]])</f>
        <v>1</v>
      </c>
      <c r="AZ1126" t="s">
        <v>84</v>
      </c>
    </row>
    <row r="1127" spans="1:52">
      <c r="A1127">
        <f t="shared" si="71"/>
        <v>1126</v>
      </c>
      <c r="B1127" s="3">
        <v>46056.891307870399</v>
      </c>
      <c r="C1127" s="3">
        <v>46056.893206018503</v>
      </c>
      <c r="D1127" t="s">
        <v>53</v>
      </c>
      <c r="G1127" t="s">
        <v>54</v>
      </c>
      <c r="H1127" t="s">
        <v>55</v>
      </c>
      <c r="I1127" t="s">
        <v>71</v>
      </c>
      <c r="J1127" t="s">
        <v>67</v>
      </c>
      <c r="K1127" t="s">
        <v>64</v>
      </c>
      <c r="L1127" t="s">
        <v>61</v>
      </c>
      <c r="M1127" t="s">
        <v>61</v>
      </c>
      <c r="N1127">
        <v>3</v>
      </c>
      <c r="O1127">
        <v>2</v>
      </c>
      <c r="P1127">
        <v>5</v>
      </c>
      <c r="Q1127">
        <v>4</v>
      </c>
      <c r="R1127">
        <v>3</v>
      </c>
      <c r="S1127">
        <v>3</v>
      </c>
      <c r="T1127">
        <v>4</v>
      </c>
      <c r="U1127">
        <v>3</v>
      </c>
      <c r="V1127">
        <v>2</v>
      </c>
      <c r="W1127">
        <v>2</v>
      </c>
      <c r="X1127">
        <v>2</v>
      </c>
      <c r="Y1127">
        <v>2</v>
      </c>
      <c r="Z1127">
        <v>2</v>
      </c>
      <c r="AA1127">
        <v>2</v>
      </c>
      <c r="AB1127">
        <v>2</v>
      </c>
      <c r="AC1127">
        <v>3</v>
      </c>
      <c r="AD1127">
        <v>4</v>
      </c>
      <c r="AE1127">
        <v>1</v>
      </c>
      <c r="AF1127">
        <v>2</v>
      </c>
      <c r="AG1127">
        <v>5</v>
      </c>
      <c r="AH1127">
        <v>2</v>
      </c>
      <c r="AI1127">
        <v>4</v>
      </c>
      <c r="AJ1127">
        <v>4</v>
      </c>
      <c r="AK1127" t="b">
        <f>Table67[[#This Row],[What is your age?]]&lt;&gt;"18 - 25"</f>
        <v>0</v>
      </c>
      <c r="AL1127" t="b">
        <f t="shared" si="68"/>
        <v>0</v>
      </c>
      <c r="AM1127" t="b">
        <f t="shared" si="69"/>
        <v>0</v>
      </c>
      <c r="AN1127" t="b">
        <f t="shared" si="70"/>
        <v>0</v>
      </c>
      <c r="AO1127" t="b">
        <f>OR(Table67[[#This Row],[Ineligible respondents]:[Inconsistent response on opposite question (3)]])</f>
        <v>0</v>
      </c>
      <c r="AP112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127">
        <f>Table67[[#This Row],[Extreme Response]]/21</f>
        <v>0.14285714285714285</v>
      </c>
      <c r="AR1127">
        <f>_xlfn.PERCENTILE.INC(Table67[Extrem Response Ratio (ERS)],0.9)</f>
        <v>0.61904761904761907</v>
      </c>
      <c r="AS1127" t="b">
        <f>Table67[[#This Row],[Extrem Response Ratio (ERS)]]&gt;=Table67[[#This Row],[Threshold of ERS]]</f>
        <v>0</v>
      </c>
      <c r="AT1127">
        <f>COUNTIF(Table67[[#This Row],[The mechanism of digital assets is difficult to understand, which discourages me from exploring it (E.g, Tokenization, Blockchain)]:[If I want to try different ways to invest, I will explore digital assets.]], 3)</f>
        <v>5</v>
      </c>
      <c r="AU1127">
        <f>Table67[[#This Row],[Midpoint]]/21</f>
        <v>0.23809523809523808</v>
      </c>
      <c r="AV1127">
        <f>_xlfn.PERCENTILE.INC(Table67[Midpoint ratio],0.9)</f>
        <v>0.5714285714285714</v>
      </c>
      <c r="AW1127" t="b">
        <f>Table67[[#This Row],[Midpoint ratio]]&gt;=Table67[[#This Row],[Threshold of Midpoint ratio]]</f>
        <v>0</v>
      </c>
      <c r="AX1127" t="b">
        <f>OR(Table67[[#This Row],[Extreme Response Style]],Table67[[#This Row],[Mid-point Response Style]])</f>
        <v>0</v>
      </c>
      <c r="AY1127" t="b">
        <f>OR(Table67[[#This Row],[Delete? (Stage 1)]],Table67[[#This Row],[Delete? (Stage 2)]])</f>
        <v>0</v>
      </c>
      <c r="AZ1127" t="s">
        <v>84</v>
      </c>
    </row>
    <row r="1128" spans="1:52">
      <c r="A1128">
        <f t="shared" si="71"/>
        <v>1127</v>
      </c>
      <c r="B1128" s="3">
        <v>46056.891504629602</v>
      </c>
      <c r="C1128" s="3">
        <v>46056.897962962998</v>
      </c>
      <c r="D1128" t="s">
        <v>53</v>
      </c>
      <c r="G1128" t="s">
        <v>54</v>
      </c>
      <c r="H1128" t="s">
        <v>55</v>
      </c>
      <c r="I1128" t="s">
        <v>71</v>
      </c>
      <c r="J1128" t="s">
        <v>62</v>
      </c>
      <c r="K1128" t="s">
        <v>57</v>
      </c>
      <c r="L1128" t="s">
        <v>58</v>
      </c>
      <c r="M1128" t="s">
        <v>58</v>
      </c>
      <c r="N1128">
        <v>4</v>
      </c>
      <c r="O1128">
        <v>2</v>
      </c>
      <c r="P1128">
        <v>2</v>
      </c>
      <c r="Q1128">
        <v>4</v>
      </c>
      <c r="R1128">
        <v>2</v>
      </c>
      <c r="S1128">
        <v>2</v>
      </c>
      <c r="T1128">
        <v>4</v>
      </c>
      <c r="U1128">
        <v>5</v>
      </c>
      <c r="V1128">
        <v>4</v>
      </c>
      <c r="W1128">
        <v>4</v>
      </c>
      <c r="X1128">
        <v>4</v>
      </c>
      <c r="Y1128">
        <v>5</v>
      </c>
      <c r="Z1128">
        <v>4</v>
      </c>
      <c r="AA1128">
        <v>4</v>
      </c>
      <c r="AB1128">
        <v>2</v>
      </c>
      <c r="AC1128">
        <v>5</v>
      </c>
      <c r="AD1128">
        <v>5</v>
      </c>
      <c r="AE1128">
        <v>3</v>
      </c>
      <c r="AF1128">
        <v>2</v>
      </c>
      <c r="AG1128">
        <v>4</v>
      </c>
      <c r="AH1128">
        <v>3</v>
      </c>
      <c r="AI1128">
        <v>3</v>
      </c>
      <c r="AJ1128">
        <v>4</v>
      </c>
      <c r="AK1128" t="b">
        <f>Table67[[#This Row],[What is your age?]]&lt;&gt;"18 - 25"</f>
        <v>0</v>
      </c>
      <c r="AL1128" t="b">
        <f t="shared" si="68"/>
        <v>0</v>
      </c>
      <c r="AM1128" t="b">
        <f t="shared" si="69"/>
        <v>0</v>
      </c>
      <c r="AN1128" t="b">
        <f t="shared" si="70"/>
        <v>1</v>
      </c>
      <c r="AO1128" t="b">
        <f>OR(Table67[[#This Row],[Ineligible respondents]:[Inconsistent response on opposite question (3)]])</f>
        <v>1</v>
      </c>
      <c r="AP112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128">
        <f>Table67[[#This Row],[Extreme Response]]/21</f>
        <v>0.19047619047619047</v>
      </c>
      <c r="AR1128">
        <f>_xlfn.PERCENTILE.INC(Table67[Extrem Response Ratio (ERS)],0.9)</f>
        <v>0.61904761904761907</v>
      </c>
      <c r="AS1128" t="b">
        <f>Table67[[#This Row],[Extrem Response Ratio (ERS)]]&gt;=Table67[[#This Row],[Threshold of ERS]]</f>
        <v>0</v>
      </c>
      <c r="AT1128">
        <f>COUNTIF(Table67[[#This Row],[The mechanism of digital assets is difficult to understand, which discourages me from exploring it (E.g, Tokenization, Blockchain)]:[If I want to try different ways to invest, I will explore digital assets.]], 3)</f>
        <v>2</v>
      </c>
      <c r="AU1128">
        <f>Table67[[#This Row],[Midpoint]]/21</f>
        <v>9.5238095238095233E-2</v>
      </c>
      <c r="AV1128">
        <f>_xlfn.PERCENTILE.INC(Table67[Midpoint ratio],0.9)</f>
        <v>0.5714285714285714</v>
      </c>
      <c r="AW1128" t="b">
        <f>Table67[[#This Row],[Midpoint ratio]]&gt;=Table67[[#This Row],[Threshold of Midpoint ratio]]</f>
        <v>0</v>
      </c>
      <c r="AX1128" t="b">
        <f>OR(Table67[[#This Row],[Extreme Response Style]],Table67[[#This Row],[Mid-point Response Style]])</f>
        <v>0</v>
      </c>
      <c r="AY1128" t="b">
        <f>OR(Table67[[#This Row],[Delete? (Stage 1)]],Table67[[#This Row],[Delete? (Stage 2)]])</f>
        <v>1</v>
      </c>
      <c r="AZ1128" t="s">
        <v>84</v>
      </c>
    </row>
    <row r="1129" spans="1:52">
      <c r="A1129">
        <f t="shared" si="71"/>
        <v>1128</v>
      </c>
      <c r="B1129" s="3">
        <v>46056.891631944403</v>
      </c>
      <c r="C1129" s="3">
        <v>46056.901979166701</v>
      </c>
      <c r="D1129" t="s">
        <v>53</v>
      </c>
      <c r="G1129" t="s">
        <v>54</v>
      </c>
      <c r="H1129" t="s">
        <v>55</v>
      </c>
      <c r="I1129" t="s">
        <v>75</v>
      </c>
      <c r="J1129" t="s">
        <v>57</v>
      </c>
      <c r="K1129" t="s">
        <v>57</v>
      </c>
      <c r="L1129" t="s">
        <v>58</v>
      </c>
      <c r="M1129" t="s">
        <v>58</v>
      </c>
      <c r="N1129">
        <v>3</v>
      </c>
      <c r="O1129">
        <v>2</v>
      </c>
      <c r="P1129">
        <v>4</v>
      </c>
      <c r="Q1129">
        <v>3</v>
      </c>
      <c r="R1129">
        <v>4</v>
      </c>
      <c r="S1129">
        <v>4</v>
      </c>
      <c r="T1129">
        <v>3</v>
      </c>
      <c r="U1129">
        <v>4</v>
      </c>
      <c r="V1129">
        <v>4</v>
      </c>
      <c r="W1129">
        <v>4</v>
      </c>
      <c r="X1129">
        <v>3</v>
      </c>
      <c r="Y1129">
        <v>4</v>
      </c>
      <c r="Z1129">
        <v>5</v>
      </c>
      <c r="AA1129">
        <v>4</v>
      </c>
      <c r="AB1129">
        <v>3</v>
      </c>
      <c r="AC1129">
        <v>3</v>
      </c>
      <c r="AD1129">
        <v>4</v>
      </c>
      <c r="AE1129">
        <v>3</v>
      </c>
      <c r="AF1129">
        <v>2</v>
      </c>
      <c r="AG1129">
        <v>3</v>
      </c>
      <c r="AH1129">
        <v>3</v>
      </c>
      <c r="AI1129">
        <v>3</v>
      </c>
      <c r="AJ1129">
        <v>4</v>
      </c>
      <c r="AK1129" t="b">
        <f>Table67[[#This Row],[What is your age?]]&lt;&gt;"18 - 25"</f>
        <v>0</v>
      </c>
      <c r="AL1129" t="b">
        <f t="shared" si="68"/>
        <v>0</v>
      </c>
      <c r="AM1129" t="b">
        <f t="shared" si="69"/>
        <v>0</v>
      </c>
      <c r="AN1129" t="b">
        <f t="shared" si="70"/>
        <v>0</v>
      </c>
      <c r="AO1129" t="b">
        <f>OR(Table67[[#This Row],[Ineligible respondents]:[Inconsistent response on opposite question (3)]])</f>
        <v>0</v>
      </c>
      <c r="AP112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129">
        <f>Table67[[#This Row],[Extreme Response]]/21</f>
        <v>4.7619047619047616E-2</v>
      </c>
      <c r="AR1129">
        <f>_xlfn.PERCENTILE.INC(Table67[Extrem Response Ratio (ERS)],0.9)</f>
        <v>0.61904761904761907</v>
      </c>
      <c r="AS1129" t="b">
        <f>Table67[[#This Row],[Extrem Response Ratio (ERS)]]&gt;=Table67[[#This Row],[Threshold of ERS]]</f>
        <v>0</v>
      </c>
      <c r="AT1129">
        <f>COUNTIF(Table67[[#This Row],[The mechanism of digital assets is difficult to understand, which discourages me from exploring it (E.g, Tokenization, Blockchain)]:[If I want to try different ways to invest, I will explore digital assets.]], 3)</f>
        <v>9</v>
      </c>
      <c r="AU1129">
        <f>Table67[[#This Row],[Midpoint]]/21</f>
        <v>0.42857142857142855</v>
      </c>
      <c r="AV1129">
        <f>_xlfn.PERCENTILE.INC(Table67[Midpoint ratio],0.9)</f>
        <v>0.5714285714285714</v>
      </c>
      <c r="AW1129" t="b">
        <f>Table67[[#This Row],[Midpoint ratio]]&gt;=Table67[[#This Row],[Threshold of Midpoint ratio]]</f>
        <v>0</v>
      </c>
      <c r="AX1129" t="b">
        <f>OR(Table67[[#This Row],[Extreme Response Style]],Table67[[#This Row],[Mid-point Response Style]])</f>
        <v>0</v>
      </c>
      <c r="AY1129" t="b">
        <f>OR(Table67[[#This Row],[Delete? (Stage 1)]],Table67[[#This Row],[Delete? (Stage 2)]])</f>
        <v>0</v>
      </c>
      <c r="AZ1129" t="s">
        <v>84</v>
      </c>
    </row>
    <row r="1130" spans="1:52">
      <c r="A1130">
        <f t="shared" si="71"/>
        <v>1129</v>
      </c>
      <c r="B1130" s="3">
        <v>46056.892569444397</v>
      </c>
      <c r="C1130" s="3">
        <v>46056.893865740698</v>
      </c>
      <c r="D1130" t="s">
        <v>53</v>
      </c>
      <c r="G1130" t="s">
        <v>54</v>
      </c>
      <c r="H1130" t="s">
        <v>70</v>
      </c>
      <c r="I1130" t="s">
        <v>69</v>
      </c>
      <c r="J1130" t="s">
        <v>62</v>
      </c>
      <c r="K1130" t="s">
        <v>62</v>
      </c>
      <c r="L1130" t="s">
        <v>58</v>
      </c>
      <c r="M1130" t="s">
        <v>58</v>
      </c>
      <c r="N1130">
        <v>4</v>
      </c>
      <c r="O1130">
        <v>2</v>
      </c>
      <c r="P1130">
        <v>5</v>
      </c>
      <c r="Q1130">
        <v>4</v>
      </c>
      <c r="R1130">
        <v>4</v>
      </c>
      <c r="S1130">
        <v>5</v>
      </c>
      <c r="T1130">
        <v>4</v>
      </c>
      <c r="U1130">
        <v>4</v>
      </c>
      <c r="V1130">
        <v>4</v>
      </c>
      <c r="W1130">
        <v>5</v>
      </c>
      <c r="X1130">
        <v>4</v>
      </c>
      <c r="Y1130">
        <v>5</v>
      </c>
      <c r="Z1130">
        <v>5</v>
      </c>
      <c r="AA1130">
        <v>4</v>
      </c>
      <c r="AB1130">
        <v>5</v>
      </c>
      <c r="AC1130">
        <v>4</v>
      </c>
      <c r="AD1130">
        <v>5</v>
      </c>
      <c r="AE1130">
        <v>4</v>
      </c>
      <c r="AF1130">
        <v>5</v>
      </c>
      <c r="AG1130">
        <v>4</v>
      </c>
      <c r="AH1130">
        <v>5</v>
      </c>
      <c r="AI1130">
        <v>1</v>
      </c>
      <c r="AJ1130">
        <v>1</v>
      </c>
      <c r="AK1130" t="b">
        <f>Table67[[#This Row],[What is your age?]]&lt;&gt;"18 - 25"</f>
        <v>0</v>
      </c>
      <c r="AL1130" t="b">
        <f t="shared" si="68"/>
        <v>0</v>
      </c>
      <c r="AM1130" t="b">
        <f t="shared" si="69"/>
        <v>1</v>
      </c>
      <c r="AN1130" t="b">
        <f t="shared" si="70"/>
        <v>0</v>
      </c>
      <c r="AO1130" t="b">
        <f>OR(Table67[[#This Row],[Ineligible respondents]:[Inconsistent response on opposite question (3)]])</f>
        <v>1</v>
      </c>
      <c r="AP113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1130">
        <f>Table67[[#This Row],[Extreme Response]]/21</f>
        <v>0.42857142857142855</v>
      </c>
      <c r="AR1130">
        <f>_xlfn.PERCENTILE.INC(Table67[Extrem Response Ratio (ERS)],0.9)</f>
        <v>0.61904761904761907</v>
      </c>
      <c r="AS1130" t="b">
        <f>Table67[[#This Row],[Extrem Response Ratio (ERS)]]&gt;=Table67[[#This Row],[Threshold of ERS]]</f>
        <v>0</v>
      </c>
      <c r="AT1130">
        <f>COUNTIF(Table67[[#This Row],[The mechanism of digital assets is difficult to understand, which discourages me from exploring it (E.g, Tokenization, Blockchain)]:[If I want to try different ways to invest, I will explore digital assets.]], 3)</f>
        <v>0</v>
      </c>
      <c r="AU1130">
        <f>Table67[[#This Row],[Midpoint]]/21</f>
        <v>0</v>
      </c>
      <c r="AV1130">
        <f>_xlfn.PERCENTILE.INC(Table67[Midpoint ratio],0.9)</f>
        <v>0.5714285714285714</v>
      </c>
      <c r="AW1130" t="b">
        <f>Table67[[#This Row],[Midpoint ratio]]&gt;=Table67[[#This Row],[Threshold of Midpoint ratio]]</f>
        <v>0</v>
      </c>
      <c r="AX1130" t="b">
        <f>OR(Table67[[#This Row],[Extreme Response Style]],Table67[[#This Row],[Mid-point Response Style]])</f>
        <v>0</v>
      </c>
      <c r="AY1130" t="b">
        <f>OR(Table67[[#This Row],[Delete? (Stage 1)]],Table67[[#This Row],[Delete? (Stage 2)]])</f>
        <v>1</v>
      </c>
      <c r="AZ1130" t="s">
        <v>84</v>
      </c>
    </row>
    <row r="1131" spans="1:52">
      <c r="A1131">
        <f t="shared" si="71"/>
        <v>1130</v>
      </c>
      <c r="B1131" s="3">
        <v>46056.892662036997</v>
      </c>
      <c r="C1131" s="3">
        <v>46056.894224536998</v>
      </c>
      <c r="D1131" t="s">
        <v>53</v>
      </c>
      <c r="G1131" t="s">
        <v>54</v>
      </c>
      <c r="H1131" t="s">
        <v>55</v>
      </c>
      <c r="I1131" t="s">
        <v>71</v>
      </c>
      <c r="J1131" t="s">
        <v>62</v>
      </c>
      <c r="K1131" t="s">
        <v>62</v>
      </c>
      <c r="L1131" t="s">
        <v>58</v>
      </c>
      <c r="M1131" t="s">
        <v>58</v>
      </c>
      <c r="N1131">
        <v>4</v>
      </c>
      <c r="O1131">
        <v>3</v>
      </c>
      <c r="P1131">
        <v>4</v>
      </c>
      <c r="Q1131">
        <v>3</v>
      </c>
      <c r="R1131">
        <v>3</v>
      </c>
      <c r="S1131">
        <v>2</v>
      </c>
      <c r="T1131">
        <v>4</v>
      </c>
      <c r="U1131">
        <v>3</v>
      </c>
      <c r="V1131">
        <v>2</v>
      </c>
      <c r="W1131">
        <v>4</v>
      </c>
      <c r="X1131">
        <v>4</v>
      </c>
      <c r="Y1131">
        <v>2</v>
      </c>
      <c r="Z1131">
        <v>4</v>
      </c>
      <c r="AA1131">
        <v>2</v>
      </c>
      <c r="AB1131">
        <v>4</v>
      </c>
      <c r="AC1131">
        <v>3</v>
      </c>
      <c r="AD1131">
        <v>2</v>
      </c>
      <c r="AE1131">
        <v>4</v>
      </c>
      <c r="AF1131">
        <v>3</v>
      </c>
      <c r="AG1131">
        <v>4</v>
      </c>
      <c r="AH1131">
        <v>3</v>
      </c>
      <c r="AI1131">
        <v>3</v>
      </c>
      <c r="AJ1131">
        <v>3</v>
      </c>
      <c r="AK1131" t="b">
        <f>Table67[[#This Row],[What is your age?]]&lt;&gt;"18 - 25"</f>
        <v>0</v>
      </c>
      <c r="AL1131" t="b">
        <f t="shared" si="68"/>
        <v>0</v>
      </c>
      <c r="AM1131" t="b">
        <f t="shared" si="69"/>
        <v>0</v>
      </c>
      <c r="AN1131" t="b">
        <f t="shared" si="70"/>
        <v>1</v>
      </c>
      <c r="AO1131" t="b">
        <f>OR(Table67[[#This Row],[Ineligible respondents]:[Inconsistent response on opposite question (3)]])</f>
        <v>1</v>
      </c>
      <c r="AP113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131">
        <f>Table67[[#This Row],[Extreme Response]]/21</f>
        <v>0</v>
      </c>
      <c r="AR1131">
        <f>_xlfn.PERCENTILE.INC(Table67[Extrem Response Ratio (ERS)],0.9)</f>
        <v>0.61904761904761907</v>
      </c>
      <c r="AS1131" t="b">
        <f>Table67[[#This Row],[Extrem Response Ratio (ERS)]]&gt;=Table67[[#This Row],[Threshold of ERS]]</f>
        <v>0</v>
      </c>
      <c r="AT1131">
        <f>COUNTIF(Table67[[#This Row],[The mechanism of digital assets is difficult to understand, which discourages me from exploring it (E.g, Tokenization, Blockchain)]:[If I want to try different ways to invest, I will explore digital assets.]], 3)</f>
        <v>7</v>
      </c>
      <c r="AU1131">
        <f>Table67[[#This Row],[Midpoint]]/21</f>
        <v>0.33333333333333331</v>
      </c>
      <c r="AV1131">
        <f>_xlfn.PERCENTILE.INC(Table67[Midpoint ratio],0.9)</f>
        <v>0.5714285714285714</v>
      </c>
      <c r="AW1131" t="b">
        <f>Table67[[#This Row],[Midpoint ratio]]&gt;=Table67[[#This Row],[Threshold of Midpoint ratio]]</f>
        <v>0</v>
      </c>
      <c r="AX1131" t="b">
        <f>OR(Table67[[#This Row],[Extreme Response Style]],Table67[[#This Row],[Mid-point Response Style]])</f>
        <v>0</v>
      </c>
      <c r="AY1131" t="b">
        <f>OR(Table67[[#This Row],[Delete? (Stage 1)]],Table67[[#This Row],[Delete? (Stage 2)]])</f>
        <v>1</v>
      </c>
      <c r="AZ1131" t="s">
        <v>84</v>
      </c>
    </row>
    <row r="1132" spans="1:52">
      <c r="A1132">
        <f t="shared" si="71"/>
        <v>1131</v>
      </c>
      <c r="B1132" s="3">
        <v>46056.892685185201</v>
      </c>
      <c r="C1132" s="3">
        <v>46056.895891203698</v>
      </c>
      <c r="D1132" t="s">
        <v>53</v>
      </c>
      <c r="G1132" t="s">
        <v>54</v>
      </c>
      <c r="H1132" t="s">
        <v>55</v>
      </c>
      <c r="I1132" t="s">
        <v>75</v>
      </c>
      <c r="J1132" t="s">
        <v>67</v>
      </c>
      <c r="K1132" t="s">
        <v>62</v>
      </c>
      <c r="L1132" t="s">
        <v>58</v>
      </c>
      <c r="M1132" t="s">
        <v>58</v>
      </c>
      <c r="N1132">
        <v>1</v>
      </c>
      <c r="O1132">
        <v>1</v>
      </c>
      <c r="P1132">
        <v>2</v>
      </c>
      <c r="Q1132">
        <v>2</v>
      </c>
      <c r="R1132">
        <v>1</v>
      </c>
      <c r="S1132">
        <v>2</v>
      </c>
      <c r="T1132">
        <v>1</v>
      </c>
      <c r="U1132">
        <v>1</v>
      </c>
      <c r="V1132">
        <v>1</v>
      </c>
      <c r="W1132">
        <v>1</v>
      </c>
      <c r="X1132">
        <v>2</v>
      </c>
      <c r="Y1132">
        <v>1</v>
      </c>
      <c r="Z1132">
        <v>3</v>
      </c>
      <c r="AA1132">
        <v>3</v>
      </c>
      <c r="AB1132">
        <v>2</v>
      </c>
      <c r="AC1132">
        <v>1</v>
      </c>
      <c r="AD1132">
        <v>3</v>
      </c>
      <c r="AE1132">
        <v>4</v>
      </c>
      <c r="AF1132">
        <v>5</v>
      </c>
      <c r="AG1132">
        <v>3</v>
      </c>
      <c r="AH1132">
        <v>4</v>
      </c>
      <c r="AI1132">
        <v>2</v>
      </c>
      <c r="AJ1132">
        <v>1</v>
      </c>
      <c r="AK1132" t="b">
        <f>Table67[[#This Row],[What is your age?]]&lt;&gt;"18 - 25"</f>
        <v>0</v>
      </c>
      <c r="AL1132" t="b">
        <f t="shared" si="68"/>
        <v>0</v>
      </c>
      <c r="AM1132" t="b">
        <f t="shared" si="69"/>
        <v>0</v>
      </c>
      <c r="AN1132" t="b">
        <f t="shared" si="70"/>
        <v>1</v>
      </c>
      <c r="AO1132" t="b">
        <f>OR(Table67[[#This Row],[Ineligible respondents]:[Inconsistent response on opposite question (3)]])</f>
        <v>1</v>
      </c>
      <c r="AP113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10</v>
      </c>
      <c r="AQ1132">
        <f>Table67[[#This Row],[Extreme Response]]/21</f>
        <v>0.47619047619047616</v>
      </c>
      <c r="AR1132">
        <f>_xlfn.PERCENTILE.INC(Table67[Extrem Response Ratio (ERS)],0.9)</f>
        <v>0.61904761904761907</v>
      </c>
      <c r="AS1132" t="b">
        <f>Table67[[#This Row],[Extrem Response Ratio (ERS)]]&gt;=Table67[[#This Row],[Threshold of ERS]]</f>
        <v>0</v>
      </c>
      <c r="AT1132">
        <f>COUNTIF(Table67[[#This Row],[The mechanism of digital assets is difficult to understand, which discourages me from exploring it (E.g, Tokenization, Blockchain)]:[If I want to try different ways to invest, I will explore digital assets.]], 3)</f>
        <v>4</v>
      </c>
      <c r="AU1132">
        <f>Table67[[#This Row],[Midpoint]]/21</f>
        <v>0.19047619047619047</v>
      </c>
      <c r="AV1132">
        <f>_xlfn.PERCENTILE.INC(Table67[Midpoint ratio],0.9)</f>
        <v>0.5714285714285714</v>
      </c>
      <c r="AW1132" t="b">
        <f>Table67[[#This Row],[Midpoint ratio]]&gt;=Table67[[#This Row],[Threshold of Midpoint ratio]]</f>
        <v>0</v>
      </c>
      <c r="AX1132" t="b">
        <f>OR(Table67[[#This Row],[Extreme Response Style]],Table67[[#This Row],[Mid-point Response Style]])</f>
        <v>0</v>
      </c>
      <c r="AY1132" t="b">
        <f>OR(Table67[[#This Row],[Delete? (Stage 1)]],Table67[[#This Row],[Delete? (Stage 2)]])</f>
        <v>1</v>
      </c>
      <c r="AZ1132" t="s">
        <v>84</v>
      </c>
    </row>
    <row r="1133" spans="1:52">
      <c r="A1133">
        <f t="shared" si="71"/>
        <v>1132</v>
      </c>
      <c r="B1133" s="3">
        <v>46056.8927430556</v>
      </c>
      <c r="C1133" s="3">
        <v>46056.894942129598</v>
      </c>
      <c r="D1133" t="s">
        <v>53</v>
      </c>
      <c r="G1133" t="s">
        <v>54</v>
      </c>
      <c r="H1133" t="s">
        <v>63</v>
      </c>
      <c r="I1133" t="s">
        <v>71</v>
      </c>
      <c r="J1133" t="s">
        <v>57</v>
      </c>
      <c r="K1133" t="s">
        <v>57</v>
      </c>
      <c r="L1133" t="s">
        <v>58</v>
      </c>
      <c r="M1133" t="s">
        <v>58</v>
      </c>
      <c r="N1133">
        <v>2</v>
      </c>
      <c r="O1133">
        <v>2</v>
      </c>
      <c r="P1133">
        <v>5</v>
      </c>
      <c r="Q1133">
        <v>3</v>
      </c>
      <c r="R1133">
        <v>2</v>
      </c>
      <c r="S1133">
        <v>4</v>
      </c>
      <c r="T1133">
        <v>2</v>
      </c>
      <c r="U1133">
        <v>2</v>
      </c>
      <c r="V1133">
        <v>4</v>
      </c>
      <c r="W1133">
        <v>2</v>
      </c>
      <c r="X1133">
        <v>1</v>
      </c>
      <c r="Y1133">
        <v>3</v>
      </c>
      <c r="Z1133">
        <v>3</v>
      </c>
      <c r="AA1133">
        <v>2</v>
      </c>
      <c r="AB1133">
        <v>3</v>
      </c>
      <c r="AC1133">
        <v>2</v>
      </c>
      <c r="AD1133">
        <v>3</v>
      </c>
      <c r="AE1133">
        <v>4</v>
      </c>
      <c r="AF1133">
        <v>4</v>
      </c>
      <c r="AG1133">
        <v>1</v>
      </c>
      <c r="AH1133">
        <v>3</v>
      </c>
      <c r="AI1133">
        <v>3</v>
      </c>
      <c r="AJ1133">
        <v>2</v>
      </c>
      <c r="AK1133" t="b">
        <f>Table67[[#This Row],[What is your age?]]&lt;&gt;"18 - 25"</f>
        <v>0</v>
      </c>
      <c r="AL1133" t="b">
        <f t="shared" si="68"/>
        <v>0</v>
      </c>
      <c r="AM1133" t="b">
        <f t="shared" si="69"/>
        <v>0</v>
      </c>
      <c r="AN1133" t="b">
        <f t="shared" si="70"/>
        <v>1</v>
      </c>
      <c r="AO1133" t="b">
        <f>OR(Table67[[#This Row],[Ineligible respondents]:[Inconsistent response on opposite question (3)]])</f>
        <v>1</v>
      </c>
      <c r="AP113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133">
        <f>Table67[[#This Row],[Extreme Response]]/21</f>
        <v>0.14285714285714285</v>
      </c>
      <c r="AR1133">
        <f>_xlfn.PERCENTILE.INC(Table67[Extrem Response Ratio (ERS)],0.9)</f>
        <v>0.61904761904761907</v>
      </c>
      <c r="AS1133" t="b">
        <f>Table67[[#This Row],[Extrem Response Ratio (ERS)]]&gt;=Table67[[#This Row],[Threshold of ERS]]</f>
        <v>0</v>
      </c>
      <c r="AT1133">
        <f>COUNTIF(Table67[[#This Row],[The mechanism of digital assets is difficult to understand, which discourages me from exploring it (E.g, Tokenization, Blockchain)]:[If I want to try different ways to invest, I will explore digital assets.]], 3)</f>
        <v>6</v>
      </c>
      <c r="AU1133">
        <f>Table67[[#This Row],[Midpoint]]/21</f>
        <v>0.2857142857142857</v>
      </c>
      <c r="AV1133">
        <f>_xlfn.PERCENTILE.INC(Table67[Midpoint ratio],0.9)</f>
        <v>0.5714285714285714</v>
      </c>
      <c r="AW1133" t="b">
        <f>Table67[[#This Row],[Midpoint ratio]]&gt;=Table67[[#This Row],[Threshold of Midpoint ratio]]</f>
        <v>0</v>
      </c>
      <c r="AX1133" t="b">
        <f>OR(Table67[[#This Row],[Extreme Response Style]],Table67[[#This Row],[Mid-point Response Style]])</f>
        <v>0</v>
      </c>
      <c r="AY1133" t="b">
        <f>OR(Table67[[#This Row],[Delete? (Stage 1)]],Table67[[#This Row],[Delete? (Stage 2)]])</f>
        <v>1</v>
      </c>
      <c r="AZ1133" t="s">
        <v>84</v>
      </c>
    </row>
    <row r="1134" spans="1:52">
      <c r="A1134">
        <f t="shared" si="71"/>
        <v>1133</v>
      </c>
      <c r="B1134" s="3">
        <v>46056.892847222203</v>
      </c>
      <c r="C1134" s="3">
        <v>46056.895277777803</v>
      </c>
      <c r="D1134" t="s">
        <v>53</v>
      </c>
      <c r="G1134" t="s">
        <v>54</v>
      </c>
      <c r="H1134" t="s">
        <v>63</v>
      </c>
      <c r="I1134" t="s">
        <v>56</v>
      </c>
      <c r="J1134" t="s">
        <v>60</v>
      </c>
      <c r="K1134" t="s">
        <v>57</v>
      </c>
      <c r="L1134" t="s">
        <v>58</v>
      </c>
      <c r="M1134" t="s">
        <v>58</v>
      </c>
      <c r="N1134">
        <v>4</v>
      </c>
      <c r="O1134">
        <v>3</v>
      </c>
      <c r="P1134">
        <v>4</v>
      </c>
      <c r="Q1134">
        <v>3</v>
      </c>
      <c r="R1134">
        <v>4</v>
      </c>
      <c r="S1134">
        <v>4</v>
      </c>
      <c r="T1134">
        <v>3</v>
      </c>
      <c r="U1134">
        <v>4</v>
      </c>
      <c r="V1134">
        <v>4</v>
      </c>
      <c r="W1134">
        <v>4</v>
      </c>
      <c r="X1134">
        <v>3</v>
      </c>
      <c r="Y1134">
        <v>3</v>
      </c>
      <c r="Z1134">
        <v>4</v>
      </c>
      <c r="AA1134">
        <v>4</v>
      </c>
      <c r="AB1134">
        <v>4</v>
      </c>
      <c r="AC1134">
        <v>4</v>
      </c>
      <c r="AD1134">
        <v>4</v>
      </c>
      <c r="AE1134">
        <v>4</v>
      </c>
      <c r="AF1134">
        <v>3</v>
      </c>
      <c r="AG1134">
        <v>3</v>
      </c>
      <c r="AH1134">
        <v>4</v>
      </c>
      <c r="AI1134">
        <v>2</v>
      </c>
      <c r="AJ1134">
        <v>3</v>
      </c>
      <c r="AK1134" t="b">
        <f>Table67[[#This Row],[What is your age?]]&lt;&gt;"18 - 25"</f>
        <v>0</v>
      </c>
      <c r="AL1134" t="b">
        <f t="shared" si="68"/>
        <v>0</v>
      </c>
      <c r="AM1134" t="b">
        <f t="shared" si="69"/>
        <v>0</v>
      </c>
      <c r="AN1134" t="b">
        <f t="shared" si="70"/>
        <v>1</v>
      </c>
      <c r="AO1134" t="b">
        <f>OR(Table67[[#This Row],[Ineligible respondents]:[Inconsistent response on opposite question (3)]])</f>
        <v>1</v>
      </c>
      <c r="AP113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134">
        <f>Table67[[#This Row],[Extreme Response]]/21</f>
        <v>0</v>
      </c>
      <c r="AR1134">
        <f>_xlfn.PERCENTILE.INC(Table67[Extrem Response Ratio (ERS)],0.9)</f>
        <v>0.61904761904761907</v>
      </c>
      <c r="AS1134" t="b">
        <f>Table67[[#This Row],[Extrem Response Ratio (ERS)]]&gt;=Table67[[#This Row],[Threshold of ERS]]</f>
        <v>0</v>
      </c>
      <c r="AT1134">
        <f>COUNTIF(Table67[[#This Row],[The mechanism of digital assets is difficult to understand, which discourages me from exploring it (E.g, Tokenization, Blockchain)]:[If I want to try different ways to invest, I will explore digital assets.]], 3)</f>
        <v>7</v>
      </c>
      <c r="AU1134">
        <f>Table67[[#This Row],[Midpoint]]/21</f>
        <v>0.33333333333333331</v>
      </c>
      <c r="AV1134">
        <f>_xlfn.PERCENTILE.INC(Table67[Midpoint ratio],0.9)</f>
        <v>0.5714285714285714</v>
      </c>
      <c r="AW1134" t="b">
        <f>Table67[[#This Row],[Midpoint ratio]]&gt;=Table67[[#This Row],[Threshold of Midpoint ratio]]</f>
        <v>0</v>
      </c>
      <c r="AX1134" t="b">
        <f>OR(Table67[[#This Row],[Extreme Response Style]],Table67[[#This Row],[Mid-point Response Style]])</f>
        <v>0</v>
      </c>
      <c r="AY1134" t="b">
        <f>OR(Table67[[#This Row],[Delete? (Stage 1)]],Table67[[#This Row],[Delete? (Stage 2)]])</f>
        <v>1</v>
      </c>
      <c r="AZ1134" t="s">
        <v>84</v>
      </c>
    </row>
    <row r="1135" spans="1:52">
      <c r="A1135">
        <f t="shared" si="71"/>
        <v>1134</v>
      </c>
      <c r="B1135" s="3">
        <v>46056.8928703704</v>
      </c>
      <c r="C1135" s="3">
        <v>46056.895995370403</v>
      </c>
      <c r="D1135" t="s">
        <v>53</v>
      </c>
      <c r="G1135" t="s">
        <v>54</v>
      </c>
      <c r="H1135" t="s">
        <v>55</v>
      </c>
      <c r="I1135" t="s">
        <v>69</v>
      </c>
      <c r="J1135" t="s">
        <v>62</v>
      </c>
      <c r="K1135" t="s">
        <v>57</v>
      </c>
      <c r="L1135" t="s">
        <v>58</v>
      </c>
      <c r="M1135" t="s">
        <v>58</v>
      </c>
      <c r="N1135">
        <v>5</v>
      </c>
      <c r="O1135">
        <v>4</v>
      </c>
      <c r="P1135">
        <v>5</v>
      </c>
      <c r="Q1135">
        <v>1</v>
      </c>
      <c r="R1135">
        <v>5</v>
      </c>
      <c r="S1135">
        <v>5</v>
      </c>
      <c r="T1135">
        <v>2</v>
      </c>
      <c r="U1135">
        <v>5</v>
      </c>
      <c r="V1135">
        <v>5</v>
      </c>
      <c r="W1135">
        <v>5</v>
      </c>
      <c r="X1135">
        <v>5</v>
      </c>
      <c r="Y1135">
        <v>5</v>
      </c>
      <c r="Z1135">
        <v>3</v>
      </c>
      <c r="AA1135">
        <v>3</v>
      </c>
      <c r="AB1135">
        <v>3</v>
      </c>
      <c r="AC1135">
        <v>1</v>
      </c>
      <c r="AD1135">
        <v>5</v>
      </c>
      <c r="AE1135">
        <v>5</v>
      </c>
      <c r="AF1135">
        <v>5</v>
      </c>
      <c r="AG1135">
        <v>3</v>
      </c>
      <c r="AH1135">
        <v>4</v>
      </c>
      <c r="AI1135">
        <v>2</v>
      </c>
      <c r="AJ1135">
        <v>1</v>
      </c>
      <c r="AK1135" t="b">
        <f>Table67[[#This Row],[What is your age?]]&lt;&gt;"18 - 25"</f>
        <v>0</v>
      </c>
      <c r="AL1135" t="b">
        <f t="shared" si="68"/>
        <v>0</v>
      </c>
      <c r="AM1135" t="b">
        <f t="shared" si="69"/>
        <v>0</v>
      </c>
      <c r="AN1135" t="b">
        <f t="shared" si="70"/>
        <v>1</v>
      </c>
      <c r="AO1135" t="b">
        <f>OR(Table67[[#This Row],[Ineligible respondents]:[Inconsistent response on opposite question (3)]])</f>
        <v>1</v>
      </c>
      <c r="AP113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1135">
        <f>Table67[[#This Row],[Extreme Response]]/21</f>
        <v>0.66666666666666663</v>
      </c>
      <c r="AR1135">
        <f>_xlfn.PERCENTILE.INC(Table67[Extrem Response Ratio (ERS)],0.9)</f>
        <v>0.61904761904761907</v>
      </c>
      <c r="AS1135" t="b">
        <f>Table67[[#This Row],[Extrem Response Ratio (ERS)]]&gt;=Table67[[#This Row],[Threshold of ERS]]</f>
        <v>1</v>
      </c>
      <c r="AT1135">
        <f>COUNTIF(Table67[[#This Row],[The mechanism of digital assets is difficult to understand, which discourages me from exploring it (E.g, Tokenization, Blockchain)]:[If I want to try different ways to invest, I will explore digital assets.]], 3)</f>
        <v>4</v>
      </c>
      <c r="AU1135">
        <f>Table67[[#This Row],[Midpoint]]/21</f>
        <v>0.19047619047619047</v>
      </c>
      <c r="AV1135">
        <f>_xlfn.PERCENTILE.INC(Table67[Midpoint ratio],0.9)</f>
        <v>0.5714285714285714</v>
      </c>
      <c r="AW1135" t="b">
        <f>Table67[[#This Row],[Midpoint ratio]]&gt;=Table67[[#This Row],[Threshold of Midpoint ratio]]</f>
        <v>0</v>
      </c>
      <c r="AX1135" t="b">
        <f>OR(Table67[[#This Row],[Extreme Response Style]],Table67[[#This Row],[Mid-point Response Style]])</f>
        <v>1</v>
      </c>
      <c r="AY1135" t="b">
        <f>OR(Table67[[#This Row],[Delete? (Stage 1)]],Table67[[#This Row],[Delete? (Stage 2)]])</f>
        <v>1</v>
      </c>
      <c r="AZ1135" t="s">
        <v>84</v>
      </c>
    </row>
    <row r="1136" spans="1:52">
      <c r="A1136">
        <f t="shared" si="71"/>
        <v>1135</v>
      </c>
      <c r="B1136" s="3">
        <v>46056.893136574101</v>
      </c>
      <c r="C1136" s="3">
        <v>46056.895567129599</v>
      </c>
      <c r="D1136" t="s">
        <v>53</v>
      </c>
      <c r="G1136" t="s">
        <v>54</v>
      </c>
      <c r="H1136" t="s">
        <v>63</v>
      </c>
      <c r="I1136" t="s">
        <v>56</v>
      </c>
      <c r="J1136" t="s">
        <v>62</v>
      </c>
      <c r="K1136" t="s">
        <v>62</v>
      </c>
      <c r="L1136" t="s">
        <v>58</v>
      </c>
      <c r="M1136" t="s">
        <v>58</v>
      </c>
      <c r="N1136">
        <v>3</v>
      </c>
      <c r="O1136">
        <v>2</v>
      </c>
      <c r="P1136">
        <v>2</v>
      </c>
      <c r="Q1136">
        <v>3</v>
      </c>
      <c r="R1136">
        <v>2</v>
      </c>
      <c r="S1136">
        <v>3</v>
      </c>
      <c r="T1136">
        <v>2</v>
      </c>
      <c r="U1136">
        <v>4</v>
      </c>
      <c r="V1136">
        <v>4</v>
      </c>
      <c r="W1136">
        <v>2</v>
      </c>
      <c r="X1136">
        <v>4</v>
      </c>
      <c r="Y1136">
        <v>4</v>
      </c>
      <c r="Z1136">
        <v>3</v>
      </c>
      <c r="AA1136">
        <v>3</v>
      </c>
      <c r="AB1136">
        <v>3</v>
      </c>
      <c r="AC1136">
        <v>4</v>
      </c>
      <c r="AD1136">
        <v>4</v>
      </c>
      <c r="AE1136">
        <v>4</v>
      </c>
      <c r="AF1136">
        <v>3</v>
      </c>
      <c r="AG1136">
        <v>3</v>
      </c>
      <c r="AH1136">
        <v>3</v>
      </c>
      <c r="AI1136">
        <v>3</v>
      </c>
      <c r="AJ1136">
        <v>3</v>
      </c>
      <c r="AK1136" t="b">
        <f>Table67[[#This Row],[What is your age?]]&lt;&gt;"18 - 25"</f>
        <v>0</v>
      </c>
      <c r="AL1136" t="b">
        <f t="shared" si="68"/>
        <v>0</v>
      </c>
      <c r="AM1136" t="b">
        <f t="shared" si="69"/>
        <v>0</v>
      </c>
      <c r="AN1136" t="b">
        <f t="shared" si="70"/>
        <v>0</v>
      </c>
      <c r="AO1136" t="b">
        <f>OR(Table67[[#This Row],[Ineligible respondents]:[Inconsistent response on opposite question (3)]])</f>
        <v>0</v>
      </c>
      <c r="AP113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136">
        <f>Table67[[#This Row],[Extreme Response]]/21</f>
        <v>0</v>
      </c>
      <c r="AR1136">
        <f>_xlfn.PERCENTILE.INC(Table67[Extrem Response Ratio (ERS)],0.9)</f>
        <v>0.61904761904761907</v>
      </c>
      <c r="AS1136" t="b">
        <f>Table67[[#This Row],[Extrem Response Ratio (ERS)]]&gt;=Table67[[#This Row],[Threshold of ERS]]</f>
        <v>0</v>
      </c>
      <c r="AT1136">
        <f>COUNTIF(Table67[[#This Row],[The mechanism of digital assets is difficult to understand, which discourages me from exploring it (E.g, Tokenization, Blockchain)]:[If I want to try different ways to invest, I will explore digital assets.]], 3)</f>
        <v>9</v>
      </c>
      <c r="AU1136">
        <f>Table67[[#This Row],[Midpoint]]/21</f>
        <v>0.42857142857142855</v>
      </c>
      <c r="AV1136">
        <f>_xlfn.PERCENTILE.INC(Table67[Midpoint ratio],0.9)</f>
        <v>0.5714285714285714</v>
      </c>
      <c r="AW1136" t="b">
        <f>Table67[[#This Row],[Midpoint ratio]]&gt;=Table67[[#This Row],[Threshold of Midpoint ratio]]</f>
        <v>0</v>
      </c>
      <c r="AX1136" t="b">
        <f>OR(Table67[[#This Row],[Extreme Response Style]],Table67[[#This Row],[Mid-point Response Style]])</f>
        <v>0</v>
      </c>
      <c r="AY1136" t="b">
        <f>OR(Table67[[#This Row],[Delete? (Stage 1)]],Table67[[#This Row],[Delete? (Stage 2)]])</f>
        <v>0</v>
      </c>
      <c r="AZ1136" t="s">
        <v>84</v>
      </c>
    </row>
    <row r="1137" spans="1:52">
      <c r="A1137">
        <f t="shared" si="71"/>
        <v>1136</v>
      </c>
      <c r="B1137" s="3">
        <v>46056.893807870401</v>
      </c>
      <c r="C1137" s="3">
        <v>46056.901377314804</v>
      </c>
      <c r="D1137" t="s">
        <v>53</v>
      </c>
      <c r="G1137" t="s">
        <v>54</v>
      </c>
      <c r="H1137" t="s">
        <v>55</v>
      </c>
      <c r="I1137" t="s">
        <v>75</v>
      </c>
      <c r="J1137" t="s">
        <v>62</v>
      </c>
      <c r="K1137" t="s">
        <v>62</v>
      </c>
      <c r="L1137" t="s">
        <v>61</v>
      </c>
      <c r="M1137" t="s">
        <v>61</v>
      </c>
      <c r="N1137">
        <v>4</v>
      </c>
      <c r="O1137">
        <v>2</v>
      </c>
      <c r="P1137">
        <v>5</v>
      </c>
      <c r="Q1137">
        <v>4</v>
      </c>
      <c r="R1137">
        <v>4</v>
      </c>
      <c r="S1137">
        <v>4</v>
      </c>
      <c r="T1137">
        <v>4</v>
      </c>
      <c r="U1137">
        <v>4</v>
      </c>
      <c r="V1137">
        <v>5</v>
      </c>
      <c r="W1137">
        <v>5</v>
      </c>
      <c r="X1137">
        <v>5</v>
      </c>
      <c r="Y1137">
        <v>5</v>
      </c>
      <c r="Z1137">
        <v>5</v>
      </c>
      <c r="AA1137">
        <v>5</v>
      </c>
      <c r="AB1137">
        <v>3</v>
      </c>
      <c r="AC1137">
        <v>4</v>
      </c>
      <c r="AD1137">
        <v>5</v>
      </c>
      <c r="AE1137">
        <v>4</v>
      </c>
      <c r="AF1137">
        <v>3</v>
      </c>
      <c r="AG1137">
        <v>3</v>
      </c>
      <c r="AH1137">
        <v>3</v>
      </c>
      <c r="AI1137">
        <v>3</v>
      </c>
      <c r="AJ1137">
        <v>3</v>
      </c>
      <c r="AK1137" t="b">
        <f>Table67[[#This Row],[What is your age?]]&lt;&gt;"18 - 25"</f>
        <v>0</v>
      </c>
      <c r="AL1137" t="b">
        <f t="shared" si="68"/>
        <v>0</v>
      </c>
      <c r="AM1137" t="b">
        <f t="shared" si="69"/>
        <v>0</v>
      </c>
      <c r="AN1137" t="b">
        <f t="shared" si="70"/>
        <v>0</v>
      </c>
      <c r="AO1137" t="b">
        <f>OR(Table67[[#This Row],[Ineligible respondents]:[Inconsistent response on opposite question (3)]])</f>
        <v>0</v>
      </c>
      <c r="AP113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1137">
        <f>Table67[[#This Row],[Extreme Response]]/21</f>
        <v>0.38095238095238093</v>
      </c>
      <c r="AR1137">
        <f>_xlfn.PERCENTILE.INC(Table67[Extrem Response Ratio (ERS)],0.9)</f>
        <v>0.61904761904761907</v>
      </c>
      <c r="AS1137" t="b">
        <f>Table67[[#This Row],[Extrem Response Ratio (ERS)]]&gt;=Table67[[#This Row],[Threshold of ERS]]</f>
        <v>0</v>
      </c>
      <c r="AT1137">
        <f>COUNTIF(Table67[[#This Row],[The mechanism of digital assets is difficult to understand, which discourages me from exploring it (E.g, Tokenization, Blockchain)]:[If I want to try different ways to invest, I will explore digital assets.]], 3)</f>
        <v>4</v>
      </c>
      <c r="AU1137">
        <f>Table67[[#This Row],[Midpoint]]/21</f>
        <v>0.19047619047619047</v>
      </c>
      <c r="AV1137">
        <f>_xlfn.PERCENTILE.INC(Table67[Midpoint ratio],0.9)</f>
        <v>0.5714285714285714</v>
      </c>
      <c r="AW1137" t="b">
        <f>Table67[[#This Row],[Midpoint ratio]]&gt;=Table67[[#This Row],[Threshold of Midpoint ratio]]</f>
        <v>0</v>
      </c>
      <c r="AX1137" t="b">
        <f>OR(Table67[[#This Row],[Extreme Response Style]],Table67[[#This Row],[Mid-point Response Style]])</f>
        <v>0</v>
      </c>
      <c r="AY1137" t="b">
        <f>OR(Table67[[#This Row],[Delete? (Stage 1)]],Table67[[#This Row],[Delete? (Stage 2)]])</f>
        <v>0</v>
      </c>
      <c r="AZ1137" t="s">
        <v>84</v>
      </c>
    </row>
    <row r="1138" spans="1:52">
      <c r="A1138">
        <f t="shared" si="71"/>
        <v>1137</v>
      </c>
      <c r="B1138" s="3">
        <v>46056.894270833298</v>
      </c>
      <c r="C1138" s="3">
        <v>46056.896076388897</v>
      </c>
      <c r="D1138" t="s">
        <v>53</v>
      </c>
      <c r="G1138" t="s">
        <v>54</v>
      </c>
      <c r="H1138" t="s">
        <v>55</v>
      </c>
      <c r="I1138" t="s">
        <v>71</v>
      </c>
      <c r="J1138" t="s">
        <v>60</v>
      </c>
      <c r="K1138" t="s">
        <v>72</v>
      </c>
      <c r="L1138" t="s">
        <v>58</v>
      </c>
      <c r="M1138" t="s">
        <v>58</v>
      </c>
      <c r="N1138">
        <v>4</v>
      </c>
      <c r="O1138">
        <v>1</v>
      </c>
      <c r="P1138">
        <v>5</v>
      </c>
      <c r="Q1138">
        <v>4</v>
      </c>
      <c r="R1138">
        <v>1</v>
      </c>
      <c r="S1138">
        <v>3</v>
      </c>
      <c r="T1138">
        <v>3</v>
      </c>
      <c r="U1138">
        <v>5</v>
      </c>
      <c r="V1138">
        <v>3</v>
      </c>
      <c r="W1138">
        <v>1</v>
      </c>
      <c r="X1138">
        <v>1</v>
      </c>
      <c r="Y1138">
        <v>3</v>
      </c>
      <c r="Z1138">
        <v>2</v>
      </c>
      <c r="AA1138">
        <v>4</v>
      </c>
      <c r="AB1138">
        <v>5</v>
      </c>
      <c r="AC1138">
        <v>5</v>
      </c>
      <c r="AD1138">
        <v>5</v>
      </c>
      <c r="AE1138">
        <v>2</v>
      </c>
      <c r="AF1138">
        <v>2</v>
      </c>
      <c r="AG1138">
        <v>5</v>
      </c>
      <c r="AH1138">
        <v>3</v>
      </c>
      <c r="AI1138">
        <v>3</v>
      </c>
      <c r="AJ1138">
        <v>4</v>
      </c>
      <c r="AK1138" t="b">
        <f>Table67[[#This Row],[What is your age?]]&lt;&gt;"18 - 25"</f>
        <v>0</v>
      </c>
      <c r="AL1138" t="b">
        <f t="shared" si="68"/>
        <v>0</v>
      </c>
      <c r="AM1138" t="b">
        <f t="shared" si="69"/>
        <v>0</v>
      </c>
      <c r="AN1138" t="b">
        <f t="shared" si="70"/>
        <v>1</v>
      </c>
      <c r="AO1138" t="b">
        <f>OR(Table67[[#This Row],[Ineligible respondents]:[Inconsistent response on opposite question (3)]])</f>
        <v>1</v>
      </c>
      <c r="AP113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10</v>
      </c>
      <c r="AQ1138">
        <f>Table67[[#This Row],[Extreme Response]]/21</f>
        <v>0.47619047619047616</v>
      </c>
      <c r="AR1138">
        <f>_xlfn.PERCENTILE.INC(Table67[Extrem Response Ratio (ERS)],0.9)</f>
        <v>0.61904761904761907</v>
      </c>
      <c r="AS1138" t="b">
        <f>Table67[[#This Row],[Extrem Response Ratio (ERS)]]&gt;=Table67[[#This Row],[Threshold of ERS]]</f>
        <v>0</v>
      </c>
      <c r="AT1138">
        <f>COUNTIF(Table67[[#This Row],[The mechanism of digital assets is difficult to understand, which discourages me from exploring it (E.g, Tokenization, Blockchain)]:[If I want to try different ways to invest, I will explore digital assets.]], 3)</f>
        <v>5</v>
      </c>
      <c r="AU1138">
        <f>Table67[[#This Row],[Midpoint]]/21</f>
        <v>0.23809523809523808</v>
      </c>
      <c r="AV1138">
        <f>_xlfn.PERCENTILE.INC(Table67[Midpoint ratio],0.9)</f>
        <v>0.5714285714285714</v>
      </c>
      <c r="AW1138" t="b">
        <f>Table67[[#This Row],[Midpoint ratio]]&gt;=Table67[[#This Row],[Threshold of Midpoint ratio]]</f>
        <v>0</v>
      </c>
      <c r="AX1138" t="b">
        <f>OR(Table67[[#This Row],[Extreme Response Style]],Table67[[#This Row],[Mid-point Response Style]])</f>
        <v>0</v>
      </c>
      <c r="AY1138" t="b">
        <f>OR(Table67[[#This Row],[Delete? (Stage 1)]],Table67[[#This Row],[Delete? (Stage 2)]])</f>
        <v>1</v>
      </c>
      <c r="AZ1138" t="s">
        <v>84</v>
      </c>
    </row>
    <row r="1139" spans="1:52">
      <c r="A1139">
        <f t="shared" si="71"/>
        <v>1138</v>
      </c>
      <c r="B1139" s="3">
        <v>46056.894270833298</v>
      </c>
      <c r="C1139" s="3">
        <v>46056.904895833301</v>
      </c>
      <c r="D1139" t="s">
        <v>53</v>
      </c>
      <c r="G1139" t="s">
        <v>54</v>
      </c>
      <c r="H1139" t="s">
        <v>63</v>
      </c>
      <c r="I1139" t="s">
        <v>56</v>
      </c>
      <c r="J1139" t="s">
        <v>62</v>
      </c>
      <c r="K1139" t="s">
        <v>62</v>
      </c>
      <c r="L1139" t="s">
        <v>61</v>
      </c>
      <c r="M1139" t="s">
        <v>58</v>
      </c>
      <c r="N1139">
        <v>2</v>
      </c>
      <c r="O1139">
        <v>3</v>
      </c>
      <c r="P1139">
        <v>4</v>
      </c>
      <c r="Q1139">
        <v>3</v>
      </c>
      <c r="R1139">
        <v>4</v>
      </c>
      <c r="S1139">
        <v>4</v>
      </c>
      <c r="T1139">
        <v>3</v>
      </c>
      <c r="U1139">
        <v>3</v>
      </c>
      <c r="V1139">
        <v>5</v>
      </c>
      <c r="W1139">
        <v>5</v>
      </c>
      <c r="X1139">
        <v>3</v>
      </c>
      <c r="Y1139">
        <v>5</v>
      </c>
      <c r="Z1139">
        <v>4</v>
      </c>
      <c r="AA1139">
        <v>3</v>
      </c>
      <c r="AB1139">
        <v>3</v>
      </c>
      <c r="AC1139">
        <v>3</v>
      </c>
      <c r="AD1139">
        <v>5</v>
      </c>
      <c r="AE1139">
        <v>3</v>
      </c>
      <c r="AF1139">
        <v>3</v>
      </c>
      <c r="AG1139">
        <v>3</v>
      </c>
      <c r="AH1139">
        <v>3</v>
      </c>
      <c r="AI1139">
        <v>3</v>
      </c>
      <c r="AJ1139">
        <v>3</v>
      </c>
      <c r="AK1139" t="b">
        <f>Table67[[#This Row],[What is your age?]]&lt;&gt;"18 - 25"</f>
        <v>0</v>
      </c>
      <c r="AL1139" t="b">
        <f t="shared" si="68"/>
        <v>0</v>
      </c>
      <c r="AM1139" t="b">
        <f t="shared" si="69"/>
        <v>0</v>
      </c>
      <c r="AN1139" t="b">
        <f t="shared" si="70"/>
        <v>0</v>
      </c>
      <c r="AO1139" t="b">
        <f>OR(Table67[[#This Row],[Ineligible respondents]:[Inconsistent response on opposite question (3)]])</f>
        <v>0</v>
      </c>
      <c r="AP113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139">
        <f>Table67[[#This Row],[Extreme Response]]/21</f>
        <v>0.19047619047619047</v>
      </c>
      <c r="AR1139">
        <f>_xlfn.PERCENTILE.INC(Table67[Extrem Response Ratio (ERS)],0.9)</f>
        <v>0.61904761904761907</v>
      </c>
      <c r="AS1139" t="b">
        <f>Table67[[#This Row],[Extrem Response Ratio (ERS)]]&gt;=Table67[[#This Row],[Threshold of ERS]]</f>
        <v>0</v>
      </c>
      <c r="AT1139">
        <f>COUNTIF(Table67[[#This Row],[The mechanism of digital assets is difficult to understand, which discourages me from exploring it (E.g, Tokenization, Blockchain)]:[If I want to try different ways to invest, I will explore digital assets.]], 3)</f>
        <v>12</v>
      </c>
      <c r="AU1139">
        <f>Table67[[#This Row],[Midpoint]]/21</f>
        <v>0.5714285714285714</v>
      </c>
      <c r="AV1139">
        <f>_xlfn.PERCENTILE.INC(Table67[Midpoint ratio],0.9)</f>
        <v>0.5714285714285714</v>
      </c>
      <c r="AW1139" t="b">
        <f>Table67[[#This Row],[Midpoint ratio]]&gt;=Table67[[#This Row],[Threshold of Midpoint ratio]]</f>
        <v>1</v>
      </c>
      <c r="AX1139" t="b">
        <f>OR(Table67[[#This Row],[Extreme Response Style]],Table67[[#This Row],[Mid-point Response Style]])</f>
        <v>1</v>
      </c>
      <c r="AY1139" t="b">
        <f>OR(Table67[[#This Row],[Delete? (Stage 1)]],Table67[[#This Row],[Delete? (Stage 2)]])</f>
        <v>1</v>
      </c>
      <c r="AZ1139" t="s">
        <v>84</v>
      </c>
    </row>
    <row r="1140" spans="1:52">
      <c r="A1140">
        <f t="shared" si="71"/>
        <v>1139</v>
      </c>
      <c r="B1140" s="3">
        <v>46056.894421296303</v>
      </c>
      <c r="C1140" s="3">
        <v>46056.9037731481</v>
      </c>
      <c r="D1140" t="s">
        <v>53</v>
      </c>
      <c r="G1140" t="s">
        <v>54</v>
      </c>
      <c r="H1140" t="s">
        <v>55</v>
      </c>
      <c r="I1140" t="s">
        <v>56</v>
      </c>
      <c r="J1140" t="s">
        <v>62</v>
      </c>
      <c r="K1140" t="s">
        <v>57</v>
      </c>
      <c r="L1140" t="s">
        <v>58</v>
      </c>
      <c r="M1140" t="s">
        <v>58</v>
      </c>
      <c r="N1140">
        <v>2</v>
      </c>
      <c r="O1140">
        <v>3</v>
      </c>
      <c r="P1140">
        <v>4</v>
      </c>
      <c r="Q1140">
        <v>3</v>
      </c>
      <c r="R1140">
        <v>2</v>
      </c>
      <c r="S1140">
        <v>2</v>
      </c>
      <c r="T1140">
        <v>3</v>
      </c>
      <c r="U1140">
        <v>4</v>
      </c>
      <c r="V1140">
        <v>3</v>
      </c>
      <c r="W1140">
        <v>4</v>
      </c>
      <c r="X1140">
        <v>4</v>
      </c>
      <c r="Y1140">
        <v>3</v>
      </c>
      <c r="Z1140">
        <v>4</v>
      </c>
      <c r="AA1140">
        <v>3</v>
      </c>
      <c r="AB1140">
        <v>4</v>
      </c>
      <c r="AC1140">
        <v>3</v>
      </c>
      <c r="AD1140">
        <v>5</v>
      </c>
      <c r="AE1140">
        <v>2</v>
      </c>
      <c r="AF1140">
        <v>3</v>
      </c>
      <c r="AG1140">
        <v>4</v>
      </c>
      <c r="AH1140">
        <v>3</v>
      </c>
      <c r="AI1140">
        <v>3</v>
      </c>
      <c r="AJ1140">
        <v>3</v>
      </c>
      <c r="AK1140" t="b">
        <f>Table67[[#This Row],[What is your age?]]&lt;&gt;"18 - 25"</f>
        <v>0</v>
      </c>
      <c r="AL1140" t="b">
        <f t="shared" si="68"/>
        <v>0</v>
      </c>
      <c r="AM1140" t="b">
        <f t="shared" si="69"/>
        <v>0</v>
      </c>
      <c r="AN1140" t="b">
        <f t="shared" si="70"/>
        <v>1</v>
      </c>
      <c r="AO1140" t="b">
        <f>OR(Table67[[#This Row],[Ineligible respondents]:[Inconsistent response on opposite question (3)]])</f>
        <v>1</v>
      </c>
      <c r="AP114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140">
        <f>Table67[[#This Row],[Extreme Response]]/21</f>
        <v>4.7619047619047616E-2</v>
      </c>
      <c r="AR1140">
        <f>_xlfn.PERCENTILE.INC(Table67[Extrem Response Ratio (ERS)],0.9)</f>
        <v>0.61904761904761907</v>
      </c>
      <c r="AS1140" t="b">
        <f>Table67[[#This Row],[Extrem Response Ratio (ERS)]]&gt;=Table67[[#This Row],[Threshold of ERS]]</f>
        <v>0</v>
      </c>
      <c r="AT1140">
        <f>COUNTIF(Table67[[#This Row],[The mechanism of digital assets is difficult to understand, which discourages me from exploring it (E.g, Tokenization, Blockchain)]:[If I want to try different ways to invest, I will explore digital assets.]], 3)</f>
        <v>9</v>
      </c>
      <c r="AU1140">
        <f>Table67[[#This Row],[Midpoint]]/21</f>
        <v>0.42857142857142855</v>
      </c>
      <c r="AV1140">
        <f>_xlfn.PERCENTILE.INC(Table67[Midpoint ratio],0.9)</f>
        <v>0.5714285714285714</v>
      </c>
      <c r="AW1140" t="b">
        <f>Table67[[#This Row],[Midpoint ratio]]&gt;=Table67[[#This Row],[Threshold of Midpoint ratio]]</f>
        <v>0</v>
      </c>
      <c r="AX1140" t="b">
        <f>OR(Table67[[#This Row],[Extreme Response Style]],Table67[[#This Row],[Mid-point Response Style]])</f>
        <v>0</v>
      </c>
      <c r="AY1140" t="b">
        <f>OR(Table67[[#This Row],[Delete? (Stage 1)]],Table67[[#This Row],[Delete? (Stage 2)]])</f>
        <v>1</v>
      </c>
      <c r="AZ1140" t="s">
        <v>84</v>
      </c>
    </row>
    <row r="1141" spans="1:52">
      <c r="A1141">
        <f t="shared" si="71"/>
        <v>1140</v>
      </c>
      <c r="B1141" s="3">
        <v>46056.894803240699</v>
      </c>
      <c r="C1141" s="3">
        <v>46056.900752314803</v>
      </c>
      <c r="D1141" t="s">
        <v>53</v>
      </c>
      <c r="G1141" t="s">
        <v>54</v>
      </c>
      <c r="H1141" t="s">
        <v>55</v>
      </c>
      <c r="I1141" t="s">
        <v>71</v>
      </c>
      <c r="J1141" t="s">
        <v>62</v>
      </c>
      <c r="K1141" t="s">
        <v>62</v>
      </c>
      <c r="L1141" t="s">
        <v>58</v>
      </c>
      <c r="M1141" t="s">
        <v>58</v>
      </c>
      <c r="N1141">
        <v>2</v>
      </c>
      <c r="O1141">
        <v>2</v>
      </c>
      <c r="P1141">
        <v>3</v>
      </c>
      <c r="Q1141">
        <v>3</v>
      </c>
      <c r="R1141">
        <v>1</v>
      </c>
      <c r="S1141">
        <v>3</v>
      </c>
      <c r="T1141">
        <v>2</v>
      </c>
      <c r="U1141">
        <v>4</v>
      </c>
      <c r="V1141">
        <v>4</v>
      </c>
      <c r="W1141">
        <v>4</v>
      </c>
      <c r="X1141">
        <v>3</v>
      </c>
      <c r="Y1141">
        <v>4</v>
      </c>
      <c r="Z1141">
        <v>2</v>
      </c>
      <c r="AA1141">
        <v>3</v>
      </c>
      <c r="AB1141">
        <v>2</v>
      </c>
      <c r="AC1141">
        <v>3</v>
      </c>
      <c r="AD1141">
        <v>3</v>
      </c>
      <c r="AE1141">
        <v>1</v>
      </c>
      <c r="AF1141">
        <v>4</v>
      </c>
      <c r="AG1141">
        <v>3</v>
      </c>
      <c r="AH1141">
        <v>4</v>
      </c>
      <c r="AI1141">
        <v>2</v>
      </c>
      <c r="AJ1141">
        <v>2</v>
      </c>
      <c r="AK1141" t="b">
        <f>Table67[[#This Row],[What is your age?]]&lt;&gt;"18 - 25"</f>
        <v>0</v>
      </c>
      <c r="AL1141" t="b">
        <f t="shared" si="68"/>
        <v>0</v>
      </c>
      <c r="AM1141" t="b">
        <f t="shared" si="69"/>
        <v>0</v>
      </c>
      <c r="AN1141" t="b">
        <f t="shared" si="70"/>
        <v>1</v>
      </c>
      <c r="AO1141" t="b">
        <f>OR(Table67[[#This Row],[Ineligible respondents]:[Inconsistent response on opposite question (3)]])</f>
        <v>1</v>
      </c>
      <c r="AP114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141">
        <f>Table67[[#This Row],[Extreme Response]]/21</f>
        <v>9.5238095238095233E-2</v>
      </c>
      <c r="AR1141">
        <f>_xlfn.PERCENTILE.INC(Table67[Extrem Response Ratio (ERS)],0.9)</f>
        <v>0.61904761904761907</v>
      </c>
      <c r="AS1141" t="b">
        <f>Table67[[#This Row],[Extrem Response Ratio (ERS)]]&gt;=Table67[[#This Row],[Threshold of ERS]]</f>
        <v>0</v>
      </c>
      <c r="AT1141">
        <f>COUNTIF(Table67[[#This Row],[The mechanism of digital assets is difficult to understand, which discourages me from exploring it (E.g, Tokenization, Blockchain)]:[If I want to try different ways to invest, I will explore digital assets.]], 3)</f>
        <v>8</v>
      </c>
      <c r="AU1141">
        <f>Table67[[#This Row],[Midpoint]]/21</f>
        <v>0.38095238095238093</v>
      </c>
      <c r="AV1141">
        <f>_xlfn.PERCENTILE.INC(Table67[Midpoint ratio],0.9)</f>
        <v>0.5714285714285714</v>
      </c>
      <c r="AW1141" t="b">
        <f>Table67[[#This Row],[Midpoint ratio]]&gt;=Table67[[#This Row],[Threshold of Midpoint ratio]]</f>
        <v>0</v>
      </c>
      <c r="AX1141" t="b">
        <f>OR(Table67[[#This Row],[Extreme Response Style]],Table67[[#This Row],[Mid-point Response Style]])</f>
        <v>0</v>
      </c>
      <c r="AY1141" t="b">
        <f>OR(Table67[[#This Row],[Delete? (Stage 1)]],Table67[[#This Row],[Delete? (Stage 2)]])</f>
        <v>1</v>
      </c>
      <c r="AZ1141" t="s">
        <v>84</v>
      </c>
    </row>
    <row r="1142" spans="1:52">
      <c r="A1142">
        <f t="shared" si="71"/>
        <v>1141</v>
      </c>
      <c r="B1142" s="3">
        <v>46056.894999999997</v>
      </c>
      <c r="C1142" s="3">
        <v>46056.903020833299</v>
      </c>
      <c r="D1142" t="s">
        <v>53</v>
      </c>
      <c r="G1142" t="s">
        <v>54</v>
      </c>
      <c r="H1142" t="s">
        <v>55</v>
      </c>
      <c r="I1142" t="s">
        <v>56</v>
      </c>
      <c r="J1142" t="s">
        <v>68</v>
      </c>
      <c r="K1142" t="s">
        <v>62</v>
      </c>
      <c r="L1142" t="s">
        <v>58</v>
      </c>
      <c r="M1142" t="s">
        <v>58</v>
      </c>
      <c r="N1142">
        <v>1</v>
      </c>
      <c r="O1142">
        <v>1</v>
      </c>
      <c r="P1142">
        <v>4</v>
      </c>
      <c r="Q1142">
        <v>1</v>
      </c>
      <c r="R1142">
        <v>1</v>
      </c>
      <c r="S1142">
        <v>2</v>
      </c>
      <c r="T1142">
        <v>3</v>
      </c>
      <c r="U1142">
        <v>2</v>
      </c>
      <c r="V1142">
        <v>2</v>
      </c>
      <c r="W1142">
        <v>1</v>
      </c>
      <c r="X1142">
        <v>1</v>
      </c>
      <c r="Y1142">
        <v>2</v>
      </c>
      <c r="Z1142">
        <v>1</v>
      </c>
      <c r="AA1142">
        <v>2</v>
      </c>
      <c r="AB1142">
        <v>1</v>
      </c>
      <c r="AC1142">
        <v>1</v>
      </c>
      <c r="AD1142">
        <v>3</v>
      </c>
      <c r="AE1142">
        <v>3</v>
      </c>
      <c r="AF1142">
        <v>5</v>
      </c>
      <c r="AG1142">
        <v>2</v>
      </c>
      <c r="AH1142">
        <v>5</v>
      </c>
      <c r="AI1142">
        <v>1</v>
      </c>
      <c r="AJ1142">
        <v>1</v>
      </c>
      <c r="AK1142" t="b">
        <f>Table67[[#This Row],[What is your age?]]&lt;&gt;"18 - 25"</f>
        <v>0</v>
      </c>
      <c r="AL1142" t="b">
        <f t="shared" si="68"/>
        <v>0</v>
      </c>
      <c r="AM1142" t="b">
        <f t="shared" si="69"/>
        <v>0</v>
      </c>
      <c r="AN1142" t="b">
        <f t="shared" si="70"/>
        <v>0</v>
      </c>
      <c r="AO1142" t="b">
        <f>OR(Table67[[#This Row],[Ineligible respondents]:[Inconsistent response on opposite question (3)]])</f>
        <v>0</v>
      </c>
      <c r="AP114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1142">
        <f>Table67[[#This Row],[Extreme Response]]/21</f>
        <v>0.52380952380952384</v>
      </c>
      <c r="AR1142">
        <f>_xlfn.PERCENTILE.INC(Table67[Extrem Response Ratio (ERS)],0.9)</f>
        <v>0.61904761904761907</v>
      </c>
      <c r="AS1142" t="b">
        <f>Table67[[#This Row],[Extrem Response Ratio (ERS)]]&gt;=Table67[[#This Row],[Threshold of ERS]]</f>
        <v>0</v>
      </c>
      <c r="AT1142">
        <f>COUNTIF(Table67[[#This Row],[The mechanism of digital assets is difficult to understand, which discourages me from exploring it (E.g, Tokenization, Blockchain)]:[If I want to try different ways to invest, I will explore digital assets.]], 3)</f>
        <v>3</v>
      </c>
      <c r="AU1142">
        <f>Table67[[#This Row],[Midpoint]]/21</f>
        <v>0.14285714285714285</v>
      </c>
      <c r="AV1142">
        <f>_xlfn.PERCENTILE.INC(Table67[Midpoint ratio],0.9)</f>
        <v>0.5714285714285714</v>
      </c>
      <c r="AW1142" t="b">
        <f>Table67[[#This Row],[Midpoint ratio]]&gt;=Table67[[#This Row],[Threshold of Midpoint ratio]]</f>
        <v>0</v>
      </c>
      <c r="AX1142" t="b">
        <f>OR(Table67[[#This Row],[Extreme Response Style]],Table67[[#This Row],[Mid-point Response Style]])</f>
        <v>0</v>
      </c>
      <c r="AY1142" t="b">
        <f>OR(Table67[[#This Row],[Delete? (Stage 1)]],Table67[[#This Row],[Delete? (Stage 2)]])</f>
        <v>0</v>
      </c>
      <c r="AZ1142" t="s">
        <v>84</v>
      </c>
    </row>
    <row r="1143" spans="1:52">
      <c r="A1143">
        <f t="shared" si="71"/>
        <v>1142</v>
      </c>
      <c r="B1143" s="3">
        <v>46056.895092592596</v>
      </c>
      <c r="C1143" s="3">
        <v>46056.901087963</v>
      </c>
      <c r="D1143" t="s">
        <v>53</v>
      </c>
      <c r="G1143" t="s">
        <v>54</v>
      </c>
      <c r="H1143" t="s">
        <v>63</v>
      </c>
      <c r="I1143" t="s">
        <v>71</v>
      </c>
      <c r="J1143" t="s">
        <v>62</v>
      </c>
      <c r="K1143" t="s">
        <v>62</v>
      </c>
      <c r="L1143" t="s">
        <v>58</v>
      </c>
      <c r="M1143" t="s">
        <v>58</v>
      </c>
      <c r="N1143">
        <v>3</v>
      </c>
      <c r="O1143">
        <v>3</v>
      </c>
      <c r="P1143">
        <v>4</v>
      </c>
      <c r="Q1143">
        <v>4</v>
      </c>
      <c r="R1143">
        <v>4</v>
      </c>
      <c r="S1143">
        <v>4</v>
      </c>
      <c r="T1143">
        <v>3</v>
      </c>
      <c r="U1143">
        <v>3</v>
      </c>
      <c r="V1143">
        <v>3</v>
      </c>
      <c r="W1143">
        <v>3</v>
      </c>
      <c r="X1143">
        <v>3</v>
      </c>
      <c r="Y1143">
        <v>3</v>
      </c>
      <c r="Z1143">
        <v>5</v>
      </c>
      <c r="AA1143">
        <v>4</v>
      </c>
      <c r="AB1143">
        <v>3</v>
      </c>
      <c r="AC1143">
        <v>3</v>
      </c>
      <c r="AD1143">
        <v>4</v>
      </c>
      <c r="AE1143">
        <v>4</v>
      </c>
      <c r="AF1143">
        <v>3</v>
      </c>
      <c r="AG1143">
        <v>4</v>
      </c>
      <c r="AH1143">
        <v>4</v>
      </c>
      <c r="AI1143">
        <v>2</v>
      </c>
      <c r="AJ1143">
        <v>3</v>
      </c>
      <c r="AK1143" t="b">
        <f>Table67[[#This Row],[What is your age?]]&lt;&gt;"18 - 25"</f>
        <v>0</v>
      </c>
      <c r="AL1143" t="b">
        <f t="shared" si="68"/>
        <v>0</v>
      </c>
      <c r="AM1143" t="b">
        <f t="shared" si="69"/>
        <v>1</v>
      </c>
      <c r="AN1143" t="b">
        <f t="shared" si="70"/>
        <v>0</v>
      </c>
      <c r="AO1143" t="b">
        <f>OR(Table67[[#This Row],[Ineligible respondents]:[Inconsistent response on opposite question (3)]])</f>
        <v>1</v>
      </c>
      <c r="AP114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143">
        <f>Table67[[#This Row],[Extreme Response]]/21</f>
        <v>4.7619047619047616E-2</v>
      </c>
      <c r="AR1143">
        <f>_xlfn.PERCENTILE.INC(Table67[Extrem Response Ratio (ERS)],0.9)</f>
        <v>0.61904761904761907</v>
      </c>
      <c r="AS1143" t="b">
        <f>Table67[[#This Row],[Extrem Response Ratio (ERS)]]&gt;=Table67[[#This Row],[Threshold of ERS]]</f>
        <v>0</v>
      </c>
      <c r="AT1143">
        <f>COUNTIF(Table67[[#This Row],[The mechanism of digital assets is difficult to understand, which discourages me from exploring it (E.g, Tokenization, Blockchain)]:[If I want to try different ways to invest, I will explore digital assets.]], 3)</f>
        <v>11</v>
      </c>
      <c r="AU1143">
        <f>Table67[[#This Row],[Midpoint]]/21</f>
        <v>0.52380952380952384</v>
      </c>
      <c r="AV1143">
        <f>_xlfn.PERCENTILE.INC(Table67[Midpoint ratio],0.9)</f>
        <v>0.5714285714285714</v>
      </c>
      <c r="AW1143" t="b">
        <f>Table67[[#This Row],[Midpoint ratio]]&gt;=Table67[[#This Row],[Threshold of Midpoint ratio]]</f>
        <v>0</v>
      </c>
      <c r="AX1143" t="b">
        <f>OR(Table67[[#This Row],[Extreme Response Style]],Table67[[#This Row],[Mid-point Response Style]])</f>
        <v>0</v>
      </c>
      <c r="AY1143" t="b">
        <f>OR(Table67[[#This Row],[Delete? (Stage 1)]],Table67[[#This Row],[Delete? (Stage 2)]])</f>
        <v>1</v>
      </c>
      <c r="AZ1143" t="s">
        <v>84</v>
      </c>
    </row>
    <row r="1144" spans="1:52">
      <c r="A1144">
        <f t="shared" si="71"/>
        <v>1143</v>
      </c>
      <c r="B1144" s="3">
        <v>46056.895196759302</v>
      </c>
      <c r="C1144" s="3">
        <v>46056.902824074103</v>
      </c>
      <c r="D1144" t="s">
        <v>53</v>
      </c>
      <c r="G1144" t="s">
        <v>54</v>
      </c>
      <c r="H1144" t="s">
        <v>63</v>
      </c>
      <c r="I1144" t="s">
        <v>56</v>
      </c>
      <c r="J1144" t="s">
        <v>64</v>
      </c>
      <c r="K1144" t="s">
        <v>62</v>
      </c>
      <c r="L1144" t="s">
        <v>58</v>
      </c>
      <c r="M1144" t="s">
        <v>58</v>
      </c>
      <c r="N1144">
        <v>4</v>
      </c>
      <c r="O1144">
        <v>2</v>
      </c>
      <c r="P1144">
        <v>4</v>
      </c>
      <c r="Q1144">
        <v>4</v>
      </c>
      <c r="R1144">
        <v>5</v>
      </c>
      <c r="S1144">
        <v>4</v>
      </c>
      <c r="T1144">
        <v>4</v>
      </c>
      <c r="U1144">
        <v>5</v>
      </c>
      <c r="V1144">
        <v>5</v>
      </c>
      <c r="W1144">
        <v>5</v>
      </c>
      <c r="X1144">
        <v>5</v>
      </c>
      <c r="Y1144">
        <v>5</v>
      </c>
      <c r="Z1144">
        <v>5</v>
      </c>
      <c r="AA1144">
        <v>5</v>
      </c>
      <c r="AB1144">
        <v>5</v>
      </c>
      <c r="AC1144">
        <v>4</v>
      </c>
      <c r="AD1144">
        <v>5</v>
      </c>
      <c r="AE1144">
        <v>5</v>
      </c>
      <c r="AF1144">
        <v>1</v>
      </c>
      <c r="AG1144">
        <v>4</v>
      </c>
      <c r="AH1144">
        <v>4</v>
      </c>
      <c r="AI1144">
        <v>2</v>
      </c>
      <c r="AJ1144">
        <v>5</v>
      </c>
      <c r="AK1144" t="b">
        <f>Table67[[#This Row],[What is your age?]]&lt;&gt;"18 - 25"</f>
        <v>0</v>
      </c>
      <c r="AL1144" t="b">
        <f t="shared" si="68"/>
        <v>0</v>
      </c>
      <c r="AM1144" t="b">
        <f t="shared" si="69"/>
        <v>1</v>
      </c>
      <c r="AN1144" t="b">
        <f t="shared" si="70"/>
        <v>0</v>
      </c>
      <c r="AO1144" t="b">
        <f>OR(Table67[[#This Row],[Ineligible respondents]:[Inconsistent response on opposite question (3)]])</f>
        <v>1</v>
      </c>
      <c r="AP114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12</v>
      </c>
      <c r="AQ1144">
        <f>Table67[[#This Row],[Extreme Response]]/21</f>
        <v>0.5714285714285714</v>
      </c>
      <c r="AR1144">
        <f>_xlfn.PERCENTILE.INC(Table67[Extrem Response Ratio (ERS)],0.9)</f>
        <v>0.61904761904761907</v>
      </c>
      <c r="AS1144" t="b">
        <f>Table67[[#This Row],[Extrem Response Ratio (ERS)]]&gt;=Table67[[#This Row],[Threshold of ERS]]</f>
        <v>0</v>
      </c>
      <c r="AT1144">
        <f>COUNTIF(Table67[[#This Row],[The mechanism of digital assets is difficult to understand, which discourages me from exploring it (E.g, Tokenization, Blockchain)]:[If I want to try different ways to invest, I will explore digital assets.]], 3)</f>
        <v>0</v>
      </c>
      <c r="AU1144">
        <f>Table67[[#This Row],[Midpoint]]/21</f>
        <v>0</v>
      </c>
      <c r="AV1144">
        <f>_xlfn.PERCENTILE.INC(Table67[Midpoint ratio],0.9)</f>
        <v>0.5714285714285714</v>
      </c>
      <c r="AW1144" t="b">
        <f>Table67[[#This Row],[Midpoint ratio]]&gt;=Table67[[#This Row],[Threshold of Midpoint ratio]]</f>
        <v>0</v>
      </c>
      <c r="AX1144" t="b">
        <f>OR(Table67[[#This Row],[Extreme Response Style]],Table67[[#This Row],[Mid-point Response Style]])</f>
        <v>0</v>
      </c>
      <c r="AY1144" t="b">
        <f>OR(Table67[[#This Row],[Delete? (Stage 1)]],Table67[[#This Row],[Delete? (Stage 2)]])</f>
        <v>1</v>
      </c>
      <c r="AZ1144" t="s">
        <v>84</v>
      </c>
    </row>
    <row r="1145" spans="1:52">
      <c r="A1145">
        <f t="shared" si="71"/>
        <v>1144</v>
      </c>
      <c r="B1145" s="3">
        <v>46056.895891203698</v>
      </c>
      <c r="C1145" s="3">
        <v>46056.8987962963</v>
      </c>
      <c r="D1145" t="s">
        <v>53</v>
      </c>
      <c r="G1145" t="s">
        <v>54</v>
      </c>
      <c r="H1145" t="s">
        <v>55</v>
      </c>
      <c r="I1145" t="s">
        <v>75</v>
      </c>
      <c r="J1145" t="s">
        <v>64</v>
      </c>
      <c r="K1145" t="s">
        <v>62</v>
      </c>
      <c r="L1145" t="s">
        <v>58</v>
      </c>
      <c r="M1145" t="s">
        <v>61</v>
      </c>
      <c r="N1145">
        <v>4</v>
      </c>
      <c r="O1145">
        <v>4</v>
      </c>
      <c r="P1145">
        <v>4</v>
      </c>
      <c r="Q1145">
        <v>4</v>
      </c>
      <c r="R1145">
        <v>4</v>
      </c>
      <c r="S1145">
        <v>4</v>
      </c>
      <c r="T1145">
        <v>3</v>
      </c>
      <c r="U1145">
        <v>3</v>
      </c>
      <c r="V1145">
        <v>3</v>
      </c>
      <c r="W1145">
        <v>4</v>
      </c>
      <c r="X1145">
        <v>5</v>
      </c>
      <c r="Y1145">
        <v>4</v>
      </c>
      <c r="Z1145">
        <v>3</v>
      </c>
      <c r="AA1145">
        <v>4</v>
      </c>
      <c r="AB1145">
        <v>3</v>
      </c>
      <c r="AC1145">
        <v>3</v>
      </c>
      <c r="AD1145">
        <v>4</v>
      </c>
      <c r="AE1145">
        <v>3</v>
      </c>
      <c r="AF1145">
        <v>4</v>
      </c>
      <c r="AG1145">
        <v>3</v>
      </c>
      <c r="AH1145">
        <v>3</v>
      </c>
      <c r="AI1145">
        <v>3</v>
      </c>
      <c r="AJ1145">
        <v>2</v>
      </c>
      <c r="AK1145" t="b">
        <f>Table67[[#This Row],[What is your age?]]&lt;&gt;"18 - 25"</f>
        <v>0</v>
      </c>
      <c r="AL1145" t="b">
        <f t="shared" si="68"/>
        <v>0</v>
      </c>
      <c r="AM1145" t="b">
        <f t="shared" si="69"/>
        <v>0</v>
      </c>
      <c r="AN1145" t="b">
        <f t="shared" si="70"/>
        <v>0</v>
      </c>
      <c r="AO1145" t="b">
        <f>OR(Table67[[#This Row],[Ineligible respondents]:[Inconsistent response on opposite question (3)]])</f>
        <v>0</v>
      </c>
      <c r="AP114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145">
        <f>Table67[[#This Row],[Extreme Response]]/21</f>
        <v>4.7619047619047616E-2</v>
      </c>
      <c r="AR1145">
        <f>_xlfn.PERCENTILE.INC(Table67[Extrem Response Ratio (ERS)],0.9)</f>
        <v>0.61904761904761907</v>
      </c>
      <c r="AS1145" t="b">
        <f>Table67[[#This Row],[Extrem Response Ratio (ERS)]]&gt;=Table67[[#This Row],[Threshold of ERS]]</f>
        <v>0</v>
      </c>
      <c r="AT1145">
        <f>COUNTIF(Table67[[#This Row],[The mechanism of digital assets is difficult to understand, which discourages me from exploring it (E.g, Tokenization, Blockchain)]:[If I want to try different ways to invest, I will explore digital assets.]], 3)</f>
        <v>9</v>
      </c>
      <c r="AU1145">
        <f>Table67[[#This Row],[Midpoint]]/21</f>
        <v>0.42857142857142855</v>
      </c>
      <c r="AV1145">
        <f>_xlfn.PERCENTILE.INC(Table67[Midpoint ratio],0.9)</f>
        <v>0.5714285714285714</v>
      </c>
      <c r="AW1145" t="b">
        <f>Table67[[#This Row],[Midpoint ratio]]&gt;=Table67[[#This Row],[Threshold of Midpoint ratio]]</f>
        <v>0</v>
      </c>
      <c r="AX1145" t="b">
        <f>OR(Table67[[#This Row],[Extreme Response Style]],Table67[[#This Row],[Mid-point Response Style]])</f>
        <v>0</v>
      </c>
      <c r="AY1145" t="b">
        <f>OR(Table67[[#This Row],[Delete? (Stage 1)]],Table67[[#This Row],[Delete? (Stage 2)]])</f>
        <v>0</v>
      </c>
      <c r="AZ1145" t="s">
        <v>84</v>
      </c>
    </row>
    <row r="1146" spans="1:52">
      <c r="A1146">
        <f t="shared" si="71"/>
        <v>1145</v>
      </c>
      <c r="B1146" s="3">
        <v>46056.8961921296</v>
      </c>
      <c r="C1146" s="3">
        <v>46056.898993055598</v>
      </c>
      <c r="D1146" t="s">
        <v>53</v>
      </c>
      <c r="G1146" t="s">
        <v>54</v>
      </c>
      <c r="H1146" t="s">
        <v>55</v>
      </c>
      <c r="I1146" t="s">
        <v>75</v>
      </c>
      <c r="J1146" t="s">
        <v>62</v>
      </c>
      <c r="K1146" t="s">
        <v>62</v>
      </c>
      <c r="L1146" t="s">
        <v>58</v>
      </c>
      <c r="M1146" t="s">
        <v>58</v>
      </c>
      <c r="N1146">
        <v>5</v>
      </c>
      <c r="O1146">
        <v>4</v>
      </c>
      <c r="P1146">
        <v>3</v>
      </c>
      <c r="Q1146">
        <v>3</v>
      </c>
      <c r="R1146">
        <v>3</v>
      </c>
      <c r="S1146">
        <v>4</v>
      </c>
      <c r="T1146">
        <v>4</v>
      </c>
      <c r="U1146">
        <v>4</v>
      </c>
      <c r="V1146">
        <v>3</v>
      </c>
      <c r="W1146">
        <v>4</v>
      </c>
      <c r="X1146">
        <v>2</v>
      </c>
      <c r="Y1146">
        <v>3</v>
      </c>
      <c r="Z1146">
        <v>5</v>
      </c>
      <c r="AA1146">
        <v>3</v>
      </c>
      <c r="AB1146">
        <v>3</v>
      </c>
      <c r="AC1146">
        <v>4</v>
      </c>
      <c r="AD1146">
        <v>4</v>
      </c>
      <c r="AE1146">
        <v>2</v>
      </c>
      <c r="AF1146">
        <v>4</v>
      </c>
      <c r="AG1146">
        <v>3</v>
      </c>
      <c r="AH1146">
        <v>4</v>
      </c>
      <c r="AI1146">
        <v>2</v>
      </c>
      <c r="AJ1146">
        <v>2</v>
      </c>
      <c r="AK1146" t="b">
        <f>Table67[[#This Row],[What is your age?]]&lt;&gt;"18 - 25"</f>
        <v>0</v>
      </c>
      <c r="AL1146" t="b">
        <f t="shared" si="68"/>
        <v>0</v>
      </c>
      <c r="AM1146" t="b">
        <f t="shared" si="69"/>
        <v>0</v>
      </c>
      <c r="AN1146" t="b">
        <f t="shared" si="70"/>
        <v>1</v>
      </c>
      <c r="AO1146" t="b">
        <f>OR(Table67[[#This Row],[Ineligible respondents]:[Inconsistent response on opposite question (3)]])</f>
        <v>1</v>
      </c>
      <c r="AP114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146">
        <f>Table67[[#This Row],[Extreme Response]]/21</f>
        <v>9.5238095238095233E-2</v>
      </c>
      <c r="AR1146">
        <f>_xlfn.PERCENTILE.INC(Table67[Extrem Response Ratio (ERS)],0.9)</f>
        <v>0.61904761904761907</v>
      </c>
      <c r="AS1146" t="b">
        <f>Table67[[#This Row],[Extrem Response Ratio (ERS)]]&gt;=Table67[[#This Row],[Threshold of ERS]]</f>
        <v>0</v>
      </c>
      <c r="AT1146">
        <f>COUNTIF(Table67[[#This Row],[The mechanism of digital assets is difficult to understand, which discourages me from exploring it (E.g, Tokenization, Blockchain)]:[If I want to try different ways to invest, I will explore digital assets.]], 3)</f>
        <v>8</v>
      </c>
      <c r="AU1146">
        <f>Table67[[#This Row],[Midpoint]]/21</f>
        <v>0.38095238095238093</v>
      </c>
      <c r="AV1146">
        <f>_xlfn.PERCENTILE.INC(Table67[Midpoint ratio],0.9)</f>
        <v>0.5714285714285714</v>
      </c>
      <c r="AW1146" t="b">
        <f>Table67[[#This Row],[Midpoint ratio]]&gt;=Table67[[#This Row],[Threshold of Midpoint ratio]]</f>
        <v>0</v>
      </c>
      <c r="AX1146" t="b">
        <f>OR(Table67[[#This Row],[Extreme Response Style]],Table67[[#This Row],[Mid-point Response Style]])</f>
        <v>0</v>
      </c>
      <c r="AY1146" t="b">
        <f>OR(Table67[[#This Row],[Delete? (Stage 1)]],Table67[[#This Row],[Delete? (Stage 2)]])</f>
        <v>1</v>
      </c>
      <c r="AZ1146" t="s">
        <v>84</v>
      </c>
    </row>
    <row r="1147" spans="1:52">
      <c r="A1147">
        <f t="shared" si="71"/>
        <v>1146</v>
      </c>
      <c r="B1147" s="3">
        <v>46056.896249999998</v>
      </c>
      <c r="C1147" s="3">
        <v>46056.904074074097</v>
      </c>
      <c r="D1147" t="s">
        <v>53</v>
      </c>
      <c r="G1147" t="s">
        <v>54</v>
      </c>
      <c r="H1147" t="s">
        <v>55</v>
      </c>
      <c r="I1147" t="s">
        <v>71</v>
      </c>
      <c r="J1147" t="s">
        <v>62</v>
      </c>
      <c r="K1147" t="s">
        <v>57</v>
      </c>
      <c r="L1147" t="s">
        <v>58</v>
      </c>
      <c r="M1147" t="s">
        <v>58</v>
      </c>
      <c r="N1147">
        <v>4</v>
      </c>
      <c r="O1147">
        <v>1</v>
      </c>
      <c r="P1147">
        <v>3</v>
      </c>
      <c r="Q1147">
        <v>3</v>
      </c>
      <c r="R1147">
        <v>2</v>
      </c>
      <c r="S1147">
        <v>5</v>
      </c>
      <c r="T1147">
        <v>5</v>
      </c>
      <c r="U1147">
        <v>5</v>
      </c>
      <c r="V1147">
        <v>5</v>
      </c>
      <c r="W1147">
        <v>5</v>
      </c>
      <c r="X1147">
        <v>4</v>
      </c>
      <c r="Y1147">
        <v>5</v>
      </c>
      <c r="Z1147">
        <v>4</v>
      </c>
      <c r="AA1147">
        <v>3</v>
      </c>
      <c r="AB1147">
        <v>3</v>
      </c>
      <c r="AC1147">
        <v>2</v>
      </c>
      <c r="AD1147">
        <v>5</v>
      </c>
      <c r="AE1147">
        <v>1</v>
      </c>
      <c r="AF1147">
        <v>2</v>
      </c>
      <c r="AG1147">
        <v>3</v>
      </c>
      <c r="AH1147">
        <v>4</v>
      </c>
      <c r="AI1147">
        <v>2</v>
      </c>
      <c r="AJ1147">
        <v>4</v>
      </c>
      <c r="AK1147" t="b">
        <f>Table67[[#This Row],[What is your age?]]&lt;&gt;"18 - 25"</f>
        <v>0</v>
      </c>
      <c r="AL1147" t="b">
        <f t="shared" si="68"/>
        <v>0</v>
      </c>
      <c r="AM1147" t="b">
        <f t="shared" si="69"/>
        <v>0</v>
      </c>
      <c r="AN1147" t="b">
        <f t="shared" si="70"/>
        <v>1</v>
      </c>
      <c r="AO1147" t="b">
        <f>OR(Table67[[#This Row],[Ineligible respondents]:[Inconsistent response on opposite question (3)]])</f>
        <v>1</v>
      </c>
      <c r="AP114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1147">
        <f>Table67[[#This Row],[Extreme Response]]/21</f>
        <v>0.42857142857142855</v>
      </c>
      <c r="AR1147">
        <f>_xlfn.PERCENTILE.INC(Table67[Extrem Response Ratio (ERS)],0.9)</f>
        <v>0.61904761904761907</v>
      </c>
      <c r="AS1147" t="b">
        <f>Table67[[#This Row],[Extrem Response Ratio (ERS)]]&gt;=Table67[[#This Row],[Threshold of ERS]]</f>
        <v>0</v>
      </c>
      <c r="AT1147">
        <f>COUNTIF(Table67[[#This Row],[The mechanism of digital assets is difficult to understand, which discourages me from exploring it (E.g, Tokenization, Blockchain)]:[If I want to try different ways to invest, I will explore digital assets.]], 3)</f>
        <v>5</v>
      </c>
      <c r="AU1147">
        <f>Table67[[#This Row],[Midpoint]]/21</f>
        <v>0.23809523809523808</v>
      </c>
      <c r="AV1147">
        <f>_xlfn.PERCENTILE.INC(Table67[Midpoint ratio],0.9)</f>
        <v>0.5714285714285714</v>
      </c>
      <c r="AW1147" t="b">
        <f>Table67[[#This Row],[Midpoint ratio]]&gt;=Table67[[#This Row],[Threshold of Midpoint ratio]]</f>
        <v>0</v>
      </c>
      <c r="AX1147" t="b">
        <f>OR(Table67[[#This Row],[Extreme Response Style]],Table67[[#This Row],[Mid-point Response Style]])</f>
        <v>0</v>
      </c>
      <c r="AY1147" t="b">
        <f>OR(Table67[[#This Row],[Delete? (Stage 1)]],Table67[[#This Row],[Delete? (Stage 2)]])</f>
        <v>1</v>
      </c>
      <c r="AZ1147" t="s">
        <v>84</v>
      </c>
    </row>
    <row r="1148" spans="1:52">
      <c r="A1148">
        <f t="shared" si="71"/>
        <v>1147</v>
      </c>
      <c r="B1148" s="3">
        <v>46056.896296296298</v>
      </c>
      <c r="C1148" s="3">
        <v>46056.899525462999</v>
      </c>
      <c r="D1148" t="s">
        <v>53</v>
      </c>
      <c r="G1148" t="s">
        <v>54</v>
      </c>
      <c r="H1148" t="s">
        <v>63</v>
      </c>
      <c r="I1148" t="s">
        <v>56</v>
      </c>
      <c r="J1148" t="s">
        <v>62</v>
      </c>
      <c r="K1148" t="s">
        <v>57</v>
      </c>
      <c r="L1148" t="s">
        <v>58</v>
      </c>
      <c r="M1148" t="s">
        <v>58</v>
      </c>
      <c r="N1148">
        <v>5</v>
      </c>
      <c r="O1148">
        <v>2</v>
      </c>
      <c r="P1148">
        <v>4</v>
      </c>
      <c r="Q1148">
        <v>4</v>
      </c>
      <c r="R1148">
        <v>2</v>
      </c>
      <c r="S1148">
        <v>4</v>
      </c>
      <c r="T1148">
        <v>5</v>
      </c>
      <c r="U1148">
        <v>5</v>
      </c>
      <c r="V1148">
        <v>5</v>
      </c>
      <c r="W1148">
        <v>4</v>
      </c>
      <c r="X1148">
        <v>4</v>
      </c>
      <c r="Y1148">
        <v>4</v>
      </c>
      <c r="Z1148">
        <v>5</v>
      </c>
      <c r="AA1148">
        <v>4</v>
      </c>
      <c r="AB1148">
        <v>4</v>
      </c>
      <c r="AC1148">
        <v>5</v>
      </c>
      <c r="AD1148">
        <v>4</v>
      </c>
      <c r="AE1148">
        <v>4</v>
      </c>
      <c r="AF1148">
        <v>2</v>
      </c>
      <c r="AG1148">
        <v>4</v>
      </c>
      <c r="AH1148">
        <v>3</v>
      </c>
      <c r="AI1148">
        <v>3</v>
      </c>
      <c r="AJ1148">
        <v>4</v>
      </c>
      <c r="AK1148" t="b">
        <f>Table67[[#This Row],[What is your age?]]&lt;&gt;"18 - 25"</f>
        <v>0</v>
      </c>
      <c r="AL1148" t="b">
        <f t="shared" si="68"/>
        <v>0</v>
      </c>
      <c r="AM1148" t="b">
        <f t="shared" si="69"/>
        <v>0</v>
      </c>
      <c r="AN1148" t="b">
        <f t="shared" si="70"/>
        <v>1</v>
      </c>
      <c r="AO1148" t="b">
        <f>OR(Table67[[#This Row],[Ineligible respondents]:[Inconsistent response on opposite question (3)]])</f>
        <v>1</v>
      </c>
      <c r="AP114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148">
        <f>Table67[[#This Row],[Extreme Response]]/21</f>
        <v>0.2857142857142857</v>
      </c>
      <c r="AR1148">
        <f>_xlfn.PERCENTILE.INC(Table67[Extrem Response Ratio (ERS)],0.9)</f>
        <v>0.61904761904761907</v>
      </c>
      <c r="AS1148" t="b">
        <f>Table67[[#This Row],[Extrem Response Ratio (ERS)]]&gt;=Table67[[#This Row],[Threshold of ERS]]</f>
        <v>0</v>
      </c>
      <c r="AT1148">
        <f>COUNTIF(Table67[[#This Row],[The mechanism of digital assets is difficult to understand, which discourages me from exploring it (E.g, Tokenization, Blockchain)]:[If I want to try different ways to invest, I will explore digital assets.]], 3)</f>
        <v>1</v>
      </c>
      <c r="AU1148">
        <f>Table67[[#This Row],[Midpoint]]/21</f>
        <v>4.7619047619047616E-2</v>
      </c>
      <c r="AV1148">
        <f>_xlfn.PERCENTILE.INC(Table67[Midpoint ratio],0.9)</f>
        <v>0.5714285714285714</v>
      </c>
      <c r="AW1148" t="b">
        <f>Table67[[#This Row],[Midpoint ratio]]&gt;=Table67[[#This Row],[Threshold of Midpoint ratio]]</f>
        <v>0</v>
      </c>
      <c r="AX1148" t="b">
        <f>OR(Table67[[#This Row],[Extreme Response Style]],Table67[[#This Row],[Mid-point Response Style]])</f>
        <v>0</v>
      </c>
      <c r="AY1148" t="b">
        <f>OR(Table67[[#This Row],[Delete? (Stage 1)]],Table67[[#This Row],[Delete? (Stage 2)]])</f>
        <v>1</v>
      </c>
      <c r="AZ1148" t="s">
        <v>84</v>
      </c>
    </row>
    <row r="1149" spans="1:52">
      <c r="A1149">
        <f t="shared" si="71"/>
        <v>1148</v>
      </c>
      <c r="B1149" s="3">
        <v>46056.896643518499</v>
      </c>
      <c r="C1149" s="3">
        <v>46056.899548611102</v>
      </c>
      <c r="D1149" t="s">
        <v>53</v>
      </c>
      <c r="G1149" t="s">
        <v>54</v>
      </c>
      <c r="H1149" t="s">
        <v>55</v>
      </c>
      <c r="I1149" t="s">
        <v>71</v>
      </c>
      <c r="J1149" t="s">
        <v>57</v>
      </c>
      <c r="K1149" t="s">
        <v>57</v>
      </c>
      <c r="L1149" t="s">
        <v>58</v>
      </c>
      <c r="M1149" t="s">
        <v>58</v>
      </c>
      <c r="N1149">
        <v>2</v>
      </c>
      <c r="O1149">
        <v>4</v>
      </c>
      <c r="P1149">
        <v>4</v>
      </c>
      <c r="Q1149">
        <v>2</v>
      </c>
      <c r="R1149">
        <v>3</v>
      </c>
      <c r="S1149">
        <v>2</v>
      </c>
      <c r="T1149">
        <v>2</v>
      </c>
      <c r="U1149">
        <v>5</v>
      </c>
      <c r="V1149">
        <v>3</v>
      </c>
      <c r="W1149">
        <v>2</v>
      </c>
      <c r="X1149">
        <v>4</v>
      </c>
      <c r="Y1149">
        <v>4</v>
      </c>
      <c r="Z1149">
        <v>4</v>
      </c>
      <c r="AA1149">
        <v>4</v>
      </c>
      <c r="AB1149">
        <v>1</v>
      </c>
      <c r="AC1149">
        <v>4</v>
      </c>
      <c r="AD1149">
        <v>4</v>
      </c>
      <c r="AE1149">
        <v>2</v>
      </c>
      <c r="AF1149">
        <v>3</v>
      </c>
      <c r="AG1149">
        <v>3</v>
      </c>
      <c r="AH1149">
        <v>2</v>
      </c>
      <c r="AI1149">
        <v>4</v>
      </c>
      <c r="AJ1149">
        <v>3</v>
      </c>
      <c r="AK1149" t="b">
        <f>Table67[[#This Row],[What is your age?]]&lt;&gt;"18 - 25"</f>
        <v>0</v>
      </c>
      <c r="AL1149" t="b">
        <f t="shared" si="68"/>
        <v>0</v>
      </c>
      <c r="AM1149" t="b">
        <f t="shared" si="69"/>
        <v>0</v>
      </c>
      <c r="AN1149" t="b">
        <f t="shared" si="70"/>
        <v>1</v>
      </c>
      <c r="AO1149" t="b">
        <f>OR(Table67[[#This Row],[Ineligible respondents]:[Inconsistent response on opposite question (3)]])</f>
        <v>1</v>
      </c>
      <c r="AP114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149">
        <f>Table67[[#This Row],[Extreme Response]]/21</f>
        <v>9.5238095238095233E-2</v>
      </c>
      <c r="AR1149">
        <f>_xlfn.PERCENTILE.INC(Table67[Extrem Response Ratio (ERS)],0.9)</f>
        <v>0.61904761904761907</v>
      </c>
      <c r="AS1149" t="b">
        <f>Table67[[#This Row],[Extrem Response Ratio (ERS)]]&gt;=Table67[[#This Row],[Threshold of ERS]]</f>
        <v>0</v>
      </c>
      <c r="AT1149">
        <f>COUNTIF(Table67[[#This Row],[The mechanism of digital assets is difficult to understand, which discourages me from exploring it (E.g, Tokenization, Blockchain)]:[If I want to try different ways to invest, I will explore digital assets.]], 3)</f>
        <v>4</v>
      </c>
      <c r="AU1149">
        <f>Table67[[#This Row],[Midpoint]]/21</f>
        <v>0.19047619047619047</v>
      </c>
      <c r="AV1149">
        <f>_xlfn.PERCENTILE.INC(Table67[Midpoint ratio],0.9)</f>
        <v>0.5714285714285714</v>
      </c>
      <c r="AW1149" t="b">
        <f>Table67[[#This Row],[Midpoint ratio]]&gt;=Table67[[#This Row],[Threshold of Midpoint ratio]]</f>
        <v>0</v>
      </c>
      <c r="AX1149" t="b">
        <f>OR(Table67[[#This Row],[Extreme Response Style]],Table67[[#This Row],[Mid-point Response Style]])</f>
        <v>0</v>
      </c>
      <c r="AY1149" t="b">
        <f>OR(Table67[[#This Row],[Delete? (Stage 1)]],Table67[[#This Row],[Delete? (Stage 2)]])</f>
        <v>1</v>
      </c>
      <c r="AZ1149" t="s">
        <v>84</v>
      </c>
    </row>
    <row r="1150" spans="1:52">
      <c r="A1150">
        <f t="shared" si="71"/>
        <v>1149</v>
      </c>
      <c r="B1150" s="3">
        <v>46056.8968634259</v>
      </c>
      <c r="C1150" s="3">
        <v>46056.901678240698</v>
      </c>
      <c r="D1150" t="s">
        <v>53</v>
      </c>
      <c r="G1150" t="s">
        <v>54</v>
      </c>
      <c r="H1150" t="s">
        <v>55</v>
      </c>
      <c r="I1150" t="s">
        <v>71</v>
      </c>
      <c r="J1150" t="s">
        <v>57</v>
      </c>
      <c r="K1150" t="s">
        <v>62</v>
      </c>
      <c r="L1150" t="s">
        <v>58</v>
      </c>
      <c r="M1150" t="s">
        <v>58</v>
      </c>
      <c r="N1150">
        <v>2</v>
      </c>
      <c r="O1150">
        <v>1</v>
      </c>
      <c r="P1150">
        <v>5</v>
      </c>
      <c r="Q1150">
        <v>2</v>
      </c>
      <c r="R1150">
        <v>4</v>
      </c>
      <c r="S1150">
        <v>4</v>
      </c>
      <c r="T1150">
        <v>4</v>
      </c>
      <c r="U1150">
        <v>5</v>
      </c>
      <c r="V1150">
        <v>4</v>
      </c>
      <c r="W1150">
        <v>4</v>
      </c>
      <c r="X1150">
        <v>2</v>
      </c>
      <c r="Y1150">
        <v>2</v>
      </c>
      <c r="Z1150">
        <v>5</v>
      </c>
      <c r="AA1150">
        <v>4</v>
      </c>
      <c r="AB1150">
        <v>3</v>
      </c>
      <c r="AC1150">
        <v>3</v>
      </c>
      <c r="AD1150">
        <v>5</v>
      </c>
      <c r="AE1150">
        <v>4</v>
      </c>
      <c r="AF1150">
        <v>3</v>
      </c>
      <c r="AG1150">
        <v>2</v>
      </c>
      <c r="AH1150">
        <v>3</v>
      </c>
      <c r="AI1150">
        <v>3</v>
      </c>
      <c r="AJ1150">
        <v>3</v>
      </c>
      <c r="AK1150" t="b">
        <f>Table67[[#This Row],[What is your age?]]&lt;&gt;"18 - 25"</f>
        <v>0</v>
      </c>
      <c r="AL1150" t="b">
        <f t="shared" si="68"/>
        <v>0</v>
      </c>
      <c r="AM1150" t="b">
        <f t="shared" si="69"/>
        <v>0</v>
      </c>
      <c r="AN1150" t="b">
        <f t="shared" si="70"/>
        <v>1</v>
      </c>
      <c r="AO1150" t="b">
        <f>OR(Table67[[#This Row],[Ineligible respondents]:[Inconsistent response on opposite question (3)]])</f>
        <v>1</v>
      </c>
      <c r="AP115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150">
        <f>Table67[[#This Row],[Extreme Response]]/21</f>
        <v>0.23809523809523808</v>
      </c>
      <c r="AR1150">
        <f>_xlfn.PERCENTILE.INC(Table67[Extrem Response Ratio (ERS)],0.9)</f>
        <v>0.61904761904761907</v>
      </c>
      <c r="AS1150" t="b">
        <f>Table67[[#This Row],[Extrem Response Ratio (ERS)]]&gt;=Table67[[#This Row],[Threshold of ERS]]</f>
        <v>0</v>
      </c>
      <c r="AT1150">
        <f>COUNTIF(Table67[[#This Row],[The mechanism of digital assets is difficult to understand, which discourages me from exploring it (E.g, Tokenization, Blockchain)]:[If I want to try different ways to invest, I will explore digital assets.]], 3)</f>
        <v>4</v>
      </c>
      <c r="AU1150">
        <f>Table67[[#This Row],[Midpoint]]/21</f>
        <v>0.19047619047619047</v>
      </c>
      <c r="AV1150">
        <f>_xlfn.PERCENTILE.INC(Table67[Midpoint ratio],0.9)</f>
        <v>0.5714285714285714</v>
      </c>
      <c r="AW1150" t="b">
        <f>Table67[[#This Row],[Midpoint ratio]]&gt;=Table67[[#This Row],[Threshold of Midpoint ratio]]</f>
        <v>0</v>
      </c>
      <c r="AX1150" t="b">
        <f>OR(Table67[[#This Row],[Extreme Response Style]],Table67[[#This Row],[Mid-point Response Style]])</f>
        <v>0</v>
      </c>
      <c r="AY1150" t="b">
        <f>OR(Table67[[#This Row],[Delete? (Stage 1)]],Table67[[#This Row],[Delete? (Stage 2)]])</f>
        <v>1</v>
      </c>
      <c r="AZ1150" t="s">
        <v>84</v>
      </c>
    </row>
    <row r="1151" spans="1:52">
      <c r="A1151">
        <f t="shared" si="71"/>
        <v>1150</v>
      </c>
      <c r="B1151" s="3">
        <v>46056.896967592598</v>
      </c>
      <c r="C1151" s="3">
        <v>46056.9046759259</v>
      </c>
      <c r="D1151" t="s">
        <v>53</v>
      </c>
      <c r="G1151" t="s">
        <v>54</v>
      </c>
      <c r="H1151" t="s">
        <v>55</v>
      </c>
      <c r="I1151" t="s">
        <v>56</v>
      </c>
      <c r="J1151" t="s">
        <v>62</v>
      </c>
      <c r="K1151" t="s">
        <v>62</v>
      </c>
      <c r="L1151" t="s">
        <v>61</v>
      </c>
      <c r="M1151" t="s">
        <v>61</v>
      </c>
      <c r="N1151">
        <v>1</v>
      </c>
      <c r="O1151">
        <v>2</v>
      </c>
      <c r="P1151">
        <v>4</v>
      </c>
      <c r="Q1151">
        <v>4</v>
      </c>
      <c r="R1151">
        <v>2</v>
      </c>
      <c r="S1151">
        <v>4</v>
      </c>
      <c r="T1151">
        <v>4</v>
      </c>
      <c r="U1151">
        <v>3</v>
      </c>
      <c r="V1151">
        <v>5</v>
      </c>
      <c r="W1151">
        <v>5</v>
      </c>
      <c r="X1151">
        <v>2</v>
      </c>
      <c r="Y1151">
        <v>3</v>
      </c>
      <c r="Z1151">
        <v>4</v>
      </c>
      <c r="AA1151">
        <v>2</v>
      </c>
      <c r="AB1151">
        <v>3</v>
      </c>
      <c r="AC1151">
        <v>2</v>
      </c>
      <c r="AD1151">
        <v>2</v>
      </c>
      <c r="AE1151">
        <v>5</v>
      </c>
      <c r="AF1151">
        <v>4</v>
      </c>
      <c r="AG1151">
        <v>3</v>
      </c>
      <c r="AH1151">
        <v>4</v>
      </c>
      <c r="AI1151">
        <v>2</v>
      </c>
      <c r="AJ1151">
        <v>2</v>
      </c>
      <c r="AK1151" t="b">
        <f>Table67[[#This Row],[What is your age?]]&lt;&gt;"18 - 25"</f>
        <v>0</v>
      </c>
      <c r="AL1151" t="b">
        <f t="shared" si="68"/>
        <v>0</v>
      </c>
      <c r="AM1151" t="b">
        <f t="shared" si="69"/>
        <v>0</v>
      </c>
      <c r="AN1151" t="b">
        <f t="shared" si="70"/>
        <v>1</v>
      </c>
      <c r="AO1151" t="b">
        <f>OR(Table67[[#This Row],[Ineligible respondents]:[Inconsistent response on opposite question (3)]])</f>
        <v>1</v>
      </c>
      <c r="AP115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151">
        <f>Table67[[#This Row],[Extreme Response]]/21</f>
        <v>0.19047619047619047</v>
      </c>
      <c r="AR1151">
        <f>_xlfn.PERCENTILE.INC(Table67[Extrem Response Ratio (ERS)],0.9)</f>
        <v>0.61904761904761907</v>
      </c>
      <c r="AS1151" t="b">
        <f>Table67[[#This Row],[Extrem Response Ratio (ERS)]]&gt;=Table67[[#This Row],[Threshold of ERS]]</f>
        <v>0</v>
      </c>
      <c r="AT1151">
        <f>COUNTIF(Table67[[#This Row],[The mechanism of digital assets is difficult to understand, which discourages me from exploring it (E.g, Tokenization, Blockchain)]:[If I want to try different ways to invest, I will explore digital assets.]], 3)</f>
        <v>4</v>
      </c>
      <c r="AU1151">
        <f>Table67[[#This Row],[Midpoint]]/21</f>
        <v>0.19047619047619047</v>
      </c>
      <c r="AV1151">
        <f>_xlfn.PERCENTILE.INC(Table67[Midpoint ratio],0.9)</f>
        <v>0.5714285714285714</v>
      </c>
      <c r="AW1151" t="b">
        <f>Table67[[#This Row],[Midpoint ratio]]&gt;=Table67[[#This Row],[Threshold of Midpoint ratio]]</f>
        <v>0</v>
      </c>
      <c r="AX1151" t="b">
        <f>OR(Table67[[#This Row],[Extreme Response Style]],Table67[[#This Row],[Mid-point Response Style]])</f>
        <v>0</v>
      </c>
      <c r="AY1151" t="b">
        <f>OR(Table67[[#This Row],[Delete? (Stage 1)]],Table67[[#This Row],[Delete? (Stage 2)]])</f>
        <v>1</v>
      </c>
      <c r="AZ1151" t="s">
        <v>84</v>
      </c>
    </row>
    <row r="1152" spans="1:52">
      <c r="A1152">
        <f t="shared" si="71"/>
        <v>1151</v>
      </c>
      <c r="B1152" s="3">
        <v>46056.897384259297</v>
      </c>
      <c r="C1152" s="3">
        <v>46056.901909722197</v>
      </c>
      <c r="D1152" t="s">
        <v>53</v>
      </c>
      <c r="G1152" t="s">
        <v>54</v>
      </c>
      <c r="H1152" t="s">
        <v>55</v>
      </c>
      <c r="I1152" t="s">
        <v>56</v>
      </c>
      <c r="J1152" t="s">
        <v>57</v>
      </c>
      <c r="K1152" t="s">
        <v>60</v>
      </c>
      <c r="L1152" t="s">
        <v>58</v>
      </c>
      <c r="M1152" t="s">
        <v>58</v>
      </c>
      <c r="N1152">
        <v>3</v>
      </c>
      <c r="O1152">
        <v>2</v>
      </c>
      <c r="P1152">
        <v>4</v>
      </c>
      <c r="Q1152">
        <v>4</v>
      </c>
      <c r="R1152">
        <v>2</v>
      </c>
      <c r="S1152">
        <v>3</v>
      </c>
      <c r="T1152">
        <v>2</v>
      </c>
      <c r="U1152">
        <v>4</v>
      </c>
      <c r="V1152">
        <v>2</v>
      </c>
      <c r="W1152">
        <v>4</v>
      </c>
      <c r="X1152">
        <v>3</v>
      </c>
      <c r="Y1152">
        <v>4</v>
      </c>
      <c r="Z1152">
        <v>5</v>
      </c>
      <c r="AA1152">
        <v>4</v>
      </c>
      <c r="AB1152">
        <v>2</v>
      </c>
      <c r="AC1152">
        <v>3</v>
      </c>
      <c r="AD1152">
        <v>2</v>
      </c>
      <c r="AE1152">
        <v>4</v>
      </c>
      <c r="AF1152">
        <v>4</v>
      </c>
      <c r="AG1152">
        <v>3</v>
      </c>
      <c r="AH1152">
        <v>4</v>
      </c>
      <c r="AI1152">
        <v>2</v>
      </c>
      <c r="AJ1152">
        <v>2</v>
      </c>
      <c r="AK1152" t="b">
        <f>Table67[[#This Row],[What is your age?]]&lt;&gt;"18 - 25"</f>
        <v>0</v>
      </c>
      <c r="AL1152" t="b">
        <f t="shared" si="68"/>
        <v>0</v>
      </c>
      <c r="AM1152" t="b">
        <f t="shared" si="69"/>
        <v>0</v>
      </c>
      <c r="AN1152" t="b">
        <f t="shared" si="70"/>
        <v>1</v>
      </c>
      <c r="AO1152" t="b">
        <f>OR(Table67[[#This Row],[Ineligible respondents]:[Inconsistent response on opposite question (3)]])</f>
        <v>1</v>
      </c>
      <c r="AP115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152">
        <f>Table67[[#This Row],[Extreme Response]]/21</f>
        <v>4.7619047619047616E-2</v>
      </c>
      <c r="AR1152">
        <f>_xlfn.PERCENTILE.INC(Table67[Extrem Response Ratio (ERS)],0.9)</f>
        <v>0.61904761904761907</v>
      </c>
      <c r="AS1152" t="b">
        <f>Table67[[#This Row],[Extrem Response Ratio (ERS)]]&gt;=Table67[[#This Row],[Threshold of ERS]]</f>
        <v>0</v>
      </c>
      <c r="AT1152">
        <f>COUNTIF(Table67[[#This Row],[The mechanism of digital assets is difficult to understand, which discourages me from exploring it (E.g, Tokenization, Blockchain)]:[If I want to try different ways to invest, I will explore digital assets.]], 3)</f>
        <v>5</v>
      </c>
      <c r="AU1152">
        <f>Table67[[#This Row],[Midpoint]]/21</f>
        <v>0.23809523809523808</v>
      </c>
      <c r="AV1152">
        <f>_xlfn.PERCENTILE.INC(Table67[Midpoint ratio],0.9)</f>
        <v>0.5714285714285714</v>
      </c>
      <c r="AW1152" t="b">
        <f>Table67[[#This Row],[Midpoint ratio]]&gt;=Table67[[#This Row],[Threshold of Midpoint ratio]]</f>
        <v>0</v>
      </c>
      <c r="AX1152" t="b">
        <f>OR(Table67[[#This Row],[Extreme Response Style]],Table67[[#This Row],[Mid-point Response Style]])</f>
        <v>0</v>
      </c>
      <c r="AY1152" t="b">
        <f>OR(Table67[[#This Row],[Delete? (Stage 1)]],Table67[[#This Row],[Delete? (Stage 2)]])</f>
        <v>1</v>
      </c>
      <c r="AZ1152" t="s">
        <v>84</v>
      </c>
    </row>
    <row r="1153" spans="1:52">
      <c r="A1153">
        <f t="shared" si="71"/>
        <v>1152</v>
      </c>
      <c r="B1153" s="3">
        <v>46056.897442129601</v>
      </c>
      <c r="C1153" s="3">
        <v>46056.901875000003</v>
      </c>
      <c r="D1153" t="s">
        <v>53</v>
      </c>
      <c r="G1153" t="s">
        <v>54</v>
      </c>
      <c r="H1153" t="s">
        <v>63</v>
      </c>
      <c r="I1153" t="s">
        <v>75</v>
      </c>
      <c r="J1153" t="s">
        <v>64</v>
      </c>
      <c r="K1153" t="s">
        <v>60</v>
      </c>
      <c r="L1153" t="s">
        <v>58</v>
      </c>
      <c r="M1153" t="s">
        <v>61</v>
      </c>
      <c r="N1153">
        <v>4</v>
      </c>
      <c r="O1153">
        <v>2</v>
      </c>
      <c r="P1153">
        <v>3</v>
      </c>
      <c r="Q1153">
        <v>2</v>
      </c>
      <c r="R1153">
        <v>2</v>
      </c>
      <c r="S1153">
        <v>2</v>
      </c>
      <c r="T1153">
        <v>2</v>
      </c>
      <c r="U1153">
        <v>2</v>
      </c>
      <c r="V1153">
        <v>2</v>
      </c>
      <c r="W1153">
        <v>2</v>
      </c>
      <c r="X1153">
        <v>2</v>
      </c>
      <c r="Y1153">
        <v>2</v>
      </c>
      <c r="Z1153">
        <v>4</v>
      </c>
      <c r="AA1153">
        <v>3</v>
      </c>
      <c r="AB1153">
        <v>2</v>
      </c>
      <c r="AC1153">
        <v>3</v>
      </c>
      <c r="AD1153">
        <v>3</v>
      </c>
      <c r="AE1153">
        <v>2</v>
      </c>
      <c r="AF1153">
        <v>4</v>
      </c>
      <c r="AG1153">
        <v>2</v>
      </c>
      <c r="AH1153">
        <v>4</v>
      </c>
      <c r="AI1153">
        <v>2</v>
      </c>
      <c r="AJ1153">
        <v>2</v>
      </c>
      <c r="AK1153" t="b">
        <f>Table67[[#This Row],[What is your age?]]&lt;&gt;"18 - 25"</f>
        <v>0</v>
      </c>
      <c r="AL1153" t="b">
        <f t="shared" si="68"/>
        <v>0</v>
      </c>
      <c r="AM1153" t="b">
        <f t="shared" si="69"/>
        <v>0</v>
      </c>
      <c r="AN1153" t="b">
        <f t="shared" si="70"/>
        <v>0</v>
      </c>
      <c r="AO1153" t="b">
        <f>OR(Table67[[#This Row],[Ineligible respondents]:[Inconsistent response on opposite question (3)]])</f>
        <v>0</v>
      </c>
      <c r="AP115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153">
        <f>Table67[[#This Row],[Extreme Response]]/21</f>
        <v>0</v>
      </c>
      <c r="AR1153">
        <f>_xlfn.PERCENTILE.INC(Table67[Extrem Response Ratio (ERS)],0.9)</f>
        <v>0.61904761904761907</v>
      </c>
      <c r="AS1153" t="b">
        <f>Table67[[#This Row],[Extrem Response Ratio (ERS)]]&gt;=Table67[[#This Row],[Threshold of ERS]]</f>
        <v>0</v>
      </c>
      <c r="AT1153">
        <f>COUNTIF(Table67[[#This Row],[The mechanism of digital assets is difficult to understand, which discourages me from exploring it (E.g, Tokenization, Blockchain)]:[If I want to try different ways to invest, I will explore digital assets.]], 3)</f>
        <v>4</v>
      </c>
      <c r="AU1153">
        <f>Table67[[#This Row],[Midpoint]]/21</f>
        <v>0.19047619047619047</v>
      </c>
      <c r="AV1153">
        <f>_xlfn.PERCENTILE.INC(Table67[Midpoint ratio],0.9)</f>
        <v>0.5714285714285714</v>
      </c>
      <c r="AW1153" t="b">
        <f>Table67[[#This Row],[Midpoint ratio]]&gt;=Table67[[#This Row],[Threshold of Midpoint ratio]]</f>
        <v>0</v>
      </c>
      <c r="AX1153" t="b">
        <f>OR(Table67[[#This Row],[Extreme Response Style]],Table67[[#This Row],[Mid-point Response Style]])</f>
        <v>0</v>
      </c>
      <c r="AY1153" t="b">
        <f>OR(Table67[[#This Row],[Delete? (Stage 1)]],Table67[[#This Row],[Delete? (Stage 2)]])</f>
        <v>0</v>
      </c>
      <c r="AZ1153" t="s">
        <v>84</v>
      </c>
    </row>
    <row r="1154" spans="1:52">
      <c r="A1154">
        <f t="shared" si="71"/>
        <v>1153</v>
      </c>
      <c r="B1154" s="3">
        <v>46056.898009259297</v>
      </c>
      <c r="C1154" s="3">
        <v>46056.908460648097</v>
      </c>
      <c r="D1154" t="s">
        <v>53</v>
      </c>
      <c r="G1154" t="s">
        <v>54</v>
      </c>
      <c r="H1154" t="s">
        <v>55</v>
      </c>
      <c r="I1154" t="s">
        <v>75</v>
      </c>
      <c r="J1154" t="s">
        <v>62</v>
      </c>
      <c r="K1154" t="s">
        <v>62</v>
      </c>
      <c r="L1154" t="s">
        <v>58</v>
      </c>
      <c r="M1154" t="s">
        <v>61</v>
      </c>
      <c r="N1154">
        <v>3</v>
      </c>
      <c r="O1154">
        <v>3</v>
      </c>
      <c r="P1154">
        <v>5</v>
      </c>
      <c r="Q1154">
        <v>4</v>
      </c>
      <c r="R1154">
        <v>3</v>
      </c>
      <c r="S1154">
        <v>5</v>
      </c>
      <c r="T1154">
        <v>2</v>
      </c>
      <c r="U1154">
        <v>5</v>
      </c>
      <c r="V1154">
        <v>5</v>
      </c>
      <c r="W1154">
        <v>4</v>
      </c>
      <c r="X1154">
        <v>5</v>
      </c>
      <c r="Y1154">
        <v>5</v>
      </c>
      <c r="Z1154">
        <v>5</v>
      </c>
      <c r="AA1154">
        <v>4</v>
      </c>
      <c r="AB1154">
        <v>5</v>
      </c>
      <c r="AC1154">
        <v>2</v>
      </c>
      <c r="AD1154">
        <v>5</v>
      </c>
      <c r="AE1154">
        <v>5</v>
      </c>
      <c r="AF1154">
        <v>5</v>
      </c>
      <c r="AG1154">
        <v>1</v>
      </c>
      <c r="AH1154">
        <v>5</v>
      </c>
      <c r="AI1154">
        <v>1</v>
      </c>
      <c r="AJ1154">
        <v>1</v>
      </c>
      <c r="AK1154" t="b">
        <f>Table67[[#This Row],[What is your age?]]&lt;&gt;"18 - 25"</f>
        <v>0</v>
      </c>
      <c r="AL1154" t="b">
        <f t="shared" si="68"/>
        <v>0</v>
      </c>
      <c r="AM1154" t="b">
        <f t="shared" si="69"/>
        <v>0</v>
      </c>
      <c r="AN1154" t="b">
        <f t="shared" si="70"/>
        <v>0</v>
      </c>
      <c r="AO1154" t="b">
        <f>OR(Table67[[#This Row],[Ineligible respondents]:[Inconsistent response on opposite question (3)]])</f>
        <v>0</v>
      </c>
      <c r="AP115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1154">
        <f>Table67[[#This Row],[Extreme Response]]/21</f>
        <v>0.61904761904761907</v>
      </c>
      <c r="AR1154">
        <f>_xlfn.PERCENTILE.INC(Table67[Extrem Response Ratio (ERS)],0.9)</f>
        <v>0.61904761904761907</v>
      </c>
      <c r="AS1154" t="b">
        <f>Table67[[#This Row],[Extrem Response Ratio (ERS)]]&gt;=Table67[[#This Row],[Threshold of ERS]]</f>
        <v>1</v>
      </c>
      <c r="AT1154">
        <f>COUNTIF(Table67[[#This Row],[The mechanism of digital assets is difficult to understand, which discourages me from exploring it (E.g, Tokenization, Blockchain)]:[If I want to try different ways to invest, I will explore digital assets.]], 3)</f>
        <v>3</v>
      </c>
      <c r="AU1154">
        <f>Table67[[#This Row],[Midpoint]]/21</f>
        <v>0.14285714285714285</v>
      </c>
      <c r="AV1154">
        <f>_xlfn.PERCENTILE.INC(Table67[Midpoint ratio],0.9)</f>
        <v>0.5714285714285714</v>
      </c>
      <c r="AW1154" t="b">
        <f>Table67[[#This Row],[Midpoint ratio]]&gt;=Table67[[#This Row],[Threshold of Midpoint ratio]]</f>
        <v>0</v>
      </c>
      <c r="AX1154" t="b">
        <f>OR(Table67[[#This Row],[Extreme Response Style]],Table67[[#This Row],[Mid-point Response Style]])</f>
        <v>1</v>
      </c>
      <c r="AY1154" t="b">
        <f>OR(Table67[[#This Row],[Delete? (Stage 1)]],Table67[[#This Row],[Delete? (Stage 2)]])</f>
        <v>1</v>
      </c>
      <c r="AZ1154" t="s">
        <v>84</v>
      </c>
    </row>
    <row r="1155" spans="1:52">
      <c r="A1155">
        <f t="shared" si="71"/>
        <v>1154</v>
      </c>
      <c r="B1155" s="3">
        <v>46056.898414351803</v>
      </c>
      <c r="C1155" s="3">
        <v>46056.902604166702</v>
      </c>
      <c r="D1155" t="s">
        <v>53</v>
      </c>
      <c r="G1155" t="s">
        <v>54</v>
      </c>
      <c r="H1155" t="s">
        <v>55</v>
      </c>
      <c r="I1155" t="s">
        <v>69</v>
      </c>
      <c r="J1155" t="s">
        <v>57</v>
      </c>
      <c r="K1155" t="s">
        <v>62</v>
      </c>
      <c r="L1155" t="s">
        <v>58</v>
      </c>
      <c r="M1155" t="s">
        <v>61</v>
      </c>
      <c r="N1155">
        <v>4</v>
      </c>
      <c r="O1155">
        <v>3</v>
      </c>
      <c r="P1155">
        <v>4</v>
      </c>
      <c r="Q1155">
        <v>4</v>
      </c>
      <c r="R1155">
        <v>3</v>
      </c>
      <c r="S1155">
        <v>4</v>
      </c>
      <c r="T1155">
        <v>4</v>
      </c>
      <c r="U1155">
        <v>3</v>
      </c>
      <c r="V1155">
        <v>5</v>
      </c>
      <c r="W1155">
        <v>3</v>
      </c>
      <c r="X1155">
        <v>2</v>
      </c>
      <c r="Y1155">
        <v>4</v>
      </c>
      <c r="Z1155">
        <v>4</v>
      </c>
      <c r="AA1155">
        <v>5</v>
      </c>
      <c r="AB1155">
        <v>3</v>
      </c>
      <c r="AC1155">
        <v>3</v>
      </c>
      <c r="AD1155">
        <v>5</v>
      </c>
      <c r="AE1155">
        <v>2</v>
      </c>
      <c r="AF1155">
        <v>3</v>
      </c>
      <c r="AG1155">
        <v>4</v>
      </c>
      <c r="AH1155">
        <v>5</v>
      </c>
      <c r="AI1155">
        <v>1</v>
      </c>
      <c r="AJ1155">
        <v>3</v>
      </c>
      <c r="AK1155" t="b">
        <f>Table67[[#This Row],[What is your age?]]&lt;&gt;"18 - 25"</f>
        <v>0</v>
      </c>
      <c r="AL1155" t="b">
        <f t="shared" ref="AL1155:AL1218" si="72">COUNTIF(N1155:AH1155, N1155) = COLUMNS(N1155:AH1155)</f>
        <v>0</v>
      </c>
      <c r="AM1155" t="b">
        <f t="shared" ref="AM1155:AM1218" si="73">OR(AND(AG1155=AH1155, AG1155&lt;&gt;3), AND(OR(AG1155=1, AG1155=2), OR(AH1155=1, AH1155=2)), AND(OR(AG1155=4, AG1155=5), OR(AH1155=4, AH1155=5)))</f>
        <v>1</v>
      </c>
      <c r="AN1155" t="b">
        <f t="shared" ref="AN1155:AN1218" si="74">OR(AND(AG1155=3, AH1155&lt;&gt;3), AND(AH1155=3, AG1155&lt;&gt;3))</f>
        <v>0</v>
      </c>
      <c r="AO1155" t="b">
        <f>OR(Table67[[#This Row],[Ineligible respondents]:[Inconsistent response on opposite question (3)]])</f>
        <v>1</v>
      </c>
      <c r="AP115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155">
        <f>Table67[[#This Row],[Extreme Response]]/21</f>
        <v>0.19047619047619047</v>
      </c>
      <c r="AR1155">
        <f>_xlfn.PERCENTILE.INC(Table67[Extrem Response Ratio (ERS)],0.9)</f>
        <v>0.61904761904761907</v>
      </c>
      <c r="AS1155" t="b">
        <f>Table67[[#This Row],[Extrem Response Ratio (ERS)]]&gt;=Table67[[#This Row],[Threshold of ERS]]</f>
        <v>0</v>
      </c>
      <c r="AT1155">
        <f>COUNTIF(Table67[[#This Row],[The mechanism of digital assets is difficult to understand, which discourages me from exploring it (E.g, Tokenization, Blockchain)]:[If I want to try different ways to invest, I will explore digital assets.]], 3)</f>
        <v>7</v>
      </c>
      <c r="AU1155">
        <f>Table67[[#This Row],[Midpoint]]/21</f>
        <v>0.33333333333333331</v>
      </c>
      <c r="AV1155">
        <f>_xlfn.PERCENTILE.INC(Table67[Midpoint ratio],0.9)</f>
        <v>0.5714285714285714</v>
      </c>
      <c r="AW1155" t="b">
        <f>Table67[[#This Row],[Midpoint ratio]]&gt;=Table67[[#This Row],[Threshold of Midpoint ratio]]</f>
        <v>0</v>
      </c>
      <c r="AX1155" t="b">
        <f>OR(Table67[[#This Row],[Extreme Response Style]],Table67[[#This Row],[Mid-point Response Style]])</f>
        <v>0</v>
      </c>
      <c r="AY1155" t="b">
        <f>OR(Table67[[#This Row],[Delete? (Stage 1)]],Table67[[#This Row],[Delete? (Stage 2)]])</f>
        <v>1</v>
      </c>
      <c r="AZ1155" t="s">
        <v>84</v>
      </c>
    </row>
    <row r="1156" spans="1:52">
      <c r="A1156">
        <f t="shared" ref="A1156:A1219" si="75">1+A1155</f>
        <v>1155</v>
      </c>
      <c r="B1156" s="3">
        <v>46056.898599537002</v>
      </c>
      <c r="C1156" s="3">
        <v>46056.902476851901</v>
      </c>
      <c r="D1156" t="s">
        <v>53</v>
      </c>
      <c r="G1156" t="s">
        <v>54</v>
      </c>
      <c r="H1156" t="s">
        <v>63</v>
      </c>
      <c r="I1156" t="s">
        <v>75</v>
      </c>
      <c r="J1156" t="s">
        <v>62</v>
      </c>
      <c r="K1156" t="s">
        <v>57</v>
      </c>
      <c r="L1156" t="s">
        <v>58</v>
      </c>
      <c r="M1156" t="s">
        <v>58</v>
      </c>
      <c r="N1156">
        <v>3</v>
      </c>
      <c r="O1156">
        <v>3</v>
      </c>
      <c r="P1156">
        <v>4</v>
      </c>
      <c r="Q1156">
        <v>3</v>
      </c>
      <c r="R1156">
        <v>2</v>
      </c>
      <c r="S1156">
        <v>3</v>
      </c>
      <c r="T1156">
        <v>2</v>
      </c>
      <c r="U1156">
        <v>3</v>
      </c>
      <c r="V1156">
        <v>5</v>
      </c>
      <c r="W1156">
        <v>3</v>
      </c>
      <c r="X1156">
        <v>3</v>
      </c>
      <c r="Y1156">
        <v>4</v>
      </c>
      <c r="Z1156">
        <v>5</v>
      </c>
      <c r="AA1156">
        <v>5</v>
      </c>
      <c r="AB1156">
        <v>3</v>
      </c>
      <c r="AC1156">
        <v>3</v>
      </c>
      <c r="AD1156">
        <v>4</v>
      </c>
      <c r="AE1156">
        <v>5</v>
      </c>
      <c r="AF1156">
        <v>3</v>
      </c>
      <c r="AG1156">
        <v>3</v>
      </c>
      <c r="AH1156">
        <v>4</v>
      </c>
      <c r="AI1156">
        <v>2</v>
      </c>
      <c r="AJ1156">
        <v>3</v>
      </c>
      <c r="AK1156" t="b">
        <f>Table67[[#This Row],[What is your age?]]&lt;&gt;"18 - 25"</f>
        <v>0</v>
      </c>
      <c r="AL1156" t="b">
        <f t="shared" si="72"/>
        <v>0</v>
      </c>
      <c r="AM1156" t="b">
        <f t="shared" si="73"/>
        <v>0</v>
      </c>
      <c r="AN1156" t="b">
        <f t="shared" si="74"/>
        <v>1</v>
      </c>
      <c r="AO1156" t="b">
        <f>OR(Table67[[#This Row],[Ineligible respondents]:[Inconsistent response on opposite question (3)]])</f>
        <v>1</v>
      </c>
      <c r="AP115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156">
        <f>Table67[[#This Row],[Extreme Response]]/21</f>
        <v>0.19047619047619047</v>
      </c>
      <c r="AR1156">
        <f>_xlfn.PERCENTILE.INC(Table67[Extrem Response Ratio (ERS)],0.9)</f>
        <v>0.61904761904761907</v>
      </c>
      <c r="AS1156" t="b">
        <f>Table67[[#This Row],[Extrem Response Ratio (ERS)]]&gt;=Table67[[#This Row],[Threshold of ERS]]</f>
        <v>0</v>
      </c>
      <c r="AT1156">
        <f>COUNTIF(Table67[[#This Row],[The mechanism of digital assets is difficult to understand, which discourages me from exploring it (E.g, Tokenization, Blockchain)]:[If I want to try different ways to invest, I will explore digital assets.]], 3)</f>
        <v>11</v>
      </c>
      <c r="AU1156">
        <f>Table67[[#This Row],[Midpoint]]/21</f>
        <v>0.52380952380952384</v>
      </c>
      <c r="AV1156">
        <f>_xlfn.PERCENTILE.INC(Table67[Midpoint ratio],0.9)</f>
        <v>0.5714285714285714</v>
      </c>
      <c r="AW1156" t="b">
        <f>Table67[[#This Row],[Midpoint ratio]]&gt;=Table67[[#This Row],[Threshold of Midpoint ratio]]</f>
        <v>0</v>
      </c>
      <c r="AX1156" t="b">
        <f>OR(Table67[[#This Row],[Extreme Response Style]],Table67[[#This Row],[Mid-point Response Style]])</f>
        <v>0</v>
      </c>
      <c r="AY1156" t="b">
        <f>OR(Table67[[#This Row],[Delete? (Stage 1)]],Table67[[#This Row],[Delete? (Stage 2)]])</f>
        <v>1</v>
      </c>
      <c r="AZ1156" t="s">
        <v>84</v>
      </c>
    </row>
    <row r="1157" spans="1:52">
      <c r="A1157">
        <f t="shared" si="75"/>
        <v>1156</v>
      </c>
      <c r="B1157" s="3">
        <v>46056.8987962963</v>
      </c>
      <c r="C1157" s="3">
        <v>46056.909583333298</v>
      </c>
      <c r="D1157" t="s">
        <v>53</v>
      </c>
      <c r="G1157" t="s">
        <v>54</v>
      </c>
      <c r="H1157" t="s">
        <v>63</v>
      </c>
      <c r="I1157" t="s">
        <v>69</v>
      </c>
      <c r="J1157" t="s">
        <v>60</v>
      </c>
      <c r="K1157" t="s">
        <v>62</v>
      </c>
      <c r="L1157" t="s">
        <v>58</v>
      </c>
      <c r="M1157" t="s">
        <v>58</v>
      </c>
      <c r="N1157">
        <v>3</v>
      </c>
      <c r="O1157">
        <v>2</v>
      </c>
      <c r="P1157">
        <v>5</v>
      </c>
      <c r="Q1157">
        <v>4</v>
      </c>
      <c r="R1157">
        <v>2</v>
      </c>
      <c r="S1157">
        <v>5</v>
      </c>
      <c r="T1157">
        <v>4</v>
      </c>
      <c r="U1157">
        <v>5</v>
      </c>
      <c r="V1157">
        <v>5</v>
      </c>
      <c r="W1157">
        <v>5</v>
      </c>
      <c r="X1157">
        <v>5</v>
      </c>
      <c r="Y1157">
        <v>5</v>
      </c>
      <c r="Z1157">
        <v>5</v>
      </c>
      <c r="AA1157">
        <v>4</v>
      </c>
      <c r="AB1157">
        <v>3</v>
      </c>
      <c r="AC1157">
        <v>3</v>
      </c>
      <c r="AD1157">
        <v>4</v>
      </c>
      <c r="AE1157">
        <v>4</v>
      </c>
      <c r="AF1157">
        <v>4</v>
      </c>
      <c r="AG1157">
        <v>3</v>
      </c>
      <c r="AH1157">
        <v>4</v>
      </c>
      <c r="AI1157">
        <v>2</v>
      </c>
      <c r="AJ1157">
        <v>2</v>
      </c>
      <c r="AK1157" t="b">
        <f>Table67[[#This Row],[What is your age?]]&lt;&gt;"18 - 25"</f>
        <v>0</v>
      </c>
      <c r="AL1157" t="b">
        <f t="shared" si="72"/>
        <v>0</v>
      </c>
      <c r="AM1157" t="b">
        <f t="shared" si="73"/>
        <v>0</v>
      </c>
      <c r="AN1157" t="b">
        <f t="shared" si="74"/>
        <v>1</v>
      </c>
      <c r="AO1157" t="b">
        <f>OR(Table67[[#This Row],[Ineligible respondents]:[Inconsistent response on opposite question (3)]])</f>
        <v>1</v>
      </c>
      <c r="AP115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1157">
        <f>Table67[[#This Row],[Extreme Response]]/21</f>
        <v>0.38095238095238093</v>
      </c>
      <c r="AR1157">
        <f>_xlfn.PERCENTILE.INC(Table67[Extrem Response Ratio (ERS)],0.9)</f>
        <v>0.61904761904761907</v>
      </c>
      <c r="AS1157" t="b">
        <f>Table67[[#This Row],[Extrem Response Ratio (ERS)]]&gt;=Table67[[#This Row],[Threshold of ERS]]</f>
        <v>0</v>
      </c>
      <c r="AT1157">
        <f>COUNTIF(Table67[[#This Row],[The mechanism of digital assets is difficult to understand, which discourages me from exploring it (E.g, Tokenization, Blockchain)]:[If I want to try different ways to invest, I will explore digital assets.]], 3)</f>
        <v>4</v>
      </c>
      <c r="AU1157">
        <f>Table67[[#This Row],[Midpoint]]/21</f>
        <v>0.19047619047619047</v>
      </c>
      <c r="AV1157">
        <f>_xlfn.PERCENTILE.INC(Table67[Midpoint ratio],0.9)</f>
        <v>0.5714285714285714</v>
      </c>
      <c r="AW1157" t="b">
        <f>Table67[[#This Row],[Midpoint ratio]]&gt;=Table67[[#This Row],[Threshold of Midpoint ratio]]</f>
        <v>0</v>
      </c>
      <c r="AX1157" t="b">
        <f>OR(Table67[[#This Row],[Extreme Response Style]],Table67[[#This Row],[Mid-point Response Style]])</f>
        <v>0</v>
      </c>
      <c r="AY1157" t="b">
        <f>OR(Table67[[#This Row],[Delete? (Stage 1)]],Table67[[#This Row],[Delete? (Stage 2)]])</f>
        <v>1</v>
      </c>
      <c r="AZ1157" t="s">
        <v>84</v>
      </c>
    </row>
    <row r="1158" spans="1:52">
      <c r="A1158">
        <f t="shared" si="75"/>
        <v>1157</v>
      </c>
      <c r="B1158" s="3">
        <v>46056.899027777799</v>
      </c>
      <c r="C1158" s="3">
        <v>46056.9031944444</v>
      </c>
      <c r="D1158" t="s">
        <v>53</v>
      </c>
      <c r="G1158" t="s">
        <v>54</v>
      </c>
      <c r="H1158" t="s">
        <v>63</v>
      </c>
      <c r="I1158" t="s">
        <v>75</v>
      </c>
      <c r="J1158" t="s">
        <v>62</v>
      </c>
      <c r="K1158" t="s">
        <v>62</v>
      </c>
      <c r="L1158" t="s">
        <v>58</v>
      </c>
      <c r="M1158" t="s">
        <v>61</v>
      </c>
      <c r="N1158">
        <v>2</v>
      </c>
      <c r="O1158">
        <v>3</v>
      </c>
      <c r="P1158">
        <v>3</v>
      </c>
      <c r="Q1158">
        <v>4</v>
      </c>
      <c r="R1158">
        <v>3</v>
      </c>
      <c r="S1158">
        <v>4</v>
      </c>
      <c r="T1158">
        <v>3</v>
      </c>
      <c r="U1158">
        <v>4</v>
      </c>
      <c r="V1158">
        <v>4</v>
      </c>
      <c r="W1158">
        <v>4</v>
      </c>
      <c r="X1158">
        <v>4</v>
      </c>
      <c r="Y1158">
        <v>4</v>
      </c>
      <c r="Z1158">
        <v>4</v>
      </c>
      <c r="AA1158">
        <v>4</v>
      </c>
      <c r="AB1158">
        <v>3</v>
      </c>
      <c r="AC1158">
        <v>4</v>
      </c>
      <c r="AD1158">
        <v>3</v>
      </c>
      <c r="AE1158">
        <v>2</v>
      </c>
      <c r="AF1158">
        <v>2</v>
      </c>
      <c r="AG1158">
        <v>2</v>
      </c>
      <c r="AH1158">
        <v>3</v>
      </c>
      <c r="AI1158">
        <v>3</v>
      </c>
      <c r="AJ1158">
        <v>4</v>
      </c>
      <c r="AK1158" t="b">
        <f>Table67[[#This Row],[What is your age?]]&lt;&gt;"18 - 25"</f>
        <v>0</v>
      </c>
      <c r="AL1158" t="b">
        <f t="shared" si="72"/>
        <v>0</v>
      </c>
      <c r="AM1158" t="b">
        <f t="shared" si="73"/>
        <v>0</v>
      </c>
      <c r="AN1158" t="b">
        <f t="shared" si="74"/>
        <v>1</v>
      </c>
      <c r="AO1158" t="b">
        <f>OR(Table67[[#This Row],[Ineligible respondents]:[Inconsistent response on opposite question (3)]])</f>
        <v>1</v>
      </c>
      <c r="AP115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158">
        <f>Table67[[#This Row],[Extreme Response]]/21</f>
        <v>0</v>
      </c>
      <c r="AR1158">
        <f>_xlfn.PERCENTILE.INC(Table67[Extrem Response Ratio (ERS)],0.9)</f>
        <v>0.61904761904761907</v>
      </c>
      <c r="AS1158" t="b">
        <f>Table67[[#This Row],[Extrem Response Ratio (ERS)]]&gt;=Table67[[#This Row],[Threshold of ERS]]</f>
        <v>0</v>
      </c>
      <c r="AT1158">
        <f>COUNTIF(Table67[[#This Row],[The mechanism of digital assets is difficult to understand, which discourages me from exploring it (E.g, Tokenization, Blockchain)]:[If I want to try different ways to invest, I will explore digital assets.]], 3)</f>
        <v>7</v>
      </c>
      <c r="AU1158">
        <f>Table67[[#This Row],[Midpoint]]/21</f>
        <v>0.33333333333333331</v>
      </c>
      <c r="AV1158">
        <f>_xlfn.PERCENTILE.INC(Table67[Midpoint ratio],0.9)</f>
        <v>0.5714285714285714</v>
      </c>
      <c r="AW1158" t="b">
        <f>Table67[[#This Row],[Midpoint ratio]]&gt;=Table67[[#This Row],[Threshold of Midpoint ratio]]</f>
        <v>0</v>
      </c>
      <c r="AX1158" t="b">
        <f>OR(Table67[[#This Row],[Extreme Response Style]],Table67[[#This Row],[Mid-point Response Style]])</f>
        <v>0</v>
      </c>
      <c r="AY1158" t="b">
        <f>OR(Table67[[#This Row],[Delete? (Stage 1)]],Table67[[#This Row],[Delete? (Stage 2)]])</f>
        <v>1</v>
      </c>
      <c r="AZ1158" t="s">
        <v>84</v>
      </c>
    </row>
    <row r="1159" spans="1:52">
      <c r="A1159">
        <f t="shared" si="75"/>
        <v>1158</v>
      </c>
      <c r="B1159" s="3">
        <v>46056.899270833303</v>
      </c>
      <c r="C1159" s="3">
        <v>46056.910162036998</v>
      </c>
      <c r="D1159" t="s">
        <v>53</v>
      </c>
      <c r="G1159" t="s">
        <v>54</v>
      </c>
      <c r="H1159" t="s">
        <v>63</v>
      </c>
      <c r="I1159" t="s">
        <v>75</v>
      </c>
      <c r="J1159" t="s">
        <v>62</v>
      </c>
      <c r="K1159" t="s">
        <v>62</v>
      </c>
      <c r="L1159" t="s">
        <v>61</v>
      </c>
      <c r="M1159" t="s">
        <v>58</v>
      </c>
      <c r="N1159">
        <v>4</v>
      </c>
      <c r="O1159">
        <v>1</v>
      </c>
      <c r="P1159">
        <v>4</v>
      </c>
      <c r="Q1159">
        <v>4</v>
      </c>
      <c r="R1159">
        <v>5</v>
      </c>
      <c r="S1159">
        <v>4</v>
      </c>
      <c r="T1159">
        <v>5</v>
      </c>
      <c r="U1159">
        <v>5</v>
      </c>
      <c r="V1159">
        <v>1</v>
      </c>
      <c r="W1159">
        <v>5</v>
      </c>
      <c r="X1159">
        <v>5</v>
      </c>
      <c r="Y1159">
        <v>5</v>
      </c>
      <c r="Z1159">
        <v>5</v>
      </c>
      <c r="AA1159">
        <v>3</v>
      </c>
      <c r="AB1159">
        <v>4</v>
      </c>
      <c r="AC1159">
        <v>5</v>
      </c>
      <c r="AD1159">
        <v>5</v>
      </c>
      <c r="AE1159">
        <v>5</v>
      </c>
      <c r="AF1159">
        <v>1</v>
      </c>
      <c r="AG1159">
        <v>3</v>
      </c>
      <c r="AH1159">
        <v>4</v>
      </c>
      <c r="AI1159">
        <v>2</v>
      </c>
      <c r="AJ1159">
        <v>5</v>
      </c>
      <c r="AK1159" t="b">
        <f>Table67[[#This Row],[What is your age?]]&lt;&gt;"18 - 25"</f>
        <v>0</v>
      </c>
      <c r="AL1159" t="b">
        <f t="shared" si="72"/>
        <v>0</v>
      </c>
      <c r="AM1159" t="b">
        <f t="shared" si="73"/>
        <v>0</v>
      </c>
      <c r="AN1159" t="b">
        <f t="shared" si="74"/>
        <v>1</v>
      </c>
      <c r="AO1159" t="b">
        <f>OR(Table67[[#This Row],[Ineligible respondents]:[Inconsistent response on opposite question (3)]])</f>
        <v>1</v>
      </c>
      <c r="AP115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1159">
        <f>Table67[[#This Row],[Extreme Response]]/21</f>
        <v>0.61904761904761907</v>
      </c>
      <c r="AR1159">
        <f>_xlfn.PERCENTILE.INC(Table67[Extrem Response Ratio (ERS)],0.9)</f>
        <v>0.61904761904761907</v>
      </c>
      <c r="AS1159" t="b">
        <f>Table67[[#This Row],[Extrem Response Ratio (ERS)]]&gt;=Table67[[#This Row],[Threshold of ERS]]</f>
        <v>1</v>
      </c>
      <c r="AT1159">
        <f>COUNTIF(Table67[[#This Row],[The mechanism of digital assets is difficult to understand, which discourages me from exploring it (E.g, Tokenization, Blockchain)]:[If I want to try different ways to invest, I will explore digital assets.]], 3)</f>
        <v>2</v>
      </c>
      <c r="AU1159">
        <f>Table67[[#This Row],[Midpoint]]/21</f>
        <v>9.5238095238095233E-2</v>
      </c>
      <c r="AV1159">
        <f>_xlfn.PERCENTILE.INC(Table67[Midpoint ratio],0.9)</f>
        <v>0.5714285714285714</v>
      </c>
      <c r="AW1159" t="b">
        <f>Table67[[#This Row],[Midpoint ratio]]&gt;=Table67[[#This Row],[Threshold of Midpoint ratio]]</f>
        <v>0</v>
      </c>
      <c r="AX1159" t="b">
        <f>OR(Table67[[#This Row],[Extreme Response Style]],Table67[[#This Row],[Mid-point Response Style]])</f>
        <v>1</v>
      </c>
      <c r="AY1159" t="b">
        <f>OR(Table67[[#This Row],[Delete? (Stage 1)]],Table67[[#This Row],[Delete? (Stage 2)]])</f>
        <v>1</v>
      </c>
      <c r="AZ1159" t="s">
        <v>84</v>
      </c>
    </row>
    <row r="1160" spans="1:52">
      <c r="A1160">
        <f t="shared" si="75"/>
        <v>1159</v>
      </c>
      <c r="B1160" s="3">
        <v>46056.899548611102</v>
      </c>
      <c r="C1160" s="3">
        <v>46056.904201388897</v>
      </c>
      <c r="D1160" t="s">
        <v>53</v>
      </c>
      <c r="G1160" t="s">
        <v>54</v>
      </c>
      <c r="H1160" t="s">
        <v>63</v>
      </c>
      <c r="I1160" t="s">
        <v>75</v>
      </c>
      <c r="J1160" t="s">
        <v>62</v>
      </c>
      <c r="K1160" t="s">
        <v>57</v>
      </c>
      <c r="L1160" t="s">
        <v>58</v>
      </c>
      <c r="M1160" t="s">
        <v>58</v>
      </c>
      <c r="N1160">
        <v>3</v>
      </c>
      <c r="O1160">
        <v>4</v>
      </c>
      <c r="P1160">
        <v>4</v>
      </c>
      <c r="Q1160">
        <v>1</v>
      </c>
      <c r="R1160">
        <v>1</v>
      </c>
      <c r="S1160">
        <v>3</v>
      </c>
      <c r="T1160">
        <v>2</v>
      </c>
      <c r="U1160">
        <v>4</v>
      </c>
      <c r="V1160">
        <v>2</v>
      </c>
      <c r="W1160">
        <v>1</v>
      </c>
      <c r="X1160">
        <v>3</v>
      </c>
      <c r="Y1160">
        <v>2</v>
      </c>
      <c r="Z1160">
        <v>4</v>
      </c>
      <c r="AA1160">
        <v>4</v>
      </c>
      <c r="AB1160">
        <v>2</v>
      </c>
      <c r="AC1160">
        <v>2</v>
      </c>
      <c r="AD1160">
        <v>3</v>
      </c>
      <c r="AE1160">
        <v>1</v>
      </c>
      <c r="AF1160">
        <v>5</v>
      </c>
      <c r="AG1160">
        <v>3</v>
      </c>
      <c r="AH1160">
        <v>4</v>
      </c>
      <c r="AI1160">
        <v>2</v>
      </c>
      <c r="AJ1160">
        <v>1</v>
      </c>
      <c r="AK1160" t="b">
        <f>Table67[[#This Row],[What is your age?]]&lt;&gt;"18 - 25"</f>
        <v>0</v>
      </c>
      <c r="AL1160" t="b">
        <f t="shared" si="72"/>
        <v>0</v>
      </c>
      <c r="AM1160" t="b">
        <f t="shared" si="73"/>
        <v>0</v>
      </c>
      <c r="AN1160" t="b">
        <f t="shared" si="74"/>
        <v>1</v>
      </c>
      <c r="AO1160" t="b">
        <f>OR(Table67[[#This Row],[Ineligible respondents]:[Inconsistent response on opposite question (3)]])</f>
        <v>1</v>
      </c>
      <c r="AP116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160">
        <f>Table67[[#This Row],[Extreme Response]]/21</f>
        <v>0.23809523809523808</v>
      </c>
      <c r="AR1160">
        <f>_xlfn.PERCENTILE.INC(Table67[Extrem Response Ratio (ERS)],0.9)</f>
        <v>0.61904761904761907</v>
      </c>
      <c r="AS1160" t="b">
        <f>Table67[[#This Row],[Extrem Response Ratio (ERS)]]&gt;=Table67[[#This Row],[Threshold of ERS]]</f>
        <v>0</v>
      </c>
      <c r="AT1160">
        <f>COUNTIF(Table67[[#This Row],[The mechanism of digital assets is difficult to understand, which discourages me from exploring it (E.g, Tokenization, Blockchain)]:[If I want to try different ways to invest, I will explore digital assets.]], 3)</f>
        <v>5</v>
      </c>
      <c r="AU1160">
        <f>Table67[[#This Row],[Midpoint]]/21</f>
        <v>0.23809523809523808</v>
      </c>
      <c r="AV1160">
        <f>_xlfn.PERCENTILE.INC(Table67[Midpoint ratio],0.9)</f>
        <v>0.5714285714285714</v>
      </c>
      <c r="AW1160" t="b">
        <f>Table67[[#This Row],[Midpoint ratio]]&gt;=Table67[[#This Row],[Threshold of Midpoint ratio]]</f>
        <v>0</v>
      </c>
      <c r="AX1160" t="b">
        <f>OR(Table67[[#This Row],[Extreme Response Style]],Table67[[#This Row],[Mid-point Response Style]])</f>
        <v>0</v>
      </c>
      <c r="AY1160" t="b">
        <f>OR(Table67[[#This Row],[Delete? (Stage 1)]],Table67[[#This Row],[Delete? (Stage 2)]])</f>
        <v>1</v>
      </c>
      <c r="AZ1160" t="s">
        <v>84</v>
      </c>
    </row>
    <row r="1161" spans="1:52">
      <c r="A1161">
        <f t="shared" si="75"/>
        <v>1160</v>
      </c>
      <c r="B1161" s="3">
        <v>46056.899976851797</v>
      </c>
      <c r="C1161" s="3">
        <v>46056.904467592598</v>
      </c>
      <c r="D1161" t="s">
        <v>53</v>
      </c>
      <c r="G1161" t="s">
        <v>54</v>
      </c>
      <c r="H1161" t="s">
        <v>55</v>
      </c>
      <c r="I1161" t="s">
        <v>56</v>
      </c>
      <c r="J1161" t="s">
        <v>62</v>
      </c>
      <c r="K1161" t="s">
        <v>62</v>
      </c>
      <c r="L1161" t="s">
        <v>61</v>
      </c>
      <c r="M1161" t="s">
        <v>58</v>
      </c>
      <c r="N1161">
        <v>2</v>
      </c>
      <c r="O1161">
        <v>1</v>
      </c>
      <c r="P1161">
        <v>2</v>
      </c>
      <c r="Q1161">
        <v>3</v>
      </c>
      <c r="R1161">
        <v>4</v>
      </c>
      <c r="S1161">
        <v>4</v>
      </c>
      <c r="T1161">
        <v>3</v>
      </c>
      <c r="U1161">
        <v>4</v>
      </c>
      <c r="V1161">
        <v>4</v>
      </c>
      <c r="W1161">
        <v>5</v>
      </c>
      <c r="X1161">
        <v>5</v>
      </c>
      <c r="Y1161">
        <v>5</v>
      </c>
      <c r="Z1161">
        <v>5</v>
      </c>
      <c r="AA1161">
        <v>5</v>
      </c>
      <c r="AB1161">
        <v>4</v>
      </c>
      <c r="AC1161">
        <v>3</v>
      </c>
      <c r="AD1161">
        <v>5</v>
      </c>
      <c r="AE1161">
        <v>4</v>
      </c>
      <c r="AF1161">
        <v>4</v>
      </c>
      <c r="AG1161">
        <v>2</v>
      </c>
      <c r="AH1161">
        <v>3</v>
      </c>
      <c r="AI1161">
        <v>3</v>
      </c>
      <c r="AJ1161">
        <v>2</v>
      </c>
      <c r="AK1161" t="b">
        <f>Table67[[#This Row],[What is your age?]]&lt;&gt;"18 - 25"</f>
        <v>0</v>
      </c>
      <c r="AL1161" t="b">
        <f t="shared" si="72"/>
        <v>0</v>
      </c>
      <c r="AM1161" t="b">
        <f t="shared" si="73"/>
        <v>0</v>
      </c>
      <c r="AN1161" t="b">
        <f t="shared" si="74"/>
        <v>1</v>
      </c>
      <c r="AO1161" t="b">
        <f>OR(Table67[[#This Row],[Ineligible respondents]:[Inconsistent response on opposite question (3)]])</f>
        <v>1</v>
      </c>
      <c r="AP116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161">
        <f>Table67[[#This Row],[Extreme Response]]/21</f>
        <v>0.33333333333333331</v>
      </c>
      <c r="AR1161">
        <f>_xlfn.PERCENTILE.INC(Table67[Extrem Response Ratio (ERS)],0.9)</f>
        <v>0.61904761904761907</v>
      </c>
      <c r="AS1161" t="b">
        <f>Table67[[#This Row],[Extrem Response Ratio (ERS)]]&gt;=Table67[[#This Row],[Threshold of ERS]]</f>
        <v>0</v>
      </c>
      <c r="AT1161">
        <f>COUNTIF(Table67[[#This Row],[The mechanism of digital assets is difficult to understand, which discourages me from exploring it (E.g, Tokenization, Blockchain)]:[If I want to try different ways to invest, I will explore digital assets.]], 3)</f>
        <v>4</v>
      </c>
      <c r="AU1161">
        <f>Table67[[#This Row],[Midpoint]]/21</f>
        <v>0.19047619047619047</v>
      </c>
      <c r="AV1161">
        <f>_xlfn.PERCENTILE.INC(Table67[Midpoint ratio],0.9)</f>
        <v>0.5714285714285714</v>
      </c>
      <c r="AW1161" t="b">
        <f>Table67[[#This Row],[Midpoint ratio]]&gt;=Table67[[#This Row],[Threshold of Midpoint ratio]]</f>
        <v>0</v>
      </c>
      <c r="AX1161" t="b">
        <f>OR(Table67[[#This Row],[Extreme Response Style]],Table67[[#This Row],[Mid-point Response Style]])</f>
        <v>0</v>
      </c>
      <c r="AY1161" t="b">
        <f>OR(Table67[[#This Row],[Delete? (Stage 1)]],Table67[[#This Row],[Delete? (Stage 2)]])</f>
        <v>1</v>
      </c>
      <c r="AZ1161" t="s">
        <v>84</v>
      </c>
    </row>
    <row r="1162" spans="1:52">
      <c r="A1162">
        <f t="shared" si="75"/>
        <v>1161</v>
      </c>
      <c r="B1162" s="3">
        <v>46056.900023148097</v>
      </c>
      <c r="C1162" s="3">
        <v>46056.901678240698</v>
      </c>
      <c r="D1162" t="s">
        <v>53</v>
      </c>
      <c r="G1162" t="s">
        <v>54</v>
      </c>
      <c r="H1162" t="s">
        <v>63</v>
      </c>
      <c r="I1162" t="s">
        <v>56</v>
      </c>
      <c r="J1162" t="s">
        <v>62</v>
      </c>
      <c r="K1162" t="s">
        <v>57</v>
      </c>
      <c r="L1162" t="s">
        <v>58</v>
      </c>
      <c r="M1162" t="s">
        <v>58</v>
      </c>
      <c r="N1162">
        <v>4</v>
      </c>
      <c r="O1162">
        <v>2</v>
      </c>
      <c r="P1162">
        <v>4</v>
      </c>
      <c r="Q1162">
        <v>4</v>
      </c>
      <c r="R1162">
        <v>4</v>
      </c>
      <c r="S1162">
        <v>3</v>
      </c>
      <c r="T1162">
        <v>5</v>
      </c>
      <c r="U1162">
        <v>5</v>
      </c>
      <c r="V1162">
        <v>2</v>
      </c>
      <c r="W1162">
        <v>4</v>
      </c>
      <c r="X1162">
        <v>5</v>
      </c>
      <c r="Y1162">
        <v>5</v>
      </c>
      <c r="Z1162">
        <v>4</v>
      </c>
      <c r="AA1162">
        <v>3</v>
      </c>
      <c r="AB1162">
        <v>2</v>
      </c>
      <c r="AC1162">
        <v>4</v>
      </c>
      <c r="AD1162">
        <v>4</v>
      </c>
      <c r="AE1162">
        <v>3</v>
      </c>
      <c r="AF1162">
        <v>1</v>
      </c>
      <c r="AG1162">
        <v>4</v>
      </c>
      <c r="AH1162">
        <v>3</v>
      </c>
      <c r="AI1162">
        <v>3</v>
      </c>
      <c r="AJ1162">
        <v>5</v>
      </c>
      <c r="AK1162" t="b">
        <f>Table67[[#This Row],[What is your age?]]&lt;&gt;"18 - 25"</f>
        <v>0</v>
      </c>
      <c r="AL1162" t="b">
        <f t="shared" si="72"/>
        <v>0</v>
      </c>
      <c r="AM1162" t="b">
        <f t="shared" si="73"/>
        <v>0</v>
      </c>
      <c r="AN1162" t="b">
        <f t="shared" si="74"/>
        <v>1</v>
      </c>
      <c r="AO1162" t="b">
        <f>OR(Table67[[#This Row],[Ineligible respondents]:[Inconsistent response on opposite question (3)]])</f>
        <v>1</v>
      </c>
      <c r="AP116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162">
        <f>Table67[[#This Row],[Extreme Response]]/21</f>
        <v>0.23809523809523808</v>
      </c>
      <c r="AR1162">
        <f>_xlfn.PERCENTILE.INC(Table67[Extrem Response Ratio (ERS)],0.9)</f>
        <v>0.61904761904761907</v>
      </c>
      <c r="AS1162" t="b">
        <f>Table67[[#This Row],[Extrem Response Ratio (ERS)]]&gt;=Table67[[#This Row],[Threshold of ERS]]</f>
        <v>0</v>
      </c>
      <c r="AT1162">
        <f>COUNTIF(Table67[[#This Row],[The mechanism of digital assets is difficult to understand, which discourages me from exploring it (E.g, Tokenization, Blockchain)]:[If I want to try different ways to invest, I will explore digital assets.]], 3)</f>
        <v>4</v>
      </c>
      <c r="AU1162">
        <f>Table67[[#This Row],[Midpoint]]/21</f>
        <v>0.19047619047619047</v>
      </c>
      <c r="AV1162">
        <f>_xlfn.PERCENTILE.INC(Table67[Midpoint ratio],0.9)</f>
        <v>0.5714285714285714</v>
      </c>
      <c r="AW1162" t="b">
        <f>Table67[[#This Row],[Midpoint ratio]]&gt;=Table67[[#This Row],[Threshold of Midpoint ratio]]</f>
        <v>0</v>
      </c>
      <c r="AX1162" t="b">
        <f>OR(Table67[[#This Row],[Extreme Response Style]],Table67[[#This Row],[Mid-point Response Style]])</f>
        <v>0</v>
      </c>
      <c r="AY1162" t="b">
        <f>OR(Table67[[#This Row],[Delete? (Stage 1)]],Table67[[#This Row],[Delete? (Stage 2)]])</f>
        <v>1</v>
      </c>
      <c r="AZ1162" t="s">
        <v>84</v>
      </c>
    </row>
    <row r="1163" spans="1:52">
      <c r="A1163">
        <f t="shared" si="75"/>
        <v>1162</v>
      </c>
      <c r="B1163" s="3">
        <v>46056.900393518503</v>
      </c>
      <c r="C1163" s="3">
        <v>46056.902407407397</v>
      </c>
      <c r="D1163" t="s">
        <v>53</v>
      </c>
      <c r="G1163" t="s">
        <v>54</v>
      </c>
      <c r="H1163" t="s">
        <v>55</v>
      </c>
      <c r="I1163" t="s">
        <v>82</v>
      </c>
      <c r="J1163" t="s">
        <v>68</v>
      </c>
      <c r="K1163" t="s">
        <v>64</v>
      </c>
      <c r="L1163" t="s">
        <v>61</v>
      </c>
      <c r="M1163" t="s">
        <v>61</v>
      </c>
      <c r="N1163">
        <v>2</v>
      </c>
      <c r="O1163">
        <v>3</v>
      </c>
      <c r="P1163">
        <v>4</v>
      </c>
      <c r="Q1163">
        <v>4</v>
      </c>
      <c r="R1163">
        <v>4</v>
      </c>
      <c r="S1163">
        <v>4</v>
      </c>
      <c r="T1163">
        <v>4</v>
      </c>
      <c r="U1163">
        <v>4</v>
      </c>
      <c r="V1163">
        <v>4</v>
      </c>
      <c r="W1163">
        <v>4</v>
      </c>
      <c r="X1163">
        <v>4</v>
      </c>
      <c r="Y1163">
        <v>4</v>
      </c>
      <c r="Z1163">
        <v>4</v>
      </c>
      <c r="AA1163">
        <v>4</v>
      </c>
      <c r="AB1163">
        <v>4</v>
      </c>
      <c r="AC1163">
        <v>2</v>
      </c>
      <c r="AD1163">
        <v>5</v>
      </c>
      <c r="AE1163">
        <v>1</v>
      </c>
      <c r="AF1163">
        <v>4</v>
      </c>
      <c r="AG1163">
        <v>1</v>
      </c>
      <c r="AH1163">
        <v>4</v>
      </c>
      <c r="AI1163">
        <v>2</v>
      </c>
      <c r="AJ1163">
        <v>2</v>
      </c>
      <c r="AK1163" t="b">
        <f>Table67[[#This Row],[What is your age?]]&lt;&gt;"18 - 25"</f>
        <v>0</v>
      </c>
      <c r="AL1163" t="b">
        <f t="shared" si="72"/>
        <v>0</v>
      </c>
      <c r="AM1163" t="b">
        <f t="shared" si="73"/>
        <v>0</v>
      </c>
      <c r="AN1163" t="b">
        <f t="shared" si="74"/>
        <v>0</v>
      </c>
      <c r="AO1163" t="b">
        <f>OR(Table67[[#This Row],[Ineligible respondents]:[Inconsistent response on opposite question (3)]])</f>
        <v>0</v>
      </c>
      <c r="AP116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163">
        <f>Table67[[#This Row],[Extreme Response]]/21</f>
        <v>0.14285714285714285</v>
      </c>
      <c r="AR1163">
        <f>_xlfn.PERCENTILE.INC(Table67[Extrem Response Ratio (ERS)],0.9)</f>
        <v>0.61904761904761907</v>
      </c>
      <c r="AS1163" t="b">
        <f>Table67[[#This Row],[Extrem Response Ratio (ERS)]]&gt;=Table67[[#This Row],[Threshold of ERS]]</f>
        <v>0</v>
      </c>
      <c r="AT1163">
        <f>COUNTIF(Table67[[#This Row],[The mechanism of digital assets is difficult to understand, which discourages me from exploring it (E.g, Tokenization, Blockchain)]:[If I want to try different ways to invest, I will explore digital assets.]], 3)</f>
        <v>1</v>
      </c>
      <c r="AU1163">
        <f>Table67[[#This Row],[Midpoint]]/21</f>
        <v>4.7619047619047616E-2</v>
      </c>
      <c r="AV1163">
        <f>_xlfn.PERCENTILE.INC(Table67[Midpoint ratio],0.9)</f>
        <v>0.5714285714285714</v>
      </c>
      <c r="AW1163" t="b">
        <f>Table67[[#This Row],[Midpoint ratio]]&gt;=Table67[[#This Row],[Threshold of Midpoint ratio]]</f>
        <v>0</v>
      </c>
      <c r="AX1163" t="b">
        <f>OR(Table67[[#This Row],[Extreme Response Style]],Table67[[#This Row],[Mid-point Response Style]])</f>
        <v>0</v>
      </c>
      <c r="AY1163" t="b">
        <f>OR(Table67[[#This Row],[Delete? (Stage 1)]],Table67[[#This Row],[Delete? (Stage 2)]])</f>
        <v>0</v>
      </c>
      <c r="AZ1163" t="s">
        <v>84</v>
      </c>
    </row>
    <row r="1164" spans="1:52">
      <c r="A1164">
        <f t="shared" si="75"/>
        <v>1163</v>
      </c>
      <c r="B1164" s="3">
        <v>46056.900775463</v>
      </c>
      <c r="C1164" s="3">
        <v>46056.906539351803</v>
      </c>
      <c r="D1164" t="s">
        <v>53</v>
      </c>
      <c r="G1164" t="s">
        <v>54</v>
      </c>
      <c r="H1164" t="s">
        <v>63</v>
      </c>
      <c r="I1164" t="s">
        <v>75</v>
      </c>
      <c r="J1164" t="s">
        <v>62</v>
      </c>
      <c r="K1164" t="s">
        <v>57</v>
      </c>
      <c r="L1164" t="s">
        <v>58</v>
      </c>
      <c r="M1164" t="s">
        <v>58</v>
      </c>
      <c r="N1164">
        <v>4</v>
      </c>
      <c r="O1164">
        <v>1</v>
      </c>
      <c r="P1164">
        <v>3</v>
      </c>
      <c r="Q1164">
        <v>5</v>
      </c>
      <c r="R1164">
        <v>5</v>
      </c>
      <c r="S1164">
        <v>5</v>
      </c>
      <c r="T1164">
        <v>3</v>
      </c>
      <c r="U1164">
        <v>4</v>
      </c>
      <c r="V1164">
        <v>5</v>
      </c>
      <c r="W1164">
        <v>5</v>
      </c>
      <c r="X1164">
        <v>4</v>
      </c>
      <c r="Y1164">
        <v>4</v>
      </c>
      <c r="Z1164">
        <v>2</v>
      </c>
      <c r="AA1164">
        <v>4</v>
      </c>
      <c r="AB1164">
        <v>3</v>
      </c>
      <c r="AC1164">
        <v>4</v>
      </c>
      <c r="AD1164">
        <v>5</v>
      </c>
      <c r="AE1164">
        <v>4</v>
      </c>
      <c r="AF1164">
        <v>2</v>
      </c>
      <c r="AG1164">
        <v>2</v>
      </c>
      <c r="AH1164">
        <v>2</v>
      </c>
      <c r="AI1164">
        <v>4</v>
      </c>
      <c r="AJ1164">
        <v>4</v>
      </c>
      <c r="AK1164" t="b">
        <f>Table67[[#This Row],[What is your age?]]&lt;&gt;"18 - 25"</f>
        <v>0</v>
      </c>
      <c r="AL1164" t="b">
        <f t="shared" si="72"/>
        <v>0</v>
      </c>
      <c r="AM1164" t="b">
        <f t="shared" si="73"/>
        <v>1</v>
      </c>
      <c r="AN1164" t="b">
        <f t="shared" si="74"/>
        <v>0</v>
      </c>
      <c r="AO1164" t="b">
        <f>OR(Table67[[#This Row],[Ineligible respondents]:[Inconsistent response on opposite question (3)]])</f>
        <v>1</v>
      </c>
      <c r="AP116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164">
        <f>Table67[[#This Row],[Extreme Response]]/21</f>
        <v>0.33333333333333331</v>
      </c>
      <c r="AR1164">
        <f>_xlfn.PERCENTILE.INC(Table67[Extrem Response Ratio (ERS)],0.9)</f>
        <v>0.61904761904761907</v>
      </c>
      <c r="AS1164" t="b">
        <f>Table67[[#This Row],[Extrem Response Ratio (ERS)]]&gt;=Table67[[#This Row],[Threshold of ERS]]</f>
        <v>0</v>
      </c>
      <c r="AT1164">
        <f>COUNTIF(Table67[[#This Row],[The mechanism of digital assets is difficult to understand, which discourages me from exploring it (E.g, Tokenization, Blockchain)]:[If I want to try different ways to invest, I will explore digital assets.]], 3)</f>
        <v>3</v>
      </c>
      <c r="AU1164">
        <f>Table67[[#This Row],[Midpoint]]/21</f>
        <v>0.14285714285714285</v>
      </c>
      <c r="AV1164">
        <f>_xlfn.PERCENTILE.INC(Table67[Midpoint ratio],0.9)</f>
        <v>0.5714285714285714</v>
      </c>
      <c r="AW1164" t="b">
        <f>Table67[[#This Row],[Midpoint ratio]]&gt;=Table67[[#This Row],[Threshold of Midpoint ratio]]</f>
        <v>0</v>
      </c>
      <c r="AX1164" t="b">
        <f>OR(Table67[[#This Row],[Extreme Response Style]],Table67[[#This Row],[Mid-point Response Style]])</f>
        <v>0</v>
      </c>
      <c r="AY1164" t="b">
        <f>OR(Table67[[#This Row],[Delete? (Stage 1)]],Table67[[#This Row],[Delete? (Stage 2)]])</f>
        <v>1</v>
      </c>
      <c r="AZ1164" t="s">
        <v>84</v>
      </c>
    </row>
    <row r="1165" spans="1:52">
      <c r="A1165">
        <f t="shared" si="75"/>
        <v>1164</v>
      </c>
      <c r="B1165" s="3">
        <v>46056.900960648098</v>
      </c>
      <c r="C1165" s="3">
        <v>46056.902523148099</v>
      </c>
      <c r="D1165" t="s">
        <v>53</v>
      </c>
      <c r="G1165" t="s">
        <v>73</v>
      </c>
      <c r="H1165" t="s">
        <v>55</v>
      </c>
      <c r="I1165" t="s">
        <v>75</v>
      </c>
      <c r="J1165" t="s">
        <v>60</v>
      </c>
      <c r="K1165" t="s">
        <v>62</v>
      </c>
      <c r="L1165" t="s">
        <v>61</v>
      </c>
      <c r="M1165" t="s">
        <v>58</v>
      </c>
      <c r="N1165">
        <v>3</v>
      </c>
      <c r="O1165">
        <v>3</v>
      </c>
      <c r="P1165">
        <v>4</v>
      </c>
      <c r="Q1165">
        <v>4</v>
      </c>
      <c r="R1165">
        <v>3</v>
      </c>
      <c r="S1165">
        <v>3</v>
      </c>
      <c r="T1165">
        <v>3</v>
      </c>
      <c r="U1165">
        <v>3</v>
      </c>
      <c r="V1165">
        <v>4</v>
      </c>
      <c r="W1165">
        <v>3</v>
      </c>
      <c r="X1165">
        <v>3</v>
      </c>
      <c r="Y1165">
        <v>3</v>
      </c>
      <c r="Z1165">
        <v>4</v>
      </c>
      <c r="AA1165">
        <v>4</v>
      </c>
      <c r="AB1165">
        <v>3</v>
      </c>
      <c r="AC1165">
        <v>4</v>
      </c>
      <c r="AD1165">
        <v>4</v>
      </c>
      <c r="AE1165">
        <v>3</v>
      </c>
      <c r="AF1165">
        <v>3</v>
      </c>
      <c r="AG1165">
        <v>3</v>
      </c>
      <c r="AH1165">
        <v>3</v>
      </c>
      <c r="AI1165">
        <v>3</v>
      </c>
      <c r="AJ1165">
        <v>3</v>
      </c>
      <c r="AK1165" t="b">
        <f>Table67[[#This Row],[What is your age?]]&lt;&gt;"18 - 25"</f>
        <v>1</v>
      </c>
      <c r="AL1165" t="b">
        <f t="shared" si="72"/>
        <v>0</v>
      </c>
      <c r="AM1165" t="b">
        <f t="shared" si="73"/>
        <v>0</v>
      </c>
      <c r="AN1165" t="b">
        <f t="shared" si="74"/>
        <v>0</v>
      </c>
      <c r="AO1165" t="b">
        <f>OR(Table67[[#This Row],[Ineligible respondents]:[Inconsistent response on opposite question (3)]])</f>
        <v>1</v>
      </c>
      <c r="AP116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165">
        <f>Table67[[#This Row],[Extreme Response]]/21</f>
        <v>0</v>
      </c>
      <c r="AR1165">
        <f>_xlfn.PERCENTILE.INC(Table67[Extrem Response Ratio (ERS)],0.9)</f>
        <v>0.61904761904761907</v>
      </c>
      <c r="AS1165" t="b">
        <f>Table67[[#This Row],[Extrem Response Ratio (ERS)]]&gt;=Table67[[#This Row],[Threshold of ERS]]</f>
        <v>0</v>
      </c>
      <c r="AT1165">
        <f>COUNTIF(Table67[[#This Row],[The mechanism of digital assets is difficult to understand, which discourages me from exploring it (E.g, Tokenization, Blockchain)]:[If I want to try different ways to invest, I will explore digital assets.]], 3)</f>
        <v>14</v>
      </c>
      <c r="AU1165">
        <f>Table67[[#This Row],[Midpoint]]/21</f>
        <v>0.66666666666666663</v>
      </c>
      <c r="AV1165">
        <f>_xlfn.PERCENTILE.INC(Table67[Midpoint ratio],0.9)</f>
        <v>0.5714285714285714</v>
      </c>
      <c r="AW1165" t="b">
        <f>Table67[[#This Row],[Midpoint ratio]]&gt;=Table67[[#This Row],[Threshold of Midpoint ratio]]</f>
        <v>1</v>
      </c>
      <c r="AX1165" t="b">
        <f>OR(Table67[[#This Row],[Extreme Response Style]],Table67[[#This Row],[Mid-point Response Style]])</f>
        <v>1</v>
      </c>
      <c r="AY1165" t="b">
        <f>OR(Table67[[#This Row],[Delete? (Stage 1)]],Table67[[#This Row],[Delete? (Stage 2)]])</f>
        <v>1</v>
      </c>
      <c r="AZ1165" t="s">
        <v>84</v>
      </c>
    </row>
    <row r="1166" spans="1:52">
      <c r="A1166">
        <f t="shared" si="75"/>
        <v>1165</v>
      </c>
      <c r="B1166" s="3">
        <v>46056.901458333297</v>
      </c>
      <c r="C1166" s="3">
        <v>46056.9054861111</v>
      </c>
      <c r="D1166" t="s">
        <v>53</v>
      </c>
      <c r="G1166" t="s">
        <v>54</v>
      </c>
      <c r="H1166" t="s">
        <v>63</v>
      </c>
      <c r="I1166" t="s">
        <v>56</v>
      </c>
      <c r="J1166" t="s">
        <v>65</v>
      </c>
      <c r="K1166" t="s">
        <v>62</v>
      </c>
      <c r="L1166" t="s">
        <v>61</v>
      </c>
      <c r="M1166" t="s">
        <v>61</v>
      </c>
      <c r="N1166">
        <v>4</v>
      </c>
      <c r="O1166">
        <v>3</v>
      </c>
      <c r="P1166">
        <v>4</v>
      </c>
      <c r="Q1166">
        <v>4</v>
      </c>
      <c r="R1166">
        <v>5</v>
      </c>
      <c r="S1166">
        <v>3</v>
      </c>
      <c r="T1166">
        <v>4</v>
      </c>
      <c r="U1166">
        <v>2</v>
      </c>
      <c r="V1166">
        <v>4</v>
      </c>
      <c r="W1166">
        <v>4</v>
      </c>
      <c r="X1166">
        <v>4</v>
      </c>
      <c r="Y1166">
        <v>3</v>
      </c>
      <c r="Z1166">
        <v>4</v>
      </c>
      <c r="AA1166">
        <v>4</v>
      </c>
      <c r="AB1166">
        <v>4</v>
      </c>
      <c r="AC1166">
        <v>3</v>
      </c>
      <c r="AD1166">
        <v>4</v>
      </c>
      <c r="AE1166">
        <v>4</v>
      </c>
      <c r="AF1166">
        <v>5</v>
      </c>
      <c r="AG1166">
        <v>4</v>
      </c>
      <c r="AH1166">
        <v>4</v>
      </c>
      <c r="AI1166">
        <v>2</v>
      </c>
      <c r="AJ1166">
        <v>1</v>
      </c>
      <c r="AK1166" t="b">
        <f>Table67[[#This Row],[What is your age?]]&lt;&gt;"18 - 25"</f>
        <v>0</v>
      </c>
      <c r="AL1166" t="b">
        <f t="shared" si="72"/>
        <v>0</v>
      </c>
      <c r="AM1166" t="b">
        <f t="shared" si="73"/>
        <v>1</v>
      </c>
      <c r="AN1166" t="b">
        <f t="shared" si="74"/>
        <v>0</v>
      </c>
      <c r="AO1166" t="b">
        <f>OR(Table67[[#This Row],[Ineligible respondents]:[Inconsistent response on opposite question (3)]])</f>
        <v>1</v>
      </c>
      <c r="AP116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166">
        <f>Table67[[#This Row],[Extreme Response]]/21</f>
        <v>9.5238095238095233E-2</v>
      </c>
      <c r="AR1166">
        <f>_xlfn.PERCENTILE.INC(Table67[Extrem Response Ratio (ERS)],0.9)</f>
        <v>0.61904761904761907</v>
      </c>
      <c r="AS1166" t="b">
        <f>Table67[[#This Row],[Extrem Response Ratio (ERS)]]&gt;=Table67[[#This Row],[Threshold of ERS]]</f>
        <v>0</v>
      </c>
      <c r="AT1166">
        <f>COUNTIF(Table67[[#This Row],[The mechanism of digital assets is difficult to understand, which discourages me from exploring it (E.g, Tokenization, Blockchain)]:[If I want to try different ways to invest, I will explore digital assets.]], 3)</f>
        <v>4</v>
      </c>
      <c r="AU1166">
        <f>Table67[[#This Row],[Midpoint]]/21</f>
        <v>0.19047619047619047</v>
      </c>
      <c r="AV1166">
        <f>_xlfn.PERCENTILE.INC(Table67[Midpoint ratio],0.9)</f>
        <v>0.5714285714285714</v>
      </c>
      <c r="AW1166" t="b">
        <f>Table67[[#This Row],[Midpoint ratio]]&gt;=Table67[[#This Row],[Threshold of Midpoint ratio]]</f>
        <v>0</v>
      </c>
      <c r="AX1166" t="b">
        <f>OR(Table67[[#This Row],[Extreme Response Style]],Table67[[#This Row],[Mid-point Response Style]])</f>
        <v>0</v>
      </c>
      <c r="AY1166" t="b">
        <f>OR(Table67[[#This Row],[Delete? (Stage 1)]],Table67[[#This Row],[Delete? (Stage 2)]])</f>
        <v>1</v>
      </c>
      <c r="AZ1166" t="s">
        <v>84</v>
      </c>
    </row>
    <row r="1167" spans="1:52">
      <c r="A1167">
        <f t="shared" si="75"/>
        <v>1166</v>
      </c>
      <c r="B1167" s="3">
        <v>46056.901574074102</v>
      </c>
      <c r="C1167" s="3">
        <v>46056.905208333301</v>
      </c>
      <c r="D1167" t="s">
        <v>53</v>
      </c>
      <c r="G1167" t="s">
        <v>54</v>
      </c>
      <c r="H1167" t="s">
        <v>55</v>
      </c>
      <c r="I1167" t="s">
        <v>71</v>
      </c>
      <c r="J1167" t="s">
        <v>57</v>
      </c>
      <c r="K1167" t="s">
        <v>57</v>
      </c>
      <c r="L1167" t="s">
        <v>58</v>
      </c>
      <c r="M1167" t="s">
        <v>58</v>
      </c>
      <c r="N1167">
        <v>5</v>
      </c>
      <c r="O1167">
        <v>2</v>
      </c>
      <c r="P1167">
        <v>4</v>
      </c>
      <c r="Q1167">
        <v>3</v>
      </c>
      <c r="R1167">
        <v>5</v>
      </c>
      <c r="S1167">
        <v>5</v>
      </c>
      <c r="T1167">
        <v>4</v>
      </c>
      <c r="U1167">
        <v>5</v>
      </c>
      <c r="V1167">
        <v>5</v>
      </c>
      <c r="W1167">
        <v>5</v>
      </c>
      <c r="X1167">
        <v>3</v>
      </c>
      <c r="Y1167">
        <v>4</v>
      </c>
      <c r="Z1167">
        <v>4</v>
      </c>
      <c r="AA1167">
        <v>5</v>
      </c>
      <c r="AB1167">
        <v>4</v>
      </c>
      <c r="AC1167">
        <v>3</v>
      </c>
      <c r="AD1167">
        <v>5</v>
      </c>
      <c r="AE1167">
        <v>5</v>
      </c>
      <c r="AF1167">
        <v>3</v>
      </c>
      <c r="AG1167">
        <v>3</v>
      </c>
      <c r="AH1167">
        <v>4</v>
      </c>
      <c r="AI1167">
        <v>2</v>
      </c>
      <c r="AJ1167">
        <v>3</v>
      </c>
      <c r="AK1167" t="b">
        <f>Table67[[#This Row],[What is your age?]]&lt;&gt;"18 - 25"</f>
        <v>0</v>
      </c>
      <c r="AL1167" t="b">
        <f t="shared" si="72"/>
        <v>0</v>
      </c>
      <c r="AM1167" t="b">
        <f t="shared" si="73"/>
        <v>0</v>
      </c>
      <c r="AN1167" t="b">
        <f t="shared" si="74"/>
        <v>1</v>
      </c>
      <c r="AO1167" t="b">
        <f>OR(Table67[[#This Row],[Ineligible respondents]:[Inconsistent response on opposite question (3)]])</f>
        <v>1</v>
      </c>
      <c r="AP116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1167">
        <f>Table67[[#This Row],[Extreme Response]]/21</f>
        <v>0.42857142857142855</v>
      </c>
      <c r="AR1167">
        <f>_xlfn.PERCENTILE.INC(Table67[Extrem Response Ratio (ERS)],0.9)</f>
        <v>0.61904761904761907</v>
      </c>
      <c r="AS1167" t="b">
        <f>Table67[[#This Row],[Extrem Response Ratio (ERS)]]&gt;=Table67[[#This Row],[Threshold of ERS]]</f>
        <v>0</v>
      </c>
      <c r="AT1167">
        <f>COUNTIF(Table67[[#This Row],[The mechanism of digital assets is difficult to understand, which discourages me from exploring it (E.g, Tokenization, Blockchain)]:[If I want to try different ways to invest, I will explore digital assets.]], 3)</f>
        <v>5</v>
      </c>
      <c r="AU1167">
        <f>Table67[[#This Row],[Midpoint]]/21</f>
        <v>0.23809523809523808</v>
      </c>
      <c r="AV1167">
        <f>_xlfn.PERCENTILE.INC(Table67[Midpoint ratio],0.9)</f>
        <v>0.5714285714285714</v>
      </c>
      <c r="AW1167" t="b">
        <f>Table67[[#This Row],[Midpoint ratio]]&gt;=Table67[[#This Row],[Threshold of Midpoint ratio]]</f>
        <v>0</v>
      </c>
      <c r="AX1167" t="b">
        <f>OR(Table67[[#This Row],[Extreme Response Style]],Table67[[#This Row],[Mid-point Response Style]])</f>
        <v>0</v>
      </c>
      <c r="AY1167" t="b">
        <f>OR(Table67[[#This Row],[Delete? (Stage 1)]],Table67[[#This Row],[Delete? (Stage 2)]])</f>
        <v>1</v>
      </c>
      <c r="AZ1167" t="s">
        <v>84</v>
      </c>
    </row>
    <row r="1168" spans="1:52">
      <c r="A1168">
        <f t="shared" si="75"/>
        <v>1167</v>
      </c>
      <c r="B1168" s="3">
        <v>46056.901805555601</v>
      </c>
      <c r="C1168" s="3">
        <v>46056.906180555598</v>
      </c>
      <c r="D1168" t="s">
        <v>53</v>
      </c>
      <c r="G1168" t="s">
        <v>54</v>
      </c>
      <c r="H1168" t="s">
        <v>55</v>
      </c>
      <c r="I1168" t="s">
        <v>69</v>
      </c>
      <c r="J1168" t="s">
        <v>62</v>
      </c>
      <c r="K1168" t="s">
        <v>62</v>
      </c>
      <c r="L1168" t="s">
        <v>58</v>
      </c>
      <c r="M1168" t="s">
        <v>58</v>
      </c>
      <c r="N1168">
        <v>5</v>
      </c>
      <c r="O1168">
        <v>2</v>
      </c>
      <c r="P1168">
        <v>3</v>
      </c>
      <c r="Q1168">
        <v>4</v>
      </c>
      <c r="R1168">
        <v>2</v>
      </c>
      <c r="S1168">
        <v>3</v>
      </c>
      <c r="T1168">
        <v>4</v>
      </c>
      <c r="U1168">
        <v>4</v>
      </c>
      <c r="V1168">
        <v>5</v>
      </c>
      <c r="W1168">
        <v>4</v>
      </c>
      <c r="X1168">
        <v>4</v>
      </c>
      <c r="Y1168">
        <v>5</v>
      </c>
      <c r="Z1168">
        <v>2</v>
      </c>
      <c r="AA1168">
        <v>5</v>
      </c>
      <c r="AB1168">
        <v>4</v>
      </c>
      <c r="AC1168">
        <v>4</v>
      </c>
      <c r="AD1168">
        <v>5</v>
      </c>
      <c r="AE1168">
        <v>3</v>
      </c>
      <c r="AF1168">
        <v>2</v>
      </c>
      <c r="AG1168">
        <v>4</v>
      </c>
      <c r="AH1168">
        <v>4</v>
      </c>
      <c r="AI1168">
        <v>2</v>
      </c>
      <c r="AJ1168">
        <v>4</v>
      </c>
      <c r="AK1168" t="b">
        <f>Table67[[#This Row],[What is your age?]]&lt;&gt;"18 - 25"</f>
        <v>0</v>
      </c>
      <c r="AL1168" t="b">
        <f t="shared" si="72"/>
        <v>0</v>
      </c>
      <c r="AM1168" t="b">
        <f t="shared" si="73"/>
        <v>1</v>
      </c>
      <c r="AN1168" t="b">
        <f t="shared" si="74"/>
        <v>0</v>
      </c>
      <c r="AO1168" t="b">
        <f>OR(Table67[[#This Row],[Ineligible respondents]:[Inconsistent response on opposite question (3)]])</f>
        <v>1</v>
      </c>
      <c r="AP116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168">
        <f>Table67[[#This Row],[Extreme Response]]/21</f>
        <v>0.23809523809523808</v>
      </c>
      <c r="AR1168">
        <f>_xlfn.PERCENTILE.INC(Table67[Extrem Response Ratio (ERS)],0.9)</f>
        <v>0.61904761904761907</v>
      </c>
      <c r="AS1168" t="b">
        <f>Table67[[#This Row],[Extrem Response Ratio (ERS)]]&gt;=Table67[[#This Row],[Threshold of ERS]]</f>
        <v>0</v>
      </c>
      <c r="AT1168">
        <f>COUNTIF(Table67[[#This Row],[The mechanism of digital assets is difficult to understand, which discourages me from exploring it (E.g, Tokenization, Blockchain)]:[If I want to try different ways to invest, I will explore digital assets.]], 3)</f>
        <v>3</v>
      </c>
      <c r="AU1168">
        <f>Table67[[#This Row],[Midpoint]]/21</f>
        <v>0.14285714285714285</v>
      </c>
      <c r="AV1168">
        <f>_xlfn.PERCENTILE.INC(Table67[Midpoint ratio],0.9)</f>
        <v>0.5714285714285714</v>
      </c>
      <c r="AW1168" t="b">
        <f>Table67[[#This Row],[Midpoint ratio]]&gt;=Table67[[#This Row],[Threshold of Midpoint ratio]]</f>
        <v>0</v>
      </c>
      <c r="AX1168" t="b">
        <f>OR(Table67[[#This Row],[Extreme Response Style]],Table67[[#This Row],[Mid-point Response Style]])</f>
        <v>0</v>
      </c>
      <c r="AY1168" t="b">
        <f>OR(Table67[[#This Row],[Delete? (Stage 1)]],Table67[[#This Row],[Delete? (Stage 2)]])</f>
        <v>1</v>
      </c>
      <c r="AZ1168" t="s">
        <v>84</v>
      </c>
    </row>
    <row r="1169" spans="1:52">
      <c r="A1169">
        <f t="shared" si="75"/>
        <v>1168</v>
      </c>
      <c r="B1169" s="3">
        <v>46056.902083333298</v>
      </c>
      <c r="C1169" s="3">
        <v>46056.904745370397</v>
      </c>
      <c r="D1169" t="s">
        <v>53</v>
      </c>
      <c r="G1169" t="s">
        <v>54</v>
      </c>
      <c r="H1169" t="s">
        <v>55</v>
      </c>
      <c r="I1169" t="s">
        <v>56</v>
      </c>
      <c r="J1169" t="s">
        <v>64</v>
      </c>
      <c r="K1169" t="s">
        <v>62</v>
      </c>
      <c r="L1169" t="s">
        <v>58</v>
      </c>
      <c r="M1169" t="s">
        <v>58</v>
      </c>
      <c r="N1169">
        <v>4</v>
      </c>
      <c r="O1169">
        <v>1</v>
      </c>
      <c r="P1169">
        <v>5</v>
      </c>
      <c r="Q1169">
        <v>3</v>
      </c>
      <c r="R1169">
        <v>5</v>
      </c>
      <c r="S1169">
        <v>5</v>
      </c>
      <c r="T1169">
        <v>2</v>
      </c>
      <c r="U1169">
        <v>4</v>
      </c>
      <c r="V1169">
        <v>5</v>
      </c>
      <c r="W1169">
        <v>3</v>
      </c>
      <c r="X1169">
        <v>4</v>
      </c>
      <c r="Y1169">
        <v>4</v>
      </c>
      <c r="Z1169">
        <v>5</v>
      </c>
      <c r="AA1169">
        <v>5</v>
      </c>
      <c r="AB1169">
        <v>5</v>
      </c>
      <c r="AC1169">
        <v>5</v>
      </c>
      <c r="AD1169">
        <v>5</v>
      </c>
      <c r="AE1169">
        <v>1</v>
      </c>
      <c r="AF1169">
        <v>3</v>
      </c>
      <c r="AG1169">
        <v>3</v>
      </c>
      <c r="AH1169">
        <v>4</v>
      </c>
      <c r="AI1169">
        <v>2</v>
      </c>
      <c r="AJ1169">
        <v>3</v>
      </c>
      <c r="AK1169" t="b">
        <f>Table67[[#This Row],[What is your age?]]&lt;&gt;"18 - 25"</f>
        <v>0</v>
      </c>
      <c r="AL1169" t="b">
        <f t="shared" si="72"/>
        <v>0</v>
      </c>
      <c r="AM1169" t="b">
        <f t="shared" si="73"/>
        <v>0</v>
      </c>
      <c r="AN1169" t="b">
        <f t="shared" si="74"/>
        <v>1</v>
      </c>
      <c r="AO1169" t="b">
        <f>OR(Table67[[#This Row],[Ineligible respondents]:[Inconsistent response on opposite question (3)]])</f>
        <v>1</v>
      </c>
      <c r="AP116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1169">
        <f>Table67[[#This Row],[Extreme Response]]/21</f>
        <v>0.52380952380952384</v>
      </c>
      <c r="AR1169">
        <f>_xlfn.PERCENTILE.INC(Table67[Extrem Response Ratio (ERS)],0.9)</f>
        <v>0.61904761904761907</v>
      </c>
      <c r="AS1169" t="b">
        <f>Table67[[#This Row],[Extrem Response Ratio (ERS)]]&gt;=Table67[[#This Row],[Threshold of ERS]]</f>
        <v>0</v>
      </c>
      <c r="AT1169">
        <f>COUNTIF(Table67[[#This Row],[The mechanism of digital assets is difficult to understand, which discourages me from exploring it (E.g, Tokenization, Blockchain)]:[If I want to try different ways to invest, I will explore digital assets.]], 3)</f>
        <v>4</v>
      </c>
      <c r="AU1169">
        <f>Table67[[#This Row],[Midpoint]]/21</f>
        <v>0.19047619047619047</v>
      </c>
      <c r="AV1169">
        <f>_xlfn.PERCENTILE.INC(Table67[Midpoint ratio],0.9)</f>
        <v>0.5714285714285714</v>
      </c>
      <c r="AW1169" t="b">
        <f>Table67[[#This Row],[Midpoint ratio]]&gt;=Table67[[#This Row],[Threshold of Midpoint ratio]]</f>
        <v>0</v>
      </c>
      <c r="AX1169" t="b">
        <f>OR(Table67[[#This Row],[Extreme Response Style]],Table67[[#This Row],[Mid-point Response Style]])</f>
        <v>0</v>
      </c>
      <c r="AY1169" t="b">
        <f>OR(Table67[[#This Row],[Delete? (Stage 1)]],Table67[[#This Row],[Delete? (Stage 2)]])</f>
        <v>1</v>
      </c>
      <c r="AZ1169" t="s">
        <v>84</v>
      </c>
    </row>
    <row r="1170" spans="1:52">
      <c r="A1170">
        <f t="shared" si="75"/>
        <v>1169</v>
      </c>
      <c r="B1170" s="3">
        <v>46056.902349536998</v>
      </c>
      <c r="C1170" s="3">
        <v>46056.9082291667</v>
      </c>
      <c r="D1170" t="s">
        <v>53</v>
      </c>
      <c r="G1170" t="s">
        <v>54</v>
      </c>
      <c r="H1170" t="s">
        <v>63</v>
      </c>
      <c r="I1170" t="s">
        <v>56</v>
      </c>
      <c r="J1170" t="s">
        <v>62</v>
      </c>
      <c r="K1170" t="s">
        <v>62</v>
      </c>
      <c r="L1170" t="s">
        <v>58</v>
      </c>
      <c r="M1170" t="s">
        <v>61</v>
      </c>
      <c r="N1170">
        <v>2</v>
      </c>
      <c r="O1170">
        <v>2</v>
      </c>
      <c r="P1170">
        <v>4</v>
      </c>
      <c r="Q1170">
        <v>5</v>
      </c>
      <c r="R1170">
        <v>4</v>
      </c>
      <c r="S1170">
        <v>5</v>
      </c>
      <c r="T1170">
        <v>2</v>
      </c>
      <c r="U1170">
        <v>5</v>
      </c>
      <c r="V1170">
        <v>5</v>
      </c>
      <c r="W1170">
        <v>5</v>
      </c>
      <c r="X1170">
        <v>5</v>
      </c>
      <c r="Y1170">
        <v>5</v>
      </c>
      <c r="Z1170">
        <v>4</v>
      </c>
      <c r="AA1170">
        <v>4</v>
      </c>
      <c r="AB1170">
        <v>3</v>
      </c>
      <c r="AC1170">
        <v>5</v>
      </c>
      <c r="AD1170">
        <v>5</v>
      </c>
      <c r="AE1170">
        <v>4</v>
      </c>
      <c r="AF1170">
        <v>2</v>
      </c>
      <c r="AG1170">
        <v>3</v>
      </c>
      <c r="AH1170">
        <v>2</v>
      </c>
      <c r="AI1170">
        <v>4</v>
      </c>
      <c r="AJ1170">
        <v>4</v>
      </c>
      <c r="AK1170" t="b">
        <f>Table67[[#This Row],[What is your age?]]&lt;&gt;"18 - 25"</f>
        <v>0</v>
      </c>
      <c r="AL1170" t="b">
        <f t="shared" si="72"/>
        <v>0</v>
      </c>
      <c r="AM1170" t="b">
        <f t="shared" si="73"/>
        <v>0</v>
      </c>
      <c r="AN1170" t="b">
        <f t="shared" si="74"/>
        <v>1</v>
      </c>
      <c r="AO1170" t="b">
        <f>OR(Table67[[#This Row],[Ineligible respondents]:[Inconsistent response on opposite question (3)]])</f>
        <v>1</v>
      </c>
      <c r="AP117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1170">
        <f>Table67[[#This Row],[Extreme Response]]/21</f>
        <v>0.42857142857142855</v>
      </c>
      <c r="AR1170">
        <f>_xlfn.PERCENTILE.INC(Table67[Extrem Response Ratio (ERS)],0.9)</f>
        <v>0.61904761904761907</v>
      </c>
      <c r="AS1170" t="b">
        <f>Table67[[#This Row],[Extrem Response Ratio (ERS)]]&gt;=Table67[[#This Row],[Threshold of ERS]]</f>
        <v>0</v>
      </c>
      <c r="AT1170">
        <f>COUNTIF(Table67[[#This Row],[The mechanism of digital assets is difficult to understand, which discourages me from exploring it (E.g, Tokenization, Blockchain)]:[If I want to try different ways to invest, I will explore digital assets.]], 3)</f>
        <v>2</v>
      </c>
      <c r="AU1170">
        <f>Table67[[#This Row],[Midpoint]]/21</f>
        <v>9.5238095238095233E-2</v>
      </c>
      <c r="AV1170">
        <f>_xlfn.PERCENTILE.INC(Table67[Midpoint ratio],0.9)</f>
        <v>0.5714285714285714</v>
      </c>
      <c r="AW1170" t="b">
        <f>Table67[[#This Row],[Midpoint ratio]]&gt;=Table67[[#This Row],[Threshold of Midpoint ratio]]</f>
        <v>0</v>
      </c>
      <c r="AX1170" t="b">
        <f>OR(Table67[[#This Row],[Extreme Response Style]],Table67[[#This Row],[Mid-point Response Style]])</f>
        <v>0</v>
      </c>
      <c r="AY1170" t="b">
        <f>OR(Table67[[#This Row],[Delete? (Stage 1)]],Table67[[#This Row],[Delete? (Stage 2)]])</f>
        <v>1</v>
      </c>
      <c r="AZ1170" t="s">
        <v>84</v>
      </c>
    </row>
    <row r="1171" spans="1:52">
      <c r="A1171">
        <f t="shared" si="75"/>
        <v>1170</v>
      </c>
      <c r="B1171" s="3">
        <v>46056.902662036999</v>
      </c>
      <c r="C1171" s="3">
        <v>46056.9062037037</v>
      </c>
      <c r="D1171" t="s">
        <v>53</v>
      </c>
      <c r="G1171" t="s">
        <v>54</v>
      </c>
      <c r="H1171" t="s">
        <v>55</v>
      </c>
      <c r="I1171" t="s">
        <v>56</v>
      </c>
      <c r="J1171" t="s">
        <v>62</v>
      </c>
      <c r="K1171" t="s">
        <v>57</v>
      </c>
      <c r="L1171" t="s">
        <v>58</v>
      </c>
      <c r="M1171" t="s">
        <v>58</v>
      </c>
      <c r="N1171">
        <v>4</v>
      </c>
      <c r="O1171">
        <v>1</v>
      </c>
      <c r="P1171">
        <v>3</v>
      </c>
      <c r="Q1171">
        <v>4</v>
      </c>
      <c r="R1171">
        <v>5</v>
      </c>
      <c r="S1171">
        <v>4</v>
      </c>
      <c r="T1171">
        <v>4</v>
      </c>
      <c r="U1171">
        <v>4</v>
      </c>
      <c r="V1171">
        <v>2</v>
      </c>
      <c r="W1171">
        <v>4</v>
      </c>
      <c r="X1171">
        <v>3</v>
      </c>
      <c r="Y1171">
        <v>4</v>
      </c>
      <c r="Z1171">
        <v>3</v>
      </c>
      <c r="AA1171">
        <v>4</v>
      </c>
      <c r="AB1171">
        <v>2</v>
      </c>
      <c r="AC1171">
        <v>3</v>
      </c>
      <c r="AD1171">
        <v>2</v>
      </c>
      <c r="AE1171">
        <v>4</v>
      </c>
      <c r="AF1171">
        <v>5</v>
      </c>
      <c r="AG1171">
        <v>4</v>
      </c>
      <c r="AH1171">
        <v>4</v>
      </c>
      <c r="AI1171">
        <v>2</v>
      </c>
      <c r="AJ1171">
        <v>1</v>
      </c>
      <c r="AK1171" t="b">
        <f>Table67[[#This Row],[What is your age?]]&lt;&gt;"18 - 25"</f>
        <v>0</v>
      </c>
      <c r="AL1171" t="b">
        <f t="shared" si="72"/>
        <v>0</v>
      </c>
      <c r="AM1171" t="b">
        <f t="shared" si="73"/>
        <v>1</v>
      </c>
      <c r="AN1171" t="b">
        <f t="shared" si="74"/>
        <v>0</v>
      </c>
      <c r="AO1171" t="b">
        <f>OR(Table67[[#This Row],[Ineligible respondents]:[Inconsistent response on opposite question (3)]])</f>
        <v>1</v>
      </c>
      <c r="AP117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171">
        <f>Table67[[#This Row],[Extreme Response]]/21</f>
        <v>0.14285714285714285</v>
      </c>
      <c r="AR1171">
        <f>_xlfn.PERCENTILE.INC(Table67[Extrem Response Ratio (ERS)],0.9)</f>
        <v>0.61904761904761907</v>
      </c>
      <c r="AS1171" t="b">
        <f>Table67[[#This Row],[Extrem Response Ratio (ERS)]]&gt;=Table67[[#This Row],[Threshold of ERS]]</f>
        <v>0</v>
      </c>
      <c r="AT1171">
        <f>COUNTIF(Table67[[#This Row],[The mechanism of digital assets is difficult to understand, which discourages me from exploring it (E.g, Tokenization, Blockchain)]:[If I want to try different ways to invest, I will explore digital assets.]], 3)</f>
        <v>4</v>
      </c>
      <c r="AU1171">
        <f>Table67[[#This Row],[Midpoint]]/21</f>
        <v>0.19047619047619047</v>
      </c>
      <c r="AV1171">
        <f>_xlfn.PERCENTILE.INC(Table67[Midpoint ratio],0.9)</f>
        <v>0.5714285714285714</v>
      </c>
      <c r="AW1171" t="b">
        <f>Table67[[#This Row],[Midpoint ratio]]&gt;=Table67[[#This Row],[Threshold of Midpoint ratio]]</f>
        <v>0</v>
      </c>
      <c r="AX1171" t="b">
        <f>OR(Table67[[#This Row],[Extreme Response Style]],Table67[[#This Row],[Mid-point Response Style]])</f>
        <v>0</v>
      </c>
      <c r="AY1171" t="b">
        <f>OR(Table67[[#This Row],[Delete? (Stage 1)]],Table67[[#This Row],[Delete? (Stage 2)]])</f>
        <v>1</v>
      </c>
      <c r="AZ1171" t="s">
        <v>84</v>
      </c>
    </row>
    <row r="1172" spans="1:52">
      <c r="A1172">
        <f t="shared" si="75"/>
        <v>1171</v>
      </c>
      <c r="B1172" s="3">
        <v>46056.903055555602</v>
      </c>
      <c r="C1172" s="3">
        <v>46056.904780092598</v>
      </c>
      <c r="D1172" t="s">
        <v>53</v>
      </c>
      <c r="G1172" t="s">
        <v>54</v>
      </c>
      <c r="H1172" t="s">
        <v>63</v>
      </c>
      <c r="I1172" t="s">
        <v>56</v>
      </c>
      <c r="J1172" t="s">
        <v>60</v>
      </c>
      <c r="K1172" t="s">
        <v>67</v>
      </c>
      <c r="L1172" t="s">
        <v>58</v>
      </c>
      <c r="M1172" t="s">
        <v>58</v>
      </c>
      <c r="N1172">
        <v>5</v>
      </c>
      <c r="O1172">
        <v>1</v>
      </c>
      <c r="P1172">
        <v>5</v>
      </c>
      <c r="Q1172">
        <v>3</v>
      </c>
      <c r="R1172">
        <v>4</v>
      </c>
      <c r="S1172">
        <v>3</v>
      </c>
      <c r="T1172">
        <v>5</v>
      </c>
      <c r="U1172">
        <v>5</v>
      </c>
      <c r="V1172">
        <v>3</v>
      </c>
      <c r="W1172">
        <v>2</v>
      </c>
      <c r="X1172">
        <v>4</v>
      </c>
      <c r="Y1172">
        <v>3</v>
      </c>
      <c r="Z1172">
        <v>5</v>
      </c>
      <c r="AA1172">
        <v>3</v>
      </c>
      <c r="AB1172">
        <v>3</v>
      </c>
      <c r="AC1172">
        <v>4</v>
      </c>
      <c r="AD1172">
        <v>5</v>
      </c>
      <c r="AE1172">
        <v>5</v>
      </c>
      <c r="AF1172">
        <v>2</v>
      </c>
      <c r="AG1172">
        <v>3</v>
      </c>
      <c r="AH1172">
        <v>2</v>
      </c>
      <c r="AI1172">
        <v>4</v>
      </c>
      <c r="AJ1172">
        <v>4</v>
      </c>
      <c r="AK1172" t="b">
        <f>Table67[[#This Row],[What is your age?]]&lt;&gt;"18 - 25"</f>
        <v>0</v>
      </c>
      <c r="AL1172" t="b">
        <f t="shared" si="72"/>
        <v>0</v>
      </c>
      <c r="AM1172" t="b">
        <f t="shared" si="73"/>
        <v>0</v>
      </c>
      <c r="AN1172" t="b">
        <f t="shared" si="74"/>
        <v>1</v>
      </c>
      <c r="AO1172" t="b">
        <f>OR(Table67[[#This Row],[Ineligible respondents]:[Inconsistent response on opposite question (3)]])</f>
        <v>1</v>
      </c>
      <c r="AP117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1172">
        <f>Table67[[#This Row],[Extreme Response]]/21</f>
        <v>0.38095238095238093</v>
      </c>
      <c r="AR1172">
        <f>_xlfn.PERCENTILE.INC(Table67[Extrem Response Ratio (ERS)],0.9)</f>
        <v>0.61904761904761907</v>
      </c>
      <c r="AS1172" t="b">
        <f>Table67[[#This Row],[Extrem Response Ratio (ERS)]]&gt;=Table67[[#This Row],[Threshold of ERS]]</f>
        <v>0</v>
      </c>
      <c r="AT1172">
        <f>COUNTIF(Table67[[#This Row],[The mechanism of digital assets is difficult to understand, which discourages me from exploring it (E.g, Tokenization, Blockchain)]:[If I want to try different ways to invest, I will explore digital assets.]], 3)</f>
        <v>7</v>
      </c>
      <c r="AU1172">
        <f>Table67[[#This Row],[Midpoint]]/21</f>
        <v>0.33333333333333331</v>
      </c>
      <c r="AV1172">
        <f>_xlfn.PERCENTILE.INC(Table67[Midpoint ratio],0.9)</f>
        <v>0.5714285714285714</v>
      </c>
      <c r="AW1172" t="b">
        <f>Table67[[#This Row],[Midpoint ratio]]&gt;=Table67[[#This Row],[Threshold of Midpoint ratio]]</f>
        <v>0</v>
      </c>
      <c r="AX1172" t="b">
        <f>OR(Table67[[#This Row],[Extreme Response Style]],Table67[[#This Row],[Mid-point Response Style]])</f>
        <v>0</v>
      </c>
      <c r="AY1172" t="b">
        <f>OR(Table67[[#This Row],[Delete? (Stage 1)]],Table67[[#This Row],[Delete? (Stage 2)]])</f>
        <v>1</v>
      </c>
      <c r="AZ1172" t="s">
        <v>84</v>
      </c>
    </row>
    <row r="1173" spans="1:52">
      <c r="A1173">
        <f t="shared" si="75"/>
        <v>1172</v>
      </c>
      <c r="B1173" s="3">
        <v>46056.903206018498</v>
      </c>
      <c r="C1173" s="3">
        <v>46056.911539351902</v>
      </c>
      <c r="D1173" t="s">
        <v>53</v>
      </c>
      <c r="G1173" t="s">
        <v>54</v>
      </c>
      <c r="H1173" t="s">
        <v>55</v>
      </c>
      <c r="I1173" t="s">
        <v>56</v>
      </c>
      <c r="J1173" t="s">
        <v>62</v>
      </c>
      <c r="K1173" t="s">
        <v>62</v>
      </c>
      <c r="L1173" t="s">
        <v>61</v>
      </c>
      <c r="M1173" t="s">
        <v>58</v>
      </c>
      <c r="N1173">
        <v>4</v>
      </c>
      <c r="O1173">
        <v>3</v>
      </c>
      <c r="P1173">
        <v>2</v>
      </c>
      <c r="Q1173">
        <v>3</v>
      </c>
      <c r="R1173">
        <v>3</v>
      </c>
      <c r="S1173">
        <v>2</v>
      </c>
      <c r="T1173">
        <v>4</v>
      </c>
      <c r="U1173">
        <v>3</v>
      </c>
      <c r="V1173">
        <v>5</v>
      </c>
      <c r="W1173">
        <v>1</v>
      </c>
      <c r="X1173">
        <v>3</v>
      </c>
      <c r="Y1173">
        <v>4</v>
      </c>
      <c r="Z1173">
        <v>3</v>
      </c>
      <c r="AA1173">
        <v>3</v>
      </c>
      <c r="AB1173">
        <v>2</v>
      </c>
      <c r="AC1173">
        <v>3</v>
      </c>
      <c r="AD1173">
        <v>2</v>
      </c>
      <c r="AE1173">
        <v>3</v>
      </c>
      <c r="AF1173">
        <v>1</v>
      </c>
      <c r="AG1173">
        <v>1</v>
      </c>
      <c r="AH1173">
        <v>2</v>
      </c>
      <c r="AI1173">
        <v>4</v>
      </c>
      <c r="AJ1173">
        <v>5</v>
      </c>
      <c r="AK1173" t="b">
        <f>Table67[[#This Row],[What is your age?]]&lt;&gt;"18 - 25"</f>
        <v>0</v>
      </c>
      <c r="AL1173" t="b">
        <f t="shared" si="72"/>
        <v>0</v>
      </c>
      <c r="AM1173" t="b">
        <f t="shared" si="73"/>
        <v>1</v>
      </c>
      <c r="AN1173" t="b">
        <f t="shared" si="74"/>
        <v>0</v>
      </c>
      <c r="AO1173" t="b">
        <f>OR(Table67[[#This Row],[Ineligible respondents]:[Inconsistent response on opposite question (3)]])</f>
        <v>1</v>
      </c>
      <c r="AP117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173">
        <f>Table67[[#This Row],[Extreme Response]]/21</f>
        <v>0.19047619047619047</v>
      </c>
      <c r="AR1173">
        <f>_xlfn.PERCENTILE.INC(Table67[Extrem Response Ratio (ERS)],0.9)</f>
        <v>0.61904761904761907</v>
      </c>
      <c r="AS1173" t="b">
        <f>Table67[[#This Row],[Extrem Response Ratio (ERS)]]&gt;=Table67[[#This Row],[Threshold of ERS]]</f>
        <v>0</v>
      </c>
      <c r="AT1173">
        <f>COUNTIF(Table67[[#This Row],[The mechanism of digital assets is difficult to understand, which discourages me from exploring it (E.g, Tokenization, Blockchain)]:[If I want to try different ways to invest, I will explore digital assets.]], 3)</f>
        <v>9</v>
      </c>
      <c r="AU1173">
        <f>Table67[[#This Row],[Midpoint]]/21</f>
        <v>0.42857142857142855</v>
      </c>
      <c r="AV1173">
        <f>_xlfn.PERCENTILE.INC(Table67[Midpoint ratio],0.9)</f>
        <v>0.5714285714285714</v>
      </c>
      <c r="AW1173" t="b">
        <f>Table67[[#This Row],[Midpoint ratio]]&gt;=Table67[[#This Row],[Threshold of Midpoint ratio]]</f>
        <v>0</v>
      </c>
      <c r="AX1173" t="b">
        <f>OR(Table67[[#This Row],[Extreme Response Style]],Table67[[#This Row],[Mid-point Response Style]])</f>
        <v>0</v>
      </c>
      <c r="AY1173" t="b">
        <f>OR(Table67[[#This Row],[Delete? (Stage 1)]],Table67[[#This Row],[Delete? (Stage 2)]])</f>
        <v>1</v>
      </c>
      <c r="AZ1173" t="s">
        <v>84</v>
      </c>
    </row>
    <row r="1174" spans="1:52">
      <c r="A1174">
        <f t="shared" si="75"/>
        <v>1173</v>
      </c>
      <c r="B1174" s="3">
        <v>46056.903252314798</v>
      </c>
      <c r="C1174" s="3">
        <v>46056.909166666701</v>
      </c>
      <c r="D1174" t="s">
        <v>53</v>
      </c>
      <c r="G1174" t="s">
        <v>73</v>
      </c>
      <c r="H1174" t="s">
        <v>55</v>
      </c>
      <c r="I1174" t="s">
        <v>75</v>
      </c>
      <c r="J1174" t="s">
        <v>62</v>
      </c>
      <c r="K1174" t="s">
        <v>62</v>
      </c>
      <c r="L1174" t="s">
        <v>58</v>
      </c>
      <c r="M1174" t="s">
        <v>58</v>
      </c>
      <c r="N1174">
        <v>5</v>
      </c>
      <c r="O1174">
        <v>5</v>
      </c>
      <c r="P1174">
        <v>5</v>
      </c>
      <c r="Q1174">
        <v>5</v>
      </c>
      <c r="R1174">
        <v>5</v>
      </c>
      <c r="S1174">
        <v>5</v>
      </c>
      <c r="T1174">
        <v>3</v>
      </c>
      <c r="U1174">
        <v>4</v>
      </c>
      <c r="V1174">
        <v>5</v>
      </c>
      <c r="W1174">
        <v>5</v>
      </c>
      <c r="X1174">
        <v>5</v>
      </c>
      <c r="Y1174">
        <v>5</v>
      </c>
      <c r="Z1174">
        <v>2</v>
      </c>
      <c r="AA1174">
        <v>3</v>
      </c>
      <c r="AB1174">
        <v>2</v>
      </c>
      <c r="AC1174">
        <v>5</v>
      </c>
      <c r="AD1174">
        <v>3</v>
      </c>
      <c r="AE1174">
        <v>3</v>
      </c>
      <c r="AF1174">
        <v>3</v>
      </c>
      <c r="AG1174">
        <v>3</v>
      </c>
      <c r="AH1174">
        <v>3</v>
      </c>
      <c r="AI1174">
        <v>3</v>
      </c>
      <c r="AJ1174">
        <v>3</v>
      </c>
      <c r="AK1174" t="b">
        <f>Table67[[#This Row],[What is your age?]]&lt;&gt;"18 - 25"</f>
        <v>1</v>
      </c>
      <c r="AL1174" t="b">
        <f t="shared" si="72"/>
        <v>0</v>
      </c>
      <c r="AM1174" t="b">
        <f t="shared" si="73"/>
        <v>0</v>
      </c>
      <c r="AN1174" t="b">
        <f t="shared" si="74"/>
        <v>0</v>
      </c>
      <c r="AO1174" t="b">
        <f>OR(Table67[[#This Row],[Ineligible respondents]:[Inconsistent response on opposite question (3)]])</f>
        <v>1</v>
      </c>
      <c r="AP117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1174">
        <f>Table67[[#This Row],[Extreme Response]]/21</f>
        <v>0.52380952380952384</v>
      </c>
      <c r="AR1174">
        <f>_xlfn.PERCENTILE.INC(Table67[Extrem Response Ratio (ERS)],0.9)</f>
        <v>0.61904761904761907</v>
      </c>
      <c r="AS1174" t="b">
        <f>Table67[[#This Row],[Extrem Response Ratio (ERS)]]&gt;=Table67[[#This Row],[Threshold of ERS]]</f>
        <v>0</v>
      </c>
      <c r="AT1174">
        <f>COUNTIF(Table67[[#This Row],[The mechanism of digital assets is difficult to understand, which discourages me from exploring it (E.g, Tokenization, Blockchain)]:[If I want to try different ways to invest, I will explore digital assets.]], 3)</f>
        <v>7</v>
      </c>
      <c r="AU1174">
        <f>Table67[[#This Row],[Midpoint]]/21</f>
        <v>0.33333333333333331</v>
      </c>
      <c r="AV1174">
        <f>_xlfn.PERCENTILE.INC(Table67[Midpoint ratio],0.9)</f>
        <v>0.5714285714285714</v>
      </c>
      <c r="AW1174" t="b">
        <f>Table67[[#This Row],[Midpoint ratio]]&gt;=Table67[[#This Row],[Threshold of Midpoint ratio]]</f>
        <v>0</v>
      </c>
      <c r="AX1174" t="b">
        <f>OR(Table67[[#This Row],[Extreme Response Style]],Table67[[#This Row],[Mid-point Response Style]])</f>
        <v>0</v>
      </c>
      <c r="AY1174" t="b">
        <f>OR(Table67[[#This Row],[Delete? (Stage 1)]],Table67[[#This Row],[Delete? (Stage 2)]])</f>
        <v>1</v>
      </c>
      <c r="AZ1174" t="s">
        <v>84</v>
      </c>
    </row>
    <row r="1175" spans="1:52">
      <c r="A1175">
        <f t="shared" si="75"/>
        <v>1174</v>
      </c>
      <c r="B1175" s="3">
        <v>46056.903437499997</v>
      </c>
      <c r="C1175" s="3">
        <v>46056.904780092598</v>
      </c>
      <c r="D1175" t="s">
        <v>53</v>
      </c>
      <c r="G1175" t="s">
        <v>54</v>
      </c>
      <c r="H1175" t="s">
        <v>55</v>
      </c>
      <c r="I1175" t="s">
        <v>69</v>
      </c>
      <c r="J1175" t="s">
        <v>67</v>
      </c>
      <c r="K1175" t="s">
        <v>60</v>
      </c>
      <c r="L1175" t="s">
        <v>58</v>
      </c>
      <c r="M1175" t="s">
        <v>58</v>
      </c>
      <c r="N1175">
        <v>3</v>
      </c>
      <c r="O1175">
        <v>3</v>
      </c>
      <c r="P1175">
        <v>4</v>
      </c>
      <c r="Q1175">
        <v>3</v>
      </c>
      <c r="R1175">
        <v>4</v>
      </c>
      <c r="S1175">
        <v>3</v>
      </c>
      <c r="T1175">
        <v>5</v>
      </c>
      <c r="U1175">
        <v>2</v>
      </c>
      <c r="V1175">
        <v>3</v>
      </c>
      <c r="W1175">
        <v>4</v>
      </c>
      <c r="X1175">
        <v>2</v>
      </c>
      <c r="Y1175">
        <v>3</v>
      </c>
      <c r="Z1175">
        <v>4</v>
      </c>
      <c r="AA1175">
        <v>2</v>
      </c>
      <c r="AB1175">
        <v>3</v>
      </c>
      <c r="AC1175">
        <v>3</v>
      </c>
      <c r="AD1175">
        <v>4</v>
      </c>
      <c r="AE1175">
        <v>3</v>
      </c>
      <c r="AF1175">
        <v>4</v>
      </c>
      <c r="AG1175">
        <v>3</v>
      </c>
      <c r="AH1175">
        <v>4</v>
      </c>
      <c r="AI1175">
        <v>2</v>
      </c>
      <c r="AJ1175">
        <v>2</v>
      </c>
      <c r="AK1175" t="b">
        <f>Table67[[#This Row],[What is your age?]]&lt;&gt;"18 - 25"</f>
        <v>0</v>
      </c>
      <c r="AL1175" t="b">
        <f t="shared" si="72"/>
        <v>0</v>
      </c>
      <c r="AM1175" t="b">
        <f t="shared" si="73"/>
        <v>0</v>
      </c>
      <c r="AN1175" t="b">
        <f t="shared" si="74"/>
        <v>1</v>
      </c>
      <c r="AO1175" t="b">
        <f>OR(Table67[[#This Row],[Ineligible respondents]:[Inconsistent response on opposite question (3)]])</f>
        <v>1</v>
      </c>
      <c r="AP117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175">
        <f>Table67[[#This Row],[Extreme Response]]/21</f>
        <v>4.7619047619047616E-2</v>
      </c>
      <c r="AR1175">
        <f>_xlfn.PERCENTILE.INC(Table67[Extrem Response Ratio (ERS)],0.9)</f>
        <v>0.61904761904761907</v>
      </c>
      <c r="AS1175" t="b">
        <f>Table67[[#This Row],[Extrem Response Ratio (ERS)]]&gt;=Table67[[#This Row],[Threshold of ERS]]</f>
        <v>0</v>
      </c>
      <c r="AT1175">
        <f>COUNTIF(Table67[[#This Row],[The mechanism of digital assets is difficult to understand, which discourages me from exploring it (E.g, Tokenization, Blockchain)]:[If I want to try different ways to invest, I will explore digital assets.]], 3)</f>
        <v>10</v>
      </c>
      <c r="AU1175">
        <f>Table67[[#This Row],[Midpoint]]/21</f>
        <v>0.47619047619047616</v>
      </c>
      <c r="AV1175">
        <f>_xlfn.PERCENTILE.INC(Table67[Midpoint ratio],0.9)</f>
        <v>0.5714285714285714</v>
      </c>
      <c r="AW1175" t="b">
        <f>Table67[[#This Row],[Midpoint ratio]]&gt;=Table67[[#This Row],[Threshold of Midpoint ratio]]</f>
        <v>0</v>
      </c>
      <c r="AX1175" t="b">
        <f>OR(Table67[[#This Row],[Extreme Response Style]],Table67[[#This Row],[Mid-point Response Style]])</f>
        <v>0</v>
      </c>
      <c r="AY1175" t="b">
        <f>OR(Table67[[#This Row],[Delete? (Stage 1)]],Table67[[#This Row],[Delete? (Stage 2)]])</f>
        <v>1</v>
      </c>
      <c r="AZ1175" t="s">
        <v>84</v>
      </c>
    </row>
    <row r="1176" spans="1:52">
      <c r="A1176">
        <f t="shared" si="75"/>
        <v>1175</v>
      </c>
      <c r="B1176" s="3">
        <v>46056.904120370396</v>
      </c>
      <c r="C1176" s="3">
        <v>46056.905856481499</v>
      </c>
      <c r="D1176" t="s">
        <v>53</v>
      </c>
      <c r="G1176" t="s">
        <v>73</v>
      </c>
      <c r="H1176" t="s">
        <v>55</v>
      </c>
      <c r="I1176" t="s">
        <v>56</v>
      </c>
      <c r="J1176" t="s">
        <v>62</v>
      </c>
      <c r="K1176" t="s">
        <v>62</v>
      </c>
      <c r="L1176" t="s">
        <v>61</v>
      </c>
      <c r="M1176" t="s">
        <v>61</v>
      </c>
      <c r="N1176">
        <v>3</v>
      </c>
      <c r="O1176">
        <v>4</v>
      </c>
      <c r="P1176">
        <v>3</v>
      </c>
      <c r="Q1176">
        <v>3</v>
      </c>
      <c r="R1176">
        <v>4</v>
      </c>
      <c r="S1176">
        <v>4</v>
      </c>
      <c r="T1176">
        <v>3</v>
      </c>
      <c r="U1176">
        <v>4</v>
      </c>
      <c r="V1176">
        <v>3</v>
      </c>
      <c r="W1176">
        <v>4</v>
      </c>
      <c r="X1176">
        <v>4</v>
      </c>
      <c r="Y1176">
        <v>4</v>
      </c>
      <c r="Z1176">
        <v>3</v>
      </c>
      <c r="AA1176">
        <v>3</v>
      </c>
      <c r="AB1176">
        <v>3</v>
      </c>
      <c r="AC1176">
        <v>3</v>
      </c>
      <c r="AD1176">
        <v>3</v>
      </c>
      <c r="AE1176">
        <v>3</v>
      </c>
      <c r="AF1176">
        <v>4</v>
      </c>
      <c r="AG1176">
        <v>4</v>
      </c>
      <c r="AH1176">
        <v>3</v>
      </c>
      <c r="AI1176">
        <v>3</v>
      </c>
      <c r="AJ1176">
        <v>2</v>
      </c>
      <c r="AK1176" t="b">
        <f>Table67[[#This Row],[What is your age?]]&lt;&gt;"18 - 25"</f>
        <v>1</v>
      </c>
      <c r="AL1176" t="b">
        <f t="shared" si="72"/>
        <v>0</v>
      </c>
      <c r="AM1176" t="b">
        <f t="shared" si="73"/>
        <v>0</v>
      </c>
      <c r="AN1176" t="b">
        <f t="shared" si="74"/>
        <v>1</v>
      </c>
      <c r="AO1176" t="b">
        <f>OR(Table67[[#This Row],[Ineligible respondents]:[Inconsistent response on opposite question (3)]])</f>
        <v>1</v>
      </c>
      <c r="AP117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176">
        <f>Table67[[#This Row],[Extreme Response]]/21</f>
        <v>0</v>
      </c>
      <c r="AR1176">
        <f>_xlfn.PERCENTILE.INC(Table67[Extrem Response Ratio (ERS)],0.9)</f>
        <v>0.61904761904761907</v>
      </c>
      <c r="AS1176" t="b">
        <f>Table67[[#This Row],[Extrem Response Ratio (ERS)]]&gt;=Table67[[#This Row],[Threshold of ERS]]</f>
        <v>0</v>
      </c>
      <c r="AT1176">
        <f>COUNTIF(Table67[[#This Row],[The mechanism of digital assets is difficult to understand, which discourages me from exploring it (E.g, Tokenization, Blockchain)]:[If I want to try different ways to invest, I will explore digital assets.]], 3)</f>
        <v>12</v>
      </c>
      <c r="AU1176">
        <f>Table67[[#This Row],[Midpoint]]/21</f>
        <v>0.5714285714285714</v>
      </c>
      <c r="AV1176">
        <f>_xlfn.PERCENTILE.INC(Table67[Midpoint ratio],0.9)</f>
        <v>0.5714285714285714</v>
      </c>
      <c r="AW1176" t="b">
        <f>Table67[[#This Row],[Midpoint ratio]]&gt;=Table67[[#This Row],[Threshold of Midpoint ratio]]</f>
        <v>1</v>
      </c>
      <c r="AX1176" t="b">
        <f>OR(Table67[[#This Row],[Extreme Response Style]],Table67[[#This Row],[Mid-point Response Style]])</f>
        <v>1</v>
      </c>
      <c r="AY1176" t="b">
        <f>OR(Table67[[#This Row],[Delete? (Stage 1)]],Table67[[#This Row],[Delete? (Stage 2)]])</f>
        <v>1</v>
      </c>
      <c r="AZ1176" t="s">
        <v>84</v>
      </c>
    </row>
    <row r="1177" spans="1:52">
      <c r="A1177">
        <f t="shared" si="75"/>
        <v>1176</v>
      </c>
      <c r="B1177" s="3">
        <v>46056.9041782407</v>
      </c>
      <c r="C1177" s="3">
        <v>46056.9074189815</v>
      </c>
      <c r="D1177" t="s">
        <v>53</v>
      </c>
      <c r="G1177" t="s">
        <v>54</v>
      </c>
      <c r="H1177" t="s">
        <v>55</v>
      </c>
      <c r="I1177" t="s">
        <v>71</v>
      </c>
      <c r="J1177" t="s">
        <v>62</v>
      </c>
      <c r="K1177" t="s">
        <v>62</v>
      </c>
      <c r="L1177" t="s">
        <v>58</v>
      </c>
      <c r="M1177" t="s">
        <v>58</v>
      </c>
      <c r="N1177">
        <v>3</v>
      </c>
      <c r="O1177">
        <v>2</v>
      </c>
      <c r="P1177">
        <v>4</v>
      </c>
      <c r="Q1177">
        <v>4</v>
      </c>
      <c r="R1177">
        <v>1</v>
      </c>
      <c r="S1177">
        <v>2</v>
      </c>
      <c r="T1177">
        <v>3</v>
      </c>
      <c r="U1177">
        <v>4</v>
      </c>
      <c r="V1177">
        <v>4</v>
      </c>
      <c r="W1177">
        <v>4</v>
      </c>
      <c r="X1177">
        <v>4</v>
      </c>
      <c r="Y1177">
        <v>5</v>
      </c>
      <c r="Z1177">
        <v>2</v>
      </c>
      <c r="AA1177">
        <v>3</v>
      </c>
      <c r="AB1177">
        <v>4</v>
      </c>
      <c r="AC1177">
        <v>4</v>
      </c>
      <c r="AD1177">
        <v>4</v>
      </c>
      <c r="AE1177">
        <v>4</v>
      </c>
      <c r="AF1177">
        <v>3</v>
      </c>
      <c r="AG1177">
        <v>4</v>
      </c>
      <c r="AH1177">
        <v>4</v>
      </c>
      <c r="AI1177">
        <v>2</v>
      </c>
      <c r="AJ1177">
        <v>3</v>
      </c>
      <c r="AK1177" t="b">
        <f>Table67[[#This Row],[What is your age?]]&lt;&gt;"18 - 25"</f>
        <v>0</v>
      </c>
      <c r="AL1177" t="b">
        <f t="shared" si="72"/>
        <v>0</v>
      </c>
      <c r="AM1177" t="b">
        <f t="shared" si="73"/>
        <v>1</v>
      </c>
      <c r="AN1177" t="b">
        <f t="shared" si="74"/>
        <v>0</v>
      </c>
      <c r="AO1177" t="b">
        <f>OR(Table67[[#This Row],[Ineligible respondents]:[Inconsistent response on opposite question (3)]])</f>
        <v>1</v>
      </c>
      <c r="AP117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177">
        <f>Table67[[#This Row],[Extreme Response]]/21</f>
        <v>9.5238095238095233E-2</v>
      </c>
      <c r="AR1177">
        <f>_xlfn.PERCENTILE.INC(Table67[Extrem Response Ratio (ERS)],0.9)</f>
        <v>0.61904761904761907</v>
      </c>
      <c r="AS1177" t="b">
        <f>Table67[[#This Row],[Extrem Response Ratio (ERS)]]&gt;=Table67[[#This Row],[Threshold of ERS]]</f>
        <v>0</v>
      </c>
      <c r="AT1177">
        <f>COUNTIF(Table67[[#This Row],[The mechanism of digital assets is difficult to understand, which discourages me from exploring it (E.g, Tokenization, Blockchain)]:[If I want to try different ways to invest, I will explore digital assets.]], 3)</f>
        <v>4</v>
      </c>
      <c r="AU1177">
        <f>Table67[[#This Row],[Midpoint]]/21</f>
        <v>0.19047619047619047</v>
      </c>
      <c r="AV1177">
        <f>_xlfn.PERCENTILE.INC(Table67[Midpoint ratio],0.9)</f>
        <v>0.5714285714285714</v>
      </c>
      <c r="AW1177" t="b">
        <f>Table67[[#This Row],[Midpoint ratio]]&gt;=Table67[[#This Row],[Threshold of Midpoint ratio]]</f>
        <v>0</v>
      </c>
      <c r="AX1177" t="b">
        <f>OR(Table67[[#This Row],[Extreme Response Style]],Table67[[#This Row],[Mid-point Response Style]])</f>
        <v>0</v>
      </c>
      <c r="AY1177" t="b">
        <f>OR(Table67[[#This Row],[Delete? (Stage 1)]],Table67[[#This Row],[Delete? (Stage 2)]])</f>
        <v>1</v>
      </c>
      <c r="AZ1177" t="s">
        <v>84</v>
      </c>
    </row>
    <row r="1178" spans="1:52">
      <c r="A1178">
        <f t="shared" si="75"/>
        <v>1177</v>
      </c>
      <c r="B1178" s="3">
        <v>46056.904189814799</v>
      </c>
      <c r="C1178" s="3">
        <v>46056.906817129602</v>
      </c>
      <c r="D1178" t="s">
        <v>53</v>
      </c>
      <c r="G1178" t="s">
        <v>54</v>
      </c>
      <c r="H1178" t="s">
        <v>55</v>
      </c>
      <c r="I1178" t="s">
        <v>71</v>
      </c>
      <c r="J1178" t="s">
        <v>62</v>
      </c>
      <c r="K1178" t="s">
        <v>60</v>
      </c>
      <c r="L1178" t="s">
        <v>58</v>
      </c>
      <c r="M1178" t="s">
        <v>58</v>
      </c>
      <c r="N1178">
        <v>2</v>
      </c>
      <c r="O1178">
        <v>4</v>
      </c>
      <c r="P1178">
        <v>4</v>
      </c>
      <c r="Q1178">
        <v>4</v>
      </c>
      <c r="R1178">
        <v>3</v>
      </c>
      <c r="S1178">
        <v>4</v>
      </c>
      <c r="T1178">
        <v>4</v>
      </c>
      <c r="U1178">
        <v>5</v>
      </c>
      <c r="V1178">
        <v>3</v>
      </c>
      <c r="W1178">
        <v>4</v>
      </c>
      <c r="X1178">
        <v>5</v>
      </c>
      <c r="Y1178">
        <v>4</v>
      </c>
      <c r="Z1178">
        <v>2</v>
      </c>
      <c r="AA1178">
        <v>5</v>
      </c>
      <c r="AB1178">
        <v>3</v>
      </c>
      <c r="AC1178">
        <v>4</v>
      </c>
      <c r="AD1178">
        <v>5</v>
      </c>
      <c r="AE1178">
        <v>2</v>
      </c>
      <c r="AF1178">
        <v>3</v>
      </c>
      <c r="AG1178">
        <v>4</v>
      </c>
      <c r="AH1178">
        <v>4</v>
      </c>
      <c r="AI1178">
        <v>2</v>
      </c>
      <c r="AJ1178">
        <v>3</v>
      </c>
      <c r="AK1178" t="b">
        <f>Table67[[#This Row],[What is your age?]]&lt;&gt;"18 - 25"</f>
        <v>0</v>
      </c>
      <c r="AL1178" t="b">
        <f t="shared" si="72"/>
        <v>0</v>
      </c>
      <c r="AM1178" t="b">
        <f t="shared" si="73"/>
        <v>1</v>
      </c>
      <c r="AN1178" t="b">
        <f t="shared" si="74"/>
        <v>0</v>
      </c>
      <c r="AO1178" t="b">
        <f>OR(Table67[[#This Row],[Ineligible respondents]:[Inconsistent response on opposite question (3)]])</f>
        <v>1</v>
      </c>
      <c r="AP117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178">
        <f>Table67[[#This Row],[Extreme Response]]/21</f>
        <v>0.19047619047619047</v>
      </c>
      <c r="AR1178">
        <f>_xlfn.PERCENTILE.INC(Table67[Extrem Response Ratio (ERS)],0.9)</f>
        <v>0.61904761904761907</v>
      </c>
      <c r="AS1178" t="b">
        <f>Table67[[#This Row],[Extrem Response Ratio (ERS)]]&gt;=Table67[[#This Row],[Threshold of ERS]]</f>
        <v>0</v>
      </c>
      <c r="AT1178">
        <f>COUNTIF(Table67[[#This Row],[The mechanism of digital assets is difficult to understand, which discourages me from exploring it (E.g, Tokenization, Blockchain)]:[If I want to try different ways to invest, I will explore digital assets.]], 3)</f>
        <v>4</v>
      </c>
      <c r="AU1178">
        <f>Table67[[#This Row],[Midpoint]]/21</f>
        <v>0.19047619047619047</v>
      </c>
      <c r="AV1178">
        <f>_xlfn.PERCENTILE.INC(Table67[Midpoint ratio],0.9)</f>
        <v>0.5714285714285714</v>
      </c>
      <c r="AW1178" t="b">
        <f>Table67[[#This Row],[Midpoint ratio]]&gt;=Table67[[#This Row],[Threshold of Midpoint ratio]]</f>
        <v>0</v>
      </c>
      <c r="AX1178" t="b">
        <f>OR(Table67[[#This Row],[Extreme Response Style]],Table67[[#This Row],[Mid-point Response Style]])</f>
        <v>0</v>
      </c>
      <c r="AY1178" t="b">
        <f>OR(Table67[[#This Row],[Delete? (Stage 1)]],Table67[[#This Row],[Delete? (Stage 2)]])</f>
        <v>1</v>
      </c>
      <c r="AZ1178" t="s">
        <v>84</v>
      </c>
    </row>
    <row r="1179" spans="1:52">
      <c r="A1179">
        <f t="shared" si="75"/>
        <v>1178</v>
      </c>
      <c r="B1179" s="3">
        <v>46056.9047222222</v>
      </c>
      <c r="C1179" s="3">
        <v>46056.909351851798</v>
      </c>
      <c r="D1179" t="s">
        <v>53</v>
      </c>
      <c r="G1179" t="s">
        <v>54</v>
      </c>
      <c r="H1179" t="s">
        <v>55</v>
      </c>
      <c r="I1179" t="s">
        <v>56</v>
      </c>
      <c r="J1179" t="s">
        <v>62</v>
      </c>
      <c r="K1179" t="s">
        <v>57</v>
      </c>
      <c r="L1179" t="s">
        <v>61</v>
      </c>
      <c r="M1179" t="s">
        <v>58</v>
      </c>
      <c r="N1179">
        <v>1</v>
      </c>
      <c r="O1179">
        <v>2</v>
      </c>
      <c r="P1179">
        <v>4</v>
      </c>
      <c r="Q1179">
        <v>2</v>
      </c>
      <c r="R1179">
        <v>3</v>
      </c>
      <c r="S1179">
        <v>2</v>
      </c>
      <c r="T1179">
        <v>2</v>
      </c>
      <c r="U1179">
        <v>3</v>
      </c>
      <c r="V1179">
        <v>2</v>
      </c>
      <c r="W1179">
        <v>3</v>
      </c>
      <c r="X1179">
        <v>2</v>
      </c>
      <c r="Y1179">
        <v>3</v>
      </c>
      <c r="Z1179">
        <v>4</v>
      </c>
      <c r="AA1179">
        <v>3</v>
      </c>
      <c r="AB1179">
        <v>3</v>
      </c>
      <c r="AC1179">
        <v>2</v>
      </c>
      <c r="AD1179">
        <v>4</v>
      </c>
      <c r="AE1179">
        <v>4</v>
      </c>
      <c r="AF1179">
        <v>5</v>
      </c>
      <c r="AG1179">
        <v>4</v>
      </c>
      <c r="AH1179">
        <v>3</v>
      </c>
      <c r="AI1179">
        <v>3</v>
      </c>
      <c r="AJ1179">
        <v>1</v>
      </c>
      <c r="AK1179" t="b">
        <f>Table67[[#This Row],[What is your age?]]&lt;&gt;"18 - 25"</f>
        <v>0</v>
      </c>
      <c r="AL1179" t="b">
        <f t="shared" si="72"/>
        <v>0</v>
      </c>
      <c r="AM1179" t="b">
        <f t="shared" si="73"/>
        <v>0</v>
      </c>
      <c r="AN1179" t="b">
        <f t="shared" si="74"/>
        <v>1</v>
      </c>
      <c r="AO1179" t="b">
        <f>OR(Table67[[#This Row],[Ineligible respondents]:[Inconsistent response on opposite question (3)]])</f>
        <v>1</v>
      </c>
      <c r="AP117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179">
        <f>Table67[[#This Row],[Extreme Response]]/21</f>
        <v>9.5238095238095233E-2</v>
      </c>
      <c r="AR1179">
        <f>_xlfn.PERCENTILE.INC(Table67[Extrem Response Ratio (ERS)],0.9)</f>
        <v>0.61904761904761907</v>
      </c>
      <c r="AS1179" t="b">
        <f>Table67[[#This Row],[Extrem Response Ratio (ERS)]]&gt;=Table67[[#This Row],[Threshold of ERS]]</f>
        <v>0</v>
      </c>
      <c r="AT1179">
        <f>COUNTIF(Table67[[#This Row],[The mechanism of digital assets is difficult to understand, which discourages me from exploring it (E.g, Tokenization, Blockchain)]:[If I want to try different ways to invest, I will explore digital assets.]], 3)</f>
        <v>7</v>
      </c>
      <c r="AU1179">
        <f>Table67[[#This Row],[Midpoint]]/21</f>
        <v>0.33333333333333331</v>
      </c>
      <c r="AV1179">
        <f>_xlfn.PERCENTILE.INC(Table67[Midpoint ratio],0.9)</f>
        <v>0.5714285714285714</v>
      </c>
      <c r="AW1179" t="b">
        <f>Table67[[#This Row],[Midpoint ratio]]&gt;=Table67[[#This Row],[Threshold of Midpoint ratio]]</f>
        <v>0</v>
      </c>
      <c r="AX1179" t="b">
        <f>OR(Table67[[#This Row],[Extreme Response Style]],Table67[[#This Row],[Mid-point Response Style]])</f>
        <v>0</v>
      </c>
      <c r="AY1179" t="b">
        <f>OR(Table67[[#This Row],[Delete? (Stage 1)]],Table67[[#This Row],[Delete? (Stage 2)]])</f>
        <v>1</v>
      </c>
      <c r="AZ1179" t="s">
        <v>84</v>
      </c>
    </row>
    <row r="1180" spans="1:52">
      <c r="A1180">
        <f t="shared" si="75"/>
        <v>1179</v>
      </c>
      <c r="B1180" s="3">
        <v>46056.904745370397</v>
      </c>
      <c r="C1180" s="3">
        <v>46056.934328703697</v>
      </c>
      <c r="D1180" t="s">
        <v>53</v>
      </c>
      <c r="G1180" t="s">
        <v>54</v>
      </c>
      <c r="H1180" t="s">
        <v>63</v>
      </c>
      <c r="I1180" t="s">
        <v>75</v>
      </c>
      <c r="J1180" t="s">
        <v>65</v>
      </c>
      <c r="K1180" t="s">
        <v>57</v>
      </c>
      <c r="L1180" t="s">
        <v>58</v>
      </c>
      <c r="M1180" t="s">
        <v>58</v>
      </c>
      <c r="N1180">
        <v>5</v>
      </c>
      <c r="O1180">
        <v>5</v>
      </c>
      <c r="P1180">
        <v>5</v>
      </c>
      <c r="Q1180">
        <v>4</v>
      </c>
      <c r="R1180">
        <v>4</v>
      </c>
      <c r="S1180">
        <v>4</v>
      </c>
      <c r="T1180">
        <v>4</v>
      </c>
      <c r="U1180">
        <v>5</v>
      </c>
      <c r="V1180">
        <v>5</v>
      </c>
      <c r="W1180">
        <v>4</v>
      </c>
      <c r="X1180">
        <v>4</v>
      </c>
      <c r="Y1180">
        <v>4</v>
      </c>
      <c r="Z1180">
        <v>4</v>
      </c>
      <c r="AA1180">
        <v>4</v>
      </c>
      <c r="AB1180">
        <v>3</v>
      </c>
      <c r="AC1180">
        <v>3</v>
      </c>
      <c r="AD1180">
        <v>4</v>
      </c>
      <c r="AE1180">
        <v>4</v>
      </c>
      <c r="AF1180">
        <v>2</v>
      </c>
      <c r="AG1180">
        <v>3</v>
      </c>
      <c r="AH1180">
        <v>3</v>
      </c>
      <c r="AI1180">
        <v>3</v>
      </c>
      <c r="AJ1180">
        <v>4</v>
      </c>
      <c r="AK1180" t="b">
        <f>Table67[[#This Row],[What is your age?]]&lt;&gt;"18 - 25"</f>
        <v>0</v>
      </c>
      <c r="AL1180" t="b">
        <f t="shared" si="72"/>
        <v>0</v>
      </c>
      <c r="AM1180" t="b">
        <f t="shared" si="73"/>
        <v>0</v>
      </c>
      <c r="AN1180" t="b">
        <f t="shared" si="74"/>
        <v>0</v>
      </c>
      <c r="AO1180" t="b">
        <f>OR(Table67[[#This Row],[Ineligible respondents]:[Inconsistent response on opposite question (3)]])</f>
        <v>0</v>
      </c>
      <c r="AP118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180">
        <f>Table67[[#This Row],[Extreme Response]]/21</f>
        <v>0.23809523809523808</v>
      </c>
      <c r="AR1180">
        <f>_xlfn.PERCENTILE.INC(Table67[Extrem Response Ratio (ERS)],0.9)</f>
        <v>0.61904761904761907</v>
      </c>
      <c r="AS1180" t="b">
        <f>Table67[[#This Row],[Extrem Response Ratio (ERS)]]&gt;=Table67[[#This Row],[Threshold of ERS]]</f>
        <v>0</v>
      </c>
      <c r="AT1180">
        <f>COUNTIF(Table67[[#This Row],[The mechanism of digital assets is difficult to understand, which discourages me from exploring it (E.g, Tokenization, Blockchain)]:[If I want to try different ways to invest, I will explore digital assets.]], 3)</f>
        <v>4</v>
      </c>
      <c r="AU1180">
        <f>Table67[[#This Row],[Midpoint]]/21</f>
        <v>0.19047619047619047</v>
      </c>
      <c r="AV1180">
        <f>_xlfn.PERCENTILE.INC(Table67[Midpoint ratio],0.9)</f>
        <v>0.5714285714285714</v>
      </c>
      <c r="AW1180" t="b">
        <f>Table67[[#This Row],[Midpoint ratio]]&gt;=Table67[[#This Row],[Threshold of Midpoint ratio]]</f>
        <v>0</v>
      </c>
      <c r="AX1180" t="b">
        <f>OR(Table67[[#This Row],[Extreme Response Style]],Table67[[#This Row],[Mid-point Response Style]])</f>
        <v>0</v>
      </c>
      <c r="AY1180" t="b">
        <f>OR(Table67[[#This Row],[Delete? (Stage 1)]],Table67[[#This Row],[Delete? (Stage 2)]])</f>
        <v>0</v>
      </c>
      <c r="AZ1180" t="s">
        <v>84</v>
      </c>
    </row>
    <row r="1181" spans="1:52">
      <c r="A1181">
        <f t="shared" si="75"/>
        <v>1180</v>
      </c>
      <c r="B1181" s="3">
        <v>46056.904803240701</v>
      </c>
      <c r="C1181" s="3">
        <v>46056.906192129602</v>
      </c>
      <c r="D1181" t="s">
        <v>53</v>
      </c>
      <c r="G1181" t="s">
        <v>54</v>
      </c>
      <c r="H1181" t="s">
        <v>55</v>
      </c>
      <c r="I1181" t="s">
        <v>56</v>
      </c>
      <c r="J1181" t="s">
        <v>64</v>
      </c>
      <c r="K1181" t="s">
        <v>62</v>
      </c>
      <c r="L1181" t="s">
        <v>58</v>
      </c>
      <c r="M1181" t="s">
        <v>58</v>
      </c>
      <c r="N1181">
        <v>4</v>
      </c>
      <c r="O1181">
        <v>1</v>
      </c>
      <c r="P1181">
        <v>5</v>
      </c>
      <c r="Q1181">
        <v>3</v>
      </c>
      <c r="R1181">
        <v>5</v>
      </c>
      <c r="S1181">
        <v>5</v>
      </c>
      <c r="T1181">
        <v>4</v>
      </c>
      <c r="U1181">
        <v>4</v>
      </c>
      <c r="V1181">
        <v>5</v>
      </c>
      <c r="W1181">
        <v>4</v>
      </c>
      <c r="X1181">
        <v>5</v>
      </c>
      <c r="Y1181">
        <v>4</v>
      </c>
      <c r="Z1181">
        <v>5</v>
      </c>
      <c r="AA1181">
        <v>5</v>
      </c>
      <c r="AB1181">
        <v>5</v>
      </c>
      <c r="AC1181">
        <v>4</v>
      </c>
      <c r="AD1181">
        <v>5</v>
      </c>
      <c r="AE1181">
        <v>1</v>
      </c>
      <c r="AF1181">
        <v>3</v>
      </c>
      <c r="AG1181">
        <v>3</v>
      </c>
      <c r="AH1181">
        <v>4</v>
      </c>
      <c r="AI1181">
        <v>2</v>
      </c>
      <c r="AJ1181">
        <v>3</v>
      </c>
      <c r="AK1181" t="b">
        <f>Table67[[#This Row],[What is your age?]]&lt;&gt;"18 - 25"</f>
        <v>0</v>
      </c>
      <c r="AL1181" t="b">
        <f t="shared" si="72"/>
        <v>0</v>
      </c>
      <c r="AM1181" t="b">
        <f t="shared" si="73"/>
        <v>0</v>
      </c>
      <c r="AN1181" t="b">
        <f t="shared" si="74"/>
        <v>1</v>
      </c>
      <c r="AO1181" t="b">
        <f>OR(Table67[[#This Row],[Ineligible respondents]:[Inconsistent response on opposite question (3)]])</f>
        <v>1</v>
      </c>
      <c r="AP118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1181">
        <f>Table67[[#This Row],[Extreme Response]]/21</f>
        <v>0.52380952380952384</v>
      </c>
      <c r="AR1181">
        <f>_xlfn.PERCENTILE.INC(Table67[Extrem Response Ratio (ERS)],0.9)</f>
        <v>0.61904761904761907</v>
      </c>
      <c r="AS1181" t="b">
        <f>Table67[[#This Row],[Extrem Response Ratio (ERS)]]&gt;=Table67[[#This Row],[Threshold of ERS]]</f>
        <v>0</v>
      </c>
      <c r="AT1181">
        <f>COUNTIF(Table67[[#This Row],[The mechanism of digital assets is difficult to understand, which discourages me from exploring it (E.g, Tokenization, Blockchain)]:[If I want to try different ways to invest, I will explore digital assets.]], 3)</f>
        <v>3</v>
      </c>
      <c r="AU1181">
        <f>Table67[[#This Row],[Midpoint]]/21</f>
        <v>0.14285714285714285</v>
      </c>
      <c r="AV1181">
        <f>_xlfn.PERCENTILE.INC(Table67[Midpoint ratio],0.9)</f>
        <v>0.5714285714285714</v>
      </c>
      <c r="AW1181" t="b">
        <f>Table67[[#This Row],[Midpoint ratio]]&gt;=Table67[[#This Row],[Threshold of Midpoint ratio]]</f>
        <v>0</v>
      </c>
      <c r="AX1181" t="b">
        <f>OR(Table67[[#This Row],[Extreme Response Style]],Table67[[#This Row],[Mid-point Response Style]])</f>
        <v>0</v>
      </c>
      <c r="AY1181" t="b">
        <f>OR(Table67[[#This Row],[Delete? (Stage 1)]],Table67[[#This Row],[Delete? (Stage 2)]])</f>
        <v>1</v>
      </c>
      <c r="AZ1181" t="s">
        <v>84</v>
      </c>
    </row>
    <row r="1182" spans="1:52">
      <c r="A1182">
        <f t="shared" si="75"/>
        <v>1181</v>
      </c>
      <c r="B1182" s="3">
        <v>46056.906041666698</v>
      </c>
      <c r="C1182" s="3">
        <v>46056.910833333299</v>
      </c>
      <c r="D1182" t="s">
        <v>53</v>
      </c>
      <c r="G1182" t="s">
        <v>54</v>
      </c>
      <c r="H1182" t="s">
        <v>63</v>
      </c>
      <c r="I1182" t="s">
        <v>82</v>
      </c>
      <c r="J1182" t="s">
        <v>68</v>
      </c>
      <c r="K1182" t="s">
        <v>62</v>
      </c>
      <c r="L1182" t="s">
        <v>61</v>
      </c>
      <c r="M1182" t="s">
        <v>61</v>
      </c>
      <c r="N1182">
        <v>1</v>
      </c>
      <c r="O1182">
        <v>1</v>
      </c>
      <c r="P1182">
        <v>1</v>
      </c>
      <c r="Q1182">
        <v>1</v>
      </c>
      <c r="R1182">
        <v>1</v>
      </c>
      <c r="S1182">
        <v>1</v>
      </c>
      <c r="T1182">
        <v>1</v>
      </c>
      <c r="U1182">
        <v>1</v>
      </c>
      <c r="V1182">
        <v>2</v>
      </c>
      <c r="W1182">
        <v>1</v>
      </c>
      <c r="X1182">
        <v>1</v>
      </c>
      <c r="Y1182">
        <v>1</v>
      </c>
      <c r="Z1182">
        <v>5</v>
      </c>
      <c r="AA1182">
        <v>1</v>
      </c>
      <c r="AB1182">
        <v>1</v>
      </c>
      <c r="AC1182">
        <v>1</v>
      </c>
      <c r="AD1182">
        <v>1</v>
      </c>
      <c r="AE1182">
        <v>1</v>
      </c>
      <c r="AF1182">
        <v>5</v>
      </c>
      <c r="AG1182">
        <v>1</v>
      </c>
      <c r="AH1182">
        <v>5</v>
      </c>
      <c r="AI1182">
        <v>1</v>
      </c>
      <c r="AJ1182">
        <v>1</v>
      </c>
      <c r="AK1182" t="b">
        <f>Table67[[#This Row],[What is your age?]]&lt;&gt;"18 - 25"</f>
        <v>0</v>
      </c>
      <c r="AL1182" t="b">
        <f t="shared" si="72"/>
        <v>0</v>
      </c>
      <c r="AM1182" t="b">
        <f t="shared" si="73"/>
        <v>0</v>
      </c>
      <c r="AN1182" t="b">
        <f t="shared" si="74"/>
        <v>0</v>
      </c>
      <c r="AO1182" t="b">
        <f>OR(Table67[[#This Row],[Ineligible respondents]:[Inconsistent response on opposite question (3)]])</f>
        <v>0</v>
      </c>
      <c r="AP118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20</v>
      </c>
      <c r="AQ1182">
        <f>Table67[[#This Row],[Extreme Response]]/21</f>
        <v>0.95238095238095233</v>
      </c>
      <c r="AR1182">
        <f>_xlfn.PERCENTILE.INC(Table67[Extrem Response Ratio (ERS)],0.9)</f>
        <v>0.61904761904761907</v>
      </c>
      <c r="AS1182" t="b">
        <f>Table67[[#This Row],[Extrem Response Ratio (ERS)]]&gt;=Table67[[#This Row],[Threshold of ERS]]</f>
        <v>1</v>
      </c>
      <c r="AT1182">
        <f>COUNTIF(Table67[[#This Row],[The mechanism of digital assets is difficult to understand, which discourages me from exploring it (E.g, Tokenization, Blockchain)]:[If I want to try different ways to invest, I will explore digital assets.]], 3)</f>
        <v>0</v>
      </c>
      <c r="AU1182">
        <f>Table67[[#This Row],[Midpoint]]/21</f>
        <v>0</v>
      </c>
      <c r="AV1182">
        <f>_xlfn.PERCENTILE.INC(Table67[Midpoint ratio],0.9)</f>
        <v>0.5714285714285714</v>
      </c>
      <c r="AW1182" t="b">
        <f>Table67[[#This Row],[Midpoint ratio]]&gt;=Table67[[#This Row],[Threshold of Midpoint ratio]]</f>
        <v>0</v>
      </c>
      <c r="AX1182" t="b">
        <f>OR(Table67[[#This Row],[Extreme Response Style]],Table67[[#This Row],[Mid-point Response Style]])</f>
        <v>1</v>
      </c>
      <c r="AY1182" t="b">
        <f>OR(Table67[[#This Row],[Delete? (Stage 1)]],Table67[[#This Row],[Delete? (Stage 2)]])</f>
        <v>1</v>
      </c>
      <c r="AZ1182" t="s">
        <v>84</v>
      </c>
    </row>
    <row r="1183" spans="1:52">
      <c r="A1183">
        <f t="shared" si="75"/>
        <v>1182</v>
      </c>
      <c r="B1183" s="3">
        <v>46056.906076388899</v>
      </c>
      <c r="C1183" s="3">
        <v>46056.909317129597</v>
      </c>
      <c r="D1183" t="s">
        <v>53</v>
      </c>
      <c r="G1183" t="s">
        <v>54</v>
      </c>
      <c r="H1183" t="s">
        <v>55</v>
      </c>
      <c r="I1183" t="s">
        <v>56</v>
      </c>
      <c r="J1183" t="s">
        <v>67</v>
      </c>
      <c r="K1183" t="s">
        <v>62</v>
      </c>
      <c r="L1183" t="s">
        <v>58</v>
      </c>
      <c r="M1183" t="s">
        <v>58</v>
      </c>
      <c r="N1183">
        <v>3</v>
      </c>
      <c r="O1183">
        <v>1</v>
      </c>
      <c r="P1183">
        <v>4</v>
      </c>
      <c r="Q1183">
        <v>4</v>
      </c>
      <c r="R1183">
        <v>2</v>
      </c>
      <c r="S1183">
        <v>2</v>
      </c>
      <c r="T1183">
        <v>2</v>
      </c>
      <c r="U1183">
        <v>1</v>
      </c>
      <c r="V1183">
        <v>1</v>
      </c>
      <c r="W1183">
        <v>4</v>
      </c>
      <c r="X1183">
        <v>2</v>
      </c>
      <c r="Y1183">
        <v>1</v>
      </c>
      <c r="Z1183">
        <v>1</v>
      </c>
      <c r="AA1183">
        <v>3</v>
      </c>
      <c r="AB1183">
        <v>1</v>
      </c>
      <c r="AC1183">
        <v>1</v>
      </c>
      <c r="AD1183">
        <v>4</v>
      </c>
      <c r="AE1183">
        <v>5</v>
      </c>
      <c r="AF1183">
        <v>5</v>
      </c>
      <c r="AG1183">
        <v>3</v>
      </c>
      <c r="AH1183">
        <v>5</v>
      </c>
      <c r="AI1183">
        <v>1</v>
      </c>
      <c r="AJ1183">
        <v>1</v>
      </c>
      <c r="AK1183" t="b">
        <f>Table67[[#This Row],[What is your age?]]&lt;&gt;"18 - 25"</f>
        <v>0</v>
      </c>
      <c r="AL1183" t="b">
        <f t="shared" si="72"/>
        <v>0</v>
      </c>
      <c r="AM1183" t="b">
        <f t="shared" si="73"/>
        <v>0</v>
      </c>
      <c r="AN1183" t="b">
        <f t="shared" si="74"/>
        <v>1</v>
      </c>
      <c r="AO1183" t="b">
        <f>OR(Table67[[#This Row],[Ineligible respondents]:[Inconsistent response on opposite question (3)]])</f>
        <v>1</v>
      </c>
      <c r="AP118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10</v>
      </c>
      <c r="AQ1183">
        <f>Table67[[#This Row],[Extreme Response]]/21</f>
        <v>0.47619047619047616</v>
      </c>
      <c r="AR1183">
        <f>_xlfn.PERCENTILE.INC(Table67[Extrem Response Ratio (ERS)],0.9)</f>
        <v>0.61904761904761907</v>
      </c>
      <c r="AS1183" t="b">
        <f>Table67[[#This Row],[Extrem Response Ratio (ERS)]]&gt;=Table67[[#This Row],[Threshold of ERS]]</f>
        <v>0</v>
      </c>
      <c r="AT1183">
        <f>COUNTIF(Table67[[#This Row],[The mechanism of digital assets is difficult to understand, which discourages me from exploring it (E.g, Tokenization, Blockchain)]:[If I want to try different ways to invest, I will explore digital assets.]], 3)</f>
        <v>3</v>
      </c>
      <c r="AU1183">
        <f>Table67[[#This Row],[Midpoint]]/21</f>
        <v>0.14285714285714285</v>
      </c>
      <c r="AV1183">
        <f>_xlfn.PERCENTILE.INC(Table67[Midpoint ratio],0.9)</f>
        <v>0.5714285714285714</v>
      </c>
      <c r="AW1183" t="b">
        <f>Table67[[#This Row],[Midpoint ratio]]&gt;=Table67[[#This Row],[Threshold of Midpoint ratio]]</f>
        <v>0</v>
      </c>
      <c r="AX1183" t="b">
        <f>OR(Table67[[#This Row],[Extreme Response Style]],Table67[[#This Row],[Mid-point Response Style]])</f>
        <v>0</v>
      </c>
      <c r="AY1183" t="b">
        <f>OR(Table67[[#This Row],[Delete? (Stage 1)]],Table67[[#This Row],[Delete? (Stage 2)]])</f>
        <v>1</v>
      </c>
      <c r="AZ1183" t="s">
        <v>84</v>
      </c>
    </row>
    <row r="1184" spans="1:52">
      <c r="A1184">
        <f t="shared" si="75"/>
        <v>1183</v>
      </c>
      <c r="B1184" s="3">
        <v>46056.906122685199</v>
      </c>
      <c r="C1184" s="3">
        <v>46056.9370486111</v>
      </c>
      <c r="D1184" t="s">
        <v>53</v>
      </c>
      <c r="G1184" t="s">
        <v>54</v>
      </c>
      <c r="H1184" t="s">
        <v>55</v>
      </c>
      <c r="I1184" t="s">
        <v>71</v>
      </c>
      <c r="J1184" t="s">
        <v>57</v>
      </c>
      <c r="K1184" t="s">
        <v>62</v>
      </c>
      <c r="L1184" t="s">
        <v>58</v>
      </c>
      <c r="M1184" t="s">
        <v>58</v>
      </c>
      <c r="N1184">
        <v>4</v>
      </c>
      <c r="O1184">
        <v>2</v>
      </c>
      <c r="P1184">
        <v>1</v>
      </c>
      <c r="Q1184">
        <v>3</v>
      </c>
      <c r="R1184">
        <v>1</v>
      </c>
      <c r="S1184">
        <v>2</v>
      </c>
      <c r="T1184">
        <v>2</v>
      </c>
      <c r="U1184">
        <v>2</v>
      </c>
      <c r="V1184">
        <v>2</v>
      </c>
      <c r="W1184">
        <v>4</v>
      </c>
      <c r="X1184">
        <v>2</v>
      </c>
      <c r="Y1184">
        <v>5</v>
      </c>
      <c r="Z1184">
        <v>4</v>
      </c>
      <c r="AA1184">
        <v>3</v>
      </c>
      <c r="AB1184">
        <v>1</v>
      </c>
      <c r="AC1184">
        <v>1</v>
      </c>
      <c r="AD1184">
        <v>4</v>
      </c>
      <c r="AE1184">
        <v>3</v>
      </c>
      <c r="AF1184">
        <v>4</v>
      </c>
      <c r="AG1184">
        <v>2</v>
      </c>
      <c r="AH1184">
        <v>3</v>
      </c>
      <c r="AI1184">
        <v>3</v>
      </c>
      <c r="AJ1184">
        <v>2</v>
      </c>
      <c r="AK1184" t="b">
        <f>Table67[[#This Row],[What is your age?]]&lt;&gt;"18 - 25"</f>
        <v>0</v>
      </c>
      <c r="AL1184" t="b">
        <f t="shared" si="72"/>
        <v>0</v>
      </c>
      <c r="AM1184" t="b">
        <f t="shared" si="73"/>
        <v>0</v>
      </c>
      <c r="AN1184" t="b">
        <f t="shared" si="74"/>
        <v>1</v>
      </c>
      <c r="AO1184" t="b">
        <f>OR(Table67[[#This Row],[Ineligible respondents]:[Inconsistent response on opposite question (3)]])</f>
        <v>1</v>
      </c>
      <c r="AP118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184">
        <f>Table67[[#This Row],[Extreme Response]]/21</f>
        <v>0.23809523809523808</v>
      </c>
      <c r="AR1184">
        <f>_xlfn.PERCENTILE.INC(Table67[Extrem Response Ratio (ERS)],0.9)</f>
        <v>0.61904761904761907</v>
      </c>
      <c r="AS1184" t="b">
        <f>Table67[[#This Row],[Extrem Response Ratio (ERS)]]&gt;=Table67[[#This Row],[Threshold of ERS]]</f>
        <v>0</v>
      </c>
      <c r="AT1184">
        <f>COUNTIF(Table67[[#This Row],[The mechanism of digital assets is difficult to understand, which discourages me from exploring it (E.g, Tokenization, Blockchain)]:[If I want to try different ways to invest, I will explore digital assets.]], 3)</f>
        <v>4</v>
      </c>
      <c r="AU1184">
        <f>Table67[[#This Row],[Midpoint]]/21</f>
        <v>0.19047619047619047</v>
      </c>
      <c r="AV1184">
        <f>_xlfn.PERCENTILE.INC(Table67[Midpoint ratio],0.9)</f>
        <v>0.5714285714285714</v>
      </c>
      <c r="AW1184" t="b">
        <f>Table67[[#This Row],[Midpoint ratio]]&gt;=Table67[[#This Row],[Threshold of Midpoint ratio]]</f>
        <v>0</v>
      </c>
      <c r="AX1184" t="b">
        <f>OR(Table67[[#This Row],[Extreme Response Style]],Table67[[#This Row],[Mid-point Response Style]])</f>
        <v>0</v>
      </c>
      <c r="AY1184" t="b">
        <f>OR(Table67[[#This Row],[Delete? (Stage 1)]],Table67[[#This Row],[Delete? (Stage 2)]])</f>
        <v>1</v>
      </c>
      <c r="AZ1184" t="s">
        <v>84</v>
      </c>
    </row>
    <row r="1185" spans="1:52">
      <c r="A1185">
        <f t="shared" si="75"/>
        <v>1184</v>
      </c>
      <c r="B1185" s="3">
        <v>46056.906134259298</v>
      </c>
      <c r="C1185" s="3">
        <v>46056.910162036998</v>
      </c>
      <c r="D1185" t="s">
        <v>53</v>
      </c>
      <c r="G1185" t="s">
        <v>54</v>
      </c>
      <c r="H1185" t="s">
        <v>55</v>
      </c>
      <c r="I1185" t="s">
        <v>71</v>
      </c>
      <c r="J1185" t="s">
        <v>62</v>
      </c>
      <c r="K1185" t="s">
        <v>62</v>
      </c>
      <c r="L1185" t="s">
        <v>58</v>
      </c>
      <c r="M1185" t="s">
        <v>58</v>
      </c>
      <c r="N1185">
        <v>4</v>
      </c>
      <c r="O1185">
        <v>4</v>
      </c>
      <c r="P1185">
        <v>5</v>
      </c>
      <c r="Q1185">
        <v>5</v>
      </c>
      <c r="R1185">
        <v>5</v>
      </c>
      <c r="S1185">
        <v>5</v>
      </c>
      <c r="T1185">
        <v>1</v>
      </c>
      <c r="U1185">
        <v>4</v>
      </c>
      <c r="V1185">
        <v>5</v>
      </c>
      <c r="W1185">
        <v>5</v>
      </c>
      <c r="X1185">
        <v>4</v>
      </c>
      <c r="Y1185">
        <v>4</v>
      </c>
      <c r="Z1185">
        <v>5</v>
      </c>
      <c r="AA1185">
        <v>5</v>
      </c>
      <c r="AB1185">
        <v>5</v>
      </c>
      <c r="AC1185">
        <v>4</v>
      </c>
      <c r="AD1185">
        <v>2</v>
      </c>
      <c r="AE1185">
        <v>5</v>
      </c>
      <c r="AF1185">
        <v>4</v>
      </c>
      <c r="AG1185">
        <v>4</v>
      </c>
      <c r="AH1185">
        <v>4</v>
      </c>
      <c r="AI1185">
        <v>2</v>
      </c>
      <c r="AJ1185">
        <v>2</v>
      </c>
      <c r="AK1185" t="b">
        <f>Table67[[#This Row],[What is your age?]]&lt;&gt;"18 - 25"</f>
        <v>0</v>
      </c>
      <c r="AL1185" t="b">
        <f t="shared" si="72"/>
        <v>0</v>
      </c>
      <c r="AM1185" t="b">
        <f t="shared" si="73"/>
        <v>1</v>
      </c>
      <c r="AN1185" t="b">
        <f t="shared" si="74"/>
        <v>0</v>
      </c>
      <c r="AO1185" t="b">
        <f>OR(Table67[[#This Row],[Ineligible respondents]:[Inconsistent response on opposite question (3)]])</f>
        <v>1</v>
      </c>
      <c r="AP118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1185">
        <f>Table67[[#This Row],[Extreme Response]]/21</f>
        <v>0.52380952380952384</v>
      </c>
      <c r="AR1185">
        <f>_xlfn.PERCENTILE.INC(Table67[Extrem Response Ratio (ERS)],0.9)</f>
        <v>0.61904761904761907</v>
      </c>
      <c r="AS1185" t="b">
        <f>Table67[[#This Row],[Extrem Response Ratio (ERS)]]&gt;=Table67[[#This Row],[Threshold of ERS]]</f>
        <v>0</v>
      </c>
      <c r="AT1185">
        <f>COUNTIF(Table67[[#This Row],[The mechanism of digital assets is difficult to understand, which discourages me from exploring it (E.g, Tokenization, Blockchain)]:[If I want to try different ways to invest, I will explore digital assets.]], 3)</f>
        <v>0</v>
      </c>
      <c r="AU1185">
        <f>Table67[[#This Row],[Midpoint]]/21</f>
        <v>0</v>
      </c>
      <c r="AV1185">
        <f>_xlfn.PERCENTILE.INC(Table67[Midpoint ratio],0.9)</f>
        <v>0.5714285714285714</v>
      </c>
      <c r="AW1185" t="b">
        <f>Table67[[#This Row],[Midpoint ratio]]&gt;=Table67[[#This Row],[Threshold of Midpoint ratio]]</f>
        <v>0</v>
      </c>
      <c r="AX1185" t="b">
        <f>OR(Table67[[#This Row],[Extreme Response Style]],Table67[[#This Row],[Mid-point Response Style]])</f>
        <v>0</v>
      </c>
      <c r="AY1185" t="b">
        <f>OR(Table67[[#This Row],[Delete? (Stage 1)]],Table67[[#This Row],[Delete? (Stage 2)]])</f>
        <v>1</v>
      </c>
      <c r="AZ1185" t="s">
        <v>84</v>
      </c>
    </row>
    <row r="1186" spans="1:52">
      <c r="A1186">
        <f t="shared" si="75"/>
        <v>1185</v>
      </c>
      <c r="B1186" s="3">
        <v>46056.906493055598</v>
      </c>
      <c r="C1186" s="3">
        <v>46056.9086342593</v>
      </c>
      <c r="D1186" t="s">
        <v>53</v>
      </c>
      <c r="G1186" t="s">
        <v>54</v>
      </c>
      <c r="H1186" t="s">
        <v>55</v>
      </c>
      <c r="I1186" t="s">
        <v>71</v>
      </c>
      <c r="J1186" t="s">
        <v>62</v>
      </c>
      <c r="K1186" t="s">
        <v>64</v>
      </c>
      <c r="L1186" t="s">
        <v>58</v>
      </c>
      <c r="M1186" t="s">
        <v>61</v>
      </c>
      <c r="N1186">
        <v>3</v>
      </c>
      <c r="O1186">
        <v>2</v>
      </c>
      <c r="P1186">
        <v>4</v>
      </c>
      <c r="Q1186">
        <v>4</v>
      </c>
      <c r="R1186">
        <v>2</v>
      </c>
      <c r="S1186">
        <v>3</v>
      </c>
      <c r="T1186">
        <v>2</v>
      </c>
      <c r="U1186">
        <v>3</v>
      </c>
      <c r="V1186">
        <v>2</v>
      </c>
      <c r="W1186">
        <v>1</v>
      </c>
      <c r="X1186">
        <v>1</v>
      </c>
      <c r="Y1186">
        <v>2</v>
      </c>
      <c r="Z1186">
        <v>4</v>
      </c>
      <c r="AA1186">
        <v>4</v>
      </c>
      <c r="AB1186">
        <v>4</v>
      </c>
      <c r="AC1186">
        <v>2</v>
      </c>
      <c r="AD1186">
        <v>3</v>
      </c>
      <c r="AE1186">
        <v>2</v>
      </c>
      <c r="AF1186">
        <v>5</v>
      </c>
      <c r="AG1186">
        <v>3</v>
      </c>
      <c r="AH1186">
        <v>4</v>
      </c>
      <c r="AI1186">
        <v>2</v>
      </c>
      <c r="AJ1186">
        <v>1</v>
      </c>
      <c r="AK1186" t="b">
        <f>Table67[[#This Row],[What is your age?]]&lt;&gt;"18 - 25"</f>
        <v>0</v>
      </c>
      <c r="AL1186" t="b">
        <f t="shared" si="72"/>
        <v>0</v>
      </c>
      <c r="AM1186" t="b">
        <f t="shared" si="73"/>
        <v>0</v>
      </c>
      <c r="AN1186" t="b">
        <f t="shared" si="74"/>
        <v>1</v>
      </c>
      <c r="AO1186" t="b">
        <f>OR(Table67[[#This Row],[Ineligible respondents]:[Inconsistent response on opposite question (3)]])</f>
        <v>1</v>
      </c>
      <c r="AP118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186">
        <f>Table67[[#This Row],[Extreme Response]]/21</f>
        <v>0.14285714285714285</v>
      </c>
      <c r="AR1186">
        <f>_xlfn.PERCENTILE.INC(Table67[Extrem Response Ratio (ERS)],0.9)</f>
        <v>0.61904761904761907</v>
      </c>
      <c r="AS1186" t="b">
        <f>Table67[[#This Row],[Extrem Response Ratio (ERS)]]&gt;=Table67[[#This Row],[Threshold of ERS]]</f>
        <v>0</v>
      </c>
      <c r="AT1186">
        <f>COUNTIF(Table67[[#This Row],[The mechanism of digital assets is difficult to understand, which discourages me from exploring it (E.g, Tokenization, Blockchain)]:[If I want to try different ways to invest, I will explore digital assets.]], 3)</f>
        <v>5</v>
      </c>
      <c r="AU1186">
        <f>Table67[[#This Row],[Midpoint]]/21</f>
        <v>0.23809523809523808</v>
      </c>
      <c r="AV1186">
        <f>_xlfn.PERCENTILE.INC(Table67[Midpoint ratio],0.9)</f>
        <v>0.5714285714285714</v>
      </c>
      <c r="AW1186" t="b">
        <f>Table67[[#This Row],[Midpoint ratio]]&gt;=Table67[[#This Row],[Threshold of Midpoint ratio]]</f>
        <v>0</v>
      </c>
      <c r="AX1186" t="b">
        <f>OR(Table67[[#This Row],[Extreme Response Style]],Table67[[#This Row],[Mid-point Response Style]])</f>
        <v>0</v>
      </c>
      <c r="AY1186" t="b">
        <f>OR(Table67[[#This Row],[Delete? (Stage 1)]],Table67[[#This Row],[Delete? (Stage 2)]])</f>
        <v>1</v>
      </c>
      <c r="AZ1186" t="s">
        <v>84</v>
      </c>
    </row>
    <row r="1187" spans="1:52">
      <c r="A1187">
        <f t="shared" si="75"/>
        <v>1186</v>
      </c>
      <c r="B1187" s="3">
        <v>46056.906597222202</v>
      </c>
      <c r="C1187" s="3">
        <v>46056.9121296296</v>
      </c>
      <c r="D1187" t="s">
        <v>53</v>
      </c>
      <c r="G1187" t="s">
        <v>54</v>
      </c>
      <c r="H1187" t="s">
        <v>55</v>
      </c>
      <c r="I1187" t="s">
        <v>75</v>
      </c>
      <c r="J1187" t="s">
        <v>62</v>
      </c>
      <c r="K1187" t="s">
        <v>57</v>
      </c>
      <c r="L1187" t="s">
        <v>58</v>
      </c>
      <c r="M1187" t="s">
        <v>58</v>
      </c>
      <c r="N1187">
        <v>4</v>
      </c>
      <c r="O1187">
        <v>1</v>
      </c>
      <c r="P1187">
        <v>3</v>
      </c>
      <c r="Q1187">
        <v>3</v>
      </c>
      <c r="R1187">
        <v>4</v>
      </c>
      <c r="S1187">
        <v>5</v>
      </c>
      <c r="T1187">
        <v>4</v>
      </c>
      <c r="U1187">
        <v>5</v>
      </c>
      <c r="V1187">
        <v>3</v>
      </c>
      <c r="W1187">
        <v>2</v>
      </c>
      <c r="X1187">
        <v>4</v>
      </c>
      <c r="Y1187">
        <v>4</v>
      </c>
      <c r="Z1187">
        <v>4</v>
      </c>
      <c r="AA1187">
        <v>4</v>
      </c>
      <c r="AB1187">
        <v>4</v>
      </c>
      <c r="AC1187">
        <v>3</v>
      </c>
      <c r="AD1187">
        <v>5</v>
      </c>
      <c r="AE1187">
        <v>4</v>
      </c>
      <c r="AF1187">
        <v>2</v>
      </c>
      <c r="AG1187">
        <v>4</v>
      </c>
      <c r="AH1187">
        <v>4</v>
      </c>
      <c r="AI1187">
        <v>2</v>
      </c>
      <c r="AJ1187">
        <v>4</v>
      </c>
      <c r="AK1187" t="b">
        <f>Table67[[#This Row],[What is your age?]]&lt;&gt;"18 - 25"</f>
        <v>0</v>
      </c>
      <c r="AL1187" t="b">
        <f t="shared" si="72"/>
        <v>0</v>
      </c>
      <c r="AM1187" t="b">
        <f t="shared" si="73"/>
        <v>1</v>
      </c>
      <c r="AN1187" t="b">
        <f t="shared" si="74"/>
        <v>0</v>
      </c>
      <c r="AO1187" t="b">
        <f>OR(Table67[[#This Row],[Ineligible respondents]:[Inconsistent response on opposite question (3)]])</f>
        <v>1</v>
      </c>
      <c r="AP118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187">
        <f>Table67[[#This Row],[Extreme Response]]/21</f>
        <v>0.19047619047619047</v>
      </c>
      <c r="AR1187">
        <f>_xlfn.PERCENTILE.INC(Table67[Extrem Response Ratio (ERS)],0.9)</f>
        <v>0.61904761904761907</v>
      </c>
      <c r="AS1187" t="b">
        <f>Table67[[#This Row],[Extrem Response Ratio (ERS)]]&gt;=Table67[[#This Row],[Threshold of ERS]]</f>
        <v>0</v>
      </c>
      <c r="AT1187">
        <f>COUNTIF(Table67[[#This Row],[The mechanism of digital assets is difficult to understand, which discourages me from exploring it (E.g, Tokenization, Blockchain)]:[If I want to try different ways to invest, I will explore digital assets.]], 3)</f>
        <v>4</v>
      </c>
      <c r="AU1187">
        <f>Table67[[#This Row],[Midpoint]]/21</f>
        <v>0.19047619047619047</v>
      </c>
      <c r="AV1187">
        <f>_xlfn.PERCENTILE.INC(Table67[Midpoint ratio],0.9)</f>
        <v>0.5714285714285714</v>
      </c>
      <c r="AW1187" t="b">
        <f>Table67[[#This Row],[Midpoint ratio]]&gt;=Table67[[#This Row],[Threshold of Midpoint ratio]]</f>
        <v>0</v>
      </c>
      <c r="AX1187" t="b">
        <f>OR(Table67[[#This Row],[Extreme Response Style]],Table67[[#This Row],[Mid-point Response Style]])</f>
        <v>0</v>
      </c>
      <c r="AY1187" t="b">
        <f>OR(Table67[[#This Row],[Delete? (Stage 1)]],Table67[[#This Row],[Delete? (Stage 2)]])</f>
        <v>1</v>
      </c>
      <c r="AZ1187" t="s">
        <v>84</v>
      </c>
    </row>
    <row r="1188" spans="1:52">
      <c r="A1188">
        <f t="shared" si="75"/>
        <v>1187</v>
      </c>
      <c r="B1188" s="3">
        <v>46056.907291666699</v>
      </c>
      <c r="C1188" s="3">
        <v>46056.909965277802</v>
      </c>
      <c r="D1188" t="s">
        <v>53</v>
      </c>
      <c r="G1188" t="s">
        <v>54</v>
      </c>
      <c r="H1188" t="s">
        <v>55</v>
      </c>
      <c r="I1188" t="s">
        <v>75</v>
      </c>
      <c r="J1188" t="s">
        <v>60</v>
      </c>
      <c r="K1188" t="s">
        <v>62</v>
      </c>
      <c r="L1188" t="s">
        <v>58</v>
      </c>
      <c r="M1188" t="s">
        <v>61</v>
      </c>
      <c r="N1188">
        <v>3</v>
      </c>
      <c r="O1188">
        <v>2</v>
      </c>
      <c r="P1188">
        <v>2</v>
      </c>
      <c r="Q1188">
        <v>2</v>
      </c>
      <c r="R1188">
        <v>1</v>
      </c>
      <c r="S1188">
        <v>2</v>
      </c>
      <c r="T1188">
        <v>3</v>
      </c>
      <c r="U1188">
        <v>3</v>
      </c>
      <c r="V1188">
        <v>5</v>
      </c>
      <c r="W1188">
        <v>5</v>
      </c>
      <c r="X1188">
        <v>4</v>
      </c>
      <c r="Y1188">
        <v>5</v>
      </c>
      <c r="Z1188">
        <v>5</v>
      </c>
      <c r="AA1188">
        <v>4</v>
      </c>
      <c r="AB1188">
        <v>2</v>
      </c>
      <c r="AC1188">
        <v>3</v>
      </c>
      <c r="AD1188">
        <v>4</v>
      </c>
      <c r="AE1188">
        <v>2</v>
      </c>
      <c r="AF1188">
        <v>3</v>
      </c>
      <c r="AG1188">
        <v>2</v>
      </c>
      <c r="AH1188">
        <v>4</v>
      </c>
      <c r="AI1188">
        <v>2</v>
      </c>
      <c r="AJ1188">
        <v>3</v>
      </c>
      <c r="AK1188" t="b">
        <f>Table67[[#This Row],[What is your age?]]&lt;&gt;"18 - 25"</f>
        <v>0</v>
      </c>
      <c r="AL1188" t="b">
        <f t="shared" si="72"/>
        <v>0</v>
      </c>
      <c r="AM1188" t="b">
        <f t="shared" si="73"/>
        <v>0</v>
      </c>
      <c r="AN1188" t="b">
        <f t="shared" si="74"/>
        <v>0</v>
      </c>
      <c r="AO1188" t="b">
        <f>OR(Table67[[#This Row],[Ineligible respondents]:[Inconsistent response on opposite question (3)]])</f>
        <v>0</v>
      </c>
      <c r="AP118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188">
        <f>Table67[[#This Row],[Extreme Response]]/21</f>
        <v>0.23809523809523808</v>
      </c>
      <c r="AR1188">
        <f>_xlfn.PERCENTILE.INC(Table67[Extrem Response Ratio (ERS)],0.9)</f>
        <v>0.61904761904761907</v>
      </c>
      <c r="AS1188" t="b">
        <f>Table67[[#This Row],[Extrem Response Ratio (ERS)]]&gt;=Table67[[#This Row],[Threshold of ERS]]</f>
        <v>0</v>
      </c>
      <c r="AT1188">
        <f>COUNTIF(Table67[[#This Row],[The mechanism of digital assets is difficult to understand, which discourages me from exploring it (E.g, Tokenization, Blockchain)]:[If I want to try different ways to invest, I will explore digital assets.]], 3)</f>
        <v>5</v>
      </c>
      <c r="AU1188">
        <f>Table67[[#This Row],[Midpoint]]/21</f>
        <v>0.23809523809523808</v>
      </c>
      <c r="AV1188">
        <f>_xlfn.PERCENTILE.INC(Table67[Midpoint ratio],0.9)</f>
        <v>0.5714285714285714</v>
      </c>
      <c r="AW1188" t="b">
        <f>Table67[[#This Row],[Midpoint ratio]]&gt;=Table67[[#This Row],[Threshold of Midpoint ratio]]</f>
        <v>0</v>
      </c>
      <c r="AX1188" t="b">
        <f>OR(Table67[[#This Row],[Extreme Response Style]],Table67[[#This Row],[Mid-point Response Style]])</f>
        <v>0</v>
      </c>
      <c r="AY1188" t="b">
        <f>OR(Table67[[#This Row],[Delete? (Stage 1)]],Table67[[#This Row],[Delete? (Stage 2)]])</f>
        <v>0</v>
      </c>
      <c r="AZ1188" t="s">
        <v>84</v>
      </c>
    </row>
    <row r="1189" spans="1:52">
      <c r="A1189">
        <f t="shared" si="75"/>
        <v>1188</v>
      </c>
      <c r="B1189" s="3">
        <v>46056.9075578704</v>
      </c>
      <c r="C1189" s="3">
        <v>46056.911539351902</v>
      </c>
      <c r="D1189" t="s">
        <v>53</v>
      </c>
      <c r="G1189" t="s">
        <v>54</v>
      </c>
      <c r="H1189" t="s">
        <v>55</v>
      </c>
      <c r="I1189" t="s">
        <v>69</v>
      </c>
      <c r="J1189" t="s">
        <v>57</v>
      </c>
      <c r="K1189" t="s">
        <v>57</v>
      </c>
      <c r="L1189" t="s">
        <v>58</v>
      </c>
      <c r="M1189" t="s">
        <v>58</v>
      </c>
      <c r="N1189">
        <v>3</v>
      </c>
      <c r="O1189">
        <v>4</v>
      </c>
      <c r="P1189">
        <v>5</v>
      </c>
      <c r="Q1189">
        <v>4</v>
      </c>
      <c r="R1189">
        <v>3</v>
      </c>
      <c r="S1189">
        <v>4</v>
      </c>
      <c r="T1189">
        <v>3</v>
      </c>
      <c r="U1189">
        <v>4</v>
      </c>
      <c r="V1189">
        <v>4</v>
      </c>
      <c r="W1189">
        <v>3</v>
      </c>
      <c r="X1189">
        <v>3</v>
      </c>
      <c r="Y1189">
        <v>4</v>
      </c>
      <c r="Z1189">
        <v>4</v>
      </c>
      <c r="AA1189">
        <v>3</v>
      </c>
      <c r="AB1189">
        <v>4</v>
      </c>
      <c r="AC1189">
        <v>3</v>
      </c>
      <c r="AD1189">
        <v>3</v>
      </c>
      <c r="AE1189">
        <v>4</v>
      </c>
      <c r="AF1189">
        <v>4</v>
      </c>
      <c r="AG1189">
        <v>3</v>
      </c>
      <c r="AH1189">
        <v>4</v>
      </c>
      <c r="AI1189">
        <v>2</v>
      </c>
      <c r="AJ1189">
        <v>2</v>
      </c>
      <c r="AK1189" t="b">
        <f>Table67[[#This Row],[What is your age?]]&lt;&gt;"18 - 25"</f>
        <v>0</v>
      </c>
      <c r="AL1189" t="b">
        <f t="shared" si="72"/>
        <v>0</v>
      </c>
      <c r="AM1189" t="b">
        <f t="shared" si="73"/>
        <v>0</v>
      </c>
      <c r="AN1189" t="b">
        <f t="shared" si="74"/>
        <v>1</v>
      </c>
      <c r="AO1189" t="b">
        <f>OR(Table67[[#This Row],[Ineligible respondents]:[Inconsistent response on opposite question (3)]])</f>
        <v>1</v>
      </c>
      <c r="AP118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189">
        <f>Table67[[#This Row],[Extreme Response]]/21</f>
        <v>4.7619047619047616E-2</v>
      </c>
      <c r="AR1189">
        <f>_xlfn.PERCENTILE.INC(Table67[Extrem Response Ratio (ERS)],0.9)</f>
        <v>0.61904761904761907</v>
      </c>
      <c r="AS1189" t="b">
        <f>Table67[[#This Row],[Extrem Response Ratio (ERS)]]&gt;=Table67[[#This Row],[Threshold of ERS]]</f>
        <v>0</v>
      </c>
      <c r="AT1189">
        <f>COUNTIF(Table67[[#This Row],[The mechanism of digital assets is difficult to understand, which discourages me from exploring it (E.g, Tokenization, Blockchain)]:[If I want to try different ways to invest, I will explore digital assets.]], 3)</f>
        <v>9</v>
      </c>
      <c r="AU1189">
        <f>Table67[[#This Row],[Midpoint]]/21</f>
        <v>0.42857142857142855</v>
      </c>
      <c r="AV1189">
        <f>_xlfn.PERCENTILE.INC(Table67[Midpoint ratio],0.9)</f>
        <v>0.5714285714285714</v>
      </c>
      <c r="AW1189" t="b">
        <f>Table67[[#This Row],[Midpoint ratio]]&gt;=Table67[[#This Row],[Threshold of Midpoint ratio]]</f>
        <v>0</v>
      </c>
      <c r="AX1189" t="b">
        <f>OR(Table67[[#This Row],[Extreme Response Style]],Table67[[#This Row],[Mid-point Response Style]])</f>
        <v>0</v>
      </c>
      <c r="AY1189" t="b">
        <f>OR(Table67[[#This Row],[Delete? (Stage 1)]],Table67[[#This Row],[Delete? (Stage 2)]])</f>
        <v>1</v>
      </c>
      <c r="AZ1189" t="s">
        <v>84</v>
      </c>
    </row>
    <row r="1190" spans="1:52">
      <c r="A1190">
        <f t="shared" si="75"/>
        <v>1189</v>
      </c>
      <c r="B1190" s="3">
        <v>46056.907581018502</v>
      </c>
      <c r="C1190" s="3">
        <v>46056.9115856481</v>
      </c>
      <c r="D1190" t="s">
        <v>53</v>
      </c>
      <c r="G1190" t="s">
        <v>54</v>
      </c>
      <c r="H1190" t="s">
        <v>55</v>
      </c>
      <c r="I1190" t="s">
        <v>71</v>
      </c>
      <c r="J1190" t="s">
        <v>60</v>
      </c>
      <c r="K1190" t="s">
        <v>57</v>
      </c>
      <c r="L1190" t="s">
        <v>58</v>
      </c>
      <c r="M1190" t="s">
        <v>58</v>
      </c>
      <c r="N1190">
        <v>4</v>
      </c>
      <c r="O1190">
        <v>2</v>
      </c>
      <c r="P1190">
        <v>5</v>
      </c>
      <c r="Q1190">
        <v>3</v>
      </c>
      <c r="R1190">
        <v>1</v>
      </c>
      <c r="S1190">
        <v>3</v>
      </c>
      <c r="T1190">
        <v>5</v>
      </c>
      <c r="U1190">
        <v>5</v>
      </c>
      <c r="V1190">
        <v>5</v>
      </c>
      <c r="W1190">
        <v>1</v>
      </c>
      <c r="X1190">
        <v>4</v>
      </c>
      <c r="Y1190">
        <v>4</v>
      </c>
      <c r="Z1190">
        <v>5</v>
      </c>
      <c r="AA1190">
        <v>5</v>
      </c>
      <c r="AB1190">
        <v>2</v>
      </c>
      <c r="AC1190">
        <v>5</v>
      </c>
      <c r="AD1190">
        <v>5</v>
      </c>
      <c r="AE1190">
        <v>5</v>
      </c>
      <c r="AF1190">
        <v>1</v>
      </c>
      <c r="AG1190">
        <v>5</v>
      </c>
      <c r="AH1190">
        <v>1</v>
      </c>
      <c r="AI1190">
        <v>5</v>
      </c>
      <c r="AJ1190">
        <v>5</v>
      </c>
      <c r="AK1190" t="b">
        <f>Table67[[#This Row],[What is your age?]]&lt;&gt;"18 - 25"</f>
        <v>0</v>
      </c>
      <c r="AL1190" t="b">
        <f t="shared" si="72"/>
        <v>0</v>
      </c>
      <c r="AM1190" t="b">
        <f t="shared" si="73"/>
        <v>0</v>
      </c>
      <c r="AN1190" t="b">
        <f t="shared" si="74"/>
        <v>0</v>
      </c>
      <c r="AO1190" t="b">
        <f>OR(Table67[[#This Row],[Ineligible respondents]:[Inconsistent response on opposite question (3)]])</f>
        <v>0</v>
      </c>
      <c r="AP119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1190">
        <f>Table67[[#This Row],[Extreme Response]]/21</f>
        <v>0.66666666666666663</v>
      </c>
      <c r="AR1190">
        <f>_xlfn.PERCENTILE.INC(Table67[Extrem Response Ratio (ERS)],0.9)</f>
        <v>0.61904761904761907</v>
      </c>
      <c r="AS1190" t="b">
        <f>Table67[[#This Row],[Extrem Response Ratio (ERS)]]&gt;=Table67[[#This Row],[Threshold of ERS]]</f>
        <v>1</v>
      </c>
      <c r="AT1190">
        <f>COUNTIF(Table67[[#This Row],[The mechanism of digital assets is difficult to understand, which discourages me from exploring it (E.g, Tokenization, Blockchain)]:[If I want to try different ways to invest, I will explore digital assets.]], 3)</f>
        <v>2</v>
      </c>
      <c r="AU1190">
        <f>Table67[[#This Row],[Midpoint]]/21</f>
        <v>9.5238095238095233E-2</v>
      </c>
      <c r="AV1190">
        <f>_xlfn.PERCENTILE.INC(Table67[Midpoint ratio],0.9)</f>
        <v>0.5714285714285714</v>
      </c>
      <c r="AW1190" t="b">
        <f>Table67[[#This Row],[Midpoint ratio]]&gt;=Table67[[#This Row],[Threshold of Midpoint ratio]]</f>
        <v>0</v>
      </c>
      <c r="AX1190" t="b">
        <f>OR(Table67[[#This Row],[Extreme Response Style]],Table67[[#This Row],[Mid-point Response Style]])</f>
        <v>1</v>
      </c>
      <c r="AY1190" t="b">
        <f>OR(Table67[[#This Row],[Delete? (Stage 1)]],Table67[[#This Row],[Delete? (Stage 2)]])</f>
        <v>1</v>
      </c>
      <c r="AZ1190" t="s">
        <v>84</v>
      </c>
    </row>
    <row r="1191" spans="1:52">
      <c r="A1191">
        <f t="shared" si="75"/>
        <v>1190</v>
      </c>
      <c r="B1191" s="3">
        <v>46056.907592592601</v>
      </c>
      <c r="C1191" s="3">
        <v>46056.913784722201</v>
      </c>
      <c r="D1191" t="s">
        <v>53</v>
      </c>
      <c r="G1191" t="s">
        <v>54</v>
      </c>
      <c r="H1191" t="s">
        <v>63</v>
      </c>
      <c r="I1191" t="s">
        <v>75</v>
      </c>
      <c r="J1191" t="s">
        <v>62</v>
      </c>
      <c r="K1191" t="s">
        <v>57</v>
      </c>
      <c r="L1191" t="s">
        <v>58</v>
      </c>
      <c r="M1191" t="s">
        <v>58</v>
      </c>
      <c r="N1191">
        <v>5</v>
      </c>
      <c r="O1191">
        <v>4</v>
      </c>
      <c r="P1191">
        <v>4</v>
      </c>
      <c r="Q1191">
        <v>3</v>
      </c>
      <c r="R1191">
        <v>2</v>
      </c>
      <c r="S1191">
        <v>4</v>
      </c>
      <c r="T1191">
        <v>4</v>
      </c>
      <c r="U1191">
        <v>4</v>
      </c>
      <c r="V1191">
        <v>3</v>
      </c>
      <c r="W1191">
        <v>4</v>
      </c>
      <c r="X1191">
        <v>4</v>
      </c>
      <c r="Y1191">
        <v>4</v>
      </c>
      <c r="Z1191">
        <v>4</v>
      </c>
      <c r="AA1191">
        <v>3</v>
      </c>
      <c r="AB1191">
        <v>3</v>
      </c>
      <c r="AC1191">
        <v>4</v>
      </c>
      <c r="AD1191">
        <v>4</v>
      </c>
      <c r="AE1191">
        <v>2</v>
      </c>
      <c r="AF1191">
        <v>2</v>
      </c>
      <c r="AG1191">
        <v>3</v>
      </c>
      <c r="AH1191">
        <v>4</v>
      </c>
      <c r="AI1191">
        <v>2</v>
      </c>
      <c r="AJ1191">
        <v>4</v>
      </c>
      <c r="AK1191" t="b">
        <f>Table67[[#This Row],[What is your age?]]&lt;&gt;"18 - 25"</f>
        <v>0</v>
      </c>
      <c r="AL1191" t="b">
        <f t="shared" si="72"/>
        <v>0</v>
      </c>
      <c r="AM1191" t="b">
        <f t="shared" si="73"/>
        <v>0</v>
      </c>
      <c r="AN1191" t="b">
        <f t="shared" si="74"/>
        <v>1</v>
      </c>
      <c r="AO1191" t="b">
        <f>OR(Table67[[#This Row],[Ineligible respondents]:[Inconsistent response on opposite question (3)]])</f>
        <v>1</v>
      </c>
      <c r="AP119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191">
        <f>Table67[[#This Row],[Extreme Response]]/21</f>
        <v>4.7619047619047616E-2</v>
      </c>
      <c r="AR1191">
        <f>_xlfn.PERCENTILE.INC(Table67[Extrem Response Ratio (ERS)],0.9)</f>
        <v>0.61904761904761907</v>
      </c>
      <c r="AS1191" t="b">
        <f>Table67[[#This Row],[Extrem Response Ratio (ERS)]]&gt;=Table67[[#This Row],[Threshold of ERS]]</f>
        <v>0</v>
      </c>
      <c r="AT1191">
        <f>COUNTIF(Table67[[#This Row],[The mechanism of digital assets is difficult to understand, which discourages me from exploring it (E.g, Tokenization, Blockchain)]:[If I want to try different ways to invest, I will explore digital assets.]], 3)</f>
        <v>5</v>
      </c>
      <c r="AU1191">
        <f>Table67[[#This Row],[Midpoint]]/21</f>
        <v>0.23809523809523808</v>
      </c>
      <c r="AV1191">
        <f>_xlfn.PERCENTILE.INC(Table67[Midpoint ratio],0.9)</f>
        <v>0.5714285714285714</v>
      </c>
      <c r="AW1191" t="b">
        <f>Table67[[#This Row],[Midpoint ratio]]&gt;=Table67[[#This Row],[Threshold of Midpoint ratio]]</f>
        <v>0</v>
      </c>
      <c r="AX1191" t="b">
        <f>OR(Table67[[#This Row],[Extreme Response Style]],Table67[[#This Row],[Mid-point Response Style]])</f>
        <v>0</v>
      </c>
      <c r="AY1191" t="b">
        <f>OR(Table67[[#This Row],[Delete? (Stage 1)]],Table67[[#This Row],[Delete? (Stage 2)]])</f>
        <v>1</v>
      </c>
      <c r="AZ1191" t="s">
        <v>84</v>
      </c>
    </row>
    <row r="1192" spans="1:52">
      <c r="A1192">
        <f t="shared" si="75"/>
        <v>1191</v>
      </c>
      <c r="B1192" s="3">
        <v>46056.908819444398</v>
      </c>
      <c r="C1192" s="3">
        <v>46056.911909722199</v>
      </c>
      <c r="D1192" t="s">
        <v>53</v>
      </c>
      <c r="G1192" t="s">
        <v>54</v>
      </c>
      <c r="H1192" t="s">
        <v>55</v>
      </c>
      <c r="I1192" t="s">
        <v>56</v>
      </c>
      <c r="J1192" t="s">
        <v>62</v>
      </c>
      <c r="K1192" t="s">
        <v>57</v>
      </c>
      <c r="L1192" t="s">
        <v>58</v>
      </c>
      <c r="M1192" t="s">
        <v>58</v>
      </c>
      <c r="N1192">
        <v>5</v>
      </c>
      <c r="O1192">
        <v>5</v>
      </c>
      <c r="P1192">
        <v>4</v>
      </c>
      <c r="Q1192">
        <v>5</v>
      </c>
      <c r="R1192">
        <v>5</v>
      </c>
      <c r="S1192">
        <v>5</v>
      </c>
      <c r="T1192">
        <v>4</v>
      </c>
      <c r="U1192">
        <v>5</v>
      </c>
      <c r="V1192">
        <v>5</v>
      </c>
      <c r="W1192">
        <v>5</v>
      </c>
      <c r="X1192">
        <v>4</v>
      </c>
      <c r="Y1192">
        <v>5</v>
      </c>
      <c r="Z1192">
        <v>5</v>
      </c>
      <c r="AA1192">
        <v>5</v>
      </c>
      <c r="AB1192">
        <v>4</v>
      </c>
      <c r="AC1192">
        <v>5</v>
      </c>
      <c r="AD1192">
        <v>5</v>
      </c>
      <c r="AE1192">
        <v>2</v>
      </c>
      <c r="AF1192">
        <v>4</v>
      </c>
      <c r="AG1192">
        <v>3</v>
      </c>
      <c r="AH1192">
        <v>4</v>
      </c>
      <c r="AI1192">
        <v>2</v>
      </c>
      <c r="AJ1192">
        <v>2</v>
      </c>
      <c r="AK1192" t="b">
        <f>Table67[[#This Row],[What is your age?]]&lt;&gt;"18 - 25"</f>
        <v>0</v>
      </c>
      <c r="AL1192" t="b">
        <f t="shared" si="72"/>
        <v>0</v>
      </c>
      <c r="AM1192" t="b">
        <f t="shared" si="73"/>
        <v>0</v>
      </c>
      <c r="AN1192" t="b">
        <f t="shared" si="74"/>
        <v>1</v>
      </c>
      <c r="AO1192" t="b">
        <f>OR(Table67[[#This Row],[Ineligible respondents]:[Inconsistent response on opposite question (3)]])</f>
        <v>1</v>
      </c>
      <c r="AP119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1192">
        <f>Table67[[#This Row],[Extreme Response]]/21</f>
        <v>0.61904761904761907</v>
      </c>
      <c r="AR1192">
        <f>_xlfn.PERCENTILE.INC(Table67[Extrem Response Ratio (ERS)],0.9)</f>
        <v>0.61904761904761907</v>
      </c>
      <c r="AS1192" t="b">
        <f>Table67[[#This Row],[Extrem Response Ratio (ERS)]]&gt;=Table67[[#This Row],[Threshold of ERS]]</f>
        <v>1</v>
      </c>
      <c r="AT1192">
        <f>COUNTIF(Table67[[#This Row],[The mechanism of digital assets is difficult to understand, which discourages me from exploring it (E.g, Tokenization, Blockchain)]:[If I want to try different ways to invest, I will explore digital assets.]], 3)</f>
        <v>1</v>
      </c>
      <c r="AU1192">
        <f>Table67[[#This Row],[Midpoint]]/21</f>
        <v>4.7619047619047616E-2</v>
      </c>
      <c r="AV1192">
        <f>_xlfn.PERCENTILE.INC(Table67[Midpoint ratio],0.9)</f>
        <v>0.5714285714285714</v>
      </c>
      <c r="AW1192" t="b">
        <f>Table67[[#This Row],[Midpoint ratio]]&gt;=Table67[[#This Row],[Threshold of Midpoint ratio]]</f>
        <v>0</v>
      </c>
      <c r="AX1192" t="b">
        <f>OR(Table67[[#This Row],[Extreme Response Style]],Table67[[#This Row],[Mid-point Response Style]])</f>
        <v>1</v>
      </c>
      <c r="AY1192" t="b">
        <f>OR(Table67[[#This Row],[Delete? (Stage 1)]],Table67[[#This Row],[Delete? (Stage 2)]])</f>
        <v>1</v>
      </c>
      <c r="AZ1192" t="s">
        <v>84</v>
      </c>
    </row>
    <row r="1193" spans="1:52">
      <c r="A1193">
        <f t="shared" si="75"/>
        <v>1192</v>
      </c>
      <c r="B1193" s="3">
        <v>46056.909259259301</v>
      </c>
      <c r="C1193" s="3">
        <v>46056.913738425901</v>
      </c>
      <c r="D1193" t="s">
        <v>53</v>
      </c>
      <c r="G1193" t="s">
        <v>54</v>
      </c>
      <c r="H1193" t="s">
        <v>55</v>
      </c>
      <c r="I1193" t="s">
        <v>71</v>
      </c>
      <c r="J1193" t="s">
        <v>57</v>
      </c>
      <c r="K1193" t="s">
        <v>57</v>
      </c>
      <c r="L1193" t="s">
        <v>58</v>
      </c>
      <c r="M1193" t="s">
        <v>58</v>
      </c>
      <c r="N1193">
        <v>5</v>
      </c>
      <c r="O1193">
        <v>2</v>
      </c>
      <c r="P1193">
        <v>5</v>
      </c>
      <c r="Q1193">
        <v>5</v>
      </c>
      <c r="R1193">
        <v>5</v>
      </c>
      <c r="S1193">
        <v>5</v>
      </c>
      <c r="T1193">
        <v>2</v>
      </c>
      <c r="U1193">
        <v>5</v>
      </c>
      <c r="V1193">
        <v>5</v>
      </c>
      <c r="W1193">
        <v>5</v>
      </c>
      <c r="X1193">
        <v>4</v>
      </c>
      <c r="Y1193">
        <v>5</v>
      </c>
      <c r="Z1193">
        <v>5</v>
      </c>
      <c r="AA1193">
        <v>5</v>
      </c>
      <c r="AB1193">
        <v>2</v>
      </c>
      <c r="AC1193">
        <v>2</v>
      </c>
      <c r="AD1193">
        <v>5</v>
      </c>
      <c r="AE1193">
        <v>5</v>
      </c>
      <c r="AF1193">
        <v>3</v>
      </c>
      <c r="AG1193">
        <v>2</v>
      </c>
      <c r="AH1193">
        <v>4</v>
      </c>
      <c r="AI1193">
        <v>2</v>
      </c>
      <c r="AJ1193">
        <v>3</v>
      </c>
      <c r="AK1193" t="b">
        <f>Table67[[#This Row],[What is your age?]]&lt;&gt;"18 - 25"</f>
        <v>0</v>
      </c>
      <c r="AL1193" t="b">
        <f t="shared" si="72"/>
        <v>0</v>
      </c>
      <c r="AM1193" t="b">
        <f t="shared" si="73"/>
        <v>0</v>
      </c>
      <c r="AN1193" t="b">
        <f t="shared" si="74"/>
        <v>0</v>
      </c>
      <c r="AO1193" t="b">
        <f>OR(Table67[[#This Row],[Ineligible respondents]:[Inconsistent response on opposite question (3)]])</f>
        <v>0</v>
      </c>
      <c r="AP119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1193">
        <f>Table67[[#This Row],[Extreme Response]]/21</f>
        <v>0.61904761904761907</v>
      </c>
      <c r="AR1193">
        <f>_xlfn.PERCENTILE.INC(Table67[Extrem Response Ratio (ERS)],0.9)</f>
        <v>0.61904761904761907</v>
      </c>
      <c r="AS1193" t="b">
        <f>Table67[[#This Row],[Extrem Response Ratio (ERS)]]&gt;=Table67[[#This Row],[Threshold of ERS]]</f>
        <v>1</v>
      </c>
      <c r="AT1193">
        <f>COUNTIF(Table67[[#This Row],[The mechanism of digital assets is difficult to understand, which discourages me from exploring it (E.g, Tokenization, Blockchain)]:[If I want to try different ways to invest, I will explore digital assets.]], 3)</f>
        <v>1</v>
      </c>
      <c r="AU1193">
        <f>Table67[[#This Row],[Midpoint]]/21</f>
        <v>4.7619047619047616E-2</v>
      </c>
      <c r="AV1193">
        <f>_xlfn.PERCENTILE.INC(Table67[Midpoint ratio],0.9)</f>
        <v>0.5714285714285714</v>
      </c>
      <c r="AW1193" t="b">
        <f>Table67[[#This Row],[Midpoint ratio]]&gt;=Table67[[#This Row],[Threshold of Midpoint ratio]]</f>
        <v>0</v>
      </c>
      <c r="AX1193" t="b">
        <f>OR(Table67[[#This Row],[Extreme Response Style]],Table67[[#This Row],[Mid-point Response Style]])</f>
        <v>1</v>
      </c>
      <c r="AY1193" t="b">
        <f>OR(Table67[[#This Row],[Delete? (Stage 1)]],Table67[[#This Row],[Delete? (Stage 2)]])</f>
        <v>1</v>
      </c>
      <c r="AZ1193" t="s">
        <v>84</v>
      </c>
    </row>
    <row r="1194" spans="1:52">
      <c r="A1194">
        <f t="shared" si="75"/>
        <v>1193</v>
      </c>
      <c r="B1194" s="3">
        <v>46056.910138888903</v>
      </c>
      <c r="C1194" s="3">
        <v>46056.914224537002</v>
      </c>
      <c r="D1194" t="s">
        <v>53</v>
      </c>
      <c r="G1194" t="s">
        <v>54</v>
      </c>
      <c r="H1194" t="s">
        <v>55</v>
      </c>
      <c r="I1194" t="s">
        <v>71</v>
      </c>
      <c r="J1194" t="s">
        <v>60</v>
      </c>
      <c r="K1194" t="s">
        <v>62</v>
      </c>
      <c r="L1194" t="s">
        <v>58</v>
      </c>
      <c r="M1194" t="s">
        <v>58</v>
      </c>
      <c r="N1194">
        <v>3</v>
      </c>
      <c r="O1194">
        <v>1</v>
      </c>
      <c r="P1194">
        <v>4</v>
      </c>
      <c r="Q1194">
        <v>2</v>
      </c>
      <c r="R1194">
        <v>2</v>
      </c>
      <c r="S1194">
        <v>2</v>
      </c>
      <c r="T1194">
        <v>4</v>
      </c>
      <c r="U1194">
        <v>4</v>
      </c>
      <c r="V1194">
        <v>1</v>
      </c>
      <c r="W1194">
        <v>4</v>
      </c>
      <c r="X1194">
        <v>4</v>
      </c>
      <c r="Y1194">
        <v>3</v>
      </c>
      <c r="Z1194">
        <v>4</v>
      </c>
      <c r="AA1194">
        <v>5</v>
      </c>
      <c r="AB1194">
        <v>3</v>
      </c>
      <c r="AC1194">
        <v>4</v>
      </c>
      <c r="AD1194">
        <v>4</v>
      </c>
      <c r="AE1194">
        <v>2</v>
      </c>
      <c r="AF1194">
        <v>2</v>
      </c>
      <c r="AG1194">
        <v>4</v>
      </c>
      <c r="AH1194">
        <v>4</v>
      </c>
      <c r="AI1194">
        <v>2</v>
      </c>
      <c r="AJ1194">
        <v>4</v>
      </c>
      <c r="AK1194" t="b">
        <f>Table67[[#This Row],[What is your age?]]&lt;&gt;"18 - 25"</f>
        <v>0</v>
      </c>
      <c r="AL1194" t="b">
        <f t="shared" si="72"/>
        <v>0</v>
      </c>
      <c r="AM1194" t="b">
        <f t="shared" si="73"/>
        <v>1</v>
      </c>
      <c r="AN1194" t="b">
        <f t="shared" si="74"/>
        <v>0</v>
      </c>
      <c r="AO1194" t="b">
        <f>OR(Table67[[#This Row],[Ineligible respondents]:[Inconsistent response on opposite question (3)]])</f>
        <v>1</v>
      </c>
      <c r="AP119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194">
        <f>Table67[[#This Row],[Extreme Response]]/21</f>
        <v>0.14285714285714285</v>
      </c>
      <c r="AR1194">
        <f>_xlfn.PERCENTILE.INC(Table67[Extrem Response Ratio (ERS)],0.9)</f>
        <v>0.61904761904761907</v>
      </c>
      <c r="AS1194" t="b">
        <f>Table67[[#This Row],[Extrem Response Ratio (ERS)]]&gt;=Table67[[#This Row],[Threshold of ERS]]</f>
        <v>0</v>
      </c>
      <c r="AT1194">
        <f>COUNTIF(Table67[[#This Row],[The mechanism of digital assets is difficult to understand, which discourages me from exploring it (E.g, Tokenization, Blockchain)]:[If I want to try different ways to invest, I will explore digital assets.]], 3)</f>
        <v>3</v>
      </c>
      <c r="AU1194">
        <f>Table67[[#This Row],[Midpoint]]/21</f>
        <v>0.14285714285714285</v>
      </c>
      <c r="AV1194">
        <f>_xlfn.PERCENTILE.INC(Table67[Midpoint ratio],0.9)</f>
        <v>0.5714285714285714</v>
      </c>
      <c r="AW1194" t="b">
        <f>Table67[[#This Row],[Midpoint ratio]]&gt;=Table67[[#This Row],[Threshold of Midpoint ratio]]</f>
        <v>0</v>
      </c>
      <c r="AX1194" t="b">
        <f>OR(Table67[[#This Row],[Extreme Response Style]],Table67[[#This Row],[Mid-point Response Style]])</f>
        <v>0</v>
      </c>
      <c r="AY1194" t="b">
        <f>OR(Table67[[#This Row],[Delete? (Stage 1)]],Table67[[#This Row],[Delete? (Stage 2)]])</f>
        <v>1</v>
      </c>
      <c r="AZ1194" t="s">
        <v>84</v>
      </c>
    </row>
    <row r="1195" spans="1:52">
      <c r="A1195">
        <f t="shared" si="75"/>
        <v>1194</v>
      </c>
      <c r="B1195" s="3">
        <v>46056.910335648099</v>
      </c>
      <c r="C1195" s="3">
        <v>46056.920775462997</v>
      </c>
      <c r="D1195" t="s">
        <v>53</v>
      </c>
      <c r="G1195" t="s">
        <v>54</v>
      </c>
      <c r="H1195" t="s">
        <v>55</v>
      </c>
      <c r="I1195" t="s">
        <v>69</v>
      </c>
      <c r="J1195" t="s">
        <v>62</v>
      </c>
      <c r="K1195" t="s">
        <v>62</v>
      </c>
      <c r="L1195" t="s">
        <v>58</v>
      </c>
      <c r="M1195" t="s">
        <v>58</v>
      </c>
      <c r="N1195">
        <v>3</v>
      </c>
      <c r="O1195">
        <v>2</v>
      </c>
      <c r="P1195">
        <v>4</v>
      </c>
      <c r="Q1195">
        <v>2</v>
      </c>
      <c r="R1195">
        <v>4</v>
      </c>
      <c r="S1195">
        <v>4</v>
      </c>
      <c r="T1195">
        <v>2</v>
      </c>
      <c r="U1195">
        <v>4</v>
      </c>
      <c r="V1195">
        <v>5</v>
      </c>
      <c r="W1195">
        <v>4</v>
      </c>
      <c r="X1195">
        <v>5</v>
      </c>
      <c r="Y1195">
        <v>4</v>
      </c>
      <c r="Z1195">
        <v>5</v>
      </c>
      <c r="AA1195">
        <v>4</v>
      </c>
      <c r="AB1195">
        <v>2</v>
      </c>
      <c r="AC1195">
        <v>3</v>
      </c>
      <c r="AD1195">
        <v>5</v>
      </c>
      <c r="AE1195">
        <v>2</v>
      </c>
      <c r="AF1195">
        <v>4</v>
      </c>
      <c r="AG1195">
        <v>3</v>
      </c>
      <c r="AH1195">
        <v>4</v>
      </c>
      <c r="AI1195">
        <v>2</v>
      </c>
      <c r="AJ1195">
        <v>2</v>
      </c>
      <c r="AK1195" t="b">
        <f>Table67[[#This Row],[What is your age?]]&lt;&gt;"18 - 25"</f>
        <v>0</v>
      </c>
      <c r="AL1195" t="b">
        <f t="shared" si="72"/>
        <v>0</v>
      </c>
      <c r="AM1195" t="b">
        <f t="shared" si="73"/>
        <v>0</v>
      </c>
      <c r="AN1195" t="b">
        <f t="shared" si="74"/>
        <v>1</v>
      </c>
      <c r="AO1195" t="b">
        <f>OR(Table67[[#This Row],[Ineligible respondents]:[Inconsistent response on opposite question (3)]])</f>
        <v>1</v>
      </c>
      <c r="AP119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195">
        <f>Table67[[#This Row],[Extreme Response]]/21</f>
        <v>0.19047619047619047</v>
      </c>
      <c r="AR1195">
        <f>_xlfn.PERCENTILE.INC(Table67[Extrem Response Ratio (ERS)],0.9)</f>
        <v>0.61904761904761907</v>
      </c>
      <c r="AS1195" t="b">
        <f>Table67[[#This Row],[Extrem Response Ratio (ERS)]]&gt;=Table67[[#This Row],[Threshold of ERS]]</f>
        <v>0</v>
      </c>
      <c r="AT1195">
        <f>COUNTIF(Table67[[#This Row],[The mechanism of digital assets is difficult to understand, which discourages me from exploring it (E.g, Tokenization, Blockchain)]:[If I want to try different ways to invest, I will explore digital assets.]], 3)</f>
        <v>3</v>
      </c>
      <c r="AU1195">
        <f>Table67[[#This Row],[Midpoint]]/21</f>
        <v>0.14285714285714285</v>
      </c>
      <c r="AV1195">
        <f>_xlfn.PERCENTILE.INC(Table67[Midpoint ratio],0.9)</f>
        <v>0.5714285714285714</v>
      </c>
      <c r="AW1195" t="b">
        <f>Table67[[#This Row],[Midpoint ratio]]&gt;=Table67[[#This Row],[Threshold of Midpoint ratio]]</f>
        <v>0</v>
      </c>
      <c r="AX1195" t="b">
        <f>OR(Table67[[#This Row],[Extreme Response Style]],Table67[[#This Row],[Mid-point Response Style]])</f>
        <v>0</v>
      </c>
      <c r="AY1195" t="b">
        <f>OR(Table67[[#This Row],[Delete? (Stage 1)]],Table67[[#This Row],[Delete? (Stage 2)]])</f>
        <v>1</v>
      </c>
      <c r="AZ1195" t="s">
        <v>84</v>
      </c>
    </row>
    <row r="1196" spans="1:52">
      <c r="A1196">
        <f t="shared" si="75"/>
        <v>1195</v>
      </c>
      <c r="B1196" s="3">
        <v>46056.910648148099</v>
      </c>
      <c r="C1196" s="3">
        <v>46056.9119907407</v>
      </c>
      <c r="D1196" t="s">
        <v>53</v>
      </c>
      <c r="G1196" t="s">
        <v>54</v>
      </c>
      <c r="H1196" t="s">
        <v>63</v>
      </c>
      <c r="I1196" t="s">
        <v>56</v>
      </c>
      <c r="J1196" t="s">
        <v>60</v>
      </c>
      <c r="K1196" t="s">
        <v>60</v>
      </c>
      <c r="L1196" t="s">
        <v>61</v>
      </c>
      <c r="M1196" t="s">
        <v>61</v>
      </c>
      <c r="N1196">
        <v>4</v>
      </c>
      <c r="O1196">
        <v>5</v>
      </c>
      <c r="P1196">
        <v>5</v>
      </c>
      <c r="Q1196">
        <v>5</v>
      </c>
      <c r="R1196">
        <v>3</v>
      </c>
      <c r="S1196">
        <v>5</v>
      </c>
      <c r="T1196">
        <v>4</v>
      </c>
      <c r="U1196">
        <v>4</v>
      </c>
      <c r="V1196">
        <v>5</v>
      </c>
      <c r="W1196">
        <v>4</v>
      </c>
      <c r="X1196">
        <v>4</v>
      </c>
      <c r="Y1196">
        <v>3</v>
      </c>
      <c r="Z1196">
        <v>5</v>
      </c>
      <c r="AA1196">
        <v>5</v>
      </c>
      <c r="AB1196">
        <v>5</v>
      </c>
      <c r="AC1196">
        <v>4</v>
      </c>
      <c r="AD1196">
        <v>5</v>
      </c>
      <c r="AE1196">
        <v>5</v>
      </c>
      <c r="AF1196">
        <v>5</v>
      </c>
      <c r="AG1196">
        <v>1</v>
      </c>
      <c r="AH1196">
        <v>5</v>
      </c>
      <c r="AI1196">
        <v>1</v>
      </c>
      <c r="AJ1196">
        <v>1</v>
      </c>
      <c r="AK1196" t="b">
        <f>Table67[[#This Row],[What is your age?]]&lt;&gt;"18 - 25"</f>
        <v>0</v>
      </c>
      <c r="AL1196" t="b">
        <f t="shared" si="72"/>
        <v>0</v>
      </c>
      <c r="AM1196" t="b">
        <f t="shared" si="73"/>
        <v>0</v>
      </c>
      <c r="AN1196" t="b">
        <f t="shared" si="74"/>
        <v>0</v>
      </c>
      <c r="AO1196" t="b">
        <f>OR(Table67[[#This Row],[Ineligible respondents]:[Inconsistent response on opposite question (3)]])</f>
        <v>0</v>
      </c>
      <c r="AP119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1196">
        <f>Table67[[#This Row],[Extreme Response]]/21</f>
        <v>0.61904761904761907</v>
      </c>
      <c r="AR1196">
        <f>_xlfn.PERCENTILE.INC(Table67[Extrem Response Ratio (ERS)],0.9)</f>
        <v>0.61904761904761907</v>
      </c>
      <c r="AS1196" t="b">
        <f>Table67[[#This Row],[Extrem Response Ratio (ERS)]]&gt;=Table67[[#This Row],[Threshold of ERS]]</f>
        <v>1</v>
      </c>
      <c r="AT1196">
        <f>COUNTIF(Table67[[#This Row],[The mechanism of digital assets is difficult to understand, which discourages me from exploring it (E.g, Tokenization, Blockchain)]:[If I want to try different ways to invest, I will explore digital assets.]], 3)</f>
        <v>2</v>
      </c>
      <c r="AU1196">
        <f>Table67[[#This Row],[Midpoint]]/21</f>
        <v>9.5238095238095233E-2</v>
      </c>
      <c r="AV1196">
        <f>_xlfn.PERCENTILE.INC(Table67[Midpoint ratio],0.9)</f>
        <v>0.5714285714285714</v>
      </c>
      <c r="AW1196" t="b">
        <f>Table67[[#This Row],[Midpoint ratio]]&gt;=Table67[[#This Row],[Threshold of Midpoint ratio]]</f>
        <v>0</v>
      </c>
      <c r="AX1196" t="b">
        <f>OR(Table67[[#This Row],[Extreme Response Style]],Table67[[#This Row],[Mid-point Response Style]])</f>
        <v>1</v>
      </c>
      <c r="AY1196" t="b">
        <f>OR(Table67[[#This Row],[Delete? (Stage 1)]],Table67[[#This Row],[Delete? (Stage 2)]])</f>
        <v>1</v>
      </c>
      <c r="AZ1196" t="s">
        <v>84</v>
      </c>
    </row>
    <row r="1197" spans="1:52">
      <c r="A1197">
        <f t="shared" si="75"/>
        <v>1196</v>
      </c>
      <c r="B1197" s="3">
        <v>46056.910706018498</v>
      </c>
      <c r="C1197" s="3">
        <v>46056.912013888897</v>
      </c>
      <c r="D1197" t="s">
        <v>53</v>
      </c>
      <c r="G1197" t="s">
        <v>54</v>
      </c>
      <c r="H1197" t="s">
        <v>63</v>
      </c>
      <c r="I1197" t="s">
        <v>56</v>
      </c>
      <c r="J1197" t="s">
        <v>72</v>
      </c>
      <c r="K1197" t="s">
        <v>60</v>
      </c>
      <c r="L1197" t="s">
        <v>61</v>
      </c>
      <c r="M1197" t="s">
        <v>61</v>
      </c>
      <c r="N1197">
        <v>3</v>
      </c>
      <c r="O1197">
        <v>3</v>
      </c>
      <c r="P1197">
        <v>3</v>
      </c>
      <c r="Q1197">
        <v>4</v>
      </c>
      <c r="R1197">
        <v>2</v>
      </c>
      <c r="S1197">
        <v>3</v>
      </c>
      <c r="T1197">
        <v>4</v>
      </c>
      <c r="U1197">
        <v>4</v>
      </c>
      <c r="V1197">
        <v>3</v>
      </c>
      <c r="W1197">
        <v>4</v>
      </c>
      <c r="X1197">
        <v>4</v>
      </c>
      <c r="Y1197">
        <v>3</v>
      </c>
      <c r="Z1197">
        <v>3</v>
      </c>
      <c r="AA1197">
        <v>4</v>
      </c>
      <c r="AB1197">
        <v>4</v>
      </c>
      <c r="AC1197">
        <v>4</v>
      </c>
      <c r="AD1197">
        <v>2</v>
      </c>
      <c r="AE1197">
        <v>2</v>
      </c>
      <c r="AF1197">
        <v>4</v>
      </c>
      <c r="AG1197">
        <v>4</v>
      </c>
      <c r="AH1197">
        <v>4</v>
      </c>
      <c r="AI1197">
        <v>2</v>
      </c>
      <c r="AJ1197">
        <v>2</v>
      </c>
      <c r="AK1197" t="b">
        <f>Table67[[#This Row],[What is your age?]]&lt;&gt;"18 - 25"</f>
        <v>0</v>
      </c>
      <c r="AL1197" t="b">
        <f t="shared" si="72"/>
        <v>0</v>
      </c>
      <c r="AM1197" t="b">
        <f t="shared" si="73"/>
        <v>1</v>
      </c>
      <c r="AN1197" t="b">
        <f t="shared" si="74"/>
        <v>0</v>
      </c>
      <c r="AO1197" t="b">
        <f>OR(Table67[[#This Row],[Ineligible respondents]:[Inconsistent response on opposite question (3)]])</f>
        <v>1</v>
      </c>
      <c r="AP119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197">
        <f>Table67[[#This Row],[Extreme Response]]/21</f>
        <v>0</v>
      </c>
      <c r="AR1197">
        <f>_xlfn.PERCENTILE.INC(Table67[Extrem Response Ratio (ERS)],0.9)</f>
        <v>0.61904761904761907</v>
      </c>
      <c r="AS1197" t="b">
        <f>Table67[[#This Row],[Extrem Response Ratio (ERS)]]&gt;=Table67[[#This Row],[Threshold of ERS]]</f>
        <v>0</v>
      </c>
      <c r="AT1197">
        <f>COUNTIF(Table67[[#This Row],[The mechanism of digital assets is difficult to understand, which discourages me from exploring it (E.g, Tokenization, Blockchain)]:[If I want to try different ways to invest, I will explore digital assets.]], 3)</f>
        <v>7</v>
      </c>
      <c r="AU1197">
        <f>Table67[[#This Row],[Midpoint]]/21</f>
        <v>0.33333333333333331</v>
      </c>
      <c r="AV1197">
        <f>_xlfn.PERCENTILE.INC(Table67[Midpoint ratio],0.9)</f>
        <v>0.5714285714285714</v>
      </c>
      <c r="AW1197" t="b">
        <f>Table67[[#This Row],[Midpoint ratio]]&gt;=Table67[[#This Row],[Threshold of Midpoint ratio]]</f>
        <v>0</v>
      </c>
      <c r="AX1197" t="b">
        <f>OR(Table67[[#This Row],[Extreme Response Style]],Table67[[#This Row],[Mid-point Response Style]])</f>
        <v>0</v>
      </c>
      <c r="AY1197" t="b">
        <f>OR(Table67[[#This Row],[Delete? (Stage 1)]],Table67[[#This Row],[Delete? (Stage 2)]])</f>
        <v>1</v>
      </c>
      <c r="AZ1197" t="s">
        <v>84</v>
      </c>
    </row>
    <row r="1198" spans="1:52">
      <c r="A1198">
        <f t="shared" si="75"/>
        <v>1197</v>
      </c>
      <c r="B1198" s="3">
        <v>46056.910844907397</v>
      </c>
      <c r="C1198" s="3">
        <v>46056.921168981498</v>
      </c>
      <c r="D1198" t="s">
        <v>53</v>
      </c>
      <c r="G1198" t="s">
        <v>54</v>
      </c>
      <c r="H1198" t="s">
        <v>63</v>
      </c>
      <c r="I1198" t="s">
        <v>56</v>
      </c>
      <c r="J1198" t="s">
        <v>57</v>
      </c>
      <c r="K1198" t="s">
        <v>57</v>
      </c>
      <c r="L1198" t="s">
        <v>58</v>
      </c>
      <c r="M1198" t="s">
        <v>58</v>
      </c>
      <c r="N1198">
        <v>4</v>
      </c>
      <c r="O1198">
        <v>3</v>
      </c>
      <c r="P1198">
        <v>5</v>
      </c>
      <c r="Q1198">
        <v>2</v>
      </c>
      <c r="R1198">
        <v>2</v>
      </c>
      <c r="S1198">
        <v>1</v>
      </c>
      <c r="T1198">
        <v>2</v>
      </c>
      <c r="U1198">
        <v>4</v>
      </c>
      <c r="V1198">
        <v>4</v>
      </c>
      <c r="W1198">
        <v>3</v>
      </c>
      <c r="X1198">
        <v>5</v>
      </c>
      <c r="Y1198">
        <v>5</v>
      </c>
      <c r="Z1198">
        <v>5</v>
      </c>
      <c r="AA1198">
        <v>3</v>
      </c>
      <c r="AB1198">
        <v>2</v>
      </c>
      <c r="AC1198">
        <v>2</v>
      </c>
      <c r="AD1198">
        <v>4</v>
      </c>
      <c r="AE1198">
        <v>1</v>
      </c>
      <c r="AF1198">
        <v>5</v>
      </c>
      <c r="AG1198">
        <v>4</v>
      </c>
      <c r="AH1198">
        <v>4</v>
      </c>
      <c r="AI1198">
        <v>2</v>
      </c>
      <c r="AJ1198">
        <v>1</v>
      </c>
      <c r="AK1198" t="b">
        <f>Table67[[#This Row],[What is your age?]]&lt;&gt;"18 - 25"</f>
        <v>0</v>
      </c>
      <c r="AL1198" t="b">
        <f t="shared" si="72"/>
        <v>0</v>
      </c>
      <c r="AM1198" t="b">
        <f t="shared" si="73"/>
        <v>1</v>
      </c>
      <c r="AN1198" t="b">
        <f t="shared" si="74"/>
        <v>0</v>
      </c>
      <c r="AO1198" t="b">
        <f>OR(Table67[[#This Row],[Ineligible respondents]:[Inconsistent response on opposite question (3)]])</f>
        <v>1</v>
      </c>
      <c r="AP119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198">
        <f>Table67[[#This Row],[Extreme Response]]/21</f>
        <v>0.33333333333333331</v>
      </c>
      <c r="AR1198">
        <f>_xlfn.PERCENTILE.INC(Table67[Extrem Response Ratio (ERS)],0.9)</f>
        <v>0.61904761904761907</v>
      </c>
      <c r="AS1198" t="b">
        <f>Table67[[#This Row],[Extrem Response Ratio (ERS)]]&gt;=Table67[[#This Row],[Threshold of ERS]]</f>
        <v>0</v>
      </c>
      <c r="AT1198">
        <f>COUNTIF(Table67[[#This Row],[The mechanism of digital assets is difficult to understand, which discourages me from exploring it (E.g, Tokenization, Blockchain)]:[If I want to try different ways to invest, I will explore digital assets.]], 3)</f>
        <v>3</v>
      </c>
      <c r="AU1198">
        <f>Table67[[#This Row],[Midpoint]]/21</f>
        <v>0.14285714285714285</v>
      </c>
      <c r="AV1198">
        <f>_xlfn.PERCENTILE.INC(Table67[Midpoint ratio],0.9)</f>
        <v>0.5714285714285714</v>
      </c>
      <c r="AW1198" t="b">
        <f>Table67[[#This Row],[Midpoint ratio]]&gt;=Table67[[#This Row],[Threshold of Midpoint ratio]]</f>
        <v>0</v>
      </c>
      <c r="AX1198" t="b">
        <f>OR(Table67[[#This Row],[Extreme Response Style]],Table67[[#This Row],[Mid-point Response Style]])</f>
        <v>0</v>
      </c>
      <c r="AY1198" t="b">
        <f>OR(Table67[[#This Row],[Delete? (Stage 1)]],Table67[[#This Row],[Delete? (Stage 2)]])</f>
        <v>1</v>
      </c>
      <c r="AZ1198" t="s">
        <v>84</v>
      </c>
    </row>
    <row r="1199" spans="1:52">
      <c r="A1199">
        <f t="shared" si="75"/>
        <v>1198</v>
      </c>
      <c r="B1199" s="3">
        <v>46056.911145833299</v>
      </c>
      <c r="C1199" s="3">
        <v>46056.912731481498</v>
      </c>
      <c r="D1199" t="s">
        <v>53</v>
      </c>
      <c r="G1199" t="s">
        <v>54</v>
      </c>
      <c r="H1199" t="s">
        <v>55</v>
      </c>
      <c r="I1199" t="s">
        <v>56</v>
      </c>
      <c r="J1199" t="s">
        <v>62</v>
      </c>
      <c r="K1199" t="s">
        <v>62</v>
      </c>
      <c r="L1199" t="s">
        <v>58</v>
      </c>
      <c r="M1199" t="s">
        <v>58</v>
      </c>
      <c r="N1199">
        <v>5</v>
      </c>
      <c r="O1199">
        <v>2</v>
      </c>
      <c r="P1199">
        <v>3</v>
      </c>
      <c r="Q1199">
        <v>3</v>
      </c>
      <c r="R1199">
        <v>2</v>
      </c>
      <c r="S1199">
        <v>2</v>
      </c>
      <c r="T1199">
        <v>3</v>
      </c>
      <c r="U1199">
        <v>2</v>
      </c>
      <c r="V1199">
        <v>4</v>
      </c>
      <c r="W1199">
        <v>4</v>
      </c>
      <c r="X1199">
        <v>3</v>
      </c>
      <c r="Y1199">
        <v>4</v>
      </c>
      <c r="Z1199">
        <v>2</v>
      </c>
      <c r="AA1199">
        <v>3</v>
      </c>
      <c r="AB1199">
        <v>4</v>
      </c>
      <c r="AC1199">
        <v>2</v>
      </c>
      <c r="AD1199">
        <v>4</v>
      </c>
      <c r="AE1199">
        <v>4</v>
      </c>
      <c r="AF1199">
        <v>4</v>
      </c>
      <c r="AG1199">
        <v>3</v>
      </c>
      <c r="AH1199">
        <v>4</v>
      </c>
      <c r="AI1199">
        <v>2</v>
      </c>
      <c r="AJ1199">
        <v>2</v>
      </c>
      <c r="AK1199" t="b">
        <f>Table67[[#This Row],[What is your age?]]&lt;&gt;"18 - 25"</f>
        <v>0</v>
      </c>
      <c r="AL1199" t="b">
        <f t="shared" si="72"/>
        <v>0</v>
      </c>
      <c r="AM1199" t="b">
        <f t="shared" si="73"/>
        <v>0</v>
      </c>
      <c r="AN1199" t="b">
        <f t="shared" si="74"/>
        <v>1</v>
      </c>
      <c r="AO1199" t="b">
        <f>OR(Table67[[#This Row],[Ineligible respondents]:[Inconsistent response on opposite question (3)]])</f>
        <v>1</v>
      </c>
      <c r="AP119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199">
        <f>Table67[[#This Row],[Extreme Response]]/21</f>
        <v>4.7619047619047616E-2</v>
      </c>
      <c r="AR1199">
        <f>_xlfn.PERCENTILE.INC(Table67[Extrem Response Ratio (ERS)],0.9)</f>
        <v>0.61904761904761907</v>
      </c>
      <c r="AS1199" t="b">
        <f>Table67[[#This Row],[Extrem Response Ratio (ERS)]]&gt;=Table67[[#This Row],[Threshold of ERS]]</f>
        <v>0</v>
      </c>
      <c r="AT1199">
        <f>COUNTIF(Table67[[#This Row],[The mechanism of digital assets is difficult to understand, which discourages me from exploring it (E.g, Tokenization, Blockchain)]:[If I want to try different ways to invest, I will explore digital assets.]], 3)</f>
        <v>6</v>
      </c>
      <c r="AU1199">
        <f>Table67[[#This Row],[Midpoint]]/21</f>
        <v>0.2857142857142857</v>
      </c>
      <c r="AV1199">
        <f>_xlfn.PERCENTILE.INC(Table67[Midpoint ratio],0.9)</f>
        <v>0.5714285714285714</v>
      </c>
      <c r="AW1199" t="b">
        <f>Table67[[#This Row],[Midpoint ratio]]&gt;=Table67[[#This Row],[Threshold of Midpoint ratio]]</f>
        <v>0</v>
      </c>
      <c r="AX1199" t="b">
        <f>OR(Table67[[#This Row],[Extreme Response Style]],Table67[[#This Row],[Mid-point Response Style]])</f>
        <v>0</v>
      </c>
      <c r="AY1199" t="b">
        <f>OR(Table67[[#This Row],[Delete? (Stage 1)]],Table67[[#This Row],[Delete? (Stage 2)]])</f>
        <v>1</v>
      </c>
      <c r="AZ1199" t="s">
        <v>84</v>
      </c>
    </row>
    <row r="1200" spans="1:52">
      <c r="A1200">
        <f t="shared" si="75"/>
        <v>1199</v>
      </c>
      <c r="B1200" s="3">
        <v>46056.911412037</v>
      </c>
      <c r="C1200" s="3">
        <v>46056.9191782407</v>
      </c>
      <c r="D1200" t="s">
        <v>53</v>
      </c>
      <c r="G1200" t="s">
        <v>74</v>
      </c>
      <c r="H1200" t="s">
        <v>55</v>
      </c>
      <c r="I1200" t="s">
        <v>56</v>
      </c>
      <c r="J1200" t="s">
        <v>60</v>
      </c>
      <c r="K1200" t="s">
        <v>62</v>
      </c>
      <c r="L1200" t="s">
        <v>58</v>
      </c>
      <c r="M1200" t="s">
        <v>61</v>
      </c>
      <c r="N1200">
        <v>1</v>
      </c>
      <c r="O1200">
        <v>1</v>
      </c>
      <c r="P1200">
        <v>4</v>
      </c>
      <c r="Q1200">
        <v>3</v>
      </c>
      <c r="R1200">
        <v>3</v>
      </c>
      <c r="S1200">
        <v>2</v>
      </c>
      <c r="T1200">
        <v>1</v>
      </c>
      <c r="U1200">
        <v>2</v>
      </c>
      <c r="V1200">
        <v>4</v>
      </c>
      <c r="W1200">
        <v>2</v>
      </c>
      <c r="X1200">
        <v>2</v>
      </c>
      <c r="Y1200">
        <v>2</v>
      </c>
      <c r="Z1200">
        <v>4</v>
      </c>
      <c r="AA1200">
        <v>2</v>
      </c>
      <c r="AB1200">
        <v>2</v>
      </c>
      <c r="AC1200">
        <v>1</v>
      </c>
      <c r="AD1200">
        <v>2</v>
      </c>
      <c r="AE1200">
        <v>1</v>
      </c>
      <c r="AF1200">
        <v>5</v>
      </c>
      <c r="AG1200">
        <v>4</v>
      </c>
      <c r="AH1200">
        <v>5</v>
      </c>
      <c r="AI1200">
        <v>1</v>
      </c>
      <c r="AJ1200">
        <v>1</v>
      </c>
      <c r="AK1200" t="b">
        <f>Table67[[#This Row],[What is your age?]]&lt;&gt;"18 - 25"</f>
        <v>1</v>
      </c>
      <c r="AL1200" t="b">
        <f t="shared" si="72"/>
        <v>0</v>
      </c>
      <c r="AM1200" t="b">
        <f t="shared" si="73"/>
        <v>1</v>
      </c>
      <c r="AN1200" t="b">
        <f t="shared" si="74"/>
        <v>0</v>
      </c>
      <c r="AO1200" t="b">
        <f>OR(Table67[[#This Row],[Ineligible respondents]:[Inconsistent response on opposite question (3)]])</f>
        <v>1</v>
      </c>
      <c r="AP120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200">
        <f>Table67[[#This Row],[Extreme Response]]/21</f>
        <v>0.33333333333333331</v>
      </c>
      <c r="AR1200">
        <f>_xlfn.PERCENTILE.INC(Table67[Extrem Response Ratio (ERS)],0.9)</f>
        <v>0.61904761904761907</v>
      </c>
      <c r="AS1200" t="b">
        <f>Table67[[#This Row],[Extrem Response Ratio (ERS)]]&gt;=Table67[[#This Row],[Threshold of ERS]]</f>
        <v>0</v>
      </c>
      <c r="AT1200">
        <f>COUNTIF(Table67[[#This Row],[The mechanism of digital assets is difficult to understand, which discourages me from exploring it (E.g, Tokenization, Blockchain)]:[If I want to try different ways to invest, I will explore digital assets.]], 3)</f>
        <v>2</v>
      </c>
      <c r="AU1200">
        <f>Table67[[#This Row],[Midpoint]]/21</f>
        <v>9.5238095238095233E-2</v>
      </c>
      <c r="AV1200">
        <f>_xlfn.PERCENTILE.INC(Table67[Midpoint ratio],0.9)</f>
        <v>0.5714285714285714</v>
      </c>
      <c r="AW1200" t="b">
        <f>Table67[[#This Row],[Midpoint ratio]]&gt;=Table67[[#This Row],[Threshold of Midpoint ratio]]</f>
        <v>0</v>
      </c>
      <c r="AX1200" t="b">
        <f>OR(Table67[[#This Row],[Extreme Response Style]],Table67[[#This Row],[Mid-point Response Style]])</f>
        <v>0</v>
      </c>
      <c r="AY1200" t="b">
        <f>OR(Table67[[#This Row],[Delete? (Stage 1)]],Table67[[#This Row],[Delete? (Stage 2)]])</f>
        <v>1</v>
      </c>
      <c r="AZ1200" t="s">
        <v>84</v>
      </c>
    </row>
    <row r="1201" spans="1:52">
      <c r="A1201">
        <f t="shared" si="75"/>
        <v>1200</v>
      </c>
      <c r="B1201" s="3">
        <v>46056.912546296298</v>
      </c>
      <c r="C1201" s="3">
        <v>46056.915520833303</v>
      </c>
      <c r="D1201" t="s">
        <v>53</v>
      </c>
      <c r="G1201" t="s">
        <v>54</v>
      </c>
      <c r="H1201" t="s">
        <v>63</v>
      </c>
      <c r="I1201" t="s">
        <v>56</v>
      </c>
      <c r="J1201" t="s">
        <v>60</v>
      </c>
      <c r="K1201" t="s">
        <v>64</v>
      </c>
      <c r="L1201" t="s">
        <v>58</v>
      </c>
      <c r="M1201" t="s">
        <v>58</v>
      </c>
      <c r="N1201">
        <v>4</v>
      </c>
      <c r="O1201">
        <v>2</v>
      </c>
      <c r="P1201">
        <v>4</v>
      </c>
      <c r="Q1201">
        <v>3</v>
      </c>
      <c r="R1201">
        <v>3</v>
      </c>
      <c r="S1201">
        <v>4</v>
      </c>
      <c r="T1201">
        <v>4</v>
      </c>
      <c r="U1201">
        <v>5</v>
      </c>
      <c r="V1201">
        <v>4</v>
      </c>
      <c r="W1201">
        <v>4</v>
      </c>
      <c r="X1201">
        <v>5</v>
      </c>
      <c r="Y1201">
        <v>5</v>
      </c>
      <c r="Z1201">
        <v>4</v>
      </c>
      <c r="AA1201">
        <v>4</v>
      </c>
      <c r="AB1201">
        <v>3</v>
      </c>
      <c r="AC1201">
        <v>5</v>
      </c>
      <c r="AD1201">
        <v>5</v>
      </c>
      <c r="AE1201">
        <v>4</v>
      </c>
      <c r="AF1201">
        <v>2</v>
      </c>
      <c r="AG1201">
        <v>4</v>
      </c>
      <c r="AH1201">
        <v>4</v>
      </c>
      <c r="AI1201">
        <v>2</v>
      </c>
      <c r="AJ1201">
        <v>4</v>
      </c>
      <c r="AK1201" t="b">
        <f>Table67[[#This Row],[What is your age?]]&lt;&gt;"18 - 25"</f>
        <v>0</v>
      </c>
      <c r="AL1201" t="b">
        <f t="shared" si="72"/>
        <v>0</v>
      </c>
      <c r="AM1201" t="b">
        <f t="shared" si="73"/>
        <v>1</v>
      </c>
      <c r="AN1201" t="b">
        <f t="shared" si="74"/>
        <v>0</v>
      </c>
      <c r="AO1201" t="b">
        <f>OR(Table67[[#This Row],[Ineligible respondents]:[Inconsistent response on opposite question (3)]])</f>
        <v>1</v>
      </c>
      <c r="AP120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201">
        <f>Table67[[#This Row],[Extreme Response]]/21</f>
        <v>0.23809523809523808</v>
      </c>
      <c r="AR1201">
        <f>_xlfn.PERCENTILE.INC(Table67[Extrem Response Ratio (ERS)],0.9)</f>
        <v>0.61904761904761907</v>
      </c>
      <c r="AS1201" t="b">
        <f>Table67[[#This Row],[Extrem Response Ratio (ERS)]]&gt;=Table67[[#This Row],[Threshold of ERS]]</f>
        <v>0</v>
      </c>
      <c r="AT1201">
        <f>COUNTIF(Table67[[#This Row],[The mechanism of digital assets is difficult to understand, which discourages me from exploring it (E.g, Tokenization, Blockchain)]:[If I want to try different ways to invest, I will explore digital assets.]], 3)</f>
        <v>3</v>
      </c>
      <c r="AU1201">
        <f>Table67[[#This Row],[Midpoint]]/21</f>
        <v>0.14285714285714285</v>
      </c>
      <c r="AV1201">
        <f>_xlfn.PERCENTILE.INC(Table67[Midpoint ratio],0.9)</f>
        <v>0.5714285714285714</v>
      </c>
      <c r="AW1201" t="b">
        <f>Table67[[#This Row],[Midpoint ratio]]&gt;=Table67[[#This Row],[Threshold of Midpoint ratio]]</f>
        <v>0</v>
      </c>
      <c r="AX1201" t="b">
        <f>OR(Table67[[#This Row],[Extreme Response Style]],Table67[[#This Row],[Mid-point Response Style]])</f>
        <v>0</v>
      </c>
      <c r="AY1201" t="b">
        <f>OR(Table67[[#This Row],[Delete? (Stage 1)]],Table67[[#This Row],[Delete? (Stage 2)]])</f>
        <v>1</v>
      </c>
      <c r="AZ1201" t="s">
        <v>84</v>
      </c>
    </row>
    <row r="1202" spans="1:52">
      <c r="A1202">
        <f t="shared" si="75"/>
        <v>1201</v>
      </c>
      <c r="B1202" s="3">
        <v>46056.912615740701</v>
      </c>
      <c r="C1202" s="3">
        <v>46056.918136574102</v>
      </c>
      <c r="D1202" t="s">
        <v>53</v>
      </c>
      <c r="G1202" t="s">
        <v>54</v>
      </c>
      <c r="H1202" t="s">
        <v>55</v>
      </c>
      <c r="I1202" t="s">
        <v>71</v>
      </c>
      <c r="J1202" t="s">
        <v>60</v>
      </c>
      <c r="K1202" t="s">
        <v>57</v>
      </c>
      <c r="L1202" t="s">
        <v>58</v>
      </c>
      <c r="M1202" t="s">
        <v>58</v>
      </c>
      <c r="N1202">
        <v>4</v>
      </c>
      <c r="O1202">
        <v>2</v>
      </c>
      <c r="P1202">
        <v>3</v>
      </c>
      <c r="Q1202">
        <v>2</v>
      </c>
      <c r="R1202">
        <v>3</v>
      </c>
      <c r="S1202">
        <v>5</v>
      </c>
      <c r="T1202">
        <v>4</v>
      </c>
      <c r="U1202">
        <v>4</v>
      </c>
      <c r="V1202">
        <v>4</v>
      </c>
      <c r="W1202">
        <v>3</v>
      </c>
      <c r="X1202">
        <v>3</v>
      </c>
      <c r="Y1202">
        <v>4</v>
      </c>
      <c r="Z1202">
        <v>5</v>
      </c>
      <c r="AA1202">
        <v>5</v>
      </c>
      <c r="AB1202">
        <v>3</v>
      </c>
      <c r="AC1202">
        <v>4</v>
      </c>
      <c r="AD1202">
        <v>4</v>
      </c>
      <c r="AE1202">
        <v>2</v>
      </c>
      <c r="AF1202">
        <v>2</v>
      </c>
      <c r="AG1202">
        <v>4</v>
      </c>
      <c r="AH1202">
        <v>4</v>
      </c>
      <c r="AI1202">
        <v>2</v>
      </c>
      <c r="AJ1202">
        <v>4</v>
      </c>
      <c r="AK1202" t="b">
        <f>Table67[[#This Row],[What is your age?]]&lt;&gt;"18 - 25"</f>
        <v>0</v>
      </c>
      <c r="AL1202" t="b">
        <f t="shared" si="72"/>
        <v>0</v>
      </c>
      <c r="AM1202" t="b">
        <f t="shared" si="73"/>
        <v>1</v>
      </c>
      <c r="AN1202" t="b">
        <f t="shared" si="74"/>
        <v>0</v>
      </c>
      <c r="AO1202" t="b">
        <f>OR(Table67[[#This Row],[Ineligible respondents]:[Inconsistent response on opposite question (3)]])</f>
        <v>1</v>
      </c>
      <c r="AP120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202">
        <f>Table67[[#This Row],[Extreme Response]]/21</f>
        <v>0.14285714285714285</v>
      </c>
      <c r="AR1202">
        <f>_xlfn.PERCENTILE.INC(Table67[Extrem Response Ratio (ERS)],0.9)</f>
        <v>0.61904761904761907</v>
      </c>
      <c r="AS1202" t="b">
        <f>Table67[[#This Row],[Extrem Response Ratio (ERS)]]&gt;=Table67[[#This Row],[Threshold of ERS]]</f>
        <v>0</v>
      </c>
      <c r="AT1202">
        <f>COUNTIF(Table67[[#This Row],[The mechanism of digital assets is difficult to understand, which discourages me from exploring it (E.g, Tokenization, Blockchain)]:[If I want to try different ways to invest, I will explore digital assets.]], 3)</f>
        <v>5</v>
      </c>
      <c r="AU1202">
        <f>Table67[[#This Row],[Midpoint]]/21</f>
        <v>0.23809523809523808</v>
      </c>
      <c r="AV1202">
        <f>_xlfn.PERCENTILE.INC(Table67[Midpoint ratio],0.9)</f>
        <v>0.5714285714285714</v>
      </c>
      <c r="AW1202" t="b">
        <f>Table67[[#This Row],[Midpoint ratio]]&gt;=Table67[[#This Row],[Threshold of Midpoint ratio]]</f>
        <v>0</v>
      </c>
      <c r="AX1202" t="b">
        <f>OR(Table67[[#This Row],[Extreme Response Style]],Table67[[#This Row],[Mid-point Response Style]])</f>
        <v>0</v>
      </c>
      <c r="AY1202" t="b">
        <f>OR(Table67[[#This Row],[Delete? (Stage 1)]],Table67[[#This Row],[Delete? (Stage 2)]])</f>
        <v>1</v>
      </c>
      <c r="AZ1202" t="s">
        <v>84</v>
      </c>
    </row>
    <row r="1203" spans="1:52">
      <c r="A1203">
        <f t="shared" si="75"/>
        <v>1202</v>
      </c>
      <c r="B1203" s="3">
        <v>46056.913067129601</v>
      </c>
      <c r="C1203" s="3">
        <v>46056.916608796302</v>
      </c>
      <c r="D1203" t="s">
        <v>53</v>
      </c>
      <c r="G1203" t="s">
        <v>54</v>
      </c>
      <c r="H1203" t="s">
        <v>63</v>
      </c>
      <c r="I1203" t="s">
        <v>56</v>
      </c>
      <c r="J1203" t="s">
        <v>60</v>
      </c>
      <c r="K1203" t="s">
        <v>57</v>
      </c>
      <c r="L1203" t="s">
        <v>58</v>
      </c>
      <c r="M1203" t="s">
        <v>58</v>
      </c>
      <c r="N1203">
        <v>5</v>
      </c>
      <c r="O1203">
        <v>5</v>
      </c>
      <c r="P1203">
        <v>5</v>
      </c>
      <c r="Q1203">
        <v>5</v>
      </c>
      <c r="R1203">
        <v>5</v>
      </c>
      <c r="S1203">
        <v>4</v>
      </c>
      <c r="T1203">
        <v>5</v>
      </c>
      <c r="U1203">
        <v>5</v>
      </c>
      <c r="V1203">
        <v>5</v>
      </c>
      <c r="W1203">
        <v>5</v>
      </c>
      <c r="X1203">
        <v>5</v>
      </c>
      <c r="Y1203">
        <v>5</v>
      </c>
      <c r="Z1203">
        <v>5</v>
      </c>
      <c r="AA1203">
        <v>5</v>
      </c>
      <c r="AB1203">
        <v>5</v>
      </c>
      <c r="AC1203">
        <v>5</v>
      </c>
      <c r="AD1203">
        <v>5</v>
      </c>
      <c r="AE1203">
        <v>5</v>
      </c>
      <c r="AF1203">
        <v>2</v>
      </c>
      <c r="AG1203">
        <v>4</v>
      </c>
      <c r="AH1203">
        <v>4</v>
      </c>
      <c r="AI1203">
        <v>2</v>
      </c>
      <c r="AJ1203">
        <v>4</v>
      </c>
      <c r="AK1203" t="b">
        <f>Table67[[#This Row],[What is your age?]]&lt;&gt;"18 - 25"</f>
        <v>0</v>
      </c>
      <c r="AL1203" t="b">
        <f t="shared" si="72"/>
        <v>0</v>
      </c>
      <c r="AM1203" t="b">
        <f t="shared" si="73"/>
        <v>1</v>
      </c>
      <c r="AN1203" t="b">
        <f t="shared" si="74"/>
        <v>0</v>
      </c>
      <c r="AO1203" t="b">
        <f>OR(Table67[[#This Row],[Ineligible respondents]:[Inconsistent response on opposite question (3)]])</f>
        <v>1</v>
      </c>
      <c r="AP120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17</v>
      </c>
      <c r="AQ1203">
        <f>Table67[[#This Row],[Extreme Response]]/21</f>
        <v>0.80952380952380953</v>
      </c>
      <c r="AR1203">
        <f>_xlfn.PERCENTILE.INC(Table67[Extrem Response Ratio (ERS)],0.9)</f>
        <v>0.61904761904761907</v>
      </c>
      <c r="AS1203" t="b">
        <f>Table67[[#This Row],[Extrem Response Ratio (ERS)]]&gt;=Table67[[#This Row],[Threshold of ERS]]</f>
        <v>1</v>
      </c>
      <c r="AT1203">
        <f>COUNTIF(Table67[[#This Row],[The mechanism of digital assets is difficult to understand, which discourages me from exploring it (E.g, Tokenization, Blockchain)]:[If I want to try different ways to invest, I will explore digital assets.]], 3)</f>
        <v>0</v>
      </c>
      <c r="AU1203">
        <f>Table67[[#This Row],[Midpoint]]/21</f>
        <v>0</v>
      </c>
      <c r="AV1203">
        <f>_xlfn.PERCENTILE.INC(Table67[Midpoint ratio],0.9)</f>
        <v>0.5714285714285714</v>
      </c>
      <c r="AW1203" t="b">
        <f>Table67[[#This Row],[Midpoint ratio]]&gt;=Table67[[#This Row],[Threshold of Midpoint ratio]]</f>
        <v>0</v>
      </c>
      <c r="AX1203" t="b">
        <f>OR(Table67[[#This Row],[Extreme Response Style]],Table67[[#This Row],[Mid-point Response Style]])</f>
        <v>1</v>
      </c>
      <c r="AY1203" t="b">
        <f>OR(Table67[[#This Row],[Delete? (Stage 1)]],Table67[[#This Row],[Delete? (Stage 2)]])</f>
        <v>1</v>
      </c>
      <c r="AZ1203" t="s">
        <v>84</v>
      </c>
    </row>
    <row r="1204" spans="1:52">
      <c r="A1204">
        <f t="shared" si="75"/>
        <v>1203</v>
      </c>
      <c r="B1204" s="3">
        <v>46056.913402777798</v>
      </c>
      <c r="C1204" s="3">
        <v>46056.9159490741</v>
      </c>
      <c r="D1204" t="s">
        <v>53</v>
      </c>
      <c r="G1204" t="s">
        <v>54</v>
      </c>
      <c r="H1204" t="s">
        <v>55</v>
      </c>
      <c r="I1204" t="s">
        <v>71</v>
      </c>
      <c r="J1204" t="s">
        <v>57</v>
      </c>
      <c r="K1204" t="s">
        <v>62</v>
      </c>
      <c r="L1204" t="s">
        <v>58</v>
      </c>
      <c r="M1204" t="s">
        <v>58</v>
      </c>
      <c r="N1204">
        <v>4</v>
      </c>
      <c r="O1204">
        <v>3</v>
      </c>
      <c r="P1204">
        <v>3</v>
      </c>
      <c r="Q1204">
        <v>3</v>
      </c>
      <c r="R1204">
        <v>2</v>
      </c>
      <c r="S1204">
        <v>2</v>
      </c>
      <c r="T1204">
        <v>3</v>
      </c>
      <c r="U1204">
        <v>4</v>
      </c>
      <c r="V1204">
        <v>3</v>
      </c>
      <c r="W1204">
        <v>3</v>
      </c>
      <c r="X1204">
        <v>3</v>
      </c>
      <c r="Y1204">
        <v>4</v>
      </c>
      <c r="Z1204">
        <v>4</v>
      </c>
      <c r="AA1204">
        <v>3</v>
      </c>
      <c r="AB1204">
        <v>4</v>
      </c>
      <c r="AC1204">
        <v>4</v>
      </c>
      <c r="AD1204">
        <v>5</v>
      </c>
      <c r="AE1204">
        <v>3</v>
      </c>
      <c r="AF1204">
        <v>4</v>
      </c>
      <c r="AG1204">
        <v>2</v>
      </c>
      <c r="AH1204">
        <v>4</v>
      </c>
      <c r="AI1204">
        <v>2</v>
      </c>
      <c r="AJ1204">
        <v>2</v>
      </c>
      <c r="AK1204" t="b">
        <f>Table67[[#This Row],[What is your age?]]&lt;&gt;"18 - 25"</f>
        <v>0</v>
      </c>
      <c r="AL1204" t="b">
        <f t="shared" si="72"/>
        <v>0</v>
      </c>
      <c r="AM1204" t="b">
        <f t="shared" si="73"/>
        <v>0</v>
      </c>
      <c r="AN1204" t="b">
        <f t="shared" si="74"/>
        <v>0</v>
      </c>
      <c r="AO1204" t="b">
        <f>OR(Table67[[#This Row],[Ineligible respondents]:[Inconsistent response on opposite question (3)]])</f>
        <v>0</v>
      </c>
      <c r="AP120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204">
        <f>Table67[[#This Row],[Extreme Response]]/21</f>
        <v>4.7619047619047616E-2</v>
      </c>
      <c r="AR1204">
        <f>_xlfn.PERCENTILE.INC(Table67[Extrem Response Ratio (ERS)],0.9)</f>
        <v>0.61904761904761907</v>
      </c>
      <c r="AS1204" t="b">
        <f>Table67[[#This Row],[Extrem Response Ratio (ERS)]]&gt;=Table67[[#This Row],[Threshold of ERS]]</f>
        <v>0</v>
      </c>
      <c r="AT1204">
        <f>COUNTIF(Table67[[#This Row],[The mechanism of digital assets is difficult to understand, which discourages me from exploring it (E.g, Tokenization, Blockchain)]:[If I want to try different ways to invest, I will explore digital assets.]], 3)</f>
        <v>9</v>
      </c>
      <c r="AU1204">
        <f>Table67[[#This Row],[Midpoint]]/21</f>
        <v>0.42857142857142855</v>
      </c>
      <c r="AV1204">
        <f>_xlfn.PERCENTILE.INC(Table67[Midpoint ratio],0.9)</f>
        <v>0.5714285714285714</v>
      </c>
      <c r="AW1204" t="b">
        <f>Table67[[#This Row],[Midpoint ratio]]&gt;=Table67[[#This Row],[Threshold of Midpoint ratio]]</f>
        <v>0</v>
      </c>
      <c r="AX1204" t="b">
        <f>OR(Table67[[#This Row],[Extreme Response Style]],Table67[[#This Row],[Mid-point Response Style]])</f>
        <v>0</v>
      </c>
      <c r="AY1204" t="b">
        <f>OR(Table67[[#This Row],[Delete? (Stage 1)]],Table67[[#This Row],[Delete? (Stage 2)]])</f>
        <v>0</v>
      </c>
      <c r="AZ1204" t="s">
        <v>84</v>
      </c>
    </row>
    <row r="1205" spans="1:52">
      <c r="A1205">
        <f t="shared" si="75"/>
        <v>1204</v>
      </c>
      <c r="B1205" s="3">
        <v>46056.913807870398</v>
      </c>
      <c r="C1205" s="3">
        <v>46056.914942129602</v>
      </c>
      <c r="D1205" t="s">
        <v>53</v>
      </c>
      <c r="G1205" t="s">
        <v>54</v>
      </c>
      <c r="H1205" t="s">
        <v>55</v>
      </c>
      <c r="I1205" t="s">
        <v>75</v>
      </c>
      <c r="J1205" t="s">
        <v>65</v>
      </c>
      <c r="K1205" t="s">
        <v>62</v>
      </c>
      <c r="L1205" t="s">
        <v>58</v>
      </c>
      <c r="M1205" t="s">
        <v>58</v>
      </c>
      <c r="N1205">
        <v>4</v>
      </c>
      <c r="O1205">
        <v>3</v>
      </c>
      <c r="P1205">
        <v>4</v>
      </c>
      <c r="Q1205">
        <v>5</v>
      </c>
      <c r="R1205">
        <v>5</v>
      </c>
      <c r="S1205">
        <v>4</v>
      </c>
      <c r="T1205">
        <v>3</v>
      </c>
      <c r="U1205">
        <v>4</v>
      </c>
      <c r="V1205">
        <v>5</v>
      </c>
      <c r="W1205">
        <v>4</v>
      </c>
      <c r="X1205">
        <v>5</v>
      </c>
      <c r="Y1205">
        <v>5</v>
      </c>
      <c r="Z1205">
        <v>4</v>
      </c>
      <c r="AA1205">
        <v>4</v>
      </c>
      <c r="AB1205">
        <v>4</v>
      </c>
      <c r="AC1205">
        <v>2</v>
      </c>
      <c r="AD1205">
        <v>1</v>
      </c>
      <c r="AE1205">
        <v>2</v>
      </c>
      <c r="AF1205">
        <v>2</v>
      </c>
      <c r="AG1205">
        <v>5</v>
      </c>
      <c r="AH1205">
        <v>3</v>
      </c>
      <c r="AI1205">
        <v>3</v>
      </c>
      <c r="AJ1205">
        <v>4</v>
      </c>
      <c r="AK1205" t="b">
        <f>Table67[[#This Row],[What is your age?]]&lt;&gt;"18 - 25"</f>
        <v>0</v>
      </c>
      <c r="AL1205" t="b">
        <f t="shared" si="72"/>
        <v>0</v>
      </c>
      <c r="AM1205" t="b">
        <f t="shared" si="73"/>
        <v>0</v>
      </c>
      <c r="AN1205" t="b">
        <f t="shared" si="74"/>
        <v>1</v>
      </c>
      <c r="AO1205" t="b">
        <f>OR(Table67[[#This Row],[Ineligible respondents]:[Inconsistent response on opposite question (3)]])</f>
        <v>1</v>
      </c>
      <c r="AP120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205">
        <f>Table67[[#This Row],[Extreme Response]]/21</f>
        <v>0.33333333333333331</v>
      </c>
      <c r="AR1205">
        <f>_xlfn.PERCENTILE.INC(Table67[Extrem Response Ratio (ERS)],0.9)</f>
        <v>0.61904761904761907</v>
      </c>
      <c r="AS1205" t="b">
        <f>Table67[[#This Row],[Extrem Response Ratio (ERS)]]&gt;=Table67[[#This Row],[Threshold of ERS]]</f>
        <v>0</v>
      </c>
      <c r="AT1205">
        <f>COUNTIF(Table67[[#This Row],[The mechanism of digital assets is difficult to understand, which discourages me from exploring it (E.g, Tokenization, Blockchain)]:[If I want to try different ways to invest, I will explore digital assets.]], 3)</f>
        <v>3</v>
      </c>
      <c r="AU1205">
        <f>Table67[[#This Row],[Midpoint]]/21</f>
        <v>0.14285714285714285</v>
      </c>
      <c r="AV1205">
        <f>_xlfn.PERCENTILE.INC(Table67[Midpoint ratio],0.9)</f>
        <v>0.5714285714285714</v>
      </c>
      <c r="AW1205" t="b">
        <f>Table67[[#This Row],[Midpoint ratio]]&gt;=Table67[[#This Row],[Threshold of Midpoint ratio]]</f>
        <v>0</v>
      </c>
      <c r="AX1205" t="b">
        <f>OR(Table67[[#This Row],[Extreme Response Style]],Table67[[#This Row],[Mid-point Response Style]])</f>
        <v>0</v>
      </c>
      <c r="AY1205" t="b">
        <f>OR(Table67[[#This Row],[Delete? (Stage 1)]],Table67[[#This Row],[Delete? (Stage 2)]])</f>
        <v>1</v>
      </c>
      <c r="AZ1205" t="s">
        <v>84</v>
      </c>
    </row>
    <row r="1206" spans="1:52">
      <c r="A1206">
        <f t="shared" si="75"/>
        <v>1205</v>
      </c>
      <c r="B1206" s="3">
        <v>46056.914074074099</v>
      </c>
      <c r="C1206" s="3">
        <v>46056.918946759302</v>
      </c>
      <c r="D1206" t="s">
        <v>53</v>
      </c>
      <c r="G1206" t="s">
        <v>54</v>
      </c>
      <c r="H1206" t="s">
        <v>55</v>
      </c>
      <c r="I1206" t="s">
        <v>56</v>
      </c>
      <c r="J1206" t="s">
        <v>64</v>
      </c>
      <c r="K1206" t="s">
        <v>64</v>
      </c>
      <c r="L1206" t="s">
        <v>58</v>
      </c>
      <c r="M1206" t="s">
        <v>58</v>
      </c>
      <c r="N1206">
        <v>4</v>
      </c>
      <c r="O1206">
        <v>3</v>
      </c>
      <c r="P1206">
        <v>4</v>
      </c>
      <c r="Q1206">
        <v>4</v>
      </c>
      <c r="R1206">
        <v>4</v>
      </c>
      <c r="S1206">
        <v>5</v>
      </c>
      <c r="T1206">
        <v>4</v>
      </c>
      <c r="U1206">
        <v>5</v>
      </c>
      <c r="V1206">
        <v>3</v>
      </c>
      <c r="W1206">
        <v>2</v>
      </c>
      <c r="X1206">
        <v>2</v>
      </c>
      <c r="Y1206">
        <v>2</v>
      </c>
      <c r="Z1206">
        <v>4</v>
      </c>
      <c r="AA1206">
        <v>5</v>
      </c>
      <c r="AB1206">
        <v>3</v>
      </c>
      <c r="AC1206">
        <v>4</v>
      </c>
      <c r="AD1206">
        <v>3</v>
      </c>
      <c r="AE1206">
        <v>4</v>
      </c>
      <c r="AF1206">
        <v>4</v>
      </c>
      <c r="AG1206">
        <v>2</v>
      </c>
      <c r="AH1206">
        <v>4</v>
      </c>
      <c r="AI1206">
        <v>2</v>
      </c>
      <c r="AJ1206">
        <v>2</v>
      </c>
      <c r="AK1206" t="b">
        <f>Table67[[#This Row],[What is your age?]]&lt;&gt;"18 - 25"</f>
        <v>0</v>
      </c>
      <c r="AL1206" t="b">
        <f t="shared" si="72"/>
        <v>0</v>
      </c>
      <c r="AM1206" t="b">
        <f t="shared" si="73"/>
        <v>0</v>
      </c>
      <c r="AN1206" t="b">
        <f t="shared" si="74"/>
        <v>0</v>
      </c>
      <c r="AO1206" t="b">
        <f>OR(Table67[[#This Row],[Ineligible respondents]:[Inconsistent response on opposite question (3)]])</f>
        <v>0</v>
      </c>
      <c r="AP120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206">
        <f>Table67[[#This Row],[Extreme Response]]/21</f>
        <v>0.14285714285714285</v>
      </c>
      <c r="AR1206">
        <f>_xlfn.PERCENTILE.INC(Table67[Extrem Response Ratio (ERS)],0.9)</f>
        <v>0.61904761904761907</v>
      </c>
      <c r="AS1206" t="b">
        <f>Table67[[#This Row],[Extrem Response Ratio (ERS)]]&gt;=Table67[[#This Row],[Threshold of ERS]]</f>
        <v>0</v>
      </c>
      <c r="AT1206">
        <f>COUNTIF(Table67[[#This Row],[The mechanism of digital assets is difficult to understand, which discourages me from exploring it (E.g, Tokenization, Blockchain)]:[If I want to try different ways to invest, I will explore digital assets.]], 3)</f>
        <v>4</v>
      </c>
      <c r="AU1206">
        <f>Table67[[#This Row],[Midpoint]]/21</f>
        <v>0.19047619047619047</v>
      </c>
      <c r="AV1206">
        <f>_xlfn.PERCENTILE.INC(Table67[Midpoint ratio],0.9)</f>
        <v>0.5714285714285714</v>
      </c>
      <c r="AW1206" t="b">
        <f>Table67[[#This Row],[Midpoint ratio]]&gt;=Table67[[#This Row],[Threshold of Midpoint ratio]]</f>
        <v>0</v>
      </c>
      <c r="AX1206" t="b">
        <f>OR(Table67[[#This Row],[Extreme Response Style]],Table67[[#This Row],[Mid-point Response Style]])</f>
        <v>0</v>
      </c>
      <c r="AY1206" t="b">
        <f>OR(Table67[[#This Row],[Delete? (Stage 1)]],Table67[[#This Row],[Delete? (Stage 2)]])</f>
        <v>0</v>
      </c>
      <c r="AZ1206" t="s">
        <v>84</v>
      </c>
    </row>
    <row r="1207" spans="1:52">
      <c r="A1207">
        <f t="shared" si="75"/>
        <v>1206</v>
      </c>
      <c r="B1207" s="3">
        <v>46056.914074074099</v>
      </c>
      <c r="C1207" s="3">
        <v>46056.925821759301</v>
      </c>
      <c r="D1207" t="s">
        <v>53</v>
      </c>
      <c r="G1207" t="s">
        <v>54</v>
      </c>
      <c r="H1207" t="s">
        <v>63</v>
      </c>
      <c r="I1207" t="s">
        <v>56</v>
      </c>
      <c r="J1207" t="s">
        <v>60</v>
      </c>
      <c r="K1207" t="s">
        <v>62</v>
      </c>
      <c r="L1207" t="s">
        <v>58</v>
      </c>
      <c r="M1207" t="s">
        <v>58</v>
      </c>
      <c r="N1207">
        <v>3</v>
      </c>
      <c r="O1207">
        <v>3</v>
      </c>
      <c r="P1207">
        <v>1</v>
      </c>
      <c r="Q1207">
        <v>3</v>
      </c>
      <c r="R1207">
        <v>5</v>
      </c>
      <c r="S1207">
        <v>4</v>
      </c>
      <c r="T1207">
        <v>4</v>
      </c>
      <c r="U1207">
        <v>5</v>
      </c>
      <c r="V1207">
        <v>5</v>
      </c>
      <c r="W1207">
        <v>5</v>
      </c>
      <c r="X1207">
        <v>5</v>
      </c>
      <c r="Y1207">
        <v>5</v>
      </c>
      <c r="Z1207">
        <v>5</v>
      </c>
      <c r="AA1207">
        <v>5</v>
      </c>
      <c r="AB1207">
        <v>5</v>
      </c>
      <c r="AC1207">
        <v>5</v>
      </c>
      <c r="AD1207">
        <v>3</v>
      </c>
      <c r="AE1207">
        <v>3</v>
      </c>
      <c r="AF1207">
        <v>1</v>
      </c>
      <c r="AG1207">
        <v>5</v>
      </c>
      <c r="AH1207">
        <v>1</v>
      </c>
      <c r="AI1207">
        <v>5</v>
      </c>
      <c r="AJ1207">
        <v>5</v>
      </c>
      <c r="AK1207" t="b">
        <f>Table67[[#This Row],[What is your age?]]&lt;&gt;"18 - 25"</f>
        <v>0</v>
      </c>
      <c r="AL1207" t="b">
        <f t="shared" si="72"/>
        <v>0</v>
      </c>
      <c r="AM1207" t="b">
        <f t="shared" si="73"/>
        <v>0</v>
      </c>
      <c r="AN1207" t="b">
        <f t="shared" si="74"/>
        <v>0</v>
      </c>
      <c r="AO1207" t="b">
        <f>OR(Table67[[#This Row],[Ineligible respondents]:[Inconsistent response on opposite question (3)]])</f>
        <v>0</v>
      </c>
      <c r="AP120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1207">
        <f>Table67[[#This Row],[Extreme Response]]/21</f>
        <v>0.66666666666666663</v>
      </c>
      <c r="AR1207">
        <f>_xlfn.PERCENTILE.INC(Table67[Extrem Response Ratio (ERS)],0.9)</f>
        <v>0.61904761904761907</v>
      </c>
      <c r="AS1207" t="b">
        <f>Table67[[#This Row],[Extrem Response Ratio (ERS)]]&gt;=Table67[[#This Row],[Threshold of ERS]]</f>
        <v>1</v>
      </c>
      <c r="AT1207">
        <f>COUNTIF(Table67[[#This Row],[The mechanism of digital assets is difficult to understand, which discourages me from exploring it (E.g, Tokenization, Blockchain)]:[If I want to try different ways to invest, I will explore digital assets.]], 3)</f>
        <v>5</v>
      </c>
      <c r="AU1207">
        <f>Table67[[#This Row],[Midpoint]]/21</f>
        <v>0.23809523809523808</v>
      </c>
      <c r="AV1207">
        <f>_xlfn.PERCENTILE.INC(Table67[Midpoint ratio],0.9)</f>
        <v>0.5714285714285714</v>
      </c>
      <c r="AW1207" t="b">
        <f>Table67[[#This Row],[Midpoint ratio]]&gt;=Table67[[#This Row],[Threshold of Midpoint ratio]]</f>
        <v>0</v>
      </c>
      <c r="AX1207" t="b">
        <f>OR(Table67[[#This Row],[Extreme Response Style]],Table67[[#This Row],[Mid-point Response Style]])</f>
        <v>1</v>
      </c>
      <c r="AY1207" t="b">
        <f>OR(Table67[[#This Row],[Delete? (Stage 1)]],Table67[[#This Row],[Delete? (Stage 2)]])</f>
        <v>1</v>
      </c>
      <c r="AZ1207" t="s">
        <v>84</v>
      </c>
    </row>
    <row r="1208" spans="1:52">
      <c r="A1208">
        <f t="shared" si="75"/>
        <v>1207</v>
      </c>
      <c r="B1208" s="3">
        <v>46056.914490740703</v>
      </c>
      <c r="C1208" s="3">
        <v>46056.923958333296</v>
      </c>
      <c r="D1208" t="s">
        <v>53</v>
      </c>
      <c r="G1208" t="s">
        <v>54</v>
      </c>
      <c r="H1208" t="s">
        <v>55</v>
      </c>
      <c r="I1208" t="s">
        <v>56</v>
      </c>
      <c r="J1208" t="s">
        <v>62</v>
      </c>
      <c r="K1208" t="s">
        <v>62</v>
      </c>
      <c r="L1208" t="s">
        <v>58</v>
      </c>
      <c r="M1208" t="s">
        <v>58</v>
      </c>
      <c r="N1208">
        <v>4</v>
      </c>
      <c r="O1208">
        <v>5</v>
      </c>
      <c r="P1208">
        <v>3</v>
      </c>
      <c r="Q1208">
        <v>4</v>
      </c>
      <c r="R1208">
        <v>2</v>
      </c>
      <c r="S1208">
        <v>3</v>
      </c>
      <c r="T1208">
        <v>1</v>
      </c>
      <c r="U1208">
        <v>3</v>
      </c>
      <c r="V1208">
        <v>3</v>
      </c>
      <c r="W1208">
        <v>4</v>
      </c>
      <c r="X1208">
        <v>2</v>
      </c>
      <c r="Y1208">
        <v>4</v>
      </c>
      <c r="Z1208">
        <v>3</v>
      </c>
      <c r="AA1208">
        <v>3</v>
      </c>
      <c r="AB1208">
        <v>3</v>
      </c>
      <c r="AC1208">
        <v>3</v>
      </c>
      <c r="AD1208">
        <v>3</v>
      </c>
      <c r="AE1208">
        <v>1</v>
      </c>
      <c r="AF1208">
        <v>4</v>
      </c>
      <c r="AG1208">
        <v>1</v>
      </c>
      <c r="AH1208">
        <v>3</v>
      </c>
      <c r="AI1208">
        <v>3</v>
      </c>
      <c r="AJ1208">
        <v>2</v>
      </c>
      <c r="AK1208" t="b">
        <f>Table67[[#This Row],[What is your age?]]&lt;&gt;"18 - 25"</f>
        <v>0</v>
      </c>
      <c r="AL1208" t="b">
        <f t="shared" si="72"/>
        <v>0</v>
      </c>
      <c r="AM1208" t="b">
        <f t="shared" si="73"/>
        <v>0</v>
      </c>
      <c r="AN1208" t="b">
        <f t="shared" si="74"/>
        <v>1</v>
      </c>
      <c r="AO1208" t="b">
        <f>OR(Table67[[#This Row],[Ineligible respondents]:[Inconsistent response on opposite question (3)]])</f>
        <v>1</v>
      </c>
      <c r="AP120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208">
        <f>Table67[[#This Row],[Extreme Response]]/21</f>
        <v>0.19047619047619047</v>
      </c>
      <c r="AR1208">
        <f>_xlfn.PERCENTILE.INC(Table67[Extrem Response Ratio (ERS)],0.9)</f>
        <v>0.61904761904761907</v>
      </c>
      <c r="AS1208" t="b">
        <f>Table67[[#This Row],[Extrem Response Ratio (ERS)]]&gt;=Table67[[#This Row],[Threshold of ERS]]</f>
        <v>0</v>
      </c>
      <c r="AT1208">
        <f>COUNTIF(Table67[[#This Row],[The mechanism of digital assets is difficult to understand, which discourages me from exploring it (E.g, Tokenization, Blockchain)]:[If I want to try different ways to invest, I will explore digital assets.]], 3)</f>
        <v>10</v>
      </c>
      <c r="AU1208">
        <f>Table67[[#This Row],[Midpoint]]/21</f>
        <v>0.47619047619047616</v>
      </c>
      <c r="AV1208">
        <f>_xlfn.PERCENTILE.INC(Table67[Midpoint ratio],0.9)</f>
        <v>0.5714285714285714</v>
      </c>
      <c r="AW1208" t="b">
        <f>Table67[[#This Row],[Midpoint ratio]]&gt;=Table67[[#This Row],[Threshold of Midpoint ratio]]</f>
        <v>0</v>
      </c>
      <c r="AX1208" t="b">
        <f>OR(Table67[[#This Row],[Extreme Response Style]],Table67[[#This Row],[Mid-point Response Style]])</f>
        <v>0</v>
      </c>
      <c r="AY1208" t="b">
        <f>OR(Table67[[#This Row],[Delete? (Stage 1)]],Table67[[#This Row],[Delete? (Stage 2)]])</f>
        <v>1</v>
      </c>
      <c r="AZ1208" t="s">
        <v>84</v>
      </c>
    </row>
    <row r="1209" spans="1:52">
      <c r="A1209">
        <f t="shared" si="75"/>
        <v>1208</v>
      </c>
      <c r="B1209" s="3">
        <v>46056.914502314801</v>
      </c>
      <c r="C1209" s="3">
        <v>46056.915601851797</v>
      </c>
      <c r="D1209" t="s">
        <v>53</v>
      </c>
      <c r="G1209" t="s">
        <v>76</v>
      </c>
      <c r="H1209" t="s">
        <v>63</v>
      </c>
      <c r="I1209" t="s">
        <v>75</v>
      </c>
      <c r="J1209" t="s">
        <v>65</v>
      </c>
      <c r="K1209" t="s">
        <v>62</v>
      </c>
      <c r="L1209" t="s">
        <v>61</v>
      </c>
      <c r="M1209" t="s">
        <v>61</v>
      </c>
      <c r="N1209">
        <v>3</v>
      </c>
      <c r="O1209">
        <v>3</v>
      </c>
      <c r="P1209">
        <v>4</v>
      </c>
      <c r="Q1209">
        <v>3</v>
      </c>
      <c r="R1209">
        <v>4</v>
      </c>
      <c r="S1209">
        <v>2</v>
      </c>
      <c r="T1209">
        <v>4</v>
      </c>
      <c r="U1209">
        <v>3</v>
      </c>
      <c r="V1209">
        <v>2</v>
      </c>
      <c r="W1209">
        <v>3</v>
      </c>
      <c r="X1209">
        <v>4</v>
      </c>
      <c r="Y1209">
        <v>3</v>
      </c>
      <c r="Z1209">
        <v>2</v>
      </c>
      <c r="AA1209">
        <v>4</v>
      </c>
      <c r="AB1209">
        <v>3</v>
      </c>
      <c r="AC1209">
        <v>4</v>
      </c>
      <c r="AD1209">
        <v>4</v>
      </c>
      <c r="AE1209">
        <v>2</v>
      </c>
      <c r="AF1209">
        <v>3</v>
      </c>
      <c r="AG1209">
        <v>4</v>
      </c>
      <c r="AH1209">
        <v>3</v>
      </c>
      <c r="AI1209">
        <v>3</v>
      </c>
      <c r="AJ1209">
        <v>3</v>
      </c>
      <c r="AK1209" t="b">
        <f>Table67[[#This Row],[What is your age?]]&lt;&gt;"18 - 25"</f>
        <v>1</v>
      </c>
      <c r="AL1209" t="b">
        <f t="shared" si="72"/>
        <v>0</v>
      </c>
      <c r="AM1209" t="b">
        <f t="shared" si="73"/>
        <v>0</v>
      </c>
      <c r="AN1209" t="b">
        <f t="shared" si="74"/>
        <v>1</v>
      </c>
      <c r="AO1209" t="b">
        <f>OR(Table67[[#This Row],[Ineligible respondents]:[Inconsistent response on opposite question (3)]])</f>
        <v>1</v>
      </c>
      <c r="AP120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209">
        <f>Table67[[#This Row],[Extreme Response]]/21</f>
        <v>0</v>
      </c>
      <c r="AR1209">
        <f>_xlfn.PERCENTILE.INC(Table67[Extrem Response Ratio (ERS)],0.9)</f>
        <v>0.61904761904761907</v>
      </c>
      <c r="AS1209" t="b">
        <f>Table67[[#This Row],[Extrem Response Ratio (ERS)]]&gt;=Table67[[#This Row],[Threshold of ERS]]</f>
        <v>0</v>
      </c>
      <c r="AT1209">
        <f>COUNTIF(Table67[[#This Row],[The mechanism of digital assets is difficult to understand, which discourages me from exploring it (E.g, Tokenization, Blockchain)]:[If I want to try different ways to invest, I will explore digital assets.]], 3)</f>
        <v>9</v>
      </c>
      <c r="AU1209">
        <f>Table67[[#This Row],[Midpoint]]/21</f>
        <v>0.42857142857142855</v>
      </c>
      <c r="AV1209">
        <f>_xlfn.PERCENTILE.INC(Table67[Midpoint ratio],0.9)</f>
        <v>0.5714285714285714</v>
      </c>
      <c r="AW1209" t="b">
        <f>Table67[[#This Row],[Midpoint ratio]]&gt;=Table67[[#This Row],[Threshold of Midpoint ratio]]</f>
        <v>0</v>
      </c>
      <c r="AX1209" t="b">
        <f>OR(Table67[[#This Row],[Extreme Response Style]],Table67[[#This Row],[Mid-point Response Style]])</f>
        <v>0</v>
      </c>
      <c r="AY1209" t="b">
        <f>OR(Table67[[#This Row],[Delete? (Stage 1)]],Table67[[#This Row],[Delete? (Stage 2)]])</f>
        <v>1</v>
      </c>
      <c r="AZ1209" t="s">
        <v>84</v>
      </c>
    </row>
    <row r="1210" spans="1:52">
      <c r="A1210">
        <f t="shared" si="75"/>
        <v>1209</v>
      </c>
      <c r="B1210" s="3">
        <v>46056.914745370399</v>
      </c>
      <c r="C1210" s="3">
        <v>46056.917164351798</v>
      </c>
      <c r="D1210" t="s">
        <v>53</v>
      </c>
      <c r="G1210" t="s">
        <v>54</v>
      </c>
      <c r="H1210" t="s">
        <v>63</v>
      </c>
      <c r="I1210" t="s">
        <v>56</v>
      </c>
      <c r="J1210" t="s">
        <v>60</v>
      </c>
      <c r="K1210" t="s">
        <v>57</v>
      </c>
      <c r="L1210" t="s">
        <v>61</v>
      </c>
      <c r="M1210" t="s">
        <v>61</v>
      </c>
      <c r="N1210">
        <v>4</v>
      </c>
      <c r="O1210">
        <v>2</v>
      </c>
      <c r="P1210">
        <v>5</v>
      </c>
      <c r="Q1210">
        <v>4</v>
      </c>
      <c r="R1210">
        <v>4</v>
      </c>
      <c r="S1210">
        <v>4</v>
      </c>
      <c r="T1210">
        <v>4</v>
      </c>
      <c r="U1210">
        <v>5</v>
      </c>
      <c r="V1210">
        <v>5</v>
      </c>
      <c r="W1210">
        <v>5</v>
      </c>
      <c r="X1210">
        <v>4</v>
      </c>
      <c r="Y1210">
        <v>3</v>
      </c>
      <c r="Z1210">
        <v>4</v>
      </c>
      <c r="AA1210">
        <v>5</v>
      </c>
      <c r="AB1210">
        <v>4</v>
      </c>
      <c r="AC1210">
        <v>5</v>
      </c>
      <c r="AD1210">
        <v>5</v>
      </c>
      <c r="AE1210">
        <v>2</v>
      </c>
      <c r="AF1210">
        <v>3</v>
      </c>
      <c r="AG1210">
        <v>4</v>
      </c>
      <c r="AH1210">
        <v>4</v>
      </c>
      <c r="AI1210">
        <v>2</v>
      </c>
      <c r="AJ1210">
        <v>3</v>
      </c>
      <c r="AK1210" t="b">
        <f>Table67[[#This Row],[What is your age?]]&lt;&gt;"18 - 25"</f>
        <v>0</v>
      </c>
      <c r="AL1210" t="b">
        <f t="shared" si="72"/>
        <v>0</v>
      </c>
      <c r="AM1210" t="b">
        <f t="shared" si="73"/>
        <v>1</v>
      </c>
      <c r="AN1210" t="b">
        <f t="shared" si="74"/>
        <v>0</v>
      </c>
      <c r="AO1210" t="b">
        <f>OR(Table67[[#This Row],[Ineligible respondents]:[Inconsistent response on opposite question (3)]])</f>
        <v>1</v>
      </c>
      <c r="AP121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210">
        <f>Table67[[#This Row],[Extreme Response]]/21</f>
        <v>0.33333333333333331</v>
      </c>
      <c r="AR1210">
        <f>_xlfn.PERCENTILE.INC(Table67[Extrem Response Ratio (ERS)],0.9)</f>
        <v>0.61904761904761907</v>
      </c>
      <c r="AS1210" t="b">
        <f>Table67[[#This Row],[Extrem Response Ratio (ERS)]]&gt;=Table67[[#This Row],[Threshold of ERS]]</f>
        <v>0</v>
      </c>
      <c r="AT1210">
        <f>COUNTIF(Table67[[#This Row],[The mechanism of digital assets is difficult to understand, which discourages me from exploring it (E.g, Tokenization, Blockchain)]:[If I want to try different ways to invest, I will explore digital assets.]], 3)</f>
        <v>2</v>
      </c>
      <c r="AU1210">
        <f>Table67[[#This Row],[Midpoint]]/21</f>
        <v>9.5238095238095233E-2</v>
      </c>
      <c r="AV1210">
        <f>_xlfn.PERCENTILE.INC(Table67[Midpoint ratio],0.9)</f>
        <v>0.5714285714285714</v>
      </c>
      <c r="AW1210" t="b">
        <f>Table67[[#This Row],[Midpoint ratio]]&gt;=Table67[[#This Row],[Threshold of Midpoint ratio]]</f>
        <v>0</v>
      </c>
      <c r="AX1210" t="b">
        <f>OR(Table67[[#This Row],[Extreme Response Style]],Table67[[#This Row],[Mid-point Response Style]])</f>
        <v>0</v>
      </c>
      <c r="AY1210" t="b">
        <f>OR(Table67[[#This Row],[Delete? (Stage 1)]],Table67[[#This Row],[Delete? (Stage 2)]])</f>
        <v>1</v>
      </c>
      <c r="AZ1210" t="s">
        <v>84</v>
      </c>
    </row>
    <row r="1211" spans="1:52">
      <c r="A1211">
        <f t="shared" si="75"/>
        <v>1210</v>
      </c>
      <c r="B1211" s="3">
        <v>46056.915011574099</v>
      </c>
      <c r="C1211" s="3">
        <v>46056.917789351799</v>
      </c>
      <c r="D1211" t="s">
        <v>53</v>
      </c>
      <c r="G1211" t="s">
        <v>54</v>
      </c>
      <c r="H1211" t="s">
        <v>55</v>
      </c>
      <c r="I1211" t="s">
        <v>71</v>
      </c>
      <c r="J1211" t="s">
        <v>64</v>
      </c>
      <c r="K1211" t="s">
        <v>57</v>
      </c>
      <c r="L1211" t="s">
        <v>58</v>
      </c>
      <c r="M1211" t="s">
        <v>58</v>
      </c>
      <c r="N1211">
        <v>3</v>
      </c>
      <c r="O1211">
        <v>2</v>
      </c>
      <c r="P1211">
        <v>4</v>
      </c>
      <c r="Q1211">
        <v>3</v>
      </c>
      <c r="R1211">
        <v>2</v>
      </c>
      <c r="S1211">
        <v>4</v>
      </c>
      <c r="T1211">
        <v>5</v>
      </c>
      <c r="U1211">
        <v>4</v>
      </c>
      <c r="V1211">
        <v>4</v>
      </c>
      <c r="W1211">
        <v>4</v>
      </c>
      <c r="X1211">
        <v>4</v>
      </c>
      <c r="Y1211">
        <v>4</v>
      </c>
      <c r="Z1211">
        <v>5</v>
      </c>
      <c r="AA1211">
        <v>4</v>
      </c>
      <c r="AB1211">
        <v>2</v>
      </c>
      <c r="AC1211">
        <v>3</v>
      </c>
      <c r="AD1211">
        <v>4</v>
      </c>
      <c r="AE1211">
        <v>2</v>
      </c>
      <c r="AF1211">
        <v>3</v>
      </c>
      <c r="AG1211">
        <v>3</v>
      </c>
      <c r="AH1211">
        <v>4</v>
      </c>
      <c r="AI1211">
        <v>2</v>
      </c>
      <c r="AJ1211">
        <v>3</v>
      </c>
      <c r="AK1211" t="b">
        <f>Table67[[#This Row],[What is your age?]]&lt;&gt;"18 - 25"</f>
        <v>0</v>
      </c>
      <c r="AL1211" t="b">
        <f t="shared" si="72"/>
        <v>0</v>
      </c>
      <c r="AM1211" t="b">
        <f t="shared" si="73"/>
        <v>0</v>
      </c>
      <c r="AN1211" t="b">
        <f t="shared" si="74"/>
        <v>1</v>
      </c>
      <c r="AO1211" t="b">
        <f>OR(Table67[[#This Row],[Ineligible respondents]:[Inconsistent response on opposite question (3)]])</f>
        <v>1</v>
      </c>
      <c r="AP121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211">
        <f>Table67[[#This Row],[Extreme Response]]/21</f>
        <v>9.5238095238095233E-2</v>
      </c>
      <c r="AR1211">
        <f>_xlfn.PERCENTILE.INC(Table67[Extrem Response Ratio (ERS)],0.9)</f>
        <v>0.61904761904761907</v>
      </c>
      <c r="AS1211" t="b">
        <f>Table67[[#This Row],[Extrem Response Ratio (ERS)]]&gt;=Table67[[#This Row],[Threshold of ERS]]</f>
        <v>0</v>
      </c>
      <c r="AT1211">
        <f>COUNTIF(Table67[[#This Row],[The mechanism of digital assets is difficult to understand, which discourages me from exploring it (E.g, Tokenization, Blockchain)]:[If I want to try different ways to invest, I will explore digital assets.]], 3)</f>
        <v>5</v>
      </c>
      <c r="AU1211">
        <f>Table67[[#This Row],[Midpoint]]/21</f>
        <v>0.23809523809523808</v>
      </c>
      <c r="AV1211">
        <f>_xlfn.PERCENTILE.INC(Table67[Midpoint ratio],0.9)</f>
        <v>0.5714285714285714</v>
      </c>
      <c r="AW1211" t="b">
        <f>Table67[[#This Row],[Midpoint ratio]]&gt;=Table67[[#This Row],[Threshold of Midpoint ratio]]</f>
        <v>0</v>
      </c>
      <c r="AX1211" t="b">
        <f>OR(Table67[[#This Row],[Extreme Response Style]],Table67[[#This Row],[Mid-point Response Style]])</f>
        <v>0</v>
      </c>
      <c r="AY1211" t="b">
        <f>OR(Table67[[#This Row],[Delete? (Stage 1)]],Table67[[#This Row],[Delete? (Stage 2)]])</f>
        <v>1</v>
      </c>
      <c r="AZ1211" t="s">
        <v>84</v>
      </c>
    </row>
    <row r="1212" spans="1:52">
      <c r="A1212">
        <f t="shared" si="75"/>
        <v>1211</v>
      </c>
      <c r="B1212" s="3">
        <v>46056.915057870399</v>
      </c>
      <c r="C1212" s="3">
        <v>46056.918865740699</v>
      </c>
      <c r="D1212" t="s">
        <v>53</v>
      </c>
      <c r="G1212" t="s">
        <v>54</v>
      </c>
      <c r="H1212" t="s">
        <v>63</v>
      </c>
      <c r="I1212" t="s">
        <v>56</v>
      </c>
      <c r="J1212" t="s">
        <v>62</v>
      </c>
      <c r="K1212" t="s">
        <v>62</v>
      </c>
      <c r="L1212" t="s">
        <v>61</v>
      </c>
      <c r="M1212" t="s">
        <v>61</v>
      </c>
      <c r="N1212">
        <v>4</v>
      </c>
      <c r="O1212">
        <v>5</v>
      </c>
      <c r="P1212">
        <v>4</v>
      </c>
      <c r="Q1212">
        <v>3</v>
      </c>
      <c r="R1212">
        <v>3</v>
      </c>
      <c r="S1212">
        <v>4</v>
      </c>
      <c r="T1212">
        <v>2</v>
      </c>
      <c r="U1212">
        <v>3</v>
      </c>
      <c r="V1212">
        <v>4</v>
      </c>
      <c r="W1212">
        <v>4</v>
      </c>
      <c r="X1212">
        <v>3</v>
      </c>
      <c r="Y1212">
        <v>4</v>
      </c>
      <c r="Z1212">
        <v>4</v>
      </c>
      <c r="AA1212">
        <v>4</v>
      </c>
      <c r="AB1212">
        <v>4</v>
      </c>
      <c r="AC1212">
        <v>4</v>
      </c>
      <c r="AD1212">
        <v>4</v>
      </c>
      <c r="AE1212">
        <v>4</v>
      </c>
      <c r="AF1212">
        <v>4</v>
      </c>
      <c r="AG1212">
        <v>2</v>
      </c>
      <c r="AH1212">
        <v>3</v>
      </c>
      <c r="AI1212">
        <v>3</v>
      </c>
      <c r="AJ1212">
        <v>2</v>
      </c>
      <c r="AK1212" t="b">
        <f>Table67[[#This Row],[What is your age?]]&lt;&gt;"18 - 25"</f>
        <v>0</v>
      </c>
      <c r="AL1212" t="b">
        <f t="shared" si="72"/>
        <v>0</v>
      </c>
      <c r="AM1212" t="b">
        <f t="shared" si="73"/>
        <v>0</v>
      </c>
      <c r="AN1212" t="b">
        <f t="shared" si="74"/>
        <v>1</v>
      </c>
      <c r="AO1212" t="b">
        <f>OR(Table67[[#This Row],[Ineligible respondents]:[Inconsistent response on opposite question (3)]])</f>
        <v>1</v>
      </c>
      <c r="AP121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212">
        <f>Table67[[#This Row],[Extreme Response]]/21</f>
        <v>4.7619047619047616E-2</v>
      </c>
      <c r="AR1212">
        <f>_xlfn.PERCENTILE.INC(Table67[Extrem Response Ratio (ERS)],0.9)</f>
        <v>0.61904761904761907</v>
      </c>
      <c r="AS1212" t="b">
        <f>Table67[[#This Row],[Extrem Response Ratio (ERS)]]&gt;=Table67[[#This Row],[Threshold of ERS]]</f>
        <v>0</v>
      </c>
      <c r="AT1212">
        <f>COUNTIF(Table67[[#This Row],[The mechanism of digital assets is difficult to understand, which discourages me from exploring it (E.g, Tokenization, Blockchain)]:[If I want to try different ways to invest, I will explore digital assets.]], 3)</f>
        <v>5</v>
      </c>
      <c r="AU1212">
        <f>Table67[[#This Row],[Midpoint]]/21</f>
        <v>0.23809523809523808</v>
      </c>
      <c r="AV1212">
        <f>_xlfn.PERCENTILE.INC(Table67[Midpoint ratio],0.9)</f>
        <v>0.5714285714285714</v>
      </c>
      <c r="AW1212" t="b">
        <f>Table67[[#This Row],[Midpoint ratio]]&gt;=Table67[[#This Row],[Threshold of Midpoint ratio]]</f>
        <v>0</v>
      </c>
      <c r="AX1212" t="b">
        <f>OR(Table67[[#This Row],[Extreme Response Style]],Table67[[#This Row],[Mid-point Response Style]])</f>
        <v>0</v>
      </c>
      <c r="AY1212" t="b">
        <f>OR(Table67[[#This Row],[Delete? (Stage 1)]],Table67[[#This Row],[Delete? (Stage 2)]])</f>
        <v>1</v>
      </c>
      <c r="AZ1212" t="s">
        <v>84</v>
      </c>
    </row>
    <row r="1213" spans="1:52">
      <c r="A1213">
        <f t="shared" si="75"/>
        <v>1212</v>
      </c>
      <c r="B1213" s="3">
        <v>46056.915081018502</v>
      </c>
      <c r="C1213" s="3">
        <v>46056.919386574104</v>
      </c>
      <c r="D1213" t="s">
        <v>53</v>
      </c>
      <c r="G1213" t="s">
        <v>73</v>
      </c>
      <c r="H1213" t="s">
        <v>55</v>
      </c>
      <c r="I1213" t="s">
        <v>75</v>
      </c>
      <c r="J1213" t="s">
        <v>67</v>
      </c>
      <c r="K1213" t="s">
        <v>62</v>
      </c>
      <c r="L1213" t="s">
        <v>61</v>
      </c>
      <c r="M1213" t="s">
        <v>58</v>
      </c>
      <c r="N1213">
        <v>3</v>
      </c>
      <c r="O1213">
        <v>2</v>
      </c>
      <c r="P1213">
        <v>2</v>
      </c>
      <c r="Q1213">
        <v>2</v>
      </c>
      <c r="R1213">
        <v>3</v>
      </c>
      <c r="S1213">
        <v>4</v>
      </c>
      <c r="T1213">
        <v>2</v>
      </c>
      <c r="U1213">
        <v>3</v>
      </c>
      <c r="V1213">
        <v>2</v>
      </c>
      <c r="W1213">
        <v>5</v>
      </c>
      <c r="X1213">
        <v>4</v>
      </c>
      <c r="Y1213">
        <v>3</v>
      </c>
      <c r="Z1213">
        <v>4</v>
      </c>
      <c r="AA1213">
        <v>4</v>
      </c>
      <c r="AB1213">
        <v>2</v>
      </c>
      <c r="AC1213">
        <v>3</v>
      </c>
      <c r="AD1213">
        <v>4</v>
      </c>
      <c r="AE1213">
        <v>4</v>
      </c>
      <c r="AF1213">
        <v>4</v>
      </c>
      <c r="AG1213">
        <v>4</v>
      </c>
      <c r="AH1213">
        <v>4</v>
      </c>
      <c r="AI1213">
        <v>2</v>
      </c>
      <c r="AJ1213">
        <v>2</v>
      </c>
      <c r="AK1213" t="b">
        <f>Table67[[#This Row],[What is your age?]]&lt;&gt;"18 - 25"</f>
        <v>1</v>
      </c>
      <c r="AL1213" t="b">
        <f t="shared" si="72"/>
        <v>0</v>
      </c>
      <c r="AM1213" t="b">
        <f t="shared" si="73"/>
        <v>1</v>
      </c>
      <c r="AN1213" t="b">
        <f t="shared" si="74"/>
        <v>0</v>
      </c>
      <c r="AO1213" t="b">
        <f>OR(Table67[[#This Row],[Ineligible respondents]:[Inconsistent response on opposite question (3)]])</f>
        <v>1</v>
      </c>
      <c r="AP121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213">
        <f>Table67[[#This Row],[Extreme Response]]/21</f>
        <v>4.7619047619047616E-2</v>
      </c>
      <c r="AR1213">
        <f>_xlfn.PERCENTILE.INC(Table67[Extrem Response Ratio (ERS)],0.9)</f>
        <v>0.61904761904761907</v>
      </c>
      <c r="AS1213" t="b">
        <f>Table67[[#This Row],[Extrem Response Ratio (ERS)]]&gt;=Table67[[#This Row],[Threshold of ERS]]</f>
        <v>0</v>
      </c>
      <c r="AT1213">
        <f>COUNTIF(Table67[[#This Row],[The mechanism of digital assets is difficult to understand, which discourages me from exploring it (E.g, Tokenization, Blockchain)]:[If I want to try different ways to invest, I will explore digital assets.]], 3)</f>
        <v>5</v>
      </c>
      <c r="AU1213">
        <f>Table67[[#This Row],[Midpoint]]/21</f>
        <v>0.23809523809523808</v>
      </c>
      <c r="AV1213">
        <f>_xlfn.PERCENTILE.INC(Table67[Midpoint ratio],0.9)</f>
        <v>0.5714285714285714</v>
      </c>
      <c r="AW1213" t="b">
        <f>Table67[[#This Row],[Midpoint ratio]]&gt;=Table67[[#This Row],[Threshold of Midpoint ratio]]</f>
        <v>0</v>
      </c>
      <c r="AX1213" t="b">
        <f>OR(Table67[[#This Row],[Extreme Response Style]],Table67[[#This Row],[Mid-point Response Style]])</f>
        <v>0</v>
      </c>
      <c r="AY1213" t="b">
        <f>OR(Table67[[#This Row],[Delete? (Stage 1)]],Table67[[#This Row],[Delete? (Stage 2)]])</f>
        <v>1</v>
      </c>
      <c r="AZ1213" t="s">
        <v>84</v>
      </c>
    </row>
    <row r="1214" spans="1:52">
      <c r="A1214">
        <f t="shared" si="75"/>
        <v>1213</v>
      </c>
      <c r="B1214" s="3">
        <v>46056.915127314802</v>
      </c>
      <c r="C1214" s="3">
        <v>46056.922476851803</v>
      </c>
      <c r="D1214" t="s">
        <v>53</v>
      </c>
      <c r="G1214" t="s">
        <v>54</v>
      </c>
      <c r="H1214" t="s">
        <v>63</v>
      </c>
      <c r="I1214" t="s">
        <v>71</v>
      </c>
      <c r="J1214" t="s">
        <v>62</v>
      </c>
      <c r="K1214" t="s">
        <v>57</v>
      </c>
      <c r="L1214" t="s">
        <v>58</v>
      </c>
      <c r="M1214" t="s">
        <v>58</v>
      </c>
      <c r="N1214">
        <v>3</v>
      </c>
      <c r="O1214">
        <v>2</v>
      </c>
      <c r="P1214">
        <v>4</v>
      </c>
      <c r="Q1214">
        <v>3</v>
      </c>
      <c r="R1214">
        <v>4</v>
      </c>
      <c r="S1214">
        <v>4</v>
      </c>
      <c r="T1214">
        <v>5</v>
      </c>
      <c r="U1214">
        <v>5</v>
      </c>
      <c r="V1214">
        <v>5</v>
      </c>
      <c r="W1214">
        <v>5</v>
      </c>
      <c r="X1214">
        <v>4</v>
      </c>
      <c r="Y1214">
        <v>4</v>
      </c>
      <c r="Z1214">
        <v>5</v>
      </c>
      <c r="AA1214">
        <v>5</v>
      </c>
      <c r="AB1214">
        <v>3</v>
      </c>
      <c r="AC1214">
        <v>3</v>
      </c>
      <c r="AD1214">
        <v>5</v>
      </c>
      <c r="AE1214">
        <v>4</v>
      </c>
      <c r="AF1214">
        <v>2</v>
      </c>
      <c r="AG1214">
        <v>4</v>
      </c>
      <c r="AH1214">
        <v>3</v>
      </c>
      <c r="AI1214">
        <v>3</v>
      </c>
      <c r="AJ1214">
        <v>4</v>
      </c>
      <c r="AK1214" t="b">
        <f>Table67[[#This Row],[What is your age?]]&lt;&gt;"18 - 25"</f>
        <v>0</v>
      </c>
      <c r="AL1214" t="b">
        <f t="shared" si="72"/>
        <v>0</v>
      </c>
      <c r="AM1214" t="b">
        <f t="shared" si="73"/>
        <v>0</v>
      </c>
      <c r="AN1214" t="b">
        <f t="shared" si="74"/>
        <v>1</v>
      </c>
      <c r="AO1214" t="b">
        <f>OR(Table67[[#This Row],[Ineligible respondents]:[Inconsistent response on opposite question (3)]])</f>
        <v>1</v>
      </c>
      <c r="AP121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214">
        <f>Table67[[#This Row],[Extreme Response]]/21</f>
        <v>0.33333333333333331</v>
      </c>
      <c r="AR1214">
        <f>_xlfn.PERCENTILE.INC(Table67[Extrem Response Ratio (ERS)],0.9)</f>
        <v>0.61904761904761907</v>
      </c>
      <c r="AS1214" t="b">
        <f>Table67[[#This Row],[Extrem Response Ratio (ERS)]]&gt;=Table67[[#This Row],[Threshold of ERS]]</f>
        <v>0</v>
      </c>
      <c r="AT1214">
        <f>COUNTIF(Table67[[#This Row],[The mechanism of digital assets is difficult to understand, which discourages me from exploring it (E.g, Tokenization, Blockchain)]:[If I want to try different ways to invest, I will explore digital assets.]], 3)</f>
        <v>5</v>
      </c>
      <c r="AU1214">
        <f>Table67[[#This Row],[Midpoint]]/21</f>
        <v>0.23809523809523808</v>
      </c>
      <c r="AV1214">
        <f>_xlfn.PERCENTILE.INC(Table67[Midpoint ratio],0.9)</f>
        <v>0.5714285714285714</v>
      </c>
      <c r="AW1214" t="b">
        <f>Table67[[#This Row],[Midpoint ratio]]&gt;=Table67[[#This Row],[Threshold of Midpoint ratio]]</f>
        <v>0</v>
      </c>
      <c r="AX1214" t="b">
        <f>OR(Table67[[#This Row],[Extreme Response Style]],Table67[[#This Row],[Mid-point Response Style]])</f>
        <v>0</v>
      </c>
      <c r="AY1214" t="b">
        <f>OR(Table67[[#This Row],[Delete? (Stage 1)]],Table67[[#This Row],[Delete? (Stage 2)]])</f>
        <v>1</v>
      </c>
      <c r="AZ1214" t="s">
        <v>84</v>
      </c>
    </row>
    <row r="1215" spans="1:52">
      <c r="A1215">
        <f t="shared" si="75"/>
        <v>1214</v>
      </c>
      <c r="B1215" s="3">
        <v>46056.915486111102</v>
      </c>
      <c r="C1215" s="3">
        <v>46056.918078703697</v>
      </c>
      <c r="D1215" t="s">
        <v>53</v>
      </c>
      <c r="G1215" t="s">
        <v>54</v>
      </c>
      <c r="H1215" t="s">
        <v>63</v>
      </c>
      <c r="I1215" t="s">
        <v>56</v>
      </c>
      <c r="J1215" t="s">
        <v>57</v>
      </c>
      <c r="K1215" t="s">
        <v>57</v>
      </c>
      <c r="L1215" t="s">
        <v>58</v>
      </c>
      <c r="M1215" t="s">
        <v>58</v>
      </c>
      <c r="N1215">
        <v>5</v>
      </c>
      <c r="O1215">
        <v>2</v>
      </c>
      <c r="P1215">
        <v>3</v>
      </c>
      <c r="Q1215">
        <v>3</v>
      </c>
      <c r="R1215">
        <v>4</v>
      </c>
      <c r="S1215">
        <v>4</v>
      </c>
      <c r="T1215">
        <v>4</v>
      </c>
      <c r="U1215">
        <v>5</v>
      </c>
      <c r="V1215">
        <v>4</v>
      </c>
      <c r="W1215">
        <v>3</v>
      </c>
      <c r="X1215">
        <v>4</v>
      </c>
      <c r="Y1215">
        <v>4</v>
      </c>
      <c r="Z1215">
        <v>4</v>
      </c>
      <c r="AA1215">
        <v>4</v>
      </c>
      <c r="AB1215">
        <v>3</v>
      </c>
      <c r="AC1215">
        <v>4</v>
      </c>
      <c r="AD1215">
        <v>5</v>
      </c>
      <c r="AE1215">
        <v>4</v>
      </c>
      <c r="AF1215">
        <v>2</v>
      </c>
      <c r="AG1215">
        <v>4</v>
      </c>
      <c r="AH1215">
        <v>2</v>
      </c>
      <c r="AI1215">
        <v>4</v>
      </c>
      <c r="AJ1215">
        <v>4</v>
      </c>
      <c r="AK1215" t="b">
        <f>Table67[[#This Row],[What is your age?]]&lt;&gt;"18 - 25"</f>
        <v>0</v>
      </c>
      <c r="AL1215" t="b">
        <f t="shared" si="72"/>
        <v>0</v>
      </c>
      <c r="AM1215" t="b">
        <f t="shared" si="73"/>
        <v>0</v>
      </c>
      <c r="AN1215" t="b">
        <f t="shared" si="74"/>
        <v>0</v>
      </c>
      <c r="AO1215" t="b">
        <f>OR(Table67[[#This Row],[Ineligible respondents]:[Inconsistent response on opposite question (3)]])</f>
        <v>0</v>
      </c>
      <c r="AP121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215">
        <f>Table67[[#This Row],[Extreme Response]]/21</f>
        <v>0.14285714285714285</v>
      </c>
      <c r="AR1215">
        <f>_xlfn.PERCENTILE.INC(Table67[Extrem Response Ratio (ERS)],0.9)</f>
        <v>0.61904761904761907</v>
      </c>
      <c r="AS1215" t="b">
        <f>Table67[[#This Row],[Extrem Response Ratio (ERS)]]&gt;=Table67[[#This Row],[Threshold of ERS]]</f>
        <v>0</v>
      </c>
      <c r="AT1215">
        <f>COUNTIF(Table67[[#This Row],[The mechanism of digital assets is difficult to understand, which discourages me from exploring it (E.g, Tokenization, Blockchain)]:[If I want to try different ways to invest, I will explore digital assets.]], 3)</f>
        <v>4</v>
      </c>
      <c r="AU1215">
        <f>Table67[[#This Row],[Midpoint]]/21</f>
        <v>0.19047619047619047</v>
      </c>
      <c r="AV1215">
        <f>_xlfn.PERCENTILE.INC(Table67[Midpoint ratio],0.9)</f>
        <v>0.5714285714285714</v>
      </c>
      <c r="AW1215" t="b">
        <f>Table67[[#This Row],[Midpoint ratio]]&gt;=Table67[[#This Row],[Threshold of Midpoint ratio]]</f>
        <v>0</v>
      </c>
      <c r="AX1215" t="b">
        <f>OR(Table67[[#This Row],[Extreme Response Style]],Table67[[#This Row],[Mid-point Response Style]])</f>
        <v>0</v>
      </c>
      <c r="AY1215" t="b">
        <f>OR(Table67[[#This Row],[Delete? (Stage 1)]],Table67[[#This Row],[Delete? (Stage 2)]])</f>
        <v>0</v>
      </c>
      <c r="AZ1215" t="s">
        <v>84</v>
      </c>
    </row>
    <row r="1216" spans="1:52">
      <c r="A1216">
        <f t="shared" si="75"/>
        <v>1215</v>
      </c>
      <c r="B1216" s="3">
        <v>46056.916597222204</v>
      </c>
      <c r="C1216" s="3">
        <v>46056.918541666702</v>
      </c>
      <c r="D1216" t="s">
        <v>53</v>
      </c>
      <c r="G1216" t="s">
        <v>54</v>
      </c>
      <c r="H1216" t="s">
        <v>55</v>
      </c>
      <c r="I1216" t="s">
        <v>56</v>
      </c>
      <c r="J1216" t="s">
        <v>60</v>
      </c>
      <c r="K1216" t="s">
        <v>62</v>
      </c>
      <c r="L1216" t="s">
        <v>61</v>
      </c>
      <c r="M1216" t="s">
        <v>61</v>
      </c>
      <c r="N1216">
        <v>3</v>
      </c>
      <c r="O1216">
        <v>3</v>
      </c>
      <c r="P1216">
        <v>4</v>
      </c>
      <c r="Q1216">
        <v>3</v>
      </c>
      <c r="R1216">
        <v>4</v>
      </c>
      <c r="S1216">
        <v>3</v>
      </c>
      <c r="T1216">
        <v>3</v>
      </c>
      <c r="U1216">
        <v>4</v>
      </c>
      <c r="V1216">
        <v>3</v>
      </c>
      <c r="W1216">
        <v>4</v>
      </c>
      <c r="X1216">
        <v>2</v>
      </c>
      <c r="Y1216">
        <v>2</v>
      </c>
      <c r="Z1216">
        <v>3</v>
      </c>
      <c r="AA1216">
        <v>3</v>
      </c>
      <c r="AB1216">
        <v>4</v>
      </c>
      <c r="AC1216">
        <v>4</v>
      </c>
      <c r="AD1216">
        <v>4</v>
      </c>
      <c r="AE1216">
        <v>3</v>
      </c>
      <c r="AF1216">
        <v>4</v>
      </c>
      <c r="AG1216">
        <v>4</v>
      </c>
      <c r="AH1216">
        <v>4</v>
      </c>
      <c r="AI1216">
        <v>2</v>
      </c>
      <c r="AJ1216">
        <v>2</v>
      </c>
      <c r="AK1216" t="b">
        <f>Table67[[#This Row],[What is your age?]]&lt;&gt;"18 - 25"</f>
        <v>0</v>
      </c>
      <c r="AL1216" t="b">
        <f t="shared" si="72"/>
        <v>0</v>
      </c>
      <c r="AM1216" t="b">
        <f t="shared" si="73"/>
        <v>1</v>
      </c>
      <c r="AN1216" t="b">
        <f t="shared" si="74"/>
        <v>0</v>
      </c>
      <c r="AO1216" t="b">
        <f>OR(Table67[[#This Row],[Ineligible respondents]:[Inconsistent response on opposite question (3)]])</f>
        <v>1</v>
      </c>
      <c r="AP121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216">
        <f>Table67[[#This Row],[Extreme Response]]/21</f>
        <v>0</v>
      </c>
      <c r="AR1216">
        <f>_xlfn.PERCENTILE.INC(Table67[Extrem Response Ratio (ERS)],0.9)</f>
        <v>0.61904761904761907</v>
      </c>
      <c r="AS1216" t="b">
        <f>Table67[[#This Row],[Extrem Response Ratio (ERS)]]&gt;=Table67[[#This Row],[Threshold of ERS]]</f>
        <v>0</v>
      </c>
      <c r="AT1216">
        <f>COUNTIF(Table67[[#This Row],[The mechanism of digital assets is difficult to understand, which discourages me from exploring it (E.g, Tokenization, Blockchain)]:[If I want to try different ways to invest, I will explore digital assets.]], 3)</f>
        <v>9</v>
      </c>
      <c r="AU1216">
        <f>Table67[[#This Row],[Midpoint]]/21</f>
        <v>0.42857142857142855</v>
      </c>
      <c r="AV1216">
        <f>_xlfn.PERCENTILE.INC(Table67[Midpoint ratio],0.9)</f>
        <v>0.5714285714285714</v>
      </c>
      <c r="AW1216" t="b">
        <f>Table67[[#This Row],[Midpoint ratio]]&gt;=Table67[[#This Row],[Threshold of Midpoint ratio]]</f>
        <v>0</v>
      </c>
      <c r="AX1216" t="b">
        <f>OR(Table67[[#This Row],[Extreme Response Style]],Table67[[#This Row],[Mid-point Response Style]])</f>
        <v>0</v>
      </c>
      <c r="AY1216" t="b">
        <f>OR(Table67[[#This Row],[Delete? (Stage 1)]],Table67[[#This Row],[Delete? (Stage 2)]])</f>
        <v>1</v>
      </c>
      <c r="AZ1216" t="s">
        <v>84</v>
      </c>
    </row>
    <row r="1217" spans="1:52">
      <c r="A1217">
        <f t="shared" si="75"/>
        <v>1216</v>
      </c>
      <c r="B1217" s="3">
        <v>46056.917303240698</v>
      </c>
      <c r="C1217" s="3">
        <v>46056.918784722198</v>
      </c>
      <c r="D1217" t="s">
        <v>53</v>
      </c>
      <c r="G1217" t="s">
        <v>54</v>
      </c>
      <c r="H1217" t="s">
        <v>63</v>
      </c>
      <c r="I1217" t="s">
        <v>75</v>
      </c>
      <c r="J1217" t="s">
        <v>57</v>
      </c>
      <c r="K1217" t="s">
        <v>62</v>
      </c>
      <c r="L1217" t="s">
        <v>58</v>
      </c>
      <c r="M1217" t="s">
        <v>58</v>
      </c>
      <c r="N1217">
        <v>3</v>
      </c>
      <c r="O1217">
        <v>3</v>
      </c>
      <c r="P1217">
        <v>5</v>
      </c>
      <c r="Q1217">
        <v>3</v>
      </c>
      <c r="R1217">
        <v>3</v>
      </c>
      <c r="S1217">
        <v>3</v>
      </c>
      <c r="T1217">
        <v>3</v>
      </c>
      <c r="U1217">
        <v>3</v>
      </c>
      <c r="V1217">
        <v>3</v>
      </c>
      <c r="W1217">
        <v>3</v>
      </c>
      <c r="X1217">
        <v>3</v>
      </c>
      <c r="Y1217">
        <v>3</v>
      </c>
      <c r="Z1217">
        <v>3</v>
      </c>
      <c r="AA1217">
        <v>3</v>
      </c>
      <c r="AB1217">
        <v>3</v>
      </c>
      <c r="AC1217">
        <v>3</v>
      </c>
      <c r="AD1217">
        <v>3</v>
      </c>
      <c r="AE1217">
        <v>3</v>
      </c>
      <c r="AF1217">
        <v>4</v>
      </c>
      <c r="AG1217">
        <v>4</v>
      </c>
      <c r="AH1217">
        <v>2</v>
      </c>
      <c r="AI1217">
        <v>4</v>
      </c>
      <c r="AJ1217">
        <v>2</v>
      </c>
      <c r="AK1217" t="b">
        <f>Table67[[#This Row],[What is your age?]]&lt;&gt;"18 - 25"</f>
        <v>0</v>
      </c>
      <c r="AL1217" t="b">
        <f t="shared" si="72"/>
        <v>0</v>
      </c>
      <c r="AM1217" t="b">
        <f t="shared" si="73"/>
        <v>0</v>
      </c>
      <c r="AN1217" t="b">
        <f t="shared" si="74"/>
        <v>0</v>
      </c>
      <c r="AO1217" t="b">
        <f>OR(Table67[[#This Row],[Ineligible respondents]:[Inconsistent response on opposite question (3)]])</f>
        <v>0</v>
      </c>
      <c r="AP121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217">
        <f>Table67[[#This Row],[Extreme Response]]/21</f>
        <v>4.7619047619047616E-2</v>
      </c>
      <c r="AR1217">
        <f>_xlfn.PERCENTILE.INC(Table67[Extrem Response Ratio (ERS)],0.9)</f>
        <v>0.61904761904761907</v>
      </c>
      <c r="AS1217" t="b">
        <f>Table67[[#This Row],[Extrem Response Ratio (ERS)]]&gt;=Table67[[#This Row],[Threshold of ERS]]</f>
        <v>0</v>
      </c>
      <c r="AT1217">
        <f>COUNTIF(Table67[[#This Row],[The mechanism of digital assets is difficult to understand, which discourages me from exploring it (E.g, Tokenization, Blockchain)]:[If I want to try different ways to invest, I will explore digital assets.]], 3)</f>
        <v>17</v>
      </c>
      <c r="AU1217">
        <f>Table67[[#This Row],[Midpoint]]/21</f>
        <v>0.80952380952380953</v>
      </c>
      <c r="AV1217">
        <f>_xlfn.PERCENTILE.INC(Table67[Midpoint ratio],0.9)</f>
        <v>0.5714285714285714</v>
      </c>
      <c r="AW1217" t="b">
        <f>Table67[[#This Row],[Midpoint ratio]]&gt;=Table67[[#This Row],[Threshold of Midpoint ratio]]</f>
        <v>1</v>
      </c>
      <c r="AX1217" t="b">
        <f>OR(Table67[[#This Row],[Extreme Response Style]],Table67[[#This Row],[Mid-point Response Style]])</f>
        <v>1</v>
      </c>
      <c r="AY1217" t="b">
        <f>OR(Table67[[#This Row],[Delete? (Stage 1)]],Table67[[#This Row],[Delete? (Stage 2)]])</f>
        <v>1</v>
      </c>
      <c r="AZ1217" t="s">
        <v>84</v>
      </c>
    </row>
    <row r="1218" spans="1:52">
      <c r="A1218">
        <f t="shared" si="75"/>
        <v>1217</v>
      </c>
      <c r="B1218" s="3">
        <v>46056.917488425897</v>
      </c>
      <c r="C1218" s="3">
        <v>46056.924583333297</v>
      </c>
      <c r="D1218" t="s">
        <v>53</v>
      </c>
      <c r="G1218" t="s">
        <v>54</v>
      </c>
      <c r="H1218" t="s">
        <v>63</v>
      </c>
      <c r="I1218" t="s">
        <v>56</v>
      </c>
      <c r="J1218" t="s">
        <v>62</v>
      </c>
      <c r="K1218" t="s">
        <v>62</v>
      </c>
      <c r="L1218" t="s">
        <v>58</v>
      </c>
      <c r="M1218" t="s">
        <v>58</v>
      </c>
      <c r="N1218">
        <v>3</v>
      </c>
      <c r="O1218">
        <v>1</v>
      </c>
      <c r="P1218">
        <v>2</v>
      </c>
      <c r="Q1218">
        <v>3</v>
      </c>
      <c r="R1218">
        <v>3</v>
      </c>
      <c r="S1218">
        <v>4</v>
      </c>
      <c r="T1218">
        <v>1</v>
      </c>
      <c r="U1218">
        <v>1</v>
      </c>
      <c r="V1218">
        <v>5</v>
      </c>
      <c r="W1218">
        <v>5</v>
      </c>
      <c r="X1218">
        <v>2</v>
      </c>
      <c r="Y1218">
        <v>3</v>
      </c>
      <c r="Z1218">
        <v>3</v>
      </c>
      <c r="AA1218">
        <v>3</v>
      </c>
      <c r="AB1218">
        <v>4</v>
      </c>
      <c r="AC1218">
        <v>2</v>
      </c>
      <c r="AD1218">
        <v>2</v>
      </c>
      <c r="AE1218">
        <v>1</v>
      </c>
      <c r="AF1218">
        <v>5</v>
      </c>
      <c r="AG1218">
        <v>3</v>
      </c>
      <c r="AH1218">
        <v>4</v>
      </c>
      <c r="AI1218">
        <v>2</v>
      </c>
      <c r="AJ1218">
        <v>1</v>
      </c>
      <c r="AK1218" t="b">
        <f>Table67[[#This Row],[What is your age?]]&lt;&gt;"18 - 25"</f>
        <v>0</v>
      </c>
      <c r="AL1218" t="b">
        <f t="shared" si="72"/>
        <v>0</v>
      </c>
      <c r="AM1218" t="b">
        <f t="shared" si="73"/>
        <v>0</v>
      </c>
      <c r="AN1218" t="b">
        <f t="shared" si="74"/>
        <v>1</v>
      </c>
      <c r="AO1218" t="b">
        <f>OR(Table67[[#This Row],[Ineligible respondents]:[Inconsistent response on opposite question (3)]])</f>
        <v>1</v>
      </c>
      <c r="AP121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218">
        <f>Table67[[#This Row],[Extreme Response]]/21</f>
        <v>0.33333333333333331</v>
      </c>
      <c r="AR1218">
        <f>_xlfn.PERCENTILE.INC(Table67[Extrem Response Ratio (ERS)],0.9)</f>
        <v>0.61904761904761907</v>
      </c>
      <c r="AS1218" t="b">
        <f>Table67[[#This Row],[Extrem Response Ratio (ERS)]]&gt;=Table67[[#This Row],[Threshold of ERS]]</f>
        <v>0</v>
      </c>
      <c r="AT1218">
        <f>COUNTIF(Table67[[#This Row],[The mechanism of digital assets is difficult to understand, which discourages me from exploring it (E.g, Tokenization, Blockchain)]:[If I want to try different ways to invest, I will explore digital assets.]], 3)</f>
        <v>7</v>
      </c>
      <c r="AU1218">
        <f>Table67[[#This Row],[Midpoint]]/21</f>
        <v>0.33333333333333331</v>
      </c>
      <c r="AV1218">
        <f>_xlfn.PERCENTILE.INC(Table67[Midpoint ratio],0.9)</f>
        <v>0.5714285714285714</v>
      </c>
      <c r="AW1218" t="b">
        <f>Table67[[#This Row],[Midpoint ratio]]&gt;=Table67[[#This Row],[Threshold of Midpoint ratio]]</f>
        <v>0</v>
      </c>
      <c r="AX1218" t="b">
        <f>OR(Table67[[#This Row],[Extreme Response Style]],Table67[[#This Row],[Mid-point Response Style]])</f>
        <v>0</v>
      </c>
      <c r="AY1218" t="b">
        <f>OR(Table67[[#This Row],[Delete? (Stage 1)]],Table67[[#This Row],[Delete? (Stage 2)]])</f>
        <v>1</v>
      </c>
      <c r="AZ1218" t="s">
        <v>84</v>
      </c>
    </row>
    <row r="1219" spans="1:52">
      <c r="A1219">
        <f t="shared" si="75"/>
        <v>1218</v>
      </c>
      <c r="B1219" s="3">
        <v>46056.917546296303</v>
      </c>
      <c r="C1219" s="3">
        <v>46056.919907407399</v>
      </c>
      <c r="D1219" t="s">
        <v>53</v>
      </c>
      <c r="G1219" t="s">
        <v>54</v>
      </c>
      <c r="H1219" t="s">
        <v>63</v>
      </c>
      <c r="I1219" t="s">
        <v>75</v>
      </c>
      <c r="J1219" t="s">
        <v>60</v>
      </c>
      <c r="K1219" t="s">
        <v>57</v>
      </c>
      <c r="L1219" t="s">
        <v>58</v>
      </c>
      <c r="M1219" t="s">
        <v>58</v>
      </c>
      <c r="N1219">
        <v>4</v>
      </c>
      <c r="O1219">
        <v>1</v>
      </c>
      <c r="P1219">
        <v>3</v>
      </c>
      <c r="Q1219">
        <v>3</v>
      </c>
      <c r="R1219">
        <v>2</v>
      </c>
      <c r="S1219">
        <v>4</v>
      </c>
      <c r="T1219">
        <v>5</v>
      </c>
      <c r="U1219">
        <v>5</v>
      </c>
      <c r="V1219">
        <v>5</v>
      </c>
      <c r="W1219">
        <v>4</v>
      </c>
      <c r="X1219">
        <v>5</v>
      </c>
      <c r="Y1219">
        <v>5</v>
      </c>
      <c r="Z1219">
        <v>4</v>
      </c>
      <c r="AA1219">
        <v>4</v>
      </c>
      <c r="AB1219">
        <v>5</v>
      </c>
      <c r="AC1219">
        <v>5</v>
      </c>
      <c r="AD1219">
        <v>5</v>
      </c>
      <c r="AE1219">
        <v>5</v>
      </c>
      <c r="AF1219">
        <v>1</v>
      </c>
      <c r="AG1219">
        <v>5</v>
      </c>
      <c r="AH1219">
        <v>1</v>
      </c>
      <c r="AI1219">
        <v>5</v>
      </c>
      <c r="AJ1219">
        <v>5</v>
      </c>
      <c r="AK1219" t="b">
        <f>Table67[[#This Row],[What is your age?]]&lt;&gt;"18 - 25"</f>
        <v>0</v>
      </c>
      <c r="AL1219" t="b">
        <f t="shared" ref="AL1219:AL1282" si="76">COUNTIF(N1219:AH1219, N1219) = COLUMNS(N1219:AH1219)</f>
        <v>0</v>
      </c>
      <c r="AM1219" t="b">
        <f t="shared" ref="AM1219:AM1282" si="77">OR(AND(AG1219=AH1219, AG1219&lt;&gt;3), AND(OR(AG1219=1, AG1219=2), OR(AH1219=1, AH1219=2)), AND(OR(AG1219=4, AG1219=5), OR(AH1219=4, AH1219=5)))</f>
        <v>0</v>
      </c>
      <c r="AN1219" t="b">
        <f t="shared" ref="AN1219:AN1282" si="78">OR(AND(AG1219=3, AH1219&lt;&gt;3), AND(AH1219=3, AG1219&lt;&gt;3))</f>
        <v>0</v>
      </c>
      <c r="AO1219" t="b">
        <f>OR(Table67[[#This Row],[Ineligible respondents]:[Inconsistent response on opposite question (3)]])</f>
        <v>0</v>
      </c>
      <c r="AP121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1219">
        <f>Table67[[#This Row],[Extreme Response]]/21</f>
        <v>0.61904761904761907</v>
      </c>
      <c r="AR1219">
        <f>_xlfn.PERCENTILE.INC(Table67[Extrem Response Ratio (ERS)],0.9)</f>
        <v>0.61904761904761907</v>
      </c>
      <c r="AS1219" t="b">
        <f>Table67[[#This Row],[Extrem Response Ratio (ERS)]]&gt;=Table67[[#This Row],[Threshold of ERS]]</f>
        <v>1</v>
      </c>
      <c r="AT1219">
        <f>COUNTIF(Table67[[#This Row],[The mechanism of digital assets is difficult to understand, which discourages me from exploring it (E.g, Tokenization, Blockchain)]:[If I want to try different ways to invest, I will explore digital assets.]], 3)</f>
        <v>2</v>
      </c>
      <c r="AU1219">
        <f>Table67[[#This Row],[Midpoint]]/21</f>
        <v>9.5238095238095233E-2</v>
      </c>
      <c r="AV1219">
        <f>_xlfn.PERCENTILE.INC(Table67[Midpoint ratio],0.9)</f>
        <v>0.5714285714285714</v>
      </c>
      <c r="AW1219" t="b">
        <f>Table67[[#This Row],[Midpoint ratio]]&gt;=Table67[[#This Row],[Threshold of Midpoint ratio]]</f>
        <v>0</v>
      </c>
      <c r="AX1219" t="b">
        <f>OR(Table67[[#This Row],[Extreme Response Style]],Table67[[#This Row],[Mid-point Response Style]])</f>
        <v>1</v>
      </c>
      <c r="AY1219" t="b">
        <f>OR(Table67[[#This Row],[Delete? (Stage 1)]],Table67[[#This Row],[Delete? (Stage 2)]])</f>
        <v>1</v>
      </c>
      <c r="AZ1219" t="s">
        <v>84</v>
      </c>
    </row>
    <row r="1220" spans="1:52">
      <c r="A1220">
        <f t="shared" ref="A1220:A1283" si="79">1+A1219</f>
        <v>1219</v>
      </c>
      <c r="B1220" s="3">
        <v>46056.918356481503</v>
      </c>
      <c r="C1220" s="3">
        <v>46056.919409722199</v>
      </c>
      <c r="D1220" t="s">
        <v>53</v>
      </c>
      <c r="G1220" t="s">
        <v>54</v>
      </c>
      <c r="H1220" t="s">
        <v>55</v>
      </c>
      <c r="I1220" t="s">
        <v>75</v>
      </c>
      <c r="J1220" t="s">
        <v>62</v>
      </c>
      <c r="K1220" t="s">
        <v>62</v>
      </c>
      <c r="L1220" t="s">
        <v>58</v>
      </c>
      <c r="M1220" t="s">
        <v>58</v>
      </c>
      <c r="N1220">
        <v>4</v>
      </c>
      <c r="O1220">
        <v>4</v>
      </c>
      <c r="P1220">
        <v>4</v>
      </c>
      <c r="Q1220">
        <v>4</v>
      </c>
      <c r="R1220">
        <v>4</v>
      </c>
      <c r="S1220">
        <v>4</v>
      </c>
      <c r="T1220">
        <v>4</v>
      </c>
      <c r="U1220">
        <v>4</v>
      </c>
      <c r="V1220">
        <v>4</v>
      </c>
      <c r="W1220">
        <v>4</v>
      </c>
      <c r="X1220">
        <v>4</v>
      </c>
      <c r="Y1220">
        <v>4</v>
      </c>
      <c r="Z1220">
        <v>4</v>
      </c>
      <c r="AA1220">
        <v>2</v>
      </c>
      <c r="AB1220">
        <v>3</v>
      </c>
      <c r="AC1220">
        <v>4</v>
      </c>
      <c r="AD1220">
        <v>3</v>
      </c>
      <c r="AE1220">
        <v>4</v>
      </c>
      <c r="AF1220">
        <v>4</v>
      </c>
      <c r="AG1220">
        <v>4</v>
      </c>
      <c r="AH1220">
        <v>4</v>
      </c>
      <c r="AI1220">
        <v>2</v>
      </c>
      <c r="AJ1220">
        <v>2</v>
      </c>
      <c r="AK1220" t="b">
        <f>Table67[[#This Row],[What is your age?]]&lt;&gt;"18 - 25"</f>
        <v>0</v>
      </c>
      <c r="AL1220" t="b">
        <f t="shared" si="76"/>
        <v>0</v>
      </c>
      <c r="AM1220" t="b">
        <f t="shared" si="77"/>
        <v>1</v>
      </c>
      <c r="AN1220" t="b">
        <f t="shared" si="78"/>
        <v>0</v>
      </c>
      <c r="AO1220" t="b">
        <f>OR(Table67[[#This Row],[Ineligible respondents]:[Inconsistent response on opposite question (3)]])</f>
        <v>1</v>
      </c>
      <c r="AP122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220">
        <f>Table67[[#This Row],[Extreme Response]]/21</f>
        <v>0</v>
      </c>
      <c r="AR1220">
        <f>_xlfn.PERCENTILE.INC(Table67[Extrem Response Ratio (ERS)],0.9)</f>
        <v>0.61904761904761907</v>
      </c>
      <c r="AS1220" t="b">
        <f>Table67[[#This Row],[Extrem Response Ratio (ERS)]]&gt;=Table67[[#This Row],[Threshold of ERS]]</f>
        <v>0</v>
      </c>
      <c r="AT1220">
        <f>COUNTIF(Table67[[#This Row],[The mechanism of digital assets is difficult to understand, which discourages me from exploring it (E.g, Tokenization, Blockchain)]:[If I want to try different ways to invest, I will explore digital assets.]], 3)</f>
        <v>2</v>
      </c>
      <c r="AU1220">
        <f>Table67[[#This Row],[Midpoint]]/21</f>
        <v>9.5238095238095233E-2</v>
      </c>
      <c r="AV1220">
        <f>_xlfn.PERCENTILE.INC(Table67[Midpoint ratio],0.9)</f>
        <v>0.5714285714285714</v>
      </c>
      <c r="AW1220" t="b">
        <f>Table67[[#This Row],[Midpoint ratio]]&gt;=Table67[[#This Row],[Threshold of Midpoint ratio]]</f>
        <v>0</v>
      </c>
      <c r="AX1220" t="b">
        <f>OR(Table67[[#This Row],[Extreme Response Style]],Table67[[#This Row],[Mid-point Response Style]])</f>
        <v>0</v>
      </c>
      <c r="AY1220" t="b">
        <f>OR(Table67[[#This Row],[Delete? (Stage 1)]],Table67[[#This Row],[Delete? (Stage 2)]])</f>
        <v>1</v>
      </c>
      <c r="AZ1220" t="s">
        <v>84</v>
      </c>
    </row>
    <row r="1221" spans="1:52">
      <c r="A1221">
        <f t="shared" si="79"/>
        <v>1220</v>
      </c>
      <c r="B1221" s="3">
        <v>46056.919108796297</v>
      </c>
      <c r="C1221" s="3">
        <v>46056.922303240703</v>
      </c>
      <c r="D1221" t="s">
        <v>53</v>
      </c>
      <c r="G1221" t="s">
        <v>54</v>
      </c>
      <c r="H1221" t="s">
        <v>55</v>
      </c>
      <c r="I1221" t="s">
        <v>56</v>
      </c>
      <c r="J1221" t="s">
        <v>62</v>
      </c>
      <c r="K1221" t="s">
        <v>62</v>
      </c>
      <c r="L1221" t="s">
        <v>61</v>
      </c>
      <c r="M1221" t="s">
        <v>61</v>
      </c>
      <c r="N1221">
        <v>3</v>
      </c>
      <c r="O1221">
        <v>3</v>
      </c>
      <c r="P1221">
        <v>4</v>
      </c>
      <c r="Q1221">
        <v>5</v>
      </c>
      <c r="R1221">
        <v>2</v>
      </c>
      <c r="S1221">
        <v>4</v>
      </c>
      <c r="T1221">
        <v>3</v>
      </c>
      <c r="U1221">
        <v>4</v>
      </c>
      <c r="V1221">
        <v>3</v>
      </c>
      <c r="W1221">
        <v>4</v>
      </c>
      <c r="X1221">
        <v>4</v>
      </c>
      <c r="Y1221">
        <v>4</v>
      </c>
      <c r="Z1221">
        <v>4</v>
      </c>
      <c r="AA1221">
        <v>4</v>
      </c>
      <c r="AB1221">
        <v>4</v>
      </c>
      <c r="AC1221">
        <v>4</v>
      </c>
      <c r="AD1221">
        <v>4</v>
      </c>
      <c r="AE1221">
        <v>3</v>
      </c>
      <c r="AF1221">
        <v>4</v>
      </c>
      <c r="AG1221">
        <v>4</v>
      </c>
      <c r="AH1221">
        <v>4</v>
      </c>
      <c r="AI1221">
        <v>2</v>
      </c>
      <c r="AJ1221">
        <v>2</v>
      </c>
      <c r="AK1221" t="b">
        <f>Table67[[#This Row],[What is your age?]]&lt;&gt;"18 - 25"</f>
        <v>0</v>
      </c>
      <c r="AL1221" t="b">
        <f t="shared" si="76"/>
        <v>0</v>
      </c>
      <c r="AM1221" t="b">
        <f t="shared" si="77"/>
        <v>1</v>
      </c>
      <c r="AN1221" t="b">
        <f t="shared" si="78"/>
        <v>0</v>
      </c>
      <c r="AO1221" t="b">
        <f>OR(Table67[[#This Row],[Ineligible respondents]:[Inconsistent response on opposite question (3)]])</f>
        <v>1</v>
      </c>
      <c r="AP122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221">
        <f>Table67[[#This Row],[Extreme Response]]/21</f>
        <v>4.7619047619047616E-2</v>
      </c>
      <c r="AR1221">
        <f>_xlfn.PERCENTILE.INC(Table67[Extrem Response Ratio (ERS)],0.9)</f>
        <v>0.61904761904761907</v>
      </c>
      <c r="AS1221" t="b">
        <f>Table67[[#This Row],[Extrem Response Ratio (ERS)]]&gt;=Table67[[#This Row],[Threshold of ERS]]</f>
        <v>0</v>
      </c>
      <c r="AT1221">
        <f>COUNTIF(Table67[[#This Row],[The mechanism of digital assets is difficult to understand, which discourages me from exploring it (E.g, Tokenization, Blockchain)]:[If I want to try different ways to invest, I will explore digital assets.]], 3)</f>
        <v>5</v>
      </c>
      <c r="AU1221">
        <f>Table67[[#This Row],[Midpoint]]/21</f>
        <v>0.23809523809523808</v>
      </c>
      <c r="AV1221">
        <f>_xlfn.PERCENTILE.INC(Table67[Midpoint ratio],0.9)</f>
        <v>0.5714285714285714</v>
      </c>
      <c r="AW1221" t="b">
        <f>Table67[[#This Row],[Midpoint ratio]]&gt;=Table67[[#This Row],[Threshold of Midpoint ratio]]</f>
        <v>0</v>
      </c>
      <c r="AX1221" t="b">
        <f>OR(Table67[[#This Row],[Extreme Response Style]],Table67[[#This Row],[Mid-point Response Style]])</f>
        <v>0</v>
      </c>
      <c r="AY1221" t="b">
        <f>OR(Table67[[#This Row],[Delete? (Stage 1)]],Table67[[#This Row],[Delete? (Stage 2)]])</f>
        <v>1</v>
      </c>
      <c r="AZ1221" t="s">
        <v>84</v>
      </c>
    </row>
    <row r="1222" spans="1:52">
      <c r="A1222">
        <f t="shared" si="79"/>
        <v>1221</v>
      </c>
      <c r="B1222" s="3">
        <v>46056.921076388899</v>
      </c>
      <c r="C1222" s="3">
        <v>46056.931122685201</v>
      </c>
      <c r="D1222" t="s">
        <v>53</v>
      </c>
      <c r="G1222" t="s">
        <v>54</v>
      </c>
      <c r="H1222" t="s">
        <v>63</v>
      </c>
      <c r="I1222" t="s">
        <v>69</v>
      </c>
      <c r="J1222" t="s">
        <v>57</v>
      </c>
      <c r="K1222" t="s">
        <v>57</v>
      </c>
      <c r="L1222" t="s">
        <v>58</v>
      </c>
      <c r="M1222" t="s">
        <v>58</v>
      </c>
      <c r="N1222">
        <v>1</v>
      </c>
      <c r="O1222">
        <v>1</v>
      </c>
      <c r="P1222">
        <v>1</v>
      </c>
      <c r="Q1222">
        <v>2</v>
      </c>
      <c r="R1222">
        <v>2</v>
      </c>
      <c r="S1222">
        <v>1</v>
      </c>
      <c r="T1222">
        <v>1</v>
      </c>
      <c r="U1222">
        <v>5</v>
      </c>
      <c r="V1222">
        <v>5</v>
      </c>
      <c r="W1222">
        <v>5</v>
      </c>
      <c r="X1222">
        <v>1</v>
      </c>
      <c r="Y1222">
        <v>1</v>
      </c>
      <c r="Z1222">
        <v>1</v>
      </c>
      <c r="AA1222">
        <v>1</v>
      </c>
      <c r="AB1222">
        <v>1</v>
      </c>
      <c r="AC1222">
        <v>1</v>
      </c>
      <c r="AD1222">
        <v>3</v>
      </c>
      <c r="AE1222">
        <v>3</v>
      </c>
      <c r="AF1222">
        <v>1</v>
      </c>
      <c r="AG1222">
        <v>1</v>
      </c>
      <c r="AH1222">
        <v>1</v>
      </c>
      <c r="AI1222">
        <v>5</v>
      </c>
      <c r="AJ1222">
        <v>5</v>
      </c>
      <c r="AK1222" t="b">
        <f>Table67[[#This Row],[What is your age?]]&lt;&gt;"18 - 25"</f>
        <v>0</v>
      </c>
      <c r="AL1222" t="b">
        <f t="shared" si="76"/>
        <v>0</v>
      </c>
      <c r="AM1222" t="b">
        <f t="shared" si="77"/>
        <v>1</v>
      </c>
      <c r="AN1222" t="b">
        <f t="shared" si="78"/>
        <v>0</v>
      </c>
      <c r="AO1222" t="b">
        <f>OR(Table67[[#This Row],[Ineligible respondents]:[Inconsistent response on opposite question (3)]])</f>
        <v>1</v>
      </c>
      <c r="AP122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17</v>
      </c>
      <c r="AQ1222">
        <f>Table67[[#This Row],[Extreme Response]]/21</f>
        <v>0.80952380952380953</v>
      </c>
      <c r="AR1222">
        <f>_xlfn.PERCENTILE.INC(Table67[Extrem Response Ratio (ERS)],0.9)</f>
        <v>0.61904761904761907</v>
      </c>
      <c r="AS1222" t="b">
        <f>Table67[[#This Row],[Extrem Response Ratio (ERS)]]&gt;=Table67[[#This Row],[Threshold of ERS]]</f>
        <v>1</v>
      </c>
      <c r="AT1222">
        <f>COUNTIF(Table67[[#This Row],[The mechanism of digital assets is difficult to understand, which discourages me from exploring it (E.g, Tokenization, Blockchain)]:[If I want to try different ways to invest, I will explore digital assets.]], 3)</f>
        <v>2</v>
      </c>
      <c r="AU1222">
        <f>Table67[[#This Row],[Midpoint]]/21</f>
        <v>9.5238095238095233E-2</v>
      </c>
      <c r="AV1222">
        <f>_xlfn.PERCENTILE.INC(Table67[Midpoint ratio],0.9)</f>
        <v>0.5714285714285714</v>
      </c>
      <c r="AW1222" t="b">
        <f>Table67[[#This Row],[Midpoint ratio]]&gt;=Table67[[#This Row],[Threshold of Midpoint ratio]]</f>
        <v>0</v>
      </c>
      <c r="AX1222" t="b">
        <f>OR(Table67[[#This Row],[Extreme Response Style]],Table67[[#This Row],[Mid-point Response Style]])</f>
        <v>1</v>
      </c>
      <c r="AY1222" t="b">
        <f>OR(Table67[[#This Row],[Delete? (Stage 1)]],Table67[[#This Row],[Delete? (Stage 2)]])</f>
        <v>1</v>
      </c>
      <c r="AZ1222" t="s">
        <v>84</v>
      </c>
    </row>
    <row r="1223" spans="1:52">
      <c r="A1223">
        <f t="shared" si="79"/>
        <v>1222</v>
      </c>
      <c r="B1223" s="3">
        <v>46056.921944444402</v>
      </c>
      <c r="C1223" s="3">
        <v>46056.927118055602</v>
      </c>
      <c r="D1223" t="s">
        <v>53</v>
      </c>
      <c r="G1223" t="s">
        <v>54</v>
      </c>
      <c r="H1223" t="s">
        <v>63</v>
      </c>
      <c r="I1223" t="s">
        <v>56</v>
      </c>
      <c r="J1223" t="s">
        <v>62</v>
      </c>
      <c r="K1223" t="s">
        <v>57</v>
      </c>
      <c r="L1223" t="s">
        <v>58</v>
      </c>
      <c r="M1223" t="s">
        <v>58</v>
      </c>
      <c r="N1223">
        <v>3</v>
      </c>
      <c r="O1223">
        <v>1</v>
      </c>
      <c r="P1223">
        <v>2</v>
      </c>
      <c r="Q1223">
        <v>3</v>
      </c>
      <c r="R1223">
        <v>1</v>
      </c>
      <c r="S1223">
        <v>1</v>
      </c>
      <c r="T1223">
        <v>3</v>
      </c>
      <c r="U1223">
        <v>5</v>
      </c>
      <c r="V1223">
        <v>4</v>
      </c>
      <c r="W1223">
        <v>5</v>
      </c>
      <c r="X1223">
        <v>3</v>
      </c>
      <c r="Y1223">
        <v>5</v>
      </c>
      <c r="Z1223">
        <v>5</v>
      </c>
      <c r="AA1223">
        <v>5</v>
      </c>
      <c r="AB1223">
        <v>5</v>
      </c>
      <c r="AC1223">
        <v>5</v>
      </c>
      <c r="AD1223">
        <v>4</v>
      </c>
      <c r="AE1223">
        <v>1</v>
      </c>
      <c r="AF1223">
        <v>3</v>
      </c>
      <c r="AG1223">
        <v>3</v>
      </c>
      <c r="AH1223">
        <v>4</v>
      </c>
      <c r="AI1223">
        <v>2</v>
      </c>
      <c r="AJ1223">
        <v>3</v>
      </c>
      <c r="AK1223" t="b">
        <f>Table67[[#This Row],[What is your age?]]&lt;&gt;"18 - 25"</f>
        <v>0</v>
      </c>
      <c r="AL1223" t="b">
        <f t="shared" si="76"/>
        <v>0</v>
      </c>
      <c r="AM1223" t="b">
        <f t="shared" si="77"/>
        <v>0</v>
      </c>
      <c r="AN1223" t="b">
        <f t="shared" si="78"/>
        <v>1</v>
      </c>
      <c r="AO1223" t="b">
        <f>OR(Table67[[#This Row],[Ineligible respondents]:[Inconsistent response on opposite question (3)]])</f>
        <v>1</v>
      </c>
      <c r="AP122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1223">
        <f>Table67[[#This Row],[Extreme Response]]/21</f>
        <v>0.52380952380952384</v>
      </c>
      <c r="AR1223">
        <f>_xlfn.PERCENTILE.INC(Table67[Extrem Response Ratio (ERS)],0.9)</f>
        <v>0.61904761904761907</v>
      </c>
      <c r="AS1223" t="b">
        <f>Table67[[#This Row],[Extrem Response Ratio (ERS)]]&gt;=Table67[[#This Row],[Threshold of ERS]]</f>
        <v>0</v>
      </c>
      <c r="AT1223">
        <f>COUNTIF(Table67[[#This Row],[The mechanism of digital assets is difficult to understand, which discourages me from exploring it (E.g, Tokenization, Blockchain)]:[If I want to try different ways to invest, I will explore digital assets.]], 3)</f>
        <v>6</v>
      </c>
      <c r="AU1223">
        <f>Table67[[#This Row],[Midpoint]]/21</f>
        <v>0.2857142857142857</v>
      </c>
      <c r="AV1223">
        <f>_xlfn.PERCENTILE.INC(Table67[Midpoint ratio],0.9)</f>
        <v>0.5714285714285714</v>
      </c>
      <c r="AW1223" t="b">
        <f>Table67[[#This Row],[Midpoint ratio]]&gt;=Table67[[#This Row],[Threshold of Midpoint ratio]]</f>
        <v>0</v>
      </c>
      <c r="AX1223" t="b">
        <f>OR(Table67[[#This Row],[Extreme Response Style]],Table67[[#This Row],[Mid-point Response Style]])</f>
        <v>0</v>
      </c>
      <c r="AY1223" t="b">
        <f>OR(Table67[[#This Row],[Delete? (Stage 1)]],Table67[[#This Row],[Delete? (Stage 2)]])</f>
        <v>1</v>
      </c>
      <c r="AZ1223" t="s">
        <v>84</v>
      </c>
    </row>
    <row r="1224" spans="1:52">
      <c r="A1224">
        <f t="shared" si="79"/>
        <v>1223</v>
      </c>
      <c r="B1224" s="3">
        <v>46056.922349537002</v>
      </c>
      <c r="C1224" s="3">
        <v>46056.926678240699</v>
      </c>
      <c r="D1224" t="s">
        <v>53</v>
      </c>
      <c r="G1224" t="s">
        <v>54</v>
      </c>
      <c r="H1224" t="s">
        <v>63</v>
      </c>
      <c r="I1224" t="s">
        <v>56</v>
      </c>
      <c r="J1224" t="s">
        <v>57</v>
      </c>
      <c r="K1224" t="s">
        <v>57</v>
      </c>
      <c r="L1224" t="s">
        <v>58</v>
      </c>
      <c r="M1224" t="s">
        <v>58</v>
      </c>
      <c r="N1224">
        <v>3</v>
      </c>
      <c r="O1224">
        <v>2</v>
      </c>
      <c r="P1224">
        <v>5</v>
      </c>
      <c r="Q1224">
        <v>2</v>
      </c>
      <c r="R1224">
        <v>1</v>
      </c>
      <c r="S1224">
        <v>3</v>
      </c>
      <c r="T1224">
        <v>1</v>
      </c>
      <c r="U1224">
        <v>4</v>
      </c>
      <c r="V1224">
        <v>2</v>
      </c>
      <c r="W1224">
        <v>2</v>
      </c>
      <c r="X1224">
        <v>3</v>
      </c>
      <c r="Y1224">
        <v>2</v>
      </c>
      <c r="Z1224">
        <v>5</v>
      </c>
      <c r="AA1224">
        <v>2</v>
      </c>
      <c r="AB1224">
        <v>1</v>
      </c>
      <c r="AC1224">
        <v>3</v>
      </c>
      <c r="AD1224">
        <v>3</v>
      </c>
      <c r="AE1224">
        <v>4</v>
      </c>
      <c r="AF1224">
        <v>1</v>
      </c>
      <c r="AG1224">
        <v>2</v>
      </c>
      <c r="AH1224">
        <v>2</v>
      </c>
      <c r="AI1224">
        <v>4</v>
      </c>
      <c r="AJ1224">
        <v>5</v>
      </c>
      <c r="AK1224" t="b">
        <f>Table67[[#This Row],[What is your age?]]&lt;&gt;"18 - 25"</f>
        <v>0</v>
      </c>
      <c r="AL1224" t="b">
        <f t="shared" si="76"/>
        <v>0</v>
      </c>
      <c r="AM1224" t="b">
        <f t="shared" si="77"/>
        <v>1</v>
      </c>
      <c r="AN1224" t="b">
        <f t="shared" si="78"/>
        <v>0</v>
      </c>
      <c r="AO1224" t="b">
        <f>OR(Table67[[#This Row],[Ineligible respondents]:[Inconsistent response on opposite question (3)]])</f>
        <v>1</v>
      </c>
      <c r="AP122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224">
        <f>Table67[[#This Row],[Extreme Response]]/21</f>
        <v>0.2857142857142857</v>
      </c>
      <c r="AR1224">
        <f>_xlfn.PERCENTILE.INC(Table67[Extrem Response Ratio (ERS)],0.9)</f>
        <v>0.61904761904761907</v>
      </c>
      <c r="AS1224" t="b">
        <f>Table67[[#This Row],[Extrem Response Ratio (ERS)]]&gt;=Table67[[#This Row],[Threshold of ERS]]</f>
        <v>0</v>
      </c>
      <c r="AT1224">
        <f>COUNTIF(Table67[[#This Row],[The mechanism of digital assets is difficult to understand, which discourages me from exploring it (E.g, Tokenization, Blockchain)]:[If I want to try different ways to invest, I will explore digital assets.]], 3)</f>
        <v>5</v>
      </c>
      <c r="AU1224">
        <f>Table67[[#This Row],[Midpoint]]/21</f>
        <v>0.23809523809523808</v>
      </c>
      <c r="AV1224">
        <f>_xlfn.PERCENTILE.INC(Table67[Midpoint ratio],0.9)</f>
        <v>0.5714285714285714</v>
      </c>
      <c r="AW1224" t="b">
        <f>Table67[[#This Row],[Midpoint ratio]]&gt;=Table67[[#This Row],[Threshold of Midpoint ratio]]</f>
        <v>0</v>
      </c>
      <c r="AX1224" t="b">
        <f>OR(Table67[[#This Row],[Extreme Response Style]],Table67[[#This Row],[Mid-point Response Style]])</f>
        <v>0</v>
      </c>
      <c r="AY1224" t="b">
        <f>OR(Table67[[#This Row],[Delete? (Stage 1)]],Table67[[#This Row],[Delete? (Stage 2)]])</f>
        <v>1</v>
      </c>
      <c r="AZ1224" t="s">
        <v>84</v>
      </c>
    </row>
    <row r="1225" spans="1:52">
      <c r="A1225">
        <f t="shared" si="79"/>
        <v>1224</v>
      </c>
      <c r="B1225" s="3">
        <v>46056.923877314803</v>
      </c>
      <c r="C1225" s="3">
        <v>46056.930648148104</v>
      </c>
      <c r="D1225" t="s">
        <v>53</v>
      </c>
      <c r="G1225" t="s">
        <v>54</v>
      </c>
      <c r="H1225" t="s">
        <v>55</v>
      </c>
      <c r="I1225" t="s">
        <v>56</v>
      </c>
      <c r="J1225" t="s">
        <v>60</v>
      </c>
      <c r="K1225" t="s">
        <v>65</v>
      </c>
      <c r="L1225" t="s">
        <v>61</v>
      </c>
      <c r="M1225" t="s">
        <v>61</v>
      </c>
      <c r="N1225">
        <v>2</v>
      </c>
      <c r="O1225">
        <v>2</v>
      </c>
      <c r="P1225">
        <v>4</v>
      </c>
      <c r="Q1225">
        <v>1</v>
      </c>
      <c r="R1225">
        <v>4</v>
      </c>
      <c r="S1225">
        <v>4</v>
      </c>
      <c r="T1225">
        <v>5</v>
      </c>
      <c r="U1225">
        <v>2</v>
      </c>
      <c r="V1225">
        <v>5</v>
      </c>
      <c r="W1225">
        <v>5</v>
      </c>
      <c r="X1225">
        <v>5</v>
      </c>
      <c r="Y1225">
        <v>5</v>
      </c>
      <c r="Z1225">
        <v>5</v>
      </c>
      <c r="AA1225">
        <v>4</v>
      </c>
      <c r="AB1225">
        <v>2</v>
      </c>
      <c r="AC1225">
        <v>2</v>
      </c>
      <c r="AD1225">
        <v>5</v>
      </c>
      <c r="AE1225">
        <v>5</v>
      </c>
      <c r="AF1225">
        <v>4</v>
      </c>
      <c r="AG1225">
        <v>2</v>
      </c>
      <c r="AH1225">
        <v>5</v>
      </c>
      <c r="AI1225">
        <v>1</v>
      </c>
      <c r="AJ1225">
        <v>2</v>
      </c>
      <c r="AK1225" t="b">
        <f>Table67[[#This Row],[What is your age?]]&lt;&gt;"18 - 25"</f>
        <v>0</v>
      </c>
      <c r="AL1225" t="b">
        <f t="shared" si="76"/>
        <v>0</v>
      </c>
      <c r="AM1225" t="b">
        <f t="shared" si="77"/>
        <v>0</v>
      </c>
      <c r="AN1225" t="b">
        <f t="shared" si="78"/>
        <v>0</v>
      </c>
      <c r="AO1225" t="b">
        <f>OR(Table67[[#This Row],[Ineligible respondents]:[Inconsistent response on opposite question (3)]])</f>
        <v>0</v>
      </c>
      <c r="AP122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10</v>
      </c>
      <c r="AQ1225">
        <f>Table67[[#This Row],[Extreme Response]]/21</f>
        <v>0.47619047619047616</v>
      </c>
      <c r="AR1225">
        <f>_xlfn.PERCENTILE.INC(Table67[Extrem Response Ratio (ERS)],0.9)</f>
        <v>0.61904761904761907</v>
      </c>
      <c r="AS1225" t="b">
        <f>Table67[[#This Row],[Extrem Response Ratio (ERS)]]&gt;=Table67[[#This Row],[Threshold of ERS]]</f>
        <v>0</v>
      </c>
      <c r="AT1225">
        <f>COUNTIF(Table67[[#This Row],[The mechanism of digital assets is difficult to understand, which discourages me from exploring it (E.g, Tokenization, Blockchain)]:[If I want to try different ways to invest, I will explore digital assets.]], 3)</f>
        <v>0</v>
      </c>
      <c r="AU1225">
        <f>Table67[[#This Row],[Midpoint]]/21</f>
        <v>0</v>
      </c>
      <c r="AV1225">
        <f>_xlfn.PERCENTILE.INC(Table67[Midpoint ratio],0.9)</f>
        <v>0.5714285714285714</v>
      </c>
      <c r="AW1225" t="b">
        <f>Table67[[#This Row],[Midpoint ratio]]&gt;=Table67[[#This Row],[Threshold of Midpoint ratio]]</f>
        <v>0</v>
      </c>
      <c r="AX1225" t="b">
        <f>OR(Table67[[#This Row],[Extreme Response Style]],Table67[[#This Row],[Mid-point Response Style]])</f>
        <v>0</v>
      </c>
      <c r="AY1225" t="b">
        <f>OR(Table67[[#This Row],[Delete? (Stage 1)]],Table67[[#This Row],[Delete? (Stage 2)]])</f>
        <v>0</v>
      </c>
      <c r="AZ1225" t="s">
        <v>84</v>
      </c>
    </row>
    <row r="1226" spans="1:52">
      <c r="A1226">
        <f t="shared" si="79"/>
        <v>1225</v>
      </c>
      <c r="B1226" s="3">
        <v>46056.924872685202</v>
      </c>
      <c r="C1226" s="3">
        <v>46056.9295949074</v>
      </c>
      <c r="D1226" t="s">
        <v>53</v>
      </c>
      <c r="G1226" t="s">
        <v>54</v>
      </c>
      <c r="H1226" t="s">
        <v>55</v>
      </c>
      <c r="I1226" t="s">
        <v>56</v>
      </c>
      <c r="J1226" t="s">
        <v>57</v>
      </c>
      <c r="K1226" t="s">
        <v>57</v>
      </c>
      <c r="L1226" t="s">
        <v>58</v>
      </c>
      <c r="M1226" t="s">
        <v>58</v>
      </c>
      <c r="N1226">
        <v>2</v>
      </c>
      <c r="O1226">
        <v>2</v>
      </c>
      <c r="P1226">
        <v>5</v>
      </c>
      <c r="Q1226">
        <v>3</v>
      </c>
      <c r="R1226">
        <v>2</v>
      </c>
      <c r="S1226">
        <v>2</v>
      </c>
      <c r="T1226">
        <v>3</v>
      </c>
      <c r="U1226">
        <v>5</v>
      </c>
      <c r="V1226">
        <v>4</v>
      </c>
      <c r="W1226">
        <v>2</v>
      </c>
      <c r="X1226">
        <v>3</v>
      </c>
      <c r="Y1226">
        <v>1</v>
      </c>
      <c r="Z1226">
        <v>4</v>
      </c>
      <c r="AA1226">
        <v>4</v>
      </c>
      <c r="AB1226">
        <v>1</v>
      </c>
      <c r="AC1226">
        <v>4</v>
      </c>
      <c r="AD1226">
        <v>3</v>
      </c>
      <c r="AE1226">
        <v>2</v>
      </c>
      <c r="AF1226">
        <v>4</v>
      </c>
      <c r="AG1226">
        <v>3</v>
      </c>
      <c r="AH1226">
        <v>5</v>
      </c>
      <c r="AI1226">
        <v>1</v>
      </c>
      <c r="AJ1226">
        <v>2</v>
      </c>
      <c r="AK1226" t="b">
        <f>Table67[[#This Row],[What is your age?]]&lt;&gt;"18 - 25"</f>
        <v>0</v>
      </c>
      <c r="AL1226" t="b">
        <f t="shared" si="76"/>
        <v>0</v>
      </c>
      <c r="AM1226" t="b">
        <f t="shared" si="77"/>
        <v>0</v>
      </c>
      <c r="AN1226" t="b">
        <f t="shared" si="78"/>
        <v>1</v>
      </c>
      <c r="AO1226" t="b">
        <f>OR(Table67[[#This Row],[Ineligible respondents]:[Inconsistent response on opposite question (3)]])</f>
        <v>1</v>
      </c>
      <c r="AP122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226">
        <f>Table67[[#This Row],[Extreme Response]]/21</f>
        <v>0.23809523809523808</v>
      </c>
      <c r="AR1226">
        <f>_xlfn.PERCENTILE.INC(Table67[Extrem Response Ratio (ERS)],0.9)</f>
        <v>0.61904761904761907</v>
      </c>
      <c r="AS1226" t="b">
        <f>Table67[[#This Row],[Extrem Response Ratio (ERS)]]&gt;=Table67[[#This Row],[Threshold of ERS]]</f>
        <v>0</v>
      </c>
      <c r="AT1226">
        <f>COUNTIF(Table67[[#This Row],[The mechanism of digital assets is difficult to understand, which discourages me from exploring it (E.g, Tokenization, Blockchain)]:[If I want to try different ways to invest, I will explore digital assets.]], 3)</f>
        <v>5</v>
      </c>
      <c r="AU1226">
        <f>Table67[[#This Row],[Midpoint]]/21</f>
        <v>0.23809523809523808</v>
      </c>
      <c r="AV1226">
        <f>_xlfn.PERCENTILE.INC(Table67[Midpoint ratio],0.9)</f>
        <v>0.5714285714285714</v>
      </c>
      <c r="AW1226" t="b">
        <f>Table67[[#This Row],[Midpoint ratio]]&gt;=Table67[[#This Row],[Threshold of Midpoint ratio]]</f>
        <v>0</v>
      </c>
      <c r="AX1226" t="b">
        <f>OR(Table67[[#This Row],[Extreme Response Style]],Table67[[#This Row],[Mid-point Response Style]])</f>
        <v>0</v>
      </c>
      <c r="AY1226" t="b">
        <f>OR(Table67[[#This Row],[Delete? (Stage 1)]],Table67[[#This Row],[Delete? (Stage 2)]])</f>
        <v>1</v>
      </c>
      <c r="AZ1226" t="s">
        <v>84</v>
      </c>
    </row>
    <row r="1227" spans="1:52">
      <c r="A1227">
        <f t="shared" si="79"/>
        <v>1226</v>
      </c>
      <c r="B1227" s="3">
        <v>46056.926377314798</v>
      </c>
      <c r="C1227" s="3">
        <v>46056.929247685199</v>
      </c>
      <c r="D1227" t="s">
        <v>53</v>
      </c>
      <c r="G1227" t="s">
        <v>54</v>
      </c>
      <c r="H1227" t="s">
        <v>55</v>
      </c>
      <c r="I1227" t="s">
        <v>75</v>
      </c>
      <c r="J1227" t="s">
        <v>62</v>
      </c>
      <c r="K1227" t="s">
        <v>57</v>
      </c>
      <c r="L1227" t="s">
        <v>58</v>
      </c>
      <c r="M1227" t="s">
        <v>58</v>
      </c>
      <c r="N1227">
        <v>4</v>
      </c>
      <c r="O1227">
        <v>4</v>
      </c>
      <c r="P1227">
        <v>4</v>
      </c>
      <c r="Q1227">
        <v>3</v>
      </c>
      <c r="R1227">
        <v>4</v>
      </c>
      <c r="S1227">
        <v>2</v>
      </c>
      <c r="T1227">
        <v>4</v>
      </c>
      <c r="U1227">
        <v>4</v>
      </c>
      <c r="V1227">
        <v>4</v>
      </c>
      <c r="W1227">
        <v>4</v>
      </c>
      <c r="X1227">
        <v>4</v>
      </c>
      <c r="Y1227">
        <v>3</v>
      </c>
      <c r="Z1227">
        <v>4</v>
      </c>
      <c r="AA1227">
        <v>4</v>
      </c>
      <c r="AB1227">
        <v>4</v>
      </c>
      <c r="AC1227">
        <v>3</v>
      </c>
      <c r="AD1227">
        <v>3</v>
      </c>
      <c r="AE1227">
        <v>4</v>
      </c>
      <c r="AF1227">
        <v>1</v>
      </c>
      <c r="AG1227">
        <v>4</v>
      </c>
      <c r="AH1227">
        <v>3</v>
      </c>
      <c r="AI1227">
        <v>3</v>
      </c>
      <c r="AJ1227">
        <v>5</v>
      </c>
      <c r="AK1227" t="b">
        <f>Table67[[#This Row],[What is your age?]]&lt;&gt;"18 - 25"</f>
        <v>0</v>
      </c>
      <c r="AL1227" t="b">
        <f t="shared" si="76"/>
        <v>0</v>
      </c>
      <c r="AM1227" t="b">
        <f t="shared" si="77"/>
        <v>0</v>
      </c>
      <c r="AN1227" t="b">
        <f t="shared" si="78"/>
        <v>1</v>
      </c>
      <c r="AO1227" t="b">
        <f>OR(Table67[[#This Row],[Ineligible respondents]:[Inconsistent response on opposite question (3)]])</f>
        <v>1</v>
      </c>
      <c r="AP122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227">
        <f>Table67[[#This Row],[Extreme Response]]/21</f>
        <v>4.7619047619047616E-2</v>
      </c>
      <c r="AR1227">
        <f>_xlfn.PERCENTILE.INC(Table67[Extrem Response Ratio (ERS)],0.9)</f>
        <v>0.61904761904761907</v>
      </c>
      <c r="AS1227" t="b">
        <f>Table67[[#This Row],[Extrem Response Ratio (ERS)]]&gt;=Table67[[#This Row],[Threshold of ERS]]</f>
        <v>0</v>
      </c>
      <c r="AT1227">
        <f>COUNTIF(Table67[[#This Row],[The mechanism of digital assets is difficult to understand, which discourages me from exploring it (E.g, Tokenization, Blockchain)]:[If I want to try different ways to invest, I will explore digital assets.]], 3)</f>
        <v>5</v>
      </c>
      <c r="AU1227">
        <f>Table67[[#This Row],[Midpoint]]/21</f>
        <v>0.23809523809523808</v>
      </c>
      <c r="AV1227">
        <f>_xlfn.PERCENTILE.INC(Table67[Midpoint ratio],0.9)</f>
        <v>0.5714285714285714</v>
      </c>
      <c r="AW1227" t="b">
        <f>Table67[[#This Row],[Midpoint ratio]]&gt;=Table67[[#This Row],[Threshold of Midpoint ratio]]</f>
        <v>0</v>
      </c>
      <c r="AX1227" t="b">
        <f>OR(Table67[[#This Row],[Extreme Response Style]],Table67[[#This Row],[Mid-point Response Style]])</f>
        <v>0</v>
      </c>
      <c r="AY1227" t="b">
        <f>OR(Table67[[#This Row],[Delete? (Stage 1)]],Table67[[#This Row],[Delete? (Stage 2)]])</f>
        <v>1</v>
      </c>
      <c r="AZ1227" t="s">
        <v>84</v>
      </c>
    </row>
    <row r="1228" spans="1:52">
      <c r="A1228">
        <f t="shared" si="79"/>
        <v>1227</v>
      </c>
      <c r="B1228" s="3">
        <v>46056.927175925899</v>
      </c>
      <c r="C1228" s="3">
        <v>46056.932094907403</v>
      </c>
      <c r="D1228" t="s">
        <v>53</v>
      </c>
      <c r="G1228" t="s">
        <v>54</v>
      </c>
      <c r="H1228" t="s">
        <v>63</v>
      </c>
      <c r="I1228" t="s">
        <v>56</v>
      </c>
      <c r="J1228" t="s">
        <v>62</v>
      </c>
      <c r="K1228" t="s">
        <v>62</v>
      </c>
      <c r="L1228" t="s">
        <v>58</v>
      </c>
      <c r="M1228" t="s">
        <v>61</v>
      </c>
      <c r="N1228">
        <v>3</v>
      </c>
      <c r="O1228">
        <v>4</v>
      </c>
      <c r="P1228">
        <v>4</v>
      </c>
      <c r="Q1228">
        <v>3</v>
      </c>
      <c r="R1228">
        <v>3</v>
      </c>
      <c r="S1228">
        <v>3</v>
      </c>
      <c r="T1228">
        <v>4</v>
      </c>
      <c r="U1228">
        <v>3</v>
      </c>
      <c r="V1228">
        <v>3</v>
      </c>
      <c r="W1228">
        <v>5</v>
      </c>
      <c r="X1228">
        <v>3</v>
      </c>
      <c r="Y1228">
        <v>2</v>
      </c>
      <c r="Z1228">
        <v>3</v>
      </c>
      <c r="AA1228">
        <v>4</v>
      </c>
      <c r="AB1228">
        <v>3</v>
      </c>
      <c r="AC1228">
        <v>3</v>
      </c>
      <c r="AD1228">
        <v>4</v>
      </c>
      <c r="AE1228">
        <v>4</v>
      </c>
      <c r="AF1228">
        <v>3</v>
      </c>
      <c r="AG1228">
        <v>4</v>
      </c>
      <c r="AH1228">
        <v>3</v>
      </c>
      <c r="AI1228">
        <v>3</v>
      </c>
      <c r="AJ1228">
        <v>3</v>
      </c>
      <c r="AK1228" t="b">
        <f>Table67[[#This Row],[What is your age?]]&lt;&gt;"18 - 25"</f>
        <v>0</v>
      </c>
      <c r="AL1228" t="b">
        <f t="shared" si="76"/>
        <v>0</v>
      </c>
      <c r="AM1228" t="b">
        <f t="shared" si="77"/>
        <v>0</v>
      </c>
      <c r="AN1228" t="b">
        <f t="shared" si="78"/>
        <v>1</v>
      </c>
      <c r="AO1228" t="b">
        <f>OR(Table67[[#This Row],[Ineligible respondents]:[Inconsistent response on opposite question (3)]])</f>
        <v>1</v>
      </c>
      <c r="AP122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228">
        <f>Table67[[#This Row],[Extreme Response]]/21</f>
        <v>4.7619047619047616E-2</v>
      </c>
      <c r="AR1228">
        <f>_xlfn.PERCENTILE.INC(Table67[Extrem Response Ratio (ERS)],0.9)</f>
        <v>0.61904761904761907</v>
      </c>
      <c r="AS1228" t="b">
        <f>Table67[[#This Row],[Extrem Response Ratio (ERS)]]&gt;=Table67[[#This Row],[Threshold of ERS]]</f>
        <v>0</v>
      </c>
      <c r="AT1228">
        <f>COUNTIF(Table67[[#This Row],[The mechanism of digital assets is difficult to understand, which discourages me from exploring it (E.g, Tokenization, Blockchain)]:[If I want to try different ways to invest, I will explore digital assets.]], 3)</f>
        <v>12</v>
      </c>
      <c r="AU1228">
        <f>Table67[[#This Row],[Midpoint]]/21</f>
        <v>0.5714285714285714</v>
      </c>
      <c r="AV1228">
        <f>_xlfn.PERCENTILE.INC(Table67[Midpoint ratio],0.9)</f>
        <v>0.5714285714285714</v>
      </c>
      <c r="AW1228" t="b">
        <f>Table67[[#This Row],[Midpoint ratio]]&gt;=Table67[[#This Row],[Threshold of Midpoint ratio]]</f>
        <v>1</v>
      </c>
      <c r="AX1228" t="b">
        <f>OR(Table67[[#This Row],[Extreme Response Style]],Table67[[#This Row],[Mid-point Response Style]])</f>
        <v>1</v>
      </c>
      <c r="AY1228" t="b">
        <f>OR(Table67[[#This Row],[Delete? (Stage 1)]],Table67[[#This Row],[Delete? (Stage 2)]])</f>
        <v>1</v>
      </c>
      <c r="AZ1228" t="s">
        <v>84</v>
      </c>
    </row>
    <row r="1229" spans="1:52">
      <c r="A1229">
        <f t="shared" si="79"/>
        <v>1228</v>
      </c>
      <c r="B1229" s="3">
        <v>46056.927893518499</v>
      </c>
      <c r="C1229" s="3">
        <v>46056.928668981498</v>
      </c>
      <c r="D1229" t="s">
        <v>53</v>
      </c>
      <c r="G1229" t="s">
        <v>54</v>
      </c>
      <c r="H1229" t="s">
        <v>63</v>
      </c>
      <c r="I1229" t="s">
        <v>71</v>
      </c>
      <c r="J1229" t="s">
        <v>67</v>
      </c>
      <c r="K1229" t="s">
        <v>62</v>
      </c>
      <c r="L1229" t="s">
        <v>58</v>
      </c>
      <c r="M1229" t="s">
        <v>58</v>
      </c>
      <c r="N1229">
        <v>4</v>
      </c>
      <c r="O1229">
        <v>4</v>
      </c>
      <c r="P1229">
        <v>3</v>
      </c>
      <c r="Q1229">
        <v>3</v>
      </c>
      <c r="R1229">
        <v>2</v>
      </c>
      <c r="S1229">
        <v>4</v>
      </c>
      <c r="T1229">
        <v>3</v>
      </c>
      <c r="U1229">
        <v>4</v>
      </c>
      <c r="V1229">
        <v>2</v>
      </c>
      <c r="W1229">
        <v>4</v>
      </c>
      <c r="X1229">
        <v>4</v>
      </c>
      <c r="Y1229">
        <v>3</v>
      </c>
      <c r="Z1229">
        <v>4</v>
      </c>
      <c r="AA1229">
        <v>3</v>
      </c>
      <c r="AB1229">
        <v>4</v>
      </c>
      <c r="AC1229">
        <v>3</v>
      </c>
      <c r="AD1229">
        <v>4</v>
      </c>
      <c r="AE1229">
        <v>5</v>
      </c>
      <c r="AF1229">
        <v>4</v>
      </c>
      <c r="AG1229">
        <v>3</v>
      </c>
      <c r="AH1229">
        <v>4</v>
      </c>
      <c r="AI1229">
        <v>2</v>
      </c>
      <c r="AJ1229">
        <v>2</v>
      </c>
      <c r="AK1229" t="b">
        <f>Table67[[#This Row],[What is your age?]]&lt;&gt;"18 - 25"</f>
        <v>0</v>
      </c>
      <c r="AL1229" t="b">
        <f t="shared" si="76"/>
        <v>0</v>
      </c>
      <c r="AM1229" t="b">
        <f t="shared" si="77"/>
        <v>0</v>
      </c>
      <c r="AN1229" t="b">
        <f t="shared" si="78"/>
        <v>1</v>
      </c>
      <c r="AO1229" t="b">
        <f>OR(Table67[[#This Row],[Ineligible respondents]:[Inconsistent response on opposite question (3)]])</f>
        <v>1</v>
      </c>
      <c r="AP122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229">
        <f>Table67[[#This Row],[Extreme Response]]/21</f>
        <v>4.7619047619047616E-2</v>
      </c>
      <c r="AR1229">
        <f>_xlfn.PERCENTILE.INC(Table67[Extrem Response Ratio (ERS)],0.9)</f>
        <v>0.61904761904761907</v>
      </c>
      <c r="AS1229" t="b">
        <f>Table67[[#This Row],[Extrem Response Ratio (ERS)]]&gt;=Table67[[#This Row],[Threshold of ERS]]</f>
        <v>0</v>
      </c>
      <c r="AT1229">
        <f>COUNTIF(Table67[[#This Row],[The mechanism of digital assets is difficult to understand, which discourages me from exploring it (E.g, Tokenization, Blockchain)]:[If I want to try different ways to invest, I will explore digital assets.]], 3)</f>
        <v>7</v>
      </c>
      <c r="AU1229">
        <f>Table67[[#This Row],[Midpoint]]/21</f>
        <v>0.33333333333333331</v>
      </c>
      <c r="AV1229">
        <f>_xlfn.PERCENTILE.INC(Table67[Midpoint ratio],0.9)</f>
        <v>0.5714285714285714</v>
      </c>
      <c r="AW1229" t="b">
        <f>Table67[[#This Row],[Midpoint ratio]]&gt;=Table67[[#This Row],[Threshold of Midpoint ratio]]</f>
        <v>0</v>
      </c>
      <c r="AX1229" t="b">
        <f>OR(Table67[[#This Row],[Extreme Response Style]],Table67[[#This Row],[Mid-point Response Style]])</f>
        <v>0</v>
      </c>
      <c r="AY1229" t="b">
        <f>OR(Table67[[#This Row],[Delete? (Stage 1)]],Table67[[#This Row],[Delete? (Stage 2)]])</f>
        <v>1</v>
      </c>
      <c r="AZ1229" t="s">
        <v>84</v>
      </c>
    </row>
    <row r="1230" spans="1:52">
      <c r="A1230">
        <f t="shared" si="79"/>
        <v>1229</v>
      </c>
      <c r="B1230" s="3">
        <v>46056.9281597222</v>
      </c>
      <c r="C1230" s="3">
        <v>46056.930671296301</v>
      </c>
      <c r="D1230" t="s">
        <v>53</v>
      </c>
      <c r="G1230" t="s">
        <v>54</v>
      </c>
      <c r="H1230" t="s">
        <v>55</v>
      </c>
      <c r="I1230" t="s">
        <v>75</v>
      </c>
      <c r="J1230" t="s">
        <v>65</v>
      </c>
      <c r="K1230" t="s">
        <v>62</v>
      </c>
      <c r="L1230" t="s">
        <v>61</v>
      </c>
      <c r="M1230" t="s">
        <v>58</v>
      </c>
      <c r="N1230">
        <v>3</v>
      </c>
      <c r="O1230">
        <v>2</v>
      </c>
      <c r="P1230">
        <v>4</v>
      </c>
      <c r="Q1230">
        <v>2</v>
      </c>
      <c r="R1230">
        <v>2</v>
      </c>
      <c r="S1230">
        <v>3</v>
      </c>
      <c r="T1230">
        <v>3</v>
      </c>
      <c r="U1230">
        <v>2</v>
      </c>
      <c r="V1230">
        <v>2</v>
      </c>
      <c r="W1230">
        <v>4</v>
      </c>
      <c r="X1230">
        <v>2</v>
      </c>
      <c r="Y1230">
        <v>2</v>
      </c>
      <c r="Z1230">
        <v>3</v>
      </c>
      <c r="AA1230">
        <v>2</v>
      </c>
      <c r="AB1230">
        <v>2</v>
      </c>
      <c r="AC1230">
        <v>3</v>
      </c>
      <c r="AD1230">
        <v>3</v>
      </c>
      <c r="AE1230">
        <v>3</v>
      </c>
      <c r="AF1230">
        <v>4</v>
      </c>
      <c r="AG1230">
        <v>2</v>
      </c>
      <c r="AH1230">
        <v>4</v>
      </c>
      <c r="AI1230">
        <v>2</v>
      </c>
      <c r="AJ1230">
        <v>2</v>
      </c>
      <c r="AK1230" t="b">
        <f>Table67[[#This Row],[What is your age?]]&lt;&gt;"18 - 25"</f>
        <v>0</v>
      </c>
      <c r="AL1230" t="b">
        <f t="shared" si="76"/>
        <v>0</v>
      </c>
      <c r="AM1230" t="b">
        <f t="shared" si="77"/>
        <v>0</v>
      </c>
      <c r="AN1230" t="b">
        <f t="shared" si="78"/>
        <v>0</v>
      </c>
      <c r="AO1230" t="b">
        <f>OR(Table67[[#This Row],[Ineligible respondents]:[Inconsistent response on opposite question (3)]])</f>
        <v>0</v>
      </c>
      <c r="AP123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230">
        <f>Table67[[#This Row],[Extreme Response]]/21</f>
        <v>0</v>
      </c>
      <c r="AR1230">
        <f>_xlfn.PERCENTILE.INC(Table67[Extrem Response Ratio (ERS)],0.9)</f>
        <v>0.61904761904761907</v>
      </c>
      <c r="AS1230" t="b">
        <f>Table67[[#This Row],[Extrem Response Ratio (ERS)]]&gt;=Table67[[#This Row],[Threshold of ERS]]</f>
        <v>0</v>
      </c>
      <c r="AT1230">
        <f>COUNTIF(Table67[[#This Row],[The mechanism of digital assets is difficult to understand, which discourages me from exploring it (E.g, Tokenization, Blockchain)]:[If I want to try different ways to invest, I will explore digital assets.]], 3)</f>
        <v>7</v>
      </c>
      <c r="AU1230">
        <f>Table67[[#This Row],[Midpoint]]/21</f>
        <v>0.33333333333333331</v>
      </c>
      <c r="AV1230">
        <f>_xlfn.PERCENTILE.INC(Table67[Midpoint ratio],0.9)</f>
        <v>0.5714285714285714</v>
      </c>
      <c r="AW1230" t="b">
        <f>Table67[[#This Row],[Midpoint ratio]]&gt;=Table67[[#This Row],[Threshold of Midpoint ratio]]</f>
        <v>0</v>
      </c>
      <c r="AX1230" t="b">
        <f>OR(Table67[[#This Row],[Extreme Response Style]],Table67[[#This Row],[Mid-point Response Style]])</f>
        <v>0</v>
      </c>
      <c r="AY1230" t="b">
        <f>OR(Table67[[#This Row],[Delete? (Stage 1)]],Table67[[#This Row],[Delete? (Stage 2)]])</f>
        <v>0</v>
      </c>
      <c r="AZ1230" t="s">
        <v>84</v>
      </c>
    </row>
    <row r="1231" spans="1:52">
      <c r="A1231">
        <f t="shared" si="79"/>
        <v>1230</v>
      </c>
      <c r="B1231" s="3">
        <v>46056.929849537002</v>
      </c>
      <c r="C1231" s="3">
        <v>46056.932719907403</v>
      </c>
      <c r="D1231" t="s">
        <v>53</v>
      </c>
      <c r="G1231" t="s">
        <v>73</v>
      </c>
      <c r="H1231" t="s">
        <v>55</v>
      </c>
      <c r="I1231" t="s">
        <v>75</v>
      </c>
      <c r="J1231" t="s">
        <v>62</v>
      </c>
      <c r="K1231" t="s">
        <v>57</v>
      </c>
      <c r="L1231" t="s">
        <v>58</v>
      </c>
      <c r="M1231" t="s">
        <v>58</v>
      </c>
      <c r="N1231">
        <v>4</v>
      </c>
      <c r="O1231">
        <v>4</v>
      </c>
      <c r="P1231">
        <v>4</v>
      </c>
      <c r="Q1231">
        <v>4</v>
      </c>
      <c r="R1231">
        <v>3</v>
      </c>
      <c r="S1231">
        <v>2</v>
      </c>
      <c r="T1231">
        <v>4</v>
      </c>
      <c r="U1231">
        <v>4</v>
      </c>
      <c r="V1231">
        <v>4</v>
      </c>
      <c r="W1231">
        <v>4</v>
      </c>
      <c r="X1231">
        <v>4</v>
      </c>
      <c r="Y1231">
        <v>4</v>
      </c>
      <c r="Z1231">
        <v>4</v>
      </c>
      <c r="AA1231">
        <v>4</v>
      </c>
      <c r="AB1231">
        <v>4</v>
      </c>
      <c r="AC1231">
        <v>2</v>
      </c>
      <c r="AD1231">
        <v>5</v>
      </c>
      <c r="AE1231">
        <v>5</v>
      </c>
      <c r="AF1231">
        <v>3</v>
      </c>
      <c r="AG1231">
        <v>4</v>
      </c>
      <c r="AH1231">
        <v>4</v>
      </c>
      <c r="AI1231">
        <v>2</v>
      </c>
      <c r="AJ1231">
        <v>3</v>
      </c>
      <c r="AK1231" t="b">
        <f>Table67[[#This Row],[What is your age?]]&lt;&gt;"18 - 25"</f>
        <v>1</v>
      </c>
      <c r="AL1231" t="b">
        <f t="shared" si="76"/>
        <v>0</v>
      </c>
      <c r="AM1231" t="b">
        <f t="shared" si="77"/>
        <v>1</v>
      </c>
      <c r="AN1231" t="b">
        <f t="shared" si="78"/>
        <v>0</v>
      </c>
      <c r="AO1231" t="b">
        <f>OR(Table67[[#This Row],[Ineligible respondents]:[Inconsistent response on opposite question (3)]])</f>
        <v>1</v>
      </c>
      <c r="AP123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231">
        <f>Table67[[#This Row],[Extreme Response]]/21</f>
        <v>9.5238095238095233E-2</v>
      </c>
      <c r="AR1231">
        <f>_xlfn.PERCENTILE.INC(Table67[Extrem Response Ratio (ERS)],0.9)</f>
        <v>0.61904761904761907</v>
      </c>
      <c r="AS1231" t="b">
        <f>Table67[[#This Row],[Extrem Response Ratio (ERS)]]&gt;=Table67[[#This Row],[Threshold of ERS]]</f>
        <v>0</v>
      </c>
      <c r="AT1231">
        <f>COUNTIF(Table67[[#This Row],[The mechanism of digital assets is difficult to understand, which discourages me from exploring it (E.g, Tokenization, Blockchain)]:[If I want to try different ways to invest, I will explore digital assets.]], 3)</f>
        <v>2</v>
      </c>
      <c r="AU1231">
        <f>Table67[[#This Row],[Midpoint]]/21</f>
        <v>9.5238095238095233E-2</v>
      </c>
      <c r="AV1231">
        <f>_xlfn.PERCENTILE.INC(Table67[Midpoint ratio],0.9)</f>
        <v>0.5714285714285714</v>
      </c>
      <c r="AW1231" t="b">
        <f>Table67[[#This Row],[Midpoint ratio]]&gt;=Table67[[#This Row],[Threshold of Midpoint ratio]]</f>
        <v>0</v>
      </c>
      <c r="AX1231" t="b">
        <f>OR(Table67[[#This Row],[Extreme Response Style]],Table67[[#This Row],[Mid-point Response Style]])</f>
        <v>0</v>
      </c>
      <c r="AY1231" t="b">
        <f>OR(Table67[[#This Row],[Delete? (Stage 1)]],Table67[[#This Row],[Delete? (Stage 2)]])</f>
        <v>1</v>
      </c>
      <c r="AZ1231" t="s">
        <v>84</v>
      </c>
    </row>
    <row r="1232" spans="1:52">
      <c r="A1232">
        <f t="shared" si="79"/>
        <v>1231</v>
      </c>
      <c r="B1232" s="3">
        <v>46056.933900463002</v>
      </c>
      <c r="C1232" s="3">
        <v>46056.935474537</v>
      </c>
      <c r="D1232" t="s">
        <v>53</v>
      </c>
      <c r="G1232" t="s">
        <v>54</v>
      </c>
      <c r="H1232" t="s">
        <v>55</v>
      </c>
      <c r="I1232" t="s">
        <v>56</v>
      </c>
      <c r="J1232" t="s">
        <v>65</v>
      </c>
      <c r="K1232" t="s">
        <v>60</v>
      </c>
      <c r="L1232" t="s">
        <v>61</v>
      </c>
      <c r="M1232" t="s">
        <v>61</v>
      </c>
      <c r="N1232">
        <v>4</v>
      </c>
      <c r="O1232">
        <v>2</v>
      </c>
      <c r="P1232">
        <v>4</v>
      </c>
      <c r="Q1232">
        <v>4</v>
      </c>
      <c r="R1232">
        <v>4</v>
      </c>
      <c r="S1232">
        <v>4</v>
      </c>
      <c r="T1232">
        <v>2</v>
      </c>
      <c r="U1232">
        <v>4</v>
      </c>
      <c r="V1232">
        <v>4</v>
      </c>
      <c r="W1232">
        <v>4</v>
      </c>
      <c r="X1232">
        <v>2</v>
      </c>
      <c r="Y1232">
        <v>4</v>
      </c>
      <c r="Z1232">
        <v>4</v>
      </c>
      <c r="AA1232">
        <v>4</v>
      </c>
      <c r="AB1232">
        <v>4</v>
      </c>
      <c r="AC1232">
        <v>4</v>
      </c>
      <c r="AD1232">
        <v>2</v>
      </c>
      <c r="AE1232">
        <v>2</v>
      </c>
      <c r="AF1232">
        <v>4</v>
      </c>
      <c r="AG1232">
        <v>2</v>
      </c>
      <c r="AH1232">
        <v>4</v>
      </c>
      <c r="AI1232">
        <v>2</v>
      </c>
      <c r="AJ1232">
        <v>2</v>
      </c>
      <c r="AK1232" t="b">
        <f>Table67[[#This Row],[What is your age?]]&lt;&gt;"18 - 25"</f>
        <v>0</v>
      </c>
      <c r="AL1232" t="b">
        <f t="shared" si="76"/>
        <v>0</v>
      </c>
      <c r="AM1232" t="b">
        <f t="shared" si="77"/>
        <v>0</v>
      </c>
      <c r="AN1232" t="b">
        <f t="shared" si="78"/>
        <v>0</v>
      </c>
      <c r="AO1232" t="b">
        <f>OR(Table67[[#This Row],[Ineligible respondents]:[Inconsistent response on opposite question (3)]])</f>
        <v>0</v>
      </c>
      <c r="AP123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232">
        <f>Table67[[#This Row],[Extreme Response]]/21</f>
        <v>0</v>
      </c>
      <c r="AR1232">
        <f>_xlfn.PERCENTILE.INC(Table67[Extrem Response Ratio (ERS)],0.9)</f>
        <v>0.61904761904761907</v>
      </c>
      <c r="AS1232" t="b">
        <f>Table67[[#This Row],[Extrem Response Ratio (ERS)]]&gt;=Table67[[#This Row],[Threshold of ERS]]</f>
        <v>0</v>
      </c>
      <c r="AT1232">
        <f>COUNTIF(Table67[[#This Row],[The mechanism of digital assets is difficult to understand, which discourages me from exploring it (E.g, Tokenization, Blockchain)]:[If I want to try different ways to invest, I will explore digital assets.]], 3)</f>
        <v>0</v>
      </c>
      <c r="AU1232">
        <f>Table67[[#This Row],[Midpoint]]/21</f>
        <v>0</v>
      </c>
      <c r="AV1232">
        <f>_xlfn.PERCENTILE.INC(Table67[Midpoint ratio],0.9)</f>
        <v>0.5714285714285714</v>
      </c>
      <c r="AW1232" t="b">
        <f>Table67[[#This Row],[Midpoint ratio]]&gt;=Table67[[#This Row],[Threshold of Midpoint ratio]]</f>
        <v>0</v>
      </c>
      <c r="AX1232" t="b">
        <f>OR(Table67[[#This Row],[Extreme Response Style]],Table67[[#This Row],[Mid-point Response Style]])</f>
        <v>0</v>
      </c>
      <c r="AY1232" t="b">
        <f>OR(Table67[[#This Row],[Delete? (Stage 1)]],Table67[[#This Row],[Delete? (Stage 2)]])</f>
        <v>0</v>
      </c>
      <c r="AZ1232" t="s">
        <v>84</v>
      </c>
    </row>
    <row r="1233" spans="1:52">
      <c r="A1233">
        <f t="shared" si="79"/>
        <v>1232</v>
      </c>
      <c r="B1233" s="3">
        <v>46056.935671296298</v>
      </c>
      <c r="C1233" s="3">
        <v>46056.940370370401</v>
      </c>
      <c r="D1233" t="s">
        <v>53</v>
      </c>
      <c r="G1233" t="s">
        <v>54</v>
      </c>
      <c r="H1233" t="s">
        <v>63</v>
      </c>
      <c r="I1233" t="s">
        <v>56</v>
      </c>
      <c r="J1233" t="s">
        <v>72</v>
      </c>
      <c r="K1233" t="s">
        <v>60</v>
      </c>
      <c r="L1233" t="s">
        <v>58</v>
      </c>
      <c r="M1233" t="s">
        <v>61</v>
      </c>
      <c r="N1233">
        <v>2</v>
      </c>
      <c r="O1233">
        <v>1</v>
      </c>
      <c r="P1233">
        <v>3</v>
      </c>
      <c r="Q1233">
        <v>3</v>
      </c>
      <c r="R1233">
        <v>2</v>
      </c>
      <c r="S1233">
        <v>3</v>
      </c>
      <c r="T1233">
        <v>1</v>
      </c>
      <c r="U1233">
        <v>4</v>
      </c>
      <c r="V1233">
        <v>3</v>
      </c>
      <c r="W1233">
        <v>5</v>
      </c>
      <c r="X1233">
        <v>2</v>
      </c>
      <c r="Y1233">
        <v>4</v>
      </c>
      <c r="Z1233">
        <v>5</v>
      </c>
      <c r="AA1233">
        <v>3</v>
      </c>
      <c r="AB1233">
        <v>1</v>
      </c>
      <c r="AC1233">
        <v>2</v>
      </c>
      <c r="AD1233">
        <v>2</v>
      </c>
      <c r="AE1233">
        <v>3</v>
      </c>
      <c r="AF1233">
        <v>4</v>
      </c>
      <c r="AG1233">
        <v>4</v>
      </c>
      <c r="AH1233">
        <v>4</v>
      </c>
      <c r="AI1233">
        <v>2</v>
      </c>
      <c r="AJ1233">
        <v>2</v>
      </c>
      <c r="AK1233" t="b">
        <f>Table67[[#This Row],[What is your age?]]&lt;&gt;"18 - 25"</f>
        <v>0</v>
      </c>
      <c r="AL1233" t="b">
        <f t="shared" si="76"/>
        <v>0</v>
      </c>
      <c r="AM1233" t="b">
        <f t="shared" si="77"/>
        <v>1</v>
      </c>
      <c r="AN1233" t="b">
        <f t="shared" si="78"/>
        <v>0</v>
      </c>
      <c r="AO1233" t="b">
        <f>OR(Table67[[#This Row],[Ineligible respondents]:[Inconsistent response on opposite question (3)]])</f>
        <v>1</v>
      </c>
      <c r="AP123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233">
        <f>Table67[[#This Row],[Extreme Response]]/21</f>
        <v>0.23809523809523808</v>
      </c>
      <c r="AR1233">
        <f>_xlfn.PERCENTILE.INC(Table67[Extrem Response Ratio (ERS)],0.9)</f>
        <v>0.61904761904761907</v>
      </c>
      <c r="AS1233" t="b">
        <f>Table67[[#This Row],[Extrem Response Ratio (ERS)]]&gt;=Table67[[#This Row],[Threshold of ERS]]</f>
        <v>0</v>
      </c>
      <c r="AT1233">
        <f>COUNTIF(Table67[[#This Row],[The mechanism of digital assets is difficult to understand, which discourages me from exploring it (E.g, Tokenization, Blockchain)]:[If I want to try different ways to invest, I will explore digital assets.]], 3)</f>
        <v>6</v>
      </c>
      <c r="AU1233">
        <f>Table67[[#This Row],[Midpoint]]/21</f>
        <v>0.2857142857142857</v>
      </c>
      <c r="AV1233">
        <f>_xlfn.PERCENTILE.INC(Table67[Midpoint ratio],0.9)</f>
        <v>0.5714285714285714</v>
      </c>
      <c r="AW1233" t="b">
        <f>Table67[[#This Row],[Midpoint ratio]]&gt;=Table67[[#This Row],[Threshold of Midpoint ratio]]</f>
        <v>0</v>
      </c>
      <c r="AX1233" t="b">
        <f>OR(Table67[[#This Row],[Extreme Response Style]],Table67[[#This Row],[Mid-point Response Style]])</f>
        <v>0</v>
      </c>
      <c r="AY1233" t="b">
        <f>OR(Table67[[#This Row],[Delete? (Stage 1)]],Table67[[#This Row],[Delete? (Stage 2)]])</f>
        <v>1</v>
      </c>
      <c r="AZ1233" t="s">
        <v>84</v>
      </c>
    </row>
    <row r="1234" spans="1:52">
      <c r="A1234">
        <f t="shared" si="79"/>
        <v>1233</v>
      </c>
      <c r="B1234" s="3">
        <v>46056.9365972222</v>
      </c>
      <c r="C1234" s="3">
        <v>46056.941701388903</v>
      </c>
      <c r="D1234" t="s">
        <v>53</v>
      </c>
      <c r="G1234" t="s">
        <v>54</v>
      </c>
      <c r="H1234" t="s">
        <v>55</v>
      </c>
      <c r="I1234" t="s">
        <v>56</v>
      </c>
      <c r="J1234" t="s">
        <v>57</v>
      </c>
      <c r="K1234" t="s">
        <v>62</v>
      </c>
      <c r="L1234" t="s">
        <v>58</v>
      </c>
      <c r="M1234" t="s">
        <v>58</v>
      </c>
      <c r="N1234">
        <v>4</v>
      </c>
      <c r="O1234">
        <v>1</v>
      </c>
      <c r="P1234">
        <v>4</v>
      </c>
      <c r="Q1234">
        <v>3</v>
      </c>
      <c r="R1234">
        <v>2</v>
      </c>
      <c r="S1234">
        <v>2</v>
      </c>
      <c r="T1234">
        <v>3</v>
      </c>
      <c r="U1234">
        <v>2</v>
      </c>
      <c r="V1234">
        <v>4</v>
      </c>
      <c r="W1234">
        <v>3</v>
      </c>
      <c r="X1234">
        <v>5</v>
      </c>
      <c r="Y1234">
        <v>2</v>
      </c>
      <c r="Z1234">
        <v>2</v>
      </c>
      <c r="AA1234">
        <v>3</v>
      </c>
      <c r="AB1234">
        <v>2</v>
      </c>
      <c r="AC1234">
        <v>5</v>
      </c>
      <c r="AD1234">
        <v>4</v>
      </c>
      <c r="AE1234">
        <v>4</v>
      </c>
      <c r="AF1234">
        <v>3</v>
      </c>
      <c r="AG1234">
        <v>4</v>
      </c>
      <c r="AH1234">
        <v>4</v>
      </c>
      <c r="AI1234">
        <v>2</v>
      </c>
      <c r="AJ1234">
        <v>3</v>
      </c>
      <c r="AK1234" t="b">
        <f>Table67[[#This Row],[What is your age?]]&lt;&gt;"18 - 25"</f>
        <v>0</v>
      </c>
      <c r="AL1234" t="b">
        <f t="shared" si="76"/>
        <v>0</v>
      </c>
      <c r="AM1234" t="b">
        <f t="shared" si="77"/>
        <v>1</v>
      </c>
      <c r="AN1234" t="b">
        <f t="shared" si="78"/>
        <v>0</v>
      </c>
      <c r="AO1234" t="b">
        <f>OR(Table67[[#This Row],[Ineligible respondents]:[Inconsistent response on opposite question (3)]])</f>
        <v>1</v>
      </c>
      <c r="AP123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234">
        <f>Table67[[#This Row],[Extreme Response]]/21</f>
        <v>0.14285714285714285</v>
      </c>
      <c r="AR1234">
        <f>_xlfn.PERCENTILE.INC(Table67[Extrem Response Ratio (ERS)],0.9)</f>
        <v>0.61904761904761907</v>
      </c>
      <c r="AS1234" t="b">
        <f>Table67[[#This Row],[Extrem Response Ratio (ERS)]]&gt;=Table67[[#This Row],[Threshold of ERS]]</f>
        <v>0</v>
      </c>
      <c r="AT1234">
        <f>COUNTIF(Table67[[#This Row],[The mechanism of digital assets is difficult to understand, which discourages me from exploring it (E.g, Tokenization, Blockchain)]:[If I want to try different ways to invest, I will explore digital assets.]], 3)</f>
        <v>5</v>
      </c>
      <c r="AU1234">
        <f>Table67[[#This Row],[Midpoint]]/21</f>
        <v>0.23809523809523808</v>
      </c>
      <c r="AV1234">
        <f>_xlfn.PERCENTILE.INC(Table67[Midpoint ratio],0.9)</f>
        <v>0.5714285714285714</v>
      </c>
      <c r="AW1234" t="b">
        <f>Table67[[#This Row],[Midpoint ratio]]&gt;=Table67[[#This Row],[Threshold of Midpoint ratio]]</f>
        <v>0</v>
      </c>
      <c r="AX1234" t="b">
        <f>OR(Table67[[#This Row],[Extreme Response Style]],Table67[[#This Row],[Mid-point Response Style]])</f>
        <v>0</v>
      </c>
      <c r="AY1234" t="b">
        <f>OR(Table67[[#This Row],[Delete? (Stage 1)]],Table67[[#This Row],[Delete? (Stage 2)]])</f>
        <v>1</v>
      </c>
      <c r="AZ1234" t="s">
        <v>84</v>
      </c>
    </row>
    <row r="1235" spans="1:52">
      <c r="A1235">
        <f t="shared" si="79"/>
        <v>1234</v>
      </c>
      <c r="B1235" s="3">
        <v>46056.939444444397</v>
      </c>
      <c r="C1235" s="3">
        <v>46056.948483796303</v>
      </c>
      <c r="D1235" t="s">
        <v>53</v>
      </c>
      <c r="G1235" t="s">
        <v>54</v>
      </c>
      <c r="H1235" t="s">
        <v>55</v>
      </c>
      <c r="I1235" t="s">
        <v>69</v>
      </c>
      <c r="J1235" t="s">
        <v>60</v>
      </c>
      <c r="K1235" t="s">
        <v>60</v>
      </c>
      <c r="L1235" t="s">
        <v>61</v>
      </c>
      <c r="M1235" t="s">
        <v>58</v>
      </c>
      <c r="N1235">
        <v>4</v>
      </c>
      <c r="O1235">
        <v>4</v>
      </c>
      <c r="P1235">
        <v>4</v>
      </c>
      <c r="Q1235">
        <v>3</v>
      </c>
      <c r="R1235">
        <v>4</v>
      </c>
      <c r="S1235">
        <v>4</v>
      </c>
      <c r="T1235">
        <v>2</v>
      </c>
      <c r="U1235">
        <v>4</v>
      </c>
      <c r="V1235">
        <v>2</v>
      </c>
      <c r="W1235">
        <v>4</v>
      </c>
      <c r="X1235">
        <v>2</v>
      </c>
      <c r="Y1235">
        <v>3</v>
      </c>
      <c r="Z1235">
        <v>2</v>
      </c>
      <c r="AA1235">
        <v>2</v>
      </c>
      <c r="AB1235">
        <v>4</v>
      </c>
      <c r="AC1235">
        <v>3</v>
      </c>
      <c r="AD1235">
        <v>4</v>
      </c>
      <c r="AE1235">
        <v>3</v>
      </c>
      <c r="AF1235">
        <v>4</v>
      </c>
      <c r="AG1235">
        <v>3</v>
      </c>
      <c r="AH1235">
        <v>3</v>
      </c>
      <c r="AI1235">
        <v>3</v>
      </c>
      <c r="AJ1235">
        <v>2</v>
      </c>
      <c r="AK1235" t="b">
        <f>Table67[[#This Row],[What is your age?]]&lt;&gt;"18 - 25"</f>
        <v>0</v>
      </c>
      <c r="AL1235" t="b">
        <f t="shared" si="76"/>
        <v>0</v>
      </c>
      <c r="AM1235" t="b">
        <f t="shared" si="77"/>
        <v>0</v>
      </c>
      <c r="AN1235" t="b">
        <f t="shared" si="78"/>
        <v>0</v>
      </c>
      <c r="AO1235" t="b">
        <f>OR(Table67[[#This Row],[Ineligible respondents]:[Inconsistent response on opposite question (3)]])</f>
        <v>0</v>
      </c>
      <c r="AP123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235">
        <f>Table67[[#This Row],[Extreme Response]]/21</f>
        <v>0</v>
      </c>
      <c r="AR1235">
        <f>_xlfn.PERCENTILE.INC(Table67[Extrem Response Ratio (ERS)],0.9)</f>
        <v>0.61904761904761907</v>
      </c>
      <c r="AS1235" t="b">
        <f>Table67[[#This Row],[Extrem Response Ratio (ERS)]]&gt;=Table67[[#This Row],[Threshold of ERS]]</f>
        <v>0</v>
      </c>
      <c r="AT1235">
        <f>COUNTIF(Table67[[#This Row],[The mechanism of digital assets is difficult to understand, which discourages me from exploring it (E.g, Tokenization, Blockchain)]:[If I want to try different ways to invest, I will explore digital assets.]], 3)</f>
        <v>6</v>
      </c>
      <c r="AU1235">
        <f>Table67[[#This Row],[Midpoint]]/21</f>
        <v>0.2857142857142857</v>
      </c>
      <c r="AV1235">
        <f>_xlfn.PERCENTILE.INC(Table67[Midpoint ratio],0.9)</f>
        <v>0.5714285714285714</v>
      </c>
      <c r="AW1235" t="b">
        <f>Table67[[#This Row],[Midpoint ratio]]&gt;=Table67[[#This Row],[Threshold of Midpoint ratio]]</f>
        <v>0</v>
      </c>
      <c r="AX1235" t="b">
        <f>OR(Table67[[#This Row],[Extreme Response Style]],Table67[[#This Row],[Mid-point Response Style]])</f>
        <v>0</v>
      </c>
      <c r="AY1235" t="b">
        <f>OR(Table67[[#This Row],[Delete? (Stage 1)]],Table67[[#This Row],[Delete? (Stage 2)]])</f>
        <v>0</v>
      </c>
      <c r="AZ1235" t="s">
        <v>84</v>
      </c>
    </row>
    <row r="1236" spans="1:52">
      <c r="A1236">
        <f t="shared" si="79"/>
        <v>1235</v>
      </c>
      <c r="B1236" s="3">
        <v>46056.940752314797</v>
      </c>
      <c r="C1236" s="3">
        <v>46056.944618055597</v>
      </c>
      <c r="D1236" t="s">
        <v>53</v>
      </c>
      <c r="G1236" t="s">
        <v>54</v>
      </c>
      <c r="H1236" t="s">
        <v>63</v>
      </c>
      <c r="I1236" t="s">
        <v>56</v>
      </c>
      <c r="J1236" t="s">
        <v>67</v>
      </c>
      <c r="K1236" t="s">
        <v>64</v>
      </c>
      <c r="L1236" t="s">
        <v>58</v>
      </c>
      <c r="M1236" t="s">
        <v>58</v>
      </c>
      <c r="N1236">
        <v>4</v>
      </c>
      <c r="O1236">
        <v>3</v>
      </c>
      <c r="P1236">
        <v>5</v>
      </c>
      <c r="Q1236">
        <v>5</v>
      </c>
      <c r="R1236">
        <v>4</v>
      </c>
      <c r="S1236">
        <v>5</v>
      </c>
      <c r="T1236">
        <v>4</v>
      </c>
      <c r="U1236">
        <v>5</v>
      </c>
      <c r="V1236">
        <v>5</v>
      </c>
      <c r="W1236">
        <v>4</v>
      </c>
      <c r="X1236">
        <v>4</v>
      </c>
      <c r="Y1236">
        <v>5</v>
      </c>
      <c r="Z1236">
        <v>5</v>
      </c>
      <c r="AA1236">
        <v>5</v>
      </c>
      <c r="AB1236">
        <v>2</v>
      </c>
      <c r="AC1236">
        <v>3</v>
      </c>
      <c r="AD1236">
        <v>5</v>
      </c>
      <c r="AE1236">
        <v>4</v>
      </c>
      <c r="AF1236">
        <v>2</v>
      </c>
      <c r="AG1236">
        <v>4</v>
      </c>
      <c r="AH1236">
        <v>5</v>
      </c>
      <c r="AI1236">
        <v>1</v>
      </c>
      <c r="AJ1236">
        <v>4</v>
      </c>
      <c r="AK1236" t="b">
        <f>Table67[[#This Row],[What is your age?]]&lt;&gt;"18 - 25"</f>
        <v>0</v>
      </c>
      <c r="AL1236" t="b">
        <f t="shared" si="76"/>
        <v>0</v>
      </c>
      <c r="AM1236" t="b">
        <f t="shared" si="77"/>
        <v>1</v>
      </c>
      <c r="AN1236" t="b">
        <f t="shared" si="78"/>
        <v>0</v>
      </c>
      <c r="AO1236" t="b">
        <f>OR(Table67[[#This Row],[Ineligible respondents]:[Inconsistent response on opposite question (3)]])</f>
        <v>1</v>
      </c>
      <c r="AP123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10</v>
      </c>
      <c r="AQ1236">
        <f>Table67[[#This Row],[Extreme Response]]/21</f>
        <v>0.47619047619047616</v>
      </c>
      <c r="AR1236">
        <f>_xlfn.PERCENTILE.INC(Table67[Extrem Response Ratio (ERS)],0.9)</f>
        <v>0.61904761904761907</v>
      </c>
      <c r="AS1236" t="b">
        <f>Table67[[#This Row],[Extrem Response Ratio (ERS)]]&gt;=Table67[[#This Row],[Threshold of ERS]]</f>
        <v>0</v>
      </c>
      <c r="AT1236">
        <f>COUNTIF(Table67[[#This Row],[The mechanism of digital assets is difficult to understand, which discourages me from exploring it (E.g, Tokenization, Blockchain)]:[If I want to try different ways to invest, I will explore digital assets.]], 3)</f>
        <v>2</v>
      </c>
      <c r="AU1236">
        <f>Table67[[#This Row],[Midpoint]]/21</f>
        <v>9.5238095238095233E-2</v>
      </c>
      <c r="AV1236">
        <f>_xlfn.PERCENTILE.INC(Table67[Midpoint ratio],0.9)</f>
        <v>0.5714285714285714</v>
      </c>
      <c r="AW1236" t="b">
        <f>Table67[[#This Row],[Midpoint ratio]]&gt;=Table67[[#This Row],[Threshold of Midpoint ratio]]</f>
        <v>0</v>
      </c>
      <c r="AX1236" t="b">
        <f>OR(Table67[[#This Row],[Extreme Response Style]],Table67[[#This Row],[Mid-point Response Style]])</f>
        <v>0</v>
      </c>
      <c r="AY1236" t="b">
        <f>OR(Table67[[#This Row],[Delete? (Stage 1)]],Table67[[#This Row],[Delete? (Stage 2)]])</f>
        <v>1</v>
      </c>
      <c r="AZ1236" t="s">
        <v>84</v>
      </c>
    </row>
    <row r="1237" spans="1:52">
      <c r="A1237">
        <f t="shared" si="79"/>
        <v>1236</v>
      </c>
      <c r="B1237" s="3">
        <v>46056.942268518498</v>
      </c>
      <c r="C1237" s="3">
        <v>46056.946944444397</v>
      </c>
      <c r="D1237" t="s">
        <v>53</v>
      </c>
      <c r="G1237" t="s">
        <v>54</v>
      </c>
      <c r="H1237" t="s">
        <v>63</v>
      </c>
      <c r="I1237" t="s">
        <v>82</v>
      </c>
      <c r="J1237" t="s">
        <v>57</v>
      </c>
      <c r="K1237" t="s">
        <v>62</v>
      </c>
      <c r="L1237" t="s">
        <v>58</v>
      </c>
      <c r="M1237" t="s">
        <v>58</v>
      </c>
      <c r="N1237">
        <v>3</v>
      </c>
      <c r="O1237">
        <v>4</v>
      </c>
      <c r="P1237">
        <v>4</v>
      </c>
      <c r="Q1237">
        <v>3</v>
      </c>
      <c r="R1237">
        <v>3</v>
      </c>
      <c r="S1237">
        <v>4</v>
      </c>
      <c r="T1237">
        <v>3</v>
      </c>
      <c r="U1237">
        <v>3</v>
      </c>
      <c r="V1237">
        <v>4</v>
      </c>
      <c r="W1237">
        <v>2</v>
      </c>
      <c r="X1237">
        <v>4</v>
      </c>
      <c r="Y1237">
        <v>4</v>
      </c>
      <c r="Z1237">
        <v>3</v>
      </c>
      <c r="AA1237">
        <v>4</v>
      </c>
      <c r="AB1237">
        <v>3</v>
      </c>
      <c r="AC1237">
        <v>3</v>
      </c>
      <c r="AD1237">
        <v>5</v>
      </c>
      <c r="AE1237">
        <v>4</v>
      </c>
      <c r="AF1237">
        <v>2</v>
      </c>
      <c r="AG1237">
        <v>4</v>
      </c>
      <c r="AH1237">
        <v>2</v>
      </c>
      <c r="AI1237">
        <v>4</v>
      </c>
      <c r="AJ1237">
        <v>4</v>
      </c>
      <c r="AK1237" t="b">
        <f>Table67[[#This Row],[What is your age?]]&lt;&gt;"18 - 25"</f>
        <v>0</v>
      </c>
      <c r="AL1237" t="b">
        <f t="shared" si="76"/>
        <v>0</v>
      </c>
      <c r="AM1237" t="b">
        <f t="shared" si="77"/>
        <v>0</v>
      </c>
      <c r="AN1237" t="b">
        <f t="shared" si="78"/>
        <v>0</v>
      </c>
      <c r="AO1237" t="b">
        <f>OR(Table67[[#This Row],[Ineligible respondents]:[Inconsistent response on opposite question (3)]])</f>
        <v>0</v>
      </c>
      <c r="AP123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237">
        <f>Table67[[#This Row],[Extreme Response]]/21</f>
        <v>4.7619047619047616E-2</v>
      </c>
      <c r="AR1237">
        <f>_xlfn.PERCENTILE.INC(Table67[Extrem Response Ratio (ERS)],0.9)</f>
        <v>0.61904761904761907</v>
      </c>
      <c r="AS1237" t="b">
        <f>Table67[[#This Row],[Extrem Response Ratio (ERS)]]&gt;=Table67[[#This Row],[Threshold of ERS]]</f>
        <v>0</v>
      </c>
      <c r="AT1237">
        <f>COUNTIF(Table67[[#This Row],[The mechanism of digital assets is difficult to understand, which discourages me from exploring it (E.g, Tokenization, Blockchain)]:[If I want to try different ways to invest, I will explore digital assets.]], 3)</f>
        <v>8</v>
      </c>
      <c r="AU1237">
        <f>Table67[[#This Row],[Midpoint]]/21</f>
        <v>0.38095238095238093</v>
      </c>
      <c r="AV1237">
        <f>_xlfn.PERCENTILE.INC(Table67[Midpoint ratio],0.9)</f>
        <v>0.5714285714285714</v>
      </c>
      <c r="AW1237" t="b">
        <f>Table67[[#This Row],[Midpoint ratio]]&gt;=Table67[[#This Row],[Threshold of Midpoint ratio]]</f>
        <v>0</v>
      </c>
      <c r="AX1237" t="b">
        <f>OR(Table67[[#This Row],[Extreme Response Style]],Table67[[#This Row],[Mid-point Response Style]])</f>
        <v>0</v>
      </c>
      <c r="AY1237" t="b">
        <f>OR(Table67[[#This Row],[Delete? (Stage 1)]],Table67[[#This Row],[Delete? (Stage 2)]])</f>
        <v>0</v>
      </c>
      <c r="AZ1237" t="s">
        <v>84</v>
      </c>
    </row>
    <row r="1238" spans="1:52">
      <c r="A1238">
        <f t="shared" si="79"/>
        <v>1237</v>
      </c>
      <c r="B1238" s="3">
        <v>46056.942662037</v>
      </c>
      <c r="C1238" s="3">
        <v>46056.948333333297</v>
      </c>
      <c r="D1238" t="s">
        <v>53</v>
      </c>
      <c r="G1238" t="s">
        <v>54</v>
      </c>
      <c r="H1238" t="s">
        <v>55</v>
      </c>
      <c r="I1238" t="s">
        <v>71</v>
      </c>
      <c r="J1238" t="s">
        <v>62</v>
      </c>
      <c r="K1238" t="s">
        <v>62</v>
      </c>
      <c r="L1238" t="s">
        <v>61</v>
      </c>
      <c r="M1238" t="s">
        <v>61</v>
      </c>
      <c r="N1238">
        <v>2</v>
      </c>
      <c r="O1238">
        <v>2</v>
      </c>
      <c r="P1238">
        <v>3</v>
      </c>
      <c r="Q1238">
        <v>3</v>
      </c>
      <c r="R1238">
        <v>2</v>
      </c>
      <c r="S1238">
        <v>5</v>
      </c>
      <c r="T1238">
        <v>1</v>
      </c>
      <c r="U1238">
        <v>3</v>
      </c>
      <c r="V1238">
        <v>4</v>
      </c>
      <c r="W1238">
        <v>4</v>
      </c>
      <c r="X1238">
        <v>5</v>
      </c>
      <c r="Y1238">
        <v>4</v>
      </c>
      <c r="Z1238">
        <v>3</v>
      </c>
      <c r="AA1238">
        <v>3</v>
      </c>
      <c r="AB1238">
        <v>3</v>
      </c>
      <c r="AC1238">
        <v>3</v>
      </c>
      <c r="AD1238">
        <v>3</v>
      </c>
      <c r="AE1238">
        <v>5</v>
      </c>
      <c r="AF1238">
        <v>4</v>
      </c>
      <c r="AG1238">
        <v>2</v>
      </c>
      <c r="AH1238">
        <v>3</v>
      </c>
      <c r="AI1238">
        <v>3</v>
      </c>
      <c r="AJ1238">
        <v>2</v>
      </c>
      <c r="AK1238" t="b">
        <f>Table67[[#This Row],[What is your age?]]&lt;&gt;"18 - 25"</f>
        <v>0</v>
      </c>
      <c r="AL1238" t="b">
        <f t="shared" si="76"/>
        <v>0</v>
      </c>
      <c r="AM1238" t="b">
        <f t="shared" si="77"/>
        <v>0</v>
      </c>
      <c r="AN1238" t="b">
        <f t="shared" si="78"/>
        <v>1</v>
      </c>
      <c r="AO1238" t="b">
        <f>OR(Table67[[#This Row],[Ineligible respondents]:[Inconsistent response on opposite question (3)]])</f>
        <v>1</v>
      </c>
      <c r="AP123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238">
        <f>Table67[[#This Row],[Extreme Response]]/21</f>
        <v>0.19047619047619047</v>
      </c>
      <c r="AR1238">
        <f>_xlfn.PERCENTILE.INC(Table67[Extrem Response Ratio (ERS)],0.9)</f>
        <v>0.61904761904761907</v>
      </c>
      <c r="AS1238" t="b">
        <f>Table67[[#This Row],[Extrem Response Ratio (ERS)]]&gt;=Table67[[#This Row],[Threshold of ERS]]</f>
        <v>0</v>
      </c>
      <c r="AT1238">
        <f>COUNTIF(Table67[[#This Row],[The mechanism of digital assets is difficult to understand, which discourages me from exploring it (E.g, Tokenization, Blockchain)]:[If I want to try different ways to invest, I will explore digital assets.]], 3)</f>
        <v>9</v>
      </c>
      <c r="AU1238">
        <f>Table67[[#This Row],[Midpoint]]/21</f>
        <v>0.42857142857142855</v>
      </c>
      <c r="AV1238">
        <f>_xlfn.PERCENTILE.INC(Table67[Midpoint ratio],0.9)</f>
        <v>0.5714285714285714</v>
      </c>
      <c r="AW1238" t="b">
        <f>Table67[[#This Row],[Midpoint ratio]]&gt;=Table67[[#This Row],[Threshold of Midpoint ratio]]</f>
        <v>0</v>
      </c>
      <c r="AX1238" t="b">
        <f>OR(Table67[[#This Row],[Extreme Response Style]],Table67[[#This Row],[Mid-point Response Style]])</f>
        <v>0</v>
      </c>
      <c r="AY1238" t="b">
        <f>OR(Table67[[#This Row],[Delete? (Stage 1)]],Table67[[#This Row],[Delete? (Stage 2)]])</f>
        <v>1</v>
      </c>
      <c r="AZ1238" t="s">
        <v>84</v>
      </c>
    </row>
    <row r="1239" spans="1:52">
      <c r="A1239">
        <f t="shared" si="79"/>
        <v>1238</v>
      </c>
      <c r="B1239" s="3">
        <v>46056.943587962996</v>
      </c>
      <c r="C1239" s="3">
        <v>46056.948553240698</v>
      </c>
      <c r="D1239" t="s">
        <v>53</v>
      </c>
      <c r="G1239" t="s">
        <v>54</v>
      </c>
      <c r="H1239" t="s">
        <v>55</v>
      </c>
      <c r="I1239" t="s">
        <v>56</v>
      </c>
      <c r="J1239" t="s">
        <v>62</v>
      </c>
      <c r="K1239" t="s">
        <v>66</v>
      </c>
      <c r="L1239" t="s">
        <v>58</v>
      </c>
      <c r="M1239" t="s">
        <v>58</v>
      </c>
      <c r="N1239">
        <v>2</v>
      </c>
      <c r="O1239">
        <v>1</v>
      </c>
      <c r="P1239">
        <v>5</v>
      </c>
      <c r="Q1239">
        <v>5</v>
      </c>
      <c r="R1239">
        <v>2</v>
      </c>
      <c r="S1239">
        <v>5</v>
      </c>
      <c r="T1239">
        <v>4</v>
      </c>
      <c r="U1239">
        <v>4</v>
      </c>
      <c r="V1239">
        <v>2</v>
      </c>
      <c r="W1239">
        <v>3</v>
      </c>
      <c r="X1239">
        <v>5</v>
      </c>
      <c r="Y1239">
        <v>2</v>
      </c>
      <c r="Z1239">
        <v>5</v>
      </c>
      <c r="AA1239">
        <v>5</v>
      </c>
      <c r="AB1239">
        <v>3</v>
      </c>
      <c r="AC1239">
        <v>5</v>
      </c>
      <c r="AD1239">
        <v>5</v>
      </c>
      <c r="AE1239">
        <v>5</v>
      </c>
      <c r="AF1239">
        <v>2</v>
      </c>
      <c r="AG1239">
        <v>1</v>
      </c>
      <c r="AH1239">
        <v>2</v>
      </c>
      <c r="AI1239">
        <v>4</v>
      </c>
      <c r="AJ1239">
        <v>4</v>
      </c>
      <c r="AK1239" t="b">
        <f>Table67[[#This Row],[What is your age?]]&lt;&gt;"18 - 25"</f>
        <v>0</v>
      </c>
      <c r="AL1239" t="b">
        <f t="shared" si="76"/>
        <v>0</v>
      </c>
      <c r="AM1239" t="b">
        <f t="shared" si="77"/>
        <v>1</v>
      </c>
      <c r="AN1239" t="b">
        <f t="shared" si="78"/>
        <v>0</v>
      </c>
      <c r="AO1239" t="b">
        <f>OR(Table67[[#This Row],[Ineligible respondents]:[Inconsistent response on opposite question (3)]])</f>
        <v>1</v>
      </c>
      <c r="AP123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1239">
        <f>Table67[[#This Row],[Extreme Response]]/21</f>
        <v>0.52380952380952384</v>
      </c>
      <c r="AR1239">
        <f>_xlfn.PERCENTILE.INC(Table67[Extrem Response Ratio (ERS)],0.9)</f>
        <v>0.61904761904761907</v>
      </c>
      <c r="AS1239" t="b">
        <f>Table67[[#This Row],[Extrem Response Ratio (ERS)]]&gt;=Table67[[#This Row],[Threshold of ERS]]</f>
        <v>0</v>
      </c>
      <c r="AT1239">
        <f>COUNTIF(Table67[[#This Row],[The mechanism of digital assets is difficult to understand, which discourages me from exploring it (E.g, Tokenization, Blockchain)]:[If I want to try different ways to invest, I will explore digital assets.]], 3)</f>
        <v>2</v>
      </c>
      <c r="AU1239">
        <f>Table67[[#This Row],[Midpoint]]/21</f>
        <v>9.5238095238095233E-2</v>
      </c>
      <c r="AV1239">
        <f>_xlfn.PERCENTILE.INC(Table67[Midpoint ratio],0.9)</f>
        <v>0.5714285714285714</v>
      </c>
      <c r="AW1239" t="b">
        <f>Table67[[#This Row],[Midpoint ratio]]&gt;=Table67[[#This Row],[Threshold of Midpoint ratio]]</f>
        <v>0</v>
      </c>
      <c r="AX1239" t="b">
        <f>OR(Table67[[#This Row],[Extreme Response Style]],Table67[[#This Row],[Mid-point Response Style]])</f>
        <v>0</v>
      </c>
      <c r="AY1239" t="b">
        <f>OR(Table67[[#This Row],[Delete? (Stage 1)]],Table67[[#This Row],[Delete? (Stage 2)]])</f>
        <v>1</v>
      </c>
      <c r="AZ1239" t="s">
        <v>84</v>
      </c>
    </row>
    <row r="1240" spans="1:52">
      <c r="A1240">
        <f t="shared" si="79"/>
        <v>1239</v>
      </c>
      <c r="B1240" s="3">
        <v>46056.951631944401</v>
      </c>
      <c r="C1240" s="3">
        <v>46056.954259259299</v>
      </c>
      <c r="D1240" t="s">
        <v>53</v>
      </c>
      <c r="G1240" t="s">
        <v>54</v>
      </c>
      <c r="H1240" t="s">
        <v>63</v>
      </c>
      <c r="I1240" t="s">
        <v>56</v>
      </c>
      <c r="J1240" t="s">
        <v>68</v>
      </c>
      <c r="K1240" t="s">
        <v>57</v>
      </c>
      <c r="L1240" t="s">
        <v>61</v>
      </c>
      <c r="M1240" t="s">
        <v>61</v>
      </c>
      <c r="N1240">
        <v>2</v>
      </c>
      <c r="O1240">
        <v>3</v>
      </c>
      <c r="P1240">
        <v>3</v>
      </c>
      <c r="Q1240">
        <v>4</v>
      </c>
      <c r="R1240">
        <v>4</v>
      </c>
      <c r="S1240">
        <v>4</v>
      </c>
      <c r="T1240">
        <v>2</v>
      </c>
      <c r="U1240">
        <v>5</v>
      </c>
      <c r="V1240">
        <v>3</v>
      </c>
      <c r="W1240">
        <v>4</v>
      </c>
      <c r="X1240">
        <v>4</v>
      </c>
      <c r="Y1240">
        <v>5</v>
      </c>
      <c r="Z1240">
        <v>5</v>
      </c>
      <c r="AA1240">
        <v>3</v>
      </c>
      <c r="AB1240">
        <v>3</v>
      </c>
      <c r="AC1240">
        <v>2</v>
      </c>
      <c r="AD1240">
        <v>5</v>
      </c>
      <c r="AE1240">
        <v>5</v>
      </c>
      <c r="AF1240">
        <v>3</v>
      </c>
      <c r="AG1240">
        <v>2</v>
      </c>
      <c r="AH1240">
        <v>3</v>
      </c>
      <c r="AI1240">
        <v>3</v>
      </c>
      <c r="AJ1240">
        <v>3</v>
      </c>
      <c r="AK1240" t="b">
        <f>Table67[[#This Row],[What is your age?]]&lt;&gt;"18 - 25"</f>
        <v>0</v>
      </c>
      <c r="AL1240" t="b">
        <f t="shared" si="76"/>
        <v>0</v>
      </c>
      <c r="AM1240" t="b">
        <f t="shared" si="77"/>
        <v>0</v>
      </c>
      <c r="AN1240" t="b">
        <f t="shared" si="78"/>
        <v>1</v>
      </c>
      <c r="AO1240" t="b">
        <f>OR(Table67[[#This Row],[Ineligible respondents]:[Inconsistent response on opposite question (3)]])</f>
        <v>1</v>
      </c>
      <c r="AP124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240">
        <f>Table67[[#This Row],[Extreme Response]]/21</f>
        <v>0.23809523809523808</v>
      </c>
      <c r="AR1240">
        <f>_xlfn.PERCENTILE.INC(Table67[Extrem Response Ratio (ERS)],0.9)</f>
        <v>0.61904761904761907</v>
      </c>
      <c r="AS1240" t="b">
        <f>Table67[[#This Row],[Extrem Response Ratio (ERS)]]&gt;=Table67[[#This Row],[Threshold of ERS]]</f>
        <v>0</v>
      </c>
      <c r="AT1240">
        <f>COUNTIF(Table67[[#This Row],[The mechanism of digital assets is difficult to understand, which discourages me from exploring it (E.g, Tokenization, Blockchain)]:[If I want to try different ways to invest, I will explore digital assets.]], 3)</f>
        <v>7</v>
      </c>
      <c r="AU1240">
        <f>Table67[[#This Row],[Midpoint]]/21</f>
        <v>0.33333333333333331</v>
      </c>
      <c r="AV1240">
        <f>_xlfn.PERCENTILE.INC(Table67[Midpoint ratio],0.9)</f>
        <v>0.5714285714285714</v>
      </c>
      <c r="AW1240" t="b">
        <f>Table67[[#This Row],[Midpoint ratio]]&gt;=Table67[[#This Row],[Threshold of Midpoint ratio]]</f>
        <v>0</v>
      </c>
      <c r="AX1240" t="b">
        <f>OR(Table67[[#This Row],[Extreme Response Style]],Table67[[#This Row],[Mid-point Response Style]])</f>
        <v>0</v>
      </c>
      <c r="AY1240" t="b">
        <f>OR(Table67[[#This Row],[Delete? (Stage 1)]],Table67[[#This Row],[Delete? (Stage 2)]])</f>
        <v>1</v>
      </c>
      <c r="AZ1240" t="s">
        <v>84</v>
      </c>
    </row>
    <row r="1241" spans="1:52">
      <c r="A1241">
        <f t="shared" si="79"/>
        <v>1240</v>
      </c>
      <c r="B1241" s="3">
        <v>46056.951689814799</v>
      </c>
      <c r="C1241" s="3">
        <v>46056.954328703701</v>
      </c>
      <c r="D1241" t="s">
        <v>53</v>
      </c>
      <c r="G1241" t="s">
        <v>54</v>
      </c>
      <c r="H1241" t="s">
        <v>55</v>
      </c>
      <c r="I1241" t="s">
        <v>56</v>
      </c>
      <c r="J1241" t="s">
        <v>62</v>
      </c>
      <c r="K1241" t="s">
        <v>57</v>
      </c>
      <c r="L1241" t="s">
        <v>58</v>
      </c>
      <c r="M1241" t="s">
        <v>58</v>
      </c>
      <c r="N1241">
        <v>4</v>
      </c>
      <c r="O1241">
        <v>2</v>
      </c>
      <c r="P1241">
        <v>5</v>
      </c>
      <c r="Q1241">
        <v>2</v>
      </c>
      <c r="R1241">
        <v>4</v>
      </c>
      <c r="S1241">
        <v>4</v>
      </c>
      <c r="T1241">
        <v>5</v>
      </c>
      <c r="U1241">
        <v>5</v>
      </c>
      <c r="V1241">
        <v>2</v>
      </c>
      <c r="W1241">
        <v>2</v>
      </c>
      <c r="X1241">
        <v>5</v>
      </c>
      <c r="Y1241">
        <v>2</v>
      </c>
      <c r="Z1241">
        <v>3</v>
      </c>
      <c r="AA1241">
        <v>5</v>
      </c>
      <c r="AB1241">
        <v>2</v>
      </c>
      <c r="AC1241">
        <v>4</v>
      </c>
      <c r="AD1241">
        <v>5</v>
      </c>
      <c r="AE1241">
        <v>5</v>
      </c>
      <c r="AF1241">
        <v>1</v>
      </c>
      <c r="AG1241">
        <v>1</v>
      </c>
      <c r="AH1241">
        <v>2</v>
      </c>
      <c r="AI1241">
        <v>4</v>
      </c>
      <c r="AJ1241">
        <v>5</v>
      </c>
      <c r="AK1241" t="b">
        <f>Table67[[#This Row],[What is your age?]]&lt;&gt;"18 - 25"</f>
        <v>0</v>
      </c>
      <c r="AL1241" t="b">
        <f t="shared" si="76"/>
        <v>0</v>
      </c>
      <c r="AM1241" t="b">
        <f t="shared" si="77"/>
        <v>1</v>
      </c>
      <c r="AN1241" t="b">
        <f t="shared" si="78"/>
        <v>0</v>
      </c>
      <c r="AO1241" t="b">
        <f>OR(Table67[[#This Row],[Ineligible respondents]:[Inconsistent response on opposite question (3)]])</f>
        <v>1</v>
      </c>
      <c r="AP124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1241">
        <f>Table67[[#This Row],[Extreme Response]]/21</f>
        <v>0.42857142857142855</v>
      </c>
      <c r="AR1241">
        <f>_xlfn.PERCENTILE.INC(Table67[Extrem Response Ratio (ERS)],0.9)</f>
        <v>0.61904761904761907</v>
      </c>
      <c r="AS1241" t="b">
        <f>Table67[[#This Row],[Extrem Response Ratio (ERS)]]&gt;=Table67[[#This Row],[Threshold of ERS]]</f>
        <v>0</v>
      </c>
      <c r="AT1241">
        <f>COUNTIF(Table67[[#This Row],[The mechanism of digital assets is difficult to understand, which discourages me from exploring it (E.g, Tokenization, Blockchain)]:[If I want to try different ways to invest, I will explore digital assets.]], 3)</f>
        <v>1</v>
      </c>
      <c r="AU1241">
        <f>Table67[[#This Row],[Midpoint]]/21</f>
        <v>4.7619047619047616E-2</v>
      </c>
      <c r="AV1241">
        <f>_xlfn.PERCENTILE.INC(Table67[Midpoint ratio],0.9)</f>
        <v>0.5714285714285714</v>
      </c>
      <c r="AW1241" t="b">
        <f>Table67[[#This Row],[Midpoint ratio]]&gt;=Table67[[#This Row],[Threshold of Midpoint ratio]]</f>
        <v>0</v>
      </c>
      <c r="AX1241" t="b">
        <f>OR(Table67[[#This Row],[Extreme Response Style]],Table67[[#This Row],[Mid-point Response Style]])</f>
        <v>0</v>
      </c>
      <c r="AY1241" t="b">
        <f>OR(Table67[[#This Row],[Delete? (Stage 1)]],Table67[[#This Row],[Delete? (Stage 2)]])</f>
        <v>1</v>
      </c>
      <c r="AZ1241" t="s">
        <v>84</v>
      </c>
    </row>
    <row r="1242" spans="1:52">
      <c r="A1242">
        <f t="shared" si="79"/>
        <v>1241</v>
      </c>
      <c r="B1242" s="3">
        <v>46056.953368055598</v>
      </c>
      <c r="C1242" s="3">
        <v>46056.964942129598</v>
      </c>
      <c r="D1242" t="s">
        <v>53</v>
      </c>
      <c r="G1242" t="s">
        <v>54</v>
      </c>
      <c r="H1242" t="s">
        <v>55</v>
      </c>
      <c r="I1242" t="s">
        <v>56</v>
      </c>
      <c r="J1242" t="s">
        <v>67</v>
      </c>
      <c r="K1242" t="s">
        <v>62</v>
      </c>
      <c r="L1242" t="s">
        <v>61</v>
      </c>
      <c r="M1242" t="s">
        <v>61</v>
      </c>
      <c r="N1242">
        <v>3</v>
      </c>
      <c r="O1242">
        <v>3</v>
      </c>
      <c r="P1242">
        <v>5</v>
      </c>
      <c r="Q1242">
        <v>3</v>
      </c>
      <c r="R1242">
        <v>3</v>
      </c>
      <c r="S1242">
        <v>5</v>
      </c>
      <c r="T1242">
        <v>2</v>
      </c>
      <c r="U1242">
        <v>4</v>
      </c>
      <c r="V1242">
        <v>3</v>
      </c>
      <c r="W1242">
        <v>3</v>
      </c>
      <c r="X1242">
        <v>4</v>
      </c>
      <c r="Y1242">
        <v>4</v>
      </c>
      <c r="Z1242">
        <v>3</v>
      </c>
      <c r="AA1242">
        <v>4</v>
      </c>
      <c r="AB1242">
        <v>2</v>
      </c>
      <c r="AC1242">
        <v>3</v>
      </c>
      <c r="AD1242">
        <v>4</v>
      </c>
      <c r="AE1242">
        <v>4</v>
      </c>
      <c r="AF1242">
        <v>4</v>
      </c>
      <c r="AG1242">
        <v>3</v>
      </c>
      <c r="AH1242">
        <v>3</v>
      </c>
      <c r="AI1242">
        <v>3</v>
      </c>
      <c r="AJ1242">
        <v>2</v>
      </c>
      <c r="AK1242" t="b">
        <f>Table67[[#This Row],[What is your age?]]&lt;&gt;"18 - 25"</f>
        <v>0</v>
      </c>
      <c r="AL1242" t="b">
        <f t="shared" si="76"/>
        <v>0</v>
      </c>
      <c r="AM1242" t="b">
        <f t="shared" si="77"/>
        <v>0</v>
      </c>
      <c r="AN1242" t="b">
        <f t="shared" si="78"/>
        <v>0</v>
      </c>
      <c r="AO1242" t="b">
        <f>OR(Table67[[#This Row],[Ineligible respondents]:[Inconsistent response on opposite question (3)]])</f>
        <v>0</v>
      </c>
      <c r="AP124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242">
        <f>Table67[[#This Row],[Extreme Response]]/21</f>
        <v>9.5238095238095233E-2</v>
      </c>
      <c r="AR1242">
        <f>_xlfn.PERCENTILE.INC(Table67[Extrem Response Ratio (ERS)],0.9)</f>
        <v>0.61904761904761907</v>
      </c>
      <c r="AS1242" t="b">
        <f>Table67[[#This Row],[Extrem Response Ratio (ERS)]]&gt;=Table67[[#This Row],[Threshold of ERS]]</f>
        <v>0</v>
      </c>
      <c r="AT1242">
        <f>COUNTIF(Table67[[#This Row],[The mechanism of digital assets is difficult to understand, which discourages me from exploring it (E.g, Tokenization, Blockchain)]:[If I want to try different ways to invest, I will explore digital assets.]], 3)</f>
        <v>10</v>
      </c>
      <c r="AU1242">
        <f>Table67[[#This Row],[Midpoint]]/21</f>
        <v>0.47619047619047616</v>
      </c>
      <c r="AV1242">
        <f>_xlfn.PERCENTILE.INC(Table67[Midpoint ratio],0.9)</f>
        <v>0.5714285714285714</v>
      </c>
      <c r="AW1242" t="b">
        <f>Table67[[#This Row],[Midpoint ratio]]&gt;=Table67[[#This Row],[Threshold of Midpoint ratio]]</f>
        <v>0</v>
      </c>
      <c r="AX1242" t="b">
        <f>OR(Table67[[#This Row],[Extreme Response Style]],Table67[[#This Row],[Mid-point Response Style]])</f>
        <v>0</v>
      </c>
      <c r="AY1242" t="b">
        <f>OR(Table67[[#This Row],[Delete? (Stage 1)]],Table67[[#This Row],[Delete? (Stage 2)]])</f>
        <v>0</v>
      </c>
      <c r="AZ1242" t="s">
        <v>84</v>
      </c>
    </row>
    <row r="1243" spans="1:52">
      <c r="A1243">
        <f t="shared" si="79"/>
        <v>1242</v>
      </c>
      <c r="B1243" s="3">
        <v>46056.955729166701</v>
      </c>
      <c r="C1243" s="3">
        <v>46056.964976851901</v>
      </c>
      <c r="D1243" t="s">
        <v>53</v>
      </c>
      <c r="G1243" t="s">
        <v>54</v>
      </c>
      <c r="H1243" t="s">
        <v>55</v>
      </c>
      <c r="I1243" t="s">
        <v>56</v>
      </c>
      <c r="J1243" t="s">
        <v>64</v>
      </c>
      <c r="K1243" t="s">
        <v>67</v>
      </c>
      <c r="L1243" t="s">
        <v>61</v>
      </c>
      <c r="M1243" t="s">
        <v>58</v>
      </c>
      <c r="N1243">
        <v>3</v>
      </c>
      <c r="O1243">
        <v>4</v>
      </c>
      <c r="P1243">
        <v>2</v>
      </c>
      <c r="Q1243">
        <v>4</v>
      </c>
      <c r="R1243">
        <v>2</v>
      </c>
      <c r="S1243">
        <v>4</v>
      </c>
      <c r="T1243">
        <v>2</v>
      </c>
      <c r="U1243">
        <v>4</v>
      </c>
      <c r="V1243">
        <v>5</v>
      </c>
      <c r="W1243">
        <v>5</v>
      </c>
      <c r="X1243">
        <v>2</v>
      </c>
      <c r="Y1243">
        <v>1</v>
      </c>
      <c r="Z1243">
        <v>5</v>
      </c>
      <c r="AA1243">
        <v>4</v>
      </c>
      <c r="AB1243">
        <v>5</v>
      </c>
      <c r="AC1243">
        <v>3</v>
      </c>
      <c r="AD1243">
        <v>4</v>
      </c>
      <c r="AE1243">
        <v>2</v>
      </c>
      <c r="AF1243">
        <v>4</v>
      </c>
      <c r="AG1243">
        <v>1</v>
      </c>
      <c r="AH1243">
        <v>3</v>
      </c>
      <c r="AI1243">
        <v>3</v>
      </c>
      <c r="AJ1243">
        <v>2</v>
      </c>
      <c r="AK1243" t="b">
        <f>Table67[[#This Row],[What is your age?]]&lt;&gt;"18 - 25"</f>
        <v>0</v>
      </c>
      <c r="AL1243" t="b">
        <f t="shared" si="76"/>
        <v>0</v>
      </c>
      <c r="AM1243" t="b">
        <f t="shared" si="77"/>
        <v>0</v>
      </c>
      <c r="AN1243" t="b">
        <f t="shared" si="78"/>
        <v>1</v>
      </c>
      <c r="AO1243" t="b">
        <f>OR(Table67[[#This Row],[Ineligible respondents]:[Inconsistent response on opposite question (3)]])</f>
        <v>1</v>
      </c>
      <c r="AP124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243">
        <f>Table67[[#This Row],[Extreme Response]]/21</f>
        <v>0.2857142857142857</v>
      </c>
      <c r="AR1243">
        <f>_xlfn.PERCENTILE.INC(Table67[Extrem Response Ratio (ERS)],0.9)</f>
        <v>0.61904761904761907</v>
      </c>
      <c r="AS1243" t="b">
        <f>Table67[[#This Row],[Extrem Response Ratio (ERS)]]&gt;=Table67[[#This Row],[Threshold of ERS]]</f>
        <v>0</v>
      </c>
      <c r="AT1243">
        <f>COUNTIF(Table67[[#This Row],[The mechanism of digital assets is difficult to understand, which discourages me from exploring it (E.g, Tokenization, Blockchain)]:[If I want to try different ways to invest, I will explore digital assets.]], 3)</f>
        <v>3</v>
      </c>
      <c r="AU1243">
        <f>Table67[[#This Row],[Midpoint]]/21</f>
        <v>0.14285714285714285</v>
      </c>
      <c r="AV1243">
        <f>_xlfn.PERCENTILE.INC(Table67[Midpoint ratio],0.9)</f>
        <v>0.5714285714285714</v>
      </c>
      <c r="AW1243" t="b">
        <f>Table67[[#This Row],[Midpoint ratio]]&gt;=Table67[[#This Row],[Threshold of Midpoint ratio]]</f>
        <v>0</v>
      </c>
      <c r="AX1243" t="b">
        <f>OR(Table67[[#This Row],[Extreme Response Style]],Table67[[#This Row],[Mid-point Response Style]])</f>
        <v>0</v>
      </c>
      <c r="AY1243" t="b">
        <f>OR(Table67[[#This Row],[Delete? (Stage 1)]],Table67[[#This Row],[Delete? (Stage 2)]])</f>
        <v>1</v>
      </c>
      <c r="AZ1243" t="s">
        <v>84</v>
      </c>
    </row>
    <row r="1244" spans="1:52">
      <c r="A1244">
        <f t="shared" si="79"/>
        <v>1243</v>
      </c>
      <c r="B1244" s="3">
        <v>46056.956122685202</v>
      </c>
      <c r="C1244" s="3">
        <v>46056.959502314799</v>
      </c>
      <c r="D1244" t="s">
        <v>53</v>
      </c>
      <c r="G1244" t="s">
        <v>54</v>
      </c>
      <c r="H1244" t="s">
        <v>63</v>
      </c>
      <c r="I1244" t="s">
        <v>56</v>
      </c>
      <c r="J1244" t="s">
        <v>57</v>
      </c>
      <c r="K1244" t="s">
        <v>57</v>
      </c>
      <c r="L1244" t="s">
        <v>58</v>
      </c>
      <c r="M1244" t="s">
        <v>58</v>
      </c>
      <c r="N1244">
        <v>4</v>
      </c>
      <c r="O1244">
        <v>3</v>
      </c>
      <c r="P1244">
        <v>4</v>
      </c>
      <c r="Q1244">
        <v>3</v>
      </c>
      <c r="R1244">
        <v>3</v>
      </c>
      <c r="S1244">
        <v>2</v>
      </c>
      <c r="T1244">
        <v>2</v>
      </c>
      <c r="U1244">
        <v>2</v>
      </c>
      <c r="V1244">
        <v>3</v>
      </c>
      <c r="W1244">
        <v>3</v>
      </c>
      <c r="X1244">
        <v>4</v>
      </c>
      <c r="Y1244">
        <v>4</v>
      </c>
      <c r="Z1244">
        <v>3</v>
      </c>
      <c r="AA1244">
        <v>4</v>
      </c>
      <c r="AB1244">
        <v>4</v>
      </c>
      <c r="AC1244">
        <v>3</v>
      </c>
      <c r="AD1244">
        <v>5</v>
      </c>
      <c r="AE1244">
        <v>4</v>
      </c>
      <c r="AF1244">
        <v>3</v>
      </c>
      <c r="AG1244">
        <v>3</v>
      </c>
      <c r="AH1244">
        <v>3</v>
      </c>
      <c r="AI1244">
        <v>3</v>
      </c>
      <c r="AJ1244">
        <v>3</v>
      </c>
      <c r="AK1244" t="b">
        <f>Table67[[#This Row],[What is your age?]]&lt;&gt;"18 - 25"</f>
        <v>0</v>
      </c>
      <c r="AL1244" t="b">
        <f t="shared" si="76"/>
        <v>0</v>
      </c>
      <c r="AM1244" t="b">
        <f t="shared" si="77"/>
        <v>0</v>
      </c>
      <c r="AN1244" t="b">
        <f t="shared" si="78"/>
        <v>0</v>
      </c>
      <c r="AO1244" t="b">
        <f>OR(Table67[[#This Row],[Ineligible respondents]:[Inconsistent response on opposite question (3)]])</f>
        <v>0</v>
      </c>
      <c r="AP124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244">
        <f>Table67[[#This Row],[Extreme Response]]/21</f>
        <v>4.7619047619047616E-2</v>
      </c>
      <c r="AR1244">
        <f>_xlfn.PERCENTILE.INC(Table67[Extrem Response Ratio (ERS)],0.9)</f>
        <v>0.61904761904761907</v>
      </c>
      <c r="AS1244" t="b">
        <f>Table67[[#This Row],[Extrem Response Ratio (ERS)]]&gt;=Table67[[#This Row],[Threshold of ERS]]</f>
        <v>0</v>
      </c>
      <c r="AT1244">
        <f>COUNTIF(Table67[[#This Row],[The mechanism of digital assets is difficult to understand, which discourages me from exploring it (E.g, Tokenization, Blockchain)]:[If I want to try different ways to invest, I will explore digital assets.]], 3)</f>
        <v>10</v>
      </c>
      <c r="AU1244">
        <f>Table67[[#This Row],[Midpoint]]/21</f>
        <v>0.47619047619047616</v>
      </c>
      <c r="AV1244">
        <f>_xlfn.PERCENTILE.INC(Table67[Midpoint ratio],0.9)</f>
        <v>0.5714285714285714</v>
      </c>
      <c r="AW1244" t="b">
        <f>Table67[[#This Row],[Midpoint ratio]]&gt;=Table67[[#This Row],[Threshold of Midpoint ratio]]</f>
        <v>0</v>
      </c>
      <c r="AX1244" t="b">
        <f>OR(Table67[[#This Row],[Extreme Response Style]],Table67[[#This Row],[Mid-point Response Style]])</f>
        <v>0</v>
      </c>
      <c r="AY1244" t="b">
        <f>OR(Table67[[#This Row],[Delete? (Stage 1)]],Table67[[#This Row],[Delete? (Stage 2)]])</f>
        <v>0</v>
      </c>
      <c r="AZ1244" t="s">
        <v>84</v>
      </c>
    </row>
    <row r="1245" spans="1:52">
      <c r="A1245">
        <f t="shared" si="79"/>
        <v>1244</v>
      </c>
      <c r="B1245" s="3">
        <v>46056.964143518497</v>
      </c>
      <c r="C1245" s="3">
        <v>46056.967152777797</v>
      </c>
      <c r="D1245" t="s">
        <v>53</v>
      </c>
      <c r="G1245" t="s">
        <v>54</v>
      </c>
      <c r="H1245" t="s">
        <v>63</v>
      </c>
      <c r="I1245" t="s">
        <v>69</v>
      </c>
      <c r="J1245" t="s">
        <v>64</v>
      </c>
      <c r="K1245" t="s">
        <v>64</v>
      </c>
      <c r="L1245" t="s">
        <v>61</v>
      </c>
      <c r="M1245" t="s">
        <v>61</v>
      </c>
      <c r="N1245">
        <v>3</v>
      </c>
      <c r="O1245">
        <v>3</v>
      </c>
      <c r="P1245">
        <v>4</v>
      </c>
      <c r="Q1245">
        <v>3</v>
      </c>
      <c r="R1245">
        <v>3</v>
      </c>
      <c r="S1245">
        <v>4</v>
      </c>
      <c r="T1245">
        <v>2</v>
      </c>
      <c r="U1245">
        <v>4</v>
      </c>
      <c r="V1245">
        <v>4</v>
      </c>
      <c r="W1245">
        <v>4</v>
      </c>
      <c r="X1245">
        <v>3</v>
      </c>
      <c r="Y1245">
        <v>3</v>
      </c>
      <c r="Z1245">
        <v>3</v>
      </c>
      <c r="AA1245">
        <v>3</v>
      </c>
      <c r="AB1245">
        <v>3</v>
      </c>
      <c r="AC1245">
        <v>2</v>
      </c>
      <c r="AD1245">
        <v>4</v>
      </c>
      <c r="AE1245">
        <v>3</v>
      </c>
      <c r="AF1245">
        <v>4</v>
      </c>
      <c r="AG1245">
        <v>3</v>
      </c>
      <c r="AH1245">
        <v>4</v>
      </c>
      <c r="AI1245">
        <v>2</v>
      </c>
      <c r="AJ1245">
        <v>2</v>
      </c>
      <c r="AK1245" t="b">
        <f>Table67[[#This Row],[What is your age?]]&lt;&gt;"18 - 25"</f>
        <v>0</v>
      </c>
      <c r="AL1245" t="b">
        <f t="shared" si="76"/>
        <v>0</v>
      </c>
      <c r="AM1245" t="b">
        <f t="shared" si="77"/>
        <v>0</v>
      </c>
      <c r="AN1245" t="b">
        <f t="shared" si="78"/>
        <v>1</v>
      </c>
      <c r="AO1245" t="b">
        <f>OR(Table67[[#This Row],[Ineligible respondents]:[Inconsistent response on opposite question (3)]])</f>
        <v>1</v>
      </c>
      <c r="AP124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245">
        <f>Table67[[#This Row],[Extreme Response]]/21</f>
        <v>0</v>
      </c>
      <c r="AR1245">
        <f>_xlfn.PERCENTILE.INC(Table67[Extrem Response Ratio (ERS)],0.9)</f>
        <v>0.61904761904761907</v>
      </c>
      <c r="AS1245" t="b">
        <f>Table67[[#This Row],[Extrem Response Ratio (ERS)]]&gt;=Table67[[#This Row],[Threshold of ERS]]</f>
        <v>0</v>
      </c>
      <c r="AT1245">
        <f>COUNTIF(Table67[[#This Row],[The mechanism of digital assets is difficult to understand, which discourages me from exploring it (E.g, Tokenization, Blockchain)]:[If I want to try different ways to invest, I will explore digital assets.]], 3)</f>
        <v>11</v>
      </c>
      <c r="AU1245">
        <f>Table67[[#This Row],[Midpoint]]/21</f>
        <v>0.52380952380952384</v>
      </c>
      <c r="AV1245">
        <f>_xlfn.PERCENTILE.INC(Table67[Midpoint ratio],0.9)</f>
        <v>0.5714285714285714</v>
      </c>
      <c r="AW1245" t="b">
        <f>Table67[[#This Row],[Midpoint ratio]]&gt;=Table67[[#This Row],[Threshold of Midpoint ratio]]</f>
        <v>0</v>
      </c>
      <c r="AX1245" t="b">
        <f>OR(Table67[[#This Row],[Extreme Response Style]],Table67[[#This Row],[Mid-point Response Style]])</f>
        <v>0</v>
      </c>
      <c r="AY1245" t="b">
        <f>OR(Table67[[#This Row],[Delete? (Stage 1)]],Table67[[#This Row],[Delete? (Stage 2)]])</f>
        <v>1</v>
      </c>
      <c r="AZ1245" t="s">
        <v>84</v>
      </c>
    </row>
    <row r="1246" spans="1:52">
      <c r="A1246">
        <f t="shared" si="79"/>
        <v>1245</v>
      </c>
      <c r="B1246" s="3">
        <v>46056.980555555601</v>
      </c>
      <c r="C1246" s="3">
        <v>46056.986053240696</v>
      </c>
      <c r="D1246" t="s">
        <v>53</v>
      </c>
      <c r="G1246" t="s">
        <v>54</v>
      </c>
      <c r="H1246" t="s">
        <v>70</v>
      </c>
      <c r="I1246" t="s">
        <v>56</v>
      </c>
      <c r="J1246" t="s">
        <v>62</v>
      </c>
      <c r="K1246" t="s">
        <v>62</v>
      </c>
      <c r="L1246" t="s">
        <v>58</v>
      </c>
      <c r="M1246" t="s">
        <v>58</v>
      </c>
      <c r="N1246">
        <v>4</v>
      </c>
      <c r="O1246">
        <v>3</v>
      </c>
      <c r="P1246">
        <v>4</v>
      </c>
      <c r="Q1246">
        <v>4</v>
      </c>
      <c r="R1246">
        <v>5</v>
      </c>
      <c r="S1246">
        <v>4</v>
      </c>
      <c r="T1246">
        <v>2</v>
      </c>
      <c r="U1246">
        <v>5</v>
      </c>
      <c r="V1246">
        <v>5</v>
      </c>
      <c r="W1246">
        <v>5</v>
      </c>
      <c r="X1246">
        <v>4</v>
      </c>
      <c r="Y1246">
        <v>5</v>
      </c>
      <c r="Z1246">
        <v>4</v>
      </c>
      <c r="AA1246">
        <v>4</v>
      </c>
      <c r="AB1246">
        <v>3</v>
      </c>
      <c r="AC1246">
        <v>5</v>
      </c>
      <c r="AD1246">
        <v>5</v>
      </c>
      <c r="AE1246">
        <v>4</v>
      </c>
      <c r="AF1246">
        <v>3</v>
      </c>
      <c r="AG1246">
        <v>4</v>
      </c>
      <c r="AH1246">
        <v>3</v>
      </c>
      <c r="AI1246">
        <v>3</v>
      </c>
      <c r="AJ1246">
        <v>3</v>
      </c>
      <c r="AK1246" t="b">
        <f>Table67[[#This Row],[What is your age?]]&lt;&gt;"18 - 25"</f>
        <v>0</v>
      </c>
      <c r="AL1246" t="b">
        <f t="shared" si="76"/>
        <v>0</v>
      </c>
      <c r="AM1246" t="b">
        <f t="shared" si="77"/>
        <v>0</v>
      </c>
      <c r="AN1246" t="b">
        <f t="shared" si="78"/>
        <v>1</v>
      </c>
      <c r="AO1246" t="b">
        <f>OR(Table67[[#This Row],[Ineligible respondents]:[Inconsistent response on opposite question (3)]])</f>
        <v>1</v>
      </c>
      <c r="AP124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246">
        <f>Table67[[#This Row],[Extreme Response]]/21</f>
        <v>0.33333333333333331</v>
      </c>
      <c r="AR1246">
        <f>_xlfn.PERCENTILE.INC(Table67[Extrem Response Ratio (ERS)],0.9)</f>
        <v>0.61904761904761907</v>
      </c>
      <c r="AS1246" t="b">
        <f>Table67[[#This Row],[Extrem Response Ratio (ERS)]]&gt;=Table67[[#This Row],[Threshold of ERS]]</f>
        <v>0</v>
      </c>
      <c r="AT1246">
        <f>COUNTIF(Table67[[#This Row],[The mechanism of digital assets is difficult to understand, which discourages me from exploring it (E.g, Tokenization, Blockchain)]:[If I want to try different ways to invest, I will explore digital assets.]], 3)</f>
        <v>4</v>
      </c>
      <c r="AU1246">
        <f>Table67[[#This Row],[Midpoint]]/21</f>
        <v>0.19047619047619047</v>
      </c>
      <c r="AV1246">
        <f>_xlfn.PERCENTILE.INC(Table67[Midpoint ratio],0.9)</f>
        <v>0.5714285714285714</v>
      </c>
      <c r="AW1246" t="b">
        <f>Table67[[#This Row],[Midpoint ratio]]&gt;=Table67[[#This Row],[Threshold of Midpoint ratio]]</f>
        <v>0</v>
      </c>
      <c r="AX1246" t="b">
        <f>OR(Table67[[#This Row],[Extreme Response Style]],Table67[[#This Row],[Mid-point Response Style]])</f>
        <v>0</v>
      </c>
      <c r="AY1246" t="b">
        <f>OR(Table67[[#This Row],[Delete? (Stage 1)]],Table67[[#This Row],[Delete? (Stage 2)]])</f>
        <v>1</v>
      </c>
      <c r="AZ1246" t="s">
        <v>84</v>
      </c>
    </row>
    <row r="1247" spans="1:52">
      <c r="A1247">
        <f t="shared" si="79"/>
        <v>1246</v>
      </c>
      <c r="B1247" s="3">
        <v>46057.003101851798</v>
      </c>
      <c r="C1247" s="3">
        <v>46057.006979166697</v>
      </c>
      <c r="D1247" t="s">
        <v>53</v>
      </c>
      <c r="G1247" t="s">
        <v>54</v>
      </c>
      <c r="H1247" t="s">
        <v>63</v>
      </c>
      <c r="I1247" t="s">
        <v>75</v>
      </c>
      <c r="J1247" t="s">
        <v>65</v>
      </c>
      <c r="K1247" t="s">
        <v>57</v>
      </c>
      <c r="L1247" t="s">
        <v>58</v>
      </c>
      <c r="M1247" t="s">
        <v>58</v>
      </c>
      <c r="N1247">
        <v>2</v>
      </c>
      <c r="O1247">
        <v>1</v>
      </c>
      <c r="P1247">
        <v>5</v>
      </c>
      <c r="Q1247">
        <v>2</v>
      </c>
      <c r="R1247">
        <v>2</v>
      </c>
      <c r="S1247">
        <v>5</v>
      </c>
      <c r="T1247">
        <v>4</v>
      </c>
      <c r="U1247">
        <v>4</v>
      </c>
      <c r="V1247">
        <v>4</v>
      </c>
      <c r="W1247">
        <v>3</v>
      </c>
      <c r="X1247">
        <v>4</v>
      </c>
      <c r="Y1247">
        <v>3</v>
      </c>
      <c r="Z1247">
        <v>4</v>
      </c>
      <c r="AA1247">
        <v>5</v>
      </c>
      <c r="AB1247">
        <v>5</v>
      </c>
      <c r="AC1247">
        <v>4</v>
      </c>
      <c r="AD1247">
        <v>5</v>
      </c>
      <c r="AE1247">
        <v>4</v>
      </c>
      <c r="AF1247">
        <v>1</v>
      </c>
      <c r="AG1247">
        <v>4</v>
      </c>
      <c r="AH1247">
        <v>2</v>
      </c>
      <c r="AI1247">
        <v>4</v>
      </c>
      <c r="AJ1247">
        <v>5</v>
      </c>
      <c r="AK1247" t="b">
        <f>Table67[[#This Row],[What is your age?]]&lt;&gt;"18 - 25"</f>
        <v>0</v>
      </c>
      <c r="AL1247" t="b">
        <f t="shared" si="76"/>
        <v>0</v>
      </c>
      <c r="AM1247" t="b">
        <f t="shared" si="77"/>
        <v>0</v>
      </c>
      <c r="AN1247" t="b">
        <f t="shared" si="78"/>
        <v>0</v>
      </c>
      <c r="AO1247" t="b">
        <f>OR(Table67[[#This Row],[Ineligible respondents]:[Inconsistent response on opposite question (3)]])</f>
        <v>0</v>
      </c>
      <c r="AP124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247">
        <f>Table67[[#This Row],[Extreme Response]]/21</f>
        <v>0.33333333333333331</v>
      </c>
      <c r="AR1247">
        <f>_xlfn.PERCENTILE.INC(Table67[Extrem Response Ratio (ERS)],0.9)</f>
        <v>0.61904761904761907</v>
      </c>
      <c r="AS1247" t="b">
        <f>Table67[[#This Row],[Extrem Response Ratio (ERS)]]&gt;=Table67[[#This Row],[Threshold of ERS]]</f>
        <v>0</v>
      </c>
      <c r="AT1247">
        <f>COUNTIF(Table67[[#This Row],[The mechanism of digital assets is difficult to understand, which discourages me from exploring it (E.g, Tokenization, Blockchain)]:[If I want to try different ways to invest, I will explore digital assets.]], 3)</f>
        <v>2</v>
      </c>
      <c r="AU1247">
        <f>Table67[[#This Row],[Midpoint]]/21</f>
        <v>9.5238095238095233E-2</v>
      </c>
      <c r="AV1247">
        <f>_xlfn.PERCENTILE.INC(Table67[Midpoint ratio],0.9)</f>
        <v>0.5714285714285714</v>
      </c>
      <c r="AW1247" t="b">
        <f>Table67[[#This Row],[Midpoint ratio]]&gt;=Table67[[#This Row],[Threshold of Midpoint ratio]]</f>
        <v>0</v>
      </c>
      <c r="AX1247" t="b">
        <f>OR(Table67[[#This Row],[Extreme Response Style]],Table67[[#This Row],[Mid-point Response Style]])</f>
        <v>0</v>
      </c>
      <c r="AY1247" t="b">
        <f>OR(Table67[[#This Row],[Delete? (Stage 1)]],Table67[[#This Row],[Delete? (Stage 2)]])</f>
        <v>0</v>
      </c>
      <c r="AZ1247" t="s">
        <v>84</v>
      </c>
    </row>
    <row r="1248" spans="1:52">
      <c r="A1248">
        <f t="shared" si="79"/>
        <v>1247</v>
      </c>
      <c r="B1248" s="3">
        <v>46057.010451388902</v>
      </c>
      <c r="C1248" s="3">
        <v>46057.015729166698</v>
      </c>
      <c r="D1248" t="s">
        <v>53</v>
      </c>
      <c r="G1248" t="s">
        <v>54</v>
      </c>
      <c r="H1248" t="s">
        <v>55</v>
      </c>
      <c r="I1248" t="s">
        <v>56</v>
      </c>
      <c r="J1248" t="s">
        <v>62</v>
      </c>
      <c r="K1248" t="s">
        <v>62</v>
      </c>
      <c r="L1248" t="s">
        <v>58</v>
      </c>
      <c r="M1248" t="s">
        <v>58</v>
      </c>
      <c r="N1248">
        <v>4</v>
      </c>
      <c r="O1248">
        <v>4</v>
      </c>
      <c r="P1248">
        <v>4</v>
      </c>
      <c r="Q1248">
        <v>3</v>
      </c>
      <c r="R1248">
        <v>5</v>
      </c>
      <c r="S1248">
        <v>4</v>
      </c>
      <c r="T1248">
        <v>3</v>
      </c>
      <c r="U1248">
        <v>5</v>
      </c>
      <c r="V1248">
        <v>4</v>
      </c>
      <c r="W1248">
        <v>5</v>
      </c>
      <c r="X1248">
        <v>4</v>
      </c>
      <c r="Y1248">
        <v>5</v>
      </c>
      <c r="Z1248">
        <v>4</v>
      </c>
      <c r="AA1248">
        <v>4</v>
      </c>
      <c r="AB1248">
        <v>2</v>
      </c>
      <c r="AC1248">
        <v>2</v>
      </c>
      <c r="AD1248">
        <v>3</v>
      </c>
      <c r="AE1248">
        <v>4</v>
      </c>
      <c r="AF1248">
        <v>5</v>
      </c>
      <c r="AG1248">
        <v>4</v>
      </c>
      <c r="AH1248">
        <v>5</v>
      </c>
      <c r="AI1248">
        <v>1</v>
      </c>
      <c r="AJ1248">
        <v>1</v>
      </c>
      <c r="AK1248" t="b">
        <f>Table67[[#This Row],[What is your age?]]&lt;&gt;"18 - 25"</f>
        <v>0</v>
      </c>
      <c r="AL1248" t="b">
        <f t="shared" si="76"/>
        <v>0</v>
      </c>
      <c r="AM1248" t="b">
        <f t="shared" si="77"/>
        <v>1</v>
      </c>
      <c r="AN1248" t="b">
        <f t="shared" si="78"/>
        <v>0</v>
      </c>
      <c r="AO1248" t="b">
        <f>OR(Table67[[#This Row],[Ineligible respondents]:[Inconsistent response on opposite question (3)]])</f>
        <v>1</v>
      </c>
      <c r="AP124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248">
        <f>Table67[[#This Row],[Extreme Response]]/21</f>
        <v>0.2857142857142857</v>
      </c>
      <c r="AR1248">
        <f>_xlfn.PERCENTILE.INC(Table67[Extrem Response Ratio (ERS)],0.9)</f>
        <v>0.61904761904761907</v>
      </c>
      <c r="AS1248" t="b">
        <f>Table67[[#This Row],[Extrem Response Ratio (ERS)]]&gt;=Table67[[#This Row],[Threshold of ERS]]</f>
        <v>0</v>
      </c>
      <c r="AT1248">
        <f>COUNTIF(Table67[[#This Row],[The mechanism of digital assets is difficult to understand, which discourages me from exploring it (E.g, Tokenization, Blockchain)]:[If I want to try different ways to invest, I will explore digital assets.]], 3)</f>
        <v>3</v>
      </c>
      <c r="AU1248">
        <f>Table67[[#This Row],[Midpoint]]/21</f>
        <v>0.14285714285714285</v>
      </c>
      <c r="AV1248">
        <f>_xlfn.PERCENTILE.INC(Table67[Midpoint ratio],0.9)</f>
        <v>0.5714285714285714</v>
      </c>
      <c r="AW1248" t="b">
        <f>Table67[[#This Row],[Midpoint ratio]]&gt;=Table67[[#This Row],[Threshold of Midpoint ratio]]</f>
        <v>0</v>
      </c>
      <c r="AX1248" t="b">
        <f>OR(Table67[[#This Row],[Extreme Response Style]],Table67[[#This Row],[Mid-point Response Style]])</f>
        <v>0</v>
      </c>
      <c r="AY1248" t="b">
        <f>OR(Table67[[#This Row],[Delete? (Stage 1)]],Table67[[#This Row],[Delete? (Stage 2)]])</f>
        <v>1</v>
      </c>
      <c r="AZ1248" t="s">
        <v>84</v>
      </c>
    </row>
    <row r="1249" spans="1:52">
      <c r="A1249">
        <f t="shared" si="79"/>
        <v>1248</v>
      </c>
      <c r="B1249" s="3">
        <v>46057.015740740702</v>
      </c>
      <c r="C1249" s="3">
        <v>46057.018333333297</v>
      </c>
      <c r="D1249" t="s">
        <v>53</v>
      </c>
      <c r="G1249" t="s">
        <v>54</v>
      </c>
      <c r="H1249" t="s">
        <v>63</v>
      </c>
      <c r="I1249" t="s">
        <v>75</v>
      </c>
      <c r="J1249" t="s">
        <v>62</v>
      </c>
      <c r="K1249" t="s">
        <v>62</v>
      </c>
      <c r="L1249" t="s">
        <v>61</v>
      </c>
      <c r="M1249" t="s">
        <v>58</v>
      </c>
      <c r="N1249">
        <v>1</v>
      </c>
      <c r="O1249">
        <v>1</v>
      </c>
      <c r="P1249">
        <v>2</v>
      </c>
      <c r="Q1249">
        <v>2</v>
      </c>
      <c r="R1249">
        <v>2</v>
      </c>
      <c r="S1249">
        <v>2</v>
      </c>
      <c r="T1249">
        <v>2</v>
      </c>
      <c r="U1249">
        <v>4</v>
      </c>
      <c r="V1249">
        <v>2</v>
      </c>
      <c r="W1249">
        <v>3</v>
      </c>
      <c r="X1249">
        <v>3</v>
      </c>
      <c r="Y1249">
        <v>3</v>
      </c>
      <c r="Z1249">
        <v>3</v>
      </c>
      <c r="AA1249">
        <v>2</v>
      </c>
      <c r="AB1249">
        <v>2</v>
      </c>
      <c r="AC1249">
        <v>3</v>
      </c>
      <c r="AD1249">
        <v>4</v>
      </c>
      <c r="AE1249">
        <v>2</v>
      </c>
      <c r="AF1249">
        <v>2</v>
      </c>
      <c r="AG1249">
        <v>3</v>
      </c>
      <c r="AH1249">
        <v>2</v>
      </c>
      <c r="AI1249">
        <v>4</v>
      </c>
      <c r="AJ1249">
        <v>4</v>
      </c>
      <c r="AK1249" t="b">
        <f>Table67[[#This Row],[What is your age?]]&lt;&gt;"18 - 25"</f>
        <v>0</v>
      </c>
      <c r="AL1249" t="b">
        <f t="shared" si="76"/>
        <v>0</v>
      </c>
      <c r="AM1249" t="b">
        <f t="shared" si="77"/>
        <v>0</v>
      </c>
      <c r="AN1249" t="b">
        <f t="shared" si="78"/>
        <v>1</v>
      </c>
      <c r="AO1249" t="b">
        <f>OR(Table67[[#This Row],[Ineligible respondents]:[Inconsistent response on opposite question (3)]])</f>
        <v>1</v>
      </c>
      <c r="AP124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249">
        <f>Table67[[#This Row],[Extreme Response]]/21</f>
        <v>9.5238095238095233E-2</v>
      </c>
      <c r="AR1249">
        <f>_xlfn.PERCENTILE.INC(Table67[Extrem Response Ratio (ERS)],0.9)</f>
        <v>0.61904761904761907</v>
      </c>
      <c r="AS1249" t="b">
        <f>Table67[[#This Row],[Extrem Response Ratio (ERS)]]&gt;=Table67[[#This Row],[Threshold of ERS]]</f>
        <v>0</v>
      </c>
      <c r="AT1249">
        <f>COUNTIF(Table67[[#This Row],[The mechanism of digital assets is difficult to understand, which discourages me from exploring it (E.g, Tokenization, Blockchain)]:[If I want to try different ways to invest, I will explore digital assets.]], 3)</f>
        <v>6</v>
      </c>
      <c r="AU1249">
        <f>Table67[[#This Row],[Midpoint]]/21</f>
        <v>0.2857142857142857</v>
      </c>
      <c r="AV1249">
        <f>_xlfn.PERCENTILE.INC(Table67[Midpoint ratio],0.9)</f>
        <v>0.5714285714285714</v>
      </c>
      <c r="AW1249" t="b">
        <f>Table67[[#This Row],[Midpoint ratio]]&gt;=Table67[[#This Row],[Threshold of Midpoint ratio]]</f>
        <v>0</v>
      </c>
      <c r="AX1249" t="b">
        <f>OR(Table67[[#This Row],[Extreme Response Style]],Table67[[#This Row],[Mid-point Response Style]])</f>
        <v>0</v>
      </c>
      <c r="AY1249" t="b">
        <f>OR(Table67[[#This Row],[Delete? (Stage 1)]],Table67[[#This Row],[Delete? (Stage 2)]])</f>
        <v>1</v>
      </c>
      <c r="AZ1249" t="s">
        <v>84</v>
      </c>
    </row>
    <row r="1250" spans="1:52">
      <c r="A1250">
        <f t="shared" si="79"/>
        <v>1249</v>
      </c>
      <c r="B1250" s="3">
        <v>46057.387048611097</v>
      </c>
      <c r="C1250" s="3">
        <v>46057.392430555599</v>
      </c>
      <c r="D1250" t="s">
        <v>53</v>
      </c>
      <c r="G1250" t="s">
        <v>54</v>
      </c>
      <c r="H1250" t="s">
        <v>55</v>
      </c>
      <c r="I1250" t="s">
        <v>71</v>
      </c>
      <c r="J1250" t="s">
        <v>62</v>
      </c>
      <c r="K1250" t="s">
        <v>66</v>
      </c>
      <c r="L1250" t="s">
        <v>61</v>
      </c>
      <c r="M1250" t="s">
        <v>58</v>
      </c>
      <c r="N1250">
        <v>2</v>
      </c>
      <c r="O1250">
        <v>2</v>
      </c>
      <c r="P1250">
        <v>4</v>
      </c>
      <c r="Q1250">
        <v>3</v>
      </c>
      <c r="R1250">
        <v>2</v>
      </c>
      <c r="S1250">
        <v>4</v>
      </c>
      <c r="T1250">
        <v>2</v>
      </c>
      <c r="U1250">
        <v>2</v>
      </c>
      <c r="V1250">
        <v>3</v>
      </c>
      <c r="W1250">
        <v>3</v>
      </c>
      <c r="X1250">
        <v>3</v>
      </c>
      <c r="Y1250">
        <v>2</v>
      </c>
      <c r="Z1250">
        <v>3</v>
      </c>
      <c r="AA1250">
        <v>2</v>
      </c>
      <c r="AB1250">
        <v>2</v>
      </c>
      <c r="AC1250">
        <v>2</v>
      </c>
      <c r="AD1250">
        <v>3</v>
      </c>
      <c r="AE1250">
        <v>2</v>
      </c>
      <c r="AF1250">
        <v>3</v>
      </c>
      <c r="AG1250">
        <v>2</v>
      </c>
      <c r="AH1250">
        <v>4</v>
      </c>
      <c r="AI1250">
        <v>2</v>
      </c>
      <c r="AJ1250">
        <v>3</v>
      </c>
      <c r="AK1250" t="b">
        <f>Table67[[#This Row],[What is your age?]]&lt;&gt;"18 - 25"</f>
        <v>0</v>
      </c>
      <c r="AL1250" t="b">
        <f t="shared" si="76"/>
        <v>0</v>
      </c>
      <c r="AM1250" t="b">
        <f t="shared" si="77"/>
        <v>0</v>
      </c>
      <c r="AN1250" t="b">
        <f t="shared" si="78"/>
        <v>0</v>
      </c>
      <c r="AO1250" t="b">
        <f>OR(Table67[[#This Row],[Ineligible respondents]:[Inconsistent response on opposite question (3)]])</f>
        <v>0</v>
      </c>
      <c r="AP125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250">
        <f>Table67[[#This Row],[Extreme Response]]/21</f>
        <v>0</v>
      </c>
      <c r="AR1250">
        <f>_xlfn.PERCENTILE.INC(Table67[Extrem Response Ratio (ERS)],0.9)</f>
        <v>0.61904761904761907</v>
      </c>
      <c r="AS1250" t="b">
        <f>Table67[[#This Row],[Extrem Response Ratio (ERS)]]&gt;=Table67[[#This Row],[Threshold of ERS]]</f>
        <v>0</v>
      </c>
      <c r="AT1250">
        <f>COUNTIF(Table67[[#This Row],[The mechanism of digital assets is difficult to understand, which discourages me from exploring it (E.g, Tokenization, Blockchain)]:[If I want to try different ways to invest, I will explore digital assets.]], 3)</f>
        <v>7</v>
      </c>
      <c r="AU1250">
        <f>Table67[[#This Row],[Midpoint]]/21</f>
        <v>0.33333333333333331</v>
      </c>
      <c r="AV1250">
        <f>_xlfn.PERCENTILE.INC(Table67[Midpoint ratio],0.9)</f>
        <v>0.5714285714285714</v>
      </c>
      <c r="AW1250" t="b">
        <f>Table67[[#This Row],[Midpoint ratio]]&gt;=Table67[[#This Row],[Threshold of Midpoint ratio]]</f>
        <v>0</v>
      </c>
      <c r="AX1250" t="b">
        <f>OR(Table67[[#This Row],[Extreme Response Style]],Table67[[#This Row],[Mid-point Response Style]])</f>
        <v>0</v>
      </c>
      <c r="AY1250" t="b">
        <f>OR(Table67[[#This Row],[Delete? (Stage 1)]],Table67[[#This Row],[Delete? (Stage 2)]])</f>
        <v>0</v>
      </c>
      <c r="AZ1250" t="s">
        <v>84</v>
      </c>
    </row>
    <row r="1251" spans="1:52">
      <c r="A1251">
        <f t="shared" si="79"/>
        <v>1250</v>
      </c>
      <c r="B1251" s="3">
        <v>46057.387175925898</v>
      </c>
      <c r="C1251" s="3">
        <v>46057.394490740699</v>
      </c>
      <c r="D1251" t="s">
        <v>53</v>
      </c>
      <c r="G1251" t="s">
        <v>54</v>
      </c>
      <c r="H1251" t="s">
        <v>55</v>
      </c>
      <c r="I1251" t="s">
        <v>69</v>
      </c>
      <c r="J1251" t="s">
        <v>64</v>
      </c>
      <c r="K1251" t="s">
        <v>62</v>
      </c>
      <c r="L1251" t="s">
        <v>58</v>
      </c>
      <c r="M1251" t="s">
        <v>58</v>
      </c>
      <c r="N1251">
        <v>4</v>
      </c>
      <c r="O1251">
        <v>3</v>
      </c>
      <c r="P1251">
        <v>4</v>
      </c>
      <c r="Q1251">
        <v>3</v>
      </c>
      <c r="R1251">
        <v>2</v>
      </c>
      <c r="S1251">
        <v>4</v>
      </c>
      <c r="T1251">
        <v>3</v>
      </c>
      <c r="U1251">
        <v>4</v>
      </c>
      <c r="V1251">
        <v>5</v>
      </c>
      <c r="W1251">
        <v>4</v>
      </c>
      <c r="X1251">
        <v>5</v>
      </c>
      <c r="Y1251">
        <v>5</v>
      </c>
      <c r="Z1251">
        <v>5</v>
      </c>
      <c r="AA1251">
        <v>4</v>
      </c>
      <c r="AB1251">
        <v>4</v>
      </c>
      <c r="AC1251">
        <v>4</v>
      </c>
      <c r="AD1251">
        <v>5</v>
      </c>
      <c r="AE1251">
        <v>5</v>
      </c>
      <c r="AF1251">
        <v>3</v>
      </c>
      <c r="AG1251">
        <v>4</v>
      </c>
      <c r="AH1251">
        <v>2</v>
      </c>
      <c r="AI1251">
        <v>4</v>
      </c>
      <c r="AJ1251">
        <v>3</v>
      </c>
      <c r="AK1251" t="b">
        <f>Table67[[#This Row],[What is your age?]]&lt;&gt;"18 - 25"</f>
        <v>0</v>
      </c>
      <c r="AL1251" t="b">
        <f t="shared" si="76"/>
        <v>0</v>
      </c>
      <c r="AM1251" t="b">
        <f t="shared" si="77"/>
        <v>0</v>
      </c>
      <c r="AN1251" t="b">
        <f t="shared" si="78"/>
        <v>0</v>
      </c>
      <c r="AO1251" t="b">
        <f>OR(Table67[[#This Row],[Ineligible respondents]:[Inconsistent response on opposite question (3)]])</f>
        <v>0</v>
      </c>
      <c r="AP125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251">
        <f>Table67[[#This Row],[Extreme Response]]/21</f>
        <v>0.2857142857142857</v>
      </c>
      <c r="AR1251">
        <f>_xlfn.PERCENTILE.INC(Table67[Extrem Response Ratio (ERS)],0.9)</f>
        <v>0.61904761904761907</v>
      </c>
      <c r="AS1251" t="b">
        <f>Table67[[#This Row],[Extrem Response Ratio (ERS)]]&gt;=Table67[[#This Row],[Threshold of ERS]]</f>
        <v>0</v>
      </c>
      <c r="AT1251">
        <f>COUNTIF(Table67[[#This Row],[The mechanism of digital assets is difficult to understand, which discourages me from exploring it (E.g, Tokenization, Blockchain)]:[If I want to try different ways to invest, I will explore digital assets.]], 3)</f>
        <v>4</v>
      </c>
      <c r="AU1251">
        <f>Table67[[#This Row],[Midpoint]]/21</f>
        <v>0.19047619047619047</v>
      </c>
      <c r="AV1251">
        <f>_xlfn.PERCENTILE.INC(Table67[Midpoint ratio],0.9)</f>
        <v>0.5714285714285714</v>
      </c>
      <c r="AW1251" t="b">
        <f>Table67[[#This Row],[Midpoint ratio]]&gt;=Table67[[#This Row],[Threshold of Midpoint ratio]]</f>
        <v>0</v>
      </c>
      <c r="AX1251" t="b">
        <f>OR(Table67[[#This Row],[Extreme Response Style]],Table67[[#This Row],[Mid-point Response Style]])</f>
        <v>0</v>
      </c>
      <c r="AY1251" t="b">
        <f>OR(Table67[[#This Row],[Delete? (Stage 1)]],Table67[[#This Row],[Delete? (Stage 2)]])</f>
        <v>0</v>
      </c>
      <c r="AZ1251" t="s">
        <v>84</v>
      </c>
    </row>
    <row r="1252" spans="1:52">
      <c r="A1252">
        <f t="shared" si="79"/>
        <v>1251</v>
      </c>
      <c r="B1252" s="3">
        <v>46057.387187499997</v>
      </c>
      <c r="C1252" s="3">
        <v>46057.396979166697</v>
      </c>
      <c r="D1252" t="s">
        <v>53</v>
      </c>
      <c r="G1252" t="s">
        <v>54</v>
      </c>
      <c r="H1252" t="s">
        <v>55</v>
      </c>
      <c r="I1252" t="s">
        <v>75</v>
      </c>
      <c r="J1252" t="s">
        <v>57</v>
      </c>
      <c r="K1252" t="s">
        <v>57</v>
      </c>
      <c r="L1252" t="s">
        <v>58</v>
      </c>
      <c r="M1252" t="s">
        <v>58</v>
      </c>
      <c r="N1252">
        <v>4</v>
      </c>
      <c r="O1252">
        <v>3</v>
      </c>
      <c r="P1252">
        <v>4</v>
      </c>
      <c r="Q1252">
        <v>2</v>
      </c>
      <c r="R1252">
        <v>4</v>
      </c>
      <c r="S1252">
        <v>5</v>
      </c>
      <c r="T1252">
        <v>4</v>
      </c>
      <c r="U1252">
        <v>4</v>
      </c>
      <c r="V1252">
        <v>5</v>
      </c>
      <c r="W1252">
        <v>4</v>
      </c>
      <c r="X1252">
        <v>4</v>
      </c>
      <c r="Y1252">
        <v>4</v>
      </c>
      <c r="Z1252">
        <v>3</v>
      </c>
      <c r="AA1252">
        <v>4</v>
      </c>
      <c r="AB1252">
        <v>3</v>
      </c>
      <c r="AC1252">
        <v>4</v>
      </c>
      <c r="AD1252">
        <v>4</v>
      </c>
      <c r="AE1252">
        <v>4</v>
      </c>
      <c r="AF1252">
        <v>2</v>
      </c>
      <c r="AG1252">
        <v>4</v>
      </c>
      <c r="AH1252">
        <v>3</v>
      </c>
      <c r="AI1252">
        <v>3</v>
      </c>
      <c r="AJ1252">
        <v>4</v>
      </c>
      <c r="AK1252" t="b">
        <f>Table67[[#This Row],[What is your age?]]&lt;&gt;"18 - 25"</f>
        <v>0</v>
      </c>
      <c r="AL1252" t="b">
        <f t="shared" si="76"/>
        <v>0</v>
      </c>
      <c r="AM1252" t="b">
        <f t="shared" si="77"/>
        <v>0</v>
      </c>
      <c r="AN1252" t="b">
        <f t="shared" si="78"/>
        <v>1</v>
      </c>
      <c r="AO1252" t="b">
        <f>OR(Table67[[#This Row],[Ineligible respondents]:[Inconsistent response on opposite question (3)]])</f>
        <v>1</v>
      </c>
      <c r="AP125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252">
        <f>Table67[[#This Row],[Extreme Response]]/21</f>
        <v>9.5238095238095233E-2</v>
      </c>
      <c r="AR1252">
        <f>_xlfn.PERCENTILE.INC(Table67[Extrem Response Ratio (ERS)],0.9)</f>
        <v>0.61904761904761907</v>
      </c>
      <c r="AS1252" t="b">
        <f>Table67[[#This Row],[Extrem Response Ratio (ERS)]]&gt;=Table67[[#This Row],[Threshold of ERS]]</f>
        <v>0</v>
      </c>
      <c r="AT1252">
        <f>COUNTIF(Table67[[#This Row],[The mechanism of digital assets is difficult to understand, which discourages me from exploring it (E.g, Tokenization, Blockchain)]:[If I want to try different ways to invest, I will explore digital assets.]], 3)</f>
        <v>4</v>
      </c>
      <c r="AU1252">
        <f>Table67[[#This Row],[Midpoint]]/21</f>
        <v>0.19047619047619047</v>
      </c>
      <c r="AV1252">
        <f>_xlfn.PERCENTILE.INC(Table67[Midpoint ratio],0.9)</f>
        <v>0.5714285714285714</v>
      </c>
      <c r="AW1252" t="b">
        <f>Table67[[#This Row],[Midpoint ratio]]&gt;=Table67[[#This Row],[Threshold of Midpoint ratio]]</f>
        <v>0</v>
      </c>
      <c r="AX1252" t="b">
        <f>OR(Table67[[#This Row],[Extreme Response Style]],Table67[[#This Row],[Mid-point Response Style]])</f>
        <v>0</v>
      </c>
      <c r="AY1252" t="b">
        <f>OR(Table67[[#This Row],[Delete? (Stage 1)]],Table67[[#This Row],[Delete? (Stage 2)]])</f>
        <v>1</v>
      </c>
      <c r="AZ1252" t="s">
        <v>84</v>
      </c>
    </row>
    <row r="1253" spans="1:52">
      <c r="A1253">
        <f t="shared" si="79"/>
        <v>1252</v>
      </c>
      <c r="B1253" s="3">
        <v>46057.387233796297</v>
      </c>
      <c r="C1253" s="3">
        <v>46057.390729166698</v>
      </c>
      <c r="D1253" t="s">
        <v>53</v>
      </c>
      <c r="G1253" t="s">
        <v>54</v>
      </c>
      <c r="H1253" t="s">
        <v>63</v>
      </c>
      <c r="I1253" t="s">
        <v>56</v>
      </c>
      <c r="J1253" t="s">
        <v>62</v>
      </c>
      <c r="K1253" t="s">
        <v>57</v>
      </c>
      <c r="L1253" t="s">
        <v>58</v>
      </c>
      <c r="M1253" t="s">
        <v>58</v>
      </c>
      <c r="N1253">
        <v>2</v>
      </c>
      <c r="O1253">
        <v>4</v>
      </c>
      <c r="P1253">
        <v>2</v>
      </c>
      <c r="Q1253">
        <v>1</v>
      </c>
      <c r="R1253">
        <v>3</v>
      </c>
      <c r="S1253">
        <v>3</v>
      </c>
      <c r="T1253">
        <v>2</v>
      </c>
      <c r="U1253">
        <v>3</v>
      </c>
      <c r="V1253">
        <v>1</v>
      </c>
      <c r="W1253">
        <v>2</v>
      </c>
      <c r="X1253">
        <v>4</v>
      </c>
      <c r="Y1253">
        <v>3</v>
      </c>
      <c r="Z1253">
        <v>4</v>
      </c>
      <c r="AA1253">
        <v>4</v>
      </c>
      <c r="AB1253">
        <v>2</v>
      </c>
      <c r="AC1253">
        <v>3</v>
      </c>
      <c r="AD1253">
        <v>3</v>
      </c>
      <c r="AE1253">
        <v>2</v>
      </c>
      <c r="AF1253">
        <v>4</v>
      </c>
      <c r="AG1253">
        <v>3</v>
      </c>
      <c r="AH1253">
        <v>4</v>
      </c>
      <c r="AI1253">
        <v>2</v>
      </c>
      <c r="AJ1253">
        <v>2</v>
      </c>
      <c r="AK1253" t="b">
        <f>Table67[[#This Row],[What is your age?]]&lt;&gt;"18 - 25"</f>
        <v>0</v>
      </c>
      <c r="AL1253" t="b">
        <f t="shared" si="76"/>
        <v>0</v>
      </c>
      <c r="AM1253" t="b">
        <f t="shared" si="77"/>
        <v>0</v>
      </c>
      <c r="AN1253" t="b">
        <f t="shared" si="78"/>
        <v>1</v>
      </c>
      <c r="AO1253" t="b">
        <f>OR(Table67[[#This Row],[Ineligible respondents]:[Inconsistent response on opposite question (3)]])</f>
        <v>1</v>
      </c>
      <c r="AP125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253">
        <f>Table67[[#This Row],[Extreme Response]]/21</f>
        <v>9.5238095238095233E-2</v>
      </c>
      <c r="AR1253">
        <f>_xlfn.PERCENTILE.INC(Table67[Extrem Response Ratio (ERS)],0.9)</f>
        <v>0.61904761904761907</v>
      </c>
      <c r="AS1253" t="b">
        <f>Table67[[#This Row],[Extrem Response Ratio (ERS)]]&gt;=Table67[[#This Row],[Threshold of ERS]]</f>
        <v>0</v>
      </c>
      <c r="AT1253">
        <f>COUNTIF(Table67[[#This Row],[The mechanism of digital assets is difficult to understand, which discourages me from exploring it (E.g, Tokenization, Blockchain)]:[If I want to try different ways to invest, I will explore digital assets.]], 3)</f>
        <v>7</v>
      </c>
      <c r="AU1253">
        <f>Table67[[#This Row],[Midpoint]]/21</f>
        <v>0.33333333333333331</v>
      </c>
      <c r="AV1253">
        <f>_xlfn.PERCENTILE.INC(Table67[Midpoint ratio],0.9)</f>
        <v>0.5714285714285714</v>
      </c>
      <c r="AW1253" t="b">
        <f>Table67[[#This Row],[Midpoint ratio]]&gt;=Table67[[#This Row],[Threshold of Midpoint ratio]]</f>
        <v>0</v>
      </c>
      <c r="AX1253" t="b">
        <f>OR(Table67[[#This Row],[Extreme Response Style]],Table67[[#This Row],[Mid-point Response Style]])</f>
        <v>0</v>
      </c>
      <c r="AY1253" t="b">
        <f>OR(Table67[[#This Row],[Delete? (Stage 1)]],Table67[[#This Row],[Delete? (Stage 2)]])</f>
        <v>1</v>
      </c>
      <c r="AZ1253" t="s">
        <v>84</v>
      </c>
    </row>
    <row r="1254" spans="1:52">
      <c r="A1254">
        <f t="shared" si="79"/>
        <v>1253</v>
      </c>
      <c r="B1254" s="3">
        <v>46057.387337963002</v>
      </c>
      <c r="C1254" s="3">
        <v>46057.390520833302</v>
      </c>
      <c r="D1254" t="s">
        <v>53</v>
      </c>
      <c r="G1254" t="s">
        <v>54</v>
      </c>
      <c r="H1254" t="s">
        <v>55</v>
      </c>
      <c r="I1254" t="s">
        <v>56</v>
      </c>
      <c r="J1254" t="s">
        <v>62</v>
      </c>
      <c r="K1254" t="s">
        <v>57</v>
      </c>
      <c r="L1254" t="s">
        <v>58</v>
      </c>
      <c r="M1254" t="s">
        <v>58</v>
      </c>
      <c r="N1254">
        <v>4</v>
      </c>
      <c r="O1254">
        <v>1</v>
      </c>
      <c r="P1254">
        <v>4</v>
      </c>
      <c r="Q1254">
        <v>3</v>
      </c>
      <c r="R1254">
        <v>5</v>
      </c>
      <c r="S1254">
        <v>5</v>
      </c>
      <c r="T1254">
        <v>5</v>
      </c>
      <c r="U1254">
        <v>5</v>
      </c>
      <c r="V1254">
        <v>5</v>
      </c>
      <c r="W1254">
        <v>5</v>
      </c>
      <c r="X1254">
        <v>5</v>
      </c>
      <c r="Y1254">
        <v>5</v>
      </c>
      <c r="Z1254">
        <v>5</v>
      </c>
      <c r="AA1254">
        <v>5</v>
      </c>
      <c r="AB1254">
        <v>4</v>
      </c>
      <c r="AC1254">
        <v>5</v>
      </c>
      <c r="AD1254">
        <v>5</v>
      </c>
      <c r="AE1254">
        <v>5</v>
      </c>
      <c r="AF1254">
        <v>1</v>
      </c>
      <c r="AG1254">
        <v>5</v>
      </c>
      <c r="AH1254">
        <v>1</v>
      </c>
      <c r="AI1254">
        <v>5</v>
      </c>
      <c r="AJ1254">
        <v>5</v>
      </c>
      <c r="AK1254" t="b">
        <f>Table67[[#This Row],[What is your age?]]&lt;&gt;"18 - 25"</f>
        <v>0</v>
      </c>
      <c r="AL1254" t="b">
        <f t="shared" si="76"/>
        <v>0</v>
      </c>
      <c r="AM1254" t="b">
        <f t="shared" si="77"/>
        <v>0</v>
      </c>
      <c r="AN1254" t="b">
        <f t="shared" si="78"/>
        <v>0</v>
      </c>
      <c r="AO1254" t="b">
        <f>OR(Table67[[#This Row],[Ineligible respondents]:[Inconsistent response on opposite question (3)]])</f>
        <v>0</v>
      </c>
      <c r="AP125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17</v>
      </c>
      <c r="AQ1254">
        <f>Table67[[#This Row],[Extreme Response]]/21</f>
        <v>0.80952380952380953</v>
      </c>
      <c r="AR1254">
        <f>_xlfn.PERCENTILE.INC(Table67[Extrem Response Ratio (ERS)],0.9)</f>
        <v>0.61904761904761907</v>
      </c>
      <c r="AS1254" t="b">
        <f>Table67[[#This Row],[Extrem Response Ratio (ERS)]]&gt;=Table67[[#This Row],[Threshold of ERS]]</f>
        <v>1</v>
      </c>
      <c r="AT1254">
        <f>COUNTIF(Table67[[#This Row],[The mechanism of digital assets is difficult to understand, which discourages me from exploring it (E.g, Tokenization, Blockchain)]:[If I want to try different ways to invest, I will explore digital assets.]], 3)</f>
        <v>1</v>
      </c>
      <c r="AU1254">
        <f>Table67[[#This Row],[Midpoint]]/21</f>
        <v>4.7619047619047616E-2</v>
      </c>
      <c r="AV1254">
        <f>_xlfn.PERCENTILE.INC(Table67[Midpoint ratio],0.9)</f>
        <v>0.5714285714285714</v>
      </c>
      <c r="AW1254" t="b">
        <f>Table67[[#This Row],[Midpoint ratio]]&gt;=Table67[[#This Row],[Threshold of Midpoint ratio]]</f>
        <v>0</v>
      </c>
      <c r="AX1254" t="b">
        <f>OR(Table67[[#This Row],[Extreme Response Style]],Table67[[#This Row],[Mid-point Response Style]])</f>
        <v>1</v>
      </c>
      <c r="AY1254" t="b">
        <f>OR(Table67[[#This Row],[Delete? (Stage 1)]],Table67[[#This Row],[Delete? (Stage 2)]])</f>
        <v>1</v>
      </c>
      <c r="AZ1254" t="s">
        <v>84</v>
      </c>
    </row>
    <row r="1255" spans="1:52">
      <c r="A1255">
        <f t="shared" si="79"/>
        <v>1254</v>
      </c>
      <c r="B1255" s="3">
        <v>46057.387418981503</v>
      </c>
      <c r="C1255" s="3">
        <v>46057.391412037003</v>
      </c>
      <c r="D1255" t="s">
        <v>53</v>
      </c>
      <c r="G1255" t="s">
        <v>54</v>
      </c>
      <c r="H1255" t="s">
        <v>55</v>
      </c>
      <c r="I1255" t="s">
        <v>69</v>
      </c>
      <c r="J1255" t="s">
        <v>60</v>
      </c>
      <c r="K1255" t="s">
        <v>62</v>
      </c>
      <c r="L1255" t="s">
        <v>58</v>
      </c>
      <c r="M1255" t="s">
        <v>61</v>
      </c>
      <c r="N1255">
        <v>4</v>
      </c>
      <c r="O1255">
        <v>3</v>
      </c>
      <c r="P1255">
        <v>5</v>
      </c>
      <c r="Q1255">
        <v>3</v>
      </c>
      <c r="R1255">
        <v>5</v>
      </c>
      <c r="S1255">
        <v>5</v>
      </c>
      <c r="T1255">
        <v>1</v>
      </c>
      <c r="U1255">
        <v>5</v>
      </c>
      <c r="V1255">
        <v>1</v>
      </c>
      <c r="W1255">
        <v>1</v>
      </c>
      <c r="X1255">
        <v>1</v>
      </c>
      <c r="Y1255">
        <v>1</v>
      </c>
      <c r="Z1255">
        <v>1</v>
      </c>
      <c r="AA1255">
        <v>1</v>
      </c>
      <c r="AB1255">
        <v>1</v>
      </c>
      <c r="AC1255">
        <v>3</v>
      </c>
      <c r="AD1255">
        <v>5</v>
      </c>
      <c r="AE1255">
        <v>1</v>
      </c>
      <c r="AF1255">
        <v>3</v>
      </c>
      <c r="AG1255">
        <v>3</v>
      </c>
      <c r="AH1255">
        <v>2</v>
      </c>
      <c r="AI1255">
        <v>4</v>
      </c>
      <c r="AJ1255">
        <v>3</v>
      </c>
      <c r="AK1255" t="b">
        <f>Table67[[#This Row],[What is your age?]]&lt;&gt;"18 - 25"</f>
        <v>0</v>
      </c>
      <c r="AL1255" t="b">
        <f t="shared" si="76"/>
        <v>0</v>
      </c>
      <c r="AM1255" t="b">
        <f t="shared" si="77"/>
        <v>0</v>
      </c>
      <c r="AN1255" t="b">
        <f t="shared" si="78"/>
        <v>1</v>
      </c>
      <c r="AO1255" t="b">
        <f>OR(Table67[[#This Row],[Ineligible respondents]:[Inconsistent response on opposite question (3)]])</f>
        <v>1</v>
      </c>
      <c r="AP125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1255">
        <f>Table67[[#This Row],[Extreme Response]]/21</f>
        <v>0.66666666666666663</v>
      </c>
      <c r="AR1255">
        <f>_xlfn.PERCENTILE.INC(Table67[Extrem Response Ratio (ERS)],0.9)</f>
        <v>0.61904761904761907</v>
      </c>
      <c r="AS1255" t="b">
        <f>Table67[[#This Row],[Extrem Response Ratio (ERS)]]&gt;=Table67[[#This Row],[Threshold of ERS]]</f>
        <v>1</v>
      </c>
      <c r="AT1255">
        <f>COUNTIF(Table67[[#This Row],[The mechanism of digital assets is difficult to understand, which discourages me from exploring it (E.g, Tokenization, Blockchain)]:[If I want to try different ways to invest, I will explore digital assets.]], 3)</f>
        <v>5</v>
      </c>
      <c r="AU1255">
        <f>Table67[[#This Row],[Midpoint]]/21</f>
        <v>0.23809523809523808</v>
      </c>
      <c r="AV1255">
        <f>_xlfn.PERCENTILE.INC(Table67[Midpoint ratio],0.9)</f>
        <v>0.5714285714285714</v>
      </c>
      <c r="AW1255" t="b">
        <f>Table67[[#This Row],[Midpoint ratio]]&gt;=Table67[[#This Row],[Threshold of Midpoint ratio]]</f>
        <v>0</v>
      </c>
      <c r="AX1255" t="b">
        <f>OR(Table67[[#This Row],[Extreme Response Style]],Table67[[#This Row],[Mid-point Response Style]])</f>
        <v>1</v>
      </c>
      <c r="AY1255" t="b">
        <f>OR(Table67[[#This Row],[Delete? (Stage 1)]],Table67[[#This Row],[Delete? (Stage 2)]])</f>
        <v>1</v>
      </c>
      <c r="AZ1255" t="s">
        <v>84</v>
      </c>
    </row>
    <row r="1256" spans="1:52">
      <c r="A1256">
        <f t="shared" si="79"/>
        <v>1255</v>
      </c>
      <c r="B1256" s="3">
        <v>46057.387465277803</v>
      </c>
      <c r="C1256" s="3">
        <v>46057.3908912037</v>
      </c>
      <c r="D1256" t="s">
        <v>53</v>
      </c>
      <c r="G1256" t="s">
        <v>73</v>
      </c>
      <c r="H1256" t="s">
        <v>55</v>
      </c>
      <c r="I1256" t="s">
        <v>56</v>
      </c>
      <c r="J1256" t="s">
        <v>60</v>
      </c>
      <c r="K1256" t="s">
        <v>62</v>
      </c>
      <c r="L1256" t="s">
        <v>61</v>
      </c>
      <c r="M1256" t="s">
        <v>61</v>
      </c>
      <c r="N1256">
        <v>3</v>
      </c>
      <c r="O1256">
        <v>2</v>
      </c>
      <c r="P1256">
        <v>3</v>
      </c>
      <c r="Q1256">
        <v>3</v>
      </c>
      <c r="R1256">
        <v>5</v>
      </c>
      <c r="S1256">
        <v>4</v>
      </c>
      <c r="T1256">
        <v>3</v>
      </c>
      <c r="U1256">
        <v>4</v>
      </c>
      <c r="V1256">
        <v>2</v>
      </c>
      <c r="W1256">
        <v>3</v>
      </c>
      <c r="X1256">
        <v>3</v>
      </c>
      <c r="Y1256">
        <v>3</v>
      </c>
      <c r="Z1256">
        <v>3</v>
      </c>
      <c r="AA1256">
        <v>2</v>
      </c>
      <c r="AB1256">
        <v>3</v>
      </c>
      <c r="AC1256">
        <v>4</v>
      </c>
      <c r="AD1256">
        <v>2</v>
      </c>
      <c r="AE1256">
        <v>3</v>
      </c>
      <c r="AF1256">
        <v>3</v>
      </c>
      <c r="AG1256">
        <v>4</v>
      </c>
      <c r="AH1256">
        <v>4</v>
      </c>
      <c r="AI1256">
        <v>2</v>
      </c>
      <c r="AJ1256">
        <v>3</v>
      </c>
      <c r="AK1256" t="b">
        <f>Table67[[#This Row],[What is your age?]]&lt;&gt;"18 - 25"</f>
        <v>1</v>
      </c>
      <c r="AL1256" t="b">
        <f t="shared" si="76"/>
        <v>0</v>
      </c>
      <c r="AM1256" t="b">
        <f t="shared" si="77"/>
        <v>1</v>
      </c>
      <c r="AN1256" t="b">
        <f t="shared" si="78"/>
        <v>0</v>
      </c>
      <c r="AO1256" t="b">
        <f>OR(Table67[[#This Row],[Ineligible respondents]:[Inconsistent response on opposite question (3)]])</f>
        <v>1</v>
      </c>
      <c r="AP125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256">
        <f>Table67[[#This Row],[Extreme Response]]/21</f>
        <v>4.7619047619047616E-2</v>
      </c>
      <c r="AR1256">
        <f>_xlfn.PERCENTILE.INC(Table67[Extrem Response Ratio (ERS)],0.9)</f>
        <v>0.61904761904761907</v>
      </c>
      <c r="AS1256" t="b">
        <f>Table67[[#This Row],[Extrem Response Ratio (ERS)]]&gt;=Table67[[#This Row],[Threshold of ERS]]</f>
        <v>0</v>
      </c>
      <c r="AT1256">
        <f>COUNTIF(Table67[[#This Row],[The mechanism of digital assets is difficult to understand, which discourages me from exploring it (E.g, Tokenization, Blockchain)]:[If I want to try different ways to invest, I will explore digital assets.]], 3)</f>
        <v>11</v>
      </c>
      <c r="AU1256">
        <f>Table67[[#This Row],[Midpoint]]/21</f>
        <v>0.52380952380952384</v>
      </c>
      <c r="AV1256">
        <f>_xlfn.PERCENTILE.INC(Table67[Midpoint ratio],0.9)</f>
        <v>0.5714285714285714</v>
      </c>
      <c r="AW1256" t="b">
        <f>Table67[[#This Row],[Midpoint ratio]]&gt;=Table67[[#This Row],[Threshold of Midpoint ratio]]</f>
        <v>0</v>
      </c>
      <c r="AX1256" t="b">
        <f>OR(Table67[[#This Row],[Extreme Response Style]],Table67[[#This Row],[Mid-point Response Style]])</f>
        <v>0</v>
      </c>
      <c r="AY1256" t="b">
        <f>OR(Table67[[#This Row],[Delete? (Stage 1)]],Table67[[#This Row],[Delete? (Stage 2)]])</f>
        <v>1</v>
      </c>
      <c r="AZ1256" t="s">
        <v>84</v>
      </c>
    </row>
    <row r="1257" spans="1:52">
      <c r="A1257">
        <f t="shared" si="79"/>
        <v>1256</v>
      </c>
      <c r="B1257" s="3">
        <v>46057.387499999997</v>
      </c>
      <c r="C1257" s="3">
        <v>46057.392824074101</v>
      </c>
      <c r="D1257" t="s">
        <v>53</v>
      </c>
      <c r="G1257" t="s">
        <v>54</v>
      </c>
      <c r="H1257" t="s">
        <v>55</v>
      </c>
      <c r="I1257" t="s">
        <v>69</v>
      </c>
      <c r="J1257" t="s">
        <v>62</v>
      </c>
      <c r="K1257" t="s">
        <v>62</v>
      </c>
      <c r="L1257" t="s">
        <v>58</v>
      </c>
      <c r="M1257" t="s">
        <v>58</v>
      </c>
      <c r="N1257">
        <v>2</v>
      </c>
      <c r="O1257">
        <v>2</v>
      </c>
      <c r="P1257">
        <v>3</v>
      </c>
      <c r="Q1257">
        <v>2</v>
      </c>
      <c r="R1257">
        <v>2</v>
      </c>
      <c r="S1257">
        <v>5</v>
      </c>
      <c r="T1257">
        <v>3</v>
      </c>
      <c r="U1257">
        <v>4</v>
      </c>
      <c r="V1257">
        <v>5</v>
      </c>
      <c r="W1257">
        <v>5</v>
      </c>
      <c r="X1257">
        <v>5</v>
      </c>
      <c r="Y1257">
        <v>5</v>
      </c>
      <c r="Z1257">
        <v>4</v>
      </c>
      <c r="AA1257">
        <v>4</v>
      </c>
      <c r="AB1257">
        <v>2</v>
      </c>
      <c r="AC1257">
        <v>2</v>
      </c>
      <c r="AD1257">
        <v>5</v>
      </c>
      <c r="AE1257">
        <v>5</v>
      </c>
      <c r="AF1257">
        <v>4</v>
      </c>
      <c r="AG1257">
        <v>2</v>
      </c>
      <c r="AH1257">
        <v>4</v>
      </c>
      <c r="AI1257">
        <v>2</v>
      </c>
      <c r="AJ1257">
        <v>2</v>
      </c>
      <c r="AK1257" t="b">
        <f>Table67[[#This Row],[What is your age?]]&lt;&gt;"18 - 25"</f>
        <v>0</v>
      </c>
      <c r="AL1257" t="b">
        <f t="shared" si="76"/>
        <v>0</v>
      </c>
      <c r="AM1257" t="b">
        <f t="shared" si="77"/>
        <v>0</v>
      </c>
      <c r="AN1257" t="b">
        <f t="shared" si="78"/>
        <v>0</v>
      </c>
      <c r="AO1257" t="b">
        <f>OR(Table67[[#This Row],[Ineligible respondents]:[Inconsistent response on opposite question (3)]])</f>
        <v>0</v>
      </c>
      <c r="AP125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257">
        <f>Table67[[#This Row],[Extreme Response]]/21</f>
        <v>0.33333333333333331</v>
      </c>
      <c r="AR1257">
        <f>_xlfn.PERCENTILE.INC(Table67[Extrem Response Ratio (ERS)],0.9)</f>
        <v>0.61904761904761907</v>
      </c>
      <c r="AS1257" t="b">
        <f>Table67[[#This Row],[Extrem Response Ratio (ERS)]]&gt;=Table67[[#This Row],[Threshold of ERS]]</f>
        <v>0</v>
      </c>
      <c r="AT1257">
        <f>COUNTIF(Table67[[#This Row],[The mechanism of digital assets is difficult to understand, which discourages me from exploring it (E.g, Tokenization, Blockchain)]:[If I want to try different ways to invest, I will explore digital assets.]], 3)</f>
        <v>2</v>
      </c>
      <c r="AU1257">
        <f>Table67[[#This Row],[Midpoint]]/21</f>
        <v>9.5238095238095233E-2</v>
      </c>
      <c r="AV1257">
        <f>_xlfn.PERCENTILE.INC(Table67[Midpoint ratio],0.9)</f>
        <v>0.5714285714285714</v>
      </c>
      <c r="AW1257" t="b">
        <f>Table67[[#This Row],[Midpoint ratio]]&gt;=Table67[[#This Row],[Threshold of Midpoint ratio]]</f>
        <v>0</v>
      </c>
      <c r="AX1257" t="b">
        <f>OR(Table67[[#This Row],[Extreme Response Style]],Table67[[#This Row],[Mid-point Response Style]])</f>
        <v>0</v>
      </c>
      <c r="AY1257" t="b">
        <f>OR(Table67[[#This Row],[Delete? (Stage 1)]],Table67[[#This Row],[Delete? (Stage 2)]])</f>
        <v>0</v>
      </c>
      <c r="AZ1257" t="s">
        <v>84</v>
      </c>
    </row>
    <row r="1258" spans="1:52">
      <c r="A1258">
        <f t="shared" si="79"/>
        <v>1257</v>
      </c>
      <c r="B1258" s="3">
        <v>46057.387974537</v>
      </c>
      <c r="C1258" s="3">
        <v>46057.393333333297</v>
      </c>
      <c r="D1258" t="s">
        <v>53</v>
      </c>
      <c r="G1258" t="s">
        <v>54</v>
      </c>
      <c r="H1258" t="s">
        <v>55</v>
      </c>
      <c r="I1258" t="s">
        <v>56</v>
      </c>
      <c r="J1258" t="s">
        <v>67</v>
      </c>
      <c r="K1258" t="s">
        <v>60</v>
      </c>
      <c r="L1258" t="s">
        <v>58</v>
      </c>
      <c r="M1258" t="s">
        <v>58</v>
      </c>
      <c r="N1258">
        <v>3</v>
      </c>
      <c r="O1258">
        <v>4</v>
      </c>
      <c r="P1258">
        <v>5</v>
      </c>
      <c r="Q1258">
        <v>4</v>
      </c>
      <c r="R1258">
        <v>3</v>
      </c>
      <c r="S1258">
        <v>3</v>
      </c>
      <c r="T1258">
        <v>4</v>
      </c>
      <c r="U1258">
        <v>4</v>
      </c>
      <c r="V1258">
        <v>5</v>
      </c>
      <c r="W1258">
        <v>5</v>
      </c>
      <c r="X1258">
        <v>5</v>
      </c>
      <c r="Y1258">
        <v>5</v>
      </c>
      <c r="Z1258">
        <v>3</v>
      </c>
      <c r="AA1258">
        <v>4</v>
      </c>
      <c r="AB1258">
        <v>2</v>
      </c>
      <c r="AC1258">
        <v>4</v>
      </c>
      <c r="AD1258">
        <v>4</v>
      </c>
      <c r="AE1258">
        <v>3</v>
      </c>
      <c r="AF1258">
        <v>4</v>
      </c>
      <c r="AG1258">
        <v>2</v>
      </c>
      <c r="AH1258">
        <v>4</v>
      </c>
      <c r="AI1258">
        <v>2</v>
      </c>
      <c r="AJ1258">
        <v>2</v>
      </c>
      <c r="AK1258" t="b">
        <f>Table67[[#This Row],[What is your age?]]&lt;&gt;"18 - 25"</f>
        <v>0</v>
      </c>
      <c r="AL1258" t="b">
        <f t="shared" si="76"/>
        <v>0</v>
      </c>
      <c r="AM1258" t="b">
        <f t="shared" si="77"/>
        <v>0</v>
      </c>
      <c r="AN1258" t="b">
        <f t="shared" si="78"/>
        <v>0</v>
      </c>
      <c r="AO1258" t="b">
        <f>OR(Table67[[#This Row],[Ineligible respondents]:[Inconsistent response on opposite question (3)]])</f>
        <v>0</v>
      </c>
      <c r="AP125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258">
        <f>Table67[[#This Row],[Extreme Response]]/21</f>
        <v>0.23809523809523808</v>
      </c>
      <c r="AR1258">
        <f>_xlfn.PERCENTILE.INC(Table67[Extrem Response Ratio (ERS)],0.9)</f>
        <v>0.61904761904761907</v>
      </c>
      <c r="AS1258" t="b">
        <f>Table67[[#This Row],[Extrem Response Ratio (ERS)]]&gt;=Table67[[#This Row],[Threshold of ERS]]</f>
        <v>0</v>
      </c>
      <c r="AT1258">
        <f>COUNTIF(Table67[[#This Row],[The mechanism of digital assets is difficult to understand, which discourages me from exploring it (E.g, Tokenization, Blockchain)]:[If I want to try different ways to invest, I will explore digital assets.]], 3)</f>
        <v>5</v>
      </c>
      <c r="AU1258">
        <f>Table67[[#This Row],[Midpoint]]/21</f>
        <v>0.23809523809523808</v>
      </c>
      <c r="AV1258">
        <f>_xlfn.PERCENTILE.INC(Table67[Midpoint ratio],0.9)</f>
        <v>0.5714285714285714</v>
      </c>
      <c r="AW1258" t="b">
        <f>Table67[[#This Row],[Midpoint ratio]]&gt;=Table67[[#This Row],[Threshold of Midpoint ratio]]</f>
        <v>0</v>
      </c>
      <c r="AX1258" t="b">
        <f>OR(Table67[[#This Row],[Extreme Response Style]],Table67[[#This Row],[Mid-point Response Style]])</f>
        <v>0</v>
      </c>
      <c r="AY1258" t="b">
        <f>OR(Table67[[#This Row],[Delete? (Stage 1)]],Table67[[#This Row],[Delete? (Stage 2)]])</f>
        <v>0</v>
      </c>
      <c r="AZ1258" t="s">
        <v>84</v>
      </c>
    </row>
    <row r="1259" spans="1:52">
      <c r="A1259">
        <f t="shared" si="79"/>
        <v>1258</v>
      </c>
      <c r="B1259" s="3">
        <v>46057.388020833299</v>
      </c>
      <c r="C1259" s="3">
        <v>46057.395462963003</v>
      </c>
      <c r="D1259" t="s">
        <v>53</v>
      </c>
      <c r="G1259" t="s">
        <v>54</v>
      </c>
      <c r="H1259" t="s">
        <v>55</v>
      </c>
      <c r="I1259" t="s">
        <v>56</v>
      </c>
      <c r="J1259" t="s">
        <v>62</v>
      </c>
      <c r="K1259" t="s">
        <v>62</v>
      </c>
      <c r="L1259" t="s">
        <v>58</v>
      </c>
      <c r="M1259" t="s">
        <v>58</v>
      </c>
      <c r="N1259">
        <v>5</v>
      </c>
      <c r="O1259">
        <v>2</v>
      </c>
      <c r="P1259">
        <v>5</v>
      </c>
      <c r="Q1259">
        <v>2</v>
      </c>
      <c r="R1259">
        <v>5</v>
      </c>
      <c r="S1259">
        <v>5</v>
      </c>
      <c r="T1259">
        <v>5</v>
      </c>
      <c r="U1259">
        <v>5</v>
      </c>
      <c r="V1259">
        <v>1</v>
      </c>
      <c r="W1259">
        <v>5</v>
      </c>
      <c r="X1259">
        <v>1</v>
      </c>
      <c r="Y1259">
        <v>1</v>
      </c>
      <c r="Z1259">
        <v>5</v>
      </c>
      <c r="AA1259">
        <v>5</v>
      </c>
      <c r="AB1259">
        <v>5</v>
      </c>
      <c r="AC1259">
        <v>5</v>
      </c>
      <c r="AD1259">
        <v>5</v>
      </c>
      <c r="AE1259">
        <v>3</v>
      </c>
      <c r="AF1259">
        <v>1</v>
      </c>
      <c r="AG1259">
        <v>5</v>
      </c>
      <c r="AH1259">
        <v>1</v>
      </c>
      <c r="AI1259">
        <v>5</v>
      </c>
      <c r="AJ1259">
        <v>5</v>
      </c>
      <c r="AK1259" t="b">
        <f>Table67[[#This Row],[What is your age?]]&lt;&gt;"18 - 25"</f>
        <v>0</v>
      </c>
      <c r="AL1259" t="b">
        <f t="shared" si="76"/>
        <v>0</v>
      </c>
      <c r="AM1259" t="b">
        <f t="shared" si="77"/>
        <v>0</v>
      </c>
      <c r="AN1259" t="b">
        <f t="shared" si="78"/>
        <v>0</v>
      </c>
      <c r="AO1259" t="b">
        <f>OR(Table67[[#This Row],[Ineligible respondents]:[Inconsistent response on opposite question (3)]])</f>
        <v>0</v>
      </c>
      <c r="AP125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18</v>
      </c>
      <c r="AQ1259">
        <f>Table67[[#This Row],[Extreme Response]]/21</f>
        <v>0.8571428571428571</v>
      </c>
      <c r="AR1259">
        <f>_xlfn.PERCENTILE.INC(Table67[Extrem Response Ratio (ERS)],0.9)</f>
        <v>0.61904761904761907</v>
      </c>
      <c r="AS1259" t="b">
        <f>Table67[[#This Row],[Extrem Response Ratio (ERS)]]&gt;=Table67[[#This Row],[Threshold of ERS]]</f>
        <v>1</v>
      </c>
      <c r="AT1259">
        <f>COUNTIF(Table67[[#This Row],[The mechanism of digital assets is difficult to understand, which discourages me from exploring it (E.g, Tokenization, Blockchain)]:[If I want to try different ways to invest, I will explore digital assets.]], 3)</f>
        <v>1</v>
      </c>
      <c r="AU1259">
        <f>Table67[[#This Row],[Midpoint]]/21</f>
        <v>4.7619047619047616E-2</v>
      </c>
      <c r="AV1259">
        <f>_xlfn.PERCENTILE.INC(Table67[Midpoint ratio],0.9)</f>
        <v>0.5714285714285714</v>
      </c>
      <c r="AW1259" t="b">
        <f>Table67[[#This Row],[Midpoint ratio]]&gt;=Table67[[#This Row],[Threshold of Midpoint ratio]]</f>
        <v>0</v>
      </c>
      <c r="AX1259" t="b">
        <f>OR(Table67[[#This Row],[Extreme Response Style]],Table67[[#This Row],[Mid-point Response Style]])</f>
        <v>1</v>
      </c>
      <c r="AY1259" t="b">
        <f>OR(Table67[[#This Row],[Delete? (Stage 1)]],Table67[[#This Row],[Delete? (Stage 2)]])</f>
        <v>1</v>
      </c>
      <c r="AZ1259" t="s">
        <v>84</v>
      </c>
    </row>
    <row r="1260" spans="1:52">
      <c r="A1260">
        <f t="shared" si="79"/>
        <v>1259</v>
      </c>
      <c r="B1260" s="3">
        <v>46057.388518518499</v>
      </c>
      <c r="C1260" s="3">
        <v>46057.390844907401</v>
      </c>
      <c r="D1260" t="s">
        <v>53</v>
      </c>
      <c r="G1260" t="s">
        <v>54</v>
      </c>
      <c r="H1260" t="s">
        <v>55</v>
      </c>
      <c r="I1260" t="s">
        <v>56</v>
      </c>
      <c r="J1260" t="s">
        <v>62</v>
      </c>
      <c r="K1260" t="s">
        <v>62</v>
      </c>
      <c r="L1260" t="s">
        <v>58</v>
      </c>
      <c r="M1260" t="s">
        <v>58</v>
      </c>
      <c r="N1260">
        <v>3</v>
      </c>
      <c r="O1260">
        <v>2</v>
      </c>
      <c r="P1260">
        <v>4</v>
      </c>
      <c r="Q1260">
        <v>4</v>
      </c>
      <c r="R1260">
        <v>3</v>
      </c>
      <c r="S1260">
        <v>4</v>
      </c>
      <c r="T1260">
        <v>3</v>
      </c>
      <c r="U1260">
        <v>4</v>
      </c>
      <c r="V1260">
        <v>4</v>
      </c>
      <c r="W1260">
        <v>4</v>
      </c>
      <c r="X1260">
        <v>3</v>
      </c>
      <c r="Y1260">
        <v>4</v>
      </c>
      <c r="Z1260">
        <v>3</v>
      </c>
      <c r="AA1260">
        <v>4</v>
      </c>
      <c r="AB1260">
        <v>3</v>
      </c>
      <c r="AC1260">
        <v>3</v>
      </c>
      <c r="AD1260">
        <v>4</v>
      </c>
      <c r="AE1260">
        <v>3</v>
      </c>
      <c r="AF1260">
        <v>4</v>
      </c>
      <c r="AG1260">
        <v>3</v>
      </c>
      <c r="AH1260">
        <v>4</v>
      </c>
      <c r="AI1260">
        <v>2</v>
      </c>
      <c r="AJ1260">
        <v>2</v>
      </c>
      <c r="AK1260" t="b">
        <f>Table67[[#This Row],[What is your age?]]&lt;&gt;"18 - 25"</f>
        <v>0</v>
      </c>
      <c r="AL1260" t="b">
        <f t="shared" si="76"/>
        <v>0</v>
      </c>
      <c r="AM1260" t="b">
        <f t="shared" si="77"/>
        <v>0</v>
      </c>
      <c r="AN1260" t="b">
        <f t="shared" si="78"/>
        <v>1</v>
      </c>
      <c r="AO1260" t="b">
        <f>OR(Table67[[#This Row],[Ineligible respondents]:[Inconsistent response on opposite question (3)]])</f>
        <v>1</v>
      </c>
      <c r="AP126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260">
        <f>Table67[[#This Row],[Extreme Response]]/21</f>
        <v>0</v>
      </c>
      <c r="AR1260">
        <f>_xlfn.PERCENTILE.INC(Table67[Extrem Response Ratio (ERS)],0.9)</f>
        <v>0.61904761904761907</v>
      </c>
      <c r="AS1260" t="b">
        <f>Table67[[#This Row],[Extrem Response Ratio (ERS)]]&gt;=Table67[[#This Row],[Threshold of ERS]]</f>
        <v>0</v>
      </c>
      <c r="AT1260">
        <f>COUNTIF(Table67[[#This Row],[The mechanism of digital assets is difficult to understand, which discourages me from exploring it (E.g, Tokenization, Blockchain)]:[If I want to try different ways to invest, I will explore digital assets.]], 3)</f>
        <v>9</v>
      </c>
      <c r="AU1260">
        <f>Table67[[#This Row],[Midpoint]]/21</f>
        <v>0.42857142857142855</v>
      </c>
      <c r="AV1260">
        <f>_xlfn.PERCENTILE.INC(Table67[Midpoint ratio],0.9)</f>
        <v>0.5714285714285714</v>
      </c>
      <c r="AW1260" t="b">
        <f>Table67[[#This Row],[Midpoint ratio]]&gt;=Table67[[#This Row],[Threshold of Midpoint ratio]]</f>
        <v>0</v>
      </c>
      <c r="AX1260" t="b">
        <f>OR(Table67[[#This Row],[Extreme Response Style]],Table67[[#This Row],[Mid-point Response Style]])</f>
        <v>0</v>
      </c>
      <c r="AY1260" t="b">
        <f>OR(Table67[[#This Row],[Delete? (Stage 1)]],Table67[[#This Row],[Delete? (Stage 2)]])</f>
        <v>1</v>
      </c>
      <c r="AZ1260" t="s">
        <v>84</v>
      </c>
    </row>
    <row r="1261" spans="1:52">
      <c r="A1261">
        <f t="shared" si="79"/>
        <v>1260</v>
      </c>
      <c r="B1261" s="3">
        <v>46057.388877314799</v>
      </c>
      <c r="C1261" s="3">
        <v>46057.398506944402</v>
      </c>
      <c r="D1261" t="s">
        <v>53</v>
      </c>
      <c r="G1261" t="s">
        <v>54</v>
      </c>
      <c r="H1261" t="s">
        <v>55</v>
      </c>
      <c r="I1261" t="s">
        <v>69</v>
      </c>
      <c r="J1261" t="s">
        <v>62</v>
      </c>
      <c r="K1261" t="s">
        <v>62</v>
      </c>
      <c r="L1261" t="s">
        <v>58</v>
      </c>
      <c r="M1261" t="s">
        <v>58</v>
      </c>
      <c r="N1261">
        <v>4</v>
      </c>
      <c r="O1261">
        <v>2</v>
      </c>
      <c r="P1261">
        <v>3</v>
      </c>
      <c r="Q1261">
        <v>4</v>
      </c>
      <c r="R1261">
        <v>5</v>
      </c>
      <c r="S1261">
        <v>5</v>
      </c>
      <c r="T1261">
        <v>3</v>
      </c>
      <c r="U1261">
        <v>5</v>
      </c>
      <c r="V1261">
        <v>5</v>
      </c>
      <c r="W1261">
        <v>2</v>
      </c>
      <c r="X1261">
        <v>5</v>
      </c>
      <c r="Y1261">
        <v>4</v>
      </c>
      <c r="Z1261">
        <v>4</v>
      </c>
      <c r="AA1261">
        <v>5</v>
      </c>
      <c r="AB1261">
        <v>3</v>
      </c>
      <c r="AC1261">
        <v>5</v>
      </c>
      <c r="AD1261">
        <v>5</v>
      </c>
      <c r="AE1261">
        <v>1</v>
      </c>
      <c r="AF1261">
        <v>2</v>
      </c>
      <c r="AG1261">
        <v>3</v>
      </c>
      <c r="AH1261">
        <v>4</v>
      </c>
      <c r="AI1261">
        <v>2</v>
      </c>
      <c r="AJ1261">
        <v>4</v>
      </c>
      <c r="AK1261" t="b">
        <f>Table67[[#This Row],[What is your age?]]&lt;&gt;"18 - 25"</f>
        <v>0</v>
      </c>
      <c r="AL1261" t="b">
        <f t="shared" si="76"/>
        <v>0</v>
      </c>
      <c r="AM1261" t="b">
        <f t="shared" si="77"/>
        <v>0</v>
      </c>
      <c r="AN1261" t="b">
        <f t="shared" si="78"/>
        <v>1</v>
      </c>
      <c r="AO1261" t="b">
        <f>OR(Table67[[#This Row],[Ineligible respondents]:[Inconsistent response on opposite question (3)]])</f>
        <v>1</v>
      </c>
      <c r="AP126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1261">
        <f>Table67[[#This Row],[Extreme Response]]/21</f>
        <v>0.42857142857142855</v>
      </c>
      <c r="AR1261">
        <f>_xlfn.PERCENTILE.INC(Table67[Extrem Response Ratio (ERS)],0.9)</f>
        <v>0.61904761904761907</v>
      </c>
      <c r="AS1261" t="b">
        <f>Table67[[#This Row],[Extrem Response Ratio (ERS)]]&gt;=Table67[[#This Row],[Threshold of ERS]]</f>
        <v>0</v>
      </c>
      <c r="AT1261">
        <f>COUNTIF(Table67[[#This Row],[The mechanism of digital assets is difficult to understand, which discourages me from exploring it (E.g, Tokenization, Blockchain)]:[If I want to try different ways to invest, I will explore digital assets.]], 3)</f>
        <v>4</v>
      </c>
      <c r="AU1261">
        <f>Table67[[#This Row],[Midpoint]]/21</f>
        <v>0.19047619047619047</v>
      </c>
      <c r="AV1261">
        <f>_xlfn.PERCENTILE.INC(Table67[Midpoint ratio],0.9)</f>
        <v>0.5714285714285714</v>
      </c>
      <c r="AW1261" t="b">
        <f>Table67[[#This Row],[Midpoint ratio]]&gt;=Table67[[#This Row],[Threshold of Midpoint ratio]]</f>
        <v>0</v>
      </c>
      <c r="AX1261" t="b">
        <f>OR(Table67[[#This Row],[Extreme Response Style]],Table67[[#This Row],[Mid-point Response Style]])</f>
        <v>0</v>
      </c>
      <c r="AY1261" t="b">
        <f>OR(Table67[[#This Row],[Delete? (Stage 1)]],Table67[[#This Row],[Delete? (Stage 2)]])</f>
        <v>1</v>
      </c>
      <c r="AZ1261" t="s">
        <v>84</v>
      </c>
    </row>
    <row r="1262" spans="1:52">
      <c r="A1262">
        <f t="shared" si="79"/>
        <v>1261</v>
      </c>
      <c r="B1262" s="3">
        <v>46057.392083333303</v>
      </c>
      <c r="C1262" s="3">
        <v>46057.3982986111</v>
      </c>
      <c r="D1262" t="s">
        <v>53</v>
      </c>
      <c r="G1262" t="s">
        <v>54</v>
      </c>
      <c r="H1262" t="s">
        <v>70</v>
      </c>
      <c r="I1262" t="s">
        <v>56</v>
      </c>
      <c r="J1262" t="s">
        <v>62</v>
      </c>
      <c r="K1262" t="s">
        <v>62</v>
      </c>
      <c r="L1262" t="s">
        <v>58</v>
      </c>
      <c r="M1262" t="s">
        <v>61</v>
      </c>
      <c r="N1262">
        <v>4</v>
      </c>
      <c r="O1262">
        <v>4</v>
      </c>
      <c r="P1262">
        <v>5</v>
      </c>
      <c r="Q1262">
        <v>5</v>
      </c>
      <c r="R1262">
        <v>5</v>
      </c>
      <c r="S1262">
        <v>2</v>
      </c>
      <c r="T1262">
        <v>2</v>
      </c>
      <c r="U1262">
        <v>4</v>
      </c>
      <c r="V1262">
        <v>5</v>
      </c>
      <c r="W1262">
        <v>5</v>
      </c>
      <c r="X1262">
        <v>2</v>
      </c>
      <c r="Y1262">
        <v>4</v>
      </c>
      <c r="Z1262">
        <v>5</v>
      </c>
      <c r="AA1262">
        <v>4</v>
      </c>
      <c r="AB1262">
        <v>2</v>
      </c>
      <c r="AC1262">
        <v>2</v>
      </c>
      <c r="AD1262">
        <v>5</v>
      </c>
      <c r="AE1262">
        <v>4</v>
      </c>
      <c r="AF1262">
        <v>4</v>
      </c>
      <c r="AG1262">
        <v>2</v>
      </c>
      <c r="AH1262">
        <v>3</v>
      </c>
      <c r="AI1262">
        <v>3</v>
      </c>
      <c r="AJ1262">
        <v>2</v>
      </c>
      <c r="AK1262" t="b">
        <f>Table67[[#This Row],[What is your age?]]&lt;&gt;"18 - 25"</f>
        <v>0</v>
      </c>
      <c r="AL1262" t="b">
        <f t="shared" si="76"/>
        <v>0</v>
      </c>
      <c r="AM1262" t="b">
        <f t="shared" si="77"/>
        <v>0</v>
      </c>
      <c r="AN1262" t="b">
        <f t="shared" si="78"/>
        <v>1</v>
      </c>
      <c r="AO1262" t="b">
        <f>OR(Table67[[#This Row],[Ineligible respondents]:[Inconsistent response on opposite question (3)]])</f>
        <v>1</v>
      </c>
      <c r="AP126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262">
        <f>Table67[[#This Row],[Extreme Response]]/21</f>
        <v>0.33333333333333331</v>
      </c>
      <c r="AR1262">
        <f>_xlfn.PERCENTILE.INC(Table67[Extrem Response Ratio (ERS)],0.9)</f>
        <v>0.61904761904761907</v>
      </c>
      <c r="AS1262" t="b">
        <f>Table67[[#This Row],[Extrem Response Ratio (ERS)]]&gt;=Table67[[#This Row],[Threshold of ERS]]</f>
        <v>0</v>
      </c>
      <c r="AT1262">
        <f>COUNTIF(Table67[[#This Row],[The mechanism of digital assets is difficult to understand, which discourages me from exploring it (E.g, Tokenization, Blockchain)]:[If I want to try different ways to invest, I will explore digital assets.]], 3)</f>
        <v>1</v>
      </c>
      <c r="AU1262">
        <f>Table67[[#This Row],[Midpoint]]/21</f>
        <v>4.7619047619047616E-2</v>
      </c>
      <c r="AV1262">
        <f>_xlfn.PERCENTILE.INC(Table67[Midpoint ratio],0.9)</f>
        <v>0.5714285714285714</v>
      </c>
      <c r="AW1262" t="b">
        <f>Table67[[#This Row],[Midpoint ratio]]&gt;=Table67[[#This Row],[Threshold of Midpoint ratio]]</f>
        <v>0</v>
      </c>
      <c r="AX1262" t="b">
        <f>OR(Table67[[#This Row],[Extreme Response Style]],Table67[[#This Row],[Mid-point Response Style]])</f>
        <v>0</v>
      </c>
      <c r="AY1262" t="b">
        <f>OR(Table67[[#This Row],[Delete? (Stage 1)]],Table67[[#This Row],[Delete? (Stage 2)]])</f>
        <v>1</v>
      </c>
      <c r="AZ1262" t="s">
        <v>84</v>
      </c>
    </row>
    <row r="1263" spans="1:52">
      <c r="A1263">
        <f t="shared" si="79"/>
        <v>1262</v>
      </c>
      <c r="B1263" s="3">
        <v>46057.394675925898</v>
      </c>
      <c r="C1263" s="3">
        <v>46057.396608796298</v>
      </c>
      <c r="D1263" t="s">
        <v>53</v>
      </c>
      <c r="G1263" t="s">
        <v>54</v>
      </c>
      <c r="H1263" t="s">
        <v>55</v>
      </c>
      <c r="I1263" t="s">
        <v>56</v>
      </c>
      <c r="J1263" t="s">
        <v>62</v>
      </c>
      <c r="K1263" t="s">
        <v>62</v>
      </c>
      <c r="L1263" t="s">
        <v>61</v>
      </c>
      <c r="M1263" t="s">
        <v>61</v>
      </c>
      <c r="N1263">
        <v>2</v>
      </c>
      <c r="O1263">
        <v>1</v>
      </c>
      <c r="P1263">
        <v>3</v>
      </c>
      <c r="Q1263">
        <v>3</v>
      </c>
      <c r="R1263">
        <v>2</v>
      </c>
      <c r="S1263">
        <v>2</v>
      </c>
      <c r="T1263">
        <v>1</v>
      </c>
      <c r="U1263">
        <v>3</v>
      </c>
      <c r="V1263">
        <v>3</v>
      </c>
      <c r="W1263">
        <v>2</v>
      </c>
      <c r="X1263">
        <v>2</v>
      </c>
      <c r="Y1263">
        <v>4</v>
      </c>
      <c r="Z1263">
        <v>2</v>
      </c>
      <c r="AA1263">
        <v>3</v>
      </c>
      <c r="AB1263">
        <v>2</v>
      </c>
      <c r="AC1263">
        <v>2</v>
      </c>
      <c r="AD1263">
        <v>3</v>
      </c>
      <c r="AE1263">
        <v>2</v>
      </c>
      <c r="AF1263">
        <v>3</v>
      </c>
      <c r="AG1263">
        <v>2</v>
      </c>
      <c r="AH1263">
        <v>3</v>
      </c>
      <c r="AI1263">
        <v>3</v>
      </c>
      <c r="AJ1263">
        <v>3</v>
      </c>
      <c r="AK1263" t="b">
        <f>Table67[[#This Row],[What is your age?]]&lt;&gt;"18 - 25"</f>
        <v>0</v>
      </c>
      <c r="AL1263" t="b">
        <f t="shared" si="76"/>
        <v>0</v>
      </c>
      <c r="AM1263" t="b">
        <f t="shared" si="77"/>
        <v>0</v>
      </c>
      <c r="AN1263" t="b">
        <f t="shared" si="78"/>
        <v>1</v>
      </c>
      <c r="AO1263" t="b">
        <f>OR(Table67[[#This Row],[Ineligible respondents]:[Inconsistent response on opposite question (3)]])</f>
        <v>1</v>
      </c>
      <c r="AP126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263">
        <f>Table67[[#This Row],[Extreme Response]]/21</f>
        <v>9.5238095238095233E-2</v>
      </c>
      <c r="AR1263">
        <f>_xlfn.PERCENTILE.INC(Table67[Extrem Response Ratio (ERS)],0.9)</f>
        <v>0.61904761904761907</v>
      </c>
      <c r="AS1263" t="b">
        <f>Table67[[#This Row],[Extrem Response Ratio (ERS)]]&gt;=Table67[[#This Row],[Threshold of ERS]]</f>
        <v>0</v>
      </c>
      <c r="AT1263">
        <f>COUNTIF(Table67[[#This Row],[The mechanism of digital assets is difficult to understand, which discourages me from exploring it (E.g, Tokenization, Blockchain)]:[If I want to try different ways to invest, I will explore digital assets.]], 3)</f>
        <v>8</v>
      </c>
      <c r="AU1263">
        <f>Table67[[#This Row],[Midpoint]]/21</f>
        <v>0.38095238095238093</v>
      </c>
      <c r="AV1263">
        <f>_xlfn.PERCENTILE.INC(Table67[Midpoint ratio],0.9)</f>
        <v>0.5714285714285714</v>
      </c>
      <c r="AW1263" t="b">
        <f>Table67[[#This Row],[Midpoint ratio]]&gt;=Table67[[#This Row],[Threshold of Midpoint ratio]]</f>
        <v>0</v>
      </c>
      <c r="AX1263" t="b">
        <f>OR(Table67[[#This Row],[Extreme Response Style]],Table67[[#This Row],[Mid-point Response Style]])</f>
        <v>0</v>
      </c>
      <c r="AY1263" t="b">
        <f>OR(Table67[[#This Row],[Delete? (Stage 1)]],Table67[[#This Row],[Delete? (Stage 2)]])</f>
        <v>1</v>
      </c>
      <c r="AZ1263" t="s">
        <v>84</v>
      </c>
    </row>
    <row r="1264" spans="1:52">
      <c r="A1264">
        <f t="shared" si="79"/>
        <v>1263</v>
      </c>
      <c r="B1264" s="3">
        <v>46057.4057986111</v>
      </c>
      <c r="C1264" s="3">
        <v>46057.410844907397</v>
      </c>
      <c r="D1264" t="s">
        <v>53</v>
      </c>
      <c r="G1264" t="s">
        <v>54</v>
      </c>
      <c r="H1264" t="s">
        <v>55</v>
      </c>
      <c r="I1264" t="s">
        <v>69</v>
      </c>
      <c r="J1264" t="s">
        <v>62</v>
      </c>
      <c r="K1264" t="s">
        <v>57</v>
      </c>
      <c r="L1264" t="s">
        <v>58</v>
      </c>
      <c r="M1264" t="s">
        <v>58</v>
      </c>
      <c r="N1264">
        <v>2</v>
      </c>
      <c r="O1264">
        <v>3</v>
      </c>
      <c r="P1264">
        <v>4</v>
      </c>
      <c r="Q1264">
        <v>4</v>
      </c>
      <c r="R1264">
        <v>5</v>
      </c>
      <c r="S1264">
        <v>5</v>
      </c>
      <c r="T1264">
        <v>3</v>
      </c>
      <c r="U1264">
        <v>4</v>
      </c>
      <c r="V1264">
        <v>2</v>
      </c>
      <c r="W1264">
        <v>5</v>
      </c>
      <c r="X1264">
        <v>4</v>
      </c>
      <c r="Y1264">
        <v>4</v>
      </c>
      <c r="Z1264">
        <v>5</v>
      </c>
      <c r="AA1264">
        <v>4</v>
      </c>
      <c r="AB1264">
        <v>5</v>
      </c>
      <c r="AC1264">
        <v>4</v>
      </c>
      <c r="AD1264">
        <v>5</v>
      </c>
      <c r="AE1264">
        <v>5</v>
      </c>
      <c r="AF1264">
        <v>1</v>
      </c>
      <c r="AG1264">
        <v>4</v>
      </c>
      <c r="AH1264">
        <v>3</v>
      </c>
      <c r="AI1264">
        <v>3</v>
      </c>
      <c r="AJ1264">
        <v>5</v>
      </c>
      <c r="AK1264" t="b">
        <f>Table67[[#This Row],[What is your age?]]&lt;&gt;"18 - 25"</f>
        <v>0</v>
      </c>
      <c r="AL1264" t="b">
        <f t="shared" si="76"/>
        <v>0</v>
      </c>
      <c r="AM1264" t="b">
        <f t="shared" si="77"/>
        <v>0</v>
      </c>
      <c r="AN1264" t="b">
        <f t="shared" si="78"/>
        <v>1</v>
      </c>
      <c r="AO1264" t="b">
        <f>OR(Table67[[#This Row],[Ineligible respondents]:[Inconsistent response on opposite question (3)]])</f>
        <v>1</v>
      </c>
      <c r="AP126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1264">
        <f>Table67[[#This Row],[Extreme Response]]/21</f>
        <v>0.38095238095238093</v>
      </c>
      <c r="AR1264">
        <f>_xlfn.PERCENTILE.INC(Table67[Extrem Response Ratio (ERS)],0.9)</f>
        <v>0.61904761904761907</v>
      </c>
      <c r="AS1264" t="b">
        <f>Table67[[#This Row],[Extrem Response Ratio (ERS)]]&gt;=Table67[[#This Row],[Threshold of ERS]]</f>
        <v>0</v>
      </c>
      <c r="AT1264">
        <f>COUNTIF(Table67[[#This Row],[The mechanism of digital assets is difficult to understand, which discourages me from exploring it (E.g, Tokenization, Blockchain)]:[If I want to try different ways to invest, I will explore digital assets.]], 3)</f>
        <v>3</v>
      </c>
      <c r="AU1264">
        <f>Table67[[#This Row],[Midpoint]]/21</f>
        <v>0.14285714285714285</v>
      </c>
      <c r="AV1264">
        <f>_xlfn.PERCENTILE.INC(Table67[Midpoint ratio],0.9)</f>
        <v>0.5714285714285714</v>
      </c>
      <c r="AW1264" t="b">
        <f>Table67[[#This Row],[Midpoint ratio]]&gt;=Table67[[#This Row],[Threshold of Midpoint ratio]]</f>
        <v>0</v>
      </c>
      <c r="AX1264" t="b">
        <f>OR(Table67[[#This Row],[Extreme Response Style]],Table67[[#This Row],[Mid-point Response Style]])</f>
        <v>0</v>
      </c>
      <c r="AY1264" t="b">
        <f>OR(Table67[[#This Row],[Delete? (Stage 1)]],Table67[[#This Row],[Delete? (Stage 2)]])</f>
        <v>1</v>
      </c>
      <c r="AZ1264" t="s">
        <v>84</v>
      </c>
    </row>
    <row r="1265" spans="1:52">
      <c r="A1265">
        <f t="shared" si="79"/>
        <v>1264</v>
      </c>
      <c r="B1265" s="3">
        <v>46057.411724537</v>
      </c>
      <c r="C1265" s="3">
        <v>46057.412037037</v>
      </c>
      <c r="D1265" t="s">
        <v>53</v>
      </c>
      <c r="G1265" t="s">
        <v>74</v>
      </c>
      <c r="H1265" t="s">
        <v>63</v>
      </c>
      <c r="I1265" t="s">
        <v>83</v>
      </c>
      <c r="J1265" t="s">
        <v>72</v>
      </c>
      <c r="K1265" t="s">
        <v>62</v>
      </c>
      <c r="L1265" t="s">
        <v>61</v>
      </c>
      <c r="M1265" t="s">
        <v>61</v>
      </c>
      <c r="N1265">
        <v>2</v>
      </c>
      <c r="O1265">
        <v>2</v>
      </c>
      <c r="P1265">
        <v>3</v>
      </c>
      <c r="Q1265">
        <v>4</v>
      </c>
      <c r="R1265">
        <v>3</v>
      </c>
      <c r="S1265">
        <v>3</v>
      </c>
      <c r="T1265">
        <v>3</v>
      </c>
      <c r="U1265">
        <v>3</v>
      </c>
      <c r="V1265">
        <v>4</v>
      </c>
      <c r="W1265">
        <v>2</v>
      </c>
      <c r="X1265">
        <v>4</v>
      </c>
      <c r="Y1265">
        <v>4</v>
      </c>
      <c r="Z1265">
        <v>2</v>
      </c>
      <c r="AA1265">
        <v>3</v>
      </c>
      <c r="AB1265">
        <v>4</v>
      </c>
      <c r="AC1265">
        <v>2</v>
      </c>
      <c r="AD1265">
        <v>4</v>
      </c>
      <c r="AE1265">
        <v>3</v>
      </c>
      <c r="AF1265">
        <v>4</v>
      </c>
      <c r="AG1265">
        <v>1</v>
      </c>
      <c r="AH1265">
        <v>3</v>
      </c>
      <c r="AI1265">
        <v>3</v>
      </c>
      <c r="AJ1265">
        <v>2</v>
      </c>
      <c r="AK1265" t="b">
        <f>Table67[[#This Row],[What is your age?]]&lt;&gt;"18 - 25"</f>
        <v>1</v>
      </c>
      <c r="AL1265" t="b">
        <f t="shared" si="76"/>
        <v>0</v>
      </c>
      <c r="AM1265" t="b">
        <f t="shared" si="77"/>
        <v>0</v>
      </c>
      <c r="AN1265" t="b">
        <f t="shared" si="78"/>
        <v>1</v>
      </c>
      <c r="AO1265" t="b">
        <f>OR(Table67[[#This Row],[Ineligible respondents]:[Inconsistent response on opposite question (3)]])</f>
        <v>1</v>
      </c>
      <c r="AP126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265">
        <f>Table67[[#This Row],[Extreme Response]]/21</f>
        <v>4.7619047619047616E-2</v>
      </c>
      <c r="AR1265">
        <f>_xlfn.PERCENTILE.INC(Table67[Extrem Response Ratio (ERS)],0.9)</f>
        <v>0.61904761904761907</v>
      </c>
      <c r="AS1265" t="b">
        <f>Table67[[#This Row],[Extrem Response Ratio (ERS)]]&gt;=Table67[[#This Row],[Threshold of ERS]]</f>
        <v>0</v>
      </c>
      <c r="AT1265">
        <f>COUNTIF(Table67[[#This Row],[The mechanism of digital assets is difficult to understand, which discourages me from exploring it (E.g, Tokenization, Blockchain)]:[If I want to try different ways to invest, I will explore digital assets.]], 3)</f>
        <v>8</v>
      </c>
      <c r="AU1265">
        <f>Table67[[#This Row],[Midpoint]]/21</f>
        <v>0.38095238095238093</v>
      </c>
      <c r="AV1265">
        <f>_xlfn.PERCENTILE.INC(Table67[Midpoint ratio],0.9)</f>
        <v>0.5714285714285714</v>
      </c>
      <c r="AW1265" t="b">
        <f>Table67[[#This Row],[Midpoint ratio]]&gt;=Table67[[#This Row],[Threshold of Midpoint ratio]]</f>
        <v>0</v>
      </c>
      <c r="AX1265" t="b">
        <f>OR(Table67[[#This Row],[Extreme Response Style]],Table67[[#This Row],[Mid-point Response Style]])</f>
        <v>0</v>
      </c>
      <c r="AY1265" t="b">
        <f>OR(Table67[[#This Row],[Delete? (Stage 1)]],Table67[[#This Row],[Delete? (Stage 2)]])</f>
        <v>1</v>
      </c>
      <c r="AZ1265" t="s">
        <v>84</v>
      </c>
    </row>
    <row r="1266" spans="1:52">
      <c r="A1266">
        <f t="shared" si="79"/>
        <v>1265</v>
      </c>
      <c r="B1266" s="3">
        <v>46057.4847337963</v>
      </c>
      <c r="C1266" s="3">
        <v>46057.486412036997</v>
      </c>
      <c r="D1266" t="s">
        <v>53</v>
      </c>
      <c r="G1266" t="s">
        <v>54</v>
      </c>
      <c r="H1266" t="s">
        <v>63</v>
      </c>
      <c r="I1266" t="s">
        <v>75</v>
      </c>
      <c r="J1266" t="s">
        <v>62</v>
      </c>
      <c r="K1266" t="s">
        <v>57</v>
      </c>
      <c r="L1266" t="s">
        <v>61</v>
      </c>
      <c r="M1266" t="s">
        <v>61</v>
      </c>
      <c r="N1266">
        <v>5</v>
      </c>
      <c r="O1266">
        <v>4</v>
      </c>
      <c r="P1266">
        <v>4</v>
      </c>
      <c r="Q1266">
        <v>3</v>
      </c>
      <c r="R1266">
        <v>4</v>
      </c>
      <c r="S1266">
        <v>4</v>
      </c>
      <c r="T1266">
        <v>5</v>
      </c>
      <c r="U1266">
        <v>5</v>
      </c>
      <c r="V1266">
        <v>5</v>
      </c>
      <c r="W1266">
        <v>5</v>
      </c>
      <c r="X1266">
        <v>4</v>
      </c>
      <c r="Y1266">
        <v>4</v>
      </c>
      <c r="Z1266">
        <v>4</v>
      </c>
      <c r="AA1266">
        <v>4</v>
      </c>
      <c r="AB1266">
        <v>4</v>
      </c>
      <c r="AC1266">
        <v>5</v>
      </c>
      <c r="AD1266">
        <v>5</v>
      </c>
      <c r="AE1266">
        <v>4</v>
      </c>
      <c r="AF1266">
        <v>2</v>
      </c>
      <c r="AG1266">
        <v>3</v>
      </c>
      <c r="AH1266">
        <v>2</v>
      </c>
      <c r="AI1266">
        <v>4</v>
      </c>
      <c r="AJ1266">
        <v>4</v>
      </c>
      <c r="AK1266" t="b">
        <f>Table67[[#This Row],[What is your age?]]&lt;&gt;"18 - 25"</f>
        <v>0</v>
      </c>
      <c r="AL1266" t="b">
        <f t="shared" si="76"/>
        <v>0</v>
      </c>
      <c r="AM1266" t="b">
        <f t="shared" si="77"/>
        <v>0</v>
      </c>
      <c r="AN1266" t="b">
        <f t="shared" si="78"/>
        <v>1</v>
      </c>
      <c r="AO1266" t="b">
        <f>OR(Table67[[#This Row],[Ineligible respondents]:[Inconsistent response on opposite question (3)]])</f>
        <v>1</v>
      </c>
      <c r="AP126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266">
        <f>Table67[[#This Row],[Extreme Response]]/21</f>
        <v>0.33333333333333331</v>
      </c>
      <c r="AR1266">
        <f>_xlfn.PERCENTILE.INC(Table67[Extrem Response Ratio (ERS)],0.9)</f>
        <v>0.61904761904761907</v>
      </c>
      <c r="AS1266" t="b">
        <f>Table67[[#This Row],[Extrem Response Ratio (ERS)]]&gt;=Table67[[#This Row],[Threshold of ERS]]</f>
        <v>0</v>
      </c>
      <c r="AT1266">
        <f>COUNTIF(Table67[[#This Row],[The mechanism of digital assets is difficult to understand, which discourages me from exploring it (E.g, Tokenization, Blockchain)]:[If I want to try different ways to invest, I will explore digital assets.]], 3)</f>
        <v>2</v>
      </c>
      <c r="AU1266">
        <f>Table67[[#This Row],[Midpoint]]/21</f>
        <v>9.5238095238095233E-2</v>
      </c>
      <c r="AV1266">
        <f>_xlfn.PERCENTILE.INC(Table67[Midpoint ratio],0.9)</f>
        <v>0.5714285714285714</v>
      </c>
      <c r="AW1266" t="b">
        <f>Table67[[#This Row],[Midpoint ratio]]&gt;=Table67[[#This Row],[Threshold of Midpoint ratio]]</f>
        <v>0</v>
      </c>
      <c r="AX1266" t="b">
        <f>OR(Table67[[#This Row],[Extreme Response Style]],Table67[[#This Row],[Mid-point Response Style]])</f>
        <v>0</v>
      </c>
      <c r="AY1266" t="b">
        <f>OR(Table67[[#This Row],[Delete? (Stage 1)]],Table67[[#This Row],[Delete? (Stage 2)]])</f>
        <v>1</v>
      </c>
      <c r="AZ1266" t="s">
        <v>84</v>
      </c>
    </row>
    <row r="1267" spans="1:52">
      <c r="A1267">
        <f t="shared" si="79"/>
        <v>1266</v>
      </c>
      <c r="B1267" s="3">
        <v>46057.484884259298</v>
      </c>
      <c r="C1267" s="3">
        <v>46057.487997685203</v>
      </c>
      <c r="D1267" t="s">
        <v>53</v>
      </c>
      <c r="G1267" t="s">
        <v>54</v>
      </c>
      <c r="H1267" t="s">
        <v>55</v>
      </c>
      <c r="I1267" t="s">
        <v>56</v>
      </c>
      <c r="J1267" t="s">
        <v>62</v>
      </c>
      <c r="K1267" t="s">
        <v>57</v>
      </c>
      <c r="L1267" t="s">
        <v>58</v>
      </c>
      <c r="M1267" t="s">
        <v>61</v>
      </c>
      <c r="N1267">
        <v>2</v>
      </c>
      <c r="O1267">
        <v>2</v>
      </c>
      <c r="P1267">
        <v>4</v>
      </c>
      <c r="Q1267">
        <v>4</v>
      </c>
      <c r="R1267">
        <v>3</v>
      </c>
      <c r="S1267">
        <v>4</v>
      </c>
      <c r="T1267">
        <v>4</v>
      </c>
      <c r="U1267">
        <v>5</v>
      </c>
      <c r="V1267">
        <v>5</v>
      </c>
      <c r="W1267">
        <v>3</v>
      </c>
      <c r="X1267">
        <v>2</v>
      </c>
      <c r="Y1267">
        <v>3</v>
      </c>
      <c r="Z1267">
        <v>4</v>
      </c>
      <c r="AA1267">
        <v>5</v>
      </c>
      <c r="AB1267">
        <v>4</v>
      </c>
      <c r="AC1267">
        <v>4</v>
      </c>
      <c r="AD1267">
        <v>5</v>
      </c>
      <c r="AE1267">
        <v>4</v>
      </c>
      <c r="AF1267">
        <v>3</v>
      </c>
      <c r="AG1267">
        <v>4</v>
      </c>
      <c r="AH1267">
        <v>3</v>
      </c>
      <c r="AI1267">
        <v>3</v>
      </c>
      <c r="AJ1267">
        <v>3</v>
      </c>
      <c r="AK1267" t="b">
        <f>Table67[[#This Row],[What is your age?]]&lt;&gt;"18 - 25"</f>
        <v>0</v>
      </c>
      <c r="AL1267" t="b">
        <f t="shared" si="76"/>
        <v>0</v>
      </c>
      <c r="AM1267" t="b">
        <f t="shared" si="77"/>
        <v>0</v>
      </c>
      <c r="AN1267" t="b">
        <f t="shared" si="78"/>
        <v>1</v>
      </c>
      <c r="AO1267" t="b">
        <f>OR(Table67[[#This Row],[Ineligible respondents]:[Inconsistent response on opposite question (3)]])</f>
        <v>1</v>
      </c>
      <c r="AP126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267">
        <f>Table67[[#This Row],[Extreme Response]]/21</f>
        <v>0.19047619047619047</v>
      </c>
      <c r="AR1267">
        <f>_xlfn.PERCENTILE.INC(Table67[Extrem Response Ratio (ERS)],0.9)</f>
        <v>0.61904761904761907</v>
      </c>
      <c r="AS1267" t="b">
        <f>Table67[[#This Row],[Extrem Response Ratio (ERS)]]&gt;=Table67[[#This Row],[Threshold of ERS]]</f>
        <v>0</v>
      </c>
      <c r="AT1267">
        <f>COUNTIF(Table67[[#This Row],[The mechanism of digital assets is difficult to understand, which discourages me from exploring it (E.g, Tokenization, Blockchain)]:[If I want to try different ways to invest, I will explore digital assets.]], 3)</f>
        <v>5</v>
      </c>
      <c r="AU1267">
        <f>Table67[[#This Row],[Midpoint]]/21</f>
        <v>0.23809523809523808</v>
      </c>
      <c r="AV1267">
        <f>_xlfn.PERCENTILE.INC(Table67[Midpoint ratio],0.9)</f>
        <v>0.5714285714285714</v>
      </c>
      <c r="AW1267" t="b">
        <f>Table67[[#This Row],[Midpoint ratio]]&gt;=Table67[[#This Row],[Threshold of Midpoint ratio]]</f>
        <v>0</v>
      </c>
      <c r="AX1267" t="b">
        <f>OR(Table67[[#This Row],[Extreme Response Style]],Table67[[#This Row],[Mid-point Response Style]])</f>
        <v>0</v>
      </c>
      <c r="AY1267" t="b">
        <f>OR(Table67[[#This Row],[Delete? (Stage 1)]],Table67[[#This Row],[Delete? (Stage 2)]])</f>
        <v>1</v>
      </c>
      <c r="AZ1267" t="s">
        <v>84</v>
      </c>
    </row>
    <row r="1268" spans="1:52">
      <c r="A1268">
        <f t="shared" si="79"/>
        <v>1267</v>
      </c>
      <c r="B1268" s="3">
        <v>46057.484965277799</v>
      </c>
      <c r="C1268" s="3">
        <v>46057.487673611096</v>
      </c>
      <c r="D1268" t="s">
        <v>53</v>
      </c>
      <c r="G1268" t="s">
        <v>54</v>
      </c>
      <c r="H1268" t="s">
        <v>55</v>
      </c>
      <c r="I1268" t="s">
        <v>75</v>
      </c>
      <c r="J1268" t="s">
        <v>57</v>
      </c>
      <c r="K1268" t="s">
        <v>57</v>
      </c>
      <c r="L1268" t="s">
        <v>58</v>
      </c>
      <c r="M1268" t="s">
        <v>58</v>
      </c>
      <c r="N1268">
        <v>2</v>
      </c>
      <c r="O1268">
        <v>1</v>
      </c>
      <c r="P1268">
        <v>4</v>
      </c>
      <c r="Q1268">
        <v>3</v>
      </c>
      <c r="R1268">
        <v>3</v>
      </c>
      <c r="S1268">
        <v>3</v>
      </c>
      <c r="T1268">
        <v>5</v>
      </c>
      <c r="U1268">
        <v>5</v>
      </c>
      <c r="V1268">
        <v>5</v>
      </c>
      <c r="W1268">
        <v>5</v>
      </c>
      <c r="X1268">
        <v>5</v>
      </c>
      <c r="Y1268">
        <v>5</v>
      </c>
      <c r="Z1268">
        <v>5</v>
      </c>
      <c r="AA1268">
        <v>5</v>
      </c>
      <c r="AB1268">
        <v>5</v>
      </c>
      <c r="AC1268">
        <v>5</v>
      </c>
      <c r="AD1268">
        <v>5</v>
      </c>
      <c r="AE1268">
        <v>5</v>
      </c>
      <c r="AF1268">
        <v>1</v>
      </c>
      <c r="AG1268">
        <v>5</v>
      </c>
      <c r="AH1268">
        <v>1</v>
      </c>
      <c r="AI1268">
        <v>5</v>
      </c>
      <c r="AJ1268">
        <v>5</v>
      </c>
      <c r="AK1268" t="b">
        <f>Table67[[#This Row],[What is your age?]]&lt;&gt;"18 - 25"</f>
        <v>0</v>
      </c>
      <c r="AL1268" t="b">
        <f t="shared" si="76"/>
        <v>0</v>
      </c>
      <c r="AM1268" t="b">
        <f t="shared" si="77"/>
        <v>0</v>
      </c>
      <c r="AN1268" t="b">
        <f t="shared" si="78"/>
        <v>0</v>
      </c>
      <c r="AO1268" t="b">
        <f>OR(Table67[[#This Row],[Ineligible respondents]:[Inconsistent response on opposite question (3)]])</f>
        <v>0</v>
      </c>
      <c r="AP126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16</v>
      </c>
      <c r="AQ1268">
        <f>Table67[[#This Row],[Extreme Response]]/21</f>
        <v>0.76190476190476186</v>
      </c>
      <c r="AR1268">
        <f>_xlfn.PERCENTILE.INC(Table67[Extrem Response Ratio (ERS)],0.9)</f>
        <v>0.61904761904761907</v>
      </c>
      <c r="AS1268" t="b">
        <f>Table67[[#This Row],[Extrem Response Ratio (ERS)]]&gt;=Table67[[#This Row],[Threshold of ERS]]</f>
        <v>1</v>
      </c>
      <c r="AT1268">
        <f>COUNTIF(Table67[[#This Row],[The mechanism of digital assets is difficult to understand, which discourages me from exploring it (E.g, Tokenization, Blockchain)]:[If I want to try different ways to invest, I will explore digital assets.]], 3)</f>
        <v>3</v>
      </c>
      <c r="AU1268">
        <f>Table67[[#This Row],[Midpoint]]/21</f>
        <v>0.14285714285714285</v>
      </c>
      <c r="AV1268">
        <f>_xlfn.PERCENTILE.INC(Table67[Midpoint ratio],0.9)</f>
        <v>0.5714285714285714</v>
      </c>
      <c r="AW1268" t="b">
        <f>Table67[[#This Row],[Midpoint ratio]]&gt;=Table67[[#This Row],[Threshold of Midpoint ratio]]</f>
        <v>0</v>
      </c>
      <c r="AX1268" t="b">
        <f>OR(Table67[[#This Row],[Extreme Response Style]],Table67[[#This Row],[Mid-point Response Style]])</f>
        <v>1</v>
      </c>
      <c r="AY1268" t="b">
        <f>OR(Table67[[#This Row],[Delete? (Stage 1)]],Table67[[#This Row],[Delete? (Stage 2)]])</f>
        <v>1</v>
      </c>
      <c r="AZ1268" t="s">
        <v>84</v>
      </c>
    </row>
    <row r="1269" spans="1:52">
      <c r="A1269">
        <f t="shared" si="79"/>
        <v>1268</v>
      </c>
      <c r="B1269" s="3">
        <v>46057.4850925926</v>
      </c>
      <c r="C1269" s="3">
        <v>46057.492164351803</v>
      </c>
      <c r="D1269" t="s">
        <v>53</v>
      </c>
      <c r="G1269" t="s">
        <v>54</v>
      </c>
      <c r="H1269" t="s">
        <v>63</v>
      </c>
      <c r="I1269" t="s">
        <v>56</v>
      </c>
      <c r="J1269" t="s">
        <v>65</v>
      </c>
      <c r="K1269" t="s">
        <v>60</v>
      </c>
      <c r="L1269" t="s">
        <v>58</v>
      </c>
      <c r="M1269" t="s">
        <v>58</v>
      </c>
      <c r="N1269">
        <v>4</v>
      </c>
      <c r="O1269">
        <v>4</v>
      </c>
      <c r="P1269">
        <v>5</v>
      </c>
      <c r="Q1269">
        <v>3</v>
      </c>
      <c r="R1269">
        <v>4</v>
      </c>
      <c r="S1269">
        <v>4</v>
      </c>
      <c r="T1269">
        <v>4</v>
      </c>
      <c r="U1269">
        <v>5</v>
      </c>
      <c r="V1269">
        <v>5</v>
      </c>
      <c r="W1269">
        <v>4</v>
      </c>
      <c r="X1269">
        <v>3</v>
      </c>
      <c r="Y1269">
        <v>4</v>
      </c>
      <c r="Z1269">
        <v>5</v>
      </c>
      <c r="AA1269">
        <v>5</v>
      </c>
      <c r="AB1269">
        <v>4</v>
      </c>
      <c r="AC1269">
        <v>5</v>
      </c>
      <c r="AD1269">
        <v>5</v>
      </c>
      <c r="AE1269">
        <v>3</v>
      </c>
      <c r="AF1269">
        <v>1</v>
      </c>
      <c r="AG1269">
        <v>5</v>
      </c>
      <c r="AH1269">
        <v>1</v>
      </c>
      <c r="AI1269">
        <v>5</v>
      </c>
      <c r="AJ1269">
        <v>5</v>
      </c>
      <c r="AK1269" t="b">
        <f>Table67[[#This Row],[What is your age?]]&lt;&gt;"18 - 25"</f>
        <v>0</v>
      </c>
      <c r="AL1269" t="b">
        <f t="shared" si="76"/>
        <v>0</v>
      </c>
      <c r="AM1269" t="b">
        <f t="shared" si="77"/>
        <v>0</v>
      </c>
      <c r="AN1269" t="b">
        <f t="shared" si="78"/>
        <v>0</v>
      </c>
      <c r="AO1269" t="b">
        <f>OR(Table67[[#This Row],[Ineligible respondents]:[Inconsistent response on opposite question (3)]])</f>
        <v>0</v>
      </c>
      <c r="AP126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10</v>
      </c>
      <c r="AQ1269">
        <f>Table67[[#This Row],[Extreme Response]]/21</f>
        <v>0.47619047619047616</v>
      </c>
      <c r="AR1269">
        <f>_xlfn.PERCENTILE.INC(Table67[Extrem Response Ratio (ERS)],0.9)</f>
        <v>0.61904761904761907</v>
      </c>
      <c r="AS1269" t="b">
        <f>Table67[[#This Row],[Extrem Response Ratio (ERS)]]&gt;=Table67[[#This Row],[Threshold of ERS]]</f>
        <v>0</v>
      </c>
      <c r="AT1269">
        <f>COUNTIF(Table67[[#This Row],[The mechanism of digital assets is difficult to understand, which discourages me from exploring it (E.g, Tokenization, Blockchain)]:[If I want to try different ways to invest, I will explore digital assets.]], 3)</f>
        <v>3</v>
      </c>
      <c r="AU1269">
        <f>Table67[[#This Row],[Midpoint]]/21</f>
        <v>0.14285714285714285</v>
      </c>
      <c r="AV1269">
        <f>_xlfn.PERCENTILE.INC(Table67[Midpoint ratio],0.9)</f>
        <v>0.5714285714285714</v>
      </c>
      <c r="AW1269" t="b">
        <f>Table67[[#This Row],[Midpoint ratio]]&gt;=Table67[[#This Row],[Threshold of Midpoint ratio]]</f>
        <v>0</v>
      </c>
      <c r="AX1269" t="b">
        <f>OR(Table67[[#This Row],[Extreme Response Style]],Table67[[#This Row],[Mid-point Response Style]])</f>
        <v>0</v>
      </c>
      <c r="AY1269" t="b">
        <f>OR(Table67[[#This Row],[Delete? (Stage 1)]],Table67[[#This Row],[Delete? (Stage 2)]])</f>
        <v>0</v>
      </c>
      <c r="AZ1269" t="s">
        <v>84</v>
      </c>
    </row>
    <row r="1270" spans="1:52">
      <c r="A1270">
        <f t="shared" si="79"/>
        <v>1269</v>
      </c>
      <c r="B1270" s="3">
        <v>46057.485335648104</v>
      </c>
      <c r="C1270" s="3">
        <v>46057.491203703699</v>
      </c>
      <c r="D1270" t="s">
        <v>53</v>
      </c>
      <c r="G1270" t="s">
        <v>54</v>
      </c>
      <c r="H1270" t="s">
        <v>55</v>
      </c>
      <c r="I1270" t="s">
        <v>69</v>
      </c>
      <c r="J1270" t="s">
        <v>62</v>
      </c>
      <c r="K1270" t="s">
        <v>62</v>
      </c>
      <c r="L1270" t="s">
        <v>58</v>
      </c>
      <c r="M1270" t="s">
        <v>58</v>
      </c>
      <c r="N1270">
        <v>3</v>
      </c>
      <c r="O1270">
        <v>1</v>
      </c>
      <c r="P1270">
        <v>4</v>
      </c>
      <c r="Q1270">
        <v>4</v>
      </c>
      <c r="R1270">
        <v>2</v>
      </c>
      <c r="S1270">
        <v>2</v>
      </c>
      <c r="T1270">
        <v>4</v>
      </c>
      <c r="U1270">
        <v>4</v>
      </c>
      <c r="V1270">
        <v>2</v>
      </c>
      <c r="W1270">
        <v>4</v>
      </c>
      <c r="X1270">
        <v>3</v>
      </c>
      <c r="Y1270">
        <v>2</v>
      </c>
      <c r="Z1270">
        <v>4</v>
      </c>
      <c r="AA1270">
        <v>3</v>
      </c>
      <c r="AB1270">
        <v>2</v>
      </c>
      <c r="AC1270">
        <v>2</v>
      </c>
      <c r="AD1270">
        <v>4</v>
      </c>
      <c r="AE1270">
        <v>4</v>
      </c>
      <c r="AF1270">
        <v>3</v>
      </c>
      <c r="AG1270">
        <v>2</v>
      </c>
      <c r="AH1270">
        <v>3</v>
      </c>
      <c r="AI1270">
        <v>3</v>
      </c>
      <c r="AJ1270">
        <v>3</v>
      </c>
      <c r="AK1270" t="b">
        <f>Table67[[#This Row],[What is your age?]]&lt;&gt;"18 - 25"</f>
        <v>0</v>
      </c>
      <c r="AL1270" t="b">
        <f t="shared" si="76"/>
        <v>0</v>
      </c>
      <c r="AM1270" t="b">
        <f t="shared" si="77"/>
        <v>0</v>
      </c>
      <c r="AN1270" t="b">
        <f t="shared" si="78"/>
        <v>1</v>
      </c>
      <c r="AO1270" t="b">
        <f>OR(Table67[[#This Row],[Ineligible respondents]:[Inconsistent response on opposite question (3)]])</f>
        <v>1</v>
      </c>
      <c r="AP127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270">
        <f>Table67[[#This Row],[Extreme Response]]/21</f>
        <v>4.7619047619047616E-2</v>
      </c>
      <c r="AR1270">
        <f>_xlfn.PERCENTILE.INC(Table67[Extrem Response Ratio (ERS)],0.9)</f>
        <v>0.61904761904761907</v>
      </c>
      <c r="AS1270" t="b">
        <f>Table67[[#This Row],[Extrem Response Ratio (ERS)]]&gt;=Table67[[#This Row],[Threshold of ERS]]</f>
        <v>0</v>
      </c>
      <c r="AT1270">
        <f>COUNTIF(Table67[[#This Row],[The mechanism of digital assets is difficult to understand, which discourages me from exploring it (E.g, Tokenization, Blockchain)]:[If I want to try different ways to invest, I will explore digital assets.]], 3)</f>
        <v>5</v>
      </c>
      <c r="AU1270">
        <f>Table67[[#This Row],[Midpoint]]/21</f>
        <v>0.23809523809523808</v>
      </c>
      <c r="AV1270">
        <f>_xlfn.PERCENTILE.INC(Table67[Midpoint ratio],0.9)</f>
        <v>0.5714285714285714</v>
      </c>
      <c r="AW1270" t="b">
        <f>Table67[[#This Row],[Midpoint ratio]]&gt;=Table67[[#This Row],[Threshold of Midpoint ratio]]</f>
        <v>0</v>
      </c>
      <c r="AX1270" t="b">
        <f>OR(Table67[[#This Row],[Extreme Response Style]],Table67[[#This Row],[Mid-point Response Style]])</f>
        <v>0</v>
      </c>
      <c r="AY1270" t="b">
        <f>OR(Table67[[#This Row],[Delete? (Stage 1)]],Table67[[#This Row],[Delete? (Stage 2)]])</f>
        <v>1</v>
      </c>
      <c r="AZ1270" t="s">
        <v>84</v>
      </c>
    </row>
    <row r="1271" spans="1:52">
      <c r="A1271">
        <f t="shared" si="79"/>
        <v>1270</v>
      </c>
      <c r="B1271" s="3">
        <v>46057.485416666699</v>
      </c>
      <c r="C1271" s="3">
        <v>46057.486979166701</v>
      </c>
      <c r="D1271" t="s">
        <v>53</v>
      </c>
      <c r="G1271" t="s">
        <v>54</v>
      </c>
      <c r="H1271" t="s">
        <v>55</v>
      </c>
      <c r="I1271" t="s">
        <v>71</v>
      </c>
      <c r="J1271" t="s">
        <v>60</v>
      </c>
      <c r="K1271" t="s">
        <v>57</v>
      </c>
      <c r="L1271" t="s">
        <v>58</v>
      </c>
      <c r="M1271" t="s">
        <v>58</v>
      </c>
      <c r="N1271">
        <v>3</v>
      </c>
      <c r="O1271">
        <v>4</v>
      </c>
      <c r="P1271">
        <v>3</v>
      </c>
      <c r="Q1271">
        <v>3</v>
      </c>
      <c r="R1271">
        <v>3</v>
      </c>
      <c r="S1271">
        <v>2</v>
      </c>
      <c r="T1271">
        <v>4</v>
      </c>
      <c r="U1271">
        <v>3</v>
      </c>
      <c r="V1271">
        <v>4</v>
      </c>
      <c r="W1271">
        <v>3</v>
      </c>
      <c r="X1271">
        <v>3</v>
      </c>
      <c r="Y1271">
        <v>2</v>
      </c>
      <c r="Z1271">
        <v>2</v>
      </c>
      <c r="AA1271">
        <v>3</v>
      </c>
      <c r="AB1271">
        <v>4</v>
      </c>
      <c r="AC1271">
        <v>3</v>
      </c>
      <c r="AD1271">
        <v>3</v>
      </c>
      <c r="AE1271">
        <v>3</v>
      </c>
      <c r="AF1271">
        <v>3</v>
      </c>
      <c r="AG1271">
        <v>2</v>
      </c>
      <c r="AH1271">
        <v>3</v>
      </c>
      <c r="AI1271">
        <v>3</v>
      </c>
      <c r="AJ1271">
        <v>3</v>
      </c>
      <c r="AK1271" t="b">
        <f>Table67[[#This Row],[What is your age?]]&lt;&gt;"18 - 25"</f>
        <v>0</v>
      </c>
      <c r="AL1271" t="b">
        <f t="shared" si="76"/>
        <v>0</v>
      </c>
      <c r="AM1271" t="b">
        <f t="shared" si="77"/>
        <v>0</v>
      </c>
      <c r="AN1271" t="b">
        <f t="shared" si="78"/>
        <v>1</v>
      </c>
      <c r="AO1271" t="b">
        <f>OR(Table67[[#This Row],[Ineligible respondents]:[Inconsistent response on opposite question (3)]])</f>
        <v>1</v>
      </c>
      <c r="AP127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271">
        <f>Table67[[#This Row],[Extreme Response]]/21</f>
        <v>0</v>
      </c>
      <c r="AR1271">
        <f>_xlfn.PERCENTILE.INC(Table67[Extrem Response Ratio (ERS)],0.9)</f>
        <v>0.61904761904761907</v>
      </c>
      <c r="AS1271" t="b">
        <f>Table67[[#This Row],[Extrem Response Ratio (ERS)]]&gt;=Table67[[#This Row],[Threshold of ERS]]</f>
        <v>0</v>
      </c>
      <c r="AT1271">
        <f>COUNTIF(Table67[[#This Row],[The mechanism of digital assets is difficult to understand, which discourages me from exploring it (E.g, Tokenization, Blockchain)]:[If I want to try different ways to invest, I will explore digital assets.]], 3)</f>
        <v>13</v>
      </c>
      <c r="AU1271">
        <f>Table67[[#This Row],[Midpoint]]/21</f>
        <v>0.61904761904761907</v>
      </c>
      <c r="AV1271">
        <f>_xlfn.PERCENTILE.INC(Table67[Midpoint ratio],0.9)</f>
        <v>0.5714285714285714</v>
      </c>
      <c r="AW1271" t="b">
        <f>Table67[[#This Row],[Midpoint ratio]]&gt;=Table67[[#This Row],[Threshold of Midpoint ratio]]</f>
        <v>1</v>
      </c>
      <c r="AX1271" t="b">
        <f>OR(Table67[[#This Row],[Extreme Response Style]],Table67[[#This Row],[Mid-point Response Style]])</f>
        <v>1</v>
      </c>
      <c r="AY1271" t="b">
        <f>OR(Table67[[#This Row],[Delete? (Stage 1)]],Table67[[#This Row],[Delete? (Stage 2)]])</f>
        <v>1</v>
      </c>
      <c r="AZ1271" t="s">
        <v>84</v>
      </c>
    </row>
    <row r="1272" spans="1:52">
      <c r="A1272">
        <f t="shared" si="79"/>
        <v>1271</v>
      </c>
      <c r="B1272" s="3">
        <v>46057.485474537003</v>
      </c>
      <c r="C1272" s="3">
        <v>46057.487256944398</v>
      </c>
      <c r="D1272" t="s">
        <v>53</v>
      </c>
      <c r="G1272" t="s">
        <v>54</v>
      </c>
      <c r="H1272" t="s">
        <v>55</v>
      </c>
      <c r="I1272" t="s">
        <v>71</v>
      </c>
      <c r="J1272" t="s">
        <v>64</v>
      </c>
      <c r="K1272" t="s">
        <v>62</v>
      </c>
      <c r="L1272" t="s">
        <v>58</v>
      </c>
      <c r="M1272" t="s">
        <v>58</v>
      </c>
      <c r="N1272">
        <v>2</v>
      </c>
      <c r="O1272">
        <v>1</v>
      </c>
      <c r="P1272">
        <v>3</v>
      </c>
      <c r="Q1272">
        <v>3</v>
      </c>
      <c r="R1272">
        <v>1</v>
      </c>
      <c r="S1272">
        <v>4</v>
      </c>
      <c r="T1272">
        <v>3</v>
      </c>
      <c r="U1272">
        <v>3</v>
      </c>
      <c r="V1272">
        <v>3</v>
      </c>
      <c r="W1272">
        <v>3</v>
      </c>
      <c r="X1272">
        <v>3</v>
      </c>
      <c r="Y1272">
        <v>2</v>
      </c>
      <c r="Z1272">
        <v>3</v>
      </c>
      <c r="AA1272">
        <v>3</v>
      </c>
      <c r="AB1272">
        <v>2</v>
      </c>
      <c r="AC1272">
        <v>3</v>
      </c>
      <c r="AD1272">
        <v>3</v>
      </c>
      <c r="AE1272">
        <v>2</v>
      </c>
      <c r="AF1272">
        <v>4</v>
      </c>
      <c r="AG1272">
        <v>3</v>
      </c>
      <c r="AH1272">
        <v>3</v>
      </c>
      <c r="AI1272">
        <v>3</v>
      </c>
      <c r="AJ1272">
        <v>2</v>
      </c>
      <c r="AK1272" t="b">
        <f>Table67[[#This Row],[What is your age?]]&lt;&gt;"18 - 25"</f>
        <v>0</v>
      </c>
      <c r="AL1272" t="b">
        <f t="shared" si="76"/>
        <v>0</v>
      </c>
      <c r="AM1272" t="b">
        <f t="shared" si="77"/>
        <v>0</v>
      </c>
      <c r="AN1272" t="b">
        <f t="shared" si="78"/>
        <v>0</v>
      </c>
      <c r="AO1272" t="b">
        <f>OR(Table67[[#This Row],[Ineligible respondents]:[Inconsistent response on opposite question (3)]])</f>
        <v>0</v>
      </c>
      <c r="AP127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272">
        <f>Table67[[#This Row],[Extreme Response]]/21</f>
        <v>9.5238095238095233E-2</v>
      </c>
      <c r="AR1272">
        <f>_xlfn.PERCENTILE.INC(Table67[Extrem Response Ratio (ERS)],0.9)</f>
        <v>0.61904761904761907</v>
      </c>
      <c r="AS1272" t="b">
        <f>Table67[[#This Row],[Extrem Response Ratio (ERS)]]&gt;=Table67[[#This Row],[Threshold of ERS]]</f>
        <v>0</v>
      </c>
      <c r="AT1272">
        <f>COUNTIF(Table67[[#This Row],[The mechanism of digital assets is difficult to understand, which discourages me from exploring it (E.g, Tokenization, Blockchain)]:[If I want to try different ways to invest, I will explore digital assets.]], 3)</f>
        <v>13</v>
      </c>
      <c r="AU1272">
        <f>Table67[[#This Row],[Midpoint]]/21</f>
        <v>0.61904761904761907</v>
      </c>
      <c r="AV1272">
        <f>_xlfn.PERCENTILE.INC(Table67[Midpoint ratio],0.9)</f>
        <v>0.5714285714285714</v>
      </c>
      <c r="AW1272" t="b">
        <f>Table67[[#This Row],[Midpoint ratio]]&gt;=Table67[[#This Row],[Threshold of Midpoint ratio]]</f>
        <v>1</v>
      </c>
      <c r="AX1272" t="b">
        <f>OR(Table67[[#This Row],[Extreme Response Style]],Table67[[#This Row],[Mid-point Response Style]])</f>
        <v>1</v>
      </c>
      <c r="AY1272" t="b">
        <f>OR(Table67[[#This Row],[Delete? (Stage 1)]],Table67[[#This Row],[Delete? (Stage 2)]])</f>
        <v>1</v>
      </c>
      <c r="AZ1272" t="s">
        <v>84</v>
      </c>
    </row>
    <row r="1273" spans="1:52">
      <c r="A1273">
        <f t="shared" si="79"/>
        <v>1272</v>
      </c>
      <c r="B1273" s="3">
        <v>46057.485474537003</v>
      </c>
      <c r="C1273" s="3">
        <v>46057.489247685196</v>
      </c>
      <c r="D1273" t="s">
        <v>53</v>
      </c>
      <c r="G1273" t="s">
        <v>54</v>
      </c>
      <c r="H1273" t="s">
        <v>63</v>
      </c>
      <c r="I1273" t="s">
        <v>71</v>
      </c>
      <c r="J1273" t="s">
        <v>72</v>
      </c>
      <c r="K1273" t="s">
        <v>57</v>
      </c>
      <c r="L1273" t="s">
        <v>58</v>
      </c>
      <c r="M1273" t="s">
        <v>58</v>
      </c>
      <c r="N1273">
        <v>1</v>
      </c>
      <c r="O1273">
        <v>1</v>
      </c>
      <c r="P1273">
        <v>1</v>
      </c>
      <c r="Q1273">
        <v>1</v>
      </c>
      <c r="R1273">
        <v>3</v>
      </c>
      <c r="S1273">
        <v>1</v>
      </c>
      <c r="T1273">
        <v>1</v>
      </c>
      <c r="U1273">
        <v>1</v>
      </c>
      <c r="V1273">
        <v>1</v>
      </c>
      <c r="W1273">
        <v>1</v>
      </c>
      <c r="X1273">
        <v>2</v>
      </c>
      <c r="Y1273">
        <v>2</v>
      </c>
      <c r="Z1273">
        <v>4</v>
      </c>
      <c r="AA1273">
        <v>1</v>
      </c>
      <c r="AB1273">
        <v>2</v>
      </c>
      <c r="AC1273">
        <v>2</v>
      </c>
      <c r="AD1273">
        <v>1</v>
      </c>
      <c r="AE1273">
        <v>1</v>
      </c>
      <c r="AF1273">
        <v>5</v>
      </c>
      <c r="AG1273">
        <v>1</v>
      </c>
      <c r="AH1273">
        <v>5</v>
      </c>
      <c r="AI1273">
        <v>1</v>
      </c>
      <c r="AJ1273">
        <v>1</v>
      </c>
      <c r="AK1273" t="b">
        <f>Table67[[#This Row],[What is your age?]]&lt;&gt;"18 - 25"</f>
        <v>0</v>
      </c>
      <c r="AL1273" t="b">
        <f t="shared" si="76"/>
        <v>0</v>
      </c>
      <c r="AM1273" t="b">
        <f t="shared" si="77"/>
        <v>0</v>
      </c>
      <c r="AN1273" t="b">
        <f t="shared" si="78"/>
        <v>0</v>
      </c>
      <c r="AO1273" t="b">
        <f>OR(Table67[[#This Row],[Ineligible respondents]:[Inconsistent response on opposite question (3)]])</f>
        <v>0</v>
      </c>
      <c r="AP127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1273">
        <f>Table67[[#This Row],[Extreme Response]]/21</f>
        <v>0.7142857142857143</v>
      </c>
      <c r="AR1273">
        <f>_xlfn.PERCENTILE.INC(Table67[Extrem Response Ratio (ERS)],0.9)</f>
        <v>0.61904761904761907</v>
      </c>
      <c r="AS1273" t="b">
        <f>Table67[[#This Row],[Extrem Response Ratio (ERS)]]&gt;=Table67[[#This Row],[Threshold of ERS]]</f>
        <v>1</v>
      </c>
      <c r="AT1273">
        <f>COUNTIF(Table67[[#This Row],[The mechanism of digital assets is difficult to understand, which discourages me from exploring it (E.g, Tokenization, Blockchain)]:[If I want to try different ways to invest, I will explore digital assets.]], 3)</f>
        <v>1</v>
      </c>
      <c r="AU1273">
        <f>Table67[[#This Row],[Midpoint]]/21</f>
        <v>4.7619047619047616E-2</v>
      </c>
      <c r="AV1273">
        <f>_xlfn.PERCENTILE.INC(Table67[Midpoint ratio],0.9)</f>
        <v>0.5714285714285714</v>
      </c>
      <c r="AW1273" t="b">
        <f>Table67[[#This Row],[Midpoint ratio]]&gt;=Table67[[#This Row],[Threshold of Midpoint ratio]]</f>
        <v>0</v>
      </c>
      <c r="AX1273" t="b">
        <f>OR(Table67[[#This Row],[Extreme Response Style]],Table67[[#This Row],[Mid-point Response Style]])</f>
        <v>1</v>
      </c>
      <c r="AY1273" t="b">
        <f>OR(Table67[[#This Row],[Delete? (Stage 1)]],Table67[[#This Row],[Delete? (Stage 2)]])</f>
        <v>1</v>
      </c>
      <c r="AZ1273" t="s">
        <v>84</v>
      </c>
    </row>
    <row r="1274" spans="1:52">
      <c r="A1274">
        <f t="shared" si="79"/>
        <v>1273</v>
      </c>
      <c r="B1274" s="3">
        <v>46057.485671296301</v>
      </c>
      <c r="C1274" s="3">
        <v>46057.493437500001</v>
      </c>
      <c r="D1274" t="s">
        <v>53</v>
      </c>
      <c r="G1274" t="s">
        <v>54</v>
      </c>
      <c r="H1274" t="s">
        <v>63</v>
      </c>
      <c r="I1274" t="s">
        <v>56</v>
      </c>
      <c r="J1274" t="s">
        <v>62</v>
      </c>
      <c r="K1274" t="s">
        <v>62</v>
      </c>
      <c r="L1274" t="s">
        <v>58</v>
      </c>
      <c r="M1274" t="s">
        <v>58</v>
      </c>
      <c r="N1274">
        <v>5</v>
      </c>
      <c r="O1274">
        <v>1</v>
      </c>
      <c r="P1274">
        <v>5</v>
      </c>
      <c r="Q1274">
        <v>4</v>
      </c>
      <c r="R1274">
        <v>5</v>
      </c>
      <c r="S1274">
        <v>1</v>
      </c>
      <c r="T1274">
        <v>1</v>
      </c>
      <c r="U1274">
        <v>4</v>
      </c>
      <c r="V1274">
        <v>5</v>
      </c>
      <c r="W1274">
        <v>3</v>
      </c>
      <c r="X1274">
        <v>2</v>
      </c>
      <c r="Y1274">
        <v>5</v>
      </c>
      <c r="Z1274">
        <v>5</v>
      </c>
      <c r="AA1274">
        <v>4</v>
      </c>
      <c r="AB1274">
        <v>2</v>
      </c>
      <c r="AC1274">
        <v>3</v>
      </c>
      <c r="AD1274">
        <v>5</v>
      </c>
      <c r="AE1274">
        <v>1</v>
      </c>
      <c r="AF1274">
        <v>3</v>
      </c>
      <c r="AG1274">
        <v>3</v>
      </c>
      <c r="AH1274">
        <v>2</v>
      </c>
      <c r="AI1274">
        <v>4</v>
      </c>
      <c r="AJ1274">
        <v>3</v>
      </c>
      <c r="AK1274" t="b">
        <f>Table67[[#This Row],[What is your age?]]&lt;&gt;"18 - 25"</f>
        <v>0</v>
      </c>
      <c r="AL1274" t="b">
        <f t="shared" si="76"/>
        <v>0</v>
      </c>
      <c r="AM1274" t="b">
        <f t="shared" si="77"/>
        <v>0</v>
      </c>
      <c r="AN1274" t="b">
        <f t="shared" si="78"/>
        <v>1</v>
      </c>
      <c r="AO1274" t="b">
        <f>OR(Table67[[#This Row],[Ineligible respondents]:[Inconsistent response on opposite question (3)]])</f>
        <v>1</v>
      </c>
      <c r="AP127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1274">
        <f>Table67[[#This Row],[Extreme Response]]/21</f>
        <v>0.52380952380952384</v>
      </c>
      <c r="AR1274">
        <f>_xlfn.PERCENTILE.INC(Table67[Extrem Response Ratio (ERS)],0.9)</f>
        <v>0.61904761904761907</v>
      </c>
      <c r="AS1274" t="b">
        <f>Table67[[#This Row],[Extrem Response Ratio (ERS)]]&gt;=Table67[[#This Row],[Threshold of ERS]]</f>
        <v>0</v>
      </c>
      <c r="AT1274">
        <f>COUNTIF(Table67[[#This Row],[The mechanism of digital assets is difficult to understand, which discourages me from exploring it (E.g, Tokenization, Blockchain)]:[If I want to try different ways to invest, I will explore digital assets.]], 3)</f>
        <v>4</v>
      </c>
      <c r="AU1274">
        <f>Table67[[#This Row],[Midpoint]]/21</f>
        <v>0.19047619047619047</v>
      </c>
      <c r="AV1274">
        <f>_xlfn.PERCENTILE.INC(Table67[Midpoint ratio],0.9)</f>
        <v>0.5714285714285714</v>
      </c>
      <c r="AW1274" t="b">
        <f>Table67[[#This Row],[Midpoint ratio]]&gt;=Table67[[#This Row],[Threshold of Midpoint ratio]]</f>
        <v>0</v>
      </c>
      <c r="AX1274" t="b">
        <f>OR(Table67[[#This Row],[Extreme Response Style]],Table67[[#This Row],[Mid-point Response Style]])</f>
        <v>0</v>
      </c>
      <c r="AY1274" t="b">
        <f>OR(Table67[[#This Row],[Delete? (Stage 1)]],Table67[[#This Row],[Delete? (Stage 2)]])</f>
        <v>1</v>
      </c>
      <c r="AZ1274" t="s">
        <v>84</v>
      </c>
    </row>
    <row r="1275" spans="1:52">
      <c r="A1275">
        <f t="shared" si="79"/>
        <v>1274</v>
      </c>
      <c r="B1275" s="3">
        <v>46057.485787037003</v>
      </c>
      <c r="C1275" s="3">
        <v>46057.496574074103</v>
      </c>
      <c r="D1275" t="s">
        <v>53</v>
      </c>
      <c r="G1275" t="s">
        <v>54</v>
      </c>
      <c r="H1275" t="s">
        <v>55</v>
      </c>
      <c r="I1275" t="s">
        <v>56</v>
      </c>
      <c r="J1275" t="s">
        <v>65</v>
      </c>
      <c r="K1275" t="s">
        <v>60</v>
      </c>
      <c r="L1275" t="s">
        <v>61</v>
      </c>
      <c r="M1275" t="s">
        <v>61</v>
      </c>
      <c r="N1275">
        <v>4</v>
      </c>
      <c r="O1275">
        <v>1</v>
      </c>
      <c r="P1275">
        <v>5</v>
      </c>
      <c r="Q1275">
        <v>4</v>
      </c>
      <c r="R1275">
        <v>4</v>
      </c>
      <c r="S1275">
        <v>5</v>
      </c>
      <c r="T1275">
        <v>4</v>
      </c>
      <c r="U1275">
        <v>4</v>
      </c>
      <c r="V1275">
        <v>5</v>
      </c>
      <c r="W1275">
        <v>5</v>
      </c>
      <c r="X1275">
        <v>5</v>
      </c>
      <c r="Y1275">
        <v>5</v>
      </c>
      <c r="Z1275">
        <v>5</v>
      </c>
      <c r="AA1275">
        <v>5</v>
      </c>
      <c r="AB1275">
        <v>4</v>
      </c>
      <c r="AC1275">
        <v>5</v>
      </c>
      <c r="AD1275">
        <v>5</v>
      </c>
      <c r="AE1275">
        <v>4</v>
      </c>
      <c r="AF1275">
        <v>1</v>
      </c>
      <c r="AG1275">
        <v>5</v>
      </c>
      <c r="AH1275">
        <v>1</v>
      </c>
      <c r="AI1275">
        <v>5</v>
      </c>
      <c r="AJ1275">
        <v>5</v>
      </c>
      <c r="AK1275" t="b">
        <f>Table67[[#This Row],[What is your age?]]&lt;&gt;"18 - 25"</f>
        <v>0</v>
      </c>
      <c r="AL1275" t="b">
        <f t="shared" si="76"/>
        <v>0</v>
      </c>
      <c r="AM1275" t="b">
        <f t="shared" si="77"/>
        <v>0</v>
      </c>
      <c r="AN1275" t="b">
        <f t="shared" si="78"/>
        <v>0</v>
      </c>
      <c r="AO1275" t="b">
        <f>OR(Table67[[#This Row],[Ineligible respondents]:[Inconsistent response on opposite question (3)]])</f>
        <v>0</v>
      </c>
      <c r="AP127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1275">
        <f>Table67[[#This Row],[Extreme Response]]/21</f>
        <v>0.66666666666666663</v>
      </c>
      <c r="AR1275">
        <f>_xlfn.PERCENTILE.INC(Table67[Extrem Response Ratio (ERS)],0.9)</f>
        <v>0.61904761904761907</v>
      </c>
      <c r="AS1275" t="b">
        <f>Table67[[#This Row],[Extrem Response Ratio (ERS)]]&gt;=Table67[[#This Row],[Threshold of ERS]]</f>
        <v>1</v>
      </c>
      <c r="AT1275">
        <f>COUNTIF(Table67[[#This Row],[The mechanism of digital assets is difficult to understand, which discourages me from exploring it (E.g, Tokenization, Blockchain)]:[If I want to try different ways to invest, I will explore digital assets.]], 3)</f>
        <v>0</v>
      </c>
      <c r="AU1275">
        <f>Table67[[#This Row],[Midpoint]]/21</f>
        <v>0</v>
      </c>
      <c r="AV1275">
        <f>_xlfn.PERCENTILE.INC(Table67[Midpoint ratio],0.9)</f>
        <v>0.5714285714285714</v>
      </c>
      <c r="AW1275" t="b">
        <f>Table67[[#This Row],[Midpoint ratio]]&gt;=Table67[[#This Row],[Threshold of Midpoint ratio]]</f>
        <v>0</v>
      </c>
      <c r="AX1275" t="b">
        <f>OR(Table67[[#This Row],[Extreme Response Style]],Table67[[#This Row],[Mid-point Response Style]])</f>
        <v>1</v>
      </c>
      <c r="AY1275" t="b">
        <f>OR(Table67[[#This Row],[Delete? (Stage 1)]],Table67[[#This Row],[Delete? (Stage 2)]])</f>
        <v>1</v>
      </c>
      <c r="AZ1275" t="s">
        <v>84</v>
      </c>
    </row>
    <row r="1276" spans="1:52">
      <c r="A1276">
        <f t="shared" si="79"/>
        <v>1275</v>
      </c>
      <c r="B1276" s="3">
        <v>46057.485879629603</v>
      </c>
      <c r="C1276" s="3">
        <v>46057.490358796298</v>
      </c>
      <c r="D1276" t="s">
        <v>53</v>
      </c>
      <c r="G1276" t="s">
        <v>54</v>
      </c>
      <c r="H1276" t="s">
        <v>70</v>
      </c>
      <c r="I1276" t="s">
        <v>56</v>
      </c>
      <c r="J1276" t="s">
        <v>62</v>
      </c>
      <c r="K1276" t="s">
        <v>62</v>
      </c>
      <c r="L1276" t="s">
        <v>58</v>
      </c>
      <c r="M1276" t="s">
        <v>58</v>
      </c>
      <c r="N1276">
        <v>3</v>
      </c>
      <c r="O1276">
        <v>2</v>
      </c>
      <c r="P1276">
        <v>4</v>
      </c>
      <c r="Q1276">
        <v>4</v>
      </c>
      <c r="R1276">
        <v>5</v>
      </c>
      <c r="S1276">
        <v>4</v>
      </c>
      <c r="T1276">
        <v>3</v>
      </c>
      <c r="U1276">
        <v>4</v>
      </c>
      <c r="V1276">
        <v>3</v>
      </c>
      <c r="W1276">
        <v>4</v>
      </c>
      <c r="X1276">
        <v>2</v>
      </c>
      <c r="Y1276">
        <v>4</v>
      </c>
      <c r="Z1276">
        <v>2</v>
      </c>
      <c r="AA1276">
        <v>4</v>
      </c>
      <c r="AB1276">
        <v>3</v>
      </c>
      <c r="AC1276">
        <v>3</v>
      </c>
      <c r="AD1276">
        <v>4</v>
      </c>
      <c r="AE1276">
        <v>3</v>
      </c>
      <c r="AF1276">
        <v>3</v>
      </c>
      <c r="AG1276">
        <v>3</v>
      </c>
      <c r="AH1276">
        <v>4</v>
      </c>
      <c r="AI1276">
        <v>2</v>
      </c>
      <c r="AJ1276">
        <v>3</v>
      </c>
      <c r="AK1276" t="b">
        <f>Table67[[#This Row],[What is your age?]]&lt;&gt;"18 - 25"</f>
        <v>0</v>
      </c>
      <c r="AL1276" t="b">
        <f t="shared" si="76"/>
        <v>0</v>
      </c>
      <c r="AM1276" t="b">
        <f t="shared" si="77"/>
        <v>0</v>
      </c>
      <c r="AN1276" t="b">
        <f t="shared" si="78"/>
        <v>1</v>
      </c>
      <c r="AO1276" t="b">
        <f>OR(Table67[[#This Row],[Ineligible respondents]:[Inconsistent response on opposite question (3)]])</f>
        <v>1</v>
      </c>
      <c r="AP127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276">
        <f>Table67[[#This Row],[Extreme Response]]/21</f>
        <v>4.7619047619047616E-2</v>
      </c>
      <c r="AR1276">
        <f>_xlfn.PERCENTILE.INC(Table67[Extrem Response Ratio (ERS)],0.9)</f>
        <v>0.61904761904761907</v>
      </c>
      <c r="AS1276" t="b">
        <f>Table67[[#This Row],[Extrem Response Ratio (ERS)]]&gt;=Table67[[#This Row],[Threshold of ERS]]</f>
        <v>0</v>
      </c>
      <c r="AT1276">
        <f>COUNTIF(Table67[[#This Row],[The mechanism of digital assets is difficult to understand, which discourages me from exploring it (E.g, Tokenization, Blockchain)]:[If I want to try different ways to invest, I will explore digital assets.]], 3)</f>
        <v>8</v>
      </c>
      <c r="AU1276">
        <f>Table67[[#This Row],[Midpoint]]/21</f>
        <v>0.38095238095238093</v>
      </c>
      <c r="AV1276">
        <f>_xlfn.PERCENTILE.INC(Table67[Midpoint ratio],0.9)</f>
        <v>0.5714285714285714</v>
      </c>
      <c r="AW1276" t="b">
        <f>Table67[[#This Row],[Midpoint ratio]]&gt;=Table67[[#This Row],[Threshold of Midpoint ratio]]</f>
        <v>0</v>
      </c>
      <c r="AX1276" t="b">
        <f>OR(Table67[[#This Row],[Extreme Response Style]],Table67[[#This Row],[Mid-point Response Style]])</f>
        <v>0</v>
      </c>
      <c r="AY1276" t="b">
        <f>OR(Table67[[#This Row],[Delete? (Stage 1)]],Table67[[#This Row],[Delete? (Stage 2)]])</f>
        <v>1</v>
      </c>
      <c r="AZ1276" t="s">
        <v>84</v>
      </c>
    </row>
    <row r="1277" spans="1:52">
      <c r="A1277">
        <f t="shared" si="79"/>
        <v>1276</v>
      </c>
      <c r="B1277" s="3">
        <v>46057.485925925903</v>
      </c>
      <c r="C1277" s="3">
        <v>46057.517905092602</v>
      </c>
      <c r="D1277" t="s">
        <v>53</v>
      </c>
      <c r="G1277" t="s">
        <v>54</v>
      </c>
      <c r="H1277" t="s">
        <v>63</v>
      </c>
      <c r="I1277" t="s">
        <v>69</v>
      </c>
      <c r="J1277" t="s">
        <v>62</v>
      </c>
      <c r="K1277" t="s">
        <v>57</v>
      </c>
      <c r="L1277" t="s">
        <v>58</v>
      </c>
      <c r="M1277" t="s">
        <v>58</v>
      </c>
      <c r="N1277">
        <v>2</v>
      </c>
      <c r="O1277">
        <v>3</v>
      </c>
      <c r="P1277">
        <v>3</v>
      </c>
      <c r="Q1277">
        <v>2</v>
      </c>
      <c r="R1277">
        <v>3</v>
      </c>
      <c r="S1277">
        <v>5</v>
      </c>
      <c r="T1277">
        <v>3</v>
      </c>
      <c r="U1277">
        <v>3</v>
      </c>
      <c r="V1277">
        <v>3</v>
      </c>
      <c r="W1277">
        <v>3</v>
      </c>
      <c r="X1277">
        <v>3</v>
      </c>
      <c r="Y1277">
        <v>3</v>
      </c>
      <c r="Z1277">
        <v>5</v>
      </c>
      <c r="AA1277">
        <v>3</v>
      </c>
      <c r="AB1277">
        <v>3</v>
      </c>
      <c r="AC1277">
        <v>2</v>
      </c>
      <c r="AD1277">
        <v>3</v>
      </c>
      <c r="AE1277">
        <v>3</v>
      </c>
      <c r="AF1277">
        <v>3</v>
      </c>
      <c r="AG1277">
        <v>3</v>
      </c>
      <c r="AH1277">
        <v>3</v>
      </c>
      <c r="AI1277">
        <v>3</v>
      </c>
      <c r="AJ1277">
        <v>3</v>
      </c>
      <c r="AK1277" t="b">
        <f>Table67[[#This Row],[What is your age?]]&lt;&gt;"18 - 25"</f>
        <v>0</v>
      </c>
      <c r="AL1277" t="b">
        <f t="shared" si="76"/>
        <v>0</v>
      </c>
      <c r="AM1277" t="b">
        <f t="shared" si="77"/>
        <v>0</v>
      </c>
      <c r="AN1277" t="b">
        <f t="shared" si="78"/>
        <v>0</v>
      </c>
      <c r="AO1277" t="b">
        <f>OR(Table67[[#This Row],[Ineligible respondents]:[Inconsistent response on opposite question (3)]])</f>
        <v>0</v>
      </c>
      <c r="AP127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277">
        <f>Table67[[#This Row],[Extreme Response]]/21</f>
        <v>9.5238095238095233E-2</v>
      </c>
      <c r="AR1277">
        <f>_xlfn.PERCENTILE.INC(Table67[Extrem Response Ratio (ERS)],0.9)</f>
        <v>0.61904761904761907</v>
      </c>
      <c r="AS1277" t="b">
        <f>Table67[[#This Row],[Extrem Response Ratio (ERS)]]&gt;=Table67[[#This Row],[Threshold of ERS]]</f>
        <v>0</v>
      </c>
      <c r="AT1277">
        <f>COUNTIF(Table67[[#This Row],[The mechanism of digital assets is difficult to understand, which discourages me from exploring it (E.g, Tokenization, Blockchain)]:[If I want to try different ways to invest, I will explore digital assets.]], 3)</f>
        <v>16</v>
      </c>
      <c r="AU1277">
        <f>Table67[[#This Row],[Midpoint]]/21</f>
        <v>0.76190476190476186</v>
      </c>
      <c r="AV1277">
        <f>_xlfn.PERCENTILE.INC(Table67[Midpoint ratio],0.9)</f>
        <v>0.5714285714285714</v>
      </c>
      <c r="AW1277" t="b">
        <f>Table67[[#This Row],[Midpoint ratio]]&gt;=Table67[[#This Row],[Threshold of Midpoint ratio]]</f>
        <v>1</v>
      </c>
      <c r="AX1277" t="b">
        <f>OR(Table67[[#This Row],[Extreme Response Style]],Table67[[#This Row],[Mid-point Response Style]])</f>
        <v>1</v>
      </c>
      <c r="AY1277" t="b">
        <f>OR(Table67[[#This Row],[Delete? (Stage 1)]],Table67[[#This Row],[Delete? (Stage 2)]])</f>
        <v>1</v>
      </c>
      <c r="AZ1277" t="s">
        <v>84</v>
      </c>
    </row>
    <row r="1278" spans="1:52">
      <c r="A1278">
        <f t="shared" si="79"/>
        <v>1277</v>
      </c>
      <c r="B1278" s="3">
        <v>46057.486238425903</v>
      </c>
      <c r="C1278" s="3">
        <v>46057.500115740702</v>
      </c>
      <c r="D1278" t="s">
        <v>53</v>
      </c>
      <c r="G1278" t="s">
        <v>54</v>
      </c>
      <c r="H1278" t="s">
        <v>55</v>
      </c>
      <c r="I1278" t="s">
        <v>56</v>
      </c>
      <c r="J1278" t="s">
        <v>60</v>
      </c>
      <c r="K1278" t="s">
        <v>64</v>
      </c>
      <c r="L1278" t="s">
        <v>58</v>
      </c>
      <c r="M1278" t="s">
        <v>58</v>
      </c>
      <c r="N1278">
        <v>2</v>
      </c>
      <c r="O1278">
        <v>1</v>
      </c>
      <c r="P1278">
        <v>4</v>
      </c>
      <c r="Q1278">
        <v>4</v>
      </c>
      <c r="R1278">
        <v>5</v>
      </c>
      <c r="S1278">
        <v>5</v>
      </c>
      <c r="T1278">
        <v>2</v>
      </c>
      <c r="U1278">
        <v>1</v>
      </c>
      <c r="V1278">
        <v>5</v>
      </c>
      <c r="W1278">
        <v>5</v>
      </c>
      <c r="X1278">
        <v>5</v>
      </c>
      <c r="Y1278">
        <v>5</v>
      </c>
      <c r="Z1278">
        <v>5</v>
      </c>
      <c r="AA1278">
        <v>4</v>
      </c>
      <c r="AB1278">
        <v>1</v>
      </c>
      <c r="AC1278">
        <v>1</v>
      </c>
      <c r="AD1278">
        <v>5</v>
      </c>
      <c r="AE1278">
        <v>5</v>
      </c>
      <c r="AF1278">
        <v>4</v>
      </c>
      <c r="AG1278">
        <v>1</v>
      </c>
      <c r="AH1278">
        <v>5</v>
      </c>
      <c r="AI1278">
        <v>1</v>
      </c>
      <c r="AJ1278">
        <v>2</v>
      </c>
      <c r="AK1278" t="b">
        <f>Table67[[#This Row],[What is your age?]]&lt;&gt;"18 - 25"</f>
        <v>0</v>
      </c>
      <c r="AL1278" t="b">
        <f t="shared" si="76"/>
        <v>0</v>
      </c>
      <c r="AM1278" t="b">
        <f t="shared" si="77"/>
        <v>0</v>
      </c>
      <c r="AN1278" t="b">
        <f t="shared" si="78"/>
        <v>0</v>
      </c>
      <c r="AO1278" t="b">
        <f>OR(Table67[[#This Row],[Ineligible respondents]:[Inconsistent response on opposite question (3)]])</f>
        <v>0</v>
      </c>
      <c r="AP127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1278">
        <f>Table67[[#This Row],[Extreme Response]]/21</f>
        <v>0.7142857142857143</v>
      </c>
      <c r="AR1278">
        <f>_xlfn.PERCENTILE.INC(Table67[Extrem Response Ratio (ERS)],0.9)</f>
        <v>0.61904761904761907</v>
      </c>
      <c r="AS1278" t="b">
        <f>Table67[[#This Row],[Extrem Response Ratio (ERS)]]&gt;=Table67[[#This Row],[Threshold of ERS]]</f>
        <v>1</v>
      </c>
      <c r="AT1278">
        <f>COUNTIF(Table67[[#This Row],[The mechanism of digital assets is difficult to understand, which discourages me from exploring it (E.g, Tokenization, Blockchain)]:[If I want to try different ways to invest, I will explore digital assets.]], 3)</f>
        <v>0</v>
      </c>
      <c r="AU1278">
        <f>Table67[[#This Row],[Midpoint]]/21</f>
        <v>0</v>
      </c>
      <c r="AV1278">
        <f>_xlfn.PERCENTILE.INC(Table67[Midpoint ratio],0.9)</f>
        <v>0.5714285714285714</v>
      </c>
      <c r="AW1278" t="b">
        <f>Table67[[#This Row],[Midpoint ratio]]&gt;=Table67[[#This Row],[Threshold of Midpoint ratio]]</f>
        <v>0</v>
      </c>
      <c r="AX1278" t="b">
        <f>OR(Table67[[#This Row],[Extreme Response Style]],Table67[[#This Row],[Mid-point Response Style]])</f>
        <v>1</v>
      </c>
      <c r="AY1278" t="b">
        <f>OR(Table67[[#This Row],[Delete? (Stage 1)]],Table67[[#This Row],[Delete? (Stage 2)]])</f>
        <v>1</v>
      </c>
      <c r="AZ1278" t="s">
        <v>84</v>
      </c>
    </row>
    <row r="1279" spans="1:52">
      <c r="A1279">
        <f t="shared" si="79"/>
        <v>1278</v>
      </c>
      <c r="B1279" s="3">
        <v>46057.486585648097</v>
      </c>
      <c r="C1279" s="3">
        <v>46057.495497685202</v>
      </c>
      <c r="D1279" t="s">
        <v>53</v>
      </c>
      <c r="G1279" t="s">
        <v>54</v>
      </c>
      <c r="H1279" t="s">
        <v>55</v>
      </c>
      <c r="I1279" t="s">
        <v>75</v>
      </c>
      <c r="J1279" t="s">
        <v>67</v>
      </c>
      <c r="K1279" t="s">
        <v>62</v>
      </c>
      <c r="L1279" t="s">
        <v>61</v>
      </c>
      <c r="M1279" t="s">
        <v>61</v>
      </c>
      <c r="N1279">
        <v>4</v>
      </c>
      <c r="O1279">
        <v>1</v>
      </c>
      <c r="P1279">
        <v>4</v>
      </c>
      <c r="Q1279">
        <v>1</v>
      </c>
      <c r="R1279">
        <v>2</v>
      </c>
      <c r="S1279">
        <v>1</v>
      </c>
      <c r="T1279">
        <v>2</v>
      </c>
      <c r="U1279">
        <v>1</v>
      </c>
      <c r="V1279">
        <v>4</v>
      </c>
      <c r="W1279">
        <v>4</v>
      </c>
      <c r="X1279">
        <v>4</v>
      </c>
      <c r="Y1279">
        <v>3</v>
      </c>
      <c r="Z1279">
        <v>4</v>
      </c>
      <c r="AA1279">
        <v>4</v>
      </c>
      <c r="AB1279">
        <v>4</v>
      </c>
      <c r="AC1279">
        <v>2</v>
      </c>
      <c r="AD1279">
        <v>4</v>
      </c>
      <c r="AE1279">
        <v>2</v>
      </c>
      <c r="AF1279">
        <v>4</v>
      </c>
      <c r="AG1279">
        <v>3</v>
      </c>
      <c r="AH1279">
        <v>4</v>
      </c>
      <c r="AI1279">
        <v>2</v>
      </c>
      <c r="AJ1279">
        <v>2</v>
      </c>
      <c r="AK1279" t="b">
        <f>Table67[[#This Row],[What is your age?]]&lt;&gt;"18 - 25"</f>
        <v>0</v>
      </c>
      <c r="AL1279" t="b">
        <f t="shared" si="76"/>
        <v>0</v>
      </c>
      <c r="AM1279" t="b">
        <f t="shared" si="77"/>
        <v>0</v>
      </c>
      <c r="AN1279" t="b">
        <f t="shared" si="78"/>
        <v>1</v>
      </c>
      <c r="AO1279" t="b">
        <f>OR(Table67[[#This Row],[Ineligible respondents]:[Inconsistent response on opposite question (3)]])</f>
        <v>1</v>
      </c>
      <c r="AP127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279">
        <f>Table67[[#This Row],[Extreme Response]]/21</f>
        <v>0.19047619047619047</v>
      </c>
      <c r="AR1279">
        <f>_xlfn.PERCENTILE.INC(Table67[Extrem Response Ratio (ERS)],0.9)</f>
        <v>0.61904761904761907</v>
      </c>
      <c r="AS1279" t="b">
        <f>Table67[[#This Row],[Extrem Response Ratio (ERS)]]&gt;=Table67[[#This Row],[Threshold of ERS]]</f>
        <v>0</v>
      </c>
      <c r="AT1279">
        <f>COUNTIF(Table67[[#This Row],[The mechanism of digital assets is difficult to understand, which discourages me from exploring it (E.g, Tokenization, Blockchain)]:[If I want to try different ways to invest, I will explore digital assets.]], 3)</f>
        <v>2</v>
      </c>
      <c r="AU1279">
        <f>Table67[[#This Row],[Midpoint]]/21</f>
        <v>9.5238095238095233E-2</v>
      </c>
      <c r="AV1279">
        <f>_xlfn.PERCENTILE.INC(Table67[Midpoint ratio],0.9)</f>
        <v>0.5714285714285714</v>
      </c>
      <c r="AW1279" t="b">
        <f>Table67[[#This Row],[Midpoint ratio]]&gt;=Table67[[#This Row],[Threshold of Midpoint ratio]]</f>
        <v>0</v>
      </c>
      <c r="AX1279" t="b">
        <f>OR(Table67[[#This Row],[Extreme Response Style]],Table67[[#This Row],[Mid-point Response Style]])</f>
        <v>0</v>
      </c>
      <c r="AY1279" t="b">
        <f>OR(Table67[[#This Row],[Delete? (Stage 1)]],Table67[[#This Row],[Delete? (Stage 2)]])</f>
        <v>1</v>
      </c>
      <c r="AZ1279" t="s">
        <v>84</v>
      </c>
    </row>
    <row r="1280" spans="1:52">
      <c r="A1280">
        <f t="shared" si="79"/>
        <v>1279</v>
      </c>
      <c r="B1280" s="3">
        <v>46057.488113425898</v>
      </c>
      <c r="C1280" s="3">
        <v>46057.494375000002</v>
      </c>
      <c r="D1280" t="s">
        <v>53</v>
      </c>
      <c r="G1280" t="s">
        <v>54</v>
      </c>
      <c r="H1280" t="s">
        <v>55</v>
      </c>
      <c r="I1280" t="s">
        <v>56</v>
      </c>
      <c r="J1280" t="s">
        <v>62</v>
      </c>
      <c r="K1280" t="s">
        <v>62</v>
      </c>
      <c r="L1280" t="s">
        <v>58</v>
      </c>
      <c r="M1280" t="s">
        <v>61</v>
      </c>
      <c r="N1280">
        <v>4</v>
      </c>
      <c r="O1280">
        <v>2</v>
      </c>
      <c r="P1280">
        <v>3</v>
      </c>
      <c r="Q1280">
        <v>3</v>
      </c>
      <c r="R1280">
        <v>1</v>
      </c>
      <c r="S1280">
        <v>1</v>
      </c>
      <c r="T1280">
        <v>5</v>
      </c>
      <c r="U1280">
        <v>3</v>
      </c>
      <c r="V1280">
        <v>3</v>
      </c>
      <c r="W1280">
        <v>5</v>
      </c>
      <c r="X1280">
        <v>3</v>
      </c>
      <c r="Y1280">
        <v>3</v>
      </c>
      <c r="Z1280">
        <v>3</v>
      </c>
      <c r="AA1280">
        <v>2</v>
      </c>
      <c r="AB1280">
        <v>1</v>
      </c>
      <c r="AC1280">
        <v>1</v>
      </c>
      <c r="AD1280">
        <v>3</v>
      </c>
      <c r="AE1280">
        <v>5</v>
      </c>
      <c r="AF1280">
        <v>5</v>
      </c>
      <c r="AG1280">
        <v>3</v>
      </c>
      <c r="AH1280">
        <v>4</v>
      </c>
      <c r="AI1280">
        <v>2</v>
      </c>
      <c r="AJ1280">
        <v>1</v>
      </c>
      <c r="AK1280" t="b">
        <f>Table67[[#This Row],[What is your age?]]&lt;&gt;"18 - 25"</f>
        <v>0</v>
      </c>
      <c r="AL1280" t="b">
        <f t="shared" si="76"/>
        <v>0</v>
      </c>
      <c r="AM1280" t="b">
        <f t="shared" si="77"/>
        <v>0</v>
      </c>
      <c r="AN1280" t="b">
        <f t="shared" si="78"/>
        <v>1</v>
      </c>
      <c r="AO1280" t="b">
        <f>OR(Table67[[#This Row],[Ineligible respondents]:[Inconsistent response on opposite question (3)]])</f>
        <v>1</v>
      </c>
      <c r="AP128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1280">
        <f>Table67[[#This Row],[Extreme Response]]/21</f>
        <v>0.38095238095238093</v>
      </c>
      <c r="AR1280">
        <f>_xlfn.PERCENTILE.INC(Table67[Extrem Response Ratio (ERS)],0.9)</f>
        <v>0.61904761904761907</v>
      </c>
      <c r="AS1280" t="b">
        <f>Table67[[#This Row],[Extrem Response Ratio (ERS)]]&gt;=Table67[[#This Row],[Threshold of ERS]]</f>
        <v>0</v>
      </c>
      <c r="AT1280">
        <f>COUNTIF(Table67[[#This Row],[The mechanism of digital assets is difficult to understand, which discourages me from exploring it (E.g, Tokenization, Blockchain)]:[If I want to try different ways to invest, I will explore digital assets.]], 3)</f>
        <v>9</v>
      </c>
      <c r="AU1280">
        <f>Table67[[#This Row],[Midpoint]]/21</f>
        <v>0.42857142857142855</v>
      </c>
      <c r="AV1280">
        <f>_xlfn.PERCENTILE.INC(Table67[Midpoint ratio],0.9)</f>
        <v>0.5714285714285714</v>
      </c>
      <c r="AW1280" t="b">
        <f>Table67[[#This Row],[Midpoint ratio]]&gt;=Table67[[#This Row],[Threshold of Midpoint ratio]]</f>
        <v>0</v>
      </c>
      <c r="AX1280" t="b">
        <f>OR(Table67[[#This Row],[Extreme Response Style]],Table67[[#This Row],[Mid-point Response Style]])</f>
        <v>0</v>
      </c>
      <c r="AY1280" t="b">
        <f>OR(Table67[[#This Row],[Delete? (Stage 1)]],Table67[[#This Row],[Delete? (Stage 2)]])</f>
        <v>1</v>
      </c>
      <c r="AZ1280" t="s">
        <v>84</v>
      </c>
    </row>
    <row r="1281" spans="1:52">
      <c r="A1281">
        <f t="shared" si="79"/>
        <v>1280</v>
      </c>
      <c r="B1281" s="3">
        <v>46057.492627314801</v>
      </c>
      <c r="C1281" s="3">
        <v>46057.501828703702</v>
      </c>
      <c r="D1281" t="s">
        <v>53</v>
      </c>
      <c r="G1281" t="s">
        <v>54</v>
      </c>
      <c r="H1281" t="s">
        <v>55</v>
      </c>
      <c r="I1281" t="s">
        <v>71</v>
      </c>
      <c r="J1281" t="s">
        <v>62</v>
      </c>
      <c r="K1281" t="s">
        <v>57</v>
      </c>
      <c r="L1281" t="s">
        <v>58</v>
      </c>
      <c r="M1281" t="s">
        <v>58</v>
      </c>
      <c r="N1281">
        <v>3</v>
      </c>
      <c r="O1281">
        <v>2</v>
      </c>
      <c r="P1281">
        <v>1</v>
      </c>
      <c r="Q1281">
        <v>1</v>
      </c>
      <c r="R1281">
        <v>3</v>
      </c>
      <c r="S1281">
        <v>4</v>
      </c>
      <c r="T1281">
        <v>3</v>
      </c>
      <c r="U1281">
        <v>3</v>
      </c>
      <c r="V1281">
        <v>4</v>
      </c>
      <c r="W1281">
        <v>4</v>
      </c>
      <c r="X1281">
        <v>3</v>
      </c>
      <c r="Y1281">
        <v>5</v>
      </c>
      <c r="Z1281">
        <v>5</v>
      </c>
      <c r="AA1281">
        <v>4</v>
      </c>
      <c r="AB1281">
        <v>3</v>
      </c>
      <c r="AC1281">
        <v>3</v>
      </c>
      <c r="AD1281">
        <v>4</v>
      </c>
      <c r="AE1281">
        <v>4</v>
      </c>
      <c r="AF1281">
        <v>3</v>
      </c>
      <c r="AG1281">
        <v>3</v>
      </c>
      <c r="AH1281">
        <v>3</v>
      </c>
      <c r="AI1281">
        <v>3</v>
      </c>
      <c r="AJ1281">
        <v>3</v>
      </c>
      <c r="AK1281" t="b">
        <f>Table67[[#This Row],[What is your age?]]&lt;&gt;"18 - 25"</f>
        <v>0</v>
      </c>
      <c r="AL1281" t="b">
        <f t="shared" si="76"/>
        <v>0</v>
      </c>
      <c r="AM1281" t="b">
        <f t="shared" si="77"/>
        <v>0</v>
      </c>
      <c r="AN1281" t="b">
        <f t="shared" si="78"/>
        <v>0</v>
      </c>
      <c r="AO1281" t="b">
        <f>OR(Table67[[#This Row],[Ineligible respondents]:[Inconsistent response on opposite question (3)]])</f>
        <v>0</v>
      </c>
      <c r="AP128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281">
        <f>Table67[[#This Row],[Extreme Response]]/21</f>
        <v>0.19047619047619047</v>
      </c>
      <c r="AR1281">
        <f>_xlfn.PERCENTILE.INC(Table67[Extrem Response Ratio (ERS)],0.9)</f>
        <v>0.61904761904761907</v>
      </c>
      <c r="AS1281" t="b">
        <f>Table67[[#This Row],[Extrem Response Ratio (ERS)]]&gt;=Table67[[#This Row],[Threshold of ERS]]</f>
        <v>0</v>
      </c>
      <c r="AT1281">
        <f>COUNTIF(Table67[[#This Row],[The mechanism of digital assets is difficult to understand, which discourages me from exploring it (E.g, Tokenization, Blockchain)]:[If I want to try different ways to invest, I will explore digital assets.]], 3)</f>
        <v>10</v>
      </c>
      <c r="AU1281">
        <f>Table67[[#This Row],[Midpoint]]/21</f>
        <v>0.47619047619047616</v>
      </c>
      <c r="AV1281">
        <f>_xlfn.PERCENTILE.INC(Table67[Midpoint ratio],0.9)</f>
        <v>0.5714285714285714</v>
      </c>
      <c r="AW1281" t="b">
        <f>Table67[[#This Row],[Midpoint ratio]]&gt;=Table67[[#This Row],[Threshold of Midpoint ratio]]</f>
        <v>0</v>
      </c>
      <c r="AX1281" t="b">
        <f>OR(Table67[[#This Row],[Extreme Response Style]],Table67[[#This Row],[Mid-point Response Style]])</f>
        <v>0</v>
      </c>
      <c r="AY1281" t="b">
        <f>OR(Table67[[#This Row],[Delete? (Stage 1)]],Table67[[#This Row],[Delete? (Stage 2)]])</f>
        <v>0</v>
      </c>
      <c r="AZ1281" t="s">
        <v>84</v>
      </c>
    </row>
    <row r="1282" spans="1:52">
      <c r="A1282">
        <f t="shared" si="79"/>
        <v>1281</v>
      </c>
      <c r="B1282" s="3">
        <v>46057.494791666701</v>
      </c>
      <c r="C1282" s="3">
        <v>46057.498356481497</v>
      </c>
      <c r="D1282" t="s">
        <v>53</v>
      </c>
      <c r="G1282" t="s">
        <v>54</v>
      </c>
      <c r="H1282" t="s">
        <v>55</v>
      </c>
      <c r="I1282" t="s">
        <v>69</v>
      </c>
      <c r="J1282" t="s">
        <v>62</v>
      </c>
      <c r="K1282" t="s">
        <v>62</v>
      </c>
      <c r="L1282" t="s">
        <v>61</v>
      </c>
      <c r="M1282" t="s">
        <v>61</v>
      </c>
      <c r="N1282">
        <v>3</v>
      </c>
      <c r="O1282">
        <v>1</v>
      </c>
      <c r="P1282">
        <v>5</v>
      </c>
      <c r="Q1282">
        <v>4</v>
      </c>
      <c r="R1282">
        <v>1</v>
      </c>
      <c r="S1282">
        <v>1</v>
      </c>
      <c r="T1282">
        <v>4</v>
      </c>
      <c r="U1282">
        <v>4</v>
      </c>
      <c r="V1282">
        <v>3</v>
      </c>
      <c r="W1282">
        <v>1</v>
      </c>
      <c r="X1282">
        <v>1</v>
      </c>
      <c r="Y1282">
        <v>2</v>
      </c>
      <c r="Z1282">
        <v>2</v>
      </c>
      <c r="AA1282">
        <v>4</v>
      </c>
      <c r="AB1282">
        <v>4</v>
      </c>
      <c r="AC1282">
        <v>2</v>
      </c>
      <c r="AD1282">
        <v>4</v>
      </c>
      <c r="AE1282">
        <v>4</v>
      </c>
      <c r="AF1282">
        <v>4</v>
      </c>
      <c r="AG1282">
        <v>4</v>
      </c>
      <c r="AH1282">
        <v>4</v>
      </c>
      <c r="AI1282">
        <v>2</v>
      </c>
      <c r="AJ1282">
        <v>2</v>
      </c>
      <c r="AK1282" t="b">
        <f>Table67[[#This Row],[What is your age?]]&lt;&gt;"18 - 25"</f>
        <v>0</v>
      </c>
      <c r="AL1282" t="b">
        <f t="shared" si="76"/>
        <v>0</v>
      </c>
      <c r="AM1282" t="b">
        <f t="shared" si="77"/>
        <v>1</v>
      </c>
      <c r="AN1282" t="b">
        <f t="shared" si="78"/>
        <v>0</v>
      </c>
      <c r="AO1282" t="b">
        <f>OR(Table67[[#This Row],[Ineligible respondents]:[Inconsistent response on opposite question (3)]])</f>
        <v>1</v>
      </c>
      <c r="AP128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282">
        <f>Table67[[#This Row],[Extreme Response]]/21</f>
        <v>0.2857142857142857</v>
      </c>
      <c r="AR1282">
        <f>_xlfn.PERCENTILE.INC(Table67[Extrem Response Ratio (ERS)],0.9)</f>
        <v>0.61904761904761907</v>
      </c>
      <c r="AS1282" t="b">
        <f>Table67[[#This Row],[Extrem Response Ratio (ERS)]]&gt;=Table67[[#This Row],[Threshold of ERS]]</f>
        <v>0</v>
      </c>
      <c r="AT1282">
        <f>COUNTIF(Table67[[#This Row],[The mechanism of digital assets is difficult to understand, which discourages me from exploring it (E.g, Tokenization, Blockchain)]:[If I want to try different ways to invest, I will explore digital assets.]], 3)</f>
        <v>2</v>
      </c>
      <c r="AU1282">
        <f>Table67[[#This Row],[Midpoint]]/21</f>
        <v>9.5238095238095233E-2</v>
      </c>
      <c r="AV1282">
        <f>_xlfn.PERCENTILE.INC(Table67[Midpoint ratio],0.9)</f>
        <v>0.5714285714285714</v>
      </c>
      <c r="AW1282" t="b">
        <f>Table67[[#This Row],[Midpoint ratio]]&gt;=Table67[[#This Row],[Threshold of Midpoint ratio]]</f>
        <v>0</v>
      </c>
      <c r="AX1282" t="b">
        <f>OR(Table67[[#This Row],[Extreme Response Style]],Table67[[#This Row],[Mid-point Response Style]])</f>
        <v>0</v>
      </c>
      <c r="AY1282" t="b">
        <f>OR(Table67[[#This Row],[Delete? (Stage 1)]],Table67[[#This Row],[Delete? (Stage 2)]])</f>
        <v>1</v>
      </c>
      <c r="AZ1282" t="s">
        <v>84</v>
      </c>
    </row>
    <row r="1283" spans="1:52">
      <c r="A1283">
        <f t="shared" si="79"/>
        <v>1282</v>
      </c>
      <c r="B1283" s="3">
        <v>46057.501493055599</v>
      </c>
      <c r="C1283" s="3">
        <v>46057.506516203699</v>
      </c>
      <c r="D1283" t="s">
        <v>53</v>
      </c>
      <c r="G1283" t="s">
        <v>54</v>
      </c>
      <c r="H1283" t="s">
        <v>63</v>
      </c>
      <c r="I1283" t="s">
        <v>71</v>
      </c>
      <c r="J1283" t="s">
        <v>66</v>
      </c>
      <c r="K1283" t="s">
        <v>62</v>
      </c>
      <c r="L1283" t="s">
        <v>58</v>
      </c>
      <c r="M1283" t="s">
        <v>58</v>
      </c>
      <c r="N1283">
        <v>5</v>
      </c>
      <c r="O1283">
        <v>4</v>
      </c>
      <c r="P1283">
        <v>5</v>
      </c>
      <c r="Q1283">
        <v>4</v>
      </c>
      <c r="R1283">
        <v>5</v>
      </c>
      <c r="S1283">
        <v>5</v>
      </c>
      <c r="T1283">
        <v>5</v>
      </c>
      <c r="U1283">
        <v>5</v>
      </c>
      <c r="V1283">
        <v>5</v>
      </c>
      <c r="W1283">
        <v>5</v>
      </c>
      <c r="X1283">
        <v>4</v>
      </c>
      <c r="Y1283">
        <v>5</v>
      </c>
      <c r="Z1283">
        <v>5</v>
      </c>
      <c r="AA1283">
        <v>5</v>
      </c>
      <c r="AB1283">
        <v>5</v>
      </c>
      <c r="AC1283">
        <v>5</v>
      </c>
      <c r="AD1283">
        <v>5</v>
      </c>
      <c r="AE1283">
        <v>5</v>
      </c>
      <c r="AF1283">
        <v>2</v>
      </c>
      <c r="AG1283">
        <v>5</v>
      </c>
      <c r="AH1283">
        <v>5</v>
      </c>
      <c r="AI1283">
        <v>1</v>
      </c>
      <c r="AJ1283">
        <v>4</v>
      </c>
      <c r="AK1283" t="b">
        <f>Table67[[#This Row],[What is your age?]]&lt;&gt;"18 - 25"</f>
        <v>0</v>
      </c>
      <c r="AL1283" t="b">
        <f t="shared" ref="AL1283:AL1346" si="80">COUNTIF(N1283:AH1283, N1283) = COLUMNS(N1283:AH1283)</f>
        <v>0</v>
      </c>
      <c r="AM1283" t="b">
        <f t="shared" ref="AM1283:AM1346" si="81">OR(AND(AG1283=AH1283, AG1283&lt;&gt;3), AND(OR(AG1283=1, AG1283=2), OR(AH1283=1, AH1283=2)), AND(OR(AG1283=4, AG1283=5), OR(AH1283=4, AH1283=5)))</f>
        <v>1</v>
      </c>
      <c r="AN1283" t="b">
        <f t="shared" ref="AN1283:AN1346" si="82">OR(AND(AG1283=3, AH1283&lt;&gt;3), AND(AH1283=3, AG1283&lt;&gt;3))</f>
        <v>0</v>
      </c>
      <c r="AO1283" t="b">
        <f>OR(Table67[[#This Row],[Ineligible respondents]:[Inconsistent response on opposite question (3)]])</f>
        <v>1</v>
      </c>
      <c r="AP128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17</v>
      </c>
      <c r="AQ1283">
        <f>Table67[[#This Row],[Extreme Response]]/21</f>
        <v>0.80952380952380953</v>
      </c>
      <c r="AR1283">
        <f>_xlfn.PERCENTILE.INC(Table67[Extrem Response Ratio (ERS)],0.9)</f>
        <v>0.61904761904761907</v>
      </c>
      <c r="AS1283" t="b">
        <f>Table67[[#This Row],[Extrem Response Ratio (ERS)]]&gt;=Table67[[#This Row],[Threshold of ERS]]</f>
        <v>1</v>
      </c>
      <c r="AT1283">
        <f>COUNTIF(Table67[[#This Row],[The mechanism of digital assets is difficult to understand, which discourages me from exploring it (E.g, Tokenization, Blockchain)]:[If I want to try different ways to invest, I will explore digital assets.]], 3)</f>
        <v>0</v>
      </c>
      <c r="AU1283">
        <f>Table67[[#This Row],[Midpoint]]/21</f>
        <v>0</v>
      </c>
      <c r="AV1283">
        <f>_xlfn.PERCENTILE.INC(Table67[Midpoint ratio],0.9)</f>
        <v>0.5714285714285714</v>
      </c>
      <c r="AW1283" t="b">
        <f>Table67[[#This Row],[Midpoint ratio]]&gt;=Table67[[#This Row],[Threshold of Midpoint ratio]]</f>
        <v>0</v>
      </c>
      <c r="AX1283" t="b">
        <f>OR(Table67[[#This Row],[Extreme Response Style]],Table67[[#This Row],[Mid-point Response Style]])</f>
        <v>1</v>
      </c>
      <c r="AY1283" t="b">
        <f>OR(Table67[[#This Row],[Delete? (Stage 1)]],Table67[[#This Row],[Delete? (Stage 2)]])</f>
        <v>1</v>
      </c>
      <c r="AZ1283" t="s">
        <v>84</v>
      </c>
    </row>
    <row r="1284" spans="1:52">
      <c r="A1284">
        <f t="shared" ref="A1284:A1347" si="83">1+A1283</f>
        <v>1283</v>
      </c>
      <c r="B1284" s="3">
        <v>46057.501631944397</v>
      </c>
      <c r="C1284" s="3">
        <v>46057.505370370403</v>
      </c>
      <c r="D1284" t="s">
        <v>53</v>
      </c>
      <c r="G1284" t="s">
        <v>54</v>
      </c>
      <c r="H1284" t="s">
        <v>63</v>
      </c>
      <c r="I1284" t="s">
        <v>56</v>
      </c>
      <c r="J1284" t="s">
        <v>62</v>
      </c>
      <c r="K1284" t="s">
        <v>57</v>
      </c>
      <c r="L1284" t="s">
        <v>58</v>
      </c>
      <c r="M1284" t="s">
        <v>61</v>
      </c>
      <c r="N1284">
        <v>2</v>
      </c>
      <c r="O1284">
        <v>2</v>
      </c>
      <c r="P1284">
        <v>4</v>
      </c>
      <c r="Q1284">
        <v>4</v>
      </c>
      <c r="R1284">
        <v>2</v>
      </c>
      <c r="S1284">
        <v>4</v>
      </c>
      <c r="T1284">
        <v>3</v>
      </c>
      <c r="U1284">
        <v>3</v>
      </c>
      <c r="V1284">
        <v>2</v>
      </c>
      <c r="W1284">
        <v>1</v>
      </c>
      <c r="X1284">
        <v>2</v>
      </c>
      <c r="Y1284">
        <v>2</v>
      </c>
      <c r="Z1284">
        <v>4</v>
      </c>
      <c r="AA1284">
        <v>2</v>
      </c>
      <c r="AB1284">
        <v>2</v>
      </c>
      <c r="AC1284">
        <v>3</v>
      </c>
      <c r="AD1284">
        <v>2</v>
      </c>
      <c r="AE1284">
        <v>4</v>
      </c>
      <c r="AF1284">
        <v>4</v>
      </c>
      <c r="AG1284">
        <v>4</v>
      </c>
      <c r="AH1284">
        <v>4</v>
      </c>
      <c r="AI1284">
        <v>2</v>
      </c>
      <c r="AJ1284">
        <v>2</v>
      </c>
      <c r="AK1284" t="b">
        <f>Table67[[#This Row],[What is your age?]]&lt;&gt;"18 - 25"</f>
        <v>0</v>
      </c>
      <c r="AL1284" t="b">
        <f t="shared" si="80"/>
        <v>0</v>
      </c>
      <c r="AM1284" t="b">
        <f t="shared" si="81"/>
        <v>1</v>
      </c>
      <c r="AN1284" t="b">
        <f t="shared" si="82"/>
        <v>0</v>
      </c>
      <c r="AO1284" t="b">
        <f>OR(Table67[[#This Row],[Ineligible respondents]:[Inconsistent response on opposite question (3)]])</f>
        <v>1</v>
      </c>
      <c r="AP128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284">
        <f>Table67[[#This Row],[Extreme Response]]/21</f>
        <v>4.7619047619047616E-2</v>
      </c>
      <c r="AR1284">
        <f>_xlfn.PERCENTILE.INC(Table67[Extrem Response Ratio (ERS)],0.9)</f>
        <v>0.61904761904761907</v>
      </c>
      <c r="AS1284" t="b">
        <f>Table67[[#This Row],[Extrem Response Ratio (ERS)]]&gt;=Table67[[#This Row],[Threshold of ERS]]</f>
        <v>0</v>
      </c>
      <c r="AT1284">
        <f>COUNTIF(Table67[[#This Row],[The mechanism of digital assets is difficult to understand, which discourages me from exploring it (E.g, Tokenization, Blockchain)]:[If I want to try different ways to invest, I will explore digital assets.]], 3)</f>
        <v>3</v>
      </c>
      <c r="AU1284">
        <f>Table67[[#This Row],[Midpoint]]/21</f>
        <v>0.14285714285714285</v>
      </c>
      <c r="AV1284">
        <f>_xlfn.PERCENTILE.INC(Table67[Midpoint ratio],0.9)</f>
        <v>0.5714285714285714</v>
      </c>
      <c r="AW1284" t="b">
        <f>Table67[[#This Row],[Midpoint ratio]]&gt;=Table67[[#This Row],[Threshold of Midpoint ratio]]</f>
        <v>0</v>
      </c>
      <c r="AX1284" t="b">
        <f>OR(Table67[[#This Row],[Extreme Response Style]],Table67[[#This Row],[Mid-point Response Style]])</f>
        <v>0</v>
      </c>
      <c r="AY1284" t="b">
        <f>OR(Table67[[#This Row],[Delete? (Stage 1)]],Table67[[#This Row],[Delete? (Stage 2)]])</f>
        <v>1</v>
      </c>
      <c r="AZ1284" t="s">
        <v>84</v>
      </c>
    </row>
    <row r="1285" spans="1:52">
      <c r="A1285">
        <f t="shared" si="83"/>
        <v>1284</v>
      </c>
      <c r="B1285" s="3">
        <v>46057.561516203699</v>
      </c>
      <c r="C1285" s="3">
        <v>46057.569965277798</v>
      </c>
      <c r="D1285" t="s">
        <v>53</v>
      </c>
      <c r="G1285" t="s">
        <v>54</v>
      </c>
      <c r="H1285" t="s">
        <v>55</v>
      </c>
      <c r="I1285" t="s">
        <v>69</v>
      </c>
      <c r="J1285" t="s">
        <v>60</v>
      </c>
      <c r="K1285" t="s">
        <v>62</v>
      </c>
      <c r="L1285" t="s">
        <v>58</v>
      </c>
      <c r="M1285" t="s">
        <v>58</v>
      </c>
      <c r="N1285">
        <v>3</v>
      </c>
      <c r="O1285">
        <v>2</v>
      </c>
      <c r="P1285">
        <v>4</v>
      </c>
      <c r="Q1285">
        <v>3</v>
      </c>
      <c r="R1285">
        <v>4</v>
      </c>
      <c r="S1285">
        <v>2</v>
      </c>
      <c r="T1285">
        <v>4</v>
      </c>
      <c r="U1285">
        <v>3</v>
      </c>
      <c r="V1285">
        <v>4</v>
      </c>
      <c r="W1285">
        <v>5</v>
      </c>
      <c r="X1285">
        <v>3</v>
      </c>
      <c r="Y1285">
        <v>4</v>
      </c>
      <c r="Z1285">
        <v>5</v>
      </c>
      <c r="AA1285">
        <v>4</v>
      </c>
      <c r="AB1285">
        <v>4</v>
      </c>
      <c r="AC1285">
        <v>3</v>
      </c>
      <c r="AD1285">
        <v>5</v>
      </c>
      <c r="AE1285">
        <v>4</v>
      </c>
      <c r="AF1285">
        <v>4</v>
      </c>
      <c r="AG1285">
        <v>3</v>
      </c>
      <c r="AH1285">
        <v>4</v>
      </c>
      <c r="AI1285">
        <v>2</v>
      </c>
      <c r="AJ1285">
        <v>2</v>
      </c>
      <c r="AK1285" t="b">
        <f>Table67[[#This Row],[What is your age?]]&lt;&gt;"18 - 25"</f>
        <v>0</v>
      </c>
      <c r="AL1285" t="b">
        <f t="shared" si="80"/>
        <v>0</v>
      </c>
      <c r="AM1285" t="b">
        <f t="shared" si="81"/>
        <v>0</v>
      </c>
      <c r="AN1285" t="b">
        <f t="shared" si="82"/>
        <v>1</v>
      </c>
      <c r="AO1285" t="b">
        <f>OR(Table67[[#This Row],[Ineligible respondents]:[Inconsistent response on opposite question (3)]])</f>
        <v>1</v>
      </c>
      <c r="AP128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285">
        <f>Table67[[#This Row],[Extreme Response]]/21</f>
        <v>0.14285714285714285</v>
      </c>
      <c r="AR1285">
        <f>_xlfn.PERCENTILE.INC(Table67[Extrem Response Ratio (ERS)],0.9)</f>
        <v>0.61904761904761907</v>
      </c>
      <c r="AS1285" t="b">
        <f>Table67[[#This Row],[Extrem Response Ratio (ERS)]]&gt;=Table67[[#This Row],[Threshold of ERS]]</f>
        <v>0</v>
      </c>
      <c r="AT1285">
        <f>COUNTIF(Table67[[#This Row],[The mechanism of digital assets is difficult to understand, which discourages me from exploring it (E.g, Tokenization, Blockchain)]:[If I want to try different ways to invest, I will explore digital assets.]], 3)</f>
        <v>6</v>
      </c>
      <c r="AU1285">
        <f>Table67[[#This Row],[Midpoint]]/21</f>
        <v>0.2857142857142857</v>
      </c>
      <c r="AV1285">
        <f>_xlfn.PERCENTILE.INC(Table67[Midpoint ratio],0.9)</f>
        <v>0.5714285714285714</v>
      </c>
      <c r="AW1285" t="b">
        <f>Table67[[#This Row],[Midpoint ratio]]&gt;=Table67[[#This Row],[Threshold of Midpoint ratio]]</f>
        <v>0</v>
      </c>
      <c r="AX1285" t="b">
        <f>OR(Table67[[#This Row],[Extreme Response Style]],Table67[[#This Row],[Mid-point Response Style]])</f>
        <v>0</v>
      </c>
      <c r="AY1285" t="b">
        <f>OR(Table67[[#This Row],[Delete? (Stage 1)]],Table67[[#This Row],[Delete? (Stage 2)]])</f>
        <v>1</v>
      </c>
      <c r="AZ1285" t="s">
        <v>84</v>
      </c>
    </row>
    <row r="1286" spans="1:52">
      <c r="A1286">
        <f t="shared" si="83"/>
        <v>1285</v>
      </c>
      <c r="B1286" s="3">
        <v>46057.561608796299</v>
      </c>
      <c r="C1286" s="3">
        <v>46057.568587962996</v>
      </c>
      <c r="D1286" t="s">
        <v>53</v>
      </c>
      <c r="G1286" t="s">
        <v>54</v>
      </c>
      <c r="H1286" t="s">
        <v>55</v>
      </c>
      <c r="I1286" t="s">
        <v>56</v>
      </c>
      <c r="J1286" t="s">
        <v>62</v>
      </c>
      <c r="K1286" t="s">
        <v>57</v>
      </c>
      <c r="L1286" t="s">
        <v>58</v>
      </c>
      <c r="M1286" t="s">
        <v>58</v>
      </c>
      <c r="N1286">
        <v>4</v>
      </c>
      <c r="O1286">
        <v>4</v>
      </c>
      <c r="P1286">
        <v>3</v>
      </c>
      <c r="Q1286">
        <v>4</v>
      </c>
      <c r="R1286">
        <v>5</v>
      </c>
      <c r="S1286">
        <v>4</v>
      </c>
      <c r="T1286">
        <v>3</v>
      </c>
      <c r="U1286">
        <v>4</v>
      </c>
      <c r="V1286">
        <v>4</v>
      </c>
      <c r="W1286">
        <v>5</v>
      </c>
      <c r="X1286">
        <v>4</v>
      </c>
      <c r="Y1286">
        <v>4</v>
      </c>
      <c r="Z1286">
        <v>4</v>
      </c>
      <c r="AA1286">
        <v>4</v>
      </c>
      <c r="AB1286">
        <v>3</v>
      </c>
      <c r="AC1286">
        <v>3</v>
      </c>
      <c r="AD1286">
        <v>4</v>
      </c>
      <c r="AE1286">
        <v>4</v>
      </c>
      <c r="AF1286">
        <v>3</v>
      </c>
      <c r="AG1286">
        <v>3</v>
      </c>
      <c r="AH1286">
        <v>3</v>
      </c>
      <c r="AI1286">
        <v>3</v>
      </c>
      <c r="AJ1286">
        <v>3</v>
      </c>
      <c r="AK1286" t="b">
        <f>Table67[[#This Row],[What is your age?]]&lt;&gt;"18 - 25"</f>
        <v>0</v>
      </c>
      <c r="AL1286" t="b">
        <f t="shared" si="80"/>
        <v>0</v>
      </c>
      <c r="AM1286" t="b">
        <f t="shared" si="81"/>
        <v>0</v>
      </c>
      <c r="AN1286" t="b">
        <f t="shared" si="82"/>
        <v>0</v>
      </c>
      <c r="AO1286" t="b">
        <f>OR(Table67[[#This Row],[Ineligible respondents]:[Inconsistent response on opposite question (3)]])</f>
        <v>0</v>
      </c>
      <c r="AP128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286">
        <f>Table67[[#This Row],[Extreme Response]]/21</f>
        <v>9.5238095238095233E-2</v>
      </c>
      <c r="AR1286">
        <f>_xlfn.PERCENTILE.INC(Table67[Extrem Response Ratio (ERS)],0.9)</f>
        <v>0.61904761904761907</v>
      </c>
      <c r="AS1286" t="b">
        <f>Table67[[#This Row],[Extrem Response Ratio (ERS)]]&gt;=Table67[[#This Row],[Threshold of ERS]]</f>
        <v>0</v>
      </c>
      <c r="AT1286">
        <f>COUNTIF(Table67[[#This Row],[The mechanism of digital assets is difficult to understand, which discourages me from exploring it (E.g, Tokenization, Blockchain)]:[If I want to try different ways to invest, I will explore digital assets.]], 3)</f>
        <v>7</v>
      </c>
      <c r="AU1286">
        <f>Table67[[#This Row],[Midpoint]]/21</f>
        <v>0.33333333333333331</v>
      </c>
      <c r="AV1286">
        <f>_xlfn.PERCENTILE.INC(Table67[Midpoint ratio],0.9)</f>
        <v>0.5714285714285714</v>
      </c>
      <c r="AW1286" t="b">
        <f>Table67[[#This Row],[Midpoint ratio]]&gt;=Table67[[#This Row],[Threshold of Midpoint ratio]]</f>
        <v>0</v>
      </c>
      <c r="AX1286" t="b">
        <f>OR(Table67[[#This Row],[Extreme Response Style]],Table67[[#This Row],[Mid-point Response Style]])</f>
        <v>0</v>
      </c>
      <c r="AY1286" t="b">
        <f>OR(Table67[[#This Row],[Delete? (Stage 1)]],Table67[[#This Row],[Delete? (Stage 2)]])</f>
        <v>0</v>
      </c>
      <c r="AZ1286" t="s">
        <v>84</v>
      </c>
    </row>
    <row r="1287" spans="1:52">
      <c r="A1287">
        <f t="shared" si="83"/>
        <v>1286</v>
      </c>
      <c r="B1287" s="3">
        <v>46057.561620370398</v>
      </c>
      <c r="C1287" s="3">
        <v>46057.563414351796</v>
      </c>
      <c r="D1287" t="s">
        <v>53</v>
      </c>
      <c r="G1287" t="s">
        <v>73</v>
      </c>
      <c r="H1287" t="s">
        <v>55</v>
      </c>
      <c r="I1287" t="s">
        <v>56</v>
      </c>
      <c r="J1287" t="s">
        <v>60</v>
      </c>
      <c r="K1287" t="s">
        <v>57</v>
      </c>
      <c r="L1287" t="s">
        <v>58</v>
      </c>
      <c r="M1287" t="s">
        <v>58</v>
      </c>
      <c r="N1287">
        <v>5</v>
      </c>
      <c r="O1287">
        <v>2</v>
      </c>
      <c r="P1287">
        <v>5</v>
      </c>
      <c r="Q1287">
        <v>4</v>
      </c>
      <c r="R1287">
        <v>5</v>
      </c>
      <c r="S1287">
        <v>5</v>
      </c>
      <c r="T1287">
        <v>5</v>
      </c>
      <c r="U1287">
        <v>5</v>
      </c>
      <c r="V1287">
        <v>5</v>
      </c>
      <c r="W1287">
        <v>5</v>
      </c>
      <c r="X1287">
        <v>5</v>
      </c>
      <c r="Y1287">
        <v>3</v>
      </c>
      <c r="Z1287">
        <v>3</v>
      </c>
      <c r="AA1287">
        <v>4</v>
      </c>
      <c r="AB1287">
        <v>5</v>
      </c>
      <c r="AC1287">
        <v>5</v>
      </c>
      <c r="AD1287">
        <v>3</v>
      </c>
      <c r="AE1287">
        <v>2</v>
      </c>
      <c r="AF1287">
        <v>2</v>
      </c>
      <c r="AG1287">
        <v>5</v>
      </c>
      <c r="AH1287">
        <v>3</v>
      </c>
      <c r="AI1287">
        <v>3</v>
      </c>
      <c r="AJ1287">
        <v>4</v>
      </c>
      <c r="AK1287" t="b">
        <f>Table67[[#This Row],[What is your age?]]&lt;&gt;"18 - 25"</f>
        <v>1</v>
      </c>
      <c r="AL1287" t="b">
        <f t="shared" si="80"/>
        <v>0</v>
      </c>
      <c r="AM1287" t="b">
        <f t="shared" si="81"/>
        <v>0</v>
      </c>
      <c r="AN1287" t="b">
        <f t="shared" si="82"/>
        <v>1</v>
      </c>
      <c r="AO1287" t="b">
        <f>OR(Table67[[#This Row],[Ineligible respondents]:[Inconsistent response on opposite question (3)]])</f>
        <v>1</v>
      </c>
      <c r="AP128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12</v>
      </c>
      <c r="AQ1287">
        <f>Table67[[#This Row],[Extreme Response]]/21</f>
        <v>0.5714285714285714</v>
      </c>
      <c r="AR1287">
        <f>_xlfn.PERCENTILE.INC(Table67[Extrem Response Ratio (ERS)],0.9)</f>
        <v>0.61904761904761907</v>
      </c>
      <c r="AS1287" t="b">
        <f>Table67[[#This Row],[Extrem Response Ratio (ERS)]]&gt;=Table67[[#This Row],[Threshold of ERS]]</f>
        <v>0</v>
      </c>
      <c r="AT1287">
        <f>COUNTIF(Table67[[#This Row],[The mechanism of digital assets is difficult to understand, which discourages me from exploring it (E.g, Tokenization, Blockchain)]:[If I want to try different ways to invest, I will explore digital assets.]], 3)</f>
        <v>4</v>
      </c>
      <c r="AU1287">
        <f>Table67[[#This Row],[Midpoint]]/21</f>
        <v>0.19047619047619047</v>
      </c>
      <c r="AV1287">
        <f>_xlfn.PERCENTILE.INC(Table67[Midpoint ratio],0.9)</f>
        <v>0.5714285714285714</v>
      </c>
      <c r="AW1287" t="b">
        <f>Table67[[#This Row],[Midpoint ratio]]&gt;=Table67[[#This Row],[Threshold of Midpoint ratio]]</f>
        <v>0</v>
      </c>
      <c r="AX1287" t="b">
        <f>OR(Table67[[#This Row],[Extreme Response Style]],Table67[[#This Row],[Mid-point Response Style]])</f>
        <v>0</v>
      </c>
      <c r="AY1287" t="b">
        <f>OR(Table67[[#This Row],[Delete? (Stage 1)]],Table67[[#This Row],[Delete? (Stage 2)]])</f>
        <v>1</v>
      </c>
      <c r="AZ1287" t="s">
        <v>84</v>
      </c>
    </row>
    <row r="1288" spans="1:52">
      <c r="A1288">
        <f t="shared" si="83"/>
        <v>1287</v>
      </c>
      <c r="B1288" s="3">
        <v>46057.561874999999</v>
      </c>
      <c r="C1288" s="3">
        <v>46057.565034722204</v>
      </c>
      <c r="D1288" t="s">
        <v>53</v>
      </c>
      <c r="G1288" t="s">
        <v>54</v>
      </c>
      <c r="H1288" t="s">
        <v>63</v>
      </c>
      <c r="I1288" t="s">
        <v>56</v>
      </c>
      <c r="J1288" t="s">
        <v>62</v>
      </c>
      <c r="K1288" t="s">
        <v>65</v>
      </c>
      <c r="L1288" t="s">
        <v>58</v>
      </c>
      <c r="M1288" t="s">
        <v>61</v>
      </c>
      <c r="N1288">
        <v>4</v>
      </c>
      <c r="O1288">
        <v>2</v>
      </c>
      <c r="P1288">
        <v>3</v>
      </c>
      <c r="Q1288">
        <v>4</v>
      </c>
      <c r="R1288">
        <v>2</v>
      </c>
      <c r="S1288">
        <v>3</v>
      </c>
      <c r="T1288">
        <v>3</v>
      </c>
      <c r="U1288">
        <v>4</v>
      </c>
      <c r="V1288">
        <v>3</v>
      </c>
      <c r="W1288">
        <v>3</v>
      </c>
      <c r="X1288">
        <v>2</v>
      </c>
      <c r="Y1288">
        <v>3</v>
      </c>
      <c r="Z1288">
        <v>4</v>
      </c>
      <c r="AA1288">
        <v>3</v>
      </c>
      <c r="AB1288">
        <v>4</v>
      </c>
      <c r="AC1288">
        <v>3</v>
      </c>
      <c r="AD1288">
        <v>4</v>
      </c>
      <c r="AE1288">
        <v>3</v>
      </c>
      <c r="AF1288">
        <v>3</v>
      </c>
      <c r="AG1288">
        <v>3</v>
      </c>
      <c r="AH1288">
        <v>4</v>
      </c>
      <c r="AI1288">
        <v>2</v>
      </c>
      <c r="AJ1288">
        <v>3</v>
      </c>
      <c r="AK1288" t="b">
        <f>Table67[[#This Row],[What is your age?]]&lt;&gt;"18 - 25"</f>
        <v>0</v>
      </c>
      <c r="AL1288" t="b">
        <f t="shared" si="80"/>
        <v>0</v>
      </c>
      <c r="AM1288" t="b">
        <f t="shared" si="81"/>
        <v>0</v>
      </c>
      <c r="AN1288" t="b">
        <f t="shared" si="82"/>
        <v>1</v>
      </c>
      <c r="AO1288" t="b">
        <f>OR(Table67[[#This Row],[Ineligible respondents]:[Inconsistent response on opposite question (3)]])</f>
        <v>1</v>
      </c>
      <c r="AP128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288">
        <f>Table67[[#This Row],[Extreme Response]]/21</f>
        <v>0</v>
      </c>
      <c r="AR1288">
        <f>_xlfn.PERCENTILE.INC(Table67[Extrem Response Ratio (ERS)],0.9)</f>
        <v>0.61904761904761907</v>
      </c>
      <c r="AS1288" t="b">
        <f>Table67[[#This Row],[Extrem Response Ratio (ERS)]]&gt;=Table67[[#This Row],[Threshold of ERS]]</f>
        <v>0</v>
      </c>
      <c r="AT1288">
        <f>COUNTIF(Table67[[#This Row],[The mechanism of digital assets is difficult to understand, which discourages me from exploring it (E.g, Tokenization, Blockchain)]:[If I want to try different ways to invest, I will explore digital assets.]], 3)</f>
        <v>11</v>
      </c>
      <c r="AU1288">
        <f>Table67[[#This Row],[Midpoint]]/21</f>
        <v>0.52380952380952384</v>
      </c>
      <c r="AV1288">
        <f>_xlfn.PERCENTILE.INC(Table67[Midpoint ratio],0.9)</f>
        <v>0.5714285714285714</v>
      </c>
      <c r="AW1288" t="b">
        <f>Table67[[#This Row],[Midpoint ratio]]&gt;=Table67[[#This Row],[Threshold of Midpoint ratio]]</f>
        <v>0</v>
      </c>
      <c r="AX1288" t="b">
        <f>OR(Table67[[#This Row],[Extreme Response Style]],Table67[[#This Row],[Mid-point Response Style]])</f>
        <v>0</v>
      </c>
      <c r="AY1288" t="b">
        <f>OR(Table67[[#This Row],[Delete? (Stage 1)]],Table67[[#This Row],[Delete? (Stage 2)]])</f>
        <v>1</v>
      </c>
      <c r="AZ1288" t="s">
        <v>84</v>
      </c>
    </row>
    <row r="1289" spans="1:52">
      <c r="A1289">
        <f t="shared" si="83"/>
        <v>1288</v>
      </c>
      <c r="B1289" s="3">
        <v>46057.561979166698</v>
      </c>
      <c r="C1289" s="3">
        <v>46057.572372685201</v>
      </c>
      <c r="D1289" t="s">
        <v>53</v>
      </c>
      <c r="G1289" t="s">
        <v>73</v>
      </c>
      <c r="H1289" t="s">
        <v>63</v>
      </c>
      <c r="I1289" t="s">
        <v>56</v>
      </c>
      <c r="J1289" t="s">
        <v>62</v>
      </c>
      <c r="K1289" t="s">
        <v>57</v>
      </c>
      <c r="L1289" t="s">
        <v>61</v>
      </c>
      <c r="M1289" t="s">
        <v>61</v>
      </c>
      <c r="N1289">
        <v>3</v>
      </c>
      <c r="O1289">
        <v>1</v>
      </c>
      <c r="P1289">
        <v>2</v>
      </c>
      <c r="Q1289">
        <v>2</v>
      </c>
      <c r="R1289">
        <v>4</v>
      </c>
      <c r="S1289">
        <v>1</v>
      </c>
      <c r="T1289">
        <v>1</v>
      </c>
      <c r="U1289">
        <v>1</v>
      </c>
      <c r="V1289">
        <v>2</v>
      </c>
      <c r="W1289">
        <v>3</v>
      </c>
      <c r="X1289">
        <v>4</v>
      </c>
      <c r="Y1289">
        <v>4</v>
      </c>
      <c r="Z1289">
        <v>3</v>
      </c>
      <c r="AA1289">
        <v>4</v>
      </c>
      <c r="AB1289">
        <v>2</v>
      </c>
      <c r="AC1289">
        <v>2</v>
      </c>
      <c r="AD1289">
        <v>4</v>
      </c>
      <c r="AE1289">
        <v>2</v>
      </c>
      <c r="AF1289">
        <v>4</v>
      </c>
      <c r="AG1289">
        <v>3</v>
      </c>
      <c r="AH1289">
        <v>4</v>
      </c>
      <c r="AI1289">
        <v>2</v>
      </c>
      <c r="AJ1289">
        <v>2</v>
      </c>
      <c r="AK1289" t="b">
        <f>Table67[[#This Row],[What is your age?]]&lt;&gt;"18 - 25"</f>
        <v>1</v>
      </c>
      <c r="AL1289" t="b">
        <f t="shared" si="80"/>
        <v>0</v>
      </c>
      <c r="AM1289" t="b">
        <f t="shared" si="81"/>
        <v>0</v>
      </c>
      <c r="AN1289" t="b">
        <f t="shared" si="82"/>
        <v>1</v>
      </c>
      <c r="AO1289" t="b">
        <f>OR(Table67[[#This Row],[Ineligible respondents]:[Inconsistent response on opposite question (3)]])</f>
        <v>1</v>
      </c>
      <c r="AP128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289">
        <f>Table67[[#This Row],[Extreme Response]]/21</f>
        <v>0.19047619047619047</v>
      </c>
      <c r="AR1289">
        <f>_xlfn.PERCENTILE.INC(Table67[Extrem Response Ratio (ERS)],0.9)</f>
        <v>0.61904761904761907</v>
      </c>
      <c r="AS1289" t="b">
        <f>Table67[[#This Row],[Extrem Response Ratio (ERS)]]&gt;=Table67[[#This Row],[Threshold of ERS]]</f>
        <v>0</v>
      </c>
      <c r="AT1289">
        <f>COUNTIF(Table67[[#This Row],[The mechanism of digital assets is difficult to understand, which discourages me from exploring it (E.g, Tokenization, Blockchain)]:[If I want to try different ways to invest, I will explore digital assets.]], 3)</f>
        <v>4</v>
      </c>
      <c r="AU1289">
        <f>Table67[[#This Row],[Midpoint]]/21</f>
        <v>0.19047619047619047</v>
      </c>
      <c r="AV1289">
        <f>_xlfn.PERCENTILE.INC(Table67[Midpoint ratio],0.9)</f>
        <v>0.5714285714285714</v>
      </c>
      <c r="AW1289" t="b">
        <f>Table67[[#This Row],[Midpoint ratio]]&gt;=Table67[[#This Row],[Threshold of Midpoint ratio]]</f>
        <v>0</v>
      </c>
      <c r="AX1289" t="b">
        <f>OR(Table67[[#This Row],[Extreme Response Style]],Table67[[#This Row],[Mid-point Response Style]])</f>
        <v>0</v>
      </c>
      <c r="AY1289" t="b">
        <f>OR(Table67[[#This Row],[Delete? (Stage 1)]],Table67[[#This Row],[Delete? (Stage 2)]])</f>
        <v>1</v>
      </c>
      <c r="AZ1289" t="s">
        <v>84</v>
      </c>
    </row>
    <row r="1290" spans="1:52">
      <c r="A1290">
        <f t="shared" si="83"/>
        <v>1289</v>
      </c>
      <c r="B1290" s="3">
        <v>46057.5620023148</v>
      </c>
      <c r="C1290" s="3">
        <v>46057.567233796297</v>
      </c>
      <c r="D1290" t="s">
        <v>53</v>
      </c>
      <c r="G1290" t="s">
        <v>54</v>
      </c>
      <c r="H1290" t="s">
        <v>55</v>
      </c>
      <c r="I1290" t="s">
        <v>56</v>
      </c>
      <c r="J1290" t="s">
        <v>60</v>
      </c>
      <c r="K1290" t="s">
        <v>62</v>
      </c>
      <c r="L1290" t="s">
        <v>61</v>
      </c>
      <c r="M1290" t="s">
        <v>61</v>
      </c>
      <c r="N1290">
        <v>2</v>
      </c>
      <c r="O1290">
        <v>2</v>
      </c>
      <c r="P1290">
        <v>3</v>
      </c>
      <c r="Q1290">
        <v>2</v>
      </c>
      <c r="R1290">
        <v>1</v>
      </c>
      <c r="S1290">
        <v>1</v>
      </c>
      <c r="T1290">
        <v>2</v>
      </c>
      <c r="U1290">
        <v>3</v>
      </c>
      <c r="V1290">
        <v>3</v>
      </c>
      <c r="W1290">
        <v>4</v>
      </c>
      <c r="X1290">
        <v>2</v>
      </c>
      <c r="Y1290">
        <v>2</v>
      </c>
      <c r="Z1290">
        <v>3</v>
      </c>
      <c r="AA1290">
        <v>4</v>
      </c>
      <c r="AB1290">
        <v>2</v>
      </c>
      <c r="AC1290">
        <v>1</v>
      </c>
      <c r="AD1290">
        <v>4</v>
      </c>
      <c r="AE1290">
        <v>3</v>
      </c>
      <c r="AF1290">
        <v>5</v>
      </c>
      <c r="AG1290">
        <v>3</v>
      </c>
      <c r="AH1290">
        <v>4</v>
      </c>
      <c r="AI1290">
        <v>2</v>
      </c>
      <c r="AJ1290">
        <v>1</v>
      </c>
      <c r="AK1290" t="b">
        <f>Table67[[#This Row],[What is your age?]]&lt;&gt;"18 - 25"</f>
        <v>0</v>
      </c>
      <c r="AL1290" t="b">
        <f t="shared" si="80"/>
        <v>0</v>
      </c>
      <c r="AM1290" t="b">
        <f t="shared" si="81"/>
        <v>0</v>
      </c>
      <c r="AN1290" t="b">
        <f t="shared" si="82"/>
        <v>1</v>
      </c>
      <c r="AO1290" t="b">
        <f>OR(Table67[[#This Row],[Ineligible respondents]:[Inconsistent response on opposite question (3)]])</f>
        <v>1</v>
      </c>
      <c r="AP129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290">
        <f>Table67[[#This Row],[Extreme Response]]/21</f>
        <v>0.19047619047619047</v>
      </c>
      <c r="AR1290">
        <f>_xlfn.PERCENTILE.INC(Table67[Extrem Response Ratio (ERS)],0.9)</f>
        <v>0.61904761904761907</v>
      </c>
      <c r="AS1290" t="b">
        <f>Table67[[#This Row],[Extrem Response Ratio (ERS)]]&gt;=Table67[[#This Row],[Threshold of ERS]]</f>
        <v>0</v>
      </c>
      <c r="AT1290">
        <f>COUNTIF(Table67[[#This Row],[The mechanism of digital assets is difficult to understand, which discourages me from exploring it (E.g, Tokenization, Blockchain)]:[If I want to try different ways to invest, I will explore digital assets.]], 3)</f>
        <v>6</v>
      </c>
      <c r="AU1290">
        <f>Table67[[#This Row],[Midpoint]]/21</f>
        <v>0.2857142857142857</v>
      </c>
      <c r="AV1290">
        <f>_xlfn.PERCENTILE.INC(Table67[Midpoint ratio],0.9)</f>
        <v>0.5714285714285714</v>
      </c>
      <c r="AW1290" t="b">
        <f>Table67[[#This Row],[Midpoint ratio]]&gt;=Table67[[#This Row],[Threshold of Midpoint ratio]]</f>
        <v>0</v>
      </c>
      <c r="AX1290" t="b">
        <f>OR(Table67[[#This Row],[Extreme Response Style]],Table67[[#This Row],[Mid-point Response Style]])</f>
        <v>0</v>
      </c>
      <c r="AY1290" t="b">
        <f>OR(Table67[[#This Row],[Delete? (Stage 1)]],Table67[[#This Row],[Delete? (Stage 2)]])</f>
        <v>1</v>
      </c>
      <c r="AZ1290" t="s">
        <v>84</v>
      </c>
    </row>
    <row r="1291" spans="1:52">
      <c r="A1291">
        <f t="shared" si="83"/>
        <v>1290</v>
      </c>
      <c r="B1291" s="3">
        <v>46057.562430555598</v>
      </c>
      <c r="C1291" s="3">
        <v>46057.566608796304</v>
      </c>
      <c r="D1291" t="s">
        <v>53</v>
      </c>
      <c r="G1291" t="s">
        <v>54</v>
      </c>
      <c r="H1291" t="s">
        <v>63</v>
      </c>
      <c r="I1291" t="s">
        <v>56</v>
      </c>
      <c r="J1291" t="s">
        <v>57</v>
      </c>
      <c r="K1291" t="s">
        <v>62</v>
      </c>
      <c r="L1291" t="s">
        <v>58</v>
      </c>
      <c r="M1291" t="s">
        <v>58</v>
      </c>
      <c r="N1291">
        <v>3</v>
      </c>
      <c r="O1291">
        <v>4</v>
      </c>
      <c r="P1291">
        <v>4</v>
      </c>
      <c r="Q1291">
        <v>3</v>
      </c>
      <c r="R1291">
        <v>3</v>
      </c>
      <c r="S1291">
        <v>5</v>
      </c>
      <c r="T1291">
        <v>2</v>
      </c>
      <c r="U1291">
        <v>5</v>
      </c>
      <c r="V1291">
        <v>5</v>
      </c>
      <c r="W1291">
        <v>5</v>
      </c>
      <c r="X1291">
        <v>3</v>
      </c>
      <c r="Y1291">
        <v>5</v>
      </c>
      <c r="Z1291">
        <v>5</v>
      </c>
      <c r="AA1291">
        <v>3</v>
      </c>
      <c r="AB1291">
        <v>2</v>
      </c>
      <c r="AC1291">
        <v>4</v>
      </c>
      <c r="AD1291">
        <v>4</v>
      </c>
      <c r="AE1291">
        <v>4</v>
      </c>
      <c r="AF1291">
        <v>4</v>
      </c>
      <c r="AG1291">
        <v>3</v>
      </c>
      <c r="AH1291">
        <v>4</v>
      </c>
      <c r="AI1291">
        <v>2</v>
      </c>
      <c r="AJ1291">
        <v>2</v>
      </c>
      <c r="AK1291" t="b">
        <f>Table67[[#This Row],[What is your age?]]&lt;&gt;"18 - 25"</f>
        <v>0</v>
      </c>
      <c r="AL1291" t="b">
        <f t="shared" si="80"/>
        <v>0</v>
      </c>
      <c r="AM1291" t="b">
        <f t="shared" si="81"/>
        <v>0</v>
      </c>
      <c r="AN1291" t="b">
        <f t="shared" si="82"/>
        <v>1</v>
      </c>
      <c r="AO1291" t="b">
        <f>OR(Table67[[#This Row],[Ineligible respondents]:[Inconsistent response on opposite question (3)]])</f>
        <v>1</v>
      </c>
      <c r="AP129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291">
        <f>Table67[[#This Row],[Extreme Response]]/21</f>
        <v>0.2857142857142857</v>
      </c>
      <c r="AR1291">
        <f>_xlfn.PERCENTILE.INC(Table67[Extrem Response Ratio (ERS)],0.9)</f>
        <v>0.61904761904761907</v>
      </c>
      <c r="AS1291" t="b">
        <f>Table67[[#This Row],[Extrem Response Ratio (ERS)]]&gt;=Table67[[#This Row],[Threshold of ERS]]</f>
        <v>0</v>
      </c>
      <c r="AT1291">
        <f>COUNTIF(Table67[[#This Row],[The mechanism of digital assets is difficult to understand, which discourages me from exploring it (E.g, Tokenization, Blockchain)]:[If I want to try different ways to invest, I will explore digital assets.]], 3)</f>
        <v>6</v>
      </c>
      <c r="AU1291">
        <f>Table67[[#This Row],[Midpoint]]/21</f>
        <v>0.2857142857142857</v>
      </c>
      <c r="AV1291">
        <f>_xlfn.PERCENTILE.INC(Table67[Midpoint ratio],0.9)</f>
        <v>0.5714285714285714</v>
      </c>
      <c r="AW1291" t="b">
        <f>Table67[[#This Row],[Midpoint ratio]]&gt;=Table67[[#This Row],[Threshold of Midpoint ratio]]</f>
        <v>0</v>
      </c>
      <c r="AX1291" t="b">
        <f>OR(Table67[[#This Row],[Extreme Response Style]],Table67[[#This Row],[Mid-point Response Style]])</f>
        <v>0</v>
      </c>
      <c r="AY1291" t="b">
        <f>OR(Table67[[#This Row],[Delete? (Stage 1)]],Table67[[#This Row],[Delete? (Stage 2)]])</f>
        <v>1</v>
      </c>
      <c r="AZ1291" t="s">
        <v>84</v>
      </c>
    </row>
    <row r="1292" spans="1:52">
      <c r="A1292">
        <f t="shared" si="83"/>
        <v>1291</v>
      </c>
      <c r="B1292" s="3">
        <v>46062.043993055559</v>
      </c>
      <c r="C1292" s="3">
        <v>46062.048900462964</v>
      </c>
      <c r="D1292" t="s">
        <v>53</v>
      </c>
      <c r="G1292" t="s">
        <v>54</v>
      </c>
      <c r="H1292" t="s">
        <v>55</v>
      </c>
      <c r="I1292" t="s">
        <v>71</v>
      </c>
      <c r="J1292" t="s">
        <v>62</v>
      </c>
      <c r="K1292" t="s">
        <v>57</v>
      </c>
      <c r="L1292" t="s">
        <v>58</v>
      </c>
      <c r="M1292" t="s">
        <v>58</v>
      </c>
      <c r="N1292">
        <v>3</v>
      </c>
      <c r="O1292">
        <v>4</v>
      </c>
      <c r="P1292">
        <v>4</v>
      </c>
      <c r="Q1292">
        <v>3</v>
      </c>
      <c r="R1292">
        <v>2</v>
      </c>
      <c r="S1292">
        <v>1</v>
      </c>
      <c r="T1292">
        <v>3</v>
      </c>
      <c r="U1292">
        <v>4</v>
      </c>
      <c r="V1292">
        <v>4</v>
      </c>
      <c r="W1292">
        <v>5</v>
      </c>
      <c r="X1292">
        <v>5</v>
      </c>
      <c r="Y1292">
        <v>4</v>
      </c>
      <c r="Z1292">
        <v>4</v>
      </c>
      <c r="AA1292">
        <v>3</v>
      </c>
      <c r="AB1292">
        <v>4</v>
      </c>
      <c r="AC1292">
        <v>2</v>
      </c>
      <c r="AD1292">
        <v>3</v>
      </c>
      <c r="AE1292">
        <v>4</v>
      </c>
      <c r="AF1292">
        <v>4</v>
      </c>
      <c r="AG1292">
        <v>2</v>
      </c>
      <c r="AH1292">
        <v>3</v>
      </c>
      <c r="AI1292">
        <v>3</v>
      </c>
      <c r="AJ1292">
        <v>2</v>
      </c>
      <c r="AK1292" t="b">
        <f>Table67[[#This Row],[What is your age?]]&lt;&gt;"18 - 25"</f>
        <v>0</v>
      </c>
      <c r="AL1292" t="b">
        <f t="shared" si="80"/>
        <v>0</v>
      </c>
      <c r="AM1292" t="b">
        <f t="shared" si="81"/>
        <v>0</v>
      </c>
      <c r="AN1292" t="b">
        <f t="shared" si="82"/>
        <v>1</v>
      </c>
      <c r="AO1292" t="b">
        <f>OR(Table67[[#This Row],[Ineligible respondents]:[Inconsistent response on opposite question (3)]])</f>
        <v>1</v>
      </c>
      <c r="AP129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292">
        <f>Table67[[#This Row],[Extreme Response]]/21</f>
        <v>0.14285714285714285</v>
      </c>
      <c r="AR1292">
        <f>_xlfn.PERCENTILE.INC(Table67[Extrem Response Ratio (ERS)],0.9)</f>
        <v>0.61904761904761907</v>
      </c>
      <c r="AS1292" t="b">
        <f>Table67[[#This Row],[Extrem Response Ratio (ERS)]]&gt;=Table67[[#This Row],[Threshold of ERS]]</f>
        <v>0</v>
      </c>
      <c r="AT1292">
        <f>COUNTIF(Table67[[#This Row],[The mechanism of digital assets is difficult to understand, which discourages me from exploring it (E.g, Tokenization, Blockchain)]:[If I want to try different ways to invest, I will explore digital assets.]], 3)</f>
        <v>6</v>
      </c>
      <c r="AU1292">
        <f>Table67[[#This Row],[Midpoint]]/21</f>
        <v>0.2857142857142857</v>
      </c>
      <c r="AV1292">
        <f>_xlfn.PERCENTILE.INC(Table67[Midpoint ratio],0.9)</f>
        <v>0.5714285714285714</v>
      </c>
      <c r="AW1292" t="b">
        <f>Table67[[#This Row],[Midpoint ratio]]&gt;=Table67[[#This Row],[Threshold of Midpoint ratio]]</f>
        <v>0</v>
      </c>
      <c r="AX1292" t="b">
        <f>OR(Table67[[#This Row],[Extreme Response Style]],Table67[[#This Row],[Mid-point Response Style]])</f>
        <v>0</v>
      </c>
      <c r="AY1292" t="b">
        <f>OR(Table67[[#This Row],[Delete? (Stage 1)]],Table67[[#This Row],[Delete? (Stage 2)]])</f>
        <v>1</v>
      </c>
      <c r="AZ1292" t="s">
        <v>84</v>
      </c>
    </row>
    <row r="1293" spans="1:52">
      <c r="A1293">
        <f t="shared" si="83"/>
        <v>1292</v>
      </c>
      <c r="B1293" s="3">
        <v>46065.715439814812</v>
      </c>
      <c r="C1293" s="3">
        <v>46065.715729166666</v>
      </c>
      <c r="D1293" t="s">
        <v>53</v>
      </c>
      <c r="G1293" t="s">
        <v>54</v>
      </c>
      <c r="H1293" t="s">
        <v>55</v>
      </c>
      <c r="I1293" t="s">
        <v>56</v>
      </c>
      <c r="J1293" t="s">
        <v>62</v>
      </c>
      <c r="K1293" t="s">
        <v>62</v>
      </c>
      <c r="L1293" t="s">
        <v>58</v>
      </c>
      <c r="M1293" t="s">
        <v>61</v>
      </c>
      <c r="N1293">
        <v>3</v>
      </c>
      <c r="O1293">
        <v>3</v>
      </c>
      <c r="P1293">
        <v>4</v>
      </c>
      <c r="Q1293">
        <v>4</v>
      </c>
      <c r="R1293">
        <v>2</v>
      </c>
      <c r="S1293">
        <v>3</v>
      </c>
      <c r="T1293">
        <v>4</v>
      </c>
      <c r="U1293">
        <v>4</v>
      </c>
      <c r="V1293">
        <v>5</v>
      </c>
      <c r="W1293">
        <v>5</v>
      </c>
      <c r="X1293">
        <v>4</v>
      </c>
      <c r="Y1293">
        <v>4</v>
      </c>
      <c r="Z1293">
        <v>3</v>
      </c>
      <c r="AA1293">
        <v>4</v>
      </c>
      <c r="AB1293">
        <v>4</v>
      </c>
      <c r="AC1293">
        <v>4</v>
      </c>
      <c r="AD1293">
        <v>4</v>
      </c>
      <c r="AE1293">
        <v>3</v>
      </c>
      <c r="AF1293">
        <v>2</v>
      </c>
      <c r="AG1293">
        <v>3</v>
      </c>
      <c r="AH1293">
        <v>3</v>
      </c>
      <c r="AI1293">
        <v>3</v>
      </c>
      <c r="AJ1293">
        <v>4</v>
      </c>
      <c r="AK1293" t="b">
        <f>Table67[[#This Row],[What is your age?]]&lt;&gt;"18 - 25"</f>
        <v>0</v>
      </c>
      <c r="AL1293" t="b">
        <f t="shared" si="80"/>
        <v>0</v>
      </c>
      <c r="AM1293" t="b">
        <f t="shared" si="81"/>
        <v>0</v>
      </c>
      <c r="AN1293" t="b">
        <f t="shared" si="82"/>
        <v>0</v>
      </c>
      <c r="AO1293" t="b">
        <f>OR(Table67[[#This Row],[Ineligible respondents]:[Inconsistent response on opposite question (3)]])</f>
        <v>0</v>
      </c>
      <c r="AP129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293">
        <f>Table67[[#This Row],[Extreme Response]]/21</f>
        <v>9.5238095238095233E-2</v>
      </c>
      <c r="AR1293">
        <f>_xlfn.PERCENTILE.INC(Table67[Extrem Response Ratio (ERS)],0.9)</f>
        <v>0.61904761904761907</v>
      </c>
      <c r="AS1293" t="b">
        <f>Table67[[#This Row],[Extrem Response Ratio (ERS)]]&gt;=Table67[[#This Row],[Threshold of ERS]]</f>
        <v>0</v>
      </c>
      <c r="AT1293">
        <f>COUNTIF(Table67[[#This Row],[The mechanism of digital assets is difficult to understand, which discourages me from exploring it (E.g, Tokenization, Blockchain)]:[If I want to try different ways to invest, I will explore digital assets.]], 3)</f>
        <v>7</v>
      </c>
      <c r="AU1293">
        <f>Table67[[#This Row],[Midpoint]]/21</f>
        <v>0.33333333333333331</v>
      </c>
      <c r="AV1293">
        <f>_xlfn.PERCENTILE.INC(Table67[Midpoint ratio],0.9)</f>
        <v>0.5714285714285714</v>
      </c>
      <c r="AW1293" t="b">
        <f>Table67[[#This Row],[Midpoint ratio]]&gt;=Table67[[#This Row],[Threshold of Midpoint ratio]]</f>
        <v>0</v>
      </c>
      <c r="AX1293" t="b">
        <f>OR(Table67[[#This Row],[Extreme Response Style]],Table67[[#This Row],[Mid-point Response Style]])</f>
        <v>0</v>
      </c>
      <c r="AY1293" t="b">
        <f>OR(Table67[[#This Row],[Delete? (Stage 1)]],Table67[[#This Row],[Delete? (Stage 2)]])</f>
        <v>0</v>
      </c>
      <c r="AZ1293" t="s">
        <v>84</v>
      </c>
    </row>
    <row r="1294" spans="1:52">
      <c r="A1294">
        <f t="shared" si="83"/>
        <v>1293</v>
      </c>
      <c r="B1294" s="3">
        <v>46065.8280787037</v>
      </c>
      <c r="C1294" s="3">
        <v>46065.832314814812</v>
      </c>
      <c r="D1294" t="s">
        <v>53</v>
      </c>
      <c r="G1294" t="s">
        <v>54</v>
      </c>
      <c r="H1294" t="s">
        <v>55</v>
      </c>
      <c r="I1294" t="s">
        <v>56</v>
      </c>
      <c r="J1294" t="s">
        <v>62</v>
      </c>
      <c r="K1294" t="s">
        <v>57</v>
      </c>
      <c r="L1294" t="s">
        <v>58</v>
      </c>
      <c r="M1294" t="s">
        <v>58</v>
      </c>
      <c r="N1294">
        <v>2</v>
      </c>
      <c r="O1294">
        <v>2</v>
      </c>
      <c r="P1294">
        <v>3</v>
      </c>
      <c r="Q1294">
        <v>3</v>
      </c>
      <c r="R1294">
        <v>2</v>
      </c>
      <c r="S1294">
        <v>3</v>
      </c>
      <c r="T1294">
        <v>4</v>
      </c>
      <c r="U1294">
        <v>3</v>
      </c>
      <c r="V1294">
        <v>3</v>
      </c>
      <c r="W1294">
        <v>3</v>
      </c>
      <c r="X1294">
        <v>2</v>
      </c>
      <c r="Y1294">
        <v>4</v>
      </c>
      <c r="Z1294">
        <v>3</v>
      </c>
      <c r="AA1294">
        <v>3</v>
      </c>
      <c r="AB1294">
        <v>3</v>
      </c>
      <c r="AC1294">
        <v>2</v>
      </c>
      <c r="AD1294">
        <v>3</v>
      </c>
      <c r="AE1294">
        <v>3</v>
      </c>
      <c r="AF1294">
        <v>2</v>
      </c>
      <c r="AG1294">
        <v>3</v>
      </c>
      <c r="AH1294">
        <v>3</v>
      </c>
      <c r="AI1294">
        <v>3</v>
      </c>
      <c r="AJ1294">
        <v>4</v>
      </c>
      <c r="AK1294" t="b">
        <f>Table67[[#This Row],[What is your age?]]&lt;&gt;"18 - 25"</f>
        <v>0</v>
      </c>
      <c r="AL1294" t="b">
        <f t="shared" si="80"/>
        <v>0</v>
      </c>
      <c r="AM1294" t="b">
        <f t="shared" si="81"/>
        <v>0</v>
      </c>
      <c r="AN1294" t="b">
        <f t="shared" si="82"/>
        <v>0</v>
      </c>
      <c r="AO1294" t="b">
        <f>OR(Table67[[#This Row],[Ineligible respondents]:[Inconsistent response on opposite question (3)]])</f>
        <v>0</v>
      </c>
      <c r="AP129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294">
        <f>Table67[[#This Row],[Extreme Response]]/21</f>
        <v>0</v>
      </c>
      <c r="AR1294">
        <f>_xlfn.PERCENTILE.INC(Table67[Extrem Response Ratio (ERS)],0.9)</f>
        <v>0.61904761904761907</v>
      </c>
      <c r="AS1294" t="b">
        <f>Table67[[#This Row],[Extrem Response Ratio (ERS)]]&gt;=Table67[[#This Row],[Threshold of ERS]]</f>
        <v>0</v>
      </c>
      <c r="AT1294">
        <f>COUNTIF(Table67[[#This Row],[The mechanism of digital assets is difficult to understand, which discourages me from exploring it (E.g, Tokenization, Blockchain)]:[If I want to try different ways to invest, I will explore digital assets.]], 3)</f>
        <v>13</v>
      </c>
      <c r="AU1294">
        <f>Table67[[#This Row],[Midpoint]]/21</f>
        <v>0.61904761904761907</v>
      </c>
      <c r="AV1294">
        <f>_xlfn.PERCENTILE.INC(Table67[Midpoint ratio],0.9)</f>
        <v>0.5714285714285714</v>
      </c>
      <c r="AW1294" t="b">
        <f>Table67[[#This Row],[Midpoint ratio]]&gt;=Table67[[#This Row],[Threshold of Midpoint ratio]]</f>
        <v>1</v>
      </c>
      <c r="AX1294" t="b">
        <f>OR(Table67[[#This Row],[Extreme Response Style]],Table67[[#This Row],[Mid-point Response Style]])</f>
        <v>1</v>
      </c>
      <c r="AY1294" t="b">
        <f>OR(Table67[[#This Row],[Delete? (Stage 1)]],Table67[[#This Row],[Delete? (Stage 2)]])</f>
        <v>1</v>
      </c>
      <c r="AZ1294" t="s">
        <v>84</v>
      </c>
    </row>
    <row r="1295" spans="1:52">
      <c r="A1295">
        <f t="shared" si="83"/>
        <v>1294</v>
      </c>
      <c r="B1295" s="3">
        <v>46062.056643518517</v>
      </c>
      <c r="C1295" s="3">
        <v>46062.059201388889</v>
      </c>
      <c r="D1295" t="s">
        <v>53</v>
      </c>
      <c r="G1295" t="s">
        <v>54</v>
      </c>
      <c r="H1295" t="s">
        <v>55</v>
      </c>
      <c r="I1295" t="s">
        <v>56</v>
      </c>
      <c r="J1295" t="s">
        <v>62</v>
      </c>
      <c r="K1295" t="s">
        <v>62</v>
      </c>
      <c r="L1295" t="s">
        <v>58</v>
      </c>
      <c r="M1295" t="s">
        <v>58</v>
      </c>
      <c r="N1295">
        <v>4</v>
      </c>
      <c r="O1295">
        <v>1</v>
      </c>
      <c r="P1295">
        <v>3</v>
      </c>
      <c r="Q1295">
        <v>4</v>
      </c>
      <c r="R1295">
        <v>3</v>
      </c>
      <c r="S1295">
        <v>4</v>
      </c>
      <c r="T1295">
        <v>4</v>
      </c>
      <c r="U1295">
        <v>3</v>
      </c>
      <c r="V1295">
        <v>5</v>
      </c>
      <c r="W1295">
        <v>3</v>
      </c>
      <c r="X1295">
        <v>3</v>
      </c>
      <c r="Y1295">
        <v>3</v>
      </c>
      <c r="Z1295">
        <v>5</v>
      </c>
      <c r="AA1295">
        <v>4</v>
      </c>
      <c r="AB1295">
        <v>3</v>
      </c>
      <c r="AC1295">
        <v>4</v>
      </c>
      <c r="AD1295">
        <v>5</v>
      </c>
      <c r="AE1295">
        <v>4</v>
      </c>
      <c r="AF1295">
        <v>2</v>
      </c>
      <c r="AG1295">
        <v>3</v>
      </c>
      <c r="AH1295">
        <v>2</v>
      </c>
      <c r="AI1295">
        <v>4</v>
      </c>
      <c r="AJ1295">
        <v>4</v>
      </c>
      <c r="AK1295" t="b">
        <f>Table67[[#This Row],[What is your age?]]&lt;&gt;"18 - 25"</f>
        <v>0</v>
      </c>
      <c r="AL1295" t="b">
        <f t="shared" si="80"/>
        <v>0</v>
      </c>
      <c r="AM1295" t="b">
        <f t="shared" si="81"/>
        <v>0</v>
      </c>
      <c r="AN1295" t="b">
        <f t="shared" si="82"/>
        <v>1</v>
      </c>
      <c r="AO1295" t="b">
        <f>OR(Table67[[#This Row],[Ineligible respondents]:[Inconsistent response on opposite question (3)]])</f>
        <v>1</v>
      </c>
      <c r="AP129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295">
        <f>Table67[[#This Row],[Extreme Response]]/21</f>
        <v>0.19047619047619047</v>
      </c>
      <c r="AR1295">
        <f>_xlfn.PERCENTILE.INC(Table67[Extrem Response Ratio (ERS)],0.9)</f>
        <v>0.61904761904761907</v>
      </c>
      <c r="AS1295" t="b">
        <f>Table67[[#This Row],[Extrem Response Ratio (ERS)]]&gt;=Table67[[#This Row],[Threshold of ERS]]</f>
        <v>0</v>
      </c>
      <c r="AT1295">
        <f>COUNTIF(Table67[[#This Row],[The mechanism of digital assets is difficult to understand, which discourages me from exploring it (E.g, Tokenization, Blockchain)]:[If I want to try different ways to invest, I will explore digital assets.]], 3)</f>
        <v>8</v>
      </c>
      <c r="AU1295">
        <f>Table67[[#This Row],[Midpoint]]/21</f>
        <v>0.38095238095238093</v>
      </c>
      <c r="AV1295">
        <f>_xlfn.PERCENTILE.INC(Table67[Midpoint ratio],0.9)</f>
        <v>0.5714285714285714</v>
      </c>
      <c r="AW1295" t="b">
        <f>Table67[[#This Row],[Midpoint ratio]]&gt;=Table67[[#This Row],[Threshold of Midpoint ratio]]</f>
        <v>0</v>
      </c>
      <c r="AX1295" t="b">
        <f>OR(Table67[[#This Row],[Extreme Response Style]],Table67[[#This Row],[Mid-point Response Style]])</f>
        <v>0</v>
      </c>
      <c r="AY1295" t="b">
        <f>OR(Table67[[#This Row],[Delete? (Stage 1)]],Table67[[#This Row],[Delete? (Stage 2)]])</f>
        <v>1</v>
      </c>
      <c r="AZ1295" t="s">
        <v>84</v>
      </c>
    </row>
    <row r="1296" spans="1:52">
      <c r="A1296">
        <f t="shared" si="83"/>
        <v>1295</v>
      </c>
      <c r="B1296" s="3">
        <v>46062.036122685182</v>
      </c>
      <c r="C1296" s="3">
        <v>46062.04277777778</v>
      </c>
      <c r="D1296" t="s">
        <v>53</v>
      </c>
      <c r="G1296" t="s">
        <v>54</v>
      </c>
      <c r="H1296" t="s">
        <v>63</v>
      </c>
      <c r="I1296" t="s">
        <v>56</v>
      </c>
      <c r="J1296" t="s">
        <v>62</v>
      </c>
      <c r="K1296" t="s">
        <v>62</v>
      </c>
      <c r="L1296" t="s">
        <v>61</v>
      </c>
      <c r="M1296" t="s">
        <v>61</v>
      </c>
      <c r="N1296">
        <v>3</v>
      </c>
      <c r="O1296">
        <v>5</v>
      </c>
      <c r="P1296">
        <v>4</v>
      </c>
      <c r="Q1296">
        <v>5</v>
      </c>
      <c r="R1296">
        <v>3</v>
      </c>
      <c r="S1296">
        <v>5</v>
      </c>
      <c r="T1296">
        <v>3</v>
      </c>
      <c r="U1296">
        <v>5</v>
      </c>
      <c r="V1296">
        <v>5</v>
      </c>
      <c r="W1296">
        <v>5</v>
      </c>
      <c r="X1296">
        <v>5</v>
      </c>
      <c r="Y1296">
        <v>5</v>
      </c>
      <c r="Z1296">
        <v>4</v>
      </c>
      <c r="AA1296">
        <v>5</v>
      </c>
      <c r="AB1296">
        <v>4</v>
      </c>
      <c r="AC1296">
        <v>4</v>
      </c>
      <c r="AD1296">
        <v>5</v>
      </c>
      <c r="AE1296">
        <v>5</v>
      </c>
      <c r="AF1296">
        <v>1</v>
      </c>
      <c r="AG1296">
        <v>5</v>
      </c>
      <c r="AH1296">
        <v>2</v>
      </c>
      <c r="AI1296">
        <v>4</v>
      </c>
      <c r="AJ1296">
        <v>5</v>
      </c>
      <c r="AK1296" t="b">
        <f>Table67[[#This Row],[What is your age?]]&lt;&gt;"18 - 25"</f>
        <v>0</v>
      </c>
      <c r="AL1296" t="b">
        <f t="shared" si="80"/>
        <v>0</v>
      </c>
      <c r="AM1296" t="b">
        <f t="shared" si="81"/>
        <v>0</v>
      </c>
      <c r="AN1296" t="b">
        <f t="shared" si="82"/>
        <v>0</v>
      </c>
      <c r="AO1296" t="b">
        <f>OR(Table67[[#This Row],[Ineligible respondents]:[Inconsistent response on opposite question (3)]])</f>
        <v>0</v>
      </c>
      <c r="AP129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1296">
        <f>Table67[[#This Row],[Extreme Response]]/21</f>
        <v>0.61904761904761907</v>
      </c>
      <c r="AR1296">
        <f>_xlfn.PERCENTILE.INC(Table67[Extrem Response Ratio (ERS)],0.9)</f>
        <v>0.61904761904761907</v>
      </c>
      <c r="AS1296" t="b">
        <f>Table67[[#This Row],[Extrem Response Ratio (ERS)]]&gt;=Table67[[#This Row],[Threshold of ERS]]</f>
        <v>1</v>
      </c>
      <c r="AT1296">
        <f>COUNTIF(Table67[[#This Row],[The mechanism of digital assets is difficult to understand, which discourages me from exploring it (E.g, Tokenization, Blockchain)]:[If I want to try different ways to invest, I will explore digital assets.]], 3)</f>
        <v>3</v>
      </c>
      <c r="AU1296">
        <f>Table67[[#This Row],[Midpoint]]/21</f>
        <v>0.14285714285714285</v>
      </c>
      <c r="AV1296">
        <f>_xlfn.PERCENTILE.INC(Table67[Midpoint ratio],0.9)</f>
        <v>0.5714285714285714</v>
      </c>
      <c r="AW1296" t="b">
        <f>Table67[[#This Row],[Midpoint ratio]]&gt;=Table67[[#This Row],[Threshold of Midpoint ratio]]</f>
        <v>0</v>
      </c>
      <c r="AX1296" t="b">
        <f>OR(Table67[[#This Row],[Extreme Response Style]],Table67[[#This Row],[Mid-point Response Style]])</f>
        <v>1</v>
      </c>
      <c r="AY1296" t="b">
        <f>OR(Table67[[#This Row],[Delete? (Stage 1)]],Table67[[#This Row],[Delete? (Stage 2)]])</f>
        <v>1</v>
      </c>
      <c r="AZ1296" t="s">
        <v>84</v>
      </c>
    </row>
    <row r="1297" spans="1:52">
      <c r="A1297">
        <f t="shared" si="83"/>
        <v>1296</v>
      </c>
      <c r="B1297" s="3">
        <v>46065.870092592595</v>
      </c>
      <c r="C1297" s="3">
        <v>46065.875902777778</v>
      </c>
      <c r="D1297" t="s">
        <v>53</v>
      </c>
      <c r="G1297" t="s">
        <v>54</v>
      </c>
      <c r="H1297" t="s">
        <v>63</v>
      </c>
      <c r="I1297" t="s">
        <v>56</v>
      </c>
      <c r="J1297" t="s">
        <v>68</v>
      </c>
      <c r="K1297" t="s">
        <v>62</v>
      </c>
      <c r="L1297" t="s">
        <v>61</v>
      </c>
      <c r="M1297" t="s">
        <v>61</v>
      </c>
      <c r="N1297">
        <v>4</v>
      </c>
      <c r="O1297">
        <v>4</v>
      </c>
      <c r="P1297">
        <v>3</v>
      </c>
      <c r="Q1297">
        <v>3</v>
      </c>
      <c r="R1297">
        <v>3</v>
      </c>
      <c r="S1297">
        <v>3</v>
      </c>
      <c r="T1297">
        <v>4</v>
      </c>
      <c r="U1297">
        <v>4</v>
      </c>
      <c r="V1297">
        <v>3</v>
      </c>
      <c r="W1297">
        <v>3</v>
      </c>
      <c r="X1297">
        <v>4</v>
      </c>
      <c r="Y1297">
        <v>3</v>
      </c>
      <c r="Z1297">
        <v>5</v>
      </c>
      <c r="AA1297">
        <v>4</v>
      </c>
      <c r="AB1297">
        <v>3</v>
      </c>
      <c r="AC1297">
        <v>4</v>
      </c>
      <c r="AD1297">
        <v>5</v>
      </c>
      <c r="AE1297">
        <v>5</v>
      </c>
      <c r="AF1297">
        <v>4</v>
      </c>
      <c r="AG1297">
        <v>2</v>
      </c>
      <c r="AH1297">
        <v>4</v>
      </c>
      <c r="AI1297">
        <v>2</v>
      </c>
      <c r="AJ1297">
        <v>2</v>
      </c>
      <c r="AK1297" t="b">
        <f>Table67[[#This Row],[What is your age?]]&lt;&gt;"18 - 25"</f>
        <v>0</v>
      </c>
      <c r="AL1297" t="b">
        <f t="shared" si="80"/>
        <v>0</v>
      </c>
      <c r="AM1297" t="b">
        <f t="shared" si="81"/>
        <v>0</v>
      </c>
      <c r="AN1297" t="b">
        <f t="shared" si="82"/>
        <v>0</v>
      </c>
      <c r="AO1297" t="b">
        <f>OR(Table67[[#This Row],[Ineligible respondents]:[Inconsistent response on opposite question (3)]])</f>
        <v>0</v>
      </c>
      <c r="AP129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297">
        <f>Table67[[#This Row],[Extreme Response]]/21</f>
        <v>0.14285714285714285</v>
      </c>
      <c r="AR1297">
        <f>_xlfn.PERCENTILE.INC(Table67[Extrem Response Ratio (ERS)],0.9)</f>
        <v>0.61904761904761907</v>
      </c>
      <c r="AS1297" t="b">
        <f>Table67[[#This Row],[Extrem Response Ratio (ERS)]]&gt;=Table67[[#This Row],[Threshold of ERS]]</f>
        <v>0</v>
      </c>
      <c r="AT1297">
        <f>COUNTIF(Table67[[#This Row],[The mechanism of digital assets is difficult to understand, which discourages me from exploring it (E.g, Tokenization, Blockchain)]:[If I want to try different ways to invest, I will explore digital assets.]], 3)</f>
        <v>8</v>
      </c>
      <c r="AU1297">
        <f>Table67[[#This Row],[Midpoint]]/21</f>
        <v>0.38095238095238093</v>
      </c>
      <c r="AV1297">
        <f>_xlfn.PERCENTILE.INC(Table67[Midpoint ratio],0.9)</f>
        <v>0.5714285714285714</v>
      </c>
      <c r="AW1297" t="b">
        <f>Table67[[#This Row],[Midpoint ratio]]&gt;=Table67[[#This Row],[Threshold of Midpoint ratio]]</f>
        <v>0</v>
      </c>
      <c r="AX1297" t="b">
        <f>OR(Table67[[#This Row],[Extreme Response Style]],Table67[[#This Row],[Mid-point Response Style]])</f>
        <v>0</v>
      </c>
      <c r="AY1297" t="b">
        <f>OR(Table67[[#This Row],[Delete? (Stage 1)]],Table67[[#This Row],[Delete? (Stage 2)]])</f>
        <v>0</v>
      </c>
      <c r="AZ1297" t="s">
        <v>84</v>
      </c>
    </row>
    <row r="1298" spans="1:52">
      <c r="A1298">
        <f t="shared" si="83"/>
        <v>1297</v>
      </c>
      <c r="B1298" s="3">
        <v>46062.058923611112</v>
      </c>
      <c r="C1298" s="3">
        <v>46062.065266203703</v>
      </c>
      <c r="D1298" t="s">
        <v>53</v>
      </c>
      <c r="G1298" t="s">
        <v>54</v>
      </c>
      <c r="H1298" t="s">
        <v>63</v>
      </c>
      <c r="I1298" t="s">
        <v>69</v>
      </c>
      <c r="J1298" t="s">
        <v>57</v>
      </c>
      <c r="K1298" t="s">
        <v>57</v>
      </c>
      <c r="L1298" t="s">
        <v>58</v>
      </c>
      <c r="M1298" t="s">
        <v>58</v>
      </c>
      <c r="N1298">
        <v>3</v>
      </c>
      <c r="O1298">
        <v>4</v>
      </c>
      <c r="P1298">
        <v>5</v>
      </c>
      <c r="Q1298">
        <v>4</v>
      </c>
      <c r="R1298">
        <v>4</v>
      </c>
      <c r="S1298">
        <v>4</v>
      </c>
      <c r="T1298">
        <v>1</v>
      </c>
      <c r="U1298">
        <v>4</v>
      </c>
      <c r="V1298">
        <v>5</v>
      </c>
      <c r="W1298">
        <v>5</v>
      </c>
      <c r="X1298">
        <v>5</v>
      </c>
      <c r="Y1298">
        <v>5</v>
      </c>
      <c r="Z1298">
        <v>5</v>
      </c>
      <c r="AA1298">
        <v>5</v>
      </c>
      <c r="AB1298">
        <v>3</v>
      </c>
      <c r="AC1298">
        <v>3</v>
      </c>
      <c r="AD1298">
        <v>4</v>
      </c>
      <c r="AE1298">
        <v>4</v>
      </c>
      <c r="AF1298">
        <v>2</v>
      </c>
      <c r="AG1298">
        <v>4</v>
      </c>
      <c r="AH1298">
        <v>3</v>
      </c>
      <c r="AI1298">
        <v>3</v>
      </c>
      <c r="AJ1298">
        <v>4</v>
      </c>
      <c r="AK1298" t="b">
        <f>Table67[[#This Row],[What is your age?]]&lt;&gt;"18 - 25"</f>
        <v>0</v>
      </c>
      <c r="AL1298" t="b">
        <f t="shared" si="80"/>
        <v>0</v>
      </c>
      <c r="AM1298" t="b">
        <f t="shared" si="81"/>
        <v>0</v>
      </c>
      <c r="AN1298" t="b">
        <f t="shared" si="82"/>
        <v>1</v>
      </c>
      <c r="AO1298" t="b">
        <f>OR(Table67[[#This Row],[Ineligible respondents]:[Inconsistent response on opposite question (3)]])</f>
        <v>1</v>
      </c>
      <c r="AP129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1298">
        <f>Table67[[#This Row],[Extreme Response]]/21</f>
        <v>0.38095238095238093</v>
      </c>
      <c r="AR1298">
        <f>_xlfn.PERCENTILE.INC(Table67[Extrem Response Ratio (ERS)],0.9)</f>
        <v>0.61904761904761907</v>
      </c>
      <c r="AS1298" t="b">
        <f>Table67[[#This Row],[Extrem Response Ratio (ERS)]]&gt;=Table67[[#This Row],[Threshold of ERS]]</f>
        <v>0</v>
      </c>
      <c r="AT1298">
        <f>COUNTIF(Table67[[#This Row],[The mechanism of digital assets is difficult to understand, which discourages me from exploring it (E.g, Tokenization, Blockchain)]:[If I want to try different ways to invest, I will explore digital assets.]], 3)</f>
        <v>4</v>
      </c>
      <c r="AU1298">
        <f>Table67[[#This Row],[Midpoint]]/21</f>
        <v>0.19047619047619047</v>
      </c>
      <c r="AV1298">
        <f>_xlfn.PERCENTILE.INC(Table67[Midpoint ratio],0.9)</f>
        <v>0.5714285714285714</v>
      </c>
      <c r="AW1298" t="b">
        <f>Table67[[#This Row],[Midpoint ratio]]&gt;=Table67[[#This Row],[Threshold of Midpoint ratio]]</f>
        <v>0</v>
      </c>
      <c r="AX1298" t="b">
        <f>OR(Table67[[#This Row],[Extreme Response Style]],Table67[[#This Row],[Mid-point Response Style]])</f>
        <v>0</v>
      </c>
      <c r="AY1298" t="b">
        <f>OR(Table67[[#This Row],[Delete? (Stage 1)]],Table67[[#This Row],[Delete? (Stage 2)]])</f>
        <v>1</v>
      </c>
      <c r="AZ1298" t="s">
        <v>84</v>
      </c>
    </row>
    <row r="1299" spans="1:52">
      <c r="A1299">
        <f t="shared" si="83"/>
        <v>1298</v>
      </c>
      <c r="B1299" s="3">
        <v>46065.882233796299</v>
      </c>
      <c r="C1299" s="3">
        <v>46065.888090277775</v>
      </c>
      <c r="D1299" t="s">
        <v>53</v>
      </c>
      <c r="G1299" t="s">
        <v>54</v>
      </c>
      <c r="H1299" t="s">
        <v>63</v>
      </c>
      <c r="I1299" t="s">
        <v>56</v>
      </c>
      <c r="J1299" t="s">
        <v>60</v>
      </c>
      <c r="K1299" t="s">
        <v>62</v>
      </c>
      <c r="L1299" t="s">
        <v>61</v>
      </c>
      <c r="M1299" t="s">
        <v>61</v>
      </c>
      <c r="N1299">
        <v>3</v>
      </c>
      <c r="O1299">
        <v>4</v>
      </c>
      <c r="P1299">
        <v>3</v>
      </c>
      <c r="Q1299">
        <v>2</v>
      </c>
      <c r="R1299">
        <v>2</v>
      </c>
      <c r="S1299">
        <v>3</v>
      </c>
      <c r="T1299">
        <v>4</v>
      </c>
      <c r="U1299">
        <v>2</v>
      </c>
      <c r="V1299">
        <v>3</v>
      </c>
      <c r="W1299">
        <v>3</v>
      </c>
      <c r="X1299">
        <v>3</v>
      </c>
      <c r="Y1299">
        <v>3</v>
      </c>
      <c r="Z1299">
        <v>3</v>
      </c>
      <c r="AA1299">
        <v>3</v>
      </c>
      <c r="AB1299">
        <v>3</v>
      </c>
      <c r="AC1299">
        <v>3</v>
      </c>
      <c r="AD1299">
        <v>3</v>
      </c>
      <c r="AE1299">
        <v>2</v>
      </c>
      <c r="AF1299">
        <v>4</v>
      </c>
      <c r="AG1299">
        <v>1</v>
      </c>
      <c r="AH1299">
        <v>5</v>
      </c>
      <c r="AI1299">
        <v>1</v>
      </c>
      <c r="AJ1299">
        <v>2</v>
      </c>
      <c r="AK1299" t="b">
        <f>Table67[[#This Row],[What is your age?]]&lt;&gt;"18 - 25"</f>
        <v>0</v>
      </c>
      <c r="AL1299" t="b">
        <f t="shared" si="80"/>
        <v>0</v>
      </c>
      <c r="AM1299" t="b">
        <f t="shared" si="81"/>
        <v>0</v>
      </c>
      <c r="AN1299" t="b">
        <f t="shared" si="82"/>
        <v>0</v>
      </c>
      <c r="AO1299" t="b">
        <f>OR(Table67[[#This Row],[Ineligible respondents]:[Inconsistent response on opposite question (3)]])</f>
        <v>0</v>
      </c>
      <c r="AP129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299">
        <f>Table67[[#This Row],[Extreme Response]]/21</f>
        <v>9.5238095238095233E-2</v>
      </c>
      <c r="AR1299">
        <f>_xlfn.PERCENTILE.INC(Table67[Extrem Response Ratio (ERS)],0.9)</f>
        <v>0.61904761904761907</v>
      </c>
      <c r="AS1299" t="b">
        <f>Table67[[#This Row],[Extrem Response Ratio (ERS)]]&gt;=Table67[[#This Row],[Threshold of ERS]]</f>
        <v>0</v>
      </c>
      <c r="AT1299">
        <f>COUNTIF(Table67[[#This Row],[The mechanism of digital assets is difficult to understand, which discourages me from exploring it (E.g, Tokenization, Blockchain)]:[If I want to try different ways to invest, I will explore digital assets.]], 3)</f>
        <v>12</v>
      </c>
      <c r="AU1299">
        <f>Table67[[#This Row],[Midpoint]]/21</f>
        <v>0.5714285714285714</v>
      </c>
      <c r="AV1299">
        <f>_xlfn.PERCENTILE.INC(Table67[Midpoint ratio],0.9)</f>
        <v>0.5714285714285714</v>
      </c>
      <c r="AW1299" t="b">
        <f>Table67[[#This Row],[Midpoint ratio]]&gt;=Table67[[#This Row],[Threshold of Midpoint ratio]]</f>
        <v>1</v>
      </c>
      <c r="AX1299" t="b">
        <f>OR(Table67[[#This Row],[Extreme Response Style]],Table67[[#This Row],[Mid-point Response Style]])</f>
        <v>1</v>
      </c>
      <c r="AY1299" t="b">
        <f>OR(Table67[[#This Row],[Delete? (Stage 1)]],Table67[[#This Row],[Delete? (Stage 2)]])</f>
        <v>1</v>
      </c>
      <c r="AZ1299" t="s">
        <v>84</v>
      </c>
    </row>
    <row r="1300" spans="1:52">
      <c r="A1300">
        <f t="shared" si="83"/>
        <v>1299</v>
      </c>
      <c r="B1300" s="3">
        <v>46065.842187499999</v>
      </c>
      <c r="C1300" s="3">
        <v>46065.847662037035</v>
      </c>
      <c r="D1300" t="s">
        <v>53</v>
      </c>
      <c r="G1300" t="s">
        <v>54</v>
      </c>
      <c r="H1300" t="s">
        <v>55</v>
      </c>
      <c r="I1300" t="s">
        <v>56</v>
      </c>
      <c r="J1300" t="s">
        <v>60</v>
      </c>
      <c r="K1300" t="s">
        <v>62</v>
      </c>
      <c r="L1300" t="s">
        <v>58</v>
      </c>
      <c r="M1300" t="s">
        <v>61</v>
      </c>
      <c r="N1300">
        <v>2</v>
      </c>
      <c r="O1300">
        <v>1</v>
      </c>
      <c r="P1300">
        <v>4</v>
      </c>
      <c r="Q1300">
        <v>3</v>
      </c>
      <c r="R1300">
        <v>2</v>
      </c>
      <c r="S1300">
        <v>3</v>
      </c>
      <c r="T1300">
        <v>2</v>
      </c>
      <c r="U1300">
        <v>4</v>
      </c>
      <c r="V1300">
        <v>3</v>
      </c>
      <c r="W1300">
        <v>3</v>
      </c>
      <c r="X1300">
        <v>3</v>
      </c>
      <c r="Y1300">
        <v>3</v>
      </c>
      <c r="Z1300">
        <v>3</v>
      </c>
      <c r="AA1300">
        <v>3</v>
      </c>
      <c r="AB1300">
        <v>2</v>
      </c>
      <c r="AC1300">
        <v>3</v>
      </c>
      <c r="AD1300">
        <v>3</v>
      </c>
      <c r="AE1300">
        <v>2</v>
      </c>
      <c r="AF1300">
        <v>2</v>
      </c>
      <c r="AG1300">
        <v>3</v>
      </c>
      <c r="AH1300">
        <v>3</v>
      </c>
      <c r="AI1300">
        <v>3</v>
      </c>
      <c r="AJ1300">
        <v>4</v>
      </c>
      <c r="AK1300" t="b">
        <f>Table67[[#This Row],[What is your age?]]&lt;&gt;"18 - 25"</f>
        <v>0</v>
      </c>
      <c r="AL1300" t="b">
        <f t="shared" si="80"/>
        <v>0</v>
      </c>
      <c r="AM1300" t="b">
        <f t="shared" si="81"/>
        <v>0</v>
      </c>
      <c r="AN1300" t="b">
        <f t="shared" si="82"/>
        <v>0</v>
      </c>
      <c r="AO1300" t="b">
        <f>OR(Table67[[#This Row],[Ineligible respondents]:[Inconsistent response on opposite question (3)]])</f>
        <v>0</v>
      </c>
      <c r="AP130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300">
        <f>Table67[[#This Row],[Extreme Response]]/21</f>
        <v>4.7619047619047616E-2</v>
      </c>
      <c r="AR1300">
        <f>_xlfn.PERCENTILE.INC(Table67[Extrem Response Ratio (ERS)],0.9)</f>
        <v>0.61904761904761907</v>
      </c>
      <c r="AS1300" t="b">
        <f>Table67[[#This Row],[Extrem Response Ratio (ERS)]]&gt;=Table67[[#This Row],[Threshold of ERS]]</f>
        <v>0</v>
      </c>
      <c r="AT1300">
        <f>COUNTIF(Table67[[#This Row],[The mechanism of digital assets is difficult to understand, which discourages me from exploring it (E.g, Tokenization, Blockchain)]:[If I want to try different ways to invest, I will explore digital assets.]], 3)</f>
        <v>12</v>
      </c>
      <c r="AU1300">
        <f>Table67[[#This Row],[Midpoint]]/21</f>
        <v>0.5714285714285714</v>
      </c>
      <c r="AV1300">
        <f>_xlfn.PERCENTILE.INC(Table67[Midpoint ratio],0.9)</f>
        <v>0.5714285714285714</v>
      </c>
      <c r="AW1300" t="b">
        <f>Table67[[#This Row],[Midpoint ratio]]&gt;=Table67[[#This Row],[Threshold of Midpoint ratio]]</f>
        <v>1</v>
      </c>
      <c r="AX1300" t="b">
        <f>OR(Table67[[#This Row],[Extreme Response Style]],Table67[[#This Row],[Mid-point Response Style]])</f>
        <v>1</v>
      </c>
      <c r="AY1300" t="b">
        <f>OR(Table67[[#This Row],[Delete? (Stage 1)]],Table67[[#This Row],[Delete? (Stage 2)]])</f>
        <v>1</v>
      </c>
      <c r="AZ1300" t="s">
        <v>84</v>
      </c>
    </row>
    <row r="1301" spans="1:52">
      <c r="A1301">
        <f t="shared" si="83"/>
        <v>1300</v>
      </c>
      <c r="B1301" s="3">
        <v>46065.870069444441</v>
      </c>
      <c r="C1301" s="3">
        <v>46065.875937500001</v>
      </c>
      <c r="D1301" t="s">
        <v>53</v>
      </c>
      <c r="G1301" t="s">
        <v>54</v>
      </c>
      <c r="H1301" t="s">
        <v>55</v>
      </c>
      <c r="I1301" t="s">
        <v>56</v>
      </c>
      <c r="J1301" t="s">
        <v>66</v>
      </c>
      <c r="K1301" t="s">
        <v>66</v>
      </c>
      <c r="L1301" t="s">
        <v>58</v>
      </c>
      <c r="M1301" t="s">
        <v>58</v>
      </c>
      <c r="N1301">
        <v>4</v>
      </c>
      <c r="O1301">
        <v>4</v>
      </c>
      <c r="P1301">
        <v>4</v>
      </c>
      <c r="Q1301">
        <v>4</v>
      </c>
      <c r="R1301">
        <v>4</v>
      </c>
      <c r="S1301">
        <v>4</v>
      </c>
      <c r="T1301">
        <v>3</v>
      </c>
      <c r="U1301">
        <v>4</v>
      </c>
      <c r="V1301">
        <v>4</v>
      </c>
      <c r="W1301">
        <v>4</v>
      </c>
      <c r="X1301">
        <v>2</v>
      </c>
      <c r="Y1301">
        <v>4</v>
      </c>
      <c r="Z1301">
        <v>2</v>
      </c>
      <c r="AA1301">
        <v>4</v>
      </c>
      <c r="AB1301">
        <v>4</v>
      </c>
      <c r="AC1301">
        <v>4</v>
      </c>
      <c r="AD1301">
        <v>2</v>
      </c>
      <c r="AE1301">
        <v>2</v>
      </c>
      <c r="AF1301">
        <v>3</v>
      </c>
      <c r="AG1301">
        <v>3</v>
      </c>
      <c r="AH1301">
        <v>3</v>
      </c>
      <c r="AI1301">
        <v>3</v>
      </c>
      <c r="AJ1301">
        <v>3</v>
      </c>
      <c r="AK1301" t="b">
        <f>Table67[[#This Row],[What is your age?]]&lt;&gt;"18 - 25"</f>
        <v>0</v>
      </c>
      <c r="AL1301" t="b">
        <f t="shared" si="80"/>
        <v>0</v>
      </c>
      <c r="AM1301" t="b">
        <f t="shared" si="81"/>
        <v>0</v>
      </c>
      <c r="AN1301" t="b">
        <f t="shared" si="82"/>
        <v>0</v>
      </c>
      <c r="AO1301" t="b">
        <f>OR(Table67[[#This Row],[Ineligible respondents]:[Inconsistent response on opposite question (3)]])</f>
        <v>0</v>
      </c>
      <c r="AP130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301">
        <f>Table67[[#This Row],[Extreme Response]]/21</f>
        <v>0</v>
      </c>
      <c r="AR1301">
        <f>_xlfn.PERCENTILE.INC(Table67[Extrem Response Ratio (ERS)],0.9)</f>
        <v>0.61904761904761907</v>
      </c>
      <c r="AS1301" t="b">
        <f>Table67[[#This Row],[Extrem Response Ratio (ERS)]]&gt;=Table67[[#This Row],[Threshold of ERS]]</f>
        <v>0</v>
      </c>
      <c r="AT1301">
        <f>COUNTIF(Table67[[#This Row],[The mechanism of digital assets is difficult to understand, which discourages me from exploring it (E.g, Tokenization, Blockchain)]:[If I want to try different ways to invest, I will explore digital assets.]], 3)</f>
        <v>4</v>
      </c>
      <c r="AU1301">
        <f>Table67[[#This Row],[Midpoint]]/21</f>
        <v>0.19047619047619047</v>
      </c>
      <c r="AV1301">
        <f>_xlfn.PERCENTILE.INC(Table67[Midpoint ratio],0.9)</f>
        <v>0.5714285714285714</v>
      </c>
      <c r="AW1301" t="b">
        <f>Table67[[#This Row],[Midpoint ratio]]&gt;=Table67[[#This Row],[Threshold of Midpoint ratio]]</f>
        <v>0</v>
      </c>
      <c r="AX1301" t="b">
        <f>OR(Table67[[#This Row],[Extreme Response Style]],Table67[[#This Row],[Mid-point Response Style]])</f>
        <v>0</v>
      </c>
      <c r="AY1301" t="b">
        <f>OR(Table67[[#This Row],[Delete? (Stage 1)]],Table67[[#This Row],[Delete? (Stage 2)]])</f>
        <v>0</v>
      </c>
      <c r="AZ1301" t="s">
        <v>84</v>
      </c>
    </row>
    <row r="1302" spans="1:52">
      <c r="A1302">
        <f t="shared" si="83"/>
        <v>1301</v>
      </c>
      <c r="B1302" s="3">
        <v>46062.041678240741</v>
      </c>
      <c r="C1302" s="3">
        <v>46062.042800925927</v>
      </c>
      <c r="D1302" t="s">
        <v>53</v>
      </c>
      <c r="G1302" t="s">
        <v>54</v>
      </c>
      <c r="H1302" t="s">
        <v>55</v>
      </c>
      <c r="I1302" t="s">
        <v>56</v>
      </c>
      <c r="J1302" t="s">
        <v>65</v>
      </c>
      <c r="K1302" t="s">
        <v>64</v>
      </c>
      <c r="L1302" t="s">
        <v>58</v>
      </c>
      <c r="M1302" t="s">
        <v>58</v>
      </c>
      <c r="N1302">
        <v>3</v>
      </c>
      <c r="O1302">
        <v>2</v>
      </c>
      <c r="P1302">
        <v>4</v>
      </c>
      <c r="Q1302">
        <v>3</v>
      </c>
      <c r="R1302">
        <v>2</v>
      </c>
      <c r="S1302">
        <v>4</v>
      </c>
      <c r="T1302">
        <v>5</v>
      </c>
      <c r="U1302">
        <v>4</v>
      </c>
      <c r="V1302">
        <v>4</v>
      </c>
      <c r="W1302">
        <v>3</v>
      </c>
      <c r="X1302">
        <v>3</v>
      </c>
      <c r="Y1302">
        <v>2</v>
      </c>
      <c r="Z1302">
        <v>3</v>
      </c>
      <c r="AA1302">
        <v>4</v>
      </c>
      <c r="AB1302">
        <v>3</v>
      </c>
      <c r="AC1302">
        <v>5</v>
      </c>
      <c r="AD1302">
        <v>2</v>
      </c>
      <c r="AE1302">
        <v>3</v>
      </c>
      <c r="AF1302">
        <v>3</v>
      </c>
      <c r="AG1302">
        <v>5</v>
      </c>
      <c r="AH1302">
        <v>4</v>
      </c>
      <c r="AI1302">
        <v>2</v>
      </c>
      <c r="AJ1302">
        <v>3</v>
      </c>
      <c r="AK1302" t="b">
        <f>Table67[[#This Row],[What is your age?]]&lt;&gt;"18 - 25"</f>
        <v>0</v>
      </c>
      <c r="AL1302" t="b">
        <f t="shared" si="80"/>
        <v>0</v>
      </c>
      <c r="AM1302" t="b">
        <f t="shared" si="81"/>
        <v>1</v>
      </c>
      <c r="AN1302" t="b">
        <f t="shared" si="82"/>
        <v>0</v>
      </c>
      <c r="AO1302" t="b">
        <f>OR(Table67[[#This Row],[Ineligible respondents]:[Inconsistent response on opposite question (3)]])</f>
        <v>1</v>
      </c>
      <c r="AP130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302">
        <f>Table67[[#This Row],[Extreme Response]]/21</f>
        <v>0.14285714285714285</v>
      </c>
      <c r="AR1302">
        <f>_xlfn.PERCENTILE.INC(Table67[Extrem Response Ratio (ERS)],0.9)</f>
        <v>0.61904761904761907</v>
      </c>
      <c r="AS1302" t="b">
        <f>Table67[[#This Row],[Extrem Response Ratio (ERS)]]&gt;=Table67[[#This Row],[Threshold of ERS]]</f>
        <v>0</v>
      </c>
      <c r="AT1302">
        <f>COUNTIF(Table67[[#This Row],[The mechanism of digital assets is difficult to understand, which discourages me from exploring it (E.g, Tokenization, Blockchain)]:[If I want to try different ways to invest, I will explore digital assets.]], 3)</f>
        <v>8</v>
      </c>
      <c r="AU1302">
        <f>Table67[[#This Row],[Midpoint]]/21</f>
        <v>0.38095238095238093</v>
      </c>
      <c r="AV1302">
        <f>_xlfn.PERCENTILE.INC(Table67[Midpoint ratio],0.9)</f>
        <v>0.5714285714285714</v>
      </c>
      <c r="AW1302" t="b">
        <f>Table67[[#This Row],[Midpoint ratio]]&gt;=Table67[[#This Row],[Threshold of Midpoint ratio]]</f>
        <v>0</v>
      </c>
      <c r="AX1302" t="b">
        <f>OR(Table67[[#This Row],[Extreme Response Style]],Table67[[#This Row],[Mid-point Response Style]])</f>
        <v>0</v>
      </c>
      <c r="AY1302" t="b">
        <f>OR(Table67[[#This Row],[Delete? (Stage 1)]],Table67[[#This Row],[Delete? (Stage 2)]])</f>
        <v>1</v>
      </c>
      <c r="AZ1302" t="s">
        <v>84</v>
      </c>
    </row>
    <row r="1303" spans="1:52">
      <c r="A1303">
        <f t="shared" si="83"/>
        <v>1302</v>
      </c>
      <c r="B1303" s="3">
        <v>46062.031041666669</v>
      </c>
      <c r="C1303" s="3">
        <v>46062.032789351855</v>
      </c>
      <c r="D1303" t="s">
        <v>53</v>
      </c>
      <c r="G1303" t="s">
        <v>54</v>
      </c>
      <c r="H1303" t="s">
        <v>55</v>
      </c>
      <c r="I1303" t="s">
        <v>56</v>
      </c>
      <c r="J1303" t="s">
        <v>72</v>
      </c>
      <c r="K1303" t="s">
        <v>62</v>
      </c>
      <c r="L1303" t="s">
        <v>58</v>
      </c>
      <c r="M1303" t="s">
        <v>58</v>
      </c>
      <c r="N1303">
        <v>4</v>
      </c>
      <c r="O1303">
        <v>2</v>
      </c>
      <c r="P1303">
        <v>3</v>
      </c>
      <c r="Q1303">
        <v>2</v>
      </c>
      <c r="R1303">
        <v>4</v>
      </c>
      <c r="S1303">
        <v>4</v>
      </c>
      <c r="T1303">
        <v>3</v>
      </c>
      <c r="U1303">
        <v>2</v>
      </c>
      <c r="V1303">
        <v>4</v>
      </c>
      <c r="W1303">
        <v>4</v>
      </c>
      <c r="X1303">
        <v>4</v>
      </c>
      <c r="Y1303">
        <v>4</v>
      </c>
      <c r="Z1303">
        <v>5</v>
      </c>
      <c r="AA1303">
        <v>3</v>
      </c>
      <c r="AB1303">
        <v>2</v>
      </c>
      <c r="AC1303">
        <v>3</v>
      </c>
      <c r="AD1303">
        <v>5</v>
      </c>
      <c r="AE1303">
        <v>4</v>
      </c>
      <c r="AF1303">
        <v>4</v>
      </c>
      <c r="AG1303">
        <v>3</v>
      </c>
      <c r="AH1303">
        <v>4</v>
      </c>
      <c r="AI1303">
        <v>2</v>
      </c>
      <c r="AJ1303">
        <v>2</v>
      </c>
      <c r="AK1303" t="b">
        <f>Table67[[#This Row],[What is your age?]]&lt;&gt;"18 - 25"</f>
        <v>0</v>
      </c>
      <c r="AL1303" t="b">
        <f t="shared" si="80"/>
        <v>0</v>
      </c>
      <c r="AM1303" t="b">
        <f t="shared" si="81"/>
        <v>0</v>
      </c>
      <c r="AN1303" t="b">
        <f t="shared" si="82"/>
        <v>1</v>
      </c>
      <c r="AO1303" t="b">
        <f>OR(Table67[[#This Row],[Ineligible respondents]:[Inconsistent response on opposite question (3)]])</f>
        <v>1</v>
      </c>
      <c r="AP130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303">
        <f>Table67[[#This Row],[Extreme Response]]/21</f>
        <v>9.5238095238095233E-2</v>
      </c>
      <c r="AR1303">
        <f>_xlfn.PERCENTILE.INC(Table67[Extrem Response Ratio (ERS)],0.9)</f>
        <v>0.61904761904761907</v>
      </c>
      <c r="AS1303" t="b">
        <f>Table67[[#This Row],[Extrem Response Ratio (ERS)]]&gt;=Table67[[#This Row],[Threshold of ERS]]</f>
        <v>0</v>
      </c>
      <c r="AT1303">
        <f>COUNTIF(Table67[[#This Row],[The mechanism of digital assets is difficult to understand, which discourages me from exploring it (E.g, Tokenization, Blockchain)]:[If I want to try different ways to invest, I will explore digital assets.]], 3)</f>
        <v>5</v>
      </c>
      <c r="AU1303">
        <f>Table67[[#This Row],[Midpoint]]/21</f>
        <v>0.23809523809523808</v>
      </c>
      <c r="AV1303">
        <f>_xlfn.PERCENTILE.INC(Table67[Midpoint ratio],0.9)</f>
        <v>0.5714285714285714</v>
      </c>
      <c r="AW1303" t="b">
        <f>Table67[[#This Row],[Midpoint ratio]]&gt;=Table67[[#This Row],[Threshold of Midpoint ratio]]</f>
        <v>0</v>
      </c>
      <c r="AX1303" t="b">
        <f>OR(Table67[[#This Row],[Extreme Response Style]],Table67[[#This Row],[Mid-point Response Style]])</f>
        <v>0</v>
      </c>
      <c r="AY1303" t="b">
        <f>OR(Table67[[#This Row],[Delete? (Stage 1)]],Table67[[#This Row],[Delete? (Stage 2)]])</f>
        <v>1</v>
      </c>
      <c r="AZ1303" t="s">
        <v>84</v>
      </c>
    </row>
    <row r="1304" spans="1:52">
      <c r="A1304">
        <f t="shared" si="83"/>
        <v>1303</v>
      </c>
      <c r="B1304" s="3">
        <v>46062.052881944444</v>
      </c>
      <c r="C1304" s="3">
        <v>46062.055659722224</v>
      </c>
      <c r="D1304" t="s">
        <v>53</v>
      </c>
      <c r="G1304" t="s">
        <v>54</v>
      </c>
      <c r="H1304" t="s">
        <v>63</v>
      </c>
      <c r="I1304" t="s">
        <v>56</v>
      </c>
      <c r="J1304" t="s">
        <v>62</v>
      </c>
      <c r="K1304" t="s">
        <v>62</v>
      </c>
      <c r="L1304" t="s">
        <v>58</v>
      </c>
      <c r="M1304" t="s">
        <v>61</v>
      </c>
      <c r="N1304">
        <v>4</v>
      </c>
      <c r="O1304">
        <v>4</v>
      </c>
      <c r="P1304">
        <v>3</v>
      </c>
      <c r="Q1304">
        <v>4</v>
      </c>
      <c r="R1304">
        <v>4</v>
      </c>
      <c r="S1304">
        <v>3</v>
      </c>
      <c r="T1304">
        <v>4</v>
      </c>
      <c r="U1304">
        <v>3</v>
      </c>
      <c r="V1304">
        <v>5</v>
      </c>
      <c r="W1304">
        <v>5</v>
      </c>
      <c r="X1304">
        <v>2</v>
      </c>
      <c r="Y1304">
        <v>2</v>
      </c>
      <c r="Z1304">
        <v>3</v>
      </c>
      <c r="AA1304">
        <v>4</v>
      </c>
      <c r="AB1304">
        <v>3</v>
      </c>
      <c r="AC1304">
        <v>4</v>
      </c>
      <c r="AD1304">
        <v>4</v>
      </c>
      <c r="AE1304">
        <v>5</v>
      </c>
      <c r="AF1304">
        <v>5</v>
      </c>
      <c r="AG1304">
        <v>4</v>
      </c>
      <c r="AH1304">
        <v>4</v>
      </c>
      <c r="AI1304">
        <v>2</v>
      </c>
      <c r="AJ1304">
        <v>1</v>
      </c>
      <c r="AK1304" t="b">
        <f>Table67[[#This Row],[What is your age?]]&lt;&gt;"18 - 25"</f>
        <v>0</v>
      </c>
      <c r="AL1304" t="b">
        <f t="shared" si="80"/>
        <v>0</v>
      </c>
      <c r="AM1304" t="b">
        <f t="shared" si="81"/>
        <v>1</v>
      </c>
      <c r="AN1304" t="b">
        <f t="shared" si="82"/>
        <v>0</v>
      </c>
      <c r="AO1304" t="b">
        <f>OR(Table67[[#This Row],[Ineligible respondents]:[Inconsistent response on opposite question (3)]])</f>
        <v>1</v>
      </c>
      <c r="AP130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304">
        <f>Table67[[#This Row],[Extreme Response]]/21</f>
        <v>0.19047619047619047</v>
      </c>
      <c r="AR1304">
        <f>_xlfn.PERCENTILE.INC(Table67[Extrem Response Ratio (ERS)],0.9)</f>
        <v>0.61904761904761907</v>
      </c>
      <c r="AS1304" t="b">
        <f>Table67[[#This Row],[Extrem Response Ratio (ERS)]]&gt;=Table67[[#This Row],[Threshold of ERS]]</f>
        <v>0</v>
      </c>
      <c r="AT1304">
        <f>COUNTIF(Table67[[#This Row],[The mechanism of digital assets is difficult to understand, which discourages me from exploring it (E.g, Tokenization, Blockchain)]:[If I want to try different ways to invest, I will explore digital assets.]], 3)</f>
        <v>5</v>
      </c>
      <c r="AU1304">
        <f>Table67[[#This Row],[Midpoint]]/21</f>
        <v>0.23809523809523808</v>
      </c>
      <c r="AV1304">
        <f>_xlfn.PERCENTILE.INC(Table67[Midpoint ratio],0.9)</f>
        <v>0.5714285714285714</v>
      </c>
      <c r="AW1304" t="b">
        <f>Table67[[#This Row],[Midpoint ratio]]&gt;=Table67[[#This Row],[Threshold of Midpoint ratio]]</f>
        <v>0</v>
      </c>
      <c r="AX1304" t="b">
        <f>OR(Table67[[#This Row],[Extreme Response Style]],Table67[[#This Row],[Mid-point Response Style]])</f>
        <v>0</v>
      </c>
      <c r="AY1304" t="b">
        <f>OR(Table67[[#This Row],[Delete? (Stage 1)]],Table67[[#This Row],[Delete? (Stage 2)]])</f>
        <v>1</v>
      </c>
      <c r="AZ1304" t="s">
        <v>84</v>
      </c>
    </row>
    <row r="1305" spans="1:52">
      <c r="A1305">
        <f t="shared" si="83"/>
        <v>1304</v>
      </c>
      <c r="B1305" s="3">
        <v>46062.090439814812</v>
      </c>
      <c r="C1305" s="3">
        <v>46062.092534722222</v>
      </c>
      <c r="D1305" t="s">
        <v>53</v>
      </c>
      <c r="G1305" t="s">
        <v>54</v>
      </c>
      <c r="H1305" t="s">
        <v>63</v>
      </c>
      <c r="I1305" t="s">
        <v>56</v>
      </c>
      <c r="J1305" t="s">
        <v>62</v>
      </c>
      <c r="K1305" t="s">
        <v>60</v>
      </c>
      <c r="L1305" t="s">
        <v>58</v>
      </c>
      <c r="M1305" t="s">
        <v>58</v>
      </c>
      <c r="N1305">
        <v>5</v>
      </c>
      <c r="O1305">
        <v>1</v>
      </c>
      <c r="P1305">
        <v>5</v>
      </c>
      <c r="Q1305">
        <v>5</v>
      </c>
      <c r="R1305">
        <v>5</v>
      </c>
      <c r="S1305">
        <v>5</v>
      </c>
      <c r="T1305">
        <v>1</v>
      </c>
      <c r="U1305">
        <v>2</v>
      </c>
      <c r="V1305">
        <v>5</v>
      </c>
      <c r="W1305">
        <v>5</v>
      </c>
      <c r="X1305">
        <v>5</v>
      </c>
      <c r="Y1305">
        <v>5</v>
      </c>
      <c r="Z1305">
        <v>5</v>
      </c>
      <c r="AA1305">
        <v>5</v>
      </c>
      <c r="AB1305">
        <v>1</v>
      </c>
      <c r="AC1305">
        <v>1</v>
      </c>
      <c r="AD1305">
        <v>5</v>
      </c>
      <c r="AE1305">
        <v>1</v>
      </c>
      <c r="AF1305">
        <v>5</v>
      </c>
      <c r="AG1305">
        <v>1</v>
      </c>
      <c r="AH1305">
        <v>1</v>
      </c>
      <c r="AI1305">
        <v>5</v>
      </c>
      <c r="AJ1305">
        <v>1</v>
      </c>
      <c r="AK1305" t="b">
        <f>Table67[[#This Row],[What is your age?]]&lt;&gt;"18 - 25"</f>
        <v>0</v>
      </c>
      <c r="AL1305" t="b">
        <f t="shared" si="80"/>
        <v>0</v>
      </c>
      <c r="AM1305" t="b">
        <f t="shared" si="81"/>
        <v>1</v>
      </c>
      <c r="AN1305" t="b">
        <f t="shared" si="82"/>
        <v>0</v>
      </c>
      <c r="AO1305" t="b">
        <f>OR(Table67[[#This Row],[Ineligible respondents]:[Inconsistent response on opposite question (3)]])</f>
        <v>1</v>
      </c>
      <c r="AP130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20</v>
      </c>
      <c r="AQ1305">
        <f>Table67[[#This Row],[Extreme Response]]/21</f>
        <v>0.95238095238095233</v>
      </c>
      <c r="AR1305">
        <f>_xlfn.PERCENTILE.INC(Table67[Extrem Response Ratio (ERS)],0.9)</f>
        <v>0.61904761904761907</v>
      </c>
      <c r="AS1305" t="b">
        <f>Table67[[#This Row],[Extrem Response Ratio (ERS)]]&gt;=Table67[[#This Row],[Threshold of ERS]]</f>
        <v>1</v>
      </c>
      <c r="AT1305">
        <f>COUNTIF(Table67[[#This Row],[The mechanism of digital assets is difficult to understand, which discourages me from exploring it (E.g, Tokenization, Blockchain)]:[If I want to try different ways to invest, I will explore digital assets.]], 3)</f>
        <v>0</v>
      </c>
      <c r="AU1305">
        <f>Table67[[#This Row],[Midpoint]]/21</f>
        <v>0</v>
      </c>
      <c r="AV1305">
        <f>_xlfn.PERCENTILE.INC(Table67[Midpoint ratio],0.9)</f>
        <v>0.5714285714285714</v>
      </c>
      <c r="AW1305" t="b">
        <f>Table67[[#This Row],[Midpoint ratio]]&gt;=Table67[[#This Row],[Threshold of Midpoint ratio]]</f>
        <v>0</v>
      </c>
      <c r="AX1305" t="b">
        <f>OR(Table67[[#This Row],[Extreme Response Style]],Table67[[#This Row],[Mid-point Response Style]])</f>
        <v>1</v>
      </c>
      <c r="AY1305" t="b">
        <f>OR(Table67[[#This Row],[Delete? (Stage 1)]],Table67[[#This Row],[Delete? (Stage 2)]])</f>
        <v>1</v>
      </c>
      <c r="AZ1305" t="s">
        <v>84</v>
      </c>
    </row>
    <row r="1306" spans="1:52">
      <c r="A1306">
        <f t="shared" si="83"/>
        <v>1305</v>
      </c>
      <c r="B1306" s="3">
        <v>46065.878125000003</v>
      </c>
      <c r="C1306" s="3">
        <v>46065.881365740737</v>
      </c>
      <c r="D1306" t="s">
        <v>53</v>
      </c>
      <c r="G1306" t="s">
        <v>54</v>
      </c>
      <c r="H1306" t="s">
        <v>63</v>
      </c>
      <c r="I1306" t="s">
        <v>56</v>
      </c>
      <c r="J1306" t="s">
        <v>65</v>
      </c>
      <c r="K1306" t="s">
        <v>57</v>
      </c>
      <c r="L1306" t="s">
        <v>58</v>
      </c>
      <c r="M1306" t="s">
        <v>58</v>
      </c>
      <c r="N1306">
        <v>3</v>
      </c>
      <c r="O1306">
        <v>3</v>
      </c>
      <c r="P1306">
        <v>3</v>
      </c>
      <c r="Q1306">
        <v>2</v>
      </c>
      <c r="R1306">
        <v>2</v>
      </c>
      <c r="S1306">
        <v>3</v>
      </c>
      <c r="T1306">
        <v>3</v>
      </c>
      <c r="U1306">
        <v>3</v>
      </c>
      <c r="V1306">
        <v>2</v>
      </c>
      <c r="W1306">
        <v>3</v>
      </c>
      <c r="X1306">
        <v>3</v>
      </c>
      <c r="Y1306">
        <v>3</v>
      </c>
      <c r="Z1306">
        <v>4</v>
      </c>
      <c r="AA1306">
        <v>3</v>
      </c>
      <c r="AB1306">
        <v>3</v>
      </c>
      <c r="AC1306">
        <v>3</v>
      </c>
      <c r="AD1306">
        <v>4</v>
      </c>
      <c r="AE1306">
        <v>3</v>
      </c>
      <c r="AF1306">
        <v>4</v>
      </c>
      <c r="AG1306">
        <v>3</v>
      </c>
      <c r="AH1306">
        <v>3</v>
      </c>
      <c r="AI1306">
        <v>3</v>
      </c>
      <c r="AJ1306">
        <v>2</v>
      </c>
      <c r="AK1306" t="b">
        <f>Table67[[#This Row],[What is your age?]]&lt;&gt;"18 - 25"</f>
        <v>0</v>
      </c>
      <c r="AL1306" t="b">
        <f t="shared" si="80"/>
        <v>0</v>
      </c>
      <c r="AM1306" t="b">
        <f t="shared" si="81"/>
        <v>0</v>
      </c>
      <c r="AN1306" t="b">
        <f t="shared" si="82"/>
        <v>0</v>
      </c>
      <c r="AO1306" t="b">
        <f>OR(Table67[[#This Row],[Ineligible respondents]:[Inconsistent response on opposite question (3)]])</f>
        <v>0</v>
      </c>
      <c r="AP130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306">
        <f>Table67[[#This Row],[Extreme Response]]/21</f>
        <v>0</v>
      </c>
      <c r="AR1306">
        <f>_xlfn.PERCENTILE.INC(Table67[Extrem Response Ratio (ERS)],0.9)</f>
        <v>0.61904761904761907</v>
      </c>
      <c r="AS1306" t="b">
        <f>Table67[[#This Row],[Extrem Response Ratio (ERS)]]&gt;=Table67[[#This Row],[Threshold of ERS]]</f>
        <v>0</v>
      </c>
      <c r="AT1306">
        <f>COUNTIF(Table67[[#This Row],[The mechanism of digital assets is difficult to understand, which discourages me from exploring it (E.g, Tokenization, Blockchain)]:[If I want to try different ways to invest, I will explore digital assets.]], 3)</f>
        <v>15</v>
      </c>
      <c r="AU1306">
        <f>Table67[[#This Row],[Midpoint]]/21</f>
        <v>0.7142857142857143</v>
      </c>
      <c r="AV1306">
        <f>_xlfn.PERCENTILE.INC(Table67[Midpoint ratio],0.9)</f>
        <v>0.5714285714285714</v>
      </c>
      <c r="AW1306" t="b">
        <f>Table67[[#This Row],[Midpoint ratio]]&gt;=Table67[[#This Row],[Threshold of Midpoint ratio]]</f>
        <v>1</v>
      </c>
      <c r="AX1306" t="b">
        <f>OR(Table67[[#This Row],[Extreme Response Style]],Table67[[#This Row],[Mid-point Response Style]])</f>
        <v>1</v>
      </c>
      <c r="AY1306" t="b">
        <f>OR(Table67[[#This Row],[Delete? (Stage 1)]],Table67[[#This Row],[Delete? (Stage 2)]])</f>
        <v>1</v>
      </c>
      <c r="AZ1306" t="s">
        <v>84</v>
      </c>
    </row>
    <row r="1307" spans="1:52">
      <c r="A1307">
        <f t="shared" si="83"/>
        <v>1306</v>
      </c>
      <c r="B1307" s="3">
        <v>46062.026192129626</v>
      </c>
      <c r="C1307" s="3">
        <v>46062.031192129631</v>
      </c>
      <c r="D1307" t="s">
        <v>53</v>
      </c>
      <c r="G1307" t="s">
        <v>73</v>
      </c>
      <c r="H1307" t="s">
        <v>55</v>
      </c>
      <c r="I1307" t="s">
        <v>56</v>
      </c>
      <c r="J1307" t="s">
        <v>62</v>
      </c>
      <c r="K1307" t="s">
        <v>57</v>
      </c>
      <c r="L1307" t="s">
        <v>61</v>
      </c>
      <c r="M1307" t="s">
        <v>61</v>
      </c>
      <c r="N1307">
        <v>5</v>
      </c>
      <c r="O1307">
        <v>3</v>
      </c>
      <c r="P1307">
        <v>1</v>
      </c>
      <c r="Q1307">
        <v>5</v>
      </c>
      <c r="R1307">
        <v>3</v>
      </c>
      <c r="S1307">
        <v>5</v>
      </c>
      <c r="T1307">
        <v>1</v>
      </c>
      <c r="U1307">
        <v>2</v>
      </c>
      <c r="V1307">
        <v>1</v>
      </c>
      <c r="W1307">
        <v>5</v>
      </c>
      <c r="X1307">
        <v>1</v>
      </c>
      <c r="Y1307">
        <v>1</v>
      </c>
      <c r="Z1307">
        <v>5</v>
      </c>
      <c r="AA1307">
        <v>1</v>
      </c>
      <c r="AB1307">
        <v>5</v>
      </c>
      <c r="AC1307">
        <v>5</v>
      </c>
      <c r="AD1307">
        <v>4</v>
      </c>
      <c r="AE1307">
        <v>5</v>
      </c>
      <c r="AF1307">
        <v>1</v>
      </c>
      <c r="AG1307">
        <v>5</v>
      </c>
      <c r="AH1307">
        <v>1</v>
      </c>
      <c r="AI1307">
        <v>5</v>
      </c>
      <c r="AJ1307">
        <v>5</v>
      </c>
      <c r="AK1307" t="b">
        <f>Table67[[#This Row],[What is your age?]]&lt;&gt;"18 - 25"</f>
        <v>1</v>
      </c>
      <c r="AL1307" t="b">
        <f t="shared" si="80"/>
        <v>0</v>
      </c>
      <c r="AM1307" t="b">
        <f t="shared" si="81"/>
        <v>0</v>
      </c>
      <c r="AN1307" t="b">
        <f t="shared" si="82"/>
        <v>0</v>
      </c>
      <c r="AO1307" t="b">
        <f>OR(Table67[[#This Row],[Ineligible respondents]:[Inconsistent response on opposite question (3)]])</f>
        <v>1</v>
      </c>
      <c r="AP130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17</v>
      </c>
      <c r="AQ1307">
        <f>Table67[[#This Row],[Extreme Response]]/21</f>
        <v>0.80952380952380953</v>
      </c>
      <c r="AR1307">
        <f>_xlfn.PERCENTILE.INC(Table67[Extrem Response Ratio (ERS)],0.9)</f>
        <v>0.61904761904761907</v>
      </c>
      <c r="AS1307" t="b">
        <f>Table67[[#This Row],[Extrem Response Ratio (ERS)]]&gt;=Table67[[#This Row],[Threshold of ERS]]</f>
        <v>1</v>
      </c>
      <c r="AT1307">
        <f>COUNTIF(Table67[[#This Row],[The mechanism of digital assets is difficult to understand, which discourages me from exploring it (E.g, Tokenization, Blockchain)]:[If I want to try different ways to invest, I will explore digital assets.]], 3)</f>
        <v>2</v>
      </c>
      <c r="AU1307">
        <f>Table67[[#This Row],[Midpoint]]/21</f>
        <v>9.5238095238095233E-2</v>
      </c>
      <c r="AV1307">
        <f>_xlfn.PERCENTILE.INC(Table67[Midpoint ratio],0.9)</f>
        <v>0.5714285714285714</v>
      </c>
      <c r="AW1307" t="b">
        <f>Table67[[#This Row],[Midpoint ratio]]&gt;=Table67[[#This Row],[Threshold of Midpoint ratio]]</f>
        <v>0</v>
      </c>
      <c r="AX1307" t="b">
        <f>OR(Table67[[#This Row],[Extreme Response Style]],Table67[[#This Row],[Mid-point Response Style]])</f>
        <v>1</v>
      </c>
      <c r="AY1307" t="b">
        <f>OR(Table67[[#This Row],[Delete? (Stage 1)]],Table67[[#This Row],[Delete? (Stage 2)]])</f>
        <v>1</v>
      </c>
      <c r="AZ1307" t="s">
        <v>84</v>
      </c>
    </row>
    <row r="1308" spans="1:52">
      <c r="A1308">
        <f t="shared" si="83"/>
        <v>1307</v>
      </c>
      <c r="B1308" s="3">
        <v>46062.048194444447</v>
      </c>
      <c r="C1308" s="3">
        <v>46062.061319444445</v>
      </c>
      <c r="D1308" t="s">
        <v>53</v>
      </c>
      <c r="G1308" t="s">
        <v>54</v>
      </c>
      <c r="H1308" t="s">
        <v>63</v>
      </c>
      <c r="I1308" t="s">
        <v>56</v>
      </c>
      <c r="J1308" t="s">
        <v>62</v>
      </c>
      <c r="K1308" t="s">
        <v>57</v>
      </c>
      <c r="L1308" t="s">
        <v>58</v>
      </c>
      <c r="M1308" t="s">
        <v>58</v>
      </c>
      <c r="N1308">
        <v>3</v>
      </c>
      <c r="O1308">
        <v>2</v>
      </c>
      <c r="P1308">
        <v>3</v>
      </c>
      <c r="Q1308">
        <v>4</v>
      </c>
      <c r="R1308">
        <v>2</v>
      </c>
      <c r="S1308">
        <v>2</v>
      </c>
      <c r="T1308">
        <v>5</v>
      </c>
      <c r="U1308">
        <v>5</v>
      </c>
      <c r="V1308">
        <v>5</v>
      </c>
      <c r="W1308">
        <v>5</v>
      </c>
      <c r="X1308">
        <v>5</v>
      </c>
      <c r="Y1308">
        <v>5</v>
      </c>
      <c r="Z1308">
        <v>5</v>
      </c>
      <c r="AA1308">
        <v>5</v>
      </c>
      <c r="AB1308">
        <v>3</v>
      </c>
      <c r="AC1308">
        <v>5</v>
      </c>
      <c r="AD1308">
        <v>5</v>
      </c>
      <c r="AE1308">
        <v>5</v>
      </c>
      <c r="AF1308">
        <v>1</v>
      </c>
      <c r="AG1308">
        <v>5</v>
      </c>
      <c r="AH1308">
        <v>1</v>
      </c>
      <c r="AI1308">
        <v>5</v>
      </c>
      <c r="AJ1308">
        <v>5</v>
      </c>
      <c r="AK1308" t="b">
        <f>Table67[[#This Row],[What is your age?]]&lt;&gt;"18 - 25"</f>
        <v>0</v>
      </c>
      <c r="AL1308" t="b">
        <f t="shared" si="80"/>
        <v>0</v>
      </c>
      <c r="AM1308" t="b">
        <f t="shared" si="81"/>
        <v>0</v>
      </c>
      <c r="AN1308" t="b">
        <f t="shared" si="82"/>
        <v>0</v>
      </c>
      <c r="AO1308" t="b">
        <f>OR(Table67[[#This Row],[Ineligible respondents]:[Inconsistent response on opposite question (3)]])</f>
        <v>0</v>
      </c>
      <c r="AP130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1308">
        <f>Table67[[#This Row],[Extreme Response]]/21</f>
        <v>0.66666666666666663</v>
      </c>
      <c r="AR1308">
        <f>_xlfn.PERCENTILE.INC(Table67[Extrem Response Ratio (ERS)],0.9)</f>
        <v>0.61904761904761907</v>
      </c>
      <c r="AS1308" t="b">
        <f>Table67[[#This Row],[Extrem Response Ratio (ERS)]]&gt;=Table67[[#This Row],[Threshold of ERS]]</f>
        <v>1</v>
      </c>
      <c r="AT1308">
        <f>COUNTIF(Table67[[#This Row],[The mechanism of digital assets is difficult to understand, which discourages me from exploring it (E.g, Tokenization, Blockchain)]:[If I want to try different ways to invest, I will explore digital assets.]], 3)</f>
        <v>3</v>
      </c>
      <c r="AU1308">
        <f>Table67[[#This Row],[Midpoint]]/21</f>
        <v>0.14285714285714285</v>
      </c>
      <c r="AV1308">
        <f>_xlfn.PERCENTILE.INC(Table67[Midpoint ratio],0.9)</f>
        <v>0.5714285714285714</v>
      </c>
      <c r="AW1308" t="b">
        <f>Table67[[#This Row],[Midpoint ratio]]&gt;=Table67[[#This Row],[Threshold of Midpoint ratio]]</f>
        <v>0</v>
      </c>
      <c r="AX1308" t="b">
        <f>OR(Table67[[#This Row],[Extreme Response Style]],Table67[[#This Row],[Mid-point Response Style]])</f>
        <v>1</v>
      </c>
      <c r="AY1308" t="b">
        <f>OR(Table67[[#This Row],[Delete? (Stage 1)]],Table67[[#This Row],[Delete? (Stage 2)]])</f>
        <v>1</v>
      </c>
      <c r="AZ1308" t="s">
        <v>84</v>
      </c>
    </row>
    <row r="1309" spans="1:52">
      <c r="A1309">
        <f t="shared" si="83"/>
        <v>1308</v>
      </c>
      <c r="B1309" s="3">
        <v>46065.765729166669</v>
      </c>
      <c r="C1309" s="3">
        <v>46065.767696759256</v>
      </c>
      <c r="D1309" t="s">
        <v>53</v>
      </c>
      <c r="G1309" t="s">
        <v>54</v>
      </c>
      <c r="H1309" t="s">
        <v>55</v>
      </c>
      <c r="I1309" t="s">
        <v>56</v>
      </c>
      <c r="J1309" t="s">
        <v>62</v>
      </c>
      <c r="K1309" t="s">
        <v>62</v>
      </c>
      <c r="L1309" t="s">
        <v>58</v>
      </c>
      <c r="M1309" t="s">
        <v>58</v>
      </c>
      <c r="N1309">
        <v>4</v>
      </c>
      <c r="O1309">
        <v>5</v>
      </c>
      <c r="P1309">
        <v>3</v>
      </c>
      <c r="Q1309">
        <v>3</v>
      </c>
      <c r="R1309">
        <v>5</v>
      </c>
      <c r="S1309">
        <v>5</v>
      </c>
      <c r="T1309">
        <v>5</v>
      </c>
      <c r="U1309">
        <v>3</v>
      </c>
      <c r="V1309">
        <v>5</v>
      </c>
      <c r="W1309">
        <v>5</v>
      </c>
      <c r="X1309">
        <v>3</v>
      </c>
      <c r="Y1309">
        <v>5</v>
      </c>
      <c r="Z1309">
        <v>4</v>
      </c>
      <c r="AA1309">
        <v>5</v>
      </c>
      <c r="AB1309">
        <v>5</v>
      </c>
      <c r="AC1309">
        <v>3</v>
      </c>
      <c r="AD1309">
        <v>4</v>
      </c>
      <c r="AE1309">
        <v>3</v>
      </c>
      <c r="AF1309">
        <v>2</v>
      </c>
      <c r="AG1309">
        <v>3</v>
      </c>
      <c r="AH1309">
        <v>3</v>
      </c>
      <c r="AI1309">
        <v>3</v>
      </c>
      <c r="AJ1309">
        <v>4</v>
      </c>
      <c r="AK1309" t="b">
        <f>Table67[[#This Row],[What is your age?]]&lt;&gt;"18 - 25"</f>
        <v>0</v>
      </c>
      <c r="AL1309" t="b">
        <f t="shared" si="80"/>
        <v>0</v>
      </c>
      <c r="AM1309" t="b">
        <f t="shared" si="81"/>
        <v>0</v>
      </c>
      <c r="AN1309" t="b">
        <f t="shared" si="82"/>
        <v>0</v>
      </c>
      <c r="AO1309" t="b">
        <f>OR(Table67[[#This Row],[Ineligible respondents]:[Inconsistent response on opposite question (3)]])</f>
        <v>0</v>
      </c>
      <c r="AP130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1309">
        <f>Table67[[#This Row],[Extreme Response]]/21</f>
        <v>0.42857142857142855</v>
      </c>
      <c r="AR1309">
        <f>_xlfn.PERCENTILE.INC(Table67[Extrem Response Ratio (ERS)],0.9)</f>
        <v>0.61904761904761907</v>
      </c>
      <c r="AS1309" t="b">
        <f>Table67[[#This Row],[Extrem Response Ratio (ERS)]]&gt;=Table67[[#This Row],[Threshold of ERS]]</f>
        <v>0</v>
      </c>
      <c r="AT1309">
        <f>COUNTIF(Table67[[#This Row],[The mechanism of digital assets is difficult to understand, which discourages me from exploring it (E.g, Tokenization, Blockchain)]:[If I want to try different ways to invest, I will explore digital assets.]], 3)</f>
        <v>8</v>
      </c>
      <c r="AU1309">
        <f>Table67[[#This Row],[Midpoint]]/21</f>
        <v>0.38095238095238093</v>
      </c>
      <c r="AV1309">
        <f>_xlfn.PERCENTILE.INC(Table67[Midpoint ratio],0.9)</f>
        <v>0.5714285714285714</v>
      </c>
      <c r="AW1309" t="b">
        <f>Table67[[#This Row],[Midpoint ratio]]&gt;=Table67[[#This Row],[Threshold of Midpoint ratio]]</f>
        <v>0</v>
      </c>
      <c r="AX1309" t="b">
        <f>OR(Table67[[#This Row],[Extreme Response Style]],Table67[[#This Row],[Mid-point Response Style]])</f>
        <v>0</v>
      </c>
      <c r="AY1309" t="b">
        <f>OR(Table67[[#This Row],[Delete? (Stage 1)]],Table67[[#This Row],[Delete? (Stage 2)]])</f>
        <v>0</v>
      </c>
      <c r="AZ1309" t="s">
        <v>84</v>
      </c>
    </row>
    <row r="1310" spans="1:52">
      <c r="A1310">
        <f t="shared" si="83"/>
        <v>1309</v>
      </c>
      <c r="B1310" s="3">
        <v>46062.036805555559</v>
      </c>
      <c r="C1310" s="3">
        <v>46062.042638888888</v>
      </c>
      <c r="D1310" t="s">
        <v>53</v>
      </c>
      <c r="G1310" t="s">
        <v>54</v>
      </c>
      <c r="H1310" t="s">
        <v>55</v>
      </c>
      <c r="I1310" t="s">
        <v>69</v>
      </c>
      <c r="J1310" t="s">
        <v>62</v>
      </c>
      <c r="K1310" t="s">
        <v>62</v>
      </c>
      <c r="L1310" t="s">
        <v>58</v>
      </c>
      <c r="M1310" t="s">
        <v>61</v>
      </c>
      <c r="N1310">
        <v>4</v>
      </c>
      <c r="O1310">
        <v>4</v>
      </c>
      <c r="P1310">
        <v>5</v>
      </c>
      <c r="Q1310">
        <v>5</v>
      </c>
      <c r="R1310">
        <v>5</v>
      </c>
      <c r="S1310">
        <v>5</v>
      </c>
      <c r="T1310">
        <v>5</v>
      </c>
      <c r="U1310">
        <v>5</v>
      </c>
      <c r="V1310">
        <v>5</v>
      </c>
      <c r="W1310">
        <v>5</v>
      </c>
      <c r="X1310">
        <v>5</v>
      </c>
      <c r="Y1310">
        <v>5</v>
      </c>
      <c r="Z1310">
        <v>5</v>
      </c>
      <c r="AA1310">
        <v>5</v>
      </c>
      <c r="AB1310">
        <v>3</v>
      </c>
      <c r="AC1310">
        <v>5</v>
      </c>
      <c r="AD1310">
        <v>5</v>
      </c>
      <c r="AE1310">
        <v>4</v>
      </c>
      <c r="AF1310">
        <v>2</v>
      </c>
      <c r="AG1310">
        <v>5</v>
      </c>
      <c r="AH1310">
        <v>2</v>
      </c>
      <c r="AI1310">
        <v>4</v>
      </c>
      <c r="AJ1310">
        <v>4</v>
      </c>
      <c r="AK1310" t="b">
        <f>Table67[[#This Row],[What is your age?]]&lt;&gt;"18 - 25"</f>
        <v>0</v>
      </c>
      <c r="AL1310" t="b">
        <f t="shared" si="80"/>
        <v>0</v>
      </c>
      <c r="AM1310" t="b">
        <f t="shared" si="81"/>
        <v>0</v>
      </c>
      <c r="AN1310" t="b">
        <f t="shared" si="82"/>
        <v>0</v>
      </c>
      <c r="AO1310" t="b">
        <f>OR(Table67[[#This Row],[Ineligible respondents]:[Inconsistent response on opposite question (3)]])</f>
        <v>0</v>
      </c>
      <c r="AP131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1310">
        <f>Table67[[#This Row],[Extreme Response]]/21</f>
        <v>0.7142857142857143</v>
      </c>
      <c r="AR1310">
        <f>_xlfn.PERCENTILE.INC(Table67[Extrem Response Ratio (ERS)],0.9)</f>
        <v>0.61904761904761907</v>
      </c>
      <c r="AS1310" t="b">
        <f>Table67[[#This Row],[Extrem Response Ratio (ERS)]]&gt;=Table67[[#This Row],[Threshold of ERS]]</f>
        <v>1</v>
      </c>
      <c r="AT1310">
        <f>COUNTIF(Table67[[#This Row],[The mechanism of digital assets is difficult to understand, which discourages me from exploring it (E.g, Tokenization, Blockchain)]:[If I want to try different ways to invest, I will explore digital assets.]], 3)</f>
        <v>1</v>
      </c>
      <c r="AU1310">
        <f>Table67[[#This Row],[Midpoint]]/21</f>
        <v>4.7619047619047616E-2</v>
      </c>
      <c r="AV1310">
        <f>_xlfn.PERCENTILE.INC(Table67[Midpoint ratio],0.9)</f>
        <v>0.5714285714285714</v>
      </c>
      <c r="AW1310" t="b">
        <f>Table67[[#This Row],[Midpoint ratio]]&gt;=Table67[[#This Row],[Threshold of Midpoint ratio]]</f>
        <v>0</v>
      </c>
      <c r="AX1310" t="b">
        <f>OR(Table67[[#This Row],[Extreme Response Style]],Table67[[#This Row],[Mid-point Response Style]])</f>
        <v>1</v>
      </c>
      <c r="AY1310" t="b">
        <f>OR(Table67[[#This Row],[Delete? (Stage 1)]],Table67[[#This Row],[Delete? (Stage 2)]])</f>
        <v>1</v>
      </c>
      <c r="AZ1310" t="s">
        <v>84</v>
      </c>
    </row>
    <row r="1311" spans="1:52">
      <c r="A1311">
        <f t="shared" si="83"/>
        <v>1310</v>
      </c>
      <c r="B1311" s="3">
        <v>46065.765706018516</v>
      </c>
      <c r="C1311" s="3">
        <v>46065.767500000002</v>
      </c>
      <c r="D1311" t="s">
        <v>53</v>
      </c>
      <c r="G1311" t="s">
        <v>54</v>
      </c>
      <c r="H1311" t="s">
        <v>63</v>
      </c>
      <c r="I1311" t="s">
        <v>71</v>
      </c>
      <c r="J1311" t="s">
        <v>62</v>
      </c>
      <c r="K1311" t="s">
        <v>62</v>
      </c>
      <c r="L1311" t="s">
        <v>61</v>
      </c>
      <c r="M1311" t="s">
        <v>61</v>
      </c>
      <c r="N1311">
        <v>4</v>
      </c>
      <c r="O1311">
        <v>4</v>
      </c>
      <c r="P1311">
        <v>3</v>
      </c>
      <c r="Q1311">
        <v>3</v>
      </c>
      <c r="R1311">
        <v>3</v>
      </c>
      <c r="S1311">
        <v>4</v>
      </c>
      <c r="T1311">
        <v>4</v>
      </c>
      <c r="U1311">
        <v>3</v>
      </c>
      <c r="V1311">
        <v>4</v>
      </c>
      <c r="W1311">
        <v>3</v>
      </c>
      <c r="X1311">
        <v>5</v>
      </c>
      <c r="Y1311">
        <v>4</v>
      </c>
      <c r="Z1311">
        <v>5</v>
      </c>
      <c r="AA1311">
        <v>4</v>
      </c>
      <c r="AB1311">
        <v>4</v>
      </c>
      <c r="AC1311">
        <v>3</v>
      </c>
      <c r="AD1311">
        <v>5</v>
      </c>
      <c r="AE1311">
        <v>5</v>
      </c>
      <c r="AF1311">
        <v>4</v>
      </c>
      <c r="AG1311">
        <v>2</v>
      </c>
      <c r="AH1311">
        <v>5</v>
      </c>
      <c r="AI1311">
        <v>1</v>
      </c>
      <c r="AJ1311">
        <v>2</v>
      </c>
      <c r="AK1311" t="b">
        <f>Table67[[#This Row],[What is your age?]]&lt;&gt;"18 - 25"</f>
        <v>0</v>
      </c>
      <c r="AL1311" t="b">
        <f t="shared" si="80"/>
        <v>0</v>
      </c>
      <c r="AM1311" t="b">
        <f t="shared" si="81"/>
        <v>0</v>
      </c>
      <c r="AN1311" t="b">
        <f t="shared" si="82"/>
        <v>0</v>
      </c>
      <c r="AO1311" t="b">
        <f>OR(Table67[[#This Row],[Ineligible respondents]:[Inconsistent response on opposite question (3)]])</f>
        <v>0</v>
      </c>
      <c r="AP131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311">
        <f>Table67[[#This Row],[Extreme Response]]/21</f>
        <v>0.23809523809523808</v>
      </c>
      <c r="AR1311">
        <f>_xlfn.PERCENTILE.INC(Table67[Extrem Response Ratio (ERS)],0.9)</f>
        <v>0.61904761904761907</v>
      </c>
      <c r="AS1311" t="b">
        <f>Table67[[#This Row],[Extrem Response Ratio (ERS)]]&gt;=Table67[[#This Row],[Threshold of ERS]]</f>
        <v>0</v>
      </c>
      <c r="AT1311">
        <f>COUNTIF(Table67[[#This Row],[The mechanism of digital assets is difficult to understand, which discourages me from exploring it (E.g, Tokenization, Blockchain)]:[If I want to try different ways to invest, I will explore digital assets.]], 3)</f>
        <v>6</v>
      </c>
      <c r="AU1311">
        <f>Table67[[#This Row],[Midpoint]]/21</f>
        <v>0.2857142857142857</v>
      </c>
      <c r="AV1311">
        <f>_xlfn.PERCENTILE.INC(Table67[Midpoint ratio],0.9)</f>
        <v>0.5714285714285714</v>
      </c>
      <c r="AW1311" t="b">
        <f>Table67[[#This Row],[Midpoint ratio]]&gt;=Table67[[#This Row],[Threshold of Midpoint ratio]]</f>
        <v>0</v>
      </c>
      <c r="AX1311" t="b">
        <f>OR(Table67[[#This Row],[Extreme Response Style]],Table67[[#This Row],[Mid-point Response Style]])</f>
        <v>0</v>
      </c>
      <c r="AY1311" t="b">
        <f>OR(Table67[[#This Row],[Delete? (Stage 1)]],Table67[[#This Row],[Delete? (Stage 2)]])</f>
        <v>0</v>
      </c>
      <c r="AZ1311" t="s">
        <v>84</v>
      </c>
    </row>
    <row r="1312" spans="1:52">
      <c r="A1312">
        <f t="shared" si="83"/>
        <v>1311</v>
      </c>
      <c r="B1312" s="3">
        <v>46062.081909722219</v>
      </c>
      <c r="C1312" s="3">
        <v>46062.084513888891</v>
      </c>
      <c r="D1312" t="s">
        <v>53</v>
      </c>
      <c r="G1312" t="s">
        <v>73</v>
      </c>
      <c r="H1312" t="s">
        <v>63</v>
      </c>
      <c r="I1312" t="s">
        <v>56</v>
      </c>
      <c r="J1312" t="s">
        <v>67</v>
      </c>
      <c r="K1312" t="s">
        <v>64</v>
      </c>
      <c r="L1312" t="s">
        <v>58</v>
      </c>
      <c r="M1312" t="s">
        <v>61</v>
      </c>
      <c r="N1312">
        <v>3</v>
      </c>
      <c r="O1312">
        <v>3</v>
      </c>
      <c r="P1312">
        <v>4</v>
      </c>
      <c r="Q1312">
        <v>4</v>
      </c>
      <c r="R1312">
        <v>4</v>
      </c>
      <c r="S1312">
        <v>3</v>
      </c>
      <c r="T1312">
        <v>3</v>
      </c>
      <c r="U1312">
        <v>4</v>
      </c>
      <c r="V1312">
        <v>4</v>
      </c>
      <c r="W1312">
        <v>3</v>
      </c>
      <c r="X1312">
        <v>4</v>
      </c>
      <c r="Y1312">
        <v>4</v>
      </c>
      <c r="Z1312">
        <v>3</v>
      </c>
      <c r="AA1312">
        <v>4</v>
      </c>
      <c r="AB1312">
        <v>4</v>
      </c>
      <c r="AC1312">
        <v>4</v>
      </c>
      <c r="AD1312">
        <v>3</v>
      </c>
      <c r="AE1312">
        <v>3</v>
      </c>
      <c r="AF1312">
        <v>4</v>
      </c>
      <c r="AG1312">
        <v>4</v>
      </c>
      <c r="AH1312">
        <v>4</v>
      </c>
      <c r="AI1312">
        <v>2</v>
      </c>
      <c r="AJ1312">
        <v>2</v>
      </c>
      <c r="AK1312" t="b">
        <f>Table67[[#This Row],[What is your age?]]&lt;&gt;"18 - 25"</f>
        <v>1</v>
      </c>
      <c r="AL1312" t="b">
        <f t="shared" si="80"/>
        <v>0</v>
      </c>
      <c r="AM1312" t="b">
        <f t="shared" si="81"/>
        <v>1</v>
      </c>
      <c r="AN1312" t="b">
        <f t="shared" si="82"/>
        <v>0</v>
      </c>
      <c r="AO1312" t="b">
        <f>OR(Table67[[#This Row],[Ineligible respondents]:[Inconsistent response on opposite question (3)]])</f>
        <v>1</v>
      </c>
      <c r="AP131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312">
        <f>Table67[[#This Row],[Extreme Response]]/21</f>
        <v>0</v>
      </c>
      <c r="AR1312">
        <f>_xlfn.PERCENTILE.INC(Table67[Extrem Response Ratio (ERS)],0.9)</f>
        <v>0.61904761904761907</v>
      </c>
      <c r="AS1312" t="b">
        <f>Table67[[#This Row],[Extrem Response Ratio (ERS)]]&gt;=Table67[[#This Row],[Threshold of ERS]]</f>
        <v>0</v>
      </c>
      <c r="AT1312">
        <f>COUNTIF(Table67[[#This Row],[The mechanism of digital assets is difficult to understand, which discourages me from exploring it (E.g, Tokenization, Blockchain)]:[If I want to try different ways to invest, I will explore digital assets.]], 3)</f>
        <v>8</v>
      </c>
      <c r="AU1312">
        <f>Table67[[#This Row],[Midpoint]]/21</f>
        <v>0.38095238095238093</v>
      </c>
      <c r="AV1312">
        <f>_xlfn.PERCENTILE.INC(Table67[Midpoint ratio],0.9)</f>
        <v>0.5714285714285714</v>
      </c>
      <c r="AW1312" t="b">
        <f>Table67[[#This Row],[Midpoint ratio]]&gt;=Table67[[#This Row],[Threshold of Midpoint ratio]]</f>
        <v>0</v>
      </c>
      <c r="AX1312" t="b">
        <f>OR(Table67[[#This Row],[Extreme Response Style]],Table67[[#This Row],[Mid-point Response Style]])</f>
        <v>0</v>
      </c>
      <c r="AY1312" t="b">
        <f>OR(Table67[[#This Row],[Delete? (Stage 1)]],Table67[[#This Row],[Delete? (Stage 2)]])</f>
        <v>1</v>
      </c>
      <c r="AZ1312" t="s">
        <v>84</v>
      </c>
    </row>
    <row r="1313" spans="1:52">
      <c r="A1313">
        <f t="shared" si="83"/>
        <v>1312</v>
      </c>
      <c r="B1313" s="3">
        <v>46065.842210648145</v>
      </c>
      <c r="C1313" s="3">
        <v>46065.848425925928</v>
      </c>
      <c r="D1313" t="s">
        <v>53</v>
      </c>
      <c r="G1313" t="s">
        <v>54</v>
      </c>
      <c r="H1313" t="s">
        <v>55</v>
      </c>
      <c r="I1313" t="s">
        <v>56</v>
      </c>
      <c r="J1313" t="s">
        <v>62</v>
      </c>
      <c r="K1313" t="s">
        <v>57</v>
      </c>
      <c r="L1313" t="s">
        <v>58</v>
      </c>
      <c r="M1313" t="s">
        <v>61</v>
      </c>
      <c r="N1313">
        <v>5</v>
      </c>
      <c r="O1313">
        <v>5</v>
      </c>
      <c r="P1313">
        <v>5</v>
      </c>
      <c r="Q1313">
        <v>5</v>
      </c>
      <c r="R1313">
        <v>5</v>
      </c>
      <c r="S1313">
        <v>5</v>
      </c>
      <c r="T1313">
        <v>4</v>
      </c>
      <c r="U1313">
        <v>5</v>
      </c>
      <c r="V1313">
        <v>5</v>
      </c>
      <c r="W1313">
        <v>5</v>
      </c>
      <c r="X1313">
        <v>4</v>
      </c>
      <c r="Y1313">
        <v>5</v>
      </c>
      <c r="Z1313">
        <v>4</v>
      </c>
      <c r="AA1313">
        <v>5</v>
      </c>
      <c r="AB1313">
        <v>4</v>
      </c>
      <c r="AC1313">
        <v>4</v>
      </c>
      <c r="AD1313">
        <v>4</v>
      </c>
      <c r="AE1313">
        <v>4</v>
      </c>
      <c r="AF1313">
        <v>3</v>
      </c>
      <c r="AG1313">
        <v>3</v>
      </c>
      <c r="AH1313">
        <v>3</v>
      </c>
      <c r="AI1313">
        <v>3</v>
      </c>
      <c r="AJ1313">
        <v>3</v>
      </c>
      <c r="AK1313" t="b">
        <f>Table67[[#This Row],[What is your age?]]&lt;&gt;"18 - 25"</f>
        <v>0</v>
      </c>
      <c r="AL1313" t="b">
        <f t="shared" si="80"/>
        <v>0</v>
      </c>
      <c r="AM1313" t="b">
        <f t="shared" si="81"/>
        <v>0</v>
      </c>
      <c r="AN1313" t="b">
        <f t="shared" si="82"/>
        <v>0</v>
      </c>
      <c r="AO1313" t="b">
        <f>OR(Table67[[#This Row],[Ineligible respondents]:[Inconsistent response on opposite question (3)]])</f>
        <v>0</v>
      </c>
      <c r="AP131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1313">
        <f>Table67[[#This Row],[Extreme Response]]/21</f>
        <v>0.52380952380952384</v>
      </c>
      <c r="AR1313">
        <f>_xlfn.PERCENTILE.INC(Table67[Extrem Response Ratio (ERS)],0.9)</f>
        <v>0.61904761904761907</v>
      </c>
      <c r="AS1313" t="b">
        <f>Table67[[#This Row],[Extrem Response Ratio (ERS)]]&gt;=Table67[[#This Row],[Threshold of ERS]]</f>
        <v>0</v>
      </c>
      <c r="AT1313">
        <f>COUNTIF(Table67[[#This Row],[The mechanism of digital assets is difficult to understand, which discourages me from exploring it (E.g, Tokenization, Blockchain)]:[If I want to try different ways to invest, I will explore digital assets.]], 3)</f>
        <v>3</v>
      </c>
      <c r="AU1313">
        <f>Table67[[#This Row],[Midpoint]]/21</f>
        <v>0.14285714285714285</v>
      </c>
      <c r="AV1313">
        <f>_xlfn.PERCENTILE.INC(Table67[Midpoint ratio],0.9)</f>
        <v>0.5714285714285714</v>
      </c>
      <c r="AW1313" t="b">
        <f>Table67[[#This Row],[Midpoint ratio]]&gt;=Table67[[#This Row],[Threshold of Midpoint ratio]]</f>
        <v>0</v>
      </c>
      <c r="AX1313" t="b">
        <f>OR(Table67[[#This Row],[Extreme Response Style]],Table67[[#This Row],[Mid-point Response Style]])</f>
        <v>0</v>
      </c>
      <c r="AY1313" t="b">
        <f>OR(Table67[[#This Row],[Delete? (Stage 1)]],Table67[[#This Row],[Delete? (Stage 2)]])</f>
        <v>0</v>
      </c>
      <c r="AZ1313" t="s">
        <v>84</v>
      </c>
    </row>
    <row r="1314" spans="1:52">
      <c r="A1314">
        <f t="shared" si="83"/>
        <v>1313</v>
      </c>
      <c r="B1314" s="3">
        <v>46062.045115740744</v>
      </c>
      <c r="C1314" s="3">
        <v>46062.066469907404</v>
      </c>
      <c r="D1314" t="s">
        <v>53</v>
      </c>
      <c r="G1314" t="s">
        <v>54</v>
      </c>
      <c r="H1314" t="s">
        <v>55</v>
      </c>
      <c r="I1314" t="s">
        <v>75</v>
      </c>
      <c r="J1314" t="s">
        <v>62</v>
      </c>
      <c r="K1314" t="s">
        <v>62</v>
      </c>
      <c r="L1314" t="s">
        <v>58</v>
      </c>
      <c r="M1314" t="s">
        <v>58</v>
      </c>
      <c r="N1314">
        <v>4</v>
      </c>
      <c r="O1314">
        <v>1</v>
      </c>
      <c r="P1314">
        <v>5</v>
      </c>
      <c r="Q1314">
        <v>1</v>
      </c>
      <c r="R1314">
        <v>5</v>
      </c>
      <c r="S1314">
        <v>5</v>
      </c>
      <c r="T1314">
        <v>4</v>
      </c>
      <c r="U1314">
        <v>4</v>
      </c>
      <c r="V1314">
        <v>5</v>
      </c>
      <c r="W1314">
        <v>5</v>
      </c>
      <c r="X1314">
        <v>1</v>
      </c>
      <c r="Y1314">
        <v>1</v>
      </c>
      <c r="Z1314">
        <v>5</v>
      </c>
      <c r="AA1314">
        <v>5</v>
      </c>
      <c r="AB1314">
        <v>1</v>
      </c>
      <c r="AC1314">
        <v>3</v>
      </c>
      <c r="AD1314">
        <v>2</v>
      </c>
      <c r="AE1314">
        <v>4</v>
      </c>
      <c r="AF1314">
        <v>3</v>
      </c>
      <c r="AG1314">
        <v>1</v>
      </c>
      <c r="AH1314">
        <v>5</v>
      </c>
      <c r="AI1314">
        <v>1</v>
      </c>
      <c r="AJ1314">
        <v>3</v>
      </c>
      <c r="AK1314" t="b">
        <f>Table67[[#This Row],[What is your age?]]&lt;&gt;"18 - 25"</f>
        <v>0</v>
      </c>
      <c r="AL1314" t="b">
        <f t="shared" si="80"/>
        <v>0</v>
      </c>
      <c r="AM1314" t="b">
        <f t="shared" si="81"/>
        <v>0</v>
      </c>
      <c r="AN1314" t="b">
        <f t="shared" si="82"/>
        <v>0</v>
      </c>
      <c r="AO1314" t="b">
        <f>OR(Table67[[#This Row],[Ineligible respondents]:[Inconsistent response on opposite question (3)]])</f>
        <v>0</v>
      </c>
      <c r="AP131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1314">
        <f>Table67[[#This Row],[Extreme Response]]/21</f>
        <v>0.66666666666666663</v>
      </c>
      <c r="AR1314">
        <f>_xlfn.PERCENTILE.INC(Table67[Extrem Response Ratio (ERS)],0.9)</f>
        <v>0.61904761904761907</v>
      </c>
      <c r="AS1314" t="b">
        <f>Table67[[#This Row],[Extrem Response Ratio (ERS)]]&gt;=Table67[[#This Row],[Threshold of ERS]]</f>
        <v>1</v>
      </c>
      <c r="AT1314">
        <f>COUNTIF(Table67[[#This Row],[The mechanism of digital assets is difficult to understand, which discourages me from exploring it (E.g, Tokenization, Blockchain)]:[If I want to try different ways to invest, I will explore digital assets.]], 3)</f>
        <v>2</v>
      </c>
      <c r="AU1314">
        <f>Table67[[#This Row],[Midpoint]]/21</f>
        <v>9.5238095238095233E-2</v>
      </c>
      <c r="AV1314">
        <f>_xlfn.PERCENTILE.INC(Table67[Midpoint ratio],0.9)</f>
        <v>0.5714285714285714</v>
      </c>
      <c r="AW1314" t="b">
        <f>Table67[[#This Row],[Midpoint ratio]]&gt;=Table67[[#This Row],[Threshold of Midpoint ratio]]</f>
        <v>0</v>
      </c>
      <c r="AX1314" t="b">
        <f>OR(Table67[[#This Row],[Extreme Response Style]],Table67[[#This Row],[Mid-point Response Style]])</f>
        <v>1</v>
      </c>
      <c r="AY1314" t="b">
        <f>OR(Table67[[#This Row],[Delete? (Stage 1)]],Table67[[#This Row],[Delete? (Stage 2)]])</f>
        <v>1</v>
      </c>
      <c r="AZ1314" t="s">
        <v>84</v>
      </c>
    </row>
    <row r="1315" spans="1:52">
      <c r="A1315">
        <f t="shared" si="83"/>
        <v>1314</v>
      </c>
      <c r="B1315" s="3">
        <v>46065.850578703707</v>
      </c>
      <c r="C1315" s="3">
        <v>46065.861122685186</v>
      </c>
      <c r="D1315" t="s">
        <v>53</v>
      </c>
      <c r="G1315" t="s">
        <v>54</v>
      </c>
      <c r="H1315" t="s">
        <v>63</v>
      </c>
      <c r="I1315" t="s">
        <v>56</v>
      </c>
      <c r="J1315" t="s">
        <v>60</v>
      </c>
      <c r="K1315" t="s">
        <v>57</v>
      </c>
      <c r="L1315" t="s">
        <v>61</v>
      </c>
      <c r="M1315" t="s">
        <v>61</v>
      </c>
      <c r="N1315">
        <v>3</v>
      </c>
      <c r="O1315">
        <v>3</v>
      </c>
      <c r="P1315">
        <v>2</v>
      </c>
      <c r="Q1315">
        <v>3</v>
      </c>
      <c r="R1315">
        <v>2</v>
      </c>
      <c r="S1315">
        <v>3</v>
      </c>
      <c r="T1315">
        <v>3</v>
      </c>
      <c r="U1315">
        <v>2</v>
      </c>
      <c r="V1315">
        <v>4</v>
      </c>
      <c r="W1315">
        <v>4</v>
      </c>
      <c r="X1315">
        <v>3</v>
      </c>
      <c r="Y1315">
        <v>4</v>
      </c>
      <c r="Z1315">
        <v>3</v>
      </c>
      <c r="AA1315">
        <v>3</v>
      </c>
      <c r="AB1315">
        <v>2</v>
      </c>
      <c r="AC1315">
        <v>2</v>
      </c>
      <c r="AD1315">
        <v>3</v>
      </c>
      <c r="AE1315">
        <v>3</v>
      </c>
      <c r="AF1315">
        <v>4</v>
      </c>
      <c r="AG1315">
        <v>1</v>
      </c>
      <c r="AH1315">
        <v>5</v>
      </c>
      <c r="AI1315">
        <v>1</v>
      </c>
      <c r="AJ1315">
        <v>2</v>
      </c>
      <c r="AK1315" t="b">
        <f>Table67[[#This Row],[What is your age?]]&lt;&gt;"18 - 25"</f>
        <v>0</v>
      </c>
      <c r="AL1315" t="b">
        <f t="shared" si="80"/>
        <v>0</v>
      </c>
      <c r="AM1315" t="b">
        <f t="shared" si="81"/>
        <v>0</v>
      </c>
      <c r="AN1315" t="b">
        <f t="shared" si="82"/>
        <v>0</v>
      </c>
      <c r="AO1315" t="b">
        <f>OR(Table67[[#This Row],[Ineligible respondents]:[Inconsistent response on opposite question (3)]])</f>
        <v>0</v>
      </c>
      <c r="AP131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315">
        <f>Table67[[#This Row],[Extreme Response]]/21</f>
        <v>9.5238095238095233E-2</v>
      </c>
      <c r="AR1315">
        <f>_xlfn.PERCENTILE.INC(Table67[Extrem Response Ratio (ERS)],0.9)</f>
        <v>0.61904761904761907</v>
      </c>
      <c r="AS1315" t="b">
        <f>Table67[[#This Row],[Extrem Response Ratio (ERS)]]&gt;=Table67[[#This Row],[Threshold of ERS]]</f>
        <v>0</v>
      </c>
      <c r="AT1315">
        <f>COUNTIF(Table67[[#This Row],[The mechanism of digital assets is difficult to understand, which discourages me from exploring it (E.g, Tokenization, Blockchain)]:[If I want to try different ways to invest, I will explore digital assets.]], 3)</f>
        <v>10</v>
      </c>
      <c r="AU1315">
        <f>Table67[[#This Row],[Midpoint]]/21</f>
        <v>0.47619047619047616</v>
      </c>
      <c r="AV1315">
        <f>_xlfn.PERCENTILE.INC(Table67[Midpoint ratio],0.9)</f>
        <v>0.5714285714285714</v>
      </c>
      <c r="AW1315" t="b">
        <f>Table67[[#This Row],[Midpoint ratio]]&gt;=Table67[[#This Row],[Threshold of Midpoint ratio]]</f>
        <v>0</v>
      </c>
      <c r="AX1315" t="b">
        <f>OR(Table67[[#This Row],[Extreme Response Style]],Table67[[#This Row],[Mid-point Response Style]])</f>
        <v>0</v>
      </c>
      <c r="AY1315" t="b">
        <f>OR(Table67[[#This Row],[Delete? (Stage 1)]],Table67[[#This Row],[Delete? (Stage 2)]])</f>
        <v>0</v>
      </c>
      <c r="AZ1315" t="s">
        <v>84</v>
      </c>
    </row>
    <row r="1316" spans="1:52">
      <c r="A1316">
        <f t="shared" si="83"/>
        <v>1315</v>
      </c>
      <c r="B1316" s="3">
        <v>46062.047233796293</v>
      </c>
      <c r="C1316" s="3">
        <v>46062.051249999997</v>
      </c>
      <c r="D1316" t="s">
        <v>53</v>
      </c>
      <c r="G1316" t="s">
        <v>54</v>
      </c>
      <c r="H1316" t="s">
        <v>63</v>
      </c>
      <c r="I1316" t="s">
        <v>75</v>
      </c>
      <c r="J1316" t="s">
        <v>62</v>
      </c>
      <c r="K1316" t="s">
        <v>62</v>
      </c>
      <c r="L1316" t="s">
        <v>58</v>
      </c>
      <c r="M1316" t="s">
        <v>58</v>
      </c>
      <c r="N1316">
        <v>4</v>
      </c>
      <c r="O1316">
        <v>3</v>
      </c>
      <c r="P1316">
        <v>4</v>
      </c>
      <c r="Q1316">
        <v>3</v>
      </c>
      <c r="R1316">
        <v>3</v>
      </c>
      <c r="S1316">
        <v>4</v>
      </c>
      <c r="T1316">
        <v>5</v>
      </c>
      <c r="U1316">
        <v>2</v>
      </c>
      <c r="V1316">
        <v>2</v>
      </c>
      <c r="W1316">
        <v>2</v>
      </c>
      <c r="X1316">
        <v>4</v>
      </c>
      <c r="Y1316">
        <v>4</v>
      </c>
      <c r="Z1316">
        <v>4</v>
      </c>
      <c r="AA1316">
        <v>4</v>
      </c>
      <c r="AB1316">
        <v>4</v>
      </c>
      <c r="AC1316">
        <v>4</v>
      </c>
      <c r="AD1316">
        <v>4</v>
      </c>
      <c r="AE1316">
        <v>5</v>
      </c>
      <c r="AF1316">
        <v>3</v>
      </c>
      <c r="AG1316">
        <v>4</v>
      </c>
      <c r="AH1316">
        <v>3</v>
      </c>
      <c r="AI1316">
        <v>3</v>
      </c>
      <c r="AJ1316">
        <v>3</v>
      </c>
      <c r="AK1316" t="b">
        <f>Table67[[#This Row],[What is your age?]]&lt;&gt;"18 - 25"</f>
        <v>0</v>
      </c>
      <c r="AL1316" t="b">
        <f t="shared" si="80"/>
        <v>0</v>
      </c>
      <c r="AM1316" t="b">
        <f t="shared" si="81"/>
        <v>0</v>
      </c>
      <c r="AN1316" t="b">
        <f t="shared" si="82"/>
        <v>1</v>
      </c>
      <c r="AO1316" t="b">
        <f>OR(Table67[[#This Row],[Ineligible respondents]:[Inconsistent response on opposite question (3)]])</f>
        <v>1</v>
      </c>
      <c r="AP131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316">
        <f>Table67[[#This Row],[Extreme Response]]/21</f>
        <v>9.5238095238095233E-2</v>
      </c>
      <c r="AR1316">
        <f>_xlfn.PERCENTILE.INC(Table67[Extrem Response Ratio (ERS)],0.9)</f>
        <v>0.61904761904761907</v>
      </c>
      <c r="AS1316" t="b">
        <f>Table67[[#This Row],[Extrem Response Ratio (ERS)]]&gt;=Table67[[#This Row],[Threshold of ERS]]</f>
        <v>0</v>
      </c>
      <c r="AT1316">
        <f>COUNTIF(Table67[[#This Row],[The mechanism of digital assets is difficult to understand, which discourages me from exploring it (E.g, Tokenization, Blockchain)]:[If I want to try different ways to invest, I will explore digital assets.]], 3)</f>
        <v>5</v>
      </c>
      <c r="AU1316">
        <f>Table67[[#This Row],[Midpoint]]/21</f>
        <v>0.23809523809523808</v>
      </c>
      <c r="AV1316">
        <f>_xlfn.PERCENTILE.INC(Table67[Midpoint ratio],0.9)</f>
        <v>0.5714285714285714</v>
      </c>
      <c r="AW1316" t="b">
        <f>Table67[[#This Row],[Midpoint ratio]]&gt;=Table67[[#This Row],[Threshold of Midpoint ratio]]</f>
        <v>0</v>
      </c>
      <c r="AX1316" t="b">
        <f>OR(Table67[[#This Row],[Extreme Response Style]],Table67[[#This Row],[Mid-point Response Style]])</f>
        <v>0</v>
      </c>
      <c r="AY1316" t="b">
        <f>OR(Table67[[#This Row],[Delete? (Stage 1)]],Table67[[#This Row],[Delete? (Stage 2)]])</f>
        <v>1</v>
      </c>
      <c r="AZ1316" t="s">
        <v>84</v>
      </c>
    </row>
    <row r="1317" spans="1:52">
      <c r="A1317">
        <f t="shared" si="83"/>
        <v>1316</v>
      </c>
      <c r="B1317" s="3">
        <v>46065.723460648151</v>
      </c>
      <c r="C1317" s="3">
        <v>46065.723761574074</v>
      </c>
      <c r="D1317" t="s">
        <v>53</v>
      </c>
      <c r="G1317" t="s">
        <v>54</v>
      </c>
      <c r="H1317" t="s">
        <v>63</v>
      </c>
      <c r="I1317" t="s">
        <v>71</v>
      </c>
      <c r="J1317" t="s">
        <v>64</v>
      </c>
      <c r="K1317" t="s">
        <v>65</v>
      </c>
      <c r="L1317" t="s">
        <v>58</v>
      </c>
      <c r="M1317" t="s">
        <v>58</v>
      </c>
      <c r="N1317">
        <v>2</v>
      </c>
      <c r="O1317">
        <v>2</v>
      </c>
      <c r="P1317">
        <v>5</v>
      </c>
      <c r="Q1317">
        <v>5</v>
      </c>
      <c r="R1317">
        <v>2</v>
      </c>
      <c r="S1317">
        <v>5</v>
      </c>
      <c r="T1317">
        <v>5</v>
      </c>
      <c r="U1317">
        <v>5</v>
      </c>
      <c r="V1317">
        <v>4</v>
      </c>
      <c r="W1317">
        <v>4</v>
      </c>
      <c r="X1317">
        <v>4</v>
      </c>
      <c r="Y1317">
        <v>4</v>
      </c>
      <c r="Z1317">
        <v>4</v>
      </c>
      <c r="AA1317">
        <v>4</v>
      </c>
      <c r="AB1317">
        <v>5</v>
      </c>
      <c r="AC1317">
        <v>5</v>
      </c>
      <c r="AD1317">
        <v>4</v>
      </c>
      <c r="AE1317">
        <v>4</v>
      </c>
      <c r="AF1317">
        <v>3</v>
      </c>
      <c r="AG1317">
        <v>3</v>
      </c>
      <c r="AH1317">
        <v>3</v>
      </c>
      <c r="AI1317">
        <v>3</v>
      </c>
      <c r="AJ1317">
        <v>3</v>
      </c>
      <c r="AK1317" t="b">
        <f>Table67[[#This Row],[What is your age?]]&lt;&gt;"18 - 25"</f>
        <v>0</v>
      </c>
      <c r="AL1317" t="b">
        <f t="shared" si="80"/>
        <v>0</v>
      </c>
      <c r="AM1317" t="b">
        <f t="shared" si="81"/>
        <v>0</v>
      </c>
      <c r="AN1317" t="b">
        <f t="shared" si="82"/>
        <v>0</v>
      </c>
      <c r="AO1317" t="b">
        <f>OR(Table67[[#This Row],[Ineligible respondents]:[Inconsistent response on opposite question (3)]])</f>
        <v>0</v>
      </c>
      <c r="AP131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317">
        <f>Table67[[#This Row],[Extreme Response]]/21</f>
        <v>0.33333333333333331</v>
      </c>
      <c r="AR1317">
        <f>_xlfn.PERCENTILE.INC(Table67[Extrem Response Ratio (ERS)],0.9)</f>
        <v>0.61904761904761907</v>
      </c>
      <c r="AS1317" t="b">
        <f>Table67[[#This Row],[Extrem Response Ratio (ERS)]]&gt;=Table67[[#This Row],[Threshold of ERS]]</f>
        <v>0</v>
      </c>
      <c r="AT1317">
        <f>COUNTIF(Table67[[#This Row],[The mechanism of digital assets is difficult to understand, which discourages me from exploring it (E.g, Tokenization, Blockchain)]:[If I want to try different ways to invest, I will explore digital assets.]], 3)</f>
        <v>3</v>
      </c>
      <c r="AU1317">
        <f>Table67[[#This Row],[Midpoint]]/21</f>
        <v>0.14285714285714285</v>
      </c>
      <c r="AV1317">
        <f>_xlfn.PERCENTILE.INC(Table67[Midpoint ratio],0.9)</f>
        <v>0.5714285714285714</v>
      </c>
      <c r="AW1317" t="b">
        <f>Table67[[#This Row],[Midpoint ratio]]&gt;=Table67[[#This Row],[Threshold of Midpoint ratio]]</f>
        <v>0</v>
      </c>
      <c r="AX1317" t="b">
        <f>OR(Table67[[#This Row],[Extreme Response Style]],Table67[[#This Row],[Mid-point Response Style]])</f>
        <v>0</v>
      </c>
      <c r="AY1317" t="b">
        <f>OR(Table67[[#This Row],[Delete? (Stage 1)]],Table67[[#This Row],[Delete? (Stage 2)]])</f>
        <v>0</v>
      </c>
      <c r="AZ1317" t="s">
        <v>84</v>
      </c>
    </row>
    <row r="1318" spans="1:52">
      <c r="A1318">
        <f t="shared" si="83"/>
        <v>1317</v>
      </c>
      <c r="B1318" s="3">
        <v>46062.041967592595</v>
      </c>
      <c r="C1318" s="3">
        <v>46062.043738425928</v>
      </c>
      <c r="D1318" t="s">
        <v>53</v>
      </c>
      <c r="G1318" t="s">
        <v>54</v>
      </c>
      <c r="H1318" t="s">
        <v>55</v>
      </c>
      <c r="I1318" t="s">
        <v>56</v>
      </c>
      <c r="J1318" t="s">
        <v>62</v>
      </c>
      <c r="K1318" t="s">
        <v>57</v>
      </c>
      <c r="L1318" t="s">
        <v>58</v>
      </c>
      <c r="M1318" t="s">
        <v>58</v>
      </c>
      <c r="N1318">
        <v>4</v>
      </c>
      <c r="O1318">
        <v>3</v>
      </c>
      <c r="P1318">
        <v>4</v>
      </c>
      <c r="Q1318">
        <v>4</v>
      </c>
      <c r="R1318">
        <v>5</v>
      </c>
      <c r="S1318">
        <v>3</v>
      </c>
      <c r="T1318">
        <v>4</v>
      </c>
      <c r="U1318">
        <v>5</v>
      </c>
      <c r="V1318">
        <v>3</v>
      </c>
      <c r="W1318">
        <v>4</v>
      </c>
      <c r="X1318">
        <v>3</v>
      </c>
      <c r="Y1318">
        <v>4</v>
      </c>
      <c r="Z1318">
        <v>3</v>
      </c>
      <c r="AA1318">
        <v>4</v>
      </c>
      <c r="AB1318">
        <v>3</v>
      </c>
      <c r="AC1318">
        <v>4</v>
      </c>
      <c r="AD1318">
        <v>4</v>
      </c>
      <c r="AE1318">
        <v>3</v>
      </c>
      <c r="AF1318">
        <v>4</v>
      </c>
      <c r="AG1318">
        <v>4</v>
      </c>
      <c r="AH1318">
        <v>4</v>
      </c>
      <c r="AI1318">
        <v>2</v>
      </c>
      <c r="AJ1318">
        <v>2</v>
      </c>
      <c r="AK1318" t="b">
        <f>Table67[[#This Row],[What is your age?]]&lt;&gt;"18 - 25"</f>
        <v>0</v>
      </c>
      <c r="AL1318" t="b">
        <f t="shared" si="80"/>
        <v>0</v>
      </c>
      <c r="AM1318" t="b">
        <f t="shared" si="81"/>
        <v>1</v>
      </c>
      <c r="AN1318" t="b">
        <f t="shared" si="82"/>
        <v>0</v>
      </c>
      <c r="AO1318" t="b">
        <f>OR(Table67[[#This Row],[Ineligible respondents]:[Inconsistent response on opposite question (3)]])</f>
        <v>1</v>
      </c>
      <c r="AP131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318">
        <f>Table67[[#This Row],[Extreme Response]]/21</f>
        <v>9.5238095238095233E-2</v>
      </c>
      <c r="AR1318">
        <f>_xlfn.PERCENTILE.INC(Table67[Extrem Response Ratio (ERS)],0.9)</f>
        <v>0.61904761904761907</v>
      </c>
      <c r="AS1318" t="b">
        <f>Table67[[#This Row],[Extrem Response Ratio (ERS)]]&gt;=Table67[[#This Row],[Threshold of ERS]]</f>
        <v>0</v>
      </c>
      <c r="AT1318">
        <f>COUNTIF(Table67[[#This Row],[The mechanism of digital assets is difficult to understand, which discourages me from exploring it (E.g, Tokenization, Blockchain)]:[If I want to try different ways to invest, I will explore digital assets.]], 3)</f>
        <v>7</v>
      </c>
      <c r="AU1318">
        <f>Table67[[#This Row],[Midpoint]]/21</f>
        <v>0.33333333333333331</v>
      </c>
      <c r="AV1318">
        <f>_xlfn.PERCENTILE.INC(Table67[Midpoint ratio],0.9)</f>
        <v>0.5714285714285714</v>
      </c>
      <c r="AW1318" t="b">
        <f>Table67[[#This Row],[Midpoint ratio]]&gt;=Table67[[#This Row],[Threshold of Midpoint ratio]]</f>
        <v>0</v>
      </c>
      <c r="AX1318" t="b">
        <f>OR(Table67[[#This Row],[Extreme Response Style]],Table67[[#This Row],[Mid-point Response Style]])</f>
        <v>0</v>
      </c>
      <c r="AY1318" t="b">
        <f>OR(Table67[[#This Row],[Delete? (Stage 1)]],Table67[[#This Row],[Delete? (Stage 2)]])</f>
        <v>1</v>
      </c>
      <c r="AZ1318" t="s">
        <v>84</v>
      </c>
    </row>
    <row r="1319" spans="1:52">
      <c r="A1319">
        <f t="shared" si="83"/>
        <v>1318</v>
      </c>
      <c r="B1319" s="3">
        <v>46062.072083333333</v>
      </c>
      <c r="C1319" s="3">
        <v>46062.075775462959</v>
      </c>
      <c r="D1319" t="s">
        <v>53</v>
      </c>
      <c r="G1319" t="s">
        <v>54</v>
      </c>
      <c r="H1319" t="s">
        <v>55</v>
      </c>
      <c r="I1319" t="s">
        <v>75</v>
      </c>
      <c r="J1319" t="s">
        <v>62</v>
      </c>
      <c r="K1319" t="s">
        <v>57</v>
      </c>
      <c r="L1319" t="s">
        <v>58</v>
      </c>
      <c r="M1319" t="s">
        <v>58</v>
      </c>
      <c r="N1319">
        <v>4</v>
      </c>
      <c r="O1319">
        <v>3</v>
      </c>
      <c r="P1319">
        <v>5</v>
      </c>
      <c r="Q1319">
        <v>3</v>
      </c>
      <c r="R1319">
        <v>3</v>
      </c>
      <c r="S1319">
        <v>3</v>
      </c>
      <c r="T1319">
        <v>4</v>
      </c>
      <c r="U1319">
        <v>5</v>
      </c>
      <c r="V1319">
        <v>3</v>
      </c>
      <c r="W1319">
        <v>1</v>
      </c>
      <c r="X1319">
        <v>4</v>
      </c>
      <c r="Y1319">
        <v>3</v>
      </c>
      <c r="Z1319">
        <v>4</v>
      </c>
      <c r="AA1319">
        <v>3</v>
      </c>
      <c r="AB1319">
        <v>4</v>
      </c>
      <c r="AC1319">
        <v>3</v>
      </c>
      <c r="AD1319">
        <v>4</v>
      </c>
      <c r="AE1319">
        <v>5</v>
      </c>
      <c r="AF1319">
        <v>3</v>
      </c>
      <c r="AG1319">
        <v>4</v>
      </c>
      <c r="AH1319">
        <v>3</v>
      </c>
      <c r="AI1319">
        <v>3</v>
      </c>
      <c r="AJ1319">
        <v>3</v>
      </c>
      <c r="AK1319" t="b">
        <f>Table67[[#This Row],[What is your age?]]&lt;&gt;"18 - 25"</f>
        <v>0</v>
      </c>
      <c r="AL1319" t="b">
        <f t="shared" si="80"/>
        <v>0</v>
      </c>
      <c r="AM1319" t="b">
        <f t="shared" si="81"/>
        <v>0</v>
      </c>
      <c r="AN1319" t="b">
        <f t="shared" si="82"/>
        <v>1</v>
      </c>
      <c r="AO1319" t="b">
        <f>OR(Table67[[#This Row],[Ineligible respondents]:[Inconsistent response on opposite question (3)]])</f>
        <v>1</v>
      </c>
      <c r="AP131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319">
        <f>Table67[[#This Row],[Extreme Response]]/21</f>
        <v>0.19047619047619047</v>
      </c>
      <c r="AR1319">
        <f>_xlfn.PERCENTILE.INC(Table67[Extrem Response Ratio (ERS)],0.9)</f>
        <v>0.61904761904761907</v>
      </c>
      <c r="AS1319" t="b">
        <f>Table67[[#This Row],[Extrem Response Ratio (ERS)]]&gt;=Table67[[#This Row],[Threshold of ERS]]</f>
        <v>0</v>
      </c>
      <c r="AT1319">
        <f>COUNTIF(Table67[[#This Row],[The mechanism of digital assets is difficult to understand, which discourages me from exploring it (E.g, Tokenization, Blockchain)]:[If I want to try different ways to invest, I will explore digital assets.]], 3)</f>
        <v>10</v>
      </c>
      <c r="AU1319">
        <f>Table67[[#This Row],[Midpoint]]/21</f>
        <v>0.47619047619047616</v>
      </c>
      <c r="AV1319">
        <f>_xlfn.PERCENTILE.INC(Table67[Midpoint ratio],0.9)</f>
        <v>0.5714285714285714</v>
      </c>
      <c r="AW1319" t="b">
        <f>Table67[[#This Row],[Midpoint ratio]]&gt;=Table67[[#This Row],[Threshold of Midpoint ratio]]</f>
        <v>0</v>
      </c>
      <c r="AX1319" t="b">
        <f>OR(Table67[[#This Row],[Extreme Response Style]],Table67[[#This Row],[Mid-point Response Style]])</f>
        <v>0</v>
      </c>
      <c r="AY1319" t="b">
        <f>OR(Table67[[#This Row],[Delete? (Stage 1)]],Table67[[#This Row],[Delete? (Stage 2)]])</f>
        <v>1</v>
      </c>
      <c r="AZ1319" t="s">
        <v>84</v>
      </c>
    </row>
    <row r="1320" spans="1:52">
      <c r="A1320">
        <f t="shared" si="83"/>
        <v>1319</v>
      </c>
      <c r="B1320" s="3">
        <v>46065.837488425925</v>
      </c>
      <c r="C1320" s="3">
        <v>46065.83965277778</v>
      </c>
      <c r="D1320" t="s">
        <v>53</v>
      </c>
      <c r="G1320" t="s">
        <v>54</v>
      </c>
      <c r="H1320" t="s">
        <v>55</v>
      </c>
      <c r="I1320" t="s">
        <v>56</v>
      </c>
      <c r="J1320" t="s">
        <v>62</v>
      </c>
      <c r="K1320" t="s">
        <v>62</v>
      </c>
      <c r="L1320" t="s">
        <v>58</v>
      </c>
      <c r="M1320" t="s">
        <v>58</v>
      </c>
      <c r="N1320">
        <v>5</v>
      </c>
      <c r="O1320">
        <v>5</v>
      </c>
      <c r="P1320">
        <v>3</v>
      </c>
      <c r="Q1320">
        <v>4</v>
      </c>
      <c r="R1320">
        <v>5</v>
      </c>
      <c r="S1320">
        <v>4</v>
      </c>
      <c r="T1320">
        <v>4</v>
      </c>
      <c r="U1320">
        <v>4</v>
      </c>
      <c r="V1320">
        <v>5</v>
      </c>
      <c r="W1320">
        <v>5</v>
      </c>
      <c r="X1320">
        <v>4</v>
      </c>
      <c r="Y1320">
        <v>5</v>
      </c>
      <c r="Z1320">
        <v>4</v>
      </c>
      <c r="AA1320">
        <v>4</v>
      </c>
      <c r="AB1320">
        <v>4</v>
      </c>
      <c r="AC1320">
        <v>4</v>
      </c>
      <c r="AD1320">
        <v>4</v>
      </c>
      <c r="AE1320">
        <v>4</v>
      </c>
      <c r="AF1320">
        <v>2</v>
      </c>
      <c r="AG1320">
        <v>3</v>
      </c>
      <c r="AH1320">
        <v>3</v>
      </c>
      <c r="AI1320">
        <v>3</v>
      </c>
      <c r="AJ1320">
        <v>4</v>
      </c>
      <c r="AK1320" t="b">
        <f>Table67[[#This Row],[What is your age?]]&lt;&gt;"18 - 25"</f>
        <v>0</v>
      </c>
      <c r="AL1320" t="b">
        <f t="shared" si="80"/>
        <v>0</v>
      </c>
      <c r="AM1320" t="b">
        <f t="shared" si="81"/>
        <v>0</v>
      </c>
      <c r="AN1320" t="b">
        <f t="shared" si="82"/>
        <v>0</v>
      </c>
      <c r="AO1320" t="b">
        <f>OR(Table67[[#This Row],[Ineligible respondents]:[Inconsistent response on opposite question (3)]])</f>
        <v>0</v>
      </c>
      <c r="AP132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320">
        <f>Table67[[#This Row],[Extreme Response]]/21</f>
        <v>0.2857142857142857</v>
      </c>
      <c r="AR1320">
        <f>_xlfn.PERCENTILE.INC(Table67[Extrem Response Ratio (ERS)],0.9)</f>
        <v>0.61904761904761907</v>
      </c>
      <c r="AS1320" t="b">
        <f>Table67[[#This Row],[Extrem Response Ratio (ERS)]]&gt;=Table67[[#This Row],[Threshold of ERS]]</f>
        <v>0</v>
      </c>
      <c r="AT1320">
        <f>COUNTIF(Table67[[#This Row],[The mechanism of digital assets is difficult to understand, which discourages me from exploring it (E.g, Tokenization, Blockchain)]:[If I want to try different ways to invest, I will explore digital assets.]], 3)</f>
        <v>3</v>
      </c>
      <c r="AU1320">
        <f>Table67[[#This Row],[Midpoint]]/21</f>
        <v>0.14285714285714285</v>
      </c>
      <c r="AV1320">
        <f>_xlfn.PERCENTILE.INC(Table67[Midpoint ratio],0.9)</f>
        <v>0.5714285714285714</v>
      </c>
      <c r="AW1320" t="b">
        <f>Table67[[#This Row],[Midpoint ratio]]&gt;=Table67[[#This Row],[Threshold of Midpoint ratio]]</f>
        <v>0</v>
      </c>
      <c r="AX1320" t="b">
        <f>OR(Table67[[#This Row],[Extreme Response Style]],Table67[[#This Row],[Mid-point Response Style]])</f>
        <v>0</v>
      </c>
      <c r="AY1320" t="b">
        <f>OR(Table67[[#This Row],[Delete? (Stage 1)]],Table67[[#This Row],[Delete? (Stage 2)]])</f>
        <v>0</v>
      </c>
      <c r="AZ1320" t="s">
        <v>84</v>
      </c>
    </row>
    <row r="1321" spans="1:52">
      <c r="A1321">
        <f t="shared" si="83"/>
        <v>1320</v>
      </c>
      <c r="B1321" s="3">
        <v>46062.028912037036</v>
      </c>
      <c r="C1321" s="3">
        <v>46062.0390625</v>
      </c>
      <c r="D1321" t="s">
        <v>53</v>
      </c>
      <c r="G1321" t="s">
        <v>54</v>
      </c>
      <c r="H1321" t="s">
        <v>55</v>
      </c>
      <c r="I1321" t="s">
        <v>71</v>
      </c>
      <c r="J1321" t="s">
        <v>62</v>
      </c>
      <c r="K1321" t="s">
        <v>57</v>
      </c>
      <c r="L1321" t="s">
        <v>58</v>
      </c>
      <c r="M1321" t="s">
        <v>58</v>
      </c>
      <c r="N1321">
        <v>4</v>
      </c>
      <c r="O1321">
        <v>1</v>
      </c>
      <c r="P1321">
        <v>3</v>
      </c>
      <c r="Q1321">
        <v>2</v>
      </c>
      <c r="R1321">
        <v>2</v>
      </c>
      <c r="S1321">
        <v>4</v>
      </c>
      <c r="T1321">
        <v>4</v>
      </c>
      <c r="U1321">
        <v>4</v>
      </c>
      <c r="V1321">
        <v>4</v>
      </c>
      <c r="W1321">
        <v>4</v>
      </c>
      <c r="X1321">
        <v>3</v>
      </c>
      <c r="Y1321">
        <v>5</v>
      </c>
      <c r="Z1321">
        <v>4</v>
      </c>
      <c r="AA1321">
        <v>4</v>
      </c>
      <c r="AB1321">
        <v>3</v>
      </c>
      <c r="AC1321">
        <v>3</v>
      </c>
      <c r="AD1321">
        <v>4</v>
      </c>
      <c r="AE1321">
        <v>2</v>
      </c>
      <c r="AF1321">
        <v>1</v>
      </c>
      <c r="AG1321">
        <v>2</v>
      </c>
      <c r="AH1321">
        <v>3</v>
      </c>
      <c r="AI1321">
        <v>3</v>
      </c>
      <c r="AJ1321">
        <v>5</v>
      </c>
      <c r="AK1321" t="b">
        <f>Table67[[#This Row],[What is your age?]]&lt;&gt;"18 - 25"</f>
        <v>0</v>
      </c>
      <c r="AL1321" t="b">
        <f t="shared" si="80"/>
        <v>0</v>
      </c>
      <c r="AM1321" t="b">
        <f t="shared" si="81"/>
        <v>0</v>
      </c>
      <c r="AN1321" t="b">
        <f t="shared" si="82"/>
        <v>1</v>
      </c>
      <c r="AO1321" t="b">
        <f>OR(Table67[[#This Row],[Ineligible respondents]:[Inconsistent response on opposite question (3)]])</f>
        <v>1</v>
      </c>
      <c r="AP132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321">
        <f>Table67[[#This Row],[Extreme Response]]/21</f>
        <v>0.14285714285714285</v>
      </c>
      <c r="AR1321">
        <f>_xlfn.PERCENTILE.INC(Table67[Extrem Response Ratio (ERS)],0.9)</f>
        <v>0.61904761904761907</v>
      </c>
      <c r="AS1321" t="b">
        <f>Table67[[#This Row],[Extrem Response Ratio (ERS)]]&gt;=Table67[[#This Row],[Threshold of ERS]]</f>
        <v>0</v>
      </c>
      <c r="AT1321">
        <f>COUNTIF(Table67[[#This Row],[The mechanism of digital assets is difficult to understand, which discourages me from exploring it (E.g, Tokenization, Blockchain)]:[If I want to try different ways to invest, I will explore digital assets.]], 3)</f>
        <v>5</v>
      </c>
      <c r="AU1321">
        <f>Table67[[#This Row],[Midpoint]]/21</f>
        <v>0.23809523809523808</v>
      </c>
      <c r="AV1321">
        <f>_xlfn.PERCENTILE.INC(Table67[Midpoint ratio],0.9)</f>
        <v>0.5714285714285714</v>
      </c>
      <c r="AW1321" t="b">
        <f>Table67[[#This Row],[Midpoint ratio]]&gt;=Table67[[#This Row],[Threshold of Midpoint ratio]]</f>
        <v>0</v>
      </c>
      <c r="AX1321" t="b">
        <f>OR(Table67[[#This Row],[Extreme Response Style]],Table67[[#This Row],[Mid-point Response Style]])</f>
        <v>0</v>
      </c>
      <c r="AY1321" t="b">
        <f>OR(Table67[[#This Row],[Delete? (Stage 1)]],Table67[[#This Row],[Delete? (Stage 2)]])</f>
        <v>1</v>
      </c>
      <c r="AZ1321" t="s">
        <v>84</v>
      </c>
    </row>
    <row r="1322" spans="1:52">
      <c r="A1322">
        <f t="shared" si="83"/>
        <v>1321</v>
      </c>
      <c r="B1322" s="3">
        <v>46062.049074074072</v>
      </c>
      <c r="C1322" s="3">
        <v>46062.055104166669</v>
      </c>
      <c r="D1322" t="s">
        <v>53</v>
      </c>
      <c r="G1322" t="s">
        <v>54</v>
      </c>
      <c r="H1322" t="s">
        <v>55</v>
      </c>
      <c r="I1322" t="s">
        <v>56</v>
      </c>
      <c r="J1322" t="s">
        <v>57</v>
      </c>
      <c r="K1322" t="s">
        <v>57</v>
      </c>
      <c r="L1322" t="s">
        <v>58</v>
      </c>
      <c r="M1322" t="s">
        <v>58</v>
      </c>
      <c r="N1322">
        <v>3</v>
      </c>
      <c r="O1322">
        <v>2</v>
      </c>
      <c r="P1322">
        <v>5</v>
      </c>
      <c r="Q1322">
        <v>2</v>
      </c>
      <c r="R1322">
        <v>1</v>
      </c>
      <c r="S1322">
        <v>1</v>
      </c>
      <c r="T1322">
        <v>3</v>
      </c>
      <c r="U1322">
        <v>5</v>
      </c>
      <c r="V1322">
        <v>3</v>
      </c>
      <c r="W1322">
        <v>3</v>
      </c>
      <c r="X1322">
        <v>2</v>
      </c>
      <c r="Y1322">
        <v>3</v>
      </c>
      <c r="Z1322">
        <v>4</v>
      </c>
      <c r="AA1322">
        <v>4</v>
      </c>
      <c r="AB1322">
        <v>2</v>
      </c>
      <c r="AC1322">
        <v>3</v>
      </c>
      <c r="AD1322">
        <v>4</v>
      </c>
      <c r="AE1322">
        <v>1</v>
      </c>
      <c r="AF1322">
        <v>3</v>
      </c>
      <c r="AG1322">
        <v>2</v>
      </c>
      <c r="AH1322">
        <v>3</v>
      </c>
      <c r="AI1322">
        <v>3</v>
      </c>
      <c r="AJ1322">
        <v>3</v>
      </c>
      <c r="AK1322" t="b">
        <f>Table67[[#This Row],[What is your age?]]&lt;&gt;"18 - 25"</f>
        <v>0</v>
      </c>
      <c r="AL1322" t="b">
        <f t="shared" si="80"/>
        <v>0</v>
      </c>
      <c r="AM1322" t="b">
        <f t="shared" si="81"/>
        <v>0</v>
      </c>
      <c r="AN1322" t="b">
        <f t="shared" si="82"/>
        <v>1</v>
      </c>
      <c r="AO1322" t="b">
        <f>OR(Table67[[#This Row],[Ineligible respondents]:[Inconsistent response on opposite question (3)]])</f>
        <v>1</v>
      </c>
      <c r="AP132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322">
        <f>Table67[[#This Row],[Extreme Response]]/21</f>
        <v>0.23809523809523808</v>
      </c>
      <c r="AR1322">
        <f>_xlfn.PERCENTILE.INC(Table67[Extrem Response Ratio (ERS)],0.9)</f>
        <v>0.61904761904761907</v>
      </c>
      <c r="AS1322" t="b">
        <f>Table67[[#This Row],[Extrem Response Ratio (ERS)]]&gt;=Table67[[#This Row],[Threshold of ERS]]</f>
        <v>0</v>
      </c>
      <c r="AT1322">
        <f>COUNTIF(Table67[[#This Row],[The mechanism of digital assets is difficult to understand, which discourages me from exploring it (E.g, Tokenization, Blockchain)]:[If I want to try different ways to invest, I will explore digital assets.]], 3)</f>
        <v>8</v>
      </c>
      <c r="AU1322">
        <f>Table67[[#This Row],[Midpoint]]/21</f>
        <v>0.38095238095238093</v>
      </c>
      <c r="AV1322">
        <f>_xlfn.PERCENTILE.INC(Table67[Midpoint ratio],0.9)</f>
        <v>0.5714285714285714</v>
      </c>
      <c r="AW1322" t="b">
        <f>Table67[[#This Row],[Midpoint ratio]]&gt;=Table67[[#This Row],[Threshold of Midpoint ratio]]</f>
        <v>0</v>
      </c>
      <c r="AX1322" t="b">
        <f>OR(Table67[[#This Row],[Extreme Response Style]],Table67[[#This Row],[Mid-point Response Style]])</f>
        <v>0</v>
      </c>
      <c r="AY1322" t="b">
        <f>OR(Table67[[#This Row],[Delete? (Stage 1)]],Table67[[#This Row],[Delete? (Stage 2)]])</f>
        <v>1</v>
      </c>
      <c r="AZ1322" t="s">
        <v>84</v>
      </c>
    </row>
    <row r="1323" spans="1:52">
      <c r="A1323">
        <f t="shared" si="83"/>
        <v>1322</v>
      </c>
      <c r="B1323" s="3">
        <v>46062.028692129628</v>
      </c>
      <c r="C1323" s="3">
        <v>46062.034398148149</v>
      </c>
      <c r="D1323" t="s">
        <v>53</v>
      </c>
      <c r="G1323" t="s">
        <v>54</v>
      </c>
      <c r="H1323" t="s">
        <v>63</v>
      </c>
      <c r="I1323" t="s">
        <v>83</v>
      </c>
      <c r="J1323" t="s">
        <v>57</v>
      </c>
      <c r="K1323" t="s">
        <v>57</v>
      </c>
      <c r="L1323" t="s">
        <v>58</v>
      </c>
      <c r="M1323" t="s">
        <v>58</v>
      </c>
      <c r="N1323">
        <v>5</v>
      </c>
      <c r="O1323">
        <v>4</v>
      </c>
      <c r="P1323">
        <v>3</v>
      </c>
      <c r="Q1323">
        <v>4</v>
      </c>
      <c r="R1323">
        <v>2</v>
      </c>
      <c r="S1323">
        <v>4</v>
      </c>
      <c r="T1323">
        <v>2</v>
      </c>
      <c r="U1323">
        <v>5</v>
      </c>
      <c r="V1323">
        <v>4</v>
      </c>
      <c r="W1323">
        <v>5</v>
      </c>
      <c r="X1323">
        <v>4</v>
      </c>
      <c r="Y1323">
        <v>5</v>
      </c>
      <c r="Z1323">
        <v>3</v>
      </c>
      <c r="AA1323">
        <v>3</v>
      </c>
      <c r="AB1323">
        <v>2</v>
      </c>
      <c r="AC1323">
        <v>1</v>
      </c>
      <c r="AD1323">
        <v>2</v>
      </c>
      <c r="AE1323">
        <v>1</v>
      </c>
      <c r="AF1323">
        <v>4</v>
      </c>
      <c r="AG1323">
        <v>4</v>
      </c>
      <c r="AH1323">
        <v>3</v>
      </c>
      <c r="AI1323">
        <v>3</v>
      </c>
      <c r="AJ1323">
        <v>2</v>
      </c>
      <c r="AK1323" t="b">
        <f>Table67[[#This Row],[What is your age?]]&lt;&gt;"18 - 25"</f>
        <v>0</v>
      </c>
      <c r="AL1323" t="b">
        <f t="shared" si="80"/>
        <v>0</v>
      </c>
      <c r="AM1323" t="b">
        <f t="shared" si="81"/>
        <v>0</v>
      </c>
      <c r="AN1323" t="b">
        <f t="shared" si="82"/>
        <v>1</v>
      </c>
      <c r="AO1323" t="b">
        <f>OR(Table67[[#This Row],[Ineligible respondents]:[Inconsistent response on opposite question (3)]])</f>
        <v>1</v>
      </c>
      <c r="AP132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323">
        <f>Table67[[#This Row],[Extreme Response]]/21</f>
        <v>0.2857142857142857</v>
      </c>
      <c r="AR1323">
        <f>_xlfn.PERCENTILE.INC(Table67[Extrem Response Ratio (ERS)],0.9)</f>
        <v>0.61904761904761907</v>
      </c>
      <c r="AS1323" t="b">
        <f>Table67[[#This Row],[Extrem Response Ratio (ERS)]]&gt;=Table67[[#This Row],[Threshold of ERS]]</f>
        <v>0</v>
      </c>
      <c r="AT1323">
        <f>COUNTIF(Table67[[#This Row],[The mechanism of digital assets is difficult to understand, which discourages me from exploring it (E.g, Tokenization, Blockchain)]:[If I want to try different ways to invest, I will explore digital assets.]], 3)</f>
        <v>4</v>
      </c>
      <c r="AU1323">
        <f>Table67[[#This Row],[Midpoint]]/21</f>
        <v>0.19047619047619047</v>
      </c>
      <c r="AV1323">
        <f>_xlfn.PERCENTILE.INC(Table67[Midpoint ratio],0.9)</f>
        <v>0.5714285714285714</v>
      </c>
      <c r="AW1323" t="b">
        <f>Table67[[#This Row],[Midpoint ratio]]&gt;=Table67[[#This Row],[Threshold of Midpoint ratio]]</f>
        <v>0</v>
      </c>
      <c r="AX1323" t="b">
        <f>OR(Table67[[#This Row],[Extreme Response Style]],Table67[[#This Row],[Mid-point Response Style]])</f>
        <v>0</v>
      </c>
      <c r="AY1323" t="b">
        <f>OR(Table67[[#This Row],[Delete? (Stage 1)]],Table67[[#This Row],[Delete? (Stage 2)]])</f>
        <v>1</v>
      </c>
      <c r="AZ1323" t="s">
        <v>84</v>
      </c>
    </row>
    <row r="1324" spans="1:52">
      <c r="A1324">
        <f t="shared" si="83"/>
        <v>1323</v>
      </c>
      <c r="B1324" s="3">
        <v>46062.051469907405</v>
      </c>
      <c r="C1324" s="3">
        <v>46062.058506944442</v>
      </c>
      <c r="D1324" t="s">
        <v>53</v>
      </c>
      <c r="G1324" t="s">
        <v>54</v>
      </c>
      <c r="H1324" t="s">
        <v>55</v>
      </c>
      <c r="I1324" t="s">
        <v>56</v>
      </c>
      <c r="J1324" t="s">
        <v>62</v>
      </c>
      <c r="K1324" t="s">
        <v>57</v>
      </c>
      <c r="L1324" t="s">
        <v>58</v>
      </c>
      <c r="M1324" t="s">
        <v>58</v>
      </c>
      <c r="N1324">
        <v>5</v>
      </c>
      <c r="O1324">
        <v>1</v>
      </c>
      <c r="P1324">
        <v>3</v>
      </c>
      <c r="Q1324">
        <v>4</v>
      </c>
      <c r="R1324">
        <v>5</v>
      </c>
      <c r="S1324">
        <v>5</v>
      </c>
      <c r="T1324">
        <v>5</v>
      </c>
      <c r="U1324">
        <v>5</v>
      </c>
      <c r="V1324">
        <v>5</v>
      </c>
      <c r="W1324">
        <v>5</v>
      </c>
      <c r="X1324">
        <v>5</v>
      </c>
      <c r="Y1324">
        <v>4</v>
      </c>
      <c r="Z1324">
        <v>4</v>
      </c>
      <c r="AA1324">
        <v>4</v>
      </c>
      <c r="AB1324">
        <v>3</v>
      </c>
      <c r="AC1324">
        <v>5</v>
      </c>
      <c r="AD1324">
        <v>5</v>
      </c>
      <c r="AE1324">
        <v>5</v>
      </c>
      <c r="AF1324">
        <v>1</v>
      </c>
      <c r="AG1324">
        <v>5</v>
      </c>
      <c r="AH1324">
        <v>1</v>
      </c>
      <c r="AI1324">
        <v>5</v>
      </c>
      <c r="AJ1324">
        <v>5</v>
      </c>
      <c r="AK1324" t="b">
        <f>Table67[[#This Row],[What is your age?]]&lt;&gt;"18 - 25"</f>
        <v>0</v>
      </c>
      <c r="AL1324" t="b">
        <f t="shared" si="80"/>
        <v>0</v>
      </c>
      <c r="AM1324" t="b">
        <f t="shared" si="81"/>
        <v>0</v>
      </c>
      <c r="AN1324" t="b">
        <f t="shared" si="82"/>
        <v>0</v>
      </c>
      <c r="AO1324" t="b">
        <f>OR(Table67[[#This Row],[Ineligible respondents]:[Inconsistent response on opposite question (3)]])</f>
        <v>0</v>
      </c>
      <c r="AP132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1324">
        <f>Table67[[#This Row],[Extreme Response]]/21</f>
        <v>0.7142857142857143</v>
      </c>
      <c r="AR1324">
        <f>_xlfn.PERCENTILE.INC(Table67[Extrem Response Ratio (ERS)],0.9)</f>
        <v>0.61904761904761907</v>
      </c>
      <c r="AS1324" t="b">
        <f>Table67[[#This Row],[Extrem Response Ratio (ERS)]]&gt;=Table67[[#This Row],[Threshold of ERS]]</f>
        <v>1</v>
      </c>
      <c r="AT1324">
        <f>COUNTIF(Table67[[#This Row],[The mechanism of digital assets is difficult to understand, which discourages me from exploring it (E.g, Tokenization, Blockchain)]:[If I want to try different ways to invest, I will explore digital assets.]], 3)</f>
        <v>2</v>
      </c>
      <c r="AU1324">
        <f>Table67[[#This Row],[Midpoint]]/21</f>
        <v>9.5238095238095233E-2</v>
      </c>
      <c r="AV1324">
        <f>_xlfn.PERCENTILE.INC(Table67[Midpoint ratio],0.9)</f>
        <v>0.5714285714285714</v>
      </c>
      <c r="AW1324" t="b">
        <f>Table67[[#This Row],[Midpoint ratio]]&gt;=Table67[[#This Row],[Threshold of Midpoint ratio]]</f>
        <v>0</v>
      </c>
      <c r="AX1324" t="b">
        <f>OR(Table67[[#This Row],[Extreme Response Style]],Table67[[#This Row],[Mid-point Response Style]])</f>
        <v>1</v>
      </c>
      <c r="AY1324" t="b">
        <f>OR(Table67[[#This Row],[Delete? (Stage 1)]],Table67[[#This Row],[Delete? (Stage 2)]])</f>
        <v>1</v>
      </c>
      <c r="AZ1324" t="s">
        <v>84</v>
      </c>
    </row>
    <row r="1325" spans="1:52">
      <c r="A1325">
        <f t="shared" si="83"/>
        <v>1324</v>
      </c>
      <c r="B1325" s="3">
        <v>46062.031759259262</v>
      </c>
      <c r="C1325" s="3">
        <v>46062.037395833337</v>
      </c>
      <c r="D1325" t="s">
        <v>53</v>
      </c>
      <c r="G1325" t="s">
        <v>54</v>
      </c>
      <c r="H1325" t="s">
        <v>55</v>
      </c>
      <c r="I1325" t="s">
        <v>75</v>
      </c>
      <c r="J1325" t="s">
        <v>67</v>
      </c>
      <c r="K1325" t="s">
        <v>62</v>
      </c>
      <c r="L1325" t="s">
        <v>58</v>
      </c>
      <c r="M1325" t="s">
        <v>58</v>
      </c>
      <c r="N1325">
        <v>5</v>
      </c>
      <c r="O1325">
        <v>3</v>
      </c>
      <c r="P1325">
        <v>3</v>
      </c>
      <c r="Q1325">
        <v>5</v>
      </c>
      <c r="R1325">
        <v>3</v>
      </c>
      <c r="S1325">
        <v>4</v>
      </c>
      <c r="T1325">
        <v>3</v>
      </c>
      <c r="U1325">
        <v>5</v>
      </c>
      <c r="V1325">
        <v>3</v>
      </c>
      <c r="W1325">
        <v>5</v>
      </c>
      <c r="X1325">
        <v>4</v>
      </c>
      <c r="Y1325">
        <v>5</v>
      </c>
      <c r="Z1325">
        <v>3</v>
      </c>
      <c r="AA1325">
        <v>3</v>
      </c>
      <c r="AB1325">
        <v>3</v>
      </c>
      <c r="AC1325">
        <v>2</v>
      </c>
      <c r="AD1325">
        <v>4</v>
      </c>
      <c r="AE1325">
        <v>3</v>
      </c>
      <c r="AF1325">
        <v>2</v>
      </c>
      <c r="AG1325">
        <v>3</v>
      </c>
      <c r="AH1325">
        <v>4</v>
      </c>
      <c r="AI1325">
        <v>2</v>
      </c>
      <c r="AJ1325">
        <v>4</v>
      </c>
      <c r="AK1325" t="b">
        <f>Table67[[#This Row],[What is your age?]]&lt;&gt;"18 - 25"</f>
        <v>0</v>
      </c>
      <c r="AL1325" t="b">
        <f t="shared" si="80"/>
        <v>0</v>
      </c>
      <c r="AM1325" t="b">
        <f t="shared" si="81"/>
        <v>0</v>
      </c>
      <c r="AN1325" t="b">
        <f t="shared" si="82"/>
        <v>1</v>
      </c>
      <c r="AO1325" t="b">
        <f>OR(Table67[[#This Row],[Ineligible respondents]:[Inconsistent response on opposite question (3)]])</f>
        <v>1</v>
      </c>
      <c r="AP132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325">
        <f>Table67[[#This Row],[Extreme Response]]/21</f>
        <v>0.23809523809523808</v>
      </c>
      <c r="AR1325">
        <f>_xlfn.PERCENTILE.INC(Table67[Extrem Response Ratio (ERS)],0.9)</f>
        <v>0.61904761904761907</v>
      </c>
      <c r="AS1325" t="b">
        <f>Table67[[#This Row],[Extrem Response Ratio (ERS)]]&gt;=Table67[[#This Row],[Threshold of ERS]]</f>
        <v>0</v>
      </c>
      <c r="AT1325">
        <f>COUNTIF(Table67[[#This Row],[The mechanism of digital assets is difficult to understand, which discourages me from exploring it (E.g, Tokenization, Blockchain)]:[If I want to try different ways to invest, I will explore digital assets.]], 3)</f>
        <v>10</v>
      </c>
      <c r="AU1325">
        <f>Table67[[#This Row],[Midpoint]]/21</f>
        <v>0.47619047619047616</v>
      </c>
      <c r="AV1325">
        <f>_xlfn.PERCENTILE.INC(Table67[Midpoint ratio],0.9)</f>
        <v>0.5714285714285714</v>
      </c>
      <c r="AW1325" t="b">
        <f>Table67[[#This Row],[Midpoint ratio]]&gt;=Table67[[#This Row],[Threshold of Midpoint ratio]]</f>
        <v>0</v>
      </c>
      <c r="AX1325" t="b">
        <f>OR(Table67[[#This Row],[Extreme Response Style]],Table67[[#This Row],[Mid-point Response Style]])</f>
        <v>0</v>
      </c>
      <c r="AY1325" t="b">
        <f>OR(Table67[[#This Row],[Delete? (Stage 1)]],Table67[[#This Row],[Delete? (Stage 2)]])</f>
        <v>1</v>
      </c>
      <c r="AZ1325" t="s">
        <v>84</v>
      </c>
    </row>
    <row r="1326" spans="1:52">
      <c r="A1326">
        <f t="shared" si="83"/>
        <v>1325</v>
      </c>
      <c r="B1326" s="3">
        <v>46065.842141203706</v>
      </c>
      <c r="C1326" s="3">
        <v>46065.845347222225</v>
      </c>
      <c r="D1326" t="s">
        <v>53</v>
      </c>
      <c r="G1326" t="s">
        <v>54</v>
      </c>
      <c r="H1326" t="s">
        <v>55</v>
      </c>
      <c r="I1326" t="s">
        <v>56</v>
      </c>
      <c r="J1326" t="s">
        <v>60</v>
      </c>
      <c r="K1326" t="s">
        <v>62</v>
      </c>
      <c r="L1326" t="s">
        <v>58</v>
      </c>
      <c r="M1326" t="s">
        <v>58</v>
      </c>
      <c r="N1326">
        <v>3</v>
      </c>
      <c r="O1326">
        <v>3</v>
      </c>
      <c r="P1326">
        <v>3</v>
      </c>
      <c r="Q1326">
        <v>3</v>
      </c>
      <c r="R1326">
        <v>3</v>
      </c>
      <c r="S1326">
        <v>3</v>
      </c>
      <c r="T1326">
        <v>3</v>
      </c>
      <c r="U1326">
        <v>4</v>
      </c>
      <c r="V1326">
        <v>4</v>
      </c>
      <c r="W1326">
        <v>4</v>
      </c>
      <c r="X1326">
        <v>4</v>
      </c>
      <c r="Y1326">
        <v>4</v>
      </c>
      <c r="Z1326">
        <v>3</v>
      </c>
      <c r="AA1326">
        <v>4</v>
      </c>
      <c r="AB1326">
        <v>3</v>
      </c>
      <c r="AC1326">
        <v>4</v>
      </c>
      <c r="AD1326">
        <v>4</v>
      </c>
      <c r="AE1326">
        <v>3</v>
      </c>
      <c r="AF1326">
        <v>3</v>
      </c>
      <c r="AG1326">
        <v>3</v>
      </c>
      <c r="AH1326">
        <v>3</v>
      </c>
      <c r="AI1326">
        <v>3</v>
      </c>
      <c r="AJ1326">
        <v>3</v>
      </c>
      <c r="AK1326" t="b">
        <f>Table67[[#This Row],[What is your age?]]&lt;&gt;"18 - 25"</f>
        <v>0</v>
      </c>
      <c r="AL1326" t="b">
        <f t="shared" si="80"/>
        <v>0</v>
      </c>
      <c r="AM1326" t="b">
        <f t="shared" si="81"/>
        <v>0</v>
      </c>
      <c r="AN1326" t="b">
        <f t="shared" si="82"/>
        <v>0</v>
      </c>
      <c r="AO1326" t="b">
        <f>OR(Table67[[#This Row],[Ineligible respondents]:[Inconsistent response on opposite question (3)]])</f>
        <v>0</v>
      </c>
      <c r="AP132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326">
        <f>Table67[[#This Row],[Extreme Response]]/21</f>
        <v>0</v>
      </c>
      <c r="AR1326">
        <f>_xlfn.PERCENTILE.INC(Table67[Extrem Response Ratio (ERS)],0.9)</f>
        <v>0.61904761904761907</v>
      </c>
      <c r="AS1326" t="b">
        <f>Table67[[#This Row],[Extrem Response Ratio (ERS)]]&gt;=Table67[[#This Row],[Threshold of ERS]]</f>
        <v>0</v>
      </c>
      <c r="AT1326">
        <f>COUNTIF(Table67[[#This Row],[The mechanism of digital assets is difficult to understand, which discourages me from exploring it (E.g, Tokenization, Blockchain)]:[If I want to try different ways to invest, I will explore digital assets.]], 3)</f>
        <v>13</v>
      </c>
      <c r="AU1326">
        <f>Table67[[#This Row],[Midpoint]]/21</f>
        <v>0.61904761904761907</v>
      </c>
      <c r="AV1326">
        <f>_xlfn.PERCENTILE.INC(Table67[Midpoint ratio],0.9)</f>
        <v>0.5714285714285714</v>
      </c>
      <c r="AW1326" t="b">
        <f>Table67[[#This Row],[Midpoint ratio]]&gt;=Table67[[#This Row],[Threshold of Midpoint ratio]]</f>
        <v>1</v>
      </c>
      <c r="AX1326" t="b">
        <f>OR(Table67[[#This Row],[Extreme Response Style]],Table67[[#This Row],[Mid-point Response Style]])</f>
        <v>1</v>
      </c>
      <c r="AY1326" t="b">
        <f>OR(Table67[[#This Row],[Delete? (Stage 1)]],Table67[[#This Row],[Delete? (Stage 2)]])</f>
        <v>1</v>
      </c>
      <c r="AZ1326" t="s">
        <v>84</v>
      </c>
    </row>
    <row r="1327" spans="1:52">
      <c r="A1327">
        <f t="shared" si="83"/>
        <v>1326</v>
      </c>
      <c r="B1327" s="3">
        <v>46062.042951388888</v>
      </c>
      <c r="C1327" s="3">
        <v>46062.051458333335</v>
      </c>
      <c r="D1327" t="s">
        <v>53</v>
      </c>
      <c r="G1327" t="s">
        <v>54</v>
      </c>
      <c r="H1327" t="s">
        <v>55</v>
      </c>
      <c r="I1327" t="s">
        <v>69</v>
      </c>
      <c r="J1327" t="s">
        <v>62</v>
      </c>
      <c r="K1327" t="s">
        <v>62</v>
      </c>
      <c r="L1327" t="s">
        <v>61</v>
      </c>
      <c r="M1327" t="s">
        <v>58</v>
      </c>
      <c r="N1327">
        <v>3</v>
      </c>
      <c r="O1327">
        <v>3</v>
      </c>
      <c r="P1327">
        <v>4</v>
      </c>
      <c r="Q1327">
        <v>4</v>
      </c>
      <c r="R1327">
        <v>3</v>
      </c>
      <c r="S1327">
        <v>5</v>
      </c>
      <c r="T1327">
        <v>2</v>
      </c>
      <c r="U1327">
        <v>2</v>
      </c>
      <c r="V1327">
        <v>3</v>
      </c>
      <c r="W1327">
        <v>3</v>
      </c>
      <c r="X1327">
        <v>4</v>
      </c>
      <c r="Y1327">
        <v>3</v>
      </c>
      <c r="Z1327">
        <v>2</v>
      </c>
      <c r="AA1327">
        <v>3</v>
      </c>
      <c r="AB1327">
        <v>3</v>
      </c>
      <c r="AC1327">
        <v>2</v>
      </c>
      <c r="AD1327">
        <v>4</v>
      </c>
      <c r="AE1327">
        <v>3</v>
      </c>
      <c r="AF1327">
        <v>3</v>
      </c>
      <c r="AG1327">
        <v>2</v>
      </c>
      <c r="AH1327">
        <v>2</v>
      </c>
      <c r="AI1327">
        <v>4</v>
      </c>
      <c r="AJ1327">
        <v>3</v>
      </c>
      <c r="AK1327" t="b">
        <f>Table67[[#This Row],[What is your age?]]&lt;&gt;"18 - 25"</f>
        <v>0</v>
      </c>
      <c r="AL1327" t="b">
        <f t="shared" si="80"/>
        <v>0</v>
      </c>
      <c r="AM1327" t="b">
        <f t="shared" si="81"/>
        <v>1</v>
      </c>
      <c r="AN1327" t="b">
        <f t="shared" si="82"/>
        <v>0</v>
      </c>
      <c r="AO1327" t="b">
        <f>OR(Table67[[#This Row],[Ineligible respondents]:[Inconsistent response on opposite question (3)]])</f>
        <v>1</v>
      </c>
      <c r="AP132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327">
        <f>Table67[[#This Row],[Extreme Response]]/21</f>
        <v>4.7619047619047616E-2</v>
      </c>
      <c r="AR1327">
        <f>_xlfn.PERCENTILE.INC(Table67[Extrem Response Ratio (ERS)],0.9)</f>
        <v>0.61904761904761907</v>
      </c>
      <c r="AS1327" t="b">
        <f>Table67[[#This Row],[Extrem Response Ratio (ERS)]]&gt;=Table67[[#This Row],[Threshold of ERS]]</f>
        <v>0</v>
      </c>
      <c r="AT1327">
        <f>COUNTIF(Table67[[#This Row],[The mechanism of digital assets is difficult to understand, which discourages me from exploring it (E.g, Tokenization, Blockchain)]:[If I want to try different ways to invest, I will explore digital assets.]], 3)</f>
        <v>10</v>
      </c>
      <c r="AU1327">
        <f>Table67[[#This Row],[Midpoint]]/21</f>
        <v>0.47619047619047616</v>
      </c>
      <c r="AV1327">
        <f>_xlfn.PERCENTILE.INC(Table67[Midpoint ratio],0.9)</f>
        <v>0.5714285714285714</v>
      </c>
      <c r="AW1327" t="b">
        <f>Table67[[#This Row],[Midpoint ratio]]&gt;=Table67[[#This Row],[Threshold of Midpoint ratio]]</f>
        <v>0</v>
      </c>
      <c r="AX1327" t="b">
        <f>OR(Table67[[#This Row],[Extreme Response Style]],Table67[[#This Row],[Mid-point Response Style]])</f>
        <v>0</v>
      </c>
      <c r="AY1327" t="b">
        <f>OR(Table67[[#This Row],[Delete? (Stage 1)]],Table67[[#This Row],[Delete? (Stage 2)]])</f>
        <v>1</v>
      </c>
      <c r="AZ1327" t="s">
        <v>84</v>
      </c>
    </row>
    <row r="1328" spans="1:52">
      <c r="A1328">
        <f t="shared" si="83"/>
        <v>1327</v>
      </c>
      <c r="B1328" s="3">
        <v>46065.717499999999</v>
      </c>
      <c r="C1328" s="3">
        <v>46065.717800925922</v>
      </c>
      <c r="D1328" t="s">
        <v>53</v>
      </c>
      <c r="G1328" t="s">
        <v>54</v>
      </c>
      <c r="H1328" t="s">
        <v>63</v>
      </c>
      <c r="I1328" t="s">
        <v>56</v>
      </c>
      <c r="J1328" t="s">
        <v>60</v>
      </c>
      <c r="K1328" t="s">
        <v>62</v>
      </c>
      <c r="L1328" t="s">
        <v>58</v>
      </c>
      <c r="M1328" t="s">
        <v>58</v>
      </c>
      <c r="N1328">
        <v>3</v>
      </c>
      <c r="O1328">
        <v>3</v>
      </c>
      <c r="P1328">
        <v>3</v>
      </c>
      <c r="Q1328">
        <v>3</v>
      </c>
      <c r="R1328">
        <v>3</v>
      </c>
      <c r="S1328">
        <v>2</v>
      </c>
      <c r="T1328">
        <v>2</v>
      </c>
      <c r="U1328">
        <v>3</v>
      </c>
      <c r="V1328">
        <v>4</v>
      </c>
      <c r="W1328">
        <v>4</v>
      </c>
      <c r="X1328">
        <v>3</v>
      </c>
      <c r="Y1328">
        <v>4</v>
      </c>
      <c r="Z1328">
        <v>3</v>
      </c>
      <c r="AA1328">
        <v>2</v>
      </c>
      <c r="AB1328">
        <v>2</v>
      </c>
      <c r="AC1328">
        <v>4</v>
      </c>
      <c r="AD1328">
        <v>3</v>
      </c>
      <c r="AE1328">
        <v>3</v>
      </c>
      <c r="AF1328">
        <v>4</v>
      </c>
      <c r="AG1328">
        <v>1</v>
      </c>
      <c r="AH1328">
        <v>4</v>
      </c>
      <c r="AI1328">
        <v>2</v>
      </c>
      <c r="AJ1328">
        <v>2</v>
      </c>
      <c r="AK1328" t="b">
        <f>Table67[[#This Row],[What is your age?]]&lt;&gt;"18 - 25"</f>
        <v>0</v>
      </c>
      <c r="AL1328" t="b">
        <f t="shared" si="80"/>
        <v>0</v>
      </c>
      <c r="AM1328" t="b">
        <f t="shared" si="81"/>
        <v>0</v>
      </c>
      <c r="AN1328" t="b">
        <f t="shared" si="82"/>
        <v>0</v>
      </c>
      <c r="AO1328" t="b">
        <f>OR(Table67[[#This Row],[Ineligible respondents]:[Inconsistent response on opposite question (3)]])</f>
        <v>0</v>
      </c>
      <c r="AP132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328">
        <f>Table67[[#This Row],[Extreme Response]]/21</f>
        <v>4.7619047619047616E-2</v>
      </c>
      <c r="AR1328">
        <f>_xlfn.PERCENTILE.INC(Table67[Extrem Response Ratio (ERS)],0.9)</f>
        <v>0.61904761904761907</v>
      </c>
      <c r="AS1328" t="b">
        <f>Table67[[#This Row],[Extrem Response Ratio (ERS)]]&gt;=Table67[[#This Row],[Threshold of ERS]]</f>
        <v>0</v>
      </c>
      <c r="AT1328">
        <f>COUNTIF(Table67[[#This Row],[The mechanism of digital assets is difficult to understand, which discourages me from exploring it (E.g, Tokenization, Blockchain)]:[If I want to try different ways to invest, I will explore digital assets.]], 3)</f>
        <v>10</v>
      </c>
      <c r="AU1328">
        <f>Table67[[#This Row],[Midpoint]]/21</f>
        <v>0.47619047619047616</v>
      </c>
      <c r="AV1328">
        <f>_xlfn.PERCENTILE.INC(Table67[Midpoint ratio],0.9)</f>
        <v>0.5714285714285714</v>
      </c>
      <c r="AW1328" t="b">
        <f>Table67[[#This Row],[Midpoint ratio]]&gt;=Table67[[#This Row],[Threshold of Midpoint ratio]]</f>
        <v>0</v>
      </c>
      <c r="AX1328" t="b">
        <f>OR(Table67[[#This Row],[Extreme Response Style]],Table67[[#This Row],[Mid-point Response Style]])</f>
        <v>0</v>
      </c>
      <c r="AY1328" t="b">
        <f>OR(Table67[[#This Row],[Delete? (Stage 1)]],Table67[[#This Row],[Delete? (Stage 2)]])</f>
        <v>0</v>
      </c>
      <c r="AZ1328" t="s">
        <v>84</v>
      </c>
    </row>
    <row r="1329" spans="1:52">
      <c r="A1329">
        <f t="shared" si="83"/>
        <v>1328</v>
      </c>
      <c r="B1329" s="3">
        <v>46062.038113425922</v>
      </c>
      <c r="C1329" s="3">
        <v>46062.040856481479</v>
      </c>
      <c r="D1329" t="s">
        <v>53</v>
      </c>
      <c r="G1329" t="s">
        <v>54</v>
      </c>
      <c r="H1329" t="s">
        <v>63</v>
      </c>
      <c r="I1329" t="s">
        <v>75</v>
      </c>
      <c r="J1329" t="s">
        <v>62</v>
      </c>
      <c r="K1329" t="s">
        <v>62</v>
      </c>
      <c r="L1329" t="s">
        <v>58</v>
      </c>
      <c r="M1329" t="s">
        <v>58</v>
      </c>
      <c r="N1329">
        <v>4</v>
      </c>
      <c r="O1329">
        <v>3</v>
      </c>
      <c r="P1329">
        <v>4</v>
      </c>
      <c r="Q1329">
        <v>3</v>
      </c>
      <c r="R1329">
        <v>4</v>
      </c>
      <c r="S1329">
        <v>4</v>
      </c>
      <c r="T1329">
        <v>2</v>
      </c>
      <c r="U1329">
        <v>3</v>
      </c>
      <c r="V1329">
        <v>5</v>
      </c>
      <c r="W1329">
        <v>5</v>
      </c>
      <c r="X1329">
        <v>3</v>
      </c>
      <c r="Y1329">
        <v>3</v>
      </c>
      <c r="Z1329">
        <v>4</v>
      </c>
      <c r="AA1329">
        <v>4</v>
      </c>
      <c r="AB1329">
        <v>4</v>
      </c>
      <c r="AC1329">
        <v>2</v>
      </c>
      <c r="AD1329">
        <v>3</v>
      </c>
      <c r="AE1329">
        <v>2</v>
      </c>
      <c r="AF1329">
        <v>5</v>
      </c>
      <c r="AG1329">
        <v>4</v>
      </c>
      <c r="AH1329">
        <v>4</v>
      </c>
      <c r="AI1329">
        <v>2</v>
      </c>
      <c r="AJ1329">
        <v>1</v>
      </c>
      <c r="AK1329" t="b">
        <f>Table67[[#This Row],[What is your age?]]&lt;&gt;"18 - 25"</f>
        <v>0</v>
      </c>
      <c r="AL1329" t="b">
        <f t="shared" si="80"/>
        <v>0</v>
      </c>
      <c r="AM1329" t="b">
        <f t="shared" si="81"/>
        <v>1</v>
      </c>
      <c r="AN1329" t="b">
        <f t="shared" si="82"/>
        <v>0</v>
      </c>
      <c r="AO1329" t="b">
        <f>OR(Table67[[#This Row],[Ineligible respondents]:[Inconsistent response on opposite question (3)]])</f>
        <v>1</v>
      </c>
      <c r="AP132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329">
        <f>Table67[[#This Row],[Extreme Response]]/21</f>
        <v>0.14285714285714285</v>
      </c>
      <c r="AR1329">
        <f>_xlfn.PERCENTILE.INC(Table67[Extrem Response Ratio (ERS)],0.9)</f>
        <v>0.61904761904761907</v>
      </c>
      <c r="AS1329" t="b">
        <f>Table67[[#This Row],[Extrem Response Ratio (ERS)]]&gt;=Table67[[#This Row],[Threshold of ERS]]</f>
        <v>0</v>
      </c>
      <c r="AT1329">
        <f>COUNTIF(Table67[[#This Row],[The mechanism of digital assets is difficult to understand, which discourages me from exploring it (E.g, Tokenization, Blockchain)]:[If I want to try different ways to invest, I will explore digital assets.]], 3)</f>
        <v>6</v>
      </c>
      <c r="AU1329">
        <f>Table67[[#This Row],[Midpoint]]/21</f>
        <v>0.2857142857142857</v>
      </c>
      <c r="AV1329">
        <f>_xlfn.PERCENTILE.INC(Table67[Midpoint ratio],0.9)</f>
        <v>0.5714285714285714</v>
      </c>
      <c r="AW1329" t="b">
        <f>Table67[[#This Row],[Midpoint ratio]]&gt;=Table67[[#This Row],[Threshold of Midpoint ratio]]</f>
        <v>0</v>
      </c>
      <c r="AX1329" t="b">
        <f>OR(Table67[[#This Row],[Extreme Response Style]],Table67[[#This Row],[Mid-point Response Style]])</f>
        <v>0</v>
      </c>
      <c r="AY1329" t="b">
        <f>OR(Table67[[#This Row],[Delete? (Stage 1)]],Table67[[#This Row],[Delete? (Stage 2)]])</f>
        <v>1</v>
      </c>
      <c r="AZ1329" t="s">
        <v>84</v>
      </c>
    </row>
    <row r="1330" spans="1:52">
      <c r="A1330">
        <f t="shared" si="83"/>
        <v>1329</v>
      </c>
      <c r="B1330" s="3">
        <v>46062.160995370374</v>
      </c>
      <c r="C1330" s="3">
        <v>46062.16615740741</v>
      </c>
      <c r="D1330" t="s">
        <v>53</v>
      </c>
      <c r="G1330" t="s">
        <v>54</v>
      </c>
      <c r="H1330" t="s">
        <v>55</v>
      </c>
      <c r="I1330" t="s">
        <v>75</v>
      </c>
      <c r="J1330" t="s">
        <v>62</v>
      </c>
      <c r="K1330" t="s">
        <v>62</v>
      </c>
      <c r="L1330" t="s">
        <v>58</v>
      </c>
      <c r="M1330" t="s">
        <v>58</v>
      </c>
      <c r="N1330">
        <v>3</v>
      </c>
      <c r="O1330">
        <v>3</v>
      </c>
      <c r="P1330">
        <v>4</v>
      </c>
      <c r="Q1330">
        <v>4</v>
      </c>
      <c r="R1330">
        <v>3</v>
      </c>
      <c r="S1330">
        <v>4</v>
      </c>
      <c r="T1330">
        <v>5</v>
      </c>
      <c r="U1330">
        <v>5</v>
      </c>
      <c r="V1330">
        <v>2</v>
      </c>
      <c r="W1330">
        <v>1</v>
      </c>
      <c r="X1330">
        <v>2</v>
      </c>
      <c r="Y1330">
        <v>2</v>
      </c>
      <c r="Z1330">
        <v>1</v>
      </c>
      <c r="AA1330">
        <v>3</v>
      </c>
      <c r="AB1330">
        <v>2</v>
      </c>
      <c r="AC1330">
        <v>2</v>
      </c>
      <c r="AD1330">
        <v>3</v>
      </c>
      <c r="AE1330">
        <v>2</v>
      </c>
      <c r="AF1330">
        <v>2</v>
      </c>
      <c r="AG1330">
        <v>2</v>
      </c>
      <c r="AH1330">
        <v>3</v>
      </c>
      <c r="AI1330">
        <v>3</v>
      </c>
      <c r="AJ1330">
        <v>4</v>
      </c>
      <c r="AK1330" t="b">
        <f>Table67[[#This Row],[What is your age?]]&lt;&gt;"18 - 25"</f>
        <v>0</v>
      </c>
      <c r="AL1330" t="b">
        <f t="shared" si="80"/>
        <v>0</v>
      </c>
      <c r="AM1330" t="b">
        <f t="shared" si="81"/>
        <v>0</v>
      </c>
      <c r="AN1330" t="b">
        <f t="shared" si="82"/>
        <v>1</v>
      </c>
      <c r="AO1330" t="b">
        <f>OR(Table67[[#This Row],[Ineligible respondents]:[Inconsistent response on opposite question (3)]])</f>
        <v>1</v>
      </c>
      <c r="AP133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330">
        <f>Table67[[#This Row],[Extreme Response]]/21</f>
        <v>0.19047619047619047</v>
      </c>
      <c r="AR1330">
        <f>_xlfn.PERCENTILE.INC(Table67[Extrem Response Ratio (ERS)],0.9)</f>
        <v>0.61904761904761907</v>
      </c>
      <c r="AS1330" t="b">
        <f>Table67[[#This Row],[Extrem Response Ratio (ERS)]]&gt;=Table67[[#This Row],[Threshold of ERS]]</f>
        <v>0</v>
      </c>
      <c r="AT1330">
        <f>COUNTIF(Table67[[#This Row],[The mechanism of digital assets is difficult to understand, which discourages me from exploring it (E.g, Tokenization, Blockchain)]:[If I want to try different ways to invest, I will explore digital assets.]], 3)</f>
        <v>6</v>
      </c>
      <c r="AU1330">
        <f>Table67[[#This Row],[Midpoint]]/21</f>
        <v>0.2857142857142857</v>
      </c>
      <c r="AV1330">
        <f>_xlfn.PERCENTILE.INC(Table67[Midpoint ratio],0.9)</f>
        <v>0.5714285714285714</v>
      </c>
      <c r="AW1330" t="b">
        <f>Table67[[#This Row],[Midpoint ratio]]&gt;=Table67[[#This Row],[Threshold of Midpoint ratio]]</f>
        <v>0</v>
      </c>
      <c r="AX1330" t="b">
        <f>OR(Table67[[#This Row],[Extreme Response Style]],Table67[[#This Row],[Mid-point Response Style]])</f>
        <v>0</v>
      </c>
      <c r="AY1330" t="b">
        <f>OR(Table67[[#This Row],[Delete? (Stage 1)]],Table67[[#This Row],[Delete? (Stage 2)]])</f>
        <v>1</v>
      </c>
      <c r="AZ1330" t="s">
        <v>84</v>
      </c>
    </row>
    <row r="1331" spans="1:52">
      <c r="A1331">
        <f t="shared" si="83"/>
        <v>1330</v>
      </c>
      <c r="B1331" s="3">
        <v>46062.039363425924</v>
      </c>
      <c r="C1331" s="3">
        <v>46062.042511574073</v>
      </c>
      <c r="D1331" t="s">
        <v>53</v>
      </c>
      <c r="G1331" t="s">
        <v>54</v>
      </c>
      <c r="H1331" t="s">
        <v>55</v>
      </c>
      <c r="I1331" t="s">
        <v>56</v>
      </c>
      <c r="J1331" t="s">
        <v>62</v>
      </c>
      <c r="K1331" t="s">
        <v>57</v>
      </c>
      <c r="L1331" t="s">
        <v>58</v>
      </c>
      <c r="M1331" t="s">
        <v>58</v>
      </c>
      <c r="N1331">
        <v>4</v>
      </c>
      <c r="O1331">
        <v>1</v>
      </c>
      <c r="P1331">
        <v>2</v>
      </c>
      <c r="Q1331">
        <v>4</v>
      </c>
      <c r="R1331">
        <v>3</v>
      </c>
      <c r="S1331">
        <v>3</v>
      </c>
      <c r="T1331">
        <v>3</v>
      </c>
      <c r="U1331">
        <v>3</v>
      </c>
      <c r="V1331">
        <v>4</v>
      </c>
      <c r="W1331">
        <v>4</v>
      </c>
      <c r="X1331">
        <v>4</v>
      </c>
      <c r="Y1331">
        <v>4</v>
      </c>
      <c r="Z1331">
        <v>3</v>
      </c>
      <c r="AA1331">
        <v>3</v>
      </c>
      <c r="AB1331">
        <v>3</v>
      </c>
      <c r="AC1331">
        <v>3</v>
      </c>
      <c r="AD1331">
        <v>4</v>
      </c>
      <c r="AE1331">
        <v>3</v>
      </c>
      <c r="AF1331">
        <v>1</v>
      </c>
      <c r="AG1331">
        <v>3</v>
      </c>
      <c r="AH1331">
        <v>1</v>
      </c>
      <c r="AI1331">
        <v>5</v>
      </c>
      <c r="AJ1331">
        <v>5</v>
      </c>
      <c r="AK1331" t="b">
        <f>Table67[[#This Row],[What is your age?]]&lt;&gt;"18 - 25"</f>
        <v>0</v>
      </c>
      <c r="AL1331" t="b">
        <f t="shared" si="80"/>
        <v>0</v>
      </c>
      <c r="AM1331" t="b">
        <f t="shared" si="81"/>
        <v>0</v>
      </c>
      <c r="AN1331" t="b">
        <f t="shared" si="82"/>
        <v>1</v>
      </c>
      <c r="AO1331" t="b">
        <f>OR(Table67[[#This Row],[Ineligible respondents]:[Inconsistent response on opposite question (3)]])</f>
        <v>1</v>
      </c>
      <c r="AP133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331">
        <f>Table67[[#This Row],[Extreme Response]]/21</f>
        <v>0.14285714285714285</v>
      </c>
      <c r="AR1331">
        <f>_xlfn.PERCENTILE.INC(Table67[Extrem Response Ratio (ERS)],0.9)</f>
        <v>0.61904761904761907</v>
      </c>
      <c r="AS1331" t="b">
        <f>Table67[[#This Row],[Extrem Response Ratio (ERS)]]&gt;=Table67[[#This Row],[Threshold of ERS]]</f>
        <v>0</v>
      </c>
      <c r="AT1331">
        <f>COUNTIF(Table67[[#This Row],[The mechanism of digital assets is difficult to understand, which discourages me from exploring it (E.g, Tokenization, Blockchain)]:[If I want to try different ways to invest, I will explore digital assets.]], 3)</f>
        <v>10</v>
      </c>
      <c r="AU1331">
        <f>Table67[[#This Row],[Midpoint]]/21</f>
        <v>0.47619047619047616</v>
      </c>
      <c r="AV1331">
        <f>_xlfn.PERCENTILE.INC(Table67[Midpoint ratio],0.9)</f>
        <v>0.5714285714285714</v>
      </c>
      <c r="AW1331" t="b">
        <f>Table67[[#This Row],[Midpoint ratio]]&gt;=Table67[[#This Row],[Threshold of Midpoint ratio]]</f>
        <v>0</v>
      </c>
      <c r="AX1331" t="b">
        <f>OR(Table67[[#This Row],[Extreme Response Style]],Table67[[#This Row],[Mid-point Response Style]])</f>
        <v>0</v>
      </c>
      <c r="AY1331" t="b">
        <f>OR(Table67[[#This Row],[Delete? (Stage 1)]],Table67[[#This Row],[Delete? (Stage 2)]])</f>
        <v>1</v>
      </c>
      <c r="AZ1331" t="s">
        <v>84</v>
      </c>
    </row>
    <row r="1332" spans="1:52">
      <c r="A1332">
        <f t="shared" si="83"/>
        <v>1331</v>
      </c>
      <c r="B1332" s="3">
        <v>46063.96974537037</v>
      </c>
      <c r="C1332" s="3">
        <v>46063.973923611113</v>
      </c>
      <c r="D1332" t="s">
        <v>53</v>
      </c>
      <c r="G1332" t="s">
        <v>54</v>
      </c>
      <c r="H1332" t="s">
        <v>63</v>
      </c>
      <c r="I1332" t="s">
        <v>56</v>
      </c>
      <c r="J1332" t="s">
        <v>62</v>
      </c>
      <c r="K1332" t="s">
        <v>57</v>
      </c>
      <c r="L1332" t="s">
        <v>58</v>
      </c>
      <c r="M1332" t="s">
        <v>61</v>
      </c>
      <c r="N1332">
        <v>3</v>
      </c>
      <c r="O1332">
        <v>4</v>
      </c>
      <c r="P1332">
        <v>5</v>
      </c>
      <c r="Q1332">
        <v>2</v>
      </c>
      <c r="R1332">
        <v>4</v>
      </c>
      <c r="S1332">
        <v>4</v>
      </c>
      <c r="T1332">
        <v>4</v>
      </c>
      <c r="U1332">
        <v>5</v>
      </c>
      <c r="V1332">
        <v>5</v>
      </c>
      <c r="W1332">
        <v>4</v>
      </c>
      <c r="X1332">
        <v>2</v>
      </c>
      <c r="Y1332">
        <v>3</v>
      </c>
      <c r="Z1332">
        <v>4</v>
      </c>
      <c r="AA1332">
        <v>5</v>
      </c>
      <c r="AB1332">
        <v>3</v>
      </c>
      <c r="AC1332">
        <v>5</v>
      </c>
      <c r="AD1332">
        <v>4</v>
      </c>
      <c r="AE1332">
        <v>4</v>
      </c>
      <c r="AF1332">
        <v>1</v>
      </c>
      <c r="AG1332">
        <v>4</v>
      </c>
      <c r="AH1332">
        <v>3</v>
      </c>
      <c r="AI1332">
        <v>3</v>
      </c>
      <c r="AJ1332">
        <v>5</v>
      </c>
      <c r="AK1332" t="b">
        <f>Table67[[#This Row],[What is your age?]]&lt;&gt;"18 - 25"</f>
        <v>0</v>
      </c>
      <c r="AL1332" t="b">
        <f t="shared" si="80"/>
        <v>0</v>
      </c>
      <c r="AM1332" t="b">
        <f t="shared" si="81"/>
        <v>0</v>
      </c>
      <c r="AN1332" t="b">
        <f t="shared" si="82"/>
        <v>1</v>
      </c>
      <c r="AO1332" t="b">
        <f>OR(Table67[[#This Row],[Ineligible respondents]:[Inconsistent response on opposite question (3)]])</f>
        <v>1</v>
      </c>
      <c r="AP133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332">
        <f>Table67[[#This Row],[Extreme Response]]/21</f>
        <v>0.2857142857142857</v>
      </c>
      <c r="AR1332">
        <f>_xlfn.PERCENTILE.INC(Table67[Extrem Response Ratio (ERS)],0.9)</f>
        <v>0.61904761904761907</v>
      </c>
      <c r="AS1332" t="b">
        <f>Table67[[#This Row],[Extrem Response Ratio (ERS)]]&gt;=Table67[[#This Row],[Threshold of ERS]]</f>
        <v>0</v>
      </c>
      <c r="AT1332">
        <f>COUNTIF(Table67[[#This Row],[The mechanism of digital assets is difficult to understand, which discourages me from exploring it (E.g, Tokenization, Blockchain)]:[If I want to try different ways to invest, I will explore digital assets.]], 3)</f>
        <v>4</v>
      </c>
      <c r="AU1332">
        <f>Table67[[#This Row],[Midpoint]]/21</f>
        <v>0.19047619047619047</v>
      </c>
      <c r="AV1332">
        <f>_xlfn.PERCENTILE.INC(Table67[Midpoint ratio],0.9)</f>
        <v>0.5714285714285714</v>
      </c>
      <c r="AW1332" t="b">
        <f>Table67[[#This Row],[Midpoint ratio]]&gt;=Table67[[#This Row],[Threshold of Midpoint ratio]]</f>
        <v>0</v>
      </c>
      <c r="AX1332" t="b">
        <f>OR(Table67[[#This Row],[Extreme Response Style]],Table67[[#This Row],[Mid-point Response Style]])</f>
        <v>0</v>
      </c>
      <c r="AY1332" t="b">
        <f>OR(Table67[[#This Row],[Delete? (Stage 1)]],Table67[[#This Row],[Delete? (Stage 2)]])</f>
        <v>1</v>
      </c>
      <c r="AZ1332" t="s">
        <v>84</v>
      </c>
    </row>
    <row r="1333" spans="1:52">
      <c r="A1333">
        <f t="shared" si="83"/>
        <v>1332</v>
      </c>
      <c r="B1333" s="3">
        <v>46065.765856481485</v>
      </c>
      <c r="C1333" s="3">
        <v>46065.768645833334</v>
      </c>
      <c r="D1333" t="s">
        <v>53</v>
      </c>
      <c r="G1333" t="s">
        <v>54</v>
      </c>
      <c r="H1333" t="s">
        <v>63</v>
      </c>
      <c r="I1333" t="s">
        <v>56</v>
      </c>
      <c r="J1333" t="s">
        <v>57</v>
      </c>
      <c r="K1333" t="s">
        <v>57</v>
      </c>
      <c r="L1333" t="s">
        <v>58</v>
      </c>
      <c r="M1333" t="s">
        <v>58</v>
      </c>
      <c r="N1333">
        <v>3</v>
      </c>
      <c r="O1333">
        <v>3</v>
      </c>
      <c r="P1333">
        <v>3</v>
      </c>
      <c r="Q1333">
        <v>4</v>
      </c>
      <c r="R1333">
        <v>3</v>
      </c>
      <c r="S1333">
        <v>3</v>
      </c>
      <c r="T1333">
        <v>3</v>
      </c>
      <c r="U1333">
        <v>4</v>
      </c>
      <c r="V1333">
        <v>4</v>
      </c>
      <c r="W1333">
        <v>4</v>
      </c>
      <c r="X1333">
        <v>2</v>
      </c>
      <c r="Y1333">
        <v>4</v>
      </c>
      <c r="Z1333">
        <v>2</v>
      </c>
      <c r="AA1333">
        <v>3</v>
      </c>
      <c r="AB1333">
        <v>3</v>
      </c>
      <c r="AC1333">
        <v>4</v>
      </c>
      <c r="AD1333">
        <v>2</v>
      </c>
      <c r="AE1333">
        <v>2</v>
      </c>
      <c r="AF1333">
        <v>4</v>
      </c>
      <c r="AG1333">
        <v>2</v>
      </c>
      <c r="AH1333">
        <v>4</v>
      </c>
      <c r="AI1333">
        <v>2</v>
      </c>
      <c r="AJ1333">
        <v>2</v>
      </c>
      <c r="AK1333" t="b">
        <f>Table67[[#This Row],[What is your age?]]&lt;&gt;"18 - 25"</f>
        <v>0</v>
      </c>
      <c r="AL1333" t="b">
        <f t="shared" si="80"/>
        <v>0</v>
      </c>
      <c r="AM1333" t="b">
        <f t="shared" si="81"/>
        <v>0</v>
      </c>
      <c r="AN1333" t="b">
        <f t="shared" si="82"/>
        <v>0</v>
      </c>
      <c r="AO1333" t="b">
        <f>OR(Table67[[#This Row],[Ineligible respondents]:[Inconsistent response on opposite question (3)]])</f>
        <v>0</v>
      </c>
      <c r="AP133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333">
        <f>Table67[[#This Row],[Extreme Response]]/21</f>
        <v>0</v>
      </c>
      <c r="AR1333">
        <f>_xlfn.PERCENTILE.INC(Table67[Extrem Response Ratio (ERS)],0.9)</f>
        <v>0.61904761904761907</v>
      </c>
      <c r="AS1333" t="b">
        <f>Table67[[#This Row],[Extrem Response Ratio (ERS)]]&gt;=Table67[[#This Row],[Threshold of ERS]]</f>
        <v>0</v>
      </c>
      <c r="AT1333">
        <f>COUNTIF(Table67[[#This Row],[The mechanism of digital assets is difficult to understand, which discourages me from exploring it (E.g, Tokenization, Blockchain)]:[If I want to try different ways to invest, I will explore digital assets.]], 3)</f>
        <v>8</v>
      </c>
      <c r="AU1333">
        <f>Table67[[#This Row],[Midpoint]]/21</f>
        <v>0.38095238095238093</v>
      </c>
      <c r="AV1333">
        <f>_xlfn.PERCENTILE.INC(Table67[Midpoint ratio],0.9)</f>
        <v>0.5714285714285714</v>
      </c>
      <c r="AW1333" t="b">
        <f>Table67[[#This Row],[Midpoint ratio]]&gt;=Table67[[#This Row],[Threshold of Midpoint ratio]]</f>
        <v>0</v>
      </c>
      <c r="AX1333" t="b">
        <f>OR(Table67[[#This Row],[Extreme Response Style]],Table67[[#This Row],[Mid-point Response Style]])</f>
        <v>0</v>
      </c>
      <c r="AY1333" t="b">
        <f>OR(Table67[[#This Row],[Delete? (Stage 1)]],Table67[[#This Row],[Delete? (Stage 2)]])</f>
        <v>0</v>
      </c>
      <c r="AZ1333" t="s">
        <v>84</v>
      </c>
    </row>
    <row r="1334" spans="1:52">
      <c r="A1334">
        <f t="shared" si="83"/>
        <v>1333</v>
      </c>
      <c r="B1334" s="3">
        <v>46062.03665509259</v>
      </c>
      <c r="C1334" s="3">
        <v>46062.04278935185</v>
      </c>
      <c r="D1334" t="s">
        <v>53</v>
      </c>
      <c r="G1334" t="s">
        <v>73</v>
      </c>
      <c r="H1334" t="s">
        <v>55</v>
      </c>
      <c r="I1334" t="s">
        <v>56</v>
      </c>
      <c r="J1334" t="s">
        <v>62</v>
      </c>
      <c r="K1334" t="s">
        <v>62</v>
      </c>
      <c r="L1334" t="s">
        <v>58</v>
      </c>
      <c r="M1334" t="s">
        <v>58</v>
      </c>
      <c r="N1334">
        <v>4</v>
      </c>
      <c r="O1334">
        <v>2</v>
      </c>
      <c r="P1334">
        <v>2</v>
      </c>
      <c r="Q1334">
        <v>3</v>
      </c>
      <c r="R1334">
        <v>4</v>
      </c>
      <c r="S1334">
        <v>3</v>
      </c>
      <c r="T1334">
        <v>1</v>
      </c>
      <c r="U1334">
        <v>3</v>
      </c>
      <c r="V1334">
        <v>2</v>
      </c>
      <c r="W1334">
        <v>5</v>
      </c>
      <c r="X1334">
        <v>3</v>
      </c>
      <c r="Y1334">
        <v>2</v>
      </c>
      <c r="Z1334">
        <v>4</v>
      </c>
      <c r="AA1334">
        <v>4</v>
      </c>
      <c r="AB1334">
        <v>3</v>
      </c>
      <c r="AC1334">
        <v>2</v>
      </c>
      <c r="AD1334">
        <v>4</v>
      </c>
      <c r="AE1334">
        <v>1</v>
      </c>
      <c r="AF1334">
        <v>4</v>
      </c>
      <c r="AG1334">
        <v>4</v>
      </c>
      <c r="AH1334">
        <v>3</v>
      </c>
      <c r="AI1334">
        <v>3</v>
      </c>
      <c r="AJ1334">
        <v>2</v>
      </c>
      <c r="AK1334" t="b">
        <f>Table67[[#This Row],[What is your age?]]&lt;&gt;"18 - 25"</f>
        <v>1</v>
      </c>
      <c r="AL1334" t="b">
        <f t="shared" si="80"/>
        <v>0</v>
      </c>
      <c r="AM1334" t="b">
        <f t="shared" si="81"/>
        <v>0</v>
      </c>
      <c r="AN1334" t="b">
        <f t="shared" si="82"/>
        <v>1</v>
      </c>
      <c r="AO1334" t="b">
        <f>OR(Table67[[#This Row],[Ineligible respondents]:[Inconsistent response on opposite question (3)]])</f>
        <v>1</v>
      </c>
      <c r="AP133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334">
        <f>Table67[[#This Row],[Extreme Response]]/21</f>
        <v>0.14285714285714285</v>
      </c>
      <c r="AR1334">
        <f>_xlfn.PERCENTILE.INC(Table67[Extrem Response Ratio (ERS)],0.9)</f>
        <v>0.61904761904761907</v>
      </c>
      <c r="AS1334" t="b">
        <f>Table67[[#This Row],[Extrem Response Ratio (ERS)]]&gt;=Table67[[#This Row],[Threshold of ERS]]</f>
        <v>0</v>
      </c>
      <c r="AT1334">
        <f>COUNTIF(Table67[[#This Row],[The mechanism of digital assets is difficult to understand, which discourages me from exploring it (E.g, Tokenization, Blockchain)]:[If I want to try different ways to invest, I will explore digital assets.]], 3)</f>
        <v>6</v>
      </c>
      <c r="AU1334">
        <f>Table67[[#This Row],[Midpoint]]/21</f>
        <v>0.2857142857142857</v>
      </c>
      <c r="AV1334">
        <f>_xlfn.PERCENTILE.INC(Table67[Midpoint ratio],0.9)</f>
        <v>0.5714285714285714</v>
      </c>
      <c r="AW1334" t="b">
        <f>Table67[[#This Row],[Midpoint ratio]]&gt;=Table67[[#This Row],[Threshold of Midpoint ratio]]</f>
        <v>0</v>
      </c>
      <c r="AX1334" t="b">
        <f>OR(Table67[[#This Row],[Extreme Response Style]],Table67[[#This Row],[Mid-point Response Style]])</f>
        <v>0</v>
      </c>
      <c r="AY1334" t="b">
        <f>OR(Table67[[#This Row],[Delete? (Stage 1)]],Table67[[#This Row],[Delete? (Stage 2)]])</f>
        <v>1</v>
      </c>
      <c r="AZ1334" t="s">
        <v>84</v>
      </c>
    </row>
    <row r="1335" spans="1:52">
      <c r="A1335">
        <f t="shared" si="83"/>
        <v>1334</v>
      </c>
      <c r="B1335" s="3">
        <v>46062.039918981478</v>
      </c>
      <c r="C1335" s="3">
        <v>46062.042060185187</v>
      </c>
      <c r="D1335" t="s">
        <v>53</v>
      </c>
      <c r="G1335" t="s">
        <v>54</v>
      </c>
      <c r="H1335" t="s">
        <v>63</v>
      </c>
      <c r="I1335" t="s">
        <v>56</v>
      </c>
      <c r="J1335" t="s">
        <v>65</v>
      </c>
      <c r="K1335" t="s">
        <v>60</v>
      </c>
      <c r="L1335" t="s">
        <v>61</v>
      </c>
      <c r="M1335" t="s">
        <v>61</v>
      </c>
      <c r="N1335">
        <v>3</v>
      </c>
      <c r="O1335">
        <v>3</v>
      </c>
      <c r="P1335">
        <v>3</v>
      </c>
      <c r="Q1335">
        <v>4</v>
      </c>
      <c r="R1335">
        <v>4</v>
      </c>
      <c r="S1335">
        <v>3</v>
      </c>
      <c r="T1335">
        <v>4</v>
      </c>
      <c r="U1335">
        <v>3</v>
      </c>
      <c r="V1335">
        <v>4</v>
      </c>
      <c r="W1335">
        <v>3</v>
      </c>
      <c r="X1335">
        <v>4</v>
      </c>
      <c r="Y1335">
        <v>4</v>
      </c>
      <c r="Z1335">
        <v>4</v>
      </c>
      <c r="AA1335">
        <v>3</v>
      </c>
      <c r="AB1335">
        <v>4</v>
      </c>
      <c r="AC1335">
        <v>4</v>
      </c>
      <c r="AD1335">
        <v>5</v>
      </c>
      <c r="AE1335">
        <v>4</v>
      </c>
      <c r="AF1335">
        <v>4</v>
      </c>
      <c r="AG1335">
        <v>5</v>
      </c>
      <c r="AH1335">
        <v>4</v>
      </c>
      <c r="AI1335">
        <v>2</v>
      </c>
      <c r="AJ1335">
        <v>2</v>
      </c>
      <c r="AK1335" t="b">
        <f>Table67[[#This Row],[What is your age?]]&lt;&gt;"18 - 25"</f>
        <v>0</v>
      </c>
      <c r="AL1335" t="b">
        <f t="shared" si="80"/>
        <v>0</v>
      </c>
      <c r="AM1335" t="b">
        <f t="shared" si="81"/>
        <v>1</v>
      </c>
      <c r="AN1335" t="b">
        <f t="shared" si="82"/>
        <v>0</v>
      </c>
      <c r="AO1335" t="b">
        <f>OR(Table67[[#This Row],[Ineligible respondents]:[Inconsistent response on opposite question (3)]])</f>
        <v>1</v>
      </c>
      <c r="AP133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335">
        <f>Table67[[#This Row],[Extreme Response]]/21</f>
        <v>9.5238095238095233E-2</v>
      </c>
      <c r="AR1335">
        <f>_xlfn.PERCENTILE.INC(Table67[Extrem Response Ratio (ERS)],0.9)</f>
        <v>0.61904761904761907</v>
      </c>
      <c r="AS1335" t="b">
        <f>Table67[[#This Row],[Extrem Response Ratio (ERS)]]&gt;=Table67[[#This Row],[Threshold of ERS]]</f>
        <v>0</v>
      </c>
      <c r="AT1335">
        <f>COUNTIF(Table67[[#This Row],[The mechanism of digital assets is difficult to understand, which discourages me from exploring it (E.g, Tokenization, Blockchain)]:[If I want to try different ways to invest, I will explore digital assets.]], 3)</f>
        <v>7</v>
      </c>
      <c r="AU1335">
        <f>Table67[[#This Row],[Midpoint]]/21</f>
        <v>0.33333333333333331</v>
      </c>
      <c r="AV1335">
        <f>_xlfn.PERCENTILE.INC(Table67[Midpoint ratio],0.9)</f>
        <v>0.5714285714285714</v>
      </c>
      <c r="AW1335" t="b">
        <f>Table67[[#This Row],[Midpoint ratio]]&gt;=Table67[[#This Row],[Threshold of Midpoint ratio]]</f>
        <v>0</v>
      </c>
      <c r="AX1335" t="b">
        <f>OR(Table67[[#This Row],[Extreme Response Style]],Table67[[#This Row],[Mid-point Response Style]])</f>
        <v>0</v>
      </c>
      <c r="AY1335" t="b">
        <f>OR(Table67[[#This Row],[Delete? (Stage 1)]],Table67[[#This Row],[Delete? (Stage 2)]])</f>
        <v>1</v>
      </c>
      <c r="AZ1335" t="s">
        <v>84</v>
      </c>
    </row>
    <row r="1336" spans="1:52">
      <c r="A1336">
        <f t="shared" si="83"/>
        <v>1335</v>
      </c>
      <c r="B1336" s="3">
        <v>46065.850601851853</v>
      </c>
      <c r="C1336" s="3">
        <v>46065.861273148148</v>
      </c>
      <c r="D1336" t="s">
        <v>53</v>
      </c>
      <c r="G1336" t="s">
        <v>54</v>
      </c>
      <c r="H1336" t="s">
        <v>55</v>
      </c>
      <c r="I1336" t="s">
        <v>56</v>
      </c>
      <c r="J1336" t="s">
        <v>62</v>
      </c>
      <c r="K1336" t="s">
        <v>62</v>
      </c>
      <c r="L1336" t="s">
        <v>58</v>
      </c>
      <c r="M1336" t="s">
        <v>58</v>
      </c>
      <c r="N1336">
        <v>4</v>
      </c>
      <c r="O1336">
        <v>5</v>
      </c>
      <c r="P1336">
        <v>4</v>
      </c>
      <c r="Q1336">
        <v>4</v>
      </c>
      <c r="R1336">
        <v>4</v>
      </c>
      <c r="S1336">
        <v>4</v>
      </c>
      <c r="T1336">
        <v>3</v>
      </c>
      <c r="U1336">
        <v>4</v>
      </c>
      <c r="V1336">
        <v>3</v>
      </c>
      <c r="W1336">
        <v>3</v>
      </c>
      <c r="X1336">
        <v>3</v>
      </c>
      <c r="Y1336">
        <v>3</v>
      </c>
      <c r="Z1336">
        <v>3</v>
      </c>
      <c r="AA1336">
        <v>4</v>
      </c>
      <c r="AB1336">
        <v>4</v>
      </c>
      <c r="AC1336">
        <v>4</v>
      </c>
      <c r="AD1336">
        <v>3</v>
      </c>
      <c r="AE1336">
        <v>3</v>
      </c>
      <c r="AF1336">
        <v>3</v>
      </c>
      <c r="AG1336">
        <v>2</v>
      </c>
      <c r="AH1336">
        <v>5</v>
      </c>
      <c r="AI1336">
        <v>1</v>
      </c>
      <c r="AJ1336">
        <v>3</v>
      </c>
      <c r="AK1336" t="b">
        <f>Table67[[#This Row],[What is your age?]]&lt;&gt;"18 - 25"</f>
        <v>0</v>
      </c>
      <c r="AL1336" t="b">
        <f t="shared" si="80"/>
        <v>0</v>
      </c>
      <c r="AM1336" t="b">
        <f t="shared" si="81"/>
        <v>0</v>
      </c>
      <c r="AN1336" t="b">
        <f t="shared" si="82"/>
        <v>0</v>
      </c>
      <c r="AO1336" t="b">
        <f>OR(Table67[[#This Row],[Ineligible respondents]:[Inconsistent response on opposite question (3)]])</f>
        <v>0</v>
      </c>
      <c r="AP133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336">
        <f>Table67[[#This Row],[Extreme Response]]/21</f>
        <v>9.5238095238095233E-2</v>
      </c>
      <c r="AR1336">
        <f>_xlfn.PERCENTILE.INC(Table67[Extrem Response Ratio (ERS)],0.9)</f>
        <v>0.61904761904761907</v>
      </c>
      <c r="AS1336" t="b">
        <f>Table67[[#This Row],[Extrem Response Ratio (ERS)]]&gt;=Table67[[#This Row],[Threshold of ERS]]</f>
        <v>0</v>
      </c>
      <c r="AT1336">
        <f>COUNTIF(Table67[[#This Row],[The mechanism of digital assets is difficult to understand, which discourages me from exploring it (E.g, Tokenization, Blockchain)]:[If I want to try different ways to invest, I will explore digital assets.]], 3)</f>
        <v>9</v>
      </c>
      <c r="AU1336">
        <f>Table67[[#This Row],[Midpoint]]/21</f>
        <v>0.42857142857142855</v>
      </c>
      <c r="AV1336">
        <f>_xlfn.PERCENTILE.INC(Table67[Midpoint ratio],0.9)</f>
        <v>0.5714285714285714</v>
      </c>
      <c r="AW1336" t="b">
        <f>Table67[[#This Row],[Midpoint ratio]]&gt;=Table67[[#This Row],[Threshold of Midpoint ratio]]</f>
        <v>0</v>
      </c>
      <c r="AX1336" t="b">
        <f>OR(Table67[[#This Row],[Extreme Response Style]],Table67[[#This Row],[Mid-point Response Style]])</f>
        <v>0</v>
      </c>
      <c r="AY1336" t="b">
        <f>OR(Table67[[#This Row],[Delete? (Stage 1)]],Table67[[#This Row],[Delete? (Stage 2)]])</f>
        <v>0</v>
      </c>
      <c r="AZ1336" t="s">
        <v>84</v>
      </c>
    </row>
    <row r="1337" spans="1:52">
      <c r="A1337">
        <f t="shared" si="83"/>
        <v>1336</v>
      </c>
      <c r="B1337" s="3">
        <v>46065.837476851855</v>
      </c>
      <c r="C1337" s="3">
        <v>46065.840555555558</v>
      </c>
      <c r="D1337" t="s">
        <v>53</v>
      </c>
      <c r="G1337" t="s">
        <v>54</v>
      </c>
      <c r="H1337" t="s">
        <v>63</v>
      </c>
      <c r="I1337" t="s">
        <v>75</v>
      </c>
      <c r="J1337" t="s">
        <v>62</v>
      </c>
      <c r="K1337" t="s">
        <v>60</v>
      </c>
      <c r="L1337" t="s">
        <v>58</v>
      </c>
      <c r="M1337" t="s">
        <v>58</v>
      </c>
      <c r="N1337">
        <v>2</v>
      </c>
      <c r="O1337">
        <v>3</v>
      </c>
      <c r="P1337">
        <v>3</v>
      </c>
      <c r="Q1337">
        <v>3</v>
      </c>
      <c r="R1337">
        <v>2</v>
      </c>
      <c r="S1337">
        <v>3</v>
      </c>
      <c r="T1337">
        <v>2</v>
      </c>
      <c r="U1337">
        <v>3</v>
      </c>
      <c r="V1337">
        <v>3</v>
      </c>
      <c r="W1337">
        <v>3</v>
      </c>
      <c r="X1337">
        <v>4</v>
      </c>
      <c r="Y1337">
        <v>3</v>
      </c>
      <c r="Z1337">
        <v>4</v>
      </c>
      <c r="AA1337">
        <v>3</v>
      </c>
      <c r="AB1337">
        <v>3</v>
      </c>
      <c r="AC1337">
        <v>3</v>
      </c>
      <c r="AD1337">
        <v>4</v>
      </c>
      <c r="AE1337">
        <v>3</v>
      </c>
      <c r="AF1337">
        <v>4</v>
      </c>
      <c r="AG1337">
        <v>1</v>
      </c>
      <c r="AH1337">
        <v>4</v>
      </c>
      <c r="AI1337">
        <v>2</v>
      </c>
      <c r="AJ1337">
        <v>2</v>
      </c>
      <c r="AK1337" t="b">
        <f>Table67[[#This Row],[What is your age?]]&lt;&gt;"18 - 25"</f>
        <v>0</v>
      </c>
      <c r="AL1337" t="b">
        <f t="shared" si="80"/>
        <v>0</v>
      </c>
      <c r="AM1337" t="b">
        <f t="shared" si="81"/>
        <v>0</v>
      </c>
      <c r="AN1337" t="b">
        <f t="shared" si="82"/>
        <v>0</v>
      </c>
      <c r="AO1337" t="b">
        <f>OR(Table67[[#This Row],[Ineligible respondents]:[Inconsistent response on opposite question (3)]])</f>
        <v>0</v>
      </c>
      <c r="AP133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337">
        <f>Table67[[#This Row],[Extreme Response]]/21</f>
        <v>4.7619047619047616E-2</v>
      </c>
      <c r="AR1337">
        <f>_xlfn.PERCENTILE.INC(Table67[Extrem Response Ratio (ERS)],0.9)</f>
        <v>0.61904761904761907</v>
      </c>
      <c r="AS1337" t="b">
        <f>Table67[[#This Row],[Extrem Response Ratio (ERS)]]&gt;=Table67[[#This Row],[Threshold of ERS]]</f>
        <v>0</v>
      </c>
      <c r="AT1337">
        <f>COUNTIF(Table67[[#This Row],[The mechanism of digital assets is difficult to understand, which discourages me from exploring it (E.g, Tokenization, Blockchain)]:[If I want to try different ways to invest, I will explore digital assets.]], 3)</f>
        <v>12</v>
      </c>
      <c r="AU1337">
        <f>Table67[[#This Row],[Midpoint]]/21</f>
        <v>0.5714285714285714</v>
      </c>
      <c r="AV1337">
        <f>_xlfn.PERCENTILE.INC(Table67[Midpoint ratio],0.9)</f>
        <v>0.5714285714285714</v>
      </c>
      <c r="AW1337" t="b">
        <f>Table67[[#This Row],[Midpoint ratio]]&gt;=Table67[[#This Row],[Threshold of Midpoint ratio]]</f>
        <v>1</v>
      </c>
      <c r="AX1337" t="b">
        <f>OR(Table67[[#This Row],[Extreme Response Style]],Table67[[#This Row],[Mid-point Response Style]])</f>
        <v>1</v>
      </c>
      <c r="AY1337" t="b">
        <f>OR(Table67[[#This Row],[Delete? (Stage 1)]],Table67[[#This Row],[Delete? (Stage 2)]])</f>
        <v>1</v>
      </c>
      <c r="AZ1337" t="s">
        <v>84</v>
      </c>
    </row>
    <row r="1338" spans="1:52">
      <c r="A1338">
        <f t="shared" si="83"/>
        <v>1337</v>
      </c>
      <c r="B1338" s="3">
        <v>46062.118032407408</v>
      </c>
      <c r="C1338" s="3">
        <v>46062.122847222221</v>
      </c>
      <c r="D1338" t="s">
        <v>53</v>
      </c>
      <c r="G1338" t="s">
        <v>54</v>
      </c>
      <c r="H1338" t="s">
        <v>63</v>
      </c>
      <c r="I1338" t="s">
        <v>71</v>
      </c>
      <c r="J1338" t="s">
        <v>60</v>
      </c>
      <c r="K1338" t="s">
        <v>62</v>
      </c>
      <c r="L1338" t="s">
        <v>61</v>
      </c>
      <c r="M1338" t="s">
        <v>61</v>
      </c>
      <c r="N1338">
        <v>4</v>
      </c>
      <c r="O1338">
        <v>2</v>
      </c>
      <c r="P1338">
        <v>3</v>
      </c>
      <c r="Q1338">
        <v>3</v>
      </c>
      <c r="R1338">
        <v>3</v>
      </c>
      <c r="S1338">
        <v>2</v>
      </c>
      <c r="T1338">
        <v>2</v>
      </c>
      <c r="U1338">
        <v>3</v>
      </c>
      <c r="V1338">
        <v>3</v>
      </c>
      <c r="W1338">
        <v>4</v>
      </c>
      <c r="X1338">
        <v>4</v>
      </c>
      <c r="Y1338">
        <v>4</v>
      </c>
      <c r="Z1338">
        <v>5</v>
      </c>
      <c r="AA1338">
        <v>5</v>
      </c>
      <c r="AB1338">
        <v>4</v>
      </c>
      <c r="AC1338">
        <v>3</v>
      </c>
      <c r="AD1338">
        <v>3</v>
      </c>
      <c r="AE1338">
        <v>4</v>
      </c>
      <c r="AF1338">
        <v>4</v>
      </c>
      <c r="AG1338">
        <v>5</v>
      </c>
      <c r="AH1338">
        <v>4</v>
      </c>
      <c r="AI1338">
        <v>2</v>
      </c>
      <c r="AJ1338">
        <v>2</v>
      </c>
      <c r="AK1338" t="b">
        <f>Table67[[#This Row],[What is your age?]]&lt;&gt;"18 - 25"</f>
        <v>0</v>
      </c>
      <c r="AL1338" t="b">
        <f t="shared" si="80"/>
        <v>0</v>
      </c>
      <c r="AM1338" t="b">
        <f t="shared" si="81"/>
        <v>1</v>
      </c>
      <c r="AN1338" t="b">
        <f t="shared" si="82"/>
        <v>0</v>
      </c>
      <c r="AO1338" t="b">
        <f>OR(Table67[[#This Row],[Ineligible respondents]:[Inconsistent response on opposite question (3)]])</f>
        <v>1</v>
      </c>
      <c r="AP133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338">
        <f>Table67[[#This Row],[Extreme Response]]/21</f>
        <v>0.14285714285714285</v>
      </c>
      <c r="AR1338">
        <f>_xlfn.PERCENTILE.INC(Table67[Extrem Response Ratio (ERS)],0.9)</f>
        <v>0.61904761904761907</v>
      </c>
      <c r="AS1338" t="b">
        <f>Table67[[#This Row],[Extrem Response Ratio (ERS)]]&gt;=Table67[[#This Row],[Threshold of ERS]]</f>
        <v>0</v>
      </c>
      <c r="AT1338">
        <f>COUNTIF(Table67[[#This Row],[The mechanism of digital assets is difficult to understand, which discourages me from exploring it (E.g, Tokenization, Blockchain)]:[If I want to try different ways to invest, I will explore digital assets.]], 3)</f>
        <v>7</v>
      </c>
      <c r="AU1338">
        <f>Table67[[#This Row],[Midpoint]]/21</f>
        <v>0.33333333333333331</v>
      </c>
      <c r="AV1338">
        <f>_xlfn.PERCENTILE.INC(Table67[Midpoint ratio],0.9)</f>
        <v>0.5714285714285714</v>
      </c>
      <c r="AW1338" t="b">
        <f>Table67[[#This Row],[Midpoint ratio]]&gt;=Table67[[#This Row],[Threshold of Midpoint ratio]]</f>
        <v>0</v>
      </c>
      <c r="AX1338" t="b">
        <f>OR(Table67[[#This Row],[Extreme Response Style]],Table67[[#This Row],[Mid-point Response Style]])</f>
        <v>0</v>
      </c>
      <c r="AY1338" t="b">
        <f>OR(Table67[[#This Row],[Delete? (Stage 1)]],Table67[[#This Row],[Delete? (Stage 2)]])</f>
        <v>1</v>
      </c>
      <c r="AZ1338" t="s">
        <v>84</v>
      </c>
    </row>
    <row r="1339" spans="1:52">
      <c r="A1339">
        <f t="shared" si="83"/>
        <v>1338</v>
      </c>
      <c r="B1339" s="3">
        <v>46062.036712962959</v>
      </c>
      <c r="C1339" s="3">
        <v>46062.040682870371</v>
      </c>
      <c r="D1339" t="s">
        <v>53</v>
      </c>
      <c r="G1339" t="s">
        <v>73</v>
      </c>
      <c r="H1339" t="s">
        <v>55</v>
      </c>
      <c r="I1339" t="s">
        <v>71</v>
      </c>
      <c r="J1339" t="s">
        <v>57</v>
      </c>
      <c r="K1339" t="s">
        <v>57</v>
      </c>
      <c r="L1339" t="s">
        <v>58</v>
      </c>
      <c r="M1339" t="s">
        <v>58</v>
      </c>
      <c r="N1339">
        <v>5</v>
      </c>
      <c r="O1339">
        <v>1</v>
      </c>
      <c r="P1339">
        <v>3</v>
      </c>
      <c r="Q1339">
        <v>1</v>
      </c>
      <c r="R1339">
        <v>1</v>
      </c>
      <c r="S1339">
        <v>5</v>
      </c>
      <c r="T1339">
        <v>5</v>
      </c>
      <c r="U1339">
        <v>3</v>
      </c>
      <c r="V1339">
        <v>5</v>
      </c>
      <c r="W1339">
        <v>5</v>
      </c>
      <c r="X1339">
        <v>1</v>
      </c>
      <c r="Y1339">
        <v>5</v>
      </c>
      <c r="Z1339">
        <v>5</v>
      </c>
      <c r="AA1339">
        <v>3</v>
      </c>
      <c r="AB1339">
        <v>3</v>
      </c>
      <c r="AC1339">
        <v>5</v>
      </c>
      <c r="AD1339">
        <v>3</v>
      </c>
      <c r="AE1339">
        <v>1</v>
      </c>
      <c r="AF1339">
        <v>3</v>
      </c>
      <c r="AG1339">
        <v>1</v>
      </c>
      <c r="AH1339">
        <v>2</v>
      </c>
      <c r="AI1339">
        <v>4</v>
      </c>
      <c r="AJ1339">
        <v>3</v>
      </c>
      <c r="AK1339" t="b">
        <f>Table67[[#This Row],[What is your age?]]&lt;&gt;"18 - 25"</f>
        <v>1</v>
      </c>
      <c r="AL1339" t="b">
        <f t="shared" si="80"/>
        <v>0</v>
      </c>
      <c r="AM1339" t="b">
        <f t="shared" si="81"/>
        <v>1</v>
      </c>
      <c r="AN1339" t="b">
        <f t="shared" si="82"/>
        <v>0</v>
      </c>
      <c r="AO1339" t="b">
        <f>OR(Table67[[#This Row],[Ineligible respondents]:[Inconsistent response on opposite question (3)]])</f>
        <v>1</v>
      </c>
      <c r="AP133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1339">
        <f>Table67[[#This Row],[Extreme Response]]/21</f>
        <v>0.66666666666666663</v>
      </c>
      <c r="AR1339">
        <f>_xlfn.PERCENTILE.INC(Table67[Extrem Response Ratio (ERS)],0.9)</f>
        <v>0.61904761904761907</v>
      </c>
      <c r="AS1339" t="b">
        <f>Table67[[#This Row],[Extrem Response Ratio (ERS)]]&gt;=Table67[[#This Row],[Threshold of ERS]]</f>
        <v>1</v>
      </c>
      <c r="AT1339">
        <f>COUNTIF(Table67[[#This Row],[The mechanism of digital assets is difficult to understand, which discourages me from exploring it (E.g, Tokenization, Blockchain)]:[If I want to try different ways to invest, I will explore digital assets.]], 3)</f>
        <v>6</v>
      </c>
      <c r="AU1339">
        <f>Table67[[#This Row],[Midpoint]]/21</f>
        <v>0.2857142857142857</v>
      </c>
      <c r="AV1339">
        <f>_xlfn.PERCENTILE.INC(Table67[Midpoint ratio],0.9)</f>
        <v>0.5714285714285714</v>
      </c>
      <c r="AW1339" t="b">
        <f>Table67[[#This Row],[Midpoint ratio]]&gt;=Table67[[#This Row],[Threshold of Midpoint ratio]]</f>
        <v>0</v>
      </c>
      <c r="AX1339" t="b">
        <f>OR(Table67[[#This Row],[Extreme Response Style]],Table67[[#This Row],[Mid-point Response Style]])</f>
        <v>1</v>
      </c>
      <c r="AY1339" t="b">
        <f>OR(Table67[[#This Row],[Delete? (Stage 1)]],Table67[[#This Row],[Delete? (Stage 2)]])</f>
        <v>1</v>
      </c>
      <c r="AZ1339" t="s">
        <v>84</v>
      </c>
    </row>
    <row r="1340" spans="1:52">
      <c r="A1340">
        <f t="shared" si="83"/>
        <v>1339</v>
      </c>
      <c r="B1340" s="3">
        <v>46062.061388888891</v>
      </c>
      <c r="C1340" s="3">
        <v>46062.064664351848</v>
      </c>
      <c r="D1340" t="s">
        <v>53</v>
      </c>
      <c r="G1340" t="s">
        <v>54</v>
      </c>
      <c r="H1340" t="s">
        <v>63</v>
      </c>
      <c r="I1340" t="s">
        <v>69</v>
      </c>
      <c r="J1340" t="s">
        <v>62</v>
      </c>
      <c r="K1340" t="s">
        <v>62</v>
      </c>
      <c r="L1340" t="s">
        <v>61</v>
      </c>
      <c r="M1340" t="s">
        <v>61</v>
      </c>
      <c r="N1340">
        <v>3</v>
      </c>
      <c r="O1340">
        <v>3</v>
      </c>
      <c r="P1340">
        <v>1</v>
      </c>
      <c r="Q1340">
        <v>2</v>
      </c>
      <c r="R1340">
        <v>3</v>
      </c>
      <c r="S1340">
        <v>2</v>
      </c>
      <c r="T1340">
        <v>2</v>
      </c>
      <c r="U1340">
        <v>1</v>
      </c>
      <c r="V1340">
        <v>3</v>
      </c>
      <c r="W1340">
        <v>2</v>
      </c>
      <c r="X1340">
        <v>4</v>
      </c>
      <c r="Y1340">
        <v>3</v>
      </c>
      <c r="Z1340">
        <v>2</v>
      </c>
      <c r="AA1340">
        <v>4</v>
      </c>
      <c r="AB1340">
        <v>3</v>
      </c>
      <c r="AC1340">
        <v>3</v>
      </c>
      <c r="AD1340">
        <v>4</v>
      </c>
      <c r="AE1340">
        <v>4</v>
      </c>
      <c r="AF1340">
        <v>5</v>
      </c>
      <c r="AG1340">
        <v>2</v>
      </c>
      <c r="AH1340">
        <v>2</v>
      </c>
      <c r="AI1340">
        <v>4</v>
      </c>
      <c r="AJ1340">
        <v>1</v>
      </c>
      <c r="AK1340" t="b">
        <f>Table67[[#This Row],[What is your age?]]&lt;&gt;"18 - 25"</f>
        <v>0</v>
      </c>
      <c r="AL1340" t="b">
        <f t="shared" si="80"/>
        <v>0</v>
      </c>
      <c r="AM1340" t="b">
        <f t="shared" si="81"/>
        <v>1</v>
      </c>
      <c r="AN1340" t="b">
        <f t="shared" si="82"/>
        <v>0</v>
      </c>
      <c r="AO1340" t="b">
        <f>OR(Table67[[#This Row],[Ineligible respondents]:[Inconsistent response on opposite question (3)]])</f>
        <v>1</v>
      </c>
      <c r="AP134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340">
        <f>Table67[[#This Row],[Extreme Response]]/21</f>
        <v>0.14285714285714285</v>
      </c>
      <c r="AR1340">
        <f>_xlfn.PERCENTILE.INC(Table67[Extrem Response Ratio (ERS)],0.9)</f>
        <v>0.61904761904761907</v>
      </c>
      <c r="AS1340" t="b">
        <f>Table67[[#This Row],[Extrem Response Ratio (ERS)]]&gt;=Table67[[#This Row],[Threshold of ERS]]</f>
        <v>0</v>
      </c>
      <c r="AT1340">
        <f>COUNTIF(Table67[[#This Row],[The mechanism of digital assets is difficult to understand, which discourages me from exploring it (E.g, Tokenization, Blockchain)]:[If I want to try different ways to invest, I will explore digital assets.]], 3)</f>
        <v>7</v>
      </c>
      <c r="AU1340">
        <f>Table67[[#This Row],[Midpoint]]/21</f>
        <v>0.33333333333333331</v>
      </c>
      <c r="AV1340">
        <f>_xlfn.PERCENTILE.INC(Table67[Midpoint ratio],0.9)</f>
        <v>0.5714285714285714</v>
      </c>
      <c r="AW1340" t="b">
        <f>Table67[[#This Row],[Midpoint ratio]]&gt;=Table67[[#This Row],[Threshold of Midpoint ratio]]</f>
        <v>0</v>
      </c>
      <c r="AX1340" t="b">
        <f>OR(Table67[[#This Row],[Extreme Response Style]],Table67[[#This Row],[Mid-point Response Style]])</f>
        <v>0</v>
      </c>
      <c r="AY1340" t="b">
        <f>OR(Table67[[#This Row],[Delete? (Stage 1)]],Table67[[#This Row],[Delete? (Stage 2)]])</f>
        <v>1</v>
      </c>
      <c r="AZ1340" t="s">
        <v>84</v>
      </c>
    </row>
    <row r="1341" spans="1:52">
      <c r="A1341">
        <f t="shared" si="83"/>
        <v>1340</v>
      </c>
      <c r="B1341" s="3">
        <v>46065.832858796297</v>
      </c>
      <c r="C1341" s="3">
        <v>46065.84170138889</v>
      </c>
      <c r="D1341" t="s">
        <v>53</v>
      </c>
      <c r="G1341" t="s">
        <v>54</v>
      </c>
      <c r="H1341" t="s">
        <v>63</v>
      </c>
      <c r="I1341" t="s">
        <v>82</v>
      </c>
      <c r="J1341" t="s">
        <v>68</v>
      </c>
      <c r="K1341" t="s">
        <v>67</v>
      </c>
      <c r="L1341" t="s">
        <v>58</v>
      </c>
      <c r="M1341" t="s">
        <v>61</v>
      </c>
      <c r="N1341">
        <v>4</v>
      </c>
      <c r="O1341">
        <v>4</v>
      </c>
      <c r="P1341">
        <v>3</v>
      </c>
      <c r="Q1341">
        <v>3</v>
      </c>
      <c r="R1341">
        <v>5</v>
      </c>
      <c r="S1341">
        <v>2</v>
      </c>
      <c r="T1341">
        <v>2</v>
      </c>
      <c r="U1341">
        <v>3</v>
      </c>
      <c r="V1341">
        <v>2</v>
      </c>
      <c r="W1341">
        <v>4</v>
      </c>
      <c r="X1341">
        <v>3</v>
      </c>
      <c r="Y1341">
        <v>3</v>
      </c>
      <c r="Z1341">
        <v>3</v>
      </c>
      <c r="AA1341">
        <v>2</v>
      </c>
      <c r="AB1341">
        <v>2</v>
      </c>
      <c r="AC1341">
        <v>3</v>
      </c>
      <c r="AD1341">
        <v>2</v>
      </c>
      <c r="AE1341">
        <v>3</v>
      </c>
      <c r="AF1341">
        <v>3</v>
      </c>
      <c r="AG1341">
        <v>2</v>
      </c>
      <c r="AH1341">
        <v>4</v>
      </c>
      <c r="AI1341">
        <v>2</v>
      </c>
      <c r="AJ1341">
        <v>3</v>
      </c>
      <c r="AK1341" t="b">
        <f>Table67[[#This Row],[What is your age?]]&lt;&gt;"18 - 25"</f>
        <v>0</v>
      </c>
      <c r="AL1341" t="b">
        <f t="shared" si="80"/>
        <v>0</v>
      </c>
      <c r="AM1341" t="b">
        <f t="shared" si="81"/>
        <v>0</v>
      </c>
      <c r="AN1341" t="b">
        <f t="shared" si="82"/>
        <v>0</v>
      </c>
      <c r="AO1341" t="b">
        <f>OR(Table67[[#This Row],[Ineligible respondents]:[Inconsistent response on opposite question (3)]])</f>
        <v>0</v>
      </c>
      <c r="AP134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341">
        <f>Table67[[#This Row],[Extreme Response]]/21</f>
        <v>4.7619047619047616E-2</v>
      </c>
      <c r="AR1341">
        <f>_xlfn.PERCENTILE.INC(Table67[Extrem Response Ratio (ERS)],0.9)</f>
        <v>0.61904761904761907</v>
      </c>
      <c r="AS1341" t="b">
        <f>Table67[[#This Row],[Extrem Response Ratio (ERS)]]&gt;=Table67[[#This Row],[Threshold of ERS]]</f>
        <v>0</v>
      </c>
      <c r="AT1341">
        <f>COUNTIF(Table67[[#This Row],[The mechanism of digital assets is difficult to understand, which discourages me from exploring it (E.g, Tokenization, Blockchain)]:[If I want to try different ways to invest, I will explore digital assets.]], 3)</f>
        <v>9</v>
      </c>
      <c r="AU1341">
        <f>Table67[[#This Row],[Midpoint]]/21</f>
        <v>0.42857142857142855</v>
      </c>
      <c r="AV1341">
        <f>_xlfn.PERCENTILE.INC(Table67[Midpoint ratio],0.9)</f>
        <v>0.5714285714285714</v>
      </c>
      <c r="AW1341" t="b">
        <f>Table67[[#This Row],[Midpoint ratio]]&gt;=Table67[[#This Row],[Threshold of Midpoint ratio]]</f>
        <v>0</v>
      </c>
      <c r="AX1341" t="b">
        <f>OR(Table67[[#This Row],[Extreme Response Style]],Table67[[#This Row],[Mid-point Response Style]])</f>
        <v>0</v>
      </c>
      <c r="AY1341" t="b">
        <f>OR(Table67[[#This Row],[Delete? (Stage 1)]],Table67[[#This Row],[Delete? (Stage 2)]])</f>
        <v>0</v>
      </c>
      <c r="AZ1341" t="s">
        <v>84</v>
      </c>
    </row>
    <row r="1342" spans="1:52">
      <c r="A1342">
        <f t="shared" si="83"/>
        <v>1341</v>
      </c>
      <c r="B1342" s="3">
        <v>46062.078784722224</v>
      </c>
      <c r="C1342" s="3">
        <v>46062.086099537039</v>
      </c>
      <c r="D1342" t="s">
        <v>53</v>
      </c>
      <c r="G1342" t="s">
        <v>54</v>
      </c>
      <c r="H1342" t="s">
        <v>55</v>
      </c>
      <c r="I1342" t="s">
        <v>69</v>
      </c>
      <c r="J1342" t="s">
        <v>62</v>
      </c>
      <c r="K1342" t="s">
        <v>57</v>
      </c>
      <c r="L1342" t="s">
        <v>58</v>
      </c>
      <c r="M1342" t="s">
        <v>58</v>
      </c>
      <c r="N1342">
        <v>3</v>
      </c>
      <c r="O1342">
        <v>2</v>
      </c>
      <c r="P1342">
        <v>4</v>
      </c>
      <c r="Q1342">
        <v>3</v>
      </c>
      <c r="R1342">
        <v>4</v>
      </c>
      <c r="S1342">
        <v>4</v>
      </c>
      <c r="T1342">
        <v>3</v>
      </c>
      <c r="U1342">
        <v>4</v>
      </c>
      <c r="V1342">
        <v>4</v>
      </c>
      <c r="W1342">
        <v>5</v>
      </c>
      <c r="X1342">
        <v>3</v>
      </c>
      <c r="Y1342">
        <v>2</v>
      </c>
      <c r="Z1342">
        <v>3</v>
      </c>
      <c r="AA1342">
        <v>3</v>
      </c>
      <c r="AB1342">
        <v>3</v>
      </c>
      <c r="AC1342">
        <v>2</v>
      </c>
      <c r="AD1342">
        <v>5</v>
      </c>
      <c r="AE1342">
        <v>4</v>
      </c>
      <c r="AF1342">
        <v>3</v>
      </c>
      <c r="AG1342">
        <v>2</v>
      </c>
      <c r="AH1342">
        <v>3</v>
      </c>
      <c r="AI1342">
        <v>3</v>
      </c>
      <c r="AJ1342">
        <v>3</v>
      </c>
      <c r="AK1342" t="b">
        <f>Table67[[#This Row],[What is your age?]]&lt;&gt;"18 - 25"</f>
        <v>0</v>
      </c>
      <c r="AL1342" t="b">
        <f t="shared" si="80"/>
        <v>0</v>
      </c>
      <c r="AM1342" t="b">
        <f t="shared" si="81"/>
        <v>0</v>
      </c>
      <c r="AN1342" t="b">
        <f t="shared" si="82"/>
        <v>1</v>
      </c>
      <c r="AO1342" t="b">
        <f>OR(Table67[[#This Row],[Ineligible respondents]:[Inconsistent response on opposite question (3)]])</f>
        <v>1</v>
      </c>
      <c r="AP134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342">
        <f>Table67[[#This Row],[Extreme Response]]/21</f>
        <v>9.5238095238095233E-2</v>
      </c>
      <c r="AR1342">
        <f>_xlfn.PERCENTILE.INC(Table67[Extrem Response Ratio (ERS)],0.9)</f>
        <v>0.61904761904761907</v>
      </c>
      <c r="AS1342" t="b">
        <f>Table67[[#This Row],[Extrem Response Ratio (ERS)]]&gt;=Table67[[#This Row],[Threshold of ERS]]</f>
        <v>0</v>
      </c>
      <c r="AT1342">
        <f>COUNTIF(Table67[[#This Row],[The mechanism of digital assets is difficult to understand, which discourages me from exploring it (E.g, Tokenization, Blockchain)]:[If I want to try different ways to invest, I will explore digital assets.]], 3)</f>
        <v>9</v>
      </c>
      <c r="AU1342">
        <f>Table67[[#This Row],[Midpoint]]/21</f>
        <v>0.42857142857142855</v>
      </c>
      <c r="AV1342">
        <f>_xlfn.PERCENTILE.INC(Table67[Midpoint ratio],0.9)</f>
        <v>0.5714285714285714</v>
      </c>
      <c r="AW1342" t="b">
        <f>Table67[[#This Row],[Midpoint ratio]]&gt;=Table67[[#This Row],[Threshold of Midpoint ratio]]</f>
        <v>0</v>
      </c>
      <c r="AX1342" t="b">
        <f>OR(Table67[[#This Row],[Extreme Response Style]],Table67[[#This Row],[Mid-point Response Style]])</f>
        <v>0</v>
      </c>
      <c r="AY1342" t="b">
        <f>OR(Table67[[#This Row],[Delete? (Stage 1)]],Table67[[#This Row],[Delete? (Stage 2)]])</f>
        <v>1</v>
      </c>
      <c r="AZ1342" t="s">
        <v>84</v>
      </c>
    </row>
    <row r="1343" spans="1:52">
      <c r="A1343">
        <f t="shared" si="83"/>
        <v>1342</v>
      </c>
      <c r="B1343" s="3">
        <v>46065.882256944446</v>
      </c>
      <c r="C1343" s="3">
        <v>46065.888726851852</v>
      </c>
      <c r="D1343" t="s">
        <v>53</v>
      </c>
      <c r="G1343" t="s">
        <v>54</v>
      </c>
      <c r="H1343" t="s">
        <v>55</v>
      </c>
      <c r="I1343" t="s">
        <v>71</v>
      </c>
      <c r="J1343" t="s">
        <v>62</v>
      </c>
      <c r="K1343" t="s">
        <v>62</v>
      </c>
      <c r="L1343" t="s">
        <v>58</v>
      </c>
      <c r="M1343" t="s">
        <v>58</v>
      </c>
      <c r="N1343">
        <v>4</v>
      </c>
      <c r="O1343">
        <v>4</v>
      </c>
      <c r="P1343">
        <v>4</v>
      </c>
      <c r="Q1343">
        <v>4</v>
      </c>
      <c r="R1343">
        <v>4</v>
      </c>
      <c r="S1343">
        <v>4</v>
      </c>
      <c r="T1343">
        <v>4</v>
      </c>
      <c r="U1343">
        <v>4</v>
      </c>
      <c r="V1343">
        <v>4</v>
      </c>
      <c r="W1343">
        <v>4</v>
      </c>
      <c r="X1343">
        <v>3</v>
      </c>
      <c r="Y1343">
        <v>4</v>
      </c>
      <c r="Z1343">
        <v>3</v>
      </c>
      <c r="AA1343">
        <v>4</v>
      </c>
      <c r="AB1343">
        <v>5</v>
      </c>
      <c r="AC1343">
        <v>4</v>
      </c>
      <c r="AD1343">
        <v>3</v>
      </c>
      <c r="AE1343">
        <v>4</v>
      </c>
      <c r="AF1343">
        <v>2</v>
      </c>
      <c r="AG1343">
        <v>3</v>
      </c>
      <c r="AH1343">
        <v>3</v>
      </c>
      <c r="AI1343">
        <v>3</v>
      </c>
      <c r="AJ1343">
        <v>4</v>
      </c>
      <c r="AK1343" t="b">
        <f>Table67[[#This Row],[What is your age?]]&lt;&gt;"18 - 25"</f>
        <v>0</v>
      </c>
      <c r="AL1343" t="b">
        <f t="shared" si="80"/>
        <v>0</v>
      </c>
      <c r="AM1343" t="b">
        <f t="shared" si="81"/>
        <v>0</v>
      </c>
      <c r="AN1343" t="b">
        <f t="shared" si="82"/>
        <v>0</v>
      </c>
      <c r="AO1343" t="b">
        <f>OR(Table67[[#This Row],[Ineligible respondents]:[Inconsistent response on opposite question (3)]])</f>
        <v>0</v>
      </c>
      <c r="AP134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343">
        <f>Table67[[#This Row],[Extreme Response]]/21</f>
        <v>4.7619047619047616E-2</v>
      </c>
      <c r="AR1343">
        <f>_xlfn.PERCENTILE.INC(Table67[Extrem Response Ratio (ERS)],0.9)</f>
        <v>0.61904761904761907</v>
      </c>
      <c r="AS1343" t="b">
        <f>Table67[[#This Row],[Extrem Response Ratio (ERS)]]&gt;=Table67[[#This Row],[Threshold of ERS]]</f>
        <v>0</v>
      </c>
      <c r="AT1343">
        <f>COUNTIF(Table67[[#This Row],[The mechanism of digital assets is difficult to understand, which discourages me from exploring it (E.g, Tokenization, Blockchain)]:[If I want to try different ways to invest, I will explore digital assets.]], 3)</f>
        <v>5</v>
      </c>
      <c r="AU1343">
        <f>Table67[[#This Row],[Midpoint]]/21</f>
        <v>0.23809523809523808</v>
      </c>
      <c r="AV1343">
        <f>_xlfn.PERCENTILE.INC(Table67[Midpoint ratio],0.9)</f>
        <v>0.5714285714285714</v>
      </c>
      <c r="AW1343" t="b">
        <f>Table67[[#This Row],[Midpoint ratio]]&gt;=Table67[[#This Row],[Threshold of Midpoint ratio]]</f>
        <v>0</v>
      </c>
      <c r="AX1343" t="b">
        <f>OR(Table67[[#This Row],[Extreme Response Style]],Table67[[#This Row],[Mid-point Response Style]])</f>
        <v>0</v>
      </c>
      <c r="AY1343" t="b">
        <f>OR(Table67[[#This Row],[Delete? (Stage 1)]],Table67[[#This Row],[Delete? (Stage 2)]])</f>
        <v>0</v>
      </c>
      <c r="AZ1343" t="s">
        <v>84</v>
      </c>
    </row>
    <row r="1344" spans="1:52">
      <c r="A1344">
        <f t="shared" si="83"/>
        <v>1343</v>
      </c>
      <c r="B1344" s="3">
        <v>46062.052476851852</v>
      </c>
      <c r="C1344" s="3">
        <v>46062.05667824074</v>
      </c>
      <c r="D1344" t="s">
        <v>53</v>
      </c>
      <c r="G1344" t="s">
        <v>54</v>
      </c>
      <c r="H1344" t="s">
        <v>55</v>
      </c>
      <c r="I1344" t="s">
        <v>71</v>
      </c>
      <c r="J1344" t="s">
        <v>65</v>
      </c>
      <c r="K1344" t="s">
        <v>62</v>
      </c>
      <c r="L1344" t="s">
        <v>58</v>
      </c>
      <c r="M1344" t="s">
        <v>58</v>
      </c>
      <c r="N1344">
        <v>3</v>
      </c>
      <c r="O1344">
        <v>3</v>
      </c>
      <c r="P1344">
        <v>2</v>
      </c>
      <c r="Q1344">
        <v>3</v>
      </c>
      <c r="R1344">
        <v>1</v>
      </c>
      <c r="S1344">
        <v>3</v>
      </c>
      <c r="T1344">
        <v>4</v>
      </c>
      <c r="U1344">
        <v>4</v>
      </c>
      <c r="V1344">
        <v>2</v>
      </c>
      <c r="W1344">
        <v>1</v>
      </c>
      <c r="X1344">
        <v>3</v>
      </c>
      <c r="Y1344">
        <v>3</v>
      </c>
      <c r="Z1344">
        <v>4</v>
      </c>
      <c r="AA1344">
        <v>3</v>
      </c>
      <c r="AB1344">
        <v>2</v>
      </c>
      <c r="AC1344">
        <v>3</v>
      </c>
      <c r="AD1344">
        <v>5</v>
      </c>
      <c r="AE1344">
        <v>3</v>
      </c>
      <c r="AF1344">
        <v>2</v>
      </c>
      <c r="AG1344">
        <v>3</v>
      </c>
      <c r="AH1344">
        <v>2</v>
      </c>
      <c r="AI1344">
        <v>4</v>
      </c>
      <c r="AJ1344">
        <v>4</v>
      </c>
      <c r="AK1344" t="b">
        <f>Table67[[#This Row],[What is your age?]]&lt;&gt;"18 - 25"</f>
        <v>0</v>
      </c>
      <c r="AL1344" t="b">
        <f t="shared" si="80"/>
        <v>0</v>
      </c>
      <c r="AM1344" t="b">
        <f t="shared" si="81"/>
        <v>0</v>
      </c>
      <c r="AN1344" t="b">
        <f t="shared" si="82"/>
        <v>1</v>
      </c>
      <c r="AO1344" t="b">
        <f>OR(Table67[[#This Row],[Ineligible respondents]:[Inconsistent response on opposite question (3)]])</f>
        <v>1</v>
      </c>
      <c r="AP134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344">
        <f>Table67[[#This Row],[Extreme Response]]/21</f>
        <v>0.14285714285714285</v>
      </c>
      <c r="AR1344">
        <f>_xlfn.PERCENTILE.INC(Table67[Extrem Response Ratio (ERS)],0.9)</f>
        <v>0.61904761904761907</v>
      </c>
      <c r="AS1344" t="b">
        <f>Table67[[#This Row],[Extrem Response Ratio (ERS)]]&gt;=Table67[[#This Row],[Threshold of ERS]]</f>
        <v>0</v>
      </c>
      <c r="AT1344">
        <f>COUNTIF(Table67[[#This Row],[The mechanism of digital assets is difficult to understand, which discourages me from exploring it (E.g, Tokenization, Blockchain)]:[If I want to try different ways to invest, I will explore digital assets.]], 3)</f>
        <v>10</v>
      </c>
      <c r="AU1344">
        <f>Table67[[#This Row],[Midpoint]]/21</f>
        <v>0.47619047619047616</v>
      </c>
      <c r="AV1344">
        <f>_xlfn.PERCENTILE.INC(Table67[Midpoint ratio],0.9)</f>
        <v>0.5714285714285714</v>
      </c>
      <c r="AW1344" t="b">
        <f>Table67[[#This Row],[Midpoint ratio]]&gt;=Table67[[#This Row],[Threshold of Midpoint ratio]]</f>
        <v>0</v>
      </c>
      <c r="AX1344" t="b">
        <f>OR(Table67[[#This Row],[Extreme Response Style]],Table67[[#This Row],[Mid-point Response Style]])</f>
        <v>0</v>
      </c>
      <c r="AY1344" t="b">
        <f>OR(Table67[[#This Row],[Delete? (Stage 1)]],Table67[[#This Row],[Delete? (Stage 2)]])</f>
        <v>1</v>
      </c>
      <c r="AZ1344" t="s">
        <v>84</v>
      </c>
    </row>
    <row r="1345" spans="1:52">
      <c r="A1345">
        <f t="shared" si="83"/>
        <v>1344</v>
      </c>
      <c r="B1345" s="3">
        <v>46062.08011574074</v>
      </c>
      <c r="C1345" s="3">
        <v>46062.087812500002</v>
      </c>
      <c r="D1345" t="s">
        <v>53</v>
      </c>
      <c r="G1345" t="s">
        <v>54</v>
      </c>
      <c r="H1345" t="s">
        <v>63</v>
      </c>
      <c r="I1345" t="s">
        <v>82</v>
      </c>
      <c r="J1345" t="s">
        <v>62</v>
      </c>
      <c r="K1345" t="s">
        <v>65</v>
      </c>
      <c r="L1345" t="s">
        <v>58</v>
      </c>
      <c r="M1345" t="s">
        <v>58</v>
      </c>
      <c r="N1345">
        <v>4</v>
      </c>
      <c r="O1345">
        <v>4</v>
      </c>
      <c r="P1345">
        <v>4</v>
      </c>
      <c r="Q1345">
        <v>4</v>
      </c>
      <c r="R1345">
        <v>2</v>
      </c>
      <c r="S1345">
        <v>4</v>
      </c>
      <c r="T1345">
        <v>2</v>
      </c>
      <c r="U1345">
        <v>4</v>
      </c>
      <c r="V1345">
        <v>2</v>
      </c>
      <c r="W1345">
        <v>4</v>
      </c>
      <c r="X1345">
        <v>4</v>
      </c>
      <c r="Y1345">
        <v>5</v>
      </c>
      <c r="Z1345">
        <v>4</v>
      </c>
      <c r="AA1345">
        <v>3</v>
      </c>
      <c r="AB1345">
        <v>3</v>
      </c>
      <c r="AC1345">
        <v>4</v>
      </c>
      <c r="AD1345">
        <v>4</v>
      </c>
      <c r="AE1345">
        <v>5</v>
      </c>
      <c r="AF1345">
        <v>2</v>
      </c>
      <c r="AG1345">
        <v>4</v>
      </c>
      <c r="AH1345">
        <v>3</v>
      </c>
      <c r="AI1345">
        <v>3</v>
      </c>
      <c r="AJ1345">
        <v>4</v>
      </c>
      <c r="AK1345" t="b">
        <f>Table67[[#This Row],[What is your age?]]&lt;&gt;"18 - 25"</f>
        <v>0</v>
      </c>
      <c r="AL1345" t="b">
        <f t="shared" si="80"/>
        <v>0</v>
      </c>
      <c r="AM1345" t="b">
        <f t="shared" si="81"/>
        <v>0</v>
      </c>
      <c r="AN1345" t="b">
        <f t="shared" si="82"/>
        <v>1</v>
      </c>
      <c r="AO1345" t="b">
        <f>OR(Table67[[#This Row],[Ineligible respondents]:[Inconsistent response on opposite question (3)]])</f>
        <v>1</v>
      </c>
      <c r="AP134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345">
        <f>Table67[[#This Row],[Extreme Response]]/21</f>
        <v>9.5238095238095233E-2</v>
      </c>
      <c r="AR1345">
        <f>_xlfn.PERCENTILE.INC(Table67[Extrem Response Ratio (ERS)],0.9)</f>
        <v>0.61904761904761907</v>
      </c>
      <c r="AS1345" t="b">
        <f>Table67[[#This Row],[Extrem Response Ratio (ERS)]]&gt;=Table67[[#This Row],[Threshold of ERS]]</f>
        <v>0</v>
      </c>
      <c r="AT1345">
        <f>COUNTIF(Table67[[#This Row],[The mechanism of digital assets is difficult to understand, which discourages me from exploring it (E.g, Tokenization, Blockchain)]:[If I want to try different ways to invest, I will explore digital assets.]], 3)</f>
        <v>3</v>
      </c>
      <c r="AU1345">
        <f>Table67[[#This Row],[Midpoint]]/21</f>
        <v>0.14285714285714285</v>
      </c>
      <c r="AV1345">
        <f>_xlfn.PERCENTILE.INC(Table67[Midpoint ratio],0.9)</f>
        <v>0.5714285714285714</v>
      </c>
      <c r="AW1345" t="b">
        <f>Table67[[#This Row],[Midpoint ratio]]&gt;=Table67[[#This Row],[Threshold of Midpoint ratio]]</f>
        <v>0</v>
      </c>
      <c r="AX1345" t="b">
        <f>OR(Table67[[#This Row],[Extreme Response Style]],Table67[[#This Row],[Mid-point Response Style]])</f>
        <v>0</v>
      </c>
      <c r="AY1345" t="b">
        <f>OR(Table67[[#This Row],[Delete? (Stage 1)]],Table67[[#This Row],[Delete? (Stage 2)]])</f>
        <v>1</v>
      </c>
      <c r="AZ1345" t="s">
        <v>84</v>
      </c>
    </row>
    <row r="1346" spans="1:52">
      <c r="A1346">
        <f t="shared" si="83"/>
        <v>1345</v>
      </c>
      <c r="B1346" s="3">
        <v>46062.03696759259</v>
      </c>
      <c r="C1346" s="3">
        <v>46062.047777777778</v>
      </c>
      <c r="D1346" t="s">
        <v>53</v>
      </c>
      <c r="G1346" t="s">
        <v>54</v>
      </c>
      <c r="H1346" t="s">
        <v>63</v>
      </c>
      <c r="I1346" t="s">
        <v>56</v>
      </c>
      <c r="J1346" t="s">
        <v>62</v>
      </c>
      <c r="K1346" t="s">
        <v>60</v>
      </c>
      <c r="L1346" t="s">
        <v>61</v>
      </c>
      <c r="M1346" t="s">
        <v>61</v>
      </c>
      <c r="N1346">
        <v>4</v>
      </c>
      <c r="O1346">
        <v>4</v>
      </c>
      <c r="P1346">
        <v>2</v>
      </c>
      <c r="Q1346">
        <v>5</v>
      </c>
      <c r="R1346">
        <v>5</v>
      </c>
      <c r="S1346">
        <v>5</v>
      </c>
      <c r="T1346">
        <v>4</v>
      </c>
      <c r="U1346">
        <v>5</v>
      </c>
      <c r="V1346">
        <v>5</v>
      </c>
      <c r="W1346">
        <v>5</v>
      </c>
      <c r="X1346">
        <v>5</v>
      </c>
      <c r="Y1346">
        <v>5</v>
      </c>
      <c r="Z1346">
        <v>5</v>
      </c>
      <c r="AA1346">
        <v>4</v>
      </c>
      <c r="AB1346">
        <v>5</v>
      </c>
      <c r="AC1346">
        <v>4</v>
      </c>
      <c r="AD1346">
        <v>4</v>
      </c>
      <c r="AE1346">
        <v>2</v>
      </c>
      <c r="AF1346">
        <v>4</v>
      </c>
      <c r="AG1346">
        <v>4</v>
      </c>
      <c r="AH1346">
        <v>3</v>
      </c>
      <c r="AI1346">
        <v>3</v>
      </c>
      <c r="AJ1346">
        <v>2</v>
      </c>
      <c r="AK1346" t="b">
        <f>Table67[[#This Row],[What is your age?]]&lt;&gt;"18 - 25"</f>
        <v>0</v>
      </c>
      <c r="AL1346" t="b">
        <f t="shared" si="80"/>
        <v>0</v>
      </c>
      <c r="AM1346" t="b">
        <f t="shared" si="81"/>
        <v>0</v>
      </c>
      <c r="AN1346" t="b">
        <f t="shared" si="82"/>
        <v>1</v>
      </c>
      <c r="AO1346" t="b">
        <f>OR(Table67[[#This Row],[Ineligible respondents]:[Inconsistent response on opposite question (3)]])</f>
        <v>1</v>
      </c>
      <c r="AP134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10</v>
      </c>
      <c r="AQ1346">
        <f>Table67[[#This Row],[Extreme Response]]/21</f>
        <v>0.47619047619047616</v>
      </c>
      <c r="AR1346">
        <f>_xlfn.PERCENTILE.INC(Table67[Extrem Response Ratio (ERS)],0.9)</f>
        <v>0.61904761904761907</v>
      </c>
      <c r="AS1346" t="b">
        <f>Table67[[#This Row],[Extrem Response Ratio (ERS)]]&gt;=Table67[[#This Row],[Threshold of ERS]]</f>
        <v>0</v>
      </c>
      <c r="AT1346">
        <f>COUNTIF(Table67[[#This Row],[The mechanism of digital assets is difficult to understand, which discourages me from exploring it (E.g, Tokenization, Blockchain)]:[If I want to try different ways to invest, I will explore digital assets.]], 3)</f>
        <v>1</v>
      </c>
      <c r="AU1346">
        <f>Table67[[#This Row],[Midpoint]]/21</f>
        <v>4.7619047619047616E-2</v>
      </c>
      <c r="AV1346">
        <f>_xlfn.PERCENTILE.INC(Table67[Midpoint ratio],0.9)</f>
        <v>0.5714285714285714</v>
      </c>
      <c r="AW1346" t="b">
        <f>Table67[[#This Row],[Midpoint ratio]]&gt;=Table67[[#This Row],[Threshold of Midpoint ratio]]</f>
        <v>0</v>
      </c>
      <c r="AX1346" t="b">
        <f>OR(Table67[[#This Row],[Extreme Response Style]],Table67[[#This Row],[Mid-point Response Style]])</f>
        <v>0</v>
      </c>
      <c r="AY1346" t="b">
        <f>OR(Table67[[#This Row],[Delete? (Stage 1)]],Table67[[#This Row],[Delete? (Stage 2)]])</f>
        <v>1</v>
      </c>
      <c r="AZ1346" t="s">
        <v>84</v>
      </c>
    </row>
    <row r="1347" spans="1:52">
      <c r="A1347">
        <f t="shared" si="83"/>
        <v>1346</v>
      </c>
      <c r="B1347" s="3">
        <v>46062.026469907411</v>
      </c>
      <c r="C1347" s="3">
        <v>46062.031851851854</v>
      </c>
      <c r="D1347" t="s">
        <v>53</v>
      </c>
      <c r="G1347" t="s">
        <v>54</v>
      </c>
      <c r="H1347" t="s">
        <v>63</v>
      </c>
      <c r="I1347" t="s">
        <v>75</v>
      </c>
      <c r="J1347" t="s">
        <v>64</v>
      </c>
      <c r="K1347" t="s">
        <v>57</v>
      </c>
      <c r="L1347" t="s">
        <v>58</v>
      </c>
      <c r="M1347" t="s">
        <v>58</v>
      </c>
      <c r="N1347">
        <v>5</v>
      </c>
      <c r="O1347">
        <v>1</v>
      </c>
      <c r="P1347">
        <v>3</v>
      </c>
      <c r="Q1347">
        <v>3</v>
      </c>
      <c r="R1347">
        <v>3</v>
      </c>
      <c r="S1347">
        <v>4</v>
      </c>
      <c r="T1347">
        <v>5</v>
      </c>
      <c r="U1347">
        <v>5</v>
      </c>
      <c r="V1347">
        <v>5</v>
      </c>
      <c r="W1347">
        <v>5</v>
      </c>
      <c r="X1347">
        <v>5</v>
      </c>
      <c r="Y1347">
        <v>5</v>
      </c>
      <c r="Z1347">
        <v>5</v>
      </c>
      <c r="AA1347">
        <v>5</v>
      </c>
      <c r="AB1347">
        <v>3</v>
      </c>
      <c r="AC1347">
        <v>5</v>
      </c>
      <c r="AD1347">
        <v>5</v>
      </c>
      <c r="AE1347">
        <v>2</v>
      </c>
      <c r="AF1347">
        <v>1</v>
      </c>
      <c r="AG1347">
        <v>4</v>
      </c>
      <c r="AH1347">
        <v>2</v>
      </c>
      <c r="AI1347">
        <v>4</v>
      </c>
      <c r="AJ1347">
        <v>5</v>
      </c>
      <c r="AK1347" t="b">
        <f>Table67[[#This Row],[What is your age?]]&lt;&gt;"18 - 25"</f>
        <v>0</v>
      </c>
      <c r="AL1347" t="b">
        <f t="shared" ref="AL1347:AL1410" si="84">COUNTIF(N1347:AH1347, N1347) = COLUMNS(N1347:AH1347)</f>
        <v>0</v>
      </c>
      <c r="AM1347" t="b">
        <f t="shared" ref="AM1347:AM1410" si="85">OR(AND(AG1347=AH1347, AG1347&lt;&gt;3), AND(OR(AG1347=1, AG1347=2), OR(AH1347=1, AH1347=2)), AND(OR(AG1347=4, AG1347=5), OR(AH1347=4, AH1347=5)))</f>
        <v>0</v>
      </c>
      <c r="AN1347" t="b">
        <f t="shared" ref="AN1347:AN1410" si="86">OR(AND(AG1347=3, AH1347&lt;&gt;3), AND(AH1347=3, AG1347&lt;&gt;3))</f>
        <v>0</v>
      </c>
      <c r="AO1347" t="b">
        <f>OR(Table67[[#This Row],[Ineligible respondents]:[Inconsistent response on opposite question (3)]])</f>
        <v>0</v>
      </c>
      <c r="AP134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1347">
        <f>Table67[[#This Row],[Extreme Response]]/21</f>
        <v>0.61904761904761907</v>
      </c>
      <c r="AR1347">
        <f>_xlfn.PERCENTILE.INC(Table67[Extrem Response Ratio (ERS)],0.9)</f>
        <v>0.61904761904761907</v>
      </c>
      <c r="AS1347" t="b">
        <f>Table67[[#This Row],[Extrem Response Ratio (ERS)]]&gt;=Table67[[#This Row],[Threshold of ERS]]</f>
        <v>1</v>
      </c>
      <c r="AT1347">
        <f>COUNTIF(Table67[[#This Row],[The mechanism of digital assets is difficult to understand, which discourages me from exploring it (E.g, Tokenization, Blockchain)]:[If I want to try different ways to invest, I will explore digital assets.]], 3)</f>
        <v>4</v>
      </c>
      <c r="AU1347">
        <f>Table67[[#This Row],[Midpoint]]/21</f>
        <v>0.19047619047619047</v>
      </c>
      <c r="AV1347">
        <f>_xlfn.PERCENTILE.INC(Table67[Midpoint ratio],0.9)</f>
        <v>0.5714285714285714</v>
      </c>
      <c r="AW1347" t="b">
        <f>Table67[[#This Row],[Midpoint ratio]]&gt;=Table67[[#This Row],[Threshold of Midpoint ratio]]</f>
        <v>0</v>
      </c>
      <c r="AX1347" t="b">
        <f>OR(Table67[[#This Row],[Extreme Response Style]],Table67[[#This Row],[Mid-point Response Style]])</f>
        <v>1</v>
      </c>
      <c r="AY1347" t="b">
        <f>OR(Table67[[#This Row],[Delete? (Stage 1)]],Table67[[#This Row],[Delete? (Stage 2)]])</f>
        <v>1</v>
      </c>
      <c r="AZ1347" t="s">
        <v>84</v>
      </c>
    </row>
    <row r="1348" spans="1:52">
      <c r="A1348">
        <f t="shared" ref="A1348:A1411" si="87">1+A1347</f>
        <v>1347</v>
      </c>
      <c r="B1348" s="3">
        <v>46065.699699074074</v>
      </c>
      <c r="C1348" s="3">
        <v>46065.702696759261</v>
      </c>
      <c r="D1348" t="s">
        <v>53</v>
      </c>
      <c r="G1348" t="s">
        <v>54</v>
      </c>
      <c r="H1348" t="s">
        <v>63</v>
      </c>
      <c r="I1348" t="s">
        <v>56</v>
      </c>
      <c r="J1348" t="s">
        <v>57</v>
      </c>
      <c r="K1348" t="s">
        <v>57</v>
      </c>
      <c r="L1348" t="s">
        <v>58</v>
      </c>
      <c r="M1348" t="s">
        <v>58</v>
      </c>
      <c r="N1348">
        <v>3</v>
      </c>
      <c r="O1348">
        <v>4</v>
      </c>
      <c r="P1348">
        <v>4</v>
      </c>
      <c r="Q1348">
        <v>4</v>
      </c>
      <c r="R1348">
        <v>2</v>
      </c>
      <c r="S1348">
        <v>3</v>
      </c>
      <c r="T1348">
        <v>3</v>
      </c>
      <c r="U1348">
        <v>4</v>
      </c>
      <c r="V1348">
        <v>3</v>
      </c>
      <c r="W1348">
        <v>3</v>
      </c>
      <c r="X1348">
        <v>4</v>
      </c>
      <c r="Y1348">
        <v>4</v>
      </c>
      <c r="Z1348">
        <v>4</v>
      </c>
      <c r="AA1348">
        <v>3</v>
      </c>
      <c r="AB1348">
        <v>2</v>
      </c>
      <c r="AC1348">
        <v>4</v>
      </c>
      <c r="AD1348">
        <v>4</v>
      </c>
      <c r="AE1348">
        <v>3</v>
      </c>
      <c r="AF1348">
        <v>1</v>
      </c>
      <c r="AG1348">
        <v>4</v>
      </c>
      <c r="AH1348">
        <v>2</v>
      </c>
      <c r="AI1348">
        <v>4</v>
      </c>
      <c r="AJ1348">
        <v>5</v>
      </c>
      <c r="AK1348" t="b">
        <f>Table67[[#This Row],[What is your age?]]&lt;&gt;"18 - 25"</f>
        <v>0</v>
      </c>
      <c r="AL1348" t="b">
        <f t="shared" si="84"/>
        <v>0</v>
      </c>
      <c r="AM1348" t="b">
        <f t="shared" si="85"/>
        <v>0</v>
      </c>
      <c r="AN1348" t="b">
        <f t="shared" si="86"/>
        <v>0</v>
      </c>
      <c r="AO1348" t="b">
        <f>OR(Table67[[#This Row],[Ineligible respondents]:[Inconsistent response on opposite question (3)]])</f>
        <v>0</v>
      </c>
      <c r="AP134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348">
        <f>Table67[[#This Row],[Extreme Response]]/21</f>
        <v>4.7619047619047616E-2</v>
      </c>
      <c r="AR1348">
        <f>_xlfn.PERCENTILE.INC(Table67[Extrem Response Ratio (ERS)],0.9)</f>
        <v>0.61904761904761907</v>
      </c>
      <c r="AS1348" t="b">
        <f>Table67[[#This Row],[Extrem Response Ratio (ERS)]]&gt;=Table67[[#This Row],[Threshold of ERS]]</f>
        <v>0</v>
      </c>
      <c r="AT1348">
        <f>COUNTIF(Table67[[#This Row],[The mechanism of digital assets is difficult to understand, which discourages me from exploring it (E.g, Tokenization, Blockchain)]:[If I want to try different ways to invest, I will explore digital assets.]], 3)</f>
        <v>7</v>
      </c>
      <c r="AU1348">
        <f>Table67[[#This Row],[Midpoint]]/21</f>
        <v>0.33333333333333331</v>
      </c>
      <c r="AV1348">
        <f>_xlfn.PERCENTILE.INC(Table67[Midpoint ratio],0.9)</f>
        <v>0.5714285714285714</v>
      </c>
      <c r="AW1348" t="b">
        <f>Table67[[#This Row],[Midpoint ratio]]&gt;=Table67[[#This Row],[Threshold of Midpoint ratio]]</f>
        <v>0</v>
      </c>
      <c r="AX1348" t="b">
        <f>OR(Table67[[#This Row],[Extreme Response Style]],Table67[[#This Row],[Mid-point Response Style]])</f>
        <v>0</v>
      </c>
      <c r="AY1348" t="b">
        <f>OR(Table67[[#This Row],[Delete? (Stage 1)]],Table67[[#This Row],[Delete? (Stage 2)]])</f>
        <v>0</v>
      </c>
      <c r="AZ1348" t="s">
        <v>84</v>
      </c>
    </row>
    <row r="1349" spans="1:52">
      <c r="A1349">
        <f t="shared" si="87"/>
        <v>1348</v>
      </c>
      <c r="B1349" s="3">
        <v>46065.723993055559</v>
      </c>
      <c r="C1349" s="3">
        <v>46065.724351851852</v>
      </c>
      <c r="D1349" t="s">
        <v>53</v>
      </c>
      <c r="G1349" t="s">
        <v>54</v>
      </c>
      <c r="H1349" t="s">
        <v>63</v>
      </c>
      <c r="I1349" t="s">
        <v>56</v>
      </c>
      <c r="J1349" t="s">
        <v>57</v>
      </c>
      <c r="K1349" t="s">
        <v>57</v>
      </c>
      <c r="L1349" t="s">
        <v>58</v>
      </c>
      <c r="M1349" t="s">
        <v>58</v>
      </c>
      <c r="N1349">
        <v>3</v>
      </c>
      <c r="O1349">
        <v>3</v>
      </c>
      <c r="P1349">
        <v>3</v>
      </c>
      <c r="Q1349">
        <v>2</v>
      </c>
      <c r="R1349">
        <v>3</v>
      </c>
      <c r="S1349">
        <v>3</v>
      </c>
      <c r="T1349">
        <v>4</v>
      </c>
      <c r="U1349">
        <v>3</v>
      </c>
      <c r="V1349">
        <v>2</v>
      </c>
      <c r="W1349">
        <v>3</v>
      </c>
      <c r="X1349">
        <v>2</v>
      </c>
      <c r="Y1349">
        <v>3</v>
      </c>
      <c r="Z1349">
        <v>2</v>
      </c>
      <c r="AA1349">
        <v>3</v>
      </c>
      <c r="AB1349">
        <v>3</v>
      </c>
      <c r="AC1349">
        <v>3</v>
      </c>
      <c r="AD1349">
        <v>2</v>
      </c>
      <c r="AE1349">
        <v>2</v>
      </c>
      <c r="AF1349">
        <v>4</v>
      </c>
      <c r="AG1349">
        <v>2</v>
      </c>
      <c r="AH1349">
        <v>5</v>
      </c>
      <c r="AI1349">
        <v>1</v>
      </c>
      <c r="AJ1349">
        <v>2</v>
      </c>
      <c r="AK1349" t="b">
        <f>Table67[[#This Row],[What is your age?]]&lt;&gt;"18 - 25"</f>
        <v>0</v>
      </c>
      <c r="AL1349" t="b">
        <f t="shared" si="84"/>
        <v>0</v>
      </c>
      <c r="AM1349" t="b">
        <f t="shared" si="85"/>
        <v>0</v>
      </c>
      <c r="AN1349" t="b">
        <f t="shared" si="86"/>
        <v>0</v>
      </c>
      <c r="AO1349" t="b">
        <f>OR(Table67[[#This Row],[Ineligible respondents]:[Inconsistent response on opposite question (3)]])</f>
        <v>0</v>
      </c>
      <c r="AP134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349">
        <f>Table67[[#This Row],[Extreme Response]]/21</f>
        <v>4.7619047619047616E-2</v>
      </c>
      <c r="AR1349">
        <f>_xlfn.PERCENTILE.INC(Table67[Extrem Response Ratio (ERS)],0.9)</f>
        <v>0.61904761904761907</v>
      </c>
      <c r="AS1349" t="b">
        <f>Table67[[#This Row],[Extrem Response Ratio (ERS)]]&gt;=Table67[[#This Row],[Threshold of ERS]]</f>
        <v>0</v>
      </c>
      <c r="AT1349">
        <f>COUNTIF(Table67[[#This Row],[The mechanism of digital assets is difficult to understand, which discourages me from exploring it (E.g, Tokenization, Blockchain)]:[If I want to try different ways to invest, I will explore digital assets.]], 3)</f>
        <v>11</v>
      </c>
      <c r="AU1349">
        <f>Table67[[#This Row],[Midpoint]]/21</f>
        <v>0.52380952380952384</v>
      </c>
      <c r="AV1349">
        <f>_xlfn.PERCENTILE.INC(Table67[Midpoint ratio],0.9)</f>
        <v>0.5714285714285714</v>
      </c>
      <c r="AW1349" t="b">
        <f>Table67[[#This Row],[Midpoint ratio]]&gt;=Table67[[#This Row],[Threshold of Midpoint ratio]]</f>
        <v>0</v>
      </c>
      <c r="AX1349" t="b">
        <f>OR(Table67[[#This Row],[Extreme Response Style]],Table67[[#This Row],[Mid-point Response Style]])</f>
        <v>0</v>
      </c>
      <c r="AY1349" t="b">
        <f>OR(Table67[[#This Row],[Delete? (Stage 1)]],Table67[[#This Row],[Delete? (Stage 2)]])</f>
        <v>0</v>
      </c>
      <c r="AZ1349" t="s">
        <v>84</v>
      </c>
    </row>
    <row r="1350" spans="1:52">
      <c r="A1350">
        <f t="shared" si="87"/>
        <v>1349</v>
      </c>
      <c r="B1350" s="3">
        <v>46062.052708333336</v>
      </c>
      <c r="C1350" s="3">
        <v>46062.053784722222</v>
      </c>
      <c r="D1350" t="s">
        <v>53</v>
      </c>
      <c r="G1350" t="s">
        <v>54</v>
      </c>
      <c r="H1350" t="s">
        <v>55</v>
      </c>
      <c r="I1350" t="s">
        <v>75</v>
      </c>
      <c r="J1350" t="s">
        <v>64</v>
      </c>
      <c r="K1350" t="s">
        <v>62</v>
      </c>
      <c r="L1350" t="s">
        <v>58</v>
      </c>
      <c r="M1350" t="s">
        <v>58</v>
      </c>
      <c r="N1350">
        <v>3</v>
      </c>
      <c r="O1350">
        <v>1</v>
      </c>
      <c r="P1350">
        <v>5</v>
      </c>
      <c r="Q1350">
        <v>2</v>
      </c>
      <c r="R1350">
        <v>3</v>
      </c>
      <c r="S1350">
        <v>2</v>
      </c>
      <c r="T1350">
        <v>3</v>
      </c>
      <c r="U1350">
        <v>2</v>
      </c>
      <c r="V1350">
        <v>3</v>
      </c>
      <c r="W1350">
        <v>2</v>
      </c>
      <c r="X1350">
        <v>2</v>
      </c>
      <c r="Y1350">
        <v>3</v>
      </c>
      <c r="Z1350">
        <v>2</v>
      </c>
      <c r="AA1350">
        <v>3</v>
      </c>
      <c r="AB1350">
        <v>2</v>
      </c>
      <c r="AC1350">
        <v>3</v>
      </c>
      <c r="AD1350">
        <v>2</v>
      </c>
      <c r="AE1350">
        <v>3</v>
      </c>
      <c r="AF1350">
        <v>1</v>
      </c>
      <c r="AG1350">
        <v>1</v>
      </c>
      <c r="AH1350">
        <v>2</v>
      </c>
      <c r="AI1350">
        <v>4</v>
      </c>
      <c r="AJ1350">
        <v>5</v>
      </c>
      <c r="AK1350" t="b">
        <f>Table67[[#This Row],[What is your age?]]&lt;&gt;"18 - 25"</f>
        <v>0</v>
      </c>
      <c r="AL1350" t="b">
        <f t="shared" si="84"/>
        <v>0</v>
      </c>
      <c r="AM1350" t="b">
        <f t="shared" si="85"/>
        <v>1</v>
      </c>
      <c r="AN1350" t="b">
        <f t="shared" si="86"/>
        <v>0</v>
      </c>
      <c r="AO1350" t="b">
        <f>OR(Table67[[#This Row],[Ineligible respondents]:[Inconsistent response on opposite question (3)]])</f>
        <v>1</v>
      </c>
      <c r="AP135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350">
        <f>Table67[[#This Row],[Extreme Response]]/21</f>
        <v>0.19047619047619047</v>
      </c>
      <c r="AR1350">
        <f>_xlfn.PERCENTILE.INC(Table67[Extrem Response Ratio (ERS)],0.9)</f>
        <v>0.61904761904761907</v>
      </c>
      <c r="AS1350" t="b">
        <f>Table67[[#This Row],[Extrem Response Ratio (ERS)]]&gt;=Table67[[#This Row],[Threshold of ERS]]</f>
        <v>0</v>
      </c>
      <c r="AT1350">
        <f>COUNTIF(Table67[[#This Row],[The mechanism of digital assets is difficult to understand, which discourages me from exploring it (E.g, Tokenization, Blockchain)]:[If I want to try different ways to invest, I will explore digital assets.]], 3)</f>
        <v>8</v>
      </c>
      <c r="AU1350">
        <f>Table67[[#This Row],[Midpoint]]/21</f>
        <v>0.38095238095238093</v>
      </c>
      <c r="AV1350">
        <f>_xlfn.PERCENTILE.INC(Table67[Midpoint ratio],0.9)</f>
        <v>0.5714285714285714</v>
      </c>
      <c r="AW1350" t="b">
        <f>Table67[[#This Row],[Midpoint ratio]]&gt;=Table67[[#This Row],[Threshold of Midpoint ratio]]</f>
        <v>0</v>
      </c>
      <c r="AX1350" t="b">
        <f>OR(Table67[[#This Row],[Extreme Response Style]],Table67[[#This Row],[Mid-point Response Style]])</f>
        <v>0</v>
      </c>
      <c r="AY1350" t="b">
        <f>OR(Table67[[#This Row],[Delete? (Stage 1)]],Table67[[#This Row],[Delete? (Stage 2)]])</f>
        <v>1</v>
      </c>
      <c r="AZ1350" t="s">
        <v>84</v>
      </c>
    </row>
    <row r="1351" spans="1:52">
      <c r="A1351">
        <f t="shared" si="87"/>
        <v>1350</v>
      </c>
      <c r="B1351" s="3">
        <v>46065.861631944441</v>
      </c>
      <c r="C1351" s="3">
        <v>46065.865682870368</v>
      </c>
      <c r="D1351" t="s">
        <v>53</v>
      </c>
      <c r="G1351" t="s">
        <v>54</v>
      </c>
      <c r="H1351" t="s">
        <v>55</v>
      </c>
      <c r="I1351" t="s">
        <v>56</v>
      </c>
      <c r="J1351" t="s">
        <v>67</v>
      </c>
      <c r="K1351" t="s">
        <v>57</v>
      </c>
      <c r="L1351" t="s">
        <v>58</v>
      </c>
      <c r="M1351" t="s">
        <v>58</v>
      </c>
      <c r="N1351">
        <v>3</v>
      </c>
      <c r="O1351">
        <v>3</v>
      </c>
      <c r="P1351">
        <v>4</v>
      </c>
      <c r="Q1351">
        <v>3</v>
      </c>
      <c r="R1351">
        <v>3</v>
      </c>
      <c r="S1351">
        <v>2</v>
      </c>
      <c r="T1351">
        <v>3</v>
      </c>
      <c r="U1351">
        <v>4</v>
      </c>
      <c r="V1351">
        <v>2</v>
      </c>
      <c r="W1351">
        <v>3</v>
      </c>
      <c r="X1351">
        <v>3</v>
      </c>
      <c r="Y1351">
        <v>2</v>
      </c>
      <c r="Z1351">
        <v>2</v>
      </c>
      <c r="AA1351">
        <v>3</v>
      </c>
      <c r="AB1351">
        <v>3</v>
      </c>
      <c r="AC1351">
        <v>4</v>
      </c>
      <c r="AD1351">
        <v>3</v>
      </c>
      <c r="AE1351">
        <v>3</v>
      </c>
      <c r="AF1351">
        <v>2</v>
      </c>
      <c r="AG1351">
        <v>3</v>
      </c>
      <c r="AH1351">
        <v>3</v>
      </c>
      <c r="AI1351">
        <v>3</v>
      </c>
      <c r="AJ1351">
        <v>4</v>
      </c>
      <c r="AK1351" t="b">
        <f>Table67[[#This Row],[What is your age?]]&lt;&gt;"18 - 25"</f>
        <v>0</v>
      </c>
      <c r="AL1351" t="b">
        <f t="shared" si="84"/>
        <v>0</v>
      </c>
      <c r="AM1351" t="b">
        <f t="shared" si="85"/>
        <v>0</v>
      </c>
      <c r="AN1351" t="b">
        <f t="shared" si="86"/>
        <v>0</v>
      </c>
      <c r="AO1351" t="b">
        <f>OR(Table67[[#This Row],[Ineligible respondents]:[Inconsistent response on opposite question (3)]])</f>
        <v>0</v>
      </c>
      <c r="AP135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351">
        <f>Table67[[#This Row],[Extreme Response]]/21</f>
        <v>0</v>
      </c>
      <c r="AR1351">
        <f>_xlfn.PERCENTILE.INC(Table67[Extrem Response Ratio (ERS)],0.9)</f>
        <v>0.61904761904761907</v>
      </c>
      <c r="AS1351" t="b">
        <f>Table67[[#This Row],[Extrem Response Ratio (ERS)]]&gt;=Table67[[#This Row],[Threshold of ERS]]</f>
        <v>0</v>
      </c>
      <c r="AT1351">
        <f>COUNTIF(Table67[[#This Row],[The mechanism of digital assets is difficult to understand, which discourages me from exploring it (E.g, Tokenization, Blockchain)]:[If I want to try different ways to invest, I will explore digital assets.]], 3)</f>
        <v>13</v>
      </c>
      <c r="AU1351">
        <f>Table67[[#This Row],[Midpoint]]/21</f>
        <v>0.61904761904761907</v>
      </c>
      <c r="AV1351">
        <f>_xlfn.PERCENTILE.INC(Table67[Midpoint ratio],0.9)</f>
        <v>0.5714285714285714</v>
      </c>
      <c r="AW1351" t="b">
        <f>Table67[[#This Row],[Midpoint ratio]]&gt;=Table67[[#This Row],[Threshold of Midpoint ratio]]</f>
        <v>1</v>
      </c>
      <c r="AX1351" t="b">
        <f>OR(Table67[[#This Row],[Extreme Response Style]],Table67[[#This Row],[Mid-point Response Style]])</f>
        <v>1</v>
      </c>
      <c r="AY1351" t="b">
        <f>OR(Table67[[#This Row],[Delete? (Stage 1)]],Table67[[#This Row],[Delete? (Stage 2)]])</f>
        <v>1</v>
      </c>
      <c r="AZ1351" t="s">
        <v>84</v>
      </c>
    </row>
    <row r="1352" spans="1:52">
      <c r="A1352">
        <f t="shared" si="87"/>
        <v>1351</v>
      </c>
      <c r="B1352" s="3">
        <v>46062.051064814812</v>
      </c>
      <c r="C1352" s="3">
        <v>46062.055138888885</v>
      </c>
      <c r="D1352" t="s">
        <v>53</v>
      </c>
      <c r="G1352" t="s">
        <v>54</v>
      </c>
      <c r="H1352" t="s">
        <v>55</v>
      </c>
      <c r="I1352" t="s">
        <v>56</v>
      </c>
      <c r="J1352" t="s">
        <v>65</v>
      </c>
      <c r="K1352" t="s">
        <v>62</v>
      </c>
      <c r="L1352" t="s">
        <v>61</v>
      </c>
      <c r="M1352" t="s">
        <v>61</v>
      </c>
      <c r="N1352">
        <v>3</v>
      </c>
      <c r="O1352">
        <v>1</v>
      </c>
      <c r="P1352">
        <v>5</v>
      </c>
      <c r="Q1352">
        <v>4</v>
      </c>
      <c r="R1352">
        <v>3</v>
      </c>
      <c r="S1352">
        <v>4</v>
      </c>
      <c r="T1352">
        <v>2</v>
      </c>
      <c r="U1352">
        <v>3</v>
      </c>
      <c r="V1352">
        <v>5</v>
      </c>
      <c r="W1352">
        <v>5</v>
      </c>
      <c r="X1352">
        <v>5</v>
      </c>
      <c r="Y1352">
        <v>5</v>
      </c>
      <c r="Z1352">
        <v>5</v>
      </c>
      <c r="AA1352">
        <v>4</v>
      </c>
      <c r="AB1352">
        <v>2</v>
      </c>
      <c r="AC1352">
        <v>3</v>
      </c>
      <c r="AD1352">
        <v>4</v>
      </c>
      <c r="AE1352">
        <v>2</v>
      </c>
      <c r="AF1352">
        <v>3</v>
      </c>
      <c r="AG1352">
        <v>3</v>
      </c>
      <c r="AH1352">
        <v>4</v>
      </c>
      <c r="AI1352">
        <v>2</v>
      </c>
      <c r="AJ1352">
        <v>3</v>
      </c>
      <c r="AK1352" t="b">
        <f>Table67[[#This Row],[What is your age?]]&lt;&gt;"18 - 25"</f>
        <v>0</v>
      </c>
      <c r="AL1352" t="b">
        <f t="shared" si="84"/>
        <v>0</v>
      </c>
      <c r="AM1352" t="b">
        <f t="shared" si="85"/>
        <v>0</v>
      </c>
      <c r="AN1352" t="b">
        <f t="shared" si="86"/>
        <v>1</v>
      </c>
      <c r="AO1352" t="b">
        <f>OR(Table67[[#This Row],[Ineligible respondents]:[Inconsistent response on opposite question (3)]])</f>
        <v>1</v>
      </c>
      <c r="AP135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352">
        <f>Table67[[#This Row],[Extreme Response]]/21</f>
        <v>0.33333333333333331</v>
      </c>
      <c r="AR1352">
        <f>_xlfn.PERCENTILE.INC(Table67[Extrem Response Ratio (ERS)],0.9)</f>
        <v>0.61904761904761907</v>
      </c>
      <c r="AS1352" t="b">
        <f>Table67[[#This Row],[Extrem Response Ratio (ERS)]]&gt;=Table67[[#This Row],[Threshold of ERS]]</f>
        <v>0</v>
      </c>
      <c r="AT1352">
        <f>COUNTIF(Table67[[#This Row],[The mechanism of digital assets is difficult to understand, which discourages me from exploring it (E.g, Tokenization, Blockchain)]:[If I want to try different ways to invest, I will explore digital assets.]], 3)</f>
        <v>6</v>
      </c>
      <c r="AU1352">
        <f>Table67[[#This Row],[Midpoint]]/21</f>
        <v>0.2857142857142857</v>
      </c>
      <c r="AV1352">
        <f>_xlfn.PERCENTILE.INC(Table67[Midpoint ratio],0.9)</f>
        <v>0.5714285714285714</v>
      </c>
      <c r="AW1352" t="b">
        <f>Table67[[#This Row],[Midpoint ratio]]&gt;=Table67[[#This Row],[Threshold of Midpoint ratio]]</f>
        <v>0</v>
      </c>
      <c r="AX1352" t="b">
        <f>OR(Table67[[#This Row],[Extreme Response Style]],Table67[[#This Row],[Mid-point Response Style]])</f>
        <v>0</v>
      </c>
      <c r="AY1352" t="b">
        <f>OR(Table67[[#This Row],[Delete? (Stage 1)]],Table67[[#This Row],[Delete? (Stage 2)]])</f>
        <v>1</v>
      </c>
      <c r="AZ1352" t="s">
        <v>84</v>
      </c>
    </row>
    <row r="1353" spans="1:52">
      <c r="A1353">
        <f t="shared" si="87"/>
        <v>1352</v>
      </c>
      <c r="B1353" s="3">
        <v>46062.093935185185</v>
      </c>
      <c r="C1353" s="3">
        <v>46062.095543981479</v>
      </c>
      <c r="D1353" t="s">
        <v>53</v>
      </c>
      <c r="G1353" t="s">
        <v>54</v>
      </c>
      <c r="H1353" t="s">
        <v>63</v>
      </c>
      <c r="I1353" t="s">
        <v>71</v>
      </c>
      <c r="J1353" t="s">
        <v>62</v>
      </c>
      <c r="K1353" t="s">
        <v>62</v>
      </c>
      <c r="L1353" t="s">
        <v>61</v>
      </c>
      <c r="M1353" t="s">
        <v>61</v>
      </c>
      <c r="N1353">
        <v>3</v>
      </c>
      <c r="O1353">
        <v>3</v>
      </c>
      <c r="P1353">
        <v>3</v>
      </c>
      <c r="Q1353">
        <v>4</v>
      </c>
      <c r="R1353">
        <v>4</v>
      </c>
      <c r="S1353">
        <v>3</v>
      </c>
      <c r="T1353">
        <v>5</v>
      </c>
      <c r="U1353">
        <v>3</v>
      </c>
      <c r="V1353">
        <v>4</v>
      </c>
      <c r="W1353">
        <v>4</v>
      </c>
      <c r="X1353">
        <v>5</v>
      </c>
      <c r="Y1353">
        <v>5</v>
      </c>
      <c r="Z1353">
        <v>4</v>
      </c>
      <c r="AA1353">
        <v>3</v>
      </c>
      <c r="AB1353">
        <v>3</v>
      </c>
      <c r="AC1353">
        <v>4</v>
      </c>
      <c r="AD1353">
        <v>4</v>
      </c>
      <c r="AE1353">
        <v>4</v>
      </c>
      <c r="AF1353">
        <v>5</v>
      </c>
      <c r="AG1353">
        <v>4</v>
      </c>
      <c r="AH1353">
        <v>4</v>
      </c>
      <c r="AI1353">
        <v>2</v>
      </c>
      <c r="AJ1353">
        <v>1</v>
      </c>
      <c r="AK1353" t="b">
        <f>Table67[[#This Row],[What is your age?]]&lt;&gt;"18 - 25"</f>
        <v>0</v>
      </c>
      <c r="AL1353" t="b">
        <f t="shared" si="84"/>
        <v>0</v>
      </c>
      <c r="AM1353" t="b">
        <f t="shared" si="85"/>
        <v>1</v>
      </c>
      <c r="AN1353" t="b">
        <f t="shared" si="86"/>
        <v>0</v>
      </c>
      <c r="AO1353" t="b">
        <f>OR(Table67[[#This Row],[Ineligible respondents]:[Inconsistent response on opposite question (3)]])</f>
        <v>1</v>
      </c>
      <c r="AP135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353">
        <f>Table67[[#This Row],[Extreme Response]]/21</f>
        <v>0.19047619047619047</v>
      </c>
      <c r="AR1353">
        <f>_xlfn.PERCENTILE.INC(Table67[Extrem Response Ratio (ERS)],0.9)</f>
        <v>0.61904761904761907</v>
      </c>
      <c r="AS1353" t="b">
        <f>Table67[[#This Row],[Extrem Response Ratio (ERS)]]&gt;=Table67[[#This Row],[Threshold of ERS]]</f>
        <v>0</v>
      </c>
      <c r="AT1353">
        <f>COUNTIF(Table67[[#This Row],[The mechanism of digital assets is difficult to understand, which discourages me from exploring it (E.g, Tokenization, Blockchain)]:[If I want to try different ways to invest, I will explore digital assets.]], 3)</f>
        <v>7</v>
      </c>
      <c r="AU1353">
        <f>Table67[[#This Row],[Midpoint]]/21</f>
        <v>0.33333333333333331</v>
      </c>
      <c r="AV1353">
        <f>_xlfn.PERCENTILE.INC(Table67[Midpoint ratio],0.9)</f>
        <v>0.5714285714285714</v>
      </c>
      <c r="AW1353" t="b">
        <f>Table67[[#This Row],[Midpoint ratio]]&gt;=Table67[[#This Row],[Threshold of Midpoint ratio]]</f>
        <v>0</v>
      </c>
      <c r="AX1353" t="b">
        <f>OR(Table67[[#This Row],[Extreme Response Style]],Table67[[#This Row],[Mid-point Response Style]])</f>
        <v>0</v>
      </c>
      <c r="AY1353" t="b">
        <f>OR(Table67[[#This Row],[Delete? (Stage 1)]],Table67[[#This Row],[Delete? (Stage 2)]])</f>
        <v>1</v>
      </c>
      <c r="AZ1353" t="s">
        <v>84</v>
      </c>
    </row>
    <row r="1354" spans="1:52">
      <c r="A1354">
        <f t="shared" si="87"/>
        <v>1353</v>
      </c>
      <c r="B1354" s="3">
        <v>46065.83289351852</v>
      </c>
      <c r="C1354" s="3">
        <v>46065.841724537036</v>
      </c>
      <c r="D1354" t="s">
        <v>53</v>
      </c>
      <c r="G1354" t="s">
        <v>54</v>
      </c>
      <c r="H1354" t="s">
        <v>55</v>
      </c>
      <c r="I1354" t="s">
        <v>56</v>
      </c>
      <c r="J1354" t="s">
        <v>66</v>
      </c>
      <c r="K1354" t="s">
        <v>66</v>
      </c>
      <c r="L1354" t="s">
        <v>58</v>
      </c>
      <c r="M1354" t="s">
        <v>58</v>
      </c>
      <c r="N1354">
        <v>4</v>
      </c>
      <c r="O1354">
        <v>4</v>
      </c>
      <c r="P1354">
        <v>2</v>
      </c>
      <c r="Q1354">
        <v>2</v>
      </c>
      <c r="R1354">
        <v>4</v>
      </c>
      <c r="S1354">
        <v>2</v>
      </c>
      <c r="T1354">
        <v>3</v>
      </c>
      <c r="U1354">
        <v>3</v>
      </c>
      <c r="V1354">
        <v>3</v>
      </c>
      <c r="W1354">
        <v>3</v>
      </c>
      <c r="X1354">
        <v>2</v>
      </c>
      <c r="Y1354">
        <v>2</v>
      </c>
      <c r="Z1354">
        <v>2</v>
      </c>
      <c r="AA1354">
        <v>2</v>
      </c>
      <c r="AB1354">
        <v>3</v>
      </c>
      <c r="AC1354">
        <v>2</v>
      </c>
      <c r="AD1354">
        <v>2</v>
      </c>
      <c r="AE1354">
        <v>2</v>
      </c>
      <c r="AF1354">
        <v>5</v>
      </c>
      <c r="AG1354">
        <v>1</v>
      </c>
      <c r="AH1354">
        <v>4</v>
      </c>
      <c r="AI1354">
        <v>2</v>
      </c>
      <c r="AJ1354">
        <v>1</v>
      </c>
      <c r="AK1354" t="b">
        <f>Table67[[#This Row],[What is your age?]]&lt;&gt;"18 - 25"</f>
        <v>0</v>
      </c>
      <c r="AL1354" t="b">
        <f t="shared" si="84"/>
        <v>0</v>
      </c>
      <c r="AM1354" t="b">
        <f t="shared" si="85"/>
        <v>0</v>
      </c>
      <c r="AN1354" t="b">
        <f t="shared" si="86"/>
        <v>0</v>
      </c>
      <c r="AO1354" t="b">
        <f>OR(Table67[[#This Row],[Ineligible respondents]:[Inconsistent response on opposite question (3)]])</f>
        <v>0</v>
      </c>
      <c r="AP135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354">
        <f>Table67[[#This Row],[Extreme Response]]/21</f>
        <v>9.5238095238095233E-2</v>
      </c>
      <c r="AR1354">
        <f>_xlfn.PERCENTILE.INC(Table67[Extrem Response Ratio (ERS)],0.9)</f>
        <v>0.61904761904761907</v>
      </c>
      <c r="AS1354" t="b">
        <f>Table67[[#This Row],[Extrem Response Ratio (ERS)]]&gt;=Table67[[#This Row],[Threshold of ERS]]</f>
        <v>0</v>
      </c>
      <c r="AT1354">
        <f>COUNTIF(Table67[[#This Row],[The mechanism of digital assets is difficult to understand, which discourages me from exploring it (E.g, Tokenization, Blockchain)]:[If I want to try different ways to invest, I will explore digital assets.]], 3)</f>
        <v>5</v>
      </c>
      <c r="AU1354">
        <f>Table67[[#This Row],[Midpoint]]/21</f>
        <v>0.23809523809523808</v>
      </c>
      <c r="AV1354">
        <f>_xlfn.PERCENTILE.INC(Table67[Midpoint ratio],0.9)</f>
        <v>0.5714285714285714</v>
      </c>
      <c r="AW1354" t="b">
        <f>Table67[[#This Row],[Midpoint ratio]]&gt;=Table67[[#This Row],[Threshold of Midpoint ratio]]</f>
        <v>0</v>
      </c>
      <c r="AX1354" t="b">
        <f>OR(Table67[[#This Row],[Extreme Response Style]],Table67[[#This Row],[Mid-point Response Style]])</f>
        <v>0</v>
      </c>
      <c r="AY1354" t="b">
        <f>OR(Table67[[#This Row],[Delete? (Stage 1)]],Table67[[#This Row],[Delete? (Stage 2)]])</f>
        <v>0</v>
      </c>
      <c r="AZ1354" t="s">
        <v>84</v>
      </c>
    </row>
    <row r="1355" spans="1:52">
      <c r="A1355">
        <f t="shared" si="87"/>
        <v>1354</v>
      </c>
      <c r="B1355" s="3">
        <v>46062.036782407406</v>
      </c>
      <c r="C1355" s="3">
        <v>46062.039699074077</v>
      </c>
      <c r="D1355" t="s">
        <v>53</v>
      </c>
      <c r="G1355" t="s">
        <v>54</v>
      </c>
      <c r="H1355" t="s">
        <v>55</v>
      </c>
      <c r="I1355" t="s">
        <v>56</v>
      </c>
      <c r="J1355" t="s">
        <v>62</v>
      </c>
      <c r="K1355" t="s">
        <v>62</v>
      </c>
      <c r="L1355" t="s">
        <v>61</v>
      </c>
      <c r="M1355" t="s">
        <v>61</v>
      </c>
      <c r="N1355">
        <v>5</v>
      </c>
      <c r="O1355">
        <v>4</v>
      </c>
      <c r="P1355">
        <v>4</v>
      </c>
      <c r="Q1355">
        <v>5</v>
      </c>
      <c r="R1355">
        <v>3</v>
      </c>
      <c r="S1355">
        <v>1</v>
      </c>
      <c r="T1355">
        <v>5</v>
      </c>
      <c r="U1355">
        <v>5</v>
      </c>
      <c r="V1355">
        <v>3</v>
      </c>
      <c r="W1355">
        <v>5</v>
      </c>
      <c r="X1355">
        <v>5</v>
      </c>
      <c r="Y1355">
        <v>1</v>
      </c>
      <c r="Z1355">
        <v>5</v>
      </c>
      <c r="AA1355">
        <v>4</v>
      </c>
      <c r="AB1355">
        <v>2</v>
      </c>
      <c r="AC1355">
        <v>1</v>
      </c>
      <c r="AD1355">
        <v>5</v>
      </c>
      <c r="AE1355">
        <v>5</v>
      </c>
      <c r="AF1355">
        <v>5</v>
      </c>
      <c r="AG1355">
        <v>1</v>
      </c>
      <c r="AH1355">
        <v>5</v>
      </c>
      <c r="AI1355">
        <v>1</v>
      </c>
      <c r="AJ1355">
        <v>1</v>
      </c>
      <c r="AK1355" t="b">
        <f>Table67[[#This Row],[What is your age?]]&lt;&gt;"18 - 25"</f>
        <v>0</v>
      </c>
      <c r="AL1355" t="b">
        <f t="shared" si="84"/>
        <v>0</v>
      </c>
      <c r="AM1355" t="b">
        <f t="shared" si="85"/>
        <v>0</v>
      </c>
      <c r="AN1355" t="b">
        <f t="shared" si="86"/>
        <v>0</v>
      </c>
      <c r="AO1355" t="b">
        <f>OR(Table67[[#This Row],[Ineligible respondents]:[Inconsistent response on opposite question (3)]])</f>
        <v>0</v>
      </c>
      <c r="AP135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1355">
        <f>Table67[[#This Row],[Extreme Response]]/21</f>
        <v>0.7142857142857143</v>
      </c>
      <c r="AR1355">
        <f>_xlfn.PERCENTILE.INC(Table67[Extrem Response Ratio (ERS)],0.9)</f>
        <v>0.61904761904761907</v>
      </c>
      <c r="AS1355" t="b">
        <f>Table67[[#This Row],[Extrem Response Ratio (ERS)]]&gt;=Table67[[#This Row],[Threshold of ERS]]</f>
        <v>1</v>
      </c>
      <c r="AT1355">
        <f>COUNTIF(Table67[[#This Row],[The mechanism of digital assets is difficult to understand, which discourages me from exploring it (E.g, Tokenization, Blockchain)]:[If I want to try different ways to invest, I will explore digital assets.]], 3)</f>
        <v>2</v>
      </c>
      <c r="AU1355">
        <f>Table67[[#This Row],[Midpoint]]/21</f>
        <v>9.5238095238095233E-2</v>
      </c>
      <c r="AV1355">
        <f>_xlfn.PERCENTILE.INC(Table67[Midpoint ratio],0.9)</f>
        <v>0.5714285714285714</v>
      </c>
      <c r="AW1355" t="b">
        <f>Table67[[#This Row],[Midpoint ratio]]&gt;=Table67[[#This Row],[Threshold of Midpoint ratio]]</f>
        <v>0</v>
      </c>
      <c r="AX1355" t="b">
        <f>OR(Table67[[#This Row],[Extreme Response Style]],Table67[[#This Row],[Mid-point Response Style]])</f>
        <v>1</v>
      </c>
      <c r="AY1355" t="b">
        <f>OR(Table67[[#This Row],[Delete? (Stage 1)]],Table67[[#This Row],[Delete? (Stage 2)]])</f>
        <v>1</v>
      </c>
      <c r="AZ1355" t="s">
        <v>84</v>
      </c>
    </row>
    <row r="1356" spans="1:52">
      <c r="A1356">
        <f t="shared" si="87"/>
        <v>1355</v>
      </c>
      <c r="B1356" s="3">
        <v>46065.886793981481</v>
      </c>
      <c r="C1356" s="3">
        <v>46065.886944444443</v>
      </c>
      <c r="D1356" t="s">
        <v>53</v>
      </c>
      <c r="G1356" t="s">
        <v>54</v>
      </c>
      <c r="H1356" t="s">
        <v>55</v>
      </c>
      <c r="I1356" t="s">
        <v>56</v>
      </c>
      <c r="J1356" t="s">
        <v>64</v>
      </c>
      <c r="K1356" t="s">
        <v>62</v>
      </c>
      <c r="L1356" t="s">
        <v>58</v>
      </c>
      <c r="M1356" t="s">
        <v>58</v>
      </c>
      <c r="N1356">
        <v>4</v>
      </c>
      <c r="O1356">
        <v>5</v>
      </c>
      <c r="P1356">
        <v>4</v>
      </c>
      <c r="Q1356">
        <v>4</v>
      </c>
      <c r="R1356">
        <v>4</v>
      </c>
      <c r="S1356">
        <v>2</v>
      </c>
      <c r="T1356">
        <v>3</v>
      </c>
      <c r="U1356">
        <v>4</v>
      </c>
      <c r="V1356">
        <v>5</v>
      </c>
      <c r="W1356">
        <v>5</v>
      </c>
      <c r="X1356">
        <v>3</v>
      </c>
      <c r="Y1356">
        <v>5</v>
      </c>
      <c r="Z1356">
        <v>3</v>
      </c>
      <c r="AA1356">
        <v>2</v>
      </c>
      <c r="AB1356">
        <v>2</v>
      </c>
      <c r="AC1356">
        <v>4</v>
      </c>
      <c r="AD1356">
        <v>4</v>
      </c>
      <c r="AE1356">
        <v>3</v>
      </c>
      <c r="AF1356">
        <v>5</v>
      </c>
      <c r="AG1356">
        <v>1</v>
      </c>
      <c r="AH1356">
        <v>4</v>
      </c>
      <c r="AI1356">
        <v>2</v>
      </c>
      <c r="AJ1356">
        <v>1</v>
      </c>
      <c r="AK1356" t="b">
        <f>Table67[[#This Row],[What is your age?]]&lt;&gt;"18 - 25"</f>
        <v>0</v>
      </c>
      <c r="AL1356" t="b">
        <f t="shared" si="84"/>
        <v>0</v>
      </c>
      <c r="AM1356" t="b">
        <f t="shared" si="85"/>
        <v>0</v>
      </c>
      <c r="AN1356" t="b">
        <f t="shared" si="86"/>
        <v>0</v>
      </c>
      <c r="AO1356" t="b">
        <f>OR(Table67[[#This Row],[Ineligible respondents]:[Inconsistent response on opposite question (3)]])</f>
        <v>0</v>
      </c>
      <c r="AP135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356">
        <f>Table67[[#This Row],[Extreme Response]]/21</f>
        <v>0.2857142857142857</v>
      </c>
      <c r="AR1356">
        <f>_xlfn.PERCENTILE.INC(Table67[Extrem Response Ratio (ERS)],0.9)</f>
        <v>0.61904761904761907</v>
      </c>
      <c r="AS1356" t="b">
        <f>Table67[[#This Row],[Extrem Response Ratio (ERS)]]&gt;=Table67[[#This Row],[Threshold of ERS]]</f>
        <v>0</v>
      </c>
      <c r="AT1356">
        <f>COUNTIF(Table67[[#This Row],[The mechanism of digital assets is difficult to understand, which discourages me from exploring it (E.g, Tokenization, Blockchain)]:[If I want to try different ways to invest, I will explore digital assets.]], 3)</f>
        <v>4</v>
      </c>
      <c r="AU1356">
        <f>Table67[[#This Row],[Midpoint]]/21</f>
        <v>0.19047619047619047</v>
      </c>
      <c r="AV1356">
        <f>_xlfn.PERCENTILE.INC(Table67[Midpoint ratio],0.9)</f>
        <v>0.5714285714285714</v>
      </c>
      <c r="AW1356" t="b">
        <f>Table67[[#This Row],[Midpoint ratio]]&gt;=Table67[[#This Row],[Threshold of Midpoint ratio]]</f>
        <v>0</v>
      </c>
      <c r="AX1356" t="b">
        <f>OR(Table67[[#This Row],[Extreme Response Style]],Table67[[#This Row],[Mid-point Response Style]])</f>
        <v>0</v>
      </c>
      <c r="AY1356" t="b">
        <f>OR(Table67[[#This Row],[Delete? (Stage 1)]],Table67[[#This Row],[Delete? (Stage 2)]])</f>
        <v>0</v>
      </c>
      <c r="AZ1356" t="s">
        <v>84</v>
      </c>
    </row>
    <row r="1357" spans="1:52">
      <c r="A1357">
        <f t="shared" si="87"/>
        <v>1356</v>
      </c>
      <c r="B1357" s="3">
        <v>46062.170289351852</v>
      </c>
      <c r="C1357" s="3">
        <v>46062.175983796296</v>
      </c>
      <c r="D1357" t="s">
        <v>53</v>
      </c>
      <c r="G1357" t="s">
        <v>54</v>
      </c>
      <c r="H1357" t="s">
        <v>55</v>
      </c>
      <c r="I1357" t="s">
        <v>71</v>
      </c>
      <c r="J1357" t="s">
        <v>62</v>
      </c>
      <c r="K1357" t="s">
        <v>60</v>
      </c>
      <c r="L1357" t="s">
        <v>58</v>
      </c>
      <c r="M1357" t="s">
        <v>58</v>
      </c>
      <c r="N1357">
        <v>5</v>
      </c>
      <c r="O1357">
        <v>1</v>
      </c>
      <c r="P1357">
        <v>1</v>
      </c>
      <c r="Q1357">
        <v>2</v>
      </c>
      <c r="R1357">
        <v>5</v>
      </c>
      <c r="S1357">
        <v>5</v>
      </c>
      <c r="T1357">
        <v>2</v>
      </c>
      <c r="U1357">
        <v>1</v>
      </c>
      <c r="V1357">
        <v>5</v>
      </c>
      <c r="W1357">
        <v>1</v>
      </c>
      <c r="X1357">
        <v>2</v>
      </c>
      <c r="Y1357">
        <v>5</v>
      </c>
      <c r="Z1357">
        <v>5</v>
      </c>
      <c r="AA1357">
        <v>5</v>
      </c>
      <c r="AB1357">
        <v>5</v>
      </c>
      <c r="AC1357">
        <v>4</v>
      </c>
      <c r="AD1357">
        <v>4</v>
      </c>
      <c r="AE1357">
        <v>4</v>
      </c>
      <c r="AF1357">
        <v>2</v>
      </c>
      <c r="AG1357">
        <v>2</v>
      </c>
      <c r="AH1357">
        <v>2</v>
      </c>
      <c r="AI1357">
        <v>4</v>
      </c>
      <c r="AJ1357">
        <v>4</v>
      </c>
      <c r="AK1357" t="b">
        <f>Table67[[#This Row],[What is your age?]]&lt;&gt;"18 - 25"</f>
        <v>0</v>
      </c>
      <c r="AL1357" t="b">
        <f t="shared" si="84"/>
        <v>0</v>
      </c>
      <c r="AM1357" t="b">
        <f t="shared" si="85"/>
        <v>1</v>
      </c>
      <c r="AN1357" t="b">
        <f t="shared" si="86"/>
        <v>0</v>
      </c>
      <c r="AO1357" t="b">
        <f>OR(Table67[[#This Row],[Ineligible respondents]:[Inconsistent response on opposite question (3)]])</f>
        <v>1</v>
      </c>
      <c r="AP135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12</v>
      </c>
      <c r="AQ1357">
        <f>Table67[[#This Row],[Extreme Response]]/21</f>
        <v>0.5714285714285714</v>
      </c>
      <c r="AR1357">
        <f>_xlfn.PERCENTILE.INC(Table67[Extrem Response Ratio (ERS)],0.9)</f>
        <v>0.61904761904761907</v>
      </c>
      <c r="AS1357" t="b">
        <f>Table67[[#This Row],[Extrem Response Ratio (ERS)]]&gt;=Table67[[#This Row],[Threshold of ERS]]</f>
        <v>0</v>
      </c>
      <c r="AT1357">
        <f>COUNTIF(Table67[[#This Row],[The mechanism of digital assets is difficult to understand, which discourages me from exploring it (E.g, Tokenization, Blockchain)]:[If I want to try different ways to invest, I will explore digital assets.]], 3)</f>
        <v>0</v>
      </c>
      <c r="AU1357">
        <f>Table67[[#This Row],[Midpoint]]/21</f>
        <v>0</v>
      </c>
      <c r="AV1357">
        <f>_xlfn.PERCENTILE.INC(Table67[Midpoint ratio],0.9)</f>
        <v>0.5714285714285714</v>
      </c>
      <c r="AW1357" t="b">
        <f>Table67[[#This Row],[Midpoint ratio]]&gt;=Table67[[#This Row],[Threshold of Midpoint ratio]]</f>
        <v>0</v>
      </c>
      <c r="AX1357" t="b">
        <f>OR(Table67[[#This Row],[Extreme Response Style]],Table67[[#This Row],[Mid-point Response Style]])</f>
        <v>0</v>
      </c>
      <c r="AY1357" t="b">
        <f>OR(Table67[[#This Row],[Delete? (Stage 1)]],Table67[[#This Row],[Delete? (Stage 2)]])</f>
        <v>1</v>
      </c>
      <c r="AZ1357" t="s">
        <v>84</v>
      </c>
    </row>
    <row r="1358" spans="1:52">
      <c r="A1358">
        <f t="shared" si="87"/>
        <v>1357</v>
      </c>
      <c r="B1358" s="3">
        <v>46065.729479166665</v>
      </c>
      <c r="C1358" s="3">
        <v>46065.731192129628</v>
      </c>
      <c r="D1358" t="s">
        <v>53</v>
      </c>
      <c r="G1358" t="s">
        <v>54</v>
      </c>
      <c r="H1358" t="s">
        <v>55</v>
      </c>
      <c r="I1358" t="s">
        <v>71</v>
      </c>
      <c r="J1358" t="s">
        <v>62</v>
      </c>
      <c r="K1358" t="s">
        <v>57</v>
      </c>
      <c r="L1358" t="s">
        <v>58</v>
      </c>
      <c r="M1358" t="s">
        <v>61</v>
      </c>
      <c r="N1358">
        <v>2</v>
      </c>
      <c r="O1358">
        <v>3</v>
      </c>
      <c r="P1358">
        <v>4</v>
      </c>
      <c r="Q1358">
        <v>3</v>
      </c>
      <c r="R1358">
        <v>3</v>
      </c>
      <c r="S1358">
        <v>3</v>
      </c>
      <c r="T1358">
        <v>3</v>
      </c>
      <c r="U1358">
        <v>3</v>
      </c>
      <c r="V1358">
        <v>2</v>
      </c>
      <c r="W1358">
        <v>3</v>
      </c>
      <c r="X1358">
        <v>3</v>
      </c>
      <c r="Y1358">
        <v>3</v>
      </c>
      <c r="Z1358">
        <v>4</v>
      </c>
      <c r="AA1358">
        <v>3</v>
      </c>
      <c r="AB1358">
        <v>3</v>
      </c>
      <c r="AC1358">
        <v>4</v>
      </c>
      <c r="AD1358">
        <v>3</v>
      </c>
      <c r="AE1358">
        <v>3</v>
      </c>
      <c r="AF1358">
        <v>3</v>
      </c>
      <c r="AG1358">
        <v>2</v>
      </c>
      <c r="AH1358">
        <v>5</v>
      </c>
      <c r="AI1358">
        <v>1</v>
      </c>
      <c r="AJ1358">
        <v>3</v>
      </c>
      <c r="AK1358" t="b">
        <f>Table67[[#This Row],[What is your age?]]&lt;&gt;"18 - 25"</f>
        <v>0</v>
      </c>
      <c r="AL1358" t="b">
        <f t="shared" si="84"/>
        <v>0</v>
      </c>
      <c r="AM1358" t="b">
        <f t="shared" si="85"/>
        <v>0</v>
      </c>
      <c r="AN1358" t="b">
        <f t="shared" si="86"/>
        <v>0</v>
      </c>
      <c r="AO1358" t="b">
        <f>OR(Table67[[#This Row],[Ineligible respondents]:[Inconsistent response on opposite question (3)]])</f>
        <v>0</v>
      </c>
      <c r="AP135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358">
        <f>Table67[[#This Row],[Extreme Response]]/21</f>
        <v>4.7619047619047616E-2</v>
      </c>
      <c r="AR1358">
        <f>_xlfn.PERCENTILE.INC(Table67[Extrem Response Ratio (ERS)],0.9)</f>
        <v>0.61904761904761907</v>
      </c>
      <c r="AS1358" t="b">
        <f>Table67[[#This Row],[Extrem Response Ratio (ERS)]]&gt;=Table67[[#This Row],[Threshold of ERS]]</f>
        <v>0</v>
      </c>
      <c r="AT1358">
        <f>COUNTIF(Table67[[#This Row],[The mechanism of digital assets is difficult to understand, which discourages me from exploring it (E.g, Tokenization, Blockchain)]:[If I want to try different ways to invest, I will explore digital assets.]], 3)</f>
        <v>14</v>
      </c>
      <c r="AU1358">
        <f>Table67[[#This Row],[Midpoint]]/21</f>
        <v>0.66666666666666663</v>
      </c>
      <c r="AV1358">
        <f>_xlfn.PERCENTILE.INC(Table67[Midpoint ratio],0.9)</f>
        <v>0.5714285714285714</v>
      </c>
      <c r="AW1358" t="b">
        <f>Table67[[#This Row],[Midpoint ratio]]&gt;=Table67[[#This Row],[Threshold of Midpoint ratio]]</f>
        <v>1</v>
      </c>
      <c r="AX1358" t="b">
        <f>OR(Table67[[#This Row],[Extreme Response Style]],Table67[[#This Row],[Mid-point Response Style]])</f>
        <v>1</v>
      </c>
      <c r="AY1358" t="b">
        <f>OR(Table67[[#This Row],[Delete? (Stage 1)]],Table67[[#This Row],[Delete? (Stage 2)]])</f>
        <v>1</v>
      </c>
      <c r="AZ1358" t="s">
        <v>84</v>
      </c>
    </row>
    <row r="1359" spans="1:52">
      <c r="A1359">
        <f t="shared" si="87"/>
        <v>1358</v>
      </c>
      <c r="B1359" s="3">
        <v>46065.694560185184</v>
      </c>
      <c r="C1359" s="3">
        <v>46065.694907407407</v>
      </c>
      <c r="D1359" t="s">
        <v>53</v>
      </c>
      <c r="G1359" t="s">
        <v>54</v>
      </c>
      <c r="H1359" t="s">
        <v>55</v>
      </c>
      <c r="I1359" t="s">
        <v>56</v>
      </c>
      <c r="J1359" t="s">
        <v>65</v>
      </c>
      <c r="K1359" t="s">
        <v>62</v>
      </c>
      <c r="L1359" t="s">
        <v>58</v>
      </c>
      <c r="M1359" t="s">
        <v>58</v>
      </c>
      <c r="N1359">
        <v>1</v>
      </c>
      <c r="O1359">
        <v>1</v>
      </c>
      <c r="P1359">
        <v>3</v>
      </c>
      <c r="Q1359">
        <v>2</v>
      </c>
      <c r="R1359">
        <v>1</v>
      </c>
      <c r="S1359">
        <v>2</v>
      </c>
      <c r="T1359">
        <v>3</v>
      </c>
      <c r="U1359">
        <v>3</v>
      </c>
      <c r="V1359">
        <v>4</v>
      </c>
      <c r="W1359">
        <v>5</v>
      </c>
      <c r="X1359">
        <v>3</v>
      </c>
      <c r="Y1359">
        <v>5</v>
      </c>
      <c r="Z1359">
        <v>4</v>
      </c>
      <c r="AA1359">
        <v>2</v>
      </c>
      <c r="AB1359">
        <v>2</v>
      </c>
      <c r="AC1359">
        <v>3</v>
      </c>
      <c r="AD1359">
        <v>4</v>
      </c>
      <c r="AE1359">
        <v>4</v>
      </c>
      <c r="AF1359">
        <v>3</v>
      </c>
      <c r="AG1359">
        <v>2</v>
      </c>
      <c r="AH1359">
        <v>5</v>
      </c>
      <c r="AI1359">
        <v>1</v>
      </c>
      <c r="AJ1359">
        <v>3</v>
      </c>
      <c r="AK1359" t="b">
        <f>Table67[[#This Row],[What is your age?]]&lt;&gt;"18 - 25"</f>
        <v>0</v>
      </c>
      <c r="AL1359" t="b">
        <f t="shared" si="84"/>
        <v>0</v>
      </c>
      <c r="AM1359" t="b">
        <f t="shared" si="85"/>
        <v>0</v>
      </c>
      <c r="AN1359" t="b">
        <f t="shared" si="86"/>
        <v>0</v>
      </c>
      <c r="AO1359" t="b">
        <f>OR(Table67[[#This Row],[Ineligible respondents]:[Inconsistent response on opposite question (3)]])</f>
        <v>0</v>
      </c>
      <c r="AP135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359">
        <f>Table67[[#This Row],[Extreme Response]]/21</f>
        <v>0.2857142857142857</v>
      </c>
      <c r="AR1359">
        <f>_xlfn.PERCENTILE.INC(Table67[Extrem Response Ratio (ERS)],0.9)</f>
        <v>0.61904761904761907</v>
      </c>
      <c r="AS1359" t="b">
        <f>Table67[[#This Row],[Extrem Response Ratio (ERS)]]&gt;=Table67[[#This Row],[Threshold of ERS]]</f>
        <v>0</v>
      </c>
      <c r="AT1359">
        <f>COUNTIF(Table67[[#This Row],[The mechanism of digital assets is difficult to understand, which discourages me from exploring it (E.g, Tokenization, Blockchain)]:[If I want to try different ways to invest, I will explore digital assets.]], 3)</f>
        <v>6</v>
      </c>
      <c r="AU1359">
        <f>Table67[[#This Row],[Midpoint]]/21</f>
        <v>0.2857142857142857</v>
      </c>
      <c r="AV1359">
        <f>_xlfn.PERCENTILE.INC(Table67[Midpoint ratio],0.9)</f>
        <v>0.5714285714285714</v>
      </c>
      <c r="AW1359" t="b">
        <f>Table67[[#This Row],[Midpoint ratio]]&gt;=Table67[[#This Row],[Threshold of Midpoint ratio]]</f>
        <v>0</v>
      </c>
      <c r="AX1359" t="b">
        <f>OR(Table67[[#This Row],[Extreme Response Style]],Table67[[#This Row],[Mid-point Response Style]])</f>
        <v>0</v>
      </c>
      <c r="AY1359" t="b">
        <f>OR(Table67[[#This Row],[Delete? (Stage 1)]],Table67[[#This Row],[Delete? (Stage 2)]])</f>
        <v>0</v>
      </c>
      <c r="AZ1359" t="s">
        <v>84</v>
      </c>
    </row>
    <row r="1360" spans="1:52">
      <c r="A1360">
        <f t="shared" si="87"/>
        <v>1359</v>
      </c>
      <c r="B1360" s="3">
        <v>46062.024895833332</v>
      </c>
      <c r="C1360" s="3">
        <v>46062.027627314812</v>
      </c>
      <c r="D1360" t="s">
        <v>53</v>
      </c>
      <c r="G1360" t="s">
        <v>54</v>
      </c>
      <c r="H1360" t="s">
        <v>63</v>
      </c>
      <c r="I1360" t="s">
        <v>75</v>
      </c>
      <c r="J1360" t="s">
        <v>62</v>
      </c>
      <c r="K1360" t="s">
        <v>57</v>
      </c>
      <c r="L1360" t="s">
        <v>58</v>
      </c>
      <c r="M1360" t="s">
        <v>58</v>
      </c>
      <c r="N1360">
        <v>4</v>
      </c>
      <c r="O1360">
        <v>3</v>
      </c>
      <c r="P1360">
        <v>5</v>
      </c>
      <c r="Q1360">
        <v>2</v>
      </c>
      <c r="R1360">
        <v>5</v>
      </c>
      <c r="S1360">
        <v>5</v>
      </c>
      <c r="T1360">
        <v>2</v>
      </c>
      <c r="U1360">
        <v>4</v>
      </c>
      <c r="V1360">
        <v>4</v>
      </c>
      <c r="W1360">
        <v>4</v>
      </c>
      <c r="X1360">
        <v>2</v>
      </c>
      <c r="Y1360">
        <v>4</v>
      </c>
      <c r="Z1360">
        <v>3</v>
      </c>
      <c r="AA1360">
        <v>3</v>
      </c>
      <c r="AB1360">
        <v>3</v>
      </c>
      <c r="AC1360">
        <v>3</v>
      </c>
      <c r="AD1360">
        <v>2</v>
      </c>
      <c r="AE1360">
        <v>4</v>
      </c>
      <c r="AF1360">
        <v>4</v>
      </c>
      <c r="AG1360">
        <v>3</v>
      </c>
      <c r="AH1360">
        <v>1</v>
      </c>
      <c r="AI1360">
        <v>5</v>
      </c>
      <c r="AJ1360">
        <v>2</v>
      </c>
      <c r="AK1360" t="b">
        <f>Table67[[#This Row],[What is your age?]]&lt;&gt;"18 - 25"</f>
        <v>0</v>
      </c>
      <c r="AL1360" t="b">
        <f t="shared" si="84"/>
        <v>0</v>
      </c>
      <c r="AM1360" t="b">
        <f t="shared" si="85"/>
        <v>0</v>
      </c>
      <c r="AN1360" t="b">
        <f t="shared" si="86"/>
        <v>1</v>
      </c>
      <c r="AO1360" t="b">
        <f>OR(Table67[[#This Row],[Ineligible respondents]:[Inconsistent response on opposite question (3)]])</f>
        <v>1</v>
      </c>
      <c r="AP136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360">
        <f>Table67[[#This Row],[Extreme Response]]/21</f>
        <v>0.19047619047619047</v>
      </c>
      <c r="AR1360">
        <f>_xlfn.PERCENTILE.INC(Table67[Extrem Response Ratio (ERS)],0.9)</f>
        <v>0.61904761904761907</v>
      </c>
      <c r="AS1360" t="b">
        <f>Table67[[#This Row],[Extrem Response Ratio (ERS)]]&gt;=Table67[[#This Row],[Threshold of ERS]]</f>
        <v>0</v>
      </c>
      <c r="AT1360">
        <f>COUNTIF(Table67[[#This Row],[The mechanism of digital assets is difficult to understand, which discourages me from exploring it (E.g, Tokenization, Blockchain)]:[If I want to try different ways to invest, I will explore digital assets.]], 3)</f>
        <v>6</v>
      </c>
      <c r="AU1360">
        <f>Table67[[#This Row],[Midpoint]]/21</f>
        <v>0.2857142857142857</v>
      </c>
      <c r="AV1360">
        <f>_xlfn.PERCENTILE.INC(Table67[Midpoint ratio],0.9)</f>
        <v>0.5714285714285714</v>
      </c>
      <c r="AW1360" t="b">
        <f>Table67[[#This Row],[Midpoint ratio]]&gt;=Table67[[#This Row],[Threshold of Midpoint ratio]]</f>
        <v>0</v>
      </c>
      <c r="AX1360" t="b">
        <f>OR(Table67[[#This Row],[Extreme Response Style]],Table67[[#This Row],[Mid-point Response Style]])</f>
        <v>0</v>
      </c>
      <c r="AY1360" t="b">
        <f>OR(Table67[[#This Row],[Delete? (Stage 1)]],Table67[[#This Row],[Delete? (Stage 2)]])</f>
        <v>1</v>
      </c>
      <c r="AZ1360" t="s">
        <v>84</v>
      </c>
    </row>
    <row r="1361" spans="1:52">
      <c r="A1361">
        <f t="shared" si="87"/>
        <v>1360</v>
      </c>
      <c r="B1361" s="3">
        <v>46065.890856481485</v>
      </c>
      <c r="C1361" s="3">
        <v>46065.891527777778</v>
      </c>
      <c r="D1361" t="s">
        <v>53</v>
      </c>
      <c r="G1361" t="s">
        <v>54</v>
      </c>
      <c r="H1361" t="s">
        <v>55</v>
      </c>
      <c r="I1361" t="s">
        <v>71</v>
      </c>
      <c r="J1361" t="s">
        <v>57</v>
      </c>
      <c r="K1361" t="s">
        <v>57</v>
      </c>
      <c r="L1361" t="s">
        <v>58</v>
      </c>
      <c r="M1361" t="s">
        <v>58</v>
      </c>
      <c r="N1361">
        <v>3</v>
      </c>
      <c r="O1361">
        <v>1</v>
      </c>
      <c r="P1361">
        <v>3</v>
      </c>
      <c r="Q1361">
        <v>2</v>
      </c>
      <c r="R1361">
        <v>5</v>
      </c>
      <c r="S1361">
        <v>1</v>
      </c>
      <c r="T1361">
        <v>4</v>
      </c>
      <c r="U1361">
        <v>4</v>
      </c>
      <c r="V1361">
        <v>4</v>
      </c>
      <c r="W1361">
        <v>3</v>
      </c>
      <c r="X1361">
        <v>2</v>
      </c>
      <c r="Y1361">
        <v>4</v>
      </c>
      <c r="Z1361">
        <v>2</v>
      </c>
      <c r="AA1361">
        <v>2</v>
      </c>
      <c r="AB1361">
        <v>2</v>
      </c>
      <c r="AC1361">
        <v>2</v>
      </c>
      <c r="AD1361">
        <v>1</v>
      </c>
      <c r="AE1361">
        <v>1</v>
      </c>
      <c r="AF1361">
        <v>2</v>
      </c>
      <c r="AG1361">
        <v>2</v>
      </c>
      <c r="AH1361">
        <v>5</v>
      </c>
      <c r="AI1361">
        <v>1</v>
      </c>
      <c r="AJ1361">
        <v>4</v>
      </c>
      <c r="AK1361" t="b">
        <f>Table67[[#This Row],[What is your age?]]&lt;&gt;"18 - 25"</f>
        <v>0</v>
      </c>
      <c r="AL1361" t="b">
        <f t="shared" si="84"/>
        <v>0</v>
      </c>
      <c r="AM1361" t="b">
        <f t="shared" si="85"/>
        <v>0</v>
      </c>
      <c r="AN1361" t="b">
        <f t="shared" si="86"/>
        <v>0</v>
      </c>
      <c r="AO1361" t="b">
        <f>OR(Table67[[#This Row],[Ineligible respondents]:[Inconsistent response on opposite question (3)]])</f>
        <v>0</v>
      </c>
      <c r="AP136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361">
        <f>Table67[[#This Row],[Extreme Response]]/21</f>
        <v>0.2857142857142857</v>
      </c>
      <c r="AR1361">
        <f>_xlfn.PERCENTILE.INC(Table67[Extrem Response Ratio (ERS)],0.9)</f>
        <v>0.61904761904761907</v>
      </c>
      <c r="AS1361" t="b">
        <f>Table67[[#This Row],[Extrem Response Ratio (ERS)]]&gt;=Table67[[#This Row],[Threshold of ERS]]</f>
        <v>0</v>
      </c>
      <c r="AT1361">
        <f>COUNTIF(Table67[[#This Row],[The mechanism of digital assets is difficult to understand, which discourages me from exploring it (E.g, Tokenization, Blockchain)]:[If I want to try different ways to invest, I will explore digital assets.]], 3)</f>
        <v>3</v>
      </c>
      <c r="AU1361">
        <f>Table67[[#This Row],[Midpoint]]/21</f>
        <v>0.14285714285714285</v>
      </c>
      <c r="AV1361">
        <f>_xlfn.PERCENTILE.INC(Table67[Midpoint ratio],0.9)</f>
        <v>0.5714285714285714</v>
      </c>
      <c r="AW1361" t="b">
        <f>Table67[[#This Row],[Midpoint ratio]]&gt;=Table67[[#This Row],[Threshold of Midpoint ratio]]</f>
        <v>0</v>
      </c>
      <c r="AX1361" t="b">
        <f>OR(Table67[[#This Row],[Extreme Response Style]],Table67[[#This Row],[Mid-point Response Style]])</f>
        <v>0</v>
      </c>
      <c r="AY1361" t="b">
        <f>OR(Table67[[#This Row],[Delete? (Stage 1)]],Table67[[#This Row],[Delete? (Stage 2)]])</f>
        <v>0</v>
      </c>
      <c r="AZ1361" t="s">
        <v>84</v>
      </c>
    </row>
    <row r="1362" spans="1:52">
      <c r="A1362">
        <f t="shared" si="87"/>
        <v>1361</v>
      </c>
      <c r="B1362" s="3">
        <v>46062.045173611114</v>
      </c>
      <c r="C1362" s="3">
        <v>46062.049537037034</v>
      </c>
      <c r="D1362" t="s">
        <v>53</v>
      </c>
      <c r="G1362" t="s">
        <v>54</v>
      </c>
      <c r="H1362" t="s">
        <v>55</v>
      </c>
      <c r="I1362" t="s">
        <v>69</v>
      </c>
      <c r="J1362" t="s">
        <v>62</v>
      </c>
      <c r="K1362" t="s">
        <v>62</v>
      </c>
      <c r="L1362" t="s">
        <v>58</v>
      </c>
      <c r="M1362" t="s">
        <v>58</v>
      </c>
      <c r="N1362">
        <v>5</v>
      </c>
      <c r="O1362">
        <v>3</v>
      </c>
      <c r="P1362">
        <v>5</v>
      </c>
      <c r="Q1362">
        <v>2</v>
      </c>
      <c r="R1362">
        <v>3</v>
      </c>
      <c r="S1362">
        <v>5</v>
      </c>
      <c r="T1362">
        <v>1</v>
      </c>
      <c r="U1362">
        <v>3</v>
      </c>
      <c r="V1362">
        <v>4</v>
      </c>
      <c r="W1362">
        <v>5</v>
      </c>
      <c r="X1362">
        <v>4</v>
      </c>
      <c r="Y1362">
        <v>5</v>
      </c>
      <c r="Z1362">
        <v>5</v>
      </c>
      <c r="AA1362">
        <v>2</v>
      </c>
      <c r="AB1362">
        <v>3</v>
      </c>
      <c r="AC1362">
        <v>2</v>
      </c>
      <c r="AD1362">
        <v>2</v>
      </c>
      <c r="AE1362">
        <v>2</v>
      </c>
      <c r="AF1362">
        <v>5</v>
      </c>
      <c r="AG1362">
        <v>3</v>
      </c>
      <c r="AH1362">
        <v>5</v>
      </c>
      <c r="AI1362">
        <v>1</v>
      </c>
      <c r="AJ1362">
        <v>1</v>
      </c>
      <c r="AK1362" t="b">
        <f>Table67[[#This Row],[What is your age?]]&lt;&gt;"18 - 25"</f>
        <v>0</v>
      </c>
      <c r="AL1362" t="b">
        <f t="shared" si="84"/>
        <v>0</v>
      </c>
      <c r="AM1362" t="b">
        <f t="shared" si="85"/>
        <v>0</v>
      </c>
      <c r="AN1362" t="b">
        <f t="shared" si="86"/>
        <v>1</v>
      </c>
      <c r="AO1362" t="b">
        <f>OR(Table67[[#This Row],[Ineligible respondents]:[Inconsistent response on opposite question (3)]])</f>
        <v>1</v>
      </c>
      <c r="AP136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1362">
        <f>Table67[[#This Row],[Extreme Response]]/21</f>
        <v>0.42857142857142855</v>
      </c>
      <c r="AR1362">
        <f>_xlfn.PERCENTILE.INC(Table67[Extrem Response Ratio (ERS)],0.9)</f>
        <v>0.61904761904761907</v>
      </c>
      <c r="AS1362" t="b">
        <f>Table67[[#This Row],[Extrem Response Ratio (ERS)]]&gt;=Table67[[#This Row],[Threshold of ERS]]</f>
        <v>0</v>
      </c>
      <c r="AT1362">
        <f>COUNTIF(Table67[[#This Row],[The mechanism of digital assets is difficult to understand, which discourages me from exploring it (E.g, Tokenization, Blockchain)]:[If I want to try different ways to invest, I will explore digital assets.]], 3)</f>
        <v>5</v>
      </c>
      <c r="AU1362">
        <f>Table67[[#This Row],[Midpoint]]/21</f>
        <v>0.23809523809523808</v>
      </c>
      <c r="AV1362">
        <f>_xlfn.PERCENTILE.INC(Table67[Midpoint ratio],0.9)</f>
        <v>0.5714285714285714</v>
      </c>
      <c r="AW1362" t="b">
        <f>Table67[[#This Row],[Midpoint ratio]]&gt;=Table67[[#This Row],[Threshold of Midpoint ratio]]</f>
        <v>0</v>
      </c>
      <c r="AX1362" t="b">
        <f>OR(Table67[[#This Row],[Extreme Response Style]],Table67[[#This Row],[Mid-point Response Style]])</f>
        <v>0</v>
      </c>
      <c r="AY1362" t="b">
        <f>OR(Table67[[#This Row],[Delete? (Stage 1)]],Table67[[#This Row],[Delete? (Stage 2)]])</f>
        <v>1</v>
      </c>
      <c r="AZ1362" t="s">
        <v>84</v>
      </c>
    </row>
    <row r="1363" spans="1:52">
      <c r="A1363">
        <f t="shared" si="87"/>
        <v>1362</v>
      </c>
      <c r="B1363" s="3">
        <v>46062.172789351855</v>
      </c>
      <c r="C1363" s="3">
        <v>46062.179988425924</v>
      </c>
      <c r="D1363" t="s">
        <v>53</v>
      </c>
      <c r="G1363" t="s">
        <v>54</v>
      </c>
      <c r="H1363" t="s">
        <v>55</v>
      </c>
      <c r="I1363" t="s">
        <v>56</v>
      </c>
      <c r="J1363" t="s">
        <v>65</v>
      </c>
      <c r="K1363" t="s">
        <v>60</v>
      </c>
      <c r="L1363" t="s">
        <v>58</v>
      </c>
      <c r="M1363" t="s">
        <v>58</v>
      </c>
      <c r="N1363">
        <v>3</v>
      </c>
      <c r="O1363">
        <v>3</v>
      </c>
      <c r="P1363">
        <v>4</v>
      </c>
      <c r="Q1363">
        <v>2</v>
      </c>
      <c r="R1363">
        <v>4</v>
      </c>
      <c r="S1363">
        <v>2</v>
      </c>
      <c r="T1363">
        <v>3</v>
      </c>
      <c r="U1363">
        <v>2</v>
      </c>
      <c r="V1363">
        <v>4</v>
      </c>
      <c r="W1363">
        <v>4</v>
      </c>
      <c r="X1363">
        <v>3</v>
      </c>
      <c r="Y1363">
        <v>4</v>
      </c>
      <c r="Z1363">
        <v>3</v>
      </c>
      <c r="AA1363">
        <v>3</v>
      </c>
      <c r="AB1363">
        <v>2</v>
      </c>
      <c r="AC1363">
        <v>3</v>
      </c>
      <c r="AD1363">
        <v>4</v>
      </c>
      <c r="AE1363">
        <v>2</v>
      </c>
      <c r="AF1363">
        <v>3</v>
      </c>
      <c r="AG1363">
        <v>3</v>
      </c>
      <c r="AH1363">
        <v>2</v>
      </c>
      <c r="AI1363">
        <v>4</v>
      </c>
      <c r="AJ1363">
        <v>3</v>
      </c>
      <c r="AK1363" t="b">
        <f>Table67[[#This Row],[What is your age?]]&lt;&gt;"18 - 25"</f>
        <v>0</v>
      </c>
      <c r="AL1363" t="b">
        <f t="shared" si="84"/>
        <v>0</v>
      </c>
      <c r="AM1363" t="b">
        <f t="shared" si="85"/>
        <v>0</v>
      </c>
      <c r="AN1363" t="b">
        <f t="shared" si="86"/>
        <v>1</v>
      </c>
      <c r="AO1363" t="b">
        <f>OR(Table67[[#This Row],[Ineligible respondents]:[Inconsistent response on opposite question (3)]])</f>
        <v>1</v>
      </c>
      <c r="AP136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363">
        <f>Table67[[#This Row],[Extreme Response]]/21</f>
        <v>0</v>
      </c>
      <c r="AR1363">
        <f>_xlfn.PERCENTILE.INC(Table67[Extrem Response Ratio (ERS)],0.9)</f>
        <v>0.61904761904761907</v>
      </c>
      <c r="AS1363" t="b">
        <f>Table67[[#This Row],[Extrem Response Ratio (ERS)]]&gt;=Table67[[#This Row],[Threshold of ERS]]</f>
        <v>0</v>
      </c>
      <c r="AT1363">
        <f>COUNTIF(Table67[[#This Row],[The mechanism of digital assets is difficult to understand, which discourages me from exploring it (E.g, Tokenization, Blockchain)]:[If I want to try different ways to invest, I will explore digital assets.]], 3)</f>
        <v>9</v>
      </c>
      <c r="AU1363">
        <f>Table67[[#This Row],[Midpoint]]/21</f>
        <v>0.42857142857142855</v>
      </c>
      <c r="AV1363">
        <f>_xlfn.PERCENTILE.INC(Table67[Midpoint ratio],0.9)</f>
        <v>0.5714285714285714</v>
      </c>
      <c r="AW1363" t="b">
        <f>Table67[[#This Row],[Midpoint ratio]]&gt;=Table67[[#This Row],[Threshold of Midpoint ratio]]</f>
        <v>0</v>
      </c>
      <c r="AX1363" t="b">
        <f>OR(Table67[[#This Row],[Extreme Response Style]],Table67[[#This Row],[Mid-point Response Style]])</f>
        <v>0</v>
      </c>
      <c r="AY1363" t="b">
        <f>OR(Table67[[#This Row],[Delete? (Stage 1)]],Table67[[#This Row],[Delete? (Stage 2)]])</f>
        <v>1</v>
      </c>
      <c r="AZ1363" t="s">
        <v>84</v>
      </c>
    </row>
    <row r="1364" spans="1:52">
      <c r="A1364">
        <f t="shared" si="87"/>
        <v>1363</v>
      </c>
      <c r="B1364" s="3">
        <v>46062.063043981485</v>
      </c>
      <c r="C1364" s="3">
        <v>46062.069537037038</v>
      </c>
      <c r="D1364" t="s">
        <v>53</v>
      </c>
      <c r="G1364" t="s">
        <v>54</v>
      </c>
      <c r="H1364" t="s">
        <v>63</v>
      </c>
      <c r="I1364" t="s">
        <v>56</v>
      </c>
      <c r="J1364" t="s">
        <v>57</v>
      </c>
      <c r="K1364" t="s">
        <v>57</v>
      </c>
      <c r="L1364" t="s">
        <v>58</v>
      </c>
      <c r="M1364" t="s">
        <v>58</v>
      </c>
      <c r="N1364">
        <v>4</v>
      </c>
      <c r="O1364">
        <v>4</v>
      </c>
      <c r="P1364">
        <v>3</v>
      </c>
      <c r="Q1364">
        <v>3</v>
      </c>
      <c r="R1364">
        <v>4</v>
      </c>
      <c r="S1364">
        <v>5</v>
      </c>
      <c r="T1364">
        <v>3</v>
      </c>
      <c r="U1364">
        <v>4</v>
      </c>
      <c r="V1364">
        <v>5</v>
      </c>
      <c r="W1364">
        <v>5</v>
      </c>
      <c r="X1364">
        <v>4</v>
      </c>
      <c r="Y1364">
        <v>5</v>
      </c>
      <c r="Z1364">
        <v>5</v>
      </c>
      <c r="AA1364">
        <v>4</v>
      </c>
      <c r="AB1364">
        <v>2</v>
      </c>
      <c r="AC1364">
        <v>3</v>
      </c>
      <c r="AD1364">
        <v>5</v>
      </c>
      <c r="AE1364">
        <v>3</v>
      </c>
      <c r="AF1364">
        <v>4</v>
      </c>
      <c r="AG1364">
        <v>2</v>
      </c>
      <c r="AH1364">
        <v>3</v>
      </c>
      <c r="AI1364">
        <v>3</v>
      </c>
      <c r="AJ1364">
        <v>2</v>
      </c>
      <c r="AK1364" t="b">
        <f>Table67[[#This Row],[What is your age?]]&lt;&gt;"18 - 25"</f>
        <v>0</v>
      </c>
      <c r="AL1364" t="b">
        <f t="shared" si="84"/>
        <v>0</v>
      </c>
      <c r="AM1364" t="b">
        <f t="shared" si="85"/>
        <v>0</v>
      </c>
      <c r="AN1364" t="b">
        <f t="shared" si="86"/>
        <v>1</v>
      </c>
      <c r="AO1364" t="b">
        <f>OR(Table67[[#This Row],[Ineligible respondents]:[Inconsistent response on opposite question (3)]])</f>
        <v>1</v>
      </c>
      <c r="AP136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364">
        <f>Table67[[#This Row],[Extreme Response]]/21</f>
        <v>0.2857142857142857</v>
      </c>
      <c r="AR1364">
        <f>_xlfn.PERCENTILE.INC(Table67[Extrem Response Ratio (ERS)],0.9)</f>
        <v>0.61904761904761907</v>
      </c>
      <c r="AS1364" t="b">
        <f>Table67[[#This Row],[Extrem Response Ratio (ERS)]]&gt;=Table67[[#This Row],[Threshold of ERS]]</f>
        <v>0</v>
      </c>
      <c r="AT1364">
        <f>COUNTIF(Table67[[#This Row],[The mechanism of digital assets is difficult to understand, which discourages me from exploring it (E.g, Tokenization, Blockchain)]:[If I want to try different ways to invest, I will explore digital assets.]], 3)</f>
        <v>6</v>
      </c>
      <c r="AU1364">
        <f>Table67[[#This Row],[Midpoint]]/21</f>
        <v>0.2857142857142857</v>
      </c>
      <c r="AV1364">
        <f>_xlfn.PERCENTILE.INC(Table67[Midpoint ratio],0.9)</f>
        <v>0.5714285714285714</v>
      </c>
      <c r="AW1364" t="b">
        <f>Table67[[#This Row],[Midpoint ratio]]&gt;=Table67[[#This Row],[Threshold of Midpoint ratio]]</f>
        <v>0</v>
      </c>
      <c r="AX1364" t="b">
        <f>OR(Table67[[#This Row],[Extreme Response Style]],Table67[[#This Row],[Mid-point Response Style]])</f>
        <v>0</v>
      </c>
      <c r="AY1364" t="b">
        <f>OR(Table67[[#This Row],[Delete? (Stage 1)]],Table67[[#This Row],[Delete? (Stage 2)]])</f>
        <v>1</v>
      </c>
      <c r="AZ1364" t="s">
        <v>84</v>
      </c>
    </row>
    <row r="1365" spans="1:52">
      <c r="A1365">
        <f t="shared" si="87"/>
        <v>1364</v>
      </c>
      <c r="B1365" s="3">
        <v>46062.163414351853</v>
      </c>
      <c r="C1365" s="3">
        <v>46062.165347222224</v>
      </c>
      <c r="D1365" t="s">
        <v>53</v>
      </c>
      <c r="G1365" t="s">
        <v>54</v>
      </c>
      <c r="H1365" t="s">
        <v>63</v>
      </c>
      <c r="I1365" t="s">
        <v>71</v>
      </c>
      <c r="J1365" t="s">
        <v>62</v>
      </c>
      <c r="K1365" t="s">
        <v>57</v>
      </c>
      <c r="L1365" t="s">
        <v>58</v>
      </c>
      <c r="M1365" t="s">
        <v>58</v>
      </c>
      <c r="N1365">
        <v>4</v>
      </c>
      <c r="O1365">
        <v>2</v>
      </c>
      <c r="P1365">
        <v>4</v>
      </c>
      <c r="Q1365">
        <v>4</v>
      </c>
      <c r="R1365">
        <v>4</v>
      </c>
      <c r="S1365">
        <v>4</v>
      </c>
      <c r="T1365">
        <v>4</v>
      </c>
      <c r="U1365">
        <v>4</v>
      </c>
      <c r="V1365">
        <v>4</v>
      </c>
      <c r="W1365">
        <v>4</v>
      </c>
      <c r="X1365">
        <v>4</v>
      </c>
      <c r="Y1365">
        <v>4</v>
      </c>
      <c r="Z1365">
        <v>4</v>
      </c>
      <c r="AA1365">
        <v>4</v>
      </c>
      <c r="AB1365">
        <v>4</v>
      </c>
      <c r="AC1365">
        <v>4</v>
      </c>
      <c r="AD1365">
        <v>3</v>
      </c>
      <c r="AE1365">
        <v>3</v>
      </c>
      <c r="AF1365">
        <v>2</v>
      </c>
      <c r="AG1365">
        <v>3</v>
      </c>
      <c r="AH1365">
        <v>1</v>
      </c>
      <c r="AI1365">
        <v>5</v>
      </c>
      <c r="AJ1365">
        <v>4</v>
      </c>
      <c r="AK1365" t="b">
        <f>Table67[[#This Row],[What is your age?]]&lt;&gt;"18 - 25"</f>
        <v>0</v>
      </c>
      <c r="AL1365" t="b">
        <f t="shared" si="84"/>
        <v>0</v>
      </c>
      <c r="AM1365" t="b">
        <f t="shared" si="85"/>
        <v>0</v>
      </c>
      <c r="AN1365" t="b">
        <f t="shared" si="86"/>
        <v>1</v>
      </c>
      <c r="AO1365" t="b">
        <f>OR(Table67[[#This Row],[Ineligible respondents]:[Inconsistent response on opposite question (3)]])</f>
        <v>1</v>
      </c>
      <c r="AP136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365">
        <f>Table67[[#This Row],[Extreme Response]]/21</f>
        <v>4.7619047619047616E-2</v>
      </c>
      <c r="AR1365">
        <f>_xlfn.PERCENTILE.INC(Table67[Extrem Response Ratio (ERS)],0.9)</f>
        <v>0.61904761904761907</v>
      </c>
      <c r="AS1365" t="b">
        <f>Table67[[#This Row],[Extrem Response Ratio (ERS)]]&gt;=Table67[[#This Row],[Threshold of ERS]]</f>
        <v>0</v>
      </c>
      <c r="AT1365">
        <f>COUNTIF(Table67[[#This Row],[The mechanism of digital assets is difficult to understand, which discourages me from exploring it (E.g, Tokenization, Blockchain)]:[If I want to try different ways to invest, I will explore digital assets.]], 3)</f>
        <v>3</v>
      </c>
      <c r="AU1365">
        <f>Table67[[#This Row],[Midpoint]]/21</f>
        <v>0.14285714285714285</v>
      </c>
      <c r="AV1365">
        <f>_xlfn.PERCENTILE.INC(Table67[Midpoint ratio],0.9)</f>
        <v>0.5714285714285714</v>
      </c>
      <c r="AW1365" t="b">
        <f>Table67[[#This Row],[Midpoint ratio]]&gt;=Table67[[#This Row],[Threshold of Midpoint ratio]]</f>
        <v>0</v>
      </c>
      <c r="AX1365" t="b">
        <f>OR(Table67[[#This Row],[Extreme Response Style]],Table67[[#This Row],[Mid-point Response Style]])</f>
        <v>0</v>
      </c>
      <c r="AY1365" t="b">
        <f>OR(Table67[[#This Row],[Delete? (Stage 1)]],Table67[[#This Row],[Delete? (Stage 2)]])</f>
        <v>1</v>
      </c>
      <c r="AZ1365" t="s">
        <v>84</v>
      </c>
    </row>
    <row r="1366" spans="1:52">
      <c r="A1366">
        <f t="shared" si="87"/>
        <v>1365</v>
      </c>
      <c r="B1366" s="3">
        <v>46062.039409722223</v>
      </c>
      <c r="C1366" s="3">
        <v>46062.042824074073</v>
      </c>
      <c r="D1366" t="s">
        <v>53</v>
      </c>
      <c r="G1366" t="s">
        <v>54</v>
      </c>
      <c r="H1366" t="s">
        <v>63</v>
      </c>
      <c r="I1366" t="s">
        <v>56</v>
      </c>
      <c r="J1366" t="s">
        <v>62</v>
      </c>
      <c r="K1366" t="s">
        <v>57</v>
      </c>
      <c r="L1366" t="s">
        <v>58</v>
      </c>
      <c r="M1366" t="s">
        <v>58</v>
      </c>
      <c r="N1366">
        <v>4</v>
      </c>
      <c r="O1366">
        <v>2</v>
      </c>
      <c r="P1366">
        <v>4</v>
      </c>
      <c r="Q1366">
        <v>2</v>
      </c>
      <c r="R1366">
        <v>3</v>
      </c>
      <c r="S1366">
        <v>4</v>
      </c>
      <c r="T1366">
        <v>5</v>
      </c>
      <c r="U1366">
        <v>5</v>
      </c>
      <c r="V1366">
        <v>4</v>
      </c>
      <c r="W1366">
        <v>4</v>
      </c>
      <c r="X1366">
        <v>3</v>
      </c>
      <c r="Y1366">
        <v>5</v>
      </c>
      <c r="Z1366">
        <v>4</v>
      </c>
      <c r="AA1366">
        <v>3</v>
      </c>
      <c r="AB1366">
        <v>2</v>
      </c>
      <c r="AC1366">
        <v>4</v>
      </c>
      <c r="AD1366">
        <v>5</v>
      </c>
      <c r="AE1366">
        <v>5</v>
      </c>
      <c r="AF1366">
        <v>1</v>
      </c>
      <c r="AG1366">
        <v>2</v>
      </c>
      <c r="AH1366">
        <v>1</v>
      </c>
      <c r="AI1366">
        <v>5</v>
      </c>
      <c r="AJ1366">
        <v>5</v>
      </c>
      <c r="AK1366" t="b">
        <f>Table67[[#This Row],[What is your age?]]&lt;&gt;"18 - 25"</f>
        <v>0</v>
      </c>
      <c r="AL1366" t="b">
        <f t="shared" si="84"/>
        <v>0</v>
      </c>
      <c r="AM1366" t="b">
        <f t="shared" si="85"/>
        <v>1</v>
      </c>
      <c r="AN1366" t="b">
        <f t="shared" si="86"/>
        <v>0</v>
      </c>
      <c r="AO1366" t="b">
        <f>OR(Table67[[#This Row],[Ineligible respondents]:[Inconsistent response on opposite question (3)]])</f>
        <v>1</v>
      </c>
      <c r="AP136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366">
        <f>Table67[[#This Row],[Extreme Response]]/21</f>
        <v>0.33333333333333331</v>
      </c>
      <c r="AR1366">
        <f>_xlfn.PERCENTILE.INC(Table67[Extrem Response Ratio (ERS)],0.9)</f>
        <v>0.61904761904761907</v>
      </c>
      <c r="AS1366" t="b">
        <f>Table67[[#This Row],[Extrem Response Ratio (ERS)]]&gt;=Table67[[#This Row],[Threshold of ERS]]</f>
        <v>0</v>
      </c>
      <c r="AT1366">
        <f>COUNTIF(Table67[[#This Row],[The mechanism of digital assets is difficult to understand, which discourages me from exploring it (E.g, Tokenization, Blockchain)]:[If I want to try different ways to invest, I will explore digital assets.]], 3)</f>
        <v>3</v>
      </c>
      <c r="AU1366">
        <f>Table67[[#This Row],[Midpoint]]/21</f>
        <v>0.14285714285714285</v>
      </c>
      <c r="AV1366">
        <f>_xlfn.PERCENTILE.INC(Table67[Midpoint ratio],0.9)</f>
        <v>0.5714285714285714</v>
      </c>
      <c r="AW1366" t="b">
        <f>Table67[[#This Row],[Midpoint ratio]]&gt;=Table67[[#This Row],[Threshold of Midpoint ratio]]</f>
        <v>0</v>
      </c>
      <c r="AX1366" t="b">
        <f>OR(Table67[[#This Row],[Extreme Response Style]],Table67[[#This Row],[Mid-point Response Style]])</f>
        <v>0</v>
      </c>
      <c r="AY1366" t="b">
        <f>OR(Table67[[#This Row],[Delete? (Stage 1)]],Table67[[#This Row],[Delete? (Stage 2)]])</f>
        <v>1</v>
      </c>
      <c r="AZ1366" t="s">
        <v>84</v>
      </c>
    </row>
    <row r="1367" spans="1:52">
      <c r="A1367">
        <f t="shared" si="87"/>
        <v>1366</v>
      </c>
      <c r="B1367" s="3">
        <v>46062.049884259257</v>
      </c>
      <c r="C1367" s="3">
        <v>46062.060937499999</v>
      </c>
      <c r="D1367" t="s">
        <v>53</v>
      </c>
      <c r="G1367" t="s">
        <v>54</v>
      </c>
      <c r="H1367" t="s">
        <v>55</v>
      </c>
      <c r="I1367" t="s">
        <v>71</v>
      </c>
      <c r="J1367" t="s">
        <v>62</v>
      </c>
      <c r="K1367" t="s">
        <v>57</v>
      </c>
      <c r="L1367" t="s">
        <v>58</v>
      </c>
      <c r="M1367" t="s">
        <v>58</v>
      </c>
      <c r="N1367">
        <v>4</v>
      </c>
      <c r="O1367">
        <v>4</v>
      </c>
      <c r="P1367">
        <v>5</v>
      </c>
      <c r="Q1367">
        <v>3</v>
      </c>
      <c r="R1367">
        <v>3</v>
      </c>
      <c r="S1367">
        <v>4</v>
      </c>
      <c r="T1367">
        <v>4</v>
      </c>
      <c r="U1367">
        <v>4</v>
      </c>
      <c r="V1367">
        <v>5</v>
      </c>
      <c r="W1367">
        <v>4</v>
      </c>
      <c r="X1367">
        <v>3</v>
      </c>
      <c r="Y1367">
        <v>4</v>
      </c>
      <c r="Z1367">
        <v>5</v>
      </c>
      <c r="AA1367">
        <v>3</v>
      </c>
      <c r="AB1367">
        <v>3</v>
      </c>
      <c r="AC1367">
        <v>2</v>
      </c>
      <c r="AD1367">
        <v>5</v>
      </c>
      <c r="AE1367">
        <v>2</v>
      </c>
      <c r="AF1367">
        <v>3</v>
      </c>
      <c r="AG1367">
        <v>4</v>
      </c>
      <c r="AH1367">
        <v>3</v>
      </c>
      <c r="AI1367">
        <v>3</v>
      </c>
      <c r="AJ1367">
        <v>3</v>
      </c>
      <c r="AK1367" t="b">
        <f>Table67[[#This Row],[What is your age?]]&lt;&gt;"18 - 25"</f>
        <v>0</v>
      </c>
      <c r="AL1367" t="b">
        <f t="shared" si="84"/>
        <v>0</v>
      </c>
      <c r="AM1367" t="b">
        <f t="shared" si="85"/>
        <v>0</v>
      </c>
      <c r="AN1367" t="b">
        <f t="shared" si="86"/>
        <v>1</v>
      </c>
      <c r="AO1367" t="b">
        <f>OR(Table67[[#This Row],[Ineligible respondents]:[Inconsistent response on opposite question (3)]])</f>
        <v>1</v>
      </c>
      <c r="AP136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367">
        <f>Table67[[#This Row],[Extreme Response]]/21</f>
        <v>0.19047619047619047</v>
      </c>
      <c r="AR1367">
        <f>_xlfn.PERCENTILE.INC(Table67[Extrem Response Ratio (ERS)],0.9)</f>
        <v>0.61904761904761907</v>
      </c>
      <c r="AS1367" t="b">
        <f>Table67[[#This Row],[Extrem Response Ratio (ERS)]]&gt;=Table67[[#This Row],[Threshold of ERS]]</f>
        <v>0</v>
      </c>
      <c r="AT1367">
        <f>COUNTIF(Table67[[#This Row],[The mechanism of digital assets is difficult to understand, which discourages me from exploring it (E.g, Tokenization, Blockchain)]:[If I want to try different ways to invest, I will explore digital assets.]], 3)</f>
        <v>7</v>
      </c>
      <c r="AU1367">
        <f>Table67[[#This Row],[Midpoint]]/21</f>
        <v>0.33333333333333331</v>
      </c>
      <c r="AV1367">
        <f>_xlfn.PERCENTILE.INC(Table67[Midpoint ratio],0.9)</f>
        <v>0.5714285714285714</v>
      </c>
      <c r="AW1367" t="b">
        <f>Table67[[#This Row],[Midpoint ratio]]&gt;=Table67[[#This Row],[Threshold of Midpoint ratio]]</f>
        <v>0</v>
      </c>
      <c r="AX1367" t="b">
        <f>OR(Table67[[#This Row],[Extreme Response Style]],Table67[[#This Row],[Mid-point Response Style]])</f>
        <v>0</v>
      </c>
      <c r="AY1367" t="b">
        <f>OR(Table67[[#This Row],[Delete? (Stage 1)]],Table67[[#This Row],[Delete? (Stage 2)]])</f>
        <v>1</v>
      </c>
      <c r="AZ1367" t="s">
        <v>84</v>
      </c>
    </row>
    <row r="1368" spans="1:52">
      <c r="A1368">
        <f t="shared" si="87"/>
        <v>1367</v>
      </c>
      <c r="B1368" s="3">
        <v>46065.861597222225</v>
      </c>
      <c r="C1368" s="3">
        <v>46065.867129629631</v>
      </c>
      <c r="D1368" t="s">
        <v>53</v>
      </c>
      <c r="G1368" t="s">
        <v>54</v>
      </c>
      <c r="H1368" t="s">
        <v>63</v>
      </c>
      <c r="I1368" t="s">
        <v>56</v>
      </c>
      <c r="J1368" t="s">
        <v>62</v>
      </c>
      <c r="K1368" t="s">
        <v>62</v>
      </c>
      <c r="L1368" t="s">
        <v>61</v>
      </c>
      <c r="M1368" t="s">
        <v>61</v>
      </c>
      <c r="N1368">
        <v>3</v>
      </c>
      <c r="O1368">
        <v>3</v>
      </c>
      <c r="P1368">
        <v>3</v>
      </c>
      <c r="Q1368">
        <v>3</v>
      </c>
      <c r="R1368">
        <v>3</v>
      </c>
      <c r="S1368">
        <v>3</v>
      </c>
      <c r="T1368">
        <v>2</v>
      </c>
      <c r="U1368">
        <v>3</v>
      </c>
      <c r="V1368">
        <v>3</v>
      </c>
      <c r="W1368">
        <v>3</v>
      </c>
      <c r="X1368">
        <v>4</v>
      </c>
      <c r="Y1368">
        <v>3</v>
      </c>
      <c r="Z1368">
        <v>4</v>
      </c>
      <c r="AA1368">
        <v>3</v>
      </c>
      <c r="AB1368">
        <v>3</v>
      </c>
      <c r="AC1368">
        <v>4</v>
      </c>
      <c r="AD1368">
        <v>4</v>
      </c>
      <c r="AE1368">
        <v>4</v>
      </c>
      <c r="AF1368">
        <v>2</v>
      </c>
      <c r="AG1368">
        <v>3</v>
      </c>
      <c r="AH1368">
        <v>3</v>
      </c>
      <c r="AI1368">
        <v>3</v>
      </c>
      <c r="AJ1368">
        <v>4</v>
      </c>
      <c r="AK1368" t="b">
        <f>Table67[[#This Row],[What is your age?]]&lt;&gt;"18 - 25"</f>
        <v>0</v>
      </c>
      <c r="AL1368" t="b">
        <f t="shared" si="84"/>
        <v>0</v>
      </c>
      <c r="AM1368" t="b">
        <f t="shared" si="85"/>
        <v>0</v>
      </c>
      <c r="AN1368" t="b">
        <f t="shared" si="86"/>
        <v>0</v>
      </c>
      <c r="AO1368" t="b">
        <f>OR(Table67[[#This Row],[Ineligible respondents]:[Inconsistent response on opposite question (3)]])</f>
        <v>0</v>
      </c>
      <c r="AP136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368">
        <f>Table67[[#This Row],[Extreme Response]]/21</f>
        <v>0</v>
      </c>
      <c r="AR1368">
        <f>_xlfn.PERCENTILE.INC(Table67[Extrem Response Ratio (ERS)],0.9)</f>
        <v>0.61904761904761907</v>
      </c>
      <c r="AS1368" t="b">
        <f>Table67[[#This Row],[Extrem Response Ratio (ERS)]]&gt;=Table67[[#This Row],[Threshold of ERS]]</f>
        <v>0</v>
      </c>
      <c r="AT1368">
        <f>COUNTIF(Table67[[#This Row],[The mechanism of digital assets is difficult to understand, which discourages me from exploring it (E.g, Tokenization, Blockchain)]:[If I want to try different ways to invest, I will explore digital assets.]], 3)</f>
        <v>14</v>
      </c>
      <c r="AU1368">
        <f>Table67[[#This Row],[Midpoint]]/21</f>
        <v>0.66666666666666663</v>
      </c>
      <c r="AV1368">
        <f>_xlfn.PERCENTILE.INC(Table67[Midpoint ratio],0.9)</f>
        <v>0.5714285714285714</v>
      </c>
      <c r="AW1368" t="b">
        <f>Table67[[#This Row],[Midpoint ratio]]&gt;=Table67[[#This Row],[Threshold of Midpoint ratio]]</f>
        <v>1</v>
      </c>
      <c r="AX1368" t="b">
        <f>OR(Table67[[#This Row],[Extreme Response Style]],Table67[[#This Row],[Mid-point Response Style]])</f>
        <v>1</v>
      </c>
      <c r="AY1368" t="b">
        <f>OR(Table67[[#This Row],[Delete? (Stage 1)]],Table67[[#This Row],[Delete? (Stage 2)]])</f>
        <v>1</v>
      </c>
      <c r="AZ1368" t="s">
        <v>84</v>
      </c>
    </row>
    <row r="1369" spans="1:52">
      <c r="A1369">
        <f t="shared" si="87"/>
        <v>1368</v>
      </c>
      <c r="B1369" s="3">
        <v>46065.714988425927</v>
      </c>
      <c r="C1369" s="3">
        <v>46065.715185185189</v>
      </c>
      <c r="D1369" t="s">
        <v>53</v>
      </c>
      <c r="G1369" t="s">
        <v>54</v>
      </c>
      <c r="H1369" t="s">
        <v>63</v>
      </c>
      <c r="I1369" t="s">
        <v>56</v>
      </c>
      <c r="J1369" t="s">
        <v>62</v>
      </c>
      <c r="K1369" t="s">
        <v>62</v>
      </c>
      <c r="L1369" t="s">
        <v>58</v>
      </c>
      <c r="M1369" t="s">
        <v>58</v>
      </c>
      <c r="N1369">
        <v>1</v>
      </c>
      <c r="O1369">
        <v>1</v>
      </c>
      <c r="P1369">
        <v>4</v>
      </c>
      <c r="Q1369">
        <v>4</v>
      </c>
      <c r="R1369">
        <v>1</v>
      </c>
      <c r="S1369">
        <v>3</v>
      </c>
      <c r="T1369">
        <v>2</v>
      </c>
      <c r="U1369">
        <v>4</v>
      </c>
      <c r="V1369">
        <v>3</v>
      </c>
      <c r="W1369">
        <v>3</v>
      </c>
      <c r="X1369">
        <v>2</v>
      </c>
      <c r="Y1369">
        <v>2</v>
      </c>
      <c r="Z1369">
        <v>3</v>
      </c>
      <c r="AA1369">
        <v>2</v>
      </c>
      <c r="AB1369">
        <v>2</v>
      </c>
      <c r="AC1369">
        <v>4</v>
      </c>
      <c r="AD1369">
        <v>2</v>
      </c>
      <c r="AE1369">
        <v>2</v>
      </c>
      <c r="AF1369">
        <v>4</v>
      </c>
      <c r="AG1369">
        <v>2</v>
      </c>
      <c r="AH1369">
        <v>4</v>
      </c>
      <c r="AI1369">
        <v>2</v>
      </c>
      <c r="AJ1369">
        <v>2</v>
      </c>
      <c r="AK1369" t="b">
        <f>Table67[[#This Row],[What is your age?]]&lt;&gt;"18 - 25"</f>
        <v>0</v>
      </c>
      <c r="AL1369" t="b">
        <f t="shared" si="84"/>
        <v>0</v>
      </c>
      <c r="AM1369" t="b">
        <f t="shared" si="85"/>
        <v>0</v>
      </c>
      <c r="AN1369" t="b">
        <f t="shared" si="86"/>
        <v>0</v>
      </c>
      <c r="AO1369" t="b">
        <f>OR(Table67[[#This Row],[Ineligible respondents]:[Inconsistent response on opposite question (3)]])</f>
        <v>0</v>
      </c>
      <c r="AP136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369">
        <f>Table67[[#This Row],[Extreme Response]]/21</f>
        <v>0.14285714285714285</v>
      </c>
      <c r="AR1369">
        <f>_xlfn.PERCENTILE.INC(Table67[Extrem Response Ratio (ERS)],0.9)</f>
        <v>0.61904761904761907</v>
      </c>
      <c r="AS1369" t="b">
        <f>Table67[[#This Row],[Extrem Response Ratio (ERS)]]&gt;=Table67[[#This Row],[Threshold of ERS]]</f>
        <v>0</v>
      </c>
      <c r="AT1369">
        <f>COUNTIF(Table67[[#This Row],[The mechanism of digital assets is difficult to understand, which discourages me from exploring it (E.g, Tokenization, Blockchain)]:[If I want to try different ways to invest, I will explore digital assets.]], 3)</f>
        <v>4</v>
      </c>
      <c r="AU1369">
        <f>Table67[[#This Row],[Midpoint]]/21</f>
        <v>0.19047619047619047</v>
      </c>
      <c r="AV1369">
        <f>_xlfn.PERCENTILE.INC(Table67[Midpoint ratio],0.9)</f>
        <v>0.5714285714285714</v>
      </c>
      <c r="AW1369" t="b">
        <f>Table67[[#This Row],[Midpoint ratio]]&gt;=Table67[[#This Row],[Threshold of Midpoint ratio]]</f>
        <v>0</v>
      </c>
      <c r="AX1369" t="b">
        <f>OR(Table67[[#This Row],[Extreme Response Style]],Table67[[#This Row],[Mid-point Response Style]])</f>
        <v>0</v>
      </c>
      <c r="AY1369" t="b">
        <f>OR(Table67[[#This Row],[Delete? (Stage 1)]],Table67[[#This Row],[Delete? (Stage 2)]])</f>
        <v>0</v>
      </c>
      <c r="AZ1369" t="s">
        <v>84</v>
      </c>
    </row>
    <row r="1370" spans="1:52">
      <c r="A1370">
        <f t="shared" si="87"/>
        <v>1369</v>
      </c>
      <c r="B1370" s="3">
        <v>46062.042500000003</v>
      </c>
      <c r="C1370" s="3">
        <v>46062.047083333331</v>
      </c>
      <c r="D1370" t="s">
        <v>53</v>
      </c>
      <c r="G1370" t="s">
        <v>54</v>
      </c>
      <c r="H1370" t="s">
        <v>63</v>
      </c>
      <c r="I1370" t="s">
        <v>56</v>
      </c>
      <c r="J1370" t="s">
        <v>57</v>
      </c>
      <c r="K1370" t="s">
        <v>62</v>
      </c>
      <c r="L1370" t="s">
        <v>58</v>
      </c>
      <c r="M1370" t="s">
        <v>58</v>
      </c>
      <c r="N1370">
        <v>4</v>
      </c>
      <c r="O1370">
        <v>4</v>
      </c>
      <c r="P1370">
        <v>4</v>
      </c>
      <c r="Q1370">
        <v>4</v>
      </c>
      <c r="R1370">
        <v>4</v>
      </c>
      <c r="S1370">
        <v>5</v>
      </c>
      <c r="T1370">
        <v>4</v>
      </c>
      <c r="U1370">
        <v>4</v>
      </c>
      <c r="V1370">
        <v>5</v>
      </c>
      <c r="W1370">
        <v>5</v>
      </c>
      <c r="X1370">
        <v>5</v>
      </c>
      <c r="Y1370">
        <v>5</v>
      </c>
      <c r="Z1370">
        <v>2</v>
      </c>
      <c r="AA1370">
        <v>5</v>
      </c>
      <c r="AB1370">
        <v>2</v>
      </c>
      <c r="AC1370">
        <v>3</v>
      </c>
      <c r="AD1370">
        <v>5</v>
      </c>
      <c r="AE1370">
        <v>4</v>
      </c>
      <c r="AF1370">
        <v>2</v>
      </c>
      <c r="AG1370">
        <v>4</v>
      </c>
      <c r="AH1370">
        <v>3</v>
      </c>
      <c r="AI1370">
        <v>3</v>
      </c>
      <c r="AJ1370">
        <v>4</v>
      </c>
      <c r="AK1370" t="b">
        <f>Table67[[#This Row],[What is your age?]]&lt;&gt;"18 - 25"</f>
        <v>0</v>
      </c>
      <c r="AL1370" t="b">
        <f t="shared" si="84"/>
        <v>0</v>
      </c>
      <c r="AM1370" t="b">
        <f t="shared" si="85"/>
        <v>0</v>
      </c>
      <c r="AN1370" t="b">
        <f t="shared" si="86"/>
        <v>1</v>
      </c>
      <c r="AO1370" t="b">
        <f>OR(Table67[[#This Row],[Ineligible respondents]:[Inconsistent response on opposite question (3)]])</f>
        <v>1</v>
      </c>
      <c r="AP137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370">
        <f>Table67[[#This Row],[Extreme Response]]/21</f>
        <v>0.33333333333333331</v>
      </c>
      <c r="AR1370">
        <f>_xlfn.PERCENTILE.INC(Table67[Extrem Response Ratio (ERS)],0.9)</f>
        <v>0.61904761904761907</v>
      </c>
      <c r="AS1370" t="b">
        <f>Table67[[#This Row],[Extrem Response Ratio (ERS)]]&gt;=Table67[[#This Row],[Threshold of ERS]]</f>
        <v>0</v>
      </c>
      <c r="AT1370">
        <f>COUNTIF(Table67[[#This Row],[The mechanism of digital assets is difficult to understand, which discourages me from exploring it (E.g, Tokenization, Blockchain)]:[If I want to try different ways to invest, I will explore digital assets.]], 3)</f>
        <v>2</v>
      </c>
      <c r="AU1370">
        <f>Table67[[#This Row],[Midpoint]]/21</f>
        <v>9.5238095238095233E-2</v>
      </c>
      <c r="AV1370">
        <f>_xlfn.PERCENTILE.INC(Table67[Midpoint ratio],0.9)</f>
        <v>0.5714285714285714</v>
      </c>
      <c r="AW1370" t="b">
        <f>Table67[[#This Row],[Midpoint ratio]]&gt;=Table67[[#This Row],[Threshold of Midpoint ratio]]</f>
        <v>0</v>
      </c>
      <c r="AX1370" t="b">
        <f>OR(Table67[[#This Row],[Extreme Response Style]],Table67[[#This Row],[Mid-point Response Style]])</f>
        <v>0</v>
      </c>
      <c r="AY1370" t="b">
        <f>OR(Table67[[#This Row],[Delete? (Stage 1)]],Table67[[#This Row],[Delete? (Stage 2)]])</f>
        <v>1</v>
      </c>
      <c r="AZ1370" t="s">
        <v>84</v>
      </c>
    </row>
    <row r="1371" spans="1:52">
      <c r="A1371">
        <f t="shared" si="87"/>
        <v>1370</v>
      </c>
      <c r="B1371" s="3">
        <v>46065.875381944446</v>
      </c>
      <c r="C1371" s="3">
        <v>46065.881388888891</v>
      </c>
      <c r="D1371" t="s">
        <v>53</v>
      </c>
      <c r="G1371" t="s">
        <v>54</v>
      </c>
      <c r="H1371" t="s">
        <v>55</v>
      </c>
      <c r="I1371" t="s">
        <v>75</v>
      </c>
      <c r="J1371" t="s">
        <v>60</v>
      </c>
      <c r="K1371" t="s">
        <v>62</v>
      </c>
      <c r="L1371" t="s">
        <v>58</v>
      </c>
      <c r="M1371" t="s">
        <v>58</v>
      </c>
      <c r="N1371">
        <v>4</v>
      </c>
      <c r="O1371">
        <v>4</v>
      </c>
      <c r="P1371">
        <v>4</v>
      </c>
      <c r="Q1371">
        <v>4</v>
      </c>
      <c r="R1371">
        <v>4</v>
      </c>
      <c r="S1371">
        <v>4</v>
      </c>
      <c r="T1371">
        <v>4</v>
      </c>
      <c r="U1371">
        <v>4</v>
      </c>
      <c r="V1371">
        <v>5</v>
      </c>
      <c r="W1371">
        <v>4</v>
      </c>
      <c r="X1371">
        <v>3</v>
      </c>
      <c r="Y1371">
        <v>4</v>
      </c>
      <c r="Z1371">
        <v>3</v>
      </c>
      <c r="AA1371">
        <v>4</v>
      </c>
      <c r="AB1371">
        <v>4</v>
      </c>
      <c r="AC1371">
        <v>4</v>
      </c>
      <c r="AD1371">
        <v>3</v>
      </c>
      <c r="AE1371">
        <v>3</v>
      </c>
      <c r="AF1371">
        <v>3</v>
      </c>
      <c r="AG1371">
        <v>3</v>
      </c>
      <c r="AH1371">
        <v>3</v>
      </c>
      <c r="AI1371">
        <v>3</v>
      </c>
      <c r="AJ1371">
        <v>3</v>
      </c>
      <c r="AK1371" t="b">
        <f>Table67[[#This Row],[What is your age?]]&lt;&gt;"18 - 25"</f>
        <v>0</v>
      </c>
      <c r="AL1371" t="b">
        <f t="shared" si="84"/>
        <v>0</v>
      </c>
      <c r="AM1371" t="b">
        <f t="shared" si="85"/>
        <v>0</v>
      </c>
      <c r="AN1371" t="b">
        <f t="shared" si="86"/>
        <v>0</v>
      </c>
      <c r="AO1371" t="b">
        <f>OR(Table67[[#This Row],[Ineligible respondents]:[Inconsistent response on opposite question (3)]])</f>
        <v>0</v>
      </c>
      <c r="AP137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371">
        <f>Table67[[#This Row],[Extreme Response]]/21</f>
        <v>4.7619047619047616E-2</v>
      </c>
      <c r="AR1371">
        <f>_xlfn.PERCENTILE.INC(Table67[Extrem Response Ratio (ERS)],0.9)</f>
        <v>0.61904761904761907</v>
      </c>
      <c r="AS1371" t="b">
        <f>Table67[[#This Row],[Extrem Response Ratio (ERS)]]&gt;=Table67[[#This Row],[Threshold of ERS]]</f>
        <v>0</v>
      </c>
      <c r="AT1371">
        <f>COUNTIF(Table67[[#This Row],[The mechanism of digital assets is difficult to understand, which discourages me from exploring it (E.g, Tokenization, Blockchain)]:[If I want to try different ways to invest, I will explore digital assets.]], 3)</f>
        <v>7</v>
      </c>
      <c r="AU1371">
        <f>Table67[[#This Row],[Midpoint]]/21</f>
        <v>0.33333333333333331</v>
      </c>
      <c r="AV1371">
        <f>_xlfn.PERCENTILE.INC(Table67[Midpoint ratio],0.9)</f>
        <v>0.5714285714285714</v>
      </c>
      <c r="AW1371" t="b">
        <f>Table67[[#This Row],[Midpoint ratio]]&gt;=Table67[[#This Row],[Threshold of Midpoint ratio]]</f>
        <v>0</v>
      </c>
      <c r="AX1371" t="b">
        <f>OR(Table67[[#This Row],[Extreme Response Style]],Table67[[#This Row],[Mid-point Response Style]])</f>
        <v>0</v>
      </c>
      <c r="AY1371" t="b">
        <f>OR(Table67[[#This Row],[Delete? (Stage 1)]],Table67[[#This Row],[Delete? (Stage 2)]])</f>
        <v>0</v>
      </c>
      <c r="AZ1371" t="s">
        <v>84</v>
      </c>
    </row>
    <row r="1372" spans="1:52">
      <c r="A1372">
        <f t="shared" si="87"/>
        <v>1371</v>
      </c>
      <c r="B1372" s="3">
        <v>46065.861608796295</v>
      </c>
      <c r="C1372" s="3">
        <v>46065.866886574076</v>
      </c>
      <c r="D1372" t="s">
        <v>53</v>
      </c>
      <c r="G1372" t="s">
        <v>54</v>
      </c>
      <c r="H1372" t="s">
        <v>55</v>
      </c>
      <c r="I1372" t="s">
        <v>69</v>
      </c>
      <c r="J1372" t="s">
        <v>60</v>
      </c>
      <c r="K1372" t="s">
        <v>62</v>
      </c>
      <c r="L1372" t="s">
        <v>61</v>
      </c>
      <c r="M1372" t="s">
        <v>61</v>
      </c>
      <c r="N1372">
        <v>3</v>
      </c>
      <c r="O1372">
        <v>3</v>
      </c>
      <c r="P1372">
        <v>2</v>
      </c>
      <c r="Q1372">
        <v>3</v>
      </c>
      <c r="R1372">
        <v>2</v>
      </c>
      <c r="S1372">
        <v>4</v>
      </c>
      <c r="T1372">
        <v>4</v>
      </c>
      <c r="U1372">
        <v>3</v>
      </c>
      <c r="V1372">
        <v>3</v>
      </c>
      <c r="W1372">
        <v>3</v>
      </c>
      <c r="X1372">
        <v>2</v>
      </c>
      <c r="Y1372">
        <v>3</v>
      </c>
      <c r="Z1372">
        <v>3</v>
      </c>
      <c r="AA1372">
        <v>4</v>
      </c>
      <c r="AB1372">
        <v>4</v>
      </c>
      <c r="AC1372">
        <v>3</v>
      </c>
      <c r="AD1372">
        <v>2</v>
      </c>
      <c r="AE1372">
        <v>3</v>
      </c>
      <c r="AF1372">
        <v>4</v>
      </c>
      <c r="AG1372">
        <v>2</v>
      </c>
      <c r="AH1372">
        <v>5</v>
      </c>
      <c r="AI1372">
        <v>1</v>
      </c>
      <c r="AJ1372">
        <v>2</v>
      </c>
      <c r="AK1372" t="b">
        <f>Table67[[#This Row],[What is your age?]]&lt;&gt;"18 - 25"</f>
        <v>0</v>
      </c>
      <c r="AL1372" t="b">
        <f t="shared" si="84"/>
        <v>0</v>
      </c>
      <c r="AM1372" t="b">
        <f t="shared" si="85"/>
        <v>0</v>
      </c>
      <c r="AN1372" t="b">
        <f t="shared" si="86"/>
        <v>0</v>
      </c>
      <c r="AO1372" t="b">
        <f>OR(Table67[[#This Row],[Ineligible respondents]:[Inconsistent response on opposite question (3)]])</f>
        <v>0</v>
      </c>
      <c r="AP137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372">
        <f>Table67[[#This Row],[Extreme Response]]/21</f>
        <v>4.7619047619047616E-2</v>
      </c>
      <c r="AR1372">
        <f>_xlfn.PERCENTILE.INC(Table67[Extrem Response Ratio (ERS)],0.9)</f>
        <v>0.61904761904761907</v>
      </c>
      <c r="AS1372" t="b">
        <f>Table67[[#This Row],[Extrem Response Ratio (ERS)]]&gt;=Table67[[#This Row],[Threshold of ERS]]</f>
        <v>0</v>
      </c>
      <c r="AT1372">
        <f>COUNTIF(Table67[[#This Row],[The mechanism of digital assets is difficult to understand, which discourages me from exploring it (E.g, Tokenization, Blockchain)]:[If I want to try different ways to invest, I will explore digital assets.]], 3)</f>
        <v>10</v>
      </c>
      <c r="AU1372">
        <f>Table67[[#This Row],[Midpoint]]/21</f>
        <v>0.47619047619047616</v>
      </c>
      <c r="AV1372">
        <f>_xlfn.PERCENTILE.INC(Table67[Midpoint ratio],0.9)</f>
        <v>0.5714285714285714</v>
      </c>
      <c r="AW1372" t="b">
        <f>Table67[[#This Row],[Midpoint ratio]]&gt;=Table67[[#This Row],[Threshold of Midpoint ratio]]</f>
        <v>0</v>
      </c>
      <c r="AX1372" t="b">
        <f>OR(Table67[[#This Row],[Extreme Response Style]],Table67[[#This Row],[Mid-point Response Style]])</f>
        <v>0</v>
      </c>
      <c r="AY1372" t="b">
        <f>OR(Table67[[#This Row],[Delete? (Stage 1)]],Table67[[#This Row],[Delete? (Stage 2)]])</f>
        <v>0</v>
      </c>
      <c r="AZ1372" t="s">
        <v>84</v>
      </c>
    </row>
    <row r="1373" spans="1:52">
      <c r="A1373">
        <f t="shared" si="87"/>
        <v>1372</v>
      </c>
      <c r="B1373" s="3">
        <v>46062.179293981484</v>
      </c>
      <c r="C1373" s="3">
        <v>46062.180868055555</v>
      </c>
      <c r="D1373" t="s">
        <v>53</v>
      </c>
      <c r="G1373" t="s">
        <v>54</v>
      </c>
      <c r="H1373" t="s">
        <v>55</v>
      </c>
      <c r="I1373" t="s">
        <v>56</v>
      </c>
      <c r="J1373" t="s">
        <v>62</v>
      </c>
      <c r="K1373" t="s">
        <v>62</v>
      </c>
      <c r="L1373" t="s">
        <v>58</v>
      </c>
      <c r="M1373" t="s">
        <v>58</v>
      </c>
      <c r="N1373">
        <v>4</v>
      </c>
      <c r="O1373">
        <v>3</v>
      </c>
      <c r="P1373">
        <v>4</v>
      </c>
      <c r="Q1373">
        <v>3</v>
      </c>
      <c r="R1373">
        <v>4</v>
      </c>
      <c r="S1373">
        <v>4</v>
      </c>
      <c r="T1373">
        <v>4</v>
      </c>
      <c r="U1373">
        <v>4</v>
      </c>
      <c r="V1373">
        <v>3</v>
      </c>
      <c r="W1373">
        <v>4</v>
      </c>
      <c r="X1373">
        <v>5</v>
      </c>
      <c r="Y1373">
        <v>4</v>
      </c>
      <c r="Z1373">
        <v>4</v>
      </c>
      <c r="AA1373">
        <v>3</v>
      </c>
      <c r="AB1373">
        <v>4</v>
      </c>
      <c r="AC1373">
        <v>4</v>
      </c>
      <c r="AD1373">
        <v>3</v>
      </c>
      <c r="AE1373">
        <v>4</v>
      </c>
      <c r="AF1373">
        <v>3</v>
      </c>
      <c r="AG1373">
        <v>4</v>
      </c>
      <c r="AH1373">
        <v>3</v>
      </c>
      <c r="AI1373">
        <v>3</v>
      </c>
      <c r="AJ1373">
        <v>3</v>
      </c>
      <c r="AK1373" t="b">
        <f>Table67[[#This Row],[What is your age?]]&lt;&gt;"18 - 25"</f>
        <v>0</v>
      </c>
      <c r="AL1373" t="b">
        <f t="shared" si="84"/>
        <v>0</v>
      </c>
      <c r="AM1373" t="b">
        <f t="shared" si="85"/>
        <v>0</v>
      </c>
      <c r="AN1373" t="b">
        <f t="shared" si="86"/>
        <v>1</v>
      </c>
      <c r="AO1373" t="b">
        <f>OR(Table67[[#This Row],[Ineligible respondents]:[Inconsistent response on opposite question (3)]])</f>
        <v>1</v>
      </c>
      <c r="AP137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373">
        <f>Table67[[#This Row],[Extreme Response]]/21</f>
        <v>4.7619047619047616E-2</v>
      </c>
      <c r="AR1373">
        <f>_xlfn.PERCENTILE.INC(Table67[Extrem Response Ratio (ERS)],0.9)</f>
        <v>0.61904761904761907</v>
      </c>
      <c r="AS1373" t="b">
        <f>Table67[[#This Row],[Extrem Response Ratio (ERS)]]&gt;=Table67[[#This Row],[Threshold of ERS]]</f>
        <v>0</v>
      </c>
      <c r="AT1373">
        <f>COUNTIF(Table67[[#This Row],[The mechanism of digital assets is difficult to understand, which discourages me from exploring it (E.g, Tokenization, Blockchain)]:[If I want to try different ways to invest, I will explore digital assets.]], 3)</f>
        <v>7</v>
      </c>
      <c r="AU1373">
        <f>Table67[[#This Row],[Midpoint]]/21</f>
        <v>0.33333333333333331</v>
      </c>
      <c r="AV1373">
        <f>_xlfn.PERCENTILE.INC(Table67[Midpoint ratio],0.9)</f>
        <v>0.5714285714285714</v>
      </c>
      <c r="AW1373" t="b">
        <f>Table67[[#This Row],[Midpoint ratio]]&gt;=Table67[[#This Row],[Threshold of Midpoint ratio]]</f>
        <v>0</v>
      </c>
      <c r="AX1373" t="b">
        <f>OR(Table67[[#This Row],[Extreme Response Style]],Table67[[#This Row],[Mid-point Response Style]])</f>
        <v>0</v>
      </c>
      <c r="AY1373" t="b">
        <f>OR(Table67[[#This Row],[Delete? (Stage 1)]],Table67[[#This Row],[Delete? (Stage 2)]])</f>
        <v>1</v>
      </c>
      <c r="AZ1373" t="s">
        <v>84</v>
      </c>
    </row>
    <row r="1374" spans="1:52">
      <c r="A1374">
        <f t="shared" si="87"/>
        <v>1373</v>
      </c>
      <c r="B1374" s="3">
        <v>46062.031793981485</v>
      </c>
      <c r="C1374" s="3">
        <v>46062.037256944444</v>
      </c>
      <c r="D1374" t="s">
        <v>53</v>
      </c>
      <c r="G1374" t="s">
        <v>54</v>
      </c>
      <c r="H1374" t="s">
        <v>63</v>
      </c>
      <c r="I1374" t="s">
        <v>71</v>
      </c>
      <c r="J1374" t="s">
        <v>57</v>
      </c>
      <c r="K1374" t="s">
        <v>57</v>
      </c>
      <c r="L1374" t="s">
        <v>58</v>
      </c>
      <c r="M1374" t="s">
        <v>58</v>
      </c>
      <c r="N1374">
        <v>4</v>
      </c>
      <c r="O1374">
        <v>1</v>
      </c>
      <c r="P1374">
        <v>5</v>
      </c>
      <c r="Q1374">
        <v>2</v>
      </c>
      <c r="R1374">
        <v>3</v>
      </c>
      <c r="S1374">
        <v>5</v>
      </c>
      <c r="T1374">
        <v>3</v>
      </c>
      <c r="U1374">
        <v>5</v>
      </c>
      <c r="V1374">
        <v>4</v>
      </c>
      <c r="W1374">
        <v>4</v>
      </c>
      <c r="X1374">
        <v>5</v>
      </c>
      <c r="Y1374">
        <v>4</v>
      </c>
      <c r="Z1374">
        <v>3</v>
      </c>
      <c r="AA1374">
        <v>4</v>
      </c>
      <c r="AB1374">
        <v>2</v>
      </c>
      <c r="AC1374">
        <v>3</v>
      </c>
      <c r="AD1374">
        <v>5</v>
      </c>
      <c r="AE1374">
        <v>4</v>
      </c>
      <c r="AF1374">
        <v>2</v>
      </c>
      <c r="AG1374">
        <v>2</v>
      </c>
      <c r="AH1374">
        <v>3</v>
      </c>
      <c r="AI1374">
        <v>3</v>
      </c>
      <c r="AJ1374">
        <v>4</v>
      </c>
      <c r="AK1374" t="b">
        <f>Table67[[#This Row],[What is your age?]]&lt;&gt;"18 - 25"</f>
        <v>0</v>
      </c>
      <c r="AL1374" t="b">
        <f t="shared" si="84"/>
        <v>0</v>
      </c>
      <c r="AM1374" t="b">
        <f t="shared" si="85"/>
        <v>0</v>
      </c>
      <c r="AN1374" t="b">
        <f t="shared" si="86"/>
        <v>1</v>
      </c>
      <c r="AO1374" t="b">
        <f>OR(Table67[[#This Row],[Ineligible respondents]:[Inconsistent response on opposite question (3)]])</f>
        <v>1</v>
      </c>
      <c r="AP137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374">
        <f>Table67[[#This Row],[Extreme Response]]/21</f>
        <v>0.2857142857142857</v>
      </c>
      <c r="AR1374">
        <f>_xlfn.PERCENTILE.INC(Table67[Extrem Response Ratio (ERS)],0.9)</f>
        <v>0.61904761904761907</v>
      </c>
      <c r="AS1374" t="b">
        <f>Table67[[#This Row],[Extrem Response Ratio (ERS)]]&gt;=Table67[[#This Row],[Threshold of ERS]]</f>
        <v>0</v>
      </c>
      <c r="AT1374">
        <f>COUNTIF(Table67[[#This Row],[The mechanism of digital assets is difficult to understand, which discourages me from exploring it (E.g, Tokenization, Blockchain)]:[If I want to try different ways to invest, I will explore digital assets.]], 3)</f>
        <v>5</v>
      </c>
      <c r="AU1374">
        <f>Table67[[#This Row],[Midpoint]]/21</f>
        <v>0.23809523809523808</v>
      </c>
      <c r="AV1374">
        <f>_xlfn.PERCENTILE.INC(Table67[Midpoint ratio],0.9)</f>
        <v>0.5714285714285714</v>
      </c>
      <c r="AW1374" t="b">
        <f>Table67[[#This Row],[Midpoint ratio]]&gt;=Table67[[#This Row],[Threshold of Midpoint ratio]]</f>
        <v>0</v>
      </c>
      <c r="AX1374" t="b">
        <f>OR(Table67[[#This Row],[Extreme Response Style]],Table67[[#This Row],[Mid-point Response Style]])</f>
        <v>0</v>
      </c>
      <c r="AY1374" t="b">
        <f>OR(Table67[[#This Row],[Delete? (Stage 1)]],Table67[[#This Row],[Delete? (Stage 2)]])</f>
        <v>1</v>
      </c>
      <c r="AZ1374" t="s">
        <v>84</v>
      </c>
    </row>
    <row r="1375" spans="1:52">
      <c r="A1375">
        <f t="shared" si="87"/>
        <v>1374</v>
      </c>
      <c r="B1375" s="3">
        <v>46062.050439814811</v>
      </c>
      <c r="C1375" s="3">
        <v>46062.056423611109</v>
      </c>
      <c r="D1375" t="s">
        <v>53</v>
      </c>
      <c r="G1375" t="s">
        <v>54</v>
      </c>
      <c r="H1375" t="s">
        <v>63</v>
      </c>
      <c r="I1375" t="s">
        <v>75</v>
      </c>
      <c r="J1375" t="s">
        <v>57</v>
      </c>
      <c r="K1375" t="s">
        <v>57</v>
      </c>
      <c r="L1375" t="s">
        <v>58</v>
      </c>
      <c r="M1375" t="s">
        <v>58</v>
      </c>
      <c r="N1375">
        <v>4</v>
      </c>
      <c r="O1375">
        <v>1</v>
      </c>
      <c r="P1375">
        <v>4</v>
      </c>
      <c r="Q1375">
        <v>3</v>
      </c>
      <c r="R1375">
        <v>4</v>
      </c>
      <c r="S1375">
        <v>3</v>
      </c>
      <c r="T1375">
        <v>4</v>
      </c>
      <c r="U1375">
        <v>4</v>
      </c>
      <c r="V1375">
        <v>4</v>
      </c>
      <c r="W1375">
        <v>3</v>
      </c>
      <c r="X1375">
        <v>4</v>
      </c>
      <c r="Y1375">
        <v>4</v>
      </c>
      <c r="Z1375">
        <v>4</v>
      </c>
      <c r="AA1375">
        <v>4</v>
      </c>
      <c r="AB1375">
        <v>2</v>
      </c>
      <c r="AC1375">
        <v>3</v>
      </c>
      <c r="AD1375">
        <v>3</v>
      </c>
      <c r="AE1375">
        <v>2</v>
      </c>
      <c r="AF1375">
        <v>2</v>
      </c>
      <c r="AG1375">
        <v>4</v>
      </c>
      <c r="AH1375">
        <v>3</v>
      </c>
      <c r="AI1375">
        <v>3</v>
      </c>
      <c r="AJ1375">
        <v>4</v>
      </c>
      <c r="AK1375" t="b">
        <f>Table67[[#This Row],[What is your age?]]&lt;&gt;"18 - 25"</f>
        <v>0</v>
      </c>
      <c r="AL1375" t="b">
        <f t="shared" si="84"/>
        <v>0</v>
      </c>
      <c r="AM1375" t="b">
        <f t="shared" si="85"/>
        <v>0</v>
      </c>
      <c r="AN1375" t="b">
        <f t="shared" si="86"/>
        <v>1</v>
      </c>
      <c r="AO1375" t="b">
        <f>OR(Table67[[#This Row],[Ineligible respondents]:[Inconsistent response on opposite question (3)]])</f>
        <v>1</v>
      </c>
      <c r="AP137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375">
        <f>Table67[[#This Row],[Extreme Response]]/21</f>
        <v>4.7619047619047616E-2</v>
      </c>
      <c r="AR1375">
        <f>_xlfn.PERCENTILE.INC(Table67[Extrem Response Ratio (ERS)],0.9)</f>
        <v>0.61904761904761907</v>
      </c>
      <c r="AS1375" t="b">
        <f>Table67[[#This Row],[Extrem Response Ratio (ERS)]]&gt;=Table67[[#This Row],[Threshold of ERS]]</f>
        <v>0</v>
      </c>
      <c r="AT1375">
        <f>COUNTIF(Table67[[#This Row],[The mechanism of digital assets is difficult to understand, which discourages me from exploring it (E.g, Tokenization, Blockchain)]:[If I want to try different ways to invest, I will explore digital assets.]], 3)</f>
        <v>6</v>
      </c>
      <c r="AU1375">
        <f>Table67[[#This Row],[Midpoint]]/21</f>
        <v>0.2857142857142857</v>
      </c>
      <c r="AV1375">
        <f>_xlfn.PERCENTILE.INC(Table67[Midpoint ratio],0.9)</f>
        <v>0.5714285714285714</v>
      </c>
      <c r="AW1375" t="b">
        <f>Table67[[#This Row],[Midpoint ratio]]&gt;=Table67[[#This Row],[Threshold of Midpoint ratio]]</f>
        <v>0</v>
      </c>
      <c r="AX1375" t="b">
        <f>OR(Table67[[#This Row],[Extreme Response Style]],Table67[[#This Row],[Mid-point Response Style]])</f>
        <v>0</v>
      </c>
      <c r="AY1375" t="b">
        <f>OR(Table67[[#This Row],[Delete? (Stage 1)]],Table67[[#This Row],[Delete? (Stage 2)]])</f>
        <v>1</v>
      </c>
      <c r="AZ1375" t="s">
        <v>84</v>
      </c>
    </row>
    <row r="1376" spans="1:52">
      <c r="A1376">
        <f t="shared" si="87"/>
        <v>1375</v>
      </c>
      <c r="B1376" s="3">
        <v>46065.828043981484</v>
      </c>
      <c r="C1376" s="3">
        <v>46065.829583333332</v>
      </c>
      <c r="D1376" t="s">
        <v>53</v>
      </c>
      <c r="G1376" t="s">
        <v>54</v>
      </c>
      <c r="H1376" t="s">
        <v>70</v>
      </c>
      <c r="I1376" t="s">
        <v>56</v>
      </c>
      <c r="J1376" t="s">
        <v>60</v>
      </c>
      <c r="K1376" t="s">
        <v>62</v>
      </c>
      <c r="L1376" t="s">
        <v>58</v>
      </c>
      <c r="M1376" t="s">
        <v>58</v>
      </c>
      <c r="N1376">
        <v>2</v>
      </c>
      <c r="O1376">
        <v>3</v>
      </c>
      <c r="P1376">
        <v>4</v>
      </c>
      <c r="Q1376">
        <v>3</v>
      </c>
      <c r="R1376">
        <v>2</v>
      </c>
      <c r="S1376">
        <v>4</v>
      </c>
      <c r="T1376">
        <v>4</v>
      </c>
      <c r="U1376">
        <v>5</v>
      </c>
      <c r="V1376">
        <v>3</v>
      </c>
      <c r="W1376">
        <v>4</v>
      </c>
      <c r="X1376">
        <v>3</v>
      </c>
      <c r="Y1376">
        <v>3</v>
      </c>
      <c r="Z1376">
        <v>3</v>
      </c>
      <c r="AA1376">
        <v>4</v>
      </c>
      <c r="AB1376">
        <v>4</v>
      </c>
      <c r="AC1376">
        <v>4</v>
      </c>
      <c r="AD1376">
        <v>4</v>
      </c>
      <c r="AE1376">
        <v>3</v>
      </c>
      <c r="AF1376">
        <v>2</v>
      </c>
      <c r="AG1376">
        <v>4</v>
      </c>
      <c r="AH1376">
        <v>2</v>
      </c>
      <c r="AI1376">
        <v>4</v>
      </c>
      <c r="AJ1376">
        <v>4</v>
      </c>
      <c r="AK1376" t="b">
        <f>Table67[[#This Row],[What is your age?]]&lt;&gt;"18 - 25"</f>
        <v>0</v>
      </c>
      <c r="AL1376" t="b">
        <f t="shared" si="84"/>
        <v>0</v>
      </c>
      <c r="AM1376" t="b">
        <f t="shared" si="85"/>
        <v>0</v>
      </c>
      <c r="AN1376" t="b">
        <f t="shared" si="86"/>
        <v>0</v>
      </c>
      <c r="AO1376" t="b">
        <f>OR(Table67[[#This Row],[Ineligible respondents]:[Inconsistent response on opposite question (3)]])</f>
        <v>0</v>
      </c>
      <c r="AP137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376">
        <f>Table67[[#This Row],[Extreme Response]]/21</f>
        <v>4.7619047619047616E-2</v>
      </c>
      <c r="AR1376">
        <f>_xlfn.PERCENTILE.INC(Table67[Extrem Response Ratio (ERS)],0.9)</f>
        <v>0.61904761904761907</v>
      </c>
      <c r="AS1376" t="b">
        <f>Table67[[#This Row],[Extrem Response Ratio (ERS)]]&gt;=Table67[[#This Row],[Threshold of ERS]]</f>
        <v>0</v>
      </c>
      <c r="AT1376">
        <f>COUNTIF(Table67[[#This Row],[The mechanism of digital assets is difficult to understand, which discourages me from exploring it (E.g, Tokenization, Blockchain)]:[If I want to try different ways to invest, I will explore digital assets.]], 3)</f>
        <v>7</v>
      </c>
      <c r="AU1376">
        <f>Table67[[#This Row],[Midpoint]]/21</f>
        <v>0.33333333333333331</v>
      </c>
      <c r="AV1376">
        <f>_xlfn.PERCENTILE.INC(Table67[Midpoint ratio],0.9)</f>
        <v>0.5714285714285714</v>
      </c>
      <c r="AW1376" t="b">
        <f>Table67[[#This Row],[Midpoint ratio]]&gt;=Table67[[#This Row],[Threshold of Midpoint ratio]]</f>
        <v>0</v>
      </c>
      <c r="AX1376" t="b">
        <f>OR(Table67[[#This Row],[Extreme Response Style]],Table67[[#This Row],[Mid-point Response Style]])</f>
        <v>0</v>
      </c>
      <c r="AY1376" t="b">
        <f>OR(Table67[[#This Row],[Delete? (Stage 1)]],Table67[[#This Row],[Delete? (Stage 2)]])</f>
        <v>0</v>
      </c>
      <c r="AZ1376" t="s">
        <v>84</v>
      </c>
    </row>
    <row r="1377" spans="1:52">
      <c r="A1377">
        <f t="shared" si="87"/>
        <v>1376</v>
      </c>
      <c r="B1377" s="3">
        <v>46062.026608796295</v>
      </c>
      <c r="C1377" s="3">
        <v>46062.028483796297</v>
      </c>
      <c r="D1377" t="s">
        <v>53</v>
      </c>
      <c r="G1377" t="s">
        <v>54</v>
      </c>
      <c r="H1377" t="s">
        <v>55</v>
      </c>
      <c r="I1377" t="s">
        <v>71</v>
      </c>
      <c r="J1377" t="s">
        <v>57</v>
      </c>
      <c r="K1377" t="s">
        <v>57</v>
      </c>
      <c r="L1377" t="s">
        <v>58</v>
      </c>
      <c r="M1377" t="s">
        <v>58</v>
      </c>
      <c r="N1377">
        <v>4</v>
      </c>
      <c r="O1377">
        <v>2</v>
      </c>
      <c r="P1377">
        <v>3</v>
      </c>
      <c r="Q1377">
        <v>3</v>
      </c>
      <c r="R1377">
        <v>4</v>
      </c>
      <c r="S1377">
        <v>5</v>
      </c>
      <c r="T1377">
        <v>3</v>
      </c>
      <c r="U1377">
        <v>3</v>
      </c>
      <c r="V1377">
        <v>5</v>
      </c>
      <c r="W1377">
        <v>5</v>
      </c>
      <c r="X1377">
        <v>5</v>
      </c>
      <c r="Y1377">
        <v>5</v>
      </c>
      <c r="Z1377">
        <v>4</v>
      </c>
      <c r="AA1377">
        <v>5</v>
      </c>
      <c r="AB1377">
        <v>2</v>
      </c>
      <c r="AC1377">
        <v>4</v>
      </c>
      <c r="AD1377">
        <v>5</v>
      </c>
      <c r="AE1377">
        <v>5</v>
      </c>
      <c r="AF1377">
        <v>2</v>
      </c>
      <c r="AG1377">
        <v>5</v>
      </c>
      <c r="AH1377">
        <v>3</v>
      </c>
      <c r="AI1377">
        <v>3</v>
      </c>
      <c r="AJ1377">
        <v>4</v>
      </c>
      <c r="AK1377" t="b">
        <f>Table67[[#This Row],[What is your age?]]&lt;&gt;"18 - 25"</f>
        <v>0</v>
      </c>
      <c r="AL1377" t="b">
        <f t="shared" si="84"/>
        <v>0</v>
      </c>
      <c r="AM1377" t="b">
        <f t="shared" si="85"/>
        <v>0</v>
      </c>
      <c r="AN1377" t="b">
        <f t="shared" si="86"/>
        <v>1</v>
      </c>
      <c r="AO1377" t="b">
        <f>OR(Table67[[#This Row],[Ineligible respondents]:[Inconsistent response on opposite question (3)]])</f>
        <v>1</v>
      </c>
      <c r="AP137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1377">
        <f>Table67[[#This Row],[Extreme Response]]/21</f>
        <v>0.42857142857142855</v>
      </c>
      <c r="AR1377">
        <f>_xlfn.PERCENTILE.INC(Table67[Extrem Response Ratio (ERS)],0.9)</f>
        <v>0.61904761904761907</v>
      </c>
      <c r="AS1377" t="b">
        <f>Table67[[#This Row],[Extrem Response Ratio (ERS)]]&gt;=Table67[[#This Row],[Threshold of ERS]]</f>
        <v>0</v>
      </c>
      <c r="AT1377">
        <f>COUNTIF(Table67[[#This Row],[The mechanism of digital assets is difficult to understand, which discourages me from exploring it (E.g, Tokenization, Blockchain)]:[If I want to try different ways to invest, I will explore digital assets.]], 3)</f>
        <v>5</v>
      </c>
      <c r="AU1377">
        <f>Table67[[#This Row],[Midpoint]]/21</f>
        <v>0.23809523809523808</v>
      </c>
      <c r="AV1377">
        <f>_xlfn.PERCENTILE.INC(Table67[Midpoint ratio],0.9)</f>
        <v>0.5714285714285714</v>
      </c>
      <c r="AW1377" t="b">
        <f>Table67[[#This Row],[Midpoint ratio]]&gt;=Table67[[#This Row],[Threshold of Midpoint ratio]]</f>
        <v>0</v>
      </c>
      <c r="AX1377" t="b">
        <f>OR(Table67[[#This Row],[Extreme Response Style]],Table67[[#This Row],[Mid-point Response Style]])</f>
        <v>0</v>
      </c>
      <c r="AY1377" t="b">
        <f>OR(Table67[[#This Row],[Delete? (Stage 1)]],Table67[[#This Row],[Delete? (Stage 2)]])</f>
        <v>1</v>
      </c>
      <c r="AZ1377" t="s">
        <v>84</v>
      </c>
    </row>
    <row r="1378" spans="1:52">
      <c r="A1378">
        <f t="shared" si="87"/>
        <v>1377</v>
      </c>
      <c r="B1378" s="3">
        <v>46062.069699074076</v>
      </c>
      <c r="C1378" s="3">
        <v>46062.073263888888</v>
      </c>
      <c r="D1378" t="s">
        <v>53</v>
      </c>
      <c r="G1378" t="s">
        <v>54</v>
      </c>
      <c r="H1378" t="s">
        <v>63</v>
      </c>
      <c r="I1378" t="s">
        <v>83</v>
      </c>
      <c r="J1378" t="s">
        <v>62</v>
      </c>
      <c r="K1378" t="s">
        <v>62</v>
      </c>
      <c r="L1378" t="s">
        <v>58</v>
      </c>
      <c r="M1378" t="s">
        <v>58</v>
      </c>
      <c r="N1378">
        <v>4</v>
      </c>
      <c r="O1378">
        <v>3</v>
      </c>
      <c r="P1378">
        <v>4</v>
      </c>
      <c r="Q1378">
        <v>3</v>
      </c>
      <c r="R1378">
        <v>3</v>
      </c>
      <c r="S1378">
        <v>3</v>
      </c>
      <c r="T1378">
        <v>4</v>
      </c>
      <c r="U1378">
        <v>3</v>
      </c>
      <c r="V1378">
        <v>3</v>
      </c>
      <c r="W1378">
        <v>4</v>
      </c>
      <c r="X1378">
        <v>2</v>
      </c>
      <c r="Y1378">
        <v>3</v>
      </c>
      <c r="Z1378">
        <v>3</v>
      </c>
      <c r="AA1378">
        <v>4</v>
      </c>
      <c r="AB1378">
        <v>3</v>
      </c>
      <c r="AC1378">
        <v>3</v>
      </c>
      <c r="AD1378">
        <v>4</v>
      </c>
      <c r="AE1378">
        <v>4</v>
      </c>
      <c r="AF1378">
        <v>4</v>
      </c>
      <c r="AG1378">
        <v>3</v>
      </c>
      <c r="AH1378">
        <v>3</v>
      </c>
      <c r="AI1378">
        <v>3</v>
      </c>
      <c r="AJ1378">
        <v>2</v>
      </c>
      <c r="AK1378" t="b">
        <f>Table67[[#This Row],[What is your age?]]&lt;&gt;"18 - 25"</f>
        <v>0</v>
      </c>
      <c r="AL1378" t="b">
        <f t="shared" si="84"/>
        <v>0</v>
      </c>
      <c r="AM1378" t="b">
        <f t="shared" si="85"/>
        <v>0</v>
      </c>
      <c r="AN1378" t="b">
        <f t="shared" si="86"/>
        <v>0</v>
      </c>
      <c r="AO1378" t="b">
        <f>OR(Table67[[#This Row],[Ineligible respondents]:[Inconsistent response on opposite question (3)]])</f>
        <v>0</v>
      </c>
      <c r="AP137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378">
        <f>Table67[[#This Row],[Extreme Response]]/21</f>
        <v>0</v>
      </c>
      <c r="AR1378">
        <f>_xlfn.PERCENTILE.INC(Table67[Extrem Response Ratio (ERS)],0.9)</f>
        <v>0.61904761904761907</v>
      </c>
      <c r="AS1378" t="b">
        <f>Table67[[#This Row],[Extrem Response Ratio (ERS)]]&gt;=Table67[[#This Row],[Threshold of ERS]]</f>
        <v>0</v>
      </c>
      <c r="AT1378">
        <f>COUNTIF(Table67[[#This Row],[The mechanism of digital assets is difficult to understand, which discourages me from exploring it (E.g, Tokenization, Blockchain)]:[If I want to try different ways to invest, I will explore digital assets.]], 3)</f>
        <v>12</v>
      </c>
      <c r="AU1378">
        <f>Table67[[#This Row],[Midpoint]]/21</f>
        <v>0.5714285714285714</v>
      </c>
      <c r="AV1378">
        <f>_xlfn.PERCENTILE.INC(Table67[Midpoint ratio],0.9)</f>
        <v>0.5714285714285714</v>
      </c>
      <c r="AW1378" t="b">
        <f>Table67[[#This Row],[Midpoint ratio]]&gt;=Table67[[#This Row],[Threshold of Midpoint ratio]]</f>
        <v>1</v>
      </c>
      <c r="AX1378" t="b">
        <f>OR(Table67[[#This Row],[Extreme Response Style]],Table67[[#This Row],[Mid-point Response Style]])</f>
        <v>1</v>
      </c>
      <c r="AY1378" t="b">
        <f>OR(Table67[[#This Row],[Delete? (Stage 1)]],Table67[[#This Row],[Delete? (Stage 2)]])</f>
        <v>1</v>
      </c>
      <c r="AZ1378" t="s">
        <v>84</v>
      </c>
    </row>
    <row r="1379" spans="1:52">
      <c r="A1379">
        <f t="shared" si="87"/>
        <v>1378</v>
      </c>
      <c r="B1379" s="3">
        <v>46065.769178240742</v>
      </c>
      <c r="C1379" s="3">
        <v>46065.77107638889</v>
      </c>
      <c r="D1379" t="s">
        <v>53</v>
      </c>
      <c r="G1379" t="s">
        <v>54</v>
      </c>
      <c r="H1379" t="s">
        <v>63</v>
      </c>
      <c r="I1379" t="s">
        <v>56</v>
      </c>
      <c r="J1379" t="s">
        <v>62</v>
      </c>
      <c r="K1379" t="s">
        <v>62</v>
      </c>
      <c r="L1379" t="s">
        <v>58</v>
      </c>
      <c r="M1379" t="s">
        <v>58</v>
      </c>
      <c r="N1379">
        <v>3</v>
      </c>
      <c r="O1379">
        <v>3</v>
      </c>
      <c r="P1379">
        <v>4</v>
      </c>
      <c r="Q1379">
        <v>3</v>
      </c>
      <c r="R1379">
        <v>2</v>
      </c>
      <c r="S1379">
        <v>2</v>
      </c>
      <c r="T1379">
        <v>2</v>
      </c>
      <c r="U1379">
        <v>4</v>
      </c>
      <c r="V1379">
        <v>3</v>
      </c>
      <c r="W1379">
        <v>3</v>
      </c>
      <c r="X1379">
        <v>4</v>
      </c>
      <c r="Y1379">
        <v>3</v>
      </c>
      <c r="Z1379">
        <v>5</v>
      </c>
      <c r="AA1379">
        <v>2</v>
      </c>
      <c r="AB1379">
        <v>2</v>
      </c>
      <c r="AC1379">
        <v>4</v>
      </c>
      <c r="AD1379">
        <v>5</v>
      </c>
      <c r="AE1379">
        <v>4</v>
      </c>
      <c r="AF1379">
        <v>3</v>
      </c>
      <c r="AG1379">
        <v>2</v>
      </c>
      <c r="AH1379">
        <v>5</v>
      </c>
      <c r="AI1379">
        <v>1</v>
      </c>
      <c r="AJ1379">
        <v>3</v>
      </c>
      <c r="AK1379" t="b">
        <f>Table67[[#This Row],[What is your age?]]&lt;&gt;"18 - 25"</f>
        <v>0</v>
      </c>
      <c r="AL1379" t="b">
        <f t="shared" si="84"/>
        <v>0</v>
      </c>
      <c r="AM1379" t="b">
        <f t="shared" si="85"/>
        <v>0</v>
      </c>
      <c r="AN1379" t="b">
        <f t="shared" si="86"/>
        <v>0</v>
      </c>
      <c r="AO1379" t="b">
        <f>OR(Table67[[#This Row],[Ineligible respondents]:[Inconsistent response on opposite question (3)]])</f>
        <v>0</v>
      </c>
      <c r="AP137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379">
        <f>Table67[[#This Row],[Extreme Response]]/21</f>
        <v>0.14285714285714285</v>
      </c>
      <c r="AR1379">
        <f>_xlfn.PERCENTILE.INC(Table67[Extrem Response Ratio (ERS)],0.9)</f>
        <v>0.61904761904761907</v>
      </c>
      <c r="AS1379" t="b">
        <f>Table67[[#This Row],[Extrem Response Ratio (ERS)]]&gt;=Table67[[#This Row],[Threshold of ERS]]</f>
        <v>0</v>
      </c>
      <c r="AT1379">
        <f>COUNTIF(Table67[[#This Row],[The mechanism of digital assets is difficult to understand, which discourages me from exploring it (E.g, Tokenization, Blockchain)]:[If I want to try different ways to invest, I will explore digital assets.]], 3)</f>
        <v>7</v>
      </c>
      <c r="AU1379">
        <f>Table67[[#This Row],[Midpoint]]/21</f>
        <v>0.33333333333333331</v>
      </c>
      <c r="AV1379">
        <f>_xlfn.PERCENTILE.INC(Table67[Midpoint ratio],0.9)</f>
        <v>0.5714285714285714</v>
      </c>
      <c r="AW1379" t="b">
        <f>Table67[[#This Row],[Midpoint ratio]]&gt;=Table67[[#This Row],[Threshold of Midpoint ratio]]</f>
        <v>0</v>
      </c>
      <c r="AX1379" t="b">
        <f>OR(Table67[[#This Row],[Extreme Response Style]],Table67[[#This Row],[Mid-point Response Style]])</f>
        <v>0</v>
      </c>
      <c r="AY1379" t="b">
        <f>OR(Table67[[#This Row],[Delete? (Stage 1)]],Table67[[#This Row],[Delete? (Stage 2)]])</f>
        <v>0</v>
      </c>
      <c r="AZ1379" t="s">
        <v>84</v>
      </c>
    </row>
    <row r="1380" spans="1:52">
      <c r="A1380">
        <f t="shared" si="87"/>
        <v>1379</v>
      </c>
      <c r="B1380" s="3">
        <v>46062.142141203702</v>
      </c>
      <c r="C1380" s="3">
        <v>46062.147013888891</v>
      </c>
      <c r="D1380" t="s">
        <v>53</v>
      </c>
      <c r="G1380" t="s">
        <v>54</v>
      </c>
      <c r="H1380" t="s">
        <v>63</v>
      </c>
      <c r="I1380" t="s">
        <v>56</v>
      </c>
      <c r="J1380" t="s">
        <v>67</v>
      </c>
      <c r="K1380" t="s">
        <v>62</v>
      </c>
      <c r="L1380" t="s">
        <v>61</v>
      </c>
      <c r="M1380" t="s">
        <v>61</v>
      </c>
      <c r="N1380">
        <v>3</v>
      </c>
      <c r="O1380">
        <v>1</v>
      </c>
      <c r="P1380">
        <v>5</v>
      </c>
      <c r="Q1380">
        <v>4</v>
      </c>
      <c r="R1380">
        <v>5</v>
      </c>
      <c r="S1380">
        <v>3</v>
      </c>
      <c r="T1380">
        <v>4</v>
      </c>
      <c r="U1380">
        <v>2</v>
      </c>
      <c r="V1380">
        <v>5</v>
      </c>
      <c r="W1380">
        <v>5</v>
      </c>
      <c r="X1380">
        <v>4</v>
      </c>
      <c r="Y1380">
        <v>3</v>
      </c>
      <c r="Z1380">
        <v>5</v>
      </c>
      <c r="AA1380">
        <v>3</v>
      </c>
      <c r="AB1380">
        <v>4</v>
      </c>
      <c r="AC1380">
        <v>2</v>
      </c>
      <c r="AD1380">
        <v>4</v>
      </c>
      <c r="AE1380">
        <v>2</v>
      </c>
      <c r="AF1380">
        <v>4</v>
      </c>
      <c r="AG1380">
        <v>2</v>
      </c>
      <c r="AH1380">
        <v>3</v>
      </c>
      <c r="AI1380">
        <v>3</v>
      </c>
      <c r="AJ1380">
        <v>2</v>
      </c>
      <c r="AK1380" t="b">
        <f>Table67[[#This Row],[What is your age?]]&lt;&gt;"18 - 25"</f>
        <v>0</v>
      </c>
      <c r="AL1380" t="b">
        <f t="shared" si="84"/>
        <v>0</v>
      </c>
      <c r="AM1380" t="b">
        <f t="shared" si="85"/>
        <v>0</v>
      </c>
      <c r="AN1380" t="b">
        <f t="shared" si="86"/>
        <v>1</v>
      </c>
      <c r="AO1380" t="b">
        <f>OR(Table67[[#This Row],[Ineligible respondents]:[Inconsistent response on opposite question (3)]])</f>
        <v>1</v>
      </c>
      <c r="AP138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380">
        <f>Table67[[#This Row],[Extreme Response]]/21</f>
        <v>0.2857142857142857</v>
      </c>
      <c r="AR1380">
        <f>_xlfn.PERCENTILE.INC(Table67[Extrem Response Ratio (ERS)],0.9)</f>
        <v>0.61904761904761907</v>
      </c>
      <c r="AS1380" t="b">
        <f>Table67[[#This Row],[Extrem Response Ratio (ERS)]]&gt;=Table67[[#This Row],[Threshold of ERS]]</f>
        <v>0</v>
      </c>
      <c r="AT1380">
        <f>COUNTIF(Table67[[#This Row],[The mechanism of digital assets is difficult to understand, which discourages me from exploring it (E.g, Tokenization, Blockchain)]:[If I want to try different ways to invest, I will explore digital assets.]], 3)</f>
        <v>5</v>
      </c>
      <c r="AU1380">
        <f>Table67[[#This Row],[Midpoint]]/21</f>
        <v>0.23809523809523808</v>
      </c>
      <c r="AV1380">
        <f>_xlfn.PERCENTILE.INC(Table67[Midpoint ratio],0.9)</f>
        <v>0.5714285714285714</v>
      </c>
      <c r="AW1380" t="b">
        <f>Table67[[#This Row],[Midpoint ratio]]&gt;=Table67[[#This Row],[Threshold of Midpoint ratio]]</f>
        <v>0</v>
      </c>
      <c r="AX1380" t="b">
        <f>OR(Table67[[#This Row],[Extreme Response Style]],Table67[[#This Row],[Mid-point Response Style]])</f>
        <v>0</v>
      </c>
      <c r="AY1380" t="b">
        <f>OR(Table67[[#This Row],[Delete? (Stage 1)]],Table67[[#This Row],[Delete? (Stage 2)]])</f>
        <v>1</v>
      </c>
      <c r="AZ1380" t="s">
        <v>84</v>
      </c>
    </row>
    <row r="1381" spans="1:52">
      <c r="A1381">
        <f t="shared" si="87"/>
        <v>1380</v>
      </c>
      <c r="B1381" s="3">
        <v>46062.024884259263</v>
      </c>
      <c r="C1381" s="3">
        <v>46062.033842592595</v>
      </c>
      <c r="D1381" t="s">
        <v>53</v>
      </c>
      <c r="G1381" t="s">
        <v>54</v>
      </c>
      <c r="H1381" t="s">
        <v>63</v>
      </c>
      <c r="I1381" t="s">
        <v>56</v>
      </c>
      <c r="J1381" t="s">
        <v>62</v>
      </c>
      <c r="K1381" t="s">
        <v>62</v>
      </c>
      <c r="L1381" t="s">
        <v>61</v>
      </c>
      <c r="M1381" t="s">
        <v>61</v>
      </c>
      <c r="N1381">
        <v>4</v>
      </c>
      <c r="O1381">
        <v>3</v>
      </c>
      <c r="P1381">
        <v>4</v>
      </c>
      <c r="Q1381">
        <v>3</v>
      </c>
      <c r="R1381">
        <v>4</v>
      </c>
      <c r="S1381">
        <v>4</v>
      </c>
      <c r="T1381">
        <v>3</v>
      </c>
      <c r="U1381">
        <v>3</v>
      </c>
      <c r="V1381">
        <v>2</v>
      </c>
      <c r="W1381">
        <v>3</v>
      </c>
      <c r="X1381">
        <v>3</v>
      </c>
      <c r="Y1381">
        <v>5</v>
      </c>
      <c r="Z1381">
        <v>4</v>
      </c>
      <c r="AA1381">
        <v>4</v>
      </c>
      <c r="AB1381">
        <v>4</v>
      </c>
      <c r="AC1381">
        <v>3</v>
      </c>
      <c r="AD1381">
        <v>3</v>
      </c>
      <c r="AE1381">
        <v>3</v>
      </c>
      <c r="AF1381">
        <v>4</v>
      </c>
      <c r="AG1381">
        <v>3</v>
      </c>
      <c r="AH1381">
        <v>4</v>
      </c>
      <c r="AI1381">
        <v>2</v>
      </c>
      <c r="AJ1381">
        <v>2</v>
      </c>
      <c r="AK1381" t="b">
        <f>Table67[[#This Row],[What is your age?]]&lt;&gt;"18 - 25"</f>
        <v>0</v>
      </c>
      <c r="AL1381" t="b">
        <f t="shared" si="84"/>
        <v>0</v>
      </c>
      <c r="AM1381" t="b">
        <f t="shared" si="85"/>
        <v>0</v>
      </c>
      <c r="AN1381" t="b">
        <f t="shared" si="86"/>
        <v>1</v>
      </c>
      <c r="AO1381" t="b">
        <f>OR(Table67[[#This Row],[Ineligible respondents]:[Inconsistent response on opposite question (3)]])</f>
        <v>1</v>
      </c>
      <c r="AP138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381">
        <f>Table67[[#This Row],[Extreme Response]]/21</f>
        <v>4.7619047619047616E-2</v>
      </c>
      <c r="AR1381">
        <f>_xlfn.PERCENTILE.INC(Table67[Extrem Response Ratio (ERS)],0.9)</f>
        <v>0.61904761904761907</v>
      </c>
      <c r="AS1381" t="b">
        <f>Table67[[#This Row],[Extrem Response Ratio (ERS)]]&gt;=Table67[[#This Row],[Threshold of ERS]]</f>
        <v>0</v>
      </c>
      <c r="AT1381">
        <f>COUNTIF(Table67[[#This Row],[The mechanism of digital assets is difficult to understand, which discourages me from exploring it (E.g, Tokenization, Blockchain)]:[If I want to try different ways to invest, I will explore digital assets.]], 3)</f>
        <v>10</v>
      </c>
      <c r="AU1381">
        <f>Table67[[#This Row],[Midpoint]]/21</f>
        <v>0.47619047619047616</v>
      </c>
      <c r="AV1381">
        <f>_xlfn.PERCENTILE.INC(Table67[Midpoint ratio],0.9)</f>
        <v>0.5714285714285714</v>
      </c>
      <c r="AW1381" t="b">
        <f>Table67[[#This Row],[Midpoint ratio]]&gt;=Table67[[#This Row],[Threshold of Midpoint ratio]]</f>
        <v>0</v>
      </c>
      <c r="AX1381" t="b">
        <f>OR(Table67[[#This Row],[Extreme Response Style]],Table67[[#This Row],[Mid-point Response Style]])</f>
        <v>0</v>
      </c>
      <c r="AY1381" t="b">
        <f>OR(Table67[[#This Row],[Delete? (Stage 1)]],Table67[[#This Row],[Delete? (Stage 2)]])</f>
        <v>1</v>
      </c>
      <c r="AZ1381" t="s">
        <v>84</v>
      </c>
    </row>
    <row r="1382" spans="1:52">
      <c r="A1382">
        <f t="shared" si="87"/>
        <v>1381</v>
      </c>
      <c r="B1382" s="3">
        <v>46065.837500000001</v>
      </c>
      <c r="C1382" s="3">
        <v>46065.844421296293</v>
      </c>
      <c r="D1382" t="s">
        <v>53</v>
      </c>
      <c r="G1382" t="s">
        <v>54</v>
      </c>
      <c r="H1382" t="s">
        <v>63</v>
      </c>
      <c r="I1382" t="s">
        <v>56</v>
      </c>
      <c r="J1382" t="s">
        <v>60</v>
      </c>
      <c r="K1382" t="s">
        <v>62</v>
      </c>
      <c r="L1382" t="s">
        <v>61</v>
      </c>
      <c r="M1382" t="s">
        <v>61</v>
      </c>
      <c r="N1382">
        <v>2</v>
      </c>
      <c r="O1382">
        <v>2</v>
      </c>
      <c r="P1382">
        <v>3</v>
      </c>
      <c r="Q1382">
        <v>3</v>
      </c>
      <c r="R1382">
        <v>2</v>
      </c>
      <c r="S1382">
        <v>3</v>
      </c>
      <c r="T1382">
        <v>3</v>
      </c>
      <c r="U1382">
        <v>3</v>
      </c>
      <c r="V1382">
        <v>5</v>
      </c>
      <c r="W1382">
        <v>5</v>
      </c>
      <c r="X1382">
        <v>3</v>
      </c>
      <c r="Y1382">
        <v>5</v>
      </c>
      <c r="Z1382">
        <v>3</v>
      </c>
      <c r="AA1382">
        <v>3</v>
      </c>
      <c r="AB1382">
        <v>3</v>
      </c>
      <c r="AC1382">
        <v>2</v>
      </c>
      <c r="AD1382">
        <v>3</v>
      </c>
      <c r="AE1382">
        <v>3</v>
      </c>
      <c r="AF1382">
        <v>2</v>
      </c>
      <c r="AG1382">
        <v>3</v>
      </c>
      <c r="AH1382">
        <v>3</v>
      </c>
      <c r="AI1382">
        <v>3</v>
      </c>
      <c r="AJ1382">
        <v>4</v>
      </c>
      <c r="AK1382" t="b">
        <f>Table67[[#This Row],[What is your age?]]&lt;&gt;"18 - 25"</f>
        <v>0</v>
      </c>
      <c r="AL1382" t="b">
        <f t="shared" si="84"/>
        <v>0</v>
      </c>
      <c r="AM1382" t="b">
        <f t="shared" si="85"/>
        <v>0</v>
      </c>
      <c r="AN1382" t="b">
        <f t="shared" si="86"/>
        <v>0</v>
      </c>
      <c r="AO1382" t="b">
        <f>OR(Table67[[#This Row],[Ineligible respondents]:[Inconsistent response on opposite question (3)]])</f>
        <v>0</v>
      </c>
      <c r="AP138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382">
        <f>Table67[[#This Row],[Extreme Response]]/21</f>
        <v>0.14285714285714285</v>
      </c>
      <c r="AR1382">
        <f>_xlfn.PERCENTILE.INC(Table67[Extrem Response Ratio (ERS)],0.9)</f>
        <v>0.61904761904761907</v>
      </c>
      <c r="AS1382" t="b">
        <f>Table67[[#This Row],[Extrem Response Ratio (ERS)]]&gt;=Table67[[#This Row],[Threshold of ERS]]</f>
        <v>0</v>
      </c>
      <c r="AT1382">
        <f>COUNTIF(Table67[[#This Row],[The mechanism of digital assets is difficult to understand, which discourages me from exploring it (E.g, Tokenization, Blockchain)]:[If I want to try different ways to invest, I will explore digital assets.]], 3)</f>
        <v>13</v>
      </c>
      <c r="AU1382">
        <f>Table67[[#This Row],[Midpoint]]/21</f>
        <v>0.61904761904761907</v>
      </c>
      <c r="AV1382">
        <f>_xlfn.PERCENTILE.INC(Table67[Midpoint ratio],0.9)</f>
        <v>0.5714285714285714</v>
      </c>
      <c r="AW1382" t="b">
        <f>Table67[[#This Row],[Midpoint ratio]]&gt;=Table67[[#This Row],[Threshold of Midpoint ratio]]</f>
        <v>1</v>
      </c>
      <c r="AX1382" t="b">
        <f>OR(Table67[[#This Row],[Extreme Response Style]],Table67[[#This Row],[Mid-point Response Style]])</f>
        <v>1</v>
      </c>
      <c r="AY1382" t="b">
        <f>OR(Table67[[#This Row],[Delete? (Stage 1)]],Table67[[#This Row],[Delete? (Stage 2)]])</f>
        <v>1</v>
      </c>
      <c r="AZ1382" t="s">
        <v>84</v>
      </c>
    </row>
    <row r="1383" spans="1:52">
      <c r="A1383">
        <f t="shared" si="87"/>
        <v>1382</v>
      </c>
      <c r="B1383" s="3">
        <v>46065.689837962964</v>
      </c>
      <c r="C1383" s="3">
        <v>46065.69023148148</v>
      </c>
      <c r="D1383" t="s">
        <v>53</v>
      </c>
      <c r="G1383" t="s">
        <v>54</v>
      </c>
      <c r="H1383" t="s">
        <v>55</v>
      </c>
      <c r="I1383" t="s">
        <v>69</v>
      </c>
      <c r="J1383" t="s">
        <v>62</v>
      </c>
      <c r="K1383" t="s">
        <v>62</v>
      </c>
      <c r="L1383" t="s">
        <v>58</v>
      </c>
      <c r="M1383" t="s">
        <v>58</v>
      </c>
      <c r="N1383">
        <v>2</v>
      </c>
      <c r="O1383">
        <v>3</v>
      </c>
      <c r="P1383">
        <v>2</v>
      </c>
      <c r="Q1383">
        <v>2</v>
      </c>
      <c r="R1383">
        <v>2</v>
      </c>
      <c r="S1383">
        <v>3</v>
      </c>
      <c r="T1383">
        <v>3</v>
      </c>
      <c r="U1383">
        <v>2</v>
      </c>
      <c r="V1383">
        <v>2</v>
      </c>
      <c r="W1383">
        <v>3</v>
      </c>
      <c r="X1383">
        <v>3</v>
      </c>
      <c r="Y1383">
        <v>2</v>
      </c>
      <c r="Z1383">
        <v>3</v>
      </c>
      <c r="AA1383">
        <v>3</v>
      </c>
      <c r="AB1383">
        <v>3</v>
      </c>
      <c r="AC1383">
        <v>2</v>
      </c>
      <c r="AD1383">
        <v>3</v>
      </c>
      <c r="AE1383">
        <v>3</v>
      </c>
      <c r="AF1383">
        <v>4</v>
      </c>
      <c r="AG1383">
        <v>2</v>
      </c>
      <c r="AH1383">
        <v>4</v>
      </c>
      <c r="AI1383">
        <v>2</v>
      </c>
      <c r="AJ1383">
        <v>2</v>
      </c>
      <c r="AK1383" t="b">
        <f>Table67[[#This Row],[What is your age?]]&lt;&gt;"18 - 25"</f>
        <v>0</v>
      </c>
      <c r="AL1383" t="b">
        <f t="shared" si="84"/>
        <v>0</v>
      </c>
      <c r="AM1383" t="b">
        <f t="shared" si="85"/>
        <v>0</v>
      </c>
      <c r="AN1383" t="b">
        <f t="shared" si="86"/>
        <v>0</v>
      </c>
      <c r="AO1383" t="b">
        <f>OR(Table67[[#This Row],[Ineligible respondents]:[Inconsistent response on opposite question (3)]])</f>
        <v>0</v>
      </c>
      <c r="AP138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383">
        <f>Table67[[#This Row],[Extreme Response]]/21</f>
        <v>0</v>
      </c>
      <c r="AR1383">
        <f>_xlfn.PERCENTILE.INC(Table67[Extrem Response Ratio (ERS)],0.9)</f>
        <v>0.61904761904761907</v>
      </c>
      <c r="AS1383" t="b">
        <f>Table67[[#This Row],[Extrem Response Ratio (ERS)]]&gt;=Table67[[#This Row],[Threshold of ERS]]</f>
        <v>0</v>
      </c>
      <c r="AT1383">
        <f>COUNTIF(Table67[[#This Row],[The mechanism of digital assets is difficult to understand, which discourages me from exploring it (E.g, Tokenization, Blockchain)]:[If I want to try different ways to invest, I will explore digital assets.]], 3)</f>
        <v>10</v>
      </c>
      <c r="AU1383">
        <f>Table67[[#This Row],[Midpoint]]/21</f>
        <v>0.47619047619047616</v>
      </c>
      <c r="AV1383">
        <f>_xlfn.PERCENTILE.INC(Table67[Midpoint ratio],0.9)</f>
        <v>0.5714285714285714</v>
      </c>
      <c r="AW1383" t="b">
        <f>Table67[[#This Row],[Midpoint ratio]]&gt;=Table67[[#This Row],[Threshold of Midpoint ratio]]</f>
        <v>0</v>
      </c>
      <c r="AX1383" t="b">
        <f>OR(Table67[[#This Row],[Extreme Response Style]],Table67[[#This Row],[Mid-point Response Style]])</f>
        <v>0</v>
      </c>
      <c r="AY1383" t="b">
        <f>OR(Table67[[#This Row],[Delete? (Stage 1)]],Table67[[#This Row],[Delete? (Stage 2)]])</f>
        <v>0</v>
      </c>
      <c r="AZ1383" t="s">
        <v>84</v>
      </c>
    </row>
    <row r="1384" spans="1:52">
      <c r="A1384">
        <f t="shared" si="87"/>
        <v>1383</v>
      </c>
      <c r="B1384" s="3">
        <v>46062.046967592592</v>
      </c>
      <c r="C1384" s="3">
        <v>46062.050833333335</v>
      </c>
      <c r="D1384" t="s">
        <v>53</v>
      </c>
      <c r="G1384" t="s">
        <v>54</v>
      </c>
      <c r="H1384" t="s">
        <v>55</v>
      </c>
      <c r="I1384" t="s">
        <v>56</v>
      </c>
      <c r="J1384" t="s">
        <v>60</v>
      </c>
      <c r="K1384" t="s">
        <v>62</v>
      </c>
      <c r="L1384" t="s">
        <v>58</v>
      </c>
      <c r="M1384" t="s">
        <v>61</v>
      </c>
      <c r="N1384">
        <v>3</v>
      </c>
      <c r="O1384">
        <v>3</v>
      </c>
      <c r="P1384">
        <v>3</v>
      </c>
      <c r="Q1384">
        <v>4</v>
      </c>
      <c r="R1384">
        <v>4</v>
      </c>
      <c r="S1384">
        <v>3</v>
      </c>
      <c r="T1384">
        <v>2</v>
      </c>
      <c r="U1384">
        <v>4</v>
      </c>
      <c r="V1384">
        <v>3</v>
      </c>
      <c r="W1384">
        <v>4</v>
      </c>
      <c r="X1384">
        <v>2</v>
      </c>
      <c r="Y1384">
        <v>3</v>
      </c>
      <c r="Z1384">
        <v>4</v>
      </c>
      <c r="AA1384">
        <v>3</v>
      </c>
      <c r="AB1384">
        <v>4</v>
      </c>
      <c r="AC1384">
        <v>3</v>
      </c>
      <c r="AD1384">
        <v>5</v>
      </c>
      <c r="AE1384">
        <v>1</v>
      </c>
      <c r="AF1384">
        <v>3</v>
      </c>
      <c r="AG1384">
        <v>3</v>
      </c>
      <c r="AH1384">
        <v>4</v>
      </c>
      <c r="AI1384">
        <v>2</v>
      </c>
      <c r="AJ1384">
        <v>3</v>
      </c>
      <c r="AK1384" t="b">
        <f>Table67[[#This Row],[What is your age?]]&lt;&gt;"18 - 25"</f>
        <v>0</v>
      </c>
      <c r="AL1384" t="b">
        <f t="shared" si="84"/>
        <v>0</v>
      </c>
      <c r="AM1384" t="b">
        <f t="shared" si="85"/>
        <v>0</v>
      </c>
      <c r="AN1384" t="b">
        <f t="shared" si="86"/>
        <v>1</v>
      </c>
      <c r="AO1384" t="b">
        <f>OR(Table67[[#This Row],[Ineligible respondents]:[Inconsistent response on opposite question (3)]])</f>
        <v>1</v>
      </c>
      <c r="AP138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384">
        <f>Table67[[#This Row],[Extreme Response]]/21</f>
        <v>9.5238095238095233E-2</v>
      </c>
      <c r="AR1384">
        <f>_xlfn.PERCENTILE.INC(Table67[Extrem Response Ratio (ERS)],0.9)</f>
        <v>0.61904761904761907</v>
      </c>
      <c r="AS1384" t="b">
        <f>Table67[[#This Row],[Extrem Response Ratio (ERS)]]&gt;=Table67[[#This Row],[Threshold of ERS]]</f>
        <v>0</v>
      </c>
      <c r="AT1384">
        <f>COUNTIF(Table67[[#This Row],[The mechanism of digital assets is difficult to understand, which discourages me from exploring it (E.g, Tokenization, Blockchain)]:[If I want to try different ways to invest, I will explore digital assets.]], 3)</f>
        <v>10</v>
      </c>
      <c r="AU1384">
        <f>Table67[[#This Row],[Midpoint]]/21</f>
        <v>0.47619047619047616</v>
      </c>
      <c r="AV1384">
        <f>_xlfn.PERCENTILE.INC(Table67[Midpoint ratio],0.9)</f>
        <v>0.5714285714285714</v>
      </c>
      <c r="AW1384" t="b">
        <f>Table67[[#This Row],[Midpoint ratio]]&gt;=Table67[[#This Row],[Threshold of Midpoint ratio]]</f>
        <v>0</v>
      </c>
      <c r="AX1384" t="b">
        <f>OR(Table67[[#This Row],[Extreme Response Style]],Table67[[#This Row],[Mid-point Response Style]])</f>
        <v>0</v>
      </c>
      <c r="AY1384" t="b">
        <f>OR(Table67[[#This Row],[Delete? (Stage 1)]],Table67[[#This Row],[Delete? (Stage 2)]])</f>
        <v>1</v>
      </c>
      <c r="AZ1384" t="s">
        <v>84</v>
      </c>
    </row>
    <row r="1385" spans="1:52">
      <c r="A1385">
        <f t="shared" si="87"/>
        <v>1384</v>
      </c>
      <c r="B1385" s="3">
        <v>46065.850543981483</v>
      </c>
      <c r="C1385" s="3">
        <v>46065.861307870371</v>
      </c>
      <c r="D1385" t="s">
        <v>53</v>
      </c>
      <c r="G1385" t="s">
        <v>54</v>
      </c>
      <c r="H1385" t="s">
        <v>63</v>
      </c>
      <c r="I1385" t="s">
        <v>56</v>
      </c>
      <c r="J1385" t="s">
        <v>62</v>
      </c>
      <c r="K1385" t="s">
        <v>57</v>
      </c>
      <c r="L1385" t="s">
        <v>58</v>
      </c>
      <c r="M1385" t="s">
        <v>58</v>
      </c>
      <c r="N1385">
        <v>3</v>
      </c>
      <c r="O1385">
        <v>3</v>
      </c>
      <c r="P1385">
        <v>3</v>
      </c>
      <c r="Q1385">
        <v>3</v>
      </c>
      <c r="R1385">
        <v>3</v>
      </c>
      <c r="S1385">
        <v>2</v>
      </c>
      <c r="T1385">
        <v>2</v>
      </c>
      <c r="U1385">
        <v>3</v>
      </c>
      <c r="V1385">
        <v>4</v>
      </c>
      <c r="W1385">
        <v>4</v>
      </c>
      <c r="X1385">
        <v>3</v>
      </c>
      <c r="Y1385">
        <v>4</v>
      </c>
      <c r="Z1385">
        <v>3</v>
      </c>
      <c r="AA1385">
        <v>2</v>
      </c>
      <c r="AB1385">
        <v>2</v>
      </c>
      <c r="AC1385">
        <v>4</v>
      </c>
      <c r="AD1385">
        <v>4</v>
      </c>
      <c r="AE1385">
        <v>3</v>
      </c>
      <c r="AF1385">
        <v>4</v>
      </c>
      <c r="AG1385">
        <v>2</v>
      </c>
      <c r="AH1385">
        <v>5</v>
      </c>
      <c r="AI1385">
        <v>1</v>
      </c>
      <c r="AJ1385">
        <v>2</v>
      </c>
      <c r="AK1385" t="b">
        <f>Table67[[#This Row],[What is your age?]]&lt;&gt;"18 - 25"</f>
        <v>0</v>
      </c>
      <c r="AL1385" t="b">
        <f t="shared" si="84"/>
        <v>0</v>
      </c>
      <c r="AM1385" t="b">
        <f t="shared" si="85"/>
        <v>0</v>
      </c>
      <c r="AN1385" t="b">
        <f t="shared" si="86"/>
        <v>0</v>
      </c>
      <c r="AO1385" t="b">
        <f>OR(Table67[[#This Row],[Ineligible respondents]:[Inconsistent response on opposite question (3)]])</f>
        <v>0</v>
      </c>
      <c r="AP138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385">
        <f>Table67[[#This Row],[Extreme Response]]/21</f>
        <v>4.7619047619047616E-2</v>
      </c>
      <c r="AR1385">
        <f>_xlfn.PERCENTILE.INC(Table67[Extrem Response Ratio (ERS)],0.9)</f>
        <v>0.61904761904761907</v>
      </c>
      <c r="AS1385" t="b">
        <f>Table67[[#This Row],[Extrem Response Ratio (ERS)]]&gt;=Table67[[#This Row],[Threshold of ERS]]</f>
        <v>0</v>
      </c>
      <c r="AT1385">
        <f>COUNTIF(Table67[[#This Row],[The mechanism of digital assets is difficult to understand, which discourages me from exploring it (E.g, Tokenization, Blockchain)]:[If I want to try different ways to invest, I will explore digital assets.]], 3)</f>
        <v>9</v>
      </c>
      <c r="AU1385">
        <f>Table67[[#This Row],[Midpoint]]/21</f>
        <v>0.42857142857142855</v>
      </c>
      <c r="AV1385">
        <f>_xlfn.PERCENTILE.INC(Table67[Midpoint ratio],0.9)</f>
        <v>0.5714285714285714</v>
      </c>
      <c r="AW1385" t="b">
        <f>Table67[[#This Row],[Midpoint ratio]]&gt;=Table67[[#This Row],[Threshold of Midpoint ratio]]</f>
        <v>0</v>
      </c>
      <c r="AX1385" t="b">
        <f>OR(Table67[[#This Row],[Extreme Response Style]],Table67[[#This Row],[Mid-point Response Style]])</f>
        <v>0</v>
      </c>
      <c r="AY1385" t="b">
        <f>OR(Table67[[#This Row],[Delete? (Stage 1)]],Table67[[#This Row],[Delete? (Stage 2)]])</f>
        <v>0</v>
      </c>
      <c r="AZ1385" t="s">
        <v>84</v>
      </c>
    </row>
    <row r="1386" spans="1:52">
      <c r="A1386">
        <f t="shared" si="87"/>
        <v>1385</v>
      </c>
      <c r="B1386" s="3">
        <v>46062.039884259262</v>
      </c>
      <c r="C1386" s="3">
        <v>46062.044756944444</v>
      </c>
      <c r="D1386" t="s">
        <v>53</v>
      </c>
      <c r="G1386" t="s">
        <v>54</v>
      </c>
      <c r="H1386" t="s">
        <v>63</v>
      </c>
      <c r="I1386" t="s">
        <v>56</v>
      </c>
      <c r="J1386" t="s">
        <v>67</v>
      </c>
      <c r="K1386" t="s">
        <v>65</v>
      </c>
      <c r="L1386" t="s">
        <v>58</v>
      </c>
      <c r="M1386" t="s">
        <v>61</v>
      </c>
      <c r="N1386">
        <v>3</v>
      </c>
      <c r="O1386">
        <v>3</v>
      </c>
      <c r="P1386">
        <v>3</v>
      </c>
      <c r="Q1386">
        <v>3</v>
      </c>
      <c r="R1386">
        <v>4</v>
      </c>
      <c r="S1386">
        <v>3</v>
      </c>
      <c r="T1386">
        <v>4</v>
      </c>
      <c r="U1386">
        <v>3</v>
      </c>
      <c r="V1386">
        <v>2</v>
      </c>
      <c r="W1386">
        <v>4</v>
      </c>
      <c r="X1386">
        <v>2</v>
      </c>
      <c r="Y1386">
        <v>3</v>
      </c>
      <c r="Z1386">
        <v>3</v>
      </c>
      <c r="AA1386">
        <v>4</v>
      </c>
      <c r="AB1386">
        <v>3</v>
      </c>
      <c r="AC1386">
        <v>4</v>
      </c>
      <c r="AD1386">
        <v>3</v>
      </c>
      <c r="AE1386">
        <v>3</v>
      </c>
      <c r="AF1386">
        <v>4</v>
      </c>
      <c r="AG1386">
        <v>4</v>
      </c>
      <c r="AH1386">
        <v>3</v>
      </c>
      <c r="AI1386">
        <v>3</v>
      </c>
      <c r="AJ1386">
        <v>2</v>
      </c>
      <c r="AK1386" t="b">
        <f>Table67[[#This Row],[What is your age?]]&lt;&gt;"18 - 25"</f>
        <v>0</v>
      </c>
      <c r="AL1386" t="b">
        <f t="shared" si="84"/>
        <v>0</v>
      </c>
      <c r="AM1386" t="b">
        <f t="shared" si="85"/>
        <v>0</v>
      </c>
      <c r="AN1386" t="b">
        <f t="shared" si="86"/>
        <v>1</v>
      </c>
      <c r="AO1386" t="b">
        <f>OR(Table67[[#This Row],[Ineligible respondents]:[Inconsistent response on opposite question (3)]])</f>
        <v>1</v>
      </c>
      <c r="AP138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386">
        <f>Table67[[#This Row],[Extreme Response]]/21</f>
        <v>0</v>
      </c>
      <c r="AR1386">
        <f>_xlfn.PERCENTILE.INC(Table67[Extrem Response Ratio (ERS)],0.9)</f>
        <v>0.61904761904761907</v>
      </c>
      <c r="AS1386" t="b">
        <f>Table67[[#This Row],[Extrem Response Ratio (ERS)]]&gt;=Table67[[#This Row],[Threshold of ERS]]</f>
        <v>0</v>
      </c>
      <c r="AT1386">
        <f>COUNTIF(Table67[[#This Row],[The mechanism of digital assets is difficult to understand, which discourages me from exploring it (E.g, Tokenization, Blockchain)]:[If I want to try different ways to invest, I will explore digital assets.]], 3)</f>
        <v>12</v>
      </c>
      <c r="AU1386">
        <f>Table67[[#This Row],[Midpoint]]/21</f>
        <v>0.5714285714285714</v>
      </c>
      <c r="AV1386">
        <f>_xlfn.PERCENTILE.INC(Table67[Midpoint ratio],0.9)</f>
        <v>0.5714285714285714</v>
      </c>
      <c r="AW1386" t="b">
        <f>Table67[[#This Row],[Midpoint ratio]]&gt;=Table67[[#This Row],[Threshold of Midpoint ratio]]</f>
        <v>1</v>
      </c>
      <c r="AX1386" t="b">
        <f>OR(Table67[[#This Row],[Extreme Response Style]],Table67[[#This Row],[Mid-point Response Style]])</f>
        <v>1</v>
      </c>
      <c r="AY1386" t="b">
        <f>OR(Table67[[#This Row],[Delete? (Stage 1)]],Table67[[#This Row],[Delete? (Stage 2)]])</f>
        <v>1</v>
      </c>
      <c r="AZ1386" t="s">
        <v>84</v>
      </c>
    </row>
    <row r="1387" spans="1:52">
      <c r="A1387">
        <f t="shared" si="87"/>
        <v>1386</v>
      </c>
      <c r="B1387" s="3">
        <v>46062.025821759256</v>
      </c>
      <c r="C1387" s="3">
        <v>46062.028784722221</v>
      </c>
      <c r="D1387" t="s">
        <v>53</v>
      </c>
      <c r="G1387" t="s">
        <v>54</v>
      </c>
      <c r="H1387" t="s">
        <v>70</v>
      </c>
      <c r="I1387" t="s">
        <v>69</v>
      </c>
      <c r="J1387" t="s">
        <v>62</v>
      </c>
      <c r="K1387" t="s">
        <v>62</v>
      </c>
      <c r="L1387" t="s">
        <v>58</v>
      </c>
      <c r="M1387" t="s">
        <v>58</v>
      </c>
      <c r="N1387">
        <v>4</v>
      </c>
      <c r="O1387">
        <v>1</v>
      </c>
      <c r="P1387">
        <v>3</v>
      </c>
      <c r="Q1387">
        <v>5</v>
      </c>
      <c r="R1387">
        <v>4</v>
      </c>
      <c r="S1387">
        <v>5</v>
      </c>
      <c r="T1387">
        <v>5</v>
      </c>
      <c r="U1387">
        <v>5</v>
      </c>
      <c r="V1387">
        <v>4</v>
      </c>
      <c r="W1387">
        <v>5</v>
      </c>
      <c r="X1387">
        <v>5</v>
      </c>
      <c r="Y1387">
        <v>5</v>
      </c>
      <c r="Z1387">
        <v>3</v>
      </c>
      <c r="AA1387">
        <v>5</v>
      </c>
      <c r="AB1387">
        <v>3</v>
      </c>
      <c r="AC1387">
        <v>5</v>
      </c>
      <c r="AD1387">
        <v>5</v>
      </c>
      <c r="AE1387">
        <v>5</v>
      </c>
      <c r="AF1387">
        <v>1</v>
      </c>
      <c r="AG1387">
        <v>5</v>
      </c>
      <c r="AH1387">
        <v>1</v>
      </c>
      <c r="AI1387">
        <v>5</v>
      </c>
      <c r="AJ1387">
        <v>5</v>
      </c>
      <c r="AK1387" t="b">
        <f>Table67[[#This Row],[What is your age?]]&lt;&gt;"18 - 25"</f>
        <v>0</v>
      </c>
      <c r="AL1387" t="b">
        <f t="shared" si="84"/>
        <v>0</v>
      </c>
      <c r="AM1387" t="b">
        <f t="shared" si="85"/>
        <v>0</v>
      </c>
      <c r="AN1387" t="b">
        <f t="shared" si="86"/>
        <v>0</v>
      </c>
      <c r="AO1387" t="b">
        <f>OR(Table67[[#This Row],[Ineligible respondents]:[Inconsistent response on opposite question (3)]])</f>
        <v>0</v>
      </c>
      <c r="AP138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1387">
        <f>Table67[[#This Row],[Extreme Response]]/21</f>
        <v>0.7142857142857143</v>
      </c>
      <c r="AR1387">
        <f>_xlfn.PERCENTILE.INC(Table67[Extrem Response Ratio (ERS)],0.9)</f>
        <v>0.61904761904761907</v>
      </c>
      <c r="AS1387" t="b">
        <f>Table67[[#This Row],[Extrem Response Ratio (ERS)]]&gt;=Table67[[#This Row],[Threshold of ERS]]</f>
        <v>1</v>
      </c>
      <c r="AT1387">
        <f>COUNTIF(Table67[[#This Row],[The mechanism of digital assets is difficult to understand, which discourages me from exploring it (E.g, Tokenization, Blockchain)]:[If I want to try different ways to invest, I will explore digital assets.]], 3)</f>
        <v>3</v>
      </c>
      <c r="AU1387">
        <f>Table67[[#This Row],[Midpoint]]/21</f>
        <v>0.14285714285714285</v>
      </c>
      <c r="AV1387">
        <f>_xlfn.PERCENTILE.INC(Table67[Midpoint ratio],0.9)</f>
        <v>0.5714285714285714</v>
      </c>
      <c r="AW1387" t="b">
        <f>Table67[[#This Row],[Midpoint ratio]]&gt;=Table67[[#This Row],[Threshold of Midpoint ratio]]</f>
        <v>0</v>
      </c>
      <c r="AX1387" t="b">
        <f>OR(Table67[[#This Row],[Extreme Response Style]],Table67[[#This Row],[Mid-point Response Style]])</f>
        <v>1</v>
      </c>
      <c r="AY1387" t="b">
        <f>OR(Table67[[#This Row],[Delete? (Stage 1)]],Table67[[#This Row],[Delete? (Stage 2)]])</f>
        <v>1</v>
      </c>
      <c r="AZ1387" t="s">
        <v>84</v>
      </c>
    </row>
    <row r="1388" spans="1:52">
      <c r="A1388">
        <f t="shared" si="87"/>
        <v>1387</v>
      </c>
      <c r="B1388" s="3">
        <v>46065.731469907405</v>
      </c>
      <c r="C1388" s="3">
        <v>46065.733136574076</v>
      </c>
      <c r="D1388" t="s">
        <v>53</v>
      </c>
      <c r="G1388" t="s">
        <v>54</v>
      </c>
      <c r="H1388" t="s">
        <v>55</v>
      </c>
      <c r="I1388" t="s">
        <v>69</v>
      </c>
      <c r="J1388" t="s">
        <v>60</v>
      </c>
      <c r="K1388" t="s">
        <v>57</v>
      </c>
      <c r="L1388" t="s">
        <v>61</v>
      </c>
      <c r="M1388" t="s">
        <v>61</v>
      </c>
      <c r="N1388">
        <v>3</v>
      </c>
      <c r="O1388">
        <v>3</v>
      </c>
      <c r="P1388">
        <v>3</v>
      </c>
      <c r="Q1388">
        <v>3</v>
      </c>
      <c r="R1388">
        <v>3</v>
      </c>
      <c r="S1388">
        <v>2</v>
      </c>
      <c r="T1388">
        <v>2</v>
      </c>
      <c r="U1388">
        <v>2</v>
      </c>
      <c r="V1388">
        <v>2</v>
      </c>
      <c r="W1388">
        <v>2</v>
      </c>
      <c r="X1388">
        <v>2</v>
      </c>
      <c r="Y1388">
        <v>2</v>
      </c>
      <c r="Z1388">
        <v>2</v>
      </c>
      <c r="AA1388">
        <v>2</v>
      </c>
      <c r="AB1388">
        <v>3</v>
      </c>
      <c r="AC1388">
        <v>3</v>
      </c>
      <c r="AD1388">
        <v>2</v>
      </c>
      <c r="AE1388">
        <v>2</v>
      </c>
      <c r="AF1388">
        <v>3</v>
      </c>
      <c r="AG1388">
        <v>2</v>
      </c>
      <c r="AH1388">
        <v>4</v>
      </c>
      <c r="AI1388">
        <v>2</v>
      </c>
      <c r="AJ1388">
        <v>3</v>
      </c>
      <c r="AK1388" t="b">
        <f>Table67[[#This Row],[What is your age?]]&lt;&gt;"18 - 25"</f>
        <v>0</v>
      </c>
      <c r="AL1388" t="b">
        <f t="shared" si="84"/>
        <v>0</v>
      </c>
      <c r="AM1388" t="b">
        <f t="shared" si="85"/>
        <v>0</v>
      </c>
      <c r="AN1388" t="b">
        <f t="shared" si="86"/>
        <v>0</v>
      </c>
      <c r="AO1388" t="b">
        <f>OR(Table67[[#This Row],[Ineligible respondents]:[Inconsistent response on opposite question (3)]])</f>
        <v>0</v>
      </c>
      <c r="AP138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388">
        <f>Table67[[#This Row],[Extreme Response]]/21</f>
        <v>0</v>
      </c>
      <c r="AR1388">
        <f>_xlfn.PERCENTILE.INC(Table67[Extrem Response Ratio (ERS)],0.9)</f>
        <v>0.61904761904761907</v>
      </c>
      <c r="AS1388" t="b">
        <f>Table67[[#This Row],[Extrem Response Ratio (ERS)]]&gt;=Table67[[#This Row],[Threshold of ERS]]</f>
        <v>0</v>
      </c>
      <c r="AT1388">
        <f>COUNTIF(Table67[[#This Row],[The mechanism of digital assets is difficult to understand, which discourages me from exploring it (E.g, Tokenization, Blockchain)]:[If I want to try different ways to invest, I will explore digital assets.]], 3)</f>
        <v>8</v>
      </c>
      <c r="AU1388">
        <f>Table67[[#This Row],[Midpoint]]/21</f>
        <v>0.38095238095238093</v>
      </c>
      <c r="AV1388">
        <f>_xlfn.PERCENTILE.INC(Table67[Midpoint ratio],0.9)</f>
        <v>0.5714285714285714</v>
      </c>
      <c r="AW1388" t="b">
        <f>Table67[[#This Row],[Midpoint ratio]]&gt;=Table67[[#This Row],[Threshold of Midpoint ratio]]</f>
        <v>0</v>
      </c>
      <c r="AX1388" t="b">
        <f>OR(Table67[[#This Row],[Extreme Response Style]],Table67[[#This Row],[Mid-point Response Style]])</f>
        <v>0</v>
      </c>
      <c r="AY1388" t="b">
        <f>OR(Table67[[#This Row],[Delete? (Stage 1)]],Table67[[#This Row],[Delete? (Stage 2)]])</f>
        <v>0</v>
      </c>
      <c r="AZ1388" t="s">
        <v>84</v>
      </c>
    </row>
    <row r="1389" spans="1:52">
      <c r="A1389">
        <f t="shared" si="87"/>
        <v>1388</v>
      </c>
      <c r="B1389" s="3">
        <v>46065.861597222225</v>
      </c>
      <c r="C1389" s="3">
        <v>46065.867048611108</v>
      </c>
      <c r="D1389" t="s">
        <v>53</v>
      </c>
      <c r="G1389" t="s">
        <v>54</v>
      </c>
      <c r="H1389" t="s">
        <v>63</v>
      </c>
      <c r="I1389" t="s">
        <v>75</v>
      </c>
      <c r="J1389" t="s">
        <v>62</v>
      </c>
      <c r="K1389" t="s">
        <v>57</v>
      </c>
      <c r="L1389" t="s">
        <v>58</v>
      </c>
      <c r="M1389" t="s">
        <v>58</v>
      </c>
      <c r="N1389">
        <v>3</v>
      </c>
      <c r="O1389">
        <v>4</v>
      </c>
      <c r="P1389">
        <v>4</v>
      </c>
      <c r="Q1389">
        <v>4</v>
      </c>
      <c r="R1389">
        <v>3</v>
      </c>
      <c r="S1389">
        <v>3</v>
      </c>
      <c r="T1389">
        <v>3</v>
      </c>
      <c r="U1389">
        <v>4</v>
      </c>
      <c r="V1389">
        <v>3</v>
      </c>
      <c r="W1389">
        <v>3</v>
      </c>
      <c r="X1389">
        <v>4</v>
      </c>
      <c r="Y1389">
        <v>3</v>
      </c>
      <c r="Z1389">
        <v>4</v>
      </c>
      <c r="AA1389">
        <v>2</v>
      </c>
      <c r="AB1389">
        <v>2</v>
      </c>
      <c r="AC1389">
        <v>3</v>
      </c>
      <c r="AD1389">
        <v>4</v>
      </c>
      <c r="AE1389">
        <v>4</v>
      </c>
      <c r="AF1389">
        <v>3</v>
      </c>
      <c r="AG1389">
        <v>3</v>
      </c>
      <c r="AH1389">
        <v>3</v>
      </c>
      <c r="AI1389">
        <v>3</v>
      </c>
      <c r="AJ1389">
        <v>3</v>
      </c>
      <c r="AK1389" t="b">
        <f>Table67[[#This Row],[What is your age?]]&lt;&gt;"18 - 25"</f>
        <v>0</v>
      </c>
      <c r="AL1389" t="b">
        <f t="shared" si="84"/>
        <v>0</v>
      </c>
      <c r="AM1389" t="b">
        <f t="shared" si="85"/>
        <v>0</v>
      </c>
      <c r="AN1389" t="b">
        <f t="shared" si="86"/>
        <v>0</v>
      </c>
      <c r="AO1389" t="b">
        <f>OR(Table67[[#This Row],[Ineligible respondents]:[Inconsistent response on opposite question (3)]])</f>
        <v>0</v>
      </c>
      <c r="AP138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389">
        <f>Table67[[#This Row],[Extreme Response]]/21</f>
        <v>0</v>
      </c>
      <c r="AR1389">
        <f>_xlfn.PERCENTILE.INC(Table67[Extrem Response Ratio (ERS)],0.9)</f>
        <v>0.61904761904761907</v>
      </c>
      <c r="AS1389" t="b">
        <f>Table67[[#This Row],[Extrem Response Ratio (ERS)]]&gt;=Table67[[#This Row],[Threshold of ERS]]</f>
        <v>0</v>
      </c>
      <c r="AT1389">
        <f>COUNTIF(Table67[[#This Row],[The mechanism of digital assets is difficult to understand, which discourages me from exploring it (E.g, Tokenization, Blockchain)]:[If I want to try different ways to invest, I will explore digital assets.]], 3)</f>
        <v>11</v>
      </c>
      <c r="AU1389">
        <f>Table67[[#This Row],[Midpoint]]/21</f>
        <v>0.52380952380952384</v>
      </c>
      <c r="AV1389">
        <f>_xlfn.PERCENTILE.INC(Table67[Midpoint ratio],0.9)</f>
        <v>0.5714285714285714</v>
      </c>
      <c r="AW1389" t="b">
        <f>Table67[[#This Row],[Midpoint ratio]]&gt;=Table67[[#This Row],[Threshold of Midpoint ratio]]</f>
        <v>0</v>
      </c>
      <c r="AX1389" t="b">
        <f>OR(Table67[[#This Row],[Extreme Response Style]],Table67[[#This Row],[Mid-point Response Style]])</f>
        <v>0</v>
      </c>
      <c r="AY1389" t="b">
        <f>OR(Table67[[#This Row],[Delete? (Stage 1)]],Table67[[#This Row],[Delete? (Stage 2)]])</f>
        <v>0</v>
      </c>
      <c r="AZ1389" t="s">
        <v>84</v>
      </c>
    </row>
    <row r="1390" spans="1:52">
      <c r="A1390">
        <f t="shared" si="87"/>
        <v>1389</v>
      </c>
      <c r="B1390" s="3">
        <v>46065.842199074075</v>
      </c>
      <c r="C1390" s="3">
        <v>46065.84878472222</v>
      </c>
      <c r="D1390" t="s">
        <v>53</v>
      </c>
      <c r="G1390" t="s">
        <v>54</v>
      </c>
      <c r="H1390" t="s">
        <v>55</v>
      </c>
      <c r="I1390" t="s">
        <v>56</v>
      </c>
      <c r="J1390" t="s">
        <v>62</v>
      </c>
      <c r="K1390" t="s">
        <v>57</v>
      </c>
      <c r="L1390" t="s">
        <v>58</v>
      </c>
      <c r="M1390" t="s">
        <v>58</v>
      </c>
      <c r="N1390">
        <v>3</v>
      </c>
      <c r="O1390">
        <v>4</v>
      </c>
      <c r="P1390">
        <v>3</v>
      </c>
      <c r="Q1390">
        <v>3</v>
      </c>
      <c r="R1390">
        <v>3</v>
      </c>
      <c r="S1390">
        <v>3</v>
      </c>
      <c r="T1390">
        <v>3</v>
      </c>
      <c r="U1390">
        <v>3</v>
      </c>
      <c r="V1390">
        <v>3</v>
      </c>
      <c r="W1390">
        <v>3</v>
      </c>
      <c r="X1390">
        <v>2</v>
      </c>
      <c r="Y1390">
        <v>3</v>
      </c>
      <c r="Z1390">
        <v>3</v>
      </c>
      <c r="AA1390">
        <v>3</v>
      </c>
      <c r="AB1390">
        <v>3</v>
      </c>
      <c r="AC1390">
        <v>3</v>
      </c>
      <c r="AD1390">
        <v>3</v>
      </c>
      <c r="AE1390">
        <v>3</v>
      </c>
      <c r="AF1390">
        <v>3</v>
      </c>
      <c r="AG1390">
        <v>2</v>
      </c>
      <c r="AH1390">
        <v>5</v>
      </c>
      <c r="AI1390">
        <v>1</v>
      </c>
      <c r="AJ1390">
        <v>3</v>
      </c>
      <c r="AK1390" t="b">
        <f>Table67[[#This Row],[What is your age?]]&lt;&gt;"18 - 25"</f>
        <v>0</v>
      </c>
      <c r="AL1390" t="b">
        <f t="shared" si="84"/>
        <v>0</v>
      </c>
      <c r="AM1390" t="b">
        <f t="shared" si="85"/>
        <v>0</v>
      </c>
      <c r="AN1390" t="b">
        <f t="shared" si="86"/>
        <v>0</v>
      </c>
      <c r="AO1390" t="b">
        <f>OR(Table67[[#This Row],[Ineligible respondents]:[Inconsistent response on opposite question (3)]])</f>
        <v>0</v>
      </c>
      <c r="AP139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390">
        <f>Table67[[#This Row],[Extreme Response]]/21</f>
        <v>4.7619047619047616E-2</v>
      </c>
      <c r="AR1390">
        <f>_xlfn.PERCENTILE.INC(Table67[Extrem Response Ratio (ERS)],0.9)</f>
        <v>0.61904761904761907</v>
      </c>
      <c r="AS1390" t="b">
        <f>Table67[[#This Row],[Extrem Response Ratio (ERS)]]&gt;=Table67[[#This Row],[Threshold of ERS]]</f>
        <v>0</v>
      </c>
      <c r="AT1390">
        <f>COUNTIF(Table67[[#This Row],[The mechanism of digital assets is difficult to understand, which discourages me from exploring it (E.g, Tokenization, Blockchain)]:[If I want to try different ways to invest, I will explore digital assets.]], 3)</f>
        <v>17</v>
      </c>
      <c r="AU1390">
        <f>Table67[[#This Row],[Midpoint]]/21</f>
        <v>0.80952380952380953</v>
      </c>
      <c r="AV1390">
        <f>_xlfn.PERCENTILE.INC(Table67[Midpoint ratio],0.9)</f>
        <v>0.5714285714285714</v>
      </c>
      <c r="AW1390" t="b">
        <f>Table67[[#This Row],[Midpoint ratio]]&gt;=Table67[[#This Row],[Threshold of Midpoint ratio]]</f>
        <v>1</v>
      </c>
      <c r="AX1390" t="b">
        <f>OR(Table67[[#This Row],[Extreme Response Style]],Table67[[#This Row],[Mid-point Response Style]])</f>
        <v>1</v>
      </c>
      <c r="AY1390" t="b">
        <f>OR(Table67[[#This Row],[Delete? (Stage 1)]],Table67[[#This Row],[Delete? (Stage 2)]])</f>
        <v>1</v>
      </c>
      <c r="AZ1390" t="s">
        <v>84</v>
      </c>
    </row>
    <row r="1391" spans="1:52">
      <c r="A1391">
        <f t="shared" si="87"/>
        <v>1390</v>
      </c>
      <c r="B1391" s="3">
        <v>46065.870115740741</v>
      </c>
      <c r="C1391" s="3">
        <v>46065.875949074078</v>
      </c>
      <c r="D1391" t="s">
        <v>53</v>
      </c>
      <c r="G1391" t="s">
        <v>54</v>
      </c>
      <c r="H1391" t="s">
        <v>55</v>
      </c>
      <c r="I1391" t="s">
        <v>56</v>
      </c>
      <c r="J1391" t="s">
        <v>62</v>
      </c>
      <c r="K1391" t="s">
        <v>62</v>
      </c>
      <c r="L1391" t="s">
        <v>58</v>
      </c>
      <c r="M1391" t="s">
        <v>58</v>
      </c>
      <c r="N1391">
        <v>3</v>
      </c>
      <c r="O1391">
        <v>3</v>
      </c>
      <c r="P1391">
        <v>4</v>
      </c>
      <c r="Q1391">
        <v>3</v>
      </c>
      <c r="R1391">
        <v>3</v>
      </c>
      <c r="S1391">
        <v>4</v>
      </c>
      <c r="T1391">
        <v>3</v>
      </c>
      <c r="U1391">
        <v>3</v>
      </c>
      <c r="V1391">
        <v>2</v>
      </c>
      <c r="W1391">
        <v>2</v>
      </c>
      <c r="X1391">
        <v>3</v>
      </c>
      <c r="Y1391">
        <v>2</v>
      </c>
      <c r="Z1391">
        <v>3</v>
      </c>
      <c r="AA1391">
        <v>3</v>
      </c>
      <c r="AB1391">
        <v>3</v>
      </c>
      <c r="AC1391">
        <v>3</v>
      </c>
      <c r="AD1391">
        <v>3</v>
      </c>
      <c r="AE1391">
        <v>3</v>
      </c>
      <c r="AF1391">
        <v>4</v>
      </c>
      <c r="AG1391">
        <v>1</v>
      </c>
      <c r="AH1391">
        <v>4</v>
      </c>
      <c r="AI1391">
        <v>2</v>
      </c>
      <c r="AJ1391">
        <v>2</v>
      </c>
      <c r="AK1391" t="b">
        <f>Table67[[#This Row],[What is your age?]]&lt;&gt;"18 - 25"</f>
        <v>0</v>
      </c>
      <c r="AL1391" t="b">
        <f t="shared" si="84"/>
        <v>0</v>
      </c>
      <c r="AM1391" t="b">
        <f t="shared" si="85"/>
        <v>0</v>
      </c>
      <c r="AN1391" t="b">
        <f t="shared" si="86"/>
        <v>0</v>
      </c>
      <c r="AO1391" t="b">
        <f>OR(Table67[[#This Row],[Ineligible respondents]:[Inconsistent response on opposite question (3)]])</f>
        <v>0</v>
      </c>
      <c r="AP139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391">
        <f>Table67[[#This Row],[Extreme Response]]/21</f>
        <v>4.7619047619047616E-2</v>
      </c>
      <c r="AR1391">
        <f>_xlfn.PERCENTILE.INC(Table67[Extrem Response Ratio (ERS)],0.9)</f>
        <v>0.61904761904761907</v>
      </c>
      <c r="AS1391" t="b">
        <f>Table67[[#This Row],[Extrem Response Ratio (ERS)]]&gt;=Table67[[#This Row],[Threshold of ERS]]</f>
        <v>0</v>
      </c>
      <c r="AT1391">
        <f>COUNTIF(Table67[[#This Row],[The mechanism of digital assets is difficult to understand, which discourages me from exploring it (E.g, Tokenization, Blockchain)]:[If I want to try different ways to invest, I will explore digital assets.]], 3)</f>
        <v>13</v>
      </c>
      <c r="AU1391">
        <f>Table67[[#This Row],[Midpoint]]/21</f>
        <v>0.61904761904761907</v>
      </c>
      <c r="AV1391">
        <f>_xlfn.PERCENTILE.INC(Table67[Midpoint ratio],0.9)</f>
        <v>0.5714285714285714</v>
      </c>
      <c r="AW1391" t="b">
        <f>Table67[[#This Row],[Midpoint ratio]]&gt;=Table67[[#This Row],[Threshold of Midpoint ratio]]</f>
        <v>1</v>
      </c>
      <c r="AX1391" t="b">
        <f>OR(Table67[[#This Row],[Extreme Response Style]],Table67[[#This Row],[Mid-point Response Style]])</f>
        <v>1</v>
      </c>
      <c r="AY1391" t="b">
        <f>OR(Table67[[#This Row],[Delete? (Stage 1)]],Table67[[#This Row],[Delete? (Stage 2)]])</f>
        <v>1</v>
      </c>
      <c r="AZ1391" t="s">
        <v>84</v>
      </c>
    </row>
    <row r="1392" spans="1:52">
      <c r="A1392">
        <f t="shared" si="87"/>
        <v>1391</v>
      </c>
      <c r="B1392" s="3">
        <v>46065.710081018522</v>
      </c>
      <c r="C1392" s="3">
        <v>46065.710393518515</v>
      </c>
      <c r="D1392" t="s">
        <v>53</v>
      </c>
      <c r="G1392" t="s">
        <v>54</v>
      </c>
      <c r="H1392" t="s">
        <v>63</v>
      </c>
      <c r="I1392" t="s">
        <v>75</v>
      </c>
      <c r="J1392" t="s">
        <v>67</v>
      </c>
      <c r="K1392" t="s">
        <v>62</v>
      </c>
      <c r="L1392" t="s">
        <v>61</v>
      </c>
      <c r="M1392" t="s">
        <v>61</v>
      </c>
      <c r="N1392">
        <v>4</v>
      </c>
      <c r="O1392">
        <v>3</v>
      </c>
      <c r="P1392">
        <v>3</v>
      </c>
      <c r="Q1392">
        <v>2</v>
      </c>
      <c r="R1392">
        <v>4</v>
      </c>
      <c r="S1392">
        <v>3</v>
      </c>
      <c r="T1392">
        <v>3</v>
      </c>
      <c r="U1392">
        <v>2</v>
      </c>
      <c r="V1392">
        <v>4</v>
      </c>
      <c r="W1392">
        <v>5</v>
      </c>
      <c r="X1392">
        <v>4</v>
      </c>
      <c r="Y1392">
        <v>4</v>
      </c>
      <c r="Z1392">
        <v>3</v>
      </c>
      <c r="AA1392">
        <v>3</v>
      </c>
      <c r="AB1392">
        <v>3</v>
      </c>
      <c r="AC1392">
        <v>2</v>
      </c>
      <c r="AD1392">
        <v>4</v>
      </c>
      <c r="AE1392">
        <v>3</v>
      </c>
      <c r="AF1392">
        <v>5</v>
      </c>
      <c r="AG1392">
        <v>1</v>
      </c>
      <c r="AH1392">
        <v>5</v>
      </c>
      <c r="AI1392">
        <v>1</v>
      </c>
      <c r="AJ1392">
        <v>1</v>
      </c>
      <c r="AK1392" t="b">
        <f>Table67[[#This Row],[What is your age?]]&lt;&gt;"18 - 25"</f>
        <v>0</v>
      </c>
      <c r="AL1392" t="b">
        <f t="shared" si="84"/>
        <v>0</v>
      </c>
      <c r="AM1392" t="b">
        <f t="shared" si="85"/>
        <v>0</v>
      </c>
      <c r="AN1392" t="b">
        <f t="shared" si="86"/>
        <v>0</v>
      </c>
      <c r="AO1392" t="b">
        <f>OR(Table67[[#This Row],[Ineligible respondents]:[Inconsistent response on opposite question (3)]])</f>
        <v>0</v>
      </c>
      <c r="AP139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392">
        <f>Table67[[#This Row],[Extreme Response]]/21</f>
        <v>0.19047619047619047</v>
      </c>
      <c r="AR1392">
        <f>_xlfn.PERCENTILE.INC(Table67[Extrem Response Ratio (ERS)],0.9)</f>
        <v>0.61904761904761907</v>
      </c>
      <c r="AS1392" t="b">
        <f>Table67[[#This Row],[Extrem Response Ratio (ERS)]]&gt;=Table67[[#This Row],[Threshold of ERS]]</f>
        <v>0</v>
      </c>
      <c r="AT1392">
        <f>COUNTIF(Table67[[#This Row],[The mechanism of digital assets is difficult to understand, which discourages me from exploring it (E.g, Tokenization, Blockchain)]:[If I want to try different ways to invest, I will explore digital assets.]], 3)</f>
        <v>8</v>
      </c>
      <c r="AU1392">
        <f>Table67[[#This Row],[Midpoint]]/21</f>
        <v>0.38095238095238093</v>
      </c>
      <c r="AV1392">
        <f>_xlfn.PERCENTILE.INC(Table67[Midpoint ratio],0.9)</f>
        <v>0.5714285714285714</v>
      </c>
      <c r="AW1392" t="b">
        <f>Table67[[#This Row],[Midpoint ratio]]&gt;=Table67[[#This Row],[Threshold of Midpoint ratio]]</f>
        <v>0</v>
      </c>
      <c r="AX1392" t="b">
        <f>OR(Table67[[#This Row],[Extreme Response Style]],Table67[[#This Row],[Mid-point Response Style]])</f>
        <v>0</v>
      </c>
      <c r="AY1392" t="b">
        <f>OR(Table67[[#This Row],[Delete? (Stage 1)]],Table67[[#This Row],[Delete? (Stage 2)]])</f>
        <v>0</v>
      </c>
      <c r="AZ1392" t="s">
        <v>84</v>
      </c>
    </row>
    <row r="1393" spans="1:52">
      <c r="A1393">
        <f t="shared" si="87"/>
        <v>1392</v>
      </c>
      <c r="B1393" s="3">
        <v>46062.02621527778</v>
      </c>
      <c r="C1393" s="3">
        <v>46062.035231481481</v>
      </c>
      <c r="D1393" t="s">
        <v>53</v>
      </c>
      <c r="G1393" t="s">
        <v>54</v>
      </c>
      <c r="H1393" t="s">
        <v>55</v>
      </c>
      <c r="I1393" t="s">
        <v>56</v>
      </c>
      <c r="J1393" t="s">
        <v>62</v>
      </c>
      <c r="K1393" t="s">
        <v>57</v>
      </c>
      <c r="L1393" t="s">
        <v>58</v>
      </c>
      <c r="M1393" t="s">
        <v>58</v>
      </c>
      <c r="N1393">
        <v>5</v>
      </c>
      <c r="O1393">
        <v>1</v>
      </c>
      <c r="P1393">
        <v>5</v>
      </c>
      <c r="Q1393">
        <v>3</v>
      </c>
      <c r="R1393">
        <v>3</v>
      </c>
      <c r="S1393">
        <v>5</v>
      </c>
      <c r="T1393">
        <v>4</v>
      </c>
      <c r="U1393">
        <v>5</v>
      </c>
      <c r="V1393">
        <v>2</v>
      </c>
      <c r="W1393">
        <v>5</v>
      </c>
      <c r="X1393">
        <v>4</v>
      </c>
      <c r="Y1393">
        <v>5</v>
      </c>
      <c r="Z1393">
        <v>5</v>
      </c>
      <c r="AA1393">
        <v>4</v>
      </c>
      <c r="AB1393">
        <v>2</v>
      </c>
      <c r="AC1393">
        <v>4</v>
      </c>
      <c r="AD1393">
        <v>5</v>
      </c>
      <c r="AE1393">
        <v>4</v>
      </c>
      <c r="AF1393">
        <v>3</v>
      </c>
      <c r="AG1393">
        <v>4</v>
      </c>
      <c r="AH1393">
        <v>4</v>
      </c>
      <c r="AI1393">
        <v>2</v>
      </c>
      <c r="AJ1393">
        <v>3</v>
      </c>
      <c r="AK1393" t="b">
        <f>Table67[[#This Row],[What is your age?]]&lt;&gt;"18 - 25"</f>
        <v>0</v>
      </c>
      <c r="AL1393" t="b">
        <f t="shared" si="84"/>
        <v>0</v>
      </c>
      <c r="AM1393" t="b">
        <f t="shared" si="85"/>
        <v>1</v>
      </c>
      <c r="AN1393" t="b">
        <f t="shared" si="86"/>
        <v>0</v>
      </c>
      <c r="AO1393" t="b">
        <f>OR(Table67[[#This Row],[Ineligible respondents]:[Inconsistent response on opposite question (3)]])</f>
        <v>1</v>
      </c>
      <c r="AP139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1393">
        <f>Table67[[#This Row],[Extreme Response]]/21</f>
        <v>0.42857142857142855</v>
      </c>
      <c r="AR1393">
        <f>_xlfn.PERCENTILE.INC(Table67[Extrem Response Ratio (ERS)],0.9)</f>
        <v>0.61904761904761907</v>
      </c>
      <c r="AS1393" t="b">
        <f>Table67[[#This Row],[Extrem Response Ratio (ERS)]]&gt;=Table67[[#This Row],[Threshold of ERS]]</f>
        <v>0</v>
      </c>
      <c r="AT1393">
        <f>COUNTIF(Table67[[#This Row],[The mechanism of digital assets is difficult to understand, which discourages me from exploring it (E.g, Tokenization, Blockchain)]:[If I want to try different ways to invest, I will explore digital assets.]], 3)</f>
        <v>3</v>
      </c>
      <c r="AU1393">
        <f>Table67[[#This Row],[Midpoint]]/21</f>
        <v>0.14285714285714285</v>
      </c>
      <c r="AV1393">
        <f>_xlfn.PERCENTILE.INC(Table67[Midpoint ratio],0.9)</f>
        <v>0.5714285714285714</v>
      </c>
      <c r="AW1393" t="b">
        <f>Table67[[#This Row],[Midpoint ratio]]&gt;=Table67[[#This Row],[Threshold of Midpoint ratio]]</f>
        <v>0</v>
      </c>
      <c r="AX1393" t="b">
        <f>OR(Table67[[#This Row],[Extreme Response Style]],Table67[[#This Row],[Mid-point Response Style]])</f>
        <v>0</v>
      </c>
      <c r="AY1393" t="b">
        <f>OR(Table67[[#This Row],[Delete? (Stage 1)]],Table67[[#This Row],[Delete? (Stage 2)]])</f>
        <v>1</v>
      </c>
      <c r="AZ1393" t="s">
        <v>84</v>
      </c>
    </row>
    <row r="1394" spans="1:52">
      <c r="A1394">
        <f t="shared" si="87"/>
        <v>1393</v>
      </c>
      <c r="B1394" s="3">
        <v>46062.086400462962</v>
      </c>
      <c r="C1394" s="3">
        <v>46062.094560185185</v>
      </c>
      <c r="D1394" t="s">
        <v>53</v>
      </c>
      <c r="G1394" t="s">
        <v>54</v>
      </c>
      <c r="H1394" t="s">
        <v>55</v>
      </c>
      <c r="I1394" t="s">
        <v>71</v>
      </c>
      <c r="J1394" t="s">
        <v>65</v>
      </c>
      <c r="K1394" t="s">
        <v>62</v>
      </c>
      <c r="L1394" t="s">
        <v>58</v>
      </c>
      <c r="M1394" t="s">
        <v>58</v>
      </c>
      <c r="N1394">
        <v>4</v>
      </c>
      <c r="O1394">
        <v>2</v>
      </c>
      <c r="P1394">
        <v>4</v>
      </c>
      <c r="Q1394">
        <v>2</v>
      </c>
      <c r="R1394">
        <v>4</v>
      </c>
      <c r="S1394">
        <v>4</v>
      </c>
      <c r="T1394">
        <v>3</v>
      </c>
      <c r="U1394">
        <v>4</v>
      </c>
      <c r="V1394">
        <v>4</v>
      </c>
      <c r="W1394">
        <v>2</v>
      </c>
      <c r="X1394">
        <v>3</v>
      </c>
      <c r="Y1394">
        <v>3</v>
      </c>
      <c r="Z1394">
        <v>5</v>
      </c>
      <c r="AA1394">
        <v>3</v>
      </c>
      <c r="AB1394">
        <v>2</v>
      </c>
      <c r="AC1394">
        <v>2</v>
      </c>
      <c r="AD1394">
        <v>2</v>
      </c>
      <c r="AE1394">
        <v>2</v>
      </c>
      <c r="AF1394">
        <v>4</v>
      </c>
      <c r="AG1394">
        <v>2</v>
      </c>
      <c r="AH1394">
        <v>3</v>
      </c>
      <c r="AI1394">
        <v>3</v>
      </c>
      <c r="AJ1394">
        <v>2</v>
      </c>
      <c r="AK1394" t="b">
        <f>Table67[[#This Row],[What is your age?]]&lt;&gt;"18 - 25"</f>
        <v>0</v>
      </c>
      <c r="AL1394" t="b">
        <f t="shared" si="84"/>
        <v>0</v>
      </c>
      <c r="AM1394" t="b">
        <f t="shared" si="85"/>
        <v>0</v>
      </c>
      <c r="AN1394" t="b">
        <f t="shared" si="86"/>
        <v>1</v>
      </c>
      <c r="AO1394" t="b">
        <f>OR(Table67[[#This Row],[Ineligible respondents]:[Inconsistent response on opposite question (3)]])</f>
        <v>1</v>
      </c>
      <c r="AP139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394">
        <f>Table67[[#This Row],[Extreme Response]]/21</f>
        <v>4.7619047619047616E-2</v>
      </c>
      <c r="AR1394">
        <f>_xlfn.PERCENTILE.INC(Table67[Extrem Response Ratio (ERS)],0.9)</f>
        <v>0.61904761904761907</v>
      </c>
      <c r="AS1394" t="b">
        <f>Table67[[#This Row],[Extrem Response Ratio (ERS)]]&gt;=Table67[[#This Row],[Threshold of ERS]]</f>
        <v>0</v>
      </c>
      <c r="AT1394">
        <f>COUNTIF(Table67[[#This Row],[The mechanism of digital assets is difficult to understand, which discourages me from exploring it (E.g, Tokenization, Blockchain)]:[If I want to try different ways to invest, I will explore digital assets.]], 3)</f>
        <v>5</v>
      </c>
      <c r="AU1394">
        <f>Table67[[#This Row],[Midpoint]]/21</f>
        <v>0.23809523809523808</v>
      </c>
      <c r="AV1394">
        <f>_xlfn.PERCENTILE.INC(Table67[Midpoint ratio],0.9)</f>
        <v>0.5714285714285714</v>
      </c>
      <c r="AW1394" t="b">
        <f>Table67[[#This Row],[Midpoint ratio]]&gt;=Table67[[#This Row],[Threshold of Midpoint ratio]]</f>
        <v>0</v>
      </c>
      <c r="AX1394" t="b">
        <f>OR(Table67[[#This Row],[Extreme Response Style]],Table67[[#This Row],[Mid-point Response Style]])</f>
        <v>0</v>
      </c>
      <c r="AY1394" t="b">
        <f>OR(Table67[[#This Row],[Delete? (Stage 1)]],Table67[[#This Row],[Delete? (Stage 2)]])</f>
        <v>1</v>
      </c>
      <c r="AZ1394" t="s">
        <v>84</v>
      </c>
    </row>
    <row r="1395" spans="1:52">
      <c r="A1395">
        <f t="shared" si="87"/>
        <v>1394</v>
      </c>
      <c r="B1395" s="3">
        <v>46062.034791666665</v>
      </c>
      <c r="C1395" s="3">
        <v>46062.042060185187</v>
      </c>
      <c r="D1395" t="s">
        <v>53</v>
      </c>
      <c r="G1395" t="s">
        <v>54</v>
      </c>
      <c r="H1395" t="s">
        <v>55</v>
      </c>
      <c r="I1395" t="s">
        <v>71</v>
      </c>
      <c r="J1395" t="s">
        <v>64</v>
      </c>
      <c r="K1395" t="s">
        <v>62</v>
      </c>
      <c r="L1395" t="s">
        <v>58</v>
      </c>
      <c r="M1395" t="s">
        <v>58</v>
      </c>
      <c r="N1395">
        <v>3</v>
      </c>
      <c r="O1395">
        <v>1</v>
      </c>
      <c r="P1395">
        <v>4</v>
      </c>
      <c r="Q1395">
        <v>2</v>
      </c>
      <c r="R1395">
        <v>1</v>
      </c>
      <c r="S1395">
        <v>1</v>
      </c>
      <c r="T1395">
        <v>2</v>
      </c>
      <c r="U1395">
        <v>3</v>
      </c>
      <c r="V1395">
        <v>3</v>
      </c>
      <c r="W1395">
        <v>5</v>
      </c>
      <c r="X1395">
        <v>4</v>
      </c>
      <c r="Y1395">
        <v>4</v>
      </c>
      <c r="Z1395">
        <v>5</v>
      </c>
      <c r="AA1395">
        <v>4</v>
      </c>
      <c r="AB1395">
        <v>2</v>
      </c>
      <c r="AC1395">
        <v>1</v>
      </c>
      <c r="AD1395">
        <v>4</v>
      </c>
      <c r="AE1395">
        <v>3</v>
      </c>
      <c r="AF1395">
        <v>4</v>
      </c>
      <c r="AG1395">
        <v>3</v>
      </c>
      <c r="AH1395">
        <v>4</v>
      </c>
      <c r="AI1395">
        <v>2</v>
      </c>
      <c r="AJ1395">
        <v>2</v>
      </c>
      <c r="AK1395" t="b">
        <f>Table67[[#This Row],[What is your age?]]&lt;&gt;"18 - 25"</f>
        <v>0</v>
      </c>
      <c r="AL1395" t="b">
        <f t="shared" si="84"/>
        <v>0</v>
      </c>
      <c r="AM1395" t="b">
        <f t="shared" si="85"/>
        <v>0</v>
      </c>
      <c r="AN1395" t="b">
        <f t="shared" si="86"/>
        <v>1</v>
      </c>
      <c r="AO1395" t="b">
        <f>OR(Table67[[#This Row],[Ineligible respondents]:[Inconsistent response on opposite question (3)]])</f>
        <v>1</v>
      </c>
      <c r="AP139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395">
        <f>Table67[[#This Row],[Extreme Response]]/21</f>
        <v>0.2857142857142857</v>
      </c>
      <c r="AR1395">
        <f>_xlfn.PERCENTILE.INC(Table67[Extrem Response Ratio (ERS)],0.9)</f>
        <v>0.61904761904761907</v>
      </c>
      <c r="AS1395" t="b">
        <f>Table67[[#This Row],[Extrem Response Ratio (ERS)]]&gt;=Table67[[#This Row],[Threshold of ERS]]</f>
        <v>0</v>
      </c>
      <c r="AT1395">
        <f>COUNTIF(Table67[[#This Row],[The mechanism of digital assets is difficult to understand, which discourages me from exploring it (E.g, Tokenization, Blockchain)]:[If I want to try different ways to invest, I will explore digital assets.]], 3)</f>
        <v>5</v>
      </c>
      <c r="AU1395">
        <f>Table67[[#This Row],[Midpoint]]/21</f>
        <v>0.23809523809523808</v>
      </c>
      <c r="AV1395">
        <f>_xlfn.PERCENTILE.INC(Table67[Midpoint ratio],0.9)</f>
        <v>0.5714285714285714</v>
      </c>
      <c r="AW1395" t="b">
        <f>Table67[[#This Row],[Midpoint ratio]]&gt;=Table67[[#This Row],[Threshold of Midpoint ratio]]</f>
        <v>0</v>
      </c>
      <c r="AX1395" t="b">
        <f>OR(Table67[[#This Row],[Extreme Response Style]],Table67[[#This Row],[Mid-point Response Style]])</f>
        <v>0</v>
      </c>
      <c r="AY1395" t="b">
        <f>OR(Table67[[#This Row],[Delete? (Stage 1)]],Table67[[#This Row],[Delete? (Stage 2)]])</f>
        <v>1</v>
      </c>
      <c r="AZ1395" t="s">
        <v>84</v>
      </c>
    </row>
    <row r="1396" spans="1:52">
      <c r="A1396">
        <f t="shared" si="87"/>
        <v>1395</v>
      </c>
      <c r="B1396" s="3">
        <v>46062.03224537037</v>
      </c>
      <c r="C1396" s="3">
        <v>46062.050057870372</v>
      </c>
      <c r="D1396" t="s">
        <v>53</v>
      </c>
      <c r="G1396" t="s">
        <v>54</v>
      </c>
      <c r="H1396" t="s">
        <v>55</v>
      </c>
      <c r="I1396" t="s">
        <v>71</v>
      </c>
      <c r="J1396" t="s">
        <v>62</v>
      </c>
      <c r="K1396" t="s">
        <v>62</v>
      </c>
      <c r="L1396" t="s">
        <v>58</v>
      </c>
      <c r="M1396" t="s">
        <v>58</v>
      </c>
      <c r="N1396">
        <v>4</v>
      </c>
      <c r="O1396">
        <v>1</v>
      </c>
      <c r="P1396">
        <v>3</v>
      </c>
      <c r="Q1396">
        <v>3</v>
      </c>
      <c r="R1396">
        <v>3</v>
      </c>
      <c r="S1396">
        <v>4</v>
      </c>
      <c r="T1396">
        <v>1</v>
      </c>
      <c r="U1396">
        <v>2</v>
      </c>
      <c r="V1396">
        <v>5</v>
      </c>
      <c r="W1396">
        <v>4</v>
      </c>
      <c r="X1396">
        <v>3</v>
      </c>
      <c r="Y1396">
        <v>5</v>
      </c>
      <c r="Z1396">
        <v>5</v>
      </c>
      <c r="AA1396">
        <v>2</v>
      </c>
      <c r="AB1396">
        <v>2</v>
      </c>
      <c r="AC1396">
        <v>4</v>
      </c>
      <c r="AD1396">
        <v>3</v>
      </c>
      <c r="AE1396">
        <v>4</v>
      </c>
      <c r="AF1396">
        <v>3</v>
      </c>
      <c r="AG1396">
        <v>3</v>
      </c>
      <c r="AH1396">
        <v>2</v>
      </c>
      <c r="AI1396">
        <v>4</v>
      </c>
      <c r="AJ1396">
        <v>3</v>
      </c>
      <c r="AK1396" t="b">
        <f>Table67[[#This Row],[What is your age?]]&lt;&gt;"18 - 25"</f>
        <v>0</v>
      </c>
      <c r="AL1396" t="b">
        <f t="shared" si="84"/>
        <v>0</v>
      </c>
      <c r="AM1396" t="b">
        <f t="shared" si="85"/>
        <v>0</v>
      </c>
      <c r="AN1396" t="b">
        <f t="shared" si="86"/>
        <v>1</v>
      </c>
      <c r="AO1396" t="b">
        <f>OR(Table67[[#This Row],[Ineligible respondents]:[Inconsistent response on opposite question (3)]])</f>
        <v>1</v>
      </c>
      <c r="AP139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396">
        <f>Table67[[#This Row],[Extreme Response]]/21</f>
        <v>0.23809523809523808</v>
      </c>
      <c r="AR1396">
        <f>_xlfn.PERCENTILE.INC(Table67[Extrem Response Ratio (ERS)],0.9)</f>
        <v>0.61904761904761907</v>
      </c>
      <c r="AS1396" t="b">
        <f>Table67[[#This Row],[Extrem Response Ratio (ERS)]]&gt;=Table67[[#This Row],[Threshold of ERS]]</f>
        <v>0</v>
      </c>
      <c r="AT1396">
        <f>COUNTIF(Table67[[#This Row],[The mechanism of digital assets is difficult to understand, which discourages me from exploring it (E.g, Tokenization, Blockchain)]:[If I want to try different ways to invest, I will explore digital assets.]], 3)</f>
        <v>7</v>
      </c>
      <c r="AU1396">
        <f>Table67[[#This Row],[Midpoint]]/21</f>
        <v>0.33333333333333331</v>
      </c>
      <c r="AV1396">
        <f>_xlfn.PERCENTILE.INC(Table67[Midpoint ratio],0.9)</f>
        <v>0.5714285714285714</v>
      </c>
      <c r="AW1396" t="b">
        <f>Table67[[#This Row],[Midpoint ratio]]&gt;=Table67[[#This Row],[Threshold of Midpoint ratio]]</f>
        <v>0</v>
      </c>
      <c r="AX1396" t="b">
        <f>OR(Table67[[#This Row],[Extreme Response Style]],Table67[[#This Row],[Mid-point Response Style]])</f>
        <v>0</v>
      </c>
      <c r="AY1396" t="b">
        <f>OR(Table67[[#This Row],[Delete? (Stage 1)]],Table67[[#This Row],[Delete? (Stage 2)]])</f>
        <v>1</v>
      </c>
      <c r="AZ1396" t="s">
        <v>84</v>
      </c>
    </row>
    <row r="1397" spans="1:52">
      <c r="A1397">
        <f t="shared" si="87"/>
        <v>1396</v>
      </c>
      <c r="B1397" s="3">
        <v>46065.861574074072</v>
      </c>
      <c r="C1397" s="3">
        <v>46065.865706018521</v>
      </c>
      <c r="D1397" t="s">
        <v>53</v>
      </c>
      <c r="G1397" t="s">
        <v>54</v>
      </c>
      <c r="H1397" t="s">
        <v>55</v>
      </c>
      <c r="I1397" t="s">
        <v>69</v>
      </c>
      <c r="J1397" t="s">
        <v>62</v>
      </c>
      <c r="K1397" t="s">
        <v>62</v>
      </c>
      <c r="L1397" t="s">
        <v>58</v>
      </c>
      <c r="M1397" t="s">
        <v>58</v>
      </c>
      <c r="N1397">
        <v>2</v>
      </c>
      <c r="O1397">
        <v>2</v>
      </c>
      <c r="P1397">
        <v>3</v>
      </c>
      <c r="Q1397">
        <v>4</v>
      </c>
      <c r="R1397">
        <v>1</v>
      </c>
      <c r="S1397">
        <v>4</v>
      </c>
      <c r="T1397">
        <v>3</v>
      </c>
      <c r="U1397">
        <v>3</v>
      </c>
      <c r="V1397">
        <v>3</v>
      </c>
      <c r="W1397">
        <v>3</v>
      </c>
      <c r="X1397">
        <v>3</v>
      </c>
      <c r="Y1397">
        <v>3</v>
      </c>
      <c r="Z1397">
        <v>4</v>
      </c>
      <c r="AA1397">
        <v>3</v>
      </c>
      <c r="AB1397">
        <v>3</v>
      </c>
      <c r="AC1397">
        <v>3</v>
      </c>
      <c r="AD1397">
        <v>3</v>
      </c>
      <c r="AE1397">
        <v>4</v>
      </c>
      <c r="AF1397">
        <v>3</v>
      </c>
      <c r="AG1397">
        <v>2</v>
      </c>
      <c r="AH1397">
        <v>4</v>
      </c>
      <c r="AI1397">
        <v>2</v>
      </c>
      <c r="AJ1397">
        <v>3</v>
      </c>
      <c r="AK1397" t="b">
        <f>Table67[[#This Row],[What is your age?]]&lt;&gt;"18 - 25"</f>
        <v>0</v>
      </c>
      <c r="AL1397" t="b">
        <f t="shared" si="84"/>
        <v>0</v>
      </c>
      <c r="AM1397" t="b">
        <f t="shared" si="85"/>
        <v>0</v>
      </c>
      <c r="AN1397" t="b">
        <f t="shared" si="86"/>
        <v>0</v>
      </c>
      <c r="AO1397" t="b">
        <f>OR(Table67[[#This Row],[Ineligible respondents]:[Inconsistent response on opposite question (3)]])</f>
        <v>0</v>
      </c>
      <c r="AP139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397">
        <f>Table67[[#This Row],[Extreme Response]]/21</f>
        <v>4.7619047619047616E-2</v>
      </c>
      <c r="AR1397">
        <f>_xlfn.PERCENTILE.INC(Table67[Extrem Response Ratio (ERS)],0.9)</f>
        <v>0.61904761904761907</v>
      </c>
      <c r="AS1397" t="b">
        <f>Table67[[#This Row],[Extrem Response Ratio (ERS)]]&gt;=Table67[[#This Row],[Threshold of ERS]]</f>
        <v>0</v>
      </c>
      <c r="AT1397">
        <f>COUNTIF(Table67[[#This Row],[The mechanism of digital assets is difficult to understand, which discourages me from exploring it (E.g, Tokenization, Blockchain)]:[If I want to try different ways to invest, I will explore digital assets.]], 3)</f>
        <v>12</v>
      </c>
      <c r="AU1397">
        <f>Table67[[#This Row],[Midpoint]]/21</f>
        <v>0.5714285714285714</v>
      </c>
      <c r="AV1397">
        <f>_xlfn.PERCENTILE.INC(Table67[Midpoint ratio],0.9)</f>
        <v>0.5714285714285714</v>
      </c>
      <c r="AW1397" t="b">
        <f>Table67[[#This Row],[Midpoint ratio]]&gt;=Table67[[#This Row],[Threshold of Midpoint ratio]]</f>
        <v>1</v>
      </c>
      <c r="AX1397" t="b">
        <f>OR(Table67[[#This Row],[Extreme Response Style]],Table67[[#This Row],[Mid-point Response Style]])</f>
        <v>1</v>
      </c>
      <c r="AY1397" t="b">
        <f>OR(Table67[[#This Row],[Delete? (Stage 1)]],Table67[[#This Row],[Delete? (Stage 2)]])</f>
        <v>1</v>
      </c>
      <c r="AZ1397" t="s">
        <v>84</v>
      </c>
    </row>
    <row r="1398" spans="1:52">
      <c r="A1398">
        <f t="shared" si="87"/>
        <v>1397</v>
      </c>
      <c r="B1398" s="3">
        <v>46065.837488425925</v>
      </c>
      <c r="C1398" s="3">
        <v>46065.844375000001</v>
      </c>
      <c r="D1398" t="s">
        <v>53</v>
      </c>
      <c r="G1398" t="s">
        <v>54</v>
      </c>
      <c r="H1398" t="s">
        <v>55</v>
      </c>
      <c r="I1398" t="s">
        <v>56</v>
      </c>
      <c r="J1398" t="s">
        <v>62</v>
      </c>
      <c r="K1398" t="s">
        <v>62</v>
      </c>
      <c r="L1398" t="s">
        <v>58</v>
      </c>
      <c r="M1398" t="s">
        <v>61</v>
      </c>
      <c r="N1398">
        <v>2</v>
      </c>
      <c r="O1398">
        <v>2</v>
      </c>
      <c r="P1398">
        <v>3</v>
      </c>
      <c r="Q1398">
        <v>3</v>
      </c>
      <c r="R1398">
        <v>2</v>
      </c>
      <c r="S1398">
        <v>2</v>
      </c>
      <c r="T1398">
        <v>2</v>
      </c>
      <c r="U1398">
        <v>3</v>
      </c>
      <c r="V1398">
        <v>4</v>
      </c>
      <c r="W1398">
        <v>4</v>
      </c>
      <c r="X1398">
        <v>3</v>
      </c>
      <c r="Y1398">
        <v>4</v>
      </c>
      <c r="Z1398">
        <v>3</v>
      </c>
      <c r="AA1398">
        <v>1</v>
      </c>
      <c r="AB1398">
        <v>2</v>
      </c>
      <c r="AC1398">
        <v>3</v>
      </c>
      <c r="AD1398">
        <v>3</v>
      </c>
      <c r="AE1398">
        <v>3</v>
      </c>
      <c r="AF1398">
        <v>5</v>
      </c>
      <c r="AG1398">
        <v>1</v>
      </c>
      <c r="AH1398">
        <v>5</v>
      </c>
      <c r="AI1398">
        <v>1</v>
      </c>
      <c r="AJ1398">
        <v>1</v>
      </c>
      <c r="AK1398" t="b">
        <f>Table67[[#This Row],[What is your age?]]&lt;&gt;"18 - 25"</f>
        <v>0</v>
      </c>
      <c r="AL1398" t="b">
        <f t="shared" si="84"/>
        <v>0</v>
      </c>
      <c r="AM1398" t="b">
        <f t="shared" si="85"/>
        <v>0</v>
      </c>
      <c r="AN1398" t="b">
        <f t="shared" si="86"/>
        <v>0</v>
      </c>
      <c r="AO1398" t="b">
        <f>OR(Table67[[#This Row],[Ineligible respondents]:[Inconsistent response on opposite question (3)]])</f>
        <v>0</v>
      </c>
      <c r="AP139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398">
        <f>Table67[[#This Row],[Extreme Response]]/21</f>
        <v>0.19047619047619047</v>
      </c>
      <c r="AR1398">
        <f>_xlfn.PERCENTILE.INC(Table67[Extrem Response Ratio (ERS)],0.9)</f>
        <v>0.61904761904761907</v>
      </c>
      <c r="AS1398" t="b">
        <f>Table67[[#This Row],[Extrem Response Ratio (ERS)]]&gt;=Table67[[#This Row],[Threshold of ERS]]</f>
        <v>0</v>
      </c>
      <c r="AT1398">
        <f>COUNTIF(Table67[[#This Row],[The mechanism of digital assets is difficult to understand, which discourages me from exploring it (E.g, Tokenization, Blockchain)]:[If I want to try different ways to invest, I will explore digital assets.]], 3)</f>
        <v>8</v>
      </c>
      <c r="AU1398">
        <f>Table67[[#This Row],[Midpoint]]/21</f>
        <v>0.38095238095238093</v>
      </c>
      <c r="AV1398">
        <f>_xlfn.PERCENTILE.INC(Table67[Midpoint ratio],0.9)</f>
        <v>0.5714285714285714</v>
      </c>
      <c r="AW1398" t="b">
        <f>Table67[[#This Row],[Midpoint ratio]]&gt;=Table67[[#This Row],[Threshold of Midpoint ratio]]</f>
        <v>0</v>
      </c>
      <c r="AX1398" t="b">
        <f>OR(Table67[[#This Row],[Extreme Response Style]],Table67[[#This Row],[Mid-point Response Style]])</f>
        <v>0</v>
      </c>
      <c r="AY1398" t="b">
        <f>OR(Table67[[#This Row],[Delete? (Stage 1)]],Table67[[#This Row],[Delete? (Stage 2)]])</f>
        <v>0</v>
      </c>
      <c r="AZ1398" t="s">
        <v>84</v>
      </c>
    </row>
    <row r="1399" spans="1:52">
      <c r="A1399">
        <f t="shared" si="87"/>
        <v>1398</v>
      </c>
      <c r="B1399" s="3">
        <v>46062.058599537035</v>
      </c>
      <c r="C1399" s="3">
        <v>46062.060081018521</v>
      </c>
      <c r="D1399" t="s">
        <v>53</v>
      </c>
      <c r="G1399" t="s">
        <v>54</v>
      </c>
      <c r="H1399" t="s">
        <v>63</v>
      </c>
      <c r="I1399" t="s">
        <v>71</v>
      </c>
      <c r="J1399" t="s">
        <v>57</v>
      </c>
      <c r="K1399" t="s">
        <v>57</v>
      </c>
      <c r="L1399" t="s">
        <v>58</v>
      </c>
      <c r="M1399" t="s">
        <v>58</v>
      </c>
      <c r="N1399">
        <v>5</v>
      </c>
      <c r="O1399">
        <v>3</v>
      </c>
      <c r="P1399">
        <v>2</v>
      </c>
      <c r="Q1399">
        <v>3</v>
      </c>
      <c r="R1399">
        <v>3</v>
      </c>
      <c r="S1399">
        <v>3</v>
      </c>
      <c r="T1399">
        <v>4</v>
      </c>
      <c r="U1399">
        <v>5</v>
      </c>
      <c r="V1399">
        <v>5</v>
      </c>
      <c r="W1399">
        <v>4</v>
      </c>
      <c r="X1399">
        <v>5</v>
      </c>
      <c r="Y1399">
        <v>5</v>
      </c>
      <c r="Z1399">
        <v>4</v>
      </c>
      <c r="AA1399">
        <v>3</v>
      </c>
      <c r="AB1399">
        <v>4</v>
      </c>
      <c r="AC1399">
        <v>3</v>
      </c>
      <c r="AD1399">
        <v>3</v>
      </c>
      <c r="AE1399">
        <v>5</v>
      </c>
      <c r="AF1399">
        <v>5</v>
      </c>
      <c r="AG1399">
        <v>4</v>
      </c>
      <c r="AH1399">
        <v>5</v>
      </c>
      <c r="AI1399">
        <v>1</v>
      </c>
      <c r="AJ1399">
        <v>1</v>
      </c>
      <c r="AK1399" t="b">
        <f>Table67[[#This Row],[What is your age?]]&lt;&gt;"18 - 25"</f>
        <v>0</v>
      </c>
      <c r="AL1399" t="b">
        <f t="shared" si="84"/>
        <v>0</v>
      </c>
      <c r="AM1399" t="b">
        <f t="shared" si="85"/>
        <v>1</v>
      </c>
      <c r="AN1399" t="b">
        <f t="shared" si="86"/>
        <v>0</v>
      </c>
      <c r="AO1399" t="b">
        <f>OR(Table67[[#This Row],[Ineligible respondents]:[Inconsistent response on opposite question (3)]])</f>
        <v>1</v>
      </c>
      <c r="AP139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1399">
        <f>Table67[[#This Row],[Extreme Response]]/21</f>
        <v>0.38095238095238093</v>
      </c>
      <c r="AR1399">
        <f>_xlfn.PERCENTILE.INC(Table67[Extrem Response Ratio (ERS)],0.9)</f>
        <v>0.61904761904761907</v>
      </c>
      <c r="AS1399" t="b">
        <f>Table67[[#This Row],[Extrem Response Ratio (ERS)]]&gt;=Table67[[#This Row],[Threshold of ERS]]</f>
        <v>0</v>
      </c>
      <c r="AT1399">
        <f>COUNTIF(Table67[[#This Row],[The mechanism of digital assets is difficult to understand, which discourages me from exploring it (E.g, Tokenization, Blockchain)]:[If I want to try different ways to invest, I will explore digital assets.]], 3)</f>
        <v>7</v>
      </c>
      <c r="AU1399">
        <f>Table67[[#This Row],[Midpoint]]/21</f>
        <v>0.33333333333333331</v>
      </c>
      <c r="AV1399">
        <f>_xlfn.PERCENTILE.INC(Table67[Midpoint ratio],0.9)</f>
        <v>0.5714285714285714</v>
      </c>
      <c r="AW1399" t="b">
        <f>Table67[[#This Row],[Midpoint ratio]]&gt;=Table67[[#This Row],[Threshold of Midpoint ratio]]</f>
        <v>0</v>
      </c>
      <c r="AX1399" t="b">
        <f>OR(Table67[[#This Row],[Extreme Response Style]],Table67[[#This Row],[Mid-point Response Style]])</f>
        <v>0</v>
      </c>
      <c r="AY1399" t="b">
        <f>OR(Table67[[#This Row],[Delete? (Stage 1)]],Table67[[#This Row],[Delete? (Stage 2)]])</f>
        <v>1</v>
      </c>
      <c r="AZ1399" t="s">
        <v>84</v>
      </c>
    </row>
    <row r="1400" spans="1:52">
      <c r="A1400">
        <f t="shared" si="87"/>
        <v>1399</v>
      </c>
      <c r="B1400" s="3">
        <v>46065.716354166667</v>
      </c>
      <c r="C1400" s="3">
        <v>46065.716620370367</v>
      </c>
      <c r="D1400" t="s">
        <v>53</v>
      </c>
      <c r="G1400" t="s">
        <v>54</v>
      </c>
      <c r="H1400" t="s">
        <v>63</v>
      </c>
      <c r="I1400" t="s">
        <v>56</v>
      </c>
      <c r="J1400" t="s">
        <v>62</v>
      </c>
      <c r="K1400" t="s">
        <v>66</v>
      </c>
      <c r="L1400" t="s">
        <v>58</v>
      </c>
      <c r="M1400" t="s">
        <v>58</v>
      </c>
      <c r="N1400">
        <v>4</v>
      </c>
      <c r="O1400">
        <v>4</v>
      </c>
      <c r="P1400">
        <v>2</v>
      </c>
      <c r="Q1400">
        <v>3</v>
      </c>
      <c r="R1400">
        <v>3</v>
      </c>
      <c r="S1400">
        <v>4</v>
      </c>
      <c r="T1400">
        <v>5</v>
      </c>
      <c r="U1400">
        <v>3</v>
      </c>
      <c r="V1400">
        <v>4</v>
      </c>
      <c r="W1400">
        <v>5</v>
      </c>
      <c r="X1400">
        <v>4</v>
      </c>
      <c r="Y1400">
        <v>4</v>
      </c>
      <c r="Z1400">
        <v>4</v>
      </c>
      <c r="AA1400">
        <v>5</v>
      </c>
      <c r="AB1400">
        <v>4</v>
      </c>
      <c r="AC1400">
        <v>3</v>
      </c>
      <c r="AD1400">
        <v>4</v>
      </c>
      <c r="AE1400">
        <v>4</v>
      </c>
      <c r="AF1400">
        <v>3</v>
      </c>
      <c r="AG1400">
        <v>3</v>
      </c>
      <c r="AH1400">
        <v>3</v>
      </c>
      <c r="AI1400">
        <v>3</v>
      </c>
      <c r="AJ1400">
        <v>3</v>
      </c>
      <c r="AK1400" t="b">
        <f>Table67[[#This Row],[What is your age?]]&lt;&gt;"18 - 25"</f>
        <v>0</v>
      </c>
      <c r="AL1400" t="b">
        <f t="shared" si="84"/>
        <v>0</v>
      </c>
      <c r="AM1400" t="b">
        <f t="shared" si="85"/>
        <v>0</v>
      </c>
      <c r="AN1400" t="b">
        <f t="shared" si="86"/>
        <v>0</v>
      </c>
      <c r="AO1400" t="b">
        <f>OR(Table67[[#This Row],[Ineligible respondents]:[Inconsistent response on opposite question (3)]])</f>
        <v>0</v>
      </c>
      <c r="AP140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400">
        <f>Table67[[#This Row],[Extreme Response]]/21</f>
        <v>0.14285714285714285</v>
      </c>
      <c r="AR1400">
        <f>_xlfn.PERCENTILE.INC(Table67[Extrem Response Ratio (ERS)],0.9)</f>
        <v>0.61904761904761907</v>
      </c>
      <c r="AS1400" t="b">
        <f>Table67[[#This Row],[Extrem Response Ratio (ERS)]]&gt;=Table67[[#This Row],[Threshold of ERS]]</f>
        <v>0</v>
      </c>
      <c r="AT1400">
        <f>COUNTIF(Table67[[#This Row],[The mechanism of digital assets is difficult to understand, which discourages me from exploring it (E.g, Tokenization, Blockchain)]:[If I want to try different ways to invest, I will explore digital assets.]], 3)</f>
        <v>7</v>
      </c>
      <c r="AU1400">
        <f>Table67[[#This Row],[Midpoint]]/21</f>
        <v>0.33333333333333331</v>
      </c>
      <c r="AV1400">
        <f>_xlfn.PERCENTILE.INC(Table67[Midpoint ratio],0.9)</f>
        <v>0.5714285714285714</v>
      </c>
      <c r="AW1400" t="b">
        <f>Table67[[#This Row],[Midpoint ratio]]&gt;=Table67[[#This Row],[Threshold of Midpoint ratio]]</f>
        <v>0</v>
      </c>
      <c r="AX1400" t="b">
        <f>OR(Table67[[#This Row],[Extreme Response Style]],Table67[[#This Row],[Mid-point Response Style]])</f>
        <v>0</v>
      </c>
      <c r="AY1400" t="b">
        <f>OR(Table67[[#This Row],[Delete? (Stage 1)]],Table67[[#This Row],[Delete? (Stage 2)]])</f>
        <v>0</v>
      </c>
      <c r="AZ1400" t="s">
        <v>84</v>
      </c>
    </row>
    <row r="1401" spans="1:52">
      <c r="A1401">
        <f t="shared" si="87"/>
        <v>1400</v>
      </c>
      <c r="B1401" s="3">
        <v>46062.034016203703</v>
      </c>
      <c r="C1401" s="3">
        <v>46062.036828703705</v>
      </c>
      <c r="D1401" t="s">
        <v>53</v>
      </c>
      <c r="G1401" t="s">
        <v>54</v>
      </c>
      <c r="H1401" t="s">
        <v>55</v>
      </c>
      <c r="I1401" t="s">
        <v>71</v>
      </c>
      <c r="J1401" t="s">
        <v>64</v>
      </c>
      <c r="K1401" t="s">
        <v>57</v>
      </c>
      <c r="L1401" t="s">
        <v>58</v>
      </c>
      <c r="M1401" t="s">
        <v>58</v>
      </c>
      <c r="N1401">
        <v>4</v>
      </c>
      <c r="O1401">
        <v>3</v>
      </c>
      <c r="P1401">
        <v>3</v>
      </c>
      <c r="Q1401">
        <v>3</v>
      </c>
      <c r="R1401">
        <v>3</v>
      </c>
      <c r="S1401">
        <v>3</v>
      </c>
      <c r="T1401">
        <v>4</v>
      </c>
      <c r="U1401">
        <v>4</v>
      </c>
      <c r="V1401">
        <v>3</v>
      </c>
      <c r="W1401">
        <v>3</v>
      </c>
      <c r="X1401">
        <v>3</v>
      </c>
      <c r="Y1401">
        <v>3</v>
      </c>
      <c r="Z1401">
        <v>3</v>
      </c>
      <c r="AA1401">
        <v>3</v>
      </c>
      <c r="AB1401">
        <v>3</v>
      </c>
      <c r="AC1401">
        <v>3</v>
      </c>
      <c r="AD1401">
        <v>4</v>
      </c>
      <c r="AE1401">
        <v>3</v>
      </c>
      <c r="AF1401">
        <v>2</v>
      </c>
      <c r="AG1401">
        <v>3</v>
      </c>
      <c r="AH1401">
        <v>3</v>
      </c>
      <c r="AI1401">
        <v>3</v>
      </c>
      <c r="AJ1401">
        <v>4</v>
      </c>
      <c r="AK1401" t="b">
        <f>Table67[[#This Row],[What is your age?]]&lt;&gt;"18 - 25"</f>
        <v>0</v>
      </c>
      <c r="AL1401" t="b">
        <f t="shared" si="84"/>
        <v>0</v>
      </c>
      <c r="AM1401" t="b">
        <f t="shared" si="85"/>
        <v>0</v>
      </c>
      <c r="AN1401" t="b">
        <f t="shared" si="86"/>
        <v>0</v>
      </c>
      <c r="AO1401" t="b">
        <f>OR(Table67[[#This Row],[Ineligible respondents]:[Inconsistent response on opposite question (3)]])</f>
        <v>0</v>
      </c>
      <c r="AP140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401">
        <f>Table67[[#This Row],[Extreme Response]]/21</f>
        <v>0</v>
      </c>
      <c r="AR1401">
        <f>_xlfn.PERCENTILE.INC(Table67[Extrem Response Ratio (ERS)],0.9)</f>
        <v>0.61904761904761907</v>
      </c>
      <c r="AS1401" t="b">
        <f>Table67[[#This Row],[Extrem Response Ratio (ERS)]]&gt;=Table67[[#This Row],[Threshold of ERS]]</f>
        <v>0</v>
      </c>
      <c r="AT1401">
        <f>COUNTIF(Table67[[#This Row],[The mechanism of digital assets is difficult to understand, which discourages me from exploring it (E.g, Tokenization, Blockchain)]:[If I want to try different ways to invest, I will explore digital assets.]], 3)</f>
        <v>16</v>
      </c>
      <c r="AU1401">
        <f>Table67[[#This Row],[Midpoint]]/21</f>
        <v>0.76190476190476186</v>
      </c>
      <c r="AV1401">
        <f>_xlfn.PERCENTILE.INC(Table67[Midpoint ratio],0.9)</f>
        <v>0.5714285714285714</v>
      </c>
      <c r="AW1401" t="b">
        <f>Table67[[#This Row],[Midpoint ratio]]&gt;=Table67[[#This Row],[Threshold of Midpoint ratio]]</f>
        <v>1</v>
      </c>
      <c r="AX1401" t="b">
        <f>OR(Table67[[#This Row],[Extreme Response Style]],Table67[[#This Row],[Mid-point Response Style]])</f>
        <v>1</v>
      </c>
      <c r="AY1401" t="b">
        <f>OR(Table67[[#This Row],[Delete? (Stage 1)]],Table67[[#This Row],[Delete? (Stage 2)]])</f>
        <v>1</v>
      </c>
      <c r="AZ1401" t="s">
        <v>84</v>
      </c>
    </row>
    <row r="1402" spans="1:52">
      <c r="A1402">
        <f t="shared" si="87"/>
        <v>1401</v>
      </c>
      <c r="B1402" s="3">
        <v>46065.88726851852</v>
      </c>
      <c r="C1402" s="3">
        <v>46065.887615740743</v>
      </c>
      <c r="D1402" t="s">
        <v>53</v>
      </c>
      <c r="G1402" t="s">
        <v>54</v>
      </c>
      <c r="H1402" t="s">
        <v>55</v>
      </c>
      <c r="I1402" t="s">
        <v>56</v>
      </c>
      <c r="J1402" t="s">
        <v>62</v>
      </c>
      <c r="K1402" t="s">
        <v>57</v>
      </c>
      <c r="L1402" t="s">
        <v>58</v>
      </c>
      <c r="M1402" t="s">
        <v>58</v>
      </c>
      <c r="N1402">
        <v>1</v>
      </c>
      <c r="O1402">
        <v>1</v>
      </c>
      <c r="P1402">
        <v>2</v>
      </c>
      <c r="Q1402">
        <v>3</v>
      </c>
      <c r="R1402">
        <v>1</v>
      </c>
      <c r="S1402">
        <v>2</v>
      </c>
      <c r="T1402">
        <v>1</v>
      </c>
      <c r="U1402">
        <v>2</v>
      </c>
      <c r="V1402">
        <v>2</v>
      </c>
      <c r="W1402">
        <v>2</v>
      </c>
      <c r="X1402">
        <v>3</v>
      </c>
      <c r="Y1402">
        <v>2</v>
      </c>
      <c r="Z1402">
        <v>4</v>
      </c>
      <c r="AA1402">
        <v>2</v>
      </c>
      <c r="AB1402">
        <v>2</v>
      </c>
      <c r="AC1402">
        <v>2</v>
      </c>
      <c r="AD1402">
        <v>5</v>
      </c>
      <c r="AE1402">
        <v>4</v>
      </c>
      <c r="AF1402">
        <v>4</v>
      </c>
      <c r="AG1402">
        <v>2</v>
      </c>
      <c r="AH1402">
        <v>5</v>
      </c>
      <c r="AI1402">
        <v>1</v>
      </c>
      <c r="AJ1402">
        <v>2</v>
      </c>
      <c r="AK1402" t="b">
        <f>Table67[[#This Row],[What is your age?]]&lt;&gt;"18 - 25"</f>
        <v>0</v>
      </c>
      <c r="AL1402" t="b">
        <f t="shared" si="84"/>
        <v>0</v>
      </c>
      <c r="AM1402" t="b">
        <f t="shared" si="85"/>
        <v>0</v>
      </c>
      <c r="AN1402" t="b">
        <f t="shared" si="86"/>
        <v>0</v>
      </c>
      <c r="AO1402" t="b">
        <f>OR(Table67[[#This Row],[Ineligible respondents]:[Inconsistent response on opposite question (3)]])</f>
        <v>0</v>
      </c>
      <c r="AP140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402">
        <f>Table67[[#This Row],[Extreme Response]]/21</f>
        <v>0.2857142857142857</v>
      </c>
      <c r="AR1402">
        <f>_xlfn.PERCENTILE.INC(Table67[Extrem Response Ratio (ERS)],0.9)</f>
        <v>0.61904761904761907</v>
      </c>
      <c r="AS1402" t="b">
        <f>Table67[[#This Row],[Extrem Response Ratio (ERS)]]&gt;=Table67[[#This Row],[Threshold of ERS]]</f>
        <v>0</v>
      </c>
      <c r="AT1402">
        <f>COUNTIF(Table67[[#This Row],[The mechanism of digital assets is difficult to understand, which discourages me from exploring it (E.g, Tokenization, Blockchain)]:[If I want to try different ways to invest, I will explore digital assets.]], 3)</f>
        <v>2</v>
      </c>
      <c r="AU1402">
        <f>Table67[[#This Row],[Midpoint]]/21</f>
        <v>9.5238095238095233E-2</v>
      </c>
      <c r="AV1402">
        <f>_xlfn.PERCENTILE.INC(Table67[Midpoint ratio],0.9)</f>
        <v>0.5714285714285714</v>
      </c>
      <c r="AW1402" t="b">
        <f>Table67[[#This Row],[Midpoint ratio]]&gt;=Table67[[#This Row],[Threshold of Midpoint ratio]]</f>
        <v>0</v>
      </c>
      <c r="AX1402" t="b">
        <f>OR(Table67[[#This Row],[Extreme Response Style]],Table67[[#This Row],[Mid-point Response Style]])</f>
        <v>0</v>
      </c>
      <c r="AY1402" t="b">
        <f>OR(Table67[[#This Row],[Delete? (Stage 1)]],Table67[[#This Row],[Delete? (Stage 2)]])</f>
        <v>0</v>
      </c>
      <c r="AZ1402" t="s">
        <v>84</v>
      </c>
    </row>
    <row r="1403" spans="1:52">
      <c r="A1403">
        <f t="shared" si="87"/>
        <v>1402</v>
      </c>
      <c r="B1403" s="3">
        <v>46065.673645833333</v>
      </c>
      <c r="C1403" s="3">
        <v>46065.675370370373</v>
      </c>
      <c r="D1403" t="s">
        <v>53</v>
      </c>
      <c r="G1403" t="s">
        <v>54</v>
      </c>
      <c r="H1403" t="s">
        <v>55</v>
      </c>
      <c r="I1403" t="s">
        <v>71</v>
      </c>
      <c r="J1403" t="s">
        <v>72</v>
      </c>
      <c r="K1403" t="s">
        <v>62</v>
      </c>
      <c r="L1403" t="s">
        <v>58</v>
      </c>
      <c r="M1403" t="s">
        <v>58</v>
      </c>
      <c r="N1403">
        <v>3</v>
      </c>
      <c r="O1403">
        <v>3</v>
      </c>
      <c r="P1403">
        <v>2</v>
      </c>
      <c r="Q1403">
        <v>1</v>
      </c>
      <c r="R1403">
        <v>3</v>
      </c>
      <c r="S1403">
        <v>2</v>
      </c>
      <c r="T1403">
        <v>2</v>
      </c>
      <c r="U1403">
        <v>2</v>
      </c>
      <c r="V1403">
        <v>2</v>
      </c>
      <c r="W1403">
        <v>2</v>
      </c>
      <c r="X1403">
        <v>2</v>
      </c>
      <c r="Y1403">
        <v>3</v>
      </c>
      <c r="Z1403">
        <v>2</v>
      </c>
      <c r="AA1403">
        <v>2</v>
      </c>
      <c r="AB1403">
        <v>2</v>
      </c>
      <c r="AC1403">
        <v>2</v>
      </c>
      <c r="AD1403">
        <v>2</v>
      </c>
      <c r="AE1403">
        <v>2</v>
      </c>
      <c r="AF1403">
        <v>5</v>
      </c>
      <c r="AG1403">
        <v>1</v>
      </c>
      <c r="AH1403">
        <v>4</v>
      </c>
      <c r="AI1403">
        <v>2</v>
      </c>
      <c r="AJ1403">
        <v>1</v>
      </c>
      <c r="AK1403" t="b">
        <f>Table67[[#This Row],[What is your age?]]&lt;&gt;"18 - 25"</f>
        <v>0</v>
      </c>
      <c r="AL1403" t="b">
        <f t="shared" si="84"/>
        <v>0</v>
      </c>
      <c r="AM1403" t="b">
        <f t="shared" si="85"/>
        <v>0</v>
      </c>
      <c r="AN1403" t="b">
        <f t="shared" si="86"/>
        <v>0</v>
      </c>
      <c r="AO1403" t="b">
        <f>OR(Table67[[#This Row],[Ineligible respondents]:[Inconsistent response on opposite question (3)]])</f>
        <v>0</v>
      </c>
      <c r="AP140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403">
        <f>Table67[[#This Row],[Extreme Response]]/21</f>
        <v>0.14285714285714285</v>
      </c>
      <c r="AR1403">
        <f>_xlfn.PERCENTILE.INC(Table67[Extrem Response Ratio (ERS)],0.9)</f>
        <v>0.61904761904761907</v>
      </c>
      <c r="AS1403" t="b">
        <f>Table67[[#This Row],[Extrem Response Ratio (ERS)]]&gt;=Table67[[#This Row],[Threshold of ERS]]</f>
        <v>0</v>
      </c>
      <c r="AT1403">
        <f>COUNTIF(Table67[[#This Row],[The mechanism of digital assets is difficult to understand, which discourages me from exploring it (E.g, Tokenization, Blockchain)]:[If I want to try different ways to invest, I will explore digital assets.]], 3)</f>
        <v>4</v>
      </c>
      <c r="AU1403">
        <f>Table67[[#This Row],[Midpoint]]/21</f>
        <v>0.19047619047619047</v>
      </c>
      <c r="AV1403">
        <f>_xlfn.PERCENTILE.INC(Table67[Midpoint ratio],0.9)</f>
        <v>0.5714285714285714</v>
      </c>
      <c r="AW1403" t="b">
        <f>Table67[[#This Row],[Midpoint ratio]]&gt;=Table67[[#This Row],[Threshold of Midpoint ratio]]</f>
        <v>0</v>
      </c>
      <c r="AX1403" t="b">
        <f>OR(Table67[[#This Row],[Extreme Response Style]],Table67[[#This Row],[Mid-point Response Style]])</f>
        <v>0</v>
      </c>
      <c r="AY1403" t="b">
        <f>OR(Table67[[#This Row],[Delete? (Stage 1)]],Table67[[#This Row],[Delete? (Stage 2)]])</f>
        <v>0</v>
      </c>
      <c r="AZ1403" t="s">
        <v>84</v>
      </c>
    </row>
    <row r="1404" spans="1:52">
      <c r="A1404">
        <f t="shared" si="87"/>
        <v>1403</v>
      </c>
      <c r="B1404" s="3">
        <v>46065.870081018518</v>
      </c>
      <c r="C1404" s="3">
        <v>46065.873391203706</v>
      </c>
      <c r="D1404" t="s">
        <v>53</v>
      </c>
      <c r="G1404" t="s">
        <v>54</v>
      </c>
      <c r="H1404" t="s">
        <v>55</v>
      </c>
      <c r="I1404" t="s">
        <v>69</v>
      </c>
      <c r="J1404" t="s">
        <v>62</v>
      </c>
      <c r="K1404" t="s">
        <v>62</v>
      </c>
      <c r="L1404" t="s">
        <v>61</v>
      </c>
      <c r="M1404" t="s">
        <v>61</v>
      </c>
      <c r="N1404">
        <v>2</v>
      </c>
      <c r="O1404">
        <v>2</v>
      </c>
      <c r="P1404">
        <v>4</v>
      </c>
      <c r="Q1404">
        <v>4</v>
      </c>
      <c r="R1404">
        <v>3</v>
      </c>
      <c r="S1404">
        <v>4</v>
      </c>
      <c r="T1404">
        <v>4</v>
      </c>
      <c r="U1404">
        <v>4</v>
      </c>
      <c r="V1404">
        <v>3</v>
      </c>
      <c r="W1404">
        <v>4</v>
      </c>
      <c r="X1404">
        <v>4</v>
      </c>
      <c r="Y1404">
        <v>2</v>
      </c>
      <c r="Z1404">
        <v>4</v>
      </c>
      <c r="AA1404">
        <v>4</v>
      </c>
      <c r="AB1404">
        <v>3</v>
      </c>
      <c r="AC1404">
        <v>5</v>
      </c>
      <c r="AD1404">
        <v>4</v>
      </c>
      <c r="AE1404">
        <v>3</v>
      </c>
      <c r="AF1404">
        <v>3</v>
      </c>
      <c r="AG1404">
        <v>2</v>
      </c>
      <c r="AH1404">
        <v>4</v>
      </c>
      <c r="AI1404">
        <v>2</v>
      </c>
      <c r="AJ1404">
        <v>3</v>
      </c>
      <c r="AK1404" t="b">
        <f>Table67[[#This Row],[What is your age?]]&lt;&gt;"18 - 25"</f>
        <v>0</v>
      </c>
      <c r="AL1404" t="b">
        <f t="shared" si="84"/>
        <v>0</v>
      </c>
      <c r="AM1404" t="b">
        <f t="shared" si="85"/>
        <v>0</v>
      </c>
      <c r="AN1404" t="b">
        <f t="shared" si="86"/>
        <v>0</v>
      </c>
      <c r="AO1404" t="b">
        <f>OR(Table67[[#This Row],[Ineligible respondents]:[Inconsistent response on opposite question (3)]])</f>
        <v>0</v>
      </c>
      <c r="AP140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404">
        <f>Table67[[#This Row],[Extreme Response]]/21</f>
        <v>4.7619047619047616E-2</v>
      </c>
      <c r="AR1404">
        <f>_xlfn.PERCENTILE.INC(Table67[Extrem Response Ratio (ERS)],0.9)</f>
        <v>0.61904761904761907</v>
      </c>
      <c r="AS1404" t="b">
        <f>Table67[[#This Row],[Extrem Response Ratio (ERS)]]&gt;=Table67[[#This Row],[Threshold of ERS]]</f>
        <v>0</v>
      </c>
      <c r="AT1404">
        <f>COUNTIF(Table67[[#This Row],[The mechanism of digital assets is difficult to understand, which discourages me from exploring it (E.g, Tokenization, Blockchain)]:[If I want to try different ways to invest, I will explore digital assets.]], 3)</f>
        <v>5</v>
      </c>
      <c r="AU1404">
        <f>Table67[[#This Row],[Midpoint]]/21</f>
        <v>0.23809523809523808</v>
      </c>
      <c r="AV1404">
        <f>_xlfn.PERCENTILE.INC(Table67[Midpoint ratio],0.9)</f>
        <v>0.5714285714285714</v>
      </c>
      <c r="AW1404" t="b">
        <f>Table67[[#This Row],[Midpoint ratio]]&gt;=Table67[[#This Row],[Threshold of Midpoint ratio]]</f>
        <v>0</v>
      </c>
      <c r="AX1404" t="b">
        <f>OR(Table67[[#This Row],[Extreme Response Style]],Table67[[#This Row],[Mid-point Response Style]])</f>
        <v>0</v>
      </c>
      <c r="AY1404" t="b">
        <f>OR(Table67[[#This Row],[Delete? (Stage 1)]],Table67[[#This Row],[Delete? (Stage 2)]])</f>
        <v>0</v>
      </c>
      <c r="AZ1404" t="s">
        <v>84</v>
      </c>
    </row>
    <row r="1405" spans="1:52">
      <c r="A1405">
        <f t="shared" si="87"/>
        <v>1404</v>
      </c>
      <c r="B1405" s="3">
        <v>46062.026631944442</v>
      </c>
      <c r="C1405" s="3">
        <v>46062.030324074076</v>
      </c>
      <c r="D1405" t="s">
        <v>53</v>
      </c>
      <c r="G1405" t="s">
        <v>54</v>
      </c>
      <c r="H1405" t="s">
        <v>63</v>
      </c>
      <c r="I1405" t="s">
        <v>56</v>
      </c>
      <c r="J1405" t="s">
        <v>60</v>
      </c>
      <c r="K1405" t="s">
        <v>62</v>
      </c>
      <c r="L1405" t="s">
        <v>58</v>
      </c>
      <c r="M1405" t="s">
        <v>58</v>
      </c>
      <c r="N1405">
        <v>5</v>
      </c>
      <c r="O1405">
        <v>1</v>
      </c>
      <c r="P1405">
        <v>5</v>
      </c>
      <c r="Q1405">
        <v>5</v>
      </c>
      <c r="R1405">
        <v>5</v>
      </c>
      <c r="S1405">
        <v>5</v>
      </c>
      <c r="T1405">
        <v>3</v>
      </c>
      <c r="U1405">
        <v>5</v>
      </c>
      <c r="V1405">
        <v>2</v>
      </c>
      <c r="W1405">
        <v>5</v>
      </c>
      <c r="X1405">
        <v>3</v>
      </c>
      <c r="Y1405">
        <v>5</v>
      </c>
      <c r="Z1405">
        <v>5</v>
      </c>
      <c r="AA1405">
        <v>5</v>
      </c>
      <c r="AB1405">
        <v>5</v>
      </c>
      <c r="AC1405">
        <v>5</v>
      </c>
      <c r="AD1405">
        <v>5</v>
      </c>
      <c r="AE1405">
        <v>5</v>
      </c>
      <c r="AF1405">
        <v>3</v>
      </c>
      <c r="AG1405">
        <v>3</v>
      </c>
      <c r="AH1405">
        <v>3</v>
      </c>
      <c r="AI1405">
        <v>3</v>
      </c>
      <c r="AJ1405">
        <v>3</v>
      </c>
      <c r="AK1405" t="b">
        <f>Table67[[#This Row],[What is your age?]]&lt;&gt;"18 - 25"</f>
        <v>0</v>
      </c>
      <c r="AL1405" t="b">
        <f t="shared" si="84"/>
        <v>0</v>
      </c>
      <c r="AM1405" t="b">
        <f t="shared" si="85"/>
        <v>0</v>
      </c>
      <c r="AN1405" t="b">
        <f t="shared" si="86"/>
        <v>0</v>
      </c>
      <c r="AO1405" t="b">
        <f>OR(Table67[[#This Row],[Ineligible respondents]:[Inconsistent response on opposite question (3)]])</f>
        <v>0</v>
      </c>
      <c r="AP140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1405">
        <f>Table67[[#This Row],[Extreme Response]]/21</f>
        <v>0.7142857142857143</v>
      </c>
      <c r="AR1405">
        <f>_xlfn.PERCENTILE.INC(Table67[Extrem Response Ratio (ERS)],0.9)</f>
        <v>0.61904761904761907</v>
      </c>
      <c r="AS1405" t="b">
        <f>Table67[[#This Row],[Extrem Response Ratio (ERS)]]&gt;=Table67[[#This Row],[Threshold of ERS]]</f>
        <v>1</v>
      </c>
      <c r="AT1405">
        <f>COUNTIF(Table67[[#This Row],[The mechanism of digital assets is difficult to understand, which discourages me from exploring it (E.g, Tokenization, Blockchain)]:[If I want to try different ways to invest, I will explore digital assets.]], 3)</f>
        <v>5</v>
      </c>
      <c r="AU1405">
        <f>Table67[[#This Row],[Midpoint]]/21</f>
        <v>0.23809523809523808</v>
      </c>
      <c r="AV1405">
        <f>_xlfn.PERCENTILE.INC(Table67[Midpoint ratio],0.9)</f>
        <v>0.5714285714285714</v>
      </c>
      <c r="AW1405" t="b">
        <f>Table67[[#This Row],[Midpoint ratio]]&gt;=Table67[[#This Row],[Threshold of Midpoint ratio]]</f>
        <v>0</v>
      </c>
      <c r="AX1405" t="b">
        <f>OR(Table67[[#This Row],[Extreme Response Style]],Table67[[#This Row],[Mid-point Response Style]])</f>
        <v>1</v>
      </c>
      <c r="AY1405" t="b">
        <f>OR(Table67[[#This Row],[Delete? (Stage 1)]],Table67[[#This Row],[Delete? (Stage 2)]])</f>
        <v>1</v>
      </c>
      <c r="AZ1405" t="s">
        <v>84</v>
      </c>
    </row>
    <row r="1406" spans="1:52">
      <c r="A1406">
        <f t="shared" si="87"/>
        <v>1405</v>
      </c>
      <c r="B1406" s="3">
        <v>46062.024710648147</v>
      </c>
      <c r="C1406" s="3">
        <v>46062.02952546296</v>
      </c>
      <c r="D1406" t="s">
        <v>53</v>
      </c>
      <c r="G1406" t="s">
        <v>54</v>
      </c>
      <c r="H1406" t="s">
        <v>55</v>
      </c>
      <c r="I1406" t="s">
        <v>56</v>
      </c>
      <c r="J1406" t="s">
        <v>62</v>
      </c>
      <c r="K1406" t="s">
        <v>57</v>
      </c>
      <c r="L1406" t="s">
        <v>58</v>
      </c>
      <c r="M1406" t="s">
        <v>58</v>
      </c>
      <c r="N1406">
        <v>4</v>
      </c>
      <c r="O1406">
        <v>3</v>
      </c>
      <c r="P1406">
        <v>3</v>
      </c>
      <c r="Q1406">
        <v>4</v>
      </c>
      <c r="R1406">
        <v>2</v>
      </c>
      <c r="S1406">
        <v>4</v>
      </c>
      <c r="T1406">
        <v>2</v>
      </c>
      <c r="U1406">
        <v>3</v>
      </c>
      <c r="V1406">
        <v>4</v>
      </c>
      <c r="W1406">
        <v>4</v>
      </c>
      <c r="X1406">
        <v>4</v>
      </c>
      <c r="Y1406">
        <v>2</v>
      </c>
      <c r="Z1406">
        <v>4</v>
      </c>
      <c r="AA1406">
        <v>4</v>
      </c>
      <c r="AB1406">
        <v>3</v>
      </c>
      <c r="AC1406">
        <v>3</v>
      </c>
      <c r="AD1406">
        <v>4</v>
      </c>
      <c r="AE1406">
        <v>2</v>
      </c>
      <c r="AF1406">
        <v>4</v>
      </c>
      <c r="AG1406">
        <v>3</v>
      </c>
      <c r="AH1406">
        <v>4</v>
      </c>
      <c r="AI1406">
        <v>2</v>
      </c>
      <c r="AJ1406">
        <v>2</v>
      </c>
      <c r="AK1406" t="b">
        <f>Table67[[#This Row],[What is your age?]]&lt;&gt;"18 - 25"</f>
        <v>0</v>
      </c>
      <c r="AL1406" t="b">
        <f t="shared" si="84"/>
        <v>0</v>
      </c>
      <c r="AM1406" t="b">
        <f t="shared" si="85"/>
        <v>0</v>
      </c>
      <c r="AN1406" t="b">
        <f t="shared" si="86"/>
        <v>1</v>
      </c>
      <c r="AO1406" t="b">
        <f>OR(Table67[[#This Row],[Ineligible respondents]:[Inconsistent response on opposite question (3)]])</f>
        <v>1</v>
      </c>
      <c r="AP140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406">
        <f>Table67[[#This Row],[Extreme Response]]/21</f>
        <v>0</v>
      </c>
      <c r="AR1406">
        <f>_xlfn.PERCENTILE.INC(Table67[Extrem Response Ratio (ERS)],0.9)</f>
        <v>0.61904761904761907</v>
      </c>
      <c r="AS1406" t="b">
        <f>Table67[[#This Row],[Extrem Response Ratio (ERS)]]&gt;=Table67[[#This Row],[Threshold of ERS]]</f>
        <v>0</v>
      </c>
      <c r="AT1406">
        <f>COUNTIF(Table67[[#This Row],[The mechanism of digital assets is difficult to understand, which discourages me from exploring it (E.g, Tokenization, Blockchain)]:[If I want to try different ways to invest, I will explore digital assets.]], 3)</f>
        <v>6</v>
      </c>
      <c r="AU1406">
        <f>Table67[[#This Row],[Midpoint]]/21</f>
        <v>0.2857142857142857</v>
      </c>
      <c r="AV1406">
        <f>_xlfn.PERCENTILE.INC(Table67[Midpoint ratio],0.9)</f>
        <v>0.5714285714285714</v>
      </c>
      <c r="AW1406" t="b">
        <f>Table67[[#This Row],[Midpoint ratio]]&gt;=Table67[[#This Row],[Threshold of Midpoint ratio]]</f>
        <v>0</v>
      </c>
      <c r="AX1406" t="b">
        <f>OR(Table67[[#This Row],[Extreme Response Style]],Table67[[#This Row],[Mid-point Response Style]])</f>
        <v>0</v>
      </c>
      <c r="AY1406" t="b">
        <f>OR(Table67[[#This Row],[Delete? (Stage 1)]],Table67[[#This Row],[Delete? (Stage 2)]])</f>
        <v>1</v>
      </c>
      <c r="AZ1406" t="s">
        <v>84</v>
      </c>
    </row>
    <row r="1407" spans="1:52">
      <c r="A1407">
        <f t="shared" si="87"/>
        <v>1406</v>
      </c>
      <c r="B1407" s="3">
        <v>46062.045173611114</v>
      </c>
      <c r="C1407" s="3">
        <v>46062.049143518518</v>
      </c>
      <c r="D1407" t="s">
        <v>53</v>
      </c>
      <c r="G1407" t="s">
        <v>54</v>
      </c>
      <c r="H1407" t="s">
        <v>55</v>
      </c>
      <c r="I1407" t="s">
        <v>71</v>
      </c>
      <c r="J1407" t="s">
        <v>60</v>
      </c>
      <c r="K1407" t="s">
        <v>57</v>
      </c>
      <c r="L1407" t="s">
        <v>58</v>
      </c>
      <c r="M1407" t="s">
        <v>58</v>
      </c>
      <c r="N1407">
        <v>4</v>
      </c>
      <c r="O1407">
        <v>1</v>
      </c>
      <c r="P1407">
        <v>4</v>
      </c>
      <c r="Q1407">
        <v>2</v>
      </c>
      <c r="R1407">
        <v>3</v>
      </c>
      <c r="S1407">
        <v>5</v>
      </c>
      <c r="T1407">
        <v>3</v>
      </c>
      <c r="U1407">
        <v>4</v>
      </c>
      <c r="V1407">
        <v>3</v>
      </c>
      <c r="W1407">
        <v>4</v>
      </c>
      <c r="X1407">
        <v>3</v>
      </c>
      <c r="Y1407">
        <v>3</v>
      </c>
      <c r="Z1407">
        <v>2</v>
      </c>
      <c r="AA1407">
        <v>4</v>
      </c>
      <c r="AB1407">
        <v>5</v>
      </c>
      <c r="AC1407">
        <v>3</v>
      </c>
      <c r="AD1407">
        <v>5</v>
      </c>
      <c r="AE1407">
        <v>3</v>
      </c>
      <c r="AF1407">
        <v>2</v>
      </c>
      <c r="AG1407">
        <v>4</v>
      </c>
      <c r="AH1407">
        <v>3</v>
      </c>
      <c r="AI1407">
        <v>3</v>
      </c>
      <c r="AJ1407">
        <v>4</v>
      </c>
      <c r="AK1407" t="b">
        <f>Table67[[#This Row],[What is your age?]]&lt;&gt;"18 - 25"</f>
        <v>0</v>
      </c>
      <c r="AL1407" t="b">
        <f t="shared" si="84"/>
        <v>0</v>
      </c>
      <c r="AM1407" t="b">
        <f t="shared" si="85"/>
        <v>0</v>
      </c>
      <c r="AN1407" t="b">
        <f t="shared" si="86"/>
        <v>1</v>
      </c>
      <c r="AO1407" t="b">
        <f>OR(Table67[[#This Row],[Ineligible respondents]:[Inconsistent response on opposite question (3)]])</f>
        <v>1</v>
      </c>
      <c r="AP140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407">
        <f>Table67[[#This Row],[Extreme Response]]/21</f>
        <v>0.19047619047619047</v>
      </c>
      <c r="AR1407">
        <f>_xlfn.PERCENTILE.INC(Table67[Extrem Response Ratio (ERS)],0.9)</f>
        <v>0.61904761904761907</v>
      </c>
      <c r="AS1407" t="b">
        <f>Table67[[#This Row],[Extrem Response Ratio (ERS)]]&gt;=Table67[[#This Row],[Threshold of ERS]]</f>
        <v>0</v>
      </c>
      <c r="AT1407">
        <f>COUNTIF(Table67[[#This Row],[The mechanism of digital assets is difficult to understand, which discourages me from exploring it (E.g, Tokenization, Blockchain)]:[If I want to try different ways to invest, I will explore digital assets.]], 3)</f>
        <v>8</v>
      </c>
      <c r="AU1407">
        <f>Table67[[#This Row],[Midpoint]]/21</f>
        <v>0.38095238095238093</v>
      </c>
      <c r="AV1407">
        <f>_xlfn.PERCENTILE.INC(Table67[Midpoint ratio],0.9)</f>
        <v>0.5714285714285714</v>
      </c>
      <c r="AW1407" t="b">
        <f>Table67[[#This Row],[Midpoint ratio]]&gt;=Table67[[#This Row],[Threshold of Midpoint ratio]]</f>
        <v>0</v>
      </c>
      <c r="AX1407" t="b">
        <f>OR(Table67[[#This Row],[Extreme Response Style]],Table67[[#This Row],[Mid-point Response Style]])</f>
        <v>0</v>
      </c>
      <c r="AY1407" t="b">
        <f>OR(Table67[[#This Row],[Delete? (Stage 1)]],Table67[[#This Row],[Delete? (Stage 2)]])</f>
        <v>1</v>
      </c>
      <c r="AZ1407" t="s">
        <v>84</v>
      </c>
    </row>
    <row r="1408" spans="1:52">
      <c r="A1408">
        <f t="shared" si="87"/>
        <v>1407</v>
      </c>
      <c r="B1408" s="3">
        <v>46062.026631944442</v>
      </c>
      <c r="C1408" s="3">
        <v>46062.052534722221</v>
      </c>
      <c r="D1408" t="s">
        <v>53</v>
      </c>
      <c r="G1408" t="s">
        <v>54</v>
      </c>
      <c r="H1408" t="s">
        <v>63</v>
      </c>
      <c r="I1408" t="s">
        <v>75</v>
      </c>
      <c r="J1408" t="s">
        <v>65</v>
      </c>
      <c r="K1408" t="s">
        <v>60</v>
      </c>
      <c r="L1408" t="s">
        <v>58</v>
      </c>
      <c r="M1408" t="s">
        <v>58</v>
      </c>
      <c r="N1408">
        <v>3</v>
      </c>
      <c r="O1408">
        <v>1</v>
      </c>
      <c r="P1408">
        <v>4</v>
      </c>
      <c r="Q1408">
        <v>2</v>
      </c>
      <c r="R1408">
        <v>5</v>
      </c>
      <c r="S1408">
        <v>5</v>
      </c>
      <c r="T1408">
        <v>1</v>
      </c>
      <c r="U1408">
        <v>1</v>
      </c>
      <c r="V1408">
        <v>5</v>
      </c>
      <c r="W1408">
        <v>5</v>
      </c>
      <c r="X1408">
        <v>4</v>
      </c>
      <c r="Y1408">
        <v>5</v>
      </c>
      <c r="Z1408">
        <v>5</v>
      </c>
      <c r="AA1408">
        <v>4</v>
      </c>
      <c r="AB1408">
        <v>4</v>
      </c>
      <c r="AC1408">
        <v>3</v>
      </c>
      <c r="AD1408">
        <v>5</v>
      </c>
      <c r="AE1408">
        <v>5</v>
      </c>
      <c r="AF1408">
        <v>4</v>
      </c>
      <c r="AG1408">
        <v>4</v>
      </c>
      <c r="AH1408">
        <v>4</v>
      </c>
      <c r="AI1408">
        <v>2</v>
      </c>
      <c r="AJ1408">
        <v>2</v>
      </c>
      <c r="AK1408" t="b">
        <f>Table67[[#This Row],[What is your age?]]&lt;&gt;"18 - 25"</f>
        <v>0</v>
      </c>
      <c r="AL1408" t="b">
        <f t="shared" si="84"/>
        <v>0</v>
      </c>
      <c r="AM1408" t="b">
        <f t="shared" si="85"/>
        <v>1</v>
      </c>
      <c r="AN1408" t="b">
        <f t="shared" si="86"/>
        <v>0</v>
      </c>
      <c r="AO1408" t="b">
        <f>OR(Table67[[#This Row],[Ineligible respondents]:[Inconsistent response on opposite question (3)]])</f>
        <v>1</v>
      </c>
      <c r="AP140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1408">
        <f>Table67[[#This Row],[Extreme Response]]/21</f>
        <v>0.52380952380952384</v>
      </c>
      <c r="AR1408">
        <f>_xlfn.PERCENTILE.INC(Table67[Extrem Response Ratio (ERS)],0.9)</f>
        <v>0.61904761904761907</v>
      </c>
      <c r="AS1408" t="b">
        <f>Table67[[#This Row],[Extrem Response Ratio (ERS)]]&gt;=Table67[[#This Row],[Threshold of ERS]]</f>
        <v>0</v>
      </c>
      <c r="AT1408">
        <f>COUNTIF(Table67[[#This Row],[The mechanism of digital assets is difficult to understand, which discourages me from exploring it (E.g, Tokenization, Blockchain)]:[If I want to try different ways to invest, I will explore digital assets.]], 3)</f>
        <v>2</v>
      </c>
      <c r="AU1408">
        <f>Table67[[#This Row],[Midpoint]]/21</f>
        <v>9.5238095238095233E-2</v>
      </c>
      <c r="AV1408">
        <f>_xlfn.PERCENTILE.INC(Table67[Midpoint ratio],0.9)</f>
        <v>0.5714285714285714</v>
      </c>
      <c r="AW1408" t="b">
        <f>Table67[[#This Row],[Midpoint ratio]]&gt;=Table67[[#This Row],[Threshold of Midpoint ratio]]</f>
        <v>0</v>
      </c>
      <c r="AX1408" t="b">
        <f>OR(Table67[[#This Row],[Extreme Response Style]],Table67[[#This Row],[Mid-point Response Style]])</f>
        <v>0</v>
      </c>
      <c r="AY1408" t="b">
        <f>OR(Table67[[#This Row],[Delete? (Stage 1)]],Table67[[#This Row],[Delete? (Stage 2)]])</f>
        <v>1</v>
      </c>
      <c r="AZ1408" t="s">
        <v>84</v>
      </c>
    </row>
    <row r="1409" spans="1:52">
      <c r="A1409">
        <f t="shared" si="87"/>
        <v>1408</v>
      </c>
      <c r="B1409" s="3">
        <v>46062.031469907408</v>
      </c>
      <c r="C1409" s="3">
        <v>46062.034490740742</v>
      </c>
      <c r="D1409" t="s">
        <v>53</v>
      </c>
      <c r="G1409" t="s">
        <v>54</v>
      </c>
      <c r="H1409" t="s">
        <v>63</v>
      </c>
      <c r="I1409" t="s">
        <v>56</v>
      </c>
      <c r="J1409" t="s">
        <v>72</v>
      </c>
      <c r="K1409" t="s">
        <v>66</v>
      </c>
      <c r="L1409" t="s">
        <v>61</v>
      </c>
      <c r="M1409" t="s">
        <v>61</v>
      </c>
      <c r="N1409">
        <v>4</v>
      </c>
      <c r="O1409">
        <v>4</v>
      </c>
      <c r="P1409">
        <v>4</v>
      </c>
      <c r="Q1409">
        <v>5</v>
      </c>
      <c r="R1409">
        <v>4</v>
      </c>
      <c r="S1409">
        <v>5</v>
      </c>
      <c r="T1409">
        <v>4</v>
      </c>
      <c r="U1409">
        <v>4</v>
      </c>
      <c r="V1409">
        <v>4</v>
      </c>
      <c r="W1409">
        <v>4</v>
      </c>
      <c r="X1409">
        <v>5</v>
      </c>
      <c r="Y1409">
        <v>4</v>
      </c>
      <c r="Z1409">
        <v>5</v>
      </c>
      <c r="AA1409">
        <v>4</v>
      </c>
      <c r="AB1409">
        <v>5</v>
      </c>
      <c r="AC1409">
        <v>4</v>
      </c>
      <c r="AD1409">
        <v>5</v>
      </c>
      <c r="AE1409">
        <v>4</v>
      </c>
      <c r="AF1409">
        <v>5</v>
      </c>
      <c r="AG1409">
        <v>4</v>
      </c>
      <c r="AH1409">
        <v>4</v>
      </c>
      <c r="AI1409">
        <v>2</v>
      </c>
      <c r="AJ1409">
        <v>1</v>
      </c>
      <c r="AK1409" t="b">
        <f>Table67[[#This Row],[What is your age?]]&lt;&gt;"18 - 25"</f>
        <v>0</v>
      </c>
      <c r="AL1409" t="b">
        <f t="shared" si="84"/>
        <v>0</v>
      </c>
      <c r="AM1409" t="b">
        <f t="shared" si="85"/>
        <v>1</v>
      </c>
      <c r="AN1409" t="b">
        <f t="shared" si="86"/>
        <v>0</v>
      </c>
      <c r="AO1409" t="b">
        <f>OR(Table67[[#This Row],[Ineligible respondents]:[Inconsistent response on opposite question (3)]])</f>
        <v>1</v>
      </c>
      <c r="AP140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409">
        <f>Table67[[#This Row],[Extreme Response]]/21</f>
        <v>0.33333333333333331</v>
      </c>
      <c r="AR1409">
        <f>_xlfn.PERCENTILE.INC(Table67[Extrem Response Ratio (ERS)],0.9)</f>
        <v>0.61904761904761907</v>
      </c>
      <c r="AS1409" t="b">
        <f>Table67[[#This Row],[Extrem Response Ratio (ERS)]]&gt;=Table67[[#This Row],[Threshold of ERS]]</f>
        <v>0</v>
      </c>
      <c r="AT1409">
        <f>COUNTIF(Table67[[#This Row],[The mechanism of digital assets is difficult to understand, which discourages me from exploring it (E.g, Tokenization, Blockchain)]:[If I want to try different ways to invest, I will explore digital assets.]], 3)</f>
        <v>0</v>
      </c>
      <c r="AU1409">
        <f>Table67[[#This Row],[Midpoint]]/21</f>
        <v>0</v>
      </c>
      <c r="AV1409">
        <f>_xlfn.PERCENTILE.INC(Table67[Midpoint ratio],0.9)</f>
        <v>0.5714285714285714</v>
      </c>
      <c r="AW1409" t="b">
        <f>Table67[[#This Row],[Midpoint ratio]]&gt;=Table67[[#This Row],[Threshold of Midpoint ratio]]</f>
        <v>0</v>
      </c>
      <c r="AX1409" t="b">
        <f>OR(Table67[[#This Row],[Extreme Response Style]],Table67[[#This Row],[Mid-point Response Style]])</f>
        <v>0</v>
      </c>
      <c r="AY1409" t="b">
        <f>OR(Table67[[#This Row],[Delete? (Stage 1)]],Table67[[#This Row],[Delete? (Stage 2)]])</f>
        <v>1</v>
      </c>
      <c r="AZ1409" t="s">
        <v>84</v>
      </c>
    </row>
    <row r="1410" spans="1:52">
      <c r="A1410">
        <f t="shared" si="87"/>
        <v>1409</v>
      </c>
      <c r="B1410" s="3">
        <v>46062.046122685184</v>
      </c>
      <c r="C1410" s="3">
        <v>46062.05364583333</v>
      </c>
      <c r="D1410" t="s">
        <v>53</v>
      </c>
      <c r="G1410" t="s">
        <v>54</v>
      </c>
      <c r="H1410" t="s">
        <v>63</v>
      </c>
      <c r="I1410" t="s">
        <v>69</v>
      </c>
      <c r="J1410" t="s">
        <v>66</v>
      </c>
      <c r="K1410" t="s">
        <v>57</v>
      </c>
      <c r="L1410" t="s">
        <v>58</v>
      </c>
      <c r="M1410" t="s">
        <v>58</v>
      </c>
      <c r="N1410">
        <v>4</v>
      </c>
      <c r="O1410">
        <v>2</v>
      </c>
      <c r="P1410">
        <v>3</v>
      </c>
      <c r="Q1410">
        <v>4</v>
      </c>
      <c r="R1410">
        <v>4</v>
      </c>
      <c r="S1410">
        <v>5</v>
      </c>
      <c r="T1410">
        <v>3</v>
      </c>
      <c r="U1410">
        <v>2</v>
      </c>
      <c r="V1410">
        <v>4</v>
      </c>
      <c r="W1410">
        <v>5</v>
      </c>
      <c r="X1410">
        <v>5</v>
      </c>
      <c r="Y1410">
        <v>5</v>
      </c>
      <c r="Z1410">
        <v>4</v>
      </c>
      <c r="AA1410">
        <v>4</v>
      </c>
      <c r="AB1410">
        <v>3</v>
      </c>
      <c r="AC1410">
        <v>1</v>
      </c>
      <c r="AD1410">
        <v>4</v>
      </c>
      <c r="AE1410">
        <v>3</v>
      </c>
      <c r="AF1410">
        <v>2</v>
      </c>
      <c r="AG1410">
        <v>4</v>
      </c>
      <c r="AH1410">
        <v>4</v>
      </c>
      <c r="AI1410">
        <v>2</v>
      </c>
      <c r="AJ1410">
        <v>4</v>
      </c>
      <c r="AK1410" t="b">
        <f>Table67[[#This Row],[What is your age?]]&lt;&gt;"18 - 25"</f>
        <v>0</v>
      </c>
      <c r="AL1410" t="b">
        <f t="shared" si="84"/>
        <v>0</v>
      </c>
      <c r="AM1410" t="b">
        <f t="shared" si="85"/>
        <v>1</v>
      </c>
      <c r="AN1410" t="b">
        <f t="shared" si="86"/>
        <v>0</v>
      </c>
      <c r="AO1410" t="b">
        <f>OR(Table67[[#This Row],[Ineligible respondents]:[Inconsistent response on opposite question (3)]])</f>
        <v>1</v>
      </c>
      <c r="AP141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410">
        <f>Table67[[#This Row],[Extreme Response]]/21</f>
        <v>0.23809523809523808</v>
      </c>
      <c r="AR1410">
        <f>_xlfn.PERCENTILE.INC(Table67[Extrem Response Ratio (ERS)],0.9)</f>
        <v>0.61904761904761907</v>
      </c>
      <c r="AS1410" t="b">
        <f>Table67[[#This Row],[Extrem Response Ratio (ERS)]]&gt;=Table67[[#This Row],[Threshold of ERS]]</f>
        <v>0</v>
      </c>
      <c r="AT1410">
        <f>COUNTIF(Table67[[#This Row],[The mechanism of digital assets is difficult to understand, which discourages me from exploring it (E.g, Tokenization, Blockchain)]:[If I want to try different ways to invest, I will explore digital assets.]], 3)</f>
        <v>4</v>
      </c>
      <c r="AU1410">
        <f>Table67[[#This Row],[Midpoint]]/21</f>
        <v>0.19047619047619047</v>
      </c>
      <c r="AV1410">
        <f>_xlfn.PERCENTILE.INC(Table67[Midpoint ratio],0.9)</f>
        <v>0.5714285714285714</v>
      </c>
      <c r="AW1410" t="b">
        <f>Table67[[#This Row],[Midpoint ratio]]&gt;=Table67[[#This Row],[Threshold of Midpoint ratio]]</f>
        <v>0</v>
      </c>
      <c r="AX1410" t="b">
        <f>OR(Table67[[#This Row],[Extreme Response Style]],Table67[[#This Row],[Mid-point Response Style]])</f>
        <v>0</v>
      </c>
      <c r="AY1410" t="b">
        <f>OR(Table67[[#This Row],[Delete? (Stage 1)]],Table67[[#This Row],[Delete? (Stage 2)]])</f>
        <v>1</v>
      </c>
      <c r="AZ1410" t="s">
        <v>84</v>
      </c>
    </row>
    <row r="1411" spans="1:52">
      <c r="A1411">
        <f t="shared" si="87"/>
        <v>1410</v>
      </c>
      <c r="B1411" s="3">
        <v>46062.076458333337</v>
      </c>
      <c r="C1411" s="3">
        <v>46062.080381944441</v>
      </c>
      <c r="D1411" t="s">
        <v>53</v>
      </c>
      <c r="G1411" t="s">
        <v>54</v>
      </c>
      <c r="H1411" t="s">
        <v>63</v>
      </c>
      <c r="I1411" t="s">
        <v>56</v>
      </c>
      <c r="J1411" t="s">
        <v>62</v>
      </c>
      <c r="K1411" t="s">
        <v>57</v>
      </c>
      <c r="L1411" t="s">
        <v>58</v>
      </c>
      <c r="M1411" t="s">
        <v>58</v>
      </c>
      <c r="N1411">
        <v>4</v>
      </c>
      <c r="O1411">
        <v>2</v>
      </c>
      <c r="P1411">
        <v>3</v>
      </c>
      <c r="Q1411">
        <v>3</v>
      </c>
      <c r="R1411">
        <v>2</v>
      </c>
      <c r="S1411">
        <v>4</v>
      </c>
      <c r="T1411">
        <v>5</v>
      </c>
      <c r="U1411">
        <v>5</v>
      </c>
      <c r="V1411">
        <v>4</v>
      </c>
      <c r="W1411">
        <v>4</v>
      </c>
      <c r="X1411">
        <v>4</v>
      </c>
      <c r="Y1411">
        <v>4</v>
      </c>
      <c r="Z1411">
        <v>4</v>
      </c>
      <c r="AA1411">
        <v>4</v>
      </c>
      <c r="AB1411">
        <v>4</v>
      </c>
      <c r="AC1411">
        <v>4</v>
      </c>
      <c r="AD1411">
        <v>5</v>
      </c>
      <c r="AE1411">
        <v>2</v>
      </c>
      <c r="AF1411">
        <v>1</v>
      </c>
      <c r="AG1411">
        <v>2</v>
      </c>
      <c r="AH1411">
        <v>2</v>
      </c>
      <c r="AI1411">
        <v>4</v>
      </c>
      <c r="AJ1411">
        <v>5</v>
      </c>
      <c r="AK1411" t="b">
        <f>Table67[[#This Row],[What is your age?]]&lt;&gt;"18 - 25"</f>
        <v>0</v>
      </c>
      <c r="AL1411" t="b">
        <f t="shared" ref="AL1411:AL1474" si="88">COUNTIF(N1411:AH1411, N1411) = COLUMNS(N1411:AH1411)</f>
        <v>0</v>
      </c>
      <c r="AM1411" t="b">
        <f t="shared" ref="AM1411:AM1474" si="89">OR(AND(AG1411=AH1411, AG1411&lt;&gt;3), AND(OR(AG1411=1, AG1411=2), OR(AH1411=1, AH1411=2)), AND(OR(AG1411=4, AG1411=5), OR(AH1411=4, AH1411=5)))</f>
        <v>1</v>
      </c>
      <c r="AN1411" t="b">
        <f t="shared" ref="AN1411:AN1474" si="90">OR(AND(AG1411=3, AH1411&lt;&gt;3), AND(AH1411=3, AG1411&lt;&gt;3))</f>
        <v>0</v>
      </c>
      <c r="AO1411" t="b">
        <f>OR(Table67[[#This Row],[Ineligible respondents]:[Inconsistent response on opposite question (3)]])</f>
        <v>1</v>
      </c>
      <c r="AP141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411">
        <f>Table67[[#This Row],[Extreme Response]]/21</f>
        <v>0.19047619047619047</v>
      </c>
      <c r="AR1411">
        <f>_xlfn.PERCENTILE.INC(Table67[Extrem Response Ratio (ERS)],0.9)</f>
        <v>0.61904761904761907</v>
      </c>
      <c r="AS1411" t="b">
        <f>Table67[[#This Row],[Extrem Response Ratio (ERS)]]&gt;=Table67[[#This Row],[Threshold of ERS]]</f>
        <v>0</v>
      </c>
      <c r="AT1411">
        <f>COUNTIF(Table67[[#This Row],[The mechanism of digital assets is difficult to understand, which discourages me from exploring it (E.g, Tokenization, Blockchain)]:[If I want to try different ways to invest, I will explore digital assets.]], 3)</f>
        <v>2</v>
      </c>
      <c r="AU1411">
        <f>Table67[[#This Row],[Midpoint]]/21</f>
        <v>9.5238095238095233E-2</v>
      </c>
      <c r="AV1411">
        <f>_xlfn.PERCENTILE.INC(Table67[Midpoint ratio],0.9)</f>
        <v>0.5714285714285714</v>
      </c>
      <c r="AW1411" t="b">
        <f>Table67[[#This Row],[Midpoint ratio]]&gt;=Table67[[#This Row],[Threshold of Midpoint ratio]]</f>
        <v>0</v>
      </c>
      <c r="AX1411" t="b">
        <f>OR(Table67[[#This Row],[Extreme Response Style]],Table67[[#This Row],[Mid-point Response Style]])</f>
        <v>0</v>
      </c>
      <c r="AY1411" t="b">
        <f>OR(Table67[[#This Row],[Delete? (Stage 1)]],Table67[[#This Row],[Delete? (Stage 2)]])</f>
        <v>1</v>
      </c>
      <c r="AZ1411" t="s">
        <v>84</v>
      </c>
    </row>
    <row r="1412" spans="1:52">
      <c r="A1412">
        <f t="shared" ref="A1412:A1475" si="91">1+A1411</f>
        <v>1411</v>
      </c>
      <c r="B1412" s="3">
        <v>46062.033912037034</v>
      </c>
      <c r="C1412" s="3">
        <v>46062.035856481481</v>
      </c>
      <c r="D1412" t="s">
        <v>53</v>
      </c>
      <c r="G1412" t="s">
        <v>54</v>
      </c>
      <c r="H1412" t="s">
        <v>55</v>
      </c>
      <c r="I1412" t="s">
        <v>56</v>
      </c>
      <c r="J1412" t="s">
        <v>62</v>
      </c>
      <c r="K1412" t="s">
        <v>62</v>
      </c>
      <c r="L1412" t="s">
        <v>61</v>
      </c>
      <c r="M1412" t="s">
        <v>61</v>
      </c>
      <c r="N1412">
        <v>4</v>
      </c>
      <c r="O1412">
        <v>1</v>
      </c>
      <c r="P1412">
        <v>5</v>
      </c>
      <c r="Q1412">
        <v>3</v>
      </c>
      <c r="R1412">
        <v>5</v>
      </c>
      <c r="S1412">
        <v>5</v>
      </c>
      <c r="T1412">
        <v>4</v>
      </c>
      <c r="U1412">
        <v>4</v>
      </c>
      <c r="V1412">
        <v>5</v>
      </c>
      <c r="W1412">
        <v>5</v>
      </c>
      <c r="X1412">
        <v>3</v>
      </c>
      <c r="Y1412">
        <v>4</v>
      </c>
      <c r="Z1412">
        <v>3</v>
      </c>
      <c r="AA1412">
        <v>4</v>
      </c>
      <c r="AB1412">
        <v>2</v>
      </c>
      <c r="AC1412">
        <v>5</v>
      </c>
      <c r="AD1412">
        <v>5</v>
      </c>
      <c r="AE1412">
        <v>4</v>
      </c>
      <c r="AF1412">
        <v>2</v>
      </c>
      <c r="AG1412">
        <v>2</v>
      </c>
      <c r="AH1412">
        <v>3</v>
      </c>
      <c r="AI1412">
        <v>3</v>
      </c>
      <c r="AJ1412">
        <v>4</v>
      </c>
      <c r="AK1412" t="b">
        <f>Table67[[#This Row],[What is your age?]]&lt;&gt;"18 - 25"</f>
        <v>0</v>
      </c>
      <c r="AL1412" t="b">
        <f t="shared" si="88"/>
        <v>0</v>
      </c>
      <c r="AM1412" t="b">
        <f t="shared" si="89"/>
        <v>0</v>
      </c>
      <c r="AN1412" t="b">
        <f t="shared" si="90"/>
        <v>1</v>
      </c>
      <c r="AO1412" t="b">
        <f>OR(Table67[[#This Row],[Ineligible respondents]:[Inconsistent response on opposite question (3)]])</f>
        <v>1</v>
      </c>
      <c r="AP141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1412">
        <f>Table67[[#This Row],[Extreme Response]]/21</f>
        <v>0.38095238095238093</v>
      </c>
      <c r="AR1412">
        <f>_xlfn.PERCENTILE.INC(Table67[Extrem Response Ratio (ERS)],0.9)</f>
        <v>0.61904761904761907</v>
      </c>
      <c r="AS1412" t="b">
        <f>Table67[[#This Row],[Extrem Response Ratio (ERS)]]&gt;=Table67[[#This Row],[Threshold of ERS]]</f>
        <v>0</v>
      </c>
      <c r="AT1412">
        <f>COUNTIF(Table67[[#This Row],[The mechanism of digital assets is difficult to understand, which discourages me from exploring it (E.g, Tokenization, Blockchain)]:[If I want to try different ways to invest, I will explore digital assets.]], 3)</f>
        <v>4</v>
      </c>
      <c r="AU1412">
        <f>Table67[[#This Row],[Midpoint]]/21</f>
        <v>0.19047619047619047</v>
      </c>
      <c r="AV1412">
        <f>_xlfn.PERCENTILE.INC(Table67[Midpoint ratio],0.9)</f>
        <v>0.5714285714285714</v>
      </c>
      <c r="AW1412" t="b">
        <f>Table67[[#This Row],[Midpoint ratio]]&gt;=Table67[[#This Row],[Threshold of Midpoint ratio]]</f>
        <v>0</v>
      </c>
      <c r="AX1412" t="b">
        <f>OR(Table67[[#This Row],[Extreme Response Style]],Table67[[#This Row],[Mid-point Response Style]])</f>
        <v>0</v>
      </c>
      <c r="AY1412" t="b">
        <f>OR(Table67[[#This Row],[Delete? (Stage 1)]],Table67[[#This Row],[Delete? (Stage 2)]])</f>
        <v>1</v>
      </c>
      <c r="AZ1412" t="s">
        <v>84</v>
      </c>
    </row>
    <row r="1413" spans="1:52">
      <c r="A1413">
        <f t="shared" si="91"/>
        <v>1412</v>
      </c>
      <c r="B1413" s="3">
        <v>46065.732002314813</v>
      </c>
      <c r="C1413" s="3">
        <v>46065.735821759263</v>
      </c>
      <c r="D1413" t="s">
        <v>53</v>
      </c>
      <c r="G1413" t="s">
        <v>54</v>
      </c>
      <c r="H1413" t="s">
        <v>55</v>
      </c>
      <c r="I1413" t="s">
        <v>56</v>
      </c>
      <c r="J1413" t="s">
        <v>57</v>
      </c>
      <c r="K1413" t="s">
        <v>57</v>
      </c>
      <c r="L1413" t="s">
        <v>58</v>
      </c>
      <c r="M1413" t="s">
        <v>58</v>
      </c>
      <c r="N1413">
        <v>3</v>
      </c>
      <c r="O1413">
        <v>4</v>
      </c>
      <c r="P1413">
        <v>3</v>
      </c>
      <c r="Q1413">
        <v>2</v>
      </c>
      <c r="R1413">
        <v>3</v>
      </c>
      <c r="S1413">
        <v>4</v>
      </c>
      <c r="T1413">
        <v>4</v>
      </c>
      <c r="U1413">
        <v>3</v>
      </c>
      <c r="V1413">
        <v>3</v>
      </c>
      <c r="W1413">
        <v>3</v>
      </c>
      <c r="X1413">
        <v>4</v>
      </c>
      <c r="Y1413">
        <v>3</v>
      </c>
      <c r="Z1413">
        <v>4</v>
      </c>
      <c r="AA1413">
        <v>4</v>
      </c>
      <c r="AB1413">
        <v>3</v>
      </c>
      <c r="AC1413">
        <v>3</v>
      </c>
      <c r="AD1413">
        <v>5</v>
      </c>
      <c r="AE1413">
        <v>4</v>
      </c>
      <c r="AF1413">
        <v>3</v>
      </c>
      <c r="AG1413">
        <v>3</v>
      </c>
      <c r="AH1413">
        <v>3</v>
      </c>
      <c r="AI1413">
        <v>3</v>
      </c>
      <c r="AJ1413">
        <v>3</v>
      </c>
      <c r="AK1413" t="b">
        <f>Table67[[#This Row],[What is your age?]]&lt;&gt;"18 - 25"</f>
        <v>0</v>
      </c>
      <c r="AL1413" t="b">
        <f t="shared" si="88"/>
        <v>0</v>
      </c>
      <c r="AM1413" t="b">
        <f t="shared" si="89"/>
        <v>0</v>
      </c>
      <c r="AN1413" t="b">
        <f t="shared" si="90"/>
        <v>0</v>
      </c>
      <c r="AO1413" t="b">
        <f>OR(Table67[[#This Row],[Ineligible respondents]:[Inconsistent response on opposite question (3)]])</f>
        <v>0</v>
      </c>
      <c r="AP141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413">
        <f>Table67[[#This Row],[Extreme Response]]/21</f>
        <v>4.7619047619047616E-2</v>
      </c>
      <c r="AR1413">
        <f>_xlfn.PERCENTILE.INC(Table67[Extrem Response Ratio (ERS)],0.9)</f>
        <v>0.61904761904761907</v>
      </c>
      <c r="AS1413" t="b">
        <f>Table67[[#This Row],[Extrem Response Ratio (ERS)]]&gt;=Table67[[#This Row],[Threshold of ERS]]</f>
        <v>0</v>
      </c>
      <c r="AT1413">
        <f>COUNTIF(Table67[[#This Row],[The mechanism of digital assets is difficult to understand, which discourages me from exploring it (E.g, Tokenization, Blockchain)]:[If I want to try different ways to invest, I will explore digital assets.]], 3)</f>
        <v>12</v>
      </c>
      <c r="AU1413">
        <f>Table67[[#This Row],[Midpoint]]/21</f>
        <v>0.5714285714285714</v>
      </c>
      <c r="AV1413">
        <f>_xlfn.PERCENTILE.INC(Table67[Midpoint ratio],0.9)</f>
        <v>0.5714285714285714</v>
      </c>
      <c r="AW1413" t="b">
        <f>Table67[[#This Row],[Midpoint ratio]]&gt;=Table67[[#This Row],[Threshold of Midpoint ratio]]</f>
        <v>1</v>
      </c>
      <c r="AX1413" t="b">
        <f>OR(Table67[[#This Row],[Extreme Response Style]],Table67[[#This Row],[Mid-point Response Style]])</f>
        <v>1</v>
      </c>
      <c r="AY1413" t="b">
        <f>OR(Table67[[#This Row],[Delete? (Stage 1)]],Table67[[#This Row],[Delete? (Stage 2)]])</f>
        <v>1</v>
      </c>
      <c r="AZ1413" t="s">
        <v>84</v>
      </c>
    </row>
    <row r="1414" spans="1:52">
      <c r="A1414">
        <f t="shared" si="91"/>
        <v>1413</v>
      </c>
      <c r="B1414" s="3">
        <v>46065.842164351852</v>
      </c>
      <c r="C1414" s="3">
        <v>46065.846689814818</v>
      </c>
      <c r="D1414" t="s">
        <v>53</v>
      </c>
      <c r="G1414" t="s">
        <v>54</v>
      </c>
      <c r="H1414" t="s">
        <v>55</v>
      </c>
      <c r="I1414" t="s">
        <v>71</v>
      </c>
      <c r="J1414" t="s">
        <v>62</v>
      </c>
      <c r="K1414" t="s">
        <v>62</v>
      </c>
      <c r="L1414" t="s">
        <v>58</v>
      </c>
      <c r="M1414" t="s">
        <v>61</v>
      </c>
      <c r="N1414">
        <v>3</v>
      </c>
      <c r="O1414">
        <v>3</v>
      </c>
      <c r="P1414">
        <v>3</v>
      </c>
      <c r="Q1414">
        <v>3</v>
      </c>
      <c r="R1414">
        <v>2</v>
      </c>
      <c r="S1414">
        <v>2</v>
      </c>
      <c r="T1414">
        <v>2</v>
      </c>
      <c r="U1414">
        <v>3</v>
      </c>
      <c r="V1414">
        <v>2</v>
      </c>
      <c r="W1414">
        <v>4</v>
      </c>
      <c r="X1414">
        <v>1</v>
      </c>
      <c r="Y1414">
        <v>3</v>
      </c>
      <c r="Z1414">
        <v>2</v>
      </c>
      <c r="AA1414">
        <v>2</v>
      </c>
      <c r="AB1414">
        <v>2</v>
      </c>
      <c r="AC1414">
        <v>3</v>
      </c>
      <c r="AD1414">
        <v>2</v>
      </c>
      <c r="AE1414">
        <v>1</v>
      </c>
      <c r="AF1414">
        <v>4</v>
      </c>
      <c r="AG1414">
        <v>1</v>
      </c>
      <c r="AH1414">
        <v>5</v>
      </c>
      <c r="AI1414">
        <v>1</v>
      </c>
      <c r="AJ1414">
        <v>2</v>
      </c>
      <c r="AK1414" t="b">
        <f>Table67[[#This Row],[What is your age?]]&lt;&gt;"18 - 25"</f>
        <v>0</v>
      </c>
      <c r="AL1414" t="b">
        <f t="shared" si="88"/>
        <v>0</v>
      </c>
      <c r="AM1414" t="b">
        <f t="shared" si="89"/>
        <v>0</v>
      </c>
      <c r="AN1414" t="b">
        <f t="shared" si="90"/>
        <v>0</v>
      </c>
      <c r="AO1414" t="b">
        <f>OR(Table67[[#This Row],[Ineligible respondents]:[Inconsistent response on opposite question (3)]])</f>
        <v>0</v>
      </c>
      <c r="AP141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414">
        <f>Table67[[#This Row],[Extreme Response]]/21</f>
        <v>0.19047619047619047</v>
      </c>
      <c r="AR1414">
        <f>_xlfn.PERCENTILE.INC(Table67[Extrem Response Ratio (ERS)],0.9)</f>
        <v>0.61904761904761907</v>
      </c>
      <c r="AS1414" t="b">
        <f>Table67[[#This Row],[Extrem Response Ratio (ERS)]]&gt;=Table67[[#This Row],[Threshold of ERS]]</f>
        <v>0</v>
      </c>
      <c r="AT1414">
        <f>COUNTIF(Table67[[#This Row],[The mechanism of digital assets is difficult to understand, which discourages me from exploring it (E.g, Tokenization, Blockchain)]:[If I want to try different ways to invest, I will explore digital assets.]], 3)</f>
        <v>7</v>
      </c>
      <c r="AU1414">
        <f>Table67[[#This Row],[Midpoint]]/21</f>
        <v>0.33333333333333331</v>
      </c>
      <c r="AV1414">
        <f>_xlfn.PERCENTILE.INC(Table67[Midpoint ratio],0.9)</f>
        <v>0.5714285714285714</v>
      </c>
      <c r="AW1414" t="b">
        <f>Table67[[#This Row],[Midpoint ratio]]&gt;=Table67[[#This Row],[Threshold of Midpoint ratio]]</f>
        <v>0</v>
      </c>
      <c r="AX1414" t="b">
        <f>OR(Table67[[#This Row],[Extreme Response Style]],Table67[[#This Row],[Mid-point Response Style]])</f>
        <v>0</v>
      </c>
      <c r="AY1414" t="b">
        <f>OR(Table67[[#This Row],[Delete? (Stage 1)]],Table67[[#This Row],[Delete? (Stage 2)]])</f>
        <v>0</v>
      </c>
      <c r="AZ1414" t="s">
        <v>84</v>
      </c>
    </row>
    <row r="1415" spans="1:52">
      <c r="A1415">
        <f t="shared" si="91"/>
        <v>1414</v>
      </c>
      <c r="B1415" s="3">
        <v>46062.042754629627</v>
      </c>
      <c r="C1415" s="3">
        <v>46062.045949074076</v>
      </c>
      <c r="D1415" t="s">
        <v>53</v>
      </c>
      <c r="G1415" t="s">
        <v>54</v>
      </c>
      <c r="H1415" t="s">
        <v>63</v>
      </c>
      <c r="I1415" t="s">
        <v>75</v>
      </c>
      <c r="J1415" t="s">
        <v>62</v>
      </c>
      <c r="K1415" t="s">
        <v>57</v>
      </c>
      <c r="L1415" t="s">
        <v>58</v>
      </c>
      <c r="M1415" t="s">
        <v>58</v>
      </c>
      <c r="N1415">
        <v>4</v>
      </c>
      <c r="O1415">
        <v>5</v>
      </c>
      <c r="P1415">
        <v>3</v>
      </c>
      <c r="Q1415">
        <v>4</v>
      </c>
      <c r="R1415">
        <v>5</v>
      </c>
      <c r="S1415">
        <v>5</v>
      </c>
      <c r="T1415">
        <v>5</v>
      </c>
      <c r="U1415">
        <v>5</v>
      </c>
      <c r="V1415">
        <v>5</v>
      </c>
      <c r="W1415">
        <v>5</v>
      </c>
      <c r="X1415">
        <v>5</v>
      </c>
      <c r="Y1415">
        <v>3</v>
      </c>
      <c r="Z1415">
        <v>5</v>
      </c>
      <c r="AA1415">
        <v>5</v>
      </c>
      <c r="AB1415">
        <v>4</v>
      </c>
      <c r="AC1415">
        <v>5</v>
      </c>
      <c r="AD1415">
        <v>5</v>
      </c>
      <c r="AE1415">
        <v>4</v>
      </c>
      <c r="AF1415">
        <v>1</v>
      </c>
      <c r="AG1415">
        <v>4</v>
      </c>
      <c r="AH1415">
        <v>2</v>
      </c>
      <c r="AI1415">
        <v>4</v>
      </c>
      <c r="AJ1415">
        <v>5</v>
      </c>
      <c r="AK1415" t="b">
        <f>Table67[[#This Row],[What is your age?]]&lt;&gt;"18 - 25"</f>
        <v>0</v>
      </c>
      <c r="AL1415" t="b">
        <f t="shared" si="88"/>
        <v>0</v>
      </c>
      <c r="AM1415" t="b">
        <f t="shared" si="89"/>
        <v>0</v>
      </c>
      <c r="AN1415" t="b">
        <f t="shared" si="90"/>
        <v>0</v>
      </c>
      <c r="AO1415" t="b">
        <f>OR(Table67[[#This Row],[Ineligible respondents]:[Inconsistent response on opposite question (3)]])</f>
        <v>0</v>
      </c>
      <c r="AP141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1415">
        <f>Table67[[#This Row],[Extreme Response]]/21</f>
        <v>0.61904761904761907</v>
      </c>
      <c r="AR1415">
        <f>_xlfn.PERCENTILE.INC(Table67[Extrem Response Ratio (ERS)],0.9)</f>
        <v>0.61904761904761907</v>
      </c>
      <c r="AS1415" t="b">
        <f>Table67[[#This Row],[Extrem Response Ratio (ERS)]]&gt;=Table67[[#This Row],[Threshold of ERS]]</f>
        <v>1</v>
      </c>
      <c r="AT1415">
        <f>COUNTIF(Table67[[#This Row],[The mechanism of digital assets is difficult to understand, which discourages me from exploring it (E.g, Tokenization, Blockchain)]:[If I want to try different ways to invest, I will explore digital assets.]], 3)</f>
        <v>2</v>
      </c>
      <c r="AU1415">
        <f>Table67[[#This Row],[Midpoint]]/21</f>
        <v>9.5238095238095233E-2</v>
      </c>
      <c r="AV1415">
        <f>_xlfn.PERCENTILE.INC(Table67[Midpoint ratio],0.9)</f>
        <v>0.5714285714285714</v>
      </c>
      <c r="AW1415" t="b">
        <f>Table67[[#This Row],[Midpoint ratio]]&gt;=Table67[[#This Row],[Threshold of Midpoint ratio]]</f>
        <v>0</v>
      </c>
      <c r="AX1415" t="b">
        <f>OR(Table67[[#This Row],[Extreme Response Style]],Table67[[#This Row],[Mid-point Response Style]])</f>
        <v>1</v>
      </c>
      <c r="AY1415" t="b">
        <f>OR(Table67[[#This Row],[Delete? (Stage 1)]],Table67[[#This Row],[Delete? (Stage 2)]])</f>
        <v>1</v>
      </c>
      <c r="AZ1415" t="s">
        <v>84</v>
      </c>
    </row>
    <row r="1416" spans="1:52">
      <c r="A1416">
        <f t="shared" si="91"/>
        <v>1415</v>
      </c>
      <c r="B1416" s="3">
        <v>46065.85056712963</v>
      </c>
      <c r="C1416" s="3">
        <v>46065.86105324074</v>
      </c>
      <c r="D1416" t="s">
        <v>53</v>
      </c>
      <c r="G1416" t="s">
        <v>54</v>
      </c>
      <c r="H1416" t="s">
        <v>55</v>
      </c>
      <c r="I1416" t="s">
        <v>56</v>
      </c>
      <c r="J1416" t="s">
        <v>62</v>
      </c>
      <c r="K1416" t="s">
        <v>62</v>
      </c>
      <c r="L1416" t="s">
        <v>58</v>
      </c>
      <c r="M1416" t="s">
        <v>58</v>
      </c>
      <c r="N1416">
        <v>2</v>
      </c>
      <c r="O1416">
        <v>2</v>
      </c>
      <c r="P1416">
        <v>3</v>
      </c>
      <c r="Q1416">
        <v>2</v>
      </c>
      <c r="R1416">
        <v>2</v>
      </c>
      <c r="S1416">
        <v>2</v>
      </c>
      <c r="T1416">
        <v>2</v>
      </c>
      <c r="U1416">
        <v>3</v>
      </c>
      <c r="V1416">
        <v>3</v>
      </c>
      <c r="W1416">
        <v>3</v>
      </c>
      <c r="X1416">
        <v>2</v>
      </c>
      <c r="Y1416">
        <v>3</v>
      </c>
      <c r="Z1416">
        <v>3</v>
      </c>
      <c r="AA1416">
        <v>2</v>
      </c>
      <c r="AB1416">
        <v>2</v>
      </c>
      <c r="AC1416">
        <v>3</v>
      </c>
      <c r="AD1416">
        <v>3</v>
      </c>
      <c r="AE1416">
        <v>3</v>
      </c>
      <c r="AF1416">
        <v>3</v>
      </c>
      <c r="AG1416">
        <v>3</v>
      </c>
      <c r="AH1416">
        <v>3</v>
      </c>
      <c r="AI1416">
        <v>3</v>
      </c>
      <c r="AJ1416">
        <v>3</v>
      </c>
      <c r="AK1416" t="b">
        <f>Table67[[#This Row],[What is your age?]]&lt;&gt;"18 - 25"</f>
        <v>0</v>
      </c>
      <c r="AL1416" t="b">
        <f t="shared" si="88"/>
        <v>0</v>
      </c>
      <c r="AM1416" t="b">
        <f t="shared" si="89"/>
        <v>0</v>
      </c>
      <c r="AN1416" t="b">
        <f t="shared" si="90"/>
        <v>0</v>
      </c>
      <c r="AO1416" t="b">
        <f>OR(Table67[[#This Row],[Ineligible respondents]:[Inconsistent response on opposite question (3)]])</f>
        <v>0</v>
      </c>
      <c r="AP141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416">
        <f>Table67[[#This Row],[Extreme Response]]/21</f>
        <v>0</v>
      </c>
      <c r="AR1416">
        <f>_xlfn.PERCENTILE.INC(Table67[Extrem Response Ratio (ERS)],0.9)</f>
        <v>0.61904761904761907</v>
      </c>
      <c r="AS1416" t="b">
        <f>Table67[[#This Row],[Extrem Response Ratio (ERS)]]&gt;=Table67[[#This Row],[Threshold of ERS]]</f>
        <v>0</v>
      </c>
      <c r="AT1416">
        <f>COUNTIF(Table67[[#This Row],[The mechanism of digital assets is difficult to understand, which discourages me from exploring it (E.g, Tokenization, Blockchain)]:[If I want to try different ways to invest, I will explore digital assets.]], 3)</f>
        <v>12</v>
      </c>
      <c r="AU1416">
        <f>Table67[[#This Row],[Midpoint]]/21</f>
        <v>0.5714285714285714</v>
      </c>
      <c r="AV1416">
        <f>_xlfn.PERCENTILE.INC(Table67[Midpoint ratio],0.9)</f>
        <v>0.5714285714285714</v>
      </c>
      <c r="AW1416" t="b">
        <f>Table67[[#This Row],[Midpoint ratio]]&gt;=Table67[[#This Row],[Threshold of Midpoint ratio]]</f>
        <v>1</v>
      </c>
      <c r="AX1416" t="b">
        <f>OR(Table67[[#This Row],[Extreme Response Style]],Table67[[#This Row],[Mid-point Response Style]])</f>
        <v>1</v>
      </c>
      <c r="AY1416" t="b">
        <f>OR(Table67[[#This Row],[Delete? (Stage 1)]],Table67[[#This Row],[Delete? (Stage 2)]])</f>
        <v>1</v>
      </c>
      <c r="AZ1416" t="s">
        <v>84</v>
      </c>
    </row>
    <row r="1417" spans="1:52">
      <c r="A1417">
        <f t="shared" si="91"/>
        <v>1416</v>
      </c>
      <c r="B1417" s="3">
        <v>46065.890740740739</v>
      </c>
      <c r="C1417" s="3">
        <v>46065.89503472222</v>
      </c>
      <c r="D1417" t="s">
        <v>53</v>
      </c>
      <c r="G1417" t="s">
        <v>54</v>
      </c>
      <c r="H1417" t="s">
        <v>55</v>
      </c>
      <c r="I1417" t="s">
        <v>71</v>
      </c>
      <c r="J1417" t="s">
        <v>62</v>
      </c>
      <c r="K1417" t="s">
        <v>57</v>
      </c>
      <c r="L1417" t="s">
        <v>58</v>
      </c>
      <c r="M1417" t="s">
        <v>58</v>
      </c>
      <c r="N1417">
        <v>4</v>
      </c>
      <c r="O1417">
        <v>4</v>
      </c>
      <c r="P1417">
        <v>3</v>
      </c>
      <c r="Q1417">
        <v>3</v>
      </c>
      <c r="R1417">
        <v>3</v>
      </c>
      <c r="S1417">
        <v>3</v>
      </c>
      <c r="T1417">
        <v>3</v>
      </c>
      <c r="U1417">
        <v>3</v>
      </c>
      <c r="V1417">
        <v>4</v>
      </c>
      <c r="W1417">
        <v>3</v>
      </c>
      <c r="X1417">
        <v>4</v>
      </c>
      <c r="Y1417">
        <v>4</v>
      </c>
      <c r="Z1417">
        <v>4</v>
      </c>
      <c r="AA1417">
        <v>3</v>
      </c>
      <c r="AB1417">
        <v>3</v>
      </c>
      <c r="AC1417">
        <v>3</v>
      </c>
      <c r="AD1417">
        <v>4</v>
      </c>
      <c r="AE1417">
        <v>3</v>
      </c>
      <c r="AF1417">
        <v>3</v>
      </c>
      <c r="AG1417">
        <v>3</v>
      </c>
      <c r="AH1417">
        <v>3</v>
      </c>
      <c r="AI1417">
        <v>3</v>
      </c>
      <c r="AJ1417">
        <v>3</v>
      </c>
      <c r="AK1417" t="b">
        <f>Table67[[#This Row],[What is your age?]]&lt;&gt;"18 - 25"</f>
        <v>0</v>
      </c>
      <c r="AL1417" t="b">
        <f t="shared" si="88"/>
        <v>0</v>
      </c>
      <c r="AM1417" t="b">
        <f t="shared" si="89"/>
        <v>0</v>
      </c>
      <c r="AN1417" t="b">
        <f t="shared" si="90"/>
        <v>0</v>
      </c>
      <c r="AO1417" t="b">
        <f>OR(Table67[[#This Row],[Ineligible respondents]:[Inconsistent response on opposite question (3)]])</f>
        <v>0</v>
      </c>
      <c r="AP141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417">
        <f>Table67[[#This Row],[Extreme Response]]/21</f>
        <v>0</v>
      </c>
      <c r="AR1417">
        <f>_xlfn.PERCENTILE.INC(Table67[Extrem Response Ratio (ERS)],0.9)</f>
        <v>0.61904761904761907</v>
      </c>
      <c r="AS1417" t="b">
        <f>Table67[[#This Row],[Extrem Response Ratio (ERS)]]&gt;=Table67[[#This Row],[Threshold of ERS]]</f>
        <v>0</v>
      </c>
      <c r="AT1417">
        <f>COUNTIF(Table67[[#This Row],[The mechanism of digital assets is difficult to understand, which discourages me from exploring it (E.g, Tokenization, Blockchain)]:[If I want to try different ways to invest, I will explore digital assets.]], 3)</f>
        <v>14</v>
      </c>
      <c r="AU1417">
        <f>Table67[[#This Row],[Midpoint]]/21</f>
        <v>0.66666666666666663</v>
      </c>
      <c r="AV1417">
        <f>_xlfn.PERCENTILE.INC(Table67[Midpoint ratio],0.9)</f>
        <v>0.5714285714285714</v>
      </c>
      <c r="AW1417" t="b">
        <f>Table67[[#This Row],[Midpoint ratio]]&gt;=Table67[[#This Row],[Threshold of Midpoint ratio]]</f>
        <v>1</v>
      </c>
      <c r="AX1417" t="b">
        <f>OR(Table67[[#This Row],[Extreme Response Style]],Table67[[#This Row],[Mid-point Response Style]])</f>
        <v>1</v>
      </c>
      <c r="AY1417" t="b">
        <f>OR(Table67[[#This Row],[Delete? (Stage 1)]],Table67[[#This Row],[Delete? (Stage 2)]])</f>
        <v>1</v>
      </c>
      <c r="AZ1417" t="s">
        <v>84</v>
      </c>
    </row>
    <row r="1418" spans="1:52">
      <c r="A1418">
        <f t="shared" si="91"/>
        <v>1417</v>
      </c>
      <c r="B1418" s="3">
        <v>46062.052071759259</v>
      </c>
      <c r="C1418" s="3">
        <v>46062.053425925929</v>
      </c>
      <c r="D1418" t="s">
        <v>53</v>
      </c>
      <c r="G1418" t="s">
        <v>54</v>
      </c>
      <c r="H1418" t="s">
        <v>55</v>
      </c>
      <c r="I1418" t="s">
        <v>75</v>
      </c>
      <c r="J1418" t="s">
        <v>62</v>
      </c>
      <c r="K1418" t="s">
        <v>62</v>
      </c>
      <c r="L1418" t="s">
        <v>58</v>
      </c>
      <c r="M1418" t="s">
        <v>58</v>
      </c>
      <c r="N1418">
        <v>5</v>
      </c>
      <c r="O1418">
        <v>1</v>
      </c>
      <c r="P1418">
        <v>4</v>
      </c>
      <c r="Q1418">
        <v>5</v>
      </c>
      <c r="R1418">
        <v>4</v>
      </c>
      <c r="S1418">
        <v>5</v>
      </c>
      <c r="T1418">
        <v>4</v>
      </c>
      <c r="U1418">
        <v>4</v>
      </c>
      <c r="V1418">
        <v>4</v>
      </c>
      <c r="W1418">
        <v>5</v>
      </c>
      <c r="X1418">
        <v>4</v>
      </c>
      <c r="Y1418">
        <v>4</v>
      </c>
      <c r="Z1418">
        <v>4</v>
      </c>
      <c r="AA1418">
        <v>4</v>
      </c>
      <c r="AB1418">
        <v>5</v>
      </c>
      <c r="AC1418">
        <v>4</v>
      </c>
      <c r="AD1418">
        <v>4</v>
      </c>
      <c r="AE1418">
        <v>5</v>
      </c>
      <c r="AF1418">
        <v>5</v>
      </c>
      <c r="AG1418">
        <v>4</v>
      </c>
      <c r="AH1418">
        <v>5</v>
      </c>
      <c r="AI1418">
        <v>1</v>
      </c>
      <c r="AJ1418">
        <v>1</v>
      </c>
      <c r="AK1418" t="b">
        <f>Table67[[#This Row],[What is your age?]]&lt;&gt;"18 - 25"</f>
        <v>0</v>
      </c>
      <c r="AL1418" t="b">
        <f t="shared" si="88"/>
        <v>0</v>
      </c>
      <c r="AM1418" t="b">
        <f t="shared" si="89"/>
        <v>1</v>
      </c>
      <c r="AN1418" t="b">
        <f t="shared" si="90"/>
        <v>0</v>
      </c>
      <c r="AO1418" t="b">
        <f>OR(Table67[[#This Row],[Ineligible respondents]:[Inconsistent response on opposite question (3)]])</f>
        <v>1</v>
      </c>
      <c r="AP141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1418">
        <f>Table67[[#This Row],[Extreme Response]]/21</f>
        <v>0.42857142857142855</v>
      </c>
      <c r="AR1418">
        <f>_xlfn.PERCENTILE.INC(Table67[Extrem Response Ratio (ERS)],0.9)</f>
        <v>0.61904761904761907</v>
      </c>
      <c r="AS1418" t="b">
        <f>Table67[[#This Row],[Extrem Response Ratio (ERS)]]&gt;=Table67[[#This Row],[Threshold of ERS]]</f>
        <v>0</v>
      </c>
      <c r="AT1418">
        <f>COUNTIF(Table67[[#This Row],[The mechanism of digital assets is difficult to understand, which discourages me from exploring it (E.g, Tokenization, Blockchain)]:[If I want to try different ways to invest, I will explore digital assets.]], 3)</f>
        <v>0</v>
      </c>
      <c r="AU1418">
        <f>Table67[[#This Row],[Midpoint]]/21</f>
        <v>0</v>
      </c>
      <c r="AV1418">
        <f>_xlfn.PERCENTILE.INC(Table67[Midpoint ratio],0.9)</f>
        <v>0.5714285714285714</v>
      </c>
      <c r="AW1418" t="b">
        <f>Table67[[#This Row],[Midpoint ratio]]&gt;=Table67[[#This Row],[Threshold of Midpoint ratio]]</f>
        <v>0</v>
      </c>
      <c r="AX1418" t="b">
        <f>OR(Table67[[#This Row],[Extreme Response Style]],Table67[[#This Row],[Mid-point Response Style]])</f>
        <v>0</v>
      </c>
      <c r="AY1418" t="b">
        <f>OR(Table67[[#This Row],[Delete? (Stage 1)]],Table67[[#This Row],[Delete? (Stage 2)]])</f>
        <v>1</v>
      </c>
      <c r="AZ1418" t="s">
        <v>84</v>
      </c>
    </row>
    <row r="1419" spans="1:52">
      <c r="A1419">
        <f t="shared" si="91"/>
        <v>1418</v>
      </c>
      <c r="B1419" s="3">
        <v>46062.106712962966</v>
      </c>
      <c r="C1419" s="3">
        <v>46062.11178240741</v>
      </c>
      <c r="D1419" t="s">
        <v>53</v>
      </c>
      <c r="G1419" t="s">
        <v>54</v>
      </c>
      <c r="H1419" t="s">
        <v>63</v>
      </c>
      <c r="I1419" t="s">
        <v>82</v>
      </c>
      <c r="J1419" t="s">
        <v>62</v>
      </c>
      <c r="K1419" t="s">
        <v>62</v>
      </c>
      <c r="L1419" t="s">
        <v>58</v>
      </c>
      <c r="M1419" t="s">
        <v>58</v>
      </c>
      <c r="N1419">
        <v>3</v>
      </c>
      <c r="O1419">
        <v>4</v>
      </c>
      <c r="P1419">
        <v>4</v>
      </c>
      <c r="Q1419">
        <v>3</v>
      </c>
      <c r="R1419">
        <v>2</v>
      </c>
      <c r="S1419">
        <v>2</v>
      </c>
      <c r="T1419">
        <v>2</v>
      </c>
      <c r="U1419">
        <v>3</v>
      </c>
      <c r="V1419">
        <v>5</v>
      </c>
      <c r="W1419">
        <v>5</v>
      </c>
      <c r="X1419">
        <v>2</v>
      </c>
      <c r="Y1419">
        <v>4</v>
      </c>
      <c r="Z1419">
        <v>4</v>
      </c>
      <c r="AA1419">
        <v>3</v>
      </c>
      <c r="AB1419">
        <v>3</v>
      </c>
      <c r="AC1419">
        <v>1</v>
      </c>
      <c r="AD1419">
        <v>4</v>
      </c>
      <c r="AE1419">
        <v>1</v>
      </c>
      <c r="AF1419">
        <v>4</v>
      </c>
      <c r="AG1419">
        <v>3</v>
      </c>
      <c r="AH1419">
        <v>4</v>
      </c>
      <c r="AI1419">
        <v>2</v>
      </c>
      <c r="AJ1419">
        <v>2</v>
      </c>
      <c r="AK1419" t="b">
        <f>Table67[[#This Row],[What is your age?]]&lt;&gt;"18 - 25"</f>
        <v>0</v>
      </c>
      <c r="AL1419" t="b">
        <f t="shared" si="88"/>
        <v>0</v>
      </c>
      <c r="AM1419" t="b">
        <f t="shared" si="89"/>
        <v>0</v>
      </c>
      <c r="AN1419" t="b">
        <f t="shared" si="90"/>
        <v>1</v>
      </c>
      <c r="AO1419" t="b">
        <f>OR(Table67[[#This Row],[Ineligible respondents]:[Inconsistent response on opposite question (3)]])</f>
        <v>1</v>
      </c>
      <c r="AP141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419">
        <f>Table67[[#This Row],[Extreme Response]]/21</f>
        <v>0.19047619047619047</v>
      </c>
      <c r="AR1419">
        <f>_xlfn.PERCENTILE.INC(Table67[Extrem Response Ratio (ERS)],0.9)</f>
        <v>0.61904761904761907</v>
      </c>
      <c r="AS1419" t="b">
        <f>Table67[[#This Row],[Extrem Response Ratio (ERS)]]&gt;=Table67[[#This Row],[Threshold of ERS]]</f>
        <v>0</v>
      </c>
      <c r="AT1419">
        <f>COUNTIF(Table67[[#This Row],[The mechanism of digital assets is difficult to understand, which discourages me from exploring it (E.g, Tokenization, Blockchain)]:[If I want to try different ways to invest, I will explore digital assets.]], 3)</f>
        <v>6</v>
      </c>
      <c r="AU1419">
        <f>Table67[[#This Row],[Midpoint]]/21</f>
        <v>0.2857142857142857</v>
      </c>
      <c r="AV1419">
        <f>_xlfn.PERCENTILE.INC(Table67[Midpoint ratio],0.9)</f>
        <v>0.5714285714285714</v>
      </c>
      <c r="AW1419" t="b">
        <f>Table67[[#This Row],[Midpoint ratio]]&gt;=Table67[[#This Row],[Threshold of Midpoint ratio]]</f>
        <v>0</v>
      </c>
      <c r="AX1419" t="b">
        <f>OR(Table67[[#This Row],[Extreme Response Style]],Table67[[#This Row],[Mid-point Response Style]])</f>
        <v>0</v>
      </c>
      <c r="AY1419" t="b">
        <f>OR(Table67[[#This Row],[Delete? (Stage 1)]],Table67[[#This Row],[Delete? (Stage 2)]])</f>
        <v>1</v>
      </c>
      <c r="AZ1419" t="s">
        <v>84</v>
      </c>
    </row>
    <row r="1420" spans="1:52">
      <c r="A1420">
        <f t="shared" si="91"/>
        <v>1419</v>
      </c>
      <c r="B1420" s="3">
        <v>46062.036122685182</v>
      </c>
      <c r="C1420" s="3">
        <v>46062.037615740737</v>
      </c>
      <c r="D1420" t="s">
        <v>53</v>
      </c>
      <c r="G1420" t="s">
        <v>54</v>
      </c>
      <c r="H1420" t="s">
        <v>63</v>
      </c>
      <c r="I1420" t="s">
        <v>56</v>
      </c>
      <c r="J1420" t="s">
        <v>65</v>
      </c>
      <c r="K1420" t="s">
        <v>62</v>
      </c>
      <c r="L1420" t="s">
        <v>58</v>
      </c>
      <c r="M1420" t="s">
        <v>58</v>
      </c>
      <c r="N1420">
        <v>4</v>
      </c>
      <c r="O1420">
        <v>2</v>
      </c>
      <c r="P1420">
        <v>3</v>
      </c>
      <c r="Q1420">
        <v>2</v>
      </c>
      <c r="R1420">
        <v>2</v>
      </c>
      <c r="S1420">
        <v>2</v>
      </c>
      <c r="T1420">
        <v>4</v>
      </c>
      <c r="U1420">
        <v>4</v>
      </c>
      <c r="V1420">
        <v>2</v>
      </c>
      <c r="W1420">
        <v>4</v>
      </c>
      <c r="X1420">
        <v>4</v>
      </c>
      <c r="Y1420">
        <v>3</v>
      </c>
      <c r="Z1420">
        <v>2</v>
      </c>
      <c r="AA1420">
        <v>2</v>
      </c>
      <c r="AB1420">
        <v>3</v>
      </c>
      <c r="AC1420">
        <v>3</v>
      </c>
      <c r="AD1420">
        <v>5</v>
      </c>
      <c r="AE1420">
        <v>2</v>
      </c>
      <c r="AF1420">
        <v>4</v>
      </c>
      <c r="AG1420">
        <v>3</v>
      </c>
      <c r="AH1420">
        <v>2</v>
      </c>
      <c r="AI1420">
        <v>4</v>
      </c>
      <c r="AJ1420">
        <v>2</v>
      </c>
      <c r="AK1420" t="b">
        <f>Table67[[#This Row],[What is your age?]]&lt;&gt;"18 - 25"</f>
        <v>0</v>
      </c>
      <c r="AL1420" t="b">
        <f t="shared" si="88"/>
        <v>0</v>
      </c>
      <c r="AM1420" t="b">
        <f t="shared" si="89"/>
        <v>0</v>
      </c>
      <c r="AN1420" t="b">
        <f t="shared" si="90"/>
        <v>1</v>
      </c>
      <c r="AO1420" t="b">
        <f>OR(Table67[[#This Row],[Ineligible respondents]:[Inconsistent response on opposite question (3)]])</f>
        <v>1</v>
      </c>
      <c r="AP142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420">
        <f>Table67[[#This Row],[Extreme Response]]/21</f>
        <v>4.7619047619047616E-2</v>
      </c>
      <c r="AR1420">
        <f>_xlfn.PERCENTILE.INC(Table67[Extrem Response Ratio (ERS)],0.9)</f>
        <v>0.61904761904761907</v>
      </c>
      <c r="AS1420" t="b">
        <f>Table67[[#This Row],[Extrem Response Ratio (ERS)]]&gt;=Table67[[#This Row],[Threshold of ERS]]</f>
        <v>0</v>
      </c>
      <c r="AT1420">
        <f>COUNTIF(Table67[[#This Row],[The mechanism of digital assets is difficult to understand, which discourages me from exploring it (E.g, Tokenization, Blockchain)]:[If I want to try different ways to invest, I will explore digital assets.]], 3)</f>
        <v>5</v>
      </c>
      <c r="AU1420">
        <f>Table67[[#This Row],[Midpoint]]/21</f>
        <v>0.23809523809523808</v>
      </c>
      <c r="AV1420">
        <f>_xlfn.PERCENTILE.INC(Table67[Midpoint ratio],0.9)</f>
        <v>0.5714285714285714</v>
      </c>
      <c r="AW1420" t="b">
        <f>Table67[[#This Row],[Midpoint ratio]]&gt;=Table67[[#This Row],[Threshold of Midpoint ratio]]</f>
        <v>0</v>
      </c>
      <c r="AX1420" t="b">
        <f>OR(Table67[[#This Row],[Extreme Response Style]],Table67[[#This Row],[Mid-point Response Style]])</f>
        <v>0</v>
      </c>
      <c r="AY1420" t="b">
        <f>OR(Table67[[#This Row],[Delete? (Stage 1)]],Table67[[#This Row],[Delete? (Stage 2)]])</f>
        <v>1</v>
      </c>
      <c r="AZ1420" t="s">
        <v>84</v>
      </c>
    </row>
    <row r="1421" spans="1:52">
      <c r="A1421">
        <f t="shared" si="91"/>
        <v>1420</v>
      </c>
      <c r="B1421" s="3">
        <v>46062.032106481478</v>
      </c>
      <c r="C1421" s="3">
        <v>46062.033263888887</v>
      </c>
      <c r="D1421" t="s">
        <v>53</v>
      </c>
      <c r="G1421" t="s">
        <v>54</v>
      </c>
      <c r="H1421" t="s">
        <v>63</v>
      </c>
      <c r="I1421" t="s">
        <v>56</v>
      </c>
      <c r="J1421" t="s">
        <v>67</v>
      </c>
      <c r="K1421" t="s">
        <v>60</v>
      </c>
      <c r="L1421" t="s">
        <v>61</v>
      </c>
      <c r="M1421" t="s">
        <v>61</v>
      </c>
      <c r="N1421">
        <v>5</v>
      </c>
      <c r="O1421">
        <v>5</v>
      </c>
      <c r="P1421">
        <v>5</v>
      </c>
      <c r="Q1421">
        <v>4</v>
      </c>
      <c r="R1421">
        <v>4</v>
      </c>
      <c r="S1421">
        <v>4</v>
      </c>
      <c r="T1421">
        <v>4</v>
      </c>
      <c r="U1421">
        <v>4</v>
      </c>
      <c r="V1421">
        <v>4</v>
      </c>
      <c r="W1421">
        <v>4</v>
      </c>
      <c r="X1421">
        <v>4</v>
      </c>
      <c r="Y1421">
        <v>4</v>
      </c>
      <c r="Z1421">
        <v>4</v>
      </c>
      <c r="AA1421">
        <v>4</v>
      </c>
      <c r="AB1421">
        <v>4</v>
      </c>
      <c r="AC1421">
        <v>4</v>
      </c>
      <c r="AD1421">
        <v>4</v>
      </c>
      <c r="AE1421">
        <v>4</v>
      </c>
      <c r="AF1421">
        <v>4</v>
      </c>
      <c r="AG1421">
        <v>4</v>
      </c>
      <c r="AH1421">
        <v>4</v>
      </c>
      <c r="AI1421">
        <v>2</v>
      </c>
      <c r="AJ1421">
        <v>2</v>
      </c>
      <c r="AK1421" t="b">
        <f>Table67[[#This Row],[What is your age?]]&lt;&gt;"18 - 25"</f>
        <v>0</v>
      </c>
      <c r="AL1421" t="b">
        <f t="shared" si="88"/>
        <v>0</v>
      </c>
      <c r="AM1421" t="b">
        <f t="shared" si="89"/>
        <v>1</v>
      </c>
      <c r="AN1421" t="b">
        <f t="shared" si="90"/>
        <v>0</v>
      </c>
      <c r="AO1421" t="b">
        <f>OR(Table67[[#This Row],[Ineligible respondents]:[Inconsistent response on opposite question (3)]])</f>
        <v>1</v>
      </c>
      <c r="AP142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421">
        <f>Table67[[#This Row],[Extreme Response]]/21</f>
        <v>0.14285714285714285</v>
      </c>
      <c r="AR1421">
        <f>_xlfn.PERCENTILE.INC(Table67[Extrem Response Ratio (ERS)],0.9)</f>
        <v>0.61904761904761907</v>
      </c>
      <c r="AS1421" t="b">
        <f>Table67[[#This Row],[Extrem Response Ratio (ERS)]]&gt;=Table67[[#This Row],[Threshold of ERS]]</f>
        <v>0</v>
      </c>
      <c r="AT1421">
        <f>COUNTIF(Table67[[#This Row],[The mechanism of digital assets is difficult to understand, which discourages me from exploring it (E.g, Tokenization, Blockchain)]:[If I want to try different ways to invest, I will explore digital assets.]], 3)</f>
        <v>0</v>
      </c>
      <c r="AU1421">
        <f>Table67[[#This Row],[Midpoint]]/21</f>
        <v>0</v>
      </c>
      <c r="AV1421">
        <f>_xlfn.PERCENTILE.INC(Table67[Midpoint ratio],0.9)</f>
        <v>0.5714285714285714</v>
      </c>
      <c r="AW1421" t="b">
        <f>Table67[[#This Row],[Midpoint ratio]]&gt;=Table67[[#This Row],[Threshold of Midpoint ratio]]</f>
        <v>0</v>
      </c>
      <c r="AX1421" t="b">
        <f>OR(Table67[[#This Row],[Extreme Response Style]],Table67[[#This Row],[Mid-point Response Style]])</f>
        <v>0</v>
      </c>
      <c r="AY1421" t="b">
        <f>OR(Table67[[#This Row],[Delete? (Stage 1)]],Table67[[#This Row],[Delete? (Stage 2)]])</f>
        <v>1</v>
      </c>
      <c r="AZ1421" t="s">
        <v>84</v>
      </c>
    </row>
    <row r="1422" spans="1:52">
      <c r="A1422">
        <f t="shared" si="91"/>
        <v>1421</v>
      </c>
      <c r="B1422" s="3">
        <v>46065.729409722226</v>
      </c>
      <c r="C1422" s="3">
        <v>46065.730486111112</v>
      </c>
      <c r="D1422" t="s">
        <v>53</v>
      </c>
      <c r="G1422" t="s">
        <v>54</v>
      </c>
      <c r="H1422" t="s">
        <v>55</v>
      </c>
      <c r="I1422" t="s">
        <v>56</v>
      </c>
      <c r="J1422" t="s">
        <v>60</v>
      </c>
      <c r="K1422" t="s">
        <v>62</v>
      </c>
      <c r="L1422" t="s">
        <v>61</v>
      </c>
      <c r="M1422" t="s">
        <v>61</v>
      </c>
      <c r="N1422">
        <v>2</v>
      </c>
      <c r="O1422">
        <v>2</v>
      </c>
      <c r="P1422">
        <v>3</v>
      </c>
      <c r="Q1422">
        <v>3</v>
      </c>
      <c r="R1422">
        <v>2</v>
      </c>
      <c r="S1422">
        <v>3</v>
      </c>
      <c r="T1422">
        <v>3</v>
      </c>
      <c r="U1422">
        <v>3</v>
      </c>
      <c r="V1422">
        <v>4</v>
      </c>
      <c r="W1422">
        <v>3</v>
      </c>
      <c r="X1422">
        <v>3</v>
      </c>
      <c r="Y1422">
        <v>4</v>
      </c>
      <c r="Z1422">
        <v>3</v>
      </c>
      <c r="AA1422">
        <v>3</v>
      </c>
      <c r="AB1422">
        <v>3</v>
      </c>
      <c r="AC1422">
        <v>3</v>
      </c>
      <c r="AD1422">
        <v>3</v>
      </c>
      <c r="AE1422">
        <v>3</v>
      </c>
      <c r="AF1422">
        <v>3</v>
      </c>
      <c r="AG1422">
        <v>2</v>
      </c>
      <c r="AH1422">
        <v>5</v>
      </c>
      <c r="AI1422">
        <v>1</v>
      </c>
      <c r="AJ1422">
        <v>3</v>
      </c>
      <c r="AK1422" t="b">
        <f>Table67[[#This Row],[What is your age?]]&lt;&gt;"18 - 25"</f>
        <v>0</v>
      </c>
      <c r="AL1422" t="b">
        <f t="shared" si="88"/>
        <v>0</v>
      </c>
      <c r="AM1422" t="b">
        <f t="shared" si="89"/>
        <v>0</v>
      </c>
      <c r="AN1422" t="b">
        <f t="shared" si="90"/>
        <v>0</v>
      </c>
      <c r="AO1422" t="b">
        <f>OR(Table67[[#This Row],[Ineligible respondents]:[Inconsistent response on opposite question (3)]])</f>
        <v>0</v>
      </c>
      <c r="AP142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422">
        <f>Table67[[#This Row],[Extreme Response]]/21</f>
        <v>4.7619047619047616E-2</v>
      </c>
      <c r="AR1422">
        <f>_xlfn.PERCENTILE.INC(Table67[Extrem Response Ratio (ERS)],0.9)</f>
        <v>0.61904761904761907</v>
      </c>
      <c r="AS1422" t="b">
        <f>Table67[[#This Row],[Extrem Response Ratio (ERS)]]&gt;=Table67[[#This Row],[Threshold of ERS]]</f>
        <v>0</v>
      </c>
      <c r="AT1422">
        <f>COUNTIF(Table67[[#This Row],[The mechanism of digital assets is difficult to understand, which discourages me from exploring it (E.g, Tokenization, Blockchain)]:[If I want to try different ways to invest, I will explore digital assets.]], 3)</f>
        <v>14</v>
      </c>
      <c r="AU1422">
        <f>Table67[[#This Row],[Midpoint]]/21</f>
        <v>0.66666666666666663</v>
      </c>
      <c r="AV1422">
        <f>_xlfn.PERCENTILE.INC(Table67[Midpoint ratio],0.9)</f>
        <v>0.5714285714285714</v>
      </c>
      <c r="AW1422" t="b">
        <f>Table67[[#This Row],[Midpoint ratio]]&gt;=Table67[[#This Row],[Threshold of Midpoint ratio]]</f>
        <v>1</v>
      </c>
      <c r="AX1422" t="b">
        <f>OR(Table67[[#This Row],[Extreme Response Style]],Table67[[#This Row],[Mid-point Response Style]])</f>
        <v>1</v>
      </c>
      <c r="AY1422" t="b">
        <f>OR(Table67[[#This Row],[Delete? (Stage 1)]],Table67[[#This Row],[Delete? (Stage 2)]])</f>
        <v>1</v>
      </c>
      <c r="AZ1422" t="s">
        <v>84</v>
      </c>
    </row>
    <row r="1423" spans="1:52">
      <c r="A1423">
        <f t="shared" si="91"/>
        <v>1422</v>
      </c>
      <c r="B1423" s="3">
        <v>46065.707962962966</v>
      </c>
      <c r="C1423" s="3">
        <v>46065.708472222221</v>
      </c>
      <c r="D1423" t="s">
        <v>53</v>
      </c>
      <c r="G1423" t="s">
        <v>54</v>
      </c>
      <c r="H1423" t="s">
        <v>55</v>
      </c>
      <c r="I1423" t="s">
        <v>75</v>
      </c>
      <c r="J1423" t="s">
        <v>62</v>
      </c>
      <c r="K1423" t="s">
        <v>57</v>
      </c>
      <c r="L1423" t="s">
        <v>58</v>
      </c>
      <c r="M1423" t="s">
        <v>58</v>
      </c>
      <c r="N1423">
        <v>4</v>
      </c>
      <c r="O1423">
        <v>2</v>
      </c>
      <c r="P1423">
        <v>4</v>
      </c>
      <c r="Q1423">
        <v>4</v>
      </c>
      <c r="R1423">
        <v>3</v>
      </c>
      <c r="S1423">
        <v>3</v>
      </c>
      <c r="T1423">
        <v>3</v>
      </c>
      <c r="U1423">
        <v>4</v>
      </c>
      <c r="V1423">
        <v>3</v>
      </c>
      <c r="W1423">
        <v>3</v>
      </c>
      <c r="X1423">
        <v>3</v>
      </c>
      <c r="Y1423">
        <v>3</v>
      </c>
      <c r="Z1423">
        <v>3</v>
      </c>
      <c r="AA1423">
        <v>3</v>
      </c>
      <c r="AB1423">
        <v>3</v>
      </c>
      <c r="AC1423">
        <v>4</v>
      </c>
      <c r="AD1423">
        <v>2</v>
      </c>
      <c r="AE1423">
        <v>2</v>
      </c>
      <c r="AF1423">
        <v>4</v>
      </c>
      <c r="AG1423">
        <v>2</v>
      </c>
      <c r="AH1423">
        <v>5</v>
      </c>
      <c r="AI1423">
        <v>1</v>
      </c>
      <c r="AJ1423">
        <v>2</v>
      </c>
      <c r="AK1423" t="b">
        <f>Table67[[#This Row],[What is your age?]]&lt;&gt;"18 - 25"</f>
        <v>0</v>
      </c>
      <c r="AL1423" t="b">
        <f t="shared" si="88"/>
        <v>0</v>
      </c>
      <c r="AM1423" t="b">
        <f t="shared" si="89"/>
        <v>0</v>
      </c>
      <c r="AN1423" t="b">
        <f t="shared" si="90"/>
        <v>0</v>
      </c>
      <c r="AO1423" t="b">
        <f>OR(Table67[[#This Row],[Ineligible respondents]:[Inconsistent response on opposite question (3)]])</f>
        <v>0</v>
      </c>
      <c r="AP142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423">
        <f>Table67[[#This Row],[Extreme Response]]/21</f>
        <v>4.7619047619047616E-2</v>
      </c>
      <c r="AR1423">
        <f>_xlfn.PERCENTILE.INC(Table67[Extrem Response Ratio (ERS)],0.9)</f>
        <v>0.61904761904761907</v>
      </c>
      <c r="AS1423" t="b">
        <f>Table67[[#This Row],[Extrem Response Ratio (ERS)]]&gt;=Table67[[#This Row],[Threshold of ERS]]</f>
        <v>0</v>
      </c>
      <c r="AT1423">
        <f>COUNTIF(Table67[[#This Row],[The mechanism of digital assets is difficult to understand, which discourages me from exploring it (E.g, Tokenization, Blockchain)]:[If I want to try different ways to invest, I will explore digital assets.]], 3)</f>
        <v>10</v>
      </c>
      <c r="AU1423">
        <f>Table67[[#This Row],[Midpoint]]/21</f>
        <v>0.47619047619047616</v>
      </c>
      <c r="AV1423">
        <f>_xlfn.PERCENTILE.INC(Table67[Midpoint ratio],0.9)</f>
        <v>0.5714285714285714</v>
      </c>
      <c r="AW1423" t="b">
        <f>Table67[[#This Row],[Midpoint ratio]]&gt;=Table67[[#This Row],[Threshold of Midpoint ratio]]</f>
        <v>0</v>
      </c>
      <c r="AX1423" t="b">
        <f>OR(Table67[[#This Row],[Extreme Response Style]],Table67[[#This Row],[Mid-point Response Style]])</f>
        <v>0</v>
      </c>
      <c r="AY1423" t="b">
        <f>OR(Table67[[#This Row],[Delete? (Stage 1)]],Table67[[#This Row],[Delete? (Stage 2)]])</f>
        <v>0</v>
      </c>
      <c r="AZ1423" t="s">
        <v>84</v>
      </c>
    </row>
    <row r="1424" spans="1:52">
      <c r="A1424">
        <f t="shared" si="91"/>
        <v>1423</v>
      </c>
      <c r="B1424" s="3">
        <v>46062.034155092595</v>
      </c>
      <c r="C1424" s="3">
        <v>46062.036319444444</v>
      </c>
      <c r="D1424" t="s">
        <v>53</v>
      </c>
      <c r="G1424" t="s">
        <v>54</v>
      </c>
      <c r="H1424" t="s">
        <v>63</v>
      </c>
      <c r="I1424" t="s">
        <v>56</v>
      </c>
      <c r="J1424" t="s">
        <v>62</v>
      </c>
      <c r="K1424" t="s">
        <v>62</v>
      </c>
      <c r="L1424" t="s">
        <v>61</v>
      </c>
      <c r="M1424" t="s">
        <v>61</v>
      </c>
      <c r="N1424">
        <v>4</v>
      </c>
      <c r="O1424">
        <v>4</v>
      </c>
      <c r="P1424">
        <v>4</v>
      </c>
      <c r="Q1424">
        <v>4</v>
      </c>
      <c r="R1424">
        <v>4</v>
      </c>
      <c r="S1424">
        <v>3</v>
      </c>
      <c r="T1424">
        <v>3</v>
      </c>
      <c r="U1424">
        <v>4</v>
      </c>
      <c r="V1424">
        <v>4</v>
      </c>
      <c r="W1424">
        <v>3</v>
      </c>
      <c r="X1424">
        <v>4</v>
      </c>
      <c r="Y1424">
        <v>4</v>
      </c>
      <c r="Z1424">
        <v>5</v>
      </c>
      <c r="AA1424">
        <v>4</v>
      </c>
      <c r="AB1424">
        <v>5</v>
      </c>
      <c r="AC1424">
        <v>4</v>
      </c>
      <c r="AD1424">
        <v>3</v>
      </c>
      <c r="AE1424">
        <v>4</v>
      </c>
      <c r="AF1424">
        <v>5</v>
      </c>
      <c r="AG1424">
        <v>4</v>
      </c>
      <c r="AH1424">
        <v>3</v>
      </c>
      <c r="AI1424">
        <v>3</v>
      </c>
      <c r="AJ1424">
        <v>1</v>
      </c>
      <c r="AK1424" t="b">
        <f>Table67[[#This Row],[What is your age?]]&lt;&gt;"18 - 25"</f>
        <v>0</v>
      </c>
      <c r="AL1424" t="b">
        <f t="shared" si="88"/>
        <v>0</v>
      </c>
      <c r="AM1424" t="b">
        <f t="shared" si="89"/>
        <v>0</v>
      </c>
      <c r="AN1424" t="b">
        <f t="shared" si="90"/>
        <v>1</v>
      </c>
      <c r="AO1424" t="b">
        <f>OR(Table67[[#This Row],[Ineligible respondents]:[Inconsistent response on opposite question (3)]])</f>
        <v>1</v>
      </c>
      <c r="AP142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424">
        <f>Table67[[#This Row],[Extreme Response]]/21</f>
        <v>0.14285714285714285</v>
      </c>
      <c r="AR1424">
        <f>_xlfn.PERCENTILE.INC(Table67[Extrem Response Ratio (ERS)],0.9)</f>
        <v>0.61904761904761907</v>
      </c>
      <c r="AS1424" t="b">
        <f>Table67[[#This Row],[Extrem Response Ratio (ERS)]]&gt;=Table67[[#This Row],[Threshold of ERS]]</f>
        <v>0</v>
      </c>
      <c r="AT1424">
        <f>COUNTIF(Table67[[#This Row],[The mechanism of digital assets is difficult to understand, which discourages me from exploring it (E.g, Tokenization, Blockchain)]:[If I want to try different ways to invest, I will explore digital assets.]], 3)</f>
        <v>5</v>
      </c>
      <c r="AU1424">
        <f>Table67[[#This Row],[Midpoint]]/21</f>
        <v>0.23809523809523808</v>
      </c>
      <c r="AV1424">
        <f>_xlfn.PERCENTILE.INC(Table67[Midpoint ratio],0.9)</f>
        <v>0.5714285714285714</v>
      </c>
      <c r="AW1424" t="b">
        <f>Table67[[#This Row],[Midpoint ratio]]&gt;=Table67[[#This Row],[Threshold of Midpoint ratio]]</f>
        <v>0</v>
      </c>
      <c r="AX1424" t="b">
        <f>OR(Table67[[#This Row],[Extreme Response Style]],Table67[[#This Row],[Mid-point Response Style]])</f>
        <v>0</v>
      </c>
      <c r="AY1424" t="b">
        <f>OR(Table67[[#This Row],[Delete? (Stage 1)]],Table67[[#This Row],[Delete? (Stage 2)]])</f>
        <v>1</v>
      </c>
      <c r="AZ1424" t="s">
        <v>84</v>
      </c>
    </row>
    <row r="1425" spans="1:52">
      <c r="A1425">
        <f t="shared" si="91"/>
        <v>1424</v>
      </c>
      <c r="B1425" s="3">
        <v>46065.765833333331</v>
      </c>
      <c r="C1425" s="3">
        <v>46065.768425925926</v>
      </c>
      <c r="D1425" t="s">
        <v>53</v>
      </c>
      <c r="G1425" t="s">
        <v>54</v>
      </c>
      <c r="H1425" t="s">
        <v>55</v>
      </c>
      <c r="I1425" t="s">
        <v>56</v>
      </c>
      <c r="J1425" t="s">
        <v>62</v>
      </c>
      <c r="K1425" t="s">
        <v>57</v>
      </c>
      <c r="L1425" t="s">
        <v>58</v>
      </c>
      <c r="M1425" t="s">
        <v>58</v>
      </c>
      <c r="N1425">
        <v>3</v>
      </c>
      <c r="O1425">
        <v>3</v>
      </c>
      <c r="P1425">
        <v>2</v>
      </c>
      <c r="Q1425">
        <v>3</v>
      </c>
      <c r="R1425">
        <v>2</v>
      </c>
      <c r="S1425">
        <v>3</v>
      </c>
      <c r="T1425">
        <v>4</v>
      </c>
      <c r="U1425">
        <v>3</v>
      </c>
      <c r="V1425">
        <v>4</v>
      </c>
      <c r="W1425">
        <v>4</v>
      </c>
      <c r="X1425">
        <v>3</v>
      </c>
      <c r="Y1425">
        <v>4</v>
      </c>
      <c r="Z1425">
        <v>3</v>
      </c>
      <c r="AA1425">
        <v>3</v>
      </c>
      <c r="AB1425">
        <v>3</v>
      </c>
      <c r="AC1425">
        <v>2</v>
      </c>
      <c r="AD1425">
        <v>3</v>
      </c>
      <c r="AE1425">
        <v>3</v>
      </c>
      <c r="AF1425">
        <v>3</v>
      </c>
      <c r="AG1425">
        <v>2</v>
      </c>
      <c r="AH1425">
        <v>4</v>
      </c>
      <c r="AI1425">
        <v>2</v>
      </c>
      <c r="AJ1425">
        <v>3</v>
      </c>
      <c r="AK1425" t="b">
        <f>Table67[[#This Row],[What is your age?]]&lt;&gt;"18 - 25"</f>
        <v>0</v>
      </c>
      <c r="AL1425" t="b">
        <f t="shared" si="88"/>
        <v>0</v>
      </c>
      <c r="AM1425" t="b">
        <f t="shared" si="89"/>
        <v>0</v>
      </c>
      <c r="AN1425" t="b">
        <f t="shared" si="90"/>
        <v>0</v>
      </c>
      <c r="AO1425" t="b">
        <f>OR(Table67[[#This Row],[Ineligible respondents]:[Inconsistent response on opposite question (3)]])</f>
        <v>0</v>
      </c>
      <c r="AP142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425">
        <f>Table67[[#This Row],[Extreme Response]]/21</f>
        <v>0</v>
      </c>
      <c r="AR1425">
        <f>_xlfn.PERCENTILE.INC(Table67[Extrem Response Ratio (ERS)],0.9)</f>
        <v>0.61904761904761907</v>
      </c>
      <c r="AS1425" t="b">
        <f>Table67[[#This Row],[Extrem Response Ratio (ERS)]]&gt;=Table67[[#This Row],[Threshold of ERS]]</f>
        <v>0</v>
      </c>
      <c r="AT1425">
        <f>COUNTIF(Table67[[#This Row],[The mechanism of digital assets is difficult to understand, which discourages me from exploring it (E.g, Tokenization, Blockchain)]:[If I want to try different ways to invest, I will explore digital assets.]], 3)</f>
        <v>12</v>
      </c>
      <c r="AU1425">
        <f>Table67[[#This Row],[Midpoint]]/21</f>
        <v>0.5714285714285714</v>
      </c>
      <c r="AV1425">
        <f>_xlfn.PERCENTILE.INC(Table67[Midpoint ratio],0.9)</f>
        <v>0.5714285714285714</v>
      </c>
      <c r="AW1425" t="b">
        <f>Table67[[#This Row],[Midpoint ratio]]&gt;=Table67[[#This Row],[Threshold of Midpoint ratio]]</f>
        <v>1</v>
      </c>
      <c r="AX1425" t="b">
        <f>OR(Table67[[#This Row],[Extreme Response Style]],Table67[[#This Row],[Mid-point Response Style]])</f>
        <v>1</v>
      </c>
      <c r="AY1425" t="b">
        <f>OR(Table67[[#This Row],[Delete? (Stage 1)]],Table67[[#This Row],[Delete? (Stage 2)]])</f>
        <v>1</v>
      </c>
      <c r="AZ1425" t="s">
        <v>84</v>
      </c>
    </row>
    <row r="1426" spans="1:52">
      <c r="A1426">
        <f t="shared" si="91"/>
        <v>1425</v>
      </c>
      <c r="B1426" s="3">
        <v>46065.890729166669</v>
      </c>
      <c r="C1426" s="3">
        <v>46065.894884259258</v>
      </c>
      <c r="D1426" t="s">
        <v>53</v>
      </c>
      <c r="G1426" t="s">
        <v>54</v>
      </c>
      <c r="H1426" t="s">
        <v>55</v>
      </c>
      <c r="I1426" t="s">
        <v>56</v>
      </c>
      <c r="J1426" t="s">
        <v>62</v>
      </c>
      <c r="K1426" t="s">
        <v>57</v>
      </c>
      <c r="L1426" t="s">
        <v>61</v>
      </c>
      <c r="M1426" t="s">
        <v>58</v>
      </c>
      <c r="N1426">
        <v>2</v>
      </c>
      <c r="O1426">
        <v>2</v>
      </c>
      <c r="P1426">
        <v>2</v>
      </c>
      <c r="Q1426">
        <v>3</v>
      </c>
      <c r="R1426">
        <v>2</v>
      </c>
      <c r="S1426">
        <v>2</v>
      </c>
      <c r="T1426">
        <v>2</v>
      </c>
      <c r="U1426">
        <v>3</v>
      </c>
      <c r="V1426">
        <v>3</v>
      </c>
      <c r="W1426">
        <v>2</v>
      </c>
      <c r="X1426">
        <v>4</v>
      </c>
      <c r="Y1426">
        <v>3</v>
      </c>
      <c r="Z1426">
        <v>4</v>
      </c>
      <c r="AA1426">
        <v>2</v>
      </c>
      <c r="AB1426">
        <v>2</v>
      </c>
      <c r="AC1426">
        <v>3</v>
      </c>
      <c r="AD1426">
        <v>3</v>
      </c>
      <c r="AE1426">
        <v>4</v>
      </c>
      <c r="AF1426">
        <v>4</v>
      </c>
      <c r="AG1426">
        <v>1</v>
      </c>
      <c r="AH1426">
        <v>5</v>
      </c>
      <c r="AI1426">
        <v>1</v>
      </c>
      <c r="AJ1426">
        <v>2</v>
      </c>
      <c r="AK1426" t="b">
        <f>Table67[[#This Row],[What is your age?]]&lt;&gt;"18 - 25"</f>
        <v>0</v>
      </c>
      <c r="AL1426" t="b">
        <f t="shared" si="88"/>
        <v>0</v>
      </c>
      <c r="AM1426" t="b">
        <f t="shared" si="89"/>
        <v>0</v>
      </c>
      <c r="AN1426" t="b">
        <f t="shared" si="90"/>
        <v>0</v>
      </c>
      <c r="AO1426" t="b">
        <f>OR(Table67[[#This Row],[Ineligible respondents]:[Inconsistent response on opposite question (3)]])</f>
        <v>0</v>
      </c>
      <c r="AP142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426">
        <f>Table67[[#This Row],[Extreme Response]]/21</f>
        <v>9.5238095238095233E-2</v>
      </c>
      <c r="AR1426">
        <f>_xlfn.PERCENTILE.INC(Table67[Extrem Response Ratio (ERS)],0.9)</f>
        <v>0.61904761904761907</v>
      </c>
      <c r="AS1426" t="b">
        <f>Table67[[#This Row],[Extrem Response Ratio (ERS)]]&gt;=Table67[[#This Row],[Threshold of ERS]]</f>
        <v>0</v>
      </c>
      <c r="AT1426">
        <f>COUNTIF(Table67[[#This Row],[The mechanism of digital assets is difficult to understand, which discourages me from exploring it (E.g, Tokenization, Blockchain)]:[If I want to try different ways to invest, I will explore digital assets.]], 3)</f>
        <v>6</v>
      </c>
      <c r="AU1426">
        <f>Table67[[#This Row],[Midpoint]]/21</f>
        <v>0.2857142857142857</v>
      </c>
      <c r="AV1426">
        <f>_xlfn.PERCENTILE.INC(Table67[Midpoint ratio],0.9)</f>
        <v>0.5714285714285714</v>
      </c>
      <c r="AW1426" t="b">
        <f>Table67[[#This Row],[Midpoint ratio]]&gt;=Table67[[#This Row],[Threshold of Midpoint ratio]]</f>
        <v>0</v>
      </c>
      <c r="AX1426" t="b">
        <f>OR(Table67[[#This Row],[Extreme Response Style]],Table67[[#This Row],[Mid-point Response Style]])</f>
        <v>0</v>
      </c>
      <c r="AY1426" t="b">
        <f>OR(Table67[[#This Row],[Delete? (Stage 1)]],Table67[[#This Row],[Delete? (Stage 2)]])</f>
        <v>0</v>
      </c>
      <c r="AZ1426" t="s">
        <v>84</v>
      </c>
    </row>
    <row r="1427" spans="1:52">
      <c r="A1427">
        <f t="shared" si="91"/>
        <v>1426</v>
      </c>
      <c r="B1427" s="3">
        <v>46062.035115740742</v>
      </c>
      <c r="C1427" s="3">
        <v>46062.039525462962</v>
      </c>
      <c r="D1427" t="s">
        <v>53</v>
      </c>
      <c r="G1427" t="s">
        <v>54</v>
      </c>
      <c r="H1427" t="s">
        <v>63</v>
      </c>
      <c r="I1427" t="s">
        <v>71</v>
      </c>
      <c r="J1427" t="s">
        <v>62</v>
      </c>
      <c r="K1427" t="s">
        <v>57</v>
      </c>
      <c r="L1427" t="s">
        <v>58</v>
      </c>
      <c r="M1427" t="s">
        <v>58</v>
      </c>
      <c r="N1427">
        <v>5</v>
      </c>
      <c r="O1427">
        <v>1</v>
      </c>
      <c r="P1427">
        <v>3</v>
      </c>
      <c r="Q1427">
        <v>3</v>
      </c>
      <c r="R1427">
        <v>2</v>
      </c>
      <c r="S1427">
        <v>3</v>
      </c>
      <c r="T1427">
        <v>5</v>
      </c>
      <c r="U1427">
        <v>5</v>
      </c>
      <c r="V1427">
        <v>4</v>
      </c>
      <c r="W1427">
        <v>4</v>
      </c>
      <c r="X1427">
        <v>5</v>
      </c>
      <c r="Y1427">
        <v>5</v>
      </c>
      <c r="Z1427">
        <v>4</v>
      </c>
      <c r="AA1427">
        <v>3</v>
      </c>
      <c r="AB1427">
        <v>4</v>
      </c>
      <c r="AC1427">
        <v>4</v>
      </c>
      <c r="AD1427">
        <v>5</v>
      </c>
      <c r="AE1427">
        <v>5</v>
      </c>
      <c r="AF1427">
        <v>1</v>
      </c>
      <c r="AG1427">
        <v>3</v>
      </c>
      <c r="AH1427">
        <v>2</v>
      </c>
      <c r="AI1427">
        <v>4</v>
      </c>
      <c r="AJ1427">
        <v>5</v>
      </c>
      <c r="AK1427" t="b">
        <f>Table67[[#This Row],[What is your age?]]&lt;&gt;"18 - 25"</f>
        <v>0</v>
      </c>
      <c r="AL1427" t="b">
        <f t="shared" si="88"/>
        <v>0</v>
      </c>
      <c r="AM1427" t="b">
        <f t="shared" si="89"/>
        <v>0</v>
      </c>
      <c r="AN1427" t="b">
        <f t="shared" si="90"/>
        <v>1</v>
      </c>
      <c r="AO1427" t="b">
        <f>OR(Table67[[#This Row],[Ineligible respondents]:[Inconsistent response on opposite question (3)]])</f>
        <v>1</v>
      </c>
      <c r="AP142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1427">
        <f>Table67[[#This Row],[Extreme Response]]/21</f>
        <v>0.42857142857142855</v>
      </c>
      <c r="AR1427">
        <f>_xlfn.PERCENTILE.INC(Table67[Extrem Response Ratio (ERS)],0.9)</f>
        <v>0.61904761904761907</v>
      </c>
      <c r="AS1427" t="b">
        <f>Table67[[#This Row],[Extrem Response Ratio (ERS)]]&gt;=Table67[[#This Row],[Threshold of ERS]]</f>
        <v>0</v>
      </c>
      <c r="AT1427">
        <f>COUNTIF(Table67[[#This Row],[The mechanism of digital assets is difficult to understand, which discourages me from exploring it (E.g, Tokenization, Blockchain)]:[If I want to try different ways to invest, I will explore digital assets.]], 3)</f>
        <v>5</v>
      </c>
      <c r="AU1427">
        <f>Table67[[#This Row],[Midpoint]]/21</f>
        <v>0.23809523809523808</v>
      </c>
      <c r="AV1427">
        <f>_xlfn.PERCENTILE.INC(Table67[Midpoint ratio],0.9)</f>
        <v>0.5714285714285714</v>
      </c>
      <c r="AW1427" t="b">
        <f>Table67[[#This Row],[Midpoint ratio]]&gt;=Table67[[#This Row],[Threshold of Midpoint ratio]]</f>
        <v>0</v>
      </c>
      <c r="AX1427" t="b">
        <f>OR(Table67[[#This Row],[Extreme Response Style]],Table67[[#This Row],[Mid-point Response Style]])</f>
        <v>0</v>
      </c>
      <c r="AY1427" t="b">
        <f>OR(Table67[[#This Row],[Delete? (Stage 1)]],Table67[[#This Row],[Delete? (Stage 2)]])</f>
        <v>1</v>
      </c>
      <c r="AZ1427" t="s">
        <v>84</v>
      </c>
    </row>
    <row r="1428" spans="1:52">
      <c r="A1428">
        <f t="shared" si="91"/>
        <v>1427</v>
      </c>
      <c r="B1428" s="3">
        <v>46065.722893518519</v>
      </c>
      <c r="C1428" s="3">
        <v>46065.72314814815</v>
      </c>
      <c r="D1428" t="s">
        <v>53</v>
      </c>
      <c r="G1428" t="s">
        <v>73</v>
      </c>
      <c r="H1428" t="s">
        <v>55</v>
      </c>
      <c r="I1428" t="s">
        <v>56</v>
      </c>
      <c r="J1428" t="s">
        <v>62</v>
      </c>
      <c r="K1428" t="s">
        <v>57</v>
      </c>
      <c r="L1428" t="s">
        <v>61</v>
      </c>
      <c r="M1428" t="s">
        <v>61</v>
      </c>
      <c r="N1428">
        <v>3</v>
      </c>
      <c r="O1428">
        <v>2</v>
      </c>
      <c r="P1428">
        <v>4</v>
      </c>
      <c r="Q1428">
        <v>4</v>
      </c>
      <c r="R1428">
        <v>1</v>
      </c>
      <c r="S1428">
        <v>3</v>
      </c>
      <c r="T1428">
        <v>3</v>
      </c>
      <c r="U1428">
        <v>3</v>
      </c>
      <c r="V1428">
        <v>3</v>
      </c>
      <c r="W1428">
        <v>3</v>
      </c>
      <c r="X1428">
        <v>4</v>
      </c>
      <c r="Y1428">
        <v>2</v>
      </c>
      <c r="Z1428">
        <v>3</v>
      </c>
      <c r="AA1428">
        <v>4</v>
      </c>
      <c r="AB1428">
        <v>3</v>
      </c>
      <c r="AC1428">
        <v>3</v>
      </c>
      <c r="AD1428">
        <v>4</v>
      </c>
      <c r="AE1428">
        <v>4</v>
      </c>
      <c r="AF1428">
        <v>3</v>
      </c>
      <c r="AG1428">
        <v>2</v>
      </c>
      <c r="AH1428">
        <v>4</v>
      </c>
      <c r="AI1428">
        <v>2</v>
      </c>
      <c r="AJ1428">
        <v>3</v>
      </c>
      <c r="AK1428" t="b">
        <f>Table67[[#This Row],[What is your age?]]&lt;&gt;"18 - 25"</f>
        <v>1</v>
      </c>
      <c r="AL1428" t="b">
        <f t="shared" si="88"/>
        <v>0</v>
      </c>
      <c r="AM1428" t="b">
        <f t="shared" si="89"/>
        <v>0</v>
      </c>
      <c r="AN1428" t="b">
        <f t="shared" si="90"/>
        <v>0</v>
      </c>
      <c r="AO1428" t="b">
        <f>OR(Table67[[#This Row],[Ineligible respondents]:[Inconsistent response on opposite question (3)]])</f>
        <v>1</v>
      </c>
      <c r="AP142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428">
        <f>Table67[[#This Row],[Extreme Response]]/21</f>
        <v>4.7619047619047616E-2</v>
      </c>
      <c r="AR1428">
        <f>_xlfn.PERCENTILE.INC(Table67[Extrem Response Ratio (ERS)],0.9)</f>
        <v>0.61904761904761907</v>
      </c>
      <c r="AS1428" t="b">
        <f>Table67[[#This Row],[Extrem Response Ratio (ERS)]]&gt;=Table67[[#This Row],[Threshold of ERS]]</f>
        <v>0</v>
      </c>
      <c r="AT1428">
        <f>COUNTIF(Table67[[#This Row],[The mechanism of digital assets is difficult to understand, which discourages me from exploring it (E.g, Tokenization, Blockchain)]:[If I want to try different ways to invest, I will explore digital assets.]], 3)</f>
        <v>10</v>
      </c>
      <c r="AU1428">
        <f>Table67[[#This Row],[Midpoint]]/21</f>
        <v>0.47619047619047616</v>
      </c>
      <c r="AV1428">
        <f>_xlfn.PERCENTILE.INC(Table67[Midpoint ratio],0.9)</f>
        <v>0.5714285714285714</v>
      </c>
      <c r="AW1428" t="b">
        <f>Table67[[#This Row],[Midpoint ratio]]&gt;=Table67[[#This Row],[Threshold of Midpoint ratio]]</f>
        <v>0</v>
      </c>
      <c r="AX1428" t="b">
        <f>OR(Table67[[#This Row],[Extreme Response Style]],Table67[[#This Row],[Mid-point Response Style]])</f>
        <v>0</v>
      </c>
      <c r="AY1428" t="b">
        <f>OR(Table67[[#This Row],[Delete? (Stage 1)]],Table67[[#This Row],[Delete? (Stage 2)]])</f>
        <v>1</v>
      </c>
      <c r="AZ1428" t="s">
        <v>84</v>
      </c>
    </row>
    <row r="1429" spans="1:52">
      <c r="A1429">
        <f t="shared" si="91"/>
        <v>1428</v>
      </c>
      <c r="B1429" s="3">
        <v>46062.056273148148</v>
      </c>
      <c r="C1429" s="3">
        <v>46062.060787037037</v>
      </c>
      <c r="D1429" t="s">
        <v>53</v>
      </c>
      <c r="G1429" t="s">
        <v>54</v>
      </c>
      <c r="H1429" t="s">
        <v>55</v>
      </c>
      <c r="I1429" t="s">
        <v>56</v>
      </c>
      <c r="J1429" t="s">
        <v>57</v>
      </c>
      <c r="K1429" t="s">
        <v>57</v>
      </c>
      <c r="L1429" t="s">
        <v>58</v>
      </c>
      <c r="M1429" t="s">
        <v>58</v>
      </c>
      <c r="N1429">
        <v>4</v>
      </c>
      <c r="O1429">
        <v>2</v>
      </c>
      <c r="P1429">
        <v>3</v>
      </c>
      <c r="Q1429">
        <v>3</v>
      </c>
      <c r="R1429">
        <v>1</v>
      </c>
      <c r="S1429">
        <v>4</v>
      </c>
      <c r="T1429">
        <v>3</v>
      </c>
      <c r="U1429">
        <v>5</v>
      </c>
      <c r="V1429">
        <v>5</v>
      </c>
      <c r="W1429">
        <v>5</v>
      </c>
      <c r="X1429">
        <v>4</v>
      </c>
      <c r="Y1429">
        <v>3</v>
      </c>
      <c r="Z1429">
        <v>5</v>
      </c>
      <c r="AA1429">
        <v>4</v>
      </c>
      <c r="AB1429">
        <v>2</v>
      </c>
      <c r="AC1429">
        <v>3</v>
      </c>
      <c r="AD1429">
        <v>5</v>
      </c>
      <c r="AE1429">
        <v>4</v>
      </c>
      <c r="AF1429">
        <v>2</v>
      </c>
      <c r="AG1429">
        <v>4</v>
      </c>
      <c r="AH1429">
        <v>3</v>
      </c>
      <c r="AI1429">
        <v>3</v>
      </c>
      <c r="AJ1429">
        <v>4</v>
      </c>
      <c r="AK1429" t="b">
        <f>Table67[[#This Row],[What is your age?]]&lt;&gt;"18 - 25"</f>
        <v>0</v>
      </c>
      <c r="AL1429" t="b">
        <f t="shared" si="88"/>
        <v>0</v>
      </c>
      <c r="AM1429" t="b">
        <f t="shared" si="89"/>
        <v>0</v>
      </c>
      <c r="AN1429" t="b">
        <f t="shared" si="90"/>
        <v>1</v>
      </c>
      <c r="AO1429" t="b">
        <f>OR(Table67[[#This Row],[Ineligible respondents]:[Inconsistent response on opposite question (3)]])</f>
        <v>1</v>
      </c>
      <c r="AP142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429">
        <f>Table67[[#This Row],[Extreme Response]]/21</f>
        <v>0.2857142857142857</v>
      </c>
      <c r="AR1429">
        <f>_xlfn.PERCENTILE.INC(Table67[Extrem Response Ratio (ERS)],0.9)</f>
        <v>0.61904761904761907</v>
      </c>
      <c r="AS1429" t="b">
        <f>Table67[[#This Row],[Extrem Response Ratio (ERS)]]&gt;=Table67[[#This Row],[Threshold of ERS]]</f>
        <v>0</v>
      </c>
      <c r="AT1429">
        <f>COUNTIF(Table67[[#This Row],[The mechanism of digital assets is difficult to understand, which discourages me from exploring it (E.g, Tokenization, Blockchain)]:[If I want to try different ways to invest, I will explore digital assets.]], 3)</f>
        <v>6</v>
      </c>
      <c r="AU1429">
        <f>Table67[[#This Row],[Midpoint]]/21</f>
        <v>0.2857142857142857</v>
      </c>
      <c r="AV1429">
        <f>_xlfn.PERCENTILE.INC(Table67[Midpoint ratio],0.9)</f>
        <v>0.5714285714285714</v>
      </c>
      <c r="AW1429" t="b">
        <f>Table67[[#This Row],[Midpoint ratio]]&gt;=Table67[[#This Row],[Threshold of Midpoint ratio]]</f>
        <v>0</v>
      </c>
      <c r="AX1429" t="b">
        <f>OR(Table67[[#This Row],[Extreme Response Style]],Table67[[#This Row],[Mid-point Response Style]])</f>
        <v>0</v>
      </c>
      <c r="AY1429" t="b">
        <f>OR(Table67[[#This Row],[Delete? (Stage 1)]],Table67[[#This Row],[Delete? (Stage 2)]])</f>
        <v>1</v>
      </c>
      <c r="AZ1429" t="s">
        <v>84</v>
      </c>
    </row>
    <row r="1430" spans="1:52">
      <c r="A1430">
        <f t="shared" si="91"/>
        <v>1429</v>
      </c>
      <c r="B1430" s="3">
        <v>46062.031770833331</v>
      </c>
      <c r="C1430" s="3">
        <v>46062.044537037036</v>
      </c>
      <c r="D1430" t="s">
        <v>53</v>
      </c>
      <c r="G1430" t="s">
        <v>54</v>
      </c>
      <c r="H1430" t="s">
        <v>55</v>
      </c>
      <c r="I1430" t="s">
        <v>83</v>
      </c>
      <c r="J1430" t="s">
        <v>62</v>
      </c>
      <c r="K1430" t="s">
        <v>62</v>
      </c>
      <c r="L1430" t="s">
        <v>61</v>
      </c>
      <c r="M1430" t="s">
        <v>61</v>
      </c>
      <c r="N1430">
        <v>3</v>
      </c>
      <c r="O1430">
        <v>3</v>
      </c>
      <c r="P1430">
        <v>4</v>
      </c>
      <c r="Q1430">
        <v>4</v>
      </c>
      <c r="R1430">
        <v>4</v>
      </c>
      <c r="S1430">
        <v>4</v>
      </c>
      <c r="T1430">
        <v>3</v>
      </c>
      <c r="U1430">
        <v>5</v>
      </c>
      <c r="V1430">
        <v>5</v>
      </c>
      <c r="W1430">
        <v>5</v>
      </c>
      <c r="X1430">
        <v>4</v>
      </c>
      <c r="Y1430">
        <v>5</v>
      </c>
      <c r="Z1430">
        <v>4</v>
      </c>
      <c r="AA1430">
        <v>4</v>
      </c>
      <c r="AB1430">
        <v>5</v>
      </c>
      <c r="AC1430">
        <v>5</v>
      </c>
      <c r="AD1430">
        <v>4</v>
      </c>
      <c r="AE1430">
        <v>4</v>
      </c>
      <c r="AF1430">
        <v>2</v>
      </c>
      <c r="AG1430">
        <v>4</v>
      </c>
      <c r="AH1430">
        <v>4</v>
      </c>
      <c r="AI1430">
        <v>2</v>
      </c>
      <c r="AJ1430">
        <v>4</v>
      </c>
      <c r="AK1430" t="b">
        <f>Table67[[#This Row],[What is your age?]]&lt;&gt;"18 - 25"</f>
        <v>0</v>
      </c>
      <c r="AL1430" t="b">
        <f t="shared" si="88"/>
        <v>0</v>
      </c>
      <c r="AM1430" t="b">
        <f t="shared" si="89"/>
        <v>1</v>
      </c>
      <c r="AN1430" t="b">
        <f t="shared" si="90"/>
        <v>0</v>
      </c>
      <c r="AO1430" t="b">
        <f>OR(Table67[[#This Row],[Ineligible respondents]:[Inconsistent response on opposite question (3)]])</f>
        <v>1</v>
      </c>
      <c r="AP143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430">
        <f>Table67[[#This Row],[Extreme Response]]/21</f>
        <v>0.2857142857142857</v>
      </c>
      <c r="AR1430">
        <f>_xlfn.PERCENTILE.INC(Table67[Extrem Response Ratio (ERS)],0.9)</f>
        <v>0.61904761904761907</v>
      </c>
      <c r="AS1430" t="b">
        <f>Table67[[#This Row],[Extrem Response Ratio (ERS)]]&gt;=Table67[[#This Row],[Threshold of ERS]]</f>
        <v>0</v>
      </c>
      <c r="AT1430">
        <f>COUNTIF(Table67[[#This Row],[The mechanism of digital assets is difficult to understand, which discourages me from exploring it (E.g, Tokenization, Blockchain)]:[If I want to try different ways to invest, I will explore digital assets.]], 3)</f>
        <v>3</v>
      </c>
      <c r="AU1430">
        <f>Table67[[#This Row],[Midpoint]]/21</f>
        <v>0.14285714285714285</v>
      </c>
      <c r="AV1430">
        <f>_xlfn.PERCENTILE.INC(Table67[Midpoint ratio],0.9)</f>
        <v>0.5714285714285714</v>
      </c>
      <c r="AW1430" t="b">
        <f>Table67[[#This Row],[Midpoint ratio]]&gt;=Table67[[#This Row],[Threshold of Midpoint ratio]]</f>
        <v>0</v>
      </c>
      <c r="AX1430" t="b">
        <f>OR(Table67[[#This Row],[Extreme Response Style]],Table67[[#This Row],[Mid-point Response Style]])</f>
        <v>0</v>
      </c>
      <c r="AY1430" t="b">
        <f>OR(Table67[[#This Row],[Delete? (Stage 1)]],Table67[[#This Row],[Delete? (Stage 2)]])</f>
        <v>1</v>
      </c>
      <c r="AZ1430" t="s">
        <v>84</v>
      </c>
    </row>
    <row r="1431" spans="1:52">
      <c r="A1431">
        <f t="shared" si="91"/>
        <v>1430</v>
      </c>
      <c r="B1431" s="3">
        <v>46065.765462962961</v>
      </c>
      <c r="C1431" s="3">
        <v>46065.766886574071</v>
      </c>
      <c r="D1431" t="s">
        <v>53</v>
      </c>
      <c r="G1431" t="s">
        <v>54</v>
      </c>
      <c r="H1431" t="s">
        <v>63</v>
      </c>
      <c r="I1431" t="s">
        <v>75</v>
      </c>
      <c r="J1431" t="s">
        <v>62</v>
      </c>
      <c r="K1431" t="s">
        <v>57</v>
      </c>
      <c r="L1431" t="s">
        <v>58</v>
      </c>
      <c r="M1431" t="s">
        <v>58</v>
      </c>
      <c r="N1431">
        <v>3</v>
      </c>
      <c r="O1431">
        <v>3</v>
      </c>
      <c r="P1431">
        <v>3</v>
      </c>
      <c r="Q1431">
        <v>3</v>
      </c>
      <c r="R1431">
        <v>2</v>
      </c>
      <c r="S1431">
        <v>2</v>
      </c>
      <c r="T1431">
        <v>2</v>
      </c>
      <c r="U1431">
        <v>4</v>
      </c>
      <c r="V1431">
        <v>1</v>
      </c>
      <c r="W1431">
        <v>1</v>
      </c>
      <c r="X1431">
        <v>2</v>
      </c>
      <c r="Y1431">
        <v>1</v>
      </c>
      <c r="Z1431">
        <v>1</v>
      </c>
      <c r="AA1431">
        <v>2</v>
      </c>
      <c r="AB1431">
        <v>2</v>
      </c>
      <c r="AC1431">
        <v>4</v>
      </c>
      <c r="AD1431">
        <v>1</v>
      </c>
      <c r="AE1431">
        <v>1</v>
      </c>
      <c r="AF1431">
        <v>4</v>
      </c>
      <c r="AG1431">
        <v>2</v>
      </c>
      <c r="AH1431">
        <v>4</v>
      </c>
      <c r="AI1431">
        <v>2</v>
      </c>
      <c r="AJ1431">
        <v>2</v>
      </c>
      <c r="AK1431" t="b">
        <f>Table67[[#This Row],[What is your age?]]&lt;&gt;"18 - 25"</f>
        <v>0</v>
      </c>
      <c r="AL1431" t="b">
        <f t="shared" si="88"/>
        <v>0</v>
      </c>
      <c r="AM1431" t="b">
        <f t="shared" si="89"/>
        <v>0</v>
      </c>
      <c r="AN1431" t="b">
        <f t="shared" si="90"/>
        <v>0</v>
      </c>
      <c r="AO1431" t="b">
        <f>OR(Table67[[#This Row],[Ineligible respondents]:[Inconsistent response on opposite question (3)]])</f>
        <v>0</v>
      </c>
      <c r="AP143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431">
        <f>Table67[[#This Row],[Extreme Response]]/21</f>
        <v>0.2857142857142857</v>
      </c>
      <c r="AR1431">
        <f>_xlfn.PERCENTILE.INC(Table67[Extrem Response Ratio (ERS)],0.9)</f>
        <v>0.61904761904761907</v>
      </c>
      <c r="AS1431" t="b">
        <f>Table67[[#This Row],[Extrem Response Ratio (ERS)]]&gt;=Table67[[#This Row],[Threshold of ERS]]</f>
        <v>0</v>
      </c>
      <c r="AT1431">
        <f>COUNTIF(Table67[[#This Row],[The mechanism of digital assets is difficult to understand, which discourages me from exploring it (E.g, Tokenization, Blockchain)]:[If I want to try different ways to invest, I will explore digital assets.]], 3)</f>
        <v>4</v>
      </c>
      <c r="AU1431">
        <f>Table67[[#This Row],[Midpoint]]/21</f>
        <v>0.19047619047619047</v>
      </c>
      <c r="AV1431">
        <f>_xlfn.PERCENTILE.INC(Table67[Midpoint ratio],0.9)</f>
        <v>0.5714285714285714</v>
      </c>
      <c r="AW1431" t="b">
        <f>Table67[[#This Row],[Midpoint ratio]]&gt;=Table67[[#This Row],[Threshold of Midpoint ratio]]</f>
        <v>0</v>
      </c>
      <c r="AX1431" t="b">
        <f>OR(Table67[[#This Row],[Extreme Response Style]],Table67[[#This Row],[Mid-point Response Style]])</f>
        <v>0</v>
      </c>
      <c r="AY1431" t="b">
        <f>OR(Table67[[#This Row],[Delete? (Stage 1)]],Table67[[#This Row],[Delete? (Stage 2)]])</f>
        <v>0</v>
      </c>
      <c r="AZ1431" t="s">
        <v>84</v>
      </c>
    </row>
    <row r="1432" spans="1:52">
      <c r="A1432">
        <f t="shared" si="91"/>
        <v>1431</v>
      </c>
      <c r="B1432" s="3">
        <v>46062.046643518515</v>
      </c>
      <c r="C1432" s="3">
        <v>46062.048819444448</v>
      </c>
      <c r="D1432" t="s">
        <v>53</v>
      </c>
      <c r="G1432" t="s">
        <v>54</v>
      </c>
      <c r="H1432" t="s">
        <v>63</v>
      </c>
      <c r="I1432" t="s">
        <v>56</v>
      </c>
      <c r="J1432" t="s">
        <v>65</v>
      </c>
      <c r="K1432" t="s">
        <v>57</v>
      </c>
      <c r="L1432" t="s">
        <v>58</v>
      </c>
      <c r="M1432" t="s">
        <v>58</v>
      </c>
      <c r="N1432">
        <v>5</v>
      </c>
      <c r="O1432">
        <v>5</v>
      </c>
      <c r="P1432">
        <v>5</v>
      </c>
      <c r="Q1432">
        <v>5</v>
      </c>
      <c r="R1432">
        <v>5</v>
      </c>
      <c r="S1432">
        <v>5</v>
      </c>
      <c r="T1432">
        <v>3</v>
      </c>
      <c r="U1432">
        <v>5</v>
      </c>
      <c r="V1432">
        <v>5</v>
      </c>
      <c r="W1432">
        <v>5</v>
      </c>
      <c r="X1432">
        <v>5</v>
      </c>
      <c r="Y1432">
        <v>5</v>
      </c>
      <c r="Z1432">
        <v>5</v>
      </c>
      <c r="AA1432">
        <v>5</v>
      </c>
      <c r="AB1432">
        <v>3</v>
      </c>
      <c r="AC1432">
        <v>5</v>
      </c>
      <c r="AD1432">
        <v>5</v>
      </c>
      <c r="AE1432">
        <v>1</v>
      </c>
      <c r="AF1432">
        <v>1</v>
      </c>
      <c r="AG1432">
        <v>1</v>
      </c>
      <c r="AH1432">
        <v>3</v>
      </c>
      <c r="AI1432">
        <v>3</v>
      </c>
      <c r="AJ1432">
        <v>5</v>
      </c>
      <c r="AK1432" t="b">
        <f>Table67[[#This Row],[What is your age?]]&lt;&gt;"18 - 25"</f>
        <v>0</v>
      </c>
      <c r="AL1432" t="b">
        <f t="shared" si="88"/>
        <v>0</v>
      </c>
      <c r="AM1432" t="b">
        <f t="shared" si="89"/>
        <v>0</v>
      </c>
      <c r="AN1432" t="b">
        <f t="shared" si="90"/>
        <v>1</v>
      </c>
      <c r="AO1432" t="b">
        <f>OR(Table67[[#This Row],[Ineligible respondents]:[Inconsistent response on opposite question (3)]])</f>
        <v>1</v>
      </c>
      <c r="AP143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18</v>
      </c>
      <c r="AQ1432">
        <f>Table67[[#This Row],[Extreme Response]]/21</f>
        <v>0.8571428571428571</v>
      </c>
      <c r="AR1432">
        <f>_xlfn.PERCENTILE.INC(Table67[Extrem Response Ratio (ERS)],0.9)</f>
        <v>0.61904761904761907</v>
      </c>
      <c r="AS1432" t="b">
        <f>Table67[[#This Row],[Extrem Response Ratio (ERS)]]&gt;=Table67[[#This Row],[Threshold of ERS]]</f>
        <v>1</v>
      </c>
      <c r="AT1432">
        <f>COUNTIF(Table67[[#This Row],[The mechanism of digital assets is difficult to understand, which discourages me from exploring it (E.g, Tokenization, Blockchain)]:[If I want to try different ways to invest, I will explore digital assets.]], 3)</f>
        <v>3</v>
      </c>
      <c r="AU1432">
        <f>Table67[[#This Row],[Midpoint]]/21</f>
        <v>0.14285714285714285</v>
      </c>
      <c r="AV1432">
        <f>_xlfn.PERCENTILE.INC(Table67[Midpoint ratio],0.9)</f>
        <v>0.5714285714285714</v>
      </c>
      <c r="AW1432" t="b">
        <f>Table67[[#This Row],[Midpoint ratio]]&gt;=Table67[[#This Row],[Threshold of Midpoint ratio]]</f>
        <v>0</v>
      </c>
      <c r="AX1432" t="b">
        <f>OR(Table67[[#This Row],[Extreme Response Style]],Table67[[#This Row],[Mid-point Response Style]])</f>
        <v>1</v>
      </c>
      <c r="AY1432" t="b">
        <f>OR(Table67[[#This Row],[Delete? (Stage 1)]],Table67[[#This Row],[Delete? (Stage 2)]])</f>
        <v>1</v>
      </c>
      <c r="AZ1432" t="s">
        <v>84</v>
      </c>
    </row>
    <row r="1433" spans="1:52">
      <c r="A1433">
        <f t="shared" si="91"/>
        <v>1432</v>
      </c>
      <c r="B1433" s="3">
        <v>46065.837476851855</v>
      </c>
      <c r="C1433" s="3">
        <v>46065.839953703704</v>
      </c>
      <c r="D1433" t="s">
        <v>53</v>
      </c>
      <c r="G1433" t="s">
        <v>54</v>
      </c>
      <c r="H1433" t="s">
        <v>63</v>
      </c>
      <c r="I1433" t="s">
        <v>56</v>
      </c>
      <c r="J1433" t="s">
        <v>60</v>
      </c>
      <c r="K1433" t="s">
        <v>62</v>
      </c>
      <c r="L1433" t="s">
        <v>58</v>
      </c>
      <c r="M1433" t="s">
        <v>58</v>
      </c>
      <c r="N1433">
        <v>1</v>
      </c>
      <c r="O1433">
        <v>1</v>
      </c>
      <c r="P1433">
        <v>2</v>
      </c>
      <c r="Q1433">
        <v>2</v>
      </c>
      <c r="R1433">
        <v>1</v>
      </c>
      <c r="S1433">
        <v>2</v>
      </c>
      <c r="T1433">
        <v>2</v>
      </c>
      <c r="U1433">
        <v>3</v>
      </c>
      <c r="V1433">
        <v>3</v>
      </c>
      <c r="W1433">
        <v>3</v>
      </c>
      <c r="X1433">
        <v>3</v>
      </c>
      <c r="Y1433">
        <v>3</v>
      </c>
      <c r="Z1433">
        <v>3</v>
      </c>
      <c r="AA1433">
        <v>1</v>
      </c>
      <c r="AB1433">
        <v>2</v>
      </c>
      <c r="AC1433">
        <v>2</v>
      </c>
      <c r="AD1433">
        <v>3</v>
      </c>
      <c r="AE1433">
        <v>2</v>
      </c>
      <c r="AF1433">
        <v>5</v>
      </c>
      <c r="AG1433">
        <v>1</v>
      </c>
      <c r="AH1433">
        <v>4</v>
      </c>
      <c r="AI1433">
        <v>2</v>
      </c>
      <c r="AJ1433">
        <v>1</v>
      </c>
      <c r="AK1433" t="b">
        <f>Table67[[#This Row],[What is your age?]]&lt;&gt;"18 - 25"</f>
        <v>0</v>
      </c>
      <c r="AL1433" t="b">
        <f t="shared" si="88"/>
        <v>0</v>
      </c>
      <c r="AM1433" t="b">
        <f t="shared" si="89"/>
        <v>0</v>
      </c>
      <c r="AN1433" t="b">
        <f t="shared" si="90"/>
        <v>0</v>
      </c>
      <c r="AO1433" t="b">
        <f>OR(Table67[[#This Row],[Ineligible respondents]:[Inconsistent response on opposite question (3)]])</f>
        <v>0</v>
      </c>
      <c r="AP143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433">
        <f>Table67[[#This Row],[Extreme Response]]/21</f>
        <v>0.2857142857142857</v>
      </c>
      <c r="AR1433">
        <f>_xlfn.PERCENTILE.INC(Table67[Extrem Response Ratio (ERS)],0.9)</f>
        <v>0.61904761904761907</v>
      </c>
      <c r="AS1433" t="b">
        <f>Table67[[#This Row],[Extrem Response Ratio (ERS)]]&gt;=Table67[[#This Row],[Threshold of ERS]]</f>
        <v>0</v>
      </c>
      <c r="AT1433">
        <f>COUNTIF(Table67[[#This Row],[The mechanism of digital assets is difficult to understand, which discourages me from exploring it (E.g, Tokenization, Blockchain)]:[If I want to try different ways to invest, I will explore digital assets.]], 3)</f>
        <v>7</v>
      </c>
      <c r="AU1433">
        <f>Table67[[#This Row],[Midpoint]]/21</f>
        <v>0.33333333333333331</v>
      </c>
      <c r="AV1433">
        <f>_xlfn.PERCENTILE.INC(Table67[Midpoint ratio],0.9)</f>
        <v>0.5714285714285714</v>
      </c>
      <c r="AW1433" t="b">
        <f>Table67[[#This Row],[Midpoint ratio]]&gt;=Table67[[#This Row],[Threshold of Midpoint ratio]]</f>
        <v>0</v>
      </c>
      <c r="AX1433" t="b">
        <f>OR(Table67[[#This Row],[Extreme Response Style]],Table67[[#This Row],[Mid-point Response Style]])</f>
        <v>0</v>
      </c>
      <c r="AY1433" t="b">
        <f>OR(Table67[[#This Row],[Delete? (Stage 1)]],Table67[[#This Row],[Delete? (Stage 2)]])</f>
        <v>0</v>
      </c>
      <c r="AZ1433" t="s">
        <v>84</v>
      </c>
    </row>
    <row r="1434" spans="1:52">
      <c r="A1434">
        <f t="shared" si="91"/>
        <v>1433</v>
      </c>
      <c r="B1434" s="3">
        <v>46065.719837962963</v>
      </c>
      <c r="C1434" s="3">
        <v>46065.72016203704</v>
      </c>
      <c r="D1434" t="s">
        <v>53</v>
      </c>
      <c r="G1434" t="s">
        <v>54</v>
      </c>
      <c r="H1434" t="s">
        <v>55</v>
      </c>
      <c r="I1434" t="s">
        <v>75</v>
      </c>
      <c r="J1434" t="s">
        <v>64</v>
      </c>
      <c r="K1434" t="s">
        <v>66</v>
      </c>
      <c r="L1434" t="s">
        <v>58</v>
      </c>
      <c r="M1434" t="s">
        <v>58</v>
      </c>
      <c r="N1434">
        <v>2</v>
      </c>
      <c r="O1434">
        <v>3</v>
      </c>
      <c r="P1434">
        <v>4</v>
      </c>
      <c r="Q1434">
        <v>4</v>
      </c>
      <c r="R1434">
        <v>2</v>
      </c>
      <c r="S1434">
        <v>2</v>
      </c>
      <c r="T1434">
        <v>3</v>
      </c>
      <c r="U1434">
        <v>4</v>
      </c>
      <c r="V1434">
        <v>4</v>
      </c>
      <c r="W1434">
        <v>4</v>
      </c>
      <c r="X1434">
        <v>4</v>
      </c>
      <c r="Y1434">
        <v>4</v>
      </c>
      <c r="Z1434">
        <v>3</v>
      </c>
      <c r="AA1434">
        <v>2</v>
      </c>
      <c r="AB1434">
        <v>3</v>
      </c>
      <c r="AC1434">
        <v>4</v>
      </c>
      <c r="AD1434">
        <v>4</v>
      </c>
      <c r="AE1434">
        <v>4</v>
      </c>
      <c r="AF1434">
        <v>3</v>
      </c>
      <c r="AG1434">
        <v>2</v>
      </c>
      <c r="AH1434">
        <v>4</v>
      </c>
      <c r="AI1434">
        <v>2</v>
      </c>
      <c r="AJ1434">
        <v>3</v>
      </c>
      <c r="AK1434" t="b">
        <f>Table67[[#This Row],[What is your age?]]&lt;&gt;"18 - 25"</f>
        <v>0</v>
      </c>
      <c r="AL1434" t="b">
        <f t="shared" si="88"/>
        <v>0</v>
      </c>
      <c r="AM1434" t="b">
        <f t="shared" si="89"/>
        <v>0</v>
      </c>
      <c r="AN1434" t="b">
        <f t="shared" si="90"/>
        <v>0</v>
      </c>
      <c r="AO1434" t="b">
        <f>OR(Table67[[#This Row],[Ineligible respondents]:[Inconsistent response on opposite question (3)]])</f>
        <v>0</v>
      </c>
      <c r="AP143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434">
        <f>Table67[[#This Row],[Extreme Response]]/21</f>
        <v>0</v>
      </c>
      <c r="AR1434">
        <f>_xlfn.PERCENTILE.INC(Table67[Extrem Response Ratio (ERS)],0.9)</f>
        <v>0.61904761904761907</v>
      </c>
      <c r="AS1434" t="b">
        <f>Table67[[#This Row],[Extrem Response Ratio (ERS)]]&gt;=Table67[[#This Row],[Threshold of ERS]]</f>
        <v>0</v>
      </c>
      <c r="AT1434">
        <f>COUNTIF(Table67[[#This Row],[The mechanism of digital assets is difficult to understand, which discourages me from exploring it (E.g, Tokenization, Blockchain)]:[If I want to try different ways to invest, I will explore digital assets.]], 3)</f>
        <v>5</v>
      </c>
      <c r="AU1434">
        <f>Table67[[#This Row],[Midpoint]]/21</f>
        <v>0.23809523809523808</v>
      </c>
      <c r="AV1434">
        <f>_xlfn.PERCENTILE.INC(Table67[Midpoint ratio],0.9)</f>
        <v>0.5714285714285714</v>
      </c>
      <c r="AW1434" t="b">
        <f>Table67[[#This Row],[Midpoint ratio]]&gt;=Table67[[#This Row],[Threshold of Midpoint ratio]]</f>
        <v>0</v>
      </c>
      <c r="AX1434" t="b">
        <f>OR(Table67[[#This Row],[Extreme Response Style]],Table67[[#This Row],[Mid-point Response Style]])</f>
        <v>0</v>
      </c>
      <c r="AY1434" t="b">
        <f>OR(Table67[[#This Row],[Delete? (Stage 1)]],Table67[[#This Row],[Delete? (Stage 2)]])</f>
        <v>0</v>
      </c>
      <c r="AZ1434" t="s">
        <v>84</v>
      </c>
    </row>
    <row r="1435" spans="1:52">
      <c r="A1435">
        <f t="shared" si="91"/>
        <v>1434</v>
      </c>
      <c r="B1435" s="3">
        <v>46062.070902777778</v>
      </c>
      <c r="C1435" s="3">
        <v>46062.07980324074</v>
      </c>
      <c r="D1435" t="s">
        <v>53</v>
      </c>
      <c r="G1435" t="s">
        <v>54</v>
      </c>
      <c r="H1435" t="s">
        <v>63</v>
      </c>
      <c r="I1435" t="s">
        <v>75</v>
      </c>
      <c r="J1435" t="s">
        <v>60</v>
      </c>
      <c r="K1435" t="s">
        <v>60</v>
      </c>
      <c r="L1435" t="s">
        <v>58</v>
      </c>
      <c r="M1435" t="s">
        <v>58</v>
      </c>
      <c r="N1435">
        <v>4</v>
      </c>
      <c r="O1435">
        <v>2</v>
      </c>
      <c r="P1435">
        <v>3</v>
      </c>
      <c r="Q1435">
        <v>4</v>
      </c>
      <c r="R1435">
        <v>1</v>
      </c>
      <c r="S1435">
        <v>4</v>
      </c>
      <c r="T1435">
        <v>2</v>
      </c>
      <c r="U1435">
        <v>5</v>
      </c>
      <c r="V1435">
        <v>5</v>
      </c>
      <c r="W1435">
        <v>5</v>
      </c>
      <c r="X1435">
        <v>5</v>
      </c>
      <c r="Y1435">
        <v>5</v>
      </c>
      <c r="Z1435">
        <v>4</v>
      </c>
      <c r="AA1435">
        <v>4</v>
      </c>
      <c r="AB1435">
        <v>2</v>
      </c>
      <c r="AC1435">
        <v>5</v>
      </c>
      <c r="AD1435">
        <v>5</v>
      </c>
      <c r="AE1435">
        <v>1</v>
      </c>
      <c r="AF1435">
        <v>4</v>
      </c>
      <c r="AG1435">
        <v>3</v>
      </c>
      <c r="AH1435">
        <v>4</v>
      </c>
      <c r="AI1435">
        <v>2</v>
      </c>
      <c r="AJ1435">
        <v>2</v>
      </c>
      <c r="AK1435" t="b">
        <f>Table67[[#This Row],[What is your age?]]&lt;&gt;"18 - 25"</f>
        <v>0</v>
      </c>
      <c r="AL1435" t="b">
        <f t="shared" si="88"/>
        <v>0</v>
      </c>
      <c r="AM1435" t="b">
        <f t="shared" si="89"/>
        <v>0</v>
      </c>
      <c r="AN1435" t="b">
        <f t="shared" si="90"/>
        <v>1</v>
      </c>
      <c r="AO1435" t="b">
        <f>OR(Table67[[#This Row],[Ineligible respondents]:[Inconsistent response on opposite question (3)]])</f>
        <v>1</v>
      </c>
      <c r="AP143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1435">
        <f>Table67[[#This Row],[Extreme Response]]/21</f>
        <v>0.42857142857142855</v>
      </c>
      <c r="AR1435">
        <f>_xlfn.PERCENTILE.INC(Table67[Extrem Response Ratio (ERS)],0.9)</f>
        <v>0.61904761904761907</v>
      </c>
      <c r="AS1435" t="b">
        <f>Table67[[#This Row],[Extrem Response Ratio (ERS)]]&gt;=Table67[[#This Row],[Threshold of ERS]]</f>
        <v>0</v>
      </c>
      <c r="AT1435">
        <f>COUNTIF(Table67[[#This Row],[The mechanism of digital assets is difficult to understand, which discourages me from exploring it (E.g, Tokenization, Blockchain)]:[If I want to try different ways to invest, I will explore digital assets.]], 3)</f>
        <v>2</v>
      </c>
      <c r="AU1435">
        <f>Table67[[#This Row],[Midpoint]]/21</f>
        <v>9.5238095238095233E-2</v>
      </c>
      <c r="AV1435">
        <f>_xlfn.PERCENTILE.INC(Table67[Midpoint ratio],0.9)</f>
        <v>0.5714285714285714</v>
      </c>
      <c r="AW1435" t="b">
        <f>Table67[[#This Row],[Midpoint ratio]]&gt;=Table67[[#This Row],[Threshold of Midpoint ratio]]</f>
        <v>0</v>
      </c>
      <c r="AX1435" t="b">
        <f>OR(Table67[[#This Row],[Extreme Response Style]],Table67[[#This Row],[Mid-point Response Style]])</f>
        <v>0</v>
      </c>
      <c r="AY1435" t="b">
        <f>OR(Table67[[#This Row],[Delete? (Stage 1)]],Table67[[#This Row],[Delete? (Stage 2)]])</f>
        <v>1</v>
      </c>
      <c r="AZ1435" t="s">
        <v>84</v>
      </c>
    </row>
    <row r="1436" spans="1:52">
      <c r="A1436">
        <f t="shared" si="91"/>
        <v>1435</v>
      </c>
      <c r="B1436" s="3">
        <v>46065.722372685188</v>
      </c>
      <c r="C1436" s="3">
        <v>46065.722673611112</v>
      </c>
      <c r="D1436" t="s">
        <v>53</v>
      </c>
      <c r="G1436" t="s">
        <v>54</v>
      </c>
      <c r="H1436" t="s">
        <v>55</v>
      </c>
      <c r="I1436" t="s">
        <v>56</v>
      </c>
      <c r="J1436" t="s">
        <v>62</v>
      </c>
      <c r="K1436" t="s">
        <v>62</v>
      </c>
      <c r="L1436" t="s">
        <v>58</v>
      </c>
      <c r="M1436" t="s">
        <v>58</v>
      </c>
      <c r="N1436">
        <v>2</v>
      </c>
      <c r="O1436">
        <v>2</v>
      </c>
      <c r="P1436">
        <v>3</v>
      </c>
      <c r="Q1436">
        <v>3</v>
      </c>
      <c r="R1436">
        <v>2</v>
      </c>
      <c r="S1436">
        <v>2</v>
      </c>
      <c r="T1436">
        <v>3</v>
      </c>
      <c r="U1436">
        <v>3</v>
      </c>
      <c r="V1436">
        <v>4</v>
      </c>
      <c r="W1436">
        <v>3</v>
      </c>
      <c r="X1436">
        <v>3</v>
      </c>
      <c r="Y1436">
        <v>4</v>
      </c>
      <c r="Z1436">
        <v>3</v>
      </c>
      <c r="AA1436">
        <v>3</v>
      </c>
      <c r="AB1436">
        <v>3</v>
      </c>
      <c r="AC1436">
        <v>2</v>
      </c>
      <c r="AD1436">
        <v>3</v>
      </c>
      <c r="AE1436">
        <v>3</v>
      </c>
      <c r="AF1436">
        <v>3</v>
      </c>
      <c r="AG1436">
        <v>3</v>
      </c>
      <c r="AH1436">
        <v>3</v>
      </c>
      <c r="AI1436">
        <v>3</v>
      </c>
      <c r="AJ1436">
        <v>3</v>
      </c>
      <c r="AK1436" t="b">
        <f>Table67[[#This Row],[What is your age?]]&lt;&gt;"18 - 25"</f>
        <v>0</v>
      </c>
      <c r="AL1436" t="b">
        <f t="shared" si="88"/>
        <v>0</v>
      </c>
      <c r="AM1436" t="b">
        <f t="shared" si="89"/>
        <v>0</v>
      </c>
      <c r="AN1436" t="b">
        <f t="shared" si="90"/>
        <v>0</v>
      </c>
      <c r="AO1436" t="b">
        <f>OR(Table67[[#This Row],[Ineligible respondents]:[Inconsistent response on opposite question (3)]])</f>
        <v>0</v>
      </c>
      <c r="AP143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436">
        <f>Table67[[#This Row],[Extreme Response]]/21</f>
        <v>0</v>
      </c>
      <c r="AR1436">
        <f>_xlfn.PERCENTILE.INC(Table67[Extrem Response Ratio (ERS)],0.9)</f>
        <v>0.61904761904761907</v>
      </c>
      <c r="AS1436" t="b">
        <f>Table67[[#This Row],[Extrem Response Ratio (ERS)]]&gt;=Table67[[#This Row],[Threshold of ERS]]</f>
        <v>0</v>
      </c>
      <c r="AT1436">
        <f>COUNTIF(Table67[[#This Row],[The mechanism of digital assets is difficult to understand, which discourages me from exploring it (E.g, Tokenization, Blockchain)]:[If I want to try different ways to invest, I will explore digital assets.]], 3)</f>
        <v>14</v>
      </c>
      <c r="AU1436">
        <f>Table67[[#This Row],[Midpoint]]/21</f>
        <v>0.66666666666666663</v>
      </c>
      <c r="AV1436">
        <f>_xlfn.PERCENTILE.INC(Table67[Midpoint ratio],0.9)</f>
        <v>0.5714285714285714</v>
      </c>
      <c r="AW1436" t="b">
        <f>Table67[[#This Row],[Midpoint ratio]]&gt;=Table67[[#This Row],[Threshold of Midpoint ratio]]</f>
        <v>1</v>
      </c>
      <c r="AX1436" t="b">
        <f>OR(Table67[[#This Row],[Extreme Response Style]],Table67[[#This Row],[Mid-point Response Style]])</f>
        <v>1</v>
      </c>
      <c r="AY1436" t="b">
        <f>OR(Table67[[#This Row],[Delete? (Stage 1)]],Table67[[#This Row],[Delete? (Stage 2)]])</f>
        <v>1</v>
      </c>
      <c r="AZ1436" t="s">
        <v>84</v>
      </c>
    </row>
    <row r="1437" spans="1:52">
      <c r="A1437">
        <f t="shared" si="91"/>
        <v>1436</v>
      </c>
      <c r="B1437" s="3">
        <v>46062.038310185184</v>
      </c>
      <c r="C1437" s="3">
        <v>46062.048888888887</v>
      </c>
      <c r="D1437" t="s">
        <v>53</v>
      </c>
      <c r="G1437" t="s">
        <v>54</v>
      </c>
      <c r="H1437" t="s">
        <v>55</v>
      </c>
      <c r="I1437" t="s">
        <v>56</v>
      </c>
      <c r="J1437" t="s">
        <v>62</v>
      </c>
      <c r="K1437" t="s">
        <v>62</v>
      </c>
      <c r="L1437" t="s">
        <v>61</v>
      </c>
      <c r="M1437" t="s">
        <v>61</v>
      </c>
      <c r="N1437">
        <v>4</v>
      </c>
      <c r="O1437">
        <v>1</v>
      </c>
      <c r="P1437">
        <v>4</v>
      </c>
      <c r="Q1437">
        <v>3</v>
      </c>
      <c r="R1437">
        <v>4</v>
      </c>
      <c r="S1437">
        <v>4</v>
      </c>
      <c r="T1437">
        <v>3</v>
      </c>
      <c r="U1437">
        <v>4</v>
      </c>
      <c r="V1437">
        <v>4</v>
      </c>
      <c r="W1437">
        <v>4</v>
      </c>
      <c r="X1437">
        <v>4</v>
      </c>
      <c r="Y1437">
        <v>4</v>
      </c>
      <c r="Z1437">
        <v>4</v>
      </c>
      <c r="AA1437">
        <v>4</v>
      </c>
      <c r="AB1437">
        <v>3</v>
      </c>
      <c r="AC1437">
        <v>4</v>
      </c>
      <c r="AD1437">
        <v>4</v>
      </c>
      <c r="AE1437">
        <v>3</v>
      </c>
      <c r="AF1437">
        <v>3</v>
      </c>
      <c r="AG1437">
        <v>4</v>
      </c>
      <c r="AH1437">
        <v>3</v>
      </c>
      <c r="AI1437">
        <v>3</v>
      </c>
      <c r="AJ1437">
        <v>3</v>
      </c>
      <c r="AK1437" t="b">
        <f>Table67[[#This Row],[What is your age?]]&lt;&gt;"18 - 25"</f>
        <v>0</v>
      </c>
      <c r="AL1437" t="b">
        <f t="shared" si="88"/>
        <v>0</v>
      </c>
      <c r="AM1437" t="b">
        <f t="shared" si="89"/>
        <v>0</v>
      </c>
      <c r="AN1437" t="b">
        <f t="shared" si="90"/>
        <v>1</v>
      </c>
      <c r="AO1437" t="b">
        <f>OR(Table67[[#This Row],[Ineligible respondents]:[Inconsistent response on opposite question (3)]])</f>
        <v>1</v>
      </c>
      <c r="AP143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437">
        <f>Table67[[#This Row],[Extreme Response]]/21</f>
        <v>4.7619047619047616E-2</v>
      </c>
      <c r="AR1437">
        <f>_xlfn.PERCENTILE.INC(Table67[Extrem Response Ratio (ERS)],0.9)</f>
        <v>0.61904761904761907</v>
      </c>
      <c r="AS1437" t="b">
        <f>Table67[[#This Row],[Extrem Response Ratio (ERS)]]&gt;=Table67[[#This Row],[Threshold of ERS]]</f>
        <v>0</v>
      </c>
      <c r="AT1437">
        <f>COUNTIF(Table67[[#This Row],[The mechanism of digital assets is difficult to understand, which discourages me from exploring it (E.g, Tokenization, Blockchain)]:[If I want to try different ways to invest, I will explore digital assets.]], 3)</f>
        <v>6</v>
      </c>
      <c r="AU1437">
        <f>Table67[[#This Row],[Midpoint]]/21</f>
        <v>0.2857142857142857</v>
      </c>
      <c r="AV1437">
        <f>_xlfn.PERCENTILE.INC(Table67[Midpoint ratio],0.9)</f>
        <v>0.5714285714285714</v>
      </c>
      <c r="AW1437" t="b">
        <f>Table67[[#This Row],[Midpoint ratio]]&gt;=Table67[[#This Row],[Threshold of Midpoint ratio]]</f>
        <v>0</v>
      </c>
      <c r="AX1437" t="b">
        <f>OR(Table67[[#This Row],[Extreme Response Style]],Table67[[#This Row],[Mid-point Response Style]])</f>
        <v>0</v>
      </c>
      <c r="AY1437" t="b">
        <f>OR(Table67[[#This Row],[Delete? (Stage 1)]],Table67[[#This Row],[Delete? (Stage 2)]])</f>
        <v>1</v>
      </c>
      <c r="AZ1437" t="s">
        <v>84</v>
      </c>
    </row>
    <row r="1438" spans="1:52">
      <c r="A1438">
        <f t="shared" si="91"/>
        <v>1437</v>
      </c>
      <c r="B1438" s="3">
        <v>46062.125104166669</v>
      </c>
      <c r="C1438" s="3">
        <v>46062.127638888887</v>
      </c>
      <c r="D1438" t="s">
        <v>53</v>
      </c>
      <c r="G1438" t="s">
        <v>54</v>
      </c>
      <c r="H1438" t="s">
        <v>55</v>
      </c>
      <c r="I1438" t="s">
        <v>71</v>
      </c>
      <c r="J1438" t="s">
        <v>57</v>
      </c>
      <c r="K1438" t="s">
        <v>57</v>
      </c>
      <c r="L1438" t="s">
        <v>58</v>
      </c>
      <c r="M1438" t="s">
        <v>58</v>
      </c>
      <c r="N1438">
        <v>4</v>
      </c>
      <c r="O1438">
        <v>1</v>
      </c>
      <c r="P1438">
        <v>4</v>
      </c>
      <c r="Q1438">
        <v>4</v>
      </c>
      <c r="R1438">
        <v>2</v>
      </c>
      <c r="S1438">
        <v>3</v>
      </c>
      <c r="T1438">
        <v>4</v>
      </c>
      <c r="U1438">
        <v>4</v>
      </c>
      <c r="V1438">
        <v>4</v>
      </c>
      <c r="W1438">
        <v>4</v>
      </c>
      <c r="X1438">
        <v>4</v>
      </c>
      <c r="Y1438">
        <v>4</v>
      </c>
      <c r="Z1438">
        <v>4</v>
      </c>
      <c r="AA1438">
        <v>3</v>
      </c>
      <c r="AB1438">
        <v>4</v>
      </c>
      <c r="AC1438">
        <v>2</v>
      </c>
      <c r="AD1438">
        <v>3</v>
      </c>
      <c r="AE1438">
        <v>1</v>
      </c>
      <c r="AF1438">
        <v>3</v>
      </c>
      <c r="AG1438">
        <v>2</v>
      </c>
      <c r="AH1438">
        <v>3</v>
      </c>
      <c r="AI1438">
        <v>3</v>
      </c>
      <c r="AJ1438">
        <v>3</v>
      </c>
      <c r="AK1438" t="b">
        <f>Table67[[#This Row],[What is your age?]]&lt;&gt;"18 - 25"</f>
        <v>0</v>
      </c>
      <c r="AL1438" t="b">
        <f t="shared" si="88"/>
        <v>0</v>
      </c>
      <c r="AM1438" t="b">
        <f t="shared" si="89"/>
        <v>0</v>
      </c>
      <c r="AN1438" t="b">
        <f t="shared" si="90"/>
        <v>1</v>
      </c>
      <c r="AO1438" t="b">
        <f>OR(Table67[[#This Row],[Ineligible respondents]:[Inconsistent response on opposite question (3)]])</f>
        <v>1</v>
      </c>
      <c r="AP143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438">
        <f>Table67[[#This Row],[Extreme Response]]/21</f>
        <v>9.5238095238095233E-2</v>
      </c>
      <c r="AR1438">
        <f>_xlfn.PERCENTILE.INC(Table67[Extrem Response Ratio (ERS)],0.9)</f>
        <v>0.61904761904761907</v>
      </c>
      <c r="AS1438" t="b">
        <f>Table67[[#This Row],[Extrem Response Ratio (ERS)]]&gt;=Table67[[#This Row],[Threshold of ERS]]</f>
        <v>0</v>
      </c>
      <c r="AT1438">
        <f>COUNTIF(Table67[[#This Row],[The mechanism of digital assets is difficult to understand, which discourages me from exploring it (E.g, Tokenization, Blockchain)]:[If I want to try different ways to invest, I will explore digital assets.]], 3)</f>
        <v>5</v>
      </c>
      <c r="AU1438">
        <f>Table67[[#This Row],[Midpoint]]/21</f>
        <v>0.23809523809523808</v>
      </c>
      <c r="AV1438">
        <f>_xlfn.PERCENTILE.INC(Table67[Midpoint ratio],0.9)</f>
        <v>0.5714285714285714</v>
      </c>
      <c r="AW1438" t="b">
        <f>Table67[[#This Row],[Midpoint ratio]]&gt;=Table67[[#This Row],[Threshold of Midpoint ratio]]</f>
        <v>0</v>
      </c>
      <c r="AX1438" t="b">
        <f>OR(Table67[[#This Row],[Extreme Response Style]],Table67[[#This Row],[Mid-point Response Style]])</f>
        <v>0</v>
      </c>
      <c r="AY1438" t="b">
        <f>OR(Table67[[#This Row],[Delete? (Stage 1)]],Table67[[#This Row],[Delete? (Stage 2)]])</f>
        <v>1</v>
      </c>
      <c r="AZ1438" t="s">
        <v>84</v>
      </c>
    </row>
    <row r="1439" spans="1:52">
      <c r="A1439">
        <f t="shared" si="91"/>
        <v>1438</v>
      </c>
      <c r="B1439" s="3">
        <v>46062.042847222219</v>
      </c>
      <c r="C1439" s="3">
        <v>46062.044560185182</v>
      </c>
      <c r="D1439" t="s">
        <v>53</v>
      </c>
      <c r="G1439" t="s">
        <v>54</v>
      </c>
      <c r="H1439" t="s">
        <v>63</v>
      </c>
      <c r="I1439" t="s">
        <v>56</v>
      </c>
      <c r="J1439" t="s">
        <v>65</v>
      </c>
      <c r="K1439" t="s">
        <v>57</v>
      </c>
      <c r="L1439" t="s">
        <v>58</v>
      </c>
      <c r="M1439" t="s">
        <v>58</v>
      </c>
      <c r="N1439">
        <v>4</v>
      </c>
      <c r="O1439">
        <v>3</v>
      </c>
      <c r="P1439">
        <v>3</v>
      </c>
      <c r="Q1439">
        <v>3</v>
      </c>
      <c r="R1439">
        <v>3</v>
      </c>
      <c r="S1439">
        <v>3</v>
      </c>
      <c r="T1439">
        <v>2</v>
      </c>
      <c r="U1439">
        <v>4</v>
      </c>
      <c r="V1439">
        <v>3</v>
      </c>
      <c r="W1439">
        <v>1</v>
      </c>
      <c r="X1439">
        <v>3</v>
      </c>
      <c r="Y1439">
        <v>2</v>
      </c>
      <c r="Z1439">
        <v>2</v>
      </c>
      <c r="AA1439">
        <v>2</v>
      </c>
      <c r="AB1439">
        <v>3</v>
      </c>
      <c r="AC1439">
        <v>3</v>
      </c>
      <c r="AD1439">
        <v>3</v>
      </c>
      <c r="AE1439">
        <v>3</v>
      </c>
      <c r="AF1439">
        <v>4</v>
      </c>
      <c r="AG1439">
        <v>3</v>
      </c>
      <c r="AH1439">
        <v>3</v>
      </c>
      <c r="AI1439">
        <v>3</v>
      </c>
      <c r="AJ1439">
        <v>2</v>
      </c>
      <c r="AK1439" t="b">
        <f>Table67[[#This Row],[What is your age?]]&lt;&gt;"18 - 25"</f>
        <v>0</v>
      </c>
      <c r="AL1439" t="b">
        <f t="shared" si="88"/>
        <v>0</v>
      </c>
      <c r="AM1439" t="b">
        <f t="shared" si="89"/>
        <v>0</v>
      </c>
      <c r="AN1439" t="b">
        <f t="shared" si="90"/>
        <v>0</v>
      </c>
      <c r="AO1439" t="b">
        <f>OR(Table67[[#This Row],[Ineligible respondents]:[Inconsistent response on opposite question (3)]])</f>
        <v>0</v>
      </c>
      <c r="AP143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439">
        <f>Table67[[#This Row],[Extreme Response]]/21</f>
        <v>4.7619047619047616E-2</v>
      </c>
      <c r="AR1439">
        <f>_xlfn.PERCENTILE.INC(Table67[Extrem Response Ratio (ERS)],0.9)</f>
        <v>0.61904761904761907</v>
      </c>
      <c r="AS1439" t="b">
        <f>Table67[[#This Row],[Extrem Response Ratio (ERS)]]&gt;=Table67[[#This Row],[Threshold of ERS]]</f>
        <v>0</v>
      </c>
      <c r="AT1439">
        <f>COUNTIF(Table67[[#This Row],[The mechanism of digital assets is difficult to understand, which discourages me from exploring it (E.g, Tokenization, Blockchain)]:[If I want to try different ways to invest, I will explore digital assets.]], 3)</f>
        <v>13</v>
      </c>
      <c r="AU1439">
        <f>Table67[[#This Row],[Midpoint]]/21</f>
        <v>0.61904761904761907</v>
      </c>
      <c r="AV1439">
        <f>_xlfn.PERCENTILE.INC(Table67[Midpoint ratio],0.9)</f>
        <v>0.5714285714285714</v>
      </c>
      <c r="AW1439" t="b">
        <f>Table67[[#This Row],[Midpoint ratio]]&gt;=Table67[[#This Row],[Threshold of Midpoint ratio]]</f>
        <v>1</v>
      </c>
      <c r="AX1439" t="b">
        <f>OR(Table67[[#This Row],[Extreme Response Style]],Table67[[#This Row],[Mid-point Response Style]])</f>
        <v>1</v>
      </c>
      <c r="AY1439" t="b">
        <f>OR(Table67[[#This Row],[Delete? (Stage 1)]],Table67[[#This Row],[Delete? (Stage 2)]])</f>
        <v>1</v>
      </c>
      <c r="AZ1439" t="s">
        <v>84</v>
      </c>
    </row>
    <row r="1440" spans="1:52">
      <c r="A1440">
        <f t="shared" si="91"/>
        <v>1439</v>
      </c>
      <c r="B1440" s="3">
        <v>46065.705752314818</v>
      </c>
      <c r="C1440" s="3">
        <v>46065.706076388888</v>
      </c>
      <c r="D1440" t="s">
        <v>53</v>
      </c>
      <c r="G1440" t="s">
        <v>54</v>
      </c>
      <c r="H1440" t="s">
        <v>70</v>
      </c>
      <c r="I1440" t="s">
        <v>69</v>
      </c>
      <c r="J1440" t="s">
        <v>62</v>
      </c>
      <c r="K1440" t="s">
        <v>62</v>
      </c>
      <c r="L1440" t="s">
        <v>58</v>
      </c>
      <c r="M1440" t="s">
        <v>58</v>
      </c>
      <c r="N1440">
        <v>1</v>
      </c>
      <c r="O1440">
        <v>1</v>
      </c>
      <c r="P1440">
        <v>3</v>
      </c>
      <c r="Q1440">
        <v>3</v>
      </c>
      <c r="R1440">
        <v>2</v>
      </c>
      <c r="S1440">
        <v>2</v>
      </c>
      <c r="T1440">
        <v>3</v>
      </c>
      <c r="U1440">
        <v>3</v>
      </c>
      <c r="V1440">
        <v>4</v>
      </c>
      <c r="W1440">
        <v>4</v>
      </c>
      <c r="X1440">
        <v>3</v>
      </c>
      <c r="Y1440">
        <v>3</v>
      </c>
      <c r="Z1440">
        <v>3</v>
      </c>
      <c r="AA1440">
        <v>3</v>
      </c>
      <c r="AB1440">
        <v>3</v>
      </c>
      <c r="AC1440">
        <v>3</v>
      </c>
      <c r="AD1440">
        <v>3</v>
      </c>
      <c r="AE1440">
        <v>3</v>
      </c>
      <c r="AF1440">
        <v>3</v>
      </c>
      <c r="AG1440">
        <v>3</v>
      </c>
      <c r="AH1440">
        <v>3</v>
      </c>
      <c r="AI1440">
        <v>3</v>
      </c>
      <c r="AJ1440">
        <v>3</v>
      </c>
      <c r="AK1440" t="b">
        <f>Table67[[#This Row],[What is your age?]]&lt;&gt;"18 - 25"</f>
        <v>0</v>
      </c>
      <c r="AL1440" t="b">
        <f t="shared" si="88"/>
        <v>0</v>
      </c>
      <c r="AM1440" t="b">
        <f t="shared" si="89"/>
        <v>0</v>
      </c>
      <c r="AN1440" t="b">
        <f t="shared" si="90"/>
        <v>0</v>
      </c>
      <c r="AO1440" t="b">
        <f>OR(Table67[[#This Row],[Ineligible respondents]:[Inconsistent response on opposite question (3)]])</f>
        <v>0</v>
      </c>
      <c r="AP144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440">
        <f>Table67[[#This Row],[Extreme Response]]/21</f>
        <v>9.5238095238095233E-2</v>
      </c>
      <c r="AR1440">
        <f>_xlfn.PERCENTILE.INC(Table67[Extrem Response Ratio (ERS)],0.9)</f>
        <v>0.61904761904761907</v>
      </c>
      <c r="AS1440" t="b">
        <f>Table67[[#This Row],[Extrem Response Ratio (ERS)]]&gt;=Table67[[#This Row],[Threshold of ERS]]</f>
        <v>0</v>
      </c>
      <c r="AT1440">
        <f>COUNTIF(Table67[[#This Row],[The mechanism of digital assets is difficult to understand, which discourages me from exploring it (E.g, Tokenization, Blockchain)]:[If I want to try different ways to invest, I will explore digital assets.]], 3)</f>
        <v>15</v>
      </c>
      <c r="AU1440">
        <f>Table67[[#This Row],[Midpoint]]/21</f>
        <v>0.7142857142857143</v>
      </c>
      <c r="AV1440">
        <f>_xlfn.PERCENTILE.INC(Table67[Midpoint ratio],0.9)</f>
        <v>0.5714285714285714</v>
      </c>
      <c r="AW1440" t="b">
        <f>Table67[[#This Row],[Midpoint ratio]]&gt;=Table67[[#This Row],[Threshold of Midpoint ratio]]</f>
        <v>1</v>
      </c>
      <c r="AX1440" t="b">
        <f>OR(Table67[[#This Row],[Extreme Response Style]],Table67[[#This Row],[Mid-point Response Style]])</f>
        <v>1</v>
      </c>
      <c r="AY1440" t="b">
        <f>OR(Table67[[#This Row],[Delete? (Stage 1)]],Table67[[#This Row],[Delete? (Stage 2)]])</f>
        <v>1</v>
      </c>
      <c r="AZ1440" t="s">
        <v>84</v>
      </c>
    </row>
    <row r="1441" spans="1:52">
      <c r="A1441">
        <f t="shared" si="91"/>
        <v>1440</v>
      </c>
      <c r="B1441" s="3">
        <v>46065.890694444446</v>
      </c>
      <c r="C1441" s="3">
        <v>46065.894976851851</v>
      </c>
      <c r="D1441" t="s">
        <v>53</v>
      </c>
      <c r="G1441" t="s">
        <v>54</v>
      </c>
      <c r="H1441" t="s">
        <v>63</v>
      </c>
      <c r="I1441" t="s">
        <v>56</v>
      </c>
      <c r="J1441" t="s">
        <v>57</v>
      </c>
      <c r="K1441" t="s">
        <v>57</v>
      </c>
      <c r="L1441" t="s">
        <v>61</v>
      </c>
      <c r="M1441" t="s">
        <v>61</v>
      </c>
      <c r="N1441">
        <v>3</v>
      </c>
      <c r="O1441">
        <v>3</v>
      </c>
      <c r="P1441">
        <v>4</v>
      </c>
      <c r="Q1441">
        <v>3</v>
      </c>
      <c r="R1441">
        <v>3</v>
      </c>
      <c r="S1441">
        <v>3</v>
      </c>
      <c r="T1441">
        <v>3</v>
      </c>
      <c r="U1441">
        <v>4</v>
      </c>
      <c r="V1441">
        <v>2</v>
      </c>
      <c r="W1441">
        <v>2</v>
      </c>
      <c r="X1441">
        <v>3</v>
      </c>
      <c r="Y1441">
        <v>2</v>
      </c>
      <c r="Z1441">
        <v>3</v>
      </c>
      <c r="AA1441">
        <v>3</v>
      </c>
      <c r="AB1441">
        <v>2</v>
      </c>
      <c r="AC1441">
        <v>4</v>
      </c>
      <c r="AD1441">
        <v>2</v>
      </c>
      <c r="AE1441">
        <v>2</v>
      </c>
      <c r="AF1441">
        <v>3</v>
      </c>
      <c r="AG1441">
        <v>3</v>
      </c>
      <c r="AH1441">
        <v>3</v>
      </c>
      <c r="AI1441">
        <v>3</v>
      </c>
      <c r="AJ1441">
        <v>3</v>
      </c>
      <c r="AK1441" t="b">
        <f>Table67[[#This Row],[What is your age?]]&lt;&gt;"18 - 25"</f>
        <v>0</v>
      </c>
      <c r="AL1441" t="b">
        <f t="shared" si="88"/>
        <v>0</v>
      </c>
      <c r="AM1441" t="b">
        <f t="shared" si="89"/>
        <v>0</v>
      </c>
      <c r="AN1441" t="b">
        <f t="shared" si="90"/>
        <v>0</v>
      </c>
      <c r="AO1441" t="b">
        <f>OR(Table67[[#This Row],[Ineligible respondents]:[Inconsistent response on opposite question (3)]])</f>
        <v>0</v>
      </c>
      <c r="AP144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441">
        <f>Table67[[#This Row],[Extreme Response]]/21</f>
        <v>0</v>
      </c>
      <c r="AR1441">
        <f>_xlfn.PERCENTILE.INC(Table67[Extrem Response Ratio (ERS)],0.9)</f>
        <v>0.61904761904761907</v>
      </c>
      <c r="AS1441" t="b">
        <f>Table67[[#This Row],[Extrem Response Ratio (ERS)]]&gt;=Table67[[#This Row],[Threshold of ERS]]</f>
        <v>0</v>
      </c>
      <c r="AT1441">
        <f>COUNTIF(Table67[[#This Row],[The mechanism of digital assets is difficult to understand, which discourages me from exploring it (E.g, Tokenization, Blockchain)]:[If I want to try different ways to invest, I will explore digital assets.]], 3)</f>
        <v>12</v>
      </c>
      <c r="AU1441">
        <f>Table67[[#This Row],[Midpoint]]/21</f>
        <v>0.5714285714285714</v>
      </c>
      <c r="AV1441">
        <f>_xlfn.PERCENTILE.INC(Table67[Midpoint ratio],0.9)</f>
        <v>0.5714285714285714</v>
      </c>
      <c r="AW1441" t="b">
        <f>Table67[[#This Row],[Midpoint ratio]]&gt;=Table67[[#This Row],[Threshold of Midpoint ratio]]</f>
        <v>1</v>
      </c>
      <c r="AX1441" t="b">
        <f>OR(Table67[[#This Row],[Extreme Response Style]],Table67[[#This Row],[Mid-point Response Style]])</f>
        <v>1</v>
      </c>
      <c r="AY1441" t="b">
        <f>OR(Table67[[#This Row],[Delete? (Stage 1)]],Table67[[#This Row],[Delete? (Stage 2)]])</f>
        <v>1</v>
      </c>
      <c r="AZ1441" t="s">
        <v>84</v>
      </c>
    </row>
    <row r="1442" spans="1:52">
      <c r="A1442">
        <f t="shared" si="91"/>
        <v>1441</v>
      </c>
      <c r="B1442" s="3">
        <v>46062.042708333334</v>
      </c>
      <c r="C1442" s="3">
        <v>46062.045902777776</v>
      </c>
      <c r="D1442" t="s">
        <v>53</v>
      </c>
      <c r="G1442" t="s">
        <v>54</v>
      </c>
      <c r="H1442" t="s">
        <v>55</v>
      </c>
      <c r="I1442" t="s">
        <v>56</v>
      </c>
      <c r="J1442" t="s">
        <v>62</v>
      </c>
      <c r="K1442" t="s">
        <v>57</v>
      </c>
      <c r="L1442" t="s">
        <v>58</v>
      </c>
      <c r="M1442" t="s">
        <v>58</v>
      </c>
      <c r="N1442">
        <v>3</v>
      </c>
      <c r="O1442">
        <v>5</v>
      </c>
      <c r="P1442">
        <v>5</v>
      </c>
      <c r="Q1442">
        <v>1</v>
      </c>
      <c r="R1442">
        <v>2</v>
      </c>
      <c r="S1442">
        <v>2</v>
      </c>
      <c r="T1442">
        <v>3</v>
      </c>
      <c r="U1442">
        <v>3</v>
      </c>
      <c r="V1442">
        <v>1</v>
      </c>
      <c r="W1442">
        <v>1</v>
      </c>
      <c r="X1442">
        <v>3</v>
      </c>
      <c r="Y1442">
        <v>1</v>
      </c>
      <c r="Z1442">
        <v>4</v>
      </c>
      <c r="AA1442">
        <v>2</v>
      </c>
      <c r="AB1442">
        <v>1</v>
      </c>
      <c r="AC1442">
        <v>3</v>
      </c>
      <c r="AD1442">
        <v>4</v>
      </c>
      <c r="AE1442">
        <v>3</v>
      </c>
      <c r="AF1442">
        <v>4</v>
      </c>
      <c r="AG1442">
        <v>4</v>
      </c>
      <c r="AH1442">
        <v>3</v>
      </c>
      <c r="AI1442">
        <v>3</v>
      </c>
      <c r="AJ1442">
        <v>2</v>
      </c>
      <c r="AK1442" t="b">
        <f>Table67[[#This Row],[What is your age?]]&lt;&gt;"18 - 25"</f>
        <v>0</v>
      </c>
      <c r="AL1442" t="b">
        <f t="shared" si="88"/>
        <v>0</v>
      </c>
      <c r="AM1442" t="b">
        <f t="shared" si="89"/>
        <v>0</v>
      </c>
      <c r="AN1442" t="b">
        <f t="shared" si="90"/>
        <v>1</v>
      </c>
      <c r="AO1442" t="b">
        <f>OR(Table67[[#This Row],[Ineligible respondents]:[Inconsistent response on opposite question (3)]])</f>
        <v>1</v>
      </c>
      <c r="AP144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442">
        <f>Table67[[#This Row],[Extreme Response]]/21</f>
        <v>0.33333333333333331</v>
      </c>
      <c r="AR1442">
        <f>_xlfn.PERCENTILE.INC(Table67[Extrem Response Ratio (ERS)],0.9)</f>
        <v>0.61904761904761907</v>
      </c>
      <c r="AS1442" t="b">
        <f>Table67[[#This Row],[Extrem Response Ratio (ERS)]]&gt;=Table67[[#This Row],[Threshold of ERS]]</f>
        <v>0</v>
      </c>
      <c r="AT1442">
        <f>COUNTIF(Table67[[#This Row],[The mechanism of digital assets is difficult to understand, which discourages me from exploring it (E.g, Tokenization, Blockchain)]:[If I want to try different ways to invest, I will explore digital assets.]], 3)</f>
        <v>7</v>
      </c>
      <c r="AU1442">
        <f>Table67[[#This Row],[Midpoint]]/21</f>
        <v>0.33333333333333331</v>
      </c>
      <c r="AV1442">
        <f>_xlfn.PERCENTILE.INC(Table67[Midpoint ratio],0.9)</f>
        <v>0.5714285714285714</v>
      </c>
      <c r="AW1442" t="b">
        <f>Table67[[#This Row],[Midpoint ratio]]&gt;=Table67[[#This Row],[Threshold of Midpoint ratio]]</f>
        <v>0</v>
      </c>
      <c r="AX1442" t="b">
        <f>OR(Table67[[#This Row],[Extreme Response Style]],Table67[[#This Row],[Mid-point Response Style]])</f>
        <v>0</v>
      </c>
      <c r="AY1442" t="b">
        <f>OR(Table67[[#This Row],[Delete? (Stage 1)]],Table67[[#This Row],[Delete? (Stage 2)]])</f>
        <v>1</v>
      </c>
      <c r="AZ1442" t="s">
        <v>84</v>
      </c>
    </row>
    <row r="1443" spans="1:52">
      <c r="A1443">
        <f t="shared" si="91"/>
        <v>1442</v>
      </c>
      <c r="B1443" s="3">
        <v>46065.72451388889</v>
      </c>
      <c r="C1443" s="3">
        <v>46065.724918981483</v>
      </c>
      <c r="D1443" t="s">
        <v>53</v>
      </c>
      <c r="G1443" t="s">
        <v>54</v>
      </c>
      <c r="H1443" t="s">
        <v>55</v>
      </c>
      <c r="I1443" t="s">
        <v>56</v>
      </c>
      <c r="J1443" t="s">
        <v>60</v>
      </c>
      <c r="K1443" t="s">
        <v>64</v>
      </c>
      <c r="L1443" t="s">
        <v>61</v>
      </c>
      <c r="M1443" t="s">
        <v>58</v>
      </c>
      <c r="N1443">
        <v>3</v>
      </c>
      <c r="O1443">
        <v>4</v>
      </c>
      <c r="P1443">
        <v>3</v>
      </c>
      <c r="Q1443">
        <v>3</v>
      </c>
      <c r="R1443">
        <v>4</v>
      </c>
      <c r="S1443">
        <v>3</v>
      </c>
      <c r="T1443">
        <v>3</v>
      </c>
      <c r="U1443">
        <v>4</v>
      </c>
      <c r="V1443">
        <v>4</v>
      </c>
      <c r="W1443">
        <v>4</v>
      </c>
      <c r="X1443">
        <v>5</v>
      </c>
      <c r="Y1443">
        <v>3</v>
      </c>
      <c r="Z1443">
        <v>5</v>
      </c>
      <c r="AA1443">
        <v>2</v>
      </c>
      <c r="AB1443">
        <v>3</v>
      </c>
      <c r="AC1443">
        <v>4</v>
      </c>
      <c r="AD1443">
        <v>5</v>
      </c>
      <c r="AE1443">
        <v>5</v>
      </c>
      <c r="AF1443">
        <v>3</v>
      </c>
      <c r="AG1443">
        <v>2</v>
      </c>
      <c r="AH1443">
        <v>5</v>
      </c>
      <c r="AI1443">
        <v>1</v>
      </c>
      <c r="AJ1443">
        <v>3</v>
      </c>
      <c r="AK1443" t="b">
        <f>Table67[[#This Row],[What is your age?]]&lt;&gt;"18 - 25"</f>
        <v>0</v>
      </c>
      <c r="AL1443" t="b">
        <f t="shared" si="88"/>
        <v>0</v>
      </c>
      <c r="AM1443" t="b">
        <f t="shared" si="89"/>
        <v>0</v>
      </c>
      <c r="AN1443" t="b">
        <f t="shared" si="90"/>
        <v>0</v>
      </c>
      <c r="AO1443" t="b">
        <f>OR(Table67[[#This Row],[Ineligible respondents]:[Inconsistent response on opposite question (3)]])</f>
        <v>0</v>
      </c>
      <c r="AP144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443">
        <f>Table67[[#This Row],[Extreme Response]]/21</f>
        <v>0.23809523809523808</v>
      </c>
      <c r="AR1443">
        <f>_xlfn.PERCENTILE.INC(Table67[Extrem Response Ratio (ERS)],0.9)</f>
        <v>0.61904761904761907</v>
      </c>
      <c r="AS1443" t="b">
        <f>Table67[[#This Row],[Extrem Response Ratio (ERS)]]&gt;=Table67[[#This Row],[Threshold of ERS]]</f>
        <v>0</v>
      </c>
      <c r="AT1443">
        <f>COUNTIF(Table67[[#This Row],[The mechanism of digital assets is difficult to understand, which discourages me from exploring it (E.g, Tokenization, Blockchain)]:[If I want to try different ways to invest, I will explore digital assets.]], 3)</f>
        <v>8</v>
      </c>
      <c r="AU1443">
        <f>Table67[[#This Row],[Midpoint]]/21</f>
        <v>0.38095238095238093</v>
      </c>
      <c r="AV1443">
        <f>_xlfn.PERCENTILE.INC(Table67[Midpoint ratio],0.9)</f>
        <v>0.5714285714285714</v>
      </c>
      <c r="AW1443" t="b">
        <f>Table67[[#This Row],[Midpoint ratio]]&gt;=Table67[[#This Row],[Threshold of Midpoint ratio]]</f>
        <v>0</v>
      </c>
      <c r="AX1443" t="b">
        <f>OR(Table67[[#This Row],[Extreme Response Style]],Table67[[#This Row],[Mid-point Response Style]])</f>
        <v>0</v>
      </c>
      <c r="AY1443" t="b">
        <f>OR(Table67[[#This Row],[Delete? (Stage 1)]],Table67[[#This Row],[Delete? (Stage 2)]])</f>
        <v>0</v>
      </c>
      <c r="AZ1443" t="s">
        <v>84</v>
      </c>
    </row>
    <row r="1444" spans="1:52">
      <c r="A1444">
        <f t="shared" si="91"/>
        <v>1443</v>
      </c>
      <c r="B1444" s="3">
        <v>46065.828182870369</v>
      </c>
      <c r="C1444" s="3">
        <v>46065.830763888887</v>
      </c>
      <c r="D1444" t="s">
        <v>53</v>
      </c>
      <c r="G1444" t="s">
        <v>54</v>
      </c>
      <c r="H1444" t="s">
        <v>63</v>
      </c>
      <c r="I1444" t="s">
        <v>56</v>
      </c>
      <c r="J1444" t="s">
        <v>57</v>
      </c>
      <c r="K1444" t="s">
        <v>57</v>
      </c>
      <c r="L1444" t="s">
        <v>58</v>
      </c>
      <c r="M1444" t="s">
        <v>58</v>
      </c>
      <c r="N1444">
        <v>3</v>
      </c>
      <c r="O1444">
        <v>2</v>
      </c>
      <c r="P1444">
        <v>4</v>
      </c>
      <c r="Q1444">
        <v>3</v>
      </c>
      <c r="R1444">
        <v>3</v>
      </c>
      <c r="S1444">
        <v>2</v>
      </c>
      <c r="T1444">
        <v>3</v>
      </c>
      <c r="U1444">
        <v>3</v>
      </c>
      <c r="V1444">
        <v>4</v>
      </c>
      <c r="W1444">
        <v>4</v>
      </c>
      <c r="X1444">
        <v>3</v>
      </c>
      <c r="Y1444">
        <v>4</v>
      </c>
      <c r="Z1444">
        <v>3</v>
      </c>
      <c r="AA1444">
        <v>2</v>
      </c>
      <c r="AB1444">
        <v>3</v>
      </c>
      <c r="AC1444">
        <v>3</v>
      </c>
      <c r="AD1444">
        <v>3</v>
      </c>
      <c r="AE1444">
        <v>3</v>
      </c>
      <c r="AF1444">
        <v>3</v>
      </c>
      <c r="AG1444">
        <v>2</v>
      </c>
      <c r="AH1444">
        <v>5</v>
      </c>
      <c r="AI1444">
        <v>1</v>
      </c>
      <c r="AJ1444">
        <v>3</v>
      </c>
      <c r="AK1444" t="b">
        <f>Table67[[#This Row],[What is your age?]]&lt;&gt;"18 - 25"</f>
        <v>0</v>
      </c>
      <c r="AL1444" t="b">
        <f t="shared" si="88"/>
        <v>0</v>
      </c>
      <c r="AM1444" t="b">
        <f t="shared" si="89"/>
        <v>0</v>
      </c>
      <c r="AN1444" t="b">
        <f t="shared" si="90"/>
        <v>0</v>
      </c>
      <c r="AO1444" t="b">
        <f>OR(Table67[[#This Row],[Ineligible respondents]:[Inconsistent response on opposite question (3)]])</f>
        <v>0</v>
      </c>
      <c r="AP144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444">
        <f>Table67[[#This Row],[Extreme Response]]/21</f>
        <v>4.7619047619047616E-2</v>
      </c>
      <c r="AR1444">
        <f>_xlfn.PERCENTILE.INC(Table67[Extrem Response Ratio (ERS)],0.9)</f>
        <v>0.61904761904761907</v>
      </c>
      <c r="AS1444" t="b">
        <f>Table67[[#This Row],[Extrem Response Ratio (ERS)]]&gt;=Table67[[#This Row],[Threshold of ERS]]</f>
        <v>0</v>
      </c>
      <c r="AT1444">
        <f>COUNTIF(Table67[[#This Row],[The mechanism of digital assets is difficult to understand, which discourages me from exploring it (E.g, Tokenization, Blockchain)]:[If I want to try different ways to invest, I will explore digital assets.]], 3)</f>
        <v>12</v>
      </c>
      <c r="AU1444">
        <f>Table67[[#This Row],[Midpoint]]/21</f>
        <v>0.5714285714285714</v>
      </c>
      <c r="AV1444">
        <f>_xlfn.PERCENTILE.INC(Table67[Midpoint ratio],0.9)</f>
        <v>0.5714285714285714</v>
      </c>
      <c r="AW1444" t="b">
        <f>Table67[[#This Row],[Midpoint ratio]]&gt;=Table67[[#This Row],[Threshold of Midpoint ratio]]</f>
        <v>1</v>
      </c>
      <c r="AX1444" t="b">
        <f>OR(Table67[[#This Row],[Extreme Response Style]],Table67[[#This Row],[Mid-point Response Style]])</f>
        <v>1</v>
      </c>
      <c r="AY1444" t="b">
        <f>OR(Table67[[#This Row],[Delete? (Stage 1)]],Table67[[#This Row],[Delete? (Stage 2)]])</f>
        <v>1</v>
      </c>
      <c r="AZ1444" t="s">
        <v>84</v>
      </c>
    </row>
    <row r="1445" spans="1:52">
      <c r="A1445">
        <f t="shared" si="91"/>
        <v>1444</v>
      </c>
      <c r="B1445" s="3">
        <v>46062.182071759256</v>
      </c>
      <c r="C1445" s="3">
        <v>46062.186782407407</v>
      </c>
      <c r="D1445" t="s">
        <v>53</v>
      </c>
      <c r="G1445" t="s">
        <v>54</v>
      </c>
      <c r="H1445" t="s">
        <v>63</v>
      </c>
      <c r="I1445" t="s">
        <v>71</v>
      </c>
      <c r="J1445" t="s">
        <v>62</v>
      </c>
      <c r="K1445" t="s">
        <v>57</v>
      </c>
      <c r="L1445" t="s">
        <v>58</v>
      </c>
      <c r="M1445" t="s">
        <v>61</v>
      </c>
      <c r="N1445">
        <v>4</v>
      </c>
      <c r="O1445">
        <v>4</v>
      </c>
      <c r="P1445">
        <v>4</v>
      </c>
      <c r="Q1445">
        <v>4</v>
      </c>
      <c r="R1445">
        <v>3</v>
      </c>
      <c r="S1445">
        <v>4</v>
      </c>
      <c r="T1445">
        <v>2</v>
      </c>
      <c r="U1445">
        <v>3</v>
      </c>
      <c r="V1445">
        <v>4</v>
      </c>
      <c r="W1445">
        <v>4</v>
      </c>
      <c r="X1445">
        <v>4</v>
      </c>
      <c r="Y1445">
        <v>4</v>
      </c>
      <c r="Z1445">
        <v>4</v>
      </c>
      <c r="AA1445">
        <v>5</v>
      </c>
      <c r="AB1445">
        <v>3</v>
      </c>
      <c r="AC1445">
        <v>3</v>
      </c>
      <c r="AD1445">
        <v>5</v>
      </c>
      <c r="AE1445">
        <v>5</v>
      </c>
      <c r="AF1445">
        <v>3</v>
      </c>
      <c r="AG1445">
        <v>3</v>
      </c>
      <c r="AH1445">
        <v>4</v>
      </c>
      <c r="AI1445">
        <v>2</v>
      </c>
      <c r="AJ1445">
        <v>3</v>
      </c>
      <c r="AK1445" t="b">
        <f>Table67[[#This Row],[What is your age?]]&lt;&gt;"18 - 25"</f>
        <v>0</v>
      </c>
      <c r="AL1445" t="b">
        <f t="shared" si="88"/>
        <v>0</v>
      </c>
      <c r="AM1445" t="b">
        <f t="shared" si="89"/>
        <v>0</v>
      </c>
      <c r="AN1445" t="b">
        <f t="shared" si="90"/>
        <v>1</v>
      </c>
      <c r="AO1445" t="b">
        <f>OR(Table67[[#This Row],[Ineligible respondents]:[Inconsistent response on opposite question (3)]])</f>
        <v>1</v>
      </c>
      <c r="AP144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445">
        <f>Table67[[#This Row],[Extreme Response]]/21</f>
        <v>0.14285714285714285</v>
      </c>
      <c r="AR1445">
        <f>_xlfn.PERCENTILE.INC(Table67[Extrem Response Ratio (ERS)],0.9)</f>
        <v>0.61904761904761907</v>
      </c>
      <c r="AS1445" t="b">
        <f>Table67[[#This Row],[Extrem Response Ratio (ERS)]]&gt;=Table67[[#This Row],[Threshold of ERS]]</f>
        <v>0</v>
      </c>
      <c r="AT1445">
        <f>COUNTIF(Table67[[#This Row],[The mechanism of digital assets is difficult to understand, which discourages me from exploring it (E.g, Tokenization, Blockchain)]:[If I want to try different ways to invest, I will explore digital assets.]], 3)</f>
        <v>6</v>
      </c>
      <c r="AU1445">
        <f>Table67[[#This Row],[Midpoint]]/21</f>
        <v>0.2857142857142857</v>
      </c>
      <c r="AV1445">
        <f>_xlfn.PERCENTILE.INC(Table67[Midpoint ratio],0.9)</f>
        <v>0.5714285714285714</v>
      </c>
      <c r="AW1445" t="b">
        <f>Table67[[#This Row],[Midpoint ratio]]&gt;=Table67[[#This Row],[Threshold of Midpoint ratio]]</f>
        <v>0</v>
      </c>
      <c r="AX1445" t="b">
        <f>OR(Table67[[#This Row],[Extreme Response Style]],Table67[[#This Row],[Mid-point Response Style]])</f>
        <v>0</v>
      </c>
      <c r="AY1445" t="b">
        <f>OR(Table67[[#This Row],[Delete? (Stage 1)]],Table67[[#This Row],[Delete? (Stage 2)]])</f>
        <v>1</v>
      </c>
      <c r="AZ1445" t="s">
        <v>84</v>
      </c>
    </row>
    <row r="1446" spans="1:52">
      <c r="A1446">
        <f t="shared" si="91"/>
        <v>1445</v>
      </c>
      <c r="B1446" s="3">
        <v>46065.712407407409</v>
      </c>
      <c r="C1446" s="3">
        <v>46065.712777777779</v>
      </c>
      <c r="D1446" t="s">
        <v>53</v>
      </c>
      <c r="G1446" t="s">
        <v>54</v>
      </c>
      <c r="H1446" t="s">
        <v>55</v>
      </c>
      <c r="I1446" t="s">
        <v>71</v>
      </c>
      <c r="J1446" t="s">
        <v>57</v>
      </c>
      <c r="K1446" t="s">
        <v>57</v>
      </c>
      <c r="L1446" t="s">
        <v>58</v>
      </c>
      <c r="M1446" t="s">
        <v>58</v>
      </c>
      <c r="N1446">
        <v>4</v>
      </c>
      <c r="O1446">
        <v>4</v>
      </c>
      <c r="P1446">
        <v>3</v>
      </c>
      <c r="Q1446">
        <v>3</v>
      </c>
      <c r="R1446">
        <v>3</v>
      </c>
      <c r="S1446">
        <v>2</v>
      </c>
      <c r="T1446">
        <v>3</v>
      </c>
      <c r="U1446">
        <v>3</v>
      </c>
      <c r="V1446">
        <v>4</v>
      </c>
      <c r="W1446">
        <v>4</v>
      </c>
      <c r="X1446">
        <v>3</v>
      </c>
      <c r="Y1446">
        <v>4</v>
      </c>
      <c r="Z1446">
        <v>3</v>
      </c>
      <c r="AA1446">
        <v>2</v>
      </c>
      <c r="AB1446">
        <v>2</v>
      </c>
      <c r="AC1446">
        <v>3</v>
      </c>
      <c r="AD1446">
        <v>4</v>
      </c>
      <c r="AE1446">
        <v>3</v>
      </c>
      <c r="AF1446">
        <v>4</v>
      </c>
      <c r="AG1446">
        <v>2</v>
      </c>
      <c r="AH1446">
        <v>5</v>
      </c>
      <c r="AI1446">
        <v>1</v>
      </c>
      <c r="AJ1446">
        <v>2</v>
      </c>
      <c r="AK1446" t="b">
        <f>Table67[[#This Row],[What is your age?]]&lt;&gt;"18 - 25"</f>
        <v>0</v>
      </c>
      <c r="AL1446" t="b">
        <f t="shared" si="88"/>
        <v>0</v>
      </c>
      <c r="AM1446" t="b">
        <f t="shared" si="89"/>
        <v>0</v>
      </c>
      <c r="AN1446" t="b">
        <f t="shared" si="90"/>
        <v>0</v>
      </c>
      <c r="AO1446" t="b">
        <f>OR(Table67[[#This Row],[Ineligible respondents]:[Inconsistent response on opposite question (3)]])</f>
        <v>0</v>
      </c>
      <c r="AP144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446">
        <f>Table67[[#This Row],[Extreme Response]]/21</f>
        <v>4.7619047619047616E-2</v>
      </c>
      <c r="AR1446">
        <f>_xlfn.PERCENTILE.INC(Table67[Extrem Response Ratio (ERS)],0.9)</f>
        <v>0.61904761904761907</v>
      </c>
      <c r="AS1446" t="b">
        <f>Table67[[#This Row],[Extrem Response Ratio (ERS)]]&gt;=Table67[[#This Row],[Threshold of ERS]]</f>
        <v>0</v>
      </c>
      <c r="AT1446">
        <f>COUNTIF(Table67[[#This Row],[The mechanism of digital assets is difficult to understand, which discourages me from exploring it (E.g, Tokenization, Blockchain)]:[If I want to try different ways to invest, I will explore digital assets.]], 3)</f>
        <v>9</v>
      </c>
      <c r="AU1446">
        <f>Table67[[#This Row],[Midpoint]]/21</f>
        <v>0.42857142857142855</v>
      </c>
      <c r="AV1446">
        <f>_xlfn.PERCENTILE.INC(Table67[Midpoint ratio],0.9)</f>
        <v>0.5714285714285714</v>
      </c>
      <c r="AW1446" t="b">
        <f>Table67[[#This Row],[Midpoint ratio]]&gt;=Table67[[#This Row],[Threshold of Midpoint ratio]]</f>
        <v>0</v>
      </c>
      <c r="AX1446" t="b">
        <f>OR(Table67[[#This Row],[Extreme Response Style]],Table67[[#This Row],[Mid-point Response Style]])</f>
        <v>0</v>
      </c>
      <c r="AY1446" t="b">
        <f>OR(Table67[[#This Row],[Delete? (Stage 1)]],Table67[[#This Row],[Delete? (Stage 2)]])</f>
        <v>0</v>
      </c>
      <c r="AZ1446" t="s">
        <v>84</v>
      </c>
    </row>
    <row r="1447" spans="1:52">
      <c r="A1447">
        <f t="shared" si="91"/>
        <v>1446</v>
      </c>
      <c r="B1447" s="3">
        <v>46065.882256944446</v>
      </c>
      <c r="C1447" s="3">
        <v>46065.895381944443</v>
      </c>
      <c r="D1447" t="s">
        <v>53</v>
      </c>
      <c r="G1447" t="s">
        <v>54</v>
      </c>
      <c r="H1447" t="s">
        <v>55</v>
      </c>
      <c r="I1447" t="s">
        <v>71</v>
      </c>
      <c r="J1447" t="s">
        <v>62</v>
      </c>
      <c r="K1447" t="s">
        <v>62</v>
      </c>
      <c r="L1447" t="s">
        <v>58</v>
      </c>
      <c r="M1447" t="s">
        <v>58</v>
      </c>
      <c r="N1447">
        <v>2</v>
      </c>
      <c r="O1447">
        <v>2</v>
      </c>
      <c r="P1447">
        <v>3</v>
      </c>
      <c r="Q1447">
        <v>3</v>
      </c>
      <c r="R1447">
        <v>1</v>
      </c>
      <c r="S1447">
        <v>4</v>
      </c>
      <c r="T1447">
        <v>3</v>
      </c>
      <c r="U1447">
        <v>3</v>
      </c>
      <c r="V1447">
        <v>3</v>
      </c>
      <c r="W1447">
        <v>3</v>
      </c>
      <c r="X1447">
        <v>3</v>
      </c>
      <c r="Y1447">
        <v>3</v>
      </c>
      <c r="Z1447">
        <v>3</v>
      </c>
      <c r="AA1447">
        <v>4</v>
      </c>
      <c r="AB1447">
        <v>3</v>
      </c>
      <c r="AC1447">
        <v>3</v>
      </c>
      <c r="AD1447">
        <v>3</v>
      </c>
      <c r="AE1447">
        <v>2</v>
      </c>
      <c r="AF1447">
        <v>2</v>
      </c>
      <c r="AG1447">
        <v>3</v>
      </c>
      <c r="AH1447">
        <v>3</v>
      </c>
      <c r="AI1447">
        <v>3</v>
      </c>
      <c r="AJ1447">
        <v>4</v>
      </c>
      <c r="AK1447" t="b">
        <f>Table67[[#This Row],[What is your age?]]&lt;&gt;"18 - 25"</f>
        <v>0</v>
      </c>
      <c r="AL1447" t="b">
        <f t="shared" si="88"/>
        <v>0</v>
      </c>
      <c r="AM1447" t="b">
        <f t="shared" si="89"/>
        <v>0</v>
      </c>
      <c r="AN1447" t="b">
        <f t="shared" si="90"/>
        <v>0</v>
      </c>
      <c r="AO1447" t="b">
        <f>OR(Table67[[#This Row],[Ineligible respondents]:[Inconsistent response on opposite question (3)]])</f>
        <v>0</v>
      </c>
      <c r="AP144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447">
        <f>Table67[[#This Row],[Extreme Response]]/21</f>
        <v>4.7619047619047616E-2</v>
      </c>
      <c r="AR1447">
        <f>_xlfn.PERCENTILE.INC(Table67[Extrem Response Ratio (ERS)],0.9)</f>
        <v>0.61904761904761907</v>
      </c>
      <c r="AS1447" t="b">
        <f>Table67[[#This Row],[Extrem Response Ratio (ERS)]]&gt;=Table67[[#This Row],[Threshold of ERS]]</f>
        <v>0</v>
      </c>
      <c r="AT1447">
        <f>COUNTIF(Table67[[#This Row],[The mechanism of digital assets is difficult to understand, which discourages me from exploring it (E.g, Tokenization, Blockchain)]:[If I want to try different ways to invest, I will explore digital assets.]], 3)</f>
        <v>14</v>
      </c>
      <c r="AU1447">
        <f>Table67[[#This Row],[Midpoint]]/21</f>
        <v>0.66666666666666663</v>
      </c>
      <c r="AV1447">
        <f>_xlfn.PERCENTILE.INC(Table67[Midpoint ratio],0.9)</f>
        <v>0.5714285714285714</v>
      </c>
      <c r="AW1447" t="b">
        <f>Table67[[#This Row],[Midpoint ratio]]&gt;=Table67[[#This Row],[Threshold of Midpoint ratio]]</f>
        <v>1</v>
      </c>
      <c r="AX1447" t="b">
        <f>OR(Table67[[#This Row],[Extreme Response Style]],Table67[[#This Row],[Mid-point Response Style]])</f>
        <v>1</v>
      </c>
      <c r="AY1447" t="b">
        <f>OR(Table67[[#This Row],[Delete? (Stage 1)]],Table67[[#This Row],[Delete? (Stage 2)]])</f>
        <v>1</v>
      </c>
      <c r="AZ1447" t="s">
        <v>84</v>
      </c>
    </row>
    <row r="1448" spans="1:52">
      <c r="A1448">
        <f t="shared" si="91"/>
        <v>1447</v>
      </c>
      <c r="B1448" s="3">
        <v>46065.832743055558</v>
      </c>
      <c r="C1448" s="3">
        <v>46065.835023148145</v>
      </c>
      <c r="D1448" t="s">
        <v>53</v>
      </c>
      <c r="G1448" t="s">
        <v>54</v>
      </c>
      <c r="H1448" t="s">
        <v>63</v>
      </c>
      <c r="I1448" t="s">
        <v>69</v>
      </c>
      <c r="J1448" t="s">
        <v>62</v>
      </c>
      <c r="K1448" t="s">
        <v>57</v>
      </c>
      <c r="L1448" t="s">
        <v>61</v>
      </c>
      <c r="M1448" t="s">
        <v>58</v>
      </c>
      <c r="N1448">
        <v>3</v>
      </c>
      <c r="O1448">
        <v>2</v>
      </c>
      <c r="P1448">
        <v>3</v>
      </c>
      <c r="Q1448">
        <v>2</v>
      </c>
      <c r="R1448">
        <v>2</v>
      </c>
      <c r="S1448">
        <v>2</v>
      </c>
      <c r="T1448">
        <v>1</v>
      </c>
      <c r="U1448">
        <v>2</v>
      </c>
      <c r="V1448">
        <v>3</v>
      </c>
      <c r="W1448">
        <v>2</v>
      </c>
      <c r="X1448">
        <v>1</v>
      </c>
      <c r="Y1448">
        <v>3</v>
      </c>
      <c r="Z1448">
        <v>2</v>
      </c>
      <c r="AA1448">
        <v>2</v>
      </c>
      <c r="AB1448">
        <v>2</v>
      </c>
      <c r="AC1448">
        <v>3</v>
      </c>
      <c r="AD1448">
        <v>2</v>
      </c>
      <c r="AE1448">
        <v>2</v>
      </c>
      <c r="AF1448">
        <v>4</v>
      </c>
      <c r="AG1448">
        <v>2</v>
      </c>
      <c r="AH1448">
        <v>4</v>
      </c>
      <c r="AI1448">
        <v>2</v>
      </c>
      <c r="AJ1448">
        <v>2</v>
      </c>
      <c r="AK1448" t="b">
        <f>Table67[[#This Row],[What is your age?]]&lt;&gt;"18 - 25"</f>
        <v>0</v>
      </c>
      <c r="AL1448" t="b">
        <f t="shared" si="88"/>
        <v>0</v>
      </c>
      <c r="AM1448" t="b">
        <f t="shared" si="89"/>
        <v>0</v>
      </c>
      <c r="AN1448" t="b">
        <f t="shared" si="90"/>
        <v>0</v>
      </c>
      <c r="AO1448" t="b">
        <f>OR(Table67[[#This Row],[Ineligible respondents]:[Inconsistent response on opposite question (3)]])</f>
        <v>0</v>
      </c>
      <c r="AP144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448">
        <f>Table67[[#This Row],[Extreme Response]]/21</f>
        <v>9.5238095238095233E-2</v>
      </c>
      <c r="AR1448">
        <f>_xlfn.PERCENTILE.INC(Table67[Extrem Response Ratio (ERS)],0.9)</f>
        <v>0.61904761904761907</v>
      </c>
      <c r="AS1448" t="b">
        <f>Table67[[#This Row],[Extrem Response Ratio (ERS)]]&gt;=Table67[[#This Row],[Threshold of ERS]]</f>
        <v>0</v>
      </c>
      <c r="AT1448">
        <f>COUNTIF(Table67[[#This Row],[The mechanism of digital assets is difficult to understand, which discourages me from exploring it (E.g, Tokenization, Blockchain)]:[If I want to try different ways to invest, I will explore digital assets.]], 3)</f>
        <v>5</v>
      </c>
      <c r="AU1448">
        <f>Table67[[#This Row],[Midpoint]]/21</f>
        <v>0.23809523809523808</v>
      </c>
      <c r="AV1448">
        <f>_xlfn.PERCENTILE.INC(Table67[Midpoint ratio],0.9)</f>
        <v>0.5714285714285714</v>
      </c>
      <c r="AW1448" t="b">
        <f>Table67[[#This Row],[Midpoint ratio]]&gt;=Table67[[#This Row],[Threshold of Midpoint ratio]]</f>
        <v>0</v>
      </c>
      <c r="AX1448" t="b">
        <f>OR(Table67[[#This Row],[Extreme Response Style]],Table67[[#This Row],[Mid-point Response Style]])</f>
        <v>0</v>
      </c>
      <c r="AY1448" t="b">
        <f>OR(Table67[[#This Row],[Delete? (Stage 1)]],Table67[[#This Row],[Delete? (Stage 2)]])</f>
        <v>0</v>
      </c>
      <c r="AZ1448" t="s">
        <v>84</v>
      </c>
    </row>
    <row r="1449" spans="1:52">
      <c r="A1449">
        <f t="shared" si="91"/>
        <v>1448</v>
      </c>
      <c r="B1449" s="3">
        <v>46065.842187499999</v>
      </c>
      <c r="C1449" s="3">
        <v>46065.848773148151</v>
      </c>
      <c r="D1449" t="s">
        <v>53</v>
      </c>
      <c r="G1449" t="s">
        <v>54</v>
      </c>
      <c r="H1449" t="s">
        <v>55</v>
      </c>
      <c r="I1449" t="s">
        <v>56</v>
      </c>
      <c r="J1449" t="s">
        <v>62</v>
      </c>
      <c r="K1449" t="s">
        <v>57</v>
      </c>
      <c r="L1449" t="s">
        <v>61</v>
      </c>
      <c r="M1449" t="s">
        <v>61</v>
      </c>
      <c r="N1449">
        <v>2</v>
      </c>
      <c r="O1449">
        <v>1</v>
      </c>
      <c r="P1449">
        <v>3</v>
      </c>
      <c r="Q1449">
        <v>4</v>
      </c>
      <c r="R1449">
        <v>2</v>
      </c>
      <c r="S1449">
        <v>4</v>
      </c>
      <c r="T1449">
        <v>4</v>
      </c>
      <c r="U1449">
        <v>3</v>
      </c>
      <c r="V1449">
        <v>5</v>
      </c>
      <c r="W1449">
        <v>5</v>
      </c>
      <c r="X1449">
        <v>3</v>
      </c>
      <c r="Y1449">
        <v>4</v>
      </c>
      <c r="Z1449">
        <v>4</v>
      </c>
      <c r="AA1449">
        <v>4</v>
      </c>
      <c r="AB1449">
        <v>4</v>
      </c>
      <c r="AC1449">
        <v>4</v>
      </c>
      <c r="AD1449">
        <v>4</v>
      </c>
      <c r="AE1449">
        <v>4</v>
      </c>
      <c r="AF1449">
        <v>4</v>
      </c>
      <c r="AG1449">
        <v>2</v>
      </c>
      <c r="AH1449">
        <v>4</v>
      </c>
      <c r="AI1449">
        <v>2</v>
      </c>
      <c r="AJ1449">
        <v>2</v>
      </c>
      <c r="AK1449" t="b">
        <f>Table67[[#This Row],[What is your age?]]&lt;&gt;"18 - 25"</f>
        <v>0</v>
      </c>
      <c r="AL1449" t="b">
        <f t="shared" si="88"/>
        <v>0</v>
      </c>
      <c r="AM1449" t="b">
        <f t="shared" si="89"/>
        <v>0</v>
      </c>
      <c r="AN1449" t="b">
        <f t="shared" si="90"/>
        <v>0</v>
      </c>
      <c r="AO1449" t="b">
        <f>OR(Table67[[#This Row],[Ineligible respondents]:[Inconsistent response on opposite question (3)]])</f>
        <v>0</v>
      </c>
      <c r="AP144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449">
        <f>Table67[[#This Row],[Extreme Response]]/21</f>
        <v>0.14285714285714285</v>
      </c>
      <c r="AR1449">
        <f>_xlfn.PERCENTILE.INC(Table67[Extrem Response Ratio (ERS)],0.9)</f>
        <v>0.61904761904761907</v>
      </c>
      <c r="AS1449" t="b">
        <f>Table67[[#This Row],[Extrem Response Ratio (ERS)]]&gt;=Table67[[#This Row],[Threshold of ERS]]</f>
        <v>0</v>
      </c>
      <c r="AT1449">
        <f>COUNTIF(Table67[[#This Row],[The mechanism of digital assets is difficult to understand, which discourages me from exploring it (E.g, Tokenization, Blockchain)]:[If I want to try different ways to invest, I will explore digital assets.]], 3)</f>
        <v>3</v>
      </c>
      <c r="AU1449">
        <f>Table67[[#This Row],[Midpoint]]/21</f>
        <v>0.14285714285714285</v>
      </c>
      <c r="AV1449">
        <f>_xlfn.PERCENTILE.INC(Table67[Midpoint ratio],0.9)</f>
        <v>0.5714285714285714</v>
      </c>
      <c r="AW1449" t="b">
        <f>Table67[[#This Row],[Midpoint ratio]]&gt;=Table67[[#This Row],[Threshold of Midpoint ratio]]</f>
        <v>0</v>
      </c>
      <c r="AX1449" t="b">
        <f>OR(Table67[[#This Row],[Extreme Response Style]],Table67[[#This Row],[Mid-point Response Style]])</f>
        <v>0</v>
      </c>
      <c r="AY1449" t="b">
        <f>OR(Table67[[#This Row],[Delete? (Stage 1)]],Table67[[#This Row],[Delete? (Stage 2)]])</f>
        <v>0</v>
      </c>
      <c r="AZ1449" t="s">
        <v>84</v>
      </c>
    </row>
    <row r="1450" spans="1:52">
      <c r="A1450">
        <f t="shared" si="91"/>
        <v>1449</v>
      </c>
      <c r="B1450" s="3">
        <v>46062.055775462963</v>
      </c>
      <c r="C1450" s="3">
        <v>46062.05777777778</v>
      </c>
      <c r="D1450" t="s">
        <v>53</v>
      </c>
      <c r="G1450" t="s">
        <v>54</v>
      </c>
      <c r="H1450" t="s">
        <v>55</v>
      </c>
      <c r="I1450" t="s">
        <v>56</v>
      </c>
      <c r="J1450" t="s">
        <v>62</v>
      </c>
      <c r="K1450" t="s">
        <v>62</v>
      </c>
      <c r="L1450" t="s">
        <v>58</v>
      </c>
      <c r="M1450" t="s">
        <v>58</v>
      </c>
      <c r="N1450">
        <v>3</v>
      </c>
      <c r="O1450">
        <v>2</v>
      </c>
      <c r="P1450">
        <v>3</v>
      </c>
      <c r="Q1450">
        <v>3</v>
      </c>
      <c r="R1450">
        <v>3</v>
      </c>
      <c r="S1450">
        <v>3</v>
      </c>
      <c r="T1450">
        <v>3</v>
      </c>
      <c r="U1450">
        <v>3</v>
      </c>
      <c r="V1450">
        <v>3</v>
      </c>
      <c r="W1450">
        <v>3</v>
      </c>
      <c r="X1450">
        <v>2</v>
      </c>
      <c r="Y1450">
        <v>2</v>
      </c>
      <c r="Z1450">
        <v>4</v>
      </c>
      <c r="AA1450">
        <v>4</v>
      </c>
      <c r="AB1450">
        <v>3</v>
      </c>
      <c r="AC1450">
        <v>3</v>
      </c>
      <c r="AD1450">
        <v>2</v>
      </c>
      <c r="AE1450">
        <v>4</v>
      </c>
      <c r="AF1450">
        <v>3</v>
      </c>
      <c r="AG1450">
        <v>3</v>
      </c>
      <c r="AH1450">
        <v>2</v>
      </c>
      <c r="AI1450">
        <v>4</v>
      </c>
      <c r="AJ1450">
        <v>3</v>
      </c>
      <c r="AK1450" t="b">
        <f>Table67[[#This Row],[What is your age?]]&lt;&gt;"18 - 25"</f>
        <v>0</v>
      </c>
      <c r="AL1450" t="b">
        <f t="shared" si="88"/>
        <v>0</v>
      </c>
      <c r="AM1450" t="b">
        <f t="shared" si="89"/>
        <v>0</v>
      </c>
      <c r="AN1450" t="b">
        <f t="shared" si="90"/>
        <v>1</v>
      </c>
      <c r="AO1450" t="b">
        <f>OR(Table67[[#This Row],[Ineligible respondents]:[Inconsistent response on opposite question (3)]])</f>
        <v>1</v>
      </c>
      <c r="AP145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450">
        <f>Table67[[#This Row],[Extreme Response]]/21</f>
        <v>0</v>
      </c>
      <c r="AR1450">
        <f>_xlfn.PERCENTILE.INC(Table67[Extrem Response Ratio (ERS)],0.9)</f>
        <v>0.61904761904761907</v>
      </c>
      <c r="AS1450" t="b">
        <f>Table67[[#This Row],[Extrem Response Ratio (ERS)]]&gt;=Table67[[#This Row],[Threshold of ERS]]</f>
        <v>0</v>
      </c>
      <c r="AT1450">
        <f>COUNTIF(Table67[[#This Row],[The mechanism of digital assets is difficult to understand, which discourages me from exploring it (E.g, Tokenization, Blockchain)]:[If I want to try different ways to invest, I will explore digital assets.]], 3)</f>
        <v>13</v>
      </c>
      <c r="AU1450">
        <f>Table67[[#This Row],[Midpoint]]/21</f>
        <v>0.61904761904761907</v>
      </c>
      <c r="AV1450">
        <f>_xlfn.PERCENTILE.INC(Table67[Midpoint ratio],0.9)</f>
        <v>0.5714285714285714</v>
      </c>
      <c r="AW1450" t="b">
        <f>Table67[[#This Row],[Midpoint ratio]]&gt;=Table67[[#This Row],[Threshold of Midpoint ratio]]</f>
        <v>1</v>
      </c>
      <c r="AX1450" t="b">
        <f>OR(Table67[[#This Row],[Extreme Response Style]],Table67[[#This Row],[Mid-point Response Style]])</f>
        <v>1</v>
      </c>
      <c r="AY1450" t="b">
        <f>OR(Table67[[#This Row],[Delete? (Stage 1)]],Table67[[#This Row],[Delete? (Stage 2)]])</f>
        <v>1</v>
      </c>
      <c r="AZ1450" t="s">
        <v>84</v>
      </c>
    </row>
    <row r="1451" spans="1:52">
      <c r="A1451">
        <f t="shared" si="91"/>
        <v>1450</v>
      </c>
      <c r="B1451" s="3">
        <v>46062.059988425928</v>
      </c>
      <c r="C1451" s="3">
        <v>46062.060624999998</v>
      </c>
      <c r="D1451" t="s">
        <v>53</v>
      </c>
      <c r="G1451" t="s">
        <v>54</v>
      </c>
      <c r="H1451" t="s">
        <v>55</v>
      </c>
      <c r="I1451" t="s">
        <v>56</v>
      </c>
      <c r="J1451" t="s">
        <v>72</v>
      </c>
      <c r="K1451" t="s">
        <v>60</v>
      </c>
      <c r="L1451" t="s">
        <v>61</v>
      </c>
      <c r="M1451" t="s">
        <v>58</v>
      </c>
      <c r="N1451">
        <v>3</v>
      </c>
      <c r="O1451">
        <v>4</v>
      </c>
      <c r="P1451">
        <v>4</v>
      </c>
      <c r="Q1451">
        <v>2</v>
      </c>
      <c r="R1451">
        <v>5</v>
      </c>
      <c r="S1451">
        <v>5</v>
      </c>
      <c r="T1451">
        <v>3</v>
      </c>
      <c r="U1451">
        <v>4</v>
      </c>
      <c r="V1451">
        <v>5</v>
      </c>
      <c r="W1451">
        <v>5</v>
      </c>
      <c r="X1451">
        <v>4</v>
      </c>
      <c r="Y1451">
        <v>2</v>
      </c>
      <c r="Z1451">
        <v>3</v>
      </c>
      <c r="AA1451">
        <v>4</v>
      </c>
      <c r="AB1451">
        <v>1</v>
      </c>
      <c r="AC1451">
        <v>4</v>
      </c>
      <c r="AD1451">
        <v>3</v>
      </c>
      <c r="AE1451">
        <v>5</v>
      </c>
      <c r="AF1451">
        <v>5</v>
      </c>
      <c r="AG1451">
        <v>5</v>
      </c>
      <c r="AH1451">
        <v>4</v>
      </c>
      <c r="AI1451">
        <v>2</v>
      </c>
      <c r="AJ1451">
        <v>1</v>
      </c>
      <c r="AK1451" t="b">
        <f>Table67[[#This Row],[What is your age?]]&lt;&gt;"18 - 25"</f>
        <v>0</v>
      </c>
      <c r="AL1451" t="b">
        <f t="shared" si="88"/>
        <v>0</v>
      </c>
      <c r="AM1451" t="b">
        <f t="shared" si="89"/>
        <v>1</v>
      </c>
      <c r="AN1451" t="b">
        <f t="shared" si="90"/>
        <v>0</v>
      </c>
      <c r="AO1451" t="b">
        <f>OR(Table67[[#This Row],[Ineligible respondents]:[Inconsistent response on opposite question (3)]])</f>
        <v>1</v>
      </c>
      <c r="AP145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1451">
        <f>Table67[[#This Row],[Extreme Response]]/21</f>
        <v>0.38095238095238093</v>
      </c>
      <c r="AR1451">
        <f>_xlfn.PERCENTILE.INC(Table67[Extrem Response Ratio (ERS)],0.9)</f>
        <v>0.61904761904761907</v>
      </c>
      <c r="AS1451" t="b">
        <f>Table67[[#This Row],[Extrem Response Ratio (ERS)]]&gt;=Table67[[#This Row],[Threshold of ERS]]</f>
        <v>0</v>
      </c>
      <c r="AT1451">
        <f>COUNTIF(Table67[[#This Row],[The mechanism of digital assets is difficult to understand, which discourages me from exploring it (E.g, Tokenization, Blockchain)]:[If I want to try different ways to invest, I will explore digital assets.]], 3)</f>
        <v>4</v>
      </c>
      <c r="AU1451">
        <f>Table67[[#This Row],[Midpoint]]/21</f>
        <v>0.19047619047619047</v>
      </c>
      <c r="AV1451">
        <f>_xlfn.PERCENTILE.INC(Table67[Midpoint ratio],0.9)</f>
        <v>0.5714285714285714</v>
      </c>
      <c r="AW1451" t="b">
        <f>Table67[[#This Row],[Midpoint ratio]]&gt;=Table67[[#This Row],[Threshold of Midpoint ratio]]</f>
        <v>0</v>
      </c>
      <c r="AX1451" t="b">
        <f>OR(Table67[[#This Row],[Extreme Response Style]],Table67[[#This Row],[Mid-point Response Style]])</f>
        <v>0</v>
      </c>
      <c r="AY1451" t="b">
        <f>OR(Table67[[#This Row],[Delete? (Stage 1)]],Table67[[#This Row],[Delete? (Stage 2)]])</f>
        <v>1</v>
      </c>
      <c r="AZ1451" t="s">
        <v>84</v>
      </c>
    </row>
    <row r="1452" spans="1:52">
      <c r="A1452">
        <f t="shared" si="91"/>
        <v>1451</v>
      </c>
      <c r="B1452" s="3">
        <v>46062.025439814817</v>
      </c>
      <c r="C1452" s="3">
        <v>46062.02884259259</v>
      </c>
      <c r="D1452" t="s">
        <v>53</v>
      </c>
      <c r="G1452" t="s">
        <v>54</v>
      </c>
      <c r="H1452" t="s">
        <v>63</v>
      </c>
      <c r="I1452" t="s">
        <v>56</v>
      </c>
      <c r="J1452" t="s">
        <v>60</v>
      </c>
      <c r="K1452" t="s">
        <v>57</v>
      </c>
      <c r="L1452" t="s">
        <v>58</v>
      </c>
      <c r="M1452" t="s">
        <v>58</v>
      </c>
      <c r="N1452">
        <v>4</v>
      </c>
      <c r="O1452">
        <v>3</v>
      </c>
      <c r="P1452">
        <v>4</v>
      </c>
      <c r="Q1452">
        <v>4</v>
      </c>
      <c r="R1452">
        <v>3</v>
      </c>
      <c r="S1452">
        <v>4</v>
      </c>
      <c r="T1452">
        <v>3</v>
      </c>
      <c r="U1452">
        <v>4</v>
      </c>
      <c r="V1452">
        <v>4</v>
      </c>
      <c r="W1452">
        <v>5</v>
      </c>
      <c r="X1452">
        <v>4</v>
      </c>
      <c r="Y1452">
        <v>5</v>
      </c>
      <c r="Z1452">
        <v>4</v>
      </c>
      <c r="AA1452">
        <v>5</v>
      </c>
      <c r="AB1452">
        <v>3</v>
      </c>
      <c r="AC1452">
        <v>3</v>
      </c>
      <c r="AD1452">
        <v>4</v>
      </c>
      <c r="AE1452">
        <v>2</v>
      </c>
      <c r="AF1452">
        <v>3</v>
      </c>
      <c r="AG1452">
        <v>2</v>
      </c>
      <c r="AH1452">
        <v>3</v>
      </c>
      <c r="AI1452">
        <v>3</v>
      </c>
      <c r="AJ1452">
        <v>3</v>
      </c>
      <c r="AK1452" t="b">
        <f>Table67[[#This Row],[What is your age?]]&lt;&gt;"18 - 25"</f>
        <v>0</v>
      </c>
      <c r="AL1452" t="b">
        <f t="shared" si="88"/>
        <v>0</v>
      </c>
      <c r="AM1452" t="b">
        <f t="shared" si="89"/>
        <v>0</v>
      </c>
      <c r="AN1452" t="b">
        <f t="shared" si="90"/>
        <v>1</v>
      </c>
      <c r="AO1452" t="b">
        <f>OR(Table67[[#This Row],[Ineligible respondents]:[Inconsistent response on opposite question (3)]])</f>
        <v>1</v>
      </c>
      <c r="AP145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452">
        <f>Table67[[#This Row],[Extreme Response]]/21</f>
        <v>0.14285714285714285</v>
      </c>
      <c r="AR1452">
        <f>_xlfn.PERCENTILE.INC(Table67[Extrem Response Ratio (ERS)],0.9)</f>
        <v>0.61904761904761907</v>
      </c>
      <c r="AS1452" t="b">
        <f>Table67[[#This Row],[Extrem Response Ratio (ERS)]]&gt;=Table67[[#This Row],[Threshold of ERS]]</f>
        <v>0</v>
      </c>
      <c r="AT1452">
        <f>COUNTIF(Table67[[#This Row],[The mechanism of digital assets is difficult to understand, which discourages me from exploring it (E.g, Tokenization, Blockchain)]:[If I want to try different ways to invest, I will explore digital assets.]], 3)</f>
        <v>7</v>
      </c>
      <c r="AU1452">
        <f>Table67[[#This Row],[Midpoint]]/21</f>
        <v>0.33333333333333331</v>
      </c>
      <c r="AV1452">
        <f>_xlfn.PERCENTILE.INC(Table67[Midpoint ratio],0.9)</f>
        <v>0.5714285714285714</v>
      </c>
      <c r="AW1452" t="b">
        <f>Table67[[#This Row],[Midpoint ratio]]&gt;=Table67[[#This Row],[Threshold of Midpoint ratio]]</f>
        <v>0</v>
      </c>
      <c r="AX1452" t="b">
        <f>OR(Table67[[#This Row],[Extreme Response Style]],Table67[[#This Row],[Mid-point Response Style]])</f>
        <v>0</v>
      </c>
      <c r="AY1452" t="b">
        <f>OR(Table67[[#This Row],[Delete? (Stage 1)]],Table67[[#This Row],[Delete? (Stage 2)]])</f>
        <v>1</v>
      </c>
      <c r="AZ1452" t="s">
        <v>84</v>
      </c>
    </row>
    <row r="1453" spans="1:52">
      <c r="A1453">
        <f t="shared" si="91"/>
        <v>1452</v>
      </c>
      <c r="B1453" s="3">
        <v>46062.037835648145</v>
      </c>
      <c r="C1453" s="3">
        <v>46062.043888888889</v>
      </c>
      <c r="D1453" t="s">
        <v>53</v>
      </c>
      <c r="G1453" t="s">
        <v>54</v>
      </c>
      <c r="H1453" t="s">
        <v>55</v>
      </c>
      <c r="I1453" t="s">
        <v>56</v>
      </c>
      <c r="J1453" t="s">
        <v>62</v>
      </c>
      <c r="K1453" t="s">
        <v>62</v>
      </c>
      <c r="L1453" t="s">
        <v>58</v>
      </c>
      <c r="M1453" t="s">
        <v>58</v>
      </c>
      <c r="N1453">
        <v>4</v>
      </c>
      <c r="O1453">
        <v>1</v>
      </c>
      <c r="P1453">
        <v>4</v>
      </c>
      <c r="Q1453">
        <v>4</v>
      </c>
      <c r="R1453">
        <v>2</v>
      </c>
      <c r="S1453">
        <v>2</v>
      </c>
      <c r="T1453">
        <v>5</v>
      </c>
      <c r="U1453">
        <v>5</v>
      </c>
      <c r="V1453">
        <v>5</v>
      </c>
      <c r="W1453">
        <v>5</v>
      </c>
      <c r="X1453">
        <v>5</v>
      </c>
      <c r="Y1453">
        <v>5</v>
      </c>
      <c r="Z1453">
        <v>5</v>
      </c>
      <c r="AA1453">
        <v>5</v>
      </c>
      <c r="AB1453">
        <v>2</v>
      </c>
      <c r="AC1453">
        <v>5</v>
      </c>
      <c r="AD1453">
        <v>5</v>
      </c>
      <c r="AE1453">
        <v>5</v>
      </c>
      <c r="AF1453">
        <v>1</v>
      </c>
      <c r="AG1453">
        <v>5</v>
      </c>
      <c r="AH1453">
        <v>1</v>
      </c>
      <c r="AI1453">
        <v>5</v>
      </c>
      <c r="AJ1453">
        <v>5</v>
      </c>
      <c r="AK1453" t="b">
        <f>Table67[[#This Row],[What is your age?]]&lt;&gt;"18 - 25"</f>
        <v>0</v>
      </c>
      <c r="AL1453" t="b">
        <f t="shared" si="88"/>
        <v>0</v>
      </c>
      <c r="AM1453" t="b">
        <f t="shared" si="89"/>
        <v>0</v>
      </c>
      <c r="AN1453" t="b">
        <f t="shared" si="90"/>
        <v>0</v>
      </c>
      <c r="AO1453" t="b">
        <f>OR(Table67[[#This Row],[Ineligible respondents]:[Inconsistent response on opposite question (3)]])</f>
        <v>0</v>
      </c>
      <c r="AP145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1453">
        <f>Table67[[#This Row],[Extreme Response]]/21</f>
        <v>0.7142857142857143</v>
      </c>
      <c r="AR1453">
        <f>_xlfn.PERCENTILE.INC(Table67[Extrem Response Ratio (ERS)],0.9)</f>
        <v>0.61904761904761907</v>
      </c>
      <c r="AS1453" t="b">
        <f>Table67[[#This Row],[Extrem Response Ratio (ERS)]]&gt;=Table67[[#This Row],[Threshold of ERS]]</f>
        <v>1</v>
      </c>
      <c r="AT1453">
        <f>COUNTIF(Table67[[#This Row],[The mechanism of digital assets is difficult to understand, which discourages me from exploring it (E.g, Tokenization, Blockchain)]:[If I want to try different ways to invest, I will explore digital assets.]], 3)</f>
        <v>0</v>
      </c>
      <c r="AU1453">
        <f>Table67[[#This Row],[Midpoint]]/21</f>
        <v>0</v>
      </c>
      <c r="AV1453">
        <f>_xlfn.PERCENTILE.INC(Table67[Midpoint ratio],0.9)</f>
        <v>0.5714285714285714</v>
      </c>
      <c r="AW1453" t="b">
        <f>Table67[[#This Row],[Midpoint ratio]]&gt;=Table67[[#This Row],[Threshold of Midpoint ratio]]</f>
        <v>0</v>
      </c>
      <c r="AX1453" t="b">
        <f>OR(Table67[[#This Row],[Extreme Response Style]],Table67[[#This Row],[Mid-point Response Style]])</f>
        <v>1</v>
      </c>
      <c r="AY1453" t="b">
        <f>OR(Table67[[#This Row],[Delete? (Stage 1)]],Table67[[#This Row],[Delete? (Stage 2)]])</f>
        <v>1</v>
      </c>
      <c r="AZ1453" t="s">
        <v>84</v>
      </c>
    </row>
    <row r="1454" spans="1:52">
      <c r="A1454">
        <f t="shared" si="91"/>
        <v>1453</v>
      </c>
      <c r="B1454" s="3">
        <v>46065.850555555553</v>
      </c>
      <c r="C1454" s="3">
        <v>46065.860543981478</v>
      </c>
      <c r="D1454" t="s">
        <v>53</v>
      </c>
      <c r="G1454" t="s">
        <v>54</v>
      </c>
      <c r="H1454" t="s">
        <v>55</v>
      </c>
      <c r="I1454" t="s">
        <v>69</v>
      </c>
      <c r="J1454" t="s">
        <v>67</v>
      </c>
      <c r="K1454" t="s">
        <v>62</v>
      </c>
      <c r="L1454" t="s">
        <v>58</v>
      </c>
      <c r="M1454" t="s">
        <v>61</v>
      </c>
      <c r="N1454">
        <v>2</v>
      </c>
      <c r="O1454">
        <v>3</v>
      </c>
      <c r="P1454">
        <v>2</v>
      </c>
      <c r="Q1454">
        <v>2</v>
      </c>
      <c r="R1454">
        <v>2</v>
      </c>
      <c r="S1454">
        <v>1</v>
      </c>
      <c r="T1454">
        <v>1</v>
      </c>
      <c r="U1454">
        <v>2</v>
      </c>
      <c r="V1454">
        <v>4</v>
      </c>
      <c r="W1454">
        <v>4</v>
      </c>
      <c r="X1454">
        <v>2</v>
      </c>
      <c r="Y1454">
        <v>3</v>
      </c>
      <c r="Z1454">
        <v>2</v>
      </c>
      <c r="AA1454">
        <v>1</v>
      </c>
      <c r="AB1454">
        <v>1</v>
      </c>
      <c r="AC1454">
        <v>3</v>
      </c>
      <c r="AD1454">
        <v>3</v>
      </c>
      <c r="AE1454">
        <v>2</v>
      </c>
      <c r="AF1454">
        <v>5</v>
      </c>
      <c r="AG1454">
        <v>1</v>
      </c>
      <c r="AH1454">
        <v>5</v>
      </c>
      <c r="AI1454">
        <v>1</v>
      </c>
      <c r="AJ1454">
        <v>1</v>
      </c>
      <c r="AK1454" t="b">
        <f>Table67[[#This Row],[What is your age?]]&lt;&gt;"18 - 25"</f>
        <v>0</v>
      </c>
      <c r="AL1454" t="b">
        <f t="shared" si="88"/>
        <v>0</v>
      </c>
      <c r="AM1454" t="b">
        <f t="shared" si="89"/>
        <v>0</v>
      </c>
      <c r="AN1454" t="b">
        <f t="shared" si="90"/>
        <v>0</v>
      </c>
      <c r="AO1454" t="b">
        <f>OR(Table67[[#This Row],[Ineligible respondents]:[Inconsistent response on opposite question (3)]])</f>
        <v>0</v>
      </c>
      <c r="AP145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454">
        <f>Table67[[#This Row],[Extreme Response]]/21</f>
        <v>0.33333333333333331</v>
      </c>
      <c r="AR1454">
        <f>_xlfn.PERCENTILE.INC(Table67[Extrem Response Ratio (ERS)],0.9)</f>
        <v>0.61904761904761907</v>
      </c>
      <c r="AS1454" t="b">
        <f>Table67[[#This Row],[Extrem Response Ratio (ERS)]]&gt;=Table67[[#This Row],[Threshold of ERS]]</f>
        <v>0</v>
      </c>
      <c r="AT1454">
        <f>COUNTIF(Table67[[#This Row],[The mechanism of digital assets is difficult to understand, which discourages me from exploring it (E.g, Tokenization, Blockchain)]:[If I want to try different ways to invest, I will explore digital assets.]], 3)</f>
        <v>4</v>
      </c>
      <c r="AU1454">
        <f>Table67[[#This Row],[Midpoint]]/21</f>
        <v>0.19047619047619047</v>
      </c>
      <c r="AV1454">
        <f>_xlfn.PERCENTILE.INC(Table67[Midpoint ratio],0.9)</f>
        <v>0.5714285714285714</v>
      </c>
      <c r="AW1454" t="b">
        <f>Table67[[#This Row],[Midpoint ratio]]&gt;=Table67[[#This Row],[Threshold of Midpoint ratio]]</f>
        <v>0</v>
      </c>
      <c r="AX1454" t="b">
        <f>OR(Table67[[#This Row],[Extreme Response Style]],Table67[[#This Row],[Mid-point Response Style]])</f>
        <v>0</v>
      </c>
      <c r="AY1454" t="b">
        <f>OR(Table67[[#This Row],[Delete? (Stage 1)]],Table67[[#This Row],[Delete? (Stage 2)]])</f>
        <v>0</v>
      </c>
      <c r="AZ1454" t="s">
        <v>84</v>
      </c>
    </row>
    <row r="1455" spans="1:52">
      <c r="A1455">
        <f t="shared" si="91"/>
        <v>1454</v>
      </c>
      <c r="B1455" s="3">
        <v>46065.726458333331</v>
      </c>
      <c r="C1455" s="3">
        <v>46065.727002314816</v>
      </c>
      <c r="D1455" t="s">
        <v>53</v>
      </c>
      <c r="G1455" t="s">
        <v>54</v>
      </c>
      <c r="H1455" t="s">
        <v>55</v>
      </c>
      <c r="I1455" t="s">
        <v>69</v>
      </c>
      <c r="J1455" t="s">
        <v>57</v>
      </c>
      <c r="K1455" t="s">
        <v>62</v>
      </c>
      <c r="L1455" t="s">
        <v>58</v>
      </c>
      <c r="M1455" t="s">
        <v>58</v>
      </c>
      <c r="N1455">
        <v>4</v>
      </c>
      <c r="O1455">
        <v>4</v>
      </c>
      <c r="P1455">
        <v>3</v>
      </c>
      <c r="Q1455">
        <v>3</v>
      </c>
      <c r="R1455">
        <v>3</v>
      </c>
      <c r="S1455">
        <v>5</v>
      </c>
      <c r="T1455">
        <v>4</v>
      </c>
      <c r="U1455">
        <v>4</v>
      </c>
      <c r="V1455">
        <v>4</v>
      </c>
      <c r="W1455">
        <v>5</v>
      </c>
      <c r="X1455">
        <v>3</v>
      </c>
      <c r="Y1455">
        <v>4</v>
      </c>
      <c r="Z1455">
        <v>3</v>
      </c>
      <c r="AA1455">
        <v>4</v>
      </c>
      <c r="AB1455">
        <v>4</v>
      </c>
      <c r="AC1455">
        <v>3</v>
      </c>
      <c r="AD1455">
        <v>4</v>
      </c>
      <c r="AE1455">
        <v>4</v>
      </c>
      <c r="AF1455">
        <v>2</v>
      </c>
      <c r="AG1455">
        <v>3</v>
      </c>
      <c r="AH1455">
        <v>3</v>
      </c>
      <c r="AI1455">
        <v>3</v>
      </c>
      <c r="AJ1455">
        <v>4</v>
      </c>
      <c r="AK1455" t="b">
        <f>Table67[[#This Row],[What is your age?]]&lt;&gt;"18 - 25"</f>
        <v>0</v>
      </c>
      <c r="AL1455" t="b">
        <f t="shared" si="88"/>
        <v>0</v>
      </c>
      <c r="AM1455" t="b">
        <f t="shared" si="89"/>
        <v>0</v>
      </c>
      <c r="AN1455" t="b">
        <f t="shared" si="90"/>
        <v>0</v>
      </c>
      <c r="AO1455" t="b">
        <f>OR(Table67[[#This Row],[Ineligible respondents]:[Inconsistent response on opposite question (3)]])</f>
        <v>0</v>
      </c>
      <c r="AP145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455">
        <f>Table67[[#This Row],[Extreme Response]]/21</f>
        <v>9.5238095238095233E-2</v>
      </c>
      <c r="AR1455">
        <f>_xlfn.PERCENTILE.INC(Table67[Extrem Response Ratio (ERS)],0.9)</f>
        <v>0.61904761904761907</v>
      </c>
      <c r="AS1455" t="b">
        <f>Table67[[#This Row],[Extrem Response Ratio (ERS)]]&gt;=Table67[[#This Row],[Threshold of ERS]]</f>
        <v>0</v>
      </c>
      <c r="AT1455">
        <f>COUNTIF(Table67[[#This Row],[The mechanism of digital assets is difficult to understand, which discourages me from exploring it (E.g, Tokenization, Blockchain)]:[If I want to try different ways to invest, I will explore digital assets.]], 3)</f>
        <v>8</v>
      </c>
      <c r="AU1455">
        <f>Table67[[#This Row],[Midpoint]]/21</f>
        <v>0.38095238095238093</v>
      </c>
      <c r="AV1455">
        <f>_xlfn.PERCENTILE.INC(Table67[Midpoint ratio],0.9)</f>
        <v>0.5714285714285714</v>
      </c>
      <c r="AW1455" t="b">
        <f>Table67[[#This Row],[Midpoint ratio]]&gt;=Table67[[#This Row],[Threshold of Midpoint ratio]]</f>
        <v>0</v>
      </c>
      <c r="AX1455" t="b">
        <f>OR(Table67[[#This Row],[Extreme Response Style]],Table67[[#This Row],[Mid-point Response Style]])</f>
        <v>0</v>
      </c>
      <c r="AY1455" t="b">
        <f>OR(Table67[[#This Row],[Delete? (Stage 1)]],Table67[[#This Row],[Delete? (Stage 2)]])</f>
        <v>0</v>
      </c>
      <c r="AZ1455" t="s">
        <v>84</v>
      </c>
    </row>
    <row r="1456" spans="1:52">
      <c r="A1456">
        <f t="shared" si="91"/>
        <v>1455</v>
      </c>
      <c r="B1456" s="3">
        <v>46065.693854166668</v>
      </c>
      <c r="C1456" s="3">
        <v>46065.694386574076</v>
      </c>
      <c r="D1456" t="s">
        <v>53</v>
      </c>
      <c r="G1456" t="s">
        <v>54</v>
      </c>
      <c r="H1456" t="s">
        <v>55</v>
      </c>
      <c r="I1456" t="s">
        <v>71</v>
      </c>
      <c r="J1456" t="s">
        <v>72</v>
      </c>
      <c r="K1456" t="s">
        <v>62</v>
      </c>
      <c r="L1456" t="s">
        <v>58</v>
      </c>
      <c r="M1456" t="s">
        <v>58</v>
      </c>
      <c r="N1456">
        <v>3</v>
      </c>
      <c r="O1456">
        <v>3</v>
      </c>
      <c r="P1456">
        <v>2</v>
      </c>
      <c r="Q1456">
        <v>1</v>
      </c>
      <c r="R1456">
        <v>3</v>
      </c>
      <c r="S1456">
        <v>2</v>
      </c>
      <c r="T1456">
        <v>2</v>
      </c>
      <c r="U1456">
        <v>2</v>
      </c>
      <c r="V1456">
        <v>2</v>
      </c>
      <c r="W1456">
        <v>2</v>
      </c>
      <c r="X1456">
        <v>2</v>
      </c>
      <c r="Y1456">
        <v>3</v>
      </c>
      <c r="Z1456">
        <v>2</v>
      </c>
      <c r="AA1456">
        <v>2</v>
      </c>
      <c r="AB1456">
        <v>2</v>
      </c>
      <c r="AC1456">
        <v>2</v>
      </c>
      <c r="AD1456">
        <v>2</v>
      </c>
      <c r="AE1456">
        <v>2</v>
      </c>
      <c r="AF1456">
        <v>5</v>
      </c>
      <c r="AG1456">
        <v>1</v>
      </c>
      <c r="AH1456">
        <v>4</v>
      </c>
      <c r="AI1456">
        <v>2</v>
      </c>
      <c r="AJ1456">
        <v>1</v>
      </c>
      <c r="AK1456" t="b">
        <f>Table67[[#This Row],[What is your age?]]&lt;&gt;"18 - 25"</f>
        <v>0</v>
      </c>
      <c r="AL1456" t="b">
        <f t="shared" si="88"/>
        <v>0</v>
      </c>
      <c r="AM1456" t="b">
        <f t="shared" si="89"/>
        <v>0</v>
      </c>
      <c r="AN1456" t="b">
        <f t="shared" si="90"/>
        <v>0</v>
      </c>
      <c r="AO1456" t="b">
        <f>OR(Table67[[#This Row],[Ineligible respondents]:[Inconsistent response on opposite question (3)]])</f>
        <v>0</v>
      </c>
      <c r="AP145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456">
        <f>Table67[[#This Row],[Extreme Response]]/21</f>
        <v>0.14285714285714285</v>
      </c>
      <c r="AR1456">
        <f>_xlfn.PERCENTILE.INC(Table67[Extrem Response Ratio (ERS)],0.9)</f>
        <v>0.61904761904761907</v>
      </c>
      <c r="AS1456" t="b">
        <f>Table67[[#This Row],[Extrem Response Ratio (ERS)]]&gt;=Table67[[#This Row],[Threshold of ERS]]</f>
        <v>0</v>
      </c>
      <c r="AT1456">
        <f>COUNTIF(Table67[[#This Row],[The mechanism of digital assets is difficult to understand, which discourages me from exploring it (E.g, Tokenization, Blockchain)]:[If I want to try different ways to invest, I will explore digital assets.]], 3)</f>
        <v>4</v>
      </c>
      <c r="AU1456">
        <f>Table67[[#This Row],[Midpoint]]/21</f>
        <v>0.19047619047619047</v>
      </c>
      <c r="AV1456">
        <f>_xlfn.PERCENTILE.INC(Table67[Midpoint ratio],0.9)</f>
        <v>0.5714285714285714</v>
      </c>
      <c r="AW1456" t="b">
        <f>Table67[[#This Row],[Midpoint ratio]]&gt;=Table67[[#This Row],[Threshold of Midpoint ratio]]</f>
        <v>0</v>
      </c>
      <c r="AX1456" t="b">
        <f>OR(Table67[[#This Row],[Extreme Response Style]],Table67[[#This Row],[Mid-point Response Style]])</f>
        <v>0</v>
      </c>
      <c r="AY1456" t="b">
        <f>OR(Table67[[#This Row],[Delete? (Stage 1)]],Table67[[#This Row],[Delete? (Stage 2)]])</f>
        <v>0</v>
      </c>
      <c r="AZ1456" t="s">
        <v>84</v>
      </c>
    </row>
    <row r="1457" spans="1:52">
      <c r="A1457">
        <f t="shared" si="91"/>
        <v>1456</v>
      </c>
      <c r="B1457" s="3">
        <v>46065.890729166669</v>
      </c>
      <c r="C1457" s="3">
        <v>46065.894930555558</v>
      </c>
      <c r="D1457" t="s">
        <v>53</v>
      </c>
      <c r="G1457" t="s">
        <v>54</v>
      </c>
      <c r="H1457" t="s">
        <v>63</v>
      </c>
      <c r="I1457" t="s">
        <v>56</v>
      </c>
      <c r="J1457" t="s">
        <v>62</v>
      </c>
      <c r="K1457" t="s">
        <v>57</v>
      </c>
      <c r="L1457" t="s">
        <v>58</v>
      </c>
      <c r="M1457" t="s">
        <v>58</v>
      </c>
      <c r="N1457">
        <v>5</v>
      </c>
      <c r="O1457">
        <v>5</v>
      </c>
      <c r="P1457">
        <v>3</v>
      </c>
      <c r="Q1457">
        <v>2</v>
      </c>
      <c r="R1457">
        <v>4</v>
      </c>
      <c r="S1457">
        <v>3</v>
      </c>
      <c r="T1457">
        <v>2</v>
      </c>
      <c r="U1457">
        <v>3</v>
      </c>
      <c r="V1457">
        <v>3</v>
      </c>
      <c r="W1457">
        <v>3</v>
      </c>
      <c r="X1457">
        <v>3</v>
      </c>
      <c r="Y1457">
        <v>3</v>
      </c>
      <c r="Z1457">
        <v>3</v>
      </c>
      <c r="AA1457">
        <v>2</v>
      </c>
      <c r="AB1457">
        <v>2</v>
      </c>
      <c r="AC1457">
        <v>3</v>
      </c>
      <c r="AD1457">
        <v>3</v>
      </c>
      <c r="AE1457">
        <v>3</v>
      </c>
      <c r="AF1457">
        <v>3</v>
      </c>
      <c r="AG1457">
        <v>3</v>
      </c>
      <c r="AH1457">
        <v>3</v>
      </c>
      <c r="AI1457">
        <v>3</v>
      </c>
      <c r="AJ1457">
        <v>3</v>
      </c>
      <c r="AK1457" t="b">
        <f>Table67[[#This Row],[What is your age?]]&lt;&gt;"18 - 25"</f>
        <v>0</v>
      </c>
      <c r="AL1457" t="b">
        <f t="shared" si="88"/>
        <v>0</v>
      </c>
      <c r="AM1457" t="b">
        <f t="shared" si="89"/>
        <v>0</v>
      </c>
      <c r="AN1457" t="b">
        <f t="shared" si="90"/>
        <v>0</v>
      </c>
      <c r="AO1457" t="b">
        <f>OR(Table67[[#This Row],[Ineligible respondents]:[Inconsistent response on opposite question (3)]])</f>
        <v>0</v>
      </c>
      <c r="AP145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457">
        <f>Table67[[#This Row],[Extreme Response]]/21</f>
        <v>9.5238095238095233E-2</v>
      </c>
      <c r="AR1457">
        <f>_xlfn.PERCENTILE.INC(Table67[Extrem Response Ratio (ERS)],0.9)</f>
        <v>0.61904761904761907</v>
      </c>
      <c r="AS1457" t="b">
        <f>Table67[[#This Row],[Extrem Response Ratio (ERS)]]&gt;=Table67[[#This Row],[Threshold of ERS]]</f>
        <v>0</v>
      </c>
      <c r="AT1457">
        <f>COUNTIF(Table67[[#This Row],[The mechanism of digital assets is difficult to understand, which discourages me from exploring it (E.g, Tokenization, Blockchain)]:[If I want to try different ways to invest, I will explore digital assets.]], 3)</f>
        <v>14</v>
      </c>
      <c r="AU1457">
        <f>Table67[[#This Row],[Midpoint]]/21</f>
        <v>0.66666666666666663</v>
      </c>
      <c r="AV1457">
        <f>_xlfn.PERCENTILE.INC(Table67[Midpoint ratio],0.9)</f>
        <v>0.5714285714285714</v>
      </c>
      <c r="AW1457" t="b">
        <f>Table67[[#This Row],[Midpoint ratio]]&gt;=Table67[[#This Row],[Threshold of Midpoint ratio]]</f>
        <v>1</v>
      </c>
      <c r="AX1457" t="b">
        <f>OR(Table67[[#This Row],[Extreme Response Style]],Table67[[#This Row],[Mid-point Response Style]])</f>
        <v>1</v>
      </c>
      <c r="AY1457" t="b">
        <f>OR(Table67[[#This Row],[Delete? (Stage 1)]],Table67[[#This Row],[Delete? (Stage 2)]])</f>
        <v>1</v>
      </c>
      <c r="AZ1457" t="s">
        <v>84</v>
      </c>
    </row>
    <row r="1458" spans="1:52">
      <c r="A1458">
        <f t="shared" si="91"/>
        <v>1457</v>
      </c>
      <c r="B1458" s="3">
        <v>46065.765439814815</v>
      </c>
      <c r="C1458" s="3">
        <v>46065.766608796293</v>
      </c>
      <c r="D1458" t="s">
        <v>53</v>
      </c>
      <c r="G1458" t="s">
        <v>54</v>
      </c>
      <c r="H1458" t="s">
        <v>63</v>
      </c>
      <c r="I1458" t="s">
        <v>56</v>
      </c>
      <c r="J1458" t="s">
        <v>62</v>
      </c>
      <c r="K1458" t="s">
        <v>57</v>
      </c>
      <c r="L1458" t="s">
        <v>58</v>
      </c>
      <c r="M1458" t="s">
        <v>58</v>
      </c>
      <c r="N1458">
        <v>4</v>
      </c>
      <c r="O1458">
        <v>4</v>
      </c>
      <c r="P1458">
        <v>3</v>
      </c>
      <c r="Q1458">
        <v>3</v>
      </c>
      <c r="R1458">
        <v>3</v>
      </c>
      <c r="S1458">
        <v>3</v>
      </c>
      <c r="T1458">
        <v>3</v>
      </c>
      <c r="U1458">
        <v>2</v>
      </c>
      <c r="V1458">
        <v>3</v>
      </c>
      <c r="W1458">
        <v>3</v>
      </c>
      <c r="X1458">
        <v>3</v>
      </c>
      <c r="Y1458">
        <v>3</v>
      </c>
      <c r="Z1458">
        <v>2</v>
      </c>
      <c r="AA1458">
        <v>3</v>
      </c>
      <c r="AB1458">
        <v>3</v>
      </c>
      <c r="AC1458">
        <v>2</v>
      </c>
      <c r="AD1458">
        <v>3</v>
      </c>
      <c r="AE1458">
        <v>3</v>
      </c>
      <c r="AF1458">
        <v>4</v>
      </c>
      <c r="AG1458">
        <v>2</v>
      </c>
      <c r="AH1458">
        <v>4</v>
      </c>
      <c r="AI1458">
        <v>2</v>
      </c>
      <c r="AJ1458">
        <v>2</v>
      </c>
      <c r="AK1458" t="b">
        <f>Table67[[#This Row],[What is your age?]]&lt;&gt;"18 - 25"</f>
        <v>0</v>
      </c>
      <c r="AL1458" t="b">
        <f t="shared" si="88"/>
        <v>0</v>
      </c>
      <c r="AM1458" t="b">
        <f t="shared" si="89"/>
        <v>0</v>
      </c>
      <c r="AN1458" t="b">
        <f t="shared" si="90"/>
        <v>0</v>
      </c>
      <c r="AO1458" t="b">
        <f>OR(Table67[[#This Row],[Ineligible respondents]:[Inconsistent response on opposite question (3)]])</f>
        <v>0</v>
      </c>
      <c r="AP145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458">
        <f>Table67[[#This Row],[Extreme Response]]/21</f>
        <v>0</v>
      </c>
      <c r="AR1458">
        <f>_xlfn.PERCENTILE.INC(Table67[Extrem Response Ratio (ERS)],0.9)</f>
        <v>0.61904761904761907</v>
      </c>
      <c r="AS1458" t="b">
        <f>Table67[[#This Row],[Extrem Response Ratio (ERS)]]&gt;=Table67[[#This Row],[Threshold of ERS]]</f>
        <v>0</v>
      </c>
      <c r="AT1458">
        <f>COUNTIF(Table67[[#This Row],[The mechanism of digital assets is difficult to understand, which discourages me from exploring it (E.g, Tokenization, Blockchain)]:[If I want to try different ways to invest, I will explore digital assets.]], 3)</f>
        <v>13</v>
      </c>
      <c r="AU1458">
        <f>Table67[[#This Row],[Midpoint]]/21</f>
        <v>0.61904761904761907</v>
      </c>
      <c r="AV1458">
        <f>_xlfn.PERCENTILE.INC(Table67[Midpoint ratio],0.9)</f>
        <v>0.5714285714285714</v>
      </c>
      <c r="AW1458" t="b">
        <f>Table67[[#This Row],[Midpoint ratio]]&gt;=Table67[[#This Row],[Threshold of Midpoint ratio]]</f>
        <v>1</v>
      </c>
      <c r="AX1458" t="b">
        <f>OR(Table67[[#This Row],[Extreme Response Style]],Table67[[#This Row],[Mid-point Response Style]])</f>
        <v>1</v>
      </c>
      <c r="AY1458" t="b">
        <f>OR(Table67[[#This Row],[Delete? (Stage 1)]],Table67[[#This Row],[Delete? (Stage 2)]])</f>
        <v>1</v>
      </c>
      <c r="AZ1458" t="s">
        <v>84</v>
      </c>
    </row>
    <row r="1459" spans="1:52">
      <c r="A1459">
        <f t="shared" si="91"/>
        <v>1458</v>
      </c>
      <c r="B1459" s="3">
        <v>46065.842129629629</v>
      </c>
      <c r="C1459" s="3">
        <v>46065.844722222224</v>
      </c>
      <c r="D1459" t="s">
        <v>53</v>
      </c>
      <c r="G1459" t="s">
        <v>54</v>
      </c>
      <c r="H1459" t="s">
        <v>55</v>
      </c>
      <c r="I1459" t="s">
        <v>56</v>
      </c>
      <c r="J1459" t="s">
        <v>62</v>
      </c>
      <c r="K1459" t="s">
        <v>62</v>
      </c>
      <c r="L1459" t="s">
        <v>58</v>
      </c>
      <c r="M1459" t="s">
        <v>58</v>
      </c>
      <c r="N1459">
        <v>1</v>
      </c>
      <c r="O1459">
        <v>1</v>
      </c>
      <c r="P1459">
        <v>1</v>
      </c>
      <c r="Q1459">
        <v>1</v>
      </c>
      <c r="R1459">
        <v>1</v>
      </c>
      <c r="S1459">
        <v>1</v>
      </c>
      <c r="T1459">
        <v>1</v>
      </c>
      <c r="U1459">
        <v>2</v>
      </c>
      <c r="V1459">
        <v>2</v>
      </c>
      <c r="W1459">
        <v>2</v>
      </c>
      <c r="X1459">
        <v>1</v>
      </c>
      <c r="Y1459">
        <v>1</v>
      </c>
      <c r="Z1459">
        <v>1</v>
      </c>
      <c r="AA1459">
        <v>1</v>
      </c>
      <c r="AB1459">
        <v>1</v>
      </c>
      <c r="AC1459">
        <v>1</v>
      </c>
      <c r="AD1459">
        <v>2</v>
      </c>
      <c r="AE1459">
        <v>2</v>
      </c>
      <c r="AF1459">
        <v>5</v>
      </c>
      <c r="AG1459">
        <v>1</v>
      </c>
      <c r="AH1459">
        <v>4</v>
      </c>
      <c r="AI1459">
        <v>2</v>
      </c>
      <c r="AJ1459">
        <v>1</v>
      </c>
      <c r="AK1459" t="b">
        <f>Table67[[#This Row],[What is your age?]]&lt;&gt;"18 - 25"</f>
        <v>0</v>
      </c>
      <c r="AL1459" t="b">
        <f t="shared" si="88"/>
        <v>0</v>
      </c>
      <c r="AM1459" t="b">
        <f t="shared" si="89"/>
        <v>0</v>
      </c>
      <c r="AN1459" t="b">
        <f t="shared" si="90"/>
        <v>0</v>
      </c>
      <c r="AO1459" t="b">
        <f>OR(Table67[[#This Row],[Ineligible respondents]:[Inconsistent response on opposite question (3)]])</f>
        <v>0</v>
      </c>
      <c r="AP145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1459">
        <f>Table67[[#This Row],[Extreme Response]]/21</f>
        <v>0.7142857142857143</v>
      </c>
      <c r="AR1459">
        <f>_xlfn.PERCENTILE.INC(Table67[Extrem Response Ratio (ERS)],0.9)</f>
        <v>0.61904761904761907</v>
      </c>
      <c r="AS1459" t="b">
        <f>Table67[[#This Row],[Extrem Response Ratio (ERS)]]&gt;=Table67[[#This Row],[Threshold of ERS]]</f>
        <v>1</v>
      </c>
      <c r="AT1459">
        <f>COUNTIF(Table67[[#This Row],[The mechanism of digital assets is difficult to understand, which discourages me from exploring it (E.g, Tokenization, Blockchain)]:[If I want to try different ways to invest, I will explore digital assets.]], 3)</f>
        <v>0</v>
      </c>
      <c r="AU1459">
        <f>Table67[[#This Row],[Midpoint]]/21</f>
        <v>0</v>
      </c>
      <c r="AV1459">
        <f>_xlfn.PERCENTILE.INC(Table67[Midpoint ratio],0.9)</f>
        <v>0.5714285714285714</v>
      </c>
      <c r="AW1459" t="b">
        <f>Table67[[#This Row],[Midpoint ratio]]&gt;=Table67[[#This Row],[Threshold of Midpoint ratio]]</f>
        <v>0</v>
      </c>
      <c r="AX1459" t="b">
        <f>OR(Table67[[#This Row],[Extreme Response Style]],Table67[[#This Row],[Mid-point Response Style]])</f>
        <v>1</v>
      </c>
      <c r="AY1459" t="b">
        <f>OR(Table67[[#This Row],[Delete? (Stage 1)]],Table67[[#This Row],[Delete? (Stage 2)]])</f>
        <v>1</v>
      </c>
      <c r="AZ1459" t="s">
        <v>84</v>
      </c>
    </row>
    <row r="1460" spans="1:52">
      <c r="A1460">
        <f t="shared" si="91"/>
        <v>1459</v>
      </c>
      <c r="B1460" s="3">
        <v>46062.032430555555</v>
      </c>
      <c r="C1460" s="3">
        <v>46062.042685185188</v>
      </c>
      <c r="D1460" t="s">
        <v>53</v>
      </c>
      <c r="G1460" t="s">
        <v>54</v>
      </c>
      <c r="H1460" t="s">
        <v>63</v>
      </c>
      <c r="I1460" t="s">
        <v>56</v>
      </c>
      <c r="J1460" t="s">
        <v>62</v>
      </c>
      <c r="K1460" t="s">
        <v>62</v>
      </c>
      <c r="L1460" t="s">
        <v>61</v>
      </c>
      <c r="M1460" t="s">
        <v>61</v>
      </c>
      <c r="N1460">
        <v>4</v>
      </c>
      <c r="O1460">
        <v>3</v>
      </c>
      <c r="P1460">
        <v>4</v>
      </c>
      <c r="Q1460">
        <v>3</v>
      </c>
      <c r="R1460">
        <v>4</v>
      </c>
      <c r="S1460">
        <v>5</v>
      </c>
      <c r="T1460">
        <v>2</v>
      </c>
      <c r="U1460">
        <v>3</v>
      </c>
      <c r="V1460">
        <v>4</v>
      </c>
      <c r="W1460">
        <v>5</v>
      </c>
      <c r="X1460">
        <v>5</v>
      </c>
      <c r="Y1460">
        <v>5</v>
      </c>
      <c r="Z1460">
        <v>4</v>
      </c>
      <c r="AA1460">
        <v>2</v>
      </c>
      <c r="AB1460">
        <v>4</v>
      </c>
      <c r="AC1460">
        <v>4</v>
      </c>
      <c r="AD1460">
        <v>5</v>
      </c>
      <c r="AE1460">
        <v>3</v>
      </c>
      <c r="AF1460">
        <v>5</v>
      </c>
      <c r="AG1460">
        <v>4</v>
      </c>
      <c r="AH1460">
        <v>4</v>
      </c>
      <c r="AI1460">
        <v>2</v>
      </c>
      <c r="AJ1460">
        <v>1</v>
      </c>
      <c r="AK1460" t="b">
        <f>Table67[[#This Row],[What is your age?]]&lt;&gt;"18 - 25"</f>
        <v>0</v>
      </c>
      <c r="AL1460" t="b">
        <f t="shared" si="88"/>
        <v>0</v>
      </c>
      <c r="AM1460" t="b">
        <f t="shared" si="89"/>
        <v>1</v>
      </c>
      <c r="AN1460" t="b">
        <f t="shared" si="90"/>
        <v>0</v>
      </c>
      <c r="AO1460" t="b">
        <f>OR(Table67[[#This Row],[Ineligible respondents]:[Inconsistent response on opposite question (3)]])</f>
        <v>1</v>
      </c>
      <c r="AP146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460">
        <f>Table67[[#This Row],[Extreme Response]]/21</f>
        <v>0.2857142857142857</v>
      </c>
      <c r="AR1460">
        <f>_xlfn.PERCENTILE.INC(Table67[Extrem Response Ratio (ERS)],0.9)</f>
        <v>0.61904761904761907</v>
      </c>
      <c r="AS1460" t="b">
        <f>Table67[[#This Row],[Extrem Response Ratio (ERS)]]&gt;=Table67[[#This Row],[Threshold of ERS]]</f>
        <v>0</v>
      </c>
      <c r="AT1460">
        <f>COUNTIF(Table67[[#This Row],[The mechanism of digital assets is difficult to understand, which discourages me from exploring it (E.g, Tokenization, Blockchain)]:[If I want to try different ways to invest, I will explore digital assets.]], 3)</f>
        <v>4</v>
      </c>
      <c r="AU1460">
        <f>Table67[[#This Row],[Midpoint]]/21</f>
        <v>0.19047619047619047</v>
      </c>
      <c r="AV1460">
        <f>_xlfn.PERCENTILE.INC(Table67[Midpoint ratio],0.9)</f>
        <v>0.5714285714285714</v>
      </c>
      <c r="AW1460" t="b">
        <f>Table67[[#This Row],[Midpoint ratio]]&gt;=Table67[[#This Row],[Threshold of Midpoint ratio]]</f>
        <v>0</v>
      </c>
      <c r="AX1460" t="b">
        <f>OR(Table67[[#This Row],[Extreme Response Style]],Table67[[#This Row],[Mid-point Response Style]])</f>
        <v>0</v>
      </c>
      <c r="AY1460" t="b">
        <f>OR(Table67[[#This Row],[Delete? (Stage 1)]],Table67[[#This Row],[Delete? (Stage 2)]])</f>
        <v>1</v>
      </c>
      <c r="AZ1460" t="s">
        <v>84</v>
      </c>
    </row>
    <row r="1461" spans="1:52">
      <c r="A1461">
        <f t="shared" si="91"/>
        <v>1460</v>
      </c>
      <c r="B1461" s="3">
        <v>46062.042488425926</v>
      </c>
      <c r="C1461" s="3">
        <v>46062.046620370369</v>
      </c>
      <c r="D1461" t="s">
        <v>53</v>
      </c>
      <c r="G1461" t="s">
        <v>54</v>
      </c>
      <c r="H1461" t="s">
        <v>55</v>
      </c>
      <c r="I1461" t="s">
        <v>56</v>
      </c>
      <c r="J1461" t="s">
        <v>62</v>
      </c>
      <c r="K1461" t="s">
        <v>57</v>
      </c>
      <c r="L1461" t="s">
        <v>58</v>
      </c>
      <c r="M1461" t="s">
        <v>58</v>
      </c>
      <c r="N1461">
        <v>4</v>
      </c>
      <c r="O1461">
        <v>3</v>
      </c>
      <c r="P1461">
        <v>4</v>
      </c>
      <c r="Q1461">
        <v>4</v>
      </c>
      <c r="R1461">
        <v>4</v>
      </c>
      <c r="S1461">
        <v>4</v>
      </c>
      <c r="T1461">
        <v>4</v>
      </c>
      <c r="U1461">
        <v>3</v>
      </c>
      <c r="V1461">
        <v>4</v>
      </c>
      <c r="W1461">
        <v>4</v>
      </c>
      <c r="X1461">
        <v>3</v>
      </c>
      <c r="Y1461">
        <v>4</v>
      </c>
      <c r="Z1461">
        <v>4</v>
      </c>
      <c r="AA1461">
        <v>4</v>
      </c>
      <c r="AB1461">
        <v>3</v>
      </c>
      <c r="AC1461">
        <v>4</v>
      </c>
      <c r="AD1461">
        <v>4</v>
      </c>
      <c r="AE1461">
        <v>4</v>
      </c>
      <c r="AF1461">
        <v>4</v>
      </c>
      <c r="AG1461">
        <v>4</v>
      </c>
      <c r="AH1461">
        <v>4</v>
      </c>
      <c r="AI1461">
        <v>2</v>
      </c>
      <c r="AJ1461">
        <v>2</v>
      </c>
      <c r="AK1461" t="b">
        <f>Table67[[#This Row],[What is your age?]]&lt;&gt;"18 - 25"</f>
        <v>0</v>
      </c>
      <c r="AL1461" t="b">
        <f t="shared" si="88"/>
        <v>0</v>
      </c>
      <c r="AM1461" t="b">
        <f t="shared" si="89"/>
        <v>1</v>
      </c>
      <c r="AN1461" t="b">
        <f t="shared" si="90"/>
        <v>0</v>
      </c>
      <c r="AO1461" t="b">
        <f>OR(Table67[[#This Row],[Ineligible respondents]:[Inconsistent response on opposite question (3)]])</f>
        <v>1</v>
      </c>
      <c r="AP146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461">
        <f>Table67[[#This Row],[Extreme Response]]/21</f>
        <v>0</v>
      </c>
      <c r="AR1461">
        <f>_xlfn.PERCENTILE.INC(Table67[Extrem Response Ratio (ERS)],0.9)</f>
        <v>0.61904761904761907</v>
      </c>
      <c r="AS1461" t="b">
        <f>Table67[[#This Row],[Extrem Response Ratio (ERS)]]&gt;=Table67[[#This Row],[Threshold of ERS]]</f>
        <v>0</v>
      </c>
      <c r="AT1461">
        <f>COUNTIF(Table67[[#This Row],[The mechanism of digital assets is difficult to understand, which discourages me from exploring it (E.g, Tokenization, Blockchain)]:[If I want to try different ways to invest, I will explore digital assets.]], 3)</f>
        <v>4</v>
      </c>
      <c r="AU1461">
        <f>Table67[[#This Row],[Midpoint]]/21</f>
        <v>0.19047619047619047</v>
      </c>
      <c r="AV1461">
        <f>_xlfn.PERCENTILE.INC(Table67[Midpoint ratio],0.9)</f>
        <v>0.5714285714285714</v>
      </c>
      <c r="AW1461" t="b">
        <f>Table67[[#This Row],[Midpoint ratio]]&gt;=Table67[[#This Row],[Threshold of Midpoint ratio]]</f>
        <v>0</v>
      </c>
      <c r="AX1461" t="b">
        <f>OR(Table67[[#This Row],[Extreme Response Style]],Table67[[#This Row],[Mid-point Response Style]])</f>
        <v>0</v>
      </c>
      <c r="AY1461" t="b">
        <f>OR(Table67[[#This Row],[Delete? (Stage 1)]],Table67[[#This Row],[Delete? (Stage 2)]])</f>
        <v>1</v>
      </c>
      <c r="AZ1461" t="s">
        <v>84</v>
      </c>
    </row>
    <row r="1462" spans="1:52">
      <c r="A1462">
        <f t="shared" si="91"/>
        <v>1461</v>
      </c>
      <c r="B1462" s="3">
        <v>46062.051030092596</v>
      </c>
      <c r="C1462" s="3">
        <v>46062.056643518517</v>
      </c>
      <c r="D1462" t="s">
        <v>53</v>
      </c>
      <c r="G1462" t="s">
        <v>54</v>
      </c>
      <c r="H1462" t="s">
        <v>63</v>
      </c>
      <c r="I1462" t="s">
        <v>69</v>
      </c>
      <c r="J1462" t="s">
        <v>68</v>
      </c>
      <c r="K1462" t="s">
        <v>60</v>
      </c>
      <c r="L1462" t="s">
        <v>61</v>
      </c>
      <c r="M1462" t="s">
        <v>61</v>
      </c>
      <c r="N1462">
        <v>4</v>
      </c>
      <c r="O1462">
        <v>5</v>
      </c>
      <c r="P1462">
        <v>1</v>
      </c>
      <c r="Q1462">
        <v>1</v>
      </c>
      <c r="R1462">
        <v>1</v>
      </c>
      <c r="S1462">
        <v>1</v>
      </c>
      <c r="T1462">
        <v>2</v>
      </c>
      <c r="U1462">
        <v>1</v>
      </c>
      <c r="V1462">
        <v>1</v>
      </c>
      <c r="W1462">
        <v>5</v>
      </c>
      <c r="X1462">
        <v>5</v>
      </c>
      <c r="Y1462">
        <v>5</v>
      </c>
      <c r="Z1462">
        <v>5</v>
      </c>
      <c r="AA1462">
        <v>4</v>
      </c>
      <c r="AB1462">
        <v>5</v>
      </c>
      <c r="AC1462">
        <v>1</v>
      </c>
      <c r="AD1462">
        <v>5</v>
      </c>
      <c r="AE1462">
        <v>5</v>
      </c>
      <c r="AF1462">
        <v>4</v>
      </c>
      <c r="AG1462">
        <v>2</v>
      </c>
      <c r="AH1462">
        <v>5</v>
      </c>
      <c r="AI1462">
        <v>1</v>
      </c>
      <c r="AJ1462">
        <v>2</v>
      </c>
      <c r="AK1462" t="b">
        <f>Table67[[#This Row],[What is your age?]]&lt;&gt;"18 - 25"</f>
        <v>0</v>
      </c>
      <c r="AL1462" t="b">
        <f t="shared" si="88"/>
        <v>0</v>
      </c>
      <c r="AM1462" t="b">
        <f t="shared" si="89"/>
        <v>0</v>
      </c>
      <c r="AN1462" t="b">
        <f t="shared" si="90"/>
        <v>0</v>
      </c>
      <c r="AO1462" t="b">
        <f>OR(Table67[[#This Row],[Ineligible respondents]:[Inconsistent response on opposite question (3)]])</f>
        <v>0</v>
      </c>
      <c r="AP146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16</v>
      </c>
      <c r="AQ1462">
        <f>Table67[[#This Row],[Extreme Response]]/21</f>
        <v>0.76190476190476186</v>
      </c>
      <c r="AR1462">
        <f>_xlfn.PERCENTILE.INC(Table67[Extrem Response Ratio (ERS)],0.9)</f>
        <v>0.61904761904761907</v>
      </c>
      <c r="AS1462" t="b">
        <f>Table67[[#This Row],[Extrem Response Ratio (ERS)]]&gt;=Table67[[#This Row],[Threshold of ERS]]</f>
        <v>1</v>
      </c>
      <c r="AT1462">
        <f>COUNTIF(Table67[[#This Row],[The mechanism of digital assets is difficult to understand, which discourages me from exploring it (E.g, Tokenization, Blockchain)]:[If I want to try different ways to invest, I will explore digital assets.]], 3)</f>
        <v>0</v>
      </c>
      <c r="AU1462">
        <f>Table67[[#This Row],[Midpoint]]/21</f>
        <v>0</v>
      </c>
      <c r="AV1462">
        <f>_xlfn.PERCENTILE.INC(Table67[Midpoint ratio],0.9)</f>
        <v>0.5714285714285714</v>
      </c>
      <c r="AW1462" t="b">
        <f>Table67[[#This Row],[Midpoint ratio]]&gt;=Table67[[#This Row],[Threshold of Midpoint ratio]]</f>
        <v>0</v>
      </c>
      <c r="AX1462" t="b">
        <f>OR(Table67[[#This Row],[Extreme Response Style]],Table67[[#This Row],[Mid-point Response Style]])</f>
        <v>1</v>
      </c>
      <c r="AY1462" t="b">
        <f>OR(Table67[[#This Row],[Delete? (Stage 1)]],Table67[[#This Row],[Delete? (Stage 2)]])</f>
        <v>1</v>
      </c>
      <c r="AZ1462" t="s">
        <v>84</v>
      </c>
    </row>
    <row r="1463" spans="1:52">
      <c r="A1463">
        <f t="shared" si="91"/>
        <v>1462</v>
      </c>
      <c r="B1463" s="3">
        <v>46062.036238425928</v>
      </c>
      <c r="C1463" s="3">
        <v>46062.046215277776</v>
      </c>
      <c r="D1463" t="s">
        <v>53</v>
      </c>
      <c r="G1463" t="s">
        <v>54</v>
      </c>
      <c r="H1463" t="s">
        <v>63</v>
      </c>
      <c r="I1463" t="s">
        <v>69</v>
      </c>
      <c r="J1463" t="s">
        <v>60</v>
      </c>
      <c r="K1463" t="s">
        <v>62</v>
      </c>
      <c r="L1463" t="s">
        <v>58</v>
      </c>
      <c r="M1463" t="s">
        <v>58</v>
      </c>
      <c r="N1463">
        <v>4</v>
      </c>
      <c r="O1463">
        <v>2</v>
      </c>
      <c r="P1463">
        <v>5</v>
      </c>
      <c r="Q1463">
        <v>3</v>
      </c>
      <c r="R1463">
        <v>4</v>
      </c>
      <c r="S1463">
        <v>4</v>
      </c>
      <c r="T1463">
        <v>2</v>
      </c>
      <c r="U1463">
        <v>4</v>
      </c>
      <c r="V1463">
        <v>5</v>
      </c>
      <c r="W1463">
        <v>5</v>
      </c>
      <c r="X1463">
        <v>4</v>
      </c>
      <c r="Y1463">
        <v>5</v>
      </c>
      <c r="Z1463">
        <v>4</v>
      </c>
      <c r="AA1463">
        <v>4</v>
      </c>
      <c r="AB1463">
        <v>3</v>
      </c>
      <c r="AC1463">
        <v>4</v>
      </c>
      <c r="AD1463">
        <v>5</v>
      </c>
      <c r="AE1463">
        <v>4</v>
      </c>
      <c r="AF1463">
        <v>2</v>
      </c>
      <c r="AG1463">
        <v>3</v>
      </c>
      <c r="AH1463">
        <v>2</v>
      </c>
      <c r="AI1463">
        <v>4</v>
      </c>
      <c r="AJ1463">
        <v>4</v>
      </c>
      <c r="AK1463" t="b">
        <f>Table67[[#This Row],[What is your age?]]&lt;&gt;"18 - 25"</f>
        <v>0</v>
      </c>
      <c r="AL1463" t="b">
        <f t="shared" si="88"/>
        <v>0</v>
      </c>
      <c r="AM1463" t="b">
        <f t="shared" si="89"/>
        <v>0</v>
      </c>
      <c r="AN1463" t="b">
        <f t="shared" si="90"/>
        <v>1</v>
      </c>
      <c r="AO1463" t="b">
        <f>OR(Table67[[#This Row],[Ineligible respondents]:[Inconsistent response on opposite question (3)]])</f>
        <v>1</v>
      </c>
      <c r="AP146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463">
        <f>Table67[[#This Row],[Extreme Response]]/21</f>
        <v>0.23809523809523808</v>
      </c>
      <c r="AR1463">
        <f>_xlfn.PERCENTILE.INC(Table67[Extrem Response Ratio (ERS)],0.9)</f>
        <v>0.61904761904761907</v>
      </c>
      <c r="AS1463" t="b">
        <f>Table67[[#This Row],[Extrem Response Ratio (ERS)]]&gt;=Table67[[#This Row],[Threshold of ERS]]</f>
        <v>0</v>
      </c>
      <c r="AT1463">
        <f>COUNTIF(Table67[[#This Row],[The mechanism of digital assets is difficult to understand, which discourages me from exploring it (E.g, Tokenization, Blockchain)]:[If I want to try different ways to invest, I will explore digital assets.]], 3)</f>
        <v>3</v>
      </c>
      <c r="AU1463">
        <f>Table67[[#This Row],[Midpoint]]/21</f>
        <v>0.14285714285714285</v>
      </c>
      <c r="AV1463">
        <f>_xlfn.PERCENTILE.INC(Table67[Midpoint ratio],0.9)</f>
        <v>0.5714285714285714</v>
      </c>
      <c r="AW1463" t="b">
        <f>Table67[[#This Row],[Midpoint ratio]]&gt;=Table67[[#This Row],[Threshold of Midpoint ratio]]</f>
        <v>0</v>
      </c>
      <c r="AX1463" t="b">
        <f>OR(Table67[[#This Row],[Extreme Response Style]],Table67[[#This Row],[Mid-point Response Style]])</f>
        <v>0</v>
      </c>
      <c r="AY1463" t="b">
        <f>OR(Table67[[#This Row],[Delete? (Stage 1)]],Table67[[#This Row],[Delete? (Stage 2)]])</f>
        <v>1</v>
      </c>
      <c r="AZ1463" t="s">
        <v>84</v>
      </c>
    </row>
    <row r="1464" spans="1:52">
      <c r="A1464">
        <f t="shared" si="91"/>
        <v>1463</v>
      </c>
      <c r="B1464" s="3">
        <v>46065.870046296295</v>
      </c>
      <c r="C1464" s="3">
        <v>46065.875844907408</v>
      </c>
      <c r="D1464" t="s">
        <v>53</v>
      </c>
      <c r="G1464" t="s">
        <v>54</v>
      </c>
      <c r="H1464" t="s">
        <v>63</v>
      </c>
      <c r="I1464" t="s">
        <v>56</v>
      </c>
      <c r="J1464" t="s">
        <v>62</v>
      </c>
      <c r="K1464" t="s">
        <v>62</v>
      </c>
      <c r="L1464" t="s">
        <v>58</v>
      </c>
      <c r="M1464" t="s">
        <v>58</v>
      </c>
      <c r="N1464">
        <v>3</v>
      </c>
      <c r="O1464">
        <v>3</v>
      </c>
      <c r="P1464">
        <v>3</v>
      </c>
      <c r="Q1464">
        <v>2</v>
      </c>
      <c r="R1464">
        <v>3</v>
      </c>
      <c r="S1464">
        <v>3</v>
      </c>
      <c r="T1464">
        <v>3</v>
      </c>
      <c r="U1464">
        <v>3</v>
      </c>
      <c r="V1464">
        <v>3</v>
      </c>
      <c r="W1464">
        <v>4</v>
      </c>
      <c r="X1464">
        <v>3</v>
      </c>
      <c r="Y1464">
        <v>4</v>
      </c>
      <c r="Z1464">
        <v>4</v>
      </c>
      <c r="AA1464">
        <v>3</v>
      </c>
      <c r="AB1464">
        <v>3</v>
      </c>
      <c r="AC1464">
        <v>3</v>
      </c>
      <c r="AD1464">
        <v>4</v>
      </c>
      <c r="AE1464">
        <v>4</v>
      </c>
      <c r="AF1464">
        <v>4</v>
      </c>
      <c r="AG1464">
        <v>1</v>
      </c>
      <c r="AH1464">
        <v>4</v>
      </c>
      <c r="AI1464">
        <v>2</v>
      </c>
      <c r="AJ1464">
        <v>2</v>
      </c>
      <c r="AK1464" t="b">
        <f>Table67[[#This Row],[What is your age?]]&lt;&gt;"18 - 25"</f>
        <v>0</v>
      </c>
      <c r="AL1464" t="b">
        <f t="shared" si="88"/>
        <v>0</v>
      </c>
      <c r="AM1464" t="b">
        <f t="shared" si="89"/>
        <v>0</v>
      </c>
      <c r="AN1464" t="b">
        <f t="shared" si="90"/>
        <v>0</v>
      </c>
      <c r="AO1464" t="b">
        <f>OR(Table67[[#This Row],[Ineligible respondents]:[Inconsistent response on opposite question (3)]])</f>
        <v>0</v>
      </c>
      <c r="AP146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464">
        <f>Table67[[#This Row],[Extreme Response]]/21</f>
        <v>4.7619047619047616E-2</v>
      </c>
      <c r="AR1464">
        <f>_xlfn.PERCENTILE.INC(Table67[Extrem Response Ratio (ERS)],0.9)</f>
        <v>0.61904761904761907</v>
      </c>
      <c r="AS1464" t="b">
        <f>Table67[[#This Row],[Extrem Response Ratio (ERS)]]&gt;=Table67[[#This Row],[Threshold of ERS]]</f>
        <v>0</v>
      </c>
      <c r="AT1464">
        <f>COUNTIF(Table67[[#This Row],[The mechanism of digital assets is difficult to understand, which discourages me from exploring it (E.g, Tokenization, Blockchain)]:[If I want to try different ways to invest, I will explore digital assets.]], 3)</f>
        <v>12</v>
      </c>
      <c r="AU1464">
        <f>Table67[[#This Row],[Midpoint]]/21</f>
        <v>0.5714285714285714</v>
      </c>
      <c r="AV1464">
        <f>_xlfn.PERCENTILE.INC(Table67[Midpoint ratio],0.9)</f>
        <v>0.5714285714285714</v>
      </c>
      <c r="AW1464" t="b">
        <f>Table67[[#This Row],[Midpoint ratio]]&gt;=Table67[[#This Row],[Threshold of Midpoint ratio]]</f>
        <v>1</v>
      </c>
      <c r="AX1464" t="b">
        <f>OR(Table67[[#This Row],[Extreme Response Style]],Table67[[#This Row],[Mid-point Response Style]])</f>
        <v>1</v>
      </c>
      <c r="AY1464" t="b">
        <f>OR(Table67[[#This Row],[Delete? (Stage 1)]],Table67[[#This Row],[Delete? (Stage 2)]])</f>
        <v>1</v>
      </c>
      <c r="AZ1464" t="s">
        <v>84</v>
      </c>
    </row>
    <row r="1465" spans="1:52">
      <c r="A1465">
        <f t="shared" si="91"/>
        <v>1464</v>
      </c>
      <c r="B1465" s="3">
        <v>46065.731678240743</v>
      </c>
      <c r="C1465" s="3">
        <v>46065.734074074076</v>
      </c>
      <c r="D1465" t="s">
        <v>53</v>
      </c>
      <c r="G1465" t="s">
        <v>54</v>
      </c>
      <c r="H1465" t="s">
        <v>55</v>
      </c>
      <c r="I1465" t="s">
        <v>56</v>
      </c>
      <c r="J1465" t="s">
        <v>62</v>
      </c>
      <c r="K1465" t="s">
        <v>62</v>
      </c>
      <c r="L1465" t="s">
        <v>58</v>
      </c>
      <c r="M1465" t="s">
        <v>58</v>
      </c>
      <c r="N1465">
        <v>3</v>
      </c>
      <c r="O1465">
        <v>2</v>
      </c>
      <c r="P1465">
        <v>4</v>
      </c>
      <c r="Q1465">
        <v>4</v>
      </c>
      <c r="R1465">
        <v>2</v>
      </c>
      <c r="S1465">
        <v>3</v>
      </c>
      <c r="T1465">
        <v>3</v>
      </c>
      <c r="U1465">
        <v>4</v>
      </c>
      <c r="V1465">
        <v>3</v>
      </c>
      <c r="W1465">
        <v>3</v>
      </c>
      <c r="X1465">
        <v>4</v>
      </c>
      <c r="Y1465">
        <v>3</v>
      </c>
      <c r="Z1465">
        <v>3</v>
      </c>
      <c r="AA1465">
        <v>2</v>
      </c>
      <c r="AB1465">
        <v>2</v>
      </c>
      <c r="AC1465">
        <v>3</v>
      </c>
      <c r="AD1465">
        <v>4</v>
      </c>
      <c r="AE1465">
        <v>4</v>
      </c>
      <c r="AF1465">
        <v>3</v>
      </c>
      <c r="AG1465">
        <v>2</v>
      </c>
      <c r="AH1465">
        <v>5</v>
      </c>
      <c r="AI1465">
        <v>1</v>
      </c>
      <c r="AJ1465">
        <v>3</v>
      </c>
      <c r="AK1465" t="b">
        <f>Table67[[#This Row],[What is your age?]]&lt;&gt;"18 - 25"</f>
        <v>0</v>
      </c>
      <c r="AL1465" t="b">
        <f t="shared" si="88"/>
        <v>0</v>
      </c>
      <c r="AM1465" t="b">
        <f t="shared" si="89"/>
        <v>0</v>
      </c>
      <c r="AN1465" t="b">
        <f t="shared" si="90"/>
        <v>0</v>
      </c>
      <c r="AO1465" t="b">
        <f>OR(Table67[[#This Row],[Ineligible respondents]:[Inconsistent response on opposite question (3)]])</f>
        <v>0</v>
      </c>
      <c r="AP146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465">
        <f>Table67[[#This Row],[Extreme Response]]/21</f>
        <v>4.7619047619047616E-2</v>
      </c>
      <c r="AR1465">
        <f>_xlfn.PERCENTILE.INC(Table67[Extrem Response Ratio (ERS)],0.9)</f>
        <v>0.61904761904761907</v>
      </c>
      <c r="AS1465" t="b">
        <f>Table67[[#This Row],[Extrem Response Ratio (ERS)]]&gt;=Table67[[#This Row],[Threshold of ERS]]</f>
        <v>0</v>
      </c>
      <c r="AT1465">
        <f>COUNTIF(Table67[[#This Row],[The mechanism of digital assets is difficult to understand, which discourages me from exploring it (E.g, Tokenization, Blockchain)]:[If I want to try different ways to invest, I will explore digital assets.]], 3)</f>
        <v>9</v>
      </c>
      <c r="AU1465">
        <f>Table67[[#This Row],[Midpoint]]/21</f>
        <v>0.42857142857142855</v>
      </c>
      <c r="AV1465">
        <f>_xlfn.PERCENTILE.INC(Table67[Midpoint ratio],0.9)</f>
        <v>0.5714285714285714</v>
      </c>
      <c r="AW1465" t="b">
        <f>Table67[[#This Row],[Midpoint ratio]]&gt;=Table67[[#This Row],[Threshold of Midpoint ratio]]</f>
        <v>0</v>
      </c>
      <c r="AX1465" t="b">
        <f>OR(Table67[[#This Row],[Extreme Response Style]],Table67[[#This Row],[Mid-point Response Style]])</f>
        <v>0</v>
      </c>
      <c r="AY1465" t="b">
        <f>OR(Table67[[#This Row],[Delete? (Stage 1)]],Table67[[#This Row],[Delete? (Stage 2)]])</f>
        <v>0</v>
      </c>
      <c r="AZ1465" t="s">
        <v>84</v>
      </c>
    </row>
    <row r="1466" spans="1:52">
      <c r="A1466">
        <f t="shared" si="91"/>
        <v>1465</v>
      </c>
      <c r="B1466" s="3">
        <v>46065.832835648151</v>
      </c>
      <c r="C1466" s="3">
        <v>46065.841666666667</v>
      </c>
      <c r="D1466" t="s">
        <v>53</v>
      </c>
      <c r="G1466" t="s">
        <v>54</v>
      </c>
      <c r="H1466" t="s">
        <v>55</v>
      </c>
      <c r="I1466" t="s">
        <v>75</v>
      </c>
      <c r="J1466" t="s">
        <v>65</v>
      </c>
      <c r="K1466" t="s">
        <v>62</v>
      </c>
      <c r="L1466" t="s">
        <v>58</v>
      </c>
      <c r="M1466" t="s">
        <v>58</v>
      </c>
      <c r="N1466">
        <v>2</v>
      </c>
      <c r="O1466">
        <v>2</v>
      </c>
      <c r="P1466">
        <v>1</v>
      </c>
      <c r="Q1466">
        <v>2</v>
      </c>
      <c r="R1466">
        <v>1</v>
      </c>
      <c r="S1466">
        <v>1</v>
      </c>
      <c r="T1466">
        <v>1</v>
      </c>
      <c r="U1466">
        <v>2</v>
      </c>
      <c r="V1466">
        <v>5</v>
      </c>
      <c r="W1466">
        <v>4</v>
      </c>
      <c r="X1466">
        <v>2</v>
      </c>
      <c r="Y1466">
        <v>4</v>
      </c>
      <c r="Z1466">
        <v>3</v>
      </c>
      <c r="AA1466">
        <v>2</v>
      </c>
      <c r="AB1466">
        <v>1</v>
      </c>
      <c r="AC1466">
        <v>1</v>
      </c>
      <c r="AD1466">
        <v>3</v>
      </c>
      <c r="AE1466">
        <v>2</v>
      </c>
      <c r="AF1466">
        <v>5</v>
      </c>
      <c r="AG1466">
        <v>1</v>
      </c>
      <c r="AH1466">
        <v>4</v>
      </c>
      <c r="AI1466">
        <v>2</v>
      </c>
      <c r="AJ1466">
        <v>1</v>
      </c>
      <c r="AK1466" t="b">
        <f>Table67[[#This Row],[What is your age?]]&lt;&gt;"18 - 25"</f>
        <v>0</v>
      </c>
      <c r="AL1466" t="b">
        <f t="shared" si="88"/>
        <v>0</v>
      </c>
      <c r="AM1466" t="b">
        <f t="shared" si="89"/>
        <v>0</v>
      </c>
      <c r="AN1466" t="b">
        <f t="shared" si="90"/>
        <v>0</v>
      </c>
      <c r="AO1466" t="b">
        <f>OR(Table67[[#This Row],[Ineligible respondents]:[Inconsistent response on opposite question (3)]])</f>
        <v>0</v>
      </c>
      <c r="AP146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1466">
        <f>Table67[[#This Row],[Extreme Response]]/21</f>
        <v>0.42857142857142855</v>
      </c>
      <c r="AR1466">
        <f>_xlfn.PERCENTILE.INC(Table67[Extrem Response Ratio (ERS)],0.9)</f>
        <v>0.61904761904761907</v>
      </c>
      <c r="AS1466" t="b">
        <f>Table67[[#This Row],[Extrem Response Ratio (ERS)]]&gt;=Table67[[#This Row],[Threshold of ERS]]</f>
        <v>0</v>
      </c>
      <c r="AT1466">
        <f>COUNTIF(Table67[[#This Row],[The mechanism of digital assets is difficult to understand, which discourages me from exploring it (E.g, Tokenization, Blockchain)]:[If I want to try different ways to invest, I will explore digital assets.]], 3)</f>
        <v>2</v>
      </c>
      <c r="AU1466">
        <f>Table67[[#This Row],[Midpoint]]/21</f>
        <v>9.5238095238095233E-2</v>
      </c>
      <c r="AV1466">
        <f>_xlfn.PERCENTILE.INC(Table67[Midpoint ratio],0.9)</f>
        <v>0.5714285714285714</v>
      </c>
      <c r="AW1466" t="b">
        <f>Table67[[#This Row],[Midpoint ratio]]&gt;=Table67[[#This Row],[Threshold of Midpoint ratio]]</f>
        <v>0</v>
      </c>
      <c r="AX1466" t="b">
        <f>OR(Table67[[#This Row],[Extreme Response Style]],Table67[[#This Row],[Mid-point Response Style]])</f>
        <v>0</v>
      </c>
      <c r="AY1466" t="b">
        <f>OR(Table67[[#This Row],[Delete? (Stage 1)]],Table67[[#This Row],[Delete? (Stage 2)]])</f>
        <v>0</v>
      </c>
      <c r="AZ1466" t="s">
        <v>84</v>
      </c>
    </row>
    <row r="1467" spans="1:52">
      <c r="A1467">
        <f t="shared" si="91"/>
        <v>1466</v>
      </c>
      <c r="B1467" s="3">
        <v>46062.027604166666</v>
      </c>
      <c r="C1467" s="3">
        <v>46062.034803240742</v>
      </c>
      <c r="D1467" t="s">
        <v>53</v>
      </c>
      <c r="G1467" t="s">
        <v>54</v>
      </c>
      <c r="H1467" t="s">
        <v>55</v>
      </c>
      <c r="I1467" t="s">
        <v>56</v>
      </c>
      <c r="J1467" t="s">
        <v>66</v>
      </c>
      <c r="K1467" t="s">
        <v>62</v>
      </c>
      <c r="L1467" t="s">
        <v>58</v>
      </c>
      <c r="M1467" t="s">
        <v>58</v>
      </c>
      <c r="N1467">
        <v>4</v>
      </c>
      <c r="O1467">
        <v>1</v>
      </c>
      <c r="P1467">
        <v>3</v>
      </c>
      <c r="Q1467">
        <v>2</v>
      </c>
      <c r="R1467">
        <v>2</v>
      </c>
      <c r="S1467">
        <v>2</v>
      </c>
      <c r="T1467">
        <v>4</v>
      </c>
      <c r="U1467">
        <v>5</v>
      </c>
      <c r="V1467">
        <v>4</v>
      </c>
      <c r="W1467">
        <v>3</v>
      </c>
      <c r="X1467">
        <v>2</v>
      </c>
      <c r="Y1467">
        <v>1</v>
      </c>
      <c r="Z1467">
        <v>5</v>
      </c>
      <c r="AA1467">
        <v>5</v>
      </c>
      <c r="AB1467">
        <v>5</v>
      </c>
      <c r="AC1467">
        <v>5</v>
      </c>
      <c r="AD1467">
        <v>5</v>
      </c>
      <c r="AE1467">
        <v>2</v>
      </c>
      <c r="AF1467">
        <v>2</v>
      </c>
      <c r="AG1467">
        <v>4</v>
      </c>
      <c r="AH1467">
        <v>3</v>
      </c>
      <c r="AI1467">
        <v>3</v>
      </c>
      <c r="AJ1467">
        <v>4</v>
      </c>
      <c r="AK1467" t="b">
        <f>Table67[[#This Row],[What is your age?]]&lt;&gt;"18 - 25"</f>
        <v>0</v>
      </c>
      <c r="AL1467" t="b">
        <f t="shared" si="88"/>
        <v>0</v>
      </c>
      <c r="AM1467" t="b">
        <f t="shared" si="89"/>
        <v>0</v>
      </c>
      <c r="AN1467" t="b">
        <f t="shared" si="90"/>
        <v>1</v>
      </c>
      <c r="AO1467" t="b">
        <f>OR(Table67[[#This Row],[Ineligible respondents]:[Inconsistent response on opposite question (3)]])</f>
        <v>1</v>
      </c>
      <c r="AP146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1467">
        <f>Table67[[#This Row],[Extreme Response]]/21</f>
        <v>0.38095238095238093</v>
      </c>
      <c r="AR1467">
        <f>_xlfn.PERCENTILE.INC(Table67[Extrem Response Ratio (ERS)],0.9)</f>
        <v>0.61904761904761907</v>
      </c>
      <c r="AS1467" t="b">
        <f>Table67[[#This Row],[Extrem Response Ratio (ERS)]]&gt;=Table67[[#This Row],[Threshold of ERS]]</f>
        <v>0</v>
      </c>
      <c r="AT1467">
        <f>COUNTIF(Table67[[#This Row],[The mechanism of digital assets is difficult to understand, which discourages me from exploring it (E.g, Tokenization, Blockchain)]:[If I want to try different ways to invest, I will explore digital assets.]], 3)</f>
        <v>3</v>
      </c>
      <c r="AU1467">
        <f>Table67[[#This Row],[Midpoint]]/21</f>
        <v>0.14285714285714285</v>
      </c>
      <c r="AV1467">
        <f>_xlfn.PERCENTILE.INC(Table67[Midpoint ratio],0.9)</f>
        <v>0.5714285714285714</v>
      </c>
      <c r="AW1467" t="b">
        <f>Table67[[#This Row],[Midpoint ratio]]&gt;=Table67[[#This Row],[Threshold of Midpoint ratio]]</f>
        <v>0</v>
      </c>
      <c r="AX1467" t="b">
        <f>OR(Table67[[#This Row],[Extreme Response Style]],Table67[[#This Row],[Mid-point Response Style]])</f>
        <v>0</v>
      </c>
      <c r="AY1467" t="b">
        <f>OR(Table67[[#This Row],[Delete? (Stage 1)]],Table67[[#This Row],[Delete? (Stage 2)]])</f>
        <v>1</v>
      </c>
      <c r="AZ1467" t="s">
        <v>84</v>
      </c>
    </row>
    <row r="1468" spans="1:52">
      <c r="A1468">
        <f t="shared" si="91"/>
        <v>1467</v>
      </c>
      <c r="B1468" s="3">
        <v>46062.026273148149</v>
      </c>
      <c r="C1468" s="3">
        <v>46062.029664351852</v>
      </c>
      <c r="D1468" t="s">
        <v>53</v>
      </c>
      <c r="G1468" t="s">
        <v>54</v>
      </c>
      <c r="H1468" t="s">
        <v>55</v>
      </c>
      <c r="I1468" t="s">
        <v>71</v>
      </c>
      <c r="J1468" t="s">
        <v>62</v>
      </c>
      <c r="K1468" t="s">
        <v>57</v>
      </c>
      <c r="L1468" t="s">
        <v>58</v>
      </c>
      <c r="M1468" t="s">
        <v>58</v>
      </c>
      <c r="N1468">
        <v>5</v>
      </c>
      <c r="O1468">
        <v>2</v>
      </c>
      <c r="P1468">
        <v>4</v>
      </c>
      <c r="Q1468">
        <v>5</v>
      </c>
      <c r="R1468">
        <v>3</v>
      </c>
      <c r="S1468">
        <v>3</v>
      </c>
      <c r="T1468">
        <v>5</v>
      </c>
      <c r="U1468">
        <v>5</v>
      </c>
      <c r="V1468">
        <v>5</v>
      </c>
      <c r="W1468">
        <v>5</v>
      </c>
      <c r="X1468">
        <v>5</v>
      </c>
      <c r="Y1468">
        <v>5</v>
      </c>
      <c r="Z1468">
        <v>5</v>
      </c>
      <c r="AA1468">
        <v>5</v>
      </c>
      <c r="AB1468">
        <v>2</v>
      </c>
      <c r="AC1468">
        <v>3</v>
      </c>
      <c r="AD1468">
        <v>5</v>
      </c>
      <c r="AE1468">
        <v>5</v>
      </c>
      <c r="AF1468">
        <v>3</v>
      </c>
      <c r="AG1468">
        <v>4</v>
      </c>
      <c r="AH1468">
        <v>3</v>
      </c>
      <c r="AI1468">
        <v>3</v>
      </c>
      <c r="AJ1468">
        <v>3</v>
      </c>
      <c r="AK1468" t="b">
        <f>Table67[[#This Row],[What is your age?]]&lt;&gt;"18 - 25"</f>
        <v>0</v>
      </c>
      <c r="AL1468" t="b">
        <f t="shared" si="88"/>
        <v>0</v>
      </c>
      <c r="AM1468" t="b">
        <f t="shared" si="89"/>
        <v>0</v>
      </c>
      <c r="AN1468" t="b">
        <f t="shared" si="90"/>
        <v>1</v>
      </c>
      <c r="AO1468" t="b">
        <f>OR(Table67[[#This Row],[Ineligible respondents]:[Inconsistent response on opposite question (3)]])</f>
        <v>1</v>
      </c>
      <c r="AP146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12</v>
      </c>
      <c r="AQ1468">
        <f>Table67[[#This Row],[Extreme Response]]/21</f>
        <v>0.5714285714285714</v>
      </c>
      <c r="AR1468">
        <f>_xlfn.PERCENTILE.INC(Table67[Extrem Response Ratio (ERS)],0.9)</f>
        <v>0.61904761904761907</v>
      </c>
      <c r="AS1468" t="b">
        <f>Table67[[#This Row],[Extrem Response Ratio (ERS)]]&gt;=Table67[[#This Row],[Threshold of ERS]]</f>
        <v>0</v>
      </c>
      <c r="AT1468">
        <f>COUNTIF(Table67[[#This Row],[The mechanism of digital assets is difficult to understand, which discourages me from exploring it (E.g, Tokenization, Blockchain)]:[If I want to try different ways to invest, I will explore digital assets.]], 3)</f>
        <v>5</v>
      </c>
      <c r="AU1468">
        <f>Table67[[#This Row],[Midpoint]]/21</f>
        <v>0.23809523809523808</v>
      </c>
      <c r="AV1468">
        <f>_xlfn.PERCENTILE.INC(Table67[Midpoint ratio],0.9)</f>
        <v>0.5714285714285714</v>
      </c>
      <c r="AW1468" t="b">
        <f>Table67[[#This Row],[Midpoint ratio]]&gt;=Table67[[#This Row],[Threshold of Midpoint ratio]]</f>
        <v>0</v>
      </c>
      <c r="AX1468" t="b">
        <f>OR(Table67[[#This Row],[Extreme Response Style]],Table67[[#This Row],[Mid-point Response Style]])</f>
        <v>0</v>
      </c>
      <c r="AY1468" t="b">
        <f>OR(Table67[[#This Row],[Delete? (Stage 1)]],Table67[[#This Row],[Delete? (Stage 2)]])</f>
        <v>1</v>
      </c>
      <c r="AZ1468" t="s">
        <v>84</v>
      </c>
    </row>
    <row r="1469" spans="1:52">
      <c r="A1469">
        <f t="shared" si="91"/>
        <v>1468</v>
      </c>
      <c r="B1469" s="3">
        <v>46062.12290509259</v>
      </c>
      <c r="C1469" s="3">
        <v>46062.130798611113</v>
      </c>
      <c r="D1469" t="s">
        <v>53</v>
      </c>
      <c r="G1469" t="s">
        <v>54</v>
      </c>
      <c r="H1469" t="s">
        <v>55</v>
      </c>
      <c r="I1469" t="s">
        <v>56</v>
      </c>
      <c r="J1469" t="s">
        <v>62</v>
      </c>
      <c r="K1469" t="s">
        <v>57</v>
      </c>
      <c r="L1469" t="s">
        <v>58</v>
      </c>
      <c r="M1469" t="s">
        <v>58</v>
      </c>
      <c r="N1469">
        <v>5</v>
      </c>
      <c r="O1469">
        <v>1</v>
      </c>
      <c r="P1469">
        <v>3</v>
      </c>
      <c r="Q1469">
        <v>5</v>
      </c>
      <c r="R1469">
        <v>3</v>
      </c>
      <c r="S1469">
        <v>4</v>
      </c>
      <c r="T1469">
        <v>5</v>
      </c>
      <c r="U1469">
        <v>5</v>
      </c>
      <c r="V1469">
        <v>5</v>
      </c>
      <c r="W1469">
        <v>5</v>
      </c>
      <c r="X1469">
        <v>3</v>
      </c>
      <c r="Y1469">
        <v>3</v>
      </c>
      <c r="Z1469">
        <v>5</v>
      </c>
      <c r="AA1469">
        <v>4</v>
      </c>
      <c r="AB1469">
        <v>5</v>
      </c>
      <c r="AC1469">
        <v>5</v>
      </c>
      <c r="AD1469">
        <v>2</v>
      </c>
      <c r="AE1469">
        <v>4</v>
      </c>
      <c r="AF1469">
        <v>1</v>
      </c>
      <c r="AG1469">
        <v>5</v>
      </c>
      <c r="AH1469">
        <v>1</v>
      </c>
      <c r="AI1469">
        <v>5</v>
      </c>
      <c r="AJ1469">
        <v>5</v>
      </c>
      <c r="AK1469" t="b">
        <f>Table67[[#This Row],[What is your age?]]&lt;&gt;"18 - 25"</f>
        <v>0</v>
      </c>
      <c r="AL1469" t="b">
        <f t="shared" si="88"/>
        <v>0</v>
      </c>
      <c r="AM1469" t="b">
        <f t="shared" si="89"/>
        <v>0</v>
      </c>
      <c r="AN1469" t="b">
        <f t="shared" si="90"/>
        <v>0</v>
      </c>
      <c r="AO1469" t="b">
        <f>OR(Table67[[#This Row],[Ineligible respondents]:[Inconsistent response on opposite question (3)]])</f>
        <v>0</v>
      </c>
      <c r="AP146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1469">
        <f>Table67[[#This Row],[Extreme Response]]/21</f>
        <v>0.61904761904761907</v>
      </c>
      <c r="AR1469">
        <f>_xlfn.PERCENTILE.INC(Table67[Extrem Response Ratio (ERS)],0.9)</f>
        <v>0.61904761904761907</v>
      </c>
      <c r="AS1469" t="b">
        <f>Table67[[#This Row],[Extrem Response Ratio (ERS)]]&gt;=Table67[[#This Row],[Threshold of ERS]]</f>
        <v>1</v>
      </c>
      <c r="AT1469">
        <f>COUNTIF(Table67[[#This Row],[The mechanism of digital assets is difficult to understand, which discourages me from exploring it (E.g, Tokenization, Blockchain)]:[If I want to try different ways to invest, I will explore digital assets.]], 3)</f>
        <v>4</v>
      </c>
      <c r="AU1469">
        <f>Table67[[#This Row],[Midpoint]]/21</f>
        <v>0.19047619047619047</v>
      </c>
      <c r="AV1469">
        <f>_xlfn.PERCENTILE.INC(Table67[Midpoint ratio],0.9)</f>
        <v>0.5714285714285714</v>
      </c>
      <c r="AW1469" t="b">
        <f>Table67[[#This Row],[Midpoint ratio]]&gt;=Table67[[#This Row],[Threshold of Midpoint ratio]]</f>
        <v>0</v>
      </c>
      <c r="AX1469" t="b">
        <f>OR(Table67[[#This Row],[Extreme Response Style]],Table67[[#This Row],[Mid-point Response Style]])</f>
        <v>1</v>
      </c>
      <c r="AY1469" t="b">
        <f>OR(Table67[[#This Row],[Delete? (Stage 1)]],Table67[[#This Row],[Delete? (Stage 2)]])</f>
        <v>1</v>
      </c>
      <c r="AZ1469" t="s">
        <v>84</v>
      </c>
    </row>
    <row r="1470" spans="1:52">
      <c r="A1470">
        <f t="shared" si="91"/>
        <v>1469</v>
      </c>
      <c r="B1470" s="3">
        <v>46062.068391203706</v>
      </c>
      <c r="C1470" s="3">
        <v>46062.069467592592</v>
      </c>
      <c r="D1470" t="s">
        <v>53</v>
      </c>
      <c r="G1470" t="s">
        <v>54</v>
      </c>
      <c r="H1470" t="s">
        <v>63</v>
      </c>
      <c r="I1470" t="s">
        <v>56</v>
      </c>
      <c r="J1470" t="s">
        <v>62</v>
      </c>
      <c r="K1470" t="s">
        <v>62</v>
      </c>
      <c r="L1470" t="s">
        <v>61</v>
      </c>
      <c r="M1470" t="s">
        <v>61</v>
      </c>
      <c r="N1470">
        <v>4</v>
      </c>
      <c r="O1470">
        <v>4</v>
      </c>
      <c r="P1470">
        <v>4</v>
      </c>
      <c r="Q1470">
        <v>4</v>
      </c>
      <c r="R1470">
        <v>4</v>
      </c>
      <c r="S1470">
        <v>5</v>
      </c>
      <c r="T1470">
        <v>2</v>
      </c>
      <c r="U1470">
        <v>4</v>
      </c>
      <c r="V1470">
        <v>4</v>
      </c>
      <c r="W1470">
        <v>4</v>
      </c>
      <c r="X1470">
        <v>4</v>
      </c>
      <c r="Y1470">
        <v>4</v>
      </c>
      <c r="Z1470">
        <v>5</v>
      </c>
      <c r="AA1470">
        <v>4</v>
      </c>
      <c r="AB1470">
        <v>4</v>
      </c>
      <c r="AC1470">
        <v>1</v>
      </c>
      <c r="AD1470">
        <v>4</v>
      </c>
      <c r="AE1470">
        <v>4</v>
      </c>
      <c r="AF1470">
        <v>5</v>
      </c>
      <c r="AG1470">
        <v>4</v>
      </c>
      <c r="AH1470">
        <v>5</v>
      </c>
      <c r="AI1470">
        <v>1</v>
      </c>
      <c r="AJ1470">
        <v>1</v>
      </c>
      <c r="AK1470" t="b">
        <f>Table67[[#This Row],[What is your age?]]&lt;&gt;"18 - 25"</f>
        <v>0</v>
      </c>
      <c r="AL1470" t="b">
        <f t="shared" si="88"/>
        <v>0</v>
      </c>
      <c r="AM1470" t="b">
        <f t="shared" si="89"/>
        <v>1</v>
      </c>
      <c r="AN1470" t="b">
        <f t="shared" si="90"/>
        <v>0</v>
      </c>
      <c r="AO1470" t="b">
        <f>OR(Table67[[#This Row],[Ineligible respondents]:[Inconsistent response on opposite question (3)]])</f>
        <v>1</v>
      </c>
      <c r="AP147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470">
        <f>Table67[[#This Row],[Extreme Response]]/21</f>
        <v>0.23809523809523808</v>
      </c>
      <c r="AR1470">
        <f>_xlfn.PERCENTILE.INC(Table67[Extrem Response Ratio (ERS)],0.9)</f>
        <v>0.61904761904761907</v>
      </c>
      <c r="AS1470" t="b">
        <f>Table67[[#This Row],[Extrem Response Ratio (ERS)]]&gt;=Table67[[#This Row],[Threshold of ERS]]</f>
        <v>0</v>
      </c>
      <c r="AT1470">
        <f>COUNTIF(Table67[[#This Row],[The mechanism of digital assets is difficult to understand, which discourages me from exploring it (E.g, Tokenization, Blockchain)]:[If I want to try different ways to invest, I will explore digital assets.]], 3)</f>
        <v>0</v>
      </c>
      <c r="AU1470">
        <f>Table67[[#This Row],[Midpoint]]/21</f>
        <v>0</v>
      </c>
      <c r="AV1470">
        <f>_xlfn.PERCENTILE.INC(Table67[Midpoint ratio],0.9)</f>
        <v>0.5714285714285714</v>
      </c>
      <c r="AW1470" t="b">
        <f>Table67[[#This Row],[Midpoint ratio]]&gt;=Table67[[#This Row],[Threshold of Midpoint ratio]]</f>
        <v>0</v>
      </c>
      <c r="AX1470" t="b">
        <f>OR(Table67[[#This Row],[Extreme Response Style]],Table67[[#This Row],[Mid-point Response Style]])</f>
        <v>0</v>
      </c>
      <c r="AY1470" t="b">
        <f>OR(Table67[[#This Row],[Delete? (Stage 1)]],Table67[[#This Row],[Delete? (Stage 2)]])</f>
        <v>1</v>
      </c>
      <c r="AZ1470" t="s">
        <v>84</v>
      </c>
    </row>
    <row r="1471" spans="1:52">
      <c r="A1471">
        <f t="shared" si="91"/>
        <v>1470</v>
      </c>
      <c r="B1471" s="3">
        <v>46062.025381944448</v>
      </c>
      <c r="C1471" s="3">
        <v>46062.029594907406</v>
      </c>
      <c r="D1471" t="s">
        <v>53</v>
      </c>
      <c r="G1471" t="s">
        <v>54</v>
      </c>
      <c r="H1471" t="s">
        <v>55</v>
      </c>
      <c r="I1471" t="s">
        <v>71</v>
      </c>
      <c r="J1471" t="s">
        <v>62</v>
      </c>
      <c r="K1471" t="s">
        <v>62</v>
      </c>
      <c r="L1471" t="s">
        <v>58</v>
      </c>
      <c r="M1471" t="s">
        <v>58</v>
      </c>
      <c r="N1471">
        <v>4</v>
      </c>
      <c r="O1471">
        <v>2</v>
      </c>
      <c r="P1471">
        <v>4</v>
      </c>
      <c r="Q1471">
        <v>4</v>
      </c>
      <c r="R1471">
        <v>2</v>
      </c>
      <c r="S1471">
        <v>3</v>
      </c>
      <c r="T1471">
        <v>4</v>
      </c>
      <c r="U1471">
        <v>4</v>
      </c>
      <c r="V1471">
        <v>4</v>
      </c>
      <c r="W1471">
        <v>4</v>
      </c>
      <c r="X1471">
        <v>5</v>
      </c>
      <c r="Y1471">
        <v>5</v>
      </c>
      <c r="Z1471">
        <v>5</v>
      </c>
      <c r="AA1471">
        <v>5</v>
      </c>
      <c r="AB1471">
        <v>2</v>
      </c>
      <c r="AC1471">
        <v>4</v>
      </c>
      <c r="AD1471">
        <v>5</v>
      </c>
      <c r="AE1471">
        <v>3</v>
      </c>
      <c r="AF1471">
        <v>2</v>
      </c>
      <c r="AG1471">
        <v>4</v>
      </c>
      <c r="AH1471">
        <v>3</v>
      </c>
      <c r="AI1471">
        <v>3</v>
      </c>
      <c r="AJ1471">
        <v>4</v>
      </c>
      <c r="AK1471" t="b">
        <f>Table67[[#This Row],[What is your age?]]&lt;&gt;"18 - 25"</f>
        <v>0</v>
      </c>
      <c r="AL1471" t="b">
        <f t="shared" si="88"/>
        <v>0</v>
      </c>
      <c r="AM1471" t="b">
        <f t="shared" si="89"/>
        <v>0</v>
      </c>
      <c r="AN1471" t="b">
        <f t="shared" si="90"/>
        <v>1</v>
      </c>
      <c r="AO1471" t="b">
        <f>OR(Table67[[#This Row],[Ineligible respondents]:[Inconsistent response on opposite question (3)]])</f>
        <v>1</v>
      </c>
      <c r="AP147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471">
        <f>Table67[[#This Row],[Extreme Response]]/21</f>
        <v>0.23809523809523808</v>
      </c>
      <c r="AR1471">
        <f>_xlfn.PERCENTILE.INC(Table67[Extrem Response Ratio (ERS)],0.9)</f>
        <v>0.61904761904761907</v>
      </c>
      <c r="AS1471" t="b">
        <f>Table67[[#This Row],[Extrem Response Ratio (ERS)]]&gt;=Table67[[#This Row],[Threshold of ERS]]</f>
        <v>0</v>
      </c>
      <c r="AT1471">
        <f>COUNTIF(Table67[[#This Row],[The mechanism of digital assets is difficult to understand, which discourages me from exploring it (E.g, Tokenization, Blockchain)]:[If I want to try different ways to invest, I will explore digital assets.]], 3)</f>
        <v>3</v>
      </c>
      <c r="AU1471">
        <f>Table67[[#This Row],[Midpoint]]/21</f>
        <v>0.14285714285714285</v>
      </c>
      <c r="AV1471">
        <f>_xlfn.PERCENTILE.INC(Table67[Midpoint ratio],0.9)</f>
        <v>0.5714285714285714</v>
      </c>
      <c r="AW1471" t="b">
        <f>Table67[[#This Row],[Midpoint ratio]]&gt;=Table67[[#This Row],[Threshold of Midpoint ratio]]</f>
        <v>0</v>
      </c>
      <c r="AX1471" t="b">
        <f>OR(Table67[[#This Row],[Extreme Response Style]],Table67[[#This Row],[Mid-point Response Style]])</f>
        <v>0</v>
      </c>
      <c r="AY1471" t="b">
        <f>OR(Table67[[#This Row],[Delete? (Stage 1)]],Table67[[#This Row],[Delete? (Stage 2)]])</f>
        <v>1</v>
      </c>
      <c r="AZ1471" t="s">
        <v>84</v>
      </c>
    </row>
    <row r="1472" spans="1:52">
      <c r="A1472">
        <f t="shared" si="91"/>
        <v>1471</v>
      </c>
      <c r="B1472" s="3">
        <v>46062.026550925926</v>
      </c>
      <c r="C1472" s="3">
        <v>46062.030972222223</v>
      </c>
      <c r="D1472" t="s">
        <v>53</v>
      </c>
      <c r="G1472" t="s">
        <v>54</v>
      </c>
      <c r="H1472" t="s">
        <v>55</v>
      </c>
      <c r="I1472" t="s">
        <v>71</v>
      </c>
      <c r="J1472" t="s">
        <v>68</v>
      </c>
      <c r="K1472" t="s">
        <v>57</v>
      </c>
      <c r="L1472" t="s">
        <v>58</v>
      </c>
      <c r="M1472" t="s">
        <v>58</v>
      </c>
      <c r="N1472">
        <v>4</v>
      </c>
      <c r="O1472">
        <v>1</v>
      </c>
      <c r="P1472">
        <v>5</v>
      </c>
      <c r="Q1472">
        <v>5</v>
      </c>
      <c r="R1472">
        <v>4</v>
      </c>
      <c r="S1472">
        <v>5</v>
      </c>
      <c r="T1472">
        <v>4</v>
      </c>
      <c r="U1472">
        <v>5</v>
      </c>
      <c r="V1472">
        <v>5</v>
      </c>
      <c r="W1472">
        <v>3</v>
      </c>
      <c r="X1472">
        <v>2</v>
      </c>
      <c r="Y1472">
        <v>2</v>
      </c>
      <c r="Z1472">
        <v>5</v>
      </c>
      <c r="AA1472">
        <v>5</v>
      </c>
      <c r="AB1472">
        <v>2</v>
      </c>
      <c r="AC1472">
        <v>2</v>
      </c>
      <c r="AD1472">
        <v>5</v>
      </c>
      <c r="AE1472">
        <v>4</v>
      </c>
      <c r="AF1472">
        <v>1</v>
      </c>
      <c r="AG1472">
        <v>1</v>
      </c>
      <c r="AH1472">
        <v>2</v>
      </c>
      <c r="AI1472">
        <v>4</v>
      </c>
      <c r="AJ1472">
        <v>5</v>
      </c>
      <c r="AK1472" t="b">
        <f>Table67[[#This Row],[What is your age?]]&lt;&gt;"18 - 25"</f>
        <v>0</v>
      </c>
      <c r="AL1472" t="b">
        <f t="shared" si="88"/>
        <v>0</v>
      </c>
      <c r="AM1472" t="b">
        <f t="shared" si="89"/>
        <v>1</v>
      </c>
      <c r="AN1472" t="b">
        <f t="shared" si="90"/>
        <v>0</v>
      </c>
      <c r="AO1472" t="b">
        <f>OR(Table67[[#This Row],[Ineligible respondents]:[Inconsistent response on opposite question (3)]])</f>
        <v>1</v>
      </c>
      <c r="AP147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1472">
        <f>Table67[[#This Row],[Extreme Response]]/21</f>
        <v>0.52380952380952384</v>
      </c>
      <c r="AR1472">
        <f>_xlfn.PERCENTILE.INC(Table67[Extrem Response Ratio (ERS)],0.9)</f>
        <v>0.61904761904761907</v>
      </c>
      <c r="AS1472" t="b">
        <f>Table67[[#This Row],[Extrem Response Ratio (ERS)]]&gt;=Table67[[#This Row],[Threshold of ERS]]</f>
        <v>0</v>
      </c>
      <c r="AT1472">
        <f>COUNTIF(Table67[[#This Row],[The mechanism of digital assets is difficult to understand, which discourages me from exploring it (E.g, Tokenization, Blockchain)]:[If I want to try different ways to invest, I will explore digital assets.]], 3)</f>
        <v>1</v>
      </c>
      <c r="AU1472">
        <f>Table67[[#This Row],[Midpoint]]/21</f>
        <v>4.7619047619047616E-2</v>
      </c>
      <c r="AV1472">
        <f>_xlfn.PERCENTILE.INC(Table67[Midpoint ratio],0.9)</f>
        <v>0.5714285714285714</v>
      </c>
      <c r="AW1472" t="b">
        <f>Table67[[#This Row],[Midpoint ratio]]&gt;=Table67[[#This Row],[Threshold of Midpoint ratio]]</f>
        <v>0</v>
      </c>
      <c r="AX1472" t="b">
        <f>OR(Table67[[#This Row],[Extreme Response Style]],Table67[[#This Row],[Mid-point Response Style]])</f>
        <v>0</v>
      </c>
      <c r="AY1472" t="b">
        <f>OR(Table67[[#This Row],[Delete? (Stage 1)]],Table67[[#This Row],[Delete? (Stage 2)]])</f>
        <v>1</v>
      </c>
      <c r="AZ1472" t="s">
        <v>84</v>
      </c>
    </row>
    <row r="1473" spans="1:52">
      <c r="A1473">
        <f t="shared" si="91"/>
        <v>1472</v>
      </c>
      <c r="B1473" s="3">
        <v>46062.041608796295</v>
      </c>
      <c r="C1473" s="3">
        <v>46062.044953703706</v>
      </c>
      <c r="D1473" t="s">
        <v>53</v>
      </c>
      <c r="G1473" t="s">
        <v>54</v>
      </c>
      <c r="H1473" t="s">
        <v>63</v>
      </c>
      <c r="I1473" t="s">
        <v>75</v>
      </c>
      <c r="J1473" t="s">
        <v>60</v>
      </c>
      <c r="K1473" t="s">
        <v>62</v>
      </c>
      <c r="L1473" t="s">
        <v>58</v>
      </c>
      <c r="M1473" t="s">
        <v>61</v>
      </c>
      <c r="N1473">
        <v>3</v>
      </c>
      <c r="O1473">
        <v>4</v>
      </c>
      <c r="P1473">
        <v>5</v>
      </c>
      <c r="Q1473">
        <v>4</v>
      </c>
      <c r="R1473">
        <v>5</v>
      </c>
      <c r="S1473">
        <v>3</v>
      </c>
      <c r="T1473">
        <v>3</v>
      </c>
      <c r="U1473">
        <v>3</v>
      </c>
      <c r="V1473">
        <v>5</v>
      </c>
      <c r="W1473">
        <v>5</v>
      </c>
      <c r="X1473">
        <v>5</v>
      </c>
      <c r="Y1473">
        <v>5</v>
      </c>
      <c r="Z1473">
        <v>5</v>
      </c>
      <c r="AA1473">
        <v>4</v>
      </c>
      <c r="AB1473">
        <v>3</v>
      </c>
      <c r="AC1473">
        <v>4</v>
      </c>
      <c r="AD1473">
        <v>3</v>
      </c>
      <c r="AE1473">
        <v>4</v>
      </c>
      <c r="AF1473">
        <v>4</v>
      </c>
      <c r="AG1473">
        <v>3</v>
      </c>
      <c r="AH1473">
        <v>5</v>
      </c>
      <c r="AI1473">
        <v>1</v>
      </c>
      <c r="AJ1473">
        <v>2</v>
      </c>
      <c r="AK1473" t="b">
        <f>Table67[[#This Row],[What is your age?]]&lt;&gt;"18 - 25"</f>
        <v>0</v>
      </c>
      <c r="AL1473" t="b">
        <f t="shared" si="88"/>
        <v>0</v>
      </c>
      <c r="AM1473" t="b">
        <f t="shared" si="89"/>
        <v>0</v>
      </c>
      <c r="AN1473" t="b">
        <f t="shared" si="90"/>
        <v>1</v>
      </c>
      <c r="AO1473" t="b">
        <f>OR(Table67[[#This Row],[Ineligible respondents]:[Inconsistent response on opposite question (3)]])</f>
        <v>1</v>
      </c>
      <c r="AP147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1473">
        <f>Table67[[#This Row],[Extreme Response]]/21</f>
        <v>0.38095238095238093</v>
      </c>
      <c r="AR1473">
        <f>_xlfn.PERCENTILE.INC(Table67[Extrem Response Ratio (ERS)],0.9)</f>
        <v>0.61904761904761907</v>
      </c>
      <c r="AS1473" t="b">
        <f>Table67[[#This Row],[Extrem Response Ratio (ERS)]]&gt;=Table67[[#This Row],[Threshold of ERS]]</f>
        <v>0</v>
      </c>
      <c r="AT1473">
        <f>COUNTIF(Table67[[#This Row],[The mechanism of digital assets is difficult to understand, which discourages me from exploring it (E.g, Tokenization, Blockchain)]:[If I want to try different ways to invest, I will explore digital assets.]], 3)</f>
        <v>7</v>
      </c>
      <c r="AU1473">
        <f>Table67[[#This Row],[Midpoint]]/21</f>
        <v>0.33333333333333331</v>
      </c>
      <c r="AV1473">
        <f>_xlfn.PERCENTILE.INC(Table67[Midpoint ratio],0.9)</f>
        <v>0.5714285714285714</v>
      </c>
      <c r="AW1473" t="b">
        <f>Table67[[#This Row],[Midpoint ratio]]&gt;=Table67[[#This Row],[Threshold of Midpoint ratio]]</f>
        <v>0</v>
      </c>
      <c r="AX1473" t="b">
        <f>OR(Table67[[#This Row],[Extreme Response Style]],Table67[[#This Row],[Mid-point Response Style]])</f>
        <v>0</v>
      </c>
      <c r="AY1473" t="b">
        <f>OR(Table67[[#This Row],[Delete? (Stage 1)]],Table67[[#This Row],[Delete? (Stage 2)]])</f>
        <v>1</v>
      </c>
      <c r="AZ1473" t="s">
        <v>84</v>
      </c>
    </row>
    <row r="1474" spans="1:52">
      <c r="A1474">
        <f t="shared" si="91"/>
        <v>1473</v>
      </c>
      <c r="B1474" s="3">
        <v>46062.025567129633</v>
      </c>
      <c r="C1474" s="3">
        <v>46062.031134259261</v>
      </c>
      <c r="D1474" t="s">
        <v>53</v>
      </c>
      <c r="G1474" t="s">
        <v>54</v>
      </c>
      <c r="H1474" t="s">
        <v>55</v>
      </c>
      <c r="I1474" t="s">
        <v>56</v>
      </c>
      <c r="J1474" t="s">
        <v>62</v>
      </c>
      <c r="K1474" t="s">
        <v>62</v>
      </c>
      <c r="L1474" t="s">
        <v>58</v>
      </c>
      <c r="M1474" t="s">
        <v>58</v>
      </c>
      <c r="N1474">
        <v>4</v>
      </c>
      <c r="O1474">
        <v>5</v>
      </c>
      <c r="P1474">
        <v>3</v>
      </c>
      <c r="Q1474">
        <v>1</v>
      </c>
      <c r="R1474">
        <v>5</v>
      </c>
      <c r="S1474">
        <v>5</v>
      </c>
      <c r="T1474">
        <v>2</v>
      </c>
      <c r="U1474">
        <v>5</v>
      </c>
      <c r="V1474">
        <v>5</v>
      </c>
      <c r="W1474">
        <v>3</v>
      </c>
      <c r="X1474">
        <v>3</v>
      </c>
      <c r="Y1474">
        <v>4</v>
      </c>
      <c r="Z1474">
        <v>5</v>
      </c>
      <c r="AA1474">
        <v>5</v>
      </c>
      <c r="AB1474">
        <v>5</v>
      </c>
      <c r="AC1474">
        <v>5</v>
      </c>
      <c r="AD1474">
        <v>5</v>
      </c>
      <c r="AE1474">
        <v>5</v>
      </c>
      <c r="AF1474">
        <v>1</v>
      </c>
      <c r="AG1474">
        <v>5</v>
      </c>
      <c r="AH1474">
        <v>1</v>
      </c>
      <c r="AI1474">
        <v>5</v>
      </c>
      <c r="AJ1474">
        <v>5</v>
      </c>
      <c r="AK1474" t="b">
        <f>Table67[[#This Row],[What is your age?]]&lt;&gt;"18 - 25"</f>
        <v>0</v>
      </c>
      <c r="AL1474" t="b">
        <f t="shared" si="88"/>
        <v>0</v>
      </c>
      <c r="AM1474" t="b">
        <f t="shared" si="89"/>
        <v>0</v>
      </c>
      <c r="AN1474" t="b">
        <f t="shared" si="90"/>
        <v>0</v>
      </c>
      <c r="AO1474" t="b">
        <f>OR(Table67[[#This Row],[Ineligible respondents]:[Inconsistent response on opposite question (3)]])</f>
        <v>0</v>
      </c>
      <c r="AP147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1474">
        <f>Table67[[#This Row],[Extreme Response]]/21</f>
        <v>0.7142857142857143</v>
      </c>
      <c r="AR1474">
        <f>_xlfn.PERCENTILE.INC(Table67[Extrem Response Ratio (ERS)],0.9)</f>
        <v>0.61904761904761907</v>
      </c>
      <c r="AS1474" t="b">
        <f>Table67[[#This Row],[Extrem Response Ratio (ERS)]]&gt;=Table67[[#This Row],[Threshold of ERS]]</f>
        <v>1</v>
      </c>
      <c r="AT1474">
        <f>COUNTIF(Table67[[#This Row],[The mechanism of digital assets is difficult to understand, which discourages me from exploring it (E.g, Tokenization, Blockchain)]:[If I want to try different ways to invest, I will explore digital assets.]], 3)</f>
        <v>3</v>
      </c>
      <c r="AU1474">
        <f>Table67[[#This Row],[Midpoint]]/21</f>
        <v>0.14285714285714285</v>
      </c>
      <c r="AV1474">
        <f>_xlfn.PERCENTILE.INC(Table67[Midpoint ratio],0.9)</f>
        <v>0.5714285714285714</v>
      </c>
      <c r="AW1474" t="b">
        <f>Table67[[#This Row],[Midpoint ratio]]&gt;=Table67[[#This Row],[Threshold of Midpoint ratio]]</f>
        <v>0</v>
      </c>
      <c r="AX1474" t="b">
        <f>OR(Table67[[#This Row],[Extreme Response Style]],Table67[[#This Row],[Mid-point Response Style]])</f>
        <v>1</v>
      </c>
      <c r="AY1474" t="b">
        <f>OR(Table67[[#This Row],[Delete? (Stage 1)]],Table67[[#This Row],[Delete? (Stage 2)]])</f>
        <v>1</v>
      </c>
      <c r="AZ1474" t="s">
        <v>84</v>
      </c>
    </row>
    <row r="1475" spans="1:52">
      <c r="A1475">
        <f t="shared" si="91"/>
        <v>1474</v>
      </c>
      <c r="B1475" s="3">
        <v>46065.711840277778</v>
      </c>
      <c r="C1475" s="3">
        <v>46065.712291666663</v>
      </c>
      <c r="D1475" t="s">
        <v>53</v>
      </c>
      <c r="G1475" t="s">
        <v>54</v>
      </c>
      <c r="H1475" t="s">
        <v>63</v>
      </c>
      <c r="I1475" t="s">
        <v>71</v>
      </c>
      <c r="J1475" t="s">
        <v>57</v>
      </c>
      <c r="K1475" t="s">
        <v>57</v>
      </c>
      <c r="L1475" t="s">
        <v>58</v>
      </c>
      <c r="M1475" t="s">
        <v>58</v>
      </c>
      <c r="N1475">
        <v>2</v>
      </c>
      <c r="O1475">
        <v>3</v>
      </c>
      <c r="P1475">
        <v>3</v>
      </c>
      <c r="Q1475">
        <v>4</v>
      </c>
      <c r="R1475">
        <v>3</v>
      </c>
      <c r="S1475">
        <v>4</v>
      </c>
      <c r="T1475">
        <v>4</v>
      </c>
      <c r="U1475">
        <v>4</v>
      </c>
      <c r="V1475">
        <v>4</v>
      </c>
      <c r="W1475">
        <v>4</v>
      </c>
      <c r="X1475">
        <v>4</v>
      </c>
      <c r="Y1475">
        <v>4</v>
      </c>
      <c r="Z1475">
        <v>4</v>
      </c>
      <c r="AA1475">
        <v>4</v>
      </c>
      <c r="AB1475">
        <v>4</v>
      </c>
      <c r="AC1475">
        <v>4</v>
      </c>
      <c r="AD1475">
        <v>4</v>
      </c>
      <c r="AE1475">
        <v>3</v>
      </c>
      <c r="AF1475">
        <v>3</v>
      </c>
      <c r="AG1475">
        <v>3</v>
      </c>
      <c r="AH1475">
        <v>3</v>
      </c>
      <c r="AI1475">
        <v>3</v>
      </c>
      <c r="AJ1475">
        <v>3</v>
      </c>
      <c r="AK1475" t="b">
        <f>Table67[[#This Row],[What is your age?]]&lt;&gt;"18 - 25"</f>
        <v>0</v>
      </c>
      <c r="AL1475" t="b">
        <f t="shared" ref="AL1475:AL1538" si="92">COUNTIF(N1475:AH1475, N1475) = COLUMNS(N1475:AH1475)</f>
        <v>0</v>
      </c>
      <c r="AM1475" t="b">
        <f t="shared" ref="AM1475:AM1538" si="93">OR(AND(AG1475=AH1475, AG1475&lt;&gt;3), AND(OR(AG1475=1, AG1475=2), OR(AH1475=1, AH1475=2)), AND(OR(AG1475=4, AG1475=5), OR(AH1475=4, AH1475=5)))</f>
        <v>0</v>
      </c>
      <c r="AN1475" t="b">
        <f t="shared" ref="AN1475:AN1538" si="94">OR(AND(AG1475=3, AH1475&lt;&gt;3), AND(AH1475=3, AG1475&lt;&gt;3))</f>
        <v>0</v>
      </c>
      <c r="AO1475" t="b">
        <f>OR(Table67[[#This Row],[Ineligible respondents]:[Inconsistent response on opposite question (3)]])</f>
        <v>0</v>
      </c>
      <c r="AP147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475">
        <f>Table67[[#This Row],[Extreme Response]]/21</f>
        <v>0</v>
      </c>
      <c r="AR1475">
        <f>_xlfn.PERCENTILE.INC(Table67[Extrem Response Ratio (ERS)],0.9)</f>
        <v>0.61904761904761907</v>
      </c>
      <c r="AS1475" t="b">
        <f>Table67[[#This Row],[Extrem Response Ratio (ERS)]]&gt;=Table67[[#This Row],[Threshold of ERS]]</f>
        <v>0</v>
      </c>
      <c r="AT1475">
        <f>COUNTIF(Table67[[#This Row],[The mechanism of digital assets is difficult to understand, which discourages me from exploring it (E.g, Tokenization, Blockchain)]:[If I want to try different ways to invest, I will explore digital assets.]], 3)</f>
        <v>7</v>
      </c>
      <c r="AU1475">
        <f>Table67[[#This Row],[Midpoint]]/21</f>
        <v>0.33333333333333331</v>
      </c>
      <c r="AV1475">
        <f>_xlfn.PERCENTILE.INC(Table67[Midpoint ratio],0.9)</f>
        <v>0.5714285714285714</v>
      </c>
      <c r="AW1475" t="b">
        <f>Table67[[#This Row],[Midpoint ratio]]&gt;=Table67[[#This Row],[Threshold of Midpoint ratio]]</f>
        <v>0</v>
      </c>
      <c r="AX1475" t="b">
        <f>OR(Table67[[#This Row],[Extreme Response Style]],Table67[[#This Row],[Mid-point Response Style]])</f>
        <v>0</v>
      </c>
      <c r="AY1475" t="b">
        <f>OR(Table67[[#This Row],[Delete? (Stage 1)]],Table67[[#This Row],[Delete? (Stage 2)]])</f>
        <v>0</v>
      </c>
      <c r="AZ1475" t="s">
        <v>84</v>
      </c>
    </row>
    <row r="1476" spans="1:52">
      <c r="A1476">
        <f t="shared" ref="A1476:A1539" si="95">1+A1475</f>
        <v>1475</v>
      </c>
      <c r="B1476" s="3">
        <v>46065.769236111111</v>
      </c>
      <c r="C1476" s="3">
        <v>46065.771944444445</v>
      </c>
      <c r="D1476" t="s">
        <v>53</v>
      </c>
      <c r="G1476" t="s">
        <v>54</v>
      </c>
      <c r="H1476" t="s">
        <v>55</v>
      </c>
      <c r="I1476" t="s">
        <v>56</v>
      </c>
      <c r="J1476" t="s">
        <v>60</v>
      </c>
      <c r="K1476" t="s">
        <v>62</v>
      </c>
      <c r="L1476" t="s">
        <v>58</v>
      </c>
      <c r="M1476" t="s">
        <v>58</v>
      </c>
      <c r="N1476">
        <v>2</v>
      </c>
      <c r="O1476">
        <v>2</v>
      </c>
      <c r="P1476">
        <v>3</v>
      </c>
      <c r="Q1476">
        <v>3</v>
      </c>
      <c r="R1476">
        <v>1</v>
      </c>
      <c r="S1476">
        <v>2</v>
      </c>
      <c r="T1476">
        <v>2</v>
      </c>
      <c r="U1476">
        <v>3</v>
      </c>
      <c r="V1476">
        <v>1</v>
      </c>
      <c r="W1476">
        <v>1</v>
      </c>
      <c r="X1476">
        <v>3</v>
      </c>
      <c r="Y1476">
        <v>1</v>
      </c>
      <c r="Z1476">
        <v>3</v>
      </c>
      <c r="AA1476">
        <v>2</v>
      </c>
      <c r="AB1476">
        <v>2</v>
      </c>
      <c r="AC1476">
        <v>2</v>
      </c>
      <c r="AD1476">
        <v>4</v>
      </c>
      <c r="AE1476">
        <v>3</v>
      </c>
      <c r="AF1476">
        <v>5</v>
      </c>
      <c r="AG1476">
        <v>1</v>
      </c>
      <c r="AH1476">
        <v>4</v>
      </c>
      <c r="AI1476">
        <v>2</v>
      </c>
      <c r="AJ1476">
        <v>1</v>
      </c>
      <c r="AK1476" t="b">
        <f>Table67[[#This Row],[What is your age?]]&lt;&gt;"18 - 25"</f>
        <v>0</v>
      </c>
      <c r="AL1476" t="b">
        <f t="shared" si="92"/>
        <v>0</v>
      </c>
      <c r="AM1476" t="b">
        <f t="shared" si="93"/>
        <v>0</v>
      </c>
      <c r="AN1476" t="b">
        <f t="shared" si="94"/>
        <v>0</v>
      </c>
      <c r="AO1476" t="b">
        <f>OR(Table67[[#This Row],[Ineligible respondents]:[Inconsistent response on opposite question (3)]])</f>
        <v>0</v>
      </c>
      <c r="AP147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476">
        <f>Table67[[#This Row],[Extreme Response]]/21</f>
        <v>0.2857142857142857</v>
      </c>
      <c r="AR1476">
        <f>_xlfn.PERCENTILE.INC(Table67[Extrem Response Ratio (ERS)],0.9)</f>
        <v>0.61904761904761907</v>
      </c>
      <c r="AS1476" t="b">
        <f>Table67[[#This Row],[Extrem Response Ratio (ERS)]]&gt;=Table67[[#This Row],[Threshold of ERS]]</f>
        <v>0</v>
      </c>
      <c r="AT1476">
        <f>COUNTIF(Table67[[#This Row],[The mechanism of digital assets is difficult to understand, which discourages me from exploring it (E.g, Tokenization, Blockchain)]:[If I want to try different ways to invest, I will explore digital assets.]], 3)</f>
        <v>6</v>
      </c>
      <c r="AU1476">
        <f>Table67[[#This Row],[Midpoint]]/21</f>
        <v>0.2857142857142857</v>
      </c>
      <c r="AV1476">
        <f>_xlfn.PERCENTILE.INC(Table67[Midpoint ratio],0.9)</f>
        <v>0.5714285714285714</v>
      </c>
      <c r="AW1476" t="b">
        <f>Table67[[#This Row],[Midpoint ratio]]&gt;=Table67[[#This Row],[Threshold of Midpoint ratio]]</f>
        <v>0</v>
      </c>
      <c r="AX1476" t="b">
        <f>OR(Table67[[#This Row],[Extreme Response Style]],Table67[[#This Row],[Mid-point Response Style]])</f>
        <v>0</v>
      </c>
      <c r="AY1476" t="b">
        <f>OR(Table67[[#This Row],[Delete? (Stage 1)]],Table67[[#This Row],[Delete? (Stage 2)]])</f>
        <v>0</v>
      </c>
      <c r="AZ1476" t="s">
        <v>84</v>
      </c>
    </row>
    <row r="1477" spans="1:52">
      <c r="A1477">
        <f t="shared" si="95"/>
        <v>1476</v>
      </c>
      <c r="B1477" s="3">
        <v>46065.714085648149</v>
      </c>
      <c r="C1477" s="3">
        <v>46065.714363425926</v>
      </c>
      <c r="D1477" t="s">
        <v>53</v>
      </c>
      <c r="G1477" t="s">
        <v>54</v>
      </c>
      <c r="H1477" t="s">
        <v>63</v>
      </c>
      <c r="I1477" t="s">
        <v>56</v>
      </c>
      <c r="J1477" t="s">
        <v>65</v>
      </c>
      <c r="K1477" t="s">
        <v>60</v>
      </c>
      <c r="L1477" t="s">
        <v>58</v>
      </c>
      <c r="M1477" t="s">
        <v>61</v>
      </c>
      <c r="N1477">
        <v>2</v>
      </c>
      <c r="O1477">
        <v>2</v>
      </c>
      <c r="P1477">
        <v>2</v>
      </c>
      <c r="Q1477">
        <v>3</v>
      </c>
      <c r="R1477">
        <v>3</v>
      </c>
      <c r="S1477">
        <v>3</v>
      </c>
      <c r="T1477">
        <v>3</v>
      </c>
      <c r="U1477">
        <v>3</v>
      </c>
      <c r="V1477">
        <v>4</v>
      </c>
      <c r="W1477">
        <v>4</v>
      </c>
      <c r="X1477">
        <v>3</v>
      </c>
      <c r="Y1477">
        <v>4</v>
      </c>
      <c r="Z1477">
        <v>4</v>
      </c>
      <c r="AA1477">
        <v>4</v>
      </c>
      <c r="AB1477">
        <v>3</v>
      </c>
      <c r="AC1477">
        <v>3</v>
      </c>
      <c r="AD1477">
        <v>4</v>
      </c>
      <c r="AE1477">
        <v>4</v>
      </c>
      <c r="AF1477">
        <v>5</v>
      </c>
      <c r="AG1477">
        <v>1</v>
      </c>
      <c r="AH1477">
        <v>5</v>
      </c>
      <c r="AI1477">
        <v>1</v>
      </c>
      <c r="AJ1477">
        <v>1</v>
      </c>
      <c r="AK1477" t="b">
        <f>Table67[[#This Row],[What is your age?]]&lt;&gt;"18 - 25"</f>
        <v>0</v>
      </c>
      <c r="AL1477" t="b">
        <f t="shared" si="92"/>
        <v>0</v>
      </c>
      <c r="AM1477" t="b">
        <f t="shared" si="93"/>
        <v>0</v>
      </c>
      <c r="AN1477" t="b">
        <f t="shared" si="94"/>
        <v>0</v>
      </c>
      <c r="AO1477" t="b">
        <f>OR(Table67[[#This Row],[Ineligible respondents]:[Inconsistent response on opposite question (3)]])</f>
        <v>0</v>
      </c>
      <c r="AP147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477">
        <f>Table67[[#This Row],[Extreme Response]]/21</f>
        <v>0.14285714285714285</v>
      </c>
      <c r="AR1477">
        <f>_xlfn.PERCENTILE.INC(Table67[Extrem Response Ratio (ERS)],0.9)</f>
        <v>0.61904761904761907</v>
      </c>
      <c r="AS1477" t="b">
        <f>Table67[[#This Row],[Extrem Response Ratio (ERS)]]&gt;=Table67[[#This Row],[Threshold of ERS]]</f>
        <v>0</v>
      </c>
      <c r="AT1477">
        <f>COUNTIF(Table67[[#This Row],[The mechanism of digital assets is difficult to understand, which discourages me from exploring it (E.g, Tokenization, Blockchain)]:[If I want to try different ways to invest, I will explore digital assets.]], 3)</f>
        <v>8</v>
      </c>
      <c r="AU1477">
        <f>Table67[[#This Row],[Midpoint]]/21</f>
        <v>0.38095238095238093</v>
      </c>
      <c r="AV1477">
        <f>_xlfn.PERCENTILE.INC(Table67[Midpoint ratio],0.9)</f>
        <v>0.5714285714285714</v>
      </c>
      <c r="AW1477" t="b">
        <f>Table67[[#This Row],[Midpoint ratio]]&gt;=Table67[[#This Row],[Threshold of Midpoint ratio]]</f>
        <v>0</v>
      </c>
      <c r="AX1477" t="b">
        <f>OR(Table67[[#This Row],[Extreme Response Style]],Table67[[#This Row],[Mid-point Response Style]])</f>
        <v>0</v>
      </c>
      <c r="AY1477" t="b">
        <f>OR(Table67[[#This Row],[Delete? (Stage 1)]],Table67[[#This Row],[Delete? (Stage 2)]])</f>
        <v>0</v>
      </c>
      <c r="AZ1477" t="s">
        <v>84</v>
      </c>
    </row>
    <row r="1478" spans="1:52">
      <c r="A1478">
        <f t="shared" si="95"/>
        <v>1477</v>
      </c>
      <c r="B1478" s="3">
        <v>46062.037499999999</v>
      </c>
      <c r="C1478" s="3">
        <v>46062.042824074073</v>
      </c>
      <c r="D1478" t="s">
        <v>53</v>
      </c>
      <c r="G1478" t="s">
        <v>54</v>
      </c>
      <c r="H1478" t="s">
        <v>63</v>
      </c>
      <c r="I1478" t="s">
        <v>75</v>
      </c>
      <c r="J1478" t="s">
        <v>57</v>
      </c>
      <c r="K1478" t="s">
        <v>57</v>
      </c>
      <c r="L1478" t="s">
        <v>58</v>
      </c>
      <c r="M1478" t="s">
        <v>58</v>
      </c>
      <c r="N1478">
        <v>4</v>
      </c>
      <c r="O1478">
        <v>5</v>
      </c>
      <c r="P1478">
        <v>3</v>
      </c>
      <c r="Q1478">
        <v>3</v>
      </c>
      <c r="R1478">
        <v>3</v>
      </c>
      <c r="S1478">
        <v>3</v>
      </c>
      <c r="T1478">
        <v>3</v>
      </c>
      <c r="U1478">
        <v>2</v>
      </c>
      <c r="V1478">
        <v>4</v>
      </c>
      <c r="W1478">
        <v>4</v>
      </c>
      <c r="X1478">
        <v>3</v>
      </c>
      <c r="Y1478">
        <v>3</v>
      </c>
      <c r="Z1478">
        <v>4</v>
      </c>
      <c r="AA1478">
        <v>4</v>
      </c>
      <c r="AB1478">
        <v>3</v>
      </c>
      <c r="AC1478">
        <v>3</v>
      </c>
      <c r="AD1478">
        <v>3</v>
      </c>
      <c r="AE1478">
        <v>3</v>
      </c>
      <c r="AF1478">
        <v>3</v>
      </c>
      <c r="AG1478">
        <v>3</v>
      </c>
      <c r="AH1478">
        <v>3</v>
      </c>
      <c r="AI1478">
        <v>3</v>
      </c>
      <c r="AJ1478">
        <v>3</v>
      </c>
      <c r="AK1478" t="b">
        <f>Table67[[#This Row],[What is your age?]]&lt;&gt;"18 - 25"</f>
        <v>0</v>
      </c>
      <c r="AL1478" t="b">
        <f t="shared" si="92"/>
        <v>0</v>
      </c>
      <c r="AM1478" t="b">
        <f t="shared" si="93"/>
        <v>0</v>
      </c>
      <c r="AN1478" t="b">
        <f t="shared" si="94"/>
        <v>0</v>
      </c>
      <c r="AO1478" t="b">
        <f>OR(Table67[[#This Row],[Ineligible respondents]:[Inconsistent response on opposite question (3)]])</f>
        <v>0</v>
      </c>
      <c r="AP147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478">
        <f>Table67[[#This Row],[Extreme Response]]/21</f>
        <v>4.7619047619047616E-2</v>
      </c>
      <c r="AR1478">
        <f>_xlfn.PERCENTILE.INC(Table67[Extrem Response Ratio (ERS)],0.9)</f>
        <v>0.61904761904761907</v>
      </c>
      <c r="AS1478" t="b">
        <f>Table67[[#This Row],[Extrem Response Ratio (ERS)]]&gt;=Table67[[#This Row],[Threshold of ERS]]</f>
        <v>0</v>
      </c>
      <c r="AT1478">
        <f>COUNTIF(Table67[[#This Row],[The mechanism of digital assets is difficult to understand, which discourages me from exploring it (E.g, Tokenization, Blockchain)]:[If I want to try different ways to invest, I will explore digital assets.]], 3)</f>
        <v>14</v>
      </c>
      <c r="AU1478">
        <f>Table67[[#This Row],[Midpoint]]/21</f>
        <v>0.66666666666666663</v>
      </c>
      <c r="AV1478">
        <f>_xlfn.PERCENTILE.INC(Table67[Midpoint ratio],0.9)</f>
        <v>0.5714285714285714</v>
      </c>
      <c r="AW1478" t="b">
        <f>Table67[[#This Row],[Midpoint ratio]]&gt;=Table67[[#This Row],[Threshold of Midpoint ratio]]</f>
        <v>1</v>
      </c>
      <c r="AX1478" t="b">
        <f>OR(Table67[[#This Row],[Extreme Response Style]],Table67[[#This Row],[Mid-point Response Style]])</f>
        <v>1</v>
      </c>
      <c r="AY1478" t="b">
        <f>OR(Table67[[#This Row],[Delete? (Stage 1)]],Table67[[#This Row],[Delete? (Stage 2)]])</f>
        <v>1</v>
      </c>
      <c r="AZ1478" t="s">
        <v>84</v>
      </c>
    </row>
    <row r="1479" spans="1:52">
      <c r="A1479">
        <f t="shared" si="95"/>
        <v>1478</v>
      </c>
      <c r="B1479" s="3">
        <v>46065.731539351851</v>
      </c>
      <c r="C1479" s="3">
        <v>46065.733495370368</v>
      </c>
      <c r="D1479" t="s">
        <v>53</v>
      </c>
      <c r="G1479" t="s">
        <v>54</v>
      </c>
      <c r="H1479" t="s">
        <v>63</v>
      </c>
      <c r="I1479" t="s">
        <v>75</v>
      </c>
      <c r="J1479" t="s">
        <v>57</v>
      </c>
      <c r="K1479" t="s">
        <v>57</v>
      </c>
      <c r="L1479" t="s">
        <v>58</v>
      </c>
      <c r="M1479" t="s">
        <v>58</v>
      </c>
      <c r="N1479">
        <v>2</v>
      </c>
      <c r="O1479">
        <v>3</v>
      </c>
      <c r="P1479">
        <v>3</v>
      </c>
      <c r="Q1479">
        <v>3</v>
      </c>
      <c r="R1479">
        <v>2</v>
      </c>
      <c r="S1479">
        <v>4</v>
      </c>
      <c r="T1479">
        <v>3</v>
      </c>
      <c r="U1479">
        <v>3</v>
      </c>
      <c r="V1479">
        <v>4</v>
      </c>
      <c r="W1479">
        <v>4</v>
      </c>
      <c r="X1479">
        <v>3</v>
      </c>
      <c r="Y1479">
        <v>3</v>
      </c>
      <c r="Z1479">
        <v>3</v>
      </c>
      <c r="AA1479">
        <v>3</v>
      </c>
      <c r="AB1479">
        <v>4</v>
      </c>
      <c r="AC1479">
        <v>3</v>
      </c>
      <c r="AD1479">
        <v>3</v>
      </c>
      <c r="AE1479">
        <v>3</v>
      </c>
      <c r="AF1479">
        <v>4</v>
      </c>
      <c r="AG1479">
        <v>1</v>
      </c>
      <c r="AH1479">
        <v>5</v>
      </c>
      <c r="AI1479">
        <v>1</v>
      </c>
      <c r="AJ1479">
        <v>2</v>
      </c>
      <c r="AK1479" t="b">
        <f>Table67[[#This Row],[What is your age?]]&lt;&gt;"18 - 25"</f>
        <v>0</v>
      </c>
      <c r="AL1479" t="b">
        <f t="shared" si="92"/>
        <v>0</v>
      </c>
      <c r="AM1479" t="b">
        <f t="shared" si="93"/>
        <v>0</v>
      </c>
      <c r="AN1479" t="b">
        <f t="shared" si="94"/>
        <v>0</v>
      </c>
      <c r="AO1479" t="b">
        <f>OR(Table67[[#This Row],[Ineligible respondents]:[Inconsistent response on opposite question (3)]])</f>
        <v>0</v>
      </c>
      <c r="AP147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479">
        <f>Table67[[#This Row],[Extreme Response]]/21</f>
        <v>9.5238095238095233E-2</v>
      </c>
      <c r="AR1479">
        <f>_xlfn.PERCENTILE.INC(Table67[Extrem Response Ratio (ERS)],0.9)</f>
        <v>0.61904761904761907</v>
      </c>
      <c r="AS1479" t="b">
        <f>Table67[[#This Row],[Extrem Response Ratio (ERS)]]&gt;=Table67[[#This Row],[Threshold of ERS]]</f>
        <v>0</v>
      </c>
      <c r="AT1479">
        <f>COUNTIF(Table67[[#This Row],[The mechanism of digital assets is difficult to understand, which discourages me from exploring it (E.g, Tokenization, Blockchain)]:[If I want to try different ways to invest, I will explore digital assets.]], 3)</f>
        <v>12</v>
      </c>
      <c r="AU1479">
        <f>Table67[[#This Row],[Midpoint]]/21</f>
        <v>0.5714285714285714</v>
      </c>
      <c r="AV1479">
        <f>_xlfn.PERCENTILE.INC(Table67[Midpoint ratio],0.9)</f>
        <v>0.5714285714285714</v>
      </c>
      <c r="AW1479" t="b">
        <f>Table67[[#This Row],[Midpoint ratio]]&gt;=Table67[[#This Row],[Threshold of Midpoint ratio]]</f>
        <v>1</v>
      </c>
      <c r="AX1479" t="b">
        <f>OR(Table67[[#This Row],[Extreme Response Style]],Table67[[#This Row],[Mid-point Response Style]])</f>
        <v>1</v>
      </c>
      <c r="AY1479" t="b">
        <f>OR(Table67[[#This Row],[Delete? (Stage 1)]],Table67[[#This Row],[Delete? (Stage 2)]])</f>
        <v>1</v>
      </c>
      <c r="AZ1479" t="s">
        <v>84</v>
      </c>
    </row>
    <row r="1480" spans="1:52">
      <c r="A1480">
        <f t="shared" si="95"/>
        <v>1479</v>
      </c>
      <c r="B1480" s="3">
        <v>46065.837500000001</v>
      </c>
      <c r="C1480" s="3">
        <v>46065.844351851854</v>
      </c>
      <c r="D1480" t="s">
        <v>53</v>
      </c>
      <c r="G1480" t="s">
        <v>54</v>
      </c>
      <c r="H1480" t="s">
        <v>55</v>
      </c>
      <c r="I1480" t="s">
        <v>71</v>
      </c>
      <c r="J1480" t="s">
        <v>62</v>
      </c>
      <c r="K1480" t="s">
        <v>57</v>
      </c>
      <c r="L1480" t="s">
        <v>58</v>
      </c>
      <c r="M1480" t="s">
        <v>58</v>
      </c>
      <c r="N1480">
        <v>4</v>
      </c>
      <c r="O1480">
        <v>4</v>
      </c>
      <c r="P1480">
        <v>3</v>
      </c>
      <c r="Q1480">
        <v>3</v>
      </c>
      <c r="R1480">
        <v>4</v>
      </c>
      <c r="S1480">
        <v>4</v>
      </c>
      <c r="T1480">
        <v>4</v>
      </c>
      <c r="U1480">
        <v>3</v>
      </c>
      <c r="V1480">
        <v>3</v>
      </c>
      <c r="W1480">
        <v>2</v>
      </c>
      <c r="X1480">
        <v>2</v>
      </c>
      <c r="Y1480">
        <v>2</v>
      </c>
      <c r="Z1480">
        <v>3</v>
      </c>
      <c r="AA1480">
        <v>3</v>
      </c>
      <c r="AB1480">
        <v>4</v>
      </c>
      <c r="AC1480">
        <v>3</v>
      </c>
      <c r="AD1480">
        <v>3</v>
      </c>
      <c r="AE1480">
        <v>3</v>
      </c>
      <c r="AF1480">
        <v>2</v>
      </c>
      <c r="AG1480">
        <v>3</v>
      </c>
      <c r="AH1480">
        <v>3</v>
      </c>
      <c r="AI1480">
        <v>3</v>
      </c>
      <c r="AJ1480">
        <v>4</v>
      </c>
      <c r="AK1480" t="b">
        <f>Table67[[#This Row],[What is your age?]]&lt;&gt;"18 - 25"</f>
        <v>0</v>
      </c>
      <c r="AL1480" t="b">
        <f t="shared" si="92"/>
        <v>0</v>
      </c>
      <c r="AM1480" t="b">
        <f t="shared" si="93"/>
        <v>0</v>
      </c>
      <c r="AN1480" t="b">
        <f t="shared" si="94"/>
        <v>0</v>
      </c>
      <c r="AO1480" t="b">
        <f>OR(Table67[[#This Row],[Ineligible respondents]:[Inconsistent response on opposite question (3)]])</f>
        <v>0</v>
      </c>
      <c r="AP148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480">
        <f>Table67[[#This Row],[Extreme Response]]/21</f>
        <v>0</v>
      </c>
      <c r="AR1480">
        <f>_xlfn.PERCENTILE.INC(Table67[Extrem Response Ratio (ERS)],0.9)</f>
        <v>0.61904761904761907</v>
      </c>
      <c r="AS1480" t="b">
        <f>Table67[[#This Row],[Extrem Response Ratio (ERS)]]&gt;=Table67[[#This Row],[Threshold of ERS]]</f>
        <v>0</v>
      </c>
      <c r="AT1480">
        <f>COUNTIF(Table67[[#This Row],[The mechanism of digital assets is difficult to understand, which discourages me from exploring it (E.g, Tokenization, Blockchain)]:[If I want to try different ways to invest, I will explore digital assets.]], 3)</f>
        <v>11</v>
      </c>
      <c r="AU1480">
        <f>Table67[[#This Row],[Midpoint]]/21</f>
        <v>0.52380952380952384</v>
      </c>
      <c r="AV1480">
        <f>_xlfn.PERCENTILE.INC(Table67[Midpoint ratio],0.9)</f>
        <v>0.5714285714285714</v>
      </c>
      <c r="AW1480" t="b">
        <f>Table67[[#This Row],[Midpoint ratio]]&gt;=Table67[[#This Row],[Threshold of Midpoint ratio]]</f>
        <v>0</v>
      </c>
      <c r="AX1480" t="b">
        <f>OR(Table67[[#This Row],[Extreme Response Style]],Table67[[#This Row],[Mid-point Response Style]])</f>
        <v>0</v>
      </c>
      <c r="AY1480" t="b">
        <f>OR(Table67[[#This Row],[Delete? (Stage 1)]],Table67[[#This Row],[Delete? (Stage 2)]])</f>
        <v>0</v>
      </c>
      <c r="AZ1480" t="s">
        <v>84</v>
      </c>
    </row>
    <row r="1481" spans="1:52">
      <c r="A1481">
        <f t="shared" si="95"/>
        <v>1480</v>
      </c>
      <c r="B1481" s="3">
        <v>46065.828136574077</v>
      </c>
      <c r="C1481" s="3">
        <v>46065.832268518519</v>
      </c>
      <c r="D1481" t="s">
        <v>53</v>
      </c>
      <c r="G1481" t="s">
        <v>54</v>
      </c>
      <c r="H1481" t="s">
        <v>55</v>
      </c>
      <c r="I1481" t="s">
        <v>56</v>
      </c>
      <c r="J1481" t="s">
        <v>62</v>
      </c>
      <c r="K1481" t="s">
        <v>57</v>
      </c>
      <c r="L1481" t="s">
        <v>61</v>
      </c>
      <c r="M1481" t="s">
        <v>61</v>
      </c>
      <c r="N1481">
        <v>2</v>
      </c>
      <c r="O1481">
        <v>2</v>
      </c>
      <c r="P1481">
        <v>3</v>
      </c>
      <c r="Q1481">
        <v>3</v>
      </c>
      <c r="R1481">
        <v>2</v>
      </c>
      <c r="S1481">
        <v>4</v>
      </c>
      <c r="T1481">
        <v>5</v>
      </c>
      <c r="U1481">
        <v>3</v>
      </c>
      <c r="V1481">
        <v>4</v>
      </c>
      <c r="W1481">
        <v>4</v>
      </c>
      <c r="X1481">
        <v>3</v>
      </c>
      <c r="Y1481">
        <v>4</v>
      </c>
      <c r="Z1481">
        <v>4</v>
      </c>
      <c r="AA1481">
        <v>4</v>
      </c>
      <c r="AB1481">
        <v>4</v>
      </c>
      <c r="AC1481">
        <v>3</v>
      </c>
      <c r="AD1481">
        <v>4</v>
      </c>
      <c r="AE1481">
        <v>4</v>
      </c>
      <c r="AF1481">
        <v>2</v>
      </c>
      <c r="AG1481">
        <v>3</v>
      </c>
      <c r="AH1481">
        <v>3</v>
      </c>
      <c r="AI1481">
        <v>3</v>
      </c>
      <c r="AJ1481">
        <v>4</v>
      </c>
      <c r="AK1481" t="b">
        <f>Table67[[#This Row],[What is your age?]]&lt;&gt;"18 - 25"</f>
        <v>0</v>
      </c>
      <c r="AL1481" t="b">
        <f t="shared" si="92"/>
        <v>0</v>
      </c>
      <c r="AM1481" t="b">
        <f t="shared" si="93"/>
        <v>0</v>
      </c>
      <c r="AN1481" t="b">
        <f t="shared" si="94"/>
        <v>0</v>
      </c>
      <c r="AO1481" t="b">
        <f>OR(Table67[[#This Row],[Ineligible respondents]:[Inconsistent response on opposite question (3)]])</f>
        <v>0</v>
      </c>
      <c r="AP148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481">
        <f>Table67[[#This Row],[Extreme Response]]/21</f>
        <v>4.7619047619047616E-2</v>
      </c>
      <c r="AR1481">
        <f>_xlfn.PERCENTILE.INC(Table67[Extrem Response Ratio (ERS)],0.9)</f>
        <v>0.61904761904761907</v>
      </c>
      <c r="AS1481" t="b">
        <f>Table67[[#This Row],[Extrem Response Ratio (ERS)]]&gt;=Table67[[#This Row],[Threshold of ERS]]</f>
        <v>0</v>
      </c>
      <c r="AT1481">
        <f>COUNTIF(Table67[[#This Row],[The mechanism of digital assets is difficult to understand, which discourages me from exploring it (E.g, Tokenization, Blockchain)]:[If I want to try different ways to invest, I will explore digital assets.]], 3)</f>
        <v>7</v>
      </c>
      <c r="AU1481">
        <f>Table67[[#This Row],[Midpoint]]/21</f>
        <v>0.33333333333333331</v>
      </c>
      <c r="AV1481">
        <f>_xlfn.PERCENTILE.INC(Table67[Midpoint ratio],0.9)</f>
        <v>0.5714285714285714</v>
      </c>
      <c r="AW1481" t="b">
        <f>Table67[[#This Row],[Midpoint ratio]]&gt;=Table67[[#This Row],[Threshold of Midpoint ratio]]</f>
        <v>0</v>
      </c>
      <c r="AX1481" t="b">
        <f>OR(Table67[[#This Row],[Extreme Response Style]],Table67[[#This Row],[Mid-point Response Style]])</f>
        <v>0</v>
      </c>
      <c r="AY1481" t="b">
        <f>OR(Table67[[#This Row],[Delete? (Stage 1)]],Table67[[#This Row],[Delete? (Stage 2)]])</f>
        <v>0</v>
      </c>
      <c r="AZ1481" t="s">
        <v>84</v>
      </c>
    </row>
    <row r="1482" spans="1:52">
      <c r="A1482">
        <f t="shared" si="95"/>
        <v>1481</v>
      </c>
      <c r="B1482" s="3">
        <v>46065.725937499999</v>
      </c>
      <c r="C1482" s="3">
        <v>46065.726354166669</v>
      </c>
      <c r="D1482" t="s">
        <v>53</v>
      </c>
      <c r="G1482" t="s">
        <v>54</v>
      </c>
      <c r="H1482" t="s">
        <v>63</v>
      </c>
      <c r="I1482" t="s">
        <v>75</v>
      </c>
      <c r="J1482" t="s">
        <v>64</v>
      </c>
      <c r="K1482" t="s">
        <v>57</v>
      </c>
      <c r="L1482" t="s">
        <v>58</v>
      </c>
      <c r="M1482" t="s">
        <v>58</v>
      </c>
      <c r="N1482">
        <v>2</v>
      </c>
      <c r="O1482">
        <v>2</v>
      </c>
      <c r="P1482">
        <v>1</v>
      </c>
      <c r="Q1482">
        <v>2</v>
      </c>
      <c r="R1482">
        <v>1</v>
      </c>
      <c r="S1482">
        <v>2</v>
      </c>
      <c r="T1482">
        <v>1</v>
      </c>
      <c r="U1482">
        <v>1</v>
      </c>
      <c r="V1482">
        <v>3</v>
      </c>
      <c r="W1482">
        <v>3</v>
      </c>
      <c r="X1482">
        <v>2</v>
      </c>
      <c r="Y1482">
        <v>3</v>
      </c>
      <c r="Z1482">
        <v>2</v>
      </c>
      <c r="AA1482">
        <v>2</v>
      </c>
      <c r="AB1482">
        <v>2</v>
      </c>
      <c r="AC1482">
        <v>1</v>
      </c>
      <c r="AD1482">
        <v>3</v>
      </c>
      <c r="AE1482">
        <v>2</v>
      </c>
      <c r="AF1482">
        <v>5</v>
      </c>
      <c r="AG1482">
        <v>1</v>
      </c>
      <c r="AH1482">
        <v>4</v>
      </c>
      <c r="AI1482">
        <v>2</v>
      </c>
      <c r="AJ1482">
        <v>1</v>
      </c>
      <c r="AK1482" t="b">
        <f>Table67[[#This Row],[What is your age?]]&lt;&gt;"18 - 25"</f>
        <v>0</v>
      </c>
      <c r="AL1482" t="b">
        <f t="shared" si="92"/>
        <v>0</v>
      </c>
      <c r="AM1482" t="b">
        <f t="shared" si="93"/>
        <v>0</v>
      </c>
      <c r="AN1482" t="b">
        <f t="shared" si="94"/>
        <v>0</v>
      </c>
      <c r="AO1482" t="b">
        <f>OR(Table67[[#This Row],[Ineligible respondents]:[Inconsistent response on opposite question (3)]])</f>
        <v>0</v>
      </c>
      <c r="AP148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482">
        <f>Table67[[#This Row],[Extreme Response]]/21</f>
        <v>0.33333333333333331</v>
      </c>
      <c r="AR1482">
        <f>_xlfn.PERCENTILE.INC(Table67[Extrem Response Ratio (ERS)],0.9)</f>
        <v>0.61904761904761907</v>
      </c>
      <c r="AS1482" t="b">
        <f>Table67[[#This Row],[Extrem Response Ratio (ERS)]]&gt;=Table67[[#This Row],[Threshold of ERS]]</f>
        <v>0</v>
      </c>
      <c r="AT1482">
        <f>COUNTIF(Table67[[#This Row],[The mechanism of digital assets is difficult to understand, which discourages me from exploring it (E.g, Tokenization, Blockchain)]:[If I want to try different ways to invest, I will explore digital assets.]], 3)</f>
        <v>4</v>
      </c>
      <c r="AU1482">
        <f>Table67[[#This Row],[Midpoint]]/21</f>
        <v>0.19047619047619047</v>
      </c>
      <c r="AV1482">
        <f>_xlfn.PERCENTILE.INC(Table67[Midpoint ratio],0.9)</f>
        <v>0.5714285714285714</v>
      </c>
      <c r="AW1482" t="b">
        <f>Table67[[#This Row],[Midpoint ratio]]&gt;=Table67[[#This Row],[Threshold of Midpoint ratio]]</f>
        <v>0</v>
      </c>
      <c r="AX1482" t="b">
        <f>OR(Table67[[#This Row],[Extreme Response Style]],Table67[[#This Row],[Mid-point Response Style]])</f>
        <v>0</v>
      </c>
      <c r="AY1482" t="b">
        <f>OR(Table67[[#This Row],[Delete? (Stage 1)]],Table67[[#This Row],[Delete? (Stage 2)]])</f>
        <v>0</v>
      </c>
      <c r="AZ1482" t="s">
        <v>84</v>
      </c>
    </row>
    <row r="1483" spans="1:52">
      <c r="A1483">
        <f t="shared" si="95"/>
        <v>1482</v>
      </c>
      <c r="B1483" s="3">
        <v>46065.875474537039</v>
      </c>
      <c r="C1483" s="3">
        <v>46065.88244212963</v>
      </c>
      <c r="D1483" t="s">
        <v>53</v>
      </c>
      <c r="G1483" t="s">
        <v>54</v>
      </c>
      <c r="H1483" t="s">
        <v>55</v>
      </c>
      <c r="I1483" t="s">
        <v>56</v>
      </c>
      <c r="J1483" t="s">
        <v>64</v>
      </c>
      <c r="K1483" t="s">
        <v>62</v>
      </c>
      <c r="L1483" t="s">
        <v>58</v>
      </c>
      <c r="M1483" t="s">
        <v>58</v>
      </c>
      <c r="N1483">
        <v>4</v>
      </c>
      <c r="O1483">
        <v>5</v>
      </c>
      <c r="P1483">
        <v>4</v>
      </c>
      <c r="Q1483">
        <v>4</v>
      </c>
      <c r="R1483">
        <v>4</v>
      </c>
      <c r="S1483">
        <v>2</v>
      </c>
      <c r="T1483">
        <v>3</v>
      </c>
      <c r="U1483">
        <v>4</v>
      </c>
      <c r="V1483">
        <v>5</v>
      </c>
      <c r="W1483">
        <v>5</v>
      </c>
      <c r="X1483">
        <v>3</v>
      </c>
      <c r="Y1483">
        <v>5</v>
      </c>
      <c r="Z1483">
        <v>3</v>
      </c>
      <c r="AA1483">
        <v>2</v>
      </c>
      <c r="AB1483">
        <v>2</v>
      </c>
      <c r="AC1483">
        <v>4</v>
      </c>
      <c r="AD1483">
        <v>4</v>
      </c>
      <c r="AE1483">
        <v>3</v>
      </c>
      <c r="AF1483">
        <v>5</v>
      </c>
      <c r="AG1483">
        <v>1</v>
      </c>
      <c r="AH1483">
        <v>4</v>
      </c>
      <c r="AI1483">
        <v>2</v>
      </c>
      <c r="AJ1483">
        <v>1</v>
      </c>
      <c r="AK1483" t="b">
        <f>Table67[[#This Row],[What is your age?]]&lt;&gt;"18 - 25"</f>
        <v>0</v>
      </c>
      <c r="AL1483" t="b">
        <f t="shared" si="92"/>
        <v>0</v>
      </c>
      <c r="AM1483" t="b">
        <f t="shared" si="93"/>
        <v>0</v>
      </c>
      <c r="AN1483" t="b">
        <f t="shared" si="94"/>
        <v>0</v>
      </c>
      <c r="AO1483" t="b">
        <f>OR(Table67[[#This Row],[Ineligible respondents]:[Inconsistent response on opposite question (3)]])</f>
        <v>0</v>
      </c>
      <c r="AP148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483">
        <f>Table67[[#This Row],[Extreme Response]]/21</f>
        <v>0.2857142857142857</v>
      </c>
      <c r="AR1483">
        <f>_xlfn.PERCENTILE.INC(Table67[Extrem Response Ratio (ERS)],0.9)</f>
        <v>0.61904761904761907</v>
      </c>
      <c r="AS1483" t="b">
        <f>Table67[[#This Row],[Extrem Response Ratio (ERS)]]&gt;=Table67[[#This Row],[Threshold of ERS]]</f>
        <v>0</v>
      </c>
      <c r="AT1483">
        <f>COUNTIF(Table67[[#This Row],[The mechanism of digital assets is difficult to understand, which discourages me from exploring it (E.g, Tokenization, Blockchain)]:[If I want to try different ways to invest, I will explore digital assets.]], 3)</f>
        <v>4</v>
      </c>
      <c r="AU1483">
        <f>Table67[[#This Row],[Midpoint]]/21</f>
        <v>0.19047619047619047</v>
      </c>
      <c r="AV1483">
        <f>_xlfn.PERCENTILE.INC(Table67[Midpoint ratio],0.9)</f>
        <v>0.5714285714285714</v>
      </c>
      <c r="AW1483" t="b">
        <f>Table67[[#This Row],[Midpoint ratio]]&gt;=Table67[[#This Row],[Threshold of Midpoint ratio]]</f>
        <v>0</v>
      </c>
      <c r="AX1483" t="b">
        <f>OR(Table67[[#This Row],[Extreme Response Style]],Table67[[#This Row],[Mid-point Response Style]])</f>
        <v>0</v>
      </c>
      <c r="AY1483" t="b">
        <f>OR(Table67[[#This Row],[Delete? (Stage 1)]],Table67[[#This Row],[Delete? (Stage 2)]])</f>
        <v>0</v>
      </c>
      <c r="AZ1483" t="s">
        <v>84</v>
      </c>
    </row>
    <row r="1484" spans="1:52">
      <c r="A1484">
        <f t="shared" si="95"/>
        <v>1483</v>
      </c>
      <c r="B1484" s="3">
        <v>46065.828252314815</v>
      </c>
      <c r="C1484" s="3">
        <v>46065.832395833335</v>
      </c>
      <c r="D1484" t="s">
        <v>53</v>
      </c>
      <c r="G1484" t="s">
        <v>54</v>
      </c>
      <c r="H1484" t="s">
        <v>63</v>
      </c>
      <c r="I1484" t="s">
        <v>56</v>
      </c>
      <c r="J1484" t="s">
        <v>66</v>
      </c>
      <c r="K1484" t="s">
        <v>64</v>
      </c>
      <c r="L1484" t="s">
        <v>58</v>
      </c>
      <c r="M1484" t="s">
        <v>58</v>
      </c>
      <c r="N1484">
        <v>3</v>
      </c>
      <c r="O1484">
        <v>2</v>
      </c>
      <c r="P1484">
        <v>4</v>
      </c>
      <c r="Q1484">
        <v>3</v>
      </c>
      <c r="R1484">
        <v>2</v>
      </c>
      <c r="S1484">
        <v>2</v>
      </c>
      <c r="T1484">
        <v>2</v>
      </c>
      <c r="U1484">
        <v>4</v>
      </c>
      <c r="V1484">
        <v>4</v>
      </c>
      <c r="W1484">
        <v>3</v>
      </c>
      <c r="X1484">
        <v>3</v>
      </c>
      <c r="Y1484">
        <v>3</v>
      </c>
      <c r="Z1484">
        <v>3</v>
      </c>
      <c r="AA1484">
        <v>2</v>
      </c>
      <c r="AB1484">
        <v>1</v>
      </c>
      <c r="AC1484">
        <v>4</v>
      </c>
      <c r="AD1484">
        <v>3</v>
      </c>
      <c r="AE1484">
        <v>3</v>
      </c>
      <c r="AF1484">
        <v>2</v>
      </c>
      <c r="AG1484">
        <v>3</v>
      </c>
      <c r="AH1484">
        <v>3</v>
      </c>
      <c r="AI1484">
        <v>3</v>
      </c>
      <c r="AJ1484">
        <v>4</v>
      </c>
      <c r="AK1484" t="b">
        <f>Table67[[#This Row],[What is your age?]]&lt;&gt;"18 - 25"</f>
        <v>0</v>
      </c>
      <c r="AL1484" t="b">
        <f t="shared" si="92"/>
        <v>0</v>
      </c>
      <c r="AM1484" t="b">
        <f t="shared" si="93"/>
        <v>0</v>
      </c>
      <c r="AN1484" t="b">
        <f t="shared" si="94"/>
        <v>0</v>
      </c>
      <c r="AO1484" t="b">
        <f>OR(Table67[[#This Row],[Ineligible respondents]:[Inconsistent response on opposite question (3)]])</f>
        <v>0</v>
      </c>
      <c r="AP148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484">
        <f>Table67[[#This Row],[Extreme Response]]/21</f>
        <v>4.7619047619047616E-2</v>
      </c>
      <c r="AR1484">
        <f>_xlfn.PERCENTILE.INC(Table67[Extrem Response Ratio (ERS)],0.9)</f>
        <v>0.61904761904761907</v>
      </c>
      <c r="AS1484" t="b">
        <f>Table67[[#This Row],[Extrem Response Ratio (ERS)]]&gt;=Table67[[#This Row],[Threshold of ERS]]</f>
        <v>0</v>
      </c>
      <c r="AT1484">
        <f>COUNTIF(Table67[[#This Row],[The mechanism of digital assets is difficult to understand, which discourages me from exploring it (E.g, Tokenization, Blockchain)]:[If I want to try different ways to invest, I will explore digital assets.]], 3)</f>
        <v>10</v>
      </c>
      <c r="AU1484">
        <f>Table67[[#This Row],[Midpoint]]/21</f>
        <v>0.47619047619047616</v>
      </c>
      <c r="AV1484">
        <f>_xlfn.PERCENTILE.INC(Table67[Midpoint ratio],0.9)</f>
        <v>0.5714285714285714</v>
      </c>
      <c r="AW1484" t="b">
        <f>Table67[[#This Row],[Midpoint ratio]]&gt;=Table67[[#This Row],[Threshold of Midpoint ratio]]</f>
        <v>0</v>
      </c>
      <c r="AX1484" t="b">
        <f>OR(Table67[[#This Row],[Extreme Response Style]],Table67[[#This Row],[Mid-point Response Style]])</f>
        <v>0</v>
      </c>
      <c r="AY1484" t="b">
        <f>OR(Table67[[#This Row],[Delete? (Stage 1)]],Table67[[#This Row],[Delete? (Stage 2)]])</f>
        <v>0</v>
      </c>
      <c r="AZ1484" t="s">
        <v>84</v>
      </c>
    </row>
    <row r="1485" spans="1:52">
      <c r="A1485">
        <f t="shared" si="95"/>
        <v>1484</v>
      </c>
      <c r="B1485" s="3">
        <v>46062.049895833334</v>
      </c>
      <c r="C1485" s="3">
        <v>46062.053715277776</v>
      </c>
      <c r="D1485" t="s">
        <v>53</v>
      </c>
      <c r="G1485" t="s">
        <v>54</v>
      </c>
      <c r="H1485" t="s">
        <v>70</v>
      </c>
      <c r="I1485" t="s">
        <v>75</v>
      </c>
      <c r="J1485" t="s">
        <v>62</v>
      </c>
      <c r="K1485" t="s">
        <v>57</v>
      </c>
      <c r="L1485" t="s">
        <v>58</v>
      </c>
      <c r="M1485" t="s">
        <v>58</v>
      </c>
      <c r="N1485">
        <v>3</v>
      </c>
      <c r="O1485">
        <v>1</v>
      </c>
      <c r="P1485">
        <v>4</v>
      </c>
      <c r="Q1485">
        <v>3</v>
      </c>
      <c r="R1485">
        <v>4</v>
      </c>
      <c r="S1485">
        <v>3</v>
      </c>
      <c r="T1485">
        <v>4</v>
      </c>
      <c r="U1485">
        <v>4</v>
      </c>
      <c r="V1485">
        <v>4</v>
      </c>
      <c r="W1485">
        <v>4</v>
      </c>
      <c r="X1485">
        <v>5</v>
      </c>
      <c r="Y1485">
        <v>5</v>
      </c>
      <c r="Z1485">
        <v>3</v>
      </c>
      <c r="AA1485">
        <v>4</v>
      </c>
      <c r="AB1485">
        <v>4</v>
      </c>
      <c r="AC1485">
        <v>4</v>
      </c>
      <c r="AD1485">
        <v>5</v>
      </c>
      <c r="AE1485">
        <v>5</v>
      </c>
      <c r="AF1485">
        <v>1</v>
      </c>
      <c r="AG1485">
        <v>4</v>
      </c>
      <c r="AH1485">
        <v>3</v>
      </c>
      <c r="AI1485">
        <v>3</v>
      </c>
      <c r="AJ1485">
        <v>5</v>
      </c>
      <c r="AK1485" t="b">
        <f>Table67[[#This Row],[What is your age?]]&lt;&gt;"18 - 25"</f>
        <v>0</v>
      </c>
      <c r="AL1485" t="b">
        <f t="shared" si="92"/>
        <v>0</v>
      </c>
      <c r="AM1485" t="b">
        <f t="shared" si="93"/>
        <v>0</v>
      </c>
      <c r="AN1485" t="b">
        <f t="shared" si="94"/>
        <v>1</v>
      </c>
      <c r="AO1485" t="b">
        <f>OR(Table67[[#This Row],[Ineligible respondents]:[Inconsistent response on opposite question (3)]])</f>
        <v>1</v>
      </c>
      <c r="AP148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485">
        <f>Table67[[#This Row],[Extreme Response]]/21</f>
        <v>0.2857142857142857</v>
      </c>
      <c r="AR1485">
        <f>_xlfn.PERCENTILE.INC(Table67[Extrem Response Ratio (ERS)],0.9)</f>
        <v>0.61904761904761907</v>
      </c>
      <c r="AS1485" t="b">
        <f>Table67[[#This Row],[Extrem Response Ratio (ERS)]]&gt;=Table67[[#This Row],[Threshold of ERS]]</f>
        <v>0</v>
      </c>
      <c r="AT1485">
        <f>COUNTIF(Table67[[#This Row],[The mechanism of digital assets is difficult to understand, which discourages me from exploring it (E.g, Tokenization, Blockchain)]:[If I want to try different ways to invest, I will explore digital assets.]], 3)</f>
        <v>5</v>
      </c>
      <c r="AU1485">
        <f>Table67[[#This Row],[Midpoint]]/21</f>
        <v>0.23809523809523808</v>
      </c>
      <c r="AV1485">
        <f>_xlfn.PERCENTILE.INC(Table67[Midpoint ratio],0.9)</f>
        <v>0.5714285714285714</v>
      </c>
      <c r="AW1485" t="b">
        <f>Table67[[#This Row],[Midpoint ratio]]&gt;=Table67[[#This Row],[Threshold of Midpoint ratio]]</f>
        <v>0</v>
      </c>
      <c r="AX1485" t="b">
        <f>OR(Table67[[#This Row],[Extreme Response Style]],Table67[[#This Row],[Mid-point Response Style]])</f>
        <v>0</v>
      </c>
      <c r="AY1485" t="b">
        <f>OR(Table67[[#This Row],[Delete? (Stage 1)]],Table67[[#This Row],[Delete? (Stage 2)]])</f>
        <v>1</v>
      </c>
      <c r="AZ1485" t="s">
        <v>84</v>
      </c>
    </row>
    <row r="1486" spans="1:52">
      <c r="A1486">
        <f t="shared" si="95"/>
        <v>1485</v>
      </c>
      <c r="B1486" s="3">
        <v>46062.036550925928</v>
      </c>
      <c r="C1486" s="3">
        <v>46062.043564814812</v>
      </c>
      <c r="D1486" t="s">
        <v>53</v>
      </c>
      <c r="G1486" t="s">
        <v>54</v>
      </c>
      <c r="H1486" t="s">
        <v>55</v>
      </c>
      <c r="I1486" t="s">
        <v>56</v>
      </c>
      <c r="J1486" t="s">
        <v>62</v>
      </c>
      <c r="K1486" t="s">
        <v>62</v>
      </c>
      <c r="L1486" t="s">
        <v>58</v>
      </c>
      <c r="M1486" t="s">
        <v>58</v>
      </c>
      <c r="N1486">
        <v>3</v>
      </c>
      <c r="O1486">
        <v>1</v>
      </c>
      <c r="P1486">
        <v>4</v>
      </c>
      <c r="Q1486">
        <v>3</v>
      </c>
      <c r="R1486">
        <v>4</v>
      </c>
      <c r="S1486">
        <v>4</v>
      </c>
      <c r="T1486">
        <v>4</v>
      </c>
      <c r="U1486">
        <v>4</v>
      </c>
      <c r="V1486">
        <v>3</v>
      </c>
      <c r="W1486">
        <v>4</v>
      </c>
      <c r="X1486">
        <v>3</v>
      </c>
      <c r="Y1486">
        <v>3</v>
      </c>
      <c r="Z1486">
        <v>3</v>
      </c>
      <c r="AA1486">
        <v>3</v>
      </c>
      <c r="AB1486">
        <v>3</v>
      </c>
      <c r="AC1486">
        <v>3</v>
      </c>
      <c r="AD1486">
        <v>3</v>
      </c>
      <c r="AE1486">
        <v>3</v>
      </c>
      <c r="AF1486">
        <v>3</v>
      </c>
      <c r="AG1486">
        <v>4</v>
      </c>
      <c r="AH1486">
        <v>3</v>
      </c>
      <c r="AI1486">
        <v>3</v>
      </c>
      <c r="AJ1486">
        <v>3</v>
      </c>
      <c r="AK1486" t="b">
        <f>Table67[[#This Row],[What is your age?]]&lt;&gt;"18 - 25"</f>
        <v>0</v>
      </c>
      <c r="AL1486" t="b">
        <f t="shared" si="92"/>
        <v>0</v>
      </c>
      <c r="AM1486" t="b">
        <f t="shared" si="93"/>
        <v>0</v>
      </c>
      <c r="AN1486" t="b">
        <f t="shared" si="94"/>
        <v>1</v>
      </c>
      <c r="AO1486" t="b">
        <f>OR(Table67[[#This Row],[Ineligible respondents]:[Inconsistent response on opposite question (3)]])</f>
        <v>1</v>
      </c>
      <c r="AP148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486">
        <f>Table67[[#This Row],[Extreme Response]]/21</f>
        <v>4.7619047619047616E-2</v>
      </c>
      <c r="AR1486">
        <f>_xlfn.PERCENTILE.INC(Table67[Extrem Response Ratio (ERS)],0.9)</f>
        <v>0.61904761904761907</v>
      </c>
      <c r="AS1486" t="b">
        <f>Table67[[#This Row],[Extrem Response Ratio (ERS)]]&gt;=Table67[[#This Row],[Threshold of ERS]]</f>
        <v>0</v>
      </c>
      <c r="AT1486">
        <f>COUNTIF(Table67[[#This Row],[The mechanism of digital assets is difficult to understand, which discourages me from exploring it (E.g, Tokenization, Blockchain)]:[If I want to try different ways to invest, I will explore digital assets.]], 3)</f>
        <v>13</v>
      </c>
      <c r="AU1486">
        <f>Table67[[#This Row],[Midpoint]]/21</f>
        <v>0.61904761904761907</v>
      </c>
      <c r="AV1486">
        <f>_xlfn.PERCENTILE.INC(Table67[Midpoint ratio],0.9)</f>
        <v>0.5714285714285714</v>
      </c>
      <c r="AW1486" t="b">
        <f>Table67[[#This Row],[Midpoint ratio]]&gt;=Table67[[#This Row],[Threshold of Midpoint ratio]]</f>
        <v>1</v>
      </c>
      <c r="AX1486" t="b">
        <f>OR(Table67[[#This Row],[Extreme Response Style]],Table67[[#This Row],[Mid-point Response Style]])</f>
        <v>1</v>
      </c>
      <c r="AY1486" t="b">
        <f>OR(Table67[[#This Row],[Delete? (Stage 1)]],Table67[[#This Row],[Delete? (Stage 2)]])</f>
        <v>1</v>
      </c>
      <c r="AZ1486" t="s">
        <v>84</v>
      </c>
    </row>
    <row r="1487" spans="1:52">
      <c r="A1487">
        <f t="shared" si="95"/>
        <v>1486</v>
      </c>
      <c r="B1487" s="3">
        <v>46062.053344907406</v>
      </c>
      <c r="C1487" s="3">
        <v>46062.056504629632</v>
      </c>
      <c r="D1487" t="s">
        <v>53</v>
      </c>
      <c r="G1487" t="s">
        <v>54</v>
      </c>
      <c r="H1487" t="s">
        <v>55</v>
      </c>
      <c r="I1487" t="s">
        <v>56</v>
      </c>
      <c r="J1487" t="s">
        <v>62</v>
      </c>
      <c r="K1487" t="s">
        <v>57</v>
      </c>
      <c r="L1487" t="s">
        <v>58</v>
      </c>
      <c r="M1487" t="s">
        <v>58</v>
      </c>
      <c r="N1487">
        <v>4</v>
      </c>
      <c r="O1487">
        <v>4</v>
      </c>
      <c r="P1487">
        <v>3</v>
      </c>
      <c r="Q1487">
        <v>4</v>
      </c>
      <c r="R1487">
        <v>3</v>
      </c>
      <c r="S1487">
        <v>4</v>
      </c>
      <c r="T1487">
        <v>5</v>
      </c>
      <c r="U1487">
        <v>4</v>
      </c>
      <c r="V1487">
        <v>5</v>
      </c>
      <c r="W1487">
        <v>3</v>
      </c>
      <c r="X1487">
        <v>4</v>
      </c>
      <c r="Y1487">
        <v>3</v>
      </c>
      <c r="Z1487">
        <v>5</v>
      </c>
      <c r="AA1487">
        <v>3</v>
      </c>
      <c r="AB1487">
        <v>4</v>
      </c>
      <c r="AC1487">
        <v>3</v>
      </c>
      <c r="AD1487">
        <v>3</v>
      </c>
      <c r="AE1487">
        <v>4</v>
      </c>
      <c r="AF1487">
        <v>5</v>
      </c>
      <c r="AG1487">
        <v>4</v>
      </c>
      <c r="AH1487">
        <v>5</v>
      </c>
      <c r="AI1487">
        <v>1</v>
      </c>
      <c r="AJ1487">
        <v>1</v>
      </c>
      <c r="AK1487" t="b">
        <f>Table67[[#This Row],[What is your age?]]&lt;&gt;"18 - 25"</f>
        <v>0</v>
      </c>
      <c r="AL1487" t="b">
        <f t="shared" si="92"/>
        <v>0</v>
      </c>
      <c r="AM1487" t="b">
        <f t="shared" si="93"/>
        <v>1</v>
      </c>
      <c r="AN1487" t="b">
        <f t="shared" si="94"/>
        <v>0</v>
      </c>
      <c r="AO1487" t="b">
        <f>OR(Table67[[#This Row],[Ineligible respondents]:[Inconsistent response on opposite question (3)]])</f>
        <v>1</v>
      </c>
      <c r="AP148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487">
        <f>Table67[[#This Row],[Extreme Response]]/21</f>
        <v>0.23809523809523808</v>
      </c>
      <c r="AR1487">
        <f>_xlfn.PERCENTILE.INC(Table67[Extrem Response Ratio (ERS)],0.9)</f>
        <v>0.61904761904761907</v>
      </c>
      <c r="AS1487" t="b">
        <f>Table67[[#This Row],[Extrem Response Ratio (ERS)]]&gt;=Table67[[#This Row],[Threshold of ERS]]</f>
        <v>0</v>
      </c>
      <c r="AT1487">
        <f>COUNTIF(Table67[[#This Row],[The mechanism of digital assets is difficult to understand, which discourages me from exploring it (E.g, Tokenization, Blockchain)]:[If I want to try different ways to invest, I will explore digital assets.]], 3)</f>
        <v>7</v>
      </c>
      <c r="AU1487">
        <f>Table67[[#This Row],[Midpoint]]/21</f>
        <v>0.33333333333333331</v>
      </c>
      <c r="AV1487">
        <f>_xlfn.PERCENTILE.INC(Table67[Midpoint ratio],0.9)</f>
        <v>0.5714285714285714</v>
      </c>
      <c r="AW1487" t="b">
        <f>Table67[[#This Row],[Midpoint ratio]]&gt;=Table67[[#This Row],[Threshold of Midpoint ratio]]</f>
        <v>0</v>
      </c>
      <c r="AX1487" t="b">
        <f>OR(Table67[[#This Row],[Extreme Response Style]],Table67[[#This Row],[Mid-point Response Style]])</f>
        <v>0</v>
      </c>
      <c r="AY1487" t="b">
        <f>OR(Table67[[#This Row],[Delete? (Stage 1)]],Table67[[#This Row],[Delete? (Stage 2)]])</f>
        <v>1</v>
      </c>
      <c r="AZ1487" t="s">
        <v>84</v>
      </c>
    </row>
    <row r="1488" spans="1:52">
      <c r="A1488">
        <f t="shared" si="95"/>
        <v>1487</v>
      </c>
      <c r="B1488" s="3">
        <v>46065.875636574077</v>
      </c>
      <c r="C1488" s="3">
        <v>46065.882465277777</v>
      </c>
      <c r="D1488" t="s">
        <v>53</v>
      </c>
      <c r="G1488" t="s">
        <v>54</v>
      </c>
      <c r="H1488" t="s">
        <v>55</v>
      </c>
      <c r="I1488" t="s">
        <v>75</v>
      </c>
      <c r="J1488" t="s">
        <v>57</v>
      </c>
      <c r="K1488" t="s">
        <v>62</v>
      </c>
      <c r="L1488" t="s">
        <v>58</v>
      </c>
      <c r="M1488" t="s">
        <v>58</v>
      </c>
      <c r="N1488">
        <v>2</v>
      </c>
      <c r="O1488">
        <v>2</v>
      </c>
      <c r="P1488">
        <v>3</v>
      </c>
      <c r="Q1488">
        <v>3</v>
      </c>
      <c r="R1488">
        <v>2</v>
      </c>
      <c r="S1488">
        <v>4</v>
      </c>
      <c r="T1488">
        <v>4</v>
      </c>
      <c r="U1488">
        <v>3</v>
      </c>
      <c r="V1488">
        <v>4</v>
      </c>
      <c r="W1488">
        <v>4</v>
      </c>
      <c r="X1488">
        <v>2</v>
      </c>
      <c r="Y1488">
        <v>4</v>
      </c>
      <c r="Z1488">
        <v>3</v>
      </c>
      <c r="AA1488">
        <v>4</v>
      </c>
      <c r="AB1488">
        <v>4</v>
      </c>
      <c r="AC1488">
        <v>3</v>
      </c>
      <c r="AD1488">
        <v>3</v>
      </c>
      <c r="AE1488">
        <v>3</v>
      </c>
      <c r="AF1488">
        <v>3</v>
      </c>
      <c r="AG1488">
        <v>2</v>
      </c>
      <c r="AH1488">
        <v>5</v>
      </c>
      <c r="AI1488">
        <v>1</v>
      </c>
      <c r="AJ1488">
        <v>3</v>
      </c>
      <c r="AK1488" t="b">
        <f>Table67[[#This Row],[What is your age?]]&lt;&gt;"18 - 25"</f>
        <v>0</v>
      </c>
      <c r="AL1488" t="b">
        <f t="shared" si="92"/>
        <v>0</v>
      </c>
      <c r="AM1488" t="b">
        <f t="shared" si="93"/>
        <v>0</v>
      </c>
      <c r="AN1488" t="b">
        <f t="shared" si="94"/>
        <v>0</v>
      </c>
      <c r="AO1488" t="b">
        <f>OR(Table67[[#This Row],[Ineligible respondents]:[Inconsistent response on opposite question (3)]])</f>
        <v>0</v>
      </c>
      <c r="AP148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488">
        <f>Table67[[#This Row],[Extreme Response]]/21</f>
        <v>4.7619047619047616E-2</v>
      </c>
      <c r="AR1488">
        <f>_xlfn.PERCENTILE.INC(Table67[Extrem Response Ratio (ERS)],0.9)</f>
        <v>0.61904761904761907</v>
      </c>
      <c r="AS1488" t="b">
        <f>Table67[[#This Row],[Extrem Response Ratio (ERS)]]&gt;=Table67[[#This Row],[Threshold of ERS]]</f>
        <v>0</v>
      </c>
      <c r="AT1488">
        <f>COUNTIF(Table67[[#This Row],[The mechanism of digital assets is difficult to understand, which discourages me from exploring it (E.g, Tokenization, Blockchain)]:[If I want to try different ways to invest, I will explore digital assets.]], 3)</f>
        <v>8</v>
      </c>
      <c r="AU1488">
        <f>Table67[[#This Row],[Midpoint]]/21</f>
        <v>0.38095238095238093</v>
      </c>
      <c r="AV1488">
        <f>_xlfn.PERCENTILE.INC(Table67[Midpoint ratio],0.9)</f>
        <v>0.5714285714285714</v>
      </c>
      <c r="AW1488" t="b">
        <f>Table67[[#This Row],[Midpoint ratio]]&gt;=Table67[[#This Row],[Threshold of Midpoint ratio]]</f>
        <v>0</v>
      </c>
      <c r="AX1488" t="b">
        <f>OR(Table67[[#This Row],[Extreme Response Style]],Table67[[#This Row],[Mid-point Response Style]])</f>
        <v>0</v>
      </c>
      <c r="AY1488" t="b">
        <f>OR(Table67[[#This Row],[Delete? (Stage 1)]],Table67[[#This Row],[Delete? (Stage 2)]])</f>
        <v>0</v>
      </c>
      <c r="AZ1488" t="s">
        <v>84</v>
      </c>
    </row>
    <row r="1489" spans="1:52">
      <c r="A1489">
        <f t="shared" si="95"/>
        <v>1488</v>
      </c>
      <c r="B1489" s="3">
        <v>46065.729259259257</v>
      </c>
      <c r="C1489" s="3">
        <v>46065.730046296296</v>
      </c>
      <c r="D1489" t="s">
        <v>53</v>
      </c>
      <c r="G1489" t="s">
        <v>54</v>
      </c>
      <c r="H1489" t="s">
        <v>63</v>
      </c>
      <c r="I1489" t="s">
        <v>69</v>
      </c>
      <c r="J1489" t="s">
        <v>62</v>
      </c>
      <c r="K1489" t="s">
        <v>62</v>
      </c>
      <c r="L1489" t="s">
        <v>61</v>
      </c>
      <c r="M1489" t="s">
        <v>61</v>
      </c>
      <c r="N1489">
        <v>2</v>
      </c>
      <c r="O1489">
        <v>2</v>
      </c>
      <c r="P1489">
        <v>3</v>
      </c>
      <c r="Q1489">
        <v>3</v>
      </c>
      <c r="R1489">
        <v>2</v>
      </c>
      <c r="S1489">
        <v>2</v>
      </c>
      <c r="T1489">
        <v>3</v>
      </c>
      <c r="U1489">
        <v>3</v>
      </c>
      <c r="V1489">
        <v>3</v>
      </c>
      <c r="W1489">
        <v>4</v>
      </c>
      <c r="X1489">
        <v>3</v>
      </c>
      <c r="Y1489">
        <v>3</v>
      </c>
      <c r="Z1489">
        <v>3</v>
      </c>
      <c r="AA1489">
        <v>2</v>
      </c>
      <c r="AB1489">
        <v>3</v>
      </c>
      <c r="AC1489">
        <v>4</v>
      </c>
      <c r="AD1489">
        <v>3</v>
      </c>
      <c r="AE1489">
        <v>3</v>
      </c>
      <c r="AF1489">
        <v>3</v>
      </c>
      <c r="AG1489">
        <v>3</v>
      </c>
      <c r="AH1489">
        <v>3</v>
      </c>
      <c r="AI1489">
        <v>3</v>
      </c>
      <c r="AJ1489">
        <v>3</v>
      </c>
      <c r="AK1489" t="b">
        <f>Table67[[#This Row],[What is your age?]]&lt;&gt;"18 - 25"</f>
        <v>0</v>
      </c>
      <c r="AL1489" t="b">
        <f t="shared" si="92"/>
        <v>0</v>
      </c>
      <c r="AM1489" t="b">
        <f t="shared" si="93"/>
        <v>0</v>
      </c>
      <c r="AN1489" t="b">
        <f t="shared" si="94"/>
        <v>0</v>
      </c>
      <c r="AO1489" t="b">
        <f>OR(Table67[[#This Row],[Ineligible respondents]:[Inconsistent response on opposite question (3)]])</f>
        <v>0</v>
      </c>
      <c r="AP148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489">
        <f>Table67[[#This Row],[Extreme Response]]/21</f>
        <v>0</v>
      </c>
      <c r="AR1489">
        <f>_xlfn.PERCENTILE.INC(Table67[Extrem Response Ratio (ERS)],0.9)</f>
        <v>0.61904761904761907</v>
      </c>
      <c r="AS1489" t="b">
        <f>Table67[[#This Row],[Extrem Response Ratio (ERS)]]&gt;=Table67[[#This Row],[Threshold of ERS]]</f>
        <v>0</v>
      </c>
      <c r="AT1489">
        <f>COUNTIF(Table67[[#This Row],[The mechanism of digital assets is difficult to understand, which discourages me from exploring it (E.g, Tokenization, Blockchain)]:[If I want to try different ways to invest, I will explore digital assets.]], 3)</f>
        <v>14</v>
      </c>
      <c r="AU1489">
        <f>Table67[[#This Row],[Midpoint]]/21</f>
        <v>0.66666666666666663</v>
      </c>
      <c r="AV1489">
        <f>_xlfn.PERCENTILE.INC(Table67[Midpoint ratio],0.9)</f>
        <v>0.5714285714285714</v>
      </c>
      <c r="AW1489" t="b">
        <f>Table67[[#This Row],[Midpoint ratio]]&gt;=Table67[[#This Row],[Threshold of Midpoint ratio]]</f>
        <v>1</v>
      </c>
      <c r="AX1489" t="b">
        <f>OR(Table67[[#This Row],[Extreme Response Style]],Table67[[#This Row],[Mid-point Response Style]])</f>
        <v>1</v>
      </c>
      <c r="AY1489" t="b">
        <f>OR(Table67[[#This Row],[Delete? (Stage 1)]],Table67[[#This Row],[Delete? (Stage 2)]])</f>
        <v>1</v>
      </c>
      <c r="AZ1489" t="s">
        <v>84</v>
      </c>
    </row>
    <row r="1490" spans="1:52">
      <c r="A1490">
        <f t="shared" si="95"/>
        <v>1489</v>
      </c>
      <c r="B1490" s="3">
        <v>46065.705046296294</v>
      </c>
      <c r="C1490" s="3">
        <v>46065.705416666664</v>
      </c>
      <c r="D1490" t="s">
        <v>53</v>
      </c>
      <c r="G1490" t="s">
        <v>54</v>
      </c>
      <c r="H1490" t="s">
        <v>55</v>
      </c>
      <c r="I1490" t="s">
        <v>56</v>
      </c>
      <c r="J1490" t="s">
        <v>57</v>
      </c>
      <c r="K1490" t="s">
        <v>57</v>
      </c>
      <c r="L1490" t="s">
        <v>58</v>
      </c>
      <c r="M1490" t="s">
        <v>58</v>
      </c>
      <c r="N1490">
        <v>2</v>
      </c>
      <c r="O1490">
        <v>2</v>
      </c>
      <c r="P1490">
        <v>3</v>
      </c>
      <c r="Q1490">
        <v>3</v>
      </c>
      <c r="R1490">
        <v>3</v>
      </c>
      <c r="S1490">
        <v>3</v>
      </c>
      <c r="T1490">
        <v>3</v>
      </c>
      <c r="U1490">
        <v>3</v>
      </c>
      <c r="V1490">
        <v>5</v>
      </c>
      <c r="W1490">
        <v>4</v>
      </c>
      <c r="X1490">
        <v>4</v>
      </c>
      <c r="Y1490">
        <v>5</v>
      </c>
      <c r="Z1490">
        <v>4</v>
      </c>
      <c r="AA1490">
        <v>3</v>
      </c>
      <c r="AB1490">
        <v>3</v>
      </c>
      <c r="AC1490">
        <v>3</v>
      </c>
      <c r="AD1490">
        <v>3</v>
      </c>
      <c r="AE1490">
        <v>4</v>
      </c>
      <c r="AF1490">
        <v>4</v>
      </c>
      <c r="AG1490">
        <v>1</v>
      </c>
      <c r="AH1490">
        <v>5</v>
      </c>
      <c r="AI1490">
        <v>1</v>
      </c>
      <c r="AJ1490">
        <v>2</v>
      </c>
      <c r="AK1490" t="b">
        <f>Table67[[#This Row],[What is your age?]]&lt;&gt;"18 - 25"</f>
        <v>0</v>
      </c>
      <c r="AL1490" t="b">
        <f t="shared" si="92"/>
        <v>0</v>
      </c>
      <c r="AM1490" t="b">
        <f t="shared" si="93"/>
        <v>0</v>
      </c>
      <c r="AN1490" t="b">
        <f t="shared" si="94"/>
        <v>0</v>
      </c>
      <c r="AO1490" t="b">
        <f>OR(Table67[[#This Row],[Ineligible respondents]:[Inconsistent response on opposite question (3)]])</f>
        <v>0</v>
      </c>
      <c r="AP149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490">
        <f>Table67[[#This Row],[Extreme Response]]/21</f>
        <v>0.19047619047619047</v>
      </c>
      <c r="AR1490">
        <f>_xlfn.PERCENTILE.INC(Table67[Extrem Response Ratio (ERS)],0.9)</f>
        <v>0.61904761904761907</v>
      </c>
      <c r="AS1490" t="b">
        <f>Table67[[#This Row],[Extrem Response Ratio (ERS)]]&gt;=Table67[[#This Row],[Threshold of ERS]]</f>
        <v>0</v>
      </c>
      <c r="AT1490">
        <f>COUNTIF(Table67[[#This Row],[The mechanism of digital assets is difficult to understand, which discourages me from exploring it (E.g, Tokenization, Blockchain)]:[If I want to try different ways to invest, I will explore digital assets.]], 3)</f>
        <v>10</v>
      </c>
      <c r="AU1490">
        <f>Table67[[#This Row],[Midpoint]]/21</f>
        <v>0.47619047619047616</v>
      </c>
      <c r="AV1490">
        <f>_xlfn.PERCENTILE.INC(Table67[Midpoint ratio],0.9)</f>
        <v>0.5714285714285714</v>
      </c>
      <c r="AW1490" t="b">
        <f>Table67[[#This Row],[Midpoint ratio]]&gt;=Table67[[#This Row],[Threshold of Midpoint ratio]]</f>
        <v>0</v>
      </c>
      <c r="AX1490" t="b">
        <f>OR(Table67[[#This Row],[Extreme Response Style]],Table67[[#This Row],[Mid-point Response Style]])</f>
        <v>0</v>
      </c>
      <c r="AY1490" t="b">
        <f>OR(Table67[[#This Row],[Delete? (Stage 1)]],Table67[[#This Row],[Delete? (Stage 2)]])</f>
        <v>0</v>
      </c>
      <c r="AZ1490" t="s">
        <v>84</v>
      </c>
    </row>
    <row r="1491" spans="1:52">
      <c r="A1491">
        <f t="shared" si="95"/>
        <v>1490</v>
      </c>
      <c r="B1491" s="3">
        <v>46065.882280092592</v>
      </c>
      <c r="C1491" s="3">
        <v>46065.895358796297</v>
      </c>
      <c r="D1491" t="s">
        <v>53</v>
      </c>
      <c r="G1491" t="s">
        <v>54</v>
      </c>
      <c r="H1491" t="s">
        <v>55</v>
      </c>
      <c r="I1491" t="s">
        <v>56</v>
      </c>
      <c r="J1491" t="s">
        <v>62</v>
      </c>
      <c r="K1491" t="s">
        <v>57</v>
      </c>
      <c r="L1491" t="s">
        <v>58</v>
      </c>
      <c r="M1491" t="s">
        <v>58</v>
      </c>
      <c r="N1491">
        <v>2</v>
      </c>
      <c r="O1491">
        <v>3</v>
      </c>
      <c r="P1491">
        <v>3</v>
      </c>
      <c r="Q1491">
        <v>3</v>
      </c>
      <c r="R1491">
        <v>2</v>
      </c>
      <c r="S1491">
        <v>2</v>
      </c>
      <c r="T1491">
        <v>2</v>
      </c>
      <c r="U1491">
        <v>3</v>
      </c>
      <c r="V1491">
        <v>1</v>
      </c>
      <c r="W1491">
        <v>1</v>
      </c>
      <c r="X1491">
        <v>3</v>
      </c>
      <c r="Y1491">
        <v>2</v>
      </c>
      <c r="Z1491">
        <v>3</v>
      </c>
      <c r="AA1491">
        <v>2</v>
      </c>
      <c r="AB1491">
        <v>2</v>
      </c>
      <c r="AC1491">
        <v>3</v>
      </c>
      <c r="AD1491">
        <v>3</v>
      </c>
      <c r="AE1491">
        <v>3</v>
      </c>
      <c r="AF1491">
        <v>3</v>
      </c>
      <c r="AG1491">
        <v>2</v>
      </c>
      <c r="AH1491">
        <v>5</v>
      </c>
      <c r="AI1491">
        <v>1</v>
      </c>
      <c r="AJ1491">
        <v>3</v>
      </c>
      <c r="AK1491" t="b">
        <f>Table67[[#This Row],[What is your age?]]&lt;&gt;"18 - 25"</f>
        <v>0</v>
      </c>
      <c r="AL1491" t="b">
        <f t="shared" si="92"/>
        <v>0</v>
      </c>
      <c r="AM1491" t="b">
        <f t="shared" si="93"/>
        <v>0</v>
      </c>
      <c r="AN1491" t="b">
        <f t="shared" si="94"/>
        <v>0</v>
      </c>
      <c r="AO1491" t="b">
        <f>OR(Table67[[#This Row],[Ineligible respondents]:[Inconsistent response on opposite question (3)]])</f>
        <v>0</v>
      </c>
      <c r="AP149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491">
        <f>Table67[[#This Row],[Extreme Response]]/21</f>
        <v>0.14285714285714285</v>
      </c>
      <c r="AR1491">
        <f>_xlfn.PERCENTILE.INC(Table67[Extrem Response Ratio (ERS)],0.9)</f>
        <v>0.61904761904761907</v>
      </c>
      <c r="AS1491" t="b">
        <f>Table67[[#This Row],[Extrem Response Ratio (ERS)]]&gt;=Table67[[#This Row],[Threshold of ERS]]</f>
        <v>0</v>
      </c>
      <c r="AT1491">
        <f>COUNTIF(Table67[[#This Row],[The mechanism of digital assets is difficult to understand, which discourages me from exploring it (E.g, Tokenization, Blockchain)]:[If I want to try different ways to invest, I will explore digital assets.]], 3)</f>
        <v>10</v>
      </c>
      <c r="AU1491">
        <f>Table67[[#This Row],[Midpoint]]/21</f>
        <v>0.47619047619047616</v>
      </c>
      <c r="AV1491">
        <f>_xlfn.PERCENTILE.INC(Table67[Midpoint ratio],0.9)</f>
        <v>0.5714285714285714</v>
      </c>
      <c r="AW1491" t="b">
        <f>Table67[[#This Row],[Midpoint ratio]]&gt;=Table67[[#This Row],[Threshold of Midpoint ratio]]</f>
        <v>0</v>
      </c>
      <c r="AX1491" t="b">
        <f>OR(Table67[[#This Row],[Extreme Response Style]],Table67[[#This Row],[Mid-point Response Style]])</f>
        <v>0</v>
      </c>
      <c r="AY1491" t="b">
        <f>OR(Table67[[#This Row],[Delete? (Stage 1)]],Table67[[#This Row],[Delete? (Stage 2)]])</f>
        <v>0</v>
      </c>
      <c r="AZ1491" t="s">
        <v>84</v>
      </c>
    </row>
    <row r="1492" spans="1:52">
      <c r="A1492">
        <f t="shared" si="95"/>
        <v>1491</v>
      </c>
      <c r="B1492" s="3">
        <v>46062.058865740742</v>
      </c>
      <c r="C1492" s="3">
        <v>46062.064351851855</v>
      </c>
      <c r="D1492" t="s">
        <v>53</v>
      </c>
      <c r="G1492" t="s">
        <v>54</v>
      </c>
      <c r="H1492" t="s">
        <v>55</v>
      </c>
      <c r="I1492" t="s">
        <v>71</v>
      </c>
      <c r="J1492" t="s">
        <v>57</v>
      </c>
      <c r="K1492" t="s">
        <v>57</v>
      </c>
      <c r="L1492" t="s">
        <v>58</v>
      </c>
      <c r="M1492" t="s">
        <v>58</v>
      </c>
      <c r="N1492">
        <v>4</v>
      </c>
      <c r="O1492">
        <v>5</v>
      </c>
      <c r="P1492">
        <v>1</v>
      </c>
      <c r="Q1492">
        <v>1</v>
      </c>
      <c r="R1492">
        <v>5</v>
      </c>
      <c r="S1492">
        <v>5</v>
      </c>
      <c r="T1492">
        <v>2</v>
      </c>
      <c r="U1492">
        <v>1</v>
      </c>
      <c r="V1492">
        <v>5</v>
      </c>
      <c r="W1492">
        <v>5</v>
      </c>
      <c r="X1492">
        <v>4</v>
      </c>
      <c r="Y1492">
        <v>4</v>
      </c>
      <c r="Z1492">
        <v>3</v>
      </c>
      <c r="AA1492">
        <v>5</v>
      </c>
      <c r="AB1492">
        <v>4</v>
      </c>
      <c r="AC1492">
        <v>4</v>
      </c>
      <c r="AD1492">
        <v>4</v>
      </c>
      <c r="AE1492">
        <v>3</v>
      </c>
      <c r="AF1492">
        <v>4</v>
      </c>
      <c r="AG1492">
        <v>2</v>
      </c>
      <c r="AH1492">
        <v>3</v>
      </c>
      <c r="AI1492">
        <v>3</v>
      </c>
      <c r="AJ1492">
        <v>2</v>
      </c>
      <c r="AK1492" t="b">
        <f>Table67[[#This Row],[What is your age?]]&lt;&gt;"18 - 25"</f>
        <v>0</v>
      </c>
      <c r="AL1492" t="b">
        <f t="shared" si="92"/>
        <v>0</v>
      </c>
      <c r="AM1492" t="b">
        <f t="shared" si="93"/>
        <v>0</v>
      </c>
      <c r="AN1492" t="b">
        <f t="shared" si="94"/>
        <v>1</v>
      </c>
      <c r="AO1492" t="b">
        <f>OR(Table67[[#This Row],[Ineligible respondents]:[Inconsistent response on opposite question (3)]])</f>
        <v>1</v>
      </c>
      <c r="AP149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1492">
        <f>Table67[[#This Row],[Extreme Response]]/21</f>
        <v>0.42857142857142855</v>
      </c>
      <c r="AR1492">
        <f>_xlfn.PERCENTILE.INC(Table67[Extrem Response Ratio (ERS)],0.9)</f>
        <v>0.61904761904761907</v>
      </c>
      <c r="AS1492" t="b">
        <f>Table67[[#This Row],[Extrem Response Ratio (ERS)]]&gt;=Table67[[#This Row],[Threshold of ERS]]</f>
        <v>0</v>
      </c>
      <c r="AT1492">
        <f>COUNTIF(Table67[[#This Row],[The mechanism of digital assets is difficult to understand, which discourages me from exploring it (E.g, Tokenization, Blockchain)]:[If I want to try different ways to invest, I will explore digital assets.]], 3)</f>
        <v>3</v>
      </c>
      <c r="AU1492">
        <f>Table67[[#This Row],[Midpoint]]/21</f>
        <v>0.14285714285714285</v>
      </c>
      <c r="AV1492">
        <f>_xlfn.PERCENTILE.INC(Table67[Midpoint ratio],0.9)</f>
        <v>0.5714285714285714</v>
      </c>
      <c r="AW1492" t="b">
        <f>Table67[[#This Row],[Midpoint ratio]]&gt;=Table67[[#This Row],[Threshold of Midpoint ratio]]</f>
        <v>0</v>
      </c>
      <c r="AX1492" t="b">
        <f>OR(Table67[[#This Row],[Extreme Response Style]],Table67[[#This Row],[Mid-point Response Style]])</f>
        <v>0</v>
      </c>
      <c r="AY1492" t="b">
        <f>OR(Table67[[#This Row],[Delete? (Stage 1)]],Table67[[#This Row],[Delete? (Stage 2)]])</f>
        <v>1</v>
      </c>
      <c r="AZ1492" t="s">
        <v>84</v>
      </c>
    </row>
    <row r="1493" spans="1:52">
      <c r="A1493">
        <f t="shared" si="95"/>
        <v>1492</v>
      </c>
      <c r="B1493" s="3">
        <v>46062.061284722222</v>
      </c>
      <c r="C1493" s="3">
        <v>46062.077939814815</v>
      </c>
      <c r="D1493" t="s">
        <v>53</v>
      </c>
      <c r="G1493" t="s">
        <v>73</v>
      </c>
      <c r="H1493" t="s">
        <v>55</v>
      </c>
      <c r="I1493" t="s">
        <v>75</v>
      </c>
      <c r="J1493" t="s">
        <v>62</v>
      </c>
      <c r="K1493" t="s">
        <v>62</v>
      </c>
      <c r="L1493" t="s">
        <v>58</v>
      </c>
      <c r="M1493" t="s">
        <v>58</v>
      </c>
      <c r="N1493">
        <v>4</v>
      </c>
      <c r="O1493">
        <v>1</v>
      </c>
      <c r="P1493">
        <v>4</v>
      </c>
      <c r="Q1493">
        <v>3</v>
      </c>
      <c r="R1493">
        <v>1</v>
      </c>
      <c r="S1493">
        <v>2</v>
      </c>
      <c r="T1493">
        <v>1</v>
      </c>
      <c r="U1493">
        <v>4</v>
      </c>
      <c r="V1493">
        <v>5</v>
      </c>
      <c r="W1493">
        <v>4</v>
      </c>
      <c r="X1493">
        <v>4</v>
      </c>
      <c r="Y1493">
        <v>5</v>
      </c>
      <c r="Z1493">
        <v>5</v>
      </c>
      <c r="AA1493">
        <v>4</v>
      </c>
      <c r="AB1493">
        <v>2</v>
      </c>
      <c r="AC1493">
        <v>1</v>
      </c>
      <c r="AD1493">
        <v>5</v>
      </c>
      <c r="AE1493">
        <v>4</v>
      </c>
      <c r="AF1493">
        <v>4</v>
      </c>
      <c r="AG1493">
        <v>2</v>
      </c>
      <c r="AH1493">
        <v>5</v>
      </c>
      <c r="AI1493">
        <v>1</v>
      </c>
      <c r="AJ1493">
        <v>2</v>
      </c>
      <c r="AK1493" t="b">
        <f>Table67[[#This Row],[What is your age?]]&lt;&gt;"18 - 25"</f>
        <v>1</v>
      </c>
      <c r="AL1493" t="b">
        <f t="shared" si="92"/>
        <v>0</v>
      </c>
      <c r="AM1493" t="b">
        <f t="shared" si="93"/>
        <v>0</v>
      </c>
      <c r="AN1493" t="b">
        <f t="shared" si="94"/>
        <v>0</v>
      </c>
      <c r="AO1493" t="b">
        <f>OR(Table67[[#This Row],[Ineligible respondents]:[Inconsistent response on opposite question (3)]])</f>
        <v>1</v>
      </c>
      <c r="AP149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1493">
        <f>Table67[[#This Row],[Extreme Response]]/21</f>
        <v>0.42857142857142855</v>
      </c>
      <c r="AR1493">
        <f>_xlfn.PERCENTILE.INC(Table67[Extrem Response Ratio (ERS)],0.9)</f>
        <v>0.61904761904761907</v>
      </c>
      <c r="AS1493" t="b">
        <f>Table67[[#This Row],[Extrem Response Ratio (ERS)]]&gt;=Table67[[#This Row],[Threshold of ERS]]</f>
        <v>0</v>
      </c>
      <c r="AT1493">
        <f>COUNTIF(Table67[[#This Row],[The mechanism of digital assets is difficult to understand, which discourages me from exploring it (E.g, Tokenization, Blockchain)]:[If I want to try different ways to invest, I will explore digital assets.]], 3)</f>
        <v>1</v>
      </c>
      <c r="AU1493">
        <f>Table67[[#This Row],[Midpoint]]/21</f>
        <v>4.7619047619047616E-2</v>
      </c>
      <c r="AV1493">
        <f>_xlfn.PERCENTILE.INC(Table67[Midpoint ratio],0.9)</f>
        <v>0.5714285714285714</v>
      </c>
      <c r="AW1493" t="b">
        <f>Table67[[#This Row],[Midpoint ratio]]&gt;=Table67[[#This Row],[Threshold of Midpoint ratio]]</f>
        <v>0</v>
      </c>
      <c r="AX1493" t="b">
        <f>OR(Table67[[#This Row],[Extreme Response Style]],Table67[[#This Row],[Mid-point Response Style]])</f>
        <v>0</v>
      </c>
      <c r="AY1493" t="b">
        <f>OR(Table67[[#This Row],[Delete? (Stage 1)]],Table67[[#This Row],[Delete? (Stage 2)]])</f>
        <v>1</v>
      </c>
      <c r="AZ1493" t="s">
        <v>84</v>
      </c>
    </row>
    <row r="1494" spans="1:52">
      <c r="A1494">
        <f t="shared" si="95"/>
        <v>1493</v>
      </c>
      <c r="B1494" s="3">
        <v>46065.765775462962</v>
      </c>
      <c r="C1494" s="3">
        <v>46065.768078703702</v>
      </c>
      <c r="D1494" t="s">
        <v>53</v>
      </c>
      <c r="G1494" t="s">
        <v>54</v>
      </c>
      <c r="H1494" t="s">
        <v>63</v>
      </c>
      <c r="I1494" t="s">
        <v>56</v>
      </c>
      <c r="J1494" t="s">
        <v>62</v>
      </c>
      <c r="K1494" t="s">
        <v>57</v>
      </c>
      <c r="L1494" t="s">
        <v>58</v>
      </c>
      <c r="M1494" t="s">
        <v>58</v>
      </c>
      <c r="N1494">
        <v>3</v>
      </c>
      <c r="O1494">
        <v>3</v>
      </c>
      <c r="P1494">
        <v>3</v>
      </c>
      <c r="Q1494">
        <v>4</v>
      </c>
      <c r="R1494">
        <v>3</v>
      </c>
      <c r="S1494">
        <v>3</v>
      </c>
      <c r="T1494">
        <v>3</v>
      </c>
      <c r="U1494">
        <v>4</v>
      </c>
      <c r="V1494">
        <v>4</v>
      </c>
      <c r="W1494">
        <v>4</v>
      </c>
      <c r="X1494">
        <v>2</v>
      </c>
      <c r="Y1494">
        <v>4</v>
      </c>
      <c r="Z1494">
        <v>2</v>
      </c>
      <c r="AA1494">
        <v>3</v>
      </c>
      <c r="AB1494">
        <v>3</v>
      </c>
      <c r="AC1494">
        <v>4</v>
      </c>
      <c r="AD1494">
        <v>2</v>
      </c>
      <c r="AE1494">
        <v>2</v>
      </c>
      <c r="AF1494">
        <v>4</v>
      </c>
      <c r="AG1494">
        <v>2</v>
      </c>
      <c r="AH1494">
        <v>4</v>
      </c>
      <c r="AI1494">
        <v>2</v>
      </c>
      <c r="AJ1494">
        <v>2</v>
      </c>
      <c r="AK1494" t="b">
        <f>Table67[[#This Row],[What is your age?]]&lt;&gt;"18 - 25"</f>
        <v>0</v>
      </c>
      <c r="AL1494" t="b">
        <f t="shared" si="92"/>
        <v>0</v>
      </c>
      <c r="AM1494" t="b">
        <f t="shared" si="93"/>
        <v>0</v>
      </c>
      <c r="AN1494" t="b">
        <f t="shared" si="94"/>
        <v>0</v>
      </c>
      <c r="AO1494" t="b">
        <f>OR(Table67[[#This Row],[Ineligible respondents]:[Inconsistent response on opposite question (3)]])</f>
        <v>0</v>
      </c>
      <c r="AP149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494">
        <f>Table67[[#This Row],[Extreme Response]]/21</f>
        <v>0</v>
      </c>
      <c r="AR1494">
        <f>_xlfn.PERCENTILE.INC(Table67[Extrem Response Ratio (ERS)],0.9)</f>
        <v>0.61904761904761907</v>
      </c>
      <c r="AS1494" t="b">
        <f>Table67[[#This Row],[Extrem Response Ratio (ERS)]]&gt;=Table67[[#This Row],[Threshold of ERS]]</f>
        <v>0</v>
      </c>
      <c r="AT1494">
        <f>COUNTIF(Table67[[#This Row],[The mechanism of digital assets is difficult to understand, which discourages me from exploring it (E.g, Tokenization, Blockchain)]:[If I want to try different ways to invest, I will explore digital assets.]], 3)</f>
        <v>8</v>
      </c>
      <c r="AU1494">
        <f>Table67[[#This Row],[Midpoint]]/21</f>
        <v>0.38095238095238093</v>
      </c>
      <c r="AV1494">
        <f>_xlfn.PERCENTILE.INC(Table67[Midpoint ratio],0.9)</f>
        <v>0.5714285714285714</v>
      </c>
      <c r="AW1494" t="b">
        <f>Table67[[#This Row],[Midpoint ratio]]&gt;=Table67[[#This Row],[Threshold of Midpoint ratio]]</f>
        <v>0</v>
      </c>
      <c r="AX1494" t="b">
        <f>OR(Table67[[#This Row],[Extreme Response Style]],Table67[[#This Row],[Mid-point Response Style]])</f>
        <v>0</v>
      </c>
      <c r="AY1494" t="b">
        <f>OR(Table67[[#This Row],[Delete? (Stage 1)]],Table67[[#This Row],[Delete? (Stage 2)]])</f>
        <v>0</v>
      </c>
      <c r="AZ1494" t="s">
        <v>84</v>
      </c>
    </row>
    <row r="1495" spans="1:52">
      <c r="A1495">
        <f t="shared" si="95"/>
        <v>1494</v>
      </c>
      <c r="B1495" s="3">
        <v>46065.882268518515</v>
      </c>
      <c r="C1495" s="3">
        <v>46065.889050925929</v>
      </c>
      <c r="D1495" t="s">
        <v>53</v>
      </c>
      <c r="G1495" t="s">
        <v>54</v>
      </c>
      <c r="H1495" t="s">
        <v>63</v>
      </c>
      <c r="I1495" t="s">
        <v>71</v>
      </c>
      <c r="J1495" t="s">
        <v>62</v>
      </c>
      <c r="K1495" t="s">
        <v>62</v>
      </c>
      <c r="L1495" t="s">
        <v>58</v>
      </c>
      <c r="M1495" t="s">
        <v>58</v>
      </c>
      <c r="N1495">
        <v>2</v>
      </c>
      <c r="O1495">
        <v>1</v>
      </c>
      <c r="P1495">
        <v>3</v>
      </c>
      <c r="Q1495">
        <v>3</v>
      </c>
      <c r="R1495">
        <v>2</v>
      </c>
      <c r="S1495">
        <v>2</v>
      </c>
      <c r="T1495">
        <v>2</v>
      </c>
      <c r="U1495">
        <v>3</v>
      </c>
      <c r="V1495">
        <v>4</v>
      </c>
      <c r="W1495">
        <v>4</v>
      </c>
      <c r="X1495">
        <v>3</v>
      </c>
      <c r="Y1495">
        <v>3</v>
      </c>
      <c r="Z1495">
        <v>3</v>
      </c>
      <c r="AA1495">
        <v>2</v>
      </c>
      <c r="AB1495">
        <v>2</v>
      </c>
      <c r="AC1495">
        <v>3</v>
      </c>
      <c r="AD1495">
        <v>4</v>
      </c>
      <c r="AE1495">
        <v>3</v>
      </c>
      <c r="AF1495">
        <v>3</v>
      </c>
      <c r="AG1495">
        <v>3</v>
      </c>
      <c r="AH1495">
        <v>3</v>
      </c>
      <c r="AI1495">
        <v>3</v>
      </c>
      <c r="AJ1495">
        <v>3</v>
      </c>
      <c r="AK1495" t="b">
        <f>Table67[[#This Row],[What is your age?]]&lt;&gt;"18 - 25"</f>
        <v>0</v>
      </c>
      <c r="AL1495" t="b">
        <f t="shared" si="92"/>
        <v>0</v>
      </c>
      <c r="AM1495" t="b">
        <f t="shared" si="93"/>
        <v>0</v>
      </c>
      <c r="AN1495" t="b">
        <f t="shared" si="94"/>
        <v>0</v>
      </c>
      <c r="AO1495" t="b">
        <f>OR(Table67[[#This Row],[Ineligible respondents]:[Inconsistent response on opposite question (3)]])</f>
        <v>0</v>
      </c>
      <c r="AP149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495">
        <f>Table67[[#This Row],[Extreme Response]]/21</f>
        <v>4.7619047619047616E-2</v>
      </c>
      <c r="AR1495">
        <f>_xlfn.PERCENTILE.INC(Table67[Extrem Response Ratio (ERS)],0.9)</f>
        <v>0.61904761904761907</v>
      </c>
      <c r="AS1495" t="b">
        <f>Table67[[#This Row],[Extrem Response Ratio (ERS)]]&gt;=Table67[[#This Row],[Threshold of ERS]]</f>
        <v>0</v>
      </c>
      <c r="AT1495">
        <f>COUNTIF(Table67[[#This Row],[The mechanism of digital assets is difficult to understand, which discourages me from exploring it (E.g, Tokenization, Blockchain)]:[If I want to try different ways to invest, I will explore digital assets.]], 3)</f>
        <v>11</v>
      </c>
      <c r="AU1495">
        <f>Table67[[#This Row],[Midpoint]]/21</f>
        <v>0.52380952380952384</v>
      </c>
      <c r="AV1495">
        <f>_xlfn.PERCENTILE.INC(Table67[Midpoint ratio],0.9)</f>
        <v>0.5714285714285714</v>
      </c>
      <c r="AW1495" t="b">
        <f>Table67[[#This Row],[Midpoint ratio]]&gt;=Table67[[#This Row],[Threshold of Midpoint ratio]]</f>
        <v>0</v>
      </c>
      <c r="AX1495" t="b">
        <f>OR(Table67[[#This Row],[Extreme Response Style]],Table67[[#This Row],[Mid-point Response Style]])</f>
        <v>0</v>
      </c>
      <c r="AY1495" t="b">
        <f>OR(Table67[[#This Row],[Delete? (Stage 1)]],Table67[[#This Row],[Delete? (Stage 2)]])</f>
        <v>0</v>
      </c>
      <c r="AZ1495" t="s">
        <v>84</v>
      </c>
    </row>
    <row r="1496" spans="1:52">
      <c r="A1496">
        <f t="shared" si="95"/>
        <v>1495</v>
      </c>
      <c r="B1496" s="3">
        <v>46065.875358796293</v>
      </c>
      <c r="C1496" s="3">
        <v>46065.878854166665</v>
      </c>
      <c r="D1496" t="s">
        <v>53</v>
      </c>
      <c r="G1496" t="s">
        <v>54</v>
      </c>
      <c r="H1496" t="s">
        <v>63</v>
      </c>
      <c r="I1496" t="s">
        <v>69</v>
      </c>
      <c r="J1496" t="s">
        <v>62</v>
      </c>
      <c r="K1496" t="s">
        <v>57</v>
      </c>
      <c r="L1496" t="s">
        <v>58</v>
      </c>
      <c r="M1496" t="s">
        <v>58</v>
      </c>
      <c r="N1496">
        <v>3</v>
      </c>
      <c r="O1496">
        <v>4</v>
      </c>
      <c r="P1496">
        <v>3</v>
      </c>
      <c r="Q1496">
        <v>3</v>
      </c>
      <c r="R1496">
        <v>4</v>
      </c>
      <c r="S1496">
        <v>3</v>
      </c>
      <c r="T1496">
        <v>3</v>
      </c>
      <c r="U1496">
        <v>3</v>
      </c>
      <c r="V1496">
        <v>3</v>
      </c>
      <c r="W1496">
        <v>4</v>
      </c>
      <c r="X1496">
        <v>3</v>
      </c>
      <c r="Y1496">
        <v>3</v>
      </c>
      <c r="Z1496">
        <v>3</v>
      </c>
      <c r="AA1496">
        <v>3</v>
      </c>
      <c r="AB1496">
        <v>3</v>
      </c>
      <c r="AC1496">
        <v>3</v>
      </c>
      <c r="AD1496">
        <v>2</v>
      </c>
      <c r="AE1496">
        <v>3</v>
      </c>
      <c r="AF1496">
        <v>4</v>
      </c>
      <c r="AG1496">
        <v>2</v>
      </c>
      <c r="AH1496">
        <v>5</v>
      </c>
      <c r="AI1496">
        <v>1</v>
      </c>
      <c r="AJ1496">
        <v>2</v>
      </c>
      <c r="AK1496" t="b">
        <f>Table67[[#This Row],[What is your age?]]&lt;&gt;"18 - 25"</f>
        <v>0</v>
      </c>
      <c r="AL1496" t="b">
        <f t="shared" si="92"/>
        <v>0</v>
      </c>
      <c r="AM1496" t="b">
        <f t="shared" si="93"/>
        <v>0</v>
      </c>
      <c r="AN1496" t="b">
        <f t="shared" si="94"/>
        <v>0</v>
      </c>
      <c r="AO1496" t="b">
        <f>OR(Table67[[#This Row],[Ineligible respondents]:[Inconsistent response on opposite question (3)]])</f>
        <v>0</v>
      </c>
      <c r="AP149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496">
        <f>Table67[[#This Row],[Extreme Response]]/21</f>
        <v>4.7619047619047616E-2</v>
      </c>
      <c r="AR1496">
        <f>_xlfn.PERCENTILE.INC(Table67[Extrem Response Ratio (ERS)],0.9)</f>
        <v>0.61904761904761907</v>
      </c>
      <c r="AS1496" t="b">
        <f>Table67[[#This Row],[Extrem Response Ratio (ERS)]]&gt;=Table67[[#This Row],[Threshold of ERS]]</f>
        <v>0</v>
      </c>
      <c r="AT1496">
        <f>COUNTIF(Table67[[#This Row],[The mechanism of digital assets is difficult to understand, which discourages me from exploring it (E.g, Tokenization, Blockchain)]:[If I want to try different ways to invest, I will explore digital assets.]], 3)</f>
        <v>14</v>
      </c>
      <c r="AU1496">
        <f>Table67[[#This Row],[Midpoint]]/21</f>
        <v>0.66666666666666663</v>
      </c>
      <c r="AV1496">
        <f>_xlfn.PERCENTILE.INC(Table67[Midpoint ratio],0.9)</f>
        <v>0.5714285714285714</v>
      </c>
      <c r="AW1496" t="b">
        <f>Table67[[#This Row],[Midpoint ratio]]&gt;=Table67[[#This Row],[Threshold of Midpoint ratio]]</f>
        <v>1</v>
      </c>
      <c r="AX1496" t="b">
        <f>OR(Table67[[#This Row],[Extreme Response Style]],Table67[[#This Row],[Mid-point Response Style]])</f>
        <v>1</v>
      </c>
      <c r="AY1496" t="b">
        <f>OR(Table67[[#This Row],[Delete? (Stage 1)]],Table67[[#This Row],[Delete? (Stage 2)]])</f>
        <v>1</v>
      </c>
      <c r="AZ1496" t="s">
        <v>84</v>
      </c>
    </row>
    <row r="1497" spans="1:52">
      <c r="A1497">
        <f t="shared" si="95"/>
        <v>1496</v>
      </c>
      <c r="B1497" s="3">
        <v>46065.832870370374</v>
      </c>
      <c r="C1497" s="3">
        <v>46065.841678240744</v>
      </c>
      <c r="D1497" t="s">
        <v>53</v>
      </c>
      <c r="G1497" t="s">
        <v>54</v>
      </c>
      <c r="H1497" t="s">
        <v>55</v>
      </c>
      <c r="I1497" t="s">
        <v>56</v>
      </c>
      <c r="J1497" t="s">
        <v>62</v>
      </c>
      <c r="K1497" t="s">
        <v>57</v>
      </c>
      <c r="L1497" t="s">
        <v>61</v>
      </c>
      <c r="M1497" t="s">
        <v>61</v>
      </c>
      <c r="N1497">
        <v>3</v>
      </c>
      <c r="O1497">
        <v>4</v>
      </c>
      <c r="P1497">
        <v>2</v>
      </c>
      <c r="Q1497">
        <v>3</v>
      </c>
      <c r="R1497">
        <v>3</v>
      </c>
      <c r="S1497">
        <v>3</v>
      </c>
      <c r="T1497">
        <v>3</v>
      </c>
      <c r="U1497">
        <v>2</v>
      </c>
      <c r="V1497">
        <v>4</v>
      </c>
      <c r="W1497">
        <v>4</v>
      </c>
      <c r="X1497">
        <v>4</v>
      </c>
      <c r="Y1497">
        <v>4</v>
      </c>
      <c r="Z1497">
        <v>4</v>
      </c>
      <c r="AA1497">
        <v>3</v>
      </c>
      <c r="AB1497">
        <v>3</v>
      </c>
      <c r="AC1497">
        <v>2</v>
      </c>
      <c r="AD1497">
        <v>4</v>
      </c>
      <c r="AE1497">
        <v>3</v>
      </c>
      <c r="AF1497">
        <v>4</v>
      </c>
      <c r="AG1497">
        <v>2</v>
      </c>
      <c r="AH1497">
        <v>5</v>
      </c>
      <c r="AI1497">
        <v>1</v>
      </c>
      <c r="AJ1497">
        <v>2</v>
      </c>
      <c r="AK1497" t="b">
        <f>Table67[[#This Row],[What is your age?]]&lt;&gt;"18 - 25"</f>
        <v>0</v>
      </c>
      <c r="AL1497" t="b">
        <f t="shared" si="92"/>
        <v>0</v>
      </c>
      <c r="AM1497" t="b">
        <f t="shared" si="93"/>
        <v>0</v>
      </c>
      <c r="AN1497" t="b">
        <f t="shared" si="94"/>
        <v>0</v>
      </c>
      <c r="AO1497" t="b">
        <f>OR(Table67[[#This Row],[Ineligible respondents]:[Inconsistent response on opposite question (3)]])</f>
        <v>0</v>
      </c>
      <c r="AP149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497">
        <f>Table67[[#This Row],[Extreme Response]]/21</f>
        <v>4.7619047619047616E-2</v>
      </c>
      <c r="AR1497">
        <f>_xlfn.PERCENTILE.INC(Table67[Extrem Response Ratio (ERS)],0.9)</f>
        <v>0.61904761904761907</v>
      </c>
      <c r="AS1497" t="b">
        <f>Table67[[#This Row],[Extrem Response Ratio (ERS)]]&gt;=Table67[[#This Row],[Threshold of ERS]]</f>
        <v>0</v>
      </c>
      <c r="AT1497">
        <f>COUNTIF(Table67[[#This Row],[The mechanism of digital assets is difficult to understand, which discourages me from exploring it (E.g, Tokenization, Blockchain)]:[If I want to try different ways to invest, I will explore digital assets.]], 3)</f>
        <v>8</v>
      </c>
      <c r="AU1497">
        <f>Table67[[#This Row],[Midpoint]]/21</f>
        <v>0.38095238095238093</v>
      </c>
      <c r="AV1497">
        <f>_xlfn.PERCENTILE.INC(Table67[Midpoint ratio],0.9)</f>
        <v>0.5714285714285714</v>
      </c>
      <c r="AW1497" t="b">
        <f>Table67[[#This Row],[Midpoint ratio]]&gt;=Table67[[#This Row],[Threshold of Midpoint ratio]]</f>
        <v>0</v>
      </c>
      <c r="AX1497" t="b">
        <f>OR(Table67[[#This Row],[Extreme Response Style]],Table67[[#This Row],[Mid-point Response Style]])</f>
        <v>0</v>
      </c>
      <c r="AY1497" t="b">
        <f>OR(Table67[[#This Row],[Delete? (Stage 1)]],Table67[[#This Row],[Delete? (Stage 2)]])</f>
        <v>0</v>
      </c>
      <c r="AZ1497" t="s">
        <v>84</v>
      </c>
    </row>
    <row r="1498" spans="1:52">
      <c r="A1498">
        <f t="shared" si="95"/>
        <v>1497</v>
      </c>
      <c r="B1498" s="3">
        <v>46065.731747685182</v>
      </c>
      <c r="C1498" s="3">
        <v>46065.734386574077</v>
      </c>
      <c r="D1498" t="s">
        <v>53</v>
      </c>
      <c r="G1498" t="s">
        <v>54</v>
      </c>
      <c r="H1498" t="s">
        <v>55</v>
      </c>
      <c r="I1498" t="s">
        <v>56</v>
      </c>
      <c r="J1498" t="s">
        <v>62</v>
      </c>
      <c r="K1498" t="s">
        <v>62</v>
      </c>
      <c r="L1498" t="s">
        <v>58</v>
      </c>
      <c r="M1498" t="s">
        <v>61</v>
      </c>
      <c r="N1498">
        <v>3</v>
      </c>
      <c r="O1498">
        <v>4</v>
      </c>
      <c r="P1498">
        <v>4</v>
      </c>
      <c r="Q1498">
        <v>4</v>
      </c>
      <c r="R1498">
        <v>3</v>
      </c>
      <c r="S1498">
        <v>4</v>
      </c>
      <c r="T1498">
        <v>4</v>
      </c>
      <c r="U1498">
        <v>4</v>
      </c>
      <c r="V1498">
        <v>4</v>
      </c>
      <c r="W1498">
        <v>4</v>
      </c>
      <c r="X1498">
        <v>3</v>
      </c>
      <c r="Y1498">
        <v>4</v>
      </c>
      <c r="Z1498">
        <v>4</v>
      </c>
      <c r="AA1498">
        <v>4</v>
      </c>
      <c r="AB1498">
        <v>3</v>
      </c>
      <c r="AC1498">
        <v>4</v>
      </c>
      <c r="AD1498">
        <v>3</v>
      </c>
      <c r="AE1498">
        <v>3</v>
      </c>
      <c r="AF1498">
        <v>2</v>
      </c>
      <c r="AG1498">
        <v>2</v>
      </c>
      <c r="AH1498">
        <v>5</v>
      </c>
      <c r="AI1498">
        <v>1</v>
      </c>
      <c r="AJ1498">
        <v>4</v>
      </c>
      <c r="AK1498" t="b">
        <f>Table67[[#This Row],[What is your age?]]&lt;&gt;"18 - 25"</f>
        <v>0</v>
      </c>
      <c r="AL1498" t="b">
        <f t="shared" si="92"/>
        <v>0</v>
      </c>
      <c r="AM1498" t="b">
        <f t="shared" si="93"/>
        <v>0</v>
      </c>
      <c r="AN1498" t="b">
        <f t="shared" si="94"/>
        <v>0</v>
      </c>
      <c r="AO1498" t="b">
        <f>OR(Table67[[#This Row],[Ineligible respondents]:[Inconsistent response on opposite question (3)]])</f>
        <v>0</v>
      </c>
      <c r="AP149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498">
        <f>Table67[[#This Row],[Extreme Response]]/21</f>
        <v>4.7619047619047616E-2</v>
      </c>
      <c r="AR1498">
        <f>_xlfn.PERCENTILE.INC(Table67[Extrem Response Ratio (ERS)],0.9)</f>
        <v>0.61904761904761907</v>
      </c>
      <c r="AS1498" t="b">
        <f>Table67[[#This Row],[Extrem Response Ratio (ERS)]]&gt;=Table67[[#This Row],[Threshold of ERS]]</f>
        <v>0</v>
      </c>
      <c r="AT1498">
        <f>COUNTIF(Table67[[#This Row],[The mechanism of digital assets is difficult to understand, which discourages me from exploring it (E.g, Tokenization, Blockchain)]:[If I want to try different ways to invest, I will explore digital assets.]], 3)</f>
        <v>6</v>
      </c>
      <c r="AU1498">
        <f>Table67[[#This Row],[Midpoint]]/21</f>
        <v>0.2857142857142857</v>
      </c>
      <c r="AV1498">
        <f>_xlfn.PERCENTILE.INC(Table67[Midpoint ratio],0.9)</f>
        <v>0.5714285714285714</v>
      </c>
      <c r="AW1498" t="b">
        <f>Table67[[#This Row],[Midpoint ratio]]&gt;=Table67[[#This Row],[Threshold of Midpoint ratio]]</f>
        <v>0</v>
      </c>
      <c r="AX1498" t="b">
        <f>OR(Table67[[#This Row],[Extreme Response Style]],Table67[[#This Row],[Mid-point Response Style]])</f>
        <v>0</v>
      </c>
      <c r="AY1498" t="b">
        <f>OR(Table67[[#This Row],[Delete? (Stage 1)]],Table67[[#This Row],[Delete? (Stage 2)]])</f>
        <v>0</v>
      </c>
      <c r="AZ1498" t="s">
        <v>84</v>
      </c>
    </row>
    <row r="1499" spans="1:52">
      <c r="A1499">
        <f t="shared" si="95"/>
        <v>1498</v>
      </c>
      <c r="B1499" s="3">
        <v>46062.047129629631</v>
      </c>
      <c r="C1499" s="3">
        <v>46062.058749999997</v>
      </c>
      <c r="D1499" t="s">
        <v>53</v>
      </c>
      <c r="G1499" t="s">
        <v>54</v>
      </c>
      <c r="H1499" t="s">
        <v>55</v>
      </c>
      <c r="I1499" t="s">
        <v>75</v>
      </c>
      <c r="J1499" t="s">
        <v>67</v>
      </c>
      <c r="K1499" t="s">
        <v>65</v>
      </c>
      <c r="L1499" t="s">
        <v>58</v>
      </c>
      <c r="M1499" t="s">
        <v>58</v>
      </c>
      <c r="N1499">
        <v>4</v>
      </c>
      <c r="O1499">
        <v>3</v>
      </c>
      <c r="P1499">
        <v>2</v>
      </c>
      <c r="Q1499">
        <v>2</v>
      </c>
      <c r="R1499">
        <v>4</v>
      </c>
      <c r="S1499">
        <v>4</v>
      </c>
      <c r="T1499">
        <v>4</v>
      </c>
      <c r="U1499">
        <v>2</v>
      </c>
      <c r="V1499">
        <v>4</v>
      </c>
      <c r="W1499">
        <v>4</v>
      </c>
      <c r="X1499">
        <v>4</v>
      </c>
      <c r="Y1499">
        <v>4</v>
      </c>
      <c r="Z1499">
        <v>4</v>
      </c>
      <c r="AA1499">
        <v>3</v>
      </c>
      <c r="AB1499">
        <v>4</v>
      </c>
      <c r="AC1499">
        <v>3</v>
      </c>
      <c r="AD1499">
        <v>4</v>
      </c>
      <c r="AE1499">
        <v>5</v>
      </c>
      <c r="AF1499">
        <v>4</v>
      </c>
      <c r="AG1499">
        <v>4</v>
      </c>
      <c r="AH1499">
        <v>3</v>
      </c>
      <c r="AI1499">
        <v>3</v>
      </c>
      <c r="AJ1499">
        <v>2</v>
      </c>
      <c r="AK1499" t="b">
        <f>Table67[[#This Row],[What is your age?]]&lt;&gt;"18 - 25"</f>
        <v>0</v>
      </c>
      <c r="AL1499" t="b">
        <f t="shared" si="92"/>
        <v>0</v>
      </c>
      <c r="AM1499" t="b">
        <f t="shared" si="93"/>
        <v>0</v>
      </c>
      <c r="AN1499" t="b">
        <f t="shared" si="94"/>
        <v>1</v>
      </c>
      <c r="AO1499" t="b">
        <f>OR(Table67[[#This Row],[Ineligible respondents]:[Inconsistent response on opposite question (3)]])</f>
        <v>1</v>
      </c>
      <c r="AP149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499">
        <f>Table67[[#This Row],[Extreme Response]]/21</f>
        <v>4.7619047619047616E-2</v>
      </c>
      <c r="AR1499">
        <f>_xlfn.PERCENTILE.INC(Table67[Extrem Response Ratio (ERS)],0.9)</f>
        <v>0.61904761904761907</v>
      </c>
      <c r="AS1499" t="b">
        <f>Table67[[#This Row],[Extrem Response Ratio (ERS)]]&gt;=Table67[[#This Row],[Threshold of ERS]]</f>
        <v>0</v>
      </c>
      <c r="AT1499">
        <f>COUNTIF(Table67[[#This Row],[The mechanism of digital assets is difficult to understand, which discourages me from exploring it (E.g, Tokenization, Blockchain)]:[If I want to try different ways to invest, I will explore digital assets.]], 3)</f>
        <v>4</v>
      </c>
      <c r="AU1499">
        <f>Table67[[#This Row],[Midpoint]]/21</f>
        <v>0.19047619047619047</v>
      </c>
      <c r="AV1499">
        <f>_xlfn.PERCENTILE.INC(Table67[Midpoint ratio],0.9)</f>
        <v>0.5714285714285714</v>
      </c>
      <c r="AW1499" t="b">
        <f>Table67[[#This Row],[Midpoint ratio]]&gt;=Table67[[#This Row],[Threshold of Midpoint ratio]]</f>
        <v>0</v>
      </c>
      <c r="AX1499" t="b">
        <f>OR(Table67[[#This Row],[Extreme Response Style]],Table67[[#This Row],[Mid-point Response Style]])</f>
        <v>0</v>
      </c>
      <c r="AY1499" t="b">
        <f>OR(Table67[[#This Row],[Delete? (Stage 1)]],Table67[[#This Row],[Delete? (Stage 2)]])</f>
        <v>1</v>
      </c>
      <c r="AZ1499" t="s">
        <v>84</v>
      </c>
    </row>
    <row r="1500" spans="1:52">
      <c r="A1500">
        <f t="shared" si="95"/>
        <v>1499</v>
      </c>
      <c r="B1500" s="3">
        <v>46065.706388888888</v>
      </c>
      <c r="C1500" s="3">
        <v>46065.706655092596</v>
      </c>
      <c r="D1500" t="s">
        <v>53</v>
      </c>
      <c r="G1500" t="s">
        <v>54</v>
      </c>
      <c r="H1500" t="s">
        <v>55</v>
      </c>
      <c r="I1500" t="s">
        <v>69</v>
      </c>
      <c r="J1500" t="s">
        <v>62</v>
      </c>
      <c r="K1500" t="s">
        <v>57</v>
      </c>
      <c r="L1500" t="s">
        <v>58</v>
      </c>
      <c r="M1500" t="s">
        <v>58</v>
      </c>
      <c r="N1500">
        <v>3</v>
      </c>
      <c r="O1500">
        <v>3</v>
      </c>
      <c r="P1500">
        <v>3</v>
      </c>
      <c r="Q1500">
        <v>3</v>
      </c>
      <c r="R1500">
        <v>2</v>
      </c>
      <c r="S1500">
        <v>2</v>
      </c>
      <c r="T1500">
        <v>3</v>
      </c>
      <c r="U1500">
        <v>2</v>
      </c>
      <c r="V1500">
        <v>3</v>
      </c>
      <c r="W1500">
        <v>3</v>
      </c>
      <c r="X1500">
        <v>3</v>
      </c>
      <c r="Y1500">
        <v>2</v>
      </c>
      <c r="Z1500">
        <v>3</v>
      </c>
      <c r="AA1500">
        <v>2</v>
      </c>
      <c r="AB1500">
        <v>3</v>
      </c>
      <c r="AC1500">
        <v>2</v>
      </c>
      <c r="AD1500">
        <v>3</v>
      </c>
      <c r="AE1500">
        <v>2</v>
      </c>
      <c r="AF1500">
        <v>5</v>
      </c>
      <c r="AG1500">
        <v>1</v>
      </c>
      <c r="AH1500">
        <v>5</v>
      </c>
      <c r="AI1500">
        <v>1</v>
      </c>
      <c r="AJ1500">
        <v>1</v>
      </c>
      <c r="AK1500" t="b">
        <f>Table67[[#This Row],[What is your age?]]&lt;&gt;"18 - 25"</f>
        <v>0</v>
      </c>
      <c r="AL1500" t="b">
        <f t="shared" si="92"/>
        <v>0</v>
      </c>
      <c r="AM1500" t="b">
        <f t="shared" si="93"/>
        <v>0</v>
      </c>
      <c r="AN1500" t="b">
        <f t="shared" si="94"/>
        <v>0</v>
      </c>
      <c r="AO1500" t="b">
        <f>OR(Table67[[#This Row],[Ineligible respondents]:[Inconsistent response on opposite question (3)]])</f>
        <v>0</v>
      </c>
      <c r="AP150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500">
        <f>Table67[[#This Row],[Extreme Response]]/21</f>
        <v>0.14285714285714285</v>
      </c>
      <c r="AR1500">
        <f>_xlfn.PERCENTILE.INC(Table67[Extrem Response Ratio (ERS)],0.9)</f>
        <v>0.61904761904761907</v>
      </c>
      <c r="AS1500" t="b">
        <f>Table67[[#This Row],[Extrem Response Ratio (ERS)]]&gt;=Table67[[#This Row],[Threshold of ERS]]</f>
        <v>0</v>
      </c>
      <c r="AT1500">
        <f>COUNTIF(Table67[[#This Row],[The mechanism of digital assets is difficult to understand, which discourages me from exploring it (E.g, Tokenization, Blockchain)]:[If I want to try different ways to invest, I will explore digital assets.]], 3)</f>
        <v>11</v>
      </c>
      <c r="AU1500">
        <f>Table67[[#This Row],[Midpoint]]/21</f>
        <v>0.52380952380952384</v>
      </c>
      <c r="AV1500">
        <f>_xlfn.PERCENTILE.INC(Table67[Midpoint ratio],0.9)</f>
        <v>0.5714285714285714</v>
      </c>
      <c r="AW1500" t="b">
        <f>Table67[[#This Row],[Midpoint ratio]]&gt;=Table67[[#This Row],[Threshold of Midpoint ratio]]</f>
        <v>0</v>
      </c>
      <c r="AX1500" t="b">
        <f>OR(Table67[[#This Row],[Extreme Response Style]],Table67[[#This Row],[Mid-point Response Style]])</f>
        <v>0</v>
      </c>
      <c r="AY1500" t="b">
        <f>OR(Table67[[#This Row],[Delete? (Stage 1)]],Table67[[#This Row],[Delete? (Stage 2)]])</f>
        <v>0</v>
      </c>
      <c r="AZ1500" t="s">
        <v>84</v>
      </c>
    </row>
    <row r="1501" spans="1:52">
      <c r="A1501">
        <f t="shared" si="95"/>
        <v>1500</v>
      </c>
      <c r="B1501" s="3">
        <v>46062.084421296298</v>
      </c>
      <c r="C1501" s="3">
        <v>46062.087592592594</v>
      </c>
      <c r="D1501" t="s">
        <v>53</v>
      </c>
      <c r="G1501" t="s">
        <v>54</v>
      </c>
      <c r="H1501" t="s">
        <v>63</v>
      </c>
      <c r="I1501" t="s">
        <v>75</v>
      </c>
      <c r="J1501" t="s">
        <v>65</v>
      </c>
      <c r="K1501" t="s">
        <v>60</v>
      </c>
      <c r="L1501" t="s">
        <v>58</v>
      </c>
      <c r="M1501" t="s">
        <v>58</v>
      </c>
      <c r="N1501">
        <v>3</v>
      </c>
      <c r="O1501">
        <v>1</v>
      </c>
      <c r="P1501">
        <v>4</v>
      </c>
      <c r="Q1501">
        <v>4</v>
      </c>
      <c r="R1501">
        <v>5</v>
      </c>
      <c r="S1501">
        <v>4</v>
      </c>
      <c r="T1501">
        <v>5</v>
      </c>
      <c r="U1501">
        <v>5</v>
      </c>
      <c r="V1501">
        <v>4</v>
      </c>
      <c r="W1501">
        <v>4</v>
      </c>
      <c r="X1501">
        <v>5</v>
      </c>
      <c r="Y1501">
        <v>5</v>
      </c>
      <c r="Z1501">
        <v>5</v>
      </c>
      <c r="AA1501">
        <v>5</v>
      </c>
      <c r="AB1501">
        <v>5</v>
      </c>
      <c r="AC1501">
        <v>5</v>
      </c>
      <c r="AD1501">
        <v>5</v>
      </c>
      <c r="AE1501">
        <v>5</v>
      </c>
      <c r="AF1501">
        <v>1</v>
      </c>
      <c r="AG1501">
        <v>5</v>
      </c>
      <c r="AH1501">
        <v>2</v>
      </c>
      <c r="AI1501">
        <v>4</v>
      </c>
      <c r="AJ1501">
        <v>5</v>
      </c>
      <c r="AK1501" t="b">
        <f>Table67[[#This Row],[What is your age?]]&lt;&gt;"18 - 25"</f>
        <v>0</v>
      </c>
      <c r="AL1501" t="b">
        <f t="shared" si="92"/>
        <v>0</v>
      </c>
      <c r="AM1501" t="b">
        <f t="shared" si="93"/>
        <v>0</v>
      </c>
      <c r="AN1501" t="b">
        <f t="shared" si="94"/>
        <v>0</v>
      </c>
      <c r="AO1501" t="b">
        <f>OR(Table67[[#This Row],[Ineligible respondents]:[Inconsistent response on opposite question (3)]])</f>
        <v>0</v>
      </c>
      <c r="AP150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1501">
        <f>Table67[[#This Row],[Extreme Response]]/21</f>
        <v>0.66666666666666663</v>
      </c>
      <c r="AR1501">
        <f>_xlfn.PERCENTILE.INC(Table67[Extrem Response Ratio (ERS)],0.9)</f>
        <v>0.61904761904761907</v>
      </c>
      <c r="AS1501" t="b">
        <f>Table67[[#This Row],[Extrem Response Ratio (ERS)]]&gt;=Table67[[#This Row],[Threshold of ERS]]</f>
        <v>1</v>
      </c>
      <c r="AT1501">
        <f>COUNTIF(Table67[[#This Row],[The mechanism of digital assets is difficult to understand, which discourages me from exploring it (E.g, Tokenization, Blockchain)]:[If I want to try different ways to invest, I will explore digital assets.]], 3)</f>
        <v>1</v>
      </c>
      <c r="AU1501">
        <f>Table67[[#This Row],[Midpoint]]/21</f>
        <v>4.7619047619047616E-2</v>
      </c>
      <c r="AV1501">
        <f>_xlfn.PERCENTILE.INC(Table67[Midpoint ratio],0.9)</f>
        <v>0.5714285714285714</v>
      </c>
      <c r="AW1501" t="b">
        <f>Table67[[#This Row],[Midpoint ratio]]&gt;=Table67[[#This Row],[Threshold of Midpoint ratio]]</f>
        <v>0</v>
      </c>
      <c r="AX1501" t="b">
        <f>OR(Table67[[#This Row],[Extreme Response Style]],Table67[[#This Row],[Mid-point Response Style]])</f>
        <v>1</v>
      </c>
      <c r="AY1501" t="b">
        <f>OR(Table67[[#This Row],[Delete? (Stage 1)]],Table67[[#This Row],[Delete? (Stage 2)]])</f>
        <v>1</v>
      </c>
      <c r="AZ1501" t="s">
        <v>84</v>
      </c>
    </row>
    <row r="1502" spans="1:52">
      <c r="A1502">
        <f t="shared" si="95"/>
        <v>1501</v>
      </c>
      <c r="B1502" s="3">
        <v>46062.049699074072</v>
      </c>
      <c r="C1502" s="3">
        <v>46062.052581018521</v>
      </c>
      <c r="D1502" t="s">
        <v>53</v>
      </c>
      <c r="G1502" t="s">
        <v>54</v>
      </c>
      <c r="H1502" t="s">
        <v>55</v>
      </c>
      <c r="I1502" t="s">
        <v>69</v>
      </c>
      <c r="J1502" t="s">
        <v>62</v>
      </c>
      <c r="K1502" t="s">
        <v>62</v>
      </c>
      <c r="L1502" t="s">
        <v>58</v>
      </c>
      <c r="M1502" t="s">
        <v>58</v>
      </c>
      <c r="N1502">
        <v>3</v>
      </c>
      <c r="O1502">
        <v>1</v>
      </c>
      <c r="P1502">
        <v>5</v>
      </c>
      <c r="Q1502">
        <v>3</v>
      </c>
      <c r="R1502">
        <v>4</v>
      </c>
      <c r="S1502">
        <v>5</v>
      </c>
      <c r="T1502">
        <v>2</v>
      </c>
      <c r="U1502">
        <v>3</v>
      </c>
      <c r="V1502">
        <v>3</v>
      </c>
      <c r="W1502">
        <v>5</v>
      </c>
      <c r="X1502">
        <v>2</v>
      </c>
      <c r="Y1502">
        <v>2</v>
      </c>
      <c r="Z1502">
        <v>3</v>
      </c>
      <c r="AA1502">
        <v>2</v>
      </c>
      <c r="AB1502">
        <v>3</v>
      </c>
      <c r="AC1502">
        <v>2</v>
      </c>
      <c r="AD1502">
        <v>4</v>
      </c>
      <c r="AE1502">
        <v>5</v>
      </c>
      <c r="AF1502">
        <v>5</v>
      </c>
      <c r="AG1502">
        <v>5</v>
      </c>
      <c r="AH1502">
        <v>5</v>
      </c>
      <c r="AI1502">
        <v>1</v>
      </c>
      <c r="AJ1502">
        <v>1</v>
      </c>
      <c r="AK1502" t="b">
        <f>Table67[[#This Row],[What is your age?]]&lt;&gt;"18 - 25"</f>
        <v>0</v>
      </c>
      <c r="AL1502" t="b">
        <f t="shared" si="92"/>
        <v>0</v>
      </c>
      <c r="AM1502" t="b">
        <f t="shared" si="93"/>
        <v>1</v>
      </c>
      <c r="AN1502" t="b">
        <f t="shared" si="94"/>
        <v>0</v>
      </c>
      <c r="AO1502" t="b">
        <f>OR(Table67[[#This Row],[Ineligible respondents]:[Inconsistent response on opposite question (3)]])</f>
        <v>1</v>
      </c>
      <c r="AP150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1502">
        <f>Table67[[#This Row],[Extreme Response]]/21</f>
        <v>0.38095238095238093</v>
      </c>
      <c r="AR1502">
        <f>_xlfn.PERCENTILE.INC(Table67[Extrem Response Ratio (ERS)],0.9)</f>
        <v>0.61904761904761907</v>
      </c>
      <c r="AS1502" t="b">
        <f>Table67[[#This Row],[Extrem Response Ratio (ERS)]]&gt;=Table67[[#This Row],[Threshold of ERS]]</f>
        <v>0</v>
      </c>
      <c r="AT1502">
        <f>COUNTIF(Table67[[#This Row],[The mechanism of digital assets is difficult to understand, which discourages me from exploring it (E.g, Tokenization, Blockchain)]:[If I want to try different ways to invest, I will explore digital assets.]], 3)</f>
        <v>6</v>
      </c>
      <c r="AU1502">
        <f>Table67[[#This Row],[Midpoint]]/21</f>
        <v>0.2857142857142857</v>
      </c>
      <c r="AV1502">
        <f>_xlfn.PERCENTILE.INC(Table67[Midpoint ratio],0.9)</f>
        <v>0.5714285714285714</v>
      </c>
      <c r="AW1502" t="b">
        <f>Table67[[#This Row],[Midpoint ratio]]&gt;=Table67[[#This Row],[Threshold of Midpoint ratio]]</f>
        <v>0</v>
      </c>
      <c r="AX1502" t="b">
        <f>OR(Table67[[#This Row],[Extreme Response Style]],Table67[[#This Row],[Mid-point Response Style]])</f>
        <v>0</v>
      </c>
      <c r="AY1502" t="b">
        <f>OR(Table67[[#This Row],[Delete? (Stage 1)]],Table67[[#This Row],[Delete? (Stage 2)]])</f>
        <v>1</v>
      </c>
      <c r="AZ1502" t="s">
        <v>84</v>
      </c>
    </row>
    <row r="1503" spans="1:52">
      <c r="A1503">
        <f t="shared" si="95"/>
        <v>1502</v>
      </c>
      <c r="B1503" s="3">
        <v>46062.069282407407</v>
      </c>
      <c r="C1503" s="3">
        <v>46062.081550925926</v>
      </c>
      <c r="D1503" t="s">
        <v>53</v>
      </c>
      <c r="G1503" t="s">
        <v>54</v>
      </c>
      <c r="H1503" t="s">
        <v>55</v>
      </c>
      <c r="I1503" t="s">
        <v>83</v>
      </c>
      <c r="J1503" t="s">
        <v>62</v>
      </c>
      <c r="K1503" t="s">
        <v>62</v>
      </c>
      <c r="L1503" t="s">
        <v>58</v>
      </c>
      <c r="M1503" t="s">
        <v>58</v>
      </c>
      <c r="N1503">
        <v>5</v>
      </c>
      <c r="O1503">
        <v>5</v>
      </c>
      <c r="P1503">
        <v>5</v>
      </c>
      <c r="Q1503">
        <v>1</v>
      </c>
      <c r="R1503">
        <v>1</v>
      </c>
      <c r="S1503">
        <v>1</v>
      </c>
      <c r="T1503">
        <v>1</v>
      </c>
      <c r="U1503">
        <v>5</v>
      </c>
      <c r="V1503">
        <v>1</v>
      </c>
      <c r="W1503">
        <v>1</v>
      </c>
      <c r="X1503">
        <v>1</v>
      </c>
      <c r="Y1503">
        <v>1</v>
      </c>
      <c r="Z1503">
        <v>3</v>
      </c>
      <c r="AA1503">
        <v>3</v>
      </c>
      <c r="AB1503">
        <v>1</v>
      </c>
      <c r="AC1503">
        <v>1</v>
      </c>
      <c r="AD1503">
        <v>5</v>
      </c>
      <c r="AE1503">
        <v>1</v>
      </c>
      <c r="AF1503">
        <v>5</v>
      </c>
      <c r="AG1503">
        <v>1</v>
      </c>
      <c r="AH1503">
        <v>5</v>
      </c>
      <c r="AI1503">
        <v>1</v>
      </c>
      <c r="AJ1503">
        <v>1</v>
      </c>
      <c r="AK1503" t="b">
        <f>Table67[[#This Row],[What is your age?]]&lt;&gt;"18 - 25"</f>
        <v>0</v>
      </c>
      <c r="AL1503" t="b">
        <f t="shared" si="92"/>
        <v>0</v>
      </c>
      <c r="AM1503" t="b">
        <f t="shared" si="93"/>
        <v>0</v>
      </c>
      <c r="AN1503" t="b">
        <f t="shared" si="94"/>
        <v>0</v>
      </c>
      <c r="AO1503" t="b">
        <f>OR(Table67[[#This Row],[Ineligible respondents]:[Inconsistent response on opposite question (3)]])</f>
        <v>0</v>
      </c>
      <c r="AP150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19</v>
      </c>
      <c r="AQ1503">
        <f>Table67[[#This Row],[Extreme Response]]/21</f>
        <v>0.90476190476190477</v>
      </c>
      <c r="AR1503">
        <f>_xlfn.PERCENTILE.INC(Table67[Extrem Response Ratio (ERS)],0.9)</f>
        <v>0.61904761904761907</v>
      </c>
      <c r="AS1503" t="b">
        <f>Table67[[#This Row],[Extrem Response Ratio (ERS)]]&gt;=Table67[[#This Row],[Threshold of ERS]]</f>
        <v>1</v>
      </c>
      <c r="AT1503">
        <f>COUNTIF(Table67[[#This Row],[The mechanism of digital assets is difficult to understand, which discourages me from exploring it (E.g, Tokenization, Blockchain)]:[If I want to try different ways to invest, I will explore digital assets.]], 3)</f>
        <v>2</v>
      </c>
      <c r="AU1503">
        <f>Table67[[#This Row],[Midpoint]]/21</f>
        <v>9.5238095238095233E-2</v>
      </c>
      <c r="AV1503">
        <f>_xlfn.PERCENTILE.INC(Table67[Midpoint ratio],0.9)</f>
        <v>0.5714285714285714</v>
      </c>
      <c r="AW1503" t="b">
        <f>Table67[[#This Row],[Midpoint ratio]]&gt;=Table67[[#This Row],[Threshold of Midpoint ratio]]</f>
        <v>0</v>
      </c>
      <c r="AX1503" t="b">
        <f>OR(Table67[[#This Row],[Extreme Response Style]],Table67[[#This Row],[Mid-point Response Style]])</f>
        <v>1</v>
      </c>
      <c r="AY1503" t="b">
        <f>OR(Table67[[#This Row],[Delete? (Stage 1)]],Table67[[#This Row],[Delete? (Stage 2)]])</f>
        <v>1</v>
      </c>
      <c r="AZ1503" t="s">
        <v>84</v>
      </c>
    </row>
    <row r="1504" spans="1:52">
      <c r="A1504">
        <f t="shared" si="95"/>
        <v>1503</v>
      </c>
      <c r="B1504" s="3">
        <v>46065.850578703707</v>
      </c>
      <c r="C1504" s="3">
        <v>46065.861296296294</v>
      </c>
      <c r="D1504" t="s">
        <v>53</v>
      </c>
      <c r="G1504" t="s">
        <v>54</v>
      </c>
      <c r="H1504" t="s">
        <v>63</v>
      </c>
      <c r="I1504" t="s">
        <v>56</v>
      </c>
      <c r="J1504" t="s">
        <v>72</v>
      </c>
      <c r="K1504" t="s">
        <v>57</v>
      </c>
      <c r="L1504" t="s">
        <v>61</v>
      </c>
      <c r="M1504" t="s">
        <v>61</v>
      </c>
      <c r="N1504">
        <v>2</v>
      </c>
      <c r="O1504">
        <v>2</v>
      </c>
      <c r="P1504">
        <v>4</v>
      </c>
      <c r="Q1504">
        <v>3</v>
      </c>
      <c r="R1504">
        <v>2</v>
      </c>
      <c r="S1504">
        <v>5</v>
      </c>
      <c r="T1504">
        <v>5</v>
      </c>
      <c r="U1504">
        <v>4</v>
      </c>
      <c r="V1504">
        <v>5</v>
      </c>
      <c r="W1504">
        <v>5</v>
      </c>
      <c r="X1504">
        <v>4</v>
      </c>
      <c r="Y1504">
        <v>5</v>
      </c>
      <c r="Z1504">
        <v>4</v>
      </c>
      <c r="AA1504">
        <v>5</v>
      </c>
      <c r="AB1504">
        <v>5</v>
      </c>
      <c r="AC1504">
        <v>4</v>
      </c>
      <c r="AD1504">
        <v>4</v>
      </c>
      <c r="AE1504">
        <v>4</v>
      </c>
      <c r="AF1504">
        <v>3</v>
      </c>
      <c r="AG1504">
        <v>3</v>
      </c>
      <c r="AH1504">
        <v>3</v>
      </c>
      <c r="AI1504">
        <v>3</v>
      </c>
      <c r="AJ1504">
        <v>3</v>
      </c>
      <c r="AK1504" t="b">
        <f>Table67[[#This Row],[What is your age?]]&lt;&gt;"18 - 25"</f>
        <v>0</v>
      </c>
      <c r="AL1504" t="b">
        <f t="shared" si="92"/>
        <v>0</v>
      </c>
      <c r="AM1504" t="b">
        <f t="shared" si="93"/>
        <v>0</v>
      </c>
      <c r="AN1504" t="b">
        <f t="shared" si="94"/>
        <v>0</v>
      </c>
      <c r="AO1504" t="b">
        <f>OR(Table67[[#This Row],[Ineligible respondents]:[Inconsistent response on opposite question (3)]])</f>
        <v>0</v>
      </c>
      <c r="AP150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504">
        <f>Table67[[#This Row],[Extreme Response]]/21</f>
        <v>0.33333333333333331</v>
      </c>
      <c r="AR1504">
        <f>_xlfn.PERCENTILE.INC(Table67[Extrem Response Ratio (ERS)],0.9)</f>
        <v>0.61904761904761907</v>
      </c>
      <c r="AS1504" t="b">
        <f>Table67[[#This Row],[Extrem Response Ratio (ERS)]]&gt;=Table67[[#This Row],[Threshold of ERS]]</f>
        <v>0</v>
      </c>
      <c r="AT1504">
        <f>COUNTIF(Table67[[#This Row],[The mechanism of digital assets is difficult to understand, which discourages me from exploring it (E.g, Tokenization, Blockchain)]:[If I want to try different ways to invest, I will explore digital assets.]], 3)</f>
        <v>4</v>
      </c>
      <c r="AU1504">
        <f>Table67[[#This Row],[Midpoint]]/21</f>
        <v>0.19047619047619047</v>
      </c>
      <c r="AV1504">
        <f>_xlfn.PERCENTILE.INC(Table67[Midpoint ratio],0.9)</f>
        <v>0.5714285714285714</v>
      </c>
      <c r="AW1504" t="b">
        <f>Table67[[#This Row],[Midpoint ratio]]&gt;=Table67[[#This Row],[Threshold of Midpoint ratio]]</f>
        <v>0</v>
      </c>
      <c r="AX1504" t="b">
        <f>OR(Table67[[#This Row],[Extreme Response Style]],Table67[[#This Row],[Mid-point Response Style]])</f>
        <v>0</v>
      </c>
      <c r="AY1504" t="b">
        <f>OR(Table67[[#This Row],[Delete? (Stage 1)]],Table67[[#This Row],[Delete? (Stage 2)]])</f>
        <v>0</v>
      </c>
      <c r="AZ1504" t="s">
        <v>84</v>
      </c>
    </row>
    <row r="1505" spans="1:52">
      <c r="A1505">
        <f t="shared" si="95"/>
        <v>1504</v>
      </c>
      <c r="B1505" s="3">
        <v>46062.024398148147</v>
      </c>
      <c r="C1505" s="3">
        <v>46062.037662037037</v>
      </c>
      <c r="D1505" t="s">
        <v>53</v>
      </c>
      <c r="G1505" t="s">
        <v>54</v>
      </c>
      <c r="H1505" t="s">
        <v>55</v>
      </c>
      <c r="I1505" t="s">
        <v>69</v>
      </c>
      <c r="J1505" t="s">
        <v>62</v>
      </c>
      <c r="K1505" t="s">
        <v>57</v>
      </c>
      <c r="L1505" t="s">
        <v>58</v>
      </c>
      <c r="M1505" t="s">
        <v>58</v>
      </c>
      <c r="N1505">
        <v>5</v>
      </c>
      <c r="O1505">
        <v>3</v>
      </c>
      <c r="P1505">
        <v>5</v>
      </c>
      <c r="Q1505">
        <v>5</v>
      </c>
      <c r="R1505">
        <v>5</v>
      </c>
      <c r="S1505">
        <v>4</v>
      </c>
      <c r="T1505">
        <v>4</v>
      </c>
      <c r="U1505">
        <v>5</v>
      </c>
      <c r="V1505">
        <v>5</v>
      </c>
      <c r="W1505">
        <v>5</v>
      </c>
      <c r="X1505">
        <v>4</v>
      </c>
      <c r="Y1505">
        <v>5</v>
      </c>
      <c r="Z1505">
        <v>5</v>
      </c>
      <c r="AA1505">
        <v>5</v>
      </c>
      <c r="AB1505">
        <v>4</v>
      </c>
      <c r="AC1505">
        <v>5</v>
      </c>
      <c r="AD1505">
        <v>5</v>
      </c>
      <c r="AE1505">
        <v>5</v>
      </c>
      <c r="AF1505">
        <v>1</v>
      </c>
      <c r="AG1505">
        <v>1</v>
      </c>
      <c r="AH1505">
        <v>1</v>
      </c>
      <c r="AI1505">
        <v>5</v>
      </c>
      <c r="AJ1505">
        <v>5</v>
      </c>
      <c r="AK1505" t="b">
        <f>Table67[[#This Row],[What is your age?]]&lt;&gt;"18 - 25"</f>
        <v>0</v>
      </c>
      <c r="AL1505" t="b">
        <f t="shared" si="92"/>
        <v>0</v>
      </c>
      <c r="AM1505" t="b">
        <f t="shared" si="93"/>
        <v>1</v>
      </c>
      <c r="AN1505" t="b">
        <f t="shared" si="94"/>
        <v>0</v>
      </c>
      <c r="AO1505" t="b">
        <f>OR(Table67[[#This Row],[Ineligible respondents]:[Inconsistent response on opposite question (3)]])</f>
        <v>1</v>
      </c>
      <c r="AP150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16</v>
      </c>
      <c r="AQ1505">
        <f>Table67[[#This Row],[Extreme Response]]/21</f>
        <v>0.76190476190476186</v>
      </c>
      <c r="AR1505">
        <f>_xlfn.PERCENTILE.INC(Table67[Extrem Response Ratio (ERS)],0.9)</f>
        <v>0.61904761904761907</v>
      </c>
      <c r="AS1505" t="b">
        <f>Table67[[#This Row],[Extrem Response Ratio (ERS)]]&gt;=Table67[[#This Row],[Threshold of ERS]]</f>
        <v>1</v>
      </c>
      <c r="AT1505">
        <f>COUNTIF(Table67[[#This Row],[The mechanism of digital assets is difficult to understand, which discourages me from exploring it (E.g, Tokenization, Blockchain)]:[If I want to try different ways to invest, I will explore digital assets.]], 3)</f>
        <v>1</v>
      </c>
      <c r="AU1505">
        <f>Table67[[#This Row],[Midpoint]]/21</f>
        <v>4.7619047619047616E-2</v>
      </c>
      <c r="AV1505">
        <f>_xlfn.PERCENTILE.INC(Table67[Midpoint ratio],0.9)</f>
        <v>0.5714285714285714</v>
      </c>
      <c r="AW1505" t="b">
        <f>Table67[[#This Row],[Midpoint ratio]]&gt;=Table67[[#This Row],[Threshold of Midpoint ratio]]</f>
        <v>0</v>
      </c>
      <c r="AX1505" t="b">
        <f>OR(Table67[[#This Row],[Extreme Response Style]],Table67[[#This Row],[Mid-point Response Style]])</f>
        <v>1</v>
      </c>
      <c r="AY1505" t="b">
        <f>OR(Table67[[#This Row],[Delete? (Stage 1)]],Table67[[#This Row],[Delete? (Stage 2)]])</f>
        <v>1</v>
      </c>
      <c r="AZ1505" t="s">
        <v>84</v>
      </c>
    </row>
    <row r="1506" spans="1:52">
      <c r="A1506">
        <f t="shared" si="95"/>
        <v>1505</v>
      </c>
      <c r="B1506" s="3">
        <v>46062.026076388887</v>
      </c>
      <c r="C1506" s="3">
        <v>46062.040196759262</v>
      </c>
      <c r="D1506" t="s">
        <v>53</v>
      </c>
      <c r="G1506" t="s">
        <v>54</v>
      </c>
      <c r="H1506" t="s">
        <v>63</v>
      </c>
      <c r="I1506" t="s">
        <v>71</v>
      </c>
      <c r="J1506" t="s">
        <v>62</v>
      </c>
      <c r="K1506" t="s">
        <v>62</v>
      </c>
      <c r="L1506" t="s">
        <v>58</v>
      </c>
      <c r="M1506" t="s">
        <v>61</v>
      </c>
      <c r="N1506">
        <v>4</v>
      </c>
      <c r="O1506">
        <v>3</v>
      </c>
      <c r="P1506">
        <v>2</v>
      </c>
      <c r="Q1506">
        <v>4</v>
      </c>
      <c r="R1506">
        <v>2</v>
      </c>
      <c r="S1506">
        <v>4</v>
      </c>
      <c r="T1506">
        <v>1</v>
      </c>
      <c r="U1506">
        <v>4</v>
      </c>
      <c r="V1506">
        <v>5</v>
      </c>
      <c r="W1506">
        <v>5</v>
      </c>
      <c r="X1506">
        <v>4</v>
      </c>
      <c r="Y1506">
        <v>5</v>
      </c>
      <c r="Z1506">
        <v>4</v>
      </c>
      <c r="AA1506">
        <v>4</v>
      </c>
      <c r="AB1506">
        <v>3</v>
      </c>
      <c r="AC1506">
        <v>2</v>
      </c>
      <c r="AD1506">
        <v>5</v>
      </c>
      <c r="AE1506">
        <v>3</v>
      </c>
      <c r="AF1506">
        <v>3</v>
      </c>
      <c r="AG1506">
        <v>3</v>
      </c>
      <c r="AH1506">
        <v>4</v>
      </c>
      <c r="AI1506">
        <v>2</v>
      </c>
      <c r="AJ1506">
        <v>3</v>
      </c>
      <c r="AK1506" t="b">
        <f>Table67[[#This Row],[What is your age?]]&lt;&gt;"18 - 25"</f>
        <v>0</v>
      </c>
      <c r="AL1506" t="b">
        <f t="shared" si="92"/>
        <v>0</v>
      </c>
      <c r="AM1506" t="b">
        <f t="shared" si="93"/>
        <v>0</v>
      </c>
      <c r="AN1506" t="b">
        <f t="shared" si="94"/>
        <v>1</v>
      </c>
      <c r="AO1506" t="b">
        <f>OR(Table67[[#This Row],[Ineligible respondents]:[Inconsistent response on opposite question (3)]])</f>
        <v>1</v>
      </c>
      <c r="AP150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506">
        <f>Table67[[#This Row],[Extreme Response]]/21</f>
        <v>0.23809523809523808</v>
      </c>
      <c r="AR1506">
        <f>_xlfn.PERCENTILE.INC(Table67[Extrem Response Ratio (ERS)],0.9)</f>
        <v>0.61904761904761907</v>
      </c>
      <c r="AS1506" t="b">
        <f>Table67[[#This Row],[Extrem Response Ratio (ERS)]]&gt;=Table67[[#This Row],[Threshold of ERS]]</f>
        <v>0</v>
      </c>
      <c r="AT1506">
        <f>COUNTIF(Table67[[#This Row],[The mechanism of digital assets is difficult to understand, which discourages me from exploring it (E.g, Tokenization, Blockchain)]:[If I want to try different ways to invest, I will explore digital assets.]], 3)</f>
        <v>5</v>
      </c>
      <c r="AU1506">
        <f>Table67[[#This Row],[Midpoint]]/21</f>
        <v>0.23809523809523808</v>
      </c>
      <c r="AV1506">
        <f>_xlfn.PERCENTILE.INC(Table67[Midpoint ratio],0.9)</f>
        <v>0.5714285714285714</v>
      </c>
      <c r="AW1506" t="b">
        <f>Table67[[#This Row],[Midpoint ratio]]&gt;=Table67[[#This Row],[Threshold of Midpoint ratio]]</f>
        <v>0</v>
      </c>
      <c r="AX1506" t="b">
        <f>OR(Table67[[#This Row],[Extreme Response Style]],Table67[[#This Row],[Mid-point Response Style]])</f>
        <v>0</v>
      </c>
      <c r="AY1506" t="b">
        <f>OR(Table67[[#This Row],[Delete? (Stage 1)]],Table67[[#This Row],[Delete? (Stage 2)]])</f>
        <v>1</v>
      </c>
      <c r="AZ1506" t="s">
        <v>84</v>
      </c>
    </row>
    <row r="1507" spans="1:52">
      <c r="A1507">
        <f t="shared" si="95"/>
        <v>1506</v>
      </c>
      <c r="B1507" s="3">
        <v>46065.769212962965</v>
      </c>
      <c r="C1507" s="3">
        <v>46065.771562499998</v>
      </c>
      <c r="D1507" t="s">
        <v>53</v>
      </c>
      <c r="G1507" t="s">
        <v>54</v>
      </c>
      <c r="H1507" t="s">
        <v>63</v>
      </c>
      <c r="I1507" t="s">
        <v>71</v>
      </c>
      <c r="J1507" t="s">
        <v>62</v>
      </c>
      <c r="K1507" t="s">
        <v>62</v>
      </c>
      <c r="L1507" t="s">
        <v>58</v>
      </c>
      <c r="M1507" t="s">
        <v>58</v>
      </c>
      <c r="N1507">
        <v>3</v>
      </c>
      <c r="O1507">
        <v>3</v>
      </c>
      <c r="P1507">
        <v>4</v>
      </c>
      <c r="Q1507">
        <v>4</v>
      </c>
      <c r="R1507">
        <v>2</v>
      </c>
      <c r="S1507">
        <v>3</v>
      </c>
      <c r="T1507">
        <v>3</v>
      </c>
      <c r="U1507">
        <v>5</v>
      </c>
      <c r="V1507">
        <v>5</v>
      </c>
      <c r="W1507">
        <v>5</v>
      </c>
      <c r="X1507">
        <v>3</v>
      </c>
      <c r="Y1507">
        <v>5</v>
      </c>
      <c r="Z1507">
        <v>3</v>
      </c>
      <c r="AA1507">
        <v>3</v>
      </c>
      <c r="AB1507">
        <v>3</v>
      </c>
      <c r="AC1507">
        <v>5</v>
      </c>
      <c r="AD1507">
        <v>2</v>
      </c>
      <c r="AE1507">
        <v>3</v>
      </c>
      <c r="AF1507">
        <v>3</v>
      </c>
      <c r="AG1507">
        <v>2</v>
      </c>
      <c r="AH1507">
        <v>4</v>
      </c>
      <c r="AI1507">
        <v>2</v>
      </c>
      <c r="AJ1507">
        <v>3</v>
      </c>
      <c r="AK1507" t="b">
        <f>Table67[[#This Row],[What is your age?]]&lt;&gt;"18 - 25"</f>
        <v>0</v>
      </c>
      <c r="AL1507" t="b">
        <f t="shared" si="92"/>
        <v>0</v>
      </c>
      <c r="AM1507" t="b">
        <f t="shared" si="93"/>
        <v>0</v>
      </c>
      <c r="AN1507" t="b">
        <f t="shared" si="94"/>
        <v>0</v>
      </c>
      <c r="AO1507" t="b">
        <f>OR(Table67[[#This Row],[Ineligible respondents]:[Inconsistent response on opposite question (3)]])</f>
        <v>0</v>
      </c>
      <c r="AP150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507">
        <f>Table67[[#This Row],[Extreme Response]]/21</f>
        <v>0.23809523809523808</v>
      </c>
      <c r="AR1507">
        <f>_xlfn.PERCENTILE.INC(Table67[Extrem Response Ratio (ERS)],0.9)</f>
        <v>0.61904761904761907</v>
      </c>
      <c r="AS1507" t="b">
        <f>Table67[[#This Row],[Extrem Response Ratio (ERS)]]&gt;=Table67[[#This Row],[Threshold of ERS]]</f>
        <v>0</v>
      </c>
      <c r="AT1507">
        <f>COUNTIF(Table67[[#This Row],[The mechanism of digital assets is difficult to understand, which discourages me from exploring it (E.g, Tokenization, Blockchain)]:[If I want to try different ways to invest, I will explore digital assets.]], 3)</f>
        <v>10</v>
      </c>
      <c r="AU1507">
        <f>Table67[[#This Row],[Midpoint]]/21</f>
        <v>0.47619047619047616</v>
      </c>
      <c r="AV1507">
        <f>_xlfn.PERCENTILE.INC(Table67[Midpoint ratio],0.9)</f>
        <v>0.5714285714285714</v>
      </c>
      <c r="AW1507" t="b">
        <f>Table67[[#This Row],[Midpoint ratio]]&gt;=Table67[[#This Row],[Threshold of Midpoint ratio]]</f>
        <v>0</v>
      </c>
      <c r="AX1507" t="b">
        <f>OR(Table67[[#This Row],[Extreme Response Style]],Table67[[#This Row],[Mid-point Response Style]])</f>
        <v>0</v>
      </c>
      <c r="AY1507" t="b">
        <f>OR(Table67[[#This Row],[Delete? (Stage 1)]],Table67[[#This Row],[Delete? (Stage 2)]])</f>
        <v>0</v>
      </c>
      <c r="AZ1507" t="s">
        <v>84</v>
      </c>
    </row>
    <row r="1508" spans="1:52">
      <c r="A1508">
        <f t="shared" si="95"/>
        <v>1507</v>
      </c>
      <c r="B1508" s="3">
        <v>46062.025081018517</v>
      </c>
      <c r="C1508" s="3">
        <v>46062.032893518517</v>
      </c>
      <c r="D1508" t="s">
        <v>53</v>
      </c>
      <c r="G1508" t="s">
        <v>54</v>
      </c>
      <c r="H1508" t="s">
        <v>55</v>
      </c>
      <c r="I1508" t="s">
        <v>56</v>
      </c>
      <c r="J1508" t="s">
        <v>60</v>
      </c>
      <c r="K1508" t="s">
        <v>62</v>
      </c>
      <c r="L1508" t="s">
        <v>61</v>
      </c>
      <c r="M1508" t="s">
        <v>61</v>
      </c>
      <c r="N1508">
        <v>4</v>
      </c>
      <c r="O1508">
        <v>1</v>
      </c>
      <c r="P1508">
        <v>1</v>
      </c>
      <c r="Q1508">
        <v>3</v>
      </c>
      <c r="R1508">
        <v>1</v>
      </c>
      <c r="S1508">
        <v>1</v>
      </c>
      <c r="T1508">
        <v>3</v>
      </c>
      <c r="U1508">
        <v>5</v>
      </c>
      <c r="V1508">
        <v>5</v>
      </c>
      <c r="W1508">
        <v>4</v>
      </c>
      <c r="X1508">
        <v>4</v>
      </c>
      <c r="Y1508">
        <v>5</v>
      </c>
      <c r="Z1508">
        <v>5</v>
      </c>
      <c r="AA1508">
        <v>5</v>
      </c>
      <c r="AB1508">
        <v>1</v>
      </c>
      <c r="AC1508">
        <v>4</v>
      </c>
      <c r="AD1508">
        <v>5</v>
      </c>
      <c r="AE1508">
        <v>5</v>
      </c>
      <c r="AF1508">
        <v>3</v>
      </c>
      <c r="AG1508">
        <v>5</v>
      </c>
      <c r="AH1508">
        <v>1</v>
      </c>
      <c r="AI1508">
        <v>5</v>
      </c>
      <c r="AJ1508">
        <v>3</v>
      </c>
      <c r="AK1508" t="b">
        <f>Table67[[#This Row],[What is your age?]]&lt;&gt;"18 - 25"</f>
        <v>0</v>
      </c>
      <c r="AL1508" t="b">
        <f t="shared" si="92"/>
        <v>0</v>
      </c>
      <c r="AM1508" t="b">
        <f t="shared" si="93"/>
        <v>0</v>
      </c>
      <c r="AN1508" t="b">
        <f t="shared" si="94"/>
        <v>0</v>
      </c>
      <c r="AO1508" t="b">
        <f>OR(Table67[[#This Row],[Ineligible respondents]:[Inconsistent response on opposite question (3)]])</f>
        <v>0</v>
      </c>
      <c r="AP150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1508">
        <f>Table67[[#This Row],[Extreme Response]]/21</f>
        <v>0.66666666666666663</v>
      </c>
      <c r="AR1508">
        <f>_xlfn.PERCENTILE.INC(Table67[Extrem Response Ratio (ERS)],0.9)</f>
        <v>0.61904761904761907</v>
      </c>
      <c r="AS1508" t="b">
        <f>Table67[[#This Row],[Extrem Response Ratio (ERS)]]&gt;=Table67[[#This Row],[Threshold of ERS]]</f>
        <v>1</v>
      </c>
      <c r="AT1508">
        <f>COUNTIF(Table67[[#This Row],[The mechanism of digital assets is difficult to understand, which discourages me from exploring it (E.g, Tokenization, Blockchain)]:[If I want to try different ways to invest, I will explore digital assets.]], 3)</f>
        <v>3</v>
      </c>
      <c r="AU1508">
        <f>Table67[[#This Row],[Midpoint]]/21</f>
        <v>0.14285714285714285</v>
      </c>
      <c r="AV1508">
        <f>_xlfn.PERCENTILE.INC(Table67[Midpoint ratio],0.9)</f>
        <v>0.5714285714285714</v>
      </c>
      <c r="AW1508" t="b">
        <f>Table67[[#This Row],[Midpoint ratio]]&gt;=Table67[[#This Row],[Threshold of Midpoint ratio]]</f>
        <v>0</v>
      </c>
      <c r="AX1508" t="b">
        <f>OR(Table67[[#This Row],[Extreme Response Style]],Table67[[#This Row],[Mid-point Response Style]])</f>
        <v>1</v>
      </c>
      <c r="AY1508" t="b">
        <f>OR(Table67[[#This Row],[Delete? (Stage 1)]],Table67[[#This Row],[Delete? (Stage 2)]])</f>
        <v>1</v>
      </c>
      <c r="AZ1508" t="s">
        <v>84</v>
      </c>
    </row>
    <row r="1509" spans="1:52">
      <c r="A1509">
        <f t="shared" si="95"/>
        <v>1508</v>
      </c>
      <c r="B1509" s="3">
        <v>46065.837511574071</v>
      </c>
      <c r="C1509" s="3">
        <v>46065.838391203702</v>
      </c>
      <c r="D1509" t="s">
        <v>53</v>
      </c>
      <c r="G1509" t="s">
        <v>54</v>
      </c>
      <c r="H1509" t="s">
        <v>55</v>
      </c>
      <c r="I1509" t="s">
        <v>56</v>
      </c>
      <c r="J1509" t="s">
        <v>62</v>
      </c>
      <c r="K1509" t="s">
        <v>60</v>
      </c>
      <c r="L1509" t="s">
        <v>58</v>
      </c>
      <c r="M1509" t="s">
        <v>58</v>
      </c>
      <c r="N1509">
        <v>1</v>
      </c>
      <c r="O1509">
        <v>1</v>
      </c>
      <c r="P1509">
        <v>1</v>
      </c>
      <c r="Q1509">
        <v>1</v>
      </c>
      <c r="R1509">
        <v>1</v>
      </c>
      <c r="S1509">
        <v>1</v>
      </c>
      <c r="T1509">
        <v>1</v>
      </c>
      <c r="U1509">
        <v>2</v>
      </c>
      <c r="V1509">
        <v>2</v>
      </c>
      <c r="W1509">
        <v>2</v>
      </c>
      <c r="X1509">
        <v>1</v>
      </c>
      <c r="Y1509">
        <v>1</v>
      </c>
      <c r="Z1509">
        <v>1</v>
      </c>
      <c r="AA1509">
        <v>1</v>
      </c>
      <c r="AB1509">
        <v>1</v>
      </c>
      <c r="AC1509">
        <v>1</v>
      </c>
      <c r="AD1509">
        <v>2</v>
      </c>
      <c r="AE1509">
        <v>2</v>
      </c>
      <c r="AF1509">
        <v>5</v>
      </c>
      <c r="AG1509">
        <v>1</v>
      </c>
      <c r="AH1509">
        <v>4</v>
      </c>
      <c r="AI1509">
        <v>2</v>
      </c>
      <c r="AJ1509">
        <v>1</v>
      </c>
      <c r="AK1509" t="b">
        <f>Table67[[#This Row],[What is your age?]]&lt;&gt;"18 - 25"</f>
        <v>0</v>
      </c>
      <c r="AL1509" t="b">
        <f t="shared" si="92"/>
        <v>0</v>
      </c>
      <c r="AM1509" t="b">
        <f t="shared" si="93"/>
        <v>0</v>
      </c>
      <c r="AN1509" t="b">
        <f t="shared" si="94"/>
        <v>0</v>
      </c>
      <c r="AO1509" t="b">
        <f>OR(Table67[[#This Row],[Ineligible respondents]:[Inconsistent response on opposite question (3)]])</f>
        <v>0</v>
      </c>
      <c r="AP150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1509">
        <f>Table67[[#This Row],[Extreme Response]]/21</f>
        <v>0.7142857142857143</v>
      </c>
      <c r="AR1509">
        <f>_xlfn.PERCENTILE.INC(Table67[Extrem Response Ratio (ERS)],0.9)</f>
        <v>0.61904761904761907</v>
      </c>
      <c r="AS1509" t="b">
        <f>Table67[[#This Row],[Extrem Response Ratio (ERS)]]&gt;=Table67[[#This Row],[Threshold of ERS]]</f>
        <v>1</v>
      </c>
      <c r="AT1509">
        <f>COUNTIF(Table67[[#This Row],[The mechanism of digital assets is difficult to understand, which discourages me from exploring it (E.g, Tokenization, Blockchain)]:[If I want to try different ways to invest, I will explore digital assets.]], 3)</f>
        <v>0</v>
      </c>
      <c r="AU1509">
        <f>Table67[[#This Row],[Midpoint]]/21</f>
        <v>0</v>
      </c>
      <c r="AV1509">
        <f>_xlfn.PERCENTILE.INC(Table67[Midpoint ratio],0.9)</f>
        <v>0.5714285714285714</v>
      </c>
      <c r="AW1509" t="b">
        <f>Table67[[#This Row],[Midpoint ratio]]&gt;=Table67[[#This Row],[Threshold of Midpoint ratio]]</f>
        <v>0</v>
      </c>
      <c r="AX1509" t="b">
        <f>OR(Table67[[#This Row],[Extreme Response Style]],Table67[[#This Row],[Mid-point Response Style]])</f>
        <v>1</v>
      </c>
      <c r="AY1509" t="b">
        <f>OR(Table67[[#This Row],[Delete? (Stage 1)]],Table67[[#This Row],[Delete? (Stage 2)]])</f>
        <v>1</v>
      </c>
      <c r="AZ1509" t="s">
        <v>84</v>
      </c>
    </row>
    <row r="1510" spans="1:52">
      <c r="A1510">
        <f t="shared" si="95"/>
        <v>1509</v>
      </c>
      <c r="B1510" s="3">
        <v>46062.041261574072</v>
      </c>
      <c r="C1510" s="3">
        <v>46062.044548611113</v>
      </c>
      <c r="D1510" t="s">
        <v>53</v>
      </c>
      <c r="G1510" t="s">
        <v>54</v>
      </c>
      <c r="H1510" t="s">
        <v>55</v>
      </c>
      <c r="I1510" t="s">
        <v>71</v>
      </c>
      <c r="J1510" t="s">
        <v>62</v>
      </c>
      <c r="K1510" t="s">
        <v>62</v>
      </c>
      <c r="L1510" t="s">
        <v>61</v>
      </c>
      <c r="M1510" t="s">
        <v>58</v>
      </c>
      <c r="N1510">
        <v>3</v>
      </c>
      <c r="O1510">
        <v>1</v>
      </c>
      <c r="P1510">
        <v>4</v>
      </c>
      <c r="Q1510">
        <v>3</v>
      </c>
      <c r="R1510">
        <v>3</v>
      </c>
      <c r="S1510">
        <v>4</v>
      </c>
      <c r="T1510">
        <v>1</v>
      </c>
      <c r="U1510">
        <v>1</v>
      </c>
      <c r="V1510">
        <v>1</v>
      </c>
      <c r="W1510">
        <v>4</v>
      </c>
      <c r="X1510">
        <v>3</v>
      </c>
      <c r="Y1510">
        <v>3</v>
      </c>
      <c r="Z1510">
        <v>4</v>
      </c>
      <c r="AA1510">
        <v>2</v>
      </c>
      <c r="AB1510">
        <v>2</v>
      </c>
      <c r="AC1510">
        <v>1</v>
      </c>
      <c r="AD1510">
        <v>5</v>
      </c>
      <c r="AE1510">
        <v>3</v>
      </c>
      <c r="AF1510">
        <v>5</v>
      </c>
      <c r="AG1510">
        <v>3</v>
      </c>
      <c r="AH1510">
        <v>5</v>
      </c>
      <c r="AI1510">
        <v>1</v>
      </c>
      <c r="AJ1510">
        <v>1</v>
      </c>
      <c r="AK1510" t="b">
        <f>Table67[[#This Row],[What is your age?]]&lt;&gt;"18 - 25"</f>
        <v>0</v>
      </c>
      <c r="AL1510" t="b">
        <f t="shared" si="92"/>
        <v>0</v>
      </c>
      <c r="AM1510" t="b">
        <f t="shared" si="93"/>
        <v>0</v>
      </c>
      <c r="AN1510" t="b">
        <f t="shared" si="94"/>
        <v>1</v>
      </c>
      <c r="AO1510" t="b">
        <f>OR(Table67[[#This Row],[Ineligible respondents]:[Inconsistent response on opposite question (3)]])</f>
        <v>1</v>
      </c>
      <c r="AP151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1510">
        <f>Table67[[#This Row],[Extreme Response]]/21</f>
        <v>0.38095238095238093</v>
      </c>
      <c r="AR1510">
        <f>_xlfn.PERCENTILE.INC(Table67[Extrem Response Ratio (ERS)],0.9)</f>
        <v>0.61904761904761907</v>
      </c>
      <c r="AS1510" t="b">
        <f>Table67[[#This Row],[Extrem Response Ratio (ERS)]]&gt;=Table67[[#This Row],[Threshold of ERS]]</f>
        <v>0</v>
      </c>
      <c r="AT1510">
        <f>COUNTIF(Table67[[#This Row],[The mechanism of digital assets is difficult to understand, which discourages me from exploring it (E.g, Tokenization, Blockchain)]:[If I want to try different ways to invest, I will explore digital assets.]], 3)</f>
        <v>7</v>
      </c>
      <c r="AU1510">
        <f>Table67[[#This Row],[Midpoint]]/21</f>
        <v>0.33333333333333331</v>
      </c>
      <c r="AV1510">
        <f>_xlfn.PERCENTILE.INC(Table67[Midpoint ratio],0.9)</f>
        <v>0.5714285714285714</v>
      </c>
      <c r="AW1510" t="b">
        <f>Table67[[#This Row],[Midpoint ratio]]&gt;=Table67[[#This Row],[Threshold of Midpoint ratio]]</f>
        <v>0</v>
      </c>
      <c r="AX1510" t="b">
        <f>OR(Table67[[#This Row],[Extreme Response Style]],Table67[[#This Row],[Mid-point Response Style]])</f>
        <v>0</v>
      </c>
      <c r="AY1510" t="b">
        <f>OR(Table67[[#This Row],[Delete? (Stage 1)]],Table67[[#This Row],[Delete? (Stage 2)]])</f>
        <v>1</v>
      </c>
      <c r="AZ1510" t="s">
        <v>84</v>
      </c>
    </row>
    <row r="1511" spans="1:52">
      <c r="A1511">
        <f t="shared" si="95"/>
        <v>1510</v>
      </c>
      <c r="B1511" s="3">
        <v>46062.075902777775</v>
      </c>
      <c r="C1511" s="3">
        <v>46062.081608796296</v>
      </c>
      <c r="D1511" t="s">
        <v>53</v>
      </c>
      <c r="G1511" t="s">
        <v>54</v>
      </c>
      <c r="H1511" t="s">
        <v>63</v>
      </c>
      <c r="I1511" t="s">
        <v>75</v>
      </c>
      <c r="J1511" t="s">
        <v>62</v>
      </c>
      <c r="K1511" t="s">
        <v>62</v>
      </c>
      <c r="L1511" t="s">
        <v>58</v>
      </c>
      <c r="M1511" t="s">
        <v>58</v>
      </c>
      <c r="N1511">
        <v>5</v>
      </c>
      <c r="O1511">
        <v>3</v>
      </c>
      <c r="P1511">
        <v>5</v>
      </c>
      <c r="Q1511">
        <v>4</v>
      </c>
      <c r="R1511">
        <v>5</v>
      </c>
      <c r="S1511">
        <v>5</v>
      </c>
      <c r="T1511">
        <v>4</v>
      </c>
      <c r="U1511">
        <v>3</v>
      </c>
      <c r="V1511">
        <v>4</v>
      </c>
      <c r="W1511">
        <v>3</v>
      </c>
      <c r="X1511">
        <v>4</v>
      </c>
      <c r="Y1511">
        <v>3</v>
      </c>
      <c r="Z1511">
        <v>5</v>
      </c>
      <c r="AA1511">
        <v>4</v>
      </c>
      <c r="AB1511">
        <v>2</v>
      </c>
      <c r="AC1511">
        <v>3</v>
      </c>
      <c r="AD1511">
        <v>5</v>
      </c>
      <c r="AE1511">
        <v>2</v>
      </c>
      <c r="AF1511">
        <v>3</v>
      </c>
      <c r="AG1511">
        <v>2</v>
      </c>
      <c r="AH1511">
        <v>3</v>
      </c>
      <c r="AI1511">
        <v>3</v>
      </c>
      <c r="AJ1511">
        <v>3</v>
      </c>
      <c r="AK1511" t="b">
        <f>Table67[[#This Row],[What is your age?]]&lt;&gt;"18 - 25"</f>
        <v>0</v>
      </c>
      <c r="AL1511" t="b">
        <f t="shared" si="92"/>
        <v>0</v>
      </c>
      <c r="AM1511" t="b">
        <f t="shared" si="93"/>
        <v>0</v>
      </c>
      <c r="AN1511" t="b">
        <f t="shared" si="94"/>
        <v>1</v>
      </c>
      <c r="AO1511" t="b">
        <f>OR(Table67[[#This Row],[Ineligible respondents]:[Inconsistent response on opposite question (3)]])</f>
        <v>1</v>
      </c>
      <c r="AP151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511">
        <f>Table67[[#This Row],[Extreme Response]]/21</f>
        <v>0.2857142857142857</v>
      </c>
      <c r="AR1511">
        <f>_xlfn.PERCENTILE.INC(Table67[Extrem Response Ratio (ERS)],0.9)</f>
        <v>0.61904761904761907</v>
      </c>
      <c r="AS1511" t="b">
        <f>Table67[[#This Row],[Extrem Response Ratio (ERS)]]&gt;=Table67[[#This Row],[Threshold of ERS]]</f>
        <v>0</v>
      </c>
      <c r="AT1511">
        <f>COUNTIF(Table67[[#This Row],[The mechanism of digital assets is difficult to understand, which discourages me from exploring it (E.g, Tokenization, Blockchain)]:[If I want to try different ways to invest, I will explore digital assets.]], 3)</f>
        <v>7</v>
      </c>
      <c r="AU1511">
        <f>Table67[[#This Row],[Midpoint]]/21</f>
        <v>0.33333333333333331</v>
      </c>
      <c r="AV1511">
        <f>_xlfn.PERCENTILE.INC(Table67[Midpoint ratio],0.9)</f>
        <v>0.5714285714285714</v>
      </c>
      <c r="AW1511" t="b">
        <f>Table67[[#This Row],[Midpoint ratio]]&gt;=Table67[[#This Row],[Threshold of Midpoint ratio]]</f>
        <v>0</v>
      </c>
      <c r="AX1511" t="b">
        <f>OR(Table67[[#This Row],[Extreme Response Style]],Table67[[#This Row],[Mid-point Response Style]])</f>
        <v>0</v>
      </c>
      <c r="AY1511" t="b">
        <f>OR(Table67[[#This Row],[Delete? (Stage 1)]],Table67[[#This Row],[Delete? (Stage 2)]])</f>
        <v>1</v>
      </c>
      <c r="AZ1511" t="s">
        <v>84</v>
      </c>
    </row>
    <row r="1512" spans="1:52">
      <c r="A1512">
        <f t="shared" si="95"/>
        <v>1511</v>
      </c>
      <c r="B1512" s="3">
        <v>46065.861574074072</v>
      </c>
      <c r="C1512" s="3">
        <v>46065.8671412037</v>
      </c>
      <c r="D1512" t="s">
        <v>53</v>
      </c>
      <c r="G1512" t="s">
        <v>54</v>
      </c>
      <c r="H1512" t="s">
        <v>63</v>
      </c>
      <c r="I1512" t="s">
        <v>75</v>
      </c>
      <c r="J1512" t="s">
        <v>62</v>
      </c>
      <c r="K1512" t="s">
        <v>57</v>
      </c>
      <c r="L1512" t="s">
        <v>58</v>
      </c>
      <c r="M1512" t="s">
        <v>58</v>
      </c>
      <c r="N1512">
        <v>3</v>
      </c>
      <c r="O1512">
        <v>2</v>
      </c>
      <c r="P1512">
        <v>4</v>
      </c>
      <c r="Q1512">
        <v>3</v>
      </c>
      <c r="R1512">
        <v>3</v>
      </c>
      <c r="S1512">
        <v>2</v>
      </c>
      <c r="T1512">
        <v>2</v>
      </c>
      <c r="U1512">
        <v>4</v>
      </c>
      <c r="V1512">
        <v>3</v>
      </c>
      <c r="W1512">
        <v>3</v>
      </c>
      <c r="X1512">
        <v>3</v>
      </c>
      <c r="Y1512">
        <v>3</v>
      </c>
      <c r="Z1512">
        <v>2</v>
      </c>
      <c r="AA1512">
        <v>2</v>
      </c>
      <c r="AB1512">
        <v>2</v>
      </c>
      <c r="AC1512">
        <v>4</v>
      </c>
      <c r="AD1512">
        <v>3</v>
      </c>
      <c r="AE1512">
        <v>2</v>
      </c>
      <c r="AF1512">
        <v>5</v>
      </c>
      <c r="AG1512">
        <v>1</v>
      </c>
      <c r="AH1512">
        <v>4</v>
      </c>
      <c r="AI1512">
        <v>2</v>
      </c>
      <c r="AJ1512">
        <v>1</v>
      </c>
      <c r="AK1512" t="b">
        <f>Table67[[#This Row],[What is your age?]]&lt;&gt;"18 - 25"</f>
        <v>0</v>
      </c>
      <c r="AL1512" t="b">
        <f t="shared" si="92"/>
        <v>0</v>
      </c>
      <c r="AM1512" t="b">
        <f t="shared" si="93"/>
        <v>0</v>
      </c>
      <c r="AN1512" t="b">
        <f t="shared" si="94"/>
        <v>0</v>
      </c>
      <c r="AO1512" t="b">
        <f>OR(Table67[[#This Row],[Ineligible respondents]:[Inconsistent response on opposite question (3)]])</f>
        <v>0</v>
      </c>
      <c r="AP151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512">
        <f>Table67[[#This Row],[Extreme Response]]/21</f>
        <v>9.5238095238095233E-2</v>
      </c>
      <c r="AR1512">
        <f>_xlfn.PERCENTILE.INC(Table67[Extrem Response Ratio (ERS)],0.9)</f>
        <v>0.61904761904761907</v>
      </c>
      <c r="AS1512" t="b">
        <f>Table67[[#This Row],[Extrem Response Ratio (ERS)]]&gt;=Table67[[#This Row],[Threshold of ERS]]</f>
        <v>0</v>
      </c>
      <c r="AT1512">
        <f>COUNTIF(Table67[[#This Row],[The mechanism of digital assets is difficult to understand, which discourages me from exploring it (E.g, Tokenization, Blockchain)]:[If I want to try different ways to invest, I will explore digital assets.]], 3)</f>
        <v>8</v>
      </c>
      <c r="AU1512">
        <f>Table67[[#This Row],[Midpoint]]/21</f>
        <v>0.38095238095238093</v>
      </c>
      <c r="AV1512">
        <f>_xlfn.PERCENTILE.INC(Table67[Midpoint ratio],0.9)</f>
        <v>0.5714285714285714</v>
      </c>
      <c r="AW1512" t="b">
        <f>Table67[[#This Row],[Midpoint ratio]]&gt;=Table67[[#This Row],[Threshold of Midpoint ratio]]</f>
        <v>0</v>
      </c>
      <c r="AX1512" t="b">
        <f>OR(Table67[[#This Row],[Extreme Response Style]],Table67[[#This Row],[Mid-point Response Style]])</f>
        <v>0</v>
      </c>
      <c r="AY1512" t="b">
        <f>OR(Table67[[#This Row],[Delete? (Stage 1)]],Table67[[#This Row],[Delete? (Stage 2)]])</f>
        <v>0</v>
      </c>
      <c r="AZ1512" t="s">
        <v>84</v>
      </c>
    </row>
    <row r="1513" spans="1:52">
      <c r="A1513">
        <f t="shared" si="95"/>
        <v>1512</v>
      </c>
      <c r="B1513" s="3">
        <v>46065.890868055554</v>
      </c>
      <c r="C1513" s="3">
        <v>46065.891238425924</v>
      </c>
      <c r="D1513" t="s">
        <v>53</v>
      </c>
      <c r="G1513" t="s">
        <v>54</v>
      </c>
      <c r="H1513" t="s">
        <v>63</v>
      </c>
      <c r="I1513" t="s">
        <v>71</v>
      </c>
      <c r="J1513" t="s">
        <v>72</v>
      </c>
      <c r="K1513" t="s">
        <v>60</v>
      </c>
      <c r="L1513" t="s">
        <v>58</v>
      </c>
      <c r="M1513" t="s">
        <v>58</v>
      </c>
      <c r="N1513">
        <v>5</v>
      </c>
      <c r="O1513">
        <v>4</v>
      </c>
      <c r="P1513">
        <v>5</v>
      </c>
      <c r="Q1513">
        <v>5</v>
      </c>
      <c r="R1513">
        <v>4</v>
      </c>
      <c r="S1513">
        <v>4</v>
      </c>
      <c r="T1513">
        <v>5</v>
      </c>
      <c r="U1513">
        <v>5</v>
      </c>
      <c r="V1513">
        <v>5</v>
      </c>
      <c r="W1513">
        <v>5</v>
      </c>
      <c r="X1513">
        <v>4</v>
      </c>
      <c r="Y1513">
        <v>5</v>
      </c>
      <c r="Z1513">
        <v>5</v>
      </c>
      <c r="AA1513">
        <v>5</v>
      </c>
      <c r="AB1513">
        <v>4</v>
      </c>
      <c r="AC1513">
        <v>5</v>
      </c>
      <c r="AD1513">
        <v>5</v>
      </c>
      <c r="AE1513">
        <v>3</v>
      </c>
      <c r="AF1513">
        <v>3</v>
      </c>
      <c r="AG1513">
        <v>3</v>
      </c>
      <c r="AH1513">
        <v>4</v>
      </c>
      <c r="AI1513">
        <v>2</v>
      </c>
      <c r="AJ1513">
        <v>3</v>
      </c>
      <c r="AK1513" t="b">
        <f>Table67[[#This Row],[What is your age?]]&lt;&gt;"18 - 25"</f>
        <v>0</v>
      </c>
      <c r="AL1513" t="b">
        <f t="shared" si="92"/>
        <v>0</v>
      </c>
      <c r="AM1513" t="b">
        <f t="shared" si="93"/>
        <v>0</v>
      </c>
      <c r="AN1513" t="b">
        <f t="shared" si="94"/>
        <v>1</v>
      </c>
      <c r="AO1513" t="b">
        <f>OR(Table67[[#This Row],[Ineligible respondents]:[Inconsistent response on opposite question (3)]])</f>
        <v>1</v>
      </c>
      <c r="AP151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12</v>
      </c>
      <c r="AQ1513">
        <f>Table67[[#This Row],[Extreme Response]]/21</f>
        <v>0.5714285714285714</v>
      </c>
      <c r="AR1513">
        <f>_xlfn.PERCENTILE.INC(Table67[Extrem Response Ratio (ERS)],0.9)</f>
        <v>0.61904761904761907</v>
      </c>
      <c r="AS1513" t="b">
        <f>Table67[[#This Row],[Extrem Response Ratio (ERS)]]&gt;=Table67[[#This Row],[Threshold of ERS]]</f>
        <v>0</v>
      </c>
      <c r="AT1513">
        <f>COUNTIF(Table67[[#This Row],[The mechanism of digital assets is difficult to understand, which discourages me from exploring it (E.g, Tokenization, Blockchain)]:[If I want to try different ways to invest, I will explore digital assets.]], 3)</f>
        <v>3</v>
      </c>
      <c r="AU1513">
        <f>Table67[[#This Row],[Midpoint]]/21</f>
        <v>0.14285714285714285</v>
      </c>
      <c r="AV1513">
        <f>_xlfn.PERCENTILE.INC(Table67[Midpoint ratio],0.9)</f>
        <v>0.5714285714285714</v>
      </c>
      <c r="AW1513" t="b">
        <f>Table67[[#This Row],[Midpoint ratio]]&gt;=Table67[[#This Row],[Threshold of Midpoint ratio]]</f>
        <v>0</v>
      </c>
      <c r="AX1513" t="b">
        <f>OR(Table67[[#This Row],[Extreme Response Style]],Table67[[#This Row],[Mid-point Response Style]])</f>
        <v>0</v>
      </c>
      <c r="AY1513" t="b">
        <f>OR(Table67[[#This Row],[Delete? (Stage 1)]],Table67[[#This Row],[Delete? (Stage 2)]])</f>
        <v>1</v>
      </c>
      <c r="AZ1513" t="s">
        <v>84</v>
      </c>
    </row>
    <row r="1514" spans="1:52">
      <c r="A1514">
        <f t="shared" si="95"/>
        <v>1513</v>
      </c>
      <c r="B1514" s="3">
        <v>46065.689710648148</v>
      </c>
      <c r="C1514" s="3">
        <v>46065.690416666665</v>
      </c>
      <c r="D1514" t="s">
        <v>53</v>
      </c>
      <c r="G1514" t="s">
        <v>54</v>
      </c>
      <c r="H1514" t="s">
        <v>55</v>
      </c>
      <c r="I1514" t="s">
        <v>69</v>
      </c>
      <c r="J1514" t="s">
        <v>62</v>
      </c>
      <c r="K1514" t="s">
        <v>62</v>
      </c>
      <c r="L1514" t="s">
        <v>58</v>
      </c>
      <c r="M1514" t="s">
        <v>58</v>
      </c>
      <c r="N1514">
        <v>2</v>
      </c>
      <c r="O1514">
        <v>3</v>
      </c>
      <c r="P1514">
        <v>2</v>
      </c>
      <c r="Q1514">
        <v>2</v>
      </c>
      <c r="R1514">
        <v>2</v>
      </c>
      <c r="S1514">
        <v>3</v>
      </c>
      <c r="T1514">
        <v>3</v>
      </c>
      <c r="U1514">
        <v>2</v>
      </c>
      <c r="V1514">
        <v>2</v>
      </c>
      <c r="W1514">
        <v>3</v>
      </c>
      <c r="X1514">
        <v>3</v>
      </c>
      <c r="Y1514">
        <v>2</v>
      </c>
      <c r="Z1514">
        <v>3</v>
      </c>
      <c r="AA1514">
        <v>3</v>
      </c>
      <c r="AB1514">
        <v>3</v>
      </c>
      <c r="AC1514">
        <v>2</v>
      </c>
      <c r="AD1514">
        <v>3</v>
      </c>
      <c r="AE1514">
        <v>3</v>
      </c>
      <c r="AF1514">
        <v>4</v>
      </c>
      <c r="AG1514">
        <v>2</v>
      </c>
      <c r="AH1514">
        <v>4</v>
      </c>
      <c r="AI1514">
        <v>2</v>
      </c>
      <c r="AJ1514">
        <v>2</v>
      </c>
      <c r="AK1514" t="b">
        <f>Table67[[#This Row],[What is your age?]]&lt;&gt;"18 - 25"</f>
        <v>0</v>
      </c>
      <c r="AL1514" t="b">
        <f t="shared" si="92"/>
        <v>0</v>
      </c>
      <c r="AM1514" t="b">
        <f t="shared" si="93"/>
        <v>0</v>
      </c>
      <c r="AN1514" t="b">
        <f t="shared" si="94"/>
        <v>0</v>
      </c>
      <c r="AO1514" t="b">
        <f>OR(Table67[[#This Row],[Ineligible respondents]:[Inconsistent response on opposite question (3)]])</f>
        <v>0</v>
      </c>
      <c r="AP151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514">
        <f>Table67[[#This Row],[Extreme Response]]/21</f>
        <v>0</v>
      </c>
      <c r="AR1514">
        <f>_xlfn.PERCENTILE.INC(Table67[Extrem Response Ratio (ERS)],0.9)</f>
        <v>0.61904761904761907</v>
      </c>
      <c r="AS1514" t="b">
        <f>Table67[[#This Row],[Extrem Response Ratio (ERS)]]&gt;=Table67[[#This Row],[Threshold of ERS]]</f>
        <v>0</v>
      </c>
      <c r="AT1514">
        <f>COUNTIF(Table67[[#This Row],[The mechanism of digital assets is difficult to understand, which discourages me from exploring it (E.g, Tokenization, Blockchain)]:[If I want to try different ways to invest, I will explore digital assets.]], 3)</f>
        <v>10</v>
      </c>
      <c r="AU1514">
        <f>Table67[[#This Row],[Midpoint]]/21</f>
        <v>0.47619047619047616</v>
      </c>
      <c r="AV1514">
        <f>_xlfn.PERCENTILE.INC(Table67[Midpoint ratio],0.9)</f>
        <v>0.5714285714285714</v>
      </c>
      <c r="AW1514" t="b">
        <f>Table67[[#This Row],[Midpoint ratio]]&gt;=Table67[[#This Row],[Threshold of Midpoint ratio]]</f>
        <v>0</v>
      </c>
      <c r="AX1514" t="b">
        <f>OR(Table67[[#This Row],[Extreme Response Style]],Table67[[#This Row],[Mid-point Response Style]])</f>
        <v>0</v>
      </c>
      <c r="AY1514" t="b">
        <f>OR(Table67[[#This Row],[Delete? (Stage 1)]],Table67[[#This Row],[Delete? (Stage 2)]])</f>
        <v>0</v>
      </c>
      <c r="AZ1514" t="s">
        <v>84</v>
      </c>
    </row>
    <row r="1515" spans="1:52">
      <c r="A1515">
        <f t="shared" si="95"/>
        <v>1514</v>
      </c>
      <c r="B1515" s="3">
        <v>46062.048402777778</v>
      </c>
      <c r="C1515" s="3">
        <v>46062.051724537036</v>
      </c>
      <c r="D1515" t="s">
        <v>53</v>
      </c>
      <c r="G1515" t="s">
        <v>54</v>
      </c>
      <c r="H1515" t="s">
        <v>55</v>
      </c>
      <c r="I1515" t="s">
        <v>75</v>
      </c>
      <c r="J1515" t="s">
        <v>62</v>
      </c>
      <c r="K1515" t="s">
        <v>62</v>
      </c>
      <c r="L1515" t="s">
        <v>58</v>
      </c>
      <c r="M1515" t="s">
        <v>58</v>
      </c>
      <c r="N1515">
        <v>4</v>
      </c>
      <c r="O1515">
        <v>1</v>
      </c>
      <c r="P1515">
        <v>2</v>
      </c>
      <c r="Q1515">
        <v>4</v>
      </c>
      <c r="R1515">
        <v>5</v>
      </c>
      <c r="S1515">
        <v>5</v>
      </c>
      <c r="T1515">
        <v>4</v>
      </c>
      <c r="U1515">
        <v>3</v>
      </c>
      <c r="V1515">
        <v>5</v>
      </c>
      <c r="W1515">
        <v>5</v>
      </c>
      <c r="X1515">
        <v>2</v>
      </c>
      <c r="Y1515">
        <v>5</v>
      </c>
      <c r="Z1515">
        <v>3</v>
      </c>
      <c r="AA1515">
        <v>4</v>
      </c>
      <c r="AB1515">
        <v>2</v>
      </c>
      <c r="AC1515">
        <v>3</v>
      </c>
      <c r="AD1515">
        <v>3</v>
      </c>
      <c r="AE1515">
        <v>2</v>
      </c>
      <c r="AF1515">
        <v>4</v>
      </c>
      <c r="AG1515">
        <v>4</v>
      </c>
      <c r="AH1515">
        <v>4</v>
      </c>
      <c r="AI1515">
        <v>2</v>
      </c>
      <c r="AJ1515">
        <v>2</v>
      </c>
      <c r="AK1515" t="b">
        <f>Table67[[#This Row],[What is your age?]]&lt;&gt;"18 - 25"</f>
        <v>0</v>
      </c>
      <c r="AL1515" t="b">
        <f t="shared" si="92"/>
        <v>0</v>
      </c>
      <c r="AM1515" t="b">
        <f t="shared" si="93"/>
        <v>1</v>
      </c>
      <c r="AN1515" t="b">
        <f t="shared" si="94"/>
        <v>0</v>
      </c>
      <c r="AO1515" t="b">
        <f>OR(Table67[[#This Row],[Ineligible respondents]:[Inconsistent response on opposite question (3)]])</f>
        <v>1</v>
      </c>
      <c r="AP151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515">
        <f>Table67[[#This Row],[Extreme Response]]/21</f>
        <v>0.2857142857142857</v>
      </c>
      <c r="AR1515">
        <f>_xlfn.PERCENTILE.INC(Table67[Extrem Response Ratio (ERS)],0.9)</f>
        <v>0.61904761904761907</v>
      </c>
      <c r="AS1515" t="b">
        <f>Table67[[#This Row],[Extrem Response Ratio (ERS)]]&gt;=Table67[[#This Row],[Threshold of ERS]]</f>
        <v>0</v>
      </c>
      <c r="AT1515">
        <f>COUNTIF(Table67[[#This Row],[The mechanism of digital assets is difficult to understand, which discourages me from exploring it (E.g, Tokenization, Blockchain)]:[If I want to try different ways to invest, I will explore digital assets.]], 3)</f>
        <v>4</v>
      </c>
      <c r="AU1515">
        <f>Table67[[#This Row],[Midpoint]]/21</f>
        <v>0.19047619047619047</v>
      </c>
      <c r="AV1515">
        <f>_xlfn.PERCENTILE.INC(Table67[Midpoint ratio],0.9)</f>
        <v>0.5714285714285714</v>
      </c>
      <c r="AW1515" t="b">
        <f>Table67[[#This Row],[Midpoint ratio]]&gt;=Table67[[#This Row],[Threshold of Midpoint ratio]]</f>
        <v>0</v>
      </c>
      <c r="AX1515" t="b">
        <f>OR(Table67[[#This Row],[Extreme Response Style]],Table67[[#This Row],[Mid-point Response Style]])</f>
        <v>0</v>
      </c>
      <c r="AY1515" t="b">
        <f>OR(Table67[[#This Row],[Delete? (Stage 1)]],Table67[[#This Row],[Delete? (Stage 2)]])</f>
        <v>1</v>
      </c>
      <c r="AZ1515" t="s">
        <v>84</v>
      </c>
    </row>
    <row r="1516" spans="1:52">
      <c r="A1516">
        <f t="shared" si="95"/>
        <v>1515</v>
      </c>
      <c r="B1516" s="3">
        <v>46062.043819444443</v>
      </c>
      <c r="C1516" s="3">
        <v>46062.047523148147</v>
      </c>
      <c r="D1516" t="s">
        <v>53</v>
      </c>
      <c r="G1516" t="s">
        <v>54</v>
      </c>
      <c r="H1516" t="s">
        <v>55</v>
      </c>
      <c r="I1516" t="s">
        <v>56</v>
      </c>
      <c r="J1516" t="s">
        <v>62</v>
      </c>
      <c r="K1516" t="s">
        <v>62</v>
      </c>
      <c r="L1516" t="s">
        <v>58</v>
      </c>
      <c r="M1516" t="s">
        <v>58</v>
      </c>
      <c r="N1516">
        <v>4</v>
      </c>
      <c r="O1516">
        <v>1</v>
      </c>
      <c r="P1516">
        <v>5</v>
      </c>
      <c r="Q1516">
        <v>4</v>
      </c>
      <c r="R1516">
        <v>5</v>
      </c>
      <c r="S1516">
        <v>5</v>
      </c>
      <c r="T1516">
        <v>5</v>
      </c>
      <c r="U1516">
        <v>5</v>
      </c>
      <c r="V1516">
        <v>5</v>
      </c>
      <c r="W1516">
        <v>5</v>
      </c>
      <c r="X1516">
        <v>2</v>
      </c>
      <c r="Y1516">
        <v>1</v>
      </c>
      <c r="Z1516">
        <v>5</v>
      </c>
      <c r="AA1516">
        <v>5</v>
      </c>
      <c r="AB1516">
        <v>1</v>
      </c>
      <c r="AC1516">
        <v>2</v>
      </c>
      <c r="AD1516">
        <v>5</v>
      </c>
      <c r="AE1516">
        <v>3</v>
      </c>
      <c r="AF1516">
        <v>4</v>
      </c>
      <c r="AG1516">
        <v>4</v>
      </c>
      <c r="AH1516">
        <v>3</v>
      </c>
      <c r="AI1516">
        <v>3</v>
      </c>
      <c r="AJ1516">
        <v>2</v>
      </c>
      <c r="AK1516" t="b">
        <f>Table67[[#This Row],[What is your age?]]&lt;&gt;"18 - 25"</f>
        <v>0</v>
      </c>
      <c r="AL1516" t="b">
        <f t="shared" si="92"/>
        <v>0</v>
      </c>
      <c r="AM1516" t="b">
        <f t="shared" si="93"/>
        <v>0</v>
      </c>
      <c r="AN1516" t="b">
        <f t="shared" si="94"/>
        <v>1</v>
      </c>
      <c r="AO1516" t="b">
        <f>OR(Table67[[#This Row],[Ineligible respondents]:[Inconsistent response on opposite question (3)]])</f>
        <v>1</v>
      </c>
      <c r="AP151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1516">
        <f>Table67[[#This Row],[Extreme Response]]/21</f>
        <v>0.61904761904761907</v>
      </c>
      <c r="AR1516">
        <f>_xlfn.PERCENTILE.INC(Table67[Extrem Response Ratio (ERS)],0.9)</f>
        <v>0.61904761904761907</v>
      </c>
      <c r="AS1516" t="b">
        <f>Table67[[#This Row],[Extrem Response Ratio (ERS)]]&gt;=Table67[[#This Row],[Threshold of ERS]]</f>
        <v>1</v>
      </c>
      <c r="AT1516">
        <f>COUNTIF(Table67[[#This Row],[The mechanism of digital assets is difficult to understand, which discourages me from exploring it (E.g, Tokenization, Blockchain)]:[If I want to try different ways to invest, I will explore digital assets.]], 3)</f>
        <v>2</v>
      </c>
      <c r="AU1516">
        <f>Table67[[#This Row],[Midpoint]]/21</f>
        <v>9.5238095238095233E-2</v>
      </c>
      <c r="AV1516">
        <f>_xlfn.PERCENTILE.INC(Table67[Midpoint ratio],0.9)</f>
        <v>0.5714285714285714</v>
      </c>
      <c r="AW1516" t="b">
        <f>Table67[[#This Row],[Midpoint ratio]]&gt;=Table67[[#This Row],[Threshold of Midpoint ratio]]</f>
        <v>0</v>
      </c>
      <c r="AX1516" t="b">
        <f>OR(Table67[[#This Row],[Extreme Response Style]],Table67[[#This Row],[Mid-point Response Style]])</f>
        <v>1</v>
      </c>
      <c r="AY1516" t="b">
        <f>OR(Table67[[#This Row],[Delete? (Stage 1)]],Table67[[#This Row],[Delete? (Stage 2)]])</f>
        <v>1</v>
      </c>
      <c r="AZ1516" t="s">
        <v>84</v>
      </c>
    </row>
    <row r="1517" spans="1:52">
      <c r="A1517">
        <f t="shared" si="95"/>
        <v>1516</v>
      </c>
      <c r="B1517" s="3">
        <v>46065.731307870374</v>
      </c>
      <c r="C1517" s="3">
        <v>46065.732372685183</v>
      </c>
      <c r="D1517" t="s">
        <v>53</v>
      </c>
      <c r="G1517" t="s">
        <v>54</v>
      </c>
      <c r="H1517" t="s">
        <v>63</v>
      </c>
      <c r="I1517" t="s">
        <v>56</v>
      </c>
      <c r="J1517" t="s">
        <v>57</v>
      </c>
      <c r="K1517" t="s">
        <v>57</v>
      </c>
      <c r="L1517" t="s">
        <v>58</v>
      </c>
      <c r="M1517" t="s">
        <v>58</v>
      </c>
      <c r="N1517">
        <v>2</v>
      </c>
      <c r="O1517">
        <v>3</v>
      </c>
      <c r="P1517">
        <v>4</v>
      </c>
      <c r="Q1517">
        <v>4</v>
      </c>
      <c r="R1517">
        <v>3</v>
      </c>
      <c r="S1517">
        <v>4</v>
      </c>
      <c r="T1517">
        <v>4</v>
      </c>
      <c r="U1517">
        <v>4</v>
      </c>
      <c r="V1517">
        <v>4</v>
      </c>
      <c r="W1517">
        <v>4</v>
      </c>
      <c r="X1517">
        <v>4</v>
      </c>
      <c r="Y1517">
        <v>3</v>
      </c>
      <c r="Z1517">
        <v>4</v>
      </c>
      <c r="AA1517">
        <v>4</v>
      </c>
      <c r="AB1517">
        <v>3</v>
      </c>
      <c r="AC1517">
        <v>3</v>
      </c>
      <c r="AD1517">
        <v>3</v>
      </c>
      <c r="AE1517">
        <v>4</v>
      </c>
      <c r="AF1517">
        <v>2</v>
      </c>
      <c r="AG1517">
        <v>3</v>
      </c>
      <c r="AH1517">
        <v>3</v>
      </c>
      <c r="AI1517">
        <v>3</v>
      </c>
      <c r="AJ1517">
        <v>4</v>
      </c>
      <c r="AK1517" t="b">
        <f>Table67[[#This Row],[What is your age?]]&lt;&gt;"18 - 25"</f>
        <v>0</v>
      </c>
      <c r="AL1517" t="b">
        <f t="shared" si="92"/>
        <v>0</v>
      </c>
      <c r="AM1517" t="b">
        <f t="shared" si="93"/>
        <v>0</v>
      </c>
      <c r="AN1517" t="b">
        <f t="shared" si="94"/>
        <v>0</v>
      </c>
      <c r="AO1517" t="b">
        <f>OR(Table67[[#This Row],[Ineligible respondents]:[Inconsistent response on opposite question (3)]])</f>
        <v>0</v>
      </c>
      <c r="AP151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517">
        <f>Table67[[#This Row],[Extreme Response]]/21</f>
        <v>0</v>
      </c>
      <c r="AR1517">
        <f>_xlfn.PERCENTILE.INC(Table67[Extrem Response Ratio (ERS)],0.9)</f>
        <v>0.61904761904761907</v>
      </c>
      <c r="AS1517" t="b">
        <f>Table67[[#This Row],[Extrem Response Ratio (ERS)]]&gt;=Table67[[#This Row],[Threshold of ERS]]</f>
        <v>0</v>
      </c>
      <c r="AT1517">
        <f>COUNTIF(Table67[[#This Row],[The mechanism of digital assets is difficult to understand, which discourages me from exploring it (E.g, Tokenization, Blockchain)]:[If I want to try different ways to invest, I will explore digital assets.]], 3)</f>
        <v>8</v>
      </c>
      <c r="AU1517">
        <f>Table67[[#This Row],[Midpoint]]/21</f>
        <v>0.38095238095238093</v>
      </c>
      <c r="AV1517">
        <f>_xlfn.PERCENTILE.INC(Table67[Midpoint ratio],0.9)</f>
        <v>0.5714285714285714</v>
      </c>
      <c r="AW1517" t="b">
        <f>Table67[[#This Row],[Midpoint ratio]]&gt;=Table67[[#This Row],[Threshold of Midpoint ratio]]</f>
        <v>0</v>
      </c>
      <c r="AX1517" t="b">
        <f>OR(Table67[[#This Row],[Extreme Response Style]],Table67[[#This Row],[Mid-point Response Style]])</f>
        <v>0</v>
      </c>
      <c r="AY1517" t="b">
        <f>OR(Table67[[#This Row],[Delete? (Stage 1)]],Table67[[#This Row],[Delete? (Stage 2)]])</f>
        <v>0</v>
      </c>
      <c r="AZ1517" t="s">
        <v>84</v>
      </c>
    </row>
    <row r="1518" spans="1:52">
      <c r="A1518">
        <f t="shared" si="95"/>
        <v>1517</v>
      </c>
      <c r="B1518" s="3">
        <v>46065.861620370371</v>
      </c>
      <c r="C1518" s="3">
        <v>46065.865891203706</v>
      </c>
      <c r="D1518" t="s">
        <v>53</v>
      </c>
      <c r="G1518" t="s">
        <v>54</v>
      </c>
      <c r="H1518" t="s">
        <v>63</v>
      </c>
      <c r="I1518" t="s">
        <v>75</v>
      </c>
      <c r="J1518" t="s">
        <v>72</v>
      </c>
      <c r="K1518" t="s">
        <v>60</v>
      </c>
      <c r="L1518" t="s">
        <v>58</v>
      </c>
      <c r="M1518" t="s">
        <v>58</v>
      </c>
      <c r="N1518">
        <v>2</v>
      </c>
      <c r="O1518">
        <v>3</v>
      </c>
      <c r="P1518">
        <v>4</v>
      </c>
      <c r="Q1518">
        <v>3</v>
      </c>
      <c r="R1518">
        <v>2</v>
      </c>
      <c r="S1518">
        <v>2</v>
      </c>
      <c r="T1518">
        <v>2</v>
      </c>
      <c r="U1518">
        <v>3</v>
      </c>
      <c r="V1518">
        <v>5</v>
      </c>
      <c r="W1518">
        <v>5</v>
      </c>
      <c r="X1518">
        <v>3</v>
      </c>
      <c r="Y1518">
        <v>5</v>
      </c>
      <c r="Z1518">
        <v>4</v>
      </c>
      <c r="AA1518">
        <v>2</v>
      </c>
      <c r="AB1518">
        <v>2</v>
      </c>
      <c r="AC1518">
        <v>3</v>
      </c>
      <c r="AD1518">
        <v>3</v>
      </c>
      <c r="AE1518">
        <v>4</v>
      </c>
      <c r="AF1518">
        <v>4</v>
      </c>
      <c r="AG1518">
        <v>2</v>
      </c>
      <c r="AH1518">
        <v>5</v>
      </c>
      <c r="AI1518">
        <v>1</v>
      </c>
      <c r="AJ1518">
        <v>2</v>
      </c>
      <c r="AK1518" t="b">
        <f>Table67[[#This Row],[What is your age?]]&lt;&gt;"18 - 25"</f>
        <v>0</v>
      </c>
      <c r="AL1518" t="b">
        <f t="shared" si="92"/>
        <v>0</v>
      </c>
      <c r="AM1518" t="b">
        <f t="shared" si="93"/>
        <v>0</v>
      </c>
      <c r="AN1518" t="b">
        <f t="shared" si="94"/>
        <v>0</v>
      </c>
      <c r="AO1518" t="b">
        <f>OR(Table67[[#This Row],[Ineligible respondents]:[Inconsistent response on opposite question (3)]])</f>
        <v>0</v>
      </c>
      <c r="AP151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518">
        <f>Table67[[#This Row],[Extreme Response]]/21</f>
        <v>0.19047619047619047</v>
      </c>
      <c r="AR1518">
        <f>_xlfn.PERCENTILE.INC(Table67[Extrem Response Ratio (ERS)],0.9)</f>
        <v>0.61904761904761907</v>
      </c>
      <c r="AS1518" t="b">
        <f>Table67[[#This Row],[Extrem Response Ratio (ERS)]]&gt;=Table67[[#This Row],[Threshold of ERS]]</f>
        <v>0</v>
      </c>
      <c r="AT1518">
        <f>COUNTIF(Table67[[#This Row],[The mechanism of digital assets is difficult to understand, which discourages me from exploring it (E.g, Tokenization, Blockchain)]:[If I want to try different ways to invest, I will explore digital assets.]], 3)</f>
        <v>6</v>
      </c>
      <c r="AU1518">
        <f>Table67[[#This Row],[Midpoint]]/21</f>
        <v>0.2857142857142857</v>
      </c>
      <c r="AV1518">
        <f>_xlfn.PERCENTILE.INC(Table67[Midpoint ratio],0.9)</f>
        <v>0.5714285714285714</v>
      </c>
      <c r="AW1518" t="b">
        <f>Table67[[#This Row],[Midpoint ratio]]&gt;=Table67[[#This Row],[Threshold of Midpoint ratio]]</f>
        <v>0</v>
      </c>
      <c r="AX1518" t="b">
        <f>OR(Table67[[#This Row],[Extreme Response Style]],Table67[[#This Row],[Mid-point Response Style]])</f>
        <v>0</v>
      </c>
      <c r="AY1518" t="b">
        <f>OR(Table67[[#This Row],[Delete? (Stage 1)]],Table67[[#This Row],[Delete? (Stage 2)]])</f>
        <v>0</v>
      </c>
      <c r="AZ1518" t="s">
        <v>84</v>
      </c>
    </row>
    <row r="1519" spans="1:52">
      <c r="A1519">
        <f t="shared" si="95"/>
        <v>1518</v>
      </c>
      <c r="B1519" s="3">
        <v>46065.850590277776</v>
      </c>
      <c r="C1519" s="3">
        <v>46065.860509259262</v>
      </c>
      <c r="D1519" t="s">
        <v>53</v>
      </c>
      <c r="G1519" t="s">
        <v>54</v>
      </c>
      <c r="H1519" t="s">
        <v>55</v>
      </c>
      <c r="I1519" t="s">
        <v>56</v>
      </c>
      <c r="J1519" t="s">
        <v>62</v>
      </c>
      <c r="K1519" t="s">
        <v>57</v>
      </c>
      <c r="L1519" t="s">
        <v>58</v>
      </c>
      <c r="M1519" t="s">
        <v>58</v>
      </c>
      <c r="N1519">
        <v>1</v>
      </c>
      <c r="O1519">
        <v>1</v>
      </c>
      <c r="P1519">
        <v>3</v>
      </c>
      <c r="Q1519">
        <v>2</v>
      </c>
      <c r="R1519">
        <v>1</v>
      </c>
      <c r="S1519">
        <v>1</v>
      </c>
      <c r="T1519">
        <v>1</v>
      </c>
      <c r="U1519">
        <v>2</v>
      </c>
      <c r="V1519">
        <v>2</v>
      </c>
      <c r="W1519">
        <v>1</v>
      </c>
      <c r="X1519">
        <v>1</v>
      </c>
      <c r="Y1519">
        <v>1</v>
      </c>
      <c r="Z1519">
        <v>1</v>
      </c>
      <c r="AA1519">
        <v>2</v>
      </c>
      <c r="AB1519">
        <v>1</v>
      </c>
      <c r="AC1519">
        <v>2</v>
      </c>
      <c r="AD1519">
        <v>1</v>
      </c>
      <c r="AE1519">
        <v>1</v>
      </c>
      <c r="AF1519">
        <v>5</v>
      </c>
      <c r="AG1519">
        <v>1</v>
      </c>
      <c r="AH1519">
        <v>4</v>
      </c>
      <c r="AI1519">
        <v>2</v>
      </c>
      <c r="AJ1519">
        <v>1</v>
      </c>
      <c r="AK1519" t="b">
        <f>Table67[[#This Row],[What is your age?]]&lt;&gt;"18 - 25"</f>
        <v>0</v>
      </c>
      <c r="AL1519" t="b">
        <f t="shared" si="92"/>
        <v>0</v>
      </c>
      <c r="AM1519" t="b">
        <f t="shared" si="93"/>
        <v>0</v>
      </c>
      <c r="AN1519" t="b">
        <f t="shared" si="94"/>
        <v>0</v>
      </c>
      <c r="AO1519" t="b">
        <f>OR(Table67[[#This Row],[Ineligible respondents]:[Inconsistent response on opposite question (3)]])</f>
        <v>0</v>
      </c>
      <c r="AP151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1519">
        <f>Table67[[#This Row],[Extreme Response]]/21</f>
        <v>0.66666666666666663</v>
      </c>
      <c r="AR1519">
        <f>_xlfn.PERCENTILE.INC(Table67[Extrem Response Ratio (ERS)],0.9)</f>
        <v>0.61904761904761907</v>
      </c>
      <c r="AS1519" t="b">
        <f>Table67[[#This Row],[Extrem Response Ratio (ERS)]]&gt;=Table67[[#This Row],[Threshold of ERS]]</f>
        <v>1</v>
      </c>
      <c r="AT1519">
        <f>COUNTIF(Table67[[#This Row],[The mechanism of digital assets is difficult to understand, which discourages me from exploring it (E.g, Tokenization, Blockchain)]:[If I want to try different ways to invest, I will explore digital assets.]], 3)</f>
        <v>1</v>
      </c>
      <c r="AU1519">
        <f>Table67[[#This Row],[Midpoint]]/21</f>
        <v>4.7619047619047616E-2</v>
      </c>
      <c r="AV1519">
        <f>_xlfn.PERCENTILE.INC(Table67[Midpoint ratio],0.9)</f>
        <v>0.5714285714285714</v>
      </c>
      <c r="AW1519" t="b">
        <f>Table67[[#This Row],[Midpoint ratio]]&gt;=Table67[[#This Row],[Threshold of Midpoint ratio]]</f>
        <v>0</v>
      </c>
      <c r="AX1519" t="b">
        <f>OR(Table67[[#This Row],[Extreme Response Style]],Table67[[#This Row],[Mid-point Response Style]])</f>
        <v>1</v>
      </c>
      <c r="AY1519" t="b">
        <f>OR(Table67[[#This Row],[Delete? (Stage 1)]],Table67[[#This Row],[Delete? (Stage 2)]])</f>
        <v>1</v>
      </c>
      <c r="AZ1519" t="s">
        <v>84</v>
      </c>
    </row>
    <row r="1520" spans="1:52">
      <c r="A1520">
        <f t="shared" si="95"/>
        <v>1519</v>
      </c>
      <c r="B1520" s="3">
        <v>46065.842164351852</v>
      </c>
      <c r="C1520" s="3">
        <v>46065.847060185188</v>
      </c>
      <c r="D1520" t="s">
        <v>53</v>
      </c>
      <c r="G1520" t="s">
        <v>54</v>
      </c>
      <c r="H1520" t="s">
        <v>63</v>
      </c>
      <c r="I1520" t="s">
        <v>56</v>
      </c>
      <c r="J1520" t="s">
        <v>60</v>
      </c>
      <c r="K1520" t="s">
        <v>62</v>
      </c>
      <c r="L1520" t="s">
        <v>58</v>
      </c>
      <c r="M1520" t="s">
        <v>58</v>
      </c>
      <c r="N1520">
        <v>4</v>
      </c>
      <c r="O1520">
        <v>4</v>
      </c>
      <c r="P1520">
        <v>5</v>
      </c>
      <c r="Q1520">
        <v>4</v>
      </c>
      <c r="R1520">
        <v>4</v>
      </c>
      <c r="S1520">
        <v>4</v>
      </c>
      <c r="T1520">
        <v>4</v>
      </c>
      <c r="U1520">
        <v>4</v>
      </c>
      <c r="V1520">
        <v>5</v>
      </c>
      <c r="W1520">
        <v>4</v>
      </c>
      <c r="X1520">
        <v>4</v>
      </c>
      <c r="Y1520">
        <v>4</v>
      </c>
      <c r="Z1520">
        <v>4</v>
      </c>
      <c r="AA1520">
        <v>4</v>
      </c>
      <c r="AB1520">
        <v>4</v>
      </c>
      <c r="AC1520">
        <v>5</v>
      </c>
      <c r="AD1520">
        <v>4</v>
      </c>
      <c r="AE1520">
        <v>5</v>
      </c>
      <c r="AF1520">
        <v>3</v>
      </c>
      <c r="AG1520">
        <v>2</v>
      </c>
      <c r="AH1520">
        <v>5</v>
      </c>
      <c r="AI1520">
        <v>1</v>
      </c>
      <c r="AJ1520">
        <v>3</v>
      </c>
      <c r="AK1520" t="b">
        <f>Table67[[#This Row],[What is your age?]]&lt;&gt;"18 - 25"</f>
        <v>0</v>
      </c>
      <c r="AL1520" t="b">
        <f t="shared" si="92"/>
        <v>0</v>
      </c>
      <c r="AM1520" t="b">
        <f t="shared" si="93"/>
        <v>0</v>
      </c>
      <c r="AN1520" t="b">
        <f t="shared" si="94"/>
        <v>0</v>
      </c>
      <c r="AO1520" t="b">
        <f>OR(Table67[[#This Row],[Ineligible respondents]:[Inconsistent response on opposite question (3)]])</f>
        <v>0</v>
      </c>
      <c r="AP152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520">
        <f>Table67[[#This Row],[Extreme Response]]/21</f>
        <v>0.23809523809523808</v>
      </c>
      <c r="AR1520">
        <f>_xlfn.PERCENTILE.INC(Table67[Extrem Response Ratio (ERS)],0.9)</f>
        <v>0.61904761904761907</v>
      </c>
      <c r="AS1520" t="b">
        <f>Table67[[#This Row],[Extrem Response Ratio (ERS)]]&gt;=Table67[[#This Row],[Threshold of ERS]]</f>
        <v>0</v>
      </c>
      <c r="AT1520">
        <f>COUNTIF(Table67[[#This Row],[The mechanism of digital assets is difficult to understand, which discourages me from exploring it (E.g, Tokenization, Blockchain)]:[If I want to try different ways to invest, I will explore digital assets.]], 3)</f>
        <v>1</v>
      </c>
      <c r="AU1520">
        <f>Table67[[#This Row],[Midpoint]]/21</f>
        <v>4.7619047619047616E-2</v>
      </c>
      <c r="AV1520">
        <f>_xlfn.PERCENTILE.INC(Table67[Midpoint ratio],0.9)</f>
        <v>0.5714285714285714</v>
      </c>
      <c r="AW1520" t="b">
        <f>Table67[[#This Row],[Midpoint ratio]]&gt;=Table67[[#This Row],[Threshold of Midpoint ratio]]</f>
        <v>0</v>
      </c>
      <c r="AX1520" t="b">
        <f>OR(Table67[[#This Row],[Extreme Response Style]],Table67[[#This Row],[Mid-point Response Style]])</f>
        <v>0</v>
      </c>
      <c r="AY1520" t="b">
        <f>OR(Table67[[#This Row],[Delete? (Stage 1)]],Table67[[#This Row],[Delete? (Stage 2)]])</f>
        <v>0</v>
      </c>
      <c r="AZ1520" t="s">
        <v>84</v>
      </c>
    </row>
    <row r="1521" spans="1:52">
      <c r="A1521">
        <f t="shared" si="95"/>
        <v>1520</v>
      </c>
      <c r="B1521" s="3">
        <v>46065.890729166669</v>
      </c>
      <c r="C1521" s="3">
        <v>46065.894999999997</v>
      </c>
      <c r="D1521" t="s">
        <v>53</v>
      </c>
      <c r="G1521" t="s">
        <v>54</v>
      </c>
      <c r="H1521" t="s">
        <v>55</v>
      </c>
      <c r="I1521" t="s">
        <v>71</v>
      </c>
      <c r="J1521" t="s">
        <v>62</v>
      </c>
      <c r="K1521" t="s">
        <v>62</v>
      </c>
      <c r="L1521" t="s">
        <v>58</v>
      </c>
      <c r="M1521" t="s">
        <v>58</v>
      </c>
      <c r="N1521">
        <v>1</v>
      </c>
      <c r="O1521">
        <v>1</v>
      </c>
      <c r="P1521">
        <v>3</v>
      </c>
      <c r="Q1521">
        <v>3</v>
      </c>
      <c r="R1521">
        <v>1</v>
      </c>
      <c r="S1521">
        <v>2</v>
      </c>
      <c r="T1521">
        <v>2</v>
      </c>
      <c r="U1521">
        <v>3</v>
      </c>
      <c r="V1521">
        <v>3</v>
      </c>
      <c r="W1521">
        <v>4</v>
      </c>
      <c r="X1521">
        <v>2</v>
      </c>
      <c r="Y1521">
        <v>4</v>
      </c>
      <c r="Z1521">
        <v>3</v>
      </c>
      <c r="AA1521">
        <v>2</v>
      </c>
      <c r="AB1521">
        <v>1</v>
      </c>
      <c r="AC1521">
        <v>3</v>
      </c>
      <c r="AD1521">
        <v>3</v>
      </c>
      <c r="AE1521">
        <v>2</v>
      </c>
      <c r="AF1521">
        <v>4</v>
      </c>
      <c r="AG1521">
        <v>2</v>
      </c>
      <c r="AH1521">
        <v>4</v>
      </c>
      <c r="AI1521">
        <v>2</v>
      </c>
      <c r="AJ1521">
        <v>2</v>
      </c>
      <c r="AK1521" t="b">
        <f>Table67[[#This Row],[What is your age?]]&lt;&gt;"18 - 25"</f>
        <v>0</v>
      </c>
      <c r="AL1521" t="b">
        <f t="shared" si="92"/>
        <v>0</v>
      </c>
      <c r="AM1521" t="b">
        <f t="shared" si="93"/>
        <v>0</v>
      </c>
      <c r="AN1521" t="b">
        <f t="shared" si="94"/>
        <v>0</v>
      </c>
      <c r="AO1521" t="b">
        <f>OR(Table67[[#This Row],[Ineligible respondents]:[Inconsistent response on opposite question (3)]])</f>
        <v>0</v>
      </c>
      <c r="AP152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521">
        <f>Table67[[#This Row],[Extreme Response]]/21</f>
        <v>0.19047619047619047</v>
      </c>
      <c r="AR1521">
        <f>_xlfn.PERCENTILE.INC(Table67[Extrem Response Ratio (ERS)],0.9)</f>
        <v>0.61904761904761907</v>
      </c>
      <c r="AS1521" t="b">
        <f>Table67[[#This Row],[Extrem Response Ratio (ERS)]]&gt;=Table67[[#This Row],[Threshold of ERS]]</f>
        <v>0</v>
      </c>
      <c r="AT1521">
        <f>COUNTIF(Table67[[#This Row],[The mechanism of digital assets is difficult to understand, which discourages me from exploring it (E.g, Tokenization, Blockchain)]:[If I want to try different ways to invest, I will explore digital assets.]], 3)</f>
        <v>7</v>
      </c>
      <c r="AU1521">
        <f>Table67[[#This Row],[Midpoint]]/21</f>
        <v>0.33333333333333331</v>
      </c>
      <c r="AV1521">
        <f>_xlfn.PERCENTILE.INC(Table67[Midpoint ratio],0.9)</f>
        <v>0.5714285714285714</v>
      </c>
      <c r="AW1521" t="b">
        <f>Table67[[#This Row],[Midpoint ratio]]&gt;=Table67[[#This Row],[Threshold of Midpoint ratio]]</f>
        <v>0</v>
      </c>
      <c r="AX1521" t="b">
        <f>OR(Table67[[#This Row],[Extreme Response Style]],Table67[[#This Row],[Mid-point Response Style]])</f>
        <v>0</v>
      </c>
      <c r="AY1521" t="b">
        <f>OR(Table67[[#This Row],[Delete? (Stage 1)]],Table67[[#This Row],[Delete? (Stage 2)]])</f>
        <v>0</v>
      </c>
      <c r="AZ1521" t="s">
        <v>84</v>
      </c>
    </row>
    <row r="1522" spans="1:52">
      <c r="A1522">
        <f t="shared" si="95"/>
        <v>1521</v>
      </c>
      <c r="B1522" s="3">
        <v>46062.039814814816</v>
      </c>
      <c r="C1522" s="3">
        <v>46062.040752314817</v>
      </c>
      <c r="D1522" t="s">
        <v>53</v>
      </c>
      <c r="G1522" t="s">
        <v>54</v>
      </c>
      <c r="H1522" t="s">
        <v>55</v>
      </c>
      <c r="I1522" t="s">
        <v>56</v>
      </c>
      <c r="J1522" t="s">
        <v>62</v>
      </c>
      <c r="K1522" t="s">
        <v>62</v>
      </c>
      <c r="L1522" t="s">
        <v>58</v>
      </c>
      <c r="M1522" t="s">
        <v>58</v>
      </c>
      <c r="N1522">
        <v>5</v>
      </c>
      <c r="O1522">
        <v>4</v>
      </c>
      <c r="P1522">
        <v>4</v>
      </c>
      <c r="Q1522">
        <v>4</v>
      </c>
      <c r="R1522">
        <v>4</v>
      </c>
      <c r="S1522">
        <v>4</v>
      </c>
      <c r="T1522">
        <v>5</v>
      </c>
      <c r="U1522">
        <v>4</v>
      </c>
      <c r="V1522">
        <v>4</v>
      </c>
      <c r="W1522">
        <v>4</v>
      </c>
      <c r="X1522">
        <v>5</v>
      </c>
      <c r="Y1522">
        <v>4</v>
      </c>
      <c r="Z1522">
        <v>4</v>
      </c>
      <c r="AA1522">
        <v>4</v>
      </c>
      <c r="AB1522">
        <v>4</v>
      </c>
      <c r="AC1522">
        <v>5</v>
      </c>
      <c r="AD1522">
        <v>3</v>
      </c>
      <c r="AE1522">
        <v>3</v>
      </c>
      <c r="AF1522">
        <v>2</v>
      </c>
      <c r="AG1522">
        <v>4</v>
      </c>
      <c r="AH1522">
        <v>3</v>
      </c>
      <c r="AI1522">
        <v>3</v>
      </c>
      <c r="AJ1522">
        <v>4</v>
      </c>
      <c r="AK1522" t="b">
        <f>Table67[[#This Row],[What is your age?]]&lt;&gt;"18 - 25"</f>
        <v>0</v>
      </c>
      <c r="AL1522" t="b">
        <f t="shared" si="92"/>
        <v>0</v>
      </c>
      <c r="AM1522" t="b">
        <f t="shared" si="93"/>
        <v>0</v>
      </c>
      <c r="AN1522" t="b">
        <f t="shared" si="94"/>
        <v>1</v>
      </c>
      <c r="AO1522" t="b">
        <f>OR(Table67[[#This Row],[Ineligible respondents]:[Inconsistent response on opposite question (3)]])</f>
        <v>1</v>
      </c>
      <c r="AP152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522">
        <f>Table67[[#This Row],[Extreme Response]]/21</f>
        <v>0.19047619047619047</v>
      </c>
      <c r="AR1522">
        <f>_xlfn.PERCENTILE.INC(Table67[Extrem Response Ratio (ERS)],0.9)</f>
        <v>0.61904761904761907</v>
      </c>
      <c r="AS1522" t="b">
        <f>Table67[[#This Row],[Extrem Response Ratio (ERS)]]&gt;=Table67[[#This Row],[Threshold of ERS]]</f>
        <v>0</v>
      </c>
      <c r="AT1522">
        <f>COUNTIF(Table67[[#This Row],[The mechanism of digital assets is difficult to understand, which discourages me from exploring it (E.g, Tokenization, Blockchain)]:[If I want to try different ways to invest, I will explore digital assets.]], 3)</f>
        <v>3</v>
      </c>
      <c r="AU1522">
        <f>Table67[[#This Row],[Midpoint]]/21</f>
        <v>0.14285714285714285</v>
      </c>
      <c r="AV1522">
        <f>_xlfn.PERCENTILE.INC(Table67[Midpoint ratio],0.9)</f>
        <v>0.5714285714285714</v>
      </c>
      <c r="AW1522" t="b">
        <f>Table67[[#This Row],[Midpoint ratio]]&gt;=Table67[[#This Row],[Threshold of Midpoint ratio]]</f>
        <v>0</v>
      </c>
      <c r="AX1522" t="b">
        <f>OR(Table67[[#This Row],[Extreme Response Style]],Table67[[#This Row],[Mid-point Response Style]])</f>
        <v>0</v>
      </c>
      <c r="AY1522" t="b">
        <f>OR(Table67[[#This Row],[Delete? (Stage 1)]],Table67[[#This Row],[Delete? (Stage 2)]])</f>
        <v>1</v>
      </c>
      <c r="AZ1522" t="s">
        <v>84</v>
      </c>
    </row>
    <row r="1523" spans="1:52">
      <c r="A1523">
        <f t="shared" si="95"/>
        <v>1522</v>
      </c>
      <c r="B1523" s="3">
        <v>46065.718831018516</v>
      </c>
      <c r="C1523" s="3">
        <v>46065.719201388885</v>
      </c>
      <c r="D1523" t="s">
        <v>53</v>
      </c>
      <c r="G1523" t="s">
        <v>54</v>
      </c>
      <c r="H1523" t="s">
        <v>55</v>
      </c>
      <c r="I1523" t="s">
        <v>75</v>
      </c>
      <c r="J1523" t="s">
        <v>66</v>
      </c>
      <c r="K1523" t="s">
        <v>67</v>
      </c>
      <c r="L1523" t="s">
        <v>61</v>
      </c>
      <c r="M1523" t="s">
        <v>58</v>
      </c>
      <c r="N1523">
        <v>2</v>
      </c>
      <c r="O1523">
        <v>2</v>
      </c>
      <c r="P1523">
        <v>2</v>
      </c>
      <c r="Q1523">
        <v>1</v>
      </c>
      <c r="R1523">
        <v>2</v>
      </c>
      <c r="S1523">
        <v>1</v>
      </c>
      <c r="T1523">
        <v>2</v>
      </c>
      <c r="U1523">
        <v>1</v>
      </c>
      <c r="V1523">
        <v>3</v>
      </c>
      <c r="W1523">
        <v>4</v>
      </c>
      <c r="X1523">
        <v>2</v>
      </c>
      <c r="Y1523">
        <v>3</v>
      </c>
      <c r="Z1523">
        <v>2</v>
      </c>
      <c r="AA1523">
        <v>2</v>
      </c>
      <c r="AB1523">
        <v>2</v>
      </c>
      <c r="AC1523">
        <v>1</v>
      </c>
      <c r="AD1523">
        <v>2</v>
      </c>
      <c r="AE1523">
        <v>2</v>
      </c>
      <c r="AF1523">
        <v>5</v>
      </c>
      <c r="AG1523">
        <v>1</v>
      </c>
      <c r="AH1523">
        <v>4</v>
      </c>
      <c r="AI1523">
        <v>2</v>
      </c>
      <c r="AJ1523">
        <v>1</v>
      </c>
      <c r="AK1523" t="b">
        <f>Table67[[#This Row],[What is your age?]]&lt;&gt;"18 - 25"</f>
        <v>0</v>
      </c>
      <c r="AL1523" t="b">
        <f t="shared" si="92"/>
        <v>0</v>
      </c>
      <c r="AM1523" t="b">
        <f t="shared" si="93"/>
        <v>0</v>
      </c>
      <c r="AN1523" t="b">
        <f t="shared" si="94"/>
        <v>0</v>
      </c>
      <c r="AO1523" t="b">
        <f>OR(Table67[[#This Row],[Ineligible respondents]:[Inconsistent response on opposite question (3)]])</f>
        <v>0</v>
      </c>
      <c r="AP152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523">
        <f>Table67[[#This Row],[Extreme Response]]/21</f>
        <v>0.2857142857142857</v>
      </c>
      <c r="AR1523">
        <f>_xlfn.PERCENTILE.INC(Table67[Extrem Response Ratio (ERS)],0.9)</f>
        <v>0.61904761904761907</v>
      </c>
      <c r="AS1523" t="b">
        <f>Table67[[#This Row],[Extrem Response Ratio (ERS)]]&gt;=Table67[[#This Row],[Threshold of ERS]]</f>
        <v>0</v>
      </c>
      <c r="AT1523">
        <f>COUNTIF(Table67[[#This Row],[The mechanism of digital assets is difficult to understand, which discourages me from exploring it (E.g, Tokenization, Blockchain)]:[If I want to try different ways to invest, I will explore digital assets.]], 3)</f>
        <v>2</v>
      </c>
      <c r="AU1523">
        <f>Table67[[#This Row],[Midpoint]]/21</f>
        <v>9.5238095238095233E-2</v>
      </c>
      <c r="AV1523">
        <f>_xlfn.PERCENTILE.INC(Table67[Midpoint ratio],0.9)</f>
        <v>0.5714285714285714</v>
      </c>
      <c r="AW1523" t="b">
        <f>Table67[[#This Row],[Midpoint ratio]]&gt;=Table67[[#This Row],[Threshold of Midpoint ratio]]</f>
        <v>0</v>
      </c>
      <c r="AX1523" t="b">
        <f>OR(Table67[[#This Row],[Extreme Response Style]],Table67[[#This Row],[Mid-point Response Style]])</f>
        <v>0</v>
      </c>
      <c r="AY1523" t="b">
        <f>OR(Table67[[#This Row],[Delete? (Stage 1)]],Table67[[#This Row],[Delete? (Stage 2)]])</f>
        <v>0</v>
      </c>
      <c r="AZ1523" t="s">
        <v>84</v>
      </c>
    </row>
    <row r="1524" spans="1:52">
      <c r="A1524">
        <f t="shared" si="95"/>
        <v>1523</v>
      </c>
      <c r="B1524" s="3">
        <v>46062.026666666665</v>
      </c>
      <c r="C1524" s="3">
        <v>46062.028819444444</v>
      </c>
      <c r="D1524" t="s">
        <v>53</v>
      </c>
      <c r="G1524" t="s">
        <v>54</v>
      </c>
      <c r="H1524" t="s">
        <v>55</v>
      </c>
      <c r="I1524" t="s">
        <v>71</v>
      </c>
      <c r="J1524" t="s">
        <v>67</v>
      </c>
      <c r="K1524" t="s">
        <v>57</v>
      </c>
      <c r="L1524" t="s">
        <v>58</v>
      </c>
      <c r="M1524" t="s">
        <v>58</v>
      </c>
      <c r="N1524">
        <v>5</v>
      </c>
      <c r="O1524">
        <v>3</v>
      </c>
      <c r="P1524">
        <v>5</v>
      </c>
      <c r="Q1524">
        <v>5</v>
      </c>
      <c r="R1524">
        <v>1</v>
      </c>
      <c r="S1524">
        <v>5</v>
      </c>
      <c r="T1524">
        <v>3</v>
      </c>
      <c r="U1524">
        <v>5</v>
      </c>
      <c r="V1524">
        <v>3</v>
      </c>
      <c r="W1524">
        <v>3</v>
      </c>
      <c r="X1524">
        <v>2</v>
      </c>
      <c r="Y1524">
        <v>1</v>
      </c>
      <c r="Z1524">
        <v>1</v>
      </c>
      <c r="AA1524">
        <v>2</v>
      </c>
      <c r="AB1524">
        <v>2</v>
      </c>
      <c r="AC1524">
        <v>2</v>
      </c>
      <c r="AD1524">
        <v>3</v>
      </c>
      <c r="AE1524">
        <v>1</v>
      </c>
      <c r="AF1524">
        <v>4</v>
      </c>
      <c r="AG1524">
        <v>2</v>
      </c>
      <c r="AH1524">
        <v>3</v>
      </c>
      <c r="AI1524">
        <v>3</v>
      </c>
      <c r="AJ1524">
        <v>2</v>
      </c>
      <c r="AK1524" t="b">
        <f>Table67[[#This Row],[What is your age?]]&lt;&gt;"18 - 25"</f>
        <v>0</v>
      </c>
      <c r="AL1524" t="b">
        <f t="shared" si="92"/>
        <v>0</v>
      </c>
      <c r="AM1524" t="b">
        <f t="shared" si="93"/>
        <v>0</v>
      </c>
      <c r="AN1524" t="b">
        <f t="shared" si="94"/>
        <v>1</v>
      </c>
      <c r="AO1524" t="b">
        <f>OR(Table67[[#This Row],[Ineligible respondents]:[Inconsistent response on opposite question (3)]])</f>
        <v>1</v>
      </c>
      <c r="AP152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1524">
        <f>Table67[[#This Row],[Extreme Response]]/21</f>
        <v>0.42857142857142855</v>
      </c>
      <c r="AR1524">
        <f>_xlfn.PERCENTILE.INC(Table67[Extrem Response Ratio (ERS)],0.9)</f>
        <v>0.61904761904761907</v>
      </c>
      <c r="AS1524" t="b">
        <f>Table67[[#This Row],[Extrem Response Ratio (ERS)]]&gt;=Table67[[#This Row],[Threshold of ERS]]</f>
        <v>0</v>
      </c>
      <c r="AT1524">
        <f>COUNTIF(Table67[[#This Row],[The mechanism of digital assets is difficult to understand, which discourages me from exploring it (E.g, Tokenization, Blockchain)]:[If I want to try different ways to invest, I will explore digital assets.]], 3)</f>
        <v>6</v>
      </c>
      <c r="AU1524">
        <f>Table67[[#This Row],[Midpoint]]/21</f>
        <v>0.2857142857142857</v>
      </c>
      <c r="AV1524">
        <f>_xlfn.PERCENTILE.INC(Table67[Midpoint ratio],0.9)</f>
        <v>0.5714285714285714</v>
      </c>
      <c r="AW1524" t="b">
        <f>Table67[[#This Row],[Midpoint ratio]]&gt;=Table67[[#This Row],[Threshold of Midpoint ratio]]</f>
        <v>0</v>
      </c>
      <c r="AX1524" t="b">
        <f>OR(Table67[[#This Row],[Extreme Response Style]],Table67[[#This Row],[Mid-point Response Style]])</f>
        <v>0</v>
      </c>
      <c r="AY1524" t="b">
        <f>OR(Table67[[#This Row],[Delete? (Stage 1)]],Table67[[#This Row],[Delete? (Stage 2)]])</f>
        <v>1</v>
      </c>
      <c r="AZ1524" t="s">
        <v>84</v>
      </c>
    </row>
    <row r="1525" spans="1:52">
      <c r="A1525">
        <f t="shared" si="95"/>
        <v>1524</v>
      </c>
      <c r="B1525" s="3">
        <v>46065.832662037035</v>
      </c>
      <c r="C1525" s="3">
        <v>46065.841643518521</v>
      </c>
      <c r="D1525" t="s">
        <v>53</v>
      </c>
      <c r="G1525" t="s">
        <v>54</v>
      </c>
      <c r="H1525" t="s">
        <v>63</v>
      </c>
      <c r="I1525" t="s">
        <v>56</v>
      </c>
      <c r="J1525" t="s">
        <v>65</v>
      </c>
      <c r="K1525" t="s">
        <v>62</v>
      </c>
      <c r="L1525" t="s">
        <v>61</v>
      </c>
      <c r="M1525" t="s">
        <v>58</v>
      </c>
      <c r="N1525">
        <v>2</v>
      </c>
      <c r="O1525">
        <v>1</v>
      </c>
      <c r="P1525">
        <v>2</v>
      </c>
      <c r="Q1525">
        <v>1</v>
      </c>
      <c r="R1525">
        <v>1</v>
      </c>
      <c r="S1525">
        <v>3</v>
      </c>
      <c r="T1525">
        <v>3</v>
      </c>
      <c r="U1525">
        <v>1</v>
      </c>
      <c r="V1525">
        <v>3</v>
      </c>
      <c r="W1525">
        <v>3</v>
      </c>
      <c r="X1525">
        <v>3</v>
      </c>
      <c r="Y1525">
        <v>4</v>
      </c>
      <c r="Z1525">
        <v>3</v>
      </c>
      <c r="AA1525">
        <v>2</v>
      </c>
      <c r="AB1525">
        <v>3</v>
      </c>
      <c r="AC1525">
        <v>1</v>
      </c>
      <c r="AD1525">
        <v>2</v>
      </c>
      <c r="AE1525">
        <v>2</v>
      </c>
      <c r="AF1525">
        <v>2</v>
      </c>
      <c r="AG1525">
        <v>3</v>
      </c>
      <c r="AH1525">
        <v>3</v>
      </c>
      <c r="AI1525">
        <v>3</v>
      </c>
      <c r="AJ1525">
        <v>4</v>
      </c>
      <c r="AK1525" t="b">
        <f>Table67[[#This Row],[What is your age?]]&lt;&gt;"18 - 25"</f>
        <v>0</v>
      </c>
      <c r="AL1525" t="b">
        <f t="shared" si="92"/>
        <v>0</v>
      </c>
      <c r="AM1525" t="b">
        <f t="shared" si="93"/>
        <v>0</v>
      </c>
      <c r="AN1525" t="b">
        <f t="shared" si="94"/>
        <v>0</v>
      </c>
      <c r="AO1525" t="b">
        <f>OR(Table67[[#This Row],[Ineligible respondents]:[Inconsistent response on opposite question (3)]])</f>
        <v>0</v>
      </c>
      <c r="AP152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525">
        <f>Table67[[#This Row],[Extreme Response]]/21</f>
        <v>0.23809523809523808</v>
      </c>
      <c r="AR1525">
        <f>_xlfn.PERCENTILE.INC(Table67[Extrem Response Ratio (ERS)],0.9)</f>
        <v>0.61904761904761907</v>
      </c>
      <c r="AS1525" t="b">
        <f>Table67[[#This Row],[Extrem Response Ratio (ERS)]]&gt;=Table67[[#This Row],[Threshold of ERS]]</f>
        <v>0</v>
      </c>
      <c r="AT1525">
        <f>COUNTIF(Table67[[#This Row],[The mechanism of digital assets is difficult to understand, which discourages me from exploring it (E.g, Tokenization, Blockchain)]:[If I want to try different ways to invest, I will explore digital assets.]], 3)</f>
        <v>9</v>
      </c>
      <c r="AU1525">
        <f>Table67[[#This Row],[Midpoint]]/21</f>
        <v>0.42857142857142855</v>
      </c>
      <c r="AV1525">
        <f>_xlfn.PERCENTILE.INC(Table67[Midpoint ratio],0.9)</f>
        <v>0.5714285714285714</v>
      </c>
      <c r="AW1525" t="b">
        <f>Table67[[#This Row],[Midpoint ratio]]&gt;=Table67[[#This Row],[Threshold of Midpoint ratio]]</f>
        <v>0</v>
      </c>
      <c r="AX1525" t="b">
        <f>OR(Table67[[#This Row],[Extreme Response Style]],Table67[[#This Row],[Mid-point Response Style]])</f>
        <v>0</v>
      </c>
      <c r="AY1525" t="b">
        <f>OR(Table67[[#This Row],[Delete? (Stage 1)]],Table67[[#This Row],[Delete? (Stage 2)]])</f>
        <v>0</v>
      </c>
      <c r="AZ1525" t="s">
        <v>84</v>
      </c>
    </row>
    <row r="1526" spans="1:52">
      <c r="A1526">
        <f t="shared" si="95"/>
        <v>1525</v>
      </c>
      <c r="B1526" s="3">
        <v>46065.832916666666</v>
      </c>
      <c r="C1526" s="3">
        <v>46065.841620370367</v>
      </c>
      <c r="D1526" t="s">
        <v>53</v>
      </c>
      <c r="G1526" t="s">
        <v>54</v>
      </c>
      <c r="H1526" t="s">
        <v>63</v>
      </c>
      <c r="I1526" t="s">
        <v>71</v>
      </c>
      <c r="J1526" t="s">
        <v>62</v>
      </c>
      <c r="K1526" t="s">
        <v>62</v>
      </c>
      <c r="L1526" t="s">
        <v>58</v>
      </c>
      <c r="M1526" t="s">
        <v>58</v>
      </c>
      <c r="N1526">
        <v>2</v>
      </c>
      <c r="O1526">
        <v>2</v>
      </c>
      <c r="P1526">
        <v>3</v>
      </c>
      <c r="Q1526">
        <v>3</v>
      </c>
      <c r="R1526">
        <v>2</v>
      </c>
      <c r="S1526">
        <v>2</v>
      </c>
      <c r="T1526">
        <v>2</v>
      </c>
      <c r="U1526">
        <v>3</v>
      </c>
      <c r="V1526">
        <v>3</v>
      </c>
      <c r="W1526">
        <v>3</v>
      </c>
      <c r="X1526">
        <v>3</v>
      </c>
      <c r="Y1526">
        <v>3</v>
      </c>
      <c r="Z1526">
        <v>3</v>
      </c>
      <c r="AA1526">
        <v>2</v>
      </c>
      <c r="AB1526">
        <v>2</v>
      </c>
      <c r="AC1526">
        <v>3</v>
      </c>
      <c r="AD1526">
        <v>3</v>
      </c>
      <c r="AE1526">
        <v>3</v>
      </c>
      <c r="AF1526">
        <v>4</v>
      </c>
      <c r="AG1526">
        <v>2</v>
      </c>
      <c r="AH1526">
        <v>4</v>
      </c>
      <c r="AI1526">
        <v>2</v>
      </c>
      <c r="AJ1526">
        <v>2</v>
      </c>
      <c r="AK1526" t="b">
        <f>Table67[[#This Row],[What is your age?]]&lt;&gt;"18 - 25"</f>
        <v>0</v>
      </c>
      <c r="AL1526" t="b">
        <f t="shared" si="92"/>
        <v>0</v>
      </c>
      <c r="AM1526" t="b">
        <f t="shared" si="93"/>
        <v>0</v>
      </c>
      <c r="AN1526" t="b">
        <f t="shared" si="94"/>
        <v>0</v>
      </c>
      <c r="AO1526" t="b">
        <f>OR(Table67[[#This Row],[Ineligible respondents]:[Inconsistent response on opposite question (3)]])</f>
        <v>0</v>
      </c>
      <c r="AP152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526">
        <f>Table67[[#This Row],[Extreme Response]]/21</f>
        <v>0</v>
      </c>
      <c r="AR1526">
        <f>_xlfn.PERCENTILE.INC(Table67[Extrem Response Ratio (ERS)],0.9)</f>
        <v>0.61904761904761907</v>
      </c>
      <c r="AS1526" t="b">
        <f>Table67[[#This Row],[Extrem Response Ratio (ERS)]]&gt;=Table67[[#This Row],[Threshold of ERS]]</f>
        <v>0</v>
      </c>
      <c r="AT1526">
        <f>COUNTIF(Table67[[#This Row],[The mechanism of digital assets is difficult to understand, which discourages me from exploring it (E.g, Tokenization, Blockchain)]:[If I want to try different ways to invest, I will explore digital assets.]], 3)</f>
        <v>11</v>
      </c>
      <c r="AU1526">
        <f>Table67[[#This Row],[Midpoint]]/21</f>
        <v>0.52380952380952384</v>
      </c>
      <c r="AV1526">
        <f>_xlfn.PERCENTILE.INC(Table67[Midpoint ratio],0.9)</f>
        <v>0.5714285714285714</v>
      </c>
      <c r="AW1526" t="b">
        <f>Table67[[#This Row],[Midpoint ratio]]&gt;=Table67[[#This Row],[Threshold of Midpoint ratio]]</f>
        <v>0</v>
      </c>
      <c r="AX1526" t="b">
        <f>OR(Table67[[#This Row],[Extreme Response Style]],Table67[[#This Row],[Mid-point Response Style]])</f>
        <v>0</v>
      </c>
      <c r="AY1526" t="b">
        <f>OR(Table67[[#This Row],[Delete? (Stage 1)]],Table67[[#This Row],[Delete? (Stage 2)]])</f>
        <v>0</v>
      </c>
      <c r="AZ1526" t="s">
        <v>84</v>
      </c>
    </row>
    <row r="1527" spans="1:52">
      <c r="A1527">
        <f t="shared" si="95"/>
        <v>1526</v>
      </c>
      <c r="B1527" s="3">
        <v>46065.728113425925</v>
      </c>
      <c r="C1527" s="3">
        <v>46065.728634259256</v>
      </c>
      <c r="D1527" t="s">
        <v>53</v>
      </c>
      <c r="G1527" t="s">
        <v>54</v>
      </c>
      <c r="H1527" t="s">
        <v>63</v>
      </c>
      <c r="I1527" t="s">
        <v>75</v>
      </c>
      <c r="J1527" t="s">
        <v>60</v>
      </c>
      <c r="K1527" t="s">
        <v>57</v>
      </c>
      <c r="L1527" t="s">
        <v>58</v>
      </c>
      <c r="M1527" t="s">
        <v>58</v>
      </c>
      <c r="N1527">
        <v>3</v>
      </c>
      <c r="O1527">
        <v>3</v>
      </c>
      <c r="P1527">
        <v>2</v>
      </c>
      <c r="Q1527">
        <v>2</v>
      </c>
      <c r="R1527">
        <v>3</v>
      </c>
      <c r="S1527">
        <v>2</v>
      </c>
      <c r="T1527">
        <v>3</v>
      </c>
      <c r="U1527">
        <v>2</v>
      </c>
      <c r="V1527">
        <v>5</v>
      </c>
      <c r="W1527">
        <v>4</v>
      </c>
      <c r="X1527">
        <v>2</v>
      </c>
      <c r="Y1527">
        <v>5</v>
      </c>
      <c r="Z1527">
        <v>2</v>
      </c>
      <c r="AA1527">
        <v>3</v>
      </c>
      <c r="AB1527">
        <v>3</v>
      </c>
      <c r="AC1527">
        <v>1</v>
      </c>
      <c r="AD1527">
        <v>2</v>
      </c>
      <c r="AE1527">
        <v>2</v>
      </c>
      <c r="AF1527">
        <v>4</v>
      </c>
      <c r="AG1527">
        <v>2</v>
      </c>
      <c r="AH1527">
        <v>4</v>
      </c>
      <c r="AI1527">
        <v>2</v>
      </c>
      <c r="AJ1527">
        <v>2</v>
      </c>
      <c r="AK1527" t="b">
        <f>Table67[[#This Row],[What is your age?]]&lt;&gt;"18 - 25"</f>
        <v>0</v>
      </c>
      <c r="AL1527" t="b">
        <f t="shared" si="92"/>
        <v>0</v>
      </c>
      <c r="AM1527" t="b">
        <f t="shared" si="93"/>
        <v>0</v>
      </c>
      <c r="AN1527" t="b">
        <f t="shared" si="94"/>
        <v>0</v>
      </c>
      <c r="AO1527" t="b">
        <f>OR(Table67[[#This Row],[Ineligible respondents]:[Inconsistent response on opposite question (3)]])</f>
        <v>0</v>
      </c>
      <c r="AP152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527">
        <f>Table67[[#This Row],[Extreme Response]]/21</f>
        <v>0.14285714285714285</v>
      </c>
      <c r="AR1527">
        <f>_xlfn.PERCENTILE.INC(Table67[Extrem Response Ratio (ERS)],0.9)</f>
        <v>0.61904761904761907</v>
      </c>
      <c r="AS1527" t="b">
        <f>Table67[[#This Row],[Extrem Response Ratio (ERS)]]&gt;=Table67[[#This Row],[Threshold of ERS]]</f>
        <v>0</v>
      </c>
      <c r="AT1527">
        <f>COUNTIF(Table67[[#This Row],[The mechanism of digital assets is difficult to understand, which discourages me from exploring it (E.g, Tokenization, Blockchain)]:[If I want to try different ways to invest, I will explore digital assets.]], 3)</f>
        <v>6</v>
      </c>
      <c r="AU1527">
        <f>Table67[[#This Row],[Midpoint]]/21</f>
        <v>0.2857142857142857</v>
      </c>
      <c r="AV1527">
        <f>_xlfn.PERCENTILE.INC(Table67[Midpoint ratio],0.9)</f>
        <v>0.5714285714285714</v>
      </c>
      <c r="AW1527" t="b">
        <f>Table67[[#This Row],[Midpoint ratio]]&gt;=Table67[[#This Row],[Threshold of Midpoint ratio]]</f>
        <v>0</v>
      </c>
      <c r="AX1527" t="b">
        <f>OR(Table67[[#This Row],[Extreme Response Style]],Table67[[#This Row],[Mid-point Response Style]])</f>
        <v>0</v>
      </c>
      <c r="AY1527" t="b">
        <f>OR(Table67[[#This Row],[Delete? (Stage 1)]],Table67[[#This Row],[Delete? (Stage 2)]])</f>
        <v>0</v>
      </c>
      <c r="AZ1527" t="s">
        <v>84</v>
      </c>
    </row>
    <row r="1528" spans="1:52">
      <c r="A1528">
        <f t="shared" si="95"/>
        <v>1527</v>
      </c>
      <c r="B1528" s="3">
        <v>46065.837442129632</v>
      </c>
      <c r="C1528" s="3">
        <v>46065.837939814817</v>
      </c>
      <c r="D1528" t="s">
        <v>53</v>
      </c>
      <c r="G1528" t="s">
        <v>54</v>
      </c>
      <c r="H1528" t="s">
        <v>55</v>
      </c>
      <c r="I1528" t="s">
        <v>56</v>
      </c>
      <c r="J1528" t="s">
        <v>62</v>
      </c>
      <c r="K1528" t="s">
        <v>60</v>
      </c>
      <c r="L1528" t="s">
        <v>61</v>
      </c>
      <c r="M1528" t="s">
        <v>58</v>
      </c>
      <c r="N1528">
        <v>2</v>
      </c>
      <c r="O1528">
        <v>2</v>
      </c>
      <c r="P1528">
        <v>3</v>
      </c>
      <c r="Q1528">
        <v>2</v>
      </c>
      <c r="R1528">
        <v>1</v>
      </c>
      <c r="S1528">
        <v>3</v>
      </c>
      <c r="T1528">
        <v>4</v>
      </c>
      <c r="U1528">
        <v>3</v>
      </c>
      <c r="V1528">
        <v>2</v>
      </c>
      <c r="W1528">
        <v>2</v>
      </c>
      <c r="X1528">
        <v>3</v>
      </c>
      <c r="Y1528">
        <v>2</v>
      </c>
      <c r="Z1528">
        <v>3</v>
      </c>
      <c r="AA1528">
        <v>3</v>
      </c>
      <c r="AB1528">
        <v>3</v>
      </c>
      <c r="AC1528">
        <v>2</v>
      </c>
      <c r="AD1528">
        <v>3</v>
      </c>
      <c r="AE1528">
        <v>3</v>
      </c>
      <c r="AF1528">
        <v>4</v>
      </c>
      <c r="AG1528">
        <v>2</v>
      </c>
      <c r="AH1528">
        <v>4</v>
      </c>
      <c r="AI1528">
        <v>2</v>
      </c>
      <c r="AJ1528">
        <v>2</v>
      </c>
      <c r="AK1528" t="b">
        <f>Table67[[#This Row],[What is your age?]]&lt;&gt;"18 - 25"</f>
        <v>0</v>
      </c>
      <c r="AL1528" t="b">
        <f t="shared" si="92"/>
        <v>0</v>
      </c>
      <c r="AM1528" t="b">
        <f t="shared" si="93"/>
        <v>0</v>
      </c>
      <c r="AN1528" t="b">
        <f t="shared" si="94"/>
        <v>0</v>
      </c>
      <c r="AO1528" t="b">
        <f>OR(Table67[[#This Row],[Ineligible respondents]:[Inconsistent response on opposite question (3)]])</f>
        <v>0</v>
      </c>
      <c r="AP152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528">
        <f>Table67[[#This Row],[Extreme Response]]/21</f>
        <v>4.7619047619047616E-2</v>
      </c>
      <c r="AR1528">
        <f>_xlfn.PERCENTILE.INC(Table67[Extrem Response Ratio (ERS)],0.9)</f>
        <v>0.61904761904761907</v>
      </c>
      <c r="AS1528" t="b">
        <f>Table67[[#This Row],[Extrem Response Ratio (ERS)]]&gt;=Table67[[#This Row],[Threshold of ERS]]</f>
        <v>0</v>
      </c>
      <c r="AT1528">
        <f>COUNTIF(Table67[[#This Row],[The mechanism of digital assets is difficult to understand, which discourages me from exploring it (E.g, Tokenization, Blockchain)]:[If I want to try different ways to invest, I will explore digital assets.]], 3)</f>
        <v>9</v>
      </c>
      <c r="AU1528">
        <f>Table67[[#This Row],[Midpoint]]/21</f>
        <v>0.42857142857142855</v>
      </c>
      <c r="AV1528">
        <f>_xlfn.PERCENTILE.INC(Table67[Midpoint ratio],0.9)</f>
        <v>0.5714285714285714</v>
      </c>
      <c r="AW1528" t="b">
        <f>Table67[[#This Row],[Midpoint ratio]]&gt;=Table67[[#This Row],[Threshold of Midpoint ratio]]</f>
        <v>0</v>
      </c>
      <c r="AX1528" t="b">
        <f>OR(Table67[[#This Row],[Extreme Response Style]],Table67[[#This Row],[Mid-point Response Style]])</f>
        <v>0</v>
      </c>
      <c r="AY1528" t="b">
        <f>OR(Table67[[#This Row],[Delete? (Stage 1)]],Table67[[#This Row],[Delete? (Stage 2)]])</f>
        <v>0</v>
      </c>
      <c r="AZ1528" t="s">
        <v>84</v>
      </c>
    </row>
    <row r="1529" spans="1:52">
      <c r="A1529">
        <f t="shared" si="95"/>
        <v>1528</v>
      </c>
      <c r="B1529" s="3">
        <v>46062.063831018517</v>
      </c>
      <c r="C1529" s="3">
        <v>46062.071469907409</v>
      </c>
      <c r="D1529" t="s">
        <v>53</v>
      </c>
      <c r="G1529" t="s">
        <v>54</v>
      </c>
      <c r="H1529" t="s">
        <v>63</v>
      </c>
      <c r="I1529" t="s">
        <v>56</v>
      </c>
      <c r="J1529" t="s">
        <v>66</v>
      </c>
      <c r="K1529" t="s">
        <v>62</v>
      </c>
      <c r="L1529" t="s">
        <v>58</v>
      </c>
      <c r="M1529" t="s">
        <v>58</v>
      </c>
      <c r="N1529">
        <v>3</v>
      </c>
      <c r="O1529">
        <v>3</v>
      </c>
      <c r="P1529">
        <v>5</v>
      </c>
      <c r="Q1529">
        <v>3</v>
      </c>
      <c r="R1529">
        <v>5</v>
      </c>
      <c r="S1529">
        <v>5</v>
      </c>
      <c r="T1529">
        <v>5</v>
      </c>
      <c r="U1529">
        <v>5</v>
      </c>
      <c r="V1529">
        <v>5</v>
      </c>
      <c r="W1529">
        <v>5</v>
      </c>
      <c r="X1529">
        <v>5</v>
      </c>
      <c r="Y1529">
        <v>5</v>
      </c>
      <c r="Z1529">
        <v>5</v>
      </c>
      <c r="AA1529">
        <v>5</v>
      </c>
      <c r="AB1529">
        <v>5</v>
      </c>
      <c r="AC1529">
        <v>5</v>
      </c>
      <c r="AD1529">
        <v>3</v>
      </c>
      <c r="AE1529">
        <v>2</v>
      </c>
      <c r="AF1529">
        <v>4</v>
      </c>
      <c r="AG1529">
        <v>3</v>
      </c>
      <c r="AH1529">
        <v>3</v>
      </c>
      <c r="AI1529">
        <v>3</v>
      </c>
      <c r="AJ1529">
        <v>2</v>
      </c>
      <c r="AK1529" t="b">
        <f>Table67[[#This Row],[What is your age?]]&lt;&gt;"18 - 25"</f>
        <v>0</v>
      </c>
      <c r="AL1529" t="b">
        <f t="shared" si="92"/>
        <v>0</v>
      </c>
      <c r="AM1529" t="b">
        <f t="shared" si="93"/>
        <v>0</v>
      </c>
      <c r="AN1529" t="b">
        <f t="shared" si="94"/>
        <v>0</v>
      </c>
      <c r="AO1529" t="b">
        <f>OR(Table67[[#This Row],[Ineligible respondents]:[Inconsistent response on opposite question (3)]])</f>
        <v>0</v>
      </c>
      <c r="AP152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1529">
        <f>Table67[[#This Row],[Extreme Response]]/21</f>
        <v>0.61904761904761907</v>
      </c>
      <c r="AR1529">
        <f>_xlfn.PERCENTILE.INC(Table67[Extrem Response Ratio (ERS)],0.9)</f>
        <v>0.61904761904761907</v>
      </c>
      <c r="AS1529" t="b">
        <f>Table67[[#This Row],[Extrem Response Ratio (ERS)]]&gt;=Table67[[#This Row],[Threshold of ERS]]</f>
        <v>1</v>
      </c>
      <c r="AT1529">
        <f>COUNTIF(Table67[[#This Row],[The mechanism of digital assets is difficult to understand, which discourages me from exploring it (E.g, Tokenization, Blockchain)]:[If I want to try different ways to invest, I will explore digital assets.]], 3)</f>
        <v>6</v>
      </c>
      <c r="AU1529">
        <f>Table67[[#This Row],[Midpoint]]/21</f>
        <v>0.2857142857142857</v>
      </c>
      <c r="AV1529">
        <f>_xlfn.PERCENTILE.INC(Table67[Midpoint ratio],0.9)</f>
        <v>0.5714285714285714</v>
      </c>
      <c r="AW1529" t="b">
        <f>Table67[[#This Row],[Midpoint ratio]]&gt;=Table67[[#This Row],[Threshold of Midpoint ratio]]</f>
        <v>0</v>
      </c>
      <c r="AX1529" t="b">
        <f>OR(Table67[[#This Row],[Extreme Response Style]],Table67[[#This Row],[Mid-point Response Style]])</f>
        <v>1</v>
      </c>
      <c r="AY1529" t="b">
        <f>OR(Table67[[#This Row],[Delete? (Stage 1)]],Table67[[#This Row],[Delete? (Stage 2)]])</f>
        <v>1</v>
      </c>
      <c r="AZ1529" t="s">
        <v>84</v>
      </c>
    </row>
    <row r="1530" spans="1:52">
      <c r="A1530">
        <f t="shared" si="95"/>
        <v>1529</v>
      </c>
      <c r="B1530" s="3">
        <v>46062.037673611114</v>
      </c>
      <c r="C1530" s="3">
        <v>46062.040266203701</v>
      </c>
      <c r="D1530" t="s">
        <v>53</v>
      </c>
      <c r="G1530" t="s">
        <v>54</v>
      </c>
      <c r="H1530" t="s">
        <v>55</v>
      </c>
      <c r="I1530" t="s">
        <v>56</v>
      </c>
      <c r="J1530" t="s">
        <v>62</v>
      </c>
      <c r="K1530" t="s">
        <v>57</v>
      </c>
      <c r="L1530" t="s">
        <v>61</v>
      </c>
      <c r="M1530" t="s">
        <v>61</v>
      </c>
      <c r="N1530">
        <v>4</v>
      </c>
      <c r="O1530">
        <v>4</v>
      </c>
      <c r="P1530">
        <v>4</v>
      </c>
      <c r="Q1530">
        <v>4</v>
      </c>
      <c r="R1530">
        <v>4</v>
      </c>
      <c r="S1530">
        <v>4</v>
      </c>
      <c r="T1530">
        <v>4</v>
      </c>
      <c r="U1530">
        <v>4</v>
      </c>
      <c r="V1530">
        <v>4</v>
      </c>
      <c r="W1530">
        <v>4</v>
      </c>
      <c r="X1530">
        <v>4</v>
      </c>
      <c r="Y1530">
        <v>4</v>
      </c>
      <c r="Z1530">
        <v>4</v>
      </c>
      <c r="AA1530">
        <v>4</v>
      </c>
      <c r="AB1530">
        <v>4</v>
      </c>
      <c r="AC1530">
        <v>4</v>
      </c>
      <c r="AD1530">
        <v>4</v>
      </c>
      <c r="AE1530">
        <v>4</v>
      </c>
      <c r="AF1530">
        <v>4</v>
      </c>
      <c r="AG1530">
        <v>4</v>
      </c>
      <c r="AH1530">
        <v>4</v>
      </c>
      <c r="AI1530">
        <v>2</v>
      </c>
      <c r="AJ1530">
        <v>2</v>
      </c>
      <c r="AK1530" t="b">
        <f>Table67[[#This Row],[What is your age?]]&lt;&gt;"18 - 25"</f>
        <v>0</v>
      </c>
      <c r="AL1530" t="b">
        <f t="shared" si="92"/>
        <v>1</v>
      </c>
      <c r="AM1530" t="b">
        <f t="shared" si="93"/>
        <v>1</v>
      </c>
      <c r="AN1530" t="b">
        <f t="shared" si="94"/>
        <v>0</v>
      </c>
      <c r="AO1530" t="b">
        <f>OR(Table67[[#This Row],[Ineligible respondents]:[Inconsistent response on opposite question (3)]])</f>
        <v>1</v>
      </c>
      <c r="AP153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530">
        <f>Table67[[#This Row],[Extreme Response]]/21</f>
        <v>0</v>
      </c>
      <c r="AR1530">
        <f>_xlfn.PERCENTILE.INC(Table67[Extrem Response Ratio (ERS)],0.9)</f>
        <v>0.61904761904761907</v>
      </c>
      <c r="AS1530" t="b">
        <f>Table67[[#This Row],[Extrem Response Ratio (ERS)]]&gt;=Table67[[#This Row],[Threshold of ERS]]</f>
        <v>0</v>
      </c>
      <c r="AT1530">
        <f>COUNTIF(Table67[[#This Row],[The mechanism of digital assets is difficult to understand, which discourages me from exploring it (E.g, Tokenization, Blockchain)]:[If I want to try different ways to invest, I will explore digital assets.]], 3)</f>
        <v>0</v>
      </c>
      <c r="AU1530">
        <f>Table67[[#This Row],[Midpoint]]/21</f>
        <v>0</v>
      </c>
      <c r="AV1530">
        <f>_xlfn.PERCENTILE.INC(Table67[Midpoint ratio],0.9)</f>
        <v>0.5714285714285714</v>
      </c>
      <c r="AW1530" t="b">
        <f>Table67[[#This Row],[Midpoint ratio]]&gt;=Table67[[#This Row],[Threshold of Midpoint ratio]]</f>
        <v>0</v>
      </c>
      <c r="AX1530" t="b">
        <f>OR(Table67[[#This Row],[Extreme Response Style]],Table67[[#This Row],[Mid-point Response Style]])</f>
        <v>0</v>
      </c>
      <c r="AY1530" t="b">
        <f>OR(Table67[[#This Row],[Delete? (Stage 1)]],Table67[[#This Row],[Delete? (Stage 2)]])</f>
        <v>1</v>
      </c>
      <c r="AZ1530" t="s">
        <v>84</v>
      </c>
    </row>
    <row r="1531" spans="1:52">
      <c r="A1531">
        <f t="shared" si="95"/>
        <v>1530</v>
      </c>
      <c r="B1531" s="3">
        <v>46062.046909722223</v>
      </c>
      <c r="C1531" s="3">
        <v>46062.054236111115</v>
      </c>
      <c r="D1531" t="s">
        <v>53</v>
      </c>
      <c r="G1531" t="s">
        <v>54</v>
      </c>
      <c r="H1531" t="s">
        <v>63</v>
      </c>
      <c r="I1531" t="s">
        <v>75</v>
      </c>
      <c r="J1531" t="s">
        <v>57</v>
      </c>
      <c r="K1531" t="s">
        <v>57</v>
      </c>
      <c r="L1531" t="s">
        <v>58</v>
      </c>
      <c r="M1531" t="s">
        <v>58</v>
      </c>
      <c r="N1531">
        <v>4</v>
      </c>
      <c r="O1531">
        <v>3</v>
      </c>
      <c r="P1531">
        <v>5</v>
      </c>
      <c r="Q1531">
        <v>4</v>
      </c>
      <c r="R1531">
        <v>3</v>
      </c>
      <c r="S1531">
        <v>4</v>
      </c>
      <c r="T1531">
        <v>5</v>
      </c>
      <c r="U1531">
        <v>5</v>
      </c>
      <c r="V1531">
        <v>5</v>
      </c>
      <c r="W1531">
        <v>5</v>
      </c>
      <c r="X1531">
        <v>3</v>
      </c>
      <c r="Y1531">
        <v>3</v>
      </c>
      <c r="Z1531">
        <v>4</v>
      </c>
      <c r="AA1531">
        <v>4</v>
      </c>
      <c r="AB1531">
        <v>4</v>
      </c>
      <c r="AC1531">
        <v>4</v>
      </c>
      <c r="AD1531">
        <v>4</v>
      </c>
      <c r="AE1531">
        <v>3</v>
      </c>
      <c r="AF1531">
        <v>5</v>
      </c>
      <c r="AG1531">
        <v>5</v>
      </c>
      <c r="AH1531">
        <v>3</v>
      </c>
      <c r="AI1531">
        <v>3</v>
      </c>
      <c r="AJ1531">
        <v>1</v>
      </c>
      <c r="AK1531" t="b">
        <f>Table67[[#This Row],[What is your age?]]&lt;&gt;"18 - 25"</f>
        <v>0</v>
      </c>
      <c r="AL1531" t="b">
        <f t="shared" si="92"/>
        <v>0</v>
      </c>
      <c r="AM1531" t="b">
        <f t="shared" si="93"/>
        <v>0</v>
      </c>
      <c r="AN1531" t="b">
        <f t="shared" si="94"/>
        <v>1</v>
      </c>
      <c r="AO1531" t="b">
        <f>OR(Table67[[#This Row],[Ineligible respondents]:[Inconsistent response on opposite question (3)]])</f>
        <v>1</v>
      </c>
      <c r="AP153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531">
        <f>Table67[[#This Row],[Extreme Response]]/21</f>
        <v>0.33333333333333331</v>
      </c>
      <c r="AR1531">
        <f>_xlfn.PERCENTILE.INC(Table67[Extrem Response Ratio (ERS)],0.9)</f>
        <v>0.61904761904761907</v>
      </c>
      <c r="AS1531" t="b">
        <f>Table67[[#This Row],[Extrem Response Ratio (ERS)]]&gt;=Table67[[#This Row],[Threshold of ERS]]</f>
        <v>0</v>
      </c>
      <c r="AT1531">
        <f>COUNTIF(Table67[[#This Row],[The mechanism of digital assets is difficult to understand, which discourages me from exploring it (E.g, Tokenization, Blockchain)]:[If I want to try different ways to invest, I will explore digital assets.]], 3)</f>
        <v>6</v>
      </c>
      <c r="AU1531">
        <f>Table67[[#This Row],[Midpoint]]/21</f>
        <v>0.2857142857142857</v>
      </c>
      <c r="AV1531">
        <f>_xlfn.PERCENTILE.INC(Table67[Midpoint ratio],0.9)</f>
        <v>0.5714285714285714</v>
      </c>
      <c r="AW1531" t="b">
        <f>Table67[[#This Row],[Midpoint ratio]]&gt;=Table67[[#This Row],[Threshold of Midpoint ratio]]</f>
        <v>0</v>
      </c>
      <c r="AX1531" t="b">
        <f>OR(Table67[[#This Row],[Extreme Response Style]],Table67[[#This Row],[Mid-point Response Style]])</f>
        <v>0</v>
      </c>
      <c r="AY1531" t="b">
        <f>OR(Table67[[#This Row],[Delete? (Stage 1)]],Table67[[#This Row],[Delete? (Stage 2)]])</f>
        <v>1</v>
      </c>
      <c r="AZ1531" t="s">
        <v>84</v>
      </c>
    </row>
    <row r="1532" spans="1:52">
      <c r="A1532">
        <f t="shared" si="95"/>
        <v>1531</v>
      </c>
      <c r="B1532" s="3">
        <v>46062.124212962961</v>
      </c>
      <c r="C1532" s="3">
        <v>46062.128634259258</v>
      </c>
      <c r="D1532" t="s">
        <v>53</v>
      </c>
      <c r="G1532" t="s">
        <v>54</v>
      </c>
      <c r="H1532" t="s">
        <v>63</v>
      </c>
      <c r="I1532" t="s">
        <v>75</v>
      </c>
      <c r="J1532" t="s">
        <v>68</v>
      </c>
      <c r="K1532" t="s">
        <v>60</v>
      </c>
      <c r="L1532" t="s">
        <v>61</v>
      </c>
      <c r="M1532" t="s">
        <v>61</v>
      </c>
      <c r="N1532">
        <v>3</v>
      </c>
      <c r="O1532">
        <v>3</v>
      </c>
      <c r="P1532">
        <v>3</v>
      </c>
      <c r="Q1532">
        <v>3</v>
      </c>
      <c r="R1532">
        <v>3</v>
      </c>
      <c r="S1532">
        <v>3</v>
      </c>
      <c r="T1532">
        <v>3</v>
      </c>
      <c r="U1532">
        <v>3</v>
      </c>
      <c r="V1532">
        <v>3</v>
      </c>
      <c r="W1532">
        <v>3</v>
      </c>
      <c r="X1532">
        <v>3</v>
      </c>
      <c r="Y1532">
        <v>3</v>
      </c>
      <c r="Z1532">
        <v>3</v>
      </c>
      <c r="AA1532">
        <v>3</v>
      </c>
      <c r="AB1532">
        <v>3</v>
      </c>
      <c r="AC1532">
        <v>3</v>
      </c>
      <c r="AD1532">
        <v>3</v>
      </c>
      <c r="AE1532">
        <v>3</v>
      </c>
      <c r="AF1532">
        <v>3</v>
      </c>
      <c r="AG1532">
        <v>3</v>
      </c>
      <c r="AH1532">
        <v>3</v>
      </c>
      <c r="AI1532">
        <v>3</v>
      </c>
      <c r="AJ1532">
        <v>3</v>
      </c>
      <c r="AK1532" t="b">
        <f>Table67[[#This Row],[What is your age?]]&lt;&gt;"18 - 25"</f>
        <v>0</v>
      </c>
      <c r="AL1532" t="b">
        <f t="shared" si="92"/>
        <v>1</v>
      </c>
      <c r="AM1532" t="b">
        <f t="shared" si="93"/>
        <v>0</v>
      </c>
      <c r="AN1532" t="b">
        <f t="shared" si="94"/>
        <v>0</v>
      </c>
      <c r="AO1532" t="b">
        <f>OR(Table67[[#This Row],[Ineligible respondents]:[Inconsistent response on opposite question (3)]])</f>
        <v>1</v>
      </c>
      <c r="AP153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532">
        <f>Table67[[#This Row],[Extreme Response]]/21</f>
        <v>0</v>
      </c>
      <c r="AR1532">
        <f>_xlfn.PERCENTILE.INC(Table67[Extrem Response Ratio (ERS)],0.9)</f>
        <v>0.61904761904761907</v>
      </c>
      <c r="AS1532" t="b">
        <f>Table67[[#This Row],[Extrem Response Ratio (ERS)]]&gt;=Table67[[#This Row],[Threshold of ERS]]</f>
        <v>0</v>
      </c>
      <c r="AT1532">
        <f>COUNTIF(Table67[[#This Row],[The mechanism of digital assets is difficult to understand, which discourages me from exploring it (E.g, Tokenization, Blockchain)]:[If I want to try different ways to invest, I will explore digital assets.]], 3)</f>
        <v>21</v>
      </c>
      <c r="AU1532">
        <f>Table67[[#This Row],[Midpoint]]/21</f>
        <v>1</v>
      </c>
      <c r="AV1532">
        <f>_xlfn.PERCENTILE.INC(Table67[Midpoint ratio],0.9)</f>
        <v>0.5714285714285714</v>
      </c>
      <c r="AW1532" t="b">
        <f>Table67[[#This Row],[Midpoint ratio]]&gt;=Table67[[#This Row],[Threshold of Midpoint ratio]]</f>
        <v>1</v>
      </c>
      <c r="AX1532" t="b">
        <f>OR(Table67[[#This Row],[Extreme Response Style]],Table67[[#This Row],[Mid-point Response Style]])</f>
        <v>1</v>
      </c>
      <c r="AY1532" t="b">
        <f>OR(Table67[[#This Row],[Delete? (Stage 1)]],Table67[[#This Row],[Delete? (Stage 2)]])</f>
        <v>1</v>
      </c>
      <c r="AZ1532" t="s">
        <v>84</v>
      </c>
    </row>
    <row r="1533" spans="1:52">
      <c r="A1533">
        <f t="shared" si="95"/>
        <v>1532</v>
      </c>
      <c r="B1533" s="3">
        <v>46062.040254629632</v>
      </c>
      <c r="C1533" s="3">
        <v>46062.041678240741</v>
      </c>
      <c r="D1533" t="s">
        <v>53</v>
      </c>
      <c r="G1533" t="s">
        <v>54</v>
      </c>
      <c r="H1533" t="s">
        <v>63</v>
      </c>
      <c r="I1533" t="s">
        <v>82</v>
      </c>
      <c r="J1533" t="s">
        <v>62</v>
      </c>
      <c r="K1533" t="s">
        <v>66</v>
      </c>
      <c r="L1533" t="s">
        <v>58</v>
      </c>
      <c r="M1533" t="s">
        <v>58</v>
      </c>
      <c r="N1533">
        <v>5</v>
      </c>
      <c r="O1533">
        <v>2</v>
      </c>
      <c r="P1533">
        <v>5</v>
      </c>
      <c r="Q1533">
        <v>4</v>
      </c>
      <c r="R1533">
        <v>2</v>
      </c>
      <c r="S1533">
        <v>3</v>
      </c>
      <c r="T1533">
        <v>5</v>
      </c>
      <c r="U1533">
        <v>5</v>
      </c>
      <c r="V1533">
        <v>5</v>
      </c>
      <c r="W1533">
        <v>5</v>
      </c>
      <c r="X1533">
        <v>4</v>
      </c>
      <c r="Y1533">
        <v>4</v>
      </c>
      <c r="Z1533">
        <v>5</v>
      </c>
      <c r="AA1533">
        <v>4</v>
      </c>
      <c r="AB1533">
        <v>3</v>
      </c>
      <c r="AC1533">
        <v>4</v>
      </c>
      <c r="AD1533">
        <v>5</v>
      </c>
      <c r="AE1533">
        <v>4</v>
      </c>
      <c r="AF1533">
        <v>2</v>
      </c>
      <c r="AG1533">
        <v>4</v>
      </c>
      <c r="AH1533">
        <v>3</v>
      </c>
      <c r="AI1533">
        <v>3</v>
      </c>
      <c r="AJ1533">
        <v>4</v>
      </c>
      <c r="AK1533" t="b">
        <f>Table67[[#This Row],[What is your age?]]&lt;&gt;"18 - 25"</f>
        <v>0</v>
      </c>
      <c r="AL1533" t="b">
        <f t="shared" si="92"/>
        <v>0</v>
      </c>
      <c r="AM1533" t="b">
        <f t="shared" si="93"/>
        <v>0</v>
      </c>
      <c r="AN1533" t="b">
        <f t="shared" si="94"/>
        <v>1</v>
      </c>
      <c r="AO1533" t="b">
        <f>OR(Table67[[#This Row],[Ineligible respondents]:[Inconsistent response on opposite question (3)]])</f>
        <v>1</v>
      </c>
      <c r="AP153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1533">
        <f>Table67[[#This Row],[Extreme Response]]/21</f>
        <v>0.38095238095238093</v>
      </c>
      <c r="AR1533">
        <f>_xlfn.PERCENTILE.INC(Table67[Extrem Response Ratio (ERS)],0.9)</f>
        <v>0.61904761904761907</v>
      </c>
      <c r="AS1533" t="b">
        <f>Table67[[#This Row],[Extrem Response Ratio (ERS)]]&gt;=Table67[[#This Row],[Threshold of ERS]]</f>
        <v>0</v>
      </c>
      <c r="AT1533">
        <f>COUNTIF(Table67[[#This Row],[The mechanism of digital assets is difficult to understand, which discourages me from exploring it (E.g, Tokenization, Blockchain)]:[If I want to try different ways to invest, I will explore digital assets.]], 3)</f>
        <v>3</v>
      </c>
      <c r="AU1533">
        <f>Table67[[#This Row],[Midpoint]]/21</f>
        <v>0.14285714285714285</v>
      </c>
      <c r="AV1533">
        <f>_xlfn.PERCENTILE.INC(Table67[Midpoint ratio],0.9)</f>
        <v>0.5714285714285714</v>
      </c>
      <c r="AW1533" t="b">
        <f>Table67[[#This Row],[Midpoint ratio]]&gt;=Table67[[#This Row],[Threshold of Midpoint ratio]]</f>
        <v>0</v>
      </c>
      <c r="AX1533" t="b">
        <f>OR(Table67[[#This Row],[Extreme Response Style]],Table67[[#This Row],[Mid-point Response Style]])</f>
        <v>0</v>
      </c>
      <c r="AY1533" t="b">
        <f>OR(Table67[[#This Row],[Delete? (Stage 1)]],Table67[[#This Row],[Delete? (Stage 2)]])</f>
        <v>1</v>
      </c>
      <c r="AZ1533" t="s">
        <v>84</v>
      </c>
    </row>
    <row r="1534" spans="1:52">
      <c r="A1534">
        <f t="shared" si="95"/>
        <v>1533</v>
      </c>
      <c r="B1534" s="3">
        <v>46062.058483796296</v>
      </c>
      <c r="C1534" s="3">
        <v>46062.063240740739</v>
      </c>
      <c r="D1534" t="s">
        <v>53</v>
      </c>
      <c r="G1534" t="s">
        <v>54</v>
      </c>
      <c r="H1534" t="s">
        <v>63</v>
      </c>
      <c r="I1534" t="s">
        <v>69</v>
      </c>
      <c r="J1534" t="s">
        <v>57</v>
      </c>
      <c r="K1534" t="s">
        <v>57</v>
      </c>
      <c r="L1534" t="s">
        <v>58</v>
      </c>
      <c r="M1534" t="s">
        <v>58</v>
      </c>
      <c r="N1534">
        <v>5</v>
      </c>
      <c r="O1534">
        <v>2</v>
      </c>
      <c r="P1534">
        <v>5</v>
      </c>
      <c r="Q1534">
        <v>3</v>
      </c>
      <c r="R1534">
        <v>1</v>
      </c>
      <c r="S1534">
        <v>1</v>
      </c>
      <c r="T1534">
        <v>5</v>
      </c>
      <c r="U1534">
        <v>5</v>
      </c>
      <c r="V1534">
        <v>5</v>
      </c>
      <c r="W1534">
        <v>5</v>
      </c>
      <c r="X1534">
        <v>5</v>
      </c>
      <c r="Y1534">
        <v>5</v>
      </c>
      <c r="Z1534">
        <v>5</v>
      </c>
      <c r="AA1534">
        <v>5</v>
      </c>
      <c r="AB1534">
        <v>4</v>
      </c>
      <c r="AC1534">
        <v>3</v>
      </c>
      <c r="AD1534">
        <v>5</v>
      </c>
      <c r="AE1534">
        <v>4</v>
      </c>
      <c r="AF1534">
        <v>1</v>
      </c>
      <c r="AG1534">
        <v>5</v>
      </c>
      <c r="AH1534">
        <v>1</v>
      </c>
      <c r="AI1534">
        <v>5</v>
      </c>
      <c r="AJ1534">
        <v>5</v>
      </c>
      <c r="AK1534" t="b">
        <f>Table67[[#This Row],[What is your age?]]&lt;&gt;"18 - 25"</f>
        <v>0</v>
      </c>
      <c r="AL1534" t="b">
        <f t="shared" si="92"/>
        <v>0</v>
      </c>
      <c r="AM1534" t="b">
        <f t="shared" si="93"/>
        <v>0</v>
      </c>
      <c r="AN1534" t="b">
        <f t="shared" si="94"/>
        <v>0</v>
      </c>
      <c r="AO1534" t="b">
        <f>OR(Table67[[#This Row],[Ineligible respondents]:[Inconsistent response on opposite question (3)]])</f>
        <v>0</v>
      </c>
      <c r="AP153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16</v>
      </c>
      <c r="AQ1534">
        <f>Table67[[#This Row],[Extreme Response]]/21</f>
        <v>0.76190476190476186</v>
      </c>
      <c r="AR1534">
        <f>_xlfn.PERCENTILE.INC(Table67[Extrem Response Ratio (ERS)],0.9)</f>
        <v>0.61904761904761907</v>
      </c>
      <c r="AS1534" t="b">
        <f>Table67[[#This Row],[Extrem Response Ratio (ERS)]]&gt;=Table67[[#This Row],[Threshold of ERS]]</f>
        <v>1</v>
      </c>
      <c r="AT1534">
        <f>COUNTIF(Table67[[#This Row],[The mechanism of digital assets is difficult to understand, which discourages me from exploring it (E.g, Tokenization, Blockchain)]:[If I want to try different ways to invest, I will explore digital assets.]], 3)</f>
        <v>2</v>
      </c>
      <c r="AU1534">
        <f>Table67[[#This Row],[Midpoint]]/21</f>
        <v>9.5238095238095233E-2</v>
      </c>
      <c r="AV1534">
        <f>_xlfn.PERCENTILE.INC(Table67[Midpoint ratio],0.9)</f>
        <v>0.5714285714285714</v>
      </c>
      <c r="AW1534" t="b">
        <f>Table67[[#This Row],[Midpoint ratio]]&gt;=Table67[[#This Row],[Threshold of Midpoint ratio]]</f>
        <v>0</v>
      </c>
      <c r="AX1534" t="b">
        <f>OR(Table67[[#This Row],[Extreme Response Style]],Table67[[#This Row],[Mid-point Response Style]])</f>
        <v>1</v>
      </c>
      <c r="AY1534" t="b">
        <f>OR(Table67[[#This Row],[Delete? (Stage 1)]],Table67[[#This Row],[Delete? (Stage 2)]])</f>
        <v>1</v>
      </c>
      <c r="AZ1534" t="s">
        <v>84</v>
      </c>
    </row>
    <row r="1535" spans="1:52">
      <c r="A1535">
        <f t="shared" si="95"/>
        <v>1534</v>
      </c>
      <c r="B1535" s="3">
        <v>46065.731608796297</v>
      </c>
      <c r="C1535" s="3">
        <v>46065.733831018515</v>
      </c>
      <c r="D1535" t="s">
        <v>53</v>
      </c>
      <c r="G1535" t="s">
        <v>54</v>
      </c>
      <c r="H1535" t="s">
        <v>63</v>
      </c>
      <c r="I1535" t="s">
        <v>56</v>
      </c>
      <c r="J1535" t="s">
        <v>65</v>
      </c>
      <c r="K1535" t="s">
        <v>60</v>
      </c>
      <c r="L1535" t="s">
        <v>61</v>
      </c>
      <c r="M1535" t="s">
        <v>61</v>
      </c>
      <c r="N1535">
        <v>2</v>
      </c>
      <c r="O1535">
        <v>3</v>
      </c>
      <c r="P1535">
        <v>4</v>
      </c>
      <c r="Q1535">
        <v>4</v>
      </c>
      <c r="R1535">
        <v>3</v>
      </c>
      <c r="S1535">
        <v>4</v>
      </c>
      <c r="T1535">
        <v>4</v>
      </c>
      <c r="U1535">
        <v>4</v>
      </c>
      <c r="V1535">
        <v>4</v>
      </c>
      <c r="W1535">
        <v>3</v>
      </c>
      <c r="X1535">
        <v>4</v>
      </c>
      <c r="Y1535">
        <v>3</v>
      </c>
      <c r="Z1535">
        <v>5</v>
      </c>
      <c r="AA1535">
        <v>4</v>
      </c>
      <c r="AB1535">
        <v>4</v>
      </c>
      <c r="AC1535">
        <v>4</v>
      </c>
      <c r="AD1535">
        <v>5</v>
      </c>
      <c r="AE1535">
        <v>4</v>
      </c>
      <c r="AF1535">
        <v>2</v>
      </c>
      <c r="AG1535">
        <v>4</v>
      </c>
      <c r="AH1535">
        <v>2</v>
      </c>
      <c r="AI1535">
        <v>4</v>
      </c>
      <c r="AJ1535">
        <v>4</v>
      </c>
      <c r="AK1535" t="b">
        <f>Table67[[#This Row],[What is your age?]]&lt;&gt;"18 - 25"</f>
        <v>0</v>
      </c>
      <c r="AL1535" t="b">
        <f t="shared" si="92"/>
        <v>0</v>
      </c>
      <c r="AM1535" t="b">
        <f t="shared" si="93"/>
        <v>0</v>
      </c>
      <c r="AN1535" t="b">
        <f t="shared" si="94"/>
        <v>0</v>
      </c>
      <c r="AO1535" t="b">
        <f>OR(Table67[[#This Row],[Ineligible respondents]:[Inconsistent response on opposite question (3)]])</f>
        <v>0</v>
      </c>
      <c r="AP153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535">
        <f>Table67[[#This Row],[Extreme Response]]/21</f>
        <v>9.5238095238095233E-2</v>
      </c>
      <c r="AR1535">
        <f>_xlfn.PERCENTILE.INC(Table67[Extrem Response Ratio (ERS)],0.9)</f>
        <v>0.61904761904761907</v>
      </c>
      <c r="AS1535" t="b">
        <f>Table67[[#This Row],[Extrem Response Ratio (ERS)]]&gt;=Table67[[#This Row],[Threshold of ERS]]</f>
        <v>0</v>
      </c>
      <c r="AT1535">
        <f>COUNTIF(Table67[[#This Row],[The mechanism of digital assets is difficult to understand, which discourages me from exploring it (E.g, Tokenization, Blockchain)]:[If I want to try different ways to invest, I will explore digital assets.]], 3)</f>
        <v>4</v>
      </c>
      <c r="AU1535">
        <f>Table67[[#This Row],[Midpoint]]/21</f>
        <v>0.19047619047619047</v>
      </c>
      <c r="AV1535">
        <f>_xlfn.PERCENTILE.INC(Table67[Midpoint ratio],0.9)</f>
        <v>0.5714285714285714</v>
      </c>
      <c r="AW1535" t="b">
        <f>Table67[[#This Row],[Midpoint ratio]]&gt;=Table67[[#This Row],[Threshold of Midpoint ratio]]</f>
        <v>0</v>
      </c>
      <c r="AX1535" t="b">
        <f>OR(Table67[[#This Row],[Extreme Response Style]],Table67[[#This Row],[Mid-point Response Style]])</f>
        <v>0</v>
      </c>
      <c r="AY1535" t="b">
        <f>OR(Table67[[#This Row],[Delete? (Stage 1)]],Table67[[#This Row],[Delete? (Stage 2)]])</f>
        <v>0</v>
      </c>
      <c r="AZ1535" t="s">
        <v>84</v>
      </c>
    </row>
    <row r="1536" spans="1:52">
      <c r="A1536">
        <f t="shared" si="95"/>
        <v>1535</v>
      </c>
      <c r="B1536" s="3">
        <v>46065.714548611111</v>
      </c>
      <c r="C1536" s="3">
        <v>46065.714826388888</v>
      </c>
      <c r="D1536" t="s">
        <v>53</v>
      </c>
      <c r="G1536" t="s">
        <v>54</v>
      </c>
      <c r="H1536" t="s">
        <v>55</v>
      </c>
      <c r="I1536" t="s">
        <v>56</v>
      </c>
      <c r="J1536" t="s">
        <v>67</v>
      </c>
      <c r="K1536" t="s">
        <v>62</v>
      </c>
      <c r="L1536" t="s">
        <v>58</v>
      </c>
      <c r="M1536" t="s">
        <v>61</v>
      </c>
      <c r="N1536">
        <v>3</v>
      </c>
      <c r="O1536">
        <v>3</v>
      </c>
      <c r="P1536">
        <v>4</v>
      </c>
      <c r="Q1536">
        <v>4</v>
      </c>
      <c r="R1536">
        <v>3</v>
      </c>
      <c r="S1536">
        <v>3</v>
      </c>
      <c r="T1536">
        <v>3</v>
      </c>
      <c r="U1536">
        <v>4</v>
      </c>
      <c r="V1536">
        <v>4</v>
      </c>
      <c r="W1536">
        <v>4</v>
      </c>
      <c r="X1536">
        <v>3</v>
      </c>
      <c r="Y1536">
        <v>3</v>
      </c>
      <c r="Z1536">
        <v>4</v>
      </c>
      <c r="AA1536">
        <v>2</v>
      </c>
      <c r="AB1536">
        <v>2</v>
      </c>
      <c r="AC1536">
        <v>4</v>
      </c>
      <c r="AD1536">
        <v>4</v>
      </c>
      <c r="AE1536">
        <v>3</v>
      </c>
      <c r="AF1536">
        <v>3</v>
      </c>
      <c r="AG1536">
        <v>2</v>
      </c>
      <c r="AH1536">
        <v>5</v>
      </c>
      <c r="AI1536">
        <v>1</v>
      </c>
      <c r="AJ1536">
        <v>3</v>
      </c>
      <c r="AK1536" t="b">
        <f>Table67[[#This Row],[What is your age?]]&lt;&gt;"18 - 25"</f>
        <v>0</v>
      </c>
      <c r="AL1536" t="b">
        <f t="shared" si="92"/>
        <v>0</v>
      </c>
      <c r="AM1536" t="b">
        <f t="shared" si="93"/>
        <v>0</v>
      </c>
      <c r="AN1536" t="b">
        <f t="shared" si="94"/>
        <v>0</v>
      </c>
      <c r="AO1536" t="b">
        <f>OR(Table67[[#This Row],[Ineligible respondents]:[Inconsistent response on opposite question (3)]])</f>
        <v>0</v>
      </c>
      <c r="AP153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536">
        <f>Table67[[#This Row],[Extreme Response]]/21</f>
        <v>4.7619047619047616E-2</v>
      </c>
      <c r="AR1536">
        <f>_xlfn.PERCENTILE.INC(Table67[Extrem Response Ratio (ERS)],0.9)</f>
        <v>0.61904761904761907</v>
      </c>
      <c r="AS1536" t="b">
        <f>Table67[[#This Row],[Extrem Response Ratio (ERS)]]&gt;=Table67[[#This Row],[Threshold of ERS]]</f>
        <v>0</v>
      </c>
      <c r="AT1536">
        <f>COUNTIF(Table67[[#This Row],[The mechanism of digital assets is difficult to understand, which discourages me from exploring it (E.g, Tokenization, Blockchain)]:[If I want to try different ways to invest, I will explore digital assets.]], 3)</f>
        <v>9</v>
      </c>
      <c r="AU1536">
        <f>Table67[[#This Row],[Midpoint]]/21</f>
        <v>0.42857142857142855</v>
      </c>
      <c r="AV1536">
        <f>_xlfn.PERCENTILE.INC(Table67[Midpoint ratio],0.9)</f>
        <v>0.5714285714285714</v>
      </c>
      <c r="AW1536" t="b">
        <f>Table67[[#This Row],[Midpoint ratio]]&gt;=Table67[[#This Row],[Threshold of Midpoint ratio]]</f>
        <v>0</v>
      </c>
      <c r="AX1536" t="b">
        <f>OR(Table67[[#This Row],[Extreme Response Style]],Table67[[#This Row],[Mid-point Response Style]])</f>
        <v>0</v>
      </c>
      <c r="AY1536" t="b">
        <f>OR(Table67[[#This Row],[Delete? (Stage 1)]],Table67[[#This Row],[Delete? (Stage 2)]])</f>
        <v>0</v>
      </c>
      <c r="AZ1536" t="s">
        <v>84</v>
      </c>
    </row>
    <row r="1537" spans="1:52">
      <c r="A1537">
        <f t="shared" si="95"/>
        <v>1536</v>
      </c>
      <c r="B1537" s="3">
        <v>46065.828206018516</v>
      </c>
      <c r="C1537" s="3">
        <v>46065.830995370372</v>
      </c>
      <c r="D1537" t="s">
        <v>53</v>
      </c>
      <c r="G1537" t="s">
        <v>54</v>
      </c>
      <c r="H1537" t="s">
        <v>63</v>
      </c>
      <c r="I1537" t="s">
        <v>56</v>
      </c>
      <c r="J1537" t="s">
        <v>57</v>
      </c>
      <c r="K1537" t="s">
        <v>57</v>
      </c>
      <c r="L1537" t="s">
        <v>58</v>
      </c>
      <c r="M1537" t="s">
        <v>58</v>
      </c>
      <c r="N1537">
        <v>2</v>
      </c>
      <c r="O1537">
        <v>2</v>
      </c>
      <c r="P1537">
        <v>2</v>
      </c>
      <c r="Q1537">
        <v>3</v>
      </c>
      <c r="R1537">
        <v>2</v>
      </c>
      <c r="S1537">
        <v>3</v>
      </c>
      <c r="T1537">
        <v>3</v>
      </c>
      <c r="U1537">
        <v>2</v>
      </c>
      <c r="V1537">
        <v>4</v>
      </c>
      <c r="W1537">
        <v>4</v>
      </c>
      <c r="X1537">
        <v>3</v>
      </c>
      <c r="Y1537">
        <v>4</v>
      </c>
      <c r="Z1537">
        <v>3</v>
      </c>
      <c r="AA1537">
        <v>3</v>
      </c>
      <c r="AB1537">
        <v>3</v>
      </c>
      <c r="AC1537">
        <v>3</v>
      </c>
      <c r="AD1537">
        <v>2</v>
      </c>
      <c r="AE1537">
        <v>2</v>
      </c>
      <c r="AF1537">
        <v>3</v>
      </c>
      <c r="AG1537">
        <v>2</v>
      </c>
      <c r="AH1537">
        <v>4</v>
      </c>
      <c r="AI1537">
        <v>2</v>
      </c>
      <c r="AJ1537">
        <v>3</v>
      </c>
      <c r="AK1537" t="b">
        <f>Table67[[#This Row],[What is your age?]]&lt;&gt;"18 - 25"</f>
        <v>0</v>
      </c>
      <c r="AL1537" t="b">
        <f t="shared" si="92"/>
        <v>0</v>
      </c>
      <c r="AM1537" t="b">
        <f t="shared" si="93"/>
        <v>0</v>
      </c>
      <c r="AN1537" t="b">
        <f t="shared" si="94"/>
        <v>0</v>
      </c>
      <c r="AO1537" t="b">
        <f>OR(Table67[[#This Row],[Ineligible respondents]:[Inconsistent response on opposite question (3)]])</f>
        <v>0</v>
      </c>
      <c r="AP153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537">
        <f>Table67[[#This Row],[Extreme Response]]/21</f>
        <v>0</v>
      </c>
      <c r="AR1537">
        <f>_xlfn.PERCENTILE.INC(Table67[Extrem Response Ratio (ERS)],0.9)</f>
        <v>0.61904761904761907</v>
      </c>
      <c r="AS1537" t="b">
        <f>Table67[[#This Row],[Extrem Response Ratio (ERS)]]&gt;=Table67[[#This Row],[Threshold of ERS]]</f>
        <v>0</v>
      </c>
      <c r="AT1537">
        <f>COUNTIF(Table67[[#This Row],[The mechanism of digital assets is difficult to understand, which discourages me from exploring it (E.g, Tokenization, Blockchain)]:[If I want to try different ways to invest, I will explore digital assets.]], 3)</f>
        <v>9</v>
      </c>
      <c r="AU1537">
        <f>Table67[[#This Row],[Midpoint]]/21</f>
        <v>0.42857142857142855</v>
      </c>
      <c r="AV1537">
        <f>_xlfn.PERCENTILE.INC(Table67[Midpoint ratio],0.9)</f>
        <v>0.5714285714285714</v>
      </c>
      <c r="AW1537" t="b">
        <f>Table67[[#This Row],[Midpoint ratio]]&gt;=Table67[[#This Row],[Threshold of Midpoint ratio]]</f>
        <v>0</v>
      </c>
      <c r="AX1537" t="b">
        <f>OR(Table67[[#This Row],[Extreme Response Style]],Table67[[#This Row],[Mid-point Response Style]])</f>
        <v>0</v>
      </c>
      <c r="AY1537" t="b">
        <f>OR(Table67[[#This Row],[Delete? (Stage 1)]],Table67[[#This Row],[Delete? (Stage 2)]])</f>
        <v>0</v>
      </c>
      <c r="AZ1537" t="s">
        <v>84</v>
      </c>
    </row>
    <row r="1538" spans="1:52">
      <c r="A1538">
        <f t="shared" si="95"/>
        <v>1537</v>
      </c>
      <c r="B1538" s="3">
        <v>46062.03361111111</v>
      </c>
      <c r="C1538" s="3">
        <v>46062.036932870367</v>
      </c>
      <c r="D1538" t="s">
        <v>53</v>
      </c>
      <c r="G1538" t="s">
        <v>54</v>
      </c>
      <c r="H1538" t="s">
        <v>63</v>
      </c>
      <c r="I1538" t="s">
        <v>56</v>
      </c>
      <c r="J1538" t="s">
        <v>57</v>
      </c>
      <c r="K1538" t="s">
        <v>57</v>
      </c>
      <c r="L1538" t="s">
        <v>58</v>
      </c>
      <c r="M1538" t="s">
        <v>58</v>
      </c>
      <c r="N1538">
        <v>5</v>
      </c>
      <c r="O1538">
        <v>1</v>
      </c>
      <c r="P1538">
        <v>4</v>
      </c>
      <c r="Q1538">
        <v>3</v>
      </c>
      <c r="R1538">
        <v>5</v>
      </c>
      <c r="S1538">
        <v>5</v>
      </c>
      <c r="T1538">
        <v>5</v>
      </c>
      <c r="U1538">
        <v>5</v>
      </c>
      <c r="V1538">
        <v>3</v>
      </c>
      <c r="W1538">
        <v>4</v>
      </c>
      <c r="X1538">
        <v>5</v>
      </c>
      <c r="Y1538">
        <v>5</v>
      </c>
      <c r="Z1538">
        <v>4</v>
      </c>
      <c r="AA1538">
        <v>5</v>
      </c>
      <c r="AB1538">
        <v>3</v>
      </c>
      <c r="AC1538">
        <v>4</v>
      </c>
      <c r="AD1538">
        <v>5</v>
      </c>
      <c r="AE1538">
        <v>5</v>
      </c>
      <c r="AF1538">
        <v>1</v>
      </c>
      <c r="AG1538">
        <v>5</v>
      </c>
      <c r="AH1538">
        <v>1</v>
      </c>
      <c r="AI1538">
        <v>5</v>
      </c>
      <c r="AJ1538">
        <v>5</v>
      </c>
      <c r="AK1538" t="b">
        <f>Table67[[#This Row],[What is your age?]]&lt;&gt;"18 - 25"</f>
        <v>0</v>
      </c>
      <c r="AL1538" t="b">
        <f t="shared" si="92"/>
        <v>0</v>
      </c>
      <c r="AM1538" t="b">
        <f t="shared" si="93"/>
        <v>0</v>
      </c>
      <c r="AN1538" t="b">
        <f t="shared" si="94"/>
        <v>0</v>
      </c>
      <c r="AO1538" t="b">
        <f>OR(Table67[[#This Row],[Ineligible respondents]:[Inconsistent response on opposite question (3)]])</f>
        <v>0</v>
      </c>
      <c r="AP153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1538">
        <f>Table67[[#This Row],[Extreme Response]]/21</f>
        <v>0.66666666666666663</v>
      </c>
      <c r="AR1538">
        <f>_xlfn.PERCENTILE.INC(Table67[Extrem Response Ratio (ERS)],0.9)</f>
        <v>0.61904761904761907</v>
      </c>
      <c r="AS1538" t="b">
        <f>Table67[[#This Row],[Extrem Response Ratio (ERS)]]&gt;=Table67[[#This Row],[Threshold of ERS]]</f>
        <v>1</v>
      </c>
      <c r="AT1538">
        <f>COUNTIF(Table67[[#This Row],[The mechanism of digital assets is difficult to understand, which discourages me from exploring it (E.g, Tokenization, Blockchain)]:[If I want to try different ways to invest, I will explore digital assets.]], 3)</f>
        <v>3</v>
      </c>
      <c r="AU1538">
        <f>Table67[[#This Row],[Midpoint]]/21</f>
        <v>0.14285714285714285</v>
      </c>
      <c r="AV1538">
        <f>_xlfn.PERCENTILE.INC(Table67[Midpoint ratio],0.9)</f>
        <v>0.5714285714285714</v>
      </c>
      <c r="AW1538" t="b">
        <f>Table67[[#This Row],[Midpoint ratio]]&gt;=Table67[[#This Row],[Threshold of Midpoint ratio]]</f>
        <v>0</v>
      </c>
      <c r="AX1538" t="b">
        <f>OR(Table67[[#This Row],[Extreme Response Style]],Table67[[#This Row],[Mid-point Response Style]])</f>
        <v>1</v>
      </c>
      <c r="AY1538" t="b">
        <f>OR(Table67[[#This Row],[Delete? (Stage 1)]],Table67[[#This Row],[Delete? (Stage 2)]])</f>
        <v>1</v>
      </c>
      <c r="AZ1538" t="s">
        <v>84</v>
      </c>
    </row>
    <row r="1539" spans="1:52">
      <c r="A1539">
        <f t="shared" si="95"/>
        <v>1538</v>
      </c>
      <c r="B1539" s="3">
        <v>46065.861585648148</v>
      </c>
      <c r="C1539" s="3">
        <v>46065.866979166669</v>
      </c>
      <c r="D1539" t="s">
        <v>53</v>
      </c>
      <c r="G1539" t="s">
        <v>54</v>
      </c>
      <c r="H1539" t="s">
        <v>55</v>
      </c>
      <c r="I1539" t="s">
        <v>69</v>
      </c>
      <c r="J1539" t="s">
        <v>62</v>
      </c>
      <c r="K1539" t="s">
        <v>62</v>
      </c>
      <c r="L1539" t="s">
        <v>58</v>
      </c>
      <c r="M1539" t="s">
        <v>58</v>
      </c>
      <c r="N1539">
        <v>3</v>
      </c>
      <c r="O1539">
        <v>3</v>
      </c>
      <c r="P1539">
        <v>4</v>
      </c>
      <c r="Q1539">
        <v>3</v>
      </c>
      <c r="R1539">
        <v>3</v>
      </c>
      <c r="S1539">
        <v>2</v>
      </c>
      <c r="T1539">
        <v>3</v>
      </c>
      <c r="U1539">
        <v>4</v>
      </c>
      <c r="V1539">
        <v>3</v>
      </c>
      <c r="W1539">
        <v>3</v>
      </c>
      <c r="X1539">
        <v>3</v>
      </c>
      <c r="Y1539">
        <v>3</v>
      </c>
      <c r="Z1539">
        <v>3</v>
      </c>
      <c r="AA1539">
        <v>3</v>
      </c>
      <c r="AB1539">
        <v>2</v>
      </c>
      <c r="AC1539">
        <v>3</v>
      </c>
      <c r="AD1539">
        <v>3</v>
      </c>
      <c r="AE1539">
        <v>2</v>
      </c>
      <c r="AF1539">
        <v>3</v>
      </c>
      <c r="AG1539">
        <v>3</v>
      </c>
      <c r="AH1539">
        <v>3</v>
      </c>
      <c r="AI1539">
        <v>3</v>
      </c>
      <c r="AJ1539">
        <v>3</v>
      </c>
      <c r="AK1539" t="b">
        <f>Table67[[#This Row],[What is your age?]]&lt;&gt;"18 - 25"</f>
        <v>0</v>
      </c>
      <c r="AL1539" t="b">
        <f t="shared" ref="AL1539:AL1602" si="96">COUNTIF(N1539:AH1539, N1539) = COLUMNS(N1539:AH1539)</f>
        <v>0</v>
      </c>
      <c r="AM1539" t="b">
        <f t="shared" ref="AM1539:AM1602" si="97">OR(AND(AG1539=AH1539, AG1539&lt;&gt;3), AND(OR(AG1539=1, AG1539=2), OR(AH1539=1, AH1539=2)), AND(OR(AG1539=4, AG1539=5), OR(AH1539=4, AH1539=5)))</f>
        <v>0</v>
      </c>
      <c r="AN1539" t="b">
        <f t="shared" ref="AN1539:AN1602" si="98">OR(AND(AG1539=3, AH1539&lt;&gt;3), AND(AH1539=3, AG1539&lt;&gt;3))</f>
        <v>0</v>
      </c>
      <c r="AO1539" t="b">
        <f>OR(Table67[[#This Row],[Ineligible respondents]:[Inconsistent response on opposite question (3)]])</f>
        <v>0</v>
      </c>
      <c r="AP153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539">
        <f>Table67[[#This Row],[Extreme Response]]/21</f>
        <v>0</v>
      </c>
      <c r="AR1539">
        <f>_xlfn.PERCENTILE.INC(Table67[Extrem Response Ratio (ERS)],0.9)</f>
        <v>0.61904761904761907</v>
      </c>
      <c r="AS1539" t="b">
        <f>Table67[[#This Row],[Extrem Response Ratio (ERS)]]&gt;=Table67[[#This Row],[Threshold of ERS]]</f>
        <v>0</v>
      </c>
      <c r="AT1539">
        <f>COUNTIF(Table67[[#This Row],[The mechanism of digital assets is difficult to understand, which discourages me from exploring it (E.g, Tokenization, Blockchain)]:[If I want to try different ways to invest, I will explore digital assets.]], 3)</f>
        <v>16</v>
      </c>
      <c r="AU1539">
        <f>Table67[[#This Row],[Midpoint]]/21</f>
        <v>0.76190476190476186</v>
      </c>
      <c r="AV1539">
        <f>_xlfn.PERCENTILE.INC(Table67[Midpoint ratio],0.9)</f>
        <v>0.5714285714285714</v>
      </c>
      <c r="AW1539" t="b">
        <f>Table67[[#This Row],[Midpoint ratio]]&gt;=Table67[[#This Row],[Threshold of Midpoint ratio]]</f>
        <v>1</v>
      </c>
      <c r="AX1539" t="b">
        <f>OR(Table67[[#This Row],[Extreme Response Style]],Table67[[#This Row],[Mid-point Response Style]])</f>
        <v>1</v>
      </c>
      <c r="AY1539" t="b">
        <f>OR(Table67[[#This Row],[Delete? (Stage 1)]],Table67[[#This Row],[Delete? (Stage 2)]])</f>
        <v>1</v>
      </c>
      <c r="AZ1539" t="s">
        <v>84</v>
      </c>
    </row>
    <row r="1540" spans="1:52">
      <c r="A1540">
        <f t="shared" ref="A1540:A1603" si="99">1+A1539</f>
        <v>1539</v>
      </c>
      <c r="B1540" s="3">
        <v>46062.033587962964</v>
      </c>
      <c r="C1540" s="3">
        <v>46062.03979166667</v>
      </c>
      <c r="D1540" t="s">
        <v>53</v>
      </c>
      <c r="G1540" t="s">
        <v>54</v>
      </c>
      <c r="H1540" t="s">
        <v>63</v>
      </c>
      <c r="I1540" t="s">
        <v>75</v>
      </c>
      <c r="J1540" t="s">
        <v>62</v>
      </c>
      <c r="K1540" t="s">
        <v>57</v>
      </c>
      <c r="L1540" t="s">
        <v>58</v>
      </c>
      <c r="M1540" t="s">
        <v>58</v>
      </c>
      <c r="N1540">
        <v>4</v>
      </c>
      <c r="O1540">
        <v>2</v>
      </c>
      <c r="P1540">
        <v>4</v>
      </c>
      <c r="Q1540">
        <v>3</v>
      </c>
      <c r="R1540">
        <v>2</v>
      </c>
      <c r="S1540">
        <v>4</v>
      </c>
      <c r="T1540">
        <v>4</v>
      </c>
      <c r="U1540">
        <v>4</v>
      </c>
      <c r="V1540">
        <v>4</v>
      </c>
      <c r="W1540">
        <v>2</v>
      </c>
      <c r="X1540">
        <v>4</v>
      </c>
      <c r="Y1540">
        <v>4</v>
      </c>
      <c r="Z1540">
        <v>4</v>
      </c>
      <c r="AA1540">
        <v>4</v>
      </c>
      <c r="AB1540">
        <v>2</v>
      </c>
      <c r="AC1540">
        <v>2</v>
      </c>
      <c r="AD1540">
        <v>4</v>
      </c>
      <c r="AE1540">
        <v>2</v>
      </c>
      <c r="AF1540">
        <v>2</v>
      </c>
      <c r="AG1540">
        <v>4</v>
      </c>
      <c r="AH1540">
        <v>3</v>
      </c>
      <c r="AI1540">
        <v>3</v>
      </c>
      <c r="AJ1540">
        <v>4</v>
      </c>
      <c r="AK1540" t="b">
        <f>Table67[[#This Row],[What is your age?]]&lt;&gt;"18 - 25"</f>
        <v>0</v>
      </c>
      <c r="AL1540" t="b">
        <f t="shared" si="96"/>
        <v>0</v>
      </c>
      <c r="AM1540" t="b">
        <f t="shared" si="97"/>
        <v>0</v>
      </c>
      <c r="AN1540" t="b">
        <f t="shared" si="98"/>
        <v>1</v>
      </c>
      <c r="AO1540" t="b">
        <f>OR(Table67[[#This Row],[Ineligible respondents]:[Inconsistent response on opposite question (3)]])</f>
        <v>1</v>
      </c>
      <c r="AP154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540">
        <f>Table67[[#This Row],[Extreme Response]]/21</f>
        <v>0</v>
      </c>
      <c r="AR1540">
        <f>_xlfn.PERCENTILE.INC(Table67[Extrem Response Ratio (ERS)],0.9)</f>
        <v>0.61904761904761907</v>
      </c>
      <c r="AS1540" t="b">
        <f>Table67[[#This Row],[Extrem Response Ratio (ERS)]]&gt;=Table67[[#This Row],[Threshold of ERS]]</f>
        <v>0</v>
      </c>
      <c r="AT1540">
        <f>COUNTIF(Table67[[#This Row],[The mechanism of digital assets is difficult to understand, which discourages me from exploring it (E.g, Tokenization, Blockchain)]:[If I want to try different ways to invest, I will explore digital assets.]], 3)</f>
        <v>2</v>
      </c>
      <c r="AU1540">
        <f>Table67[[#This Row],[Midpoint]]/21</f>
        <v>9.5238095238095233E-2</v>
      </c>
      <c r="AV1540">
        <f>_xlfn.PERCENTILE.INC(Table67[Midpoint ratio],0.9)</f>
        <v>0.5714285714285714</v>
      </c>
      <c r="AW1540" t="b">
        <f>Table67[[#This Row],[Midpoint ratio]]&gt;=Table67[[#This Row],[Threshold of Midpoint ratio]]</f>
        <v>0</v>
      </c>
      <c r="AX1540" t="b">
        <f>OR(Table67[[#This Row],[Extreme Response Style]],Table67[[#This Row],[Mid-point Response Style]])</f>
        <v>0</v>
      </c>
      <c r="AY1540" t="b">
        <f>OR(Table67[[#This Row],[Delete? (Stage 1)]],Table67[[#This Row],[Delete? (Stage 2)]])</f>
        <v>1</v>
      </c>
      <c r="AZ1540" t="s">
        <v>84</v>
      </c>
    </row>
    <row r="1541" spans="1:52">
      <c r="A1541">
        <f t="shared" si="99"/>
        <v>1540</v>
      </c>
      <c r="B1541" s="3">
        <v>46065.870092592595</v>
      </c>
      <c r="C1541" s="3">
        <v>46065.874502314815</v>
      </c>
      <c r="D1541" t="s">
        <v>53</v>
      </c>
      <c r="G1541" t="s">
        <v>54</v>
      </c>
      <c r="H1541" t="s">
        <v>63</v>
      </c>
      <c r="I1541" t="s">
        <v>71</v>
      </c>
      <c r="J1541" t="s">
        <v>64</v>
      </c>
      <c r="K1541" t="s">
        <v>57</v>
      </c>
      <c r="L1541" t="s">
        <v>58</v>
      </c>
      <c r="M1541" t="s">
        <v>58</v>
      </c>
      <c r="N1541">
        <v>4</v>
      </c>
      <c r="O1541">
        <v>4</v>
      </c>
      <c r="P1541">
        <v>3</v>
      </c>
      <c r="Q1541">
        <v>3</v>
      </c>
      <c r="R1541">
        <v>3</v>
      </c>
      <c r="S1541">
        <v>4</v>
      </c>
      <c r="T1541">
        <v>4</v>
      </c>
      <c r="U1541">
        <v>3</v>
      </c>
      <c r="V1541">
        <v>3</v>
      </c>
      <c r="W1541">
        <v>3</v>
      </c>
      <c r="X1541">
        <v>3</v>
      </c>
      <c r="Y1541">
        <v>2</v>
      </c>
      <c r="Z1541">
        <v>3</v>
      </c>
      <c r="AA1541">
        <v>4</v>
      </c>
      <c r="AB1541">
        <v>4</v>
      </c>
      <c r="AC1541">
        <v>3</v>
      </c>
      <c r="AD1541">
        <v>3</v>
      </c>
      <c r="AE1541">
        <v>4</v>
      </c>
      <c r="AF1541">
        <v>3</v>
      </c>
      <c r="AG1541">
        <v>3</v>
      </c>
      <c r="AH1541">
        <v>3</v>
      </c>
      <c r="AI1541">
        <v>3</v>
      </c>
      <c r="AJ1541">
        <v>3</v>
      </c>
      <c r="AK1541" t="b">
        <f>Table67[[#This Row],[What is your age?]]&lt;&gt;"18 - 25"</f>
        <v>0</v>
      </c>
      <c r="AL1541" t="b">
        <f t="shared" si="96"/>
        <v>0</v>
      </c>
      <c r="AM1541" t="b">
        <f t="shared" si="97"/>
        <v>0</v>
      </c>
      <c r="AN1541" t="b">
        <f t="shared" si="98"/>
        <v>0</v>
      </c>
      <c r="AO1541" t="b">
        <f>OR(Table67[[#This Row],[Ineligible respondents]:[Inconsistent response on opposite question (3)]])</f>
        <v>0</v>
      </c>
      <c r="AP154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541">
        <f>Table67[[#This Row],[Extreme Response]]/21</f>
        <v>0</v>
      </c>
      <c r="AR1541">
        <f>_xlfn.PERCENTILE.INC(Table67[Extrem Response Ratio (ERS)],0.9)</f>
        <v>0.61904761904761907</v>
      </c>
      <c r="AS1541" t="b">
        <f>Table67[[#This Row],[Extrem Response Ratio (ERS)]]&gt;=Table67[[#This Row],[Threshold of ERS]]</f>
        <v>0</v>
      </c>
      <c r="AT1541">
        <f>COUNTIF(Table67[[#This Row],[The mechanism of digital assets is difficult to understand, which discourages me from exploring it (E.g, Tokenization, Blockchain)]:[If I want to try different ways to invest, I will explore digital assets.]], 3)</f>
        <v>13</v>
      </c>
      <c r="AU1541">
        <f>Table67[[#This Row],[Midpoint]]/21</f>
        <v>0.61904761904761907</v>
      </c>
      <c r="AV1541">
        <f>_xlfn.PERCENTILE.INC(Table67[Midpoint ratio],0.9)</f>
        <v>0.5714285714285714</v>
      </c>
      <c r="AW1541" t="b">
        <f>Table67[[#This Row],[Midpoint ratio]]&gt;=Table67[[#This Row],[Threshold of Midpoint ratio]]</f>
        <v>1</v>
      </c>
      <c r="AX1541" t="b">
        <f>OR(Table67[[#This Row],[Extreme Response Style]],Table67[[#This Row],[Mid-point Response Style]])</f>
        <v>1</v>
      </c>
      <c r="AY1541" t="b">
        <f>OR(Table67[[#This Row],[Delete? (Stage 1)]],Table67[[#This Row],[Delete? (Stage 2)]])</f>
        <v>1</v>
      </c>
      <c r="AZ1541" t="s">
        <v>84</v>
      </c>
    </row>
    <row r="1542" spans="1:52">
      <c r="A1542">
        <f t="shared" si="99"/>
        <v>1541</v>
      </c>
      <c r="B1542" s="3">
        <v>46062.030173611114</v>
      </c>
      <c r="C1542" s="3">
        <v>46062.035231481481</v>
      </c>
      <c r="D1542" t="s">
        <v>53</v>
      </c>
      <c r="G1542" t="s">
        <v>54</v>
      </c>
      <c r="H1542" t="s">
        <v>63</v>
      </c>
      <c r="I1542" t="s">
        <v>56</v>
      </c>
      <c r="J1542" t="s">
        <v>62</v>
      </c>
      <c r="K1542" t="s">
        <v>57</v>
      </c>
      <c r="L1542" t="s">
        <v>58</v>
      </c>
      <c r="M1542" t="s">
        <v>58</v>
      </c>
      <c r="N1542">
        <v>4</v>
      </c>
      <c r="O1542">
        <v>3</v>
      </c>
      <c r="P1542">
        <v>4</v>
      </c>
      <c r="Q1542">
        <v>3</v>
      </c>
      <c r="R1542">
        <v>3</v>
      </c>
      <c r="S1542">
        <v>3</v>
      </c>
      <c r="T1542">
        <v>4</v>
      </c>
      <c r="U1542">
        <v>5</v>
      </c>
      <c r="V1542">
        <v>1</v>
      </c>
      <c r="W1542">
        <v>1</v>
      </c>
      <c r="X1542">
        <v>4</v>
      </c>
      <c r="Y1542">
        <v>3</v>
      </c>
      <c r="Z1542">
        <v>4</v>
      </c>
      <c r="AA1542">
        <v>4</v>
      </c>
      <c r="AB1542">
        <v>3</v>
      </c>
      <c r="AC1542">
        <v>1</v>
      </c>
      <c r="AD1542">
        <v>5</v>
      </c>
      <c r="AE1542">
        <v>4</v>
      </c>
      <c r="AF1542">
        <v>2</v>
      </c>
      <c r="AG1542">
        <v>3</v>
      </c>
      <c r="AH1542">
        <v>2</v>
      </c>
      <c r="AI1542">
        <v>4</v>
      </c>
      <c r="AJ1542">
        <v>4</v>
      </c>
      <c r="AK1542" t="b">
        <f>Table67[[#This Row],[What is your age?]]&lt;&gt;"18 - 25"</f>
        <v>0</v>
      </c>
      <c r="AL1542" t="b">
        <f t="shared" si="96"/>
        <v>0</v>
      </c>
      <c r="AM1542" t="b">
        <f t="shared" si="97"/>
        <v>0</v>
      </c>
      <c r="AN1542" t="b">
        <f t="shared" si="98"/>
        <v>1</v>
      </c>
      <c r="AO1542" t="b">
        <f>OR(Table67[[#This Row],[Ineligible respondents]:[Inconsistent response on opposite question (3)]])</f>
        <v>1</v>
      </c>
      <c r="AP154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542">
        <f>Table67[[#This Row],[Extreme Response]]/21</f>
        <v>0.23809523809523808</v>
      </c>
      <c r="AR1542">
        <f>_xlfn.PERCENTILE.INC(Table67[Extrem Response Ratio (ERS)],0.9)</f>
        <v>0.61904761904761907</v>
      </c>
      <c r="AS1542" t="b">
        <f>Table67[[#This Row],[Extrem Response Ratio (ERS)]]&gt;=Table67[[#This Row],[Threshold of ERS]]</f>
        <v>0</v>
      </c>
      <c r="AT1542">
        <f>COUNTIF(Table67[[#This Row],[The mechanism of digital assets is difficult to understand, which discourages me from exploring it (E.g, Tokenization, Blockchain)]:[If I want to try different ways to invest, I will explore digital assets.]], 3)</f>
        <v>7</v>
      </c>
      <c r="AU1542">
        <f>Table67[[#This Row],[Midpoint]]/21</f>
        <v>0.33333333333333331</v>
      </c>
      <c r="AV1542">
        <f>_xlfn.PERCENTILE.INC(Table67[Midpoint ratio],0.9)</f>
        <v>0.5714285714285714</v>
      </c>
      <c r="AW1542" t="b">
        <f>Table67[[#This Row],[Midpoint ratio]]&gt;=Table67[[#This Row],[Threshold of Midpoint ratio]]</f>
        <v>0</v>
      </c>
      <c r="AX1542" t="b">
        <f>OR(Table67[[#This Row],[Extreme Response Style]],Table67[[#This Row],[Mid-point Response Style]])</f>
        <v>0</v>
      </c>
      <c r="AY1542" t="b">
        <f>OR(Table67[[#This Row],[Delete? (Stage 1)]],Table67[[#This Row],[Delete? (Stage 2)]])</f>
        <v>1</v>
      </c>
      <c r="AZ1542" t="s">
        <v>84</v>
      </c>
    </row>
    <row r="1543" spans="1:52">
      <c r="A1543">
        <f t="shared" si="99"/>
        <v>1542</v>
      </c>
      <c r="B1543" s="3">
        <v>46062.060729166667</v>
      </c>
      <c r="C1543" s="3">
        <v>46062.064502314817</v>
      </c>
      <c r="D1543" t="s">
        <v>53</v>
      </c>
      <c r="G1543" t="s">
        <v>54</v>
      </c>
      <c r="H1543" t="s">
        <v>63</v>
      </c>
      <c r="I1543" t="s">
        <v>75</v>
      </c>
      <c r="J1543" t="s">
        <v>66</v>
      </c>
      <c r="K1543" t="s">
        <v>66</v>
      </c>
      <c r="L1543" t="s">
        <v>61</v>
      </c>
      <c r="M1543" t="s">
        <v>61</v>
      </c>
      <c r="N1543">
        <v>3</v>
      </c>
      <c r="O1543">
        <v>3</v>
      </c>
      <c r="P1543">
        <v>3</v>
      </c>
      <c r="Q1543">
        <v>5</v>
      </c>
      <c r="R1543">
        <v>4</v>
      </c>
      <c r="S1543">
        <v>3</v>
      </c>
      <c r="T1543">
        <v>3</v>
      </c>
      <c r="U1543">
        <v>4</v>
      </c>
      <c r="V1543">
        <v>5</v>
      </c>
      <c r="W1543">
        <v>4</v>
      </c>
      <c r="X1543">
        <v>3</v>
      </c>
      <c r="Y1543">
        <v>4</v>
      </c>
      <c r="Z1543">
        <v>3</v>
      </c>
      <c r="AA1543">
        <v>4</v>
      </c>
      <c r="AB1543">
        <v>5</v>
      </c>
      <c r="AC1543">
        <v>4</v>
      </c>
      <c r="AD1543">
        <v>4</v>
      </c>
      <c r="AE1543">
        <v>3</v>
      </c>
      <c r="AF1543">
        <v>4</v>
      </c>
      <c r="AG1543">
        <v>3</v>
      </c>
      <c r="AH1543">
        <v>4</v>
      </c>
      <c r="AI1543">
        <v>2</v>
      </c>
      <c r="AJ1543">
        <v>2</v>
      </c>
      <c r="AK1543" t="b">
        <f>Table67[[#This Row],[What is your age?]]&lt;&gt;"18 - 25"</f>
        <v>0</v>
      </c>
      <c r="AL1543" t="b">
        <f t="shared" si="96"/>
        <v>0</v>
      </c>
      <c r="AM1543" t="b">
        <f t="shared" si="97"/>
        <v>0</v>
      </c>
      <c r="AN1543" t="b">
        <f t="shared" si="98"/>
        <v>1</v>
      </c>
      <c r="AO1543" t="b">
        <f>OR(Table67[[#This Row],[Ineligible respondents]:[Inconsistent response on opposite question (3)]])</f>
        <v>1</v>
      </c>
      <c r="AP154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543">
        <f>Table67[[#This Row],[Extreme Response]]/21</f>
        <v>0.14285714285714285</v>
      </c>
      <c r="AR1543">
        <f>_xlfn.PERCENTILE.INC(Table67[Extrem Response Ratio (ERS)],0.9)</f>
        <v>0.61904761904761907</v>
      </c>
      <c r="AS1543" t="b">
        <f>Table67[[#This Row],[Extrem Response Ratio (ERS)]]&gt;=Table67[[#This Row],[Threshold of ERS]]</f>
        <v>0</v>
      </c>
      <c r="AT1543">
        <f>COUNTIF(Table67[[#This Row],[The mechanism of digital assets is difficult to understand, which discourages me from exploring it (E.g, Tokenization, Blockchain)]:[If I want to try different ways to invest, I will explore digital assets.]], 3)</f>
        <v>9</v>
      </c>
      <c r="AU1543">
        <f>Table67[[#This Row],[Midpoint]]/21</f>
        <v>0.42857142857142855</v>
      </c>
      <c r="AV1543">
        <f>_xlfn.PERCENTILE.INC(Table67[Midpoint ratio],0.9)</f>
        <v>0.5714285714285714</v>
      </c>
      <c r="AW1543" t="b">
        <f>Table67[[#This Row],[Midpoint ratio]]&gt;=Table67[[#This Row],[Threshold of Midpoint ratio]]</f>
        <v>0</v>
      </c>
      <c r="AX1543" t="b">
        <f>OR(Table67[[#This Row],[Extreme Response Style]],Table67[[#This Row],[Mid-point Response Style]])</f>
        <v>0</v>
      </c>
      <c r="AY1543" t="b">
        <f>OR(Table67[[#This Row],[Delete? (Stage 1)]],Table67[[#This Row],[Delete? (Stage 2)]])</f>
        <v>1</v>
      </c>
      <c r="AZ1543" t="s">
        <v>84</v>
      </c>
    </row>
    <row r="1544" spans="1:52">
      <c r="A1544">
        <f t="shared" si="99"/>
        <v>1543</v>
      </c>
      <c r="B1544" s="3">
        <v>46062.072106481479</v>
      </c>
      <c r="C1544" s="3">
        <v>46062.078032407408</v>
      </c>
      <c r="D1544" t="s">
        <v>53</v>
      </c>
      <c r="G1544" t="s">
        <v>54</v>
      </c>
      <c r="H1544" t="s">
        <v>63</v>
      </c>
      <c r="I1544" t="s">
        <v>71</v>
      </c>
      <c r="J1544" t="s">
        <v>62</v>
      </c>
      <c r="K1544" t="s">
        <v>62</v>
      </c>
      <c r="L1544" t="s">
        <v>58</v>
      </c>
      <c r="M1544" t="s">
        <v>58</v>
      </c>
      <c r="N1544">
        <v>3</v>
      </c>
      <c r="O1544">
        <v>1</v>
      </c>
      <c r="P1544">
        <v>3</v>
      </c>
      <c r="Q1544">
        <v>4</v>
      </c>
      <c r="R1544">
        <v>4</v>
      </c>
      <c r="S1544">
        <v>4</v>
      </c>
      <c r="T1544">
        <v>3</v>
      </c>
      <c r="U1544">
        <v>5</v>
      </c>
      <c r="V1544">
        <v>5</v>
      </c>
      <c r="W1544">
        <v>5</v>
      </c>
      <c r="X1544">
        <v>4</v>
      </c>
      <c r="Y1544">
        <v>4</v>
      </c>
      <c r="Z1544">
        <v>4</v>
      </c>
      <c r="AA1544">
        <v>3</v>
      </c>
      <c r="AB1544">
        <v>4</v>
      </c>
      <c r="AC1544">
        <v>5</v>
      </c>
      <c r="AD1544">
        <v>4</v>
      </c>
      <c r="AE1544">
        <v>3</v>
      </c>
      <c r="AF1544">
        <v>1</v>
      </c>
      <c r="AG1544">
        <v>3</v>
      </c>
      <c r="AH1544">
        <v>2</v>
      </c>
      <c r="AI1544">
        <v>4</v>
      </c>
      <c r="AJ1544">
        <v>5</v>
      </c>
      <c r="AK1544" t="b">
        <f>Table67[[#This Row],[What is your age?]]&lt;&gt;"18 - 25"</f>
        <v>0</v>
      </c>
      <c r="AL1544" t="b">
        <f t="shared" si="96"/>
        <v>0</v>
      </c>
      <c r="AM1544" t="b">
        <f t="shared" si="97"/>
        <v>0</v>
      </c>
      <c r="AN1544" t="b">
        <f t="shared" si="98"/>
        <v>1</v>
      </c>
      <c r="AO1544" t="b">
        <f>OR(Table67[[#This Row],[Ineligible respondents]:[Inconsistent response on opposite question (3)]])</f>
        <v>1</v>
      </c>
      <c r="AP154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544">
        <f>Table67[[#This Row],[Extreme Response]]/21</f>
        <v>0.2857142857142857</v>
      </c>
      <c r="AR1544">
        <f>_xlfn.PERCENTILE.INC(Table67[Extrem Response Ratio (ERS)],0.9)</f>
        <v>0.61904761904761907</v>
      </c>
      <c r="AS1544" t="b">
        <f>Table67[[#This Row],[Extrem Response Ratio (ERS)]]&gt;=Table67[[#This Row],[Threshold of ERS]]</f>
        <v>0</v>
      </c>
      <c r="AT1544">
        <f>COUNTIF(Table67[[#This Row],[The mechanism of digital assets is difficult to understand, which discourages me from exploring it (E.g, Tokenization, Blockchain)]:[If I want to try different ways to invest, I will explore digital assets.]], 3)</f>
        <v>6</v>
      </c>
      <c r="AU1544">
        <f>Table67[[#This Row],[Midpoint]]/21</f>
        <v>0.2857142857142857</v>
      </c>
      <c r="AV1544">
        <f>_xlfn.PERCENTILE.INC(Table67[Midpoint ratio],0.9)</f>
        <v>0.5714285714285714</v>
      </c>
      <c r="AW1544" t="b">
        <f>Table67[[#This Row],[Midpoint ratio]]&gt;=Table67[[#This Row],[Threshold of Midpoint ratio]]</f>
        <v>0</v>
      </c>
      <c r="AX1544" t="b">
        <f>OR(Table67[[#This Row],[Extreme Response Style]],Table67[[#This Row],[Mid-point Response Style]])</f>
        <v>0</v>
      </c>
      <c r="AY1544" t="b">
        <f>OR(Table67[[#This Row],[Delete? (Stage 1)]],Table67[[#This Row],[Delete? (Stage 2)]])</f>
        <v>1</v>
      </c>
      <c r="AZ1544" t="s">
        <v>84</v>
      </c>
    </row>
    <row r="1545" spans="1:52">
      <c r="A1545">
        <f t="shared" si="99"/>
        <v>1544</v>
      </c>
      <c r="B1545" s="3">
        <v>46062.03765046296</v>
      </c>
      <c r="C1545" s="3">
        <v>46062.039988425924</v>
      </c>
      <c r="D1545" t="s">
        <v>53</v>
      </c>
      <c r="G1545" t="s">
        <v>54</v>
      </c>
      <c r="H1545" t="s">
        <v>63</v>
      </c>
      <c r="I1545" t="s">
        <v>56</v>
      </c>
      <c r="J1545" t="s">
        <v>62</v>
      </c>
      <c r="K1545" t="s">
        <v>57</v>
      </c>
      <c r="L1545" t="s">
        <v>58</v>
      </c>
      <c r="M1545" t="s">
        <v>58</v>
      </c>
      <c r="N1545">
        <v>3</v>
      </c>
      <c r="O1545">
        <v>2</v>
      </c>
      <c r="P1545">
        <v>2</v>
      </c>
      <c r="Q1545">
        <v>4</v>
      </c>
      <c r="R1545">
        <v>3</v>
      </c>
      <c r="S1545">
        <v>4</v>
      </c>
      <c r="T1545">
        <v>3</v>
      </c>
      <c r="U1545">
        <v>3</v>
      </c>
      <c r="V1545">
        <v>5</v>
      </c>
      <c r="W1545">
        <v>3</v>
      </c>
      <c r="X1545">
        <v>3</v>
      </c>
      <c r="Y1545">
        <v>4</v>
      </c>
      <c r="Z1545">
        <v>4</v>
      </c>
      <c r="AA1545">
        <v>4</v>
      </c>
      <c r="AB1545">
        <v>2</v>
      </c>
      <c r="AC1545">
        <v>3</v>
      </c>
      <c r="AD1545">
        <v>3</v>
      </c>
      <c r="AE1545">
        <v>2</v>
      </c>
      <c r="AF1545">
        <v>4</v>
      </c>
      <c r="AG1545">
        <v>3</v>
      </c>
      <c r="AH1545">
        <v>5</v>
      </c>
      <c r="AI1545">
        <v>1</v>
      </c>
      <c r="AJ1545">
        <v>2</v>
      </c>
      <c r="AK1545" t="b">
        <f>Table67[[#This Row],[What is your age?]]&lt;&gt;"18 - 25"</f>
        <v>0</v>
      </c>
      <c r="AL1545" t="b">
        <f t="shared" si="96"/>
        <v>0</v>
      </c>
      <c r="AM1545" t="b">
        <f t="shared" si="97"/>
        <v>0</v>
      </c>
      <c r="AN1545" t="b">
        <f t="shared" si="98"/>
        <v>1</v>
      </c>
      <c r="AO1545" t="b">
        <f>OR(Table67[[#This Row],[Ineligible respondents]:[Inconsistent response on opposite question (3)]])</f>
        <v>1</v>
      </c>
      <c r="AP154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545">
        <f>Table67[[#This Row],[Extreme Response]]/21</f>
        <v>9.5238095238095233E-2</v>
      </c>
      <c r="AR1545">
        <f>_xlfn.PERCENTILE.INC(Table67[Extrem Response Ratio (ERS)],0.9)</f>
        <v>0.61904761904761907</v>
      </c>
      <c r="AS1545" t="b">
        <f>Table67[[#This Row],[Extrem Response Ratio (ERS)]]&gt;=Table67[[#This Row],[Threshold of ERS]]</f>
        <v>0</v>
      </c>
      <c r="AT1545">
        <f>COUNTIF(Table67[[#This Row],[The mechanism of digital assets is difficult to understand, which discourages me from exploring it (E.g, Tokenization, Blockchain)]:[If I want to try different ways to invest, I will explore digital assets.]], 3)</f>
        <v>9</v>
      </c>
      <c r="AU1545">
        <f>Table67[[#This Row],[Midpoint]]/21</f>
        <v>0.42857142857142855</v>
      </c>
      <c r="AV1545">
        <f>_xlfn.PERCENTILE.INC(Table67[Midpoint ratio],0.9)</f>
        <v>0.5714285714285714</v>
      </c>
      <c r="AW1545" t="b">
        <f>Table67[[#This Row],[Midpoint ratio]]&gt;=Table67[[#This Row],[Threshold of Midpoint ratio]]</f>
        <v>0</v>
      </c>
      <c r="AX1545" t="b">
        <f>OR(Table67[[#This Row],[Extreme Response Style]],Table67[[#This Row],[Mid-point Response Style]])</f>
        <v>0</v>
      </c>
      <c r="AY1545" t="b">
        <f>OR(Table67[[#This Row],[Delete? (Stage 1)]],Table67[[#This Row],[Delete? (Stage 2)]])</f>
        <v>1</v>
      </c>
      <c r="AZ1545" t="s">
        <v>84</v>
      </c>
    </row>
    <row r="1546" spans="1:52">
      <c r="A1546">
        <f t="shared" si="99"/>
        <v>1545</v>
      </c>
      <c r="B1546" s="3">
        <v>46065.765659722223</v>
      </c>
      <c r="C1546" s="3">
        <v>46065.767071759263</v>
      </c>
      <c r="D1546" t="s">
        <v>53</v>
      </c>
      <c r="G1546" t="s">
        <v>54</v>
      </c>
      <c r="H1546" t="s">
        <v>63</v>
      </c>
      <c r="I1546" t="s">
        <v>56</v>
      </c>
      <c r="J1546" t="s">
        <v>57</v>
      </c>
      <c r="K1546" t="s">
        <v>57</v>
      </c>
      <c r="L1546" t="s">
        <v>58</v>
      </c>
      <c r="M1546" t="s">
        <v>58</v>
      </c>
      <c r="N1546">
        <v>1</v>
      </c>
      <c r="O1546">
        <v>1</v>
      </c>
      <c r="P1546">
        <v>1</v>
      </c>
      <c r="Q1546">
        <v>1</v>
      </c>
      <c r="R1546">
        <v>1</v>
      </c>
      <c r="S1546">
        <v>1</v>
      </c>
      <c r="T1546">
        <v>1</v>
      </c>
      <c r="U1546">
        <v>1</v>
      </c>
      <c r="V1546">
        <v>4</v>
      </c>
      <c r="W1546">
        <v>4</v>
      </c>
      <c r="X1546">
        <v>2</v>
      </c>
      <c r="Y1546">
        <v>3</v>
      </c>
      <c r="Z1546">
        <v>2</v>
      </c>
      <c r="AA1546">
        <v>1</v>
      </c>
      <c r="AB1546">
        <v>1</v>
      </c>
      <c r="AC1546">
        <v>1</v>
      </c>
      <c r="AD1546">
        <v>2</v>
      </c>
      <c r="AE1546">
        <v>2</v>
      </c>
      <c r="AF1546">
        <v>5</v>
      </c>
      <c r="AG1546">
        <v>2</v>
      </c>
      <c r="AH1546">
        <v>5</v>
      </c>
      <c r="AI1546">
        <v>1</v>
      </c>
      <c r="AJ1546">
        <v>1</v>
      </c>
      <c r="AK1546" t="b">
        <f>Table67[[#This Row],[What is your age?]]&lt;&gt;"18 - 25"</f>
        <v>0</v>
      </c>
      <c r="AL1546" t="b">
        <f t="shared" si="96"/>
        <v>0</v>
      </c>
      <c r="AM1546" t="b">
        <f t="shared" si="97"/>
        <v>0</v>
      </c>
      <c r="AN1546" t="b">
        <f t="shared" si="98"/>
        <v>0</v>
      </c>
      <c r="AO1546" t="b">
        <f>OR(Table67[[#This Row],[Ineligible respondents]:[Inconsistent response on opposite question (3)]])</f>
        <v>0</v>
      </c>
      <c r="AP154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1546">
        <f>Table67[[#This Row],[Extreme Response]]/21</f>
        <v>0.61904761904761907</v>
      </c>
      <c r="AR1546">
        <f>_xlfn.PERCENTILE.INC(Table67[Extrem Response Ratio (ERS)],0.9)</f>
        <v>0.61904761904761907</v>
      </c>
      <c r="AS1546" t="b">
        <f>Table67[[#This Row],[Extrem Response Ratio (ERS)]]&gt;=Table67[[#This Row],[Threshold of ERS]]</f>
        <v>1</v>
      </c>
      <c r="AT1546">
        <f>COUNTIF(Table67[[#This Row],[The mechanism of digital assets is difficult to understand, which discourages me from exploring it (E.g, Tokenization, Blockchain)]:[If I want to try different ways to invest, I will explore digital assets.]], 3)</f>
        <v>1</v>
      </c>
      <c r="AU1546">
        <f>Table67[[#This Row],[Midpoint]]/21</f>
        <v>4.7619047619047616E-2</v>
      </c>
      <c r="AV1546">
        <f>_xlfn.PERCENTILE.INC(Table67[Midpoint ratio],0.9)</f>
        <v>0.5714285714285714</v>
      </c>
      <c r="AW1546" t="b">
        <f>Table67[[#This Row],[Midpoint ratio]]&gt;=Table67[[#This Row],[Threshold of Midpoint ratio]]</f>
        <v>0</v>
      </c>
      <c r="AX1546" t="b">
        <f>OR(Table67[[#This Row],[Extreme Response Style]],Table67[[#This Row],[Mid-point Response Style]])</f>
        <v>1</v>
      </c>
      <c r="AY1546" t="b">
        <f>OR(Table67[[#This Row],[Delete? (Stage 1)]],Table67[[#This Row],[Delete? (Stage 2)]])</f>
        <v>1</v>
      </c>
      <c r="AZ1546" t="s">
        <v>84</v>
      </c>
    </row>
    <row r="1547" spans="1:52">
      <c r="A1547">
        <f t="shared" si="99"/>
        <v>1546</v>
      </c>
      <c r="B1547" s="3">
        <v>46062.025266203702</v>
      </c>
      <c r="C1547" s="3">
        <v>46062.028831018521</v>
      </c>
      <c r="D1547" t="s">
        <v>53</v>
      </c>
      <c r="G1547" t="s">
        <v>54</v>
      </c>
      <c r="H1547" t="s">
        <v>55</v>
      </c>
      <c r="I1547" t="s">
        <v>69</v>
      </c>
      <c r="J1547" t="s">
        <v>62</v>
      </c>
      <c r="K1547" t="s">
        <v>62</v>
      </c>
      <c r="L1547" t="s">
        <v>61</v>
      </c>
      <c r="M1547" t="s">
        <v>58</v>
      </c>
      <c r="N1547">
        <v>4</v>
      </c>
      <c r="O1547">
        <v>4</v>
      </c>
      <c r="P1547">
        <v>3</v>
      </c>
      <c r="Q1547">
        <v>4</v>
      </c>
      <c r="R1547">
        <v>5</v>
      </c>
      <c r="S1547">
        <v>5</v>
      </c>
      <c r="T1547">
        <v>2</v>
      </c>
      <c r="U1547">
        <v>3</v>
      </c>
      <c r="V1547">
        <v>2</v>
      </c>
      <c r="W1547">
        <v>5</v>
      </c>
      <c r="X1547">
        <v>2</v>
      </c>
      <c r="Y1547">
        <v>5</v>
      </c>
      <c r="Z1547">
        <v>3</v>
      </c>
      <c r="AA1547">
        <v>3</v>
      </c>
      <c r="AB1547">
        <v>2</v>
      </c>
      <c r="AC1547">
        <v>1</v>
      </c>
      <c r="AD1547">
        <v>5</v>
      </c>
      <c r="AE1547">
        <v>1</v>
      </c>
      <c r="AF1547">
        <v>4</v>
      </c>
      <c r="AG1547">
        <v>3</v>
      </c>
      <c r="AH1547">
        <v>4</v>
      </c>
      <c r="AI1547">
        <v>2</v>
      </c>
      <c r="AJ1547">
        <v>2</v>
      </c>
      <c r="AK1547" t="b">
        <f>Table67[[#This Row],[What is your age?]]&lt;&gt;"18 - 25"</f>
        <v>0</v>
      </c>
      <c r="AL1547" t="b">
        <f t="shared" si="96"/>
        <v>0</v>
      </c>
      <c r="AM1547" t="b">
        <f t="shared" si="97"/>
        <v>0</v>
      </c>
      <c r="AN1547" t="b">
        <f t="shared" si="98"/>
        <v>1</v>
      </c>
      <c r="AO1547" t="b">
        <f>OR(Table67[[#This Row],[Ineligible respondents]:[Inconsistent response on opposite question (3)]])</f>
        <v>1</v>
      </c>
      <c r="AP154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547">
        <f>Table67[[#This Row],[Extreme Response]]/21</f>
        <v>0.33333333333333331</v>
      </c>
      <c r="AR1547">
        <f>_xlfn.PERCENTILE.INC(Table67[Extrem Response Ratio (ERS)],0.9)</f>
        <v>0.61904761904761907</v>
      </c>
      <c r="AS1547" t="b">
        <f>Table67[[#This Row],[Extrem Response Ratio (ERS)]]&gt;=Table67[[#This Row],[Threshold of ERS]]</f>
        <v>0</v>
      </c>
      <c r="AT1547">
        <f>COUNTIF(Table67[[#This Row],[The mechanism of digital assets is difficult to understand, which discourages me from exploring it (E.g, Tokenization, Blockchain)]:[If I want to try different ways to invest, I will explore digital assets.]], 3)</f>
        <v>5</v>
      </c>
      <c r="AU1547">
        <f>Table67[[#This Row],[Midpoint]]/21</f>
        <v>0.23809523809523808</v>
      </c>
      <c r="AV1547">
        <f>_xlfn.PERCENTILE.INC(Table67[Midpoint ratio],0.9)</f>
        <v>0.5714285714285714</v>
      </c>
      <c r="AW1547" t="b">
        <f>Table67[[#This Row],[Midpoint ratio]]&gt;=Table67[[#This Row],[Threshold of Midpoint ratio]]</f>
        <v>0</v>
      </c>
      <c r="AX1547" t="b">
        <f>OR(Table67[[#This Row],[Extreme Response Style]],Table67[[#This Row],[Mid-point Response Style]])</f>
        <v>0</v>
      </c>
      <c r="AY1547" t="b">
        <f>OR(Table67[[#This Row],[Delete? (Stage 1)]],Table67[[#This Row],[Delete? (Stage 2)]])</f>
        <v>1</v>
      </c>
      <c r="AZ1547" t="s">
        <v>84</v>
      </c>
    </row>
    <row r="1548" spans="1:52">
      <c r="A1548">
        <f t="shared" si="99"/>
        <v>1547</v>
      </c>
      <c r="B1548" s="3">
        <v>46065.882245370369</v>
      </c>
      <c r="C1548" s="3">
        <v>46065.888321759259</v>
      </c>
      <c r="D1548" t="s">
        <v>53</v>
      </c>
      <c r="G1548" t="s">
        <v>54</v>
      </c>
      <c r="H1548" t="s">
        <v>55</v>
      </c>
      <c r="I1548" t="s">
        <v>56</v>
      </c>
      <c r="J1548" t="s">
        <v>62</v>
      </c>
      <c r="K1548" t="s">
        <v>57</v>
      </c>
      <c r="L1548" t="s">
        <v>58</v>
      </c>
      <c r="M1548" t="s">
        <v>58</v>
      </c>
      <c r="N1548">
        <v>4</v>
      </c>
      <c r="O1548">
        <v>5</v>
      </c>
      <c r="P1548">
        <v>4</v>
      </c>
      <c r="Q1548">
        <v>4</v>
      </c>
      <c r="R1548">
        <v>4</v>
      </c>
      <c r="S1548">
        <v>2</v>
      </c>
      <c r="T1548">
        <v>2</v>
      </c>
      <c r="U1548">
        <v>4</v>
      </c>
      <c r="V1548">
        <v>4</v>
      </c>
      <c r="W1548">
        <v>4</v>
      </c>
      <c r="X1548">
        <v>3</v>
      </c>
      <c r="Y1548">
        <v>4</v>
      </c>
      <c r="Z1548">
        <v>3</v>
      </c>
      <c r="AA1548">
        <v>2</v>
      </c>
      <c r="AB1548">
        <v>3</v>
      </c>
      <c r="AC1548">
        <v>4</v>
      </c>
      <c r="AD1548">
        <v>3</v>
      </c>
      <c r="AE1548">
        <v>3</v>
      </c>
      <c r="AF1548">
        <v>3</v>
      </c>
      <c r="AG1548">
        <v>2</v>
      </c>
      <c r="AH1548">
        <v>4</v>
      </c>
      <c r="AI1548">
        <v>2</v>
      </c>
      <c r="AJ1548">
        <v>3</v>
      </c>
      <c r="AK1548" t="b">
        <f>Table67[[#This Row],[What is your age?]]&lt;&gt;"18 - 25"</f>
        <v>0</v>
      </c>
      <c r="AL1548" t="b">
        <f t="shared" si="96"/>
        <v>0</v>
      </c>
      <c r="AM1548" t="b">
        <f t="shared" si="97"/>
        <v>0</v>
      </c>
      <c r="AN1548" t="b">
        <f t="shared" si="98"/>
        <v>0</v>
      </c>
      <c r="AO1548" t="b">
        <f>OR(Table67[[#This Row],[Ineligible respondents]:[Inconsistent response on opposite question (3)]])</f>
        <v>0</v>
      </c>
      <c r="AP154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548">
        <f>Table67[[#This Row],[Extreme Response]]/21</f>
        <v>4.7619047619047616E-2</v>
      </c>
      <c r="AR1548">
        <f>_xlfn.PERCENTILE.INC(Table67[Extrem Response Ratio (ERS)],0.9)</f>
        <v>0.61904761904761907</v>
      </c>
      <c r="AS1548" t="b">
        <f>Table67[[#This Row],[Extrem Response Ratio (ERS)]]&gt;=Table67[[#This Row],[Threshold of ERS]]</f>
        <v>0</v>
      </c>
      <c r="AT1548">
        <f>COUNTIF(Table67[[#This Row],[The mechanism of digital assets is difficult to understand, which discourages me from exploring it (E.g, Tokenization, Blockchain)]:[If I want to try different ways to invest, I will explore digital assets.]], 3)</f>
        <v>6</v>
      </c>
      <c r="AU1548">
        <f>Table67[[#This Row],[Midpoint]]/21</f>
        <v>0.2857142857142857</v>
      </c>
      <c r="AV1548">
        <f>_xlfn.PERCENTILE.INC(Table67[Midpoint ratio],0.9)</f>
        <v>0.5714285714285714</v>
      </c>
      <c r="AW1548" t="b">
        <f>Table67[[#This Row],[Midpoint ratio]]&gt;=Table67[[#This Row],[Threshold of Midpoint ratio]]</f>
        <v>0</v>
      </c>
      <c r="AX1548" t="b">
        <f>OR(Table67[[#This Row],[Extreme Response Style]],Table67[[#This Row],[Mid-point Response Style]])</f>
        <v>0</v>
      </c>
      <c r="AY1548" t="b">
        <f>OR(Table67[[#This Row],[Delete? (Stage 1)]],Table67[[#This Row],[Delete? (Stage 2)]])</f>
        <v>0</v>
      </c>
      <c r="AZ1548" t="s">
        <v>84</v>
      </c>
    </row>
    <row r="1549" spans="1:52">
      <c r="A1549">
        <f t="shared" si="99"/>
        <v>1548</v>
      </c>
      <c r="B1549" s="3">
        <v>46062.046319444446</v>
      </c>
      <c r="C1549" s="3">
        <v>46062.052118055559</v>
      </c>
      <c r="D1549" t="s">
        <v>53</v>
      </c>
      <c r="G1549" t="s">
        <v>54</v>
      </c>
      <c r="H1549" t="s">
        <v>63</v>
      </c>
      <c r="I1549" t="s">
        <v>56</v>
      </c>
      <c r="J1549" t="s">
        <v>60</v>
      </c>
      <c r="K1549" t="s">
        <v>57</v>
      </c>
      <c r="L1549" t="s">
        <v>58</v>
      </c>
      <c r="M1549" t="s">
        <v>58</v>
      </c>
      <c r="N1549">
        <v>3</v>
      </c>
      <c r="O1549">
        <v>2</v>
      </c>
      <c r="P1549">
        <v>4</v>
      </c>
      <c r="Q1549">
        <v>4</v>
      </c>
      <c r="R1549">
        <v>2</v>
      </c>
      <c r="S1549">
        <v>4</v>
      </c>
      <c r="T1549">
        <v>3</v>
      </c>
      <c r="U1549">
        <v>5</v>
      </c>
      <c r="V1549">
        <v>5</v>
      </c>
      <c r="W1549">
        <v>5</v>
      </c>
      <c r="X1549">
        <v>3</v>
      </c>
      <c r="Y1549">
        <v>4</v>
      </c>
      <c r="Z1549">
        <v>4</v>
      </c>
      <c r="AA1549">
        <v>5</v>
      </c>
      <c r="AB1549">
        <v>5</v>
      </c>
      <c r="AC1549">
        <v>4</v>
      </c>
      <c r="AD1549">
        <v>4</v>
      </c>
      <c r="AE1549">
        <v>5</v>
      </c>
      <c r="AF1549">
        <v>2</v>
      </c>
      <c r="AG1549">
        <v>4</v>
      </c>
      <c r="AH1549">
        <v>3</v>
      </c>
      <c r="AI1549">
        <v>3</v>
      </c>
      <c r="AJ1549">
        <v>4</v>
      </c>
      <c r="AK1549" t="b">
        <f>Table67[[#This Row],[What is your age?]]&lt;&gt;"18 - 25"</f>
        <v>0</v>
      </c>
      <c r="AL1549" t="b">
        <f t="shared" si="96"/>
        <v>0</v>
      </c>
      <c r="AM1549" t="b">
        <f t="shared" si="97"/>
        <v>0</v>
      </c>
      <c r="AN1549" t="b">
        <f t="shared" si="98"/>
        <v>1</v>
      </c>
      <c r="AO1549" t="b">
        <f>OR(Table67[[#This Row],[Ineligible respondents]:[Inconsistent response on opposite question (3)]])</f>
        <v>1</v>
      </c>
      <c r="AP154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549">
        <f>Table67[[#This Row],[Extreme Response]]/21</f>
        <v>0.2857142857142857</v>
      </c>
      <c r="AR1549">
        <f>_xlfn.PERCENTILE.INC(Table67[Extrem Response Ratio (ERS)],0.9)</f>
        <v>0.61904761904761907</v>
      </c>
      <c r="AS1549" t="b">
        <f>Table67[[#This Row],[Extrem Response Ratio (ERS)]]&gt;=Table67[[#This Row],[Threshold of ERS]]</f>
        <v>0</v>
      </c>
      <c r="AT1549">
        <f>COUNTIF(Table67[[#This Row],[The mechanism of digital assets is difficult to understand, which discourages me from exploring it (E.g, Tokenization, Blockchain)]:[If I want to try different ways to invest, I will explore digital assets.]], 3)</f>
        <v>4</v>
      </c>
      <c r="AU1549">
        <f>Table67[[#This Row],[Midpoint]]/21</f>
        <v>0.19047619047619047</v>
      </c>
      <c r="AV1549">
        <f>_xlfn.PERCENTILE.INC(Table67[Midpoint ratio],0.9)</f>
        <v>0.5714285714285714</v>
      </c>
      <c r="AW1549" t="b">
        <f>Table67[[#This Row],[Midpoint ratio]]&gt;=Table67[[#This Row],[Threshold of Midpoint ratio]]</f>
        <v>0</v>
      </c>
      <c r="AX1549" t="b">
        <f>OR(Table67[[#This Row],[Extreme Response Style]],Table67[[#This Row],[Mid-point Response Style]])</f>
        <v>0</v>
      </c>
      <c r="AY1549" t="b">
        <f>OR(Table67[[#This Row],[Delete? (Stage 1)]],Table67[[#This Row],[Delete? (Stage 2)]])</f>
        <v>1</v>
      </c>
      <c r="AZ1549" t="s">
        <v>84</v>
      </c>
    </row>
    <row r="1550" spans="1:52">
      <c r="A1550">
        <f t="shared" si="99"/>
        <v>1549</v>
      </c>
      <c r="B1550" s="3">
        <v>46065.837465277778</v>
      </c>
      <c r="C1550" s="3">
        <v>46065.844398148147</v>
      </c>
      <c r="D1550" t="s">
        <v>53</v>
      </c>
      <c r="G1550" t="s">
        <v>54</v>
      </c>
      <c r="H1550" t="s">
        <v>63</v>
      </c>
      <c r="I1550" t="s">
        <v>56</v>
      </c>
      <c r="J1550" t="s">
        <v>62</v>
      </c>
      <c r="K1550" t="s">
        <v>57</v>
      </c>
      <c r="L1550" t="s">
        <v>58</v>
      </c>
      <c r="M1550" t="s">
        <v>61</v>
      </c>
      <c r="N1550">
        <v>2</v>
      </c>
      <c r="O1550">
        <v>2</v>
      </c>
      <c r="P1550">
        <v>4</v>
      </c>
      <c r="Q1550">
        <v>3</v>
      </c>
      <c r="R1550">
        <v>2</v>
      </c>
      <c r="S1550">
        <v>3</v>
      </c>
      <c r="T1550">
        <v>3</v>
      </c>
      <c r="U1550">
        <v>4</v>
      </c>
      <c r="V1550">
        <v>2</v>
      </c>
      <c r="W1550">
        <v>3</v>
      </c>
      <c r="X1550">
        <v>2</v>
      </c>
      <c r="Y1550">
        <v>2</v>
      </c>
      <c r="Z1550">
        <v>3</v>
      </c>
      <c r="AA1550">
        <v>3</v>
      </c>
      <c r="AB1550">
        <v>3</v>
      </c>
      <c r="AC1550">
        <v>3</v>
      </c>
      <c r="AD1550">
        <v>3</v>
      </c>
      <c r="AE1550">
        <v>3</v>
      </c>
      <c r="AF1550">
        <v>2</v>
      </c>
      <c r="AG1550">
        <v>3</v>
      </c>
      <c r="AH1550">
        <v>3</v>
      </c>
      <c r="AI1550">
        <v>3</v>
      </c>
      <c r="AJ1550">
        <v>4</v>
      </c>
      <c r="AK1550" t="b">
        <f>Table67[[#This Row],[What is your age?]]&lt;&gt;"18 - 25"</f>
        <v>0</v>
      </c>
      <c r="AL1550" t="b">
        <f t="shared" si="96"/>
        <v>0</v>
      </c>
      <c r="AM1550" t="b">
        <f t="shared" si="97"/>
        <v>0</v>
      </c>
      <c r="AN1550" t="b">
        <f t="shared" si="98"/>
        <v>0</v>
      </c>
      <c r="AO1550" t="b">
        <f>OR(Table67[[#This Row],[Ineligible respondents]:[Inconsistent response on opposite question (3)]])</f>
        <v>0</v>
      </c>
      <c r="AP155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550">
        <f>Table67[[#This Row],[Extreme Response]]/21</f>
        <v>0</v>
      </c>
      <c r="AR1550">
        <f>_xlfn.PERCENTILE.INC(Table67[Extrem Response Ratio (ERS)],0.9)</f>
        <v>0.61904761904761907</v>
      </c>
      <c r="AS1550" t="b">
        <f>Table67[[#This Row],[Extrem Response Ratio (ERS)]]&gt;=Table67[[#This Row],[Threshold of ERS]]</f>
        <v>0</v>
      </c>
      <c r="AT1550">
        <f>COUNTIF(Table67[[#This Row],[The mechanism of digital assets is difficult to understand, which discourages me from exploring it (E.g, Tokenization, Blockchain)]:[If I want to try different ways to invest, I will explore digital assets.]], 3)</f>
        <v>12</v>
      </c>
      <c r="AU1550">
        <f>Table67[[#This Row],[Midpoint]]/21</f>
        <v>0.5714285714285714</v>
      </c>
      <c r="AV1550">
        <f>_xlfn.PERCENTILE.INC(Table67[Midpoint ratio],0.9)</f>
        <v>0.5714285714285714</v>
      </c>
      <c r="AW1550" t="b">
        <f>Table67[[#This Row],[Midpoint ratio]]&gt;=Table67[[#This Row],[Threshold of Midpoint ratio]]</f>
        <v>1</v>
      </c>
      <c r="AX1550" t="b">
        <f>OR(Table67[[#This Row],[Extreme Response Style]],Table67[[#This Row],[Mid-point Response Style]])</f>
        <v>1</v>
      </c>
      <c r="AY1550" t="b">
        <f>OR(Table67[[#This Row],[Delete? (Stage 1)]],Table67[[#This Row],[Delete? (Stage 2)]])</f>
        <v>1</v>
      </c>
      <c r="AZ1550" t="s">
        <v>84</v>
      </c>
    </row>
    <row r="1551" spans="1:52">
      <c r="A1551">
        <f t="shared" si="99"/>
        <v>1550</v>
      </c>
      <c r="B1551" s="3">
        <v>46062.05678240741</v>
      </c>
      <c r="C1551" s="3">
        <v>46062.061018518521</v>
      </c>
      <c r="D1551" t="s">
        <v>53</v>
      </c>
      <c r="G1551" t="s">
        <v>54</v>
      </c>
      <c r="H1551" t="s">
        <v>63</v>
      </c>
      <c r="I1551" t="s">
        <v>75</v>
      </c>
      <c r="J1551" t="s">
        <v>57</v>
      </c>
      <c r="K1551" t="s">
        <v>57</v>
      </c>
      <c r="L1551" t="s">
        <v>58</v>
      </c>
      <c r="M1551" t="s">
        <v>58</v>
      </c>
      <c r="N1551">
        <v>4</v>
      </c>
      <c r="O1551">
        <v>1</v>
      </c>
      <c r="P1551">
        <v>2</v>
      </c>
      <c r="Q1551">
        <v>1</v>
      </c>
      <c r="R1551">
        <v>2</v>
      </c>
      <c r="S1551">
        <v>1</v>
      </c>
      <c r="T1551">
        <v>3</v>
      </c>
      <c r="U1551">
        <v>5</v>
      </c>
      <c r="V1551">
        <v>4</v>
      </c>
      <c r="W1551">
        <v>4</v>
      </c>
      <c r="X1551">
        <v>5</v>
      </c>
      <c r="Y1551">
        <v>4</v>
      </c>
      <c r="Z1551">
        <v>3</v>
      </c>
      <c r="AA1551">
        <v>2</v>
      </c>
      <c r="AB1551">
        <v>2</v>
      </c>
      <c r="AC1551">
        <v>4</v>
      </c>
      <c r="AD1551">
        <v>5</v>
      </c>
      <c r="AE1551">
        <v>5</v>
      </c>
      <c r="AF1551">
        <v>2</v>
      </c>
      <c r="AG1551">
        <v>4</v>
      </c>
      <c r="AH1551">
        <v>3</v>
      </c>
      <c r="AI1551">
        <v>3</v>
      </c>
      <c r="AJ1551">
        <v>4</v>
      </c>
      <c r="AK1551" t="b">
        <f>Table67[[#This Row],[What is your age?]]&lt;&gt;"18 - 25"</f>
        <v>0</v>
      </c>
      <c r="AL1551" t="b">
        <f t="shared" si="96"/>
        <v>0</v>
      </c>
      <c r="AM1551" t="b">
        <f t="shared" si="97"/>
        <v>0</v>
      </c>
      <c r="AN1551" t="b">
        <f t="shared" si="98"/>
        <v>1</v>
      </c>
      <c r="AO1551" t="b">
        <f>OR(Table67[[#This Row],[Ineligible respondents]:[Inconsistent response on opposite question (3)]])</f>
        <v>1</v>
      </c>
      <c r="AP155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551">
        <f>Table67[[#This Row],[Extreme Response]]/21</f>
        <v>0.33333333333333331</v>
      </c>
      <c r="AR1551">
        <f>_xlfn.PERCENTILE.INC(Table67[Extrem Response Ratio (ERS)],0.9)</f>
        <v>0.61904761904761907</v>
      </c>
      <c r="AS1551" t="b">
        <f>Table67[[#This Row],[Extrem Response Ratio (ERS)]]&gt;=Table67[[#This Row],[Threshold of ERS]]</f>
        <v>0</v>
      </c>
      <c r="AT1551">
        <f>COUNTIF(Table67[[#This Row],[The mechanism of digital assets is difficult to understand, which discourages me from exploring it (E.g, Tokenization, Blockchain)]:[If I want to try different ways to invest, I will explore digital assets.]], 3)</f>
        <v>3</v>
      </c>
      <c r="AU1551">
        <f>Table67[[#This Row],[Midpoint]]/21</f>
        <v>0.14285714285714285</v>
      </c>
      <c r="AV1551">
        <f>_xlfn.PERCENTILE.INC(Table67[Midpoint ratio],0.9)</f>
        <v>0.5714285714285714</v>
      </c>
      <c r="AW1551" t="b">
        <f>Table67[[#This Row],[Midpoint ratio]]&gt;=Table67[[#This Row],[Threshold of Midpoint ratio]]</f>
        <v>0</v>
      </c>
      <c r="AX1551" t="b">
        <f>OR(Table67[[#This Row],[Extreme Response Style]],Table67[[#This Row],[Mid-point Response Style]])</f>
        <v>0</v>
      </c>
      <c r="AY1551" t="b">
        <f>OR(Table67[[#This Row],[Delete? (Stage 1)]],Table67[[#This Row],[Delete? (Stage 2)]])</f>
        <v>1</v>
      </c>
      <c r="AZ1551" t="s">
        <v>84</v>
      </c>
    </row>
    <row r="1552" spans="1:52">
      <c r="A1552">
        <f t="shared" si="99"/>
        <v>1551</v>
      </c>
      <c r="B1552" s="3">
        <v>46062.038495370369</v>
      </c>
      <c r="C1552" s="3">
        <v>46062.044652777775</v>
      </c>
      <c r="D1552" t="s">
        <v>53</v>
      </c>
      <c r="G1552" t="s">
        <v>54</v>
      </c>
      <c r="H1552" t="s">
        <v>63</v>
      </c>
      <c r="I1552" t="s">
        <v>56</v>
      </c>
      <c r="J1552" t="s">
        <v>57</v>
      </c>
      <c r="K1552" t="s">
        <v>62</v>
      </c>
      <c r="L1552" t="s">
        <v>58</v>
      </c>
      <c r="M1552" t="s">
        <v>58</v>
      </c>
      <c r="N1552">
        <v>4</v>
      </c>
      <c r="O1552">
        <v>2</v>
      </c>
      <c r="P1552">
        <v>3</v>
      </c>
      <c r="Q1552">
        <v>3</v>
      </c>
      <c r="R1552">
        <v>4</v>
      </c>
      <c r="S1552">
        <v>3</v>
      </c>
      <c r="T1552">
        <v>3</v>
      </c>
      <c r="U1552">
        <v>4</v>
      </c>
      <c r="V1552">
        <v>4</v>
      </c>
      <c r="W1552">
        <v>4</v>
      </c>
      <c r="X1552">
        <v>4</v>
      </c>
      <c r="Y1552">
        <v>4</v>
      </c>
      <c r="Z1552">
        <v>4</v>
      </c>
      <c r="AA1552">
        <v>4</v>
      </c>
      <c r="AB1552">
        <v>2</v>
      </c>
      <c r="AC1552">
        <v>4</v>
      </c>
      <c r="AD1552">
        <v>4</v>
      </c>
      <c r="AE1552">
        <v>4</v>
      </c>
      <c r="AF1552">
        <v>3</v>
      </c>
      <c r="AG1552">
        <v>3</v>
      </c>
      <c r="AH1552">
        <v>2</v>
      </c>
      <c r="AI1552">
        <v>4</v>
      </c>
      <c r="AJ1552">
        <v>3</v>
      </c>
      <c r="AK1552" t="b">
        <f>Table67[[#This Row],[What is your age?]]&lt;&gt;"18 - 25"</f>
        <v>0</v>
      </c>
      <c r="AL1552" t="b">
        <f t="shared" si="96"/>
        <v>0</v>
      </c>
      <c r="AM1552" t="b">
        <f t="shared" si="97"/>
        <v>0</v>
      </c>
      <c r="AN1552" t="b">
        <f t="shared" si="98"/>
        <v>1</v>
      </c>
      <c r="AO1552" t="b">
        <f>OR(Table67[[#This Row],[Ineligible respondents]:[Inconsistent response on opposite question (3)]])</f>
        <v>1</v>
      </c>
      <c r="AP155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552">
        <f>Table67[[#This Row],[Extreme Response]]/21</f>
        <v>0</v>
      </c>
      <c r="AR1552">
        <f>_xlfn.PERCENTILE.INC(Table67[Extrem Response Ratio (ERS)],0.9)</f>
        <v>0.61904761904761907</v>
      </c>
      <c r="AS1552" t="b">
        <f>Table67[[#This Row],[Extrem Response Ratio (ERS)]]&gt;=Table67[[#This Row],[Threshold of ERS]]</f>
        <v>0</v>
      </c>
      <c r="AT1552">
        <f>COUNTIF(Table67[[#This Row],[The mechanism of digital assets is difficult to understand, which discourages me from exploring it (E.g, Tokenization, Blockchain)]:[If I want to try different ways to invest, I will explore digital assets.]], 3)</f>
        <v>6</v>
      </c>
      <c r="AU1552">
        <f>Table67[[#This Row],[Midpoint]]/21</f>
        <v>0.2857142857142857</v>
      </c>
      <c r="AV1552">
        <f>_xlfn.PERCENTILE.INC(Table67[Midpoint ratio],0.9)</f>
        <v>0.5714285714285714</v>
      </c>
      <c r="AW1552" t="b">
        <f>Table67[[#This Row],[Midpoint ratio]]&gt;=Table67[[#This Row],[Threshold of Midpoint ratio]]</f>
        <v>0</v>
      </c>
      <c r="AX1552" t="b">
        <f>OR(Table67[[#This Row],[Extreme Response Style]],Table67[[#This Row],[Mid-point Response Style]])</f>
        <v>0</v>
      </c>
      <c r="AY1552" t="b">
        <f>OR(Table67[[#This Row],[Delete? (Stage 1)]],Table67[[#This Row],[Delete? (Stage 2)]])</f>
        <v>1</v>
      </c>
      <c r="AZ1552" t="s">
        <v>84</v>
      </c>
    </row>
    <row r="1553" spans="1:52">
      <c r="A1553">
        <f t="shared" si="99"/>
        <v>1552</v>
      </c>
      <c r="B1553" s="3">
        <v>46062.048344907409</v>
      </c>
      <c r="C1553" s="3">
        <v>46062.050011574072</v>
      </c>
      <c r="D1553" t="s">
        <v>53</v>
      </c>
      <c r="G1553" t="s">
        <v>54</v>
      </c>
      <c r="H1553" t="s">
        <v>63</v>
      </c>
      <c r="I1553" t="s">
        <v>71</v>
      </c>
      <c r="J1553" t="s">
        <v>62</v>
      </c>
      <c r="K1553" t="s">
        <v>57</v>
      </c>
      <c r="L1553" t="s">
        <v>58</v>
      </c>
      <c r="M1553" t="s">
        <v>58</v>
      </c>
      <c r="N1553">
        <v>4</v>
      </c>
      <c r="O1553">
        <v>3</v>
      </c>
      <c r="P1553">
        <v>4</v>
      </c>
      <c r="Q1553">
        <v>3</v>
      </c>
      <c r="R1553">
        <v>2</v>
      </c>
      <c r="S1553">
        <v>4</v>
      </c>
      <c r="T1553">
        <v>3</v>
      </c>
      <c r="U1553">
        <v>3</v>
      </c>
      <c r="V1553">
        <v>5</v>
      </c>
      <c r="W1553">
        <v>5</v>
      </c>
      <c r="X1553">
        <v>5</v>
      </c>
      <c r="Y1553">
        <v>5</v>
      </c>
      <c r="Z1553">
        <v>4</v>
      </c>
      <c r="AA1553">
        <v>4</v>
      </c>
      <c r="AB1553">
        <v>3</v>
      </c>
      <c r="AC1553">
        <v>4</v>
      </c>
      <c r="AD1553">
        <v>4</v>
      </c>
      <c r="AE1553">
        <v>3</v>
      </c>
      <c r="AF1553">
        <v>3</v>
      </c>
      <c r="AG1553">
        <v>4</v>
      </c>
      <c r="AH1553">
        <v>4</v>
      </c>
      <c r="AI1553">
        <v>2</v>
      </c>
      <c r="AJ1553">
        <v>3</v>
      </c>
      <c r="AK1553" t="b">
        <f>Table67[[#This Row],[What is your age?]]&lt;&gt;"18 - 25"</f>
        <v>0</v>
      </c>
      <c r="AL1553" t="b">
        <f t="shared" si="96"/>
        <v>0</v>
      </c>
      <c r="AM1553" t="b">
        <f t="shared" si="97"/>
        <v>1</v>
      </c>
      <c r="AN1553" t="b">
        <f t="shared" si="98"/>
        <v>0</v>
      </c>
      <c r="AO1553" t="b">
        <f>OR(Table67[[#This Row],[Ineligible respondents]:[Inconsistent response on opposite question (3)]])</f>
        <v>1</v>
      </c>
      <c r="AP155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553">
        <f>Table67[[#This Row],[Extreme Response]]/21</f>
        <v>0.19047619047619047</v>
      </c>
      <c r="AR1553">
        <f>_xlfn.PERCENTILE.INC(Table67[Extrem Response Ratio (ERS)],0.9)</f>
        <v>0.61904761904761907</v>
      </c>
      <c r="AS1553" t="b">
        <f>Table67[[#This Row],[Extrem Response Ratio (ERS)]]&gt;=Table67[[#This Row],[Threshold of ERS]]</f>
        <v>0</v>
      </c>
      <c r="AT1553">
        <f>COUNTIF(Table67[[#This Row],[The mechanism of digital assets is difficult to understand, which discourages me from exploring it (E.g, Tokenization, Blockchain)]:[If I want to try different ways to invest, I will explore digital assets.]], 3)</f>
        <v>7</v>
      </c>
      <c r="AU1553">
        <f>Table67[[#This Row],[Midpoint]]/21</f>
        <v>0.33333333333333331</v>
      </c>
      <c r="AV1553">
        <f>_xlfn.PERCENTILE.INC(Table67[Midpoint ratio],0.9)</f>
        <v>0.5714285714285714</v>
      </c>
      <c r="AW1553" t="b">
        <f>Table67[[#This Row],[Midpoint ratio]]&gt;=Table67[[#This Row],[Threshold of Midpoint ratio]]</f>
        <v>0</v>
      </c>
      <c r="AX1553" t="b">
        <f>OR(Table67[[#This Row],[Extreme Response Style]],Table67[[#This Row],[Mid-point Response Style]])</f>
        <v>0</v>
      </c>
      <c r="AY1553" t="b">
        <f>OR(Table67[[#This Row],[Delete? (Stage 1)]],Table67[[#This Row],[Delete? (Stage 2)]])</f>
        <v>1</v>
      </c>
      <c r="AZ1553" t="s">
        <v>84</v>
      </c>
    </row>
    <row r="1554" spans="1:52">
      <c r="A1554">
        <f t="shared" si="99"/>
        <v>1553</v>
      </c>
      <c r="B1554" s="3">
        <v>46065.87537037037</v>
      </c>
      <c r="C1554" s="3">
        <v>46065.879641203705</v>
      </c>
      <c r="D1554" t="s">
        <v>53</v>
      </c>
      <c r="G1554" t="s">
        <v>54</v>
      </c>
      <c r="H1554" t="s">
        <v>63</v>
      </c>
      <c r="I1554" t="s">
        <v>56</v>
      </c>
      <c r="J1554" t="s">
        <v>62</v>
      </c>
      <c r="K1554" t="s">
        <v>57</v>
      </c>
      <c r="L1554" t="s">
        <v>58</v>
      </c>
      <c r="M1554" t="s">
        <v>58</v>
      </c>
      <c r="N1554">
        <v>3</v>
      </c>
      <c r="O1554">
        <v>4</v>
      </c>
      <c r="P1554">
        <v>4</v>
      </c>
      <c r="Q1554">
        <v>4</v>
      </c>
      <c r="R1554">
        <v>2</v>
      </c>
      <c r="S1554">
        <v>3</v>
      </c>
      <c r="T1554">
        <v>3</v>
      </c>
      <c r="U1554">
        <v>4</v>
      </c>
      <c r="V1554">
        <v>4</v>
      </c>
      <c r="W1554">
        <v>3</v>
      </c>
      <c r="X1554">
        <v>3</v>
      </c>
      <c r="Y1554">
        <v>3</v>
      </c>
      <c r="Z1554">
        <v>3</v>
      </c>
      <c r="AA1554">
        <v>2</v>
      </c>
      <c r="AB1554">
        <v>3</v>
      </c>
      <c r="AC1554">
        <v>4</v>
      </c>
      <c r="AD1554">
        <v>4</v>
      </c>
      <c r="AE1554">
        <v>3</v>
      </c>
      <c r="AF1554">
        <v>2</v>
      </c>
      <c r="AG1554">
        <v>3</v>
      </c>
      <c r="AH1554">
        <v>3</v>
      </c>
      <c r="AI1554">
        <v>3</v>
      </c>
      <c r="AJ1554">
        <v>4</v>
      </c>
      <c r="AK1554" t="b">
        <f>Table67[[#This Row],[What is your age?]]&lt;&gt;"18 - 25"</f>
        <v>0</v>
      </c>
      <c r="AL1554" t="b">
        <f t="shared" si="96"/>
        <v>0</v>
      </c>
      <c r="AM1554" t="b">
        <f t="shared" si="97"/>
        <v>0</v>
      </c>
      <c r="AN1554" t="b">
        <f t="shared" si="98"/>
        <v>0</v>
      </c>
      <c r="AO1554" t="b">
        <f>OR(Table67[[#This Row],[Ineligible respondents]:[Inconsistent response on opposite question (3)]])</f>
        <v>0</v>
      </c>
      <c r="AP155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554">
        <f>Table67[[#This Row],[Extreme Response]]/21</f>
        <v>0</v>
      </c>
      <c r="AR1554">
        <f>_xlfn.PERCENTILE.INC(Table67[Extrem Response Ratio (ERS)],0.9)</f>
        <v>0.61904761904761907</v>
      </c>
      <c r="AS1554" t="b">
        <f>Table67[[#This Row],[Extrem Response Ratio (ERS)]]&gt;=Table67[[#This Row],[Threshold of ERS]]</f>
        <v>0</v>
      </c>
      <c r="AT1554">
        <f>COUNTIF(Table67[[#This Row],[The mechanism of digital assets is difficult to understand, which discourages me from exploring it (E.g, Tokenization, Blockchain)]:[If I want to try different ways to invest, I will explore digital assets.]], 3)</f>
        <v>11</v>
      </c>
      <c r="AU1554">
        <f>Table67[[#This Row],[Midpoint]]/21</f>
        <v>0.52380952380952384</v>
      </c>
      <c r="AV1554">
        <f>_xlfn.PERCENTILE.INC(Table67[Midpoint ratio],0.9)</f>
        <v>0.5714285714285714</v>
      </c>
      <c r="AW1554" t="b">
        <f>Table67[[#This Row],[Midpoint ratio]]&gt;=Table67[[#This Row],[Threshold of Midpoint ratio]]</f>
        <v>0</v>
      </c>
      <c r="AX1554" t="b">
        <f>OR(Table67[[#This Row],[Extreme Response Style]],Table67[[#This Row],[Mid-point Response Style]])</f>
        <v>0</v>
      </c>
      <c r="AY1554" t="b">
        <f>OR(Table67[[#This Row],[Delete? (Stage 1)]],Table67[[#This Row],[Delete? (Stage 2)]])</f>
        <v>0</v>
      </c>
      <c r="AZ1554" t="s">
        <v>84</v>
      </c>
    </row>
    <row r="1555" spans="1:52">
      <c r="A1555">
        <f t="shared" si="99"/>
        <v>1554</v>
      </c>
      <c r="B1555" s="3">
        <v>46062.025740740741</v>
      </c>
      <c r="C1555" s="3">
        <v>46062.031331018516</v>
      </c>
      <c r="D1555" t="s">
        <v>53</v>
      </c>
      <c r="G1555" t="s">
        <v>54</v>
      </c>
      <c r="H1555" t="s">
        <v>63</v>
      </c>
      <c r="I1555" t="s">
        <v>56</v>
      </c>
      <c r="J1555" t="s">
        <v>60</v>
      </c>
      <c r="K1555" t="s">
        <v>62</v>
      </c>
      <c r="L1555" t="s">
        <v>58</v>
      </c>
      <c r="M1555" t="s">
        <v>61</v>
      </c>
      <c r="N1555">
        <v>4</v>
      </c>
      <c r="O1555">
        <v>3</v>
      </c>
      <c r="P1555">
        <v>2</v>
      </c>
      <c r="Q1555">
        <v>3</v>
      </c>
      <c r="R1555">
        <v>4</v>
      </c>
      <c r="S1555">
        <v>3</v>
      </c>
      <c r="T1555">
        <v>3</v>
      </c>
      <c r="U1555">
        <v>4</v>
      </c>
      <c r="V1555">
        <v>5</v>
      </c>
      <c r="W1555">
        <v>4</v>
      </c>
      <c r="X1555">
        <v>4</v>
      </c>
      <c r="Y1555">
        <v>4</v>
      </c>
      <c r="Z1555">
        <v>4</v>
      </c>
      <c r="AA1555">
        <v>3</v>
      </c>
      <c r="AB1555">
        <v>4</v>
      </c>
      <c r="AC1555">
        <v>4</v>
      </c>
      <c r="AD1555">
        <v>4</v>
      </c>
      <c r="AE1555">
        <v>4</v>
      </c>
      <c r="AF1555">
        <v>3</v>
      </c>
      <c r="AG1555">
        <v>3</v>
      </c>
      <c r="AH1555">
        <v>4</v>
      </c>
      <c r="AI1555">
        <v>2</v>
      </c>
      <c r="AJ1555">
        <v>3</v>
      </c>
      <c r="AK1555" t="b">
        <f>Table67[[#This Row],[What is your age?]]&lt;&gt;"18 - 25"</f>
        <v>0</v>
      </c>
      <c r="AL1555" t="b">
        <f t="shared" si="96"/>
        <v>0</v>
      </c>
      <c r="AM1555" t="b">
        <f t="shared" si="97"/>
        <v>0</v>
      </c>
      <c r="AN1555" t="b">
        <f t="shared" si="98"/>
        <v>1</v>
      </c>
      <c r="AO1555" t="b">
        <f>OR(Table67[[#This Row],[Ineligible respondents]:[Inconsistent response on opposite question (3)]])</f>
        <v>1</v>
      </c>
      <c r="AP155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555">
        <f>Table67[[#This Row],[Extreme Response]]/21</f>
        <v>4.7619047619047616E-2</v>
      </c>
      <c r="AR1555">
        <f>_xlfn.PERCENTILE.INC(Table67[Extrem Response Ratio (ERS)],0.9)</f>
        <v>0.61904761904761907</v>
      </c>
      <c r="AS1555" t="b">
        <f>Table67[[#This Row],[Extrem Response Ratio (ERS)]]&gt;=Table67[[#This Row],[Threshold of ERS]]</f>
        <v>0</v>
      </c>
      <c r="AT1555">
        <f>COUNTIF(Table67[[#This Row],[The mechanism of digital assets is difficult to understand, which discourages me from exploring it (E.g, Tokenization, Blockchain)]:[If I want to try different ways to invest, I will explore digital assets.]], 3)</f>
        <v>7</v>
      </c>
      <c r="AU1555">
        <f>Table67[[#This Row],[Midpoint]]/21</f>
        <v>0.33333333333333331</v>
      </c>
      <c r="AV1555">
        <f>_xlfn.PERCENTILE.INC(Table67[Midpoint ratio],0.9)</f>
        <v>0.5714285714285714</v>
      </c>
      <c r="AW1555" t="b">
        <f>Table67[[#This Row],[Midpoint ratio]]&gt;=Table67[[#This Row],[Threshold of Midpoint ratio]]</f>
        <v>0</v>
      </c>
      <c r="AX1555" t="b">
        <f>OR(Table67[[#This Row],[Extreme Response Style]],Table67[[#This Row],[Mid-point Response Style]])</f>
        <v>0</v>
      </c>
      <c r="AY1555" t="b">
        <f>OR(Table67[[#This Row],[Delete? (Stage 1)]],Table67[[#This Row],[Delete? (Stage 2)]])</f>
        <v>1</v>
      </c>
      <c r="AZ1555" t="s">
        <v>84</v>
      </c>
    </row>
    <row r="1556" spans="1:52">
      <c r="A1556">
        <f t="shared" si="99"/>
        <v>1555</v>
      </c>
      <c r="B1556" s="3">
        <v>46062.036666666667</v>
      </c>
      <c r="C1556" s="3">
        <v>46062.040717592594</v>
      </c>
      <c r="D1556" t="s">
        <v>53</v>
      </c>
      <c r="G1556" t="s">
        <v>54</v>
      </c>
      <c r="H1556" t="s">
        <v>55</v>
      </c>
      <c r="I1556" t="s">
        <v>75</v>
      </c>
      <c r="J1556" t="s">
        <v>64</v>
      </c>
      <c r="K1556" t="s">
        <v>68</v>
      </c>
      <c r="L1556" t="s">
        <v>61</v>
      </c>
      <c r="M1556" t="s">
        <v>61</v>
      </c>
      <c r="N1556">
        <v>5</v>
      </c>
      <c r="O1556">
        <v>5</v>
      </c>
      <c r="P1556">
        <v>5</v>
      </c>
      <c r="Q1556">
        <v>5</v>
      </c>
      <c r="R1556">
        <v>5</v>
      </c>
      <c r="S1556">
        <v>5</v>
      </c>
      <c r="T1556">
        <v>5</v>
      </c>
      <c r="U1556">
        <v>5</v>
      </c>
      <c r="V1556">
        <v>5</v>
      </c>
      <c r="W1556">
        <v>5</v>
      </c>
      <c r="X1556">
        <v>5</v>
      </c>
      <c r="Y1556">
        <v>5</v>
      </c>
      <c r="Z1556">
        <v>5</v>
      </c>
      <c r="AA1556">
        <v>5</v>
      </c>
      <c r="AB1556">
        <v>2</v>
      </c>
      <c r="AC1556">
        <v>4</v>
      </c>
      <c r="AD1556">
        <v>5</v>
      </c>
      <c r="AE1556">
        <v>3</v>
      </c>
      <c r="AF1556">
        <v>4</v>
      </c>
      <c r="AG1556">
        <v>2</v>
      </c>
      <c r="AH1556">
        <v>4</v>
      </c>
      <c r="AI1556">
        <v>2</v>
      </c>
      <c r="AJ1556">
        <v>2</v>
      </c>
      <c r="AK1556" t="b">
        <f>Table67[[#This Row],[What is your age?]]&lt;&gt;"18 - 25"</f>
        <v>0</v>
      </c>
      <c r="AL1556" t="b">
        <f t="shared" si="96"/>
        <v>0</v>
      </c>
      <c r="AM1556" t="b">
        <f t="shared" si="97"/>
        <v>0</v>
      </c>
      <c r="AN1556" t="b">
        <f t="shared" si="98"/>
        <v>0</v>
      </c>
      <c r="AO1556" t="b">
        <f>OR(Table67[[#This Row],[Ineligible respondents]:[Inconsistent response on opposite question (3)]])</f>
        <v>0</v>
      </c>
      <c r="AP155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1556">
        <f>Table67[[#This Row],[Extreme Response]]/21</f>
        <v>0.7142857142857143</v>
      </c>
      <c r="AR1556">
        <f>_xlfn.PERCENTILE.INC(Table67[Extrem Response Ratio (ERS)],0.9)</f>
        <v>0.61904761904761907</v>
      </c>
      <c r="AS1556" t="b">
        <f>Table67[[#This Row],[Extrem Response Ratio (ERS)]]&gt;=Table67[[#This Row],[Threshold of ERS]]</f>
        <v>1</v>
      </c>
      <c r="AT1556">
        <f>COUNTIF(Table67[[#This Row],[The mechanism of digital assets is difficult to understand, which discourages me from exploring it (E.g, Tokenization, Blockchain)]:[If I want to try different ways to invest, I will explore digital assets.]], 3)</f>
        <v>1</v>
      </c>
      <c r="AU1556">
        <f>Table67[[#This Row],[Midpoint]]/21</f>
        <v>4.7619047619047616E-2</v>
      </c>
      <c r="AV1556">
        <f>_xlfn.PERCENTILE.INC(Table67[Midpoint ratio],0.9)</f>
        <v>0.5714285714285714</v>
      </c>
      <c r="AW1556" t="b">
        <f>Table67[[#This Row],[Midpoint ratio]]&gt;=Table67[[#This Row],[Threshold of Midpoint ratio]]</f>
        <v>0</v>
      </c>
      <c r="AX1556" t="b">
        <f>OR(Table67[[#This Row],[Extreme Response Style]],Table67[[#This Row],[Mid-point Response Style]])</f>
        <v>1</v>
      </c>
      <c r="AY1556" t="b">
        <f>OR(Table67[[#This Row],[Delete? (Stage 1)]],Table67[[#This Row],[Delete? (Stage 2)]])</f>
        <v>1</v>
      </c>
      <c r="AZ1556" t="s">
        <v>84</v>
      </c>
    </row>
    <row r="1557" spans="1:52">
      <c r="A1557">
        <f t="shared" si="99"/>
        <v>1556</v>
      </c>
      <c r="B1557" s="3">
        <v>46065.828229166669</v>
      </c>
      <c r="C1557" s="3">
        <v>46065.832372685189</v>
      </c>
      <c r="D1557" t="s">
        <v>53</v>
      </c>
      <c r="G1557" t="s">
        <v>54</v>
      </c>
      <c r="H1557" t="s">
        <v>55</v>
      </c>
      <c r="I1557" t="s">
        <v>56</v>
      </c>
      <c r="J1557" t="s">
        <v>62</v>
      </c>
      <c r="K1557" t="s">
        <v>62</v>
      </c>
      <c r="L1557" t="s">
        <v>58</v>
      </c>
      <c r="M1557" t="s">
        <v>58</v>
      </c>
      <c r="N1557">
        <v>4</v>
      </c>
      <c r="O1557">
        <v>3</v>
      </c>
      <c r="P1557">
        <v>4</v>
      </c>
      <c r="Q1557">
        <v>4</v>
      </c>
      <c r="R1557">
        <v>3</v>
      </c>
      <c r="S1557">
        <v>3</v>
      </c>
      <c r="T1557">
        <v>3</v>
      </c>
      <c r="U1557">
        <v>4</v>
      </c>
      <c r="V1557">
        <v>5</v>
      </c>
      <c r="W1557">
        <v>5</v>
      </c>
      <c r="X1557">
        <v>3</v>
      </c>
      <c r="Y1557">
        <v>5</v>
      </c>
      <c r="Z1557">
        <v>3</v>
      </c>
      <c r="AA1557">
        <v>3</v>
      </c>
      <c r="AB1557">
        <v>3</v>
      </c>
      <c r="AC1557">
        <v>4</v>
      </c>
      <c r="AD1557">
        <v>3</v>
      </c>
      <c r="AE1557">
        <v>4</v>
      </c>
      <c r="AF1557">
        <v>3</v>
      </c>
      <c r="AG1557">
        <v>2</v>
      </c>
      <c r="AH1557">
        <v>5</v>
      </c>
      <c r="AI1557">
        <v>1</v>
      </c>
      <c r="AJ1557">
        <v>3</v>
      </c>
      <c r="AK1557" t="b">
        <f>Table67[[#This Row],[What is your age?]]&lt;&gt;"18 - 25"</f>
        <v>0</v>
      </c>
      <c r="AL1557" t="b">
        <f t="shared" si="96"/>
        <v>0</v>
      </c>
      <c r="AM1557" t="b">
        <f t="shared" si="97"/>
        <v>0</v>
      </c>
      <c r="AN1557" t="b">
        <f t="shared" si="98"/>
        <v>0</v>
      </c>
      <c r="AO1557" t="b">
        <f>OR(Table67[[#This Row],[Ineligible respondents]:[Inconsistent response on opposite question (3)]])</f>
        <v>0</v>
      </c>
      <c r="AP155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557">
        <f>Table67[[#This Row],[Extreme Response]]/21</f>
        <v>0.19047619047619047</v>
      </c>
      <c r="AR1557">
        <f>_xlfn.PERCENTILE.INC(Table67[Extrem Response Ratio (ERS)],0.9)</f>
        <v>0.61904761904761907</v>
      </c>
      <c r="AS1557" t="b">
        <f>Table67[[#This Row],[Extrem Response Ratio (ERS)]]&gt;=Table67[[#This Row],[Threshold of ERS]]</f>
        <v>0</v>
      </c>
      <c r="AT1557">
        <f>COUNTIF(Table67[[#This Row],[The mechanism of digital assets is difficult to understand, which discourages me from exploring it (E.g, Tokenization, Blockchain)]:[If I want to try different ways to invest, I will explore digital assets.]], 3)</f>
        <v>10</v>
      </c>
      <c r="AU1557">
        <f>Table67[[#This Row],[Midpoint]]/21</f>
        <v>0.47619047619047616</v>
      </c>
      <c r="AV1557">
        <f>_xlfn.PERCENTILE.INC(Table67[Midpoint ratio],0.9)</f>
        <v>0.5714285714285714</v>
      </c>
      <c r="AW1557" t="b">
        <f>Table67[[#This Row],[Midpoint ratio]]&gt;=Table67[[#This Row],[Threshold of Midpoint ratio]]</f>
        <v>0</v>
      </c>
      <c r="AX1557" t="b">
        <f>OR(Table67[[#This Row],[Extreme Response Style]],Table67[[#This Row],[Mid-point Response Style]])</f>
        <v>0</v>
      </c>
      <c r="AY1557" t="b">
        <f>OR(Table67[[#This Row],[Delete? (Stage 1)]],Table67[[#This Row],[Delete? (Stage 2)]])</f>
        <v>0</v>
      </c>
      <c r="AZ1557" t="s">
        <v>84</v>
      </c>
    </row>
    <row r="1558" spans="1:52">
      <c r="A1558">
        <f t="shared" si="99"/>
        <v>1557</v>
      </c>
      <c r="B1558" s="3">
        <v>46062.029062499998</v>
      </c>
      <c r="C1558" s="3">
        <v>46062.032627314817</v>
      </c>
      <c r="D1558" t="s">
        <v>53</v>
      </c>
      <c r="G1558" t="s">
        <v>54</v>
      </c>
      <c r="H1558" t="s">
        <v>63</v>
      </c>
      <c r="I1558" t="s">
        <v>69</v>
      </c>
      <c r="J1558" t="s">
        <v>62</v>
      </c>
      <c r="K1558" t="s">
        <v>62</v>
      </c>
      <c r="L1558" t="s">
        <v>61</v>
      </c>
      <c r="M1558" t="s">
        <v>61</v>
      </c>
      <c r="N1558">
        <v>5</v>
      </c>
      <c r="O1558">
        <v>1</v>
      </c>
      <c r="P1558">
        <v>5</v>
      </c>
      <c r="Q1558">
        <v>3</v>
      </c>
      <c r="R1558">
        <v>5</v>
      </c>
      <c r="S1558">
        <v>5</v>
      </c>
      <c r="T1558">
        <v>5</v>
      </c>
      <c r="U1558">
        <v>4</v>
      </c>
      <c r="V1558">
        <v>5</v>
      </c>
      <c r="W1558">
        <v>2</v>
      </c>
      <c r="X1558">
        <v>5</v>
      </c>
      <c r="Y1558">
        <v>5</v>
      </c>
      <c r="Z1558">
        <v>2</v>
      </c>
      <c r="AA1558">
        <v>5</v>
      </c>
      <c r="AB1558">
        <v>3</v>
      </c>
      <c r="AC1558">
        <v>1</v>
      </c>
      <c r="AD1558">
        <v>4</v>
      </c>
      <c r="AE1558">
        <v>4</v>
      </c>
      <c r="AF1558">
        <v>5</v>
      </c>
      <c r="AG1558">
        <v>1</v>
      </c>
      <c r="AH1558">
        <v>5</v>
      </c>
      <c r="AI1558">
        <v>1</v>
      </c>
      <c r="AJ1558">
        <v>1</v>
      </c>
      <c r="AK1558" t="b">
        <f>Table67[[#This Row],[What is your age?]]&lt;&gt;"18 - 25"</f>
        <v>0</v>
      </c>
      <c r="AL1558" t="b">
        <f t="shared" si="96"/>
        <v>0</v>
      </c>
      <c r="AM1558" t="b">
        <f t="shared" si="97"/>
        <v>0</v>
      </c>
      <c r="AN1558" t="b">
        <f t="shared" si="98"/>
        <v>0</v>
      </c>
      <c r="AO1558" t="b">
        <f>OR(Table67[[#This Row],[Ineligible respondents]:[Inconsistent response on opposite question (3)]])</f>
        <v>0</v>
      </c>
      <c r="AP155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1558">
        <f>Table67[[#This Row],[Extreme Response]]/21</f>
        <v>0.66666666666666663</v>
      </c>
      <c r="AR1558">
        <f>_xlfn.PERCENTILE.INC(Table67[Extrem Response Ratio (ERS)],0.9)</f>
        <v>0.61904761904761907</v>
      </c>
      <c r="AS1558" t="b">
        <f>Table67[[#This Row],[Extrem Response Ratio (ERS)]]&gt;=Table67[[#This Row],[Threshold of ERS]]</f>
        <v>1</v>
      </c>
      <c r="AT1558">
        <f>COUNTIF(Table67[[#This Row],[The mechanism of digital assets is difficult to understand, which discourages me from exploring it (E.g, Tokenization, Blockchain)]:[If I want to try different ways to invest, I will explore digital assets.]], 3)</f>
        <v>2</v>
      </c>
      <c r="AU1558">
        <f>Table67[[#This Row],[Midpoint]]/21</f>
        <v>9.5238095238095233E-2</v>
      </c>
      <c r="AV1558">
        <f>_xlfn.PERCENTILE.INC(Table67[Midpoint ratio],0.9)</f>
        <v>0.5714285714285714</v>
      </c>
      <c r="AW1558" t="b">
        <f>Table67[[#This Row],[Midpoint ratio]]&gt;=Table67[[#This Row],[Threshold of Midpoint ratio]]</f>
        <v>0</v>
      </c>
      <c r="AX1558" t="b">
        <f>OR(Table67[[#This Row],[Extreme Response Style]],Table67[[#This Row],[Mid-point Response Style]])</f>
        <v>1</v>
      </c>
      <c r="AY1558" t="b">
        <f>OR(Table67[[#This Row],[Delete? (Stage 1)]],Table67[[#This Row],[Delete? (Stage 2)]])</f>
        <v>1</v>
      </c>
      <c r="AZ1558" t="s">
        <v>84</v>
      </c>
    </row>
    <row r="1559" spans="1:52">
      <c r="A1559">
        <f t="shared" si="99"/>
        <v>1558</v>
      </c>
      <c r="B1559" s="3">
        <v>46062.032199074078</v>
      </c>
      <c r="C1559" s="3">
        <v>46062.040636574071</v>
      </c>
      <c r="D1559" t="s">
        <v>53</v>
      </c>
      <c r="G1559" t="s">
        <v>54</v>
      </c>
      <c r="H1559" t="s">
        <v>55</v>
      </c>
      <c r="I1559" t="s">
        <v>56</v>
      </c>
      <c r="J1559" t="s">
        <v>62</v>
      </c>
      <c r="K1559" t="s">
        <v>68</v>
      </c>
      <c r="L1559" t="s">
        <v>58</v>
      </c>
      <c r="M1559" t="s">
        <v>58</v>
      </c>
      <c r="N1559">
        <v>4</v>
      </c>
      <c r="O1559">
        <v>1</v>
      </c>
      <c r="P1559">
        <v>5</v>
      </c>
      <c r="Q1559">
        <v>2</v>
      </c>
      <c r="R1559">
        <v>4</v>
      </c>
      <c r="S1559">
        <v>5</v>
      </c>
      <c r="T1559">
        <v>5</v>
      </c>
      <c r="U1559">
        <v>5</v>
      </c>
      <c r="V1559">
        <v>2</v>
      </c>
      <c r="W1559">
        <v>3</v>
      </c>
      <c r="X1559">
        <v>3</v>
      </c>
      <c r="Y1559">
        <v>4</v>
      </c>
      <c r="Z1559">
        <v>4</v>
      </c>
      <c r="AA1559">
        <v>4</v>
      </c>
      <c r="AB1559">
        <v>3</v>
      </c>
      <c r="AC1559">
        <v>5</v>
      </c>
      <c r="AD1559">
        <v>3</v>
      </c>
      <c r="AE1559">
        <v>3</v>
      </c>
      <c r="AF1559">
        <v>3</v>
      </c>
      <c r="AG1559">
        <v>4</v>
      </c>
      <c r="AH1559">
        <v>4</v>
      </c>
      <c r="AI1559">
        <v>2</v>
      </c>
      <c r="AJ1559">
        <v>3</v>
      </c>
      <c r="AK1559" t="b">
        <f>Table67[[#This Row],[What is your age?]]&lt;&gt;"18 - 25"</f>
        <v>0</v>
      </c>
      <c r="AL1559" t="b">
        <f t="shared" si="96"/>
        <v>0</v>
      </c>
      <c r="AM1559" t="b">
        <f t="shared" si="97"/>
        <v>1</v>
      </c>
      <c r="AN1559" t="b">
        <f t="shared" si="98"/>
        <v>0</v>
      </c>
      <c r="AO1559" t="b">
        <f>OR(Table67[[#This Row],[Ineligible respondents]:[Inconsistent response on opposite question (3)]])</f>
        <v>1</v>
      </c>
      <c r="AP155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559">
        <f>Table67[[#This Row],[Extreme Response]]/21</f>
        <v>0.2857142857142857</v>
      </c>
      <c r="AR1559">
        <f>_xlfn.PERCENTILE.INC(Table67[Extrem Response Ratio (ERS)],0.9)</f>
        <v>0.61904761904761907</v>
      </c>
      <c r="AS1559" t="b">
        <f>Table67[[#This Row],[Extrem Response Ratio (ERS)]]&gt;=Table67[[#This Row],[Threshold of ERS]]</f>
        <v>0</v>
      </c>
      <c r="AT1559">
        <f>COUNTIF(Table67[[#This Row],[The mechanism of digital assets is difficult to understand, which discourages me from exploring it (E.g, Tokenization, Blockchain)]:[If I want to try different ways to invest, I will explore digital assets.]], 3)</f>
        <v>6</v>
      </c>
      <c r="AU1559">
        <f>Table67[[#This Row],[Midpoint]]/21</f>
        <v>0.2857142857142857</v>
      </c>
      <c r="AV1559">
        <f>_xlfn.PERCENTILE.INC(Table67[Midpoint ratio],0.9)</f>
        <v>0.5714285714285714</v>
      </c>
      <c r="AW1559" t="b">
        <f>Table67[[#This Row],[Midpoint ratio]]&gt;=Table67[[#This Row],[Threshold of Midpoint ratio]]</f>
        <v>0</v>
      </c>
      <c r="AX1559" t="b">
        <f>OR(Table67[[#This Row],[Extreme Response Style]],Table67[[#This Row],[Mid-point Response Style]])</f>
        <v>0</v>
      </c>
      <c r="AY1559" t="b">
        <f>OR(Table67[[#This Row],[Delete? (Stage 1)]],Table67[[#This Row],[Delete? (Stage 2)]])</f>
        <v>1</v>
      </c>
      <c r="AZ1559" t="s">
        <v>84</v>
      </c>
    </row>
    <row r="1560" spans="1:52">
      <c r="A1560">
        <f t="shared" si="99"/>
        <v>1559</v>
      </c>
      <c r="B1560" s="3">
        <v>46062.176527777781</v>
      </c>
      <c r="C1560" s="3">
        <v>46062.179803240739</v>
      </c>
      <c r="D1560" t="s">
        <v>53</v>
      </c>
      <c r="G1560" t="s">
        <v>54</v>
      </c>
      <c r="H1560" t="s">
        <v>55</v>
      </c>
      <c r="I1560" t="s">
        <v>56</v>
      </c>
      <c r="J1560" t="s">
        <v>68</v>
      </c>
      <c r="K1560" t="s">
        <v>60</v>
      </c>
      <c r="L1560" t="s">
        <v>58</v>
      </c>
      <c r="M1560" t="s">
        <v>58</v>
      </c>
      <c r="N1560">
        <v>4</v>
      </c>
      <c r="O1560">
        <v>2</v>
      </c>
      <c r="P1560">
        <v>5</v>
      </c>
      <c r="Q1560">
        <v>2</v>
      </c>
      <c r="R1560">
        <v>1</v>
      </c>
      <c r="S1560">
        <v>4</v>
      </c>
      <c r="T1560">
        <v>3</v>
      </c>
      <c r="U1560">
        <v>3</v>
      </c>
      <c r="V1560">
        <v>2</v>
      </c>
      <c r="W1560">
        <v>1</v>
      </c>
      <c r="X1560">
        <v>3</v>
      </c>
      <c r="Y1560">
        <v>3</v>
      </c>
      <c r="Z1560">
        <v>2</v>
      </c>
      <c r="AA1560">
        <v>2</v>
      </c>
      <c r="AB1560">
        <v>1</v>
      </c>
      <c r="AC1560">
        <v>2</v>
      </c>
      <c r="AD1560">
        <v>3</v>
      </c>
      <c r="AE1560">
        <v>2</v>
      </c>
      <c r="AF1560">
        <v>3</v>
      </c>
      <c r="AG1560">
        <v>2</v>
      </c>
      <c r="AH1560">
        <v>3</v>
      </c>
      <c r="AI1560">
        <v>3</v>
      </c>
      <c r="AJ1560">
        <v>3</v>
      </c>
      <c r="AK1560" t="b">
        <f>Table67[[#This Row],[What is your age?]]&lt;&gt;"18 - 25"</f>
        <v>0</v>
      </c>
      <c r="AL1560" t="b">
        <f t="shared" si="96"/>
        <v>0</v>
      </c>
      <c r="AM1560" t="b">
        <f t="shared" si="97"/>
        <v>0</v>
      </c>
      <c r="AN1560" t="b">
        <f t="shared" si="98"/>
        <v>1</v>
      </c>
      <c r="AO1560" t="b">
        <f>OR(Table67[[#This Row],[Ineligible respondents]:[Inconsistent response on opposite question (3)]])</f>
        <v>1</v>
      </c>
      <c r="AP156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560">
        <f>Table67[[#This Row],[Extreme Response]]/21</f>
        <v>0.19047619047619047</v>
      </c>
      <c r="AR1560">
        <f>_xlfn.PERCENTILE.INC(Table67[Extrem Response Ratio (ERS)],0.9)</f>
        <v>0.61904761904761907</v>
      </c>
      <c r="AS1560" t="b">
        <f>Table67[[#This Row],[Extrem Response Ratio (ERS)]]&gt;=Table67[[#This Row],[Threshold of ERS]]</f>
        <v>0</v>
      </c>
      <c r="AT1560">
        <f>COUNTIF(Table67[[#This Row],[The mechanism of digital assets is difficult to understand, which discourages me from exploring it (E.g, Tokenization, Blockchain)]:[If I want to try different ways to invest, I will explore digital assets.]], 3)</f>
        <v>7</v>
      </c>
      <c r="AU1560">
        <f>Table67[[#This Row],[Midpoint]]/21</f>
        <v>0.33333333333333331</v>
      </c>
      <c r="AV1560">
        <f>_xlfn.PERCENTILE.INC(Table67[Midpoint ratio],0.9)</f>
        <v>0.5714285714285714</v>
      </c>
      <c r="AW1560" t="b">
        <f>Table67[[#This Row],[Midpoint ratio]]&gt;=Table67[[#This Row],[Threshold of Midpoint ratio]]</f>
        <v>0</v>
      </c>
      <c r="AX1560" t="b">
        <f>OR(Table67[[#This Row],[Extreme Response Style]],Table67[[#This Row],[Mid-point Response Style]])</f>
        <v>0</v>
      </c>
      <c r="AY1560" t="b">
        <f>OR(Table67[[#This Row],[Delete? (Stage 1)]],Table67[[#This Row],[Delete? (Stage 2)]])</f>
        <v>1</v>
      </c>
      <c r="AZ1560" t="s">
        <v>84</v>
      </c>
    </row>
    <row r="1561" spans="1:52">
      <c r="A1561">
        <f t="shared" si="99"/>
        <v>1560</v>
      </c>
      <c r="B1561" s="3">
        <v>46062.050925925927</v>
      </c>
      <c r="C1561" s="3">
        <v>46062.051701388889</v>
      </c>
      <c r="D1561" t="s">
        <v>53</v>
      </c>
      <c r="G1561" t="s">
        <v>79</v>
      </c>
      <c r="H1561" t="s">
        <v>55</v>
      </c>
      <c r="I1561" t="s">
        <v>83</v>
      </c>
      <c r="J1561" t="s">
        <v>57</v>
      </c>
      <c r="K1561" t="s">
        <v>57</v>
      </c>
      <c r="L1561" t="s">
        <v>58</v>
      </c>
      <c r="M1561" t="s">
        <v>58</v>
      </c>
      <c r="N1561">
        <v>4</v>
      </c>
      <c r="O1561">
        <v>1</v>
      </c>
      <c r="P1561">
        <v>4</v>
      </c>
      <c r="Q1561">
        <v>4</v>
      </c>
      <c r="R1561">
        <v>5</v>
      </c>
      <c r="S1561">
        <v>5</v>
      </c>
      <c r="T1561">
        <v>2</v>
      </c>
      <c r="U1561">
        <v>5</v>
      </c>
      <c r="V1561">
        <v>5</v>
      </c>
      <c r="W1561">
        <v>3</v>
      </c>
      <c r="X1561">
        <v>4</v>
      </c>
      <c r="Y1561">
        <v>5</v>
      </c>
      <c r="Z1561">
        <v>5</v>
      </c>
      <c r="AA1561">
        <v>5</v>
      </c>
      <c r="AB1561">
        <v>5</v>
      </c>
      <c r="AC1561">
        <v>2</v>
      </c>
      <c r="AD1561">
        <v>3</v>
      </c>
      <c r="AE1561">
        <v>4</v>
      </c>
      <c r="AF1561">
        <v>3</v>
      </c>
      <c r="AG1561">
        <v>2</v>
      </c>
      <c r="AH1561">
        <v>4</v>
      </c>
      <c r="AI1561">
        <v>2</v>
      </c>
      <c r="AJ1561">
        <v>3</v>
      </c>
      <c r="AK1561" t="b">
        <f>Table67[[#This Row],[What is your age?]]&lt;&gt;"18 - 25"</f>
        <v>1</v>
      </c>
      <c r="AL1561" t="b">
        <f t="shared" si="96"/>
        <v>0</v>
      </c>
      <c r="AM1561" t="b">
        <f t="shared" si="97"/>
        <v>0</v>
      </c>
      <c r="AN1561" t="b">
        <f t="shared" si="98"/>
        <v>0</v>
      </c>
      <c r="AO1561" t="b">
        <f>OR(Table67[[#This Row],[Ineligible respondents]:[Inconsistent response on opposite question (3)]])</f>
        <v>1</v>
      </c>
      <c r="AP156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1561">
        <f>Table67[[#This Row],[Extreme Response]]/21</f>
        <v>0.42857142857142855</v>
      </c>
      <c r="AR1561">
        <f>_xlfn.PERCENTILE.INC(Table67[Extrem Response Ratio (ERS)],0.9)</f>
        <v>0.61904761904761907</v>
      </c>
      <c r="AS1561" t="b">
        <f>Table67[[#This Row],[Extrem Response Ratio (ERS)]]&gt;=Table67[[#This Row],[Threshold of ERS]]</f>
        <v>0</v>
      </c>
      <c r="AT1561">
        <f>COUNTIF(Table67[[#This Row],[The mechanism of digital assets is difficult to understand, which discourages me from exploring it (E.g, Tokenization, Blockchain)]:[If I want to try different ways to invest, I will explore digital assets.]], 3)</f>
        <v>3</v>
      </c>
      <c r="AU1561">
        <f>Table67[[#This Row],[Midpoint]]/21</f>
        <v>0.14285714285714285</v>
      </c>
      <c r="AV1561">
        <f>_xlfn.PERCENTILE.INC(Table67[Midpoint ratio],0.9)</f>
        <v>0.5714285714285714</v>
      </c>
      <c r="AW1561" t="b">
        <f>Table67[[#This Row],[Midpoint ratio]]&gt;=Table67[[#This Row],[Threshold of Midpoint ratio]]</f>
        <v>0</v>
      </c>
      <c r="AX1561" t="b">
        <f>OR(Table67[[#This Row],[Extreme Response Style]],Table67[[#This Row],[Mid-point Response Style]])</f>
        <v>0</v>
      </c>
      <c r="AY1561" t="b">
        <f>OR(Table67[[#This Row],[Delete? (Stage 1)]],Table67[[#This Row],[Delete? (Stage 2)]])</f>
        <v>1</v>
      </c>
      <c r="AZ1561" t="s">
        <v>84</v>
      </c>
    </row>
    <row r="1562" spans="1:52">
      <c r="A1562">
        <f t="shared" si="99"/>
        <v>1561</v>
      </c>
      <c r="B1562" s="3">
        <v>46062.070625</v>
      </c>
      <c r="C1562" s="3">
        <v>46062.072256944448</v>
      </c>
      <c r="D1562" t="s">
        <v>53</v>
      </c>
      <c r="G1562" t="s">
        <v>54</v>
      </c>
      <c r="H1562" t="s">
        <v>63</v>
      </c>
      <c r="I1562" t="s">
        <v>75</v>
      </c>
      <c r="J1562" t="s">
        <v>60</v>
      </c>
      <c r="K1562" t="s">
        <v>57</v>
      </c>
      <c r="L1562" t="s">
        <v>58</v>
      </c>
      <c r="M1562" t="s">
        <v>58</v>
      </c>
      <c r="N1562">
        <v>5</v>
      </c>
      <c r="O1562">
        <v>3</v>
      </c>
      <c r="P1562">
        <v>4</v>
      </c>
      <c r="Q1562">
        <v>4</v>
      </c>
      <c r="R1562">
        <v>4</v>
      </c>
      <c r="S1562">
        <v>4</v>
      </c>
      <c r="T1562">
        <v>5</v>
      </c>
      <c r="U1562">
        <v>5</v>
      </c>
      <c r="V1562">
        <v>5</v>
      </c>
      <c r="W1562">
        <v>3</v>
      </c>
      <c r="X1562">
        <v>4</v>
      </c>
      <c r="Y1562">
        <v>4</v>
      </c>
      <c r="Z1562">
        <v>5</v>
      </c>
      <c r="AA1562">
        <v>5</v>
      </c>
      <c r="AB1562">
        <v>5</v>
      </c>
      <c r="AC1562">
        <v>5</v>
      </c>
      <c r="AD1562">
        <v>4</v>
      </c>
      <c r="AE1562">
        <v>4</v>
      </c>
      <c r="AF1562">
        <v>1</v>
      </c>
      <c r="AG1562">
        <v>3</v>
      </c>
      <c r="AH1562">
        <v>2</v>
      </c>
      <c r="AI1562">
        <v>4</v>
      </c>
      <c r="AJ1562">
        <v>5</v>
      </c>
      <c r="AK1562" t="b">
        <f>Table67[[#This Row],[What is your age?]]&lt;&gt;"18 - 25"</f>
        <v>0</v>
      </c>
      <c r="AL1562" t="b">
        <f t="shared" si="96"/>
        <v>0</v>
      </c>
      <c r="AM1562" t="b">
        <f t="shared" si="97"/>
        <v>0</v>
      </c>
      <c r="AN1562" t="b">
        <f t="shared" si="98"/>
        <v>1</v>
      </c>
      <c r="AO1562" t="b">
        <f>OR(Table67[[#This Row],[Ineligible respondents]:[Inconsistent response on opposite question (3)]])</f>
        <v>1</v>
      </c>
      <c r="AP156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1562">
        <f>Table67[[#This Row],[Extreme Response]]/21</f>
        <v>0.42857142857142855</v>
      </c>
      <c r="AR1562">
        <f>_xlfn.PERCENTILE.INC(Table67[Extrem Response Ratio (ERS)],0.9)</f>
        <v>0.61904761904761907</v>
      </c>
      <c r="AS1562" t="b">
        <f>Table67[[#This Row],[Extrem Response Ratio (ERS)]]&gt;=Table67[[#This Row],[Threshold of ERS]]</f>
        <v>0</v>
      </c>
      <c r="AT1562">
        <f>COUNTIF(Table67[[#This Row],[The mechanism of digital assets is difficult to understand, which discourages me from exploring it (E.g, Tokenization, Blockchain)]:[If I want to try different ways to invest, I will explore digital assets.]], 3)</f>
        <v>3</v>
      </c>
      <c r="AU1562">
        <f>Table67[[#This Row],[Midpoint]]/21</f>
        <v>0.14285714285714285</v>
      </c>
      <c r="AV1562">
        <f>_xlfn.PERCENTILE.INC(Table67[Midpoint ratio],0.9)</f>
        <v>0.5714285714285714</v>
      </c>
      <c r="AW1562" t="b">
        <f>Table67[[#This Row],[Midpoint ratio]]&gt;=Table67[[#This Row],[Threshold of Midpoint ratio]]</f>
        <v>0</v>
      </c>
      <c r="AX1562" t="b">
        <f>OR(Table67[[#This Row],[Extreme Response Style]],Table67[[#This Row],[Mid-point Response Style]])</f>
        <v>0</v>
      </c>
      <c r="AY1562" t="b">
        <f>OR(Table67[[#This Row],[Delete? (Stage 1)]],Table67[[#This Row],[Delete? (Stage 2)]])</f>
        <v>1</v>
      </c>
      <c r="AZ1562" t="s">
        <v>84</v>
      </c>
    </row>
    <row r="1563" spans="1:52">
      <c r="A1563">
        <f t="shared" si="99"/>
        <v>1562</v>
      </c>
      <c r="B1563" s="3">
        <v>46062.057199074072</v>
      </c>
      <c r="C1563" s="3">
        <v>46062.058263888888</v>
      </c>
      <c r="D1563" t="s">
        <v>53</v>
      </c>
      <c r="G1563" t="s">
        <v>54</v>
      </c>
      <c r="H1563" t="s">
        <v>55</v>
      </c>
      <c r="I1563" t="s">
        <v>71</v>
      </c>
      <c r="J1563" t="s">
        <v>65</v>
      </c>
      <c r="K1563" t="s">
        <v>62</v>
      </c>
      <c r="L1563" t="s">
        <v>58</v>
      </c>
      <c r="M1563" t="s">
        <v>58</v>
      </c>
      <c r="N1563">
        <v>3</v>
      </c>
      <c r="O1563">
        <v>2</v>
      </c>
      <c r="P1563">
        <v>3</v>
      </c>
      <c r="Q1563">
        <v>2</v>
      </c>
      <c r="R1563">
        <v>4</v>
      </c>
      <c r="S1563">
        <v>2</v>
      </c>
      <c r="T1563">
        <v>3</v>
      </c>
      <c r="U1563">
        <v>4</v>
      </c>
      <c r="V1563">
        <v>2</v>
      </c>
      <c r="W1563">
        <v>3</v>
      </c>
      <c r="X1563">
        <v>3</v>
      </c>
      <c r="Y1563">
        <v>2</v>
      </c>
      <c r="Z1563">
        <v>2</v>
      </c>
      <c r="AA1563">
        <v>4</v>
      </c>
      <c r="AB1563">
        <v>2</v>
      </c>
      <c r="AC1563">
        <v>4</v>
      </c>
      <c r="AD1563">
        <v>2</v>
      </c>
      <c r="AE1563">
        <v>4</v>
      </c>
      <c r="AF1563">
        <v>2</v>
      </c>
      <c r="AG1563">
        <v>4</v>
      </c>
      <c r="AH1563">
        <v>3</v>
      </c>
      <c r="AI1563">
        <v>3</v>
      </c>
      <c r="AJ1563">
        <v>4</v>
      </c>
      <c r="AK1563" t="b">
        <f>Table67[[#This Row],[What is your age?]]&lt;&gt;"18 - 25"</f>
        <v>0</v>
      </c>
      <c r="AL1563" t="b">
        <f t="shared" si="96"/>
        <v>0</v>
      </c>
      <c r="AM1563" t="b">
        <f t="shared" si="97"/>
        <v>0</v>
      </c>
      <c r="AN1563" t="b">
        <f t="shared" si="98"/>
        <v>1</v>
      </c>
      <c r="AO1563" t="b">
        <f>OR(Table67[[#This Row],[Ineligible respondents]:[Inconsistent response on opposite question (3)]])</f>
        <v>1</v>
      </c>
      <c r="AP156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563">
        <f>Table67[[#This Row],[Extreme Response]]/21</f>
        <v>0</v>
      </c>
      <c r="AR1563">
        <f>_xlfn.PERCENTILE.INC(Table67[Extrem Response Ratio (ERS)],0.9)</f>
        <v>0.61904761904761907</v>
      </c>
      <c r="AS1563" t="b">
        <f>Table67[[#This Row],[Extrem Response Ratio (ERS)]]&gt;=Table67[[#This Row],[Threshold of ERS]]</f>
        <v>0</v>
      </c>
      <c r="AT1563">
        <f>COUNTIF(Table67[[#This Row],[The mechanism of digital assets is difficult to understand, which discourages me from exploring it (E.g, Tokenization, Blockchain)]:[If I want to try different ways to invest, I will explore digital assets.]], 3)</f>
        <v>6</v>
      </c>
      <c r="AU1563">
        <f>Table67[[#This Row],[Midpoint]]/21</f>
        <v>0.2857142857142857</v>
      </c>
      <c r="AV1563">
        <f>_xlfn.PERCENTILE.INC(Table67[Midpoint ratio],0.9)</f>
        <v>0.5714285714285714</v>
      </c>
      <c r="AW1563" t="b">
        <f>Table67[[#This Row],[Midpoint ratio]]&gt;=Table67[[#This Row],[Threshold of Midpoint ratio]]</f>
        <v>0</v>
      </c>
      <c r="AX1563" t="b">
        <f>OR(Table67[[#This Row],[Extreme Response Style]],Table67[[#This Row],[Mid-point Response Style]])</f>
        <v>0</v>
      </c>
      <c r="AY1563" t="b">
        <f>OR(Table67[[#This Row],[Delete? (Stage 1)]],Table67[[#This Row],[Delete? (Stage 2)]])</f>
        <v>1</v>
      </c>
      <c r="AZ1563" t="s">
        <v>84</v>
      </c>
    </row>
    <row r="1564" spans="1:52">
      <c r="A1564">
        <f t="shared" si="99"/>
        <v>1563</v>
      </c>
      <c r="B1564" s="3">
        <v>46065.890694444446</v>
      </c>
      <c r="C1564" s="3">
        <v>46065.894942129627</v>
      </c>
      <c r="D1564" t="s">
        <v>53</v>
      </c>
      <c r="G1564" t="s">
        <v>54</v>
      </c>
      <c r="H1564" t="s">
        <v>63</v>
      </c>
      <c r="I1564" t="s">
        <v>56</v>
      </c>
      <c r="J1564" t="s">
        <v>67</v>
      </c>
      <c r="K1564" t="s">
        <v>60</v>
      </c>
      <c r="L1564" t="s">
        <v>61</v>
      </c>
      <c r="M1564" t="s">
        <v>61</v>
      </c>
      <c r="N1564">
        <v>3</v>
      </c>
      <c r="O1564">
        <v>4</v>
      </c>
      <c r="P1564">
        <v>4</v>
      </c>
      <c r="Q1564">
        <v>3</v>
      </c>
      <c r="R1564">
        <v>3</v>
      </c>
      <c r="S1564">
        <v>3</v>
      </c>
      <c r="T1564">
        <v>3</v>
      </c>
      <c r="U1564">
        <v>3</v>
      </c>
      <c r="V1564">
        <v>4</v>
      </c>
      <c r="W1564">
        <v>4</v>
      </c>
      <c r="X1564">
        <v>4</v>
      </c>
      <c r="Y1564">
        <v>5</v>
      </c>
      <c r="Z1564">
        <v>3</v>
      </c>
      <c r="AA1564">
        <v>3</v>
      </c>
      <c r="AB1564">
        <v>2</v>
      </c>
      <c r="AC1564">
        <v>3</v>
      </c>
      <c r="AD1564">
        <v>3</v>
      </c>
      <c r="AE1564">
        <v>3</v>
      </c>
      <c r="AF1564">
        <v>2</v>
      </c>
      <c r="AG1564">
        <v>2</v>
      </c>
      <c r="AH1564">
        <v>4</v>
      </c>
      <c r="AI1564">
        <v>2</v>
      </c>
      <c r="AJ1564">
        <v>4</v>
      </c>
      <c r="AK1564" t="b">
        <f>Table67[[#This Row],[What is your age?]]&lt;&gt;"18 - 25"</f>
        <v>0</v>
      </c>
      <c r="AL1564" t="b">
        <f t="shared" si="96"/>
        <v>0</v>
      </c>
      <c r="AM1564" t="b">
        <f t="shared" si="97"/>
        <v>0</v>
      </c>
      <c r="AN1564" t="b">
        <f t="shared" si="98"/>
        <v>0</v>
      </c>
      <c r="AO1564" t="b">
        <f>OR(Table67[[#This Row],[Ineligible respondents]:[Inconsistent response on opposite question (3)]])</f>
        <v>0</v>
      </c>
      <c r="AP156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564">
        <f>Table67[[#This Row],[Extreme Response]]/21</f>
        <v>4.7619047619047616E-2</v>
      </c>
      <c r="AR1564">
        <f>_xlfn.PERCENTILE.INC(Table67[Extrem Response Ratio (ERS)],0.9)</f>
        <v>0.61904761904761907</v>
      </c>
      <c r="AS1564" t="b">
        <f>Table67[[#This Row],[Extrem Response Ratio (ERS)]]&gt;=Table67[[#This Row],[Threshold of ERS]]</f>
        <v>0</v>
      </c>
      <c r="AT1564">
        <f>COUNTIF(Table67[[#This Row],[The mechanism of digital assets is difficult to understand, which discourages me from exploring it (E.g, Tokenization, Blockchain)]:[If I want to try different ways to invest, I will explore digital assets.]], 3)</f>
        <v>11</v>
      </c>
      <c r="AU1564">
        <f>Table67[[#This Row],[Midpoint]]/21</f>
        <v>0.52380952380952384</v>
      </c>
      <c r="AV1564">
        <f>_xlfn.PERCENTILE.INC(Table67[Midpoint ratio],0.9)</f>
        <v>0.5714285714285714</v>
      </c>
      <c r="AW1564" t="b">
        <f>Table67[[#This Row],[Midpoint ratio]]&gt;=Table67[[#This Row],[Threshold of Midpoint ratio]]</f>
        <v>0</v>
      </c>
      <c r="AX1564" t="b">
        <f>OR(Table67[[#This Row],[Extreme Response Style]],Table67[[#This Row],[Mid-point Response Style]])</f>
        <v>0</v>
      </c>
      <c r="AY1564" t="b">
        <f>OR(Table67[[#This Row],[Delete? (Stage 1)]],Table67[[#This Row],[Delete? (Stage 2)]])</f>
        <v>0</v>
      </c>
      <c r="AZ1564" t="s">
        <v>84</v>
      </c>
    </row>
    <row r="1565" spans="1:52">
      <c r="A1565">
        <f t="shared" si="99"/>
        <v>1564</v>
      </c>
      <c r="B1565" s="3">
        <v>46065.769074074073</v>
      </c>
      <c r="C1565" s="3">
        <v>46065.769768518519</v>
      </c>
      <c r="D1565" t="s">
        <v>53</v>
      </c>
      <c r="G1565" t="s">
        <v>54</v>
      </c>
      <c r="H1565" t="s">
        <v>55</v>
      </c>
      <c r="I1565" t="s">
        <v>56</v>
      </c>
      <c r="J1565" t="s">
        <v>62</v>
      </c>
      <c r="K1565" t="s">
        <v>62</v>
      </c>
      <c r="L1565" t="s">
        <v>58</v>
      </c>
      <c r="M1565" t="s">
        <v>58</v>
      </c>
      <c r="N1565">
        <v>4</v>
      </c>
      <c r="O1565">
        <v>4</v>
      </c>
      <c r="P1565">
        <v>5</v>
      </c>
      <c r="Q1565">
        <v>4</v>
      </c>
      <c r="R1565">
        <v>4</v>
      </c>
      <c r="S1565">
        <v>3</v>
      </c>
      <c r="T1565">
        <v>3</v>
      </c>
      <c r="U1565">
        <v>4</v>
      </c>
      <c r="V1565">
        <v>4</v>
      </c>
      <c r="W1565">
        <v>5</v>
      </c>
      <c r="X1565">
        <v>2</v>
      </c>
      <c r="Y1565">
        <v>4</v>
      </c>
      <c r="Z1565">
        <v>4</v>
      </c>
      <c r="AA1565">
        <v>3</v>
      </c>
      <c r="AB1565">
        <v>3</v>
      </c>
      <c r="AC1565">
        <v>4</v>
      </c>
      <c r="AD1565">
        <v>3</v>
      </c>
      <c r="AE1565">
        <v>3</v>
      </c>
      <c r="AF1565">
        <v>2</v>
      </c>
      <c r="AG1565">
        <v>3</v>
      </c>
      <c r="AH1565">
        <v>3</v>
      </c>
      <c r="AI1565">
        <v>3</v>
      </c>
      <c r="AJ1565">
        <v>4</v>
      </c>
      <c r="AK1565" t="b">
        <f>Table67[[#This Row],[What is your age?]]&lt;&gt;"18 - 25"</f>
        <v>0</v>
      </c>
      <c r="AL1565" t="b">
        <f t="shared" si="96"/>
        <v>0</v>
      </c>
      <c r="AM1565" t="b">
        <f t="shared" si="97"/>
        <v>0</v>
      </c>
      <c r="AN1565" t="b">
        <f t="shared" si="98"/>
        <v>0</v>
      </c>
      <c r="AO1565" t="b">
        <f>OR(Table67[[#This Row],[Ineligible respondents]:[Inconsistent response on opposite question (3)]])</f>
        <v>0</v>
      </c>
      <c r="AP156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565">
        <f>Table67[[#This Row],[Extreme Response]]/21</f>
        <v>9.5238095238095233E-2</v>
      </c>
      <c r="AR1565">
        <f>_xlfn.PERCENTILE.INC(Table67[Extrem Response Ratio (ERS)],0.9)</f>
        <v>0.61904761904761907</v>
      </c>
      <c r="AS1565" t="b">
        <f>Table67[[#This Row],[Extrem Response Ratio (ERS)]]&gt;=Table67[[#This Row],[Threshold of ERS]]</f>
        <v>0</v>
      </c>
      <c r="AT1565">
        <f>COUNTIF(Table67[[#This Row],[The mechanism of digital assets is difficult to understand, which discourages me from exploring it (E.g, Tokenization, Blockchain)]:[If I want to try different ways to invest, I will explore digital assets.]], 3)</f>
        <v>8</v>
      </c>
      <c r="AU1565">
        <f>Table67[[#This Row],[Midpoint]]/21</f>
        <v>0.38095238095238093</v>
      </c>
      <c r="AV1565">
        <f>_xlfn.PERCENTILE.INC(Table67[Midpoint ratio],0.9)</f>
        <v>0.5714285714285714</v>
      </c>
      <c r="AW1565" t="b">
        <f>Table67[[#This Row],[Midpoint ratio]]&gt;=Table67[[#This Row],[Threshold of Midpoint ratio]]</f>
        <v>0</v>
      </c>
      <c r="AX1565" t="b">
        <f>OR(Table67[[#This Row],[Extreme Response Style]],Table67[[#This Row],[Mid-point Response Style]])</f>
        <v>0</v>
      </c>
      <c r="AY1565" t="b">
        <f>OR(Table67[[#This Row],[Delete? (Stage 1)]],Table67[[#This Row],[Delete? (Stage 2)]])</f>
        <v>0</v>
      </c>
      <c r="AZ1565" t="s">
        <v>84</v>
      </c>
    </row>
    <row r="1566" spans="1:52">
      <c r="A1566">
        <f t="shared" si="99"/>
        <v>1565</v>
      </c>
      <c r="B1566" s="3">
        <v>46062.042974537035</v>
      </c>
      <c r="C1566" s="3">
        <v>46062.045312499999</v>
      </c>
      <c r="D1566" t="s">
        <v>53</v>
      </c>
      <c r="G1566" t="s">
        <v>54</v>
      </c>
      <c r="H1566" t="s">
        <v>55</v>
      </c>
      <c r="I1566" t="s">
        <v>75</v>
      </c>
      <c r="J1566" t="s">
        <v>60</v>
      </c>
      <c r="K1566" t="s">
        <v>57</v>
      </c>
      <c r="L1566" t="s">
        <v>58</v>
      </c>
      <c r="M1566" t="s">
        <v>58</v>
      </c>
      <c r="N1566">
        <v>4</v>
      </c>
      <c r="O1566">
        <v>1</v>
      </c>
      <c r="P1566">
        <v>5</v>
      </c>
      <c r="Q1566">
        <v>5</v>
      </c>
      <c r="R1566">
        <v>5</v>
      </c>
      <c r="S1566">
        <v>5</v>
      </c>
      <c r="T1566">
        <v>5</v>
      </c>
      <c r="U1566">
        <v>5</v>
      </c>
      <c r="V1566">
        <v>5</v>
      </c>
      <c r="W1566">
        <v>5</v>
      </c>
      <c r="X1566">
        <v>5</v>
      </c>
      <c r="Y1566">
        <v>5</v>
      </c>
      <c r="Z1566">
        <v>5</v>
      </c>
      <c r="AA1566">
        <v>5</v>
      </c>
      <c r="AB1566">
        <v>5</v>
      </c>
      <c r="AC1566">
        <v>5</v>
      </c>
      <c r="AD1566">
        <v>5</v>
      </c>
      <c r="AE1566">
        <v>3</v>
      </c>
      <c r="AF1566">
        <v>1</v>
      </c>
      <c r="AG1566">
        <v>5</v>
      </c>
      <c r="AH1566">
        <v>1</v>
      </c>
      <c r="AI1566">
        <v>5</v>
      </c>
      <c r="AJ1566">
        <v>5</v>
      </c>
      <c r="AK1566" t="b">
        <f>Table67[[#This Row],[What is your age?]]&lt;&gt;"18 - 25"</f>
        <v>0</v>
      </c>
      <c r="AL1566" t="b">
        <f t="shared" si="96"/>
        <v>0</v>
      </c>
      <c r="AM1566" t="b">
        <f t="shared" si="97"/>
        <v>0</v>
      </c>
      <c r="AN1566" t="b">
        <f t="shared" si="98"/>
        <v>0</v>
      </c>
      <c r="AO1566" t="b">
        <f>OR(Table67[[#This Row],[Ineligible respondents]:[Inconsistent response on opposite question (3)]])</f>
        <v>0</v>
      </c>
      <c r="AP156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19</v>
      </c>
      <c r="AQ1566">
        <f>Table67[[#This Row],[Extreme Response]]/21</f>
        <v>0.90476190476190477</v>
      </c>
      <c r="AR1566">
        <f>_xlfn.PERCENTILE.INC(Table67[Extrem Response Ratio (ERS)],0.9)</f>
        <v>0.61904761904761907</v>
      </c>
      <c r="AS1566" t="b">
        <f>Table67[[#This Row],[Extrem Response Ratio (ERS)]]&gt;=Table67[[#This Row],[Threshold of ERS]]</f>
        <v>1</v>
      </c>
      <c r="AT1566">
        <f>COUNTIF(Table67[[#This Row],[The mechanism of digital assets is difficult to understand, which discourages me from exploring it (E.g, Tokenization, Blockchain)]:[If I want to try different ways to invest, I will explore digital assets.]], 3)</f>
        <v>1</v>
      </c>
      <c r="AU1566">
        <f>Table67[[#This Row],[Midpoint]]/21</f>
        <v>4.7619047619047616E-2</v>
      </c>
      <c r="AV1566">
        <f>_xlfn.PERCENTILE.INC(Table67[Midpoint ratio],0.9)</f>
        <v>0.5714285714285714</v>
      </c>
      <c r="AW1566" t="b">
        <f>Table67[[#This Row],[Midpoint ratio]]&gt;=Table67[[#This Row],[Threshold of Midpoint ratio]]</f>
        <v>0</v>
      </c>
      <c r="AX1566" t="b">
        <f>OR(Table67[[#This Row],[Extreme Response Style]],Table67[[#This Row],[Mid-point Response Style]])</f>
        <v>1</v>
      </c>
      <c r="AY1566" t="b">
        <f>OR(Table67[[#This Row],[Delete? (Stage 1)]],Table67[[#This Row],[Delete? (Stage 2)]])</f>
        <v>1</v>
      </c>
      <c r="AZ1566" t="s">
        <v>84</v>
      </c>
    </row>
    <row r="1567" spans="1:52">
      <c r="A1567">
        <f t="shared" si="99"/>
        <v>1566</v>
      </c>
      <c r="B1567" s="3">
        <v>46062.047615740739</v>
      </c>
      <c r="C1567" s="3">
        <v>46062.057384259257</v>
      </c>
      <c r="D1567" t="s">
        <v>53</v>
      </c>
      <c r="G1567" t="s">
        <v>54</v>
      </c>
      <c r="H1567" t="s">
        <v>63</v>
      </c>
      <c r="I1567" t="s">
        <v>56</v>
      </c>
      <c r="J1567" t="s">
        <v>60</v>
      </c>
      <c r="K1567" t="s">
        <v>62</v>
      </c>
      <c r="L1567" t="s">
        <v>61</v>
      </c>
      <c r="M1567" t="s">
        <v>61</v>
      </c>
      <c r="N1567">
        <v>3</v>
      </c>
      <c r="O1567">
        <v>3</v>
      </c>
      <c r="P1567">
        <v>4</v>
      </c>
      <c r="Q1567">
        <v>4</v>
      </c>
      <c r="R1567">
        <v>3</v>
      </c>
      <c r="S1567">
        <v>4</v>
      </c>
      <c r="T1567">
        <v>2</v>
      </c>
      <c r="U1567">
        <v>3</v>
      </c>
      <c r="V1567">
        <v>4</v>
      </c>
      <c r="W1567">
        <v>4</v>
      </c>
      <c r="X1567">
        <v>3</v>
      </c>
      <c r="Y1567">
        <v>4</v>
      </c>
      <c r="Z1567">
        <v>3</v>
      </c>
      <c r="AA1567">
        <v>3</v>
      </c>
      <c r="AB1567">
        <v>4</v>
      </c>
      <c r="AC1567">
        <v>2</v>
      </c>
      <c r="AD1567">
        <v>3</v>
      </c>
      <c r="AE1567">
        <v>3</v>
      </c>
      <c r="AF1567">
        <v>5</v>
      </c>
      <c r="AG1567">
        <v>3</v>
      </c>
      <c r="AH1567">
        <v>5</v>
      </c>
      <c r="AI1567">
        <v>1</v>
      </c>
      <c r="AJ1567">
        <v>1</v>
      </c>
      <c r="AK1567" t="b">
        <f>Table67[[#This Row],[What is your age?]]&lt;&gt;"18 - 25"</f>
        <v>0</v>
      </c>
      <c r="AL1567" t="b">
        <f t="shared" si="96"/>
        <v>0</v>
      </c>
      <c r="AM1567" t="b">
        <f t="shared" si="97"/>
        <v>0</v>
      </c>
      <c r="AN1567" t="b">
        <f t="shared" si="98"/>
        <v>1</v>
      </c>
      <c r="AO1567" t="b">
        <f>OR(Table67[[#This Row],[Ineligible respondents]:[Inconsistent response on opposite question (3)]])</f>
        <v>1</v>
      </c>
      <c r="AP156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567">
        <f>Table67[[#This Row],[Extreme Response]]/21</f>
        <v>9.5238095238095233E-2</v>
      </c>
      <c r="AR1567">
        <f>_xlfn.PERCENTILE.INC(Table67[Extrem Response Ratio (ERS)],0.9)</f>
        <v>0.61904761904761907</v>
      </c>
      <c r="AS1567" t="b">
        <f>Table67[[#This Row],[Extrem Response Ratio (ERS)]]&gt;=Table67[[#This Row],[Threshold of ERS]]</f>
        <v>0</v>
      </c>
      <c r="AT1567">
        <f>COUNTIF(Table67[[#This Row],[The mechanism of digital assets is difficult to understand, which discourages me from exploring it (E.g, Tokenization, Blockchain)]:[If I want to try different ways to invest, I will explore digital assets.]], 3)</f>
        <v>10</v>
      </c>
      <c r="AU1567">
        <f>Table67[[#This Row],[Midpoint]]/21</f>
        <v>0.47619047619047616</v>
      </c>
      <c r="AV1567">
        <f>_xlfn.PERCENTILE.INC(Table67[Midpoint ratio],0.9)</f>
        <v>0.5714285714285714</v>
      </c>
      <c r="AW1567" t="b">
        <f>Table67[[#This Row],[Midpoint ratio]]&gt;=Table67[[#This Row],[Threshold of Midpoint ratio]]</f>
        <v>0</v>
      </c>
      <c r="AX1567" t="b">
        <f>OR(Table67[[#This Row],[Extreme Response Style]],Table67[[#This Row],[Mid-point Response Style]])</f>
        <v>0</v>
      </c>
      <c r="AY1567" t="b">
        <f>OR(Table67[[#This Row],[Delete? (Stage 1)]],Table67[[#This Row],[Delete? (Stage 2)]])</f>
        <v>1</v>
      </c>
      <c r="AZ1567" t="s">
        <v>84</v>
      </c>
    </row>
    <row r="1568" spans="1:52">
      <c r="A1568">
        <f t="shared" si="99"/>
        <v>1567</v>
      </c>
      <c r="B1568" s="3">
        <v>46062.110914351855</v>
      </c>
      <c r="C1568" s="3">
        <v>46062.158159722225</v>
      </c>
      <c r="D1568" t="s">
        <v>53</v>
      </c>
      <c r="G1568" t="s">
        <v>54</v>
      </c>
      <c r="H1568" t="s">
        <v>63</v>
      </c>
      <c r="I1568" t="s">
        <v>56</v>
      </c>
      <c r="J1568" t="s">
        <v>60</v>
      </c>
      <c r="K1568" t="s">
        <v>62</v>
      </c>
      <c r="L1568" t="s">
        <v>58</v>
      </c>
      <c r="M1568" t="s">
        <v>58</v>
      </c>
      <c r="N1568">
        <v>3</v>
      </c>
      <c r="O1568">
        <v>4</v>
      </c>
      <c r="P1568">
        <v>3</v>
      </c>
      <c r="Q1568">
        <v>4</v>
      </c>
      <c r="R1568">
        <v>5</v>
      </c>
      <c r="S1568">
        <v>1</v>
      </c>
      <c r="T1568">
        <v>1</v>
      </c>
      <c r="U1568">
        <v>1</v>
      </c>
      <c r="V1568">
        <v>2</v>
      </c>
      <c r="W1568">
        <v>5</v>
      </c>
      <c r="X1568">
        <v>4</v>
      </c>
      <c r="Y1568">
        <v>5</v>
      </c>
      <c r="Z1568">
        <v>4</v>
      </c>
      <c r="AA1568">
        <v>3</v>
      </c>
      <c r="AB1568">
        <v>3</v>
      </c>
      <c r="AC1568">
        <v>1</v>
      </c>
      <c r="AD1568">
        <v>1</v>
      </c>
      <c r="AE1568">
        <v>4</v>
      </c>
      <c r="AF1568">
        <v>5</v>
      </c>
      <c r="AG1568">
        <v>3</v>
      </c>
      <c r="AH1568">
        <v>4</v>
      </c>
      <c r="AI1568">
        <v>2</v>
      </c>
      <c r="AJ1568">
        <v>1</v>
      </c>
      <c r="AK1568" t="b">
        <f>Table67[[#This Row],[What is your age?]]&lt;&gt;"18 - 25"</f>
        <v>0</v>
      </c>
      <c r="AL1568" t="b">
        <f t="shared" si="96"/>
        <v>0</v>
      </c>
      <c r="AM1568" t="b">
        <f t="shared" si="97"/>
        <v>0</v>
      </c>
      <c r="AN1568" t="b">
        <f t="shared" si="98"/>
        <v>1</v>
      </c>
      <c r="AO1568" t="b">
        <f>OR(Table67[[#This Row],[Ineligible respondents]:[Inconsistent response on opposite question (3)]])</f>
        <v>1</v>
      </c>
      <c r="AP156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1568">
        <f>Table67[[#This Row],[Extreme Response]]/21</f>
        <v>0.42857142857142855</v>
      </c>
      <c r="AR1568">
        <f>_xlfn.PERCENTILE.INC(Table67[Extrem Response Ratio (ERS)],0.9)</f>
        <v>0.61904761904761907</v>
      </c>
      <c r="AS1568" t="b">
        <f>Table67[[#This Row],[Extrem Response Ratio (ERS)]]&gt;=Table67[[#This Row],[Threshold of ERS]]</f>
        <v>0</v>
      </c>
      <c r="AT1568">
        <f>COUNTIF(Table67[[#This Row],[The mechanism of digital assets is difficult to understand, which discourages me from exploring it (E.g, Tokenization, Blockchain)]:[If I want to try different ways to invest, I will explore digital assets.]], 3)</f>
        <v>5</v>
      </c>
      <c r="AU1568">
        <f>Table67[[#This Row],[Midpoint]]/21</f>
        <v>0.23809523809523808</v>
      </c>
      <c r="AV1568">
        <f>_xlfn.PERCENTILE.INC(Table67[Midpoint ratio],0.9)</f>
        <v>0.5714285714285714</v>
      </c>
      <c r="AW1568" t="b">
        <f>Table67[[#This Row],[Midpoint ratio]]&gt;=Table67[[#This Row],[Threshold of Midpoint ratio]]</f>
        <v>0</v>
      </c>
      <c r="AX1568" t="b">
        <f>OR(Table67[[#This Row],[Extreme Response Style]],Table67[[#This Row],[Mid-point Response Style]])</f>
        <v>0</v>
      </c>
      <c r="AY1568" t="b">
        <f>OR(Table67[[#This Row],[Delete? (Stage 1)]],Table67[[#This Row],[Delete? (Stage 2)]])</f>
        <v>1</v>
      </c>
      <c r="AZ1568" t="s">
        <v>84</v>
      </c>
    </row>
    <row r="1569" spans="1:52">
      <c r="A1569">
        <f t="shared" si="99"/>
        <v>1568</v>
      </c>
      <c r="B1569" s="3">
        <v>46065.850601851853</v>
      </c>
      <c r="C1569" s="3">
        <v>46065.860983796294</v>
      </c>
      <c r="D1569" t="s">
        <v>53</v>
      </c>
      <c r="G1569" t="s">
        <v>54</v>
      </c>
      <c r="H1569" t="s">
        <v>63</v>
      </c>
      <c r="I1569" t="s">
        <v>56</v>
      </c>
      <c r="J1569" t="s">
        <v>62</v>
      </c>
      <c r="K1569" t="s">
        <v>62</v>
      </c>
      <c r="L1569" t="s">
        <v>61</v>
      </c>
      <c r="M1569" t="s">
        <v>61</v>
      </c>
      <c r="N1569">
        <v>1</v>
      </c>
      <c r="O1569">
        <v>2</v>
      </c>
      <c r="P1569">
        <v>3</v>
      </c>
      <c r="Q1569">
        <v>2</v>
      </c>
      <c r="R1569">
        <v>2</v>
      </c>
      <c r="S1569">
        <v>2</v>
      </c>
      <c r="T1569">
        <v>2</v>
      </c>
      <c r="U1569">
        <v>3</v>
      </c>
      <c r="V1569">
        <v>3</v>
      </c>
      <c r="W1569">
        <v>4</v>
      </c>
      <c r="X1569">
        <v>3</v>
      </c>
      <c r="Y1569">
        <v>4</v>
      </c>
      <c r="Z1569">
        <v>4</v>
      </c>
      <c r="AA1569">
        <v>2</v>
      </c>
      <c r="AB1569">
        <v>2</v>
      </c>
      <c r="AC1569">
        <v>2</v>
      </c>
      <c r="AD1569">
        <v>4</v>
      </c>
      <c r="AE1569">
        <v>4</v>
      </c>
      <c r="AF1569">
        <v>3</v>
      </c>
      <c r="AG1569">
        <v>2</v>
      </c>
      <c r="AH1569">
        <v>4</v>
      </c>
      <c r="AI1569">
        <v>2</v>
      </c>
      <c r="AJ1569">
        <v>3</v>
      </c>
      <c r="AK1569" t="b">
        <f>Table67[[#This Row],[What is your age?]]&lt;&gt;"18 - 25"</f>
        <v>0</v>
      </c>
      <c r="AL1569" t="b">
        <f t="shared" si="96"/>
        <v>0</v>
      </c>
      <c r="AM1569" t="b">
        <f t="shared" si="97"/>
        <v>0</v>
      </c>
      <c r="AN1569" t="b">
        <f t="shared" si="98"/>
        <v>0</v>
      </c>
      <c r="AO1569" t="b">
        <f>OR(Table67[[#This Row],[Ineligible respondents]:[Inconsistent response on opposite question (3)]])</f>
        <v>0</v>
      </c>
      <c r="AP156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569">
        <f>Table67[[#This Row],[Extreme Response]]/21</f>
        <v>4.7619047619047616E-2</v>
      </c>
      <c r="AR1569">
        <f>_xlfn.PERCENTILE.INC(Table67[Extrem Response Ratio (ERS)],0.9)</f>
        <v>0.61904761904761907</v>
      </c>
      <c r="AS1569" t="b">
        <f>Table67[[#This Row],[Extrem Response Ratio (ERS)]]&gt;=Table67[[#This Row],[Threshold of ERS]]</f>
        <v>0</v>
      </c>
      <c r="AT1569">
        <f>COUNTIF(Table67[[#This Row],[The mechanism of digital assets is difficult to understand, which discourages me from exploring it (E.g, Tokenization, Blockchain)]:[If I want to try different ways to invest, I will explore digital assets.]], 3)</f>
        <v>5</v>
      </c>
      <c r="AU1569">
        <f>Table67[[#This Row],[Midpoint]]/21</f>
        <v>0.23809523809523808</v>
      </c>
      <c r="AV1569">
        <f>_xlfn.PERCENTILE.INC(Table67[Midpoint ratio],0.9)</f>
        <v>0.5714285714285714</v>
      </c>
      <c r="AW1569" t="b">
        <f>Table67[[#This Row],[Midpoint ratio]]&gt;=Table67[[#This Row],[Threshold of Midpoint ratio]]</f>
        <v>0</v>
      </c>
      <c r="AX1569" t="b">
        <f>OR(Table67[[#This Row],[Extreme Response Style]],Table67[[#This Row],[Mid-point Response Style]])</f>
        <v>0</v>
      </c>
      <c r="AY1569" t="b">
        <f>OR(Table67[[#This Row],[Delete? (Stage 1)]],Table67[[#This Row],[Delete? (Stage 2)]])</f>
        <v>0</v>
      </c>
      <c r="AZ1569" t="s">
        <v>84</v>
      </c>
    </row>
    <row r="1570" spans="1:52">
      <c r="A1570">
        <f t="shared" si="99"/>
        <v>1569</v>
      </c>
      <c r="B1570" s="3">
        <v>46065.875613425924</v>
      </c>
      <c r="C1570" s="3">
        <v>46065.882372685184</v>
      </c>
      <c r="D1570" t="s">
        <v>53</v>
      </c>
      <c r="G1570" t="s">
        <v>54</v>
      </c>
      <c r="H1570" t="s">
        <v>55</v>
      </c>
      <c r="I1570" t="s">
        <v>56</v>
      </c>
      <c r="J1570" t="s">
        <v>62</v>
      </c>
      <c r="K1570" t="s">
        <v>62</v>
      </c>
      <c r="L1570" t="s">
        <v>58</v>
      </c>
      <c r="M1570" t="s">
        <v>58</v>
      </c>
      <c r="N1570">
        <v>2</v>
      </c>
      <c r="O1570">
        <v>3</v>
      </c>
      <c r="P1570">
        <v>3</v>
      </c>
      <c r="Q1570">
        <v>3</v>
      </c>
      <c r="R1570">
        <v>2</v>
      </c>
      <c r="S1570">
        <v>2</v>
      </c>
      <c r="T1570">
        <v>2</v>
      </c>
      <c r="U1570">
        <v>3</v>
      </c>
      <c r="V1570">
        <v>4</v>
      </c>
      <c r="W1570">
        <v>3</v>
      </c>
      <c r="X1570">
        <v>2</v>
      </c>
      <c r="Y1570">
        <v>3</v>
      </c>
      <c r="Z1570">
        <v>2</v>
      </c>
      <c r="AA1570">
        <v>2</v>
      </c>
      <c r="AB1570">
        <v>2</v>
      </c>
      <c r="AC1570">
        <v>3</v>
      </c>
      <c r="AD1570">
        <v>2</v>
      </c>
      <c r="AE1570">
        <v>1</v>
      </c>
      <c r="AF1570">
        <v>2</v>
      </c>
      <c r="AG1570">
        <v>2</v>
      </c>
      <c r="AH1570">
        <v>5</v>
      </c>
      <c r="AI1570">
        <v>1</v>
      </c>
      <c r="AJ1570">
        <v>4</v>
      </c>
      <c r="AK1570" t="b">
        <f>Table67[[#This Row],[What is your age?]]&lt;&gt;"18 - 25"</f>
        <v>0</v>
      </c>
      <c r="AL1570" t="b">
        <f t="shared" si="96"/>
        <v>0</v>
      </c>
      <c r="AM1570" t="b">
        <f t="shared" si="97"/>
        <v>0</v>
      </c>
      <c r="AN1570" t="b">
        <f t="shared" si="98"/>
        <v>0</v>
      </c>
      <c r="AO1570" t="b">
        <f>OR(Table67[[#This Row],[Ineligible respondents]:[Inconsistent response on opposite question (3)]])</f>
        <v>0</v>
      </c>
      <c r="AP157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570">
        <f>Table67[[#This Row],[Extreme Response]]/21</f>
        <v>9.5238095238095233E-2</v>
      </c>
      <c r="AR1570">
        <f>_xlfn.PERCENTILE.INC(Table67[Extrem Response Ratio (ERS)],0.9)</f>
        <v>0.61904761904761907</v>
      </c>
      <c r="AS1570" t="b">
        <f>Table67[[#This Row],[Extrem Response Ratio (ERS)]]&gt;=Table67[[#This Row],[Threshold of ERS]]</f>
        <v>0</v>
      </c>
      <c r="AT1570">
        <f>COUNTIF(Table67[[#This Row],[The mechanism of digital assets is difficult to understand, which discourages me from exploring it (E.g, Tokenization, Blockchain)]:[If I want to try different ways to invest, I will explore digital assets.]], 3)</f>
        <v>7</v>
      </c>
      <c r="AU1570">
        <f>Table67[[#This Row],[Midpoint]]/21</f>
        <v>0.33333333333333331</v>
      </c>
      <c r="AV1570">
        <f>_xlfn.PERCENTILE.INC(Table67[Midpoint ratio],0.9)</f>
        <v>0.5714285714285714</v>
      </c>
      <c r="AW1570" t="b">
        <f>Table67[[#This Row],[Midpoint ratio]]&gt;=Table67[[#This Row],[Threshold of Midpoint ratio]]</f>
        <v>0</v>
      </c>
      <c r="AX1570" t="b">
        <f>OR(Table67[[#This Row],[Extreme Response Style]],Table67[[#This Row],[Mid-point Response Style]])</f>
        <v>0</v>
      </c>
      <c r="AY1570" t="b">
        <f>OR(Table67[[#This Row],[Delete? (Stage 1)]],Table67[[#This Row],[Delete? (Stage 2)]])</f>
        <v>0</v>
      </c>
      <c r="AZ1570" t="s">
        <v>84</v>
      </c>
    </row>
    <row r="1571" spans="1:52">
      <c r="A1571">
        <f t="shared" si="99"/>
        <v>1570</v>
      </c>
      <c r="B1571" s="3">
        <v>46062.056585648148</v>
      </c>
      <c r="C1571" s="3">
        <v>46062.061666666668</v>
      </c>
      <c r="D1571" t="s">
        <v>53</v>
      </c>
      <c r="G1571" t="s">
        <v>73</v>
      </c>
      <c r="H1571" t="s">
        <v>63</v>
      </c>
      <c r="I1571" t="s">
        <v>75</v>
      </c>
      <c r="J1571" t="s">
        <v>65</v>
      </c>
      <c r="K1571" t="s">
        <v>62</v>
      </c>
      <c r="L1571" t="s">
        <v>61</v>
      </c>
      <c r="M1571" t="s">
        <v>58</v>
      </c>
      <c r="N1571">
        <v>3</v>
      </c>
      <c r="O1571">
        <v>2</v>
      </c>
      <c r="P1571">
        <v>3</v>
      </c>
      <c r="Q1571">
        <v>2</v>
      </c>
      <c r="R1571">
        <v>4</v>
      </c>
      <c r="S1571">
        <v>1</v>
      </c>
      <c r="T1571">
        <v>1</v>
      </c>
      <c r="U1571">
        <v>2</v>
      </c>
      <c r="V1571">
        <v>4</v>
      </c>
      <c r="W1571">
        <v>5</v>
      </c>
      <c r="X1571">
        <v>3</v>
      </c>
      <c r="Y1571">
        <v>4</v>
      </c>
      <c r="Z1571">
        <v>5</v>
      </c>
      <c r="AA1571">
        <v>3</v>
      </c>
      <c r="AB1571">
        <v>2</v>
      </c>
      <c r="AC1571">
        <v>2</v>
      </c>
      <c r="AD1571">
        <v>2</v>
      </c>
      <c r="AE1571">
        <v>3</v>
      </c>
      <c r="AF1571">
        <v>4</v>
      </c>
      <c r="AG1571">
        <v>2</v>
      </c>
      <c r="AH1571">
        <v>4</v>
      </c>
      <c r="AI1571">
        <v>2</v>
      </c>
      <c r="AJ1571">
        <v>2</v>
      </c>
      <c r="AK1571" t="b">
        <f>Table67[[#This Row],[What is your age?]]&lt;&gt;"18 - 25"</f>
        <v>1</v>
      </c>
      <c r="AL1571" t="b">
        <f t="shared" si="96"/>
        <v>0</v>
      </c>
      <c r="AM1571" t="b">
        <f t="shared" si="97"/>
        <v>0</v>
      </c>
      <c r="AN1571" t="b">
        <f t="shared" si="98"/>
        <v>0</v>
      </c>
      <c r="AO1571" t="b">
        <f>OR(Table67[[#This Row],[Ineligible respondents]:[Inconsistent response on opposite question (3)]])</f>
        <v>1</v>
      </c>
      <c r="AP157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571">
        <f>Table67[[#This Row],[Extreme Response]]/21</f>
        <v>0.19047619047619047</v>
      </c>
      <c r="AR1571">
        <f>_xlfn.PERCENTILE.INC(Table67[Extrem Response Ratio (ERS)],0.9)</f>
        <v>0.61904761904761907</v>
      </c>
      <c r="AS1571" t="b">
        <f>Table67[[#This Row],[Extrem Response Ratio (ERS)]]&gt;=Table67[[#This Row],[Threshold of ERS]]</f>
        <v>0</v>
      </c>
      <c r="AT1571">
        <f>COUNTIF(Table67[[#This Row],[The mechanism of digital assets is difficult to understand, which discourages me from exploring it (E.g, Tokenization, Blockchain)]:[If I want to try different ways to invest, I will explore digital assets.]], 3)</f>
        <v>5</v>
      </c>
      <c r="AU1571">
        <f>Table67[[#This Row],[Midpoint]]/21</f>
        <v>0.23809523809523808</v>
      </c>
      <c r="AV1571">
        <f>_xlfn.PERCENTILE.INC(Table67[Midpoint ratio],0.9)</f>
        <v>0.5714285714285714</v>
      </c>
      <c r="AW1571" t="b">
        <f>Table67[[#This Row],[Midpoint ratio]]&gt;=Table67[[#This Row],[Threshold of Midpoint ratio]]</f>
        <v>0</v>
      </c>
      <c r="AX1571" t="b">
        <f>OR(Table67[[#This Row],[Extreme Response Style]],Table67[[#This Row],[Mid-point Response Style]])</f>
        <v>0</v>
      </c>
      <c r="AY1571" t="b">
        <f>OR(Table67[[#This Row],[Delete? (Stage 1)]],Table67[[#This Row],[Delete? (Stage 2)]])</f>
        <v>1</v>
      </c>
      <c r="AZ1571" t="s">
        <v>84</v>
      </c>
    </row>
    <row r="1572" spans="1:52">
      <c r="A1572">
        <f t="shared" si="99"/>
        <v>1571</v>
      </c>
      <c r="B1572" s="3">
        <v>46062.02548611111</v>
      </c>
      <c r="C1572" s="3">
        <v>46062.029872685183</v>
      </c>
      <c r="D1572" t="s">
        <v>53</v>
      </c>
      <c r="G1572" t="s">
        <v>54</v>
      </c>
      <c r="H1572" t="s">
        <v>63</v>
      </c>
      <c r="I1572" t="s">
        <v>75</v>
      </c>
      <c r="J1572" t="s">
        <v>60</v>
      </c>
      <c r="K1572" t="s">
        <v>57</v>
      </c>
      <c r="L1572" t="s">
        <v>58</v>
      </c>
      <c r="M1572" t="s">
        <v>58</v>
      </c>
      <c r="N1572">
        <v>4</v>
      </c>
      <c r="O1572">
        <v>2</v>
      </c>
      <c r="P1572">
        <v>5</v>
      </c>
      <c r="Q1572">
        <v>5</v>
      </c>
      <c r="R1572">
        <v>2</v>
      </c>
      <c r="S1572">
        <v>5</v>
      </c>
      <c r="T1572">
        <v>5</v>
      </c>
      <c r="U1572">
        <v>4</v>
      </c>
      <c r="V1572">
        <v>5</v>
      </c>
      <c r="W1572">
        <v>5</v>
      </c>
      <c r="X1572">
        <v>5</v>
      </c>
      <c r="Y1572">
        <v>5</v>
      </c>
      <c r="Z1572">
        <v>4</v>
      </c>
      <c r="AA1572">
        <v>5</v>
      </c>
      <c r="AB1572">
        <v>1</v>
      </c>
      <c r="AC1572">
        <v>4</v>
      </c>
      <c r="AD1572">
        <v>4</v>
      </c>
      <c r="AE1572">
        <v>1</v>
      </c>
      <c r="AF1572">
        <v>4</v>
      </c>
      <c r="AG1572">
        <v>3</v>
      </c>
      <c r="AH1572">
        <v>1</v>
      </c>
      <c r="AI1572">
        <v>5</v>
      </c>
      <c r="AJ1572">
        <v>2</v>
      </c>
      <c r="AK1572" t="b">
        <f>Table67[[#This Row],[What is your age?]]&lt;&gt;"18 - 25"</f>
        <v>0</v>
      </c>
      <c r="AL1572" t="b">
        <f t="shared" si="96"/>
        <v>0</v>
      </c>
      <c r="AM1572" t="b">
        <f t="shared" si="97"/>
        <v>0</v>
      </c>
      <c r="AN1572" t="b">
        <f t="shared" si="98"/>
        <v>1</v>
      </c>
      <c r="AO1572" t="b">
        <f>OR(Table67[[#This Row],[Ineligible respondents]:[Inconsistent response on opposite question (3)]])</f>
        <v>1</v>
      </c>
      <c r="AP157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12</v>
      </c>
      <c r="AQ1572">
        <f>Table67[[#This Row],[Extreme Response]]/21</f>
        <v>0.5714285714285714</v>
      </c>
      <c r="AR1572">
        <f>_xlfn.PERCENTILE.INC(Table67[Extrem Response Ratio (ERS)],0.9)</f>
        <v>0.61904761904761907</v>
      </c>
      <c r="AS1572" t="b">
        <f>Table67[[#This Row],[Extrem Response Ratio (ERS)]]&gt;=Table67[[#This Row],[Threshold of ERS]]</f>
        <v>0</v>
      </c>
      <c r="AT1572">
        <f>COUNTIF(Table67[[#This Row],[The mechanism of digital assets is difficult to understand, which discourages me from exploring it (E.g, Tokenization, Blockchain)]:[If I want to try different ways to invest, I will explore digital assets.]], 3)</f>
        <v>1</v>
      </c>
      <c r="AU1572">
        <f>Table67[[#This Row],[Midpoint]]/21</f>
        <v>4.7619047619047616E-2</v>
      </c>
      <c r="AV1572">
        <f>_xlfn.PERCENTILE.INC(Table67[Midpoint ratio],0.9)</f>
        <v>0.5714285714285714</v>
      </c>
      <c r="AW1572" t="b">
        <f>Table67[[#This Row],[Midpoint ratio]]&gt;=Table67[[#This Row],[Threshold of Midpoint ratio]]</f>
        <v>0</v>
      </c>
      <c r="AX1572" t="b">
        <f>OR(Table67[[#This Row],[Extreme Response Style]],Table67[[#This Row],[Mid-point Response Style]])</f>
        <v>0</v>
      </c>
      <c r="AY1572" t="b">
        <f>OR(Table67[[#This Row],[Delete? (Stage 1)]],Table67[[#This Row],[Delete? (Stage 2)]])</f>
        <v>1</v>
      </c>
      <c r="AZ1572" t="s">
        <v>84</v>
      </c>
    </row>
    <row r="1573" spans="1:52">
      <c r="A1573">
        <f t="shared" si="99"/>
        <v>1572</v>
      </c>
      <c r="B1573" s="3">
        <v>46065.719386574077</v>
      </c>
      <c r="C1573" s="3">
        <v>46065.719594907408</v>
      </c>
      <c r="D1573" t="s">
        <v>53</v>
      </c>
      <c r="G1573" t="s">
        <v>54</v>
      </c>
      <c r="H1573" t="s">
        <v>63</v>
      </c>
      <c r="I1573" t="s">
        <v>71</v>
      </c>
      <c r="J1573" t="s">
        <v>57</v>
      </c>
      <c r="K1573" t="s">
        <v>57</v>
      </c>
      <c r="L1573" t="s">
        <v>58</v>
      </c>
      <c r="M1573" t="s">
        <v>58</v>
      </c>
      <c r="N1573">
        <v>1</v>
      </c>
      <c r="O1573">
        <v>1</v>
      </c>
      <c r="P1573">
        <v>3</v>
      </c>
      <c r="Q1573">
        <v>3</v>
      </c>
      <c r="R1573">
        <v>1</v>
      </c>
      <c r="S1573">
        <v>2</v>
      </c>
      <c r="T1573">
        <v>2</v>
      </c>
      <c r="U1573">
        <v>3</v>
      </c>
      <c r="V1573">
        <v>2</v>
      </c>
      <c r="W1573">
        <v>2</v>
      </c>
      <c r="X1573">
        <v>2</v>
      </c>
      <c r="Y1573">
        <v>2</v>
      </c>
      <c r="Z1573">
        <v>2</v>
      </c>
      <c r="AA1573">
        <v>3</v>
      </c>
      <c r="AB1573">
        <v>2</v>
      </c>
      <c r="AC1573">
        <v>3</v>
      </c>
      <c r="AD1573">
        <v>3</v>
      </c>
      <c r="AE1573">
        <v>3</v>
      </c>
      <c r="AF1573">
        <v>3</v>
      </c>
      <c r="AG1573">
        <v>2</v>
      </c>
      <c r="AH1573">
        <v>4</v>
      </c>
      <c r="AI1573">
        <v>2</v>
      </c>
      <c r="AJ1573">
        <v>3</v>
      </c>
      <c r="AK1573" t="b">
        <f>Table67[[#This Row],[What is your age?]]&lt;&gt;"18 - 25"</f>
        <v>0</v>
      </c>
      <c r="AL1573" t="b">
        <f t="shared" si="96"/>
        <v>0</v>
      </c>
      <c r="AM1573" t="b">
        <f t="shared" si="97"/>
        <v>0</v>
      </c>
      <c r="AN1573" t="b">
        <f t="shared" si="98"/>
        <v>0</v>
      </c>
      <c r="AO1573" t="b">
        <f>OR(Table67[[#This Row],[Ineligible respondents]:[Inconsistent response on opposite question (3)]])</f>
        <v>0</v>
      </c>
      <c r="AP157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573">
        <f>Table67[[#This Row],[Extreme Response]]/21</f>
        <v>0.14285714285714285</v>
      </c>
      <c r="AR1573">
        <f>_xlfn.PERCENTILE.INC(Table67[Extrem Response Ratio (ERS)],0.9)</f>
        <v>0.61904761904761907</v>
      </c>
      <c r="AS1573" t="b">
        <f>Table67[[#This Row],[Extrem Response Ratio (ERS)]]&gt;=Table67[[#This Row],[Threshold of ERS]]</f>
        <v>0</v>
      </c>
      <c r="AT1573">
        <f>COUNTIF(Table67[[#This Row],[The mechanism of digital assets is difficult to understand, which discourages me from exploring it (E.g, Tokenization, Blockchain)]:[If I want to try different ways to invest, I will explore digital assets.]], 3)</f>
        <v>8</v>
      </c>
      <c r="AU1573">
        <f>Table67[[#This Row],[Midpoint]]/21</f>
        <v>0.38095238095238093</v>
      </c>
      <c r="AV1573">
        <f>_xlfn.PERCENTILE.INC(Table67[Midpoint ratio],0.9)</f>
        <v>0.5714285714285714</v>
      </c>
      <c r="AW1573" t="b">
        <f>Table67[[#This Row],[Midpoint ratio]]&gt;=Table67[[#This Row],[Threshold of Midpoint ratio]]</f>
        <v>0</v>
      </c>
      <c r="AX1573" t="b">
        <f>OR(Table67[[#This Row],[Extreme Response Style]],Table67[[#This Row],[Mid-point Response Style]])</f>
        <v>0</v>
      </c>
      <c r="AY1573" t="b">
        <f>OR(Table67[[#This Row],[Delete? (Stage 1)]],Table67[[#This Row],[Delete? (Stage 2)]])</f>
        <v>0</v>
      </c>
      <c r="AZ1573" t="s">
        <v>84</v>
      </c>
    </row>
    <row r="1574" spans="1:52">
      <c r="A1574">
        <f t="shared" si="99"/>
        <v>1573</v>
      </c>
      <c r="B1574" s="3">
        <v>46062.039988425924</v>
      </c>
      <c r="C1574" s="3">
        <v>46062.041655092595</v>
      </c>
      <c r="D1574" t="s">
        <v>53</v>
      </c>
      <c r="G1574" t="s">
        <v>54</v>
      </c>
      <c r="H1574" t="s">
        <v>63</v>
      </c>
      <c r="I1574" t="s">
        <v>56</v>
      </c>
      <c r="J1574" t="s">
        <v>62</v>
      </c>
      <c r="K1574" t="s">
        <v>60</v>
      </c>
      <c r="L1574" t="s">
        <v>58</v>
      </c>
      <c r="M1574" t="s">
        <v>58</v>
      </c>
      <c r="N1574">
        <v>5</v>
      </c>
      <c r="O1574">
        <v>4</v>
      </c>
      <c r="P1574">
        <v>2</v>
      </c>
      <c r="Q1574">
        <v>3</v>
      </c>
      <c r="R1574">
        <v>4</v>
      </c>
      <c r="S1574">
        <v>3</v>
      </c>
      <c r="T1574">
        <v>2</v>
      </c>
      <c r="U1574">
        <v>1</v>
      </c>
      <c r="V1574">
        <v>1</v>
      </c>
      <c r="W1574">
        <v>1</v>
      </c>
      <c r="X1574">
        <v>1</v>
      </c>
      <c r="Y1574">
        <v>1</v>
      </c>
      <c r="Z1574">
        <v>4</v>
      </c>
      <c r="AA1574">
        <v>3</v>
      </c>
      <c r="AB1574">
        <v>4</v>
      </c>
      <c r="AC1574">
        <v>3</v>
      </c>
      <c r="AD1574">
        <v>4</v>
      </c>
      <c r="AE1574">
        <v>3</v>
      </c>
      <c r="AF1574">
        <v>3</v>
      </c>
      <c r="AG1574">
        <v>3</v>
      </c>
      <c r="AH1574">
        <v>2</v>
      </c>
      <c r="AI1574">
        <v>4</v>
      </c>
      <c r="AJ1574">
        <v>3</v>
      </c>
      <c r="AK1574" t="b">
        <f>Table67[[#This Row],[What is your age?]]&lt;&gt;"18 - 25"</f>
        <v>0</v>
      </c>
      <c r="AL1574" t="b">
        <f t="shared" si="96"/>
        <v>0</v>
      </c>
      <c r="AM1574" t="b">
        <f t="shared" si="97"/>
        <v>0</v>
      </c>
      <c r="AN1574" t="b">
        <f t="shared" si="98"/>
        <v>1</v>
      </c>
      <c r="AO1574" t="b">
        <f>OR(Table67[[#This Row],[Ineligible respondents]:[Inconsistent response on opposite question (3)]])</f>
        <v>1</v>
      </c>
      <c r="AP157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574">
        <f>Table67[[#This Row],[Extreme Response]]/21</f>
        <v>0.2857142857142857</v>
      </c>
      <c r="AR1574">
        <f>_xlfn.PERCENTILE.INC(Table67[Extrem Response Ratio (ERS)],0.9)</f>
        <v>0.61904761904761907</v>
      </c>
      <c r="AS1574" t="b">
        <f>Table67[[#This Row],[Extrem Response Ratio (ERS)]]&gt;=Table67[[#This Row],[Threshold of ERS]]</f>
        <v>0</v>
      </c>
      <c r="AT1574">
        <f>COUNTIF(Table67[[#This Row],[The mechanism of digital assets is difficult to understand, which discourages me from exploring it (E.g, Tokenization, Blockchain)]:[If I want to try different ways to invest, I will explore digital assets.]], 3)</f>
        <v>7</v>
      </c>
      <c r="AU1574">
        <f>Table67[[#This Row],[Midpoint]]/21</f>
        <v>0.33333333333333331</v>
      </c>
      <c r="AV1574">
        <f>_xlfn.PERCENTILE.INC(Table67[Midpoint ratio],0.9)</f>
        <v>0.5714285714285714</v>
      </c>
      <c r="AW1574" t="b">
        <f>Table67[[#This Row],[Midpoint ratio]]&gt;=Table67[[#This Row],[Threshold of Midpoint ratio]]</f>
        <v>0</v>
      </c>
      <c r="AX1574" t="b">
        <f>OR(Table67[[#This Row],[Extreme Response Style]],Table67[[#This Row],[Mid-point Response Style]])</f>
        <v>0</v>
      </c>
      <c r="AY1574" t="b">
        <f>OR(Table67[[#This Row],[Delete? (Stage 1)]],Table67[[#This Row],[Delete? (Stage 2)]])</f>
        <v>1</v>
      </c>
      <c r="AZ1574" t="s">
        <v>84</v>
      </c>
    </row>
    <row r="1575" spans="1:52">
      <c r="A1575">
        <f t="shared" si="99"/>
        <v>1574</v>
      </c>
      <c r="B1575" s="3">
        <v>46065.731817129628</v>
      </c>
      <c r="C1575" s="3">
        <v>46065.735462962963</v>
      </c>
      <c r="D1575" t="s">
        <v>53</v>
      </c>
      <c r="G1575" t="s">
        <v>54</v>
      </c>
      <c r="H1575" t="s">
        <v>63</v>
      </c>
      <c r="I1575" t="s">
        <v>71</v>
      </c>
      <c r="J1575" t="s">
        <v>62</v>
      </c>
      <c r="K1575" t="s">
        <v>62</v>
      </c>
      <c r="L1575" t="s">
        <v>61</v>
      </c>
      <c r="M1575" t="s">
        <v>61</v>
      </c>
      <c r="N1575">
        <v>2</v>
      </c>
      <c r="O1575">
        <v>2</v>
      </c>
      <c r="P1575">
        <v>3</v>
      </c>
      <c r="Q1575">
        <v>2</v>
      </c>
      <c r="R1575">
        <v>3</v>
      </c>
      <c r="S1575">
        <v>3</v>
      </c>
      <c r="T1575">
        <v>3</v>
      </c>
      <c r="U1575">
        <v>2</v>
      </c>
      <c r="V1575">
        <v>4</v>
      </c>
      <c r="W1575">
        <v>4</v>
      </c>
      <c r="X1575">
        <v>3</v>
      </c>
      <c r="Y1575">
        <v>3</v>
      </c>
      <c r="Z1575">
        <v>3</v>
      </c>
      <c r="AA1575">
        <v>3</v>
      </c>
      <c r="AB1575">
        <v>2</v>
      </c>
      <c r="AC1575">
        <v>3</v>
      </c>
      <c r="AD1575">
        <v>3</v>
      </c>
      <c r="AE1575">
        <v>3</v>
      </c>
      <c r="AF1575">
        <v>3</v>
      </c>
      <c r="AG1575">
        <v>2</v>
      </c>
      <c r="AH1575">
        <v>5</v>
      </c>
      <c r="AI1575">
        <v>1</v>
      </c>
      <c r="AJ1575">
        <v>3</v>
      </c>
      <c r="AK1575" t="b">
        <f>Table67[[#This Row],[What is your age?]]&lt;&gt;"18 - 25"</f>
        <v>0</v>
      </c>
      <c r="AL1575" t="b">
        <f t="shared" si="96"/>
        <v>0</v>
      </c>
      <c r="AM1575" t="b">
        <f t="shared" si="97"/>
        <v>0</v>
      </c>
      <c r="AN1575" t="b">
        <f t="shared" si="98"/>
        <v>0</v>
      </c>
      <c r="AO1575" t="b">
        <f>OR(Table67[[#This Row],[Ineligible respondents]:[Inconsistent response on opposite question (3)]])</f>
        <v>0</v>
      </c>
      <c r="AP157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575">
        <f>Table67[[#This Row],[Extreme Response]]/21</f>
        <v>4.7619047619047616E-2</v>
      </c>
      <c r="AR1575">
        <f>_xlfn.PERCENTILE.INC(Table67[Extrem Response Ratio (ERS)],0.9)</f>
        <v>0.61904761904761907</v>
      </c>
      <c r="AS1575" t="b">
        <f>Table67[[#This Row],[Extrem Response Ratio (ERS)]]&gt;=Table67[[#This Row],[Threshold of ERS]]</f>
        <v>0</v>
      </c>
      <c r="AT1575">
        <f>COUNTIF(Table67[[#This Row],[The mechanism of digital assets is difficult to understand, which discourages me from exploring it (E.g, Tokenization, Blockchain)]:[If I want to try different ways to invest, I will explore digital assets.]], 3)</f>
        <v>12</v>
      </c>
      <c r="AU1575">
        <f>Table67[[#This Row],[Midpoint]]/21</f>
        <v>0.5714285714285714</v>
      </c>
      <c r="AV1575">
        <f>_xlfn.PERCENTILE.INC(Table67[Midpoint ratio],0.9)</f>
        <v>0.5714285714285714</v>
      </c>
      <c r="AW1575" t="b">
        <f>Table67[[#This Row],[Midpoint ratio]]&gt;=Table67[[#This Row],[Threshold of Midpoint ratio]]</f>
        <v>1</v>
      </c>
      <c r="AX1575" t="b">
        <f>OR(Table67[[#This Row],[Extreme Response Style]],Table67[[#This Row],[Mid-point Response Style]])</f>
        <v>1</v>
      </c>
      <c r="AY1575" t="b">
        <f>OR(Table67[[#This Row],[Delete? (Stage 1)]],Table67[[#This Row],[Delete? (Stage 2)]])</f>
        <v>1</v>
      </c>
      <c r="AZ1575" t="s">
        <v>84</v>
      </c>
    </row>
    <row r="1576" spans="1:52">
      <c r="A1576">
        <f t="shared" si="99"/>
        <v>1575</v>
      </c>
      <c r="B1576" s="3">
        <v>46065.765694444446</v>
      </c>
      <c r="C1576" s="3">
        <v>46065.76730324074</v>
      </c>
      <c r="D1576" t="s">
        <v>53</v>
      </c>
      <c r="G1576" t="s">
        <v>54</v>
      </c>
      <c r="H1576" t="s">
        <v>63</v>
      </c>
      <c r="I1576" t="s">
        <v>82</v>
      </c>
      <c r="J1576" t="s">
        <v>60</v>
      </c>
      <c r="K1576" t="s">
        <v>62</v>
      </c>
      <c r="L1576" t="s">
        <v>58</v>
      </c>
      <c r="M1576" t="s">
        <v>58</v>
      </c>
      <c r="N1576">
        <v>3</v>
      </c>
      <c r="O1576">
        <v>4</v>
      </c>
      <c r="P1576">
        <v>3</v>
      </c>
      <c r="Q1576">
        <v>3</v>
      </c>
      <c r="R1576">
        <v>4</v>
      </c>
      <c r="S1576">
        <v>4</v>
      </c>
      <c r="T1576">
        <v>5</v>
      </c>
      <c r="U1576">
        <v>3</v>
      </c>
      <c r="V1576">
        <v>3</v>
      </c>
      <c r="W1576">
        <v>3</v>
      </c>
      <c r="X1576">
        <v>4</v>
      </c>
      <c r="Y1576">
        <v>3</v>
      </c>
      <c r="Z1576">
        <v>4</v>
      </c>
      <c r="AA1576">
        <v>4</v>
      </c>
      <c r="AB1576">
        <v>4</v>
      </c>
      <c r="AC1576">
        <v>3</v>
      </c>
      <c r="AD1576">
        <v>4</v>
      </c>
      <c r="AE1576">
        <v>4</v>
      </c>
      <c r="AF1576">
        <v>3</v>
      </c>
      <c r="AG1576">
        <v>3</v>
      </c>
      <c r="AH1576">
        <v>3</v>
      </c>
      <c r="AI1576">
        <v>3</v>
      </c>
      <c r="AJ1576">
        <v>3</v>
      </c>
      <c r="AK1576" t="b">
        <f>Table67[[#This Row],[What is your age?]]&lt;&gt;"18 - 25"</f>
        <v>0</v>
      </c>
      <c r="AL1576" t="b">
        <f t="shared" si="96"/>
        <v>0</v>
      </c>
      <c r="AM1576" t="b">
        <f t="shared" si="97"/>
        <v>0</v>
      </c>
      <c r="AN1576" t="b">
        <f t="shared" si="98"/>
        <v>0</v>
      </c>
      <c r="AO1576" t="b">
        <f>OR(Table67[[#This Row],[Ineligible respondents]:[Inconsistent response on opposite question (3)]])</f>
        <v>0</v>
      </c>
      <c r="AP157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576">
        <f>Table67[[#This Row],[Extreme Response]]/21</f>
        <v>4.7619047619047616E-2</v>
      </c>
      <c r="AR1576">
        <f>_xlfn.PERCENTILE.INC(Table67[Extrem Response Ratio (ERS)],0.9)</f>
        <v>0.61904761904761907</v>
      </c>
      <c r="AS1576" t="b">
        <f>Table67[[#This Row],[Extrem Response Ratio (ERS)]]&gt;=Table67[[#This Row],[Threshold of ERS]]</f>
        <v>0</v>
      </c>
      <c r="AT1576">
        <f>COUNTIF(Table67[[#This Row],[The mechanism of digital assets is difficult to understand, which discourages me from exploring it (E.g, Tokenization, Blockchain)]:[If I want to try different ways to invest, I will explore digital assets.]], 3)</f>
        <v>11</v>
      </c>
      <c r="AU1576">
        <f>Table67[[#This Row],[Midpoint]]/21</f>
        <v>0.52380952380952384</v>
      </c>
      <c r="AV1576">
        <f>_xlfn.PERCENTILE.INC(Table67[Midpoint ratio],0.9)</f>
        <v>0.5714285714285714</v>
      </c>
      <c r="AW1576" t="b">
        <f>Table67[[#This Row],[Midpoint ratio]]&gt;=Table67[[#This Row],[Threshold of Midpoint ratio]]</f>
        <v>0</v>
      </c>
      <c r="AX1576" t="b">
        <f>OR(Table67[[#This Row],[Extreme Response Style]],Table67[[#This Row],[Mid-point Response Style]])</f>
        <v>0</v>
      </c>
      <c r="AY1576" t="b">
        <f>OR(Table67[[#This Row],[Delete? (Stage 1)]],Table67[[#This Row],[Delete? (Stage 2)]])</f>
        <v>0</v>
      </c>
      <c r="AZ1576" t="s">
        <v>84</v>
      </c>
    </row>
    <row r="1577" spans="1:52">
      <c r="A1577">
        <f t="shared" si="99"/>
        <v>1576</v>
      </c>
      <c r="B1577" s="3">
        <v>46062.024884259263</v>
      </c>
      <c r="C1577" s="3">
        <v>46062.028310185182</v>
      </c>
      <c r="D1577" t="s">
        <v>53</v>
      </c>
      <c r="G1577" t="s">
        <v>54</v>
      </c>
      <c r="H1577" t="s">
        <v>55</v>
      </c>
      <c r="I1577" t="s">
        <v>56</v>
      </c>
      <c r="J1577" t="s">
        <v>68</v>
      </c>
      <c r="K1577" t="s">
        <v>57</v>
      </c>
      <c r="L1577" t="s">
        <v>58</v>
      </c>
      <c r="M1577" t="s">
        <v>58</v>
      </c>
      <c r="N1577">
        <v>5</v>
      </c>
      <c r="O1577">
        <v>3</v>
      </c>
      <c r="P1577">
        <v>3</v>
      </c>
      <c r="Q1577">
        <v>4</v>
      </c>
      <c r="R1577">
        <v>4</v>
      </c>
      <c r="S1577">
        <v>4</v>
      </c>
      <c r="T1577">
        <v>4</v>
      </c>
      <c r="U1577">
        <v>4</v>
      </c>
      <c r="V1577">
        <v>5</v>
      </c>
      <c r="W1577">
        <v>3</v>
      </c>
      <c r="X1577">
        <v>4</v>
      </c>
      <c r="Y1577">
        <v>5</v>
      </c>
      <c r="Z1577">
        <v>5</v>
      </c>
      <c r="AA1577">
        <v>4</v>
      </c>
      <c r="AB1577">
        <v>4</v>
      </c>
      <c r="AC1577">
        <v>4</v>
      </c>
      <c r="AD1577">
        <v>4</v>
      </c>
      <c r="AE1577">
        <v>3</v>
      </c>
      <c r="AF1577">
        <v>2</v>
      </c>
      <c r="AG1577">
        <v>4</v>
      </c>
      <c r="AH1577">
        <v>3</v>
      </c>
      <c r="AI1577">
        <v>3</v>
      </c>
      <c r="AJ1577">
        <v>4</v>
      </c>
      <c r="AK1577" t="b">
        <f>Table67[[#This Row],[What is your age?]]&lt;&gt;"18 - 25"</f>
        <v>0</v>
      </c>
      <c r="AL1577" t="b">
        <f t="shared" si="96"/>
        <v>0</v>
      </c>
      <c r="AM1577" t="b">
        <f t="shared" si="97"/>
        <v>0</v>
      </c>
      <c r="AN1577" t="b">
        <f t="shared" si="98"/>
        <v>1</v>
      </c>
      <c r="AO1577" t="b">
        <f>OR(Table67[[#This Row],[Ineligible respondents]:[Inconsistent response on opposite question (3)]])</f>
        <v>1</v>
      </c>
      <c r="AP157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577">
        <f>Table67[[#This Row],[Extreme Response]]/21</f>
        <v>0.19047619047619047</v>
      </c>
      <c r="AR1577">
        <f>_xlfn.PERCENTILE.INC(Table67[Extrem Response Ratio (ERS)],0.9)</f>
        <v>0.61904761904761907</v>
      </c>
      <c r="AS1577" t="b">
        <f>Table67[[#This Row],[Extrem Response Ratio (ERS)]]&gt;=Table67[[#This Row],[Threshold of ERS]]</f>
        <v>0</v>
      </c>
      <c r="AT1577">
        <f>COUNTIF(Table67[[#This Row],[The mechanism of digital assets is difficult to understand, which discourages me from exploring it (E.g, Tokenization, Blockchain)]:[If I want to try different ways to invest, I will explore digital assets.]], 3)</f>
        <v>5</v>
      </c>
      <c r="AU1577">
        <f>Table67[[#This Row],[Midpoint]]/21</f>
        <v>0.23809523809523808</v>
      </c>
      <c r="AV1577">
        <f>_xlfn.PERCENTILE.INC(Table67[Midpoint ratio],0.9)</f>
        <v>0.5714285714285714</v>
      </c>
      <c r="AW1577" t="b">
        <f>Table67[[#This Row],[Midpoint ratio]]&gt;=Table67[[#This Row],[Threshold of Midpoint ratio]]</f>
        <v>0</v>
      </c>
      <c r="AX1577" t="b">
        <f>OR(Table67[[#This Row],[Extreme Response Style]],Table67[[#This Row],[Mid-point Response Style]])</f>
        <v>0</v>
      </c>
      <c r="AY1577" t="b">
        <f>OR(Table67[[#This Row],[Delete? (Stage 1)]],Table67[[#This Row],[Delete? (Stage 2)]])</f>
        <v>1</v>
      </c>
      <c r="AZ1577" t="s">
        <v>84</v>
      </c>
    </row>
    <row r="1578" spans="1:52">
      <c r="A1578">
        <f t="shared" si="99"/>
        <v>1577</v>
      </c>
      <c r="B1578" s="3">
        <v>46065.870057870372</v>
      </c>
      <c r="C1578" s="3">
        <v>46065.875914351855</v>
      </c>
      <c r="D1578" t="s">
        <v>53</v>
      </c>
      <c r="G1578" t="s">
        <v>54</v>
      </c>
      <c r="H1578" t="s">
        <v>63</v>
      </c>
      <c r="I1578" t="s">
        <v>56</v>
      </c>
      <c r="J1578" t="s">
        <v>62</v>
      </c>
      <c r="K1578" t="s">
        <v>62</v>
      </c>
      <c r="L1578" t="s">
        <v>58</v>
      </c>
      <c r="M1578" t="s">
        <v>58</v>
      </c>
      <c r="N1578">
        <v>5</v>
      </c>
      <c r="O1578">
        <v>4</v>
      </c>
      <c r="P1578">
        <v>3</v>
      </c>
      <c r="Q1578">
        <v>3</v>
      </c>
      <c r="R1578">
        <v>4</v>
      </c>
      <c r="S1578">
        <v>3</v>
      </c>
      <c r="T1578">
        <v>3</v>
      </c>
      <c r="U1578">
        <v>3</v>
      </c>
      <c r="V1578">
        <v>3</v>
      </c>
      <c r="W1578">
        <v>4</v>
      </c>
      <c r="X1578">
        <v>2</v>
      </c>
      <c r="Y1578">
        <v>4</v>
      </c>
      <c r="Z1578">
        <v>2</v>
      </c>
      <c r="AA1578">
        <v>2</v>
      </c>
      <c r="AB1578">
        <v>3</v>
      </c>
      <c r="AC1578">
        <v>3</v>
      </c>
      <c r="AD1578">
        <v>2</v>
      </c>
      <c r="AE1578">
        <v>2</v>
      </c>
      <c r="AF1578">
        <v>5</v>
      </c>
      <c r="AG1578">
        <v>1</v>
      </c>
      <c r="AH1578">
        <v>5</v>
      </c>
      <c r="AI1578">
        <v>1</v>
      </c>
      <c r="AJ1578">
        <v>1</v>
      </c>
      <c r="AK1578" t="b">
        <f>Table67[[#This Row],[What is your age?]]&lt;&gt;"18 - 25"</f>
        <v>0</v>
      </c>
      <c r="AL1578" t="b">
        <f t="shared" si="96"/>
        <v>0</v>
      </c>
      <c r="AM1578" t="b">
        <f t="shared" si="97"/>
        <v>0</v>
      </c>
      <c r="AN1578" t="b">
        <f t="shared" si="98"/>
        <v>0</v>
      </c>
      <c r="AO1578" t="b">
        <f>OR(Table67[[#This Row],[Ineligible respondents]:[Inconsistent response on opposite question (3)]])</f>
        <v>0</v>
      </c>
      <c r="AP157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578">
        <f>Table67[[#This Row],[Extreme Response]]/21</f>
        <v>0.19047619047619047</v>
      </c>
      <c r="AR1578">
        <f>_xlfn.PERCENTILE.INC(Table67[Extrem Response Ratio (ERS)],0.9)</f>
        <v>0.61904761904761907</v>
      </c>
      <c r="AS1578" t="b">
        <f>Table67[[#This Row],[Extrem Response Ratio (ERS)]]&gt;=Table67[[#This Row],[Threshold of ERS]]</f>
        <v>0</v>
      </c>
      <c r="AT1578">
        <f>COUNTIF(Table67[[#This Row],[The mechanism of digital assets is difficult to understand, which discourages me from exploring it (E.g, Tokenization, Blockchain)]:[If I want to try different ways to invest, I will explore digital assets.]], 3)</f>
        <v>8</v>
      </c>
      <c r="AU1578">
        <f>Table67[[#This Row],[Midpoint]]/21</f>
        <v>0.38095238095238093</v>
      </c>
      <c r="AV1578">
        <f>_xlfn.PERCENTILE.INC(Table67[Midpoint ratio],0.9)</f>
        <v>0.5714285714285714</v>
      </c>
      <c r="AW1578" t="b">
        <f>Table67[[#This Row],[Midpoint ratio]]&gt;=Table67[[#This Row],[Threshold of Midpoint ratio]]</f>
        <v>0</v>
      </c>
      <c r="AX1578" t="b">
        <f>OR(Table67[[#This Row],[Extreme Response Style]],Table67[[#This Row],[Mid-point Response Style]])</f>
        <v>0</v>
      </c>
      <c r="AY1578" t="b">
        <f>OR(Table67[[#This Row],[Delete? (Stage 1)]],Table67[[#This Row],[Delete? (Stage 2)]])</f>
        <v>0</v>
      </c>
      <c r="AZ1578" t="s">
        <v>84</v>
      </c>
    </row>
    <row r="1579" spans="1:52">
      <c r="A1579">
        <f t="shared" si="99"/>
        <v>1578</v>
      </c>
      <c r="B1579" s="3">
        <v>46062.04005787037</v>
      </c>
      <c r="C1579" s="3">
        <v>46062.045868055553</v>
      </c>
      <c r="D1579" t="s">
        <v>53</v>
      </c>
      <c r="G1579" t="s">
        <v>54</v>
      </c>
      <c r="H1579" t="s">
        <v>55</v>
      </c>
      <c r="I1579" t="s">
        <v>75</v>
      </c>
      <c r="J1579" t="s">
        <v>57</v>
      </c>
      <c r="K1579" t="s">
        <v>57</v>
      </c>
      <c r="L1579" t="s">
        <v>58</v>
      </c>
      <c r="M1579" t="s">
        <v>58</v>
      </c>
      <c r="N1579">
        <v>5</v>
      </c>
      <c r="O1579">
        <v>1</v>
      </c>
      <c r="P1579">
        <v>4</v>
      </c>
      <c r="Q1579">
        <v>2</v>
      </c>
      <c r="R1579">
        <v>5</v>
      </c>
      <c r="S1579">
        <v>5</v>
      </c>
      <c r="T1579">
        <v>5</v>
      </c>
      <c r="U1579">
        <v>5</v>
      </c>
      <c r="V1579">
        <v>5</v>
      </c>
      <c r="W1579">
        <v>3</v>
      </c>
      <c r="X1579">
        <v>4</v>
      </c>
      <c r="Y1579">
        <v>5</v>
      </c>
      <c r="Z1579">
        <v>5</v>
      </c>
      <c r="AA1579">
        <v>5</v>
      </c>
      <c r="AB1579">
        <v>4</v>
      </c>
      <c r="AC1579">
        <v>4</v>
      </c>
      <c r="AD1579">
        <v>4</v>
      </c>
      <c r="AE1579">
        <v>4</v>
      </c>
      <c r="AF1579">
        <v>1</v>
      </c>
      <c r="AG1579">
        <v>5</v>
      </c>
      <c r="AH1579">
        <v>1</v>
      </c>
      <c r="AI1579">
        <v>5</v>
      </c>
      <c r="AJ1579">
        <v>5</v>
      </c>
      <c r="AK1579" t="b">
        <f>Table67[[#This Row],[What is your age?]]&lt;&gt;"18 - 25"</f>
        <v>0</v>
      </c>
      <c r="AL1579" t="b">
        <f t="shared" si="96"/>
        <v>0</v>
      </c>
      <c r="AM1579" t="b">
        <f t="shared" si="97"/>
        <v>0</v>
      </c>
      <c r="AN1579" t="b">
        <f t="shared" si="98"/>
        <v>0</v>
      </c>
      <c r="AO1579" t="b">
        <f>OR(Table67[[#This Row],[Ineligible respondents]:[Inconsistent response on opposite question (3)]])</f>
        <v>0</v>
      </c>
      <c r="AP157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1579">
        <f>Table67[[#This Row],[Extreme Response]]/21</f>
        <v>0.61904761904761907</v>
      </c>
      <c r="AR1579">
        <f>_xlfn.PERCENTILE.INC(Table67[Extrem Response Ratio (ERS)],0.9)</f>
        <v>0.61904761904761907</v>
      </c>
      <c r="AS1579" t="b">
        <f>Table67[[#This Row],[Extrem Response Ratio (ERS)]]&gt;=Table67[[#This Row],[Threshold of ERS]]</f>
        <v>1</v>
      </c>
      <c r="AT1579">
        <f>COUNTIF(Table67[[#This Row],[The mechanism of digital assets is difficult to understand, which discourages me from exploring it (E.g, Tokenization, Blockchain)]:[If I want to try different ways to invest, I will explore digital assets.]], 3)</f>
        <v>1</v>
      </c>
      <c r="AU1579">
        <f>Table67[[#This Row],[Midpoint]]/21</f>
        <v>4.7619047619047616E-2</v>
      </c>
      <c r="AV1579">
        <f>_xlfn.PERCENTILE.INC(Table67[Midpoint ratio],0.9)</f>
        <v>0.5714285714285714</v>
      </c>
      <c r="AW1579" t="b">
        <f>Table67[[#This Row],[Midpoint ratio]]&gt;=Table67[[#This Row],[Threshold of Midpoint ratio]]</f>
        <v>0</v>
      </c>
      <c r="AX1579" t="b">
        <f>OR(Table67[[#This Row],[Extreme Response Style]],Table67[[#This Row],[Mid-point Response Style]])</f>
        <v>1</v>
      </c>
      <c r="AY1579" t="b">
        <f>OR(Table67[[#This Row],[Delete? (Stage 1)]],Table67[[#This Row],[Delete? (Stage 2)]])</f>
        <v>1</v>
      </c>
      <c r="AZ1579" t="s">
        <v>84</v>
      </c>
    </row>
    <row r="1580" spans="1:52">
      <c r="A1580">
        <f t="shared" si="99"/>
        <v>1579</v>
      </c>
      <c r="B1580" s="3">
        <v>46062.071192129632</v>
      </c>
      <c r="C1580" s="3">
        <v>46062.077928240738</v>
      </c>
      <c r="D1580" t="s">
        <v>53</v>
      </c>
      <c r="G1580" t="s">
        <v>54</v>
      </c>
      <c r="H1580" t="s">
        <v>55</v>
      </c>
      <c r="I1580" t="s">
        <v>69</v>
      </c>
      <c r="J1580" t="s">
        <v>57</v>
      </c>
      <c r="K1580" t="s">
        <v>57</v>
      </c>
      <c r="L1580" t="s">
        <v>58</v>
      </c>
      <c r="M1580" t="s">
        <v>58</v>
      </c>
      <c r="N1580">
        <v>3</v>
      </c>
      <c r="O1580">
        <v>1</v>
      </c>
      <c r="P1580">
        <v>4</v>
      </c>
      <c r="Q1580">
        <v>1</v>
      </c>
      <c r="R1580">
        <v>1</v>
      </c>
      <c r="S1580">
        <v>1</v>
      </c>
      <c r="T1580">
        <v>5</v>
      </c>
      <c r="U1580">
        <v>5</v>
      </c>
      <c r="V1580">
        <v>5</v>
      </c>
      <c r="W1580">
        <v>3</v>
      </c>
      <c r="X1580">
        <v>5</v>
      </c>
      <c r="Y1580">
        <v>5</v>
      </c>
      <c r="Z1580">
        <v>5</v>
      </c>
      <c r="AA1580">
        <v>3</v>
      </c>
      <c r="AB1580">
        <v>1</v>
      </c>
      <c r="AC1580">
        <v>2</v>
      </c>
      <c r="AD1580">
        <v>5</v>
      </c>
      <c r="AE1580">
        <v>2</v>
      </c>
      <c r="AF1580">
        <v>3</v>
      </c>
      <c r="AG1580">
        <v>1</v>
      </c>
      <c r="AH1580">
        <v>4</v>
      </c>
      <c r="AI1580">
        <v>2</v>
      </c>
      <c r="AJ1580">
        <v>3</v>
      </c>
      <c r="AK1580" t="b">
        <f>Table67[[#This Row],[What is your age?]]&lt;&gt;"18 - 25"</f>
        <v>0</v>
      </c>
      <c r="AL1580" t="b">
        <f t="shared" si="96"/>
        <v>0</v>
      </c>
      <c r="AM1580" t="b">
        <f t="shared" si="97"/>
        <v>0</v>
      </c>
      <c r="AN1580" t="b">
        <f t="shared" si="98"/>
        <v>0</v>
      </c>
      <c r="AO1580" t="b">
        <f>OR(Table67[[#This Row],[Ineligible respondents]:[Inconsistent response on opposite question (3)]])</f>
        <v>0</v>
      </c>
      <c r="AP158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1580">
        <f>Table67[[#This Row],[Extreme Response]]/21</f>
        <v>0.61904761904761907</v>
      </c>
      <c r="AR1580">
        <f>_xlfn.PERCENTILE.INC(Table67[Extrem Response Ratio (ERS)],0.9)</f>
        <v>0.61904761904761907</v>
      </c>
      <c r="AS1580" t="b">
        <f>Table67[[#This Row],[Extrem Response Ratio (ERS)]]&gt;=Table67[[#This Row],[Threshold of ERS]]</f>
        <v>1</v>
      </c>
      <c r="AT1580">
        <f>COUNTIF(Table67[[#This Row],[The mechanism of digital assets is difficult to understand, which discourages me from exploring it (E.g, Tokenization, Blockchain)]:[If I want to try different ways to invest, I will explore digital assets.]], 3)</f>
        <v>4</v>
      </c>
      <c r="AU1580">
        <f>Table67[[#This Row],[Midpoint]]/21</f>
        <v>0.19047619047619047</v>
      </c>
      <c r="AV1580">
        <f>_xlfn.PERCENTILE.INC(Table67[Midpoint ratio],0.9)</f>
        <v>0.5714285714285714</v>
      </c>
      <c r="AW1580" t="b">
        <f>Table67[[#This Row],[Midpoint ratio]]&gt;=Table67[[#This Row],[Threshold of Midpoint ratio]]</f>
        <v>0</v>
      </c>
      <c r="AX1580" t="b">
        <f>OR(Table67[[#This Row],[Extreme Response Style]],Table67[[#This Row],[Mid-point Response Style]])</f>
        <v>1</v>
      </c>
      <c r="AY1580" t="b">
        <f>OR(Table67[[#This Row],[Delete? (Stage 1)]],Table67[[#This Row],[Delete? (Stage 2)]])</f>
        <v>1</v>
      </c>
      <c r="AZ1580" t="s">
        <v>84</v>
      </c>
    </row>
    <row r="1581" spans="1:52">
      <c r="A1581">
        <f t="shared" si="99"/>
        <v>1580</v>
      </c>
      <c r="B1581" s="3">
        <v>46065.72934027778</v>
      </c>
      <c r="C1581" s="3">
        <v>46065.730243055557</v>
      </c>
      <c r="D1581" t="s">
        <v>53</v>
      </c>
      <c r="G1581" t="s">
        <v>54</v>
      </c>
      <c r="H1581" t="s">
        <v>55</v>
      </c>
      <c r="I1581" t="s">
        <v>75</v>
      </c>
      <c r="J1581" t="s">
        <v>57</v>
      </c>
      <c r="K1581" t="s">
        <v>57</v>
      </c>
      <c r="L1581" t="s">
        <v>58</v>
      </c>
      <c r="M1581" t="s">
        <v>58</v>
      </c>
      <c r="N1581">
        <v>1</v>
      </c>
      <c r="O1581">
        <v>1</v>
      </c>
      <c r="P1581">
        <v>3</v>
      </c>
      <c r="Q1581">
        <v>3</v>
      </c>
      <c r="R1581">
        <v>1</v>
      </c>
      <c r="S1581">
        <v>1</v>
      </c>
      <c r="T1581">
        <v>1</v>
      </c>
      <c r="U1581">
        <v>3</v>
      </c>
      <c r="V1581">
        <v>2</v>
      </c>
      <c r="W1581">
        <v>2</v>
      </c>
      <c r="X1581">
        <v>1</v>
      </c>
      <c r="Y1581">
        <v>1</v>
      </c>
      <c r="Z1581">
        <v>1</v>
      </c>
      <c r="AA1581">
        <v>1</v>
      </c>
      <c r="AB1581">
        <v>2</v>
      </c>
      <c r="AC1581">
        <v>3</v>
      </c>
      <c r="AD1581">
        <v>1</v>
      </c>
      <c r="AE1581">
        <v>1</v>
      </c>
      <c r="AF1581">
        <v>3</v>
      </c>
      <c r="AG1581">
        <v>2</v>
      </c>
      <c r="AH1581">
        <v>5</v>
      </c>
      <c r="AI1581">
        <v>1</v>
      </c>
      <c r="AJ1581">
        <v>3</v>
      </c>
      <c r="AK1581" t="b">
        <f>Table67[[#This Row],[What is your age?]]&lt;&gt;"18 - 25"</f>
        <v>0</v>
      </c>
      <c r="AL1581" t="b">
        <f t="shared" si="96"/>
        <v>0</v>
      </c>
      <c r="AM1581" t="b">
        <f t="shared" si="97"/>
        <v>0</v>
      </c>
      <c r="AN1581" t="b">
        <f t="shared" si="98"/>
        <v>0</v>
      </c>
      <c r="AO1581" t="b">
        <f>OR(Table67[[#This Row],[Ineligible respondents]:[Inconsistent response on opposite question (3)]])</f>
        <v>0</v>
      </c>
      <c r="AP158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12</v>
      </c>
      <c r="AQ1581">
        <f>Table67[[#This Row],[Extreme Response]]/21</f>
        <v>0.5714285714285714</v>
      </c>
      <c r="AR1581">
        <f>_xlfn.PERCENTILE.INC(Table67[Extrem Response Ratio (ERS)],0.9)</f>
        <v>0.61904761904761907</v>
      </c>
      <c r="AS1581" t="b">
        <f>Table67[[#This Row],[Extrem Response Ratio (ERS)]]&gt;=Table67[[#This Row],[Threshold of ERS]]</f>
        <v>0</v>
      </c>
      <c r="AT1581">
        <f>COUNTIF(Table67[[#This Row],[The mechanism of digital assets is difficult to understand, which discourages me from exploring it (E.g, Tokenization, Blockchain)]:[If I want to try different ways to invest, I will explore digital assets.]], 3)</f>
        <v>5</v>
      </c>
      <c r="AU1581">
        <f>Table67[[#This Row],[Midpoint]]/21</f>
        <v>0.23809523809523808</v>
      </c>
      <c r="AV1581">
        <f>_xlfn.PERCENTILE.INC(Table67[Midpoint ratio],0.9)</f>
        <v>0.5714285714285714</v>
      </c>
      <c r="AW1581" t="b">
        <f>Table67[[#This Row],[Midpoint ratio]]&gt;=Table67[[#This Row],[Threshold of Midpoint ratio]]</f>
        <v>0</v>
      </c>
      <c r="AX1581" t="b">
        <f>OR(Table67[[#This Row],[Extreme Response Style]],Table67[[#This Row],[Mid-point Response Style]])</f>
        <v>0</v>
      </c>
      <c r="AY1581" t="b">
        <f>OR(Table67[[#This Row],[Delete? (Stage 1)]],Table67[[#This Row],[Delete? (Stage 2)]])</f>
        <v>0</v>
      </c>
      <c r="AZ1581" t="s">
        <v>84</v>
      </c>
    </row>
    <row r="1582" spans="1:52">
      <c r="A1582">
        <f t="shared" si="99"/>
        <v>1581</v>
      </c>
      <c r="B1582" s="3">
        <v>46065.882268518515</v>
      </c>
      <c r="C1582" s="3">
        <v>46065.889317129629</v>
      </c>
      <c r="D1582" t="s">
        <v>53</v>
      </c>
      <c r="G1582" t="s">
        <v>54</v>
      </c>
      <c r="H1582" t="s">
        <v>55</v>
      </c>
      <c r="I1582" t="s">
        <v>56</v>
      </c>
      <c r="J1582" t="s">
        <v>65</v>
      </c>
      <c r="K1582" t="s">
        <v>60</v>
      </c>
      <c r="L1582" t="s">
        <v>58</v>
      </c>
      <c r="M1582" t="s">
        <v>58</v>
      </c>
      <c r="N1582">
        <v>2</v>
      </c>
      <c r="O1582">
        <v>2</v>
      </c>
      <c r="P1582">
        <v>2</v>
      </c>
      <c r="Q1582">
        <v>2</v>
      </c>
      <c r="R1582">
        <v>2</v>
      </c>
      <c r="S1582">
        <v>2</v>
      </c>
      <c r="T1582">
        <v>2</v>
      </c>
      <c r="U1582">
        <v>2</v>
      </c>
      <c r="V1582">
        <v>2</v>
      </c>
      <c r="W1582">
        <v>2</v>
      </c>
      <c r="X1582">
        <v>2</v>
      </c>
      <c r="Y1582">
        <v>2</v>
      </c>
      <c r="Z1582">
        <v>3</v>
      </c>
      <c r="AA1582">
        <v>2</v>
      </c>
      <c r="AB1582">
        <v>2</v>
      </c>
      <c r="AC1582">
        <v>2</v>
      </c>
      <c r="AD1582">
        <v>3</v>
      </c>
      <c r="AE1582">
        <v>2</v>
      </c>
      <c r="AF1582">
        <v>5</v>
      </c>
      <c r="AG1582">
        <v>1</v>
      </c>
      <c r="AH1582">
        <v>4</v>
      </c>
      <c r="AI1582">
        <v>2</v>
      </c>
      <c r="AJ1582">
        <v>1</v>
      </c>
      <c r="AK1582" t="b">
        <f>Table67[[#This Row],[What is your age?]]&lt;&gt;"18 - 25"</f>
        <v>0</v>
      </c>
      <c r="AL1582" t="b">
        <f t="shared" si="96"/>
        <v>0</v>
      </c>
      <c r="AM1582" t="b">
        <f t="shared" si="97"/>
        <v>0</v>
      </c>
      <c r="AN1582" t="b">
        <f t="shared" si="98"/>
        <v>0</v>
      </c>
      <c r="AO1582" t="b">
        <f>OR(Table67[[#This Row],[Ineligible respondents]:[Inconsistent response on opposite question (3)]])</f>
        <v>0</v>
      </c>
      <c r="AP158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582">
        <f>Table67[[#This Row],[Extreme Response]]/21</f>
        <v>9.5238095238095233E-2</v>
      </c>
      <c r="AR1582">
        <f>_xlfn.PERCENTILE.INC(Table67[Extrem Response Ratio (ERS)],0.9)</f>
        <v>0.61904761904761907</v>
      </c>
      <c r="AS1582" t="b">
        <f>Table67[[#This Row],[Extrem Response Ratio (ERS)]]&gt;=Table67[[#This Row],[Threshold of ERS]]</f>
        <v>0</v>
      </c>
      <c r="AT1582">
        <f>COUNTIF(Table67[[#This Row],[The mechanism of digital assets is difficult to understand, which discourages me from exploring it (E.g, Tokenization, Blockchain)]:[If I want to try different ways to invest, I will explore digital assets.]], 3)</f>
        <v>2</v>
      </c>
      <c r="AU1582">
        <f>Table67[[#This Row],[Midpoint]]/21</f>
        <v>9.5238095238095233E-2</v>
      </c>
      <c r="AV1582">
        <f>_xlfn.PERCENTILE.INC(Table67[Midpoint ratio],0.9)</f>
        <v>0.5714285714285714</v>
      </c>
      <c r="AW1582" t="b">
        <f>Table67[[#This Row],[Midpoint ratio]]&gt;=Table67[[#This Row],[Threshold of Midpoint ratio]]</f>
        <v>0</v>
      </c>
      <c r="AX1582" t="b">
        <f>OR(Table67[[#This Row],[Extreme Response Style]],Table67[[#This Row],[Mid-point Response Style]])</f>
        <v>0</v>
      </c>
      <c r="AY1582" t="b">
        <f>OR(Table67[[#This Row],[Delete? (Stage 1)]],Table67[[#This Row],[Delete? (Stage 2)]])</f>
        <v>0</v>
      </c>
      <c r="AZ1582" t="s">
        <v>84</v>
      </c>
    </row>
    <row r="1583" spans="1:52">
      <c r="A1583">
        <f t="shared" si="99"/>
        <v>1582</v>
      </c>
      <c r="B1583" s="3">
        <v>46062.03875</v>
      </c>
      <c r="C1583" s="3">
        <v>46062.048402777778</v>
      </c>
      <c r="D1583" t="s">
        <v>53</v>
      </c>
      <c r="G1583" t="s">
        <v>54</v>
      </c>
      <c r="H1583" t="s">
        <v>55</v>
      </c>
      <c r="I1583" t="s">
        <v>75</v>
      </c>
      <c r="J1583" t="s">
        <v>62</v>
      </c>
      <c r="K1583" t="s">
        <v>62</v>
      </c>
      <c r="L1583" t="s">
        <v>58</v>
      </c>
      <c r="M1583" t="s">
        <v>61</v>
      </c>
      <c r="N1583">
        <v>5</v>
      </c>
      <c r="O1583">
        <v>2</v>
      </c>
      <c r="P1583">
        <v>5</v>
      </c>
      <c r="Q1583">
        <v>5</v>
      </c>
      <c r="R1583">
        <v>1</v>
      </c>
      <c r="S1583">
        <v>3</v>
      </c>
      <c r="T1583">
        <v>3</v>
      </c>
      <c r="U1583">
        <v>4</v>
      </c>
      <c r="V1583">
        <v>5</v>
      </c>
      <c r="W1583">
        <v>5</v>
      </c>
      <c r="X1583">
        <v>5</v>
      </c>
      <c r="Y1583">
        <v>5</v>
      </c>
      <c r="Z1583">
        <v>5</v>
      </c>
      <c r="AA1583">
        <v>5</v>
      </c>
      <c r="AB1583">
        <v>3</v>
      </c>
      <c r="AC1583">
        <v>1</v>
      </c>
      <c r="AD1583">
        <v>5</v>
      </c>
      <c r="AE1583">
        <v>5</v>
      </c>
      <c r="AF1583">
        <v>2</v>
      </c>
      <c r="AG1583">
        <v>2</v>
      </c>
      <c r="AH1583">
        <v>2</v>
      </c>
      <c r="AI1583">
        <v>4</v>
      </c>
      <c r="AJ1583">
        <v>4</v>
      </c>
      <c r="AK1583" t="b">
        <f>Table67[[#This Row],[What is your age?]]&lt;&gt;"18 - 25"</f>
        <v>0</v>
      </c>
      <c r="AL1583" t="b">
        <f t="shared" si="96"/>
        <v>0</v>
      </c>
      <c r="AM1583" t="b">
        <f t="shared" si="97"/>
        <v>1</v>
      </c>
      <c r="AN1583" t="b">
        <f t="shared" si="98"/>
        <v>0</v>
      </c>
      <c r="AO1583" t="b">
        <f>OR(Table67[[#This Row],[Ineligible respondents]:[Inconsistent response on opposite question (3)]])</f>
        <v>1</v>
      </c>
      <c r="AP158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1583">
        <f>Table67[[#This Row],[Extreme Response]]/21</f>
        <v>0.61904761904761907</v>
      </c>
      <c r="AR1583">
        <f>_xlfn.PERCENTILE.INC(Table67[Extrem Response Ratio (ERS)],0.9)</f>
        <v>0.61904761904761907</v>
      </c>
      <c r="AS1583" t="b">
        <f>Table67[[#This Row],[Extrem Response Ratio (ERS)]]&gt;=Table67[[#This Row],[Threshold of ERS]]</f>
        <v>1</v>
      </c>
      <c r="AT1583">
        <f>COUNTIF(Table67[[#This Row],[The mechanism of digital assets is difficult to understand, which discourages me from exploring it (E.g, Tokenization, Blockchain)]:[If I want to try different ways to invest, I will explore digital assets.]], 3)</f>
        <v>3</v>
      </c>
      <c r="AU1583">
        <f>Table67[[#This Row],[Midpoint]]/21</f>
        <v>0.14285714285714285</v>
      </c>
      <c r="AV1583">
        <f>_xlfn.PERCENTILE.INC(Table67[Midpoint ratio],0.9)</f>
        <v>0.5714285714285714</v>
      </c>
      <c r="AW1583" t="b">
        <f>Table67[[#This Row],[Midpoint ratio]]&gt;=Table67[[#This Row],[Threshold of Midpoint ratio]]</f>
        <v>0</v>
      </c>
      <c r="AX1583" t="b">
        <f>OR(Table67[[#This Row],[Extreme Response Style]],Table67[[#This Row],[Mid-point Response Style]])</f>
        <v>1</v>
      </c>
      <c r="AY1583" t="b">
        <f>OR(Table67[[#This Row],[Delete? (Stage 1)]],Table67[[#This Row],[Delete? (Stage 2)]])</f>
        <v>1</v>
      </c>
      <c r="AZ1583" t="s">
        <v>84</v>
      </c>
    </row>
    <row r="1584" spans="1:52">
      <c r="A1584">
        <f t="shared" si="99"/>
        <v>1583</v>
      </c>
      <c r="B1584" s="3">
        <v>46062.037731481483</v>
      </c>
      <c r="C1584" s="3">
        <v>46062.042916666665</v>
      </c>
      <c r="D1584" t="s">
        <v>53</v>
      </c>
      <c r="G1584" t="s">
        <v>54</v>
      </c>
      <c r="H1584" t="s">
        <v>55</v>
      </c>
      <c r="I1584" t="s">
        <v>69</v>
      </c>
      <c r="J1584" t="s">
        <v>57</v>
      </c>
      <c r="K1584" t="s">
        <v>62</v>
      </c>
      <c r="L1584" t="s">
        <v>61</v>
      </c>
      <c r="M1584" t="s">
        <v>61</v>
      </c>
      <c r="N1584">
        <v>4</v>
      </c>
      <c r="O1584">
        <v>3</v>
      </c>
      <c r="P1584">
        <v>3</v>
      </c>
      <c r="Q1584">
        <v>2</v>
      </c>
      <c r="R1584">
        <v>2</v>
      </c>
      <c r="S1584">
        <v>2</v>
      </c>
      <c r="T1584">
        <v>3</v>
      </c>
      <c r="U1584">
        <v>4</v>
      </c>
      <c r="V1584">
        <v>4</v>
      </c>
      <c r="W1584">
        <v>2</v>
      </c>
      <c r="X1584">
        <v>2</v>
      </c>
      <c r="Y1584">
        <v>4</v>
      </c>
      <c r="Z1584">
        <v>3</v>
      </c>
      <c r="AA1584">
        <v>2</v>
      </c>
      <c r="AB1584">
        <v>4</v>
      </c>
      <c r="AC1584">
        <v>3</v>
      </c>
      <c r="AD1584">
        <v>5</v>
      </c>
      <c r="AE1584">
        <v>4</v>
      </c>
      <c r="AF1584">
        <v>4</v>
      </c>
      <c r="AG1584">
        <v>3</v>
      </c>
      <c r="AH1584">
        <v>4</v>
      </c>
      <c r="AI1584">
        <v>2</v>
      </c>
      <c r="AJ1584">
        <v>2</v>
      </c>
      <c r="AK1584" t="b">
        <f>Table67[[#This Row],[What is your age?]]&lt;&gt;"18 - 25"</f>
        <v>0</v>
      </c>
      <c r="AL1584" t="b">
        <f t="shared" si="96"/>
        <v>0</v>
      </c>
      <c r="AM1584" t="b">
        <f t="shared" si="97"/>
        <v>0</v>
      </c>
      <c r="AN1584" t="b">
        <f t="shared" si="98"/>
        <v>1</v>
      </c>
      <c r="AO1584" t="b">
        <f>OR(Table67[[#This Row],[Ineligible respondents]:[Inconsistent response on opposite question (3)]])</f>
        <v>1</v>
      </c>
      <c r="AP158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584">
        <f>Table67[[#This Row],[Extreme Response]]/21</f>
        <v>4.7619047619047616E-2</v>
      </c>
      <c r="AR1584">
        <f>_xlfn.PERCENTILE.INC(Table67[Extrem Response Ratio (ERS)],0.9)</f>
        <v>0.61904761904761907</v>
      </c>
      <c r="AS1584" t="b">
        <f>Table67[[#This Row],[Extrem Response Ratio (ERS)]]&gt;=Table67[[#This Row],[Threshold of ERS]]</f>
        <v>0</v>
      </c>
      <c r="AT1584">
        <f>COUNTIF(Table67[[#This Row],[The mechanism of digital assets is difficult to understand, which discourages me from exploring it (E.g, Tokenization, Blockchain)]:[If I want to try different ways to invest, I will explore digital assets.]], 3)</f>
        <v>6</v>
      </c>
      <c r="AU1584">
        <f>Table67[[#This Row],[Midpoint]]/21</f>
        <v>0.2857142857142857</v>
      </c>
      <c r="AV1584">
        <f>_xlfn.PERCENTILE.INC(Table67[Midpoint ratio],0.9)</f>
        <v>0.5714285714285714</v>
      </c>
      <c r="AW1584" t="b">
        <f>Table67[[#This Row],[Midpoint ratio]]&gt;=Table67[[#This Row],[Threshold of Midpoint ratio]]</f>
        <v>0</v>
      </c>
      <c r="AX1584" t="b">
        <f>OR(Table67[[#This Row],[Extreme Response Style]],Table67[[#This Row],[Mid-point Response Style]])</f>
        <v>0</v>
      </c>
      <c r="AY1584" t="b">
        <f>OR(Table67[[#This Row],[Delete? (Stage 1)]],Table67[[#This Row],[Delete? (Stage 2)]])</f>
        <v>1</v>
      </c>
      <c r="AZ1584" t="s">
        <v>84</v>
      </c>
    </row>
    <row r="1585" spans="1:52">
      <c r="A1585">
        <f t="shared" si="99"/>
        <v>1584</v>
      </c>
      <c r="B1585" s="3">
        <v>46062.039340277777</v>
      </c>
      <c r="C1585" s="3">
        <v>46062.05096064815</v>
      </c>
      <c r="D1585" t="s">
        <v>53</v>
      </c>
      <c r="G1585" t="s">
        <v>54</v>
      </c>
      <c r="H1585" t="s">
        <v>55</v>
      </c>
      <c r="I1585" t="s">
        <v>69</v>
      </c>
      <c r="J1585" t="s">
        <v>62</v>
      </c>
      <c r="K1585" t="s">
        <v>57</v>
      </c>
      <c r="L1585" t="s">
        <v>58</v>
      </c>
      <c r="M1585" t="s">
        <v>58</v>
      </c>
      <c r="N1585">
        <v>3</v>
      </c>
      <c r="O1585">
        <v>4</v>
      </c>
      <c r="P1585">
        <v>4</v>
      </c>
      <c r="Q1585">
        <v>5</v>
      </c>
      <c r="R1585">
        <v>5</v>
      </c>
      <c r="S1585">
        <v>4</v>
      </c>
      <c r="T1585">
        <v>3</v>
      </c>
      <c r="U1585">
        <v>3</v>
      </c>
      <c r="V1585">
        <v>2</v>
      </c>
      <c r="W1585">
        <v>5</v>
      </c>
      <c r="X1585">
        <v>3</v>
      </c>
      <c r="Y1585">
        <v>4</v>
      </c>
      <c r="Z1585">
        <v>5</v>
      </c>
      <c r="AA1585">
        <v>4</v>
      </c>
      <c r="AB1585">
        <v>2</v>
      </c>
      <c r="AC1585">
        <v>3</v>
      </c>
      <c r="AD1585">
        <v>5</v>
      </c>
      <c r="AE1585">
        <v>2</v>
      </c>
      <c r="AF1585">
        <v>4</v>
      </c>
      <c r="AG1585">
        <v>3</v>
      </c>
      <c r="AH1585">
        <v>4</v>
      </c>
      <c r="AI1585">
        <v>2</v>
      </c>
      <c r="AJ1585">
        <v>2</v>
      </c>
      <c r="AK1585" t="b">
        <f>Table67[[#This Row],[What is your age?]]&lt;&gt;"18 - 25"</f>
        <v>0</v>
      </c>
      <c r="AL1585" t="b">
        <f t="shared" si="96"/>
        <v>0</v>
      </c>
      <c r="AM1585" t="b">
        <f t="shared" si="97"/>
        <v>0</v>
      </c>
      <c r="AN1585" t="b">
        <f t="shared" si="98"/>
        <v>1</v>
      </c>
      <c r="AO1585" t="b">
        <f>OR(Table67[[#This Row],[Ineligible respondents]:[Inconsistent response on opposite question (3)]])</f>
        <v>1</v>
      </c>
      <c r="AP158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585">
        <f>Table67[[#This Row],[Extreme Response]]/21</f>
        <v>0.23809523809523808</v>
      </c>
      <c r="AR1585">
        <f>_xlfn.PERCENTILE.INC(Table67[Extrem Response Ratio (ERS)],0.9)</f>
        <v>0.61904761904761907</v>
      </c>
      <c r="AS1585" t="b">
        <f>Table67[[#This Row],[Extrem Response Ratio (ERS)]]&gt;=Table67[[#This Row],[Threshold of ERS]]</f>
        <v>0</v>
      </c>
      <c r="AT1585">
        <f>COUNTIF(Table67[[#This Row],[The mechanism of digital assets is difficult to understand, which discourages me from exploring it (E.g, Tokenization, Blockchain)]:[If I want to try different ways to invest, I will explore digital assets.]], 3)</f>
        <v>6</v>
      </c>
      <c r="AU1585">
        <f>Table67[[#This Row],[Midpoint]]/21</f>
        <v>0.2857142857142857</v>
      </c>
      <c r="AV1585">
        <f>_xlfn.PERCENTILE.INC(Table67[Midpoint ratio],0.9)</f>
        <v>0.5714285714285714</v>
      </c>
      <c r="AW1585" t="b">
        <f>Table67[[#This Row],[Midpoint ratio]]&gt;=Table67[[#This Row],[Threshold of Midpoint ratio]]</f>
        <v>0</v>
      </c>
      <c r="AX1585" t="b">
        <f>OR(Table67[[#This Row],[Extreme Response Style]],Table67[[#This Row],[Mid-point Response Style]])</f>
        <v>0</v>
      </c>
      <c r="AY1585" t="b">
        <f>OR(Table67[[#This Row],[Delete? (Stage 1)]],Table67[[#This Row],[Delete? (Stage 2)]])</f>
        <v>1</v>
      </c>
      <c r="AZ1585" t="s">
        <v>84</v>
      </c>
    </row>
    <row r="1586" spans="1:52">
      <c r="A1586">
        <f t="shared" si="99"/>
        <v>1585</v>
      </c>
      <c r="B1586" s="3">
        <v>46065.828159722223</v>
      </c>
      <c r="C1586" s="3">
        <v>46065.832349537035</v>
      </c>
      <c r="D1586" t="s">
        <v>53</v>
      </c>
      <c r="G1586" t="s">
        <v>54</v>
      </c>
      <c r="H1586" t="s">
        <v>55</v>
      </c>
      <c r="I1586" t="s">
        <v>71</v>
      </c>
      <c r="J1586" t="s">
        <v>64</v>
      </c>
      <c r="K1586" t="s">
        <v>57</v>
      </c>
      <c r="L1586" t="s">
        <v>58</v>
      </c>
      <c r="M1586" t="s">
        <v>58</v>
      </c>
      <c r="N1586">
        <v>3</v>
      </c>
      <c r="O1586">
        <v>3</v>
      </c>
      <c r="P1586">
        <v>3</v>
      </c>
      <c r="Q1586">
        <v>4</v>
      </c>
      <c r="R1586">
        <v>3</v>
      </c>
      <c r="S1586">
        <v>3</v>
      </c>
      <c r="T1586">
        <v>3</v>
      </c>
      <c r="U1586">
        <v>4</v>
      </c>
      <c r="V1586">
        <v>4</v>
      </c>
      <c r="W1586">
        <v>4</v>
      </c>
      <c r="X1586">
        <v>4</v>
      </c>
      <c r="Y1586">
        <v>5</v>
      </c>
      <c r="Z1586">
        <v>4</v>
      </c>
      <c r="AA1586">
        <v>3</v>
      </c>
      <c r="AB1586">
        <v>2</v>
      </c>
      <c r="AC1586">
        <v>4</v>
      </c>
      <c r="AD1586">
        <v>4</v>
      </c>
      <c r="AE1586">
        <v>4</v>
      </c>
      <c r="AF1586">
        <v>2</v>
      </c>
      <c r="AG1586">
        <v>3</v>
      </c>
      <c r="AH1586">
        <v>3</v>
      </c>
      <c r="AI1586">
        <v>3</v>
      </c>
      <c r="AJ1586">
        <v>4</v>
      </c>
      <c r="AK1586" t="b">
        <f>Table67[[#This Row],[What is your age?]]&lt;&gt;"18 - 25"</f>
        <v>0</v>
      </c>
      <c r="AL1586" t="b">
        <f t="shared" si="96"/>
        <v>0</v>
      </c>
      <c r="AM1586" t="b">
        <f t="shared" si="97"/>
        <v>0</v>
      </c>
      <c r="AN1586" t="b">
        <f t="shared" si="98"/>
        <v>0</v>
      </c>
      <c r="AO1586" t="b">
        <f>OR(Table67[[#This Row],[Ineligible respondents]:[Inconsistent response on opposite question (3)]])</f>
        <v>0</v>
      </c>
      <c r="AP158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586">
        <f>Table67[[#This Row],[Extreme Response]]/21</f>
        <v>4.7619047619047616E-2</v>
      </c>
      <c r="AR1586">
        <f>_xlfn.PERCENTILE.INC(Table67[Extrem Response Ratio (ERS)],0.9)</f>
        <v>0.61904761904761907</v>
      </c>
      <c r="AS1586" t="b">
        <f>Table67[[#This Row],[Extrem Response Ratio (ERS)]]&gt;=Table67[[#This Row],[Threshold of ERS]]</f>
        <v>0</v>
      </c>
      <c r="AT1586">
        <f>COUNTIF(Table67[[#This Row],[The mechanism of digital assets is difficult to understand, which discourages me from exploring it (E.g, Tokenization, Blockchain)]:[If I want to try different ways to invest, I will explore digital assets.]], 3)</f>
        <v>9</v>
      </c>
      <c r="AU1586">
        <f>Table67[[#This Row],[Midpoint]]/21</f>
        <v>0.42857142857142855</v>
      </c>
      <c r="AV1586">
        <f>_xlfn.PERCENTILE.INC(Table67[Midpoint ratio],0.9)</f>
        <v>0.5714285714285714</v>
      </c>
      <c r="AW1586" t="b">
        <f>Table67[[#This Row],[Midpoint ratio]]&gt;=Table67[[#This Row],[Threshold of Midpoint ratio]]</f>
        <v>0</v>
      </c>
      <c r="AX1586" t="b">
        <f>OR(Table67[[#This Row],[Extreme Response Style]],Table67[[#This Row],[Mid-point Response Style]])</f>
        <v>0</v>
      </c>
      <c r="AY1586" t="b">
        <f>OR(Table67[[#This Row],[Delete? (Stage 1)]],Table67[[#This Row],[Delete? (Stage 2)]])</f>
        <v>0</v>
      </c>
      <c r="AZ1586" t="s">
        <v>84</v>
      </c>
    </row>
    <row r="1587" spans="1:52">
      <c r="A1587">
        <f t="shared" si="99"/>
        <v>1586</v>
      </c>
      <c r="B1587" s="3">
        <v>46065.718425925923</v>
      </c>
      <c r="C1587" s="3">
        <v>46065.718680555554</v>
      </c>
      <c r="D1587" t="s">
        <v>53</v>
      </c>
      <c r="G1587" t="s">
        <v>54</v>
      </c>
      <c r="H1587" t="s">
        <v>55</v>
      </c>
      <c r="I1587" t="s">
        <v>75</v>
      </c>
      <c r="J1587" t="s">
        <v>62</v>
      </c>
      <c r="K1587" t="s">
        <v>57</v>
      </c>
      <c r="L1587" t="s">
        <v>58</v>
      </c>
      <c r="M1587" t="s">
        <v>58</v>
      </c>
      <c r="N1587">
        <v>3</v>
      </c>
      <c r="O1587">
        <v>3</v>
      </c>
      <c r="P1587">
        <v>3</v>
      </c>
      <c r="Q1587">
        <v>2</v>
      </c>
      <c r="R1587">
        <v>3</v>
      </c>
      <c r="S1587">
        <v>2</v>
      </c>
      <c r="T1587">
        <v>3</v>
      </c>
      <c r="U1587">
        <v>3</v>
      </c>
      <c r="V1587">
        <v>4</v>
      </c>
      <c r="W1587">
        <v>3</v>
      </c>
      <c r="X1587">
        <v>3</v>
      </c>
      <c r="Y1587">
        <v>3</v>
      </c>
      <c r="Z1587">
        <v>3</v>
      </c>
      <c r="AA1587">
        <v>2</v>
      </c>
      <c r="AB1587">
        <v>2</v>
      </c>
      <c r="AC1587">
        <v>3</v>
      </c>
      <c r="AD1587">
        <v>3</v>
      </c>
      <c r="AE1587">
        <v>4</v>
      </c>
      <c r="AF1587">
        <v>5</v>
      </c>
      <c r="AG1587">
        <v>2</v>
      </c>
      <c r="AH1587">
        <v>4</v>
      </c>
      <c r="AI1587">
        <v>2</v>
      </c>
      <c r="AJ1587">
        <v>1</v>
      </c>
      <c r="AK1587" t="b">
        <f>Table67[[#This Row],[What is your age?]]&lt;&gt;"18 - 25"</f>
        <v>0</v>
      </c>
      <c r="AL1587" t="b">
        <f t="shared" si="96"/>
        <v>0</v>
      </c>
      <c r="AM1587" t="b">
        <f t="shared" si="97"/>
        <v>0</v>
      </c>
      <c r="AN1587" t="b">
        <f t="shared" si="98"/>
        <v>0</v>
      </c>
      <c r="AO1587" t="b">
        <f>OR(Table67[[#This Row],[Ineligible respondents]:[Inconsistent response on opposite question (3)]])</f>
        <v>0</v>
      </c>
      <c r="AP158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587">
        <f>Table67[[#This Row],[Extreme Response]]/21</f>
        <v>4.7619047619047616E-2</v>
      </c>
      <c r="AR1587">
        <f>_xlfn.PERCENTILE.INC(Table67[Extrem Response Ratio (ERS)],0.9)</f>
        <v>0.61904761904761907</v>
      </c>
      <c r="AS1587" t="b">
        <f>Table67[[#This Row],[Extrem Response Ratio (ERS)]]&gt;=Table67[[#This Row],[Threshold of ERS]]</f>
        <v>0</v>
      </c>
      <c r="AT1587">
        <f>COUNTIF(Table67[[#This Row],[The mechanism of digital assets is difficult to understand, which discourages me from exploring it (E.g, Tokenization, Blockchain)]:[If I want to try different ways to invest, I will explore digital assets.]], 3)</f>
        <v>12</v>
      </c>
      <c r="AU1587">
        <f>Table67[[#This Row],[Midpoint]]/21</f>
        <v>0.5714285714285714</v>
      </c>
      <c r="AV1587">
        <f>_xlfn.PERCENTILE.INC(Table67[Midpoint ratio],0.9)</f>
        <v>0.5714285714285714</v>
      </c>
      <c r="AW1587" t="b">
        <f>Table67[[#This Row],[Midpoint ratio]]&gt;=Table67[[#This Row],[Threshold of Midpoint ratio]]</f>
        <v>1</v>
      </c>
      <c r="AX1587" t="b">
        <f>OR(Table67[[#This Row],[Extreme Response Style]],Table67[[#This Row],[Mid-point Response Style]])</f>
        <v>1</v>
      </c>
      <c r="AY1587" t="b">
        <f>OR(Table67[[#This Row],[Delete? (Stage 1)]],Table67[[#This Row],[Delete? (Stage 2)]])</f>
        <v>1</v>
      </c>
      <c r="AZ1587" t="s">
        <v>84</v>
      </c>
    </row>
    <row r="1588" spans="1:52">
      <c r="A1588">
        <f t="shared" si="99"/>
        <v>1587</v>
      </c>
      <c r="B1588" s="3">
        <v>46062.052835648145</v>
      </c>
      <c r="C1588" s="3">
        <v>46062.055671296293</v>
      </c>
      <c r="D1588" t="s">
        <v>53</v>
      </c>
      <c r="G1588" t="s">
        <v>54</v>
      </c>
      <c r="H1588" t="s">
        <v>63</v>
      </c>
      <c r="I1588" t="s">
        <v>71</v>
      </c>
      <c r="J1588" t="s">
        <v>62</v>
      </c>
      <c r="K1588" t="s">
        <v>57</v>
      </c>
      <c r="L1588" t="s">
        <v>58</v>
      </c>
      <c r="M1588" t="s">
        <v>58</v>
      </c>
      <c r="N1588">
        <v>5</v>
      </c>
      <c r="O1588">
        <v>3</v>
      </c>
      <c r="P1588">
        <v>4</v>
      </c>
      <c r="Q1588">
        <v>3</v>
      </c>
      <c r="R1588">
        <v>3</v>
      </c>
      <c r="S1588">
        <v>4</v>
      </c>
      <c r="T1588">
        <v>3</v>
      </c>
      <c r="U1588">
        <v>5</v>
      </c>
      <c r="V1588">
        <v>3</v>
      </c>
      <c r="W1588">
        <v>3</v>
      </c>
      <c r="X1588">
        <v>3</v>
      </c>
      <c r="Y1588">
        <v>3</v>
      </c>
      <c r="Z1588">
        <v>3</v>
      </c>
      <c r="AA1588">
        <v>3</v>
      </c>
      <c r="AB1588">
        <v>3</v>
      </c>
      <c r="AC1588">
        <v>3</v>
      </c>
      <c r="AD1588">
        <v>3</v>
      </c>
      <c r="AE1588">
        <v>4</v>
      </c>
      <c r="AF1588">
        <v>2</v>
      </c>
      <c r="AG1588">
        <v>3</v>
      </c>
      <c r="AH1588">
        <v>2</v>
      </c>
      <c r="AI1588">
        <v>4</v>
      </c>
      <c r="AJ1588">
        <v>4</v>
      </c>
      <c r="AK1588" t="b">
        <f>Table67[[#This Row],[What is your age?]]&lt;&gt;"18 - 25"</f>
        <v>0</v>
      </c>
      <c r="AL1588" t="b">
        <f t="shared" si="96"/>
        <v>0</v>
      </c>
      <c r="AM1588" t="b">
        <f t="shared" si="97"/>
        <v>0</v>
      </c>
      <c r="AN1588" t="b">
        <f t="shared" si="98"/>
        <v>1</v>
      </c>
      <c r="AO1588" t="b">
        <f>OR(Table67[[#This Row],[Ineligible respondents]:[Inconsistent response on opposite question (3)]])</f>
        <v>1</v>
      </c>
      <c r="AP158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588">
        <f>Table67[[#This Row],[Extreme Response]]/21</f>
        <v>9.5238095238095233E-2</v>
      </c>
      <c r="AR1588">
        <f>_xlfn.PERCENTILE.INC(Table67[Extrem Response Ratio (ERS)],0.9)</f>
        <v>0.61904761904761907</v>
      </c>
      <c r="AS1588" t="b">
        <f>Table67[[#This Row],[Extrem Response Ratio (ERS)]]&gt;=Table67[[#This Row],[Threshold of ERS]]</f>
        <v>0</v>
      </c>
      <c r="AT1588">
        <f>COUNTIF(Table67[[#This Row],[The mechanism of digital assets is difficult to understand, which discourages me from exploring it (E.g, Tokenization, Blockchain)]:[If I want to try different ways to invest, I will explore digital assets.]], 3)</f>
        <v>14</v>
      </c>
      <c r="AU1588">
        <f>Table67[[#This Row],[Midpoint]]/21</f>
        <v>0.66666666666666663</v>
      </c>
      <c r="AV1588">
        <f>_xlfn.PERCENTILE.INC(Table67[Midpoint ratio],0.9)</f>
        <v>0.5714285714285714</v>
      </c>
      <c r="AW1588" t="b">
        <f>Table67[[#This Row],[Midpoint ratio]]&gt;=Table67[[#This Row],[Threshold of Midpoint ratio]]</f>
        <v>1</v>
      </c>
      <c r="AX1588" t="b">
        <f>OR(Table67[[#This Row],[Extreme Response Style]],Table67[[#This Row],[Mid-point Response Style]])</f>
        <v>1</v>
      </c>
      <c r="AY1588" t="b">
        <f>OR(Table67[[#This Row],[Delete? (Stage 1)]],Table67[[#This Row],[Delete? (Stage 2)]])</f>
        <v>1</v>
      </c>
      <c r="AZ1588" t="s">
        <v>84</v>
      </c>
    </row>
    <row r="1589" spans="1:52">
      <c r="A1589">
        <f t="shared" si="99"/>
        <v>1588</v>
      </c>
      <c r="B1589" s="3">
        <v>46065.882245370369</v>
      </c>
      <c r="C1589" s="3">
        <v>46065.888518518521</v>
      </c>
      <c r="D1589" t="s">
        <v>53</v>
      </c>
      <c r="G1589" t="s">
        <v>54</v>
      </c>
      <c r="H1589" t="s">
        <v>55</v>
      </c>
      <c r="I1589" t="s">
        <v>56</v>
      </c>
      <c r="J1589" t="s">
        <v>62</v>
      </c>
      <c r="K1589" t="s">
        <v>62</v>
      </c>
      <c r="L1589" t="s">
        <v>58</v>
      </c>
      <c r="M1589" t="s">
        <v>58</v>
      </c>
      <c r="N1589">
        <v>2</v>
      </c>
      <c r="O1589">
        <v>2</v>
      </c>
      <c r="P1589">
        <v>2</v>
      </c>
      <c r="Q1589">
        <v>3</v>
      </c>
      <c r="R1589">
        <v>2</v>
      </c>
      <c r="S1589">
        <v>1</v>
      </c>
      <c r="T1589">
        <v>1</v>
      </c>
      <c r="U1589">
        <v>3</v>
      </c>
      <c r="V1589">
        <v>4</v>
      </c>
      <c r="W1589">
        <v>4</v>
      </c>
      <c r="X1589">
        <v>3</v>
      </c>
      <c r="Y1589">
        <v>4</v>
      </c>
      <c r="Z1589">
        <v>3</v>
      </c>
      <c r="AA1589">
        <v>1</v>
      </c>
      <c r="AB1589">
        <v>1</v>
      </c>
      <c r="AC1589">
        <v>2</v>
      </c>
      <c r="AD1589">
        <v>3</v>
      </c>
      <c r="AE1589">
        <v>2</v>
      </c>
      <c r="AF1589">
        <v>3</v>
      </c>
      <c r="AG1589">
        <v>2</v>
      </c>
      <c r="AH1589">
        <v>5</v>
      </c>
      <c r="AI1589">
        <v>1</v>
      </c>
      <c r="AJ1589">
        <v>3</v>
      </c>
      <c r="AK1589" t="b">
        <f>Table67[[#This Row],[What is your age?]]&lt;&gt;"18 - 25"</f>
        <v>0</v>
      </c>
      <c r="AL1589" t="b">
        <f t="shared" si="96"/>
        <v>0</v>
      </c>
      <c r="AM1589" t="b">
        <f t="shared" si="97"/>
        <v>0</v>
      </c>
      <c r="AN1589" t="b">
        <f t="shared" si="98"/>
        <v>0</v>
      </c>
      <c r="AO1589" t="b">
        <f>OR(Table67[[#This Row],[Ineligible respondents]:[Inconsistent response on opposite question (3)]])</f>
        <v>0</v>
      </c>
      <c r="AP158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589">
        <f>Table67[[#This Row],[Extreme Response]]/21</f>
        <v>0.23809523809523808</v>
      </c>
      <c r="AR1589">
        <f>_xlfn.PERCENTILE.INC(Table67[Extrem Response Ratio (ERS)],0.9)</f>
        <v>0.61904761904761907</v>
      </c>
      <c r="AS1589" t="b">
        <f>Table67[[#This Row],[Extrem Response Ratio (ERS)]]&gt;=Table67[[#This Row],[Threshold of ERS]]</f>
        <v>0</v>
      </c>
      <c r="AT1589">
        <f>COUNTIF(Table67[[#This Row],[The mechanism of digital assets is difficult to understand, which discourages me from exploring it (E.g, Tokenization, Blockchain)]:[If I want to try different ways to invest, I will explore digital assets.]], 3)</f>
        <v>6</v>
      </c>
      <c r="AU1589">
        <f>Table67[[#This Row],[Midpoint]]/21</f>
        <v>0.2857142857142857</v>
      </c>
      <c r="AV1589">
        <f>_xlfn.PERCENTILE.INC(Table67[Midpoint ratio],0.9)</f>
        <v>0.5714285714285714</v>
      </c>
      <c r="AW1589" t="b">
        <f>Table67[[#This Row],[Midpoint ratio]]&gt;=Table67[[#This Row],[Threshold of Midpoint ratio]]</f>
        <v>0</v>
      </c>
      <c r="AX1589" t="b">
        <f>OR(Table67[[#This Row],[Extreme Response Style]],Table67[[#This Row],[Mid-point Response Style]])</f>
        <v>0</v>
      </c>
      <c r="AY1589" t="b">
        <f>OR(Table67[[#This Row],[Delete? (Stage 1)]],Table67[[#This Row],[Delete? (Stage 2)]])</f>
        <v>0</v>
      </c>
      <c r="AZ1589" t="s">
        <v>84</v>
      </c>
    </row>
    <row r="1590" spans="1:52">
      <c r="A1590">
        <f t="shared" si="99"/>
        <v>1589</v>
      </c>
      <c r="B1590" s="3">
        <v>46065.827800925923</v>
      </c>
      <c r="C1590" s="3">
        <v>46065.828796296293</v>
      </c>
      <c r="D1590" t="s">
        <v>53</v>
      </c>
      <c r="G1590" t="s">
        <v>54</v>
      </c>
      <c r="H1590" t="s">
        <v>55</v>
      </c>
      <c r="I1590" t="s">
        <v>56</v>
      </c>
      <c r="J1590" t="s">
        <v>64</v>
      </c>
      <c r="K1590" t="s">
        <v>57</v>
      </c>
      <c r="L1590" t="s">
        <v>58</v>
      </c>
      <c r="M1590" t="s">
        <v>58</v>
      </c>
      <c r="N1590">
        <v>3</v>
      </c>
      <c r="O1590">
        <v>3</v>
      </c>
      <c r="P1590">
        <v>2</v>
      </c>
      <c r="Q1590">
        <v>3</v>
      </c>
      <c r="R1590">
        <v>3</v>
      </c>
      <c r="S1590">
        <v>3</v>
      </c>
      <c r="T1590">
        <v>3</v>
      </c>
      <c r="U1590">
        <v>3</v>
      </c>
      <c r="V1590">
        <v>4</v>
      </c>
      <c r="W1590">
        <v>5</v>
      </c>
      <c r="X1590">
        <v>4</v>
      </c>
      <c r="Y1590">
        <v>4</v>
      </c>
      <c r="Z1590">
        <v>4</v>
      </c>
      <c r="AA1590">
        <v>2</v>
      </c>
      <c r="AB1590">
        <v>3</v>
      </c>
      <c r="AC1590">
        <v>3</v>
      </c>
      <c r="AD1590">
        <v>4</v>
      </c>
      <c r="AE1590">
        <v>4</v>
      </c>
      <c r="AF1590">
        <v>3</v>
      </c>
      <c r="AG1590">
        <v>3</v>
      </c>
      <c r="AH1590">
        <v>3</v>
      </c>
      <c r="AI1590">
        <v>3</v>
      </c>
      <c r="AJ1590">
        <v>3</v>
      </c>
      <c r="AK1590" t="b">
        <f>Table67[[#This Row],[What is your age?]]&lt;&gt;"18 - 25"</f>
        <v>0</v>
      </c>
      <c r="AL1590" t="b">
        <f t="shared" si="96"/>
        <v>0</v>
      </c>
      <c r="AM1590" t="b">
        <f t="shared" si="97"/>
        <v>0</v>
      </c>
      <c r="AN1590" t="b">
        <f t="shared" si="98"/>
        <v>0</v>
      </c>
      <c r="AO1590" t="b">
        <f>OR(Table67[[#This Row],[Ineligible respondents]:[Inconsistent response on opposite question (3)]])</f>
        <v>0</v>
      </c>
      <c r="AP159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590">
        <f>Table67[[#This Row],[Extreme Response]]/21</f>
        <v>4.7619047619047616E-2</v>
      </c>
      <c r="AR1590">
        <f>_xlfn.PERCENTILE.INC(Table67[Extrem Response Ratio (ERS)],0.9)</f>
        <v>0.61904761904761907</v>
      </c>
      <c r="AS1590" t="b">
        <f>Table67[[#This Row],[Extrem Response Ratio (ERS)]]&gt;=Table67[[#This Row],[Threshold of ERS]]</f>
        <v>0</v>
      </c>
      <c r="AT1590">
        <f>COUNTIF(Table67[[#This Row],[The mechanism of digital assets is difficult to understand, which discourages me from exploring it (E.g, Tokenization, Blockchain)]:[If I want to try different ways to invest, I will explore digital assets.]], 3)</f>
        <v>12</v>
      </c>
      <c r="AU1590">
        <f>Table67[[#This Row],[Midpoint]]/21</f>
        <v>0.5714285714285714</v>
      </c>
      <c r="AV1590">
        <f>_xlfn.PERCENTILE.INC(Table67[Midpoint ratio],0.9)</f>
        <v>0.5714285714285714</v>
      </c>
      <c r="AW1590" t="b">
        <f>Table67[[#This Row],[Midpoint ratio]]&gt;=Table67[[#This Row],[Threshold of Midpoint ratio]]</f>
        <v>1</v>
      </c>
      <c r="AX1590" t="b">
        <f>OR(Table67[[#This Row],[Extreme Response Style]],Table67[[#This Row],[Mid-point Response Style]])</f>
        <v>1</v>
      </c>
      <c r="AY1590" t="b">
        <f>OR(Table67[[#This Row],[Delete? (Stage 1)]],Table67[[#This Row],[Delete? (Stage 2)]])</f>
        <v>1</v>
      </c>
      <c r="AZ1590" t="s">
        <v>84</v>
      </c>
    </row>
    <row r="1591" spans="1:52">
      <c r="A1591">
        <f t="shared" si="99"/>
        <v>1590</v>
      </c>
      <c r="B1591" s="3">
        <v>46062.05259259259</v>
      </c>
      <c r="C1591" s="3">
        <v>46062.065081018518</v>
      </c>
      <c r="D1591" t="s">
        <v>53</v>
      </c>
      <c r="G1591" t="s">
        <v>54</v>
      </c>
      <c r="H1591" t="s">
        <v>63</v>
      </c>
      <c r="I1591" t="s">
        <v>56</v>
      </c>
      <c r="J1591" t="s">
        <v>57</v>
      </c>
      <c r="K1591" t="s">
        <v>57</v>
      </c>
      <c r="L1591" t="s">
        <v>58</v>
      </c>
      <c r="M1591" t="s">
        <v>61</v>
      </c>
      <c r="N1591">
        <v>3</v>
      </c>
      <c r="O1591">
        <v>2</v>
      </c>
      <c r="P1591">
        <v>4</v>
      </c>
      <c r="Q1591">
        <v>4</v>
      </c>
      <c r="R1591">
        <v>4</v>
      </c>
      <c r="S1591">
        <v>5</v>
      </c>
      <c r="T1591">
        <v>4</v>
      </c>
      <c r="U1591">
        <v>2</v>
      </c>
      <c r="V1591">
        <v>5</v>
      </c>
      <c r="W1591">
        <v>5</v>
      </c>
      <c r="X1591">
        <v>4</v>
      </c>
      <c r="Y1591">
        <v>4</v>
      </c>
      <c r="Z1591">
        <v>5</v>
      </c>
      <c r="AA1591">
        <v>5</v>
      </c>
      <c r="AB1591">
        <v>3</v>
      </c>
      <c r="AC1591">
        <v>3</v>
      </c>
      <c r="AD1591">
        <v>5</v>
      </c>
      <c r="AE1591">
        <v>4</v>
      </c>
      <c r="AF1591">
        <v>3</v>
      </c>
      <c r="AG1591">
        <v>3</v>
      </c>
      <c r="AH1591">
        <v>2</v>
      </c>
      <c r="AI1591">
        <v>4</v>
      </c>
      <c r="AJ1591">
        <v>3</v>
      </c>
      <c r="AK1591" t="b">
        <f>Table67[[#This Row],[What is your age?]]&lt;&gt;"18 - 25"</f>
        <v>0</v>
      </c>
      <c r="AL1591" t="b">
        <f t="shared" si="96"/>
        <v>0</v>
      </c>
      <c r="AM1591" t="b">
        <f t="shared" si="97"/>
        <v>0</v>
      </c>
      <c r="AN1591" t="b">
        <f t="shared" si="98"/>
        <v>1</v>
      </c>
      <c r="AO1591" t="b">
        <f>OR(Table67[[#This Row],[Ineligible respondents]:[Inconsistent response on opposite question (3)]])</f>
        <v>1</v>
      </c>
      <c r="AP159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591">
        <f>Table67[[#This Row],[Extreme Response]]/21</f>
        <v>0.2857142857142857</v>
      </c>
      <c r="AR1591">
        <f>_xlfn.PERCENTILE.INC(Table67[Extrem Response Ratio (ERS)],0.9)</f>
        <v>0.61904761904761907</v>
      </c>
      <c r="AS1591" t="b">
        <f>Table67[[#This Row],[Extrem Response Ratio (ERS)]]&gt;=Table67[[#This Row],[Threshold of ERS]]</f>
        <v>0</v>
      </c>
      <c r="AT1591">
        <f>COUNTIF(Table67[[#This Row],[The mechanism of digital assets is difficult to understand, which discourages me from exploring it (E.g, Tokenization, Blockchain)]:[If I want to try different ways to invest, I will explore digital assets.]], 3)</f>
        <v>5</v>
      </c>
      <c r="AU1591">
        <f>Table67[[#This Row],[Midpoint]]/21</f>
        <v>0.23809523809523808</v>
      </c>
      <c r="AV1591">
        <f>_xlfn.PERCENTILE.INC(Table67[Midpoint ratio],0.9)</f>
        <v>0.5714285714285714</v>
      </c>
      <c r="AW1591" t="b">
        <f>Table67[[#This Row],[Midpoint ratio]]&gt;=Table67[[#This Row],[Threshold of Midpoint ratio]]</f>
        <v>0</v>
      </c>
      <c r="AX1591" t="b">
        <f>OR(Table67[[#This Row],[Extreme Response Style]],Table67[[#This Row],[Mid-point Response Style]])</f>
        <v>0</v>
      </c>
      <c r="AY1591" t="b">
        <f>OR(Table67[[#This Row],[Delete? (Stage 1)]],Table67[[#This Row],[Delete? (Stage 2)]])</f>
        <v>1</v>
      </c>
      <c r="AZ1591" t="s">
        <v>84</v>
      </c>
    </row>
    <row r="1592" spans="1:52">
      <c r="A1592">
        <f t="shared" si="99"/>
        <v>1591</v>
      </c>
      <c r="B1592" s="3">
        <v>46065.882291666669</v>
      </c>
      <c r="C1592" s="3">
        <v>46065.89534722222</v>
      </c>
      <c r="D1592" t="s">
        <v>53</v>
      </c>
      <c r="G1592" t="s">
        <v>54</v>
      </c>
      <c r="H1592" t="s">
        <v>55</v>
      </c>
      <c r="I1592" t="s">
        <v>56</v>
      </c>
      <c r="J1592" t="s">
        <v>62</v>
      </c>
      <c r="K1592" t="s">
        <v>62</v>
      </c>
      <c r="L1592" t="s">
        <v>58</v>
      </c>
      <c r="M1592" t="s">
        <v>58</v>
      </c>
      <c r="N1592">
        <v>1</v>
      </c>
      <c r="O1592">
        <v>2</v>
      </c>
      <c r="P1592">
        <v>2</v>
      </c>
      <c r="Q1592">
        <v>2</v>
      </c>
      <c r="R1592">
        <v>2</v>
      </c>
      <c r="S1592">
        <v>2</v>
      </c>
      <c r="T1592">
        <v>1</v>
      </c>
      <c r="U1592">
        <v>2</v>
      </c>
      <c r="V1592">
        <v>3</v>
      </c>
      <c r="W1592">
        <v>3</v>
      </c>
      <c r="X1592">
        <v>2</v>
      </c>
      <c r="Y1592">
        <v>3</v>
      </c>
      <c r="Z1592">
        <v>2</v>
      </c>
      <c r="AA1592">
        <v>1</v>
      </c>
      <c r="AB1592">
        <v>1</v>
      </c>
      <c r="AC1592">
        <v>2</v>
      </c>
      <c r="AD1592">
        <v>2</v>
      </c>
      <c r="AE1592">
        <v>2</v>
      </c>
      <c r="AF1592">
        <v>5</v>
      </c>
      <c r="AG1592">
        <v>1</v>
      </c>
      <c r="AH1592">
        <v>5</v>
      </c>
      <c r="AI1592">
        <v>1</v>
      </c>
      <c r="AJ1592">
        <v>1</v>
      </c>
      <c r="AK1592" t="b">
        <f>Table67[[#This Row],[What is your age?]]&lt;&gt;"18 - 25"</f>
        <v>0</v>
      </c>
      <c r="AL1592" t="b">
        <f t="shared" si="96"/>
        <v>0</v>
      </c>
      <c r="AM1592" t="b">
        <f t="shared" si="97"/>
        <v>0</v>
      </c>
      <c r="AN1592" t="b">
        <f t="shared" si="98"/>
        <v>0</v>
      </c>
      <c r="AO1592" t="b">
        <f>OR(Table67[[#This Row],[Ineligible respondents]:[Inconsistent response on opposite question (3)]])</f>
        <v>0</v>
      </c>
      <c r="AP159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592">
        <f>Table67[[#This Row],[Extreme Response]]/21</f>
        <v>0.33333333333333331</v>
      </c>
      <c r="AR1592">
        <f>_xlfn.PERCENTILE.INC(Table67[Extrem Response Ratio (ERS)],0.9)</f>
        <v>0.61904761904761907</v>
      </c>
      <c r="AS1592" t="b">
        <f>Table67[[#This Row],[Extrem Response Ratio (ERS)]]&gt;=Table67[[#This Row],[Threshold of ERS]]</f>
        <v>0</v>
      </c>
      <c r="AT1592">
        <f>COUNTIF(Table67[[#This Row],[The mechanism of digital assets is difficult to understand, which discourages me from exploring it (E.g, Tokenization, Blockchain)]:[If I want to try different ways to invest, I will explore digital assets.]], 3)</f>
        <v>3</v>
      </c>
      <c r="AU1592">
        <f>Table67[[#This Row],[Midpoint]]/21</f>
        <v>0.14285714285714285</v>
      </c>
      <c r="AV1592">
        <f>_xlfn.PERCENTILE.INC(Table67[Midpoint ratio],0.9)</f>
        <v>0.5714285714285714</v>
      </c>
      <c r="AW1592" t="b">
        <f>Table67[[#This Row],[Midpoint ratio]]&gt;=Table67[[#This Row],[Threshold of Midpoint ratio]]</f>
        <v>0</v>
      </c>
      <c r="AX1592" t="b">
        <f>OR(Table67[[#This Row],[Extreme Response Style]],Table67[[#This Row],[Mid-point Response Style]])</f>
        <v>0</v>
      </c>
      <c r="AY1592" t="b">
        <f>OR(Table67[[#This Row],[Delete? (Stage 1)]],Table67[[#This Row],[Delete? (Stage 2)]])</f>
        <v>0</v>
      </c>
      <c r="AZ1592" t="s">
        <v>84</v>
      </c>
    </row>
    <row r="1593" spans="1:52">
      <c r="A1593">
        <f t="shared" si="99"/>
        <v>1592</v>
      </c>
      <c r="B1593" s="3">
        <v>46065.728761574072</v>
      </c>
      <c r="C1593" s="3">
        <v>46065.729039351849</v>
      </c>
      <c r="D1593" t="s">
        <v>53</v>
      </c>
      <c r="G1593" t="s">
        <v>54</v>
      </c>
      <c r="H1593" t="s">
        <v>55</v>
      </c>
      <c r="I1593" t="s">
        <v>56</v>
      </c>
      <c r="J1593" t="s">
        <v>62</v>
      </c>
      <c r="K1593" t="s">
        <v>62</v>
      </c>
      <c r="L1593" t="s">
        <v>58</v>
      </c>
      <c r="M1593" t="s">
        <v>58</v>
      </c>
      <c r="N1593">
        <v>2</v>
      </c>
      <c r="O1593">
        <v>3</v>
      </c>
      <c r="P1593">
        <v>4</v>
      </c>
      <c r="Q1593">
        <v>4</v>
      </c>
      <c r="R1593">
        <v>2</v>
      </c>
      <c r="S1593">
        <v>2</v>
      </c>
      <c r="T1593">
        <v>2</v>
      </c>
      <c r="U1593">
        <v>4</v>
      </c>
      <c r="V1593">
        <v>3</v>
      </c>
      <c r="W1593">
        <v>3</v>
      </c>
      <c r="X1593">
        <v>2</v>
      </c>
      <c r="Y1593">
        <v>4</v>
      </c>
      <c r="Z1593">
        <v>3</v>
      </c>
      <c r="AA1593">
        <v>3</v>
      </c>
      <c r="AB1593">
        <v>3</v>
      </c>
      <c r="AC1593">
        <v>4</v>
      </c>
      <c r="AD1593">
        <v>3</v>
      </c>
      <c r="AE1593">
        <v>3</v>
      </c>
      <c r="AF1593">
        <v>2</v>
      </c>
      <c r="AG1593">
        <v>4</v>
      </c>
      <c r="AH1593">
        <v>1</v>
      </c>
      <c r="AI1593">
        <v>5</v>
      </c>
      <c r="AJ1593">
        <v>4</v>
      </c>
      <c r="AK1593" t="b">
        <f>Table67[[#This Row],[What is your age?]]&lt;&gt;"18 - 25"</f>
        <v>0</v>
      </c>
      <c r="AL1593" t="b">
        <f t="shared" si="96"/>
        <v>0</v>
      </c>
      <c r="AM1593" t="b">
        <f t="shared" si="97"/>
        <v>0</v>
      </c>
      <c r="AN1593" t="b">
        <f t="shared" si="98"/>
        <v>0</v>
      </c>
      <c r="AO1593" t="b">
        <f>OR(Table67[[#This Row],[Ineligible respondents]:[Inconsistent response on opposite question (3)]])</f>
        <v>0</v>
      </c>
      <c r="AP159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593">
        <f>Table67[[#This Row],[Extreme Response]]/21</f>
        <v>4.7619047619047616E-2</v>
      </c>
      <c r="AR1593">
        <f>_xlfn.PERCENTILE.INC(Table67[Extrem Response Ratio (ERS)],0.9)</f>
        <v>0.61904761904761907</v>
      </c>
      <c r="AS1593" t="b">
        <f>Table67[[#This Row],[Extrem Response Ratio (ERS)]]&gt;=Table67[[#This Row],[Threshold of ERS]]</f>
        <v>0</v>
      </c>
      <c r="AT1593">
        <f>COUNTIF(Table67[[#This Row],[The mechanism of digital assets is difficult to understand, which discourages me from exploring it (E.g, Tokenization, Blockchain)]:[If I want to try different ways to invest, I will explore digital assets.]], 3)</f>
        <v>8</v>
      </c>
      <c r="AU1593">
        <f>Table67[[#This Row],[Midpoint]]/21</f>
        <v>0.38095238095238093</v>
      </c>
      <c r="AV1593">
        <f>_xlfn.PERCENTILE.INC(Table67[Midpoint ratio],0.9)</f>
        <v>0.5714285714285714</v>
      </c>
      <c r="AW1593" t="b">
        <f>Table67[[#This Row],[Midpoint ratio]]&gt;=Table67[[#This Row],[Threshold of Midpoint ratio]]</f>
        <v>0</v>
      </c>
      <c r="AX1593" t="b">
        <f>OR(Table67[[#This Row],[Extreme Response Style]],Table67[[#This Row],[Mid-point Response Style]])</f>
        <v>0</v>
      </c>
      <c r="AY1593" t="b">
        <f>OR(Table67[[#This Row],[Delete? (Stage 1)]],Table67[[#This Row],[Delete? (Stage 2)]])</f>
        <v>0</v>
      </c>
      <c r="AZ1593" t="s">
        <v>84</v>
      </c>
    </row>
    <row r="1594" spans="1:52">
      <c r="A1594">
        <f t="shared" si="99"/>
        <v>1593</v>
      </c>
      <c r="B1594" s="3">
        <v>46065.769131944442</v>
      </c>
      <c r="C1594" s="3">
        <v>46065.770567129628</v>
      </c>
      <c r="D1594" t="s">
        <v>53</v>
      </c>
      <c r="G1594" t="s">
        <v>54</v>
      </c>
      <c r="H1594" t="s">
        <v>55</v>
      </c>
      <c r="I1594" t="s">
        <v>56</v>
      </c>
      <c r="J1594" t="s">
        <v>60</v>
      </c>
      <c r="K1594" t="s">
        <v>68</v>
      </c>
      <c r="L1594" t="s">
        <v>58</v>
      </c>
      <c r="M1594" t="s">
        <v>58</v>
      </c>
      <c r="N1594">
        <v>5</v>
      </c>
      <c r="O1594">
        <v>5</v>
      </c>
      <c r="P1594">
        <v>4</v>
      </c>
      <c r="Q1594">
        <v>4</v>
      </c>
      <c r="R1594">
        <v>4</v>
      </c>
      <c r="S1594">
        <v>3</v>
      </c>
      <c r="T1594">
        <v>3</v>
      </c>
      <c r="U1594">
        <v>4</v>
      </c>
      <c r="V1594">
        <v>5</v>
      </c>
      <c r="W1594">
        <v>5</v>
      </c>
      <c r="X1594">
        <v>4</v>
      </c>
      <c r="Y1594">
        <v>4</v>
      </c>
      <c r="Z1594">
        <v>3</v>
      </c>
      <c r="AA1594">
        <v>4</v>
      </c>
      <c r="AB1594">
        <v>3</v>
      </c>
      <c r="AC1594">
        <v>5</v>
      </c>
      <c r="AD1594">
        <v>4</v>
      </c>
      <c r="AE1594">
        <v>4</v>
      </c>
      <c r="AF1594">
        <v>2</v>
      </c>
      <c r="AG1594">
        <v>3</v>
      </c>
      <c r="AH1594">
        <v>3</v>
      </c>
      <c r="AI1594">
        <v>3</v>
      </c>
      <c r="AJ1594">
        <v>4</v>
      </c>
      <c r="AK1594" t="b">
        <f>Table67[[#This Row],[What is your age?]]&lt;&gt;"18 - 25"</f>
        <v>0</v>
      </c>
      <c r="AL1594" t="b">
        <f t="shared" si="96"/>
        <v>0</v>
      </c>
      <c r="AM1594" t="b">
        <f t="shared" si="97"/>
        <v>0</v>
      </c>
      <c r="AN1594" t="b">
        <f t="shared" si="98"/>
        <v>0</v>
      </c>
      <c r="AO1594" t="b">
        <f>OR(Table67[[#This Row],[Ineligible respondents]:[Inconsistent response on opposite question (3)]])</f>
        <v>0</v>
      </c>
      <c r="AP159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594">
        <f>Table67[[#This Row],[Extreme Response]]/21</f>
        <v>0.23809523809523808</v>
      </c>
      <c r="AR1594">
        <f>_xlfn.PERCENTILE.INC(Table67[Extrem Response Ratio (ERS)],0.9)</f>
        <v>0.61904761904761907</v>
      </c>
      <c r="AS1594" t="b">
        <f>Table67[[#This Row],[Extrem Response Ratio (ERS)]]&gt;=Table67[[#This Row],[Threshold of ERS]]</f>
        <v>0</v>
      </c>
      <c r="AT1594">
        <f>COUNTIF(Table67[[#This Row],[The mechanism of digital assets is difficult to understand, which discourages me from exploring it (E.g, Tokenization, Blockchain)]:[If I want to try different ways to invest, I will explore digital assets.]], 3)</f>
        <v>6</v>
      </c>
      <c r="AU1594">
        <f>Table67[[#This Row],[Midpoint]]/21</f>
        <v>0.2857142857142857</v>
      </c>
      <c r="AV1594">
        <f>_xlfn.PERCENTILE.INC(Table67[Midpoint ratio],0.9)</f>
        <v>0.5714285714285714</v>
      </c>
      <c r="AW1594" t="b">
        <f>Table67[[#This Row],[Midpoint ratio]]&gt;=Table67[[#This Row],[Threshold of Midpoint ratio]]</f>
        <v>0</v>
      </c>
      <c r="AX1594" t="b">
        <f>OR(Table67[[#This Row],[Extreme Response Style]],Table67[[#This Row],[Mid-point Response Style]])</f>
        <v>0</v>
      </c>
      <c r="AY1594" t="b">
        <f>OR(Table67[[#This Row],[Delete? (Stage 1)]],Table67[[#This Row],[Delete? (Stage 2)]])</f>
        <v>0</v>
      </c>
      <c r="AZ1594" t="s">
        <v>84</v>
      </c>
    </row>
    <row r="1595" spans="1:52">
      <c r="A1595">
        <f t="shared" si="99"/>
        <v>1594</v>
      </c>
      <c r="B1595" s="3">
        <v>46062.040011574078</v>
      </c>
      <c r="C1595" s="3">
        <v>46062.047442129631</v>
      </c>
      <c r="D1595" t="s">
        <v>53</v>
      </c>
      <c r="G1595" t="s">
        <v>54</v>
      </c>
      <c r="H1595" t="s">
        <v>55</v>
      </c>
      <c r="I1595" t="s">
        <v>82</v>
      </c>
      <c r="J1595" t="s">
        <v>62</v>
      </c>
      <c r="K1595" t="s">
        <v>57</v>
      </c>
      <c r="L1595" t="s">
        <v>58</v>
      </c>
      <c r="M1595" t="s">
        <v>58</v>
      </c>
      <c r="N1595">
        <v>5</v>
      </c>
      <c r="O1595">
        <v>2</v>
      </c>
      <c r="P1595">
        <v>3</v>
      </c>
      <c r="Q1595">
        <v>3</v>
      </c>
      <c r="R1595">
        <v>2</v>
      </c>
      <c r="S1595">
        <v>4</v>
      </c>
      <c r="T1595">
        <v>3</v>
      </c>
      <c r="U1595">
        <v>4</v>
      </c>
      <c r="V1595">
        <v>4</v>
      </c>
      <c r="W1595">
        <v>4</v>
      </c>
      <c r="X1595">
        <v>4</v>
      </c>
      <c r="Y1595">
        <v>4</v>
      </c>
      <c r="Z1595">
        <v>4</v>
      </c>
      <c r="AA1595">
        <v>4</v>
      </c>
      <c r="AB1595">
        <v>4</v>
      </c>
      <c r="AC1595">
        <v>3</v>
      </c>
      <c r="AD1595">
        <v>4</v>
      </c>
      <c r="AE1595">
        <v>3</v>
      </c>
      <c r="AF1595">
        <v>3</v>
      </c>
      <c r="AG1595">
        <v>3</v>
      </c>
      <c r="AH1595">
        <v>4</v>
      </c>
      <c r="AI1595">
        <v>2</v>
      </c>
      <c r="AJ1595">
        <v>3</v>
      </c>
      <c r="AK1595" t="b">
        <f>Table67[[#This Row],[What is your age?]]&lt;&gt;"18 - 25"</f>
        <v>0</v>
      </c>
      <c r="AL1595" t="b">
        <f t="shared" si="96"/>
        <v>0</v>
      </c>
      <c r="AM1595" t="b">
        <f t="shared" si="97"/>
        <v>0</v>
      </c>
      <c r="AN1595" t="b">
        <f t="shared" si="98"/>
        <v>1</v>
      </c>
      <c r="AO1595" t="b">
        <f>OR(Table67[[#This Row],[Ineligible respondents]:[Inconsistent response on opposite question (3)]])</f>
        <v>1</v>
      </c>
      <c r="AP159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595">
        <f>Table67[[#This Row],[Extreme Response]]/21</f>
        <v>4.7619047619047616E-2</v>
      </c>
      <c r="AR1595">
        <f>_xlfn.PERCENTILE.INC(Table67[Extrem Response Ratio (ERS)],0.9)</f>
        <v>0.61904761904761907</v>
      </c>
      <c r="AS1595" t="b">
        <f>Table67[[#This Row],[Extrem Response Ratio (ERS)]]&gt;=Table67[[#This Row],[Threshold of ERS]]</f>
        <v>0</v>
      </c>
      <c r="AT1595">
        <f>COUNTIF(Table67[[#This Row],[The mechanism of digital assets is difficult to understand, which discourages me from exploring it (E.g, Tokenization, Blockchain)]:[If I want to try different ways to invest, I will explore digital assets.]], 3)</f>
        <v>7</v>
      </c>
      <c r="AU1595">
        <f>Table67[[#This Row],[Midpoint]]/21</f>
        <v>0.33333333333333331</v>
      </c>
      <c r="AV1595">
        <f>_xlfn.PERCENTILE.INC(Table67[Midpoint ratio],0.9)</f>
        <v>0.5714285714285714</v>
      </c>
      <c r="AW1595" t="b">
        <f>Table67[[#This Row],[Midpoint ratio]]&gt;=Table67[[#This Row],[Threshold of Midpoint ratio]]</f>
        <v>0</v>
      </c>
      <c r="AX1595" t="b">
        <f>OR(Table67[[#This Row],[Extreme Response Style]],Table67[[#This Row],[Mid-point Response Style]])</f>
        <v>0</v>
      </c>
      <c r="AY1595" t="b">
        <f>OR(Table67[[#This Row],[Delete? (Stage 1)]],Table67[[#This Row],[Delete? (Stage 2)]])</f>
        <v>1</v>
      </c>
      <c r="AZ1595" t="s">
        <v>84</v>
      </c>
    </row>
    <row r="1596" spans="1:52">
      <c r="A1596">
        <f t="shared" si="99"/>
        <v>1595</v>
      </c>
      <c r="B1596" s="3">
        <v>46065.842152777775</v>
      </c>
      <c r="C1596" s="3">
        <v>46065.848738425928</v>
      </c>
      <c r="D1596" t="s">
        <v>53</v>
      </c>
      <c r="G1596" t="s">
        <v>54</v>
      </c>
      <c r="H1596" t="s">
        <v>55</v>
      </c>
      <c r="I1596" t="s">
        <v>75</v>
      </c>
      <c r="J1596" t="s">
        <v>64</v>
      </c>
      <c r="K1596" t="s">
        <v>68</v>
      </c>
      <c r="L1596" t="s">
        <v>61</v>
      </c>
      <c r="M1596" t="s">
        <v>61</v>
      </c>
      <c r="N1596">
        <v>4</v>
      </c>
      <c r="O1596">
        <v>5</v>
      </c>
      <c r="P1596">
        <v>2</v>
      </c>
      <c r="Q1596">
        <v>2</v>
      </c>
      <c r="R1596">
        <v>4</v>
      </c>
      <c r="S1596">
        <v>3</v>
      </c>
      <c r="T1596">
        <v>4</v>
      </c>
      <c r="U1596">
        <v>2</v>
      </c>
      <c r="V1596">
        <v>4</v>
      </c>
      <c r="W1596">
        <v>4</v>
      </c>
      <c r="X1596">
        <v>4</v>
      </c>
      <c r="Y1596">
        <v>4</v>
      </c>
      <c r="Z1596">
        <v>5</v>
      </c>
      <c r="AA1596">
        <v>3</v>
      </c>
      <c r="AB1596">
        <v>3</v>
      </c>
      <c r="AC1596">
        <v>2</v>
      </c>
      <c r="AD1596">
        <v>5</v>
      </c>
      <c r="AE1596">
        <v>5</v>
      </c>
      <c r="AF1596">
        <v>5</v>
      </c>
      <c r="AG1596">
        <v>1</v>
      </c>
      <c r="AH1596">
        <v>4</v>
      </c>
      <c r="AI1596">
        <v>2</v>
      </c>
      <c r="AJ1596">
        <v>1</v>
      </c>
      <c r="AK1596" t="b">
        <f>Table67[[#This Row],[What is your age?]]&lt;&gt;"18 - 25"</f>
        <v>0</v>
      </c>
      <c r="AL1596" t="b">
        <f t="shared" si="96"/>
        <v>0</v>
      </c>
      <c r="AM1596" t="b">
        <f t="shared" si="97"/>
        <v>0</v>
      </c>
      <c r="AN1596" t="b">
        <f t="shared" si="98"/>
        <v>0</v>
      </c>
      <c r="AO1596" t="b">
        <f>OR(Table67[[#This Row],[Ineligible respondents]:[Inconsistent response on opposite question (3)]])</f>
        <v>0</v>
      </c>
      <c r="AP159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596">
        <f>Table67[[#This Row],[Extreme Response]]/21</f>
        <v>0.2857142857142857</v>
      </c>
      <c r="AR1596">
        <f>_xlfn.PERCENTILE.INC(Table67[Extrem Response Ratio (ERS)],0.9)</f>
        <v>0.61904761904761907</v>
      </c>
      <c r="AS1596" t="b">
        <f>Table67[[#This Row],[Extrem Response Ratio (ERS)]]&gt;=Table67[[#This Row],[Threshold of ERS]]</f>
        <v>0</v>
      </c>
      <c r="AT1596">
        <f>COUNTIF(Table67[[#This Row],[The mechanism of digital assets is difficult to understand, which discourages me from exploring it (E.g, Tokenization, Blockchain)]:[If I want to try different ways to invest, I will explore digital assets.]], 3)</f>
        <v>3</v>
      </c>
      <c r="AU1596">
        <f>Table67[[#This Row],[Midpoint]]/21</f>
        <v>0.14285714285714285</v>
      </c>
      <c r="AV1596">
        <f>_xlfn.PERCENTILE.INC(Table67[Midpoint ratio],0.9)</f>
        <v>0.5714285714285714</v>
      </c>
      <c r="AW1596" t="b">
        <f>Table67[[#This Row],[Midpoint ratio]]&gt;=Table67[[#This Row],[Threshold of Midpoint ratio]]</f>
        <v>0</v>
      </c>
      <c r="AX1596" t="b">
        <f>OR(Table67[[#This Row],[Extreme Response Style]],Table67[[#This Row],[Mid-point Response Style]])</f>
        <v>0</v>
      </c>
      <c r="AY1596" t="b">
        <f>OR(Table67[[#This Row],[Delete? (Stage 1)]],Table67[[#This Row],[Delete? (Stage 2)]])</f>
        <v>0</v>
      </c>
      <c r="AZ1596" t="s">
        <v>84</v>
      </c>
    </row>
    <row r="1597" spans="1:52">
      <c r="A1597">
        <f t="shared" si="99"/>
        <v>1596</v>
      </c>
      <c r="B1597" s="3">
        <v>46062.040092592593</v>
      </c>
      <c r="C1597" s="3">
        <v>46062.042291666665</v>
      </c>
      <c r="D1597" t="s">
        <v>53</v>
      </c>
      <c r="G1597" t="s">
        <v>54</v>
      </c>
      <c r="H1597" t="s">
        <v>55</v>
      </c>
      <c r="I1597" t="s">
        <v>71</v>
      </c>
      <c r="J1597" t="s">
        <v>62</v>
      </c>
      <c r="K1597" t="s">
        <v>57</v>
      </c>
      <c r="L1597" t="s">
        <v>58</v>
      </c>
      <c r="M1597" t="s">
        <v>58</v>
      </c>
      <c r="N1597">
        <v>3</v>
      </c>
      <c r="O1597">
        <v>2</v>
      </c>
      <c r="P1597">
        <v>4</v>
      </c>
      <c r="Q1597">
        <v>4</v>
      </c>
      <c r="R1597">
        <v>4</v>
      </c>
      <c r="S1597">
        <v>3</v>
      </c>
      <c r="T1597">
        <v>2</v>
      </c>
      <c r="U1597">
        <v>2</v>
      </c>
      <c r="V1597">
        <v>4</v>
      </c>
      <c r="W1597">
        <v>2</v>
      </c>
      <c r="X1597">
        <v>4</v>
      </c>
      <c r="Y1597">
        <v>4</v>
      </c>
      <c r="Z1597">
        <v>3</v>
      </c>
      <c r="AA1597">
        <v>2</v>
      </c>
      <c r="AB1597">
        <v>4</v>
      </c>
      <c r="AC1597">
        <v>4</v>
      </c>
      <c r="AD1597">
        <v>3</v>
      </c>
      <c r="AE1597">
        <v>4</v>
      </c>
      <c r="AF1597">
        <v>4</v>
      </c>
      <c r="AG1597">
        <v>4</v>
      </c>
      <c r="AH1597">
        <v>4</v>
      </c>
      <c r="AI1597">
        <v>2</v>
      </c>
      <c r="AJ1597">
        <v>2</v>
      </c>
      <c r="AK1597" t="b">
        <f>Table67[[#This Row],[What is your age?]]&lt;&gt;"18 - 25"</f>
        <v>0</v>
      </c>
      <c r="AL1597" t="b">
        <f t="shared" si="96"/>
        <v>0</v>
      </c>
      <c r="AM1597" t="b">
        <f t="shared" si="97"/>
        <v>1</v>
      </c>
      <c r="AN1597" t="b">
        <f t="shared" si="98"/>
        <v>0</v>
      </c>
      <c r="AO1597" t="b">
        <f>OR(Table67[[#This Row],[Ineligible respondents]:[Inconsistent response on opposite question (3)]])</f>
        <v>1</v>
      </c>
      <c r="AP159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597">
        <f>Table67[[#This Row],[Extreme Response]]/21</f>
        <v>0</v>
      </c>
      <c r="AR1597">
        <f>_xlfn.PERCENTILE.INC(Table67[Extrem Response Ratio (ERS)],0.9)</f>
        <v>0.61904761904761907</v>
      </c>
      <c r="AS1597" t="b">
        <f>Table67[[#This Row],[Extrem Response Ratio (ERS)]]&gt;=Table67[[#This Row],[Threshold of ERS]]</f>
        <v>0</v>
      </c>
      <c r="AT1597">
        <f>COUNTIF(Table67[[#This Row],[The mechanism of digital assets is difficult to understand, which discourages me from exploring it (E.g, Tokenization, Blockchain)]:[If I want to try different ways to invest, I will explore digital assets.]], 3)</f>
        <v>4</v>
      </c>
      <c r="AU1597">
        <f>Table67[[#This Row],[Midpoint]]/21</f>
        <v>0.19047619047619047</v>
      </c>
      <c r="AV1597">
        <f>_xlfn.PERCENTILE.INC(Table67[Midpoint ratio],0.9)</f>
        <v>0.5714285714285714</v>
      </c>
      <c r="AW1597" t="b">
        <f>Table67[[#This Row],[Midpoint ratio]]&gt;=Table67[[#This Row],[Threshold of Midpoint ratio]]</f>
        <v>0</v>
      </c>
      <c r="AX1597" t="b">
        <f>OR(Table67[[#This Row],[Extreme Response Style]],Table67[[#This Row],[Mid-point Response Style]])</f>
        <v>0</v>
      </c>
      <c r="AY1597" t="b">
        <f>OR(Table67[[#This Row],[Delete? (Stage 1)]],Table67[[#This Row],[Delete? (Stage 2)]])</f>
        <v>1</v>
      </c>
      <c r="AZ1597" t="s">
        <v>84</v>
      </c>
    </row>
    <row r="1598" spans="1:52">
      <c r="A1598">
        <f t="shared" si="99"/>
        <v>1597</v>
      </c>
      <c r="B1598" s="3">
        <v>46065.890694444446</v>
      </c>
      <c r="C1598" s="3">
        <v>46065.894907407404</v>
      </c>
      <c r="D1598" t="s">
        <v>53</v>
      </c>
      <c r="G1598" t="s">
        <v>54</v>
      </c>
      <c r="H1598" t="s">
        <v>63</v>
      </c>
      <c r="I1598" t="s">
        <v>56</v>
      </c>
      <c r="J1598" t="s">
        <v>72</v>
      </c>
      <c r="K1598" t="s">
        <v>62</v>
      </c>
      <c r="L1598" t="s">
        <v>61</v>
      </c>
      <c r="M1598" t="s">
        <v>61</v>
      </c>
      <c r="N1598">
        <v>4</v>
      </c>
      <c r="O1598">
        <v>3</v>
      </c>
      <c r="P1598">
        <v>2</v>
      </c>
      <c r="Q1598">
        <v>2</v>
      </c>
      <c r="R1598">
        <v>3</v>
      </c>
      <c r="S1598">
        <v>3</v>
      </c>
      <c r="T1598">
        <v>4</v>
      </c>
      <c r="U1598">
        <v>1</v>
      </c>
      <c r="V1598">
        <v>4</v>
      </c>
      <c r="W1598">
        <v>4</v>
      </c>
      <c r="X1598">
        <v>3</v>
      </c>
      <c r="Y1598">
        <v>4</v>
      </c>
      <c r="Z1598">
        <v>3</v>
      </c>
      <c r="AA1598">
        <v>4</v>
      </c>
      <c r="AB1598">
        <v>3</v>
      </c>
      <c r="AC1598">
        <v>2</v>
      </c>
      <c r="AD1598">
        <v>3</v>
      </c>
      <c r="AE1598">
        <v>3</v>
      </c>
      <c r="AF1598">
        <v>3</v>
      </c>
      <c r="AG1598">
        <v>2</v>
      </c>
      <c r="AH1598">
        <v>4</v>
      </c>
      <c r="AI1598">
        <v>2</v>
      </c>
      <c r="AJ1598">
        <v>3</v>
      </c>
      <c r="AK1598" t="b">
        <f>Table67[[#This Row],[What is your age?]]&lt;&gt;"18 - 25"</f>
        <v>0</v>
      </c>
      <c r="AL1598" t="b">
        <f t="shared" si="96"/>
        <v>0</v>
      </c>
      <c r="AM1598" t="b">
        <f t="shared" si="97"/>
        <v>0</v>
      </c>
      <c r="AN1598" t="b">
        <f t="shared" si="98"/>
        <v>0</v>
      </c>
      <c r="AO1598" t="b">
        <f>OR(Table67[[#This Row],[Ineligible respondents]:[Inconsistent response on opposite question (3)]])</f>
        <v>0</v>
      </c>
      <c r="AP159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598">
        <f>Table67[[#This Row],[Extreme Response]]/21</f>
        <v>4.7619047619047616E-2</v>
      </c>
      <c r="AR1598">
        <f>_xlfn.PERCENTILE.INC(Table67[Extrem Response Ratio (ERS)],0.9)</f>
        <v>0.61904761904761907</v>
      </c>
      <c r="AS1598" t="b">
        <f>Table67[[#This Row],[Extrem Response Ratio (ERS)]]&gt;=Table67[[#This Row],[Threshold of ERS]]</f>
        <v>0</v>
      </c>
      <c r="AT1598">
        <f>COUNTIF(Table67[[#This Row],[The mechanism of digital assets is difficult to understand, which discourages me from exploring it (E.g, Tokenization, Blockchain)]:[If I want to try different ways to invest, I will explore digital assets.]], 3)</f>
        <v>9</v>
      </c>
      <c r="AU1598">
        <f>Table67[[#This Row],[Midpoint]]/21</f>
        <v>0.42857142857142855</v>
      </c>
      <c r="AV1598">
        <f>_xlfn.PERCENTILE.INC(Table67[Midpoint ratio],0.9)</f>
        <v>0.5714285714285714</v>
      </c>
      <c r="AW1598" t="b">
        <f>Table67[[#This Row],[Midpoint ratio]]&gt;=Table67[[#This Row],[Threshold of Midpoint ratio]]</f>
        <v>0</v>
      </c>
      <c r="AX1598" t="b">
        <f>OR(Table67[[#This Row],[Extreme Response Style]],Table67[[#This Row],[Mid-point Response Style]])</f>
        <v>0</v>
      </c>
      <c r="AY1598" t="b">
        <f>OR(Table67[[#This Row],[Delete? (Stage 1)]],Table67[[#This Row],[Delete? (Stage 2)]])</f>
        <v>0</v>
      </c>
      <c r="AZ1598" t="s">
        <v>84</v>
      </c>
    </row>
    <row r="1599" spans="1:52">
      <c r="A1599">
        <f t="shared" si="99"/>
        <v>1598</v>
      </c>
      <c r="B1599" s="3">
        <v>46062.040995370371</v>
      </c>
      <c r="C1599" s="3">
        <v>46062.050659722219</v>
      </c>
      <c r="D1599" t="s">
        <v>53</v>
      </c>
      <c r="G1599" t="s">
        <v>54</v>
      </c>
      <c r="H1599" t="s">
        <v>55</v>
      </c>
      <c r="I1599" t="s">
        <v>75</v>
      </c>
      <c r="J1599" t="s">
        <v>57</v>
      </c>
      <c r="K1599" t="s">
        <v>60</v>
      </c>
      <c r="L1599" t="s">
        <v>58</v>
      </c>
      <c r="M1599" t="s">
        <v>58</v>
      </c>
      <c r="N1599">
        <v>3</v>
      </c>
      <c r="O1599">
        <v>2</v>
      </c>
      <c r="P1599">
        <v>5</v>
      </c>
      <c r="Q1599">
        <v>2</v>
      </c>
      <c r="R1599">
        <v>5</v>
      </c>
      <c r="S1599">
        <v>4</v>
      </c>
      <c r="T1599">
        <v>5</v>
      </c>
      <c r="U1599">
        <v>5</v>
      </c>
      <c r="V1599">
        <v>5</v>
      </c>
      <c r="W1599">
        <v>5</v>
      </c>
      <c r="X1599">
        <v>3</v>
      </c>
      <c r="Y1599">
        <v>4</v>
      </c>
      <c r="Z1599">
        <v>5</v>
      </c>
      <c r="AA1599">
        <v>5</v>
      </c>
      <c r="AB1599">
        <v>5</v>
      </c>
      <c r="AC1599">
        <v>5</v>
      </c>
      <c r="AD1599">
        <v>5</v>
      </c>
      <c r="AE1599">
        <v>5</v>
      </c>
      <c r="AF1599">
        <v>1</v>
      </c>
      <c r="AG1599">
        <v>5</v>
      </c>
      <c r="AH1599">
        <v>5</v>
      </c>
      <c r="AI1599">
        <v>1</v>
      </c>
      <c r="AJ1599">
        <v>5</v>
      </c>
      <c r="AK1599" t="b">
        <f>Table67[[#This Row],[What is your age?]]&lt;&gt;"18 - 25"</f>
        <v>0</v>
      </c>
      <c r="AL1599" t="b">
        <f t="shared" si="96"/>
        <v>0</v>
      </c>
      <c r="AM1599" t="b">
        <f t="shared" si="97"/>
        <v>1</v>
      </c>
      <c r="AN1599" t="b">
        <f t="shared" si="98"/>
        <v>0</v>
      </c>
      <c r="AO1599" t="b">
        <f>OR(Table67[[#This Row],[Ineligible respondents]:[Inconsistent response on opposite question (3)]])</f>
        <v>1</v>
      </c>
      <c r="AP159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15</v>
      </c>
      <c r="AQ1599">
        <f>Table67[[#This Row],[Extreme Response]]/21</f>
        <v>0.7142857142857143</v>
      </c>
      <c r="AR1599">
        <f>_xlfn.PERCENTILE.INC(Table67[Extrem Response Ratio (ERS)],0.9)</f>
        <v>0.61904761904761907</v>
      </c>
      <c r="AS1599" t="b">
        <f>Table67[[#This Row],[Extrem Response Ratio (ERS)]]&gt;=Table67[[#This Row],[Threshold of ERS]]</f>
        <v>1</v>
      </c>
      <c r="AT1599">
        <f>COUNTIF(Table67[[#This Row],[The mechanism of digital assets is difficult to understand, which discourages me from exploring it (E.g, Tokenization, Blockchain)]:[If I want to try different ways to invest, I will explore digital assets.]], 3)</f>
        <v>2</v>
      </c>
      <c r="AU1599">
        <f>Table67[[#This Row],[Midpoint]]/21</f>
        <v>9.5238095238095233E-2</v>
      </c>
      <c r="AV1599">
        <f>_xlfn.PERCENTILE.INC(Table67[Midpoint ratio],0.9)</f>
        <v>0.5714285714285714</v>
      </c>
      <c r="AW1599" t="b">
        <f>Table67[[#This Row],[Midpoint ratio]]&gt;=Table67[[#This Row],[Threshold of Midpoint ratio]]</f>
        <v>0</v>
      </c>
      <c r="AX1599" t="b">
        <f>OR(Table67[[#This Row],[Extreme Response Style]],Table67[[#This Row],[Mid-point Response Style]])</f>
        <v>1</v>
      </c>
      <c r="AY1599" t="b">
        <f>OR(Table67[[#This Row],[Delete? (Stage 1)]],Table67[[#This Row],[Delete? (Stage 2)]])</f>
        <v>1</v>
      </c>
      <c r="AZ1599" t="s">
        <v>84</v>
      </c>
    </row>
    <row r="1600" spans="1:52">
      <c r="A1600">
        <f t="shared" si="99"/>
        <v>1599</v>
      </c>
      <c r="B1600" s="3">
        <v>46065.842175925929</v>
      </c>
      <c r="C1600" s="3">
        <v>46065.847349537034</v>
      </c>
      <c r="D1600" t="s">
        <v>53</v>
      </c>
      <c r="G1600" t="s">
        <v>54</v>
      </c>
      <c r="H1600" t="s">
        <v>55</v>
      </c>
      <c r="I1600" t="s">
        <v>56</v>
      </c>
      <c r="J1600" t="s">
        <v>65</v>
      </c>
      <c r="K1600" t="s">
        <v>62</v>
      </c>
      <c r="L1600" t="s">
        <v>61</v>
      </c>
      <c r="M1600" t="s">
        <v>61</v>
      </c>
      <c r="N1600">
        <v>4</v>
      </c>
      <c r="O1600">
        <v>4</v>
      </c>
      <c r="P1600">
        <v>3</v>
      </c>
      <c r="Q1600">
        <v>3</v>
      </c>
      <c r="R1600">
        <v>4</v>
      </c>
      <c r="S1600">
        <v>3</v>
      </c>
      <c r="T1600">
        <v>4</v>
      </c>
      <c r="U1600">
        <v>3</v>
      </c>
      <c r="V1600">
        <v>4</v>
      </c>
      <c r="W1600">
        <v>3</v>
      </c>
      <c r="X1600">
        <v>4</v>
      </c>
      <c r="Y1600">
        <v>4</v>
      </c>
      <c r="Z1600">
        <v>4</v>
      </c>
      <c r="AA1600">
        <v>3</v>
      </c>
      <c r="AB1600">
        <v>4</v>
      </c>
      <c r="AC1600">
        <v>3</v>
      </c>
      <c r="AD1600">
        <v>4</v>
      </c>
      <c r="AE1600">
        <v>3</v>
      </c>
      <c r="AF1600">
        <v>4</v>
      </c>
      <c r="AG1600">
        <v>2</v>
      </c>
      <c r="AH1600">
        <v>5</v>
      </c>
      <c r="AI1600">
        <v>1</v>
      </c>
      <c r="AJ1600">
        <v>2</v>
      </c>
      <c r="AK1600" t="b">
        <f>Table67[[#This Row],[What is your age?]]&lt;&gt;"18 - 25"</f>
        <v>0</v>
      </c>
      <c r="AL1600" t="b">
        <f t="shared" si="96"/>
        <v>0</v>
      </c>
      <c r="AM1600" t="b">
        <f t="shared" si="97"/>
        <v>0</v>
      </c>
      <c r="AN1600" t="b">
        <f t="shared" si="98"/>
        <v>0</v>
      </c>
      <c r="AO1600" t="b">
        <f>OR(Table67[[#This Row],[Ineligible respondents]:[Inconsistent response on opposite question (3)]])</f>
        <v>0</v>
      </c>
      <c r="AP160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600">
        <f>Table67[[#This Row],[Extreme Response]]/21</f>
        <v>4.7619047619047616E-2</v>
      </c>
      <c r="AR1600">
        <f>_xlfn.PERCENTILE.INC(Table67[Extrem Response Ratio (ERS)],0.9)</f>
        <v>0.61904761904761907</v>
      </c>
      <c r="AS1600" t="b">
        <f>Table67[[#This Row],[Extrem Response Ratio (ERS)]]&gt;=Table67[[#This Row],[Threshold of ERS]]</f>
        <v>0</v>
      </c>
      <c r="AT1600">
        <f>COUNTIF(Table67[[#This Row],[The mechanism of digital assets is difficult to understand, which discourages me from exploring it (E.g, Tokenization, Blockchain)]:[If I want to try different ways to invest, I will explore digital assets.]], 3)</f>
        <v>8</v>
      </c>
      <c r="AU1600">
        <f>Table67[[#This Row],[Midpoint]]/21</f>
        <v>0.38095238095238093</v>
      </c>
      <c r="AV1600">
        <f>_xlfn.PERCENTILE.INC(Table67[Midpoint ratio],0.9)</f>
        <v>0.5714285714285714</v>
      </c>
      <c r="AW1600" t="b">
        <f>Table67[[#This Row],[Midpoint ratio]]&gt;=Table67[[#This Row],[Threshold of Midpoint ratio]]</f>
        <v>0</v>
      </c>
      <c r="AX1600" t="b">
        <f>OR(Table67[[#This Row],[Extreme Response Style]],Table67[[#This Row],[Mid-point Response Style]])</f>
        <v>0</v>
      </c>
      <c r="AY1600" t="b">
        <f>OR(Table67[[#This Row],[Delete? (Stage 1)]],Table67[[#This Row],[Delete? (Stage 2)]])</f>
        <v>0</v>
      </c>
      <c r="AZ1600" t="s">
        <v>84</v>
      </c>
    </row>
    <row r="1601" spans="1:52">
      <c r="A1601">
        <f t="shared" si="99"/>
        <v>1600</v>
      </c>
      <c r="B1601" s="3">
        <v>46062.047303240739</v>
      </c>
      <c r="C1601" s="3">
        <v>46062.050081018519</v>
      </c>
      <c r="D1601" t="s">
        <v>53</v>
      </c>
      <c r="G1601" t="s">
        <v>54</v>
      </c>
      <c r="H1601" t="s">
        <v>63</v>
      </c>
      <c r="I1601" t="s">
        <v>75</v>
      </c>
      <c r="J1601" t="s">
        <v>64</v>
      </c>
      <c r="K1601" t="s">
        <v>57</v>
      </c>
      <c r="L1601" t="s">
        <v>58</v>
      </c>
      <c r="M1601" t="s">
        <v>58</v>
      </c>
      <c r="N1601">
        <v>3</v>
      </c>
      <c r="O1601">
        <v>1</v>
      </c>
      <c r="P1601">
        <v>3</v>
      </c>
      <c r="Q1601">
        <v>4</v>
      </c>
      <c r="R1601">
        <v>2</v>
      </c>
      <c r="S1601">
        <v>3</v>
      </c>
      <c r="T1601">
        <v>4</v>
      </c>
      <c r="U1601">
        <v>5</v>
      </c>
      <c r="V1601">
        <v>5</v>
      </c>
      <c r="W1601">
        <v>5</v>
      </c>
      <c r="X1601">
        <v>5</v>
      </c>
      <c r="Y1601">
        <v>5</v>
      </c>
      <c r="Z1601">
        <v>4</v>
      </c>
      <c r="AA1601">
        <v>4</v>
      </c>
      <c r="AB1601">
        <v>2</v>
      </c>
      <c r="AC1601">
        <v>2</v>
      </c>
      <c r="AD1601">
        <v>5</v>
      </c>
      <c r="AE1601">
        <v>3</v>
      </c>
      <c r="AF1601">
        <v>2</v>
      </c>
      <c r="AG1601">
        <v>3</v>
      </c>
      <c r="AH1601">
        <v>4</v>
      </c>
      <c r="AI1601">
        <v>2</v>
      </c>
      <c r="AJ1601">
        <v>4</v>
      </c>
      <c r="AK1601" t="b">
        <f>Table67[[#This Row],[What is your age?]]&lt;&gt;"18 - 25"</f>
        <v>0</v>
      </c>
      <c r="AL1601" t="b">
        <f t="shared" si="96"/>
        <v>0</v>
      </c>
      <c r="AM1601" t="b">
        <f t="shared" si="97"/>
        <v>0</v>
      </c>
      <c r="AN1601" t="b">
        <f t="shared" si="98"/>
        <v>1</v>
      </c>
      <c r="AO1601" t="b">
        <f>OR(Table67[[#This Row],[Ineligible respondents]:[Inconsistent response on opposite question (3)]])</f>
        <v>1</v>
      </c>
      <c r="AP160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601">
        <f>Table67[[#This Row],[Extreme Response]]/21</f>
        <v>0.33333333333333331</v>
      </c>
      <c r="AR1601">
        <f>_xlfn.PERCENTILE.INC(Table67[Extrem Response Ratio (ERS)],0.9)</f>
        <v>0.61904761904761907</v>
      </c>
      <c r="AS1601" t="b">
        <f>Table67[[#This Row],[Extrem Response Ratio (ERS)]]&gt;=Table67[[#This Row],[Threshold of ERS]]</f>
        <v>0</v>
      </c>
      <c r="AT1601">
        <f>COUNTIF(Table67[[#This Row],[The mechanism of digital assets is difficult to understand, which discourages me from exploring it (E.g, Tokenization, Blockchain)]:[If I want to try different ways to invest, I will explore digital assets.]], 3)</f>
        <v>5</v>
      </c>
      <c r="AU1601">
        <f>Table67[[#This Row],[Midpoint]]/21</f>
        <v>0.23809523809523808</v>
      </c>
      <c r="AV1601">
        <f>_xlfn.PERCENTILE.INC(Table67[Midpoint ratio],0.9)</f>
        <v>0.5714285714285714</v>
      </c>
      <c r="AW1601" t="b">
        <f>Table67[[#This Row],[Midpoint ratio]]&gt;=Table67[[#This Row],[Threshold of Midpoint ratio]]</f>
        <v>0</v>
      </c>
      <c r="AX1601" t="b">
        <f>OR(Table67[[#This Row],[Extreme Response Style]],Table67[[#This Row],[Mid-point Response Style]])</f>
        <v>0</v>
      </c>
      <c r="AY1601" t="b">
        <f>OR(Table67[[#This Row],[Delete? (Stage 1)]],Table67[[#This Row],[Delete? (Stage 2)]])</f>
        <v>1</v>
      </c>
      <c r="AZ1601" t="s">
        <v>84</v>
      </c>
    </row>
    <row r="1602" spans="1:52">
      <c r="A1602">
        <f t="shared" si="99"/>
        <v>1601</v>
      </c>
      <c r="B1602" s="3">
        <v>46065.890694444446</v>
      </c>
      <c r="C1602" s="3">
        <v>46065.894965277781</v>
      </c>
      <c r="D1602" t="s">
        <v>53</v>
      </c>
      <c r="G1602" t="s">
        <v>54</v>
      </c>
      <c r="H1602" t="s">
        <v>63</v>
      </c>
      <c r="I1602" t="s">
        <v>56</v>
      </c>
      <c r="J1602" t="s">
        <v>62</v>
      </c>
      <c r="K1602" t="s">
        <v>57</v>
      </c>
      <c r="L1602" t="s">
        <v>58</v>
      </c>
      <c r="M1602" t="s">
        <v>58</v>
      </c>
      <c r="N1602">
        <v>4</v>
      </c>
      <c r="O1602">
        <v>3</v>
      </c>
      <c r="P1602">
        <v>4</v>
      </c>
      <c r="Q1602">
        <v>4</v>
      </c>
      <c r="R1602">
        <v>3</v>
      </c>
      <c r="S1602">
        <v>3</v>
      </c>
      <c r="T1602">
        <v>3</v>
      </c>
      <c r="U1602">
        <v>5</v>
      </c>
      <c r="V1602">
        <v>3</v>
      </c>
      <c r="W1602">
        <v>3</v>
      </c>
      <c r="X1602">
        <v>3</v>
      </c>
      <c r="Y1602">
        <v>3</v>
      </c>
      <c r="Z1602">
        <v>3</v>
      </c>
      <c r="AA1602">
        <v>3</v>
      </c>
      <c r="AB1602">
        <v>3</v>
      </c>
      <c r="AC1602">
        <v>5</v>
      </c>
      <c r="AD1602">
        <v>3</v>
      </c>
      <c r="AE1602">
        <v>3</v>
      </c>
      <c r="AF1602">
        <v>4</v>
      </c>
      <c r="AG1602">
        <v>2</v>
      </c>
      <c r="AH1602">
        <v>5</v>
      </c>
      <c r="AI1602">
        <v>1</v>
      </c>
      <c r="AJ1602">
        <v>2</v>
      </c>
      <c r="AK1602" t="b">
        <f>Table67[[#This Row],[What is your age?]]&lt;&gt;"18 - 25"</f>
        <v>0</v>
      </c>
      <c r="AL1602" t="b">
        <f t="shared" si="96"/>
        <v>0</v>
      </c>
      <c r="AM1602" t="b">
        <f t="shared" si="97"/>
        <v>0</v>
      </c>
      <c r="AN1602" t="b">
        <f t="shared" si="98"/>
        <v>0</v>
      </c>
      <c r="AO1602" t="b">
        <f>OR(Table67[[#This Row],[Ineligible respondents]:[Inconsistent response on opposite question (3)]])</f>
        <v>0</v>
      </c>
      <c r="AP160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602">
        <f>Table67[[#This Row],[Extreme Response]]/21</f>
        <v>0.14285714285714285</v>
      </c>
      <c r="AR1602">
        <f>_xlfn.PERCENTILE.INC(Table67[Extrem Response Ratio (ERS)],0.9)</f>
        <v>0.61904761904761907</v>
      </c>
      <c r="AS1602" t="b">
        <f>Table67[[#This Row],[Extrem Response Ratio (ERS)]]&gt;=Table67[[#This Row],[Threshold of ERS]]</f>
        <v>0</v>
      </c>
      <c r="AT1602">
        <f>COUNTIF(Table67[[#This Row],[The mechanism of digital assets is difficult to understand, which discourages me from exploring it (E.g, Tokenization, Blockchain)]:[If I want to try different ways to invest, I will explore digital assets.]], 3)</f>
        <v>13</v>
      </c>
      <c r="AU1602">
        <f>Table67[[#This Row],[Midpoint]]/21</f>
        <v>0.61904761904761907</v>
      </c>
      <c r="AV1602">
        <f>_xlfn.PERCENTILE.INC(Table67[Midpoint ratio],0.9)</f>
        <v>0.5714285714285714</v>
      </c>
      <c r="AW1602" t="b">
        <f>Table67[[#This Row],[Midpoint ratio]]&gt;=Table67[[#This Row],[Threshold of Midpoint ratio]]</f>
        <v>1</v>
      </c>
      <c r="AX1602" t="b">
        <f>OR(Table67[[#This Row],[Extreme Response Style]],Table67[[#This Row],[Mid-point Response Style]])</f>
        <v>1</v>
      </c>
      <c r="AY1602" t="b">
        <f>OR(Table67[[#This Row],[Delete? (Stage 1)]],Table67[[#This Row],[Delete? (Stage 2)]])</f>
        <v>1</v>
      </c>
      <c r="AZ1602" t="s">
        <v>84</v>
      </c>
    </row>
    <row r="1603" spans="1:52">
      <c r="A1603">
        <f t="shared" si="99"/>
        <v>1602</v>
      </c>
      <c r="B1603" s="3">
        <v>46065.765879629631</v>
      </c>
      <c r="C1603" s="3">
        <v>46065.768935185188</v>
      </c>
      <c r="D1603" t="s">
        <v>53</v>
      </c>
      <c r="G1603" t="s">
        <v>54</v>
      </c>
      <c r="H1603" t="s">
        <v>63</v>
      </c>
      <c r="I1603" t="s">
        <v>71</v>
      </c>
      <c r="J1603" t="s">
        <v>57</v>
      </c>
      <c r="K1603" t="s">
        <v>62</v>
      </c>
      <c r="L1603" t="s">
        <v>58</v>
      </c>
      <c r="M1603" t="s">
        <v>58</v>
      </c>
      <c r="N1603">
        <v>3</v>
      </c>
      <c r="O1603">
        <v>3</v>
      </c>
      <c r="P1603">
        <v>4</v>
      </c>
      <c r="Q1603">
        <v>3</v>
      </c>
      <c r="R1603">
        <v>2</v>
      </c>
      <c r="S1603">
        <v>2</v>
      </c>
      <c r="T1603">
        <v>2</v>
      </c>
      <c r="U1603">
        <v>4</v>
      </c>
      <c r="V1603">
        <v>2</v>
      </c>
      <c r="W1603">
        <v>3</v>
      </c>
      <c r="X1603">
        <v>3</v>
      </c>
      <c r="Y1603">
        <v>2</v>
      </c>
      <c r="Z1603">
        <v>3</v>
      </c>
      <c r="AA1603">
        <v>2</v>
      </c>
      <c r="AB1603">
        <v>3</v>
      </c>
      <c r="AC1603">
        <v>3</v>
      </c>
      <c r="AD1603">
        <v>4</v>
      </c>
      <c r="AE1603">
        <v>3</v>
      </c>
      <c r="AF1603">
        <v>3</v>
      </c>
      <c r="AG1603">
        <v>3</v>
      </c>
      <c r="AH1603">
        <v>3</v>
      </c>
      <c r="AI1603">
        <v>3</v>
      </c>
      <c r="AJ1603">
        <v>3</v>
      </c>
      <c r="AK1603" t="b">
        <f>Table67[[#This Row],[What is your age?]]&lt;&gt;"18 - 25"</f>
        <v>0</v>
      </c>
      <c r="AL1603" t="b">
        <f t="shared" ref="AL1603:AL1666" si="100">COUNTIF(N1603:AH1603, N1603) = COLUMNS(N1603:AH1603)</f>
        <v>0</v>
      </c>
      <c r="AM1603" t="b">
        <f t="shared" ref="AM1603:AM1666" si="101">OR(AND(AG1603=AH1603, AG1603&lt;&gt;3), AND(OR(AG1603=1, AG1603=2), OR(AH1603=1, AH1603=2)), AND(OR(AG1603=4, AG1603=5), OR(AH1603=4, AH1603=5)))</f>
        <v>0</v>
      </c>
      <c r="AN1603" t="b">
        <f t="shared" ref="AN1603:AN1666" si="102">OR(AND(AG1603=3, AH1603&lt;&gt;3), AND(AH1603=3, AG1603&lt;&gt;3))</f>
        <v>0</v>
      </c>
      <c r="AO1603" t="b">
        <f>OR(Table67[[#This Row],[Ineligible respondents]:[Inconsistent response on opposite question (3)]])</f>
        <v>0</v>
      </c>
      <c r="AP160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603">
        <f>Table67[[#This Row],[Extreme Response]]/21</f>
        <v>0</v>
      </c>
      <c r="AR1603">
        <f>_xlfn.PERCENTILE.INC(Table67[Extrem Response Ratio (ERS)],0.9)</f>
        <v>0.61904761904761907</v>
      </c>
      <c r="AS1603" t="b">
        <f>Table67[[#This Row],[Extrem Response Ratio (ERS)]]&gt;=Table67[[#This Row],[Threshold of ERS]]</f>
        <v>0</v>
      </c>
      <c r="AT1603">
        <f>COUNTIF(Table67[[#This Row],[The mechanism of digital assets is difficult to understand, which discourages me from exploring it (E.g, Tokenization, Blockchain)]:[If I want to try different ways to invest, I will explore digital assets.]], 3)</f>
        <v>12</v>
      </c>
      <c r="AU1603">
        <f>Table67[[#This Row],[Midpoint]]/21</f>
        <v>0.5714285714285714</v>
      </c>
      <c r="AV1603">
        <f>_xlfn.PERCENTILE.INC(Table67[Midpoint ratio],0.9)</f>
        <v>0.5714285714285714</v>
      </c>
      <c r="AW1603" t="b">
        <f>Table67[[#This Row],[Midpoint ratio]]&gt;=Table67[[#This Row],[Threshold of Midpoint ratio]]</f>
        <v>1</v>
      </c>
      <c r="AX1603" t="b">
        <f>OR(Table67[[#This Row],[Extreme Response Style]],Table67[[#This Row],[Mid-point Response Style]])</f>
        <v>1</v>
      </c>
      <c r="AY1603" t="b">
        <f>OR(Table67[[#This Row],[Delete? (Stage 1)]],Table67[[#This Row],[Delete? (Stage 2)]])</f>
        <v>1</v>
      </c>
      <c r="AZ1603" t="s">
        <v>84</v>
      </c>
    </row>
    <row r="1604" spans="1:52">
      <c r="A1604">
        <f t="shared" ref="A1604:A1667" si="103">1+A1603</f>
        <v>1603</v>
      </c>
      <c r="B1604" s="3">
        <v>46065.850555555553</v>
      </c>
      <c r="C1604" s="3">
        <v>46065.861145833333</v>
      </c>
      <c r="D1604" t="s">
        <v>53</v>
      </c>
      <c r="G1604" t="s">
        <v>54</v>
      </c>
      <c r="H1604" t="s">
        <v>55</v>
      </c>
      <c r="I1604" t="s">
        <v>71</v>
      </c>
      <c r="J1604" t="s">
        <v>62</v>
      </c>
      <c r="K1604" t="s">
        <v>57</v>
      </c>
      <c r="L1604" t="s">
        <v>58</v>
      </c>
      <c r="M1604" t="s">
        <v>58</v>
      </c>
      <c r="N1604">
        <v>1</v>
      </c>
      <c r="O1604">
        <v>2</v>
      </c>
      <c r="P1604">
        <v>3</v>
      </c>
      <c r="Q1604">
        <v>3</v>
      </c>
      <c r="R1604">
        <v>2</v>
      </c>
      <c r="S1604">
        <v>3</v>
      </c>
      <c r="T1604">
        <v>3</v>
      </c>
      <c r="U1604">
        <v>3</v>
      </c>
      <c r="V1604">
        <v>2</v>
      </c>
      <c r="W1604">
        <v>2</v>
      </c>
      <c r="X1604">
        <v>3</v>
      </c>
      <c r="Y1604">
        <v>2</v>
      </c>
      <c r="Z1604">
        <v>3</v>
      </c>
      <c r="AA1604">
        <v>3</v>
      </c>
      <c r="AB1604">
        <v>4</v>
      </c>
      <c r="AC1604">
        <v>3</v>
      </c>
      <c r="AD1604">
        <v>3</v>
      </c>
      <c r="AE1604">
        <v>4</v>
      </c>
      <c r="AF1604">
        <v>3</v>
      </c>
      <c r="AG1604">
        <v>4</v>
      </c>
      <c r="AH1604">
        <v>2</v>
      </c>
      <c r="AI1604">
        <v>4</v>
      </c>
      <c r="AJ1604">
        <v>3</v>
      </c>
      <c r="AK1604" t="b">
        <f>Table67[[#This Row],[What is your age?]]&lt;&gt;"18 - 25"</f>
        <v>0</v>
      </c>
      <c r="AL1604" t="b">
        <f t="shared" si="100"/>
        <v>0</v>
      </c>
      <c r="AM1604" t="b">
        <f t="shared" si="101"/>
        <v>0</v>
      </c>
      <c r="AN1604" t="b">
        <f t="shared" si="102"/>
        <v>0</v>
      </c>
      <c r="AO1604" t="b">
        <f>OR(Table67[[#This Row],[Ineligible respondents]:[Inconsistent response on opposite question (3)]])</f>
        <v>0</v>
      </c>
      <c r="AP160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604">
        <f>Table67[[#This Row],[Extreme Response]]/21</f>
        <v>4.7619047619047616E-2</v>
      </c>
      <c r="AR1604">
        <f>_xlfn.PERCENTILE.INC(Table67[Extrem Response Ratio (ERS)],0.9)</f>
        <v>0.61904761904761907</v>
      </c>
      <c r="AS1604" t="b">
        <f>Table67[[#This Row],[Extrem Response Ratio (ERS)]]&gt;=Table67[[#This Row],[Threshold of ERS]]</f>
        <v>0</v>
      </c>
      <c r="AT1604">
        <f>COUNTIF(Table67[[#This Row],[The mechanism of digital assets is difficult to understand, which discourages me from exploring it (E.g, Tokenization, Blockchain)]:[If I want to try different ways to invest, I will explore digital assets.]], 3)</f>
        <v>11</v>
      </c>
      <c r="AU1604">
        <f>Table67[[#This Row],[Midpoint]]/21</f>
        <v>0.52380952380952384</v>
      </c>
      <c r="AV1604">
        <f>_xlfn.PERCENTILE.INC(Table67[Midpoint ratio],0.9)</f>
        <v>0.5714285714285714</v>
      </c>
      <c r="AW1604" t="b">
        <f>Table67[[#This Row],[Midpoint ratio]]&gt;=Table67[[#This Row],[Threshold of Midpoint ratio]]</f>
        <v>0</v>
      </c>
      <c r="AX1604" t="b">
        <f>OR(Table67[[#This Row],[Extreme Response Style]],Table67[[#This Row],[Mid-point Response Style]])</f>
        <v>0</v>
      </c>
      <c r="AY1604" t="b">
        <f>OR(Table67[[#This Row],[Delete? (Stage 1)]],Table67[[#This Row],[Delete? (Stage 2)]])</f>
        <v>0</v>
      </c>
      <c r="AZ1604" t="s">
        <v>84</v>
      </c>
    </row>
    <row r="1605" spans="1:52">
      <c r="A1605">
        <f t="shared" si="103"/>
        <v>1604</v>
      </c>
      <c r="B1605" s="3">
        <v>46065.702835648146</v>
      </c>
      <c r="C1605" s="3">
        <v>46065.703275462962</v>
      </c>
      <c r="D1605" t="s">
        <v>53</v>
      </c>
      <c r="G1605" t="s">
        <v>54</v>
      </c>
      <c r="H1605" t="s">
        <v>55</v>
      </c>
      <c r="I1605" t="s">
        <v>56</v>
      </c>
      <c r="J1605" t="s">
        <v>65</v>
      </c>
      <c r="K1605" t="s">
        <v>66</v>
      </c>
      <c r="L1605" t="s">
        <v>58</v>
      </c>
      <c r="M1605" t="s">
        <v>58</v>
      </c>
      <c r="N1605">
        <v>3</v>
      </c>
      <c r="O1605">
        <v>4</v>
      </c>
      <c r="P1605">
        <v>3</v>
      </c>
      <c r="Q1605">
        <v>3</v>
      </c>
      <c r="R1605">
        <v>3</v>
      </c>
      <c r="S1605">
        <v>3</v>
      </c>
      <c r="T1605">
        <v>4</v>
      </c>
      <c r="U1605">
        <v>3</v>
      </c>
      <c r="V1605">
        <v>4</v>
      </c>
      <c r="W1605">
        <v>4</v>
      </c>
      <c r="X1605">
        <v>4</v>
      </c>
      <c r="Y1605">
        <v>4</v>
      </c>
      <c r="Z1605">
        <v>4</v>
      </c>
      <c r="AA1605">
        <v>4</v>
      </c>
      <c r="AB1605">
        <v>3</v>
      </c>
      <c r="AC1605">
        <v>2</v>
      </c>
      <c r="AD1605">
        <v>4</v>
      </c>
      <c r="AE1605">
        <v>4</v>
      </c>
      <c r="AF1605">
        <v>3</v>
      </c>
      <c r="AG1605">
        <v>2</v>
      </c>
      <c r="AH1605">
        <v>4</v>
      </c>
      <c r="AI1605">
        <v>2</v>
      </c>
      <c r="AJ1605">
        <v>3</v>
      </c>
      <c r="AK1605" t="b">
        <f>Table67[[#This Row],[What is your age?]]&lt;&gt;"18 - 25"</f>
        <v>0</v>
      </c>
      <c r="AL1605" t="b">
        <f t="shared" si="100"/>
        <v>0</v>
      </c>
      <c r="AM1605" t="b">
        <f t="shared" si="101"/>
        <v>0</v>
      </c>
      <c r="AN1605" t="b">
        <f t="shared" si="102"/>
        <v>0</v>
      </c>
      <c r="AO1605" t="b">
        <f>OR(Table67[[#This Row],[Ineligible respondents]:[Inconsistent response on opposite question (3)]])</f>
        <v>0</v>
      </c>
      <c r="AP160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605">
        <f>Table67[[#This Row],[Extreme Response]]/21</f>
        <v>0</v>
      </c>
      <c r="AR1605">
        <f>_xlfn.PERCENTILE.INC(Table67[Extrem Response Ratio (ERS)],0.9)</f>
        <v>0.61904761904761907</v>
      </c>
      <c r="AS1605" t="b">
        <f>Table67[[#This Row],[Extrem Response Ratio (ERS)]]&gt;=Table67[[#This Row],[Threshold of ERS]]</f>
        <v>0</v>
      </c>
      <c r="AT1605">
        <f>COUNTIF(Table67[[#This Row],[The mechanism of digital assets is difficult to understand, which discourages me from exploring it (E.g, Tokenization, Blockchain)]:[If I want to try different ways to invest, I will explore digital assets.]], 3)</f>
        <v>8</v>
      </c>
      <c r="AU1605">
        <f>Table67[[#This Row],[Midpoint]]/21</f>
        <v>0.38095238095238093</v>
      </c>
      <c r="AV1605">
        <f>_xlfn.PERCENTILE.INC(Table67[Midpoint ratio],0.9)</f>
        <v>0.5714285714285714</v>
      </c>
      <c r="AW1605" t="b">
        <f>Table67[[#This Row],[Midpoint ratio]]&gt;=Table67[[#This Row],[Threshold of Midpoint ratio]]</f>
        <v>0</v>
      </c>
      <c r="AX1605" t="b">
        <f>OR(Table67[[#This Row],[Extreme Response Style]],Table67[[#This Row],[Mid-point Response Style]])</f>
        <v>0</v>
      </c>
      <c r="AY1605" t="b">
        <f>OR(Table67[[#This Row],[Delete? (Stage 1)]],Table67[[#This Row],[Delete? (Stage 2)]])</f>
        <v>0</v>
      </c>
      <c r="AZ1605" t="s">
        <v>84</v>
      </c>
    </row>
    <row r="1606" spans="1:52">
      <c r="A1606">
        <f t="shared" si="103"/>
        <v>1605</v>
      </c>
      <c r="B1606" s="3">
        <v>46062.02621527778</v>
      </c>
      <c r="C1606" s="3">
        <v>46062.030891203707</v>
      </c>
      <c r="D1606" t="s">
        <v>53</v>
      </c>
      <c r="G1606" t="s">
        <v>54</v>
      </c>
      <c r="H1606" t="s">
        <v>55</v>
      </c>
      <c r="I1606" t="s">
        <v>56</v>
      </c>
      <c r="J1606" t="s">
        <v>62</v>
      </c>
      <c r="K1606" t="s">
        <v>60</v>
      </c>
      <c r="L1606" t="s">
        <v>58</v>
      </c>
      <c r="M1606" t="s">
        <v>58</v>
      </c>
      <c r="N1606">
        <v>4</v>
      </c>
      <c r="O1606">
        <v>3</v>
      </c>
      <c r="P1606">
        <v>4</v>
      </c>
      <c r="Q1606">
        <v>2</v>
      </c>
      <c r="R1606">
        <v>4</v>
      </c>
      <c r="S1606">
        <v>5</v>
      </c>
      <c r="T1606">
        <v>4</v>
      </c>
      <c r="U1606">
        <v>5</v>
      </c>
      <c r="V1606">
        <v>4</v>
      </c>
      <c r="W1606">
        <v>2</v>
      </c>
      <c r="X1606">
        <v>4</v>
      </c>
      <c r="Y1606">
        <v>3</v>
      </c>
      <c r="Z1606">
        <v>5</v>
      </c>
      <c r="AA1606">
        <v>4</v>
      </c>
      <c r="AB1606">
        <v>4</v>
      </c>
      <c r="AC1606">
        <v>2</v>
      </c>
      <c r="AD1606">
        <v>4</v>
      </c>
      <c r="AE1606">
        <v>3</v>
      </c>
      <c r="AF1606">
        <v>4</v>
      </c>
      <c r="AG1606">
        <v>2</v>
      </c>
      <c r="AH1606">
        <v>3</v>
      </c>
      <c r="AI1606">
        <v>3</v>
      </c>
      <c r="AJ1606">
        <v>2</v>
      </c>
      <c r="AK1606" t="b">
        <f>Table67[[#This Row],[What is your age?]]&lt;&gt;"18 - 25"</f>
        <v>0</v>
      </c>
      <c r="AL1606" t="b">
        <f t="shared" si="100"/>
        <v>0</v>
      </c>
      <c r="AM1606" t="b">
        <f t="shared" si="101"/>
        <v>0</v>
      </c>
      <c r="AN1606" t="b">
        <f t="shared" si="102"/>
        <v>1</v>
      </c>
      <c r="AO1606" t="b">
        <f>OR(Table67[[#This Row],[Ineligible respondents]:[Inconsistent response on opposite question (3)]])</f>
        <v>1</v>
      </c>
      <c r="AP160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606">
        <f>Table67[[#This Row],[Extreme Response]]/21</f>
        <v>0.14285714285714285</v>
      </c>
      <c r="AR1606">
        <f>_xlfn.PERCENTILE.INC(Table67[Extrem Response Ratio (ERS)],0.9)</f>
        <v>0.61904761904761907</v>
      </c>
      <c r="AS1606" t="b">
        <f>Table67[[#This Row],[Extrem Response Ratio (ERS)]]&gt;=Table67[[#This Row],[Threshold of ERS]]</f>
        <v>0</v>
      </c>
      <c r="AT1606">
        <f>COUNTIF(Table67[[#This Row],[The mechanism of digital assets is difficult to understand, which discourages me from exploring it (E.g, Tokenization, Blockchain)]:[If I want to try different ways to invest, I will explore digital assets.]], 3)</f>
        <v>4</v>
      </c>
      <c r="AU1606">
        <f>Table67[[#This Row],[Midpoint]]/21</f>
        <v>0.19047619047619047</v>
      </c>
      <c r="AV1606">
        <f>_xlfn.PERCENTILE.INC(Table67[Midpoint ratio],0.9)</f>
        <v>0.5714285714285714</v>
      </c>
      <c r="AW1606" t="b">
        <f>Table67[[#This Row],[Midpoint ratio]]&gt;=Table67[[#This Row],[Threshold of Midpoint ratio]]</f>
        <v>0</v>
      </c>
      <c r="AX1606" t="b">
        <f>OR(Table67[[#This Row],[Extreme Response Style]],Table67[[#This Row],[Mid-point Response Style]])</f>
        <v>0</v>
      </c>
      <c r="AY1606" t="b">
        <f>OR(Table67[[#This Row],[Delete? (Stage 1)]],Table67[[#This Row],[Delete? (Stage 2)]])</f>
        <v>1</v>
      </c>
      <c r="AZ1606" t="s">
        <v>84</v>
      </c>
    </row>
    <row r="1607" spans="1:52">
      <c r="A1607">
        <f t="shared" si="103"/>
        <v>1606</v>
      </c>
      <c r="B1607" s="3">
        <v>46062.073634259257</v>
      </c>
      <c r="C1607" s="3">
        <v>46062.081817129627</v>
      </c>
      <c r="D1607" t="s">
        <v>53</v>
      </c>
      <c r="G1607" t="s">
        <v>54</v>
      </c>
      <c r="H1607" t="s">
        <v>55</v>
      </c>
      <c r="I1607" t="s">
        <v>69</v>
      </c>
      <c r="J1607" t="s">
        <v>62</v>
      </c>
      <c r="K1607" t="s">
        <v>57</v>
      </c>
      <c r="L1607" t="s">
        <v>58</v>
      </c>
      <c r="M1607" t="s">
        <v>58</v>
      </c>
      <c r="N1607">
        <v>4</v>
      </c>
      <c r="O1607">
        <v>2</v>
      </c>
      <c r="P1607">
        <v>1</v>
      </c>
      <c r="Q1607">
        <v>1</v>
      </c>
      <c r="R1607">
        <v>3</v>
      </c>
      <c r="S1607">
        <v>1</v>
      </c>
      <c r="T1607">
        <v>5</v>
      </c>
      <c r="U1607">
        <v>5</v>
      </c>
      <c r="V1607">
        <v>5</v>
      </c>
      <c r="W1607">
        <v>5</v>
      </c>
      <c r="X1607">
        <v>5</v>
      </c>
      <c r="Y1607">
        <v>5</v>
      </c>
      <c r="Z1607">
        <v>5</v>
      </c>
      <c r="AA1607">
        <v>5</v>
      </c>
      <c r="AB1607">
        <v>1</v>
      </c>
      <c r="AC1607">
        <v>5</v>
      </c>
      <c r="AD1607">
        <v>1</v>
      </c>
      <c r="AE1607">
        <v>1</v>
      </c>
      <c r="AF1607">
        <v>1</v>
      </c>
      <c r="AG1607">
        <v>5</v>
      </c>
      <c r="AH1607">
        <v>1</v>
      </c>
      <c r="AI1607">
        <v>5</v>
      </c>
      <c r="AJ1607">
        <v>5</v>
      </c>
      <c r="AK1607" t="b">
        <f>Table67[[#This Row],[What is your age?]]&lt;&gt;"18 - 25"</f>
        <v>0</v>
      </c>
      <c r="AL1607" t="b">
        <f t="shared" si="100"/>
        <v>0</v>
      </c>
      <c r="AM1607" t="b">
        <f t="shared" si="101"/>
        <v>0</v>
      </c>
      <c r="AN1607" t="b">
        <f t="shared" si="102"/>
        <v>0</v>
      </c>
      <c r="AO1607" t="b">
        <f>OR(Table67[[#This Row],[Ineligible respondents]:[Inconsistent response on opposite question (3)]])</f>
        <v>0</v>
      </c>
      <c r="AP160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18</v>
      </c>
      <c r="AQ1607">
        <f>Table67[[#This Row],[Extreme Response]]/21</f>
        <v>0.8571428571428571</v>
      </c>
      <c r="AR1607">
        <f>_xlfn.PERCENTILE.INC(Table67[Extrem Response Ratio (ERS)],0.9)</f>
        <v>0.61904761904761907</v>
      </c>
      <c r="AS1607" t="b">
        <f>Table67[[#This Row],[Extrem Response Ratio (ERS)]]&gt;=Table67[[#This Row],[Threshold of ERS]]</f>
        <v>1</v>
      </c>
      <c r="AT1607">
        <f>COUNTIF(Table67[[#This Row],[The mechanism of digital assets is difficult to understand, which discourages me from exploring it (E.g, Tokenization, Blockchain)]:[If I want to try different ways to invest, I will explore digital assets.]], 3)</f>
        <v>1</v>
      </c>
      <c r="AU1607">
        <f>Table67[[#This Row],[Midpoint]]/21</f>
        <v>4.7619047619047616E-2</v>
      </c>
      <c r="AV1607">
        <f>_xlfn.PERCENTILE.INC(Table67[Midpoint ratio],0.9)</f>
        <v>0.5714285714285714</v>
      </c>
      <c r="AW1607" t="b">
        <f>Table67[[#This Row],[Midpoint ratio]]&gt;=Table67[[#This Row],[Threshold of Midpoint ratio]]</f>
        <v>0</v>
      </c>
      <c r="AX1607" t="b">
        <f>OR(Table67[[#This Row],[Extreme Response Style]],Table67[[#This Row],[Mid-point Response Style]])</f>
        <v>1</v>
      </c>
      <c r="AY1607" t="b">
        <f>OR(Table67[[#This Row],[Delete? (Stage 1)]],Table67[[#This Row],[Delete? (Stage 2)]])</f>
        <v>1</v>
      </c>
      <c r="AZ1607" t="s">
        <v>84</v>
      </c>
    </row>
    <row r="1608" spans="1:52">
      <c r="A1608">
        <f t="shared" si="103"/>
        <v>1607</v>
      </c>
      <c r="B1608" s="3">
        <v>46062.036828703705</v>
      </c>
      <c r="C1608" s="3">
        <v>46062.04074074074</v>
      </c>
      <c r="D1608" t="s">
        <v>53</v>
      </c>
      <c r="G1608" t="s">
        <v>54</v>
      </c>
      <c r="H1608" t="s">
        <v>55</v>
      </c>
      <c r="I1608" t="s">
        <v>56</v>
      </c>
      <c r="J1608" t="s">
        <v>62</v>
      </c>
      <c r="K1608" t="s">
        <v>62</v>
      </c>
      <c r="L1608" t="s">
        <v>58</v>
      </c>
      <c r="M1608" t="s">
        <v>58</v>
      </c>
      <c r="N1608">
        <v>3</v>
      </c>
      <c r="O1608">
        <v>3</v>
      </c>
      <c r="P1608">
        <v>3</v>
      </c>
      <c r="Q1608">
        <v>3</v>
      </c>
      <c r="R1608">
        <v>3</v>
      </c>
      <c r="S1608">
        <v>3</v>
      </c>
      <c r="T1608">
        <v>3</v>
      </c>
      <c r="U1608">
        <v>3</v>
      </c>
      <c r="V1608">
        <v>3</v>
      </c>
      <c r="W1608">
        <v>3</v>
      </c>
      <c r="X1608">
        <v>3</v>
      </c>
      <c r="Y1608">
        <v>3</v>
      </c>
      <c r="Z1608">
        <v>3</v>
      </c>
      <c r="AA1608">
        <v>3</v>
      </c>
      <c r="AB1608">
        <v>3</v>
      </c>
      <c r="AC1608">
        <v>3</v>
      </c>
      <c r="AD1608">
        <v>3</v>
      </c>
      <c r="AE1608">
        <v>3</v>
      </c>
      <c r="AF1608">
        <v>3</v>
      </c>
      <c r="AG1608">
        <v>3</v>
      </c>
      <c r="AH1608">
        <v>3</v>
      </c>
      <c r="AI1608">
        <v>3</v>
      </c>
      <c r="AJ1608">
        <v>3</v>
      </c>
      <c r="AK1608" t="b">
        <f>Table67[[#This Row],[What is your age?]]&lt;&gt;"18 - 25"</f>
        <v>0</v>
      </c>
      <c r="AL1608" t="b">
        <f t="shared" si="100"/>
        <v>1</v>
      </c>
      <c r="AM1608" t="b">
        <f t="shared" si="101"/>
        <v>0</v>
      </c>
      <c r="AN1608" t="b">
        <f t="shared" si="102"/>
        <v>0</v>
      </c>
      <c r="AO1608" t="b">
        <f>OR(Table67[[#This Row],[Ineligible respondents]:[Inconsistent response on opposite question (3)]])</f>
        <v>1</v>
      </c>
      <c r="AP160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608">
        <f>Table67[[#This Row],[Extreme Response]]/21</f>
        <v>0</v>
      </c>
      <c r="AR1608">
        <f>_xlfn.PERCENTILE.INC(Table67[Extrem Response Ratio (ERS)],0.9)</f>
        <v>0.61904761904761907</v>
      </c>
      <c r="AS1608" t="b">
        <f>Table67[[#This Row],[Extrem Response Ratio (ERS)]]&gt;=Table67[[#This Row],[Threshold of ERS]]</f>
        <v>0</v>
      </c>
      <c r="AT1608">
        <f>COUNTIF(Table67[[#This Row],[The mechanism of digital assets is difficult to understand, which discourages me from exploring it (E.g, Tokenization, Blockchain)]:[If I want to try different ways to invest, I will explore digital assets.]], 3)</f>
        <v>21</v>
      </c>
      <c r="AU1608">
        <f>Table67[[#This Row],[Midpoint]]/21</f>
        <v>1</v>
      </c>
      <c r="AV1608">
        <f>_xlfn.PERCENTILE.INC(Table67[Midpoint ratio],0.9)</f>
        <v>0.5714285714285714</v>
      </c>
      <c r="AW1608" t="b">
        <f>Table67[[#This Row],[Midpoint ratio]]&gt;=Table67[[#This Row],[Threshold of Midpoint ratio]]</f>
        <v>1</v>
      </c>
      <c r="AX1608" t="b">
        <f>OR(Table67[[#This Row],[Extreme Response Style]],Table67[[#This Row],[Mid-point Response Style]])</f>
        <v>1</v>
      </c>
      <c r="AY1608" t="b">
        <f>OR(Table67[[#This Row],[Delete? (Stage 1)]],Table67[[#This Row],[Delete? (Stage 2)]])</f>
        <v>1</v>
      </c>
      <c r="AZ1608" t="s">
        <v>84</v>
      </c>
    </row>
    <row r="1609" spans="1:52">
      <c r="A1609">
        <f t="shared" si="103"/>
        <v>1608</v>
      </c>
      <c r="B1609" s="3">
        <v>46065.727731481478</v>
      </c>
      <c r="C1609" s="3">
        <v>46065.727986111109</v>
      </c>
      <c r="D1609" t="s">
        <v>53</v>
      </c>
      <c r="G1609" t="s">
        <v>54</v>
      </c>
      <c r="H1609" t="s">
        <v>63</v>
      </c>
      <c r="I1609" t="s">
        <v>75</v>
      </c>
      <c r="J1609" t="s">
        <v>60</v>
      </c>
      <c r="K1609" t="s">
        <v>57</v>
      </c>
      <c r="L1609" t="s">
        <v>58</v>
      </c>
      <c r="M1609" t="s">
        <v>58</v>
      </c>
      <c r="N1609">
        <v>2</v>
      </c>
      <c r="O1609">
        <v>2</v>
      </c>
      <c r="P1609">
        <v>1</v>
      </c>
      <c r="Q1609">
        <v>1</v>
      </c>
      <c r="R1609">
        <v>2</v>
      </c>
      <c r="S1609">
        <v>1</v>
      </c>
      <c r="T1609">
        <v>1</v>
      </c>
      <c r="U1609">
        <v>1</v>
      </c>
      <c r="V1609">
        <v>2</v>
      </c>
      <c r="W1609">
        <v>2</v>
      </c>
      <c r="X1609">
        <v>2</v>
      </c>
      <c r="Y1609">
        <v>3</v>
      </c>
      <c r="Z1609">
        <v>2</v>
      </c>
      <c r="AA1609">
        <v>1</v>
      </c>
      <c r="AB1609">
        <v>1</v>
      </c>
      <c r="AC1609">
        <v>1</v>
      </c>
      <c r="AD1609">
        <v>3</v>
      </c>
      <c r="AE1609">
        <v>3</v>
      </c>
      <c r="AF1609">
        <v>5</v>
      </c>
      <c r="AG1609">
        <v>1</v>
      </c>
      <c r="AH1609">
        <v>5</v>
      </c>
      <c r="AI1609">
        <v>1</v>
      </c>
      <c r="AJ1609">
        <v>1</v>
      </c>
      <c r="AK1609" t="b">
        <f>Table67[[#This Row],[What is your age?]]&lt;&gt;"18 - 25"</f>
        <v>0</v>
      </c>
      <c r="AL1609" t="b">
        <f t="shared" si="100"/>
        <v>0</v>
      </c>
      <c r="AM1609" t="b">
        <f t="shared" si="101"/>
        <v>0</v>
      </c>
      <c r="AN1609" t="b">
        <f t="shared" si="102"/>
        <v>0</v>
      </c>
      <c r="AO1609" t="b">
        <f>OR(Table67[[#This Row],[Ineligible respondents]:[Inconsistent response on opposite question (3)]])</f>
        <v>0</v>
      </c>
      <c r="AP160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1609">
        <f>Table67[[#This Row],[Extreme Response]]/21</f>
        <v>0.52380952380952384</v>
      </c>
      <c r="AR1609">
        <f>_xlfn.PERCENTILE.INC(Table67[Extrem Response Ratio (ERS)],0.9)</f>
        <v>0.61904761904761907</v>
      </c>
      <c r="AS1609" t="b">
        <f>Table67[[#This Row],[Extrem Response Ratio (ERS)]]&gt;=Table67[[#This Row],[Threshold of ERS]]</f>
        <v>0</v>
      </c>
      <c r="AT1609">
        <f>COUNTIF(Table67[[#This Row],[The mechanism of digital assets is difficult to understand, which discourages me from exploring it (E.g, Tokenization, Blockchain)]:[If I want to try different ways to invest, I will explore digital assets.]], 3)</f>
        <v>3</v>
      </c>
      <c r="AU1609">
        <f>Table67[[#This Row],[Midpoint]]/21</f>
        <v>0.14285714285714285</v>
      </c>
      <c r="AV1609">
        <f>_xlfn.PERCENTILE.INC(Table67[Midpoint ratio],0.9)</f>
        <v>0.5714285714285714</v>
      </c>
      <c r="AW1609" t="b">
        <f>Table67[[#This Row],[Midpoint ratio]]&gt;=Table67[[#This Row],[Threshold of Midpoint ratio]]</f>
        <v>0</v>
      </c>
      <c r="AX1609" t="b">
        <f>OR(Table67[[#This Row],[Extreme Response Style]],Table67[[#This Row],[Mid-point Response Style]])</f>
        <v>0</v>
      </c>
      <c r="AY1609" t="b">
        <f>OR(Table67[[#This Row],[Delete? (Stage 1)]],Table67[[#This Row],[Delete? (Stage 2)]])</f>
        <v>0</v>
      </c>
      <c r="AZ1609" t="s">
        <v>84</v>
      </c>
    </row>
    <row r="1610" spans="1:52">
      <c r="A1610">
        <f t="shared" si="103"/>
        <v>1609</v>
      </c>
      <c r="B1610" s="3">
        <v>46065.732071759259</v>
      </c>
      <c r="C1610" s="3">
        <v>46065.736064814817</v>
      </c>
      <c r="D1610" t="s">
        <v>53</v>
      </c>
      <c r="G1610" t="s">
        <v>54</v>
      </c>
      <c r="H1610" t="s">
        <v>63</v>
      </c>
      <c r="I1610" t="s">
        <v>75</v>
      </c>
      <c r="J1610" t="s">
        <v>57</v>
      </c>
      <c r="K1610" t="s">
        <v>57</v>
      </c>
      <c r="L1610" t="s">
        <v>58</v>
      </c>
      <c r="M1610" t="s">
        <v>58</v>
      </c>
      <c r="N1610">
        <v>2</v>
      </c>
      <c r="O1610">
        <v>3</v>
      </c>
      <c r="P1610">
        <v>3</v>
      </c>
      <c r="Q1610">
        <v>3</v>
      </c>
      <c r="R1610">
        <v>2</v>
      </c>
      <c r="S1610">
        <v>3</v>
      </c>
      <c r="T1610">
        <v>3</v>
      </c>
      <c r="U1610">
        <v>3</v>
      </c>
      <c r="V1610">
        <v>4</v>
      </c>
      <c r="W1610">
        <v>4</v>
      </c>
      <c r="X1610">
        <v>4</v>
      </c>
      <c r="Y1610">
        <v>4</v>
      </c>
      <c r="Z1610">
        <v>4</v>
      </c>
      <c r="AA1610">
        <v>3</v>
      </c>
      <c r="AB1610">
        <v>2</v>
      </c>
      <c r="AC1610">
        <v>3</v>
      </c>
      <c r="AD1610">
        <v>4</v>
      </c>
      <c r="AE1610">
        <v>3</v>
      </c>
      <c r="AF1610">
        <v>2</v>
      </c>
      <c r="AG1610">
        <v>3</v>
      </c>
      <c r="AH1610">
        <v>3</v>
      </c>
      <c r="AI1610">
        <v>3</v>
      </c>
      <c r="AJ1610">
        <v>4</v>
      </c>
      <c r="AK1610" t="b">
        <f>Table67[[#This Row],[What is your age?]]&lt;&gt;"18 - 25"</f>
        <v>0</v>
      </c>
      <c r="AL1610" t="b">
        <f t="shared" si="100"/>
        <v>0</v>
      </c>
      <c r="AM1610" t="b">
        <f t="shared" si="101"/>
        <v>0</v>
      </c>
      <c r="AN1610" t="b">
        <f t="shared" si="102"/>
        <v>0</v>
      </c>
      <c r="AO1610" t="b">
        <f>OR(Table67[[#This Row],[Ineligible respondents]:[Inconsistent response on opposite question (3)]])</f>
        <v>0</v>
      </c>
      <c r="AP161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610">
        <f>Table67[[#This Row],[Extreme Response]]/21</f>
        <v>0</v>
      </c>
      <c r="AR1610">
        <f>_xlfn.PERCENTILE.INC(Table67[Extrem Response Ratio (ERS)],0.9)</f>
        <v>0.61904761904761907</v>
      </c>
      <c r="AS1610" t="b">
        <f>Table67[[#This Row],[Extrem Response Ratio (ERS)]]&gt;=Table67[[#This Row],[Threshold of ERS]]</f>
        <v>0</v>
      </c>
      <c r="AT1610">
        <f>COUNTIF(Table67[[#This Row],[The mechanism of digital assets is difficult to understand, which discourages me from exploring it (E.g, Tokenization, Blockchain)]:[If I want to try different ways to invest, I will explore digital assets.]], 3)</f>
        <v>11</v>
      </c>
      <c r="AU1610">
        <f>Table67[[#This Row],[Midpoint]]/21</f>
        <v>0.52380952380952384</v>
      </c>
      <c r="AV1610">
        <f>_xlfn.PERCENTILE.INC(Table67[Midpoint ratio],0.9)</f>
        <v>0.5714285714285714</v>
      </c>
      <c r="AW1610" t="b">
        <f>Table67[[#This Row],[Midpoint ratio]]&gt;=Table67[[#This Row],[Threshold of Midpoint ratio]]</f>
        <v>0</v>
      </c>
      <c r="AX1610" t="b">
        <f>OR(Table67[[#This Row],[Extreme Response Style]],Table67[[#This Row],[Mid-point Response Style]])</f>
        <v>0</v>
      </c>
      <c r="AY1610" t="b">
        <f>OR(Table67[[#This Row],[Delete? (Stage 1)]],Table67[[#This Row],[Delete? (Stage 2)]])</f>
        <v>0</v>
      </c>
      <c r="AZ1610" t="s">
        <v>84</v>
      </c>
    </row>
    <row r="1611" spans="1:52">
      <c r="A1611">
        <f t="shared" si="103"/>
        <v>1610</v>
      </c>
      <c r="B1611" s="3">
        <v>46062.042233796295</v>
      </c>
      <c r="C1611" s="3">
        <v>46062.046261574076</v>
      </c>
      <c r="D1611" t="s">
        <v>53</v>
      </c>
      <c r="G1611" t="s">
        <v>54</v>
      </c>
      <c r="H1611" t="s">
        <v>55</v>
      </c>
      <c r="I1611" t="s">
        <v>69</v>
      </c>
      <c r="J1611" t="s">
        <v>57</v>
      </c>
      <c r="K1611" t="s">
        <v>62</v>
      </c>
      <c r="L1611" t="s">
        <v>58</v>
      </c>
      <c r="M1611" t="s">
        <v>58</v>
      </c>
      <c r="N1611">
        <v>4</v>
      </c>
      <c r="O1611">
        <v>2</v>
      </c>
      <c r="P1611">
        <v>5</v>
      </c>
      <c r="Q1611">
        <v>4</v>
      </c>
      <c r="R1611">
        <v>4</v>
      </c>
      <c r="S1611">
        <v>4</v>
      </c>
      <c r="T1611">
        <v>5</v>
      </c>
      <c r="U1611">
        <v>4</v>
      </c>
      <c r="V1611">
        <v>5</v>
      </c>
      <c r="W1611">
        <v>5</v>
      </c>
      <c r="X1611">
        <v>2</v>
      </c>
      <c r="Y1611">
        <v>2</v>
      </c>
      <c r="Z1611">
        <v>4</v>
      </c>
      <c r="AA1611">
        <v>5</v>
      </c>
      <c r="AB1611">
        <v>1</v>
      </c>
      <c r="AC1611">
        <v>3</v>
      </c>
      <c r="AD1611">
        <v>5</v>
      </c>
      <c r="AE1611">
        <v>1</v>
      </c>
      <c r="AF1611">
        <v>4</v>
      </c>
      <c r="AG1611">
        <v>5</v>
      </c>
      <c r="AH1611">
        <v>3</v>
      </c>
      <c r="AI1611">
        <v>3</v>
      </c>
      <c r="AJ1611">
        <v>2</v>
      </c>
      <c r="AK1611" t="b">
        <f>Table67[[#This Row],[What is your age?]]&lt;&gt;"18 - 25"</f>
        <v>0</v>
      </c>
      <c r="AL1611" t="b">
        <f t="shared" si="100"/>
        <v>0</v>
      </c>
      <c r="AM1611" t="b">
        <f t="shared" si="101"/>
        <v>0</v>
      </c>
      <c r="AN1611" t="b">
        <f t="shared" si="102"/>
        <v>1</v>
      </c>
      <c r="AO1611" t="b">
        <f>OR(Table67[[#This Row],[Ineligible respondents]:[Inconsistent response on opposite question (3)]])</f>
        <v>1</v>
      </c>
      <c r="AP161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1611">
        <f>Table67[[#This Row],[Extreme Response]]/21</f>
        <v>0.42857142857142855</v>
      </c>
      <c r="AR1611">
        <f>_xlfn.PERCENTILE.INC(Table67[Extrem Response Ratio (ERS)],0.9)</f>
        <v>0.61904761904761907</v>
      </c>
      <c r="AS1611" t="b">
        <f>Table67[[#This Row],[Extrem Response Ratio (ERS)]]&gt;=Table67[[#This Row],[Threshold of ERS]]</f>
        <v>0</v>
      </c>
      <c r="AT1611">
        <f>COUNTIF(Table67[[#This Row],[The mechanism of digital assets is difficult to understand, which discourages me from exploring it (E.g, Tokenization, Blockchain)]:[If I want to try different ways to invest, I will explore digital assets.]], 3)</f>
        <v>2</v>
      </c>
      <c r="AU1611">
        <f>Table67[[#This Row],[Midpoint]]/21</f>
        <v>9.5238095238095233E-2</v>
      </c>
      <c r="AV1611">
        <f>_xlfn.PERCENTILE.INC(Table67[Midpoint ratio],0.9)</f>
        <v>0.5714285714285714</v>
      </c>
      <c r="AW1611" t="b">
        <f>Table67[[#This Row],[Midpoint ratio]]&gt;=Table67[[#This Row],[Threshold of Midpoint ratio]]</f>
        <v>0</v>
      </c>
      <c r="AX1611" t="b">
        <f>OR(Table67[[#This Row],[Extreme Response Style]],Table67[[#This Row],[Mid-point Response Style]])</f>
        <v>0</v>
      </c>
      <c r="AY1611" t="b">
        <f>OR(Table67[[#This Row],[Delete? (Stage 1)]],Table67[[#This Row],[Delete? (Stage 2)]])</f>
        <v>1</v>
      </c>
      <c r="AZ1611" t="s">
        <v>84</v>
      </c>
    </row>
    <row r="1612" spans="1:52">
      <c r="A1612">
        <f t="shared" si="103"/>
        <v>1611</v>
      </c>
      <c r="B1612" s="3">
        <v>46065.729178240741</v>
      </c>
      <c r="C1612" s="3">
        <v>46065.729664351849</v>
      </c>
      <c r="D1612" t="s">
        <v>53</v>
      </c>
      <c r="G1612" t="s">
        <v>54</v>
      </c>
      <c r="H1612" t="s">
        <v>55</v>
      </c>
      <c r="I1612" t="s">
        <v>71</v>
      </c>
      <c r="J1612" t="s">
        <v>62</v>
      </c>
      <c r="K1612" t="s">
        <v>62</v>
      </c>
      <c r="L1612" t="s">
        <v>58</v>
      </c>
      <c r="M1612" t="s">
        <v>58</v>
      </c>
      <c r="N1612">
        <v>1</v>
      </c>
      <c r="O1612">
        <v>1</v>
      </c>
      <c r="P1612">
        <v>2</v>
      </c>
      <c r="Q1612">
        <v>2</v>
      </c>
      <c r="R1612">
        <v>1</v>
      </c>
      <c r="S1612">
        <v>2</v>
      </c>
      <c r="T1612">
        <v>2</v>
      </c>
      <c r="U1612">
        <v>2</v>
      </c>
      <c r="V1612">
        <v>2</v>
      </c>
      <c r="W1612">
        <v>2</v>
      </c>
      <c r="X1612">
        <v>2</v>
      </c>
      <c r="Y1612">
        <v>2</v>
      </c>
      <c r="Z1612">
        <v>2</v>
      </c>
      <c r="AA1612">
        <v>2</v>
      </c>
      <c r="AB1612">
        <v>2</v>
      </c>
      <c r="AC1612">
        <v>2</v>
      </c>
      <c r="AD1612">
        <v>2</v>
      </c>
      <c r="AE1612">
        <v>2</v>
      </c>
      <c r="AF1612">
        <v>3</v>
      </c>
      <c r="AG1612">
        <v>3</v>
      </c>
      <c r="AH1612">
        <v>3</v>
      </c>
      <c r="AI1612">
        <v>3</v>
      </c>
      <c r="AJ1612">
        <v>3</v>
      </c>
      <c r="AK1612" t="b">
        <f>Table67[[#This Row],[What is your age?]]&lt;&gt;"18 - 25"</f>
        <v>0</v>
      </c>
      <c r="AL1612" t="b">
        <f t="shared" si="100"/>
        <v>0</v>
      </c>
      <c r="AM1612" t="b">
        <f t="shared" si="101"/>
        <v>0</v>
      </c>
      <c r="AN1612" t="b">
        <f t="shared" si="102"/>
        <v>0</v>
      </c>
      <c r="AO1612" t="b">
        <f>OR(Table67[[#This Row],[Ineligible respondents]:[Inconsistent response on opposite question (3)]])</f>
        <v>0</v>
      </c>
      <c r="AP161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612">
        <f>Table67[[#This Row],[Extreme Response]]/21</f>
        <v>0.14285714285714285</v>
      </c>
      <c r="AR1612">
        <f>_xlfn.PERCENTILE.INC(Table67[Extrem Response Ratio (ERS)],0.9)</f>
        <v>0.61904761904761907</v>
      </c>
      <c r="AS1612" t="b">
        <f>Table67[[#This Row],[Extrem Response Ratio (ERS)]]&gt;=Table67[[#This Row],[Threshold of ERS]]</f>
        <v>0</v>
      </c>
      <c r="AT1612">
        <f>COUNTIF(Table67[[#This Row],[The mechanism of digital assets is difficult to understand, which discourages me from exploring it (E.g, Tokenization, Blockchain)]:[If I want to try different ways to invest, I will explore digital assets.]], 3)</f>
        <v>3</v>
      </c>
      <c r="AU1612">
        <f>Table67[[#This Row],[Midpoint]]/21</f>
        <v>0.14285714285714285</v>
      </c>
      <c r="AV1612">
        <f>_xlfn.PERCENTILE.INC(Table67[Midpoint ratio],0.9)</f>
        <v>0.5714285714285714</v>
      </c>
      <c r="AW1612" t="b">
        <f>Table67[[#This Row],[Midpoint ratio]]&gt;=Table67[[#This Row],[Threshold of Midpoint ratio]]</f>
        <v>0</v>
      </c>
      <c r="AX1612" t="b">
        <f>OR(Table67[[#This Row],[Extreme Response Style]],Table67[[#This Row],[Mid-point Response Style]])</f>
        <v>0</v>
      </c>
      <c r="AY1612" t="b">
        <f>OR(Table67[[#This Row],[Delete? (Stage 1)]],Table67[[#This Row],[Delete? (Stage 2)]])</f>
        <v>0</v>
      </c>
      <c r="AZ1612" t="s">
        <v>84</v>
      </c>
    </row>
    <row r="1613" spans="1:52">
      <c r="A1613">
        <f t="shared" si="103"/>
        <v>1612</v>
      </c>
      <c r="B1613" s="3">
        <v>46065.861585648148</v>
      </c>
      <c r="C1613" s="3">
        <v>46065.862835648149</v>
      </c>
      <c r="D1613" t="s">
        <v>53</v>
      </c>
      <c r="G1613" t="s">
        <v>54</v>
      </c>
      <c r="H1613" t="s">
        <v>55</v>
      </c>
      <c r="I1613" t="s">
        <v>69</v>
      </c>
      <c r="J1613" t="s">
        <v>62</v>
      </c>
      <c r="K1613" t="s">
        <v>62</v>
      </c>
      <c r="L1613" t="s">
        <v>58</v>
      </c>
      <c r="M1613" t="s">
        <v>61</v>
      </c>
      <c r="N1613">
        <v>1</v>
      </c>
      <c r="O1613">
        <v>1</v>
      </c>
      <c r="P1613">
        <v>2</v>
      </c>
      <c r="Q1613">
        <v>3</v>
      </c>
      <c r="R1613">
        <v>1</v>
      </c>
      <c r="S1613">
        <v>3</v>
      </c>
      <c r="T1613">
        <v>3</v>
      </c>
      <c r="U1613">
        <v>2</v>
      </c>
      <c r="V1613">
        <v>3</v>
      </c>
      <c r="W1613">
        <v>4</v>
      </c>
      <c r="X1613">
        <v>4</v>
      </c>
      <c r="Y1613">
        <v>3</v>
      </c>
      <c r="Z1613">
        <v>4</v>
      </c>
      <c r="AA1613">
        <v>3</v>
      </c>
      <c r="AB1613">
        <v>4</v>
      </c>
      <c r="AC1613">
        <v>2</v>
      </c>
      <c r="AD1613">
        <v>4</v>
      </c>
      <c r="AE1613">
        <v>4</v>
      </c>
      <c r="AF1613">
        <v>4</v>
      </c>
      <c r="AG1613">
        <v>2</v>
      </c>
      <c r="AH1613">
        <v>5</v>
      </c>
      <c r="AI1613">
        <v>1</v>
      </c>
      <c r="AJ1613">
        <v>2</v>
      </c>
      <c r="AK1613" t="b">
        <f>Table67[[#This Row],[What is your age?]]&lt;&gt;"18 - 25"</f>
        <v>0</v>
      </c>
      <c r="AL1613" t="b">
        <f t="shared" si="100"/>
        <v>0</v>
      </c>
      <c r="AM1613" t="b">
        <f t="shared" si="101"/>
        <v>0</v>
      </c>
      <c r="AN1613" t="b">
        <f t="shared" si="102"/>
        <v>0</v>
      </c>
      <c r="AO1613" t="b">
        <f>OR(Table67[[#This Row],[Ineligible respondents]:[Inconsistent response on opposite question (3)]])</f>
        <v>0</v>
      </c>
      <c r="AP161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613">
        <f>Table67[[#This Row],[Extreme Response]]/21</f>
        <v>0.19047619047619047</v>
      </c>
      <c r="AR1613">
        <f>_xlfn.PERCENTILE.INC(Table67[Extrem Response Ratio (ERS)],0.9)</f>
        <v>0.61904761904761907</v>
      </c>
      <c r="AS1613" t="b">
        <f>Table67[[#This Row],[Extrem Response Ratio (ERS)]]&gt;=Table67[[#This Row],[Threshold of ERS]]</f>
        <v>0</v>
      </c>
      <c r="AT1613">
        <f>COUNTIF(Table67[[#This Row],[The mechanism of digital assets is difficult to understand, which discourages me from exploring it (E.g, Tokenization, Blockchain)]:[If I want to try different ways to invest, I will explore digital assets.]], 3)</f>
        <v>6</v>
      </c>
      <c r="AU1613">
        <f>Table67[[#This Row],[Midpoint]]/21</f>
        <v>0.2857142857142857</v>
      </c>
      <c r="AV1613">
        <f>_xlfn.PERCENTILE.INC(Table67[Midpoint ratio],0.9)</f>
        <v>0.5714285714285714</v>
      </c>
      <c r="AW1613" t="b">
        <f>Table67[[#This Row],[Midpoint ratio]]&gt;=Table67[[#This Row],[Threshold of Midpoint ratio]]</f>
        <v>0</v>
      </c>
      <c r="AX1613" t="b">
        <f>OR(Table67[[#This Row],[Extreme Response Style]],Table67[[#This Row],[Mid-point Response Style]])</f>
        <v>0</v>
      </c>
      <c r="AY1613" t="b">
        <f>OR(Table67[[#This Row],[Delete? (Stage 1)]],Table67[[#This Row],[Delete? (Stage 2)]])</f>
        <v>0</v>
      </c>
      <c r="AZ1613" t="s">
        <v>84</v>
      </c>
    </row>
    <row r="1614" spans="1:52">
      <c r="A1614">
        <f t="shared" si="103"/>
        <v>1613</v>
      </c>
      <c r="B1614" s="3">
        <v>46062.024317129632</v>
      </c>
      <c r="C1614" s="3">
        <v>46062.026435185187</v>
      </c>
      <c r="D1614" t="s">
        <v>53</v>
      </c>
      <c r="G1614" t="s">
        <v>54</v>
      </c>
      <c r="H1614" t="s">
        <v>63</v>
      </c>
      <c r="I1614" t="s">
        <v>56</v>
      </c>
      <c r="J1614" t="s">
        <v>62</v>
      </c>
      <c r="K1614" t="s">
        <v>62</v>
      </c>
      <c r="L1614" t="s">
        <v>58</v>
      </c>
      <c r="M1614" t="s">
        <v>58</v>
      </c>
      <c r="N1614">
        <v>4</v>
      </c>
      <c r="O1614">
        <v>3</v>
      </c>
      <c r="P1614">
        <v>3</v>
      </c>
      <c r="Q1614">
        <v>4</v>
      </c>
      <c r="R1614">
        <v>2</v>
      </c>
      <c r="S1614">
        <v>2</v>
      </c>
      <c r="T1614">
        <v>3</v>
      </c>
      <c r="U1614">
        <v>4</v>
      </c>
      <c r="V1614">
        <v>3</v>
      </c>
      <c r="W1614">
        <v>2</v>
      </c>
      <c r="X1614">
        <v>2</v>
      </c>
      <c r="Y1614">
        <v>2</v>
      </c>
      <c r="Z1614">
        <v>3</v>
      </c>
      <c r="AA1614">
        <v>3</v>
      </c>
      <c r="AB1614">
        <v>2</v>
      </c>
      <c r="AC1614">
        <v>3</v>
      </c>
      <c r="AD1614">
        <v>3</v>
      </c>
      <c r="AE1614">
        <v>2</v>
      </c>
      <c r="AF1614">
        <v>4</v>
      </c>
      <c r="AG1614">
        <v>3</v>
      </c>
      <c r="AH1614">
        <v>2</v>
      </c>
      <c r="AI1614">
        <v>4</v>
      </c>
      <c r="AJ1614">
        <v>2</v>
      </c>
      <c r="AK1614" t="b">
        <f>Table67[[#This Row],[What is your age?]]&lt;&gt;"18 - 25"</f>
        <v>0</v>
      </c>
      <c r="AL1614" t="b">
        <f t="shared" si="100"/>
        <v>0</v>
      </c>
      <c r="AM1614" t="b">
        <f t="shared" si="101"/>
        <v>0</v>
      </c>
      <c r="AN1614" t="b">
        <f t="shared" si="102"/>
        <v>1</v>
      </c>
      <c r="AO1614" t="b">
        <f>OR(Table67[[#This Row],[Ineligible respondents]:[Inconsistent response on opposite question (3)]])</f>
        <v>1</v>
      </c>
      <c r="AP161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614">
        <f>Table67[[#This Row],[Extreme Response]]/21</f>
        <v>0</v>
      </c>
      <c r="AR1614">
        <f>_xlfn.PERCENTILE.INC(Table67[Extrem Response Ratio (ERS)],0.9)</f>
        <v>0.61904761904761907</v>
      </c>
      <c r="AS1614" t="b">
        <f>Table67[[#This Row],[Extrem Response Ratio (ERS)]]&gt;=Table67[[#This Row],[Threshold of ERS]]</f>
        <v>0</v>
      </c>
      <c r="AT1614">
        <f>COUNTIF(Table67[[#This Row],[The mechanism of digital assets is difficult to understand, which discourages me from exploring it (E.g, Tokenization, Blockchain)]:[If I want to try different ways to invest, I will explore digital assets.]], 3)</f>
        <v>9</v>
      </c>
      <c r="AU1614">
        <f>Table67[[#This Row],[Midpoint]]/21</f>
        <v>0.42857142857142855</v>
      </c>
      <c r="AV1614">
        <f>_xlfn.PERCENTILE.INC(Table67[Midpoint ratio],0.9)</f>
        <v>0.5714285714285714</v>
      </c>
      <c r="AW1614" t="b">
        <f>Table67[[#This Row],[Midpoint ratio]]&gt;=Table67[[#This Row],[Threshold of Midpoint ratio]]</f>
        <v>0</v>
      </c>
      <c r="AX1614" t="b">
        <f>OR(Table67[[#This Row],[Extreme Response Style]],Table67[[#This Row],[Mid-point Response Style]])</f>
        <v>0</v>
      </c>
      <c r="AY1614" t="b">
        <f>OR(Table67[[#This Row],[Delete? (Stage 1)]],Table67[[#This Row],[Delete? (Stage 2)]])</f>
        <v>1</v>
      </c>
      <c r="AZ1614" t="s">
        <v>84</v>
      </c>
    </row>
    <row r="1615" spans="1:52">
      <c r="A1615">
        <f t="shared" si="103"/>
        <v>1614</v>
      </c>
      <c r="B1615" s="3">
        <v>46065.832812499997</v>
      </c>
      <c r="C1615" s="3">
        <v>46065.83556712963</v>
      </c>
      <c r="D1615" t="s">
        <v>53</v>
      </c>
      <c r="G1615" t="s">
        <v>54</v>
      </c>
      <c r="H1615" t="s">
        <v>63</v>
      </c>
      <c r="I1615" t="s">
        <v>75</v>
      </c>
      <c r="J1615" t="s">
        <v>62</v>
      </c>
      <c r="K1615" t="s">
        <v>57</v>
      </c>
      <c r="L1615" t="s">
        <v>58</v>
      </c>
      <c r="M1615" t="s">
        <v>61</v>
      </c>
      <c r="N1615">
        <v>2</v>
      </c>
      <c r="O1615">
        <v>2</v>
      </c>
      <c r="P1615">
        <v>2</v>
      </c>
      <c r="Q1615">
        <v>2</v>
      </c>
      <c r="R1615">
        <v>2</v>
      </c>
      <c r="S1615">
        <v>4</v>
      </c>
      <c r="T1615">
        <v>4</v>
      </c>
      <c r="U1615">
        <v>2</v>
      </c>
      <c r="V1615">
        <v>2</v>
      </c>
      <c r="W1615">
        <v>2</v>
      </c>
      <c r="X1615">
        <v>3</v>
      </c>
      <c r="Y1615">
        <v>2</v>
      </c>
      <c r="Z1615">
        <v>3</v>
      </c>
      <c r="AA1615">
        <v>3</v>
      </c>
      <c r="AB1615">
        <v>3</v>
      </c>
      <c r="AC1615">
        <v>2</v>
      </c>
      <c r="AD1615">
        <v>4</v>
      </c>
      <c r="AE1615">
        <v>4</v>
      </c>
      <c r="AF1615">
        <v>3</v>
      </c>
      <c r="AG1615">
        <v>2</v>
      </c>
      <c r="AH1615">
        <v>5</v>
      </c>
      <c r="AI1615">
        <v>1</v>
      </c>
      <c r="AJ1615">
        <v>3</v>
      </c>
      <c r="AK1615" t="b">
        <f>Table67[[#This Row],[What is your age?]]&lt;&gt;"18 - 25"</f>
        <v>0</v>
      </c>
      <c r="AL1615" t="b">
        <f t="shared" si="100"/>
        <v>0</v>
      </c>
      <c r="AM1615" t="b">
        <f t="shared" si="101"/>
        <v>0</v>
      </c>
      <c r="AN1615" t="b">
        <f t="shared" si="102"/>
        <v>0</v>
      </c>
      <c r="AO1615" t="b">
        <f>OR(Table67[[#This Row],[Ineligible respondents]:[Inconsistent response on opposite question (3)]])</f>
        <v>0</v>
      </c>
      <c r="AP161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615">
        <f>Table67[[#This Row],[Extreme Response]]/21</f>
        <v>4.7619047619047616E-2</v>
      </c>
      <c r="AR1615">
        <f>_xlfn.PERCENTILE.INC(Table67[Extrem Response Ratio (ERS)],0.9)</f>
        <v>0.61904761904761907</v>
      </c>
      <c r="AS1615" t="b">
        <f>Table67[[#This Row],[Extrem Response Ratio (ERS)]]&gt;=Table67[[#This Row],[Threshold of ERS]]</f>
        <v>0</v>
      </c>
      <c r="AT1615">
        <f>COUNTIF(Table67[[#This Row],[The mechanism of digital assets is difficult to understand, which discourages me from exploring it (E.g, Tokenization, Blockchain)]:[If I want to try different ways to invest, I will explore digital assets.]], 3)</f>
        <v>5</v>
      </c>
      <c r="AU1615">
        <f>Table67[[#This Row],[Midpoint]]/21</f>
        <v>0.23809523809523808</v>
      </c>
      <c r="AV1615">
        <f>_xlfn.PERCENTILE.INC(Table67[Midpoint ratio],0.9)</f>
        <v>0.5714285714285714</v>
      </c>
      <c r="AW1615" t="b">
        <f>Table67[[#This Row],[Midpoint ratio]]&gt;=Table67[[#This Row],[Threshold of Midpoint ratio]]</f>
        <v>0</v>
      </c>
      <c r="AX1615" t="b">
        <f>OR(Table67[[#This Row],[Extreme Response Style]],Table67[[#This Row],[Mid-point Response Style]])</f>
        <v>0</v>
      </c>
      <c r="AY1615" t="b">
        <f>OR(Table67[[#This Row],[Delete? (Stage 1)]],Table67[[#This Row],[Delete? (Stage 2)]])</f>
        <v>0</v>
      </c>
      <c r="AZ1615" t="s">
        <v>84</v>
      </c>
    </row>
    <row r="1616" spans="1:52">
      <c r="A1616">
        <f t="shared" si="103"/>
        <v>1615</v>
      </c>
      <c r="B1616" s="3">
        <v>46065.832939814813</v>
      </c>
      <c r="C1616" s="3">
        <v>46065.833402777775</v>
      </c>
      <c r="D1616" t="s">
        <v>53</v>
      </c>
      <c r="G1616" t="s">
        <v>54</v>
      </c>
      <c r="H1616" t="s">
        <v>55</v>
      </c>
      <c r="I1616" t="s">
        <v>69</v>
      </c>
      <c r="J1616" t="s">
        <v>62</v>
      </c>
      <c r="K1616" t="s">
        <v>60</v>
      </c>
      <c r="L1616" t="s">
        <v>61</v>
      </c>
      <c r="M1616" t="s">
        <v>61</v>
      </c>
      <c r="N1616">
        <v>2</v>
      </c>
      <c r="O1616">
        <v>2</v>
      </c>
      <c r="P1616">
        <v>2</v>
      </c>
      <c r="Q1616">
        <v>3</v>
      </c>
      <c r="R1616">
        <v>1</v>
      </c>
      <c r="S1616">
        <v>2</v>
      </c>
      <c r="T1616">
        <v>2</v>
      </c>
      <c r="U1616">
        <v>3</v>
      </c>
      <c r="V1616">
        <v>4</v>
      </c>
      <c r="W1616">
        <v>3</v>
      </c>
      <c r="X1616">
        <v>3</v>
      </c>
      <c r="Y1616">
        <v>3</v>
      </c>
      <c r="Z1616">
        <v>2</v>
      </c>
      <c r="AA1616">
        <v>2</v>
      </c>
      <c r="AB1616">
        <v>2</v>
      </c>
      <c r="AC1616">
        <v>3</v>
      </c>
      <c r="AD1616">
        <v>2</v>
      </c>
      <c r="AE1616">
        <v>2</v>
      </c>
      <c r="AF1616">
        <v>4</v>
      </c>
      <c r="AG1616">
        <v>2</v>
      </c>
      <c r="AH1616">
        <v>5</v>
      </c>
      <c r="AI1616">
        <v>1</v>
      </c>
      <c r="AJ1616">
        <v>2</v>
      </c>
      <c r="AK1616" t="b">
        <f>Table67[[#This Row],[What is your age?]]&lt;&gt;"18 - 25"</f>
        <v>0</v>
      </c>
      <c r="AL1616" t="b">
        <f t="shared" si="100"/>
        <v>0</v>
      </c>
      <c r="AM1616" t="b">
        <f t="shared" si="101"/>
        <v>0</v>
      </c>
      <c r="AN1616" t="b">
        <f t="shared" si="102"/>
        <v>0</v>
      </c>
      <c r="AO1616" t="b">
        <f>OR(Table67[[#This Row],[Ineligible respondents]:[Inconsistent response on opposite question (3)]])</f>
        <v>0</v>
      </c>
      <c r="AP161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616">
        <f>Table67[[#This Row],[Extreme Response]]/21</f>
        <v>9.5238095238095233E-2</v>
      </c>
      <c r="AR1616">
        <f>_xlfn.PERCENTILE.INC(Table67[Extrem Response Ratio (ERS)],0.9)</f>
        <v>0.61904761904761907</v>
      </c>
      <c r="AS1616" t="b">
        <f>Table67[[#This Row],[Extrem Response Ratio (ERS)]]&gt;=Table67[[#This Row],[Threshold of ERS]]</f>
        <v>0</v>
      </c>
      <c r="AT1616">
        <f>COUNTIF(Table67[[#This Row],[The mechanism of digital assets is difficult to understand, which discourages me from exploring it (E.g, Tokenization, Blockchain)]:[If I want to try different ways to invest, I will explore digital assets.]], 3)</f>
        <v>6</v>
      </c>
      <c r="AU1616">
        <f>Table67[[#This Row],[Midpoint]]/21</f>
        <v>0.2857142857142857</v>
      </c>
      <c r="AV1616">
        <f>_xlfn.PERCENTILE.INC(Table67[Midpoint ratio],0.9)</f>
        <v>0.5714285714285714</v>
      </c>
      <c r="AW1616" t="b">
        <f>Table67[[#This Row],[Midpoint ratio]]&gt;=Table67[[#This Row],[Threshold of Midpoint ratio]]</f>
        <v>0</v>
      </c>
      <c r="AX1616" t="b">
        <f>OR(Table67[[#This Row],[Extreme Response Style]],Table67[[#This Row],[Mid-point Response Style]])</f>
        <v>0</v>
      </c>
      <c r="AY1616" t="b">
        <f>OR(Table67[[#This Row],[Delete? (Stage 1)]],Table67[[#This Row],[Delete? (Stage 2)]])</f>
        <v>0</v>
      </c>
      <c r="AZ1616" t="s">
        <v>84</v>
      </c>
    </row>
    <row r="1617" spans="1:52">
      <c r="A1617">
        <f t="shared" si="103"/>
        <v>1616</v>
      </c>
      <c r="B1617" s="3">
        <v>46065.725057870368</v>
      </c>
      <c r="C1617" s="3">
        <v>46065.725428240738</v>
      </c>
      <c r="D1617" t="s">
        <v>53</v>
      </c>
      <c r="G1617" t="s">
        <v>54</v>
      </c>
      <c r="H1617" t="s">
        <v>63</v>
      </c>
      <c r="I1617" t="s">
        <v>56</v>
      </c>
      <c r="J1617" t="s">
        <v>67</v>
      </c>
      <c r="K1617" t="s">
        <v>57</v>
      </c>
      <c r="L1617" t="s">
        <v>58</v>
      </c>
      <c r="M1617" t="s">
        <v>58</v>
      </c>
      <c r="N1617">
        <v>1</v>
      </c>
      <c r="O1617">
        <v>1</v>
      </c>
      <c r="P1617">
        <v>2</v>
      </c>
      <c r="Q1617">
        <v>2</v>
      </c>
      <c r="R1617">
        <v>2</v>
      </c>
      <c r="S1617">
        <v>3</v>
      </c>
      <c r="T1617">
        <v>2</v>
      </c>
      <c r="U1617">
        <v>1</v>
      </c>
      <c r="V1617">
        <v>3</v>
      </c>
      <c r="W1617">
        <v>4</v>
      </c>
      <c r="X1617">
        <v>4</v>
      </c>
      <c r="Y1617">
        <v>4</v>
      </c>
      <c r="Z1617">
        <v>4</v>
      </c>
      <c r="AA1617">
        <v>2</v>
      </c>
      <c r="AB1617">
        <v>2</v>
      </c>
      <c r="AC1617">
        <v>2</v>
      </c>
      <c r="AD1617">
        <v>4</v>
      </c>
      <c r="AE1617">
        <v>3</v>
      </c>
      <c r="AF1617">
        <v>3</v>
      </c>
      <c r="AG1617">
        <v>3</v>
      </c>
      <c r="AH1617">
        <v>3</v>
      </c>
      <c r="AI1617">
        <v>3</v>
      </c>
      <c r="AJ1617">
        <v>3</v>
      </c>
      <c r="AK1617" t="b">
        <f>Table67[[#This Row],[What is your age?]]&lt;&gt;"18 - 25"</f>
        <v>0</v>
      </c>
      <c r="AL1617" t="b">
        <f t="shared" si="100"/>
        <v>0</v>
      </c>
      <c r="AM1617" t="b">
        <f t="shared" si="101"/>
        <v>0</v>
      </c>
      <c r="AN1617" t="b">
        <f t="shared" si="102"/>
        <v>0</v>
      </c>
      <c r="AO1617" t="b">
        <f>OR(Table67[[#This Row],[Ineligible respondents]:[Inconsistent response on opposite question (3)]])</f>
        <v>0</v>
      </c>
      <c r="AP161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617">
        <f>Table67[[#This Row],[Extreme Response]]/21</f>
        <v>0.14285714285714285</v>
      </c>
      <c r="AR1617">
        <f>_xlfn.PERCENTILE.INC(Table67[Extrem Response Ratio (ERS)],0.9)</f>
        <v>0.61904761904761907</v>
      </c>
      <c r="AS1617" t="b">
        <f>Table67[[#This Row],[Extrem Response Ratio (ERS)]]&gt;=Table67[[#This Row],[Threshold of ERS]]</f>
        <v>0</v>
      </c>
      <c r="AT1617">
        <f>COUNTIF(Table67[[#This Row],[The mechanism of digital assets is difficult to understand, which discourages me from exploring it (E.g, Tokenization, Blockchain)]:[If I want to try different ways to invest, I will explore digital assets.]], 3)</f>
        <v>6</v>
      </c>
      <c r="AU1617">
        <f>Table67[[#This Row],[Midpoint]]/21</f>
        <v>0.2857142857142857</v>
      </c>
      <c r="AV1617">
        <f>_xlfn.PERCENTILE.INC(Table67[Midpoint ratio],0.9)</f>
        <v>0.5714285714285714</v>
      </c>
      <c r="AW1617" t="b">
        <f>Table67[[#This Row],[Midpoint ratio]]&gt;=Table67[[#This Row],[Threshold of Midpoint ratio]]</f>
        <v>0</v>
      </c>
      <c r="AX1617" t="b">
        <f>OR(Table67[[#This Row],[Extreme Response Style]],Table67[[#This Row],[Mid-point Response Style]])</f>
        <v>0</v>
      </c>
      <c r="AY1617" t="b">
        <f>OR(Table67[[#This Row],[Delete? (Stage 1)]],Table67[[#This Row],[Delete? (Stage 2)]])</f>
        <v>0</v>
      </c>
      <c r="AZ1617" t="s">
        <v>84</v>
      </c>
    </row>
    <row r="1618" spans="1:52">
      <c r="A1618">
        <f t="shared" si="103"/>
        <v>1617</v>
      </c>
      <c r="B1618" s="3">
        <v>46062.097210648149</v>
      </c>
      <c r="C1618" s="3">
        <v>46062.109988425924</v>
      </c>
      <c r="D1618" t="s">
        <v>53</v>
      </c>
      <c r="G1618" t="s">
        <v>54</v>
      </c>
      <c r="H1618" t="s">
        <v>55</v>
      </c>
      <c r="I1618" t="s">
        <v>56</v>
      </c>
      <c r="J1618" t="s">
        <v>62</v>
      </c>
      <c r="K1618" t="s">
        <v>62</v>
      </c>
      <c r="L1618" t="s">
        <v>58</v>
      </c>
      <c r="M1618" t="s">
        <v>58</v>
      </c>
      <c r="N1618">
        <v>3</v>
      </c>
      <c r="O1618">
        <v>2</v>
      </c>
      <c r="P1618">
        <v>5</v>
      </c>
      <c r="Q1618">
        <v>4</v>
      </c>
      <c r="R1618">
        <v>5</v>
      </c>
      <c r="S1618">
        <v>5</v>
      </c>
      <c r="T1618">
        <v>2</v>
      </c>
      <c r="U1618">
        <v>3</v>
      </c>
      <c r="V1618">
        <v>4</v>
      </c>
      <c r="W1618">
        <v>4</v>
      </c>
      <c r="X1618">
        <v>4</v>
      </c>
      <c r="Y1618">
        <v>4</v>
      </c>
      <c r="Z1618">
        <v>4</v>
      </c>
      <c r="AA1618">
        <v>3</v>
      </c>
      <c r="AB1618">
        <v>2</v>
      </c>
      <c r="AC1618">
        <v>2</v>
      </c>
      <c r="AD1618">
        <v>5</v>
      </c>
      <c r="AE1618">
        <v>4</v>
      </c>
      <c r="AF1618">
        <v>4</v>
      </c>
      <c r="AG1618">
        <v>2</v>
      </c>
      <c r="AH1618">
        <v>3</v>
      </c>
      <c r="AI1618">
        <v>3</v>
      </c>
      <c r="AJ1618">
        <v>2</v>
      </c>
      <c r="AK1618" t="b">
        <f>Table67[[#This Row],[What is your age?]]&lt;&gt;"18 - 25"</f>
        <v>0</v>
      </c>
      <c r="AL1618" t="b">
        <f t="shared" si="100"/>
        <v>0</v>
      </c>
      <c r="AM1618" t="b">
        <f t="shared" si="101"/>
        <v>0</v>
      </c>
      <c r="AN1618" t="b">
        <f t="shared" si="102"/>
        <v>1</v>
      </c>
      <c r="AO1618" t="b">
        <f>OR(Table67[[#This Row],[Ineligible respondents]:[Inconsistent response on opposite question (3)]])</f>
        <v>1</v>
      </c>
      <c r="AP161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618">
        <f>Table67[[#This Row],[Extreme Response]]/21</f>
        <v>0.19047619047619047</v>
      </c>
      <c r="AR1618">
        <f>_xlfn.PERCENTILE.INC(Table67[Extrem Response Ratio (ERS)],0.9)</f>
        <v>0.61904761904761907</v>
      </c>
      <c r="AS1618" t="b">
        <f>Table67[[#This Row],[Extrem Response Ratio (ERS)]]&gt;=Table67[[#This Row],[Threshold of ERS]]</f>
        <v>0</v>
      </c>
      <c r="AT1618">
        <f>COUNTIF(Table67[[#This Row],[The mechanism of digital assets is difficult to understand, which discourages me from exploring it (E.g, Tokenization, Blockchain)]:[If I want to try different ways to invest, I will explore digital assets.]], 3)</f>
        <v>4</v>
      </c>
      <c r="AU1618">
        <f>Table67[[#This Row],[Midpoint]]/21</f>
        <v>0.19047619047619047</v>
      </c>
      <c r="AV1618">
        <f>_xlfn.PERCENTILE.INC(Table67[Midpoint ratio],0.9)</f>
        <v>0.5714285714285714</v>
      </c>
      <c r="AW1618" t="b">
        <f>Table67[[#This Row],[Midpoint ratio]]&gt;=Table67[[#This Row],[Threshold of Midpoint ratio]]</f>
        <v>0</v>
      </c>
      <c r="AX1618" t="b">
        <f>OR(Table67[[#This Row],[Extreme Response Style]],Table67[[#This Row],[Mid-point Response Style]])</f>
        <v>0</v>
      </c>
      <c r="AY1618" t="b">
        <f>OR(Table67[[#This Row],[Delete? (Stage 1)]],Table67[[#This Row],[Delete? (Stage 2)]])</f>
        <v>1</v>
      </c>
      <c r="AZ1618" t="s">
        <v>84</v>
      </c>
    </row>
    <row r="1619" spans="1:52">
      <c r="A1619">
        <f t="shared" si="103"/>
        <v>1618</v>
      </c>
      <c r="B1619" s="3">
        <v>46065.837465277778</v>
      </c>
      <c r="C1619" s="3">
        <v>46065.844328703701</v>
      </c>
      <c r="D1619" t="s">
        <v>53</v>
      </c>
      <c r="G1619" t="s">
        <v>54</v>
      </c>
      <c r="H1619" t="s">
        <v>55</v>
      </c>
      <c r="I1619" t="s">
        <v>56</v>
      </c>
      <c r="J1619" t="s">
        <v>67</v>
      </c>
      <c r="K1619" t="s">
        <v>57</v>
      </c>
      <c r="L1619" t="s">
        <v>61</v>
      </c>
      <c r="M1619" t="s">
        <v>61</v>
      </c>
      <c r="N1619">
        <v>2</v>
      </c>
      <c r="O1619">
        <v>2</v>
      </c>
      <c r="P1619">
        <v>3</v>
      </c>
      <c r="Q1619">
        <v>3</v>
      </c>
      <c r="R1619">
        <v>2</v>
      </c>
      <c r="S1619">
        <v>4</v>
      </c>
      <c r="T1619">
        <v>4</v>
      </c>
      <c r="U1619">
        <v>3</v>
      </c>
      <c r="V1619">
        <v>5</v>
      </c>
      <c r="W1619">
        <v>4</v>
      </c>
      <c r="X1619">
        <v>5</v>
      </c>
      <c r="Y1619">
        <v>4</v>
      </c>
      <c r="Z1619">
        <v>5</v>
      </c>
      <c r="AA1619">
        <v>4</v>
      </c>
      <c r="AB1619">
        <v>3</v>
      </c>
      <c r="AC1619">
        <v>3</v>
      </c>
      <c r="AD1619">
        <v>5</v>
      </c>
      <c r="AE1619">
        <v>5</v>
      </c>
      <c r="AF1619">
        <v>4</v>
      </c>
      <c r="AG1619">
        <v>3</v>
      </c>
      <c r="AH1619">
        <v>3</v>
      </c>
      <c r="AI1619">
        <v>3</v>
      </c>
      <c r="AJ1619">
        <v>2</v>
      </c>
      <c r="AK1619" t="b">
        <f>Table67[[#This Row],[What is your age?]]&lt;&gt;"18 - 25"</f>
        <v>0</v>
      </c>
      <c r="AL1619" t="b">
        <f t="shared" si="100"/>
        <v>0</v>
      </c>
      <c r="AM1619" t="b">
        <f t="shared" si="101"/>
        <v>0</v>
      </c>
      <c r="AN1619" t="b">
        <f t="shared" si="102"/>
        <v>0</v>
      </c>
      <c r="AO1619" t="b">
        <f>OR(Table67[[#This Row],[Ineligible respondents]:[Inconsistent response on opposite question (3)]])</f>
        <v>0</v>
      </c>
      <c r="AP161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619">
        <f>Table67[[#This Row],[Extreme Response]]/21</f>
        <v>0.23809523809523808</v>
      </c>
      <c r="AR1619">
        <f>_xlfn.PERCENTILE.INC(Table67[Extrem Response Ratio (ERS)],0.9)</f>
        <v>0.61904761904761907</v>
      </c>
      <c r="AS1619" t="b">
        <f>Table67[[#This Row],[Extrem Response Ratio (ERS)]]&gt;=Table67[[#This Row],[Threshold of ERS]]</f>
        <v>0</v>
      </c>
      <c r="AT1619">
        <f>COUNTIF(Table67[[#This Row],[The mechanism of digital assets is difficult to understand, which discourages me from exploring it (E.g, Tokenization, Blockchain)]:[If I want to try different ways to invest, I will explore digital assets.]], 3)</f>
        <v>7</v>
      </c>
      <c r="AU1619">
        <f>Table67[[#This Row],[Midpoint]]/21</f>
        <v>0.33333333333333331</v>
      </c>
      <c r="AV1619">
        <f>_xlfn.PERCENTILE.INC(Table67[Midpoint ratio],0.9)</f>
        <v>0.5714285714285714</v>
      </c>
      <c r="AW1619" t="b">
        <f>Table67[[#This Row],[Midpoint ratio]]&gt;=Table67[[#This Row],[Threshold of Midpoint ratio]]</f>
        <v>0</v>
      </c>
      <c r="AX1619" t="b">
        <f>OR(Table67[[#This Row],[Extreme Response Style]],Table67[[#This Row],[Mid-point Response Style]])</f>
        <v>0</v>
      </c>
      <c r="AY1619" t="b">
        <f>OR(Table67[[#This Row],[Delete? (Stage 1)]],Table67[[#This Row],[Delete? (Stage 2)]])</f>
        <v>0</v>
      </c>
      <c r="AZ1619" t="s">
        <v>84</v>
      </c>
    </row>
    <row r="1620" spans="1:52">
      <c r="A1620">
        <f t="shared" si="103"/>
        <v>1619</v>
      </c>
      <c r="B1620" s="3">
        <v>46062.036307870374</v>
      </c>
      <c r="C1620" s="3">
        <v>46062.039444444446</v>
      </c>
      <c r="D1620" t="s">
        <v>53</v>
      </c>
      <c r="G1620" t="s">
        <v>54</v>
      </c>
      <c r="H1620" t="s">
        <v>63</v>
      </c>
      <c r="I1620" t="s">
        <v>75</v>
      </c>
      <c r="J1620" t="s">
        <v>57</v>
      </c>
      <c r="K1620" t="s">
        <v>57</v>
      </c>
      <c r="L1620" t="s">
        <v>58</v>
      </c>
      <c r="M1620" t="s">
        <v>58</v>
      </c>
      <c r="N1620">
        <v>4</v>
      </c>
      <c r="O1620">
        <v>4</v>
      </c>
      <c r="P1620">
        <v>4</v>
      </c>
      <c r="Q1620">
        <v>4</v>
      </c>
      <c r="R1620">
        <v>2</v>
      </c>
      <c r="S1620">
        <v>4</v>
      </c>
      <c r="T1620">
        <v>4</v>
      </c>
      <c r="U1620">
        <v>2</v>
      </c>
      <c r="V1620">
        <v>2</v>
      </c>
      <c r="W1620">
        <v>3</v>
      </c>
      <c r="X1620">
        <v>4</v>
      </c>
      <c r="Y1620">
        <v>5</v>
      </c>
      <c r="Z1620">
        <v>5</v>
      </c>
      <c r="AA1620">
        <v>4</v>
      </c>
      <c r="AB1620">
        <v>3</v>
      </c>
      <c r="AC1620">
        <v>4</v>
      </c>
      <c r="AD1620">
        <v>5</v>
      </c>
      <c r="AE1620">
        <v>5</v>
      </c>
      <c r="AF1620">
        <v>2</v>
      </c>
      <c r="AG1620">
        <v>4</v>
      </c>
      <c r="AH1620">
        <v>3</v>
      </c>
      <c r="AI1620">
        <v>3</v>
      </c>
      <c r="AJ1620">
        <v>4</v>
      </c>
      <c r="AK1620" t="b">
        <f>Table67[[#This Row],[What is your age?]]&lt;&gt;"18 - 25"</f>
        <v>0</v>
      </c>
      <c r="AL1620" t="b">
        <f t="shared" si="100"/>
        <v>0</v>
      </c>
      <c r="AM1620" t="b">
        <f t="shared" si="101"/>
        <v>0</v>
      </c>
      <c r="AN1620" t="b">
        <f t="shared" si="102"/>
        <v>1</v>
      </c>
      <c r="AO1620" t="b">
        <f>OR(Table67[[#This Row],[Ineligible respondents]:[Inconsistent response on opposite question (3)]])</f>
        <v>1</v>
      </c>
      <c r="AP162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620">
        <f>Table67[[#This Row],[Extreme Response]]/21</f>
        <v>0.19047619047619047</v>
      </c>
      <c r="AR1620">
        <f>_xlfn.PERCENTILE.INC(Table67[Extrem Response Ratio (ERS)],0.9)</f>
        <v>0.61904761904761907</v>
      </c>
      <c r="AS1620" t="b">
        <f>Table67[[#This Row],[Extrem Response Ratio (ERS)]]&gt;=Table67[[#This Row],[Threshold of ERS]]</f>
        <v>0</v>
      </c>
      <c r="AT1620">
        <f>COUNTIF(Table67[[#This Row],[The mechanism of digital assets is difficult to understand, which discourages me from exploring it (E.g, Tokenization, Blockchain)]:[If I want to try different ways to invest, I will explore digital assets.]], 3)</f>
        <v>3</v>
      </c>
      <c r="AU1620">
        <f>Table67[[#This Row],[Midpoint]]/21</f>
        <v>0.14285714285714285</v>
      </c>
      <c r="AV1620">
        <f>_xlfn.PERCENTILE.INC(Table67[Midpoint ratio],0.9)</f>
        <v>0.5714285714285714</v>
      </c>
      <c r="AW1620" t="b">
        <f>Table67[[#This Row],[Midpoint ratio]]&gt;=Table67[[#This Row],[Threshold of Midpoint ratio]]</f>
        <v>0</v>
      </c>
      <c r="AX1620" t="b">
        <f>OR(Table67[[#This Row],[Extreme Response Style]],Table67[[#This Row],[Mid-point Response Style]])</f>
        <v>0</v>
      </c>
      <c r="AY1620" t="b">
        <f>OR(Table67[[#This Row],[Delete? (Stage 1)]],Table67[[#This Row],[Delete? (Stage 2)]])</f>
        <v>1</v>
      </c>
      <c r="AZ1620" t="s">
        <v>84</v>
      </c>
    </row>
    <row r="1621" spans="1:52">
      <c r="A1621">
        <f t="shared" si="103"/>
        <v>1620</v>
      </c>
      <c r="B1621" s="3">
        <v>46062.047858796293</v>
      </c>
      <c r="C1621" s="3">
        <v>46062.051747685182</v>
      </c>
      <c r="D1621" t="s">
        <v>53</v>
      </c>
      <c r="G1621" t="s">
        <v>54</v>
      </c>
      <c r="H1621" t="s">
        <v>55</v>
      </c>
      <c r="I1621" t="s">
        <v>75</v>
      </c>
      <c r="J1621" t="s">
        <v>64</v>
      </c>
      <c r="K1621" t="s">
        <v>62</v>
      </c>
      <c r="L1621" t="s">
        <v>61</v>
      </c>
      <c r="M1621" t="s">
        <v>58</v>
      </c>
      <c r="N1621">
        <v>4</v>
      </c>
      <c r="O1621">
        <v>3</v>
      </c>
      <c r="P1621">
        <v>4</v>
      </c>
      <c r="Q1621">
        <v>3</v>
      </c>
      <c r="R1621">
        <v>3</v>
      </c>
      <c r="S1621">
        <v>4</v>
      </c>
      <c r="T1621">
        <v>4</v>
      </c>
      <c r="U1621">
        <v>3</v>
      </c>
      <c r="V1621">
        <v>3</v>
      </c>
      <c r="W1621">
        <v>4</v>
      </c>
      <c r="X1621">
        <v>3</v>
      </c>
      <c r="Y1621">
        <v>3</v>
      </c>
      <c r="Z1621">
        <v>4</v>
      </c>
      <c r="AA1621">
        <v>4</v>
      </c>
      <c r="AB1621">
        <v>4</v>
      </c>
      <c r="AC1621">
        <v>3</v>
      </c>
      <c r="AD1621">
        <v>4</v>
      </c>
      <c r="AE1621">
        <v>3</v>
      </c>
      <c r="AF1621">
        <v>4</v>
      </c>
      <c r="AG1621">
        <v>3</v>
      </c>
      <c r="AH1621">
        <v>4</v>
      </c>
      <c r="AI1621">
        <v>2</v>
      </c>
      <c r="AJ1621">
        <v>2</v>
      </c>
      <c r="AK1621" t="b">
        <f>Table67[[#This Row],[What is your age?]]&lt;&gt;"18 - 25"</f>
        <v>0</v>
      </c>
      <c r="AL1621" t="b">
        <f t="shared" si="100"/>
        <v>0</v>
      </c>
      <c r="AM1621" t="b">
        <f t="shared" si="101"/>
        <v>0</v>
      </c>
      <c r="AN1621" t="b">
        <f t="shared" si="102"/>
        <v>1</v>
      </c>
      <c r="AO1621" t="b">
        <f>OR(Table67[[#This Row],[Ineligible respondents]:[Inconsistent response on opposite question (3)]])</f>
        <v>1</v>
      </c>
      <c r="AP162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621">
        <f>Table67[[#This Row],[Extreme Response]]/21</f>
        <v>0</v>
      </c>
      <c r="AR1621">
        <f>_xlfn.PERCENTILE.INC(Table67[Extrem Response Ratio (ERS)],0.9)</f>
        <v>0.61904761904761907</v>
      </c>
      <c r="AS1621" t="b">
        <f>Table67[[#This Row],[Extrem Response Ratio (ERS)]]&gt;=Table67[[#This Row],[Threshold of ERS]]</f>
        <v>0</v>
      </c>
      <c r="AT1621">
        <f>COUNTIF(Table67[[#This Row],[The mechanism of digital assets is difficult to understand, which discourages me from exploring it (E.g, Tokenization, Blockchain)]:[If I want to try different ways to invest, I will explore digital assets.]], 3)</f>
        <v>10</v>
      </c>
      <c r="AU1621">
        <f>Table67[[#This Row],[Midpoint]]/21</f>
        <v>0.47619047619047616</v>
      </c>
      <c r="AV1621">
        <f>_xlfn.PERCENTILE.INC(Table67[Midpoint ratio],0.9)</f>
        <v>0.5714285714285714</v>
      </c>
      <c r="AW1621" t="b">
        <f>Table67[[#This Row],[Midpoint ratio]]&gt;=Table67[[#This Row],[Threshold of Midpoint ratio]]</f>
        <v>0</v>
      </c>
      <c r="AX1621" t="b">
        <f>OR(Table67[[#This Row],[Extreme Response Style]],Table67[[#This Row],[Mid-point Response Style]])</f>
        <v>0</v>
      </c>
      <c r="AY1621" t="b">
        <f>OR(Table67[[#This Row],[Delete? (Stage 1)]],Table67[[#This Row],[Delete? (Stage 2)]])</f>
        <v>1</v>
      </c>
      <c r="AZ1621" t="s">
        <v>84</v>
      </c>
    </row>
    <row r="1622" spans="1:52">
      <c r="A1622">
        <f t="shared" si="103"/>
        <v>1621</v>
      </c>
      <c r="B1622" s="3">
        <v>46062.044953703706</v>
      </c>
      <c r="C1622" s="3">
        <v>46062.049953703703</v>
      </c>
      <c r="D1622" t="s">
        <v>53</v>
      </c>
      <c r="G1622" t="s">
        <v>54</v>
      </c>
      <c r="H1622" t="s">
        <v>63</v>
      </c>
      <c r="I1622" t="s">
        <v>56</v>
      </c>
      <c r="J1622" t="s">
        <v>72</v>
      </c>
      <c r="K1622" t="s">
        <v>62</v>
      </c>
      <c r="L1622" t="s">
        <v>61</v>
      </c>
      <c r="M1622" t="s">
        <v>61</v>
      </c>
      <c r="N1622">
        <v>3</v>
      </c>
      <c r="O1622">
        <v>4</v>
      </c>
      <c r="P1622">
        <v>3</v>
      </c>
      <c r="Q1622">
        <v>3</v>
      </c>
      <c r="R1622">
        <v>4</v>
      </c>
      <c r="S1622">
        <v>4</v>
      </c>
      <c r="T1622">
        <v>4</v>
      </c>
      <c r="U1622">
        <v>3</v>
      </c>
      <c r="V1622">
        <v>2</v>
      </c>
      <c r="W1622">
        <v>4</v>
      </c>
      <c r="X1622">
        <v>3</v>
      </c>
      <c r="Y1622">
        <v>2</v>
      </c>
      <c r="Z1622">
        <v>4</v>
      </c>
      <c r="AA1622">
        <v>4</v>
      </c>
      <c r="AB1622">
        <v>3</v>
      </c>
      <c r="AC1622">
        <v>3</v>
      </c>
      <c r="AD1622">
        <v>3</v>
      </c>
      <c r="AE1622">
        <v>3</v>
      </c>
      <c r="AF1622">
        <v>3</v>
      </c>
      <c r="AG1622">
        <v>3</v>
      </c>
      <c r="AH1622">
        <v>3</v>
      </c>
      <c r="AI1622">
        <v>3</v>
      </c>
      <c r="AJ1622">
        <v>3</v>
      </c>
      <c r="AK1622" t="b">
        <f>Table67[[#This Row],[What is your age?]]&lt;&gt;"18 - 25"</f>
        <v>0</v>
      </c>
      <c r="AL1622" t="b">
        <f t="shared" si="100"/>
        <v>0</v>
      </c>
      <c r="AM1622" t="b">
        <f t="shared" si="101"/>
        <v>0</v>
      </c>
      <c r="AN1622" t="b">
        <f t="shared" si="102"/>
        <v>0</v>
      </c>
      <c r="AO1622" t="b">
        <f>OR(Table67[[#This Row],[Ineligible respondents]:[Inconsistent response on opposite question (3)]])</f>
        <v>0</v>
      </c>
      <c r="AP162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622">
        <f>Table67[[#This Row],[Extreme Response]]/21</f>
        <v>0</v>
      </c>
      <c r="AR1622">
        <f>_xlfn.PERCENTILE.INC(Table67[Extrem Response Ratio (ERS)],0.9)</f>
        <v>0.61904761904761907</v>
      </c>
      <c r="AS1622" t="b">
        <f>Table67[[#This Row],[Extrem Response Ratio (ERS)]]&gt;=Table67[[#This Row],[Threshold of ERS]]</f>
        <v>0</v>
      </c>
      <c r="AT1622">
        <f>COUNTIF(Table67[[#This Row],[The mechanism of digital assets is difficult to understand, which discourages me from exploring it (E.g, Tokenization, Blockchain)]:[If I want to try different ways to invest, I will explore digital assets.]], 3)</f>
        <v>12</v>
      </c>
      <c r="AU1622">
        <f>Table67[[#This Row],[Midpoint]]/21</f>
        <v>0.5714285714285714</v>
      </c>
      <c r="AV1622">
        <f>_xlfn.PERCENTILE.INC(Table67[Midpoint ratio],0.9)</f>
        <v>0.5714285714285714</v>
      </c>
      <c r="AW1622" t="b">
        <f>Table67[[#This Row],[Midpoint ratio]]&gt;=Table67[[#This Row],[Threshold of Midpoint ratio]]</f>
        <v>1</v>
      </c>
      <c r="AX1622" t="b">
        <f>OR(Table67[[#This Row],[Extreme Response Style]],Table67[[#This Row],[Mid-point Response Style]])</f>
        <v>1</v>
      </c>
      <c r="AY1622" t="b">
        <f>OR(Table67[[#This Row],[Delete? (Stage 1)]],Table67[[#This Row],[Delete? (Stage 2)]])</f>
        <v>1</v>
      </c>
      <c r="AZ1622" t="s">
        <v>84</v>
      </c>
    </row>
    <row r="1623" spans="1:52">
      <c r="A1623">
        <f t="shared" si="103"/>
        <v>1622</v>
      </c>
      <c r="B1623" s="3">
        <v>46065.721053240741</v>
      </c>
      <c r="C1623" s="3">
        <v>46065.721319444441</v>
      </c>
      <c r="D1623" t="s">
        <v>53</v>
      </c>
      <c r="G1623" t="s">
        <v>54</v>
      </c>
      <c r="H1623" t="s">
        <v>63</v>
      </c>
      <c r="I1623" t="s">
        <v>75</v>
      </c>
      <c r="J1623" t="s">
        <v>62</v>
      </c>
      <c r="K1623" t="s">
        <v>64</v>
      </c>
      <c r="L1623" t="s">
        <v>58</v>
      </c>
      <c r="M1623" t="s">
        <v>58</v>
      </c>
      <c r="N1623">
        <v>2</v>
      </c>
      <c r="O1623">
        <v>2</v>
      </c>
      <c r="P1623">
        <v>4</v>
      </c>
      <c r="Q1623">
        <v>3</v>
      </c>
      <c r="R1623">
        <v>2</v>
      </c>
      <c r="S1623">
        <v>4</v>
      </c>
      <c r="T1623">
        <v>4</v>
      </c>
      <c r="U1623">
        <v>3</v>
      </c>
      <c r="V1623">
        <v>3</v>
      </c>
      <c r="W1623">
        <v>3</v>
      </c>
      <c r="X1623">
        <v>3</v>
      </c>
      <c r="Y1623">
        <v>3</v>
      </c>
      <c r="Z1623">
        <v>3</v>
      </c>
      <c r="AA1623">
        <v>4</v>
      </c>
      <c r="AB1623">
        <v>4</v>
      </c>
      <c r="AC1623">
        <v>3</v>
      </c>
      <c r="AD1623">
        <v>2</v>
      </c>
      <c r="AE1623">
        <v>3</v>
      </c>
      <c r="AF1623">
        <v>4</v>
      </c>
      <c r="AG1623">
        <v>1</v>
      </c>
      <c r="AH1623">
        <v>4</v>
      </c>
      <c r="AI1623">
        <v>2</v>
      </c>
      <c r="AJ1623">
        <v>2</v>
      </c>
      <c r="AK1623" t="b">
        <f>Table67[[#This Row],[What is your age?]]&lt;&gt;"18 - 25"</f>
        <v>0</v>
      </c>
      <c r="AL1623" t="b">
        <f t="shared" si="100"/>
        <v>0</v>
      </c>
      <c r="AM1623" t="b">
        <f t="shared" si="101"/>
        <v>0</v>
      </c>
      <c r="AN1623" t="b">
        <f t="shared" si="102"/>
        <v>0</v>
      </c>
      <c r="AO1623" t="b">
        <f>OR(Table67[[#This Row],[Ineligible respondents]:[Inconsistent response on opposite question (3)]])</f>
        <v>0</v>
      </c>
      <c r="AP162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623">
        <f>Table67[[#This Row],[Extreme Response]]/21</f>
        <v>4.7619047619047616E-2</v>
      </c>
      <c r="AR1623">
        <f>_xlfn.PERCENTILE.INC(Table67[Extrem Response Ratio (ERS)],0.9)</f>
        <v>0.61904761904761907</v>
      </c>
      <c r="AS1623" t="b">
        <f>Table67[[#This Row],[Extrem Response Ratio (ERS)]]&gt;=Table67[[#This Row],[Threshold of ERS]]</f>
        <v>0</v>
      </c>
      <c r="AT1623">
        <f>COUNTIF(Table67[[#This Row],[The mechanism of digital assets is difficult to understand, which discourages me from exploring it (E.g, Tokenization, Blockchain)]:[If I want to try different ways to invest, I will explore digital assets.]], 3)</f>
        <v>9</v>
      </c>
      <c r="AU1623">
        <f>Table67[[#This Row],[Midpoint]]/21</f>
        <v>0.42857142857142855</v>
      </c>
      <c r="AV1623">
        <f>_xlfn.PERCENTILE.INC(Table67[Midpoint ratio],0.9)</f>
        <v>0.5714285714285714</v>
      </c>
      <c r="AW1623" t="b">
        <f>Table67[[#This Row],[Midpoint ratio]]&gt;=Table67[[#This Row],[Threshold of Midpoint ratio]]</f>
        <v>0</v>
      </c>
      <c r="AX1623" t="b">
        <f>OR(Table67[[#This Row],[Extreme Response Style]],Table67[[#This Row],[Mid-point Response Style]])</f>
        <v>0</v>
      </c>
      <c r="AY1623" t="b">
        <f>OR(Table67[[#This Row],[Delete? (Stage 1)]],Table67[[#This Row],[Delete? (Stage 2)]])</f>
        <v>0</v>
      </c>
      <c r="AZ1623" t="s">
        <v>84</v>
      </c>
    </row>
    <row r="1624" spans="1:52">
      <c r="A1624">
        <f t="shared" si="103"/>
        <v>1623</v>
      </c>
      <c r="B1624" s="3">
        <v>46062.025752314818</v>
      </c>
      <c r="C1624" s="3">
        <v>46062.029537037037</v>
      </c>
      <c r="D1624" t="s">
        <v>53</v>
      </c>
      <c r="G1624" t="s">
        <v>54</v>
      </c>
      <c r="H1624" t="s">
        <v>70</v>
      </c>
      <c r="I1624" t="s">
        <v>71</v>
      </c>
      <c r="J1624" t="s">
        <v>62</v>
      </c>
      <c r="K1624" t="s">
        <v>57</v>
      </c>
      <c r="L1624" t="s">
        <v>58</v>
      </c>
      <c r="M1624" t="s">
        <v>58</v>
      </c>
      <c r="N1624">
        <v>4</v>
      </c>
      <c r="O1624">
        <v>2</v>
      </c>
      <c r="P1624">
        <v>2</v>
      </c>
      <c r="Q1624">
        <v>4</v>
      </c>
      <c r="R1624">
        <v>3</v>
      </c>
      <c r="S1624">
        <v>3</v>
      </c>
      <c r="T1624">
        <v>4</v>
      </c>
      <c r="U1624">
        <v>5</v>
      </c>
      <c r="V1624">
        <v>5</v>
      </c>
      <c r="W1624">
        <v>2</v>
      </c>
      <c r="X1624">
        <v>2</v>
      </c>
      <c r="Y1624">
        <v>4</v>
      </c>
      <c r="Z1624">
        <v>5</v>
      </c>
      <c r="AA1624">
        <v>4</v>
      </c>
      <c r="AB1624">
        <v>3</v>
      </c>
      <c r="AC1624">
        <v>3</v>
      </c>
      <c r="AD1624">
        <v>5</v>
      </c>
      <c r="AE1624">
        <v>2</v>
      </c>
      <c r="AF1624">
        <v>1</v>
      </c>
      <c r="AG1624">
        <v>2</v>
      </c>
      <c r="AH1624">
        <v>2</v>
      </c>
      <c r="AI1624">
        <v>4</v>
      </c>
      <c r="AJ1624">
        <v>5</v>
      </c>
      <c r="AK1624" t="b">
        <f>Table67[[#This Row],[What is your age?]]&lt;&gt;"18 - 25"</f>
        <v>0</v>
      </c>
      <c r="AL1624" t="b">
        <f t="shared" si="100"/>
        <v>0</v>
      </c>
      <c r="AM1624" t="b">
        <f t="shared" si="101"/>
        <v>1</v>
      </c>
      <c r="AN1624" t="b">
        <f t="shared" si="102"/>
        <v>0</v>
      </c>
      <c r="AO1624" t="b">
        <f>OR(Table67[[#This Row],[Ineligible respondents]:[Inconsistent response on opposite question (3)]])</f>
        <v>1</v>
      </c>
      <c r="AP162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624">
        <f>Table67[[#This Row],[Extreme Response]]/21</f>
        <v>0.23809523809523808</v>
      </c>
      <c r="AR1624">
        <f>_xlfn.PERCENTILE.INC(Table67[Extrem Response Ratio (ERS)],0.9)</f>
        <v>0.61904761904761907</v>
      </c>
      <c r="AS1624" t="b">
        <f>Table67[[#This Row],[Extrem Response Ratio (ERS)]]&gt;=Table67[[#This Row],[Threshold of ERS]]</f>
        <v>0</v>
      </c>
      <c r="AT1624">
        <f>COUNTIF(Table67[[#This Row],[The mechanism of digital assets is difficult to understand, which discourages me from exploring it (E.g, Tokenization, Blockchain)]:[If I want to try different ways to invest, I will explore digital assets.]], 3)</f>
        <v>4</v>
      </c>
      <c r="AU1624">
        <f>Table67[[#This Row],[Midpoint]]/21</f>
        <v>0.19047619047619047</v>
      </c>
      <c r="AV1624">
        <f>_xlfn.PERCENTILE.INC(Table67[Midpoint ratio],0.9)</f>
        <v>0.5714285714285714</v>
      </c>
      <c r="AW1624" t="b">
        <f>Table67[[#This Row],[Midpoint ratio]]&gt;=Table67[[#This Row],[Threshold of Midpoint ratio]]</f>
        <v>0</v>
      </c>
      <c r="AX1624" t="b">
        <f>OR(Table67[[#This Row],[Extreme Response Style]],Table67[[#This Row],[Mid-point Response Style]])</f>
        <v>0</v>
      </c>
      <c r="AY1624" t="b">
        <f>OR(Table67[[#This Row],[Delete? (Stage 1)]],Table67[[#This Row],[Delete? (Stage 2)]])</f>
        <v>1</v>
      </c>
      <c r="AZ1624" t="s">
        <v>84</v>
      </c>
    </row>
    <row r="1625" spans="1:52">
      <c r="A1625">
        <f t="shared" si="103"/>
        <v>1624</v>
      </c>
      <c r="B1625" s="3">
        <v>46062.055011574077</v>
      </c>
      <c r="C1625" s="3">
        <v>46062.061203703706</v>
      </c>
      <c r="D1625" t="s">
        <v>53</v>
      </c>
      <c r="G1625" t="s">
        <v>54</v>
      </c>
      <c r="H1625" t="s">
        <v>55</v>
      </c>
      <c r="I1625" t="s">
        <v>71</v>
      </c>
      <c r="J1625" t="s">
        <v>68</v>
      </c>
      <c r="K1625" t="s">
        <v>60</v>
      </c>
      <c r="L1625" t="s">
        <v>58</v>
      </c>
      <c r="M1625" t="s">
        <v>58</v>
      </c>
      <c r="N1625">
        <v>3</v>
      </c>
      <c r="O1625">
        <v>4</v>
      </c>
      <c r="P1625">
        <v>4</v>
      </c>
      <c r="Q1625">
        <v>4</v>
      </c>
      <c r="R1625">
        <v>4</v>
      </c>
      <c r="S1625">
        <v>5</v>
      </c>
      <c r="T1625">
        <v>5</v>
      </c>
      <c r="U1625">
        <v>5</v>
      </c>
      <c r="V1625">
        <v>5</v>
      </c>
      <c r="W1625">
        <v>5</v>
      </c>
      <c r="X1625">
        <v>5</v>
      </c>
      <c r="Y1625">
        <v>5</v>
      </c>
      <c r="Z1625">
        <v>4</v>
      </c>
      <c r="AA1625">
        <v>3</v>
      </c>
      <c r="AB1625">
        <v>5</v>
      </c>
      <c r="AC1625">
        <v>3</v>
      </c>
      <c r="AD1625">
        <v>3</v>
      </c>
      <c r="AE1625">
        <v>5</v>
      </c>
      <c r="AF1625">
        <v>3</v>
      </c>
      <c r="AG1625">
        <v>4</v>
      </c>
      <c r="AH1625">
        <v>4</v>
      </c>
      <c r="AI1625">
        <v>2</v>
      </c>
      <c r="AJ1625">
        <v>3</v>
      </c>
      <c r="AK1625" t="b">
        <f>Table67[[#This Row],[What is your age?]]&lt;&gt;"18 - 25"</f>
        <v>0</v>
      </c>
      <c r="AL1625" t="b">
        <f t="shared" si="100"/>
        <v>0</v>
      </c>
      <c r="AM1625" t="b">
        <f t="shared" si="101"/>
        <v>1</v>
      </c>
      <c r="AN1625" t="b">
        <f t="shared" si="102"/>
        <v>0</v>
      </c>
      <c r="AO1625" t="b">
        <f>OR(Table67[[#This Row],[Ineligible respondents]:[Inconsistent response on opposite question (3)]])</f>
        <v>1</v>
      </c>
      <c r="AP162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9</v>
      </c>
      <c r="AQ1625">
        <f>Table67[[#This Row],[Extreme Response]]/21</f>
        <v>0.42857142857142855</v>
      </c>
      <c r="AR1625">
        <f>_xlfn.PERCENTILE.INC(Table67[Extrem Response Ratio (ERS)],0.9)</f>
        <v>0.61904761904761907</v>
      </c>
      <c r="AS1625" t="b">
        <f>Table67[[#This Row],[Extrem Response Ratio (ERS)]]&gt;=Table67[[#This Row],[Threshold of ERS]]</f>
        <v>0</v>
      </c>
      <c r="AT1625">
        <f>COUNTIF(Table67[[#This Row],[The mechanism of digital assets is difficult to understand, which discourages me from exploring it (E.g, Tokenization, Blockchain)]:[If I want to try different ways to invest, I will explore digital assets.]], 3)</f>
        <v>5</v>
      </c>
      <c r="AU1625">
        <f>Table67[[#This Row],[Midpoint]]/21</f>
        <v>0.23809523809523808</v>
      </c>
      <c r="AV1625">
        <f>_xlfn.PERCENTILE.INC(Table67[Midpoint ratio],0.9)</f>
        <v>0.5714285714285714</v>
      </c>
      <c r="AW1625" t="b">
        <f>Table67[[#This Row],[Midpoint ratio]]&gt;=Table67[[#This Row],[Threshold of Midpoint ratio]]</f>
        <v>0</v>
      </c>
      <c r="AX1625" t="b">
        <f>OR(Table67[[#This Row],[Extreme Response Style]],Table67[[#This Row],[Mid-point Response Style]])</f>
        <v>0</v>
      </c>
      <c r="AY1625" t="b">
        <f>OR(Table67[[#This Row],[Delete? (Stage 1)]],Table67[[#This Row],[Delete? (Stage 2)]])</f>
        <v>1</v>
      </c>
      <c r="AZ1625" t="s">
        <v>84</v>
      </c>
    </row>
    <row r="1626" spans="1:52">
      <c r="A1626">
        <f t="shared" si="103"/>
        <v>1625</v>
      </c>
      <c r="B1626" s="3">
        <v>46065.850543981483</v>
      </c>
      <c r="C1626" s="3">
        <v>46065.858078703706</v>
      </c>
      <c r="D1626" t="s">
        <v>53</v>
      </c>
      <c r="G1626" t="s">
        <v>54</v>
      </c>
      <c r="H1626" t="s">
        <v>55</v>
      </c>
      <c r="I1626" t="s">
        <v>82</v>
      </c>
      <c r="J1626" t="s">
        <v>62</v>
      </c>
      <c r="K1626" t="s">
        <v>62</v>
      </c>
      <c r="L1626" t="s">
        <v>58</v>
      </c>
      <c r="M1626" t="s">
        <v>58</v>
      </c>
      <c r="N1626">
        <v>1</v>
      </c>
      <c r="O1626">
        <v>2</v>
      </c>
      <c r="P1626">
        <v>3</v>
      </c>
      <c r="Q1626">
        <v>2</v>
      </c>
      <c r="R1626">
        <v>1</v>
      </c>
      <c r="S1626">
        <v>2</v>
      </c>
      <c r="T1626">
        <v>3</v>
      </c>
      <c r="U1626">
        <v>3</v>
      </c>
      <c r="V1626">
        <v>4</v>
      </c>
      <c r="W1626">
        <v>3</v>
      </c>
      <c r="X1626">
        <v>4</v>
      </c>
      <c r="Y1626">
        <v>4</v>
      </c>
      <c r="Z1626">
        <v>5</v>
      </c>
      <c r="AA1626">
        <v>2</v>
      </c>
      <c r="AB1626">
        <v>2</v>
      </c>
      <c r="AC1626">
        <v>2</v>
      </c>
      <c r="AD1626">
        <v>4</v>
      </c>
      <c r="AE1626">
        <v>5</v>
      </c>
      <c r="AF1626">
        <v>4</v>
      </c>
      <c r="AG1626">
        <v>2</v>
      </c>
      <c r="AH1626">
        <v>4</v>
      </c>
      <c r="AI1626">
        <v>2</v>
      </c>
      <c r="AJ1626">
        <v>2</v>
      </c>
      <c r="AK1626" t="b">
        <f>Table67[[#This Row],[What is your age?]]&lt;&gt;"18 - 25"</f>
        <v>0</v>
      </c>
      <c r="AL1626" t="b">
        <f t="shared" si="100"/>
        <v>0</v>
      </c>
      <c r="AM1626" t="b">
        <f t="shared" si="101"/>
        <v>0</v>
      </c>
      <c r="AN1626" t="b">
        <f t="shared" si="102"/>
        <v>0</v>
      </c>
      <c r="AO1626" t="b">
        <f>OR(Table67[[#This Row],[Ineligible respondents]:[Inconsistent response on opposite question (3)]])</f>
        <v>0</v>
      </c>
      <c r="AP162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626">
        <f>Table67[[#This Row],[Extreme Response]]/21</f>
        <v>0.19047619047619047</v>
      </c>
      <c r="AR1626">
        <f>_xlfn.PERCENTILE.INC(Table67[Extrem Response Ratio (ERS)],0.9)</f>
        <v>0.61904761904761907</v>
      </c>
      <c r="AS1626" t="b">
        <f>Table67[[#This Row],[Extrem Response Ratio (ERS)]]&gt;=Table67[[#This Row],[Threshold of ERS]]</f>
        <v>0</v>
      </c>
      <c r="AT1626">
        <f>COUNTIF(Table67[[#This Row],[The mechanism of digital assets is difficult to understand, which discourages me from exploring it (E.g, Tokenization, Blockchain)]:[If I want to try different ways to invest, I will explore digital assets.]], 3)</f>
        <v>4</v>
      </c>
      <c r="AU1626">
        <f>Table67[[#This Row],[Midpoint]]/21</f>
        <v>0.19047619047619047</v>
      </c>
      <c r="AV1626">
        <f>_xlfn.PERCENTILE.INC(Table67[Midpoint ratio],0.9)</f>
        <v>0.5714285714285714</v>
      </c>
      <c r="AW1626" t="b">
        <f>Table67[[#This Row],[Midpoint ratio]]&gt;=Table67[[#This Row],[Threshold of Midpoint ratio]]</f>
        <v>0</v>
      </c>
      <c r="AX1626" t="b">
        <f>OR(Table67[[#This Row],[Extreme Response Style]],Table67[[#This Row],[Mid-point Response Style]])</f>
        <v>0</v>
      </c>
      <c r="AY1626" t="b">
        <f>OR(Table67[[#This Row],[Delete? (Stage 1)]],Table67[[#This Row],[Delete? (Stage 2)]])</f>
        <v>0</v>
      </c>
      <c r="AZ1626" t="s">
        <v>84</v>
      </c>
    </row>
    <row r="1627" spans="1:52">
      <c r="A1627">
        <f t="shared" si="103"/>
        <v>1626</v>
      </c>
      <c r="B1627" s="3">
        <v>46062.05127314815</v>
      </c>
      <c r="C1627" s="3">
        <v>46062.058680555558</v>
      </c>
      <c r="D1627" t="s">
        <v>53</v>
      </c>
      <c r="G1627" t="s">
        <v>54</v>
      </c>
      <c r="H1627" t="s">
        <v>55</v>
      </c>
      <c r="I1627" t="s">
        <v>56</v>
      </c>
      <c r="J1627" t="s">
        <v>66</v>
      </c>
      <c r="K1627" t="s">
        <v>67</v>
      </c>
      <c r="L1627" t="s">
        <v>61</v>
      </c>
      <c r="M1627" t="s">
        <v>61</v>
      </c>
      <c r="N1627">
        <v>3</v>
      </c>
      <c r="O1627">
        <v>4</v>
      </c>
      <c r="P1627">
        <v>3</v>
      </c>
      <c r="Q1627">
        <v>3</v>
      </c>
      <c r="R1627">
        <v>3</v>
      </c>
      <c r="S1627">
        <v>4</v>
      </c>
      <c r="T1627">
        <v>4</v>
      </c>
      <c r="U1627">
        <v>4</v>
      </c>
      <c r="V1627">
        <v>4</v>
      </c>
      <c r="W1627">
        <v>4</v>
      </c>
      <c r="X1627">
        <v>4</v>
      </c>
      <c r="Y1627">
        <v>4</v>
      </c>
      <c r="Z1627">
        <v>4</v>
      </c>
      <c r="AA1627">
        <v>4</v>
      </c>
      <c r="AB1627">
        <v>4</v>
      </c>
      <c r="AC1627">
        <v>4</v>
      </c>
      <c r="AD1627">
        <v>4</v>
      </c>
      <c r="AE1627">
        <v>4</v>
      </c>
      <c r="AF1627">
        <v>3</v>
      </c>
      <c r="AG1627">
        <v>3</v>
      </c>
      <c r="AH1627">
        <v>4</v>
      </c>
      <c r="AI1627">
        <v>2</v>
      </c>
      <c r="AJ1627">
        <v>3</v>
      </c>
      <c r="AK1627" t="b">
        <f>Table67[[#This Row],[What is your age?]]&lt;&gt;"18 - 25"</f>
        <v>0</v>
      </c>
      <c r="AL1627" t="b">
        <f t="shared" si="100"/>
        <v>0</v>
      </c>
      <c r="AM1627" t="b">
        <f t="shared" si="101"/>
        <v>0</v>
      </c>
      <c r="AN1627" t="b">
        <f t="shared" si="102"/>
        <v>1</v>
      </c>
      <c r="AO1627" t="b">
        <f>OR(Table67[[#This Row],[Ineligible respondents]:[Inconsistent response on opposite question (3)]])</f>
        <v>1</v>
      </c>
      <c r="AP162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627">
        <f>Table67[[#This Row],[Extreme Response]]/21</f>
        <v>0</v>
      </c>
      <c r="AR1627">
        <f>_xlfn.PERCENTILE.INC(Table67[Extrem Response Ratio (ERS)],0.9)</f>
        <v>0.61904761904761907</v>
      </c>
      <c r="AS1627" t="b">
        <f>Table67[[#This Row],[Extrem Response Ratio (ERS)]]&gt;=Table67[[#This Row],[Threshold of ERS]]</f>
        <v>0</v>
      </c>
      <c r="AT1627">
        <f>COUNTIF(Table67[[#This Row],[The mechanism of digital assets is difficult to understand, which discourages me from exploring it (E.g, Tokenization, Blockchain)]:[If I want to try different ways to invest, I will explore digital assets.]], 3)</f>
        <v>6</v>
      </c>
      <c r="AU1627">
        <f>Table67[[#This Row],[Midpoint]]/21</f>
        <v>0.2857142857142857</v>
      </c>
      <c r="AV1627">
        <f>_xlfn.PERCENTILE.INC(Table67[Midpoint ratio],0.9)</f>
        <v>0.5714285714285714</v>
      </c>
      <c r="AW1627" t="b">
        <f>Table67[[#This Row],[Midpoint ratio]]&gt;=Table67[[#This Row],[Threshold of Midpoint ratio]]</f>
        <v>0</v>
      </c>
      <c r="AX1627" t="b">
        <f>OR(Table67[[#This Row],[Extreme Response Style]],Table67[[#This Row],[Mid-point Response Style]])</f>
        <v>0</v>
      </c>
      <c r="AY1627" t="b">
        <f>OR(Table67[[#This Row],[Delete? (Stage 1)]],Table67[[#This Row],[Delete? (Stage 2)]])</f>
        <v>1</v>
      </c>
      <c r="AZ1627" t="s">
        <v>84</v>
      </c>
    </row>
    <row r="1628" spans="1:52">
      <c r="A1628">
        <f t="shared" si="103"/>
        <v>1627</v>
      </c>
      <c r="B1628" s="3">
        <v>46062.02553240741</v>
      </c>
      <c r="C1628" s="3">
        <v>46062.032326388886</v>
      </c>
      <c r="D1628" t="s">
        <v>53</v>
      </c>
      <c r="G1628" t="s">
        <v>54</v>
      </c>
      <c r="H1628" t="s">
        <v>63</v>
      </c>
      <c r="I1628" t="s">
        <v>56</v>
      </c>
      <c r="J1628" t="s">
        <v>57</v>
      </c>
      <c r="K1628" t="s">
        <v>57</v>
      </c>
      <c r="L1628" t="s">
        <v>58</v>
      </c>
      <c r="M1628" t="s">
        <v>61</v>
      </c>
      <c r="N1628">
        <v>5</v>
      </c>
      <c r="O1628">
        <v>1</v>
      </c>
      <c r="P1628">
        <v>5</v>
      </c>
      <c r="Q1628">
        <v>4</v>
      </c>
      <c r="R1628">
        <v>2</v>
      </c>
      <c r="S1628">
        <v>1</v>
      </c>
      <c r="T1628">
        <v>2</v>
      </c>
      <c r="U1628">
        <v>4</v>
      </c>
      <c r="V1628">
        <v>5</v>
      </c>
      <c r="W1628">
        <v>5</v>
      </c>
      <c r="X1628">
        <v>5</v>
      </c>
      <c r="Y1628">
        <v>5</v>
      </c>
      <c r="Z1628">
        <v>5</v>
      </c>
      <c r="AA1628">
        <v>5</v>
      </c>
      <c r="AB1628">
        <v>2</v>
      </c>
      <c r="AC1628">
        <v>3</v>
      </c>
      <c r="AD1628">
        <v>5</v>
      </c>
      <c r="AE1628">
        <v>4</v>
      </c>
      <c r="AF1628">
        <v>1</v>
      </c>
      <c r="AG1628">
        <v>3</v>
      </c>
      <c r="AH1628">
        <v>2</v>
      </c>
      <c r="AI1628">
        <v>4</v>
      </c>
      <c r="AJ1628">
        <v>5</v>
      </c>
      <c r="AK1628" t="b">
        <f>Table67[[#This Row],[What is your age?]]&lt;&gt;"18 - 25"</f>
        <v>0</v>
      </c>
      <c r="AL1628" t="b">
        <f t="shared" si="100"/>
        <v>0</v>
      </c>
      <c r="AM1628" t="b">
        <f t="shared" si="101"/>
        <v>0</v>
      </c>
      <c r="AN1628" t="b">
        <f t="shared" si="102"/>
        <v>1</v>
      </c>
      <c r="AO1628" t="b">
        <f>OR(Table67[[#This Row],[Ineligible respondents]:[Inconsistent response on opposite question (3)]])</f>
        <v>1</v>
      </c>
      <c r="AP162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12</v>
      </c>
      <c r="AQ1628">
        <f>Table67[[#This Row],[Extreme Response]]/21</f>
        <v>0.5714285714285714</v>
      </c>
      <c r="AR1628">
        <f>_xlfn.PERCENTILE.INC(Table67[Extrem Response Ratio (ERS)],0.9)</f>
        <v>0.61904761904761907</v>
      </c>
      <c r="AS1628" t="b">
        <f>Table67[[#This Row],[Extrem Response Ratio (ERS)]]&gt;=Table67[[#This Row],[Threshold of ERS]]</f>
        <v>0</v>
      </c>
      <c r="AT1628">
        <f>COUNTIF(Table67[[#This Row],[The mechanism of digital assets is difficult to understand, which discourages me from exploring it (E.g, Tokenization, Blockchain)]:[If I want to try different ways to invest, I will explore digital assets.]], 3)</f>
        <v>2</v>
      </c>
      <c r="AU1628">
        <f>Table67[[#This Row],[Midpoint]]/21</f>
        <v>9.5238095238095233E-2</v>
      </c>
      <c r="AV1628">
        <f>_xlfn.PERCENTILE.INC(Table67[Midpoint ratio],0.9)</f>
        <v>0.5714285714285714</v>
      </c>
      <c r="AW1628" t="b">
        <f>Table67[[#This Row],[Midpoint ratio]]&gt;=Table67[[#This Row],[Threshold of Midpoint ratio]]</f>
        <v>0</v>
      </c>
      <c r="AX1628" t="b">
        <f>OR(Table67[[#This Row],[Extreme Response Style]],Table67[[#This Row],[Mid-point Response Style]])</f>
        <v>0</v>
      </c>
      <c r="AY1628" t="b">
        <f>OR(Table67[[#This Row],[Delete? (Stage 1)]],Table67[[#This Row],[Delete? (Stage 2)]])</f>
        <v>1</v>
      </c>
      <c r="AZ1628" t="s">
        <v>84</v>
      </c>
    </row>
    <row r="1629" spans="1:52">
      <c r="A1629">
        <f t="shared" si="103"/>
        <v>1628</v>
      </c>
      <c r="B1629" s="3">
        <v>46065.870081018518</v>
      </c>
      <c r="C1629" s="3">
        <v>46065.875868055555</v>
      </c>
      <c r="D1629" t="s">
        <v>53</v>
      </c>
      <c r="G1629" t="s">
        <v>54</v>
      </c>
      <c r="H1629" t="s">
        <v>63</v>
      </c>
      <c r="I1629" t="s">
        <v>56</v>
      </c>
      <c r="J1629" t="s">
        <v>64</v>
      </c>
      <c r="K1629" t="s">
        <v>57</v>
      </c>
      <c r="L1629" t="s">
        <v>58</v>
      </c>
      <c r="M1629" t="s">
        <v>58</v>
      </c>
      <c r="N1629">
        <v>2</v>
      </c>
      <c r="O1629">
        <v>2</v>
      </c>
      <c r="P1629">
        <v>4</v>
      </c>
      <c r="Q1629">
        <v>4</v>
      </c>
      <c r="R1629">
        <v>2</v>
      </c>
      <c r="S1629">
        <v>3</v>
      </c>
      <c r="T1629">
        <v>3</v>
      </c>
      <c r="U1629">
        <v>4</v>
      </c>
      <c r="V1629">
        <v>5</v>
      </c>
      <c r="W1629">
        <v>4</v>
      </c>
      <c r="X1629">
        <v>4</v>
      </c>
      <c r="Y1629">
        <v>5</v>
      </c>
      <c r="Z1629">
        <v>4</v>
      </c>
      <c r="AA1629">
        <v>2</v>
      </c>
      <c r="AB1629">
        <v>3</v>
      </c>
      <c r="AC1629">
        <v>4</v>
      </c>
      <c r="AD1629">
        <v>4</v>
      </c>
      <c r="AE1629">
        <v>4</v>
      </c>
      <c r="AF1629">
        <v>5</v>
      </c>
      <c r="AG1629">
        <v>2</v>
      </c>
      <c r="AH1629">
        <v>5</v>
      </c>
      <c r="AI1629">
        <v>1</v>
      </c>
      <c r="AJ1629">
        <v>1</v>
      </c>
      <c r="AK1629" t="b">
        <f>Table67[[#This Row],[What is your age?]]&lt;&gt;"18 - 25"</f>
        <v>0</v>
      </c>
      <c r="AL1629" t="b">
        <f t="shared" si="100"/>
        <v>0</v>
      </c>
      <c r="AM1629" t="b">
        <f t="shared" si="101"/>
        <v>0</v>
      </c>
      <c r="AN1629" t="b">
        <f t="shared" si="102"/>
        <v>0</v>
      </c>
      <c r="AO1629" t="b">
        <f>OR(Table67[[#This Row],[Ineligible respondents]:[Inconsistent response on opposite question (3)]])</f>
        <v>0</v>
      </c>
      <c r="AP162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629">
        <f>Table67[[#This Row],[Extreme Response]]/21</f>
        <v>0.19047619047619047</v>
      </c>
      <c r="AR1629">
        <f>_xlfn.PERCENTILE.INC(Table67[Extrem Response Ratio (ERS)],0.9)</f>
        <v>0.61904761904761907</v>
      </c>
      <c r="AS1629" t="b">
        <f>Table67[[#This Row],[Extrem Response Ratio (ERS)]]&gt;=Table67[[#This Row],[Threshold of ERS]]</f>
        <v>0</v>
      </c>
      <c r="AT1629">
        <f>COUNTIF(Table67[[#This Row],[The mechanism of digital assets is difficult to understand, which discourages me from exploring it (E.g, Tokenization, Blockchain)]:[If I want to try different ways to invest, I will explore digital assets.]], 3)</f>
        <v>3</v>
      </c>
      <c r="AU1629">
        <f>Table67[[#This Row],[Midpoint]]/21</f>
        <v>0.14285714285714285</v>
      </c>
      <c r="AV1629">
        <f>_xlfn.PERCENTILE.INC(Table67[Midpoint ratio],0.9)</f>
        <v>0.5714285714285714</v>
      </c>
      <c r="AW1629" t="b">
        <f>Table67[[#This Row],[Midpoint ratio]]&gt;=Table67[[#This Row],[Threshold of Midpoint ratio]]</f>
        <v>0</v>
      </c>
      <c r="AX1629" t="b">
        <f>OR(Table67[[#This Row],[Extreme Response Style]],Table67[[#This Row],[Mid-point Response Style]])</f>
        <v>0</v>
      </c>
      <c r="AY1629" t="b">
        <f>OR(Table67[[#This Row],[Delete? (Stage 1)]],Table67[[#This Row],[Delete? (Stage 2)]])</f>
        <v>0</v>
      </c>
      <c r="AZ1629" t="s">
        <v>84</v>
      </c>
    </row>
    <row r="1630" spans="1:52">
      <c r="A1630">
        <f t="shared" si="103"/>
        <v>1629</v>
      </c>
      <c r="B1630" s="3">
        <v>46065.769108796296</v>
      </c>
      <c r="C1630" s="3">
        <v>46065.770370370374</v>
      </c>
      <c r="D1630" t="s">
        <v>53</v>
      </c>
      <c r="G1630" t="s">
        <v>54</v>
      </c>
      <c r="H1630" t="s">
        <v>63</v>
      </c>
      <c r="I1630" t="s">
        <v>56</v>
      </c>
      <c r="J1630" t="s">
        <v>62</v>
      </c>
      <c r="K1630" t="s">
        <v>62</v>
      </c>
      <c r="L1630" t="s">
        <v>58</v>
      </c>
      <c r="M1630" t="s">
        <v>61</v>
      </c>
      <c r="N1630">
        <v>4</v>
      </c>
      <c r="O1630">
        <v>4</v>
      </c>
      <c r="P1630">
        <v>5</v>
      </c>
      <c r="Q1630">
        <v>4</v>
      </c>
      <c r="R1630">
        <v>4</v>
      </c>
      <c r="S1630">
        <v>4</v>
      </c>
      <c r="T1630">
        <v>5</v>
      </c>
      <c r="U1630">
        <v>4</v>
      </c>
      <c r="V1630">
        <v>5</v>
      </c>
      <c r="W1630">
        <v>5</v>
      </c>
      <c r="X1630">
        <v>4</v>
      </c>
      <c r="Y1630">
        <v>5</v>
      </c>
      <c r="Z1630">
        <v>3</v>
      </c>
      <c r="AA1630">
        <v>5</v>
      </c>
      <c r="AB1630">
        <v>4</v>
      </c>
      <c r="AC1630">
        <v>4</v>
      </c>
      <c r="AD1630">
        <v>3</v>
      </c>
      <c r="AE1630">
        <v>4</v>
      </c>
      <c r="AF1630">
        <v>1</v>
      </c>
      <c r="AG1630">
        <v>4</v>
      </c>
      <c r="AH1630">
        <v>2</v>
      </c>
      <c r="AI1630">
        <v>4</v>
      </c>
      <c r="AJ1630">
        <v>5</v>
      </c>
      <c r="AK1630" t="b">
        <f>Table67[[#This Row],[What is your age?]]&lt;&gt;"18 - 25"</f>
        <v>0</v>
      </c>
      <c r="AL1630" t="b">
        <f t="shared" si="100"/>
        <v>0</v>
      </c>
      <c r="AM1630" t="b">
        <f t="shared" si="101"/>
        <v>0</v>
      </c>
      <c r="AN1630" t="b">
        <f t="shared" si="102"/>
        <v>0</v>
      </c>
      <c r="AO1630" t="b">
        <f>OR(Table67[[#This Row],[Ineligible respondents]:[Inconsistent response on opposite question (3)]])</f>
        <v>0</v>
      </c>
      <c r="AP163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7</v>
      </c>
      <c r="AQ1630">
        <f>Table67[[#This Row],[Extreme Response]]/21</f>
        <v>0.33333333333333331</v>
      </c>
      <c r="AR1630">
        <f>_xlfn.PERCENTILE.INC(Table67[Extrem Response Ratio (ERS)],0.9)</f>
        <v>0.61904761904761907</v>
      </c>
      <c r="AS1630" t="b">
        <f>Table67[[#This Row],[Extrem Response Ratio (ERS)]]&gt;=Table67[[#This Row],[Threshold of ERS]]</f>
        <v>0</v>
      </c>
      <c r="AT1630">
        <f>COUNTIF(Table67[[#This Row],[The mechanism of digital assets is difficult to understand, which discourages me from exploring it (E.g, Tokenization, Blockchain)]:[If I want to try different ways to invest, I will explore digital assets.]], 3)</f>
        <v>2</v>
      </c>
      <c r="AU1630">
        <f>Table67[[#This Row],[Midpoint]]/21</f>
        <v>9.5238095238095233E-2</v>
      </c>
      <c r="AV1630">
        <f>_xlfn.PERCENTILE.INC(Table67[Midpoint ratio],0.9)</f>
        <v>0.5714285714285714</v>
      </c>
      <c r="AW1630" t="b">
        <f>Table67[[#This Row],[Midpoint ratio]]&gt;=Table67[[#This Row],[Threshold of Midpoint ratio]]</f>
        <v>0</v>
      </c>
      <c r="AX1630" t="b">
        <f>OR(Table67[[#This Row],[Extreme Response Style]],Table67[[#This Row],[Mid-point Response Style]])</f>
        <v>0</v>
      </c>
      <c r="AY1630" t="b">
        <f>OR(Table67[[#This Row],[Delete? (Stage 1)]],Table67[[#This Row],[Delete? (Stage 2)]])</f>
        <v>0</v>
      </c>
      <c r="AZ1630" t="s">
        <v>84</v>
      </c>
    </row>
    <row r="1631" spans="1:52">
      <c r="A1631">
        <f t="shared" si="103"/>
        <v>1630</v>
      </c>
      <c r="B1631" s="3">
        <v>46062.027511574073</v>
      </c>
      <c r="C1631" s="3">
        <v>46062.030115740738</v>
      </c>
      <c r="D1631" t="s">
        <v>53</v>
      </c>
      <c r="G1631" t="s">
        <v>54</v>
      </c>
      <c r="H1631" t="s">
        <v>55</v>
      </c>
      <c r="I1631" t="s">
        <v>69</v>
      </c>
      <c r="J1631" t="s">
        <v>62</v>
      </c>
      <c r="K1631" t="s">
        <v>62</v>
      </c>
      <c r="L1631" t="s">
        <v>58</v>
      </c>
      <c r="M1631" t="s">
        <v>58</v>
      </c>
      <c r="N1631">
        <v>4</v>
      </c>
      <c r="O1631">
        <v>2</v>
      </c>
      <c r="P1631">
        <v>4</v>
      </c>
      <c r="Q1631">
        <v>4</v>
      </c>
      <c r="R1631">
        <v>2</v>
      </c>
      <c r="S1631">
        <v>4</v>
      </c>
      <c r="T1631">
        <v>2</v>
      </c>
      <c r="U1631">
        <v>4</v>
      </c>
      <c r="V1631">
        <v>4</v>
      </c>
      <c r="W1631">
        <v>4</v>
      </c>
      <c r="X1631">
        <v>5</v>
      </c>
      <c r="Y1631">
        <v>4</v>
      </c>
      <c r="Z1631">
        <v>2</v>
      </c>
      <c r="AA1631">
        <v>5</v>
      </c>
      <c r="AB1631">
        <v>4</v>
      </c>
      <c r="AC1631">
        <v>5</v>
      </c>
      <c r="AD1631">
        <v>4</v>
      </c>
      <c r="AE1631">
        <v>4</v>
      </c>
      <c r="AF1631">
        <v>3</v>
      </c>
      <c r="AG1631">
        <v>4</v>
      </c>
      <c r="AH1631">
        <v>4</v>
      </c>
      <c r="AI1631">
        <v>2</v>
      </c>
      <c r="AJ1631">
        <v>3</v>
      </c>
      <c r="AK1631" t="b">
        <f>Table67[[#This Row],[What is your age?]]&lt;&gt;"18 - 25"</f>
        <v>0</v>
      </c>
      <c r="AL1631" t="b">
        <f t="shared" si="100"/>
        <v>0</v>
      </c>
      <c r="AM1631" t="b">
        <f t="shared" si="101"/>
        <v>1</v>
      </c>
      <c r="AN1631" t="b">
        <f t="shared" si="102"/>
        <v>0</v>
      </c>
      <c r="AO1631" t="b">
        <f>OR(Table67[[#This Row],[Ineligible respondents]:[Inconsistent response on opposite question (3)]])</f>
        <v>1</v>
      </c>
      <c r="AP163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631">
        <f>Table67[[#This Row],[Extreme Response]]/21</f>
        <v>0.14285714285714285</v>
      </c>
      <c r="AR1631">
        <f>_xlfn.PERCENTILE.INC(Table67[Extrem Response Ratio (ERS)],0.9)</f>
        <v>0.61904761904761907</v>
      </c>
      <c r="AS1631" t="b">
        <f>Table67[[#This Row],[Extrem Response Ratio (ERS)]]&gt;=Table67[[#This Row],[Threshold of ERS]]</f>
        <v>0</v>
      </c>
      <c r="AT1631">
        <f>COUNTIF(Table67[[#This Row],[The mechanism of digital assets is difficult to understand, which discourages me from exploring it (E.g, Tokenization, Blockchain)]:[If I want to try different ways to invest, I will explore digital assets.]], 3)</f>
        <v>1</v>
      </c>
      <c r="AU1631">
        <f>Table67[[#This Row],[Midpoint]]/21</f>
        <v>4.7619047619047616E-2</v>
      </c>
      <c r="AV1631">
        <f>_xlfn.PERCENTILE.INC(Table67[Midpoint ratio],0.9)</f>
        <v>0.5714285714285714</v>
      </c>
      <c r="AW1631" t="b">
        <f>Table67[[#This Row],[Midpoint ratio]]&gt;=Table67[[#This Row],[Threshold of Midpoint ratio]]</f>
        <v>0</v>
      </c>
      <c r="AX1631" t="b">
        <f>OR(Table67[[#This Row],[Extreme Response Style]],Table67[[#This Row],[Mid-point Response Style]])</f>
        <v>0</v>
      </c>
      <c r="AY1631" t="b">
        <f>OR(Table67[[#This Row],[Delete? (Stage 1)]],Table67[[#This Row],[Delete? (Stage 2)]])</f>
        <v>1</v>
      </c>
      <c r="AZ1631" t="s">
        <v>84</v>
      </c>
    </row>
    <row r="1632" spans="1:52">
      <c r="A1632">
        <f t="shared" si="103"/>
        <v>1631</v>
      </c>
      <c r="B1632" s="3">
        <v>46065.721574074072</v>
      </c>
      <c r="C1632" s="3">
        <v>46065.721759259257</v>
      </c>
      <c r="D1632" t="s">
        <v>53</v>
      </c>
      <c r="G1632" t="s">
        <v>73</v>
      </c>
      <c r="H1632" t="s">
        <v>63</v>
      </c>
      <c r="I1632" t="s">
        <v>56</v>
      </c>
      <c r="J1632" t="s">
        <v>62</v>
      </c>
      <c r="K1632" t="s">
        <v>62</v>
      </c>
      <c r="L1632" t="s">
        <v>58</v>
      </c>
      <c r="M1632" t="s">
        <v>58</v>
      </c>
      <c r="N1632">
        <v>2</v>
      </c>
      <c r="O1632">
        <v>1</v>
      </c>
      <c r="P1632">
        <v>2</v>
      </c>
      <c r="Q1632">
        <v>3</v>
      </c>
      <c r="R1632">
        <v>2</v>
      </c>
      <c r="S1632">
        <v>3</v>
      </c>
      <c r="T1632">
        <v>3</v>
      </c>
      <c r="U1632">
        <v>2</v>
      </c>
      <c r="V1632">
        <v>4</v>
      </c>
      <c r="W1632">
        <v>4</v>
      </c>
      <c r="X1632">
        <v>3</v>
      </c>
      <c r="Y1632">
        <v>3</v>
      </c>
      <c r="Z1632">
        <v>3</v>
      </c>
      <c r="AA1632">
        <v>3</v>
      </c>
      <c r="AB1632">
        <v>3</v>
      </c>
      <c r="AC1632">
        <v>2</v>
      </c>
      <c r="AD1632">
        <v>3</v>
      </c>
      <c r="AE1632">
        <v>3</v>
      </c>
      <c r="AF1632">
        <v>4</v>
      </c>
      <c r="AG1632">
        <v>2</v>
      </c>
      <c r="AH1632">
        <v>4</v>
      </c>
      <c r="AI1632">
        <v>2</v>
      </c>
      <c r="AJ1632">
        <v>2</v>
      </c>
      <c r="AK1632" t="b">
        <f>Table67[[#This Row],[What is your age?]]&lt;&gt;"18 - 25"</f>
        <v>1</v>
      </c>
      <c r="AL1632" t="b">
        <f t="shared" si="100"/>
        <v>0</v>
      </c>
      <c r="AM1632" t="b">
        <f t="shared" si="101"/>
        <v>0</v>
      </c>
      <c r="AN1632" t="b">
        <f t="shared" si="102"/>
        <v>0</v>
      </c>
      <c r="AO1632" t="b">
        <f>OR(Table67[[#This Row],[Ineligible respondents]:[Inconsistent response on opposite question (3)]])</f>
        <v>1</v>
      </c>
      <c r="AP163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632">
        <f>Table67[[#This Row],[Extreme Response]]/21</f>
        <v>4.7619047619047616E-2</v>
      </c>
      <c r="AR1632">
        <f>_xlfn.PERCENTILE.INC(Table67[Extrem Response Ratio (ERS)],0.9)</f>
        <v>0.61904761904761907</v>
      </c>
      <c r="AS1632" t="b">
        <f>Table67[[#This Row],[Extrem Response Ratio (ERS)]]&gt;=Table67[[#This Row],[Threshold of ERS]]</f>
        <v>0</v>
      </c>
      <c r="AT1632">
        <f>COUNTIF(Table67[[#This Row],[The mechanism of digital assets is difficult to understand, which discourages me from exploring it (E.g, Tokenization, Blockchain)]:[If I want to try different ways to invest, I will explore digital assets.]], 3)</f>
        <v>10</v>
      </c>
      <c r="AU1632">
        <f>Table67[[#This Row],[Midpoint]]/21</f>
        <v>0.47619047619047616</v>
      </c>
      <c r="AV1632">
        <f>_xlfn.PERCENTILE.INC(Table67[Midpoint ratio],0.9)</f>
        <v>0.5714285714285714</v>
      </c>
      <c r="AW1632" t="b">
        <f>Table67[[#This Row],[Midpoint ratio]]&gt;=Table67[[#This Row],[Threshold of Midpoint ratio]]</f>
        <v>0</v>
      </c>
      <c r="AX1632" t="b">
        <f>OR(Table67[[#This Row],[Extreme Response Style]],Table67[[#This Row],[Mid-point Response Style]])</f>
        <v>0</v>
      </c>
      <c r="AY1632" t="b">
        <f>OR(Table67[[#This Row],[Delete? (Stage 1)]],Table67[[#This Row],[Delete? (Stage 2)]])</f>
        <v>1</v>
      </c>
      <c r="AZ1632" t="s">
        <v>84</v>
      </c>
    </row>
    <row r="1633" spans="1:52">
      <c r="A1633">
        <f t="shared" si="103"/>
        <v>1632</v>
      </c>
      <c r="B1633" s="3">
        <v>46065.707175925927</v>
      </c>
      <c r="C1633" s="3">
        <v>46065.707557870373</v>
      </c>
      <c r="D1633" t="s">
        <v>53</v>
      </c>
      <c r="G1633" t="s">
        <v>54</v>
      </c>
      <c r="H1633" t="s">
        <v>63</v>
      </c>
      <c r="I1633" t="s">
        <v>71</v>
      </c>
      <c r="J1633" t="s">
        <v>62</v>
      </c>
      <c r="K1633" t="s">
        <v>57</v>
      </c>
      <c r="L1633" t="s">
        <v>58</v>
      </c>
      <c r="M1633" t="s">
        <v>58</v>
      </c>
      <c r="N1633">
        <v>2</v>
      </c>
      <c r="O1633">
        <v>3</v>
      </c>
      <c r="P1633">
        <v>4</v>
      </c>
      <c r="Q1633">
        <v>4</v>
      </c>
      <c r="R1633">
        <v>3</v>
      </c>
      <c r="S1633">
        <v>3</v>
      </c>
      <c r="T1633">
        <v>3</v>
      </c>
      <c r="U1633">
        <v>4</v>
      </c>
      <c r="V1633">
        <v>4</v>
      </c>
      <c r="W1633">
        <v>4</v>
      </c>
      <c r="X1633">
        <v>4</v>
      </c>
      <c r="Y1633">
        <v>4</v>
      </c>
      <c r="Z1633">
        <v>4</v>
      </c>
      <c r="AA1633">
        <v>3</v>
      </c>
      <c r="AB1633">
        <v>3</v>
      </c>
      <c r="AC1633">
        <v>5</v>
      </c>
      <c r="AD1633">
        <v>4</v>
      </c>
      <c r="AE1633">
        <v>4</v>
      </c>
      <c r="AF1633">
        <v>3</v>
      </c>
      <c r="AG1633">
        <v>1</v>
      </c>
      <c r="AH1633">
        <v>4</v>
      </c>
      <c r="AI1633">
        <v>2</v>
      </c>
      <c r="AJ1633">
        <v>3</v>
      </c>
      <c r="AK1633" t="b">
        <f>Table67[[#This Row],[What is your age?]]&lt;&gt;"18 - 25"</f>
        <v>0</v>
      </c>
      <c r="AL1633" t="b">
        <f t="shared" si="100"/>
        <v>0</v>
      </c>
      <c r="AM1633" t="b">
        <f t="shared" si="101"/>
        <v>0</v>
      </c>
      <c r="AN1633" t="b">
        <f t="shared" si="102"/>
        <v>0</v>
      </c>
      <c r="AO1633" t="b">
        <f>OR(Table67[[#This Row],[Ineligible respondents]:[Inconsistent response on opposite question (3)]])</f>
        <v>0</v>
      </c>
      <c r="AP163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633">
        <f>Table67[[#This Row],[Extreme Response]]/21</f>
        <v>9.5238095238095233E-2</v>
      </c>
      <c r="AR1633">
        <f>_xlfn.PERCENTILE.INC(Table67[Extrem Response Ratio (ERS)],0.9)</f>
        <v>0.61904761904761907</v>
      </c>
      <c r="AS1633" t="b">
        <f>Table67[[#This Row],[Extrem Response Ratio (ERS)]]&gt;=Table67[[#This Row],[Threshold of ERS]]</f>
        <v>0</v>
      </c>
      <c r="AT1633">
        <f>COUNTIF(Table67[[#This Row],[The mechanism of digital assets is difficult to understand, which discourages me from exploring it (E.g, Tokenization, Blockchain)]:[If I want to try different ways to invest, I will explore digital assets.]], 3)</f>
        <v>7</v>
      </c>
      <c r="AU1633">
        <f>Table67[[#This Row],[Midpoint]]/21</f>
        <v>0.33333333333333331</v>
      </c>
      <c r="AV1633">
        <f>_xlfn.PERCENTILE.INC(Table67[Midpoint ratio],0.9)</f>
        <v>0.5714285714285714</v>
      </c>
      <c r="AW1633" t="b">
        <f>Table67[[#This Row],[Midpoint ratio]]&gt;=Table67[[#This Row],[Threshold of Midpoint ratio]]</f>
        <v>0</v>
      </c>
      <c r="AX1633" t="b">
        <f>OR(Table67[[#This Row],[Extreme Response Style]],Table67[[#This Row],[Mid-point Response Style]])</f>
        <v>0</v>
      </c>
      <c r="AY1633" t="b">
        <f>OR(Table67[[#This Row],[Delete? (Stage 1)]],Table67[[#This Row],[Delete? (Stage 2)]])</f>
        <v>0</v>
      </c>
      <c r="AZ1633" t="s">
        <v>84</v>
      </c>
    </row>
    <row r="1634" spans="1:52">
      <c r="A1634">
        <f t="shared" si="103"/>
        <v>1633</v>
      </c>
      <c r="B1634" s="3">
        <v>46062.042523148149</v>
      </c>
      <c r="C1634" s="3">
        <v>46062.046932870369</v>
      </c>
      <c r="D1634" t="s">
        <v>53</v>
      </c>
      <c r="G1634" t="s">
        <v>54</v>
      </c>
      <c r="H1634" t="s">
        <v>55</v>
      </c>
      <c r="I1634" t="s">
        <v>75</v>
      </c>
      <c r="J1634" t="s">
        <v>62</v>
      </c>
      <c r="K1634" t="s">
        <v>57</v>
      </c>
      <c r="L1634" t="s">
        <v>58</v>
      </c>
      <c r="M1634" t="s">
        <v>58</v>
      </c>
      <c r="N1634">
        <v>4</v>
      </c>
      <c r="O1634">
        <v>3</v>
      </c>
      <c r="P1634">
        <v>4</v>
      </c>
      <c r="Q1634">
        <v>3</v>
      </c>
      <c r="R1634">
        <v>2</v>
      </c>
      <c r="S1634">
        <v>2</v>
      </c>
      <c r="T1634">
        <v>3</v>
      </c>
      <c r="U1634">
        <v>4</v>
      </c>
      <c r="V1634">
        <v>5</v>
      </c>
      <c r="W1634">
        <v>3</v>
      </c>
      <c r="X1634">
        <v>4</v>
      </c>
      <c r="Y1634">
        <v>4</v>
      </c>
      <c r="Z1634">
        <v>3</v>
      </c>
      <c r="AA1634">
        <v>2</v>
      </c>
      <c r="AB1634">
        <v>2</v>
      </c>
      <c r="AC1634">
        <v>3</v>
      </c>
      <c r="AD1634">
        <v>5</v>
      </c>
      <c r="AE1634">
        <v>2</v>
      </c>
      <c r="AF1634">
        <v>4</v>
      </c>
      <c r="AG1634">
        <v>4</v>
      </c>
      <c r="AH1634">
        <v>3</v>
      </c>
      <c r="AI1634">
        <v>3</v>
      </c>
      <c r="AJ1634">
        <v>2</v>
      </c>
      <c r="AK1634" t="b">
        <f>Table67[[#This Row],[What is your age?]]&lt;&gt;"18 - 25"</f>
        <v>0</v>
      </c>
      <c r="AL1634" t="b">
        <f t="shared" si="100"/>
        <v>0</v>
      </c>
      <c r="AM1634" t="b">
        <f t="shared" si="101"/>
        <v>0</v>
      </c>
      <c r="AN1634" t="b">
        <f t="shared" si="102"/>
        <v>1</v>
      </c>
      <c r="AO1634" t="b">
        <f>OR(Table67[[#This Row],[Ineligible respondents]:[Inconsistent response on opposite question (3)]])</f>
        <v>1</v>
      </c>
      <c r="AP163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634">
        <f>Table67[[#This Row],[Extreme Response]]/21</f>
        <v>9.5238095238095233E-2</v>
      </c>
      <c r="AR1634">
        <f>_xlfn.PERCENTILE.INC(Table67[Extrem Response Ratio (ERS)],0.9)</f>
        <v>0.61904761904761907</v>
      </c>
      <c r="AS1634" t="b">
        <f>Table67[[#This Row],[Extrem Response Ratio (ERS)]]&gt;=Table67[[#This Row],[Threshold of ERS]]</f>
        <v>0</v>
      </c>
      <c r="AT1634">
        <f>COUNTIF(Table67[[#This Row],[The mechanism of digital assets is difficult to understand, which discourages me from exploring it (E.g, Tokenization, Blockchain)]:[If I want to try different ways to invest, I will explore digital assets.]], 3)</f>
        <v>7</v>
      </c>
      <c r="AU1634">
        <f>Table67[[#This Row],[Midpoint]]/21</f>
        <v>0.33333333333333331</v>
      </c>
      <c r="AV1634">
        <f>_xlfn.PERCENTILE.INC(Table67[Midpoint ratio],0.9)</f>
        <v>0.5714285714285714</v>
      </c>
      <c r="AW1634" t="b">
        <f>Table67[[#This Row],[Midpoint ratio]]&gt;=Table67[[#This Row],[Threshold of Midpoint ratio]]</f>
        <v>0</v>
      </c>
      <c r="AX1634" t="b">
        <f>OR(Table67[[#This Row],[Extreme Response Style]],Table67[[#This Row],[Mid-point Response Style]])</f>
        <v>0</v>
      </c>
      <c r="AY1634" t="b">
        <f>OR(Table67[[#This Row],[Delete? (Stage 1)]],Table67[[#This Row],[Delete? (Stage 2)]])</f>
        <v>1</v>
      </c>
      <c r="AZ1634" t="s">
        <v>84</v>
      </c>
    </row>
    <row r="1635" spans="1:52">
      <c r="A1635">
        <f t="shared" si="103"/>
        <v>1634</v>
      </c>
      <c r="B1635" s="3">
        <v>46062.024594907409</v>
      </c>
      <c r="C1635" s="3">
        <v>46062.026701388888</v>
      </c>
      <c r="D1635" t="s">
        <v>53</v>
      </c>
      <c r="G1635" t="s">
        <v>54</v>
      </c>
      <c r="H1635" t="s">
        <v>55</v>
      </c>
      <c r="I1635" t="s">
        <v>75</v>
      </c>
      <c r="J1635" t="s">
        <v>57</v>
      </c>
      <c r="K1635" t="s">
        <v>57</v>
      </c>
      <c r="L1635" t="s">
        <v>58</v>
      </c>
      <c r="M1635" t="s">
        <v>58</v>
      </c>
      <c r="N1635">
        <v>4</v>
      </c>
      <c r="O1635">
        <v>2</v>
      </c>
      <c r="P1635">
        <v>3</v>
      </c>
      <c r="Q1635">
        <v>3</v>
      </c>
      <c r="R1635">
        <v>3</v>
      </c>
      <c r="S1635">
        <v>3</v>
      </c>
      <c r="T1635">
        <v>2</v>
      </c>
      <c r="U1635">
        <v>4</v>
      </c>
      <c r="V1635">
        <v>4</v>
      </c>
      <c r="W1635">
        <v>4</v>
      </c>
      <c r="X1635">
        <v>3</v>
      </c>
      <c r="Y1635">
        <v>4</v>
      </c>
      <c r="Z1635">
        <v>4</v>
      </c>
      <c r="AA1635">
        <v>3</v>
      </c>
      <c r="AB1635">
        <v>1</v>
      </c>
      <c r="AC1635">
        <v>2</v>
      </c>
      <c r="AD1635">
        <v>2</v>
      </c>
      <c r="AE1635">
        <v>4</v>
      </c>
      <c r="AF1635">
        <v>5</v>
      </c>
      <c r="AG1635">
        <v>2</v>
      </c>
      <c r="AH1635">
        <v>3</v>
      </c>
      <c r="AI1635">
        <v>3</v>
      </c>
      <c r="AJ1635">
        <v>1</v>
      </c>
      <c r="AK1635" t="b">
        <f>Table67[[#This Row],[What is your age?]]&lt;&gt;"18 - 25"</f>
        <v>0</v>
      </c>
      <c r="AL1635" t="b">
        <f t="shared" si="100"/>
        <v>0</v>
      </c>
      <c r="AM1635" t="b">
        <f t="shared" si="101"/>
        <v>0</v>
      </c>
      <c r="AN1635" t="b">
        <f t="shared" si="102"/>
        <v>1</v>
      </c>
      <c r="AO1635" t="b">
        <f>OR(Table67[[#This Row],[Ineligible respondents]:[Inconsistent response on opposite question (3)]])</f>
        <v>1</v>
      </c>
      <c r="AP163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635">
        <f>Table67[[#This Row],[Extreme Response]]/21</f>
        <v>9.5238095238095233E-2</v>
      </c>
      <c r="AR1635">
        <f>_xlfn.PERCENTILE.INC(Table67[Extrem Response Ratio (ERS)],0.9)</f>
        <v>0.61904761904761907</v>
      </c>
      <c r="AS1635" t="b">
        <f>Table67[[#This Row],[Extrem Response Ratio (ERS)]]&gt;=Table67[[#This Row],[Threshold of ERS]]</f>
        <v>0</v>
      </c>
      <c r="AT1635">
        <f>COUNTIF(Table67[[#This Row],[The mechanism of digital assets is difficult to understand, which discourages me from exploring it (E.g, Tokenization, Blockchain)]:[If I want to try different ways to invest, I will explore digital assets.]], 3)</f>
        <v>7</v>
      </c>
      <c r="AU1635">
        <f>Table67[[#This Row],[Midpoint]]/21</f>
        <v>0.33333333333333331</v>
      </c>
      <c r="AV1635">
        <f>_xlfn.PERCENTILE.INC(Table67[Midpoint ratio],0.9)</f>
        <v>0.5714285714285714</v>
      </c>
      <c r="AW1635" t="b">
        <f>Table67[[#This Row],[Midpoint ratio]]&gt;=Table67[[#This Row],[Threshold of Midpoint ratio]]</f>
        <v>0</v>
      </c>
      <c r="AX1635" t="b">
        <f>OR(Table67[[#This Row],[Extreme Response Style]],Table67[[#This Row],[Mid-point Response Style]])</f>
        <v>0</v>
      </c>
      <c r="AY1635" t="b">
        <f>OR(Table67[[#This Row],[Delete? (Stage 1)]],Table67[[#This Row],[Delete? (Stage 2)]])</f>
        <v>1</v>
      </c>
      <c r="AZ1635" t="s">
        <v>84</v>
      </c>
    </row>
    <row r="1636" spans="1:52">
      <c r="A1636">
        <f t="shared" si="103"/>
        <v>1635</v>
      </c>
      <c r="B1636" s="3">
        <v>46065.713356481479</v>
      </c>
      <c r="C1636" s="3">
        <v>46065.713680555556</v>
      </c>
      <c r="D1636" t="s">
        <v>53</v>
      </c>
      <c r="G1636" t="s">
        <v>54</v>
      </c>
      <c r="H1636" t="s">
        <v>55</v>
      </c>
      <c r="I1636" t="s">
        <v>71</v>
      </c>
      <c r="J1636" t="s">
        <v>65</v>
      </c>
      <c r="K1636" t="s">
        <v>57</v>
      </c>
      <c r="L1636" t="s">
        <v>58</v>
      </c>
      <c r="M1636" t="s">
        <v>58</v>
      </c>
      <c r="N1636">
        <v>3</v>
      </c>
      <c r="O1636">
        <v>3</v>
      </c>
      <c r="P1636">
        <v>3</v>
      </c>
      <c r="Q1636">
        <v>3</v>
      </c>
      <c r="R1636">
        <v>3</v>
      </c>
      <c r="S1636">
        <v>3</v>
      </c>
      <c r="T1636">
        <v>3</v>
      </c>
      <c r="U1636">
        <v>4</v>
      </c>
      <c r="V1636">
        <v>3</v>
      </c>
      <c r="W1636">
        <v>3</v>
      </c>
      <c r="X1636">
        <v>4</v>
      </c>
      <c r="Y1636">
        <v>2</v>
      </c>
      <c r="Z1636">
        <v>4</v>
      </c>
      <c r="AA1636">
        <v>3</v>
      </c>
      <c r="AB1636">
        <v>3</v>
      </c>
      <c r="AC1636">
        <v>4</v>
      </c>
      <c r="AD1636">
        <v>4</v>
      </c>
      <c r="AE1636">
        <v>4</v>
      </c>
      <c r="AF1636">
        <v>3</v>
      </c>
      <c r="AG1636">
        <v>2</v>
      </c>
      <c r="AH1636">
        <v>4</v>
      </c>
      <c r="AI1636">
        <v>2</v>
      </c>
      <c r="AJ1636">
        <v>3</v>
      </c>
      <c r="AK1636" t="b">
        <f>Table67[[#This Row],[What is your age?]]&lt;&gt;"18 - 25"</f>
        <v>0</v>
      </c>
      <c r="AL1636" t="b">
        <f t="shared" si="100"/>
        <v>0</v>
      </c>
      <c r="AM1636" t="b">
        <f t="shared" si="101"/>
        <v>0</v>
      </c>
      <c r="AN1636" t="b">
        <f t="shared" si="102"/>
        <v>0</v>
      </c>
      <c r="AO1636" t="b">
        <f>OR(Table67[[#This Row],[Ineligible respondents]:[Inconsistent response on opposite question (3)]])</f>
        <v>0</v>
      </c>
      <c r="AP163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636">
        <f>Table67[[#This Row],[Extreme Response]]/21</f>
        <v>0</v>
      </c>
      <c r="AR1636">
        <f>_xlfn.PERCENTILE.INC(Table67[Extrem Response Ratio (ERS)],0.9)</f>
        <v>0.61904761904761907</v>
      </c>
      <c r="AS1636" t="b">
        <f>Table67[[#This Row],[Extrem Response Ratio (ERS)]]&gt;=Table67[[#This Row],[Threshold of ERS]]</f>
        <v>0</v>
      </c>
      <c r="AT1636">
        <f>COUNTIF(Table67[[#This Row],[The mechanism of digital assets is difficult to understand, which discourages me from exploring it (E.g, Tokenization, Blockchain)]:[If I want to try different ways to invest, I will explore digital assets.]], 3)</f>
        <v>12</v>
      </c>
      <c r="AU1636">
        <f>Table67[[#This Row],[Midpoint]]/21</f>
        <v>0.5714285714285714</v>
      </c>
      <c r="AV1636">
        <f>_xlfn.PERCENTILE.INC(Table67[Midpoint ratio],0.9)</f>
        <v>0.5714285714285714</v>
      </c>
      <c r="AW1636" t="b">
        <f>Table67[[#This Row],[Midpoint ratio]]&gt;=Table67[[#This Row],[Threshold of Midpoint ratio]]</f>
        <v>1</v>
      </c>
      <c r="AX1636" t="b">
        <f>OR(Table67[[#This Row],[Extreme Response Style]],Table67[[#This Row],[Mid-point Response Style]])</f>
        <v>1</v>
      </c>
      <c r="AY1636" t="b">
        <f>OR(Table67[[#This Row],[Delete? (Stage 1)]],Table67[[#This Row],[Delete? (Stage 2)]])</f>
        <v>1</v>
      </c>
      <c r="AZ1636" t="s">
        <v>84</v>
      </c>
    </row>
    <row r="1637" spans="1:52">
      <c r="A1637">
        <f t="shared" si="103"/>
        <v>1636</v>
      </c>
      <c r="B1637" s="3">
        <v>46065.875335648147</v>
      </c>
      <c r="C1637" s="3">
        <v>46065.882395833331</v>
      </c>
      <c r="D1637" t="s">
        <v>53</v>
      </c>
      <c r="G1637" t="s">
        <v>54</v>
      </c>
      <c r="H1637" t="s">
        <v>55</v>
      </c>
      <c r="I1637" t="s">
        <v>75</v>
      </c>
      <c r="J1637" t="s">
        <v>60</v>
      </c>
      <c r="K1637" t="s">
        <v>57</v>
      </c>
      <c r="L1637" t="s">
        <v>58</v>
      </c>
      <c r="M1637" t="s">
        <v>58</v>
      </c>
      <c r="N1637">
        <v>4</v>
      </c>
      <c r="O1637">
        <v>4</v>
      </c>
      <c r="P1637">
        <v>3</v>
      </c>
      <c r="Q1637">
        <v>4</v>
      </c>
      <c r="R1637">
        <v>4</v>
      </c>
      <c r="S1637">
        <v>5</v>
      </c>
      <c r="T1637">
        <v>5</v>
      </c>
      <c r="U1637">
        <v>4</v>
      </c>
      <c r="V1637">
        <v>4</v>
      </c>
      <c r="W1637">
        <v>4</v>
      </c>
      <c r="X1637">
        <v>4</v>
      </c>
      <c r="Y1637">
        <v>4</v>
      </c>
      <c r="Z1637">
        <v>4</v>
      </c>
      <c r="AA1637">
        <v>5</v>
      </c>
      <c r="AB1637">
        <v>5</v>
      </c>
      <c r="AC1637">
        <v>3</v>
      </c>
      <c r="AD1637">
        <v>4</v>
      </c>
      <c r="AE1637">
        <v>3</v>
      </c>
      <c r="AF1637">
        <v>2</v>
      </c>
      <c r="AG1637">
        <v>3</v>
      </c>
      <c r="AH1637">
        <v>3</v>
      </c>
      <c r="AI1637">
        <v>3</v>
      </c>
      <c r="AJ1637">
        <v>4</v>
      </c>
      <c r="AK1637" t="b">
        <f>Table67[[#This Row],[What is your age?]]&lt;&gt;"18 - 25"</f>
        <v>0</v>
      </c>
      <c r="AL1637" t="b">
        <f t="shared" si="100"/>
        <v>0</v>
      </c>
      <c r="AM1637" t="b">
        <f t="shared" si="101"/>
        <v>0</v>
      </c>
      <c r="AN1637" t="b">
        <f t="shared" si="102"/>
        <v>0</v>
      </c>
      <c r="AO1637" t="b">
        <f>OR(Table67[[#This Row],[Ineligible respondents]:[Inconsistent response on opposite question (3)]])</f>
        <v>0</v>
      </c>
      <c r="AP163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637">
        <f>Table67[[#This Row],[Extreme Response]]/21</f>
        <v>0.19047619047619047</v>
      </c>
      <c r="AR1637">
        <f>_xlfn.PERCENTILE.INC(Table67[Extrem Response Ratio (ERS)],0.9)</f>
        <v>0.61904761904761907</v>
      </c>
      <c r="AS1637" t="b">
        <f>Table67[[#This Row],[Extrem Response Ratio (ERS)]]&gt;=Table67[[#This Row],[Threshold of ERS]]</f>
        <v>0</v>
      </c>
      <c r="AT1637">
        <f>COUNTIF(Table67[[#This Row],[The mechanism of digital assets is difficult to understand, which discourages me from exploring it (E.g, Tokenization, Blockchain)]:[If I want to try different ways to invest, I will explore digital assets.]], 3)</f>
        <v>5</v>
      </c>
      <c r="AU1637">
        <f>Table67[[#This Row],[Midpoint]]/21</f>
        <v>0.23809523809523808</v>
      </c>
      <c r="AV1637">
        <f>_xlfn.PERCENTILE.INC(Table67[Midpoint ratio],0.9)</f>
        <v>0.5714285714285714</v>
      </c>
      <c r="AW1637" t="b">
        <f>Table67[[#This Row],[Midpoint ratio]]&gt;=Table67[[#This Row],[Threshold of Midpoint ratio]]</f>
        <v>0</v>
      </c>
      <c r="AX1637" t="b">
        <f>OR(Table67[[#This Row],[Extreme Response Style]],Table67[[#This Row],[Mid-point Response Style]])</f>
        <v>0</v>
      </c>
      <c r="AY1637" t="b">
        <f>OR(Table67[[#This Row],[Delete? (Stage 1)]],Table67[[#This Row],[Delete? (Stage 2)]])</f>
        <v>0</v>
      </c>
      <c r="AZ1637" t="s">
        <v>84</v>
      </c>
    </row>
    <row r="1638" spans="1:52">
      <c r="A1638">
        <f t="shared" si="103"/>
        <v>1637</v>
      </c>
      <c r="B1638" s="3">
        <v>46065.712939814817</v>
      </c>
      <c r="C1638" s="3">
        <v>46065.713263888887</v>
      </c>
      <c r="D1638" t="s">
        <v>53</v>
      </c>
      <c r="G1638" t="s">
        <v>54</v>
      </c>
      <c r="H1638" t="s">
        <v>55</v>
      </c>
      <c r="I1638" t="s">
        <v>56</v>
      </c>
      <c r="J1638" t="s">
        <v>62</v>
      </c>
      <c r="K1638" t="s">
        <v>62</v>
      </c>
      <c r="L1638" t="s">
        <v>58</v>
      </c>
      <c r="M1638" t="s">
        <v>58</v>
      </c>
      <c r="N1638">
        <v>3</v>
      </c>
      <c r="O1638">
        <v>3</v>
      </c>
      <c r="P1638">
        <v>2</v>
      </c>
      <c r="Q1638">
        <v>2</v>
      </c>
      <c r="R1638">
        <v>3</v>
      </c>
      <c r="S1638">
        <v>3</v>
      </c>
      <c r="T1638">
        <v>2</v>
      </c>
      <c r="U1638">
        <v>2</v>
      </c>
      <c r="V1638">
        <v>4</v>
      </c>
      <c r="W1638">
        <v>4</v>
      </c>
      <c r="X1638">
        <v>2</v>
      </c>
      <c r="Y1638">
        <v>4</v>
      </c>
      <c r="Z1638">
        <v>2</v>
      </c>
      <c r="AA1638">
        <v>3</v>
      </c>
      <c r="AB1638">
        <v>2</v>
      </c>
      <c r="AC1638">
        <v>3</v>
      </c>
      <c r="AD1638">
        <v>3</v>
      </c>
      <c r="AE1638">
        <v>2</v>
      </c>
      <c r="AF1638">
        <v>4</v>
      </c>
      <c r="AG1638">
        <v>2</v>
      </c>
      <c r="AH1638">
        <v>4</v>
      </c>
      <c r="AI1638">
        <v>2</v>
      </c>
      <c r="AJ1638">
        <v>2</v>
      </c>
      <c r="AK1638" t="b">
        <f>Table67[[#This Row],[What is your age?]]&lt;&gt;"18 - 25"</f>
        <v>0</v>
      </c>
      <c r="AL1638" t="b">
        <f t="shared" si="100"/>
        <v>0</v>
      </c>
      <c r="AM1638" t="b">
        <f t="shared" si="101"/>
        <v>0</v>
      </c>
      <c r="AN1638" t="b">
        <f t="shared" si="102"/>
        <v>0</v>
      </c>
      <c r="AO1638" t="b">
        <f>OR(Table67[[#This Row],[Ineligible respondents]:[Inconsistent response on opposite question (3)]])</f>
        <v>0</v>
      </c>
      <c r="AP163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638">
        <f>Table67[[#This Row],[Extreme Response]]/21</f>
        <v>0</v>
      </c>
      <c r="AR1638">
        <f>_xlfn.PERCENTILE.INC(Table67[Extrem Response Ratio (ERS)],0.9)</f>
        <v>0.61904761904761907</v>
      </c>
      <c r="AS1638" t="b">
        <f>Table67[[#This Row],[Extrem Response Ratio (ERS)]]&gt;=Table67[[#This Row],[Threshold of ERS]]</f>
        <v>0</v>
      </c>
      <c r="AT1638">
        <f>COUNTIF(Table67[[#This Row],[The mechanism of digital assets is difficult to understand, which discourages me from exploring it (E.g, Tokenization, Blockchain)]:[If I want to try different ways to invest, I will explore digital assets.]], 3)</f>
        <v>7</v>
      </c>
      <c r="AU1638">
        <f>Table67[[#This Row],[Midpoint]]/21</f>
        <v>0.33333333333333331</v>
      </c>
      <c r="AV1638">
        <f>_xlfn.PERCENTILE.INC(Table67[Midpoint ratio],0.9)</f>
        <v>0.5714285714285714</v>
      </c>
      <c r="AW1638" t="b">
        <f>Table67[[#This Row],[Midpoint ratio]]&gt;=Table67[[#This Row],[Threshold of Midpoint ratio]]</f>
        <v>0</v>
      </c>
      <c r="AX1638" t="b">
        <f>OR(Table67[[#This Row],[Extreme Response Style]],Table67[[#This Row],[Mid-point Response Style]])</f>
        <v>0</v>
      </c>
      <c r="AY1638" t="b">
        <f>OR(Table67[[#This Row],[Delete? (Stage 1)]],Table67[[#This Row],[Delete? (Stage 2)]])</f>
        <v>0</v>
      </c>
      <c r="AZ1638" t="s">
        <v>84</v>
      </c>
    </row>
    <row r="1639" spans="1:52">
      <c r="A1639">
        <f t="shared" si="103"/>
        <v>1638</v>
      </c>
      <c r="B1639" s="3">
        <v>46065.882280092592</v>
      </c>
      <c r="C1639" s="3">
        <v>46065.889699074076</v>
      </c>
      <c r="D1639" t="s">
        <v>53</v>
      </c>
      <c r="G1639" t="s">
        <v>54</v>
      </c>
      <c r="H1639" t="s">
        <v>55</v>
      </c>
      <c r="I1639" t="s">
        <v>56</v>
      </c>
      <c r="J1639" t="s">
        <v>64</v>
      </c>
      <c r="K1639" t="s">
        <v>66</v>
      </c>
      <c r="L1639" t="s">
        <v>58</v>
      </c>
      <c r="M1639" t="s">
        <v>58</v>
      </c>
      <c r="N1639">
        <v>2</v>
      </c>
      <c r="O1639">
        <v>2</v>
      </c>
      <c r="P1639">
        <v>3</v>
      </c>
      <c r="Q1639">
        <v>4</v>
      </c>
      <c r="R1639">
        <v>2</v>
      </c>
      <c r="S1639">
        <v>3</v>
      </c>
      <c r="T1639">
        <v>3</v>
      </c>
      <c r="U1639">
        <v>3</v>
      </c>
      <c r="V1639">
        <v>3</v>
      </c>
      <c r="W1639">
        <v>3</v>
      </c>
      <c r="X1639">
        <v>4</v>
      </c>
      <c r="Y1639">
        <v>2</v>
      </c>
      <c r="Z1639">
        <v>4</v>
      </c>
      <c r="AA1639">
        <v>3</v>
      </c>
      <c r="AB1639">
        <v>3</v>
      </c>
      <c r="AC1639">
        <v>3</v>
      </c>
      <c r="AD1639">
        <v>4</v>
      </c>
      <c r="AE1639">
        <v>3</v>
      </c>
      <c r="AF1639">
        <v>3</v>
      </c>
      <c r="AG1639">
        <v>2</v>
      </c>
      <c r="AH1639">
        <v>5</v>
      </c>
      <c r="AI1639">
        <v>1</v>
      </c>
      <c r="AJ1639">
        <v>3</v>
      </c>
      <c r="AK1639" t="b">
        <f>Table67[[#This Row],[What is your age?]]&lt;&gt;"18 - 25"</f>
        <v>0</v>
      </c>
      <c r="AL1639" t="b">
        <f t="shared" si="100"/>
        <v>0</v>
      </c>
      <c r="AM1639" t="b">
        <f t="shared" si="101"/>
        <v>0</v>
      </c>
      <c r="AN1639" t="b">
        <f t="shared" si="102"/>
        <v>0</v>
      </c>
      <c r="AO1639" t="b">
        <f>OR(Table67[[#This Row],[Ineligible respondents]:[Inconsistent response on opposite question (3)]])</f>
        <v>0</v>
      </c>
      <c r="AP163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639">
        <f>Table67[[#This Row],[Extreme Response]]/21</f>
        <v>4.7619047619047616E-2</v>
      </c>
      <c r="AR1639">
        <f>_xlfn.PERCENTILE.INC(Table67[Extrem Response Ratio (ERS)],0.9)</f>
        <v>0.61904761904761907</v>
      </c>
      <c r="AS1639" t="b">
        <f>Table67[[#This Row],[Extrem Response Ratio (ERS)]]&gt;=Table67[[#This Row],[Threshold of ERS]]</f>
        <v>0</v>
      </c>
      <c r="AT1639">
        <f>COUNTIF(Table67[[#This Row],[The mechanism of digital assets is difficult to understand, which discourages me from exploring it (E.g, Tokenization, Blockchain)]:[If I want to try different ways to invest, I will explore digital assets.]], 3)</f>
        <v>11</v>
      </c>
      <c r="AU1639">
        <f>Table67[[#This Row],[Midpoint]]/21</f>
        <v>0.52380952380952384</v>
      </c>
      <c r="AV1639">
        <f>_xlfn.PERCENTILE.INC(Table67[Midpoint ratio],0.9)</f>
        <v>0.5714285714285714</v>
      </c>
      <c r="AW1639" t="b">
        <f>Table67[[#This Row],[Midpoint ratio]]&gt;=Table67[[#This Row],[Threshold of Midpoint ratio]]</f>
        <v>0</v>
      </c>
      <c r="AX1639" t="b">
        <f>OR(Table67[[#This Row],[Extreme Response Style]],Table67[[#This Row],[Mid-point Response Style]])</f>
        <v>0</v>
      </c>
      <c r="AY1639" t="b">
        <f>OR(Table67[[#This Row],[Delete? (Stage 1)]],Table67[[#This Row],[Delete? (Stage 2)]])</f>
        <v>0</v>
      </c>
      <c r="AZ1639" t="s">
        <v>84</v>
      </c>
    </row>
    <row r="1640" spans="1:52">
      <c r="A1640">
        <f t="shared" si="103"/>
        <v>1639</v>
      </c>
      <c r="B1640" s="3">
        <v>46062.059733796297</v>
      </c>
      <c r="C1640" s="3">
        <v>46062.063298611109</v>
      </c>
      <c r="D1640" t="s">
        <v>53</v>
      </c>
      <c r="G1640" t="s">
        <v>54</v>
      </c>
      <c r="H1640" t="s">
        <v>55</v>
      </c>
      <c r="I1640" t="s">
        <v>71</v>
      </c>
      <c r="J1640" t="s">
        <v>62</v>
      </c>
      <c r="K1640" t="s">
        <v>62</v>
      </c>
      <c r="L1640" t="s">
        <v>58</v>
      </c>
      <c r="M1640" t="s">
        <v>58</v>
      </c>
      <c r="N1640">
        <v>3</v>
      </c>
      <c r="O1640">
        <v>2</v>
      </c>
      <c r="P1640">
        <v>3</v>
      </c>
      <c r="Q1640">
        <v>2</v>
      </c>
      <c r="R1640">
        <v>2</v>
      </c>
      <c r="S1640">
        <v>4</v>
      </c>
      <c r="T1640">
        <v>4</v>
      </c>
      <c r="U1640">
        <v>3</v>
      </c>
      <c r="V1640">
        <v>4</v>
      </c>
      <c r="W1640">
        <v>1</v>
      </c>
      <c r="X1640">
        <v>3</v>
      </c>
      <c r="Y1640">
        <v>4</v>
      </c>
      <c r="Z1640">
        <v>4</v>
      </c>
      <c r="AA1640">
        <v>2</v>
      </c>
      <c r="AB1640">
        <v>4</v>
      </c>
      <c r="AC1640">
        <v>4</v>
      </c>
      <c r="AD1640">
        <v>2</v>
      </c>
      <c r="AE1640">
        <v>2</v>
      </c>
      <c r="AF1640">
        <v>3</v>
      </c>
      <c r="AG1640">
        <v>3</v>
      </c>
      <c r="AH1640">
        <v>4</v>
      </c>
      <c r="AI1640">
        <v>2</v>
      </c>
      <c r="AJ1640">
        <v>3</v>
      </c>
      <c r="AK1640" t="b">
        <f>Table67[[#This Row],[What is your age?]]&lt;&gt;"18 - 25"</f>
        <v>0</v>
      </c>
      <c r="AL1640" t="b">
        <f t="shared" si="100"/>
        <v>0</v>
      </c>
      <c r="AM1640" t="b">
        <f t="shared" si="101"/>
        <v>0</v>
      </c>
      <c r="AN1640" t="b">
        <f t="shared" si="102"/>
        <v>1</v>
      </c>
      <c r="AO1640" t="b">
        <f>OR(Table67[[#This Row],[Ineligible respondents]:[Inconsistent response on opposite question (3)]])</f>
        <v>1</v>
      </c>
      <c r="AP164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640">
        <f>Table67[[#This Row],[Extreme Response]]/21</f>
        <v>4.7619047619047616E-2</v>
      </c>
      <c r="AR1640">
        <f>_xlfn.PERCENTILE.INC(Table67[Extrem Response Ratio (ERS)],0.9)</f>
        <v>0.61904761904761907</v>
      </c>
      <c r="AS1640" t="b">
        <f>Table67[[#This Row],[Extrem Response Ratio (ERS)]]&gt;=Table67[[#This Row],[Threshold of ERS]]</f>
        <v>0</v>
      </c>
      <c r="AT1640">
        <f>COUNTIF(Table67[[#This Row],[The mechanism of digital assets is difficult to understand, which discourages me from exploring it (E.g, Tokenization, Blockchain)]:[If I want to try different ways to invest, I will explore digital assets.]], 3)</f>
        <v>6</v>
      </c>
      <c r="AU1640">
        <f>Table67[[#This Row],[Midpoint]]/21</f>
        <v>0.2857142857142857</v>
      </c>
      <c r="AV1640">
        <f>_xlfn.PERCENTILE.INC(Table67[Midpoint ratio],0.9)</f>
        <v>0.5714285714285714</v>
      </c>
      <c r="AW1640" t="b">
        <f>Table67[[#This Row],[Midpoint ratio]]&gt;=Table67[[#This Row],[Threshold of Midpoint ratio]]</f>
        <v>0</v>
      </c>
      <c r="AX1640" t="b">
        <f>OR(Table67[[#This Row],[Extreme Response Style]],Table67[[#This Row],[Mid-point Response Style]])</f>
        <v>0</v>
      </c>
      <c r="AY1640" t="b">
        <f>OR(Table67[[#This Row],[Delete? (Stage 1)]],Table67[[#This Row],[Delete? (Stage 2)]])</f>
        <v>1</v>
      </c>
      <c r="AZ1640" t="s">
        <v>84</v>
      </c>
    </row>
    <row r="1641" spans="1:52">
      <c r="A1641">
        <f t="shared" si="103"/>
        <v>1640</v>
      </c>
      <c r="B1641" s="3">
        <v>46065.890694444446</v>
      </c>
      <c r="C1641" s="3">
        <v>46065.892395833333</v>
      </c>
      <c r="D1641" t="s">
        <v>53</v>
      </c>
      <c r="G1641" t="s">
        <v>54</v>
      </c>
      <c r="H1641" t="s">
        <v>55</v>
      </c>
      <c r="I1641" t="s">
        <v>71</v>
      </c>
      <c r="J1641" t="s">
        <v>62</v>
      </c>
      <c r="K1641" t="s">
        <v>62</v>
      </c>
      <c r="L1641" t="s">
        <v>61</v>
      </c>
      <c r="M1641" t="s">
        <v>58</v>
      </c>
      <c r="N1641">
        <v>3</v>
      </c>
      <c r="O1641">
        <v>3</v>
      </c>
      <c r="P1641">
        <v>4</v>
      </c>
      <c r="Q1641">
        <v>3</v>
      </c>
      <c r="R1641">
        <v>3</v>
      </c>
      <c r="S1641">
        <v>2</v>
      </c>
      <c r="T1641">
        <v>2</v>
      </c>
      <c r="U1641">
        <v>3</v>
      </c>
      <c r="V1641">
        <v>4</v>
      </c>
      <c r="W1641">
        <v>3</v>
      </c>
      <c r="X1641">
        <v>3</v>
      </c>
      <c r="Y1641">
        <v>4</v>
      </c>
      <c r="Z1641">
        <v>3</v>
      </c>
      <c r="AA1641">
        <v>2</v>
      </c>
      <c r="AB1641">
        <v>2</v>
      </c>
      <c r="AC1641">
        <v>4</v>
      </c>
      <c r="AD1641">
        <v>3</v>
      </c>
      <c r="AE1641">
        <v>3</v>
      </c>
      <c r="AF1641">
        <v>3</v>
      </c>
      <c r="AG1641">
        <v>3</v>
      </c>
      <c r="AH1641">
        <v>3</v>
      </c>
      <c r="AI1641">
        <v>3</v>
      </c>
      <c r="AJ1641">
        <v>3</v>
      </c>
      <c r="AK1641" t="b">
        <f>Table67[[#This Row],[What is your age?]]&lt;&gt;"18 - 25"</f>
        <v>0</v>
      </c>
      <c r="AL1641" t="b">
        <f t="shared" si="100"/>
        <v>0</v>
      </c>
      <c r="AM1641" t="b">
        <f t="shared" si="101"/>
        <v>0</v>
      </c>
      <c r="AN1641" t="b">
        <f t="shared" si="102"/>
        <v>0</v>
      </c>
      <c r="AO1641" t="b">
        <f>OR(Table67[[#This Row],[Ineligible respondents]:[Inconsistent response on opposite question (3)]])</f>
        <v>0</v>
      </c>
      <c r="AP164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641">
        <f>Table67[[#This Row],[Extreme Response]]/21</f>
        <v>0</v>
      </c>
      <c r="AR1641">
        <f>_xlfn.PERCENTILE.INC(Table67[Extrem Response Ratio (ERS)],0.9)</f>
        <v>0.61904761904761907</v>
      </c>
      <c r="AS1641" t="b">
        <f>Table67[[#This Row],[Extrem Response Ratio (ERS)]]&gt;=Table67[[#This Row],[Threshold of ERS]]</f>
        <v>0</v>
      </c>
      <c r="AT1641">
        <f>COUNTIF(Table67[[#This Row],[The mechanism of digital assets is difficult to understand, which discourages me from exploring it (E.g, Tokenization, Blockchain)]:[If I want to try different ways to invest, I will explore digital assets.]], 3)</f>
        <v>13</v>
      </c>
      <c r="AU1641">
        <f>Table67[[#This Row],[Midpoint]]/21</f>
        <v>0.61904761904761907</v>
      </c>
      <c r="AV1641">
        <f>_xlfn.PERCENTILE.INC(Table67[Midpoint ratio],0.9)</f>
        <v>0.5714285714285714</v>
      </c>
      <c r="AW1641" t="b">
        <f>Table67[[#This Row],[Midpoint ratio]]&gt;=Table67[[#This Row],[Threshold of Midpoint ratio]]</f>
        <v>1</v>
      </c>
      <c r="AX1641" t="b">
        <f>OR(Table67[[#This Row],[Extreme Response Style]],Table67[[#This Row],[Mid-point Response Style]])</f>
        <v>1</v>
      </c>
      <c r="AY1641" t="b">
        <f>OR(Table67[[#This Row],[Delete? (Stage 1)]],Table67[[#This Row],[Delete? (Stage 2)]])</f>
        <v>1</v>
      </c>
      <c r="AZ1641" t="s">
        <v>84</v>
      </c>
    </row>
    <row r="1642" spans="1:52">
      <c r="A1642">
        <f t="shared" si="103"/>
        <v>1641</v>
      </c>
      <c r="B1642" s="3">
        <v>46065.731400462966</v>
      </c>
      <c r="C1642" s="3">
        <v>46065.732719907406</v>
      </c>
      <c r="D1642" t="s">
        <v>53</v>
      </c>
      <c r="G1642" t="s">
        <v>54</v>
      </c>
      <c r="H1642" t="s">
        <v>55</v>
      </c>
      <c r="I1642" t="s">
        <v>56</v>
      </c>
      <c r="J1642" t="s">
        <v>57</v>
      </c>
      <c r="K1642" t="s">
        <v>57</v>
      </c>
      <c r="L1642" t="s">
        <v>58</v>
      </c>
      <c r="M1642" t="s">
        <v>58</v>
      </c>
      <c r="N1642">
        <v>2</v>
      </c>
      <c r="O1642">
        <v>3</v>
      </c>
      <c r="P1642">
        <v>3</v>
      </c>
      <c r="Q1642">
        <v>3</v>
      </c>
      <c r="R1642">
        <v>1</v>
      </c>
      <c r="S1642">
        <v>2</v>
      </c>
      <c r="T1642">
        <v>2</v>
      </c>
      <c r="U1642">
        <v>3</v>
      </c>
      <c r="V1642">
        <v>2</v>
      </c>
      <c r="W1642">
        <v>3</v>
      </c>
      <c r="X1642">
        <v>2</v>
      </c>
      <c r="Y1642">
        <v>3</v>
      </c>
      <c r="Z1642">
        <v>2</v>
      </c>
      <c r="AA1642">
        <v>2</v>
      </c>
      <c r="AB1642">
        <v>2</v>
      </c>
      <c r="AC1642">
        <v>3</v>
      </c>
      <c r="AD1642">
        <v>2</v>
      </c>
      <c r="AE1642">
        <v>2</v>
      </c>
      <c r="AF1642">
        <v>4</v>
      </c>
      <c r="AG1642">
        <v>2</v>
      </c>
      <c r="AH1642">
        <v>5</v>
      </c>
      <c r="AI1642">
        <v>1</v>
      </c>
      <c r="AJ1642">
        <v>2</v>
      </c>
      <c r="AK1642" t="b">
        <f>Table67[[#This Row],[What is your age?]]&lt;&gt;"18 - 25"</f>
        <v>0</v>
      </c>
      <c r="AL1642" t="b">
        <f t="shared" si="100"/>
        <v>0</v>
      </c>
      <c r="AM1642" t="b">
        <f t="shared" si="101"/>
        <v>0</v>
      </c>
      <c r="AN1642" t="b">
        <f t="shared" si="102"/>
        <v>0</v>
      </c>
      <c r="AO1642" t="b">
        <f>OR(Table67[[#This Row],[Ineligible respondents]:[Inconsistent response on opposite question (3)]])</f>
        <v>0</v>
      </c>
      <c r="AP164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642">
        <f>Table67[[#This Row],[Extreme Response]]/21</f>
        <v>9.5238095238095233E-2</v>
      </c>
      <c r="AR1642">
        <f>_xlfn.PERCENTILE.INC(Table67[Extrem Response Ratio (ERS)],0.9)</f>
        <v>0.61904761904761907</v>
      </c>
      <c r="AS1642" t="b">
        <f>Table67[[#This Row],[Extrem Response Ratio (ERS)]]&gt;=Table67[[#This Row],[Threshold of ERS]]</f>
        <v>0</v>
      </c>
      <c r="AT1642">
        <f>COUNTIF(Table67[[#This Row],[The mechanism of digital assets is difficult to understand, which discourages me from exploring it (E.g, Tokenization, Blockchain)]:[If I want to try different ways to invest, I will explore digital assets.]], 3)</f>
        <v>7</v>
      </c>
      <c r="AU1642">
        <f>Table67[[#This Row],[Midpoint]]/21</f>
        <v>0.33333333333333331</v>
      </c>
      <c r="AV1642">
        <f>_xlfn.PERCENTILE.INC(Table67[Midpoint ratio],0.9)</f>
        <v>0.5714285714285714</v>
      </c>
      <c r="AW1642" t="b">
        <f>Table67[[#This Row],[Midpoint ratio]]&gt;=Table67[[#This Row],[Threshold of Midpoint ratio]]</f>
        <v>0</v>
      </c>
      <c r="AX1642" t="b">
        <f>OR(Table67[[#This Row],[Extreme Response Style]],Table67[[#This Row],[Mid-point Response Style]])</f>
        <v>0</v>
      </c>
      <c r="AY1642" t="b">
        <f>OR(Table67[[#This Row],[Delete? (Stage 1)]],Table67[[#This Row],[Delete? (Stage 2)]])</f>
        <v>0</v>
      </c>
      <c r="AZ1642" t="s">
        <v>84</v>
      </c>
    </row>
    <row r="1643" spans="1:52">
      <c r="A1643">
        <f t="shared" si="103"/>
        <v>1642</v>
      </c>
      <c r="B1643" s="3">
        <v>46065.828275462962</v>
      </c>
      <c r="C1643" s="3">
        <v>46065.83222222222</v>
      </c>
      <c r="D1643" t="s">
        <v>53</v>
      </c>
      <c r="G1643" t="s">
        <v>54</v>
      </c>
      <c r="H1643" t="s">
        <v>55</v>
      </c>
      <c r="I1643" t="s">
        <v>56</v>
      </c>
      <c r="J1643" t="s">
        <v>60</v>
      </c>
      <c r="K1643" t="s">
        <v>57</v>
      </c>
      <c r="L1643" t="s">
        <v>58</v>
      </c>
      <c r="M1643" t="s">
        <v>58</v>
      </c>
      <c r="N1643">
        <v>3</v>
      </c>
      <c r="O1643">
        <v>4</v>
      </c>
      <c r="P1643">
        <v>5</v>
      </c>
      <c r="Q1643">
        <v>4</v>
      </c>
      <c r="R1643">
        <v>3</v>
      </c>
      <c r="S1643">
        <v>3</v>
      </c>
      <c r="T1643">
        <v>3</v>
      </c>
      <c r="U1643">
        <v>4</v>
      </c>
      <c r="V1643">
        <v>4</v>
      </c>
      <c r="W1643">
        <v>4</v>
      </c>
      <c r="X1643">
        <v>4</v>
      </c>
      <c r="Y1643">
        <v>3</v>
      </c>
      <c r="Z1643">
        <v>5</v>
      </c>
      <c r="AA1643">
        <v>3</v>
      </c>
      <c r="AB1643">
        <v>3</v>
      </c>
      <c r="AC1643">
        <v>4</v>
      </c>
      <c r="AD1643">
        <v>4</v>
      </c>
      <c r="AE1643">
        <v>4</v>
      </c>
      <c r="AF1643">
        <v>3</v>
      </c>
      <c r="AG1643">
        <v>2</v>
      </c>
      <c r="AH1643">
        <v>4</v>
      </c>
      <c r="AI1643">
        <v>2</v>
      </c>
      <c r="AJ1643">
        <v>3</v>
      </c>
      <c r="AK1643" t="b">
        <f>Table67[[#This Row],[What is your age?]]&lt;&gt;"18 - 25"</f>
        <v>0</v>
      </c>
      <c r="AL1643" t="b">
        <f t="shared" si="100"/>
        <v>0</v>
      </c>
      <c r="AM1643" t="b">
        <f t="shared" si="101"/>
        <v>0</v>
      </c>
      <c r="AN1643" t="b">
        <f t="shared" si="102"/>
        <v>0</v>
      </c>
      <c r="AO1643" t="b">
        <f>OR(Table67[[#This Row],[Ineligible respondents]:[Inconsistent response on opposite question (3)]])</f>
        <v>0</v>
      </c>
      <c r="AP164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643">
        <f>Table67[[#This Row],[Extreme Response]]/21</f>
        <v>9.5238095238095233E-2</v>
      </c>
      <c r="AR1643">
        <f>_xlfn.PERCENTILE.INC(Table67[Extrem Response Ratio (ERS)],0.9)</f>
        <v>0.61904761904761907</v>
      </c>
      <c r="AS1643" t="b">
        <f>Table67[[#This Row],[Extrem Response Ratio (ERS)]]&gt;=Table67[[#This Row],[Threshold of ERS]]</f>
        <v>0</v>
      </c>
      <c r="AT1643">
        <f>COUNTIF(Table67[[#This Row],[The mechanism of digital assets is difficult to understand, which discourages me from exploring it (E.g, Tokenization, Blockchain)]:[If I want to try different ways to invest, I will explore digital assets.]], 3)</f>
        <v>8</v>
      </c>
      <c r="AU1643">
        <f>Table67[[#This Row],[Midpoint]]/21</f>
        <v>0.38095238095238093</v>
      </c>
      <c r="AV1643">
        <f>_xlfn.PERCENTILE.INC(Table67[Midpoint ratio],0.9)</f>
        <v>0.5714285714285714</v>
      </c>
      <c r="AW1643" t="b">
        <f>Table67[[#This Row],[Midpoint ratio]]&gt;=Table67[[#This Row],[Threshold of Midpoint ratio]]</f>
        <v>0</v>
      </c>
      <c r="AX1643" t="b">
        <f>OR(Table67[[#This Row],[Extreme Response Style]],Table67[[#This Row],[Mid-point Response Style]])</f>
        <v>0</v>
      </c>
      <c r="AY1643" t="b">
        <f>OR(Table67[[#This Row],[Delete? (Stage 1)]],Table67[[#This Row],[Delete? (Stage 2)]])</f>
        <v>0</v>
      </c>
      <c r="AZ1643" t="s">
        <v>84</v>
      </c>
    </row>
    <row r="1644" spans="1:52">
      <c r="A1644">
        <f t="shared" si="103"/>
        <v>1643</v>
      </c>
      <c r="B1644" s="3">
        <v>46062.154606481483</v>
      </c>
      <c r="C1644" s="3">
        <v>46062.158692129633</v>
      </c>
      <c r="D1644" t="s">
        <v>53</v>
      </c>
      <c r="G1644" t="s">
        <v>54</v>
      </c>
      <c r="H1644" t="s">
        <v>55</v>
      </c>
      <c r="I1644" t="s">
        <v>83</v>
      </c>
      <c r="J1644" t="s">
        <v>57</v>
      </c>
      <c r="K1644" t="s">
        <v>57</v>
      </c>
      <c r="L1644" t="s">
        <v>58</v>
      </c>
      <c r="M1644" t="s">
        <v>58</v>
      </c>
      <c r="N1644">
        <v>4</v>
      </c>
      <c r="O1644">
        <v>2</v>
      </c>
      <c r="P1644">
        <v>4</v>
      </c>
      <c r="Q1644">
        <v>4</v>
      </c>
      <c r="R1644">
        <v>4</v>
      </c>
      <c r="S1644">
        <v>3</v>
      </c>
      <c r="T1644">
        <v>2</v>
      </c>
      <c r="U1644">
        <v>5</v>
      </c>
      <c r="V1644">
        <v>5</v>
      </c>
      <c r="W1644">
        <v>4</v>
      </c>
      <c r="X1644">
        <v>4</v>
      </c>
      <c r="Y1644">
        <v>4</v>
      </c>
      <c r="Z1644">
        <v>5</v>
      </c>
      <c r="AA1644">
        <v>4</v>
      </c>
      <c r="AB1644">
        <v>2</v>
      </c>
      <c r="AC1644">
        <v>3</v>
      </c>
      <c r="AD1644">
        <v>5</v>
      </c>
      <c r="AE1644">
        <v>3</v>
      </c>
      <c r="AF1644">
        <v>4</v>
      </c>
      <c r="AG1644">
        <v>3</v>
      </c>
      <c r="AH1644">
        <v>4</v>
      </c>
      <c r="AI1644">
        <v>2</v>
      </c>
      <c r="AJ1644">
        <v>2</v>
      </c>
      <c r="AK1644" t="b">
        <f>Table67[[#This Row],[What is your age?]]&lt;&gt;"18 - 25"</f>
        <v>0</v>
      </c>
      <c r="AL1644" t="b">
        <f t="shared" si="100"/>
        <v>0</v>
      </c>
      <c r="AM1644" t="b">
        <f t="shared" si="101"/>
        <v>0</v>
      </c>
      <c r="AN1644" t="b">
        <f t="shared" si="102"/>
        <v>1</v>
      </c>
      <c r="AO1644" t="b">
        <f>OR(Table67[[#This Row],[Ineligible respondents]:[Inconsistent response on opposite question (3)]])</f>
        <v>1</v>
      </c>
      <c r="AP164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644">
        <f>Table67[[#This Row],[Extreme Response]]/21</f>
        <v>0.19047619047619047</v>
      </c>
      <c r="AR1644">
        <f>_xlfn.PERCENTILE.INC(Table67[Extrem Response Ratio (ERS)],0.9)</f>
        <v>0.61904761904761907</v>
      </c>
      <c r="AS1644" t="b">
        <f>Table67[[#This Row],[Extrem Response Ratio (ERS)]]&gt;=Table67[[#This Row],[Threshold of ERS]]</f>
        <v>0</v>
      </c>
      <c r="AT1644">
        <f>COUNTIF(Table67[[#This Row],[The mechanism of digital assets is difficult to understand, which discourages me from exploring it (E.g, Tokenization, Blockchain)]:[If I want to try different ways to invest, I will explore digital assets.]], 3)</f>
        <v>4</v>
      </c>
      <c r="AU1644">
        <f>Table67[[#This Row],[Midpoint]]/21</f>
        <v>0.19047619047619047</v>
      </c>
      <c r="AV1644">
        <f>_xlfn.PERCENTILE.INC(Table67[Midpoint ratio],0.9)</f>
        <v>0.5714285714285714</v>
      </c>
      <c r="AW1644" t="b">
        <f>Table67[[#This Row],[Midpoint ratio]]&gt;=Table67[[#This Row],[Threshold of Midpoint ratio]]</f>
        <v>0</v>
      </c>
      <c r="AX1644" t="b">
        <f>OR(Table67[[#This Row],[Extreme Response Style]],Table67[[#This Row],[Mid-point Response Style]])</f>
        <v>0</v>
      </c>
      <c r="AY1644" t="b">
        <f>OR(Table67[[#This Row],[Delete? (Stage 1)]],Table67[[#This Row],[Delete? (Stage 2)]])</f>
        <v>1</v>
      </c>
      <c r="AZ1644" t="s">
        <v>84</v>
      </c>
    </row>
    <row r="1645" spans="1:52">
      <c r="A1645">
        <f t="shared" si="103"/>
        <v>1644</v>
      </c>
      <c r="B1645" s="3">
        <v>46065.842152777775</v>
      </c>
      <c r="C1645" s="3">
        <v>46065.848761574074</v>
      </c>
      <c r="D1645" t="s">
        <v>53</v>
      </c>
      <c r="G1645" t="s">
        <v>54</v>
      </c>
      <c r="H1645" t="s">
        <v>55</v>
      </c>
      <c r="I1645" t="s">
        <v>56</v>
      </c>
      <c r="J1645" t="s">
        <v>62</v>
      </c>
      <c r="K1645" t="s">
        <v>57</v>
      </c>
      <c r="L1645" t="s">
        <v>61</v>
      </c>
      <c r="M1645" t="s">
        <v>58</v>
      </c>
      <c r="N1645">
        <v>2</v>
      </c>
      <c r="O1645">
        <v>2</v>
      </c>
      <c r="P1645">
        <v>4</v>
      </c>
      <c r="Q1645">
        <v>4</v>
      </c>
      <c r="R1645">
        <v>2</v>
      </c>
      <c r="S1645">
        <v>3</v>
      </c>
      <c r="T1645">
        <v>3</v>
      </c>
      <c r="U1645">
        <v>4</v>
      </c>
      <c r="V1645">
        <v>5</v>
      </c>
      <c r="W1645">
        <v>5</v>
      </c>
      <c r="X1645">
        <v>4</v>
      </c>
      <c r="Y1645">
        <v>5</v>
      </c>
      <c r="Z1645">
        <v>4</v>
      </c>
      <c r="AA1645">
        <v>3</v>
      </c>
      <c r="AB1645">
        <v>4</v>
      </c>
      <c r="AC1645">
        <v>4</v>
      </c>
      <c r="AD1645">
        <v>4</v>
      </c>
      <c r="AE1645">
        <v>3</v>
      </c>
      <c r="AF1645">
        <v>4</v>
      </c>
      <c r="AG1645">
        <v>1</v>
      </c>
      <c r="AH1645">
        <v>4</v>
      </c>
      <c r="AI1645">
        <v>2</v>
      </c>
      <c r="AJ1645">
        <v>2</v>
      </c>
      <c r="AK1645" t="b">
        <f>Table67[[#This Row],[What is your age?]]&lt;&gt;"18 - 25"</f>
        <v>0</v>
      </c>
      <c r="AL1645" t="b">
        <f t="shared" si="100"/>
        <v>0</v>
      </c>
      <c r="AM1645" t="b">
        <f t="shared" si="101"/>
        <v>0</v>
      </c>
      <c r="AN1645" t="b">
        <f t="shared" si="102"/>
        <v>0</v>
      </c>
      <c r="AO1645" t="b">
        <f>OR(Table67[[#This Row],[Ineligible respondents]:[Inconsistent response on opposite question (3)]])</f>
        <v>0</v>
      </c>
      <c r="AP164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645">
        <f>Table67[[#This Row],[Extreme Response]]/21</f>
        <v>0.19047619047619047</v>
      </c>
      <c r="AR1645">
        <f>_xlfn.PERCENTILE.INC(Table67[Extrem Response Ratio (ERS)],0.9)</f>
        <v>0.61904761904761907</v>
      </c>
      <c r="AS1645" t="b">
        <f>Table67[[#This Row],[Extrem Response Ratio (ERS)]]&gt;=Table67[[#This Row],[Threshold of ERS]]</f>
        <v>0</v>
      </c>
      <c r="AT1645">
        <f>COUNTIF(Table67[[#This Row],[The mechanism of digital assets is difficult to understand, which discourages me from exploring it (E.g, Tokenization, Blockchain)]:[If I want to try different ways to invest, I will explore digital assets.]], 3)</f>
        <v>4</v>
      </c>
      <c r="AU1645">
        <f>Table67[[#This Row],[Midpoint]]/21</f>
        <v>0.19047619047619047</v>
      </c>
      <c r="AV1645">
        <f>_xlfn.PERCENTILE.INC(Table67[Midpoint ratio],0.9)</f>
        <v>0.5714285714285714</v>
      </c>
      <c r="AW1645" t="b">
        <f>Table67[[#This Row],[Midpoint ratio]]&gt;=Table67[[#This Row],[Threshold of Midpoint ratio]]</f>
        <v>0</v>
      </c>
      <c r="AX1645" t="b">
        <f>OR(Table67[[#This Row],[Extreme Response Style]],Table67[[#This Row],[Mid-point Response Style]])</f>
        <v>0</v>
      </c>
      <c r="AY1645" t="b">
        <f>OR(Table67[[#This Row],[Delete? (Stage 1)]],Table67[[#This Row],[Delete? (Stage 2)]])</f>
        <v>0</v>
      </c>
      <c r="AZ1645" t="s">
        <v>84</v>
      </c>
    </row>
    <row r="1646" spans="1:52">
      <c r="A1646">
        <f t="shared" si="103"/>
        <v>1645</v>
      </c>
      <c r="B1646" s="3">
        <v>46062.029027777775</v>
      </c>
      <c r="C1646" s="3">
        <v>46062.032835648148</v>
      </c>
      <c r="D1646" t="s">
        <v>53</v>
      </c>
      <c r="G1646" t="s">
        <v>54</v>
      </c>
      <c r="H1646" t="s">
        <v>55</v>
      </c>
      <c r="I1646" t="s">
        <v>71</v>
      </c>
      <c r="J1646" t="s">
        <v>57</v>
      </c>
      <c r="K1646" t="s">
        <v>57</v>
      </c>
      <c r="L1646" t="s">
        <v>58</v>
      </c>
      <c r="M1646" t="s">
        <v>58</v>
      </c>
      <c r="N1646">
        <v>4</v>
      </c>
      <c r="O1646">
        <v>1</v>
      </c>
      <c r="P1646">
        <v>4</v>
      </c>
      <c r="Q1646">
        <v>2</v>
      </c>
      <c r="R1646">
        <v>2</v>
      </c>
      <c r="S1646">
        <v>2</v>
      </c>
      <c r="T1646">
        <v>2</v>
      </c>
      <c r="U1646">
        <v>2</v>
      </c>
      <c r="V1646">
        <v>4</v>
      </c>
      <c r="W1646">
        <v>4</v>
      </c>
      <c r="X1646">
        <v>3</v>
      </c>
      <c r="Y1646">
        <v>3</v>
      </c>
      <c r="Z1646">
        <v>4</v>
      </c>
      <c r="AA1646">
        <v>3</v>
      </c>
      <c r="AB1646">
        <v>3</v>
      </c>
      <c r="AC1646">
        <v>2</v>
      </c>
      <c r="AD1646">
        <v>4</v>
      </c>
      <c r="AE1646">
        <v>2</v>
      </c>
      <c r="AF1646">
        <v>4</v>
      </c>
      <c r="AG1646">
        <v>3</v>
      </c>
      <c r="AH1646">
        <v>4</v>
      </c>
      <c r="AI1646">
        <v>2</v>
      </c>
      <c r="AJ1646">
        <v>2</v>
      </c>
      <c r="AK1646" t="b">
        <f>Table67[[#This Row],[What is your age?]]&lt;&gt;"18 - 25"</f>
        <v>0</v>
      </c>
      <c r="AL1646" t="b">
        <f t="shared" si="100"/>
        <v>0</v>
      </c>
      <c r="AM1646" t="b">
        <f t="shared" si="101"/>
        <v>0</v>
      </c>
      <c r="AN1646" t="b">
        <f t="shared" si="102"/>
        <v>1</v>
      </c>
      <c r="AO1646" t="b">
        <f>OR(Table67[[#This Row],[Ineligible respondents]:[Inconsistent response on opposite question (3)]])</f>
        <v>1</v>
      </c>
      <c r="AP164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646">
        <f>Table67[[#This Row],[Extreme Response]]/21</f>
        <v>4.7619047619047616E-2</v>
      </c>
      <c r="AR1646">
        <f>_xlfn.PERCENTILE.INC(Table67[Extrem Response Ratio (ERS)],0.9)</f>
        <v>0.61904761904761907</v>
      </c>
      <c r="AS1646" t="b">
        <f>Table67[[#This Row],[Extrem Response Ratio (ERS)]]&gt;=Table67[[#This Row],[Threshold of ERS]]</f>
        <v>0</v>
      </c>
      <c r="AT1646">
        <f>COUNTIF(Table67[[#This Row],[The mechanism of digital assets is difficult to understand, which discourages me from exploring it (E.g, Tokenization, Blockchain)]:[If I want to try different ways to invest, I will explore digital assets.]], 3)</f>
        <v>5</v>
      </c>
      <c r="AU1646">
        <f>Table67[[#This Row],[Midpoint]]/21</f>
        <v>0.23809523809523808</v>
      </c>
      <c r="AV1646">
        <f>_xlfn.PERCENTILE.INC(Table67[Midpoint ratio],0.9)</f>
        <v>0.5714285714285714</v>
      </c>
      <c r="AW1646" t="b">
        <f>Table67[[#This Row],[Midpoint ratio]]&gt;=Table67[[#This Row],[Threshold of Midpoint ratio]]</f>
        <v>0</v>
      </c>
      <c r="AX1646" t="b">
        <f>OR(Table67[[#This Row],[Extreme Response Style]],Table67[[#This Row],[Mid-point Response Style]])</f>
        <v>0</v>
      </c>
      <c r="AY1646" t="b">
        <f>OR(Table67[[#This Row],[Delete? (Stage 1)]],Table67[[#This Row],[Delete? (Stage 2)]])</f>
        <v>1</v>
      </c>
      <c r="AZ1646" t="s">
        <v>84</v>
      </c>
    </row>
    <row r="1647" spans="1:52">
      <c r="A1647">
        <f t="shared" si="103"/>
        <v>1646</v>
      </c>
      <c r="B1647" s="3">
        <v>46062.059224537035</v>
      </c>
      <c r="C1647" s="3">
        <v>46062.064444444448</v>
      </c>
      <c r="D1647" t="s">
        <v>53</v>
      </c>
      <c r="G1647" t="s">
        <v>54</v>
      </c>
      <c r="H1647" t="s">
        <v>63</v>
      </c>
      <c r="I1647" t="s">
        <v>56</v>
      </c>
      <c r="J1647" t="s">
        <v>62</v>
      </c>
      <c r="K1647" t="s">
        <v>57</v>
      </c>
      <c r="L1647" t="s">
        <v>58</v>
      </c>
      <c r="M1647" t="s">
        <v>58</v>
      </c>
      <c r="N1647">
        <v>5</v>
      </c>
      <c r="O1647">
        <v>5</v>
      </c>
      <c r="P1647">
        <v>5</v>
      </c>
      <c r="Q1647">
        <v>4</v>
      </c>
      <c r="R1647">
        <v>4</v>
      </c>
      <c r="S1647">
        <v>5</v>
      </c>
      <c r="T1647">
        <v>5</v>
      </c>
      <c r="U1647">
        <v>5</v>
      </c>
      <c r="V1647">
        <v>5</v>
      </c>
      <c r="W1647">
        <v>5</v>
      </c>
      <c r="X1647">
        <v>5</v>
      </c>
      <c r="Y1647">
        <v>5</v>
      </c>
      <c r="Z1647">
        <v>5</v>
      </c>
      <c r="AA1647">
        <v>5</v>
      </c>
      <c r="AB1647">
        <v>5</v>
      </c>
      <c r="AC1647">
        <v>4</v>
      </c>
      <c r="AD1647">
        <v>5</v>
      </c>
      <c r="AE1647">
        <v>4</v>
      </c>
      <c r="AF1647">
        <v>3</v>
      </c>
      <c r="AG1647">
        <v>3</v>
      </c>
      <c r="AH1647">
        <v>3</v>
      </c>
      <c r="AI1647">
        <v>3</v>
      </c>
      <c r="AJ1647">
        <v>3</v>
      </c>
      <c r="AK1647" t="b">
        <f>Table67[[#This Row],[What is your age?]]&lt;&gt;"18 - 25"</f>
        <v>0</v>
      </c>
      <c r="AL1647" t="b">
        <f t="shared" si="100"/>
        <v>0</v>
      </c>
      <c r="AM1647" t="b">
        <f t="shared" si="101"/>
        <v>0</v>
      </c>
      <c r="AN1647" t="b">
        <f t="shared" si="102"/>
        <v>0</v>
      </c>
      <c r="AO1647" t="b">
        <f>OR(Table67[[#This Row],[Ineligible respondents]:[Inconsistent response on opposite question (3)]])</f>
        <v>0</v>
      </c>
      <c r="AP164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14</v>
      </c>
      <c r="AQ1647">
        <f>Table67[[#This Row],[Extreme Response]]/21</f>
        <v>0.66666666666666663</v>
      </c>
      <c r="AR1647">
        <f>_xlfn.PERCENTILE.INC(Table67[Extrem Response Ratio (ERS)],0.9)</f>
        <v>0.61904761904761907</v>
      </c>
      <c r="AS1647" t="b">
        <f>Table67[[#This Row],[Extrem Response Ratio (ERS)]]&gt;=Table67[[#This Row],[Threshold of ERS]]</f>
        <v>1</v>
      </c>
      <c r="AT1647">
        <f>COUNTIF(Table67[[#This Row],[The mechanism of digital assets is difficult to understand, which discourages me from exploring it (E.g, Tokenization, Blockchain)]:[If I want to try different ways to invest, I will explore digital assets.]], 3)</f>
        <v>3</v>
      </c>
      <c r="AU1647">
        <f>Table67[[#This Row],[Midpoint]]/21</f>
        <v>0.14285714285714285</v>
      </c>
      <c r="AV1647">
        <f>_xlfn.PERCENTILE.INC(Table67[Midpoint ratio],0.9)</f>
        <v>0.5714285714285714</v>
      </c>
      <c r="AW1647" t="b">
        <f>Table67[[#This Row],[Midpoint ratio]]&gt;=Table67[[#This Row],[Threshold of Midpoint ratio]]</f>
        <v>0</v>
      </c>
      <c r="AX1647" t="b">
        <f>OR(Table67[[#This Row],[Extreme Response Style]],Table67[[#This Row],[Mid-point Response Style]])</f>
        <v>1</v>
      </c>
      <c r="AY1647" t="b">
        <f>OR(Table67[[#This Row],[Delete? (Stage 1)]],Table67[[#This Row],[Delete? (Stage 2)]])</f>
        <v>1</v>
      </c>
      <c r="AZ1647" t="s">
        <v>84</v>
      </c>
    </row>
    <row r="1648" spans="1:52">
      <c r="A1648">
        <f t="shared" si="103"/>
        <v>1647</v>
      </c>
      <c r="B1648" s="3">
        <v>46065.765347222223</v>
      </c>
      <c r="C1648" s="3">
        <v>46065.766365740739</v>
      </c>
      <c r="D1648" t="s">
        <v>53</v>
      </c>
      <c r="G1648" t="s">
        <v>54</v>
      </c>
      <c r="H1648" t="s">
        <v>63</v>
      </c>
      <c r="I1648" t="s">
        <v>56</v>
      </c>
      <c r="J1648" t="s">
        <v>62</v>
      </c>
      <c r="K1648" t="s">
        <v>57</v>
      </c>
      <c r="L1648" t="s">
        <v>58</v>
      </c>
      <c r="M1648" t="s">
        <v>58</v>
      </c>
      <c r="N1648">
        <v>3</v>
      </c>
      <c r="O1648">
        <v>3</v>
      </c>
      <c r="P1648">
        <v>4</v>
      </c>
      <c r="Q1648">
        <v>4</v>
      </c>
      <c r="R1648">
        <v>3</v>
      </c>
      <c r="S1648">
        <v>3</v>
      </c>
      <c r="T1648">
        <v>3</v>
      </c>
      <c r="U1648">
        <v>4</v>
      </c>
      <c r="V1648">
        <v>4</v>
      </c>
      <c r="W1648">
        <v>3</v>
      </c>
      <c r="X1648">
        <v>2</v>
      </c>
      <c r="Y1648">
        <v>4</v>
      </c>
      <c r="Z1648">
        <v>3</v>
      </c>
      <c r="AA1648">
        <v>3</v>
      </c>
      <c r="AB1648">
        <v>3</v>
      </c>
      <c r="AC1648">
        <v>4</v>
      </c>
      <c r="AD1648">
        <v>2</v>
      </c>
      <c r="AE1648">
        <v>3</v>
      </c>
      <c r="AF1648">
        <v>4</v>
      </c>
      <c r="AG1648">
        <v>2</v>
      </c>
      <c r="AH1648">
        <v>4</v>
      </c>
      <c r="AI1648">
        <v>2</v>
      </c>
      <c r="AJ1648">
        <v>2</v>
      </c>
      <c r="AK1648" t="b">
        <f>Table67[[#This Row],[What is your age?]]&lt;&gt;"18 - 25"</f>
        <v>0</v>
      </c>
      <c r="AL1648" t="b">
        <f t="shared" si="100"/>
        <v>0</v>
      </c>
      <c r="AM1648" t="b">
        <f t="shared" si="101"/>
        <v>0</v>
      </c>
      <c r="AN1648" t="b">
        <f t="shared" si="102"/>
        <v>0</v>
      </c>
      <c r="AO1648" t="b">
        <f>OR(Table67[[#This Row],[Ineligible respondents]:[Inconsistent response on opposite question (3)]])</f>
        <v>0</v>
      </c>
      <c r="AP164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648">
        <f>Table67[[#This Row],[Extreme Response]]/21</f>
        <v>0</v>
      </c>
      <c r="AR1648">
        <f>_xlfn.PERCENTILE.INC(Table67[Extrem Response Ratio (ERS)],0.9)</f>
        <v>0.61904761904761907</v>
      </c>
      <c r="AS1648" t="b">
        <f>Table67[[#This Row],[Extrem Response Ratio (ERS)]]&gt;=Table67[[#This Row],[Threshold of ERS]]</f>
        <v>0</v>
      </c>
      <c r="AT1648">
        <f>COUNTIF(Table67[[#This Row],[The mechanism of digital assets is difficult to understand, which discourages me from exploring it (E.g, Tokenization, Blockchain)]:[If I want to try different ways to invest, I will explore digital assets.]], 3)</f>
        <v>10</v>
      </c>
      <c r="AU1648">
        <f>Table67[[#This Row],[Midpoint]]/21</f>
        <v>0.47619047619047616</v>
      </c>
      <c r="AV1648">
        <f>_xlfn.PERCENTILE.INC(Table67[Midpoint ratio],0.9)</f>
        <v>0.5714285714285714</v>
      </c>
      <c r="AW1648" t="b">
        <f>Table67[[#This Row],[Midpoint ratio]]&gt;=Table67[[#This Row],[Threshold of Midpoint ratio]]</f>
        <v>0</v>
      </c>
      <c r="AX1648" t="b">
        <f>OR(Table67[[#This Row],[Extreme Response Style]],Table67[[#This Row],[Mid-point Response Style]])</f>
        <v>0</v>
      </c>
      <c r="AY1648" t="b">
        <f>OR(Table67[[#This Row],[Delete? (Stage 1)]],Table67[[#This Row],[Delete? (Stage 2)]])</f>
        <v>0</v>
      </c>
      <c r="AZ1648" t="s">
        <v>84</v>
      </c>
    </row>
    <row r="1649" spans="1:52">
      <c r="A1649">
        <f t="shared" si="103"/>
        <v>1648</v>
      </c>
      <c r="B1649" s="3">
        <v>46062.047465277778</v>
      </c>
      <c r="C1649" s="3">
        <v>46062.050185185188</v>
      </c>
      <c r="D1649" t="s">
        <v>53</v>
      </c>
      <c r="G1649" t="s">
        <v>54</v>
      </c>
      <c r="H1649" t="s">
        <v>63</v>
      </c>
      <c r="I1649" t="s">
        <v>56</v>
      </c>
      <c r="J1649" t="s">
        <v>62</v>
      </c>
      <c r="K1649" t="s">
        <v>57</v>
      </c>
      <c r="L1649" t="s">
        <v>58</v>
      </c>
      <c r="M1649" t="s">
        <v>58</v>
      </c>
      <c r="N1649">
        <v>4</v>
      </c>
      <c r="O1649">
        <v>1</v>
      </c>
      <c r="P1649">
        <v>3</v>
      </c>
      <c r="Q1649">
        <v>2</v>
      </c>
      <c r="R1649">
        <v>4</v>
      </c>
      <c r="S1649">
        <v>4</v>
      </c>
      <c r="T1649">
        <v>3</v>
      </c>
      <c r="U1649">
        <v>5</v>
      </c>
      <c r="V1649">
        <v>4</v>
      </c>
      <c r="W1649">
        <v>4</v>
      </c>
      <c r="X1649">
        <v>2</v>
      </c>
      <c r="Y1649">
        <v>4</v>
      </c>
      <c r="Z1649">
        <v>4</v>
      </c>
      <c r="AA1649">
        <v>3</v>
      </c>
      <c r="AB1649">
        <v>3</v>
      </c>
      <c r="AC1649">
        <v>2</v>
      </c>
      <c r="AD1649">
        <v>4</v>
      </c>
      <c r="AE1649">
        <v>4</v>
      </c>
      <c r="AF1649">
        <v>2</v>
      </c>
      <c r="AG1649">
        <v>2</v>
      </c>
      <c r="AH1649">
        <v>3</v>
      </c>
      <c r="AI1649">
        <v>3</v>
      </c>
      <c r="AJ1649">
        <v>4</v>
      </c>
      <c r="AK1649" t="b">
        <f>Table67[[#This Row],[What is your age?]]&lt;&gt;"18 - 25"</f>
        <v>0</v>
      </c>
      <c r="AL1649" t="b">
        <f t="shared" si="100"/>
        <v>0</v>
      </c>
      <c r="AM1649" t="b">
        <f t="shared" si="101"/>
        <v>0</v>
      </c>
      <c r="AN1649" t="b">
        <f t="shared" si="102"/>
        <v>1</v>
      </c>
      <c r="AO1649" t="b">
        <f>OR(Table67[[#This Row],[Ineligible respondents]:[Inconsistent response on opposite question (3)]])</f>
        <v>1</v>
      </c>
      <c r="AP164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649">
        <f>Table67[[#This Row],[Extreme Response]]/21</f>
        <v>9.5238095238095233E-2</v>
      </c>
      <c r="AR1649">
        <f>_xlfn.PERCENTILE.INC(Table67[Extrem Response Ratio (ERS)],0.9)</f>
        <v>0.61904761904761907</v>
      </c>
      <c r="AS1649" t="b">
        <f>Table67[[#This Row],[Extrem Response Ratio (ERS)]]&gt;=Table67[[#This Row],[Threshold of ERS]]</f>
        <v>0</v>
      </c>
      <c r="AT1649">
        <f>COUNTIF(Table67[[#This Row],[The mechanism of digital assets is difficult to understand, which discourages me from exploring it (E.g, Tokenization, Blockchain)]:[If I want to try different ways to invest, I will explore digital assets.]], 3)</f>
        <v>5</v>
      </c>
      <c r="AU1649">
        <f>Table67[[#This Row],[Midpoint]]/21</f>
        <v>0.23809523809523808</v>
      </c>
      <c r="AV1649">
        <f>_xlfn.PERCENTILE.INC(Table67[Midpoint ratio],0.9)</f>
        <v>0.5714285714285714</v>
      </c>
      <c r="AW1649" t="b">
        <f>Table67[[#This Row],[Midpoint ratio]]&gt;=Table67[[#This Row],[Threshold of Midpoint ratio]]</f>
        <v>0</v>
      </c>
      <c r="AX1649" t="b">
        <f>OR(Table67[[#This Row],[Extreme Response Style]],Table67[[#This Row],[Mid-point Response Style]])</f>
        <v>0</v>
      </c>
      <c r="AY1649" t="b">
        <f>OR(Table67[[#This Row],[Delete? (Stage 1)]],Table67[[#This Row],[Delete? (Stage 2)]])</f>
        <v>1</v>
      </c>
      <c r="AZ1649" t="s">
        <v>84</v>
      </c>
    </row>
    <row r="1650" spans="1:52">
      <c r="A1650">
        <f t="shared" si="103"/>
        <v>1649</v>
      </c>
      <c r="B1650" s="3">
        <v>46062.053437499999</v>
      </c>
      <c r="C1650" s="3">
        <v>46062.058437500003</v>
      </c>
      <c r="D1650" t="s">
        <v>53</v>
      </c>
      <c r="G1650" t="s">
        <v>54</v>
      </c>
      <c r="H1650" t="s">
        <v>55</v>
      </c>
      <c r="I1650" t="s">
        <v>56</v>
      </c>
      <c r="J1650" t="s">
        <v>57</v>
      </c>
      <c r="K1650" t="s">
        <v>62</v>
      </c>
      <c r="L1650" t="s">
        <v>58</v>
      </c>
      <c r="M1650" t="s">
        <v>58</v>
      </c>
      <c r="N1650">
        <v>3</v>
      </c>
      <c r="O1650">
        <v>4</v>
      </c>
      <c r="P1650">
        <v>4</v>
      </c>
      <c r="Q1650">
        <v>3</v>
      </c>
      <c r="R1650">
        <v>5</v>
      </c>
      <c r="S1650">
        <v>4</v>
      </c>
      <c r="T1650">
        <v>3</v>
      </c>
      <c r="U1650">
        <v>3</v>
      </c>
      <c r="V1650">
        <v>4</v>
      </c>
      <c r="W1650">
        <v>4</v>
      </c>
      <c r="X1650">
        <v>4</v>
      </c>
      <c r="Y1650">
        <v>4</v>
      </c>
      <c r="Z1650">
        <v>2</v>
      </c>
      <c r="AA1650">
        <v>4</v>
      </c>
      <c r="AB1650">
        <v>4</v>
      </c>
      <c r="AC1650">
        <v>4</v>
      </c>
      <c r="AD1650">
        <v>4</v>
      </c>
      <c r="AE1650">
        <v>3</v>
      </c>
      <c r="AF1650">
        <v>4</v>
      </c>
      <c r="AG1650">
        <v>4</v>
      </c>
      <c r="AH1650">
        <v>3</v>
      </c>
      <c r="AI1650">
        <v>3</v>
      </c>
      <c r="AJ1650">
        <v>2</v>
      </c>
      <c r="AK1650" t="b">
        <f>Table67[[#This Row],[What is your age?]]&lt;&gt;"18 - 25"</f>
        <v>0</v>
      </c>
      <c r="AL1650" t="b">
        <f t="shared" si="100"/>
        <v>0</v>
      </c>
      <c r="AM1650" t="b">
        <f t="shared" si="101"/>
        <v>0</v>
      </c>
      <c r="AN1650" t="b">
        <f t="shared" si="102"/>
        <v>1</v>
      </c>
      <c r="AO1650" t="b">
        <f>OR(Table67[[#This Row],[Ineligible respondents]:[Inconsistent response on opposite question (3)]])</f>
        <v>1</v>
      </c>
      <c r="AP165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650">
        <f>Table67[[#This Row],[Extreme Response]]/21</f>
        <v>4.7619047619047616E-2</v>
      </c>
      <c r="AR1650">
        <f>_xlfn.PERCENTILE.INC(Table67[Extrem Response Ratio (ERS)],0.9)</f>
        <v>0.61904761904761907</v>
      </c>
      <c r="AS1650" t="b">
        <f>Table67[[#This Row],[Extrem Response Ratio (ERS)]]&gt;=Table67[[#This Row],[Threshold of ERS]]</f>
        <v>0</v>
      </c>
      <c r="AT1650">
        <f>COUNTIF(Table67[[#This Row],[The mechanism of digital assets is difficult to understand, which discourages me from exploring it (E.g, Tokenization, Blockchain)]:[If I want to try different ways to invest, I will explore digital assets.]], 3)</f>
        <v>6</v>
      </c>
      <c r="AU1650">
        <f>Table67[[#This Row],[Midpoint]]/21</f>
        <v>0.2857142857142857</v>
      </c>
      <c r="AV1650">
        <f>_xlfn.PERCENTILE.INC(Table67[Midpoint ratio],0.9)</f>
        <v>0.5714285714285714</v>
      </c>
      <c r="AW1650" t="b">
        <f>Table67[[#This Row],[Midpoint ratio]]&gt;=Table67[[#This Row],[Threshold of Midpoint ratio]]</f>
        <v>0</v>
      </c>
      <c r="AX1650" t="b">
        <f>OR(Table67[[#This Row],[Extreme Response Style]],Table67[[#This Row],[Mid-point Response Style]])</f>
        <v>0</v>
      </c>
      <c r="AY1650" t="b">
        <f>OR(Table67[[#This Row],[Delete? (Stage 1)]],Table67[[#This Row],[Delete? (Stage 2)]])</f>
        <v>1</v>
      </c>
      <c r="AZ1650" t="s">
        <v>84</v>
      </c>
    </row>
    <row r="1651" spans="1:52">
      <c r="A1651">
        <f t="shared" si="103"/>
        <v>1650</v>
      </c>
      <c r="B1651" s="3">
        <v>46062.089861111112</v>
      </c>
      <c r="C1651" s="3">
        <v>46062.094768518517</v>
      </c>
      <c r="D1651" t="s">
        <v>53</v>
      </c>
      <c r="G1651" t="s">
        <v>54</v>
      </c>
      <c r="H1651" t="s">
        <v>55</v>
      </c>
      <c r="I1651" t="s">
        <v>71</v>
      </c>
      <c r="J1651" t="s">
        <v>57</v>
      </c>
      <c r="K1651" t="s">
        <v>57</v>
      </c>
      <c r="L1651" t="s">
        <v>58</v>
      </c>
      <c r="M1651" t="s">
        <v>58</v>
      </c>
      <c r="N1651">
        <v>3</v>
      </c>
      <c r="O1651">
        <v>1</v>
      </c>
      <c r="P1651">
        <v>4</v>
      </c>
      <c r="Q1651">
        <v>4</v>
      </c>
      <c r="R1651">
        <v>1</v>
      </c>
      <c r="S1651">
        <v>4</v>
      </c>
      <c r="T1651">
        <v>5</v>
      </c>
      <c r="U1651">
        <v>5</v>
      </c>
      <c r="V1651">
        <v>5</v>
      </c>
      <c r="W1651">
        <v>1</v>
      </c>
      <c r="X1651">
        <v>5</v>
      </c>
      <c r="Y1651">
        <v>4</v>
      </c>
      <c r="Z1651">
        <v>5</v>
      </c>
      <c r="AA1651">
        <v>5</v>
      </c>
      <c r="AB1651">
        <v>5</v>
      </c>
      <c r="AC1651">
        <v>3</v>
      </c>
      <c r="AD1651">
        <v>5</v>
      </c>
      <c r="AE1651">
        <v>3</v>
      </c>
      <c r="AF1651">
        <v>1</v>
      </c>
      <c r="AG1651">
        <v>4</v>
      </c>
      <c r="AH1651">
        <v>1</v>
      </c>
      <c r="AI1651">
        <v>5</v>
      </c>
      <c r="AJ1651">
        <v>5</v>
      </c>
      <c r="AK1651" t="b">
        <f>Table67[[#This Row],[What is your age?]]&lt;&gt;"18 - 25"</f>
        <v>0</v>
      </c>
      <c r="AL1651" t="b">
        <f t="shared" si="100"/>
        <v>0</v>
      </c>
      <c r="AM1651" t="b">
        <f t="shared" si="101"/>
        <v>0</v>
      </c>
      <c r="AN1651" t="b">
        <f t="shared" si="102"/>
        <v>0</v>
      </c>
      <c r="AO1651" t="b">
        <f>OR(Table67[[#This Row],[Ineligible respondents]:[Inconsistent response on opposite question (3)]])</f>
        <v>0</v>
      </c>
      <c r="AP165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1651">
        <f>Table67[[#This Row],[Extreme Response]]/21</f>
        <v>0.61904761904761907</v>
      </c>
      <c r="AR1651">
        <f>_xlfn.PERCENTILE.INC(Table67[Extrem Response Ratio (ERS)],0.9)</f>
        <v>0.61904761904761907</v>
      </c>
      <c r="AS1651" t="b">
        <f>Table67[[#This Row],[Extrem Response Ratio (ERS)]]&gt;=Table67[[#This Row],[Threshold of ERS]]</f>
        <v>1</v>
      </c>
      <c r="AT1651">
        <f>COUNTIF(Table67[[#This Row],[The mechanism of digital assets is difficult to understand, which discourages me from exploring it (E.g, Tokenization, Blockchain)]:[If I want to try different ways to invest, I will explore digital assets.]], 3)</f>
        <v>3</v>
      </c>
      <c r="AU1651">
        <f>Table67[[#This Row],[Midpoint]]/21</f>
        <v>0.14285714285714285</v>
      </c>
      <c r="AV1651">
        <f>_xlfn.PERCENTILE.INC(Table67[Midpoint ratio],0.9)</f>
        <v>0.5714285714285714</v>
      </c>
      <c r="AW1651" t="b">
        <f>Table67[[#This Row],[Midpoint ratio]]&gt;=Table67[[#This Row],[Threshold of Midpoint ratio]]</f>
        <v>0</v>
      </c>
      <c r="AX1651" t="b">
        <f>OR(Table67[[#This Row],[Extreme Response Style]],Table67[[#This Row],[Mid-point Response Style]])</f>
        <v>1</v>
      </c>
      <c r="AY1651" t="b">
        <f>OR(Table67[[#This Row],[Delete? (Stage 1)]],Table67[[#This Row],[Delete? (Stage 2)]])</f>
        <v>1</v>
      </c>
      <c r="AZ1651" t="s">
        <v>84</v>
      </c>
    </row>
    <row r="1652" spans="1:52">
      <c r="A1652">
        <f t="shared" si="103"/>
        <v>1651</v>
      </c>
      <c r="B1652" s="3">
        <v>46062.025590277779</v>
      </c>
      <c r="C1652" s="3">
        <v>46062.027071759258</v>
      </c>
      <c r="D1652" t="s">
        <v>53</v>
      </c>
      <c r="G1652" t="s">
        <v>54</v>
      </c>
      <c r="H1652" t="s">
        <v>55</v>
      </c>
      <c r="I1652" t="s">
        <v>71</v>
      </c>
      <c r="J1652" t="s">
        <v>66</v>
      </c>
      <c r="K1652" t="s">
        <v>65</v>
      </c>
      <c r="L1652" t="s">
        <v>58</v>
      </c>
      <c r="M1652" t="s">
        <v>58</v>
      </c>
      <c r="N1652">
        <v>4</v>
      </c>
      <c r="O1652">
        <v>3</v>
      </c>
      <c r="P1652">
        <v>5</v>
      </c>
      <c r="Q1652">
        <v>4</v>
      </c>
      <c r="R1652">
        <v>4</v>
      </c>
      <c r="S1652">
        <v>4</v>
      </c>
      <c r="T1652">
        <v>4</v>
      </c>
      <c r="U1652">
        <v>4</v>
      </c>
      <c r="V1652">
        <v>4</v>
      </c>
      <c r="W1652">
        <v>4</v>
      </c>
      <c r="X1652">
        <v>4</v>
      </c>
      <c r="Y1652">
        <v>4</v>
      </c>
      <c r="Z1652">
        <v>4</v>
      </c>
      <c r="AA1652">
        <v>4</v>
      </c>
      <c r="AB1652">
        <v>4</v>
      </c>
      <c r="AC1652">
        <v>4</v>
      </c>
      <c r="AD1652">
        <v>4</v>
      </c>
      <c r="AE1652">
        <v>4</v>
      </c>
      <c r="AF1652">
        <v>4</v>
      </c>
      <c r="AG1652">
        <v>4</v>
      </c>
      <c r="AH1652">
        <v>4</v>
      </c>
      <c r="AI1652">
        <v>2</v>
      </c>
      <c r="AJ1652">
        <v>2</v>
      </c>
      <c r="AK1652" t="b">
        <f>Table67[[#This Row],[What is your age?]]&lt;&gt;"18 - 25"</f>
        <v>0</v>
      </c>
      <c r="AL1652" t="b">
        <f t="shared" si="100"/>
        <v>0</v>
      </c>
      <c r="AM1652" t="b">
        <f t="shared" si="101"/>
        <v>1</v>
      </c>
      <c r="AN1652" t="b">
        <f t="shared" si="102"/>
        <v>0</v>
      </c>
      <c r="AO1652" t="b">
        <f>OR(Table67[[#This Row],[Ineligible respondents]:[Inconsistent response on opposite question (3)]])</f>
        <v>1</v>
      </c>
      <c r="AP165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652">
        <f>Table67[[#This Row],[Extreme Response]]/21</f>
        <v>4.7619047619047616E-2</v>
      </c>
      <c r="AR1652">
        <f>_xlfn.PERCENTILE.INC(Table67[Extrem Response Ratio (ERS)],0.9)</f>
        <v>0.61904761904761907</v>
      </c>
      <c r="AS1652" t="b">
        <f>Table67[[#This Row],[Extrem Response Ratio (ERS)]]&gt;=Table67[[#This Row],[Threshold of ERS]]</f>
        <v>0</v>
      </c>
      <c r="AT1652">
        <f>COUNTIF(Table67[[#This Row],[The mechanism of digital assets is difficult to understand, which discourages me from exploring it (E.g, Tokenization, Blockchain)]:[If I want to try different ways to invest, I will explore digital assets.]], 3)</f>
        <v>1</v>
      </c>
      <c r="AU1652">
        <f>Table67[[#This Row],[Midpoint]]/21</f>
        <v>4.7619047619047616E-2</v>
      </c>
      <c r="AV1652">
        <f>_xlfn.PERCENTILE.INC(Table67[Midpoint ratio],0.9)</f>
        <v>0.5714285714285714</v>
      </c>
      <c r="AW1652" t="b">
        <f>Table67[[#This Row],[Midpoint ratio]]&gt;=Table67[[#This Row],[Threshold of Midpoint ratio]]</f>
        <v>0</v>
      </c>
      <c r="AX1652" t="b">
        <f>OR(Table67[[#This Row],[Extreme Response Style]],Table67[[#This Row],[Mid-point Response Style]])</f>
        <v>0</v>
      </c>
      <c r="AY1652" t="b">
        <f>OR(Table67[[#This Row],[Delete? (Stage 1)]],Table67[[#This Row],[Delete? (Stage 2)]])</f>
        <v>1</v>
      </c>
      <c r="AZ1652" t="s">
        <v>84</v>
      </c>
    </row>
    <row r="1653" spans="1:52">
      <c r="A1653">
        <f t="shared" si="103"/>
        <v>1652</v>
      </c>
      <c r="B1653" s="3">
        <v>46062.062256944446</v>
      </c>
      <c r="C1653" s="3">
        <v>46062.066990740743</v>
      </c>
      <c r="D1653" t="s">
        <v>53</v>
      </c>
      <c r="G1653" t="s">
        <v>54</v>
      </c>
      <c r="H1653" t="s">
        <v>70</v>
      </c>
      <c r="I1653" t="s">
        <v>56</v>
      </c>
      <c r="J1653" t="s">
        <v>62</v>
      </c>
      <c r="K1653" t="s">
        <v>57</v>
      </c>
      <c r="L1653" t="s">
        <v>58</v>
      </c>
      <c r="M1653" t="s">
        <v>58</v>
      </c>
      <c r="N1653">
        <v>5</v>
      </c>
      <c r="O1653">
        <v>1</v>
      </c>
      <c r="P1653">
        <v>3</v>
      </c>
      <c r="Q1653">
        <v>5</v>
      </c>
      <c r="R1653">
        <v>1</v>
      </c>
      <c r="S1653">
        <v>1</v>
      </c>
      <c r="T1653">
        <v>5</v>
      </c>
      <c r="U1653">
        <v>5</v>
      </c>
      <c r="V1653">
        <v>5</v>
      </c>
      <c r="W1653">
        <v>5</v>
      </c>
      <c r="X1653">
        <v>5</v>
      </c>
      <c r="Y1653">
        <v>5</v>
      </c>
      <c r="Z1653">
        <v>5</v>
      </c>
      <c r="AA1653">
        <v>5</v>
      </c>
      <c r="AB1653">
        <v>5</v>
      </c>
      <c r="AC1653">
        <v>5</v>
      </c>
      <c r="AD1653">
        <v>5</v>
      </c>
      <c r="AE1653">
        <v>5</v>
      </c>
      <c r="AF1653">
        <v>1</v>
      </c>
      <c r="AG1653">
        <v>5</v>
      </c>
      <c r="AH1653">
        <v>1</v>
      </c>
      <c r="AI1653">
        <v>5</v>
      </c>
      <c r="AJ1653">
        <v>5</v>
      </c>
      <c r="AK1653" t="b">
        <f>Table67[[#This Row],[What is your age?]]&lt;&gt;"18 - 25"</f>
        <v>0</v>
      </c>
      <c r="AL1653" t="b">
        <f t="shared" si="100"/>
        <v>0</v>
      </c>
      <c r="AM1653" t="b">
        <f t="shared" si="101"/>
        <v>0</v>
      </c>
      <c r="AN1653" t="b">
        <f t="shared" si="102"/>
        <v>0</v>
      </c>
      <c r="AO1653" t="b">
        <f>OR(Table67[[#This Row],[Ineligible respondents]:[Inconsistent response on opposite question (3)]])</f>
        <v>0</v>
      </c>
      <c r="AP165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20</v>
      </c>
      <c r="AQ1653">
        <f>Table67[[#This Row],[Extreme Response]]/21</f>
        <v>0.95238095238095233</v>
      </c>
      <c r="AR1653">
        <f>_xlfn.PERCENTILE.INC(Table67[Extrem Response Ratio (ERS)],0.9)</f>
        <v>0.61904761904761907</v>
      </c>
      <c r="AS1653" t="b">
        <f>Table67[[#This Row],[Extrem Response Ratio (ERS)]]&gt;=Table67[[#This Row],[Threshold of ERS]]</f>
        <v>1</v>
      </c>
      <c r="AT1653">
        <f>COUNTIF(Table67[[#This Row],[The mechanism of digital assets is difficult to understand, which discourages me from exploring it (E.g, Tokenization, Blockchain)]:[If I want to try different ways to invest, I will explore digital assets.]], 3)</f>
        <v>1</v>
      </c>
      <c r="AU1653">
        <f>Table67[[#This Row],[Midpoint]]/21</f>
        <v>4.7619047619047616E-2</v>
      </c>
      <c r="AV1653">
        <f>_xlfn.PERCENTILE.INC(Table67[Midpoint ratio],0.9)</f>
        <v>0.5714285714285714</v>
      </c>
      <c r="AW1653" t="b">
        <f>Table67[[#This Row],[Midpoint ratio]]&gt;=Table67[[#This Row],[Threshold of Midpoint ratio]]</f>
        <v>0</v>
      </c>
      <c r="AX1653" t="b">
        <f>OR(Table67[[#This Row],[Extreme Response Style]],Table67[[#This Row],[Mid-point Response Style]])</f>
        <v>1</v>
      </c>
      <c r="AY1653" t="b">
        <f>OR(Table67[[#This Row],[Delete? (Stage 1)]],Table67[[#This Row],[Delete? (Stage 2)]])</f>
        <v>1</v>
      </c>
      <c r="AZ1653" t="s">
        <v>84</v>
      </c>
    </row>
    <row r="1654" spans="1:52">
      <c r="A1654">
        <f t="shared" si="103"/>
        <v>1653</v>
      </c>
      <c r="B1654" s="3">
        <v>46062.044722222221</v>
      </c>
      <c r="C1654" s="3">
        <v>46062.046597222223</v>
      </c>
      <c r="D1654" t="s">
        <v>53</v>
      </c>
      <c r="G1654" t="s">
        <v>54</v>
      </c>
      <c r="H1654" t="s">
        <v>63</v>
      </c>
      <c r="I1654" t="s">
        <v>75</v>
      </c>
      <c r="J1654" t="s">
        <v>62</v>
      </c>
      <c r="K1654" t="s">
        <v>57</v>
      </c>
      <c r="L1654" t="s">
        <v>58</v>
      </c>
      <c r="M1654" t="s">
        <v>58</v>
      </c>
      <c r="N1654">
        <v>4</v>
      </c>
      <c r="O1654">
        <v>3</v>
      </c>
      <c r="P1654">
        <v>4</v>
      </c>
      <c r="Q1654">
        <v>3</v>
      </c>
      <c r="R1654">
        <v>2</v>
      </c>
      <c r="S1654">
        <v>3</v>
      </c>
      <c r="T1654">
        <v>3</v>
      </c>
      <c r="U1654">
        <v>4</v>
      </c>
      <c r="V1654">
        <v>2</v>
      </c>
      <c r="W1654">
        <v>4</v>
      </c>
      <c r="X1654">
        <v>3</v>
      </c>
      <c r="Y1654">
        <v>4</v>
      </c>
      <c r="Z1654">
        <v>4</v>
      </c>
      <c r="AA1654">
        <v>4</v>
      </c>
      <c r="AB1654">
        <v>2</v>
      </c>
      <c r="AC1654">
        <v>4</v>
      </c>
      <c r="AD1654">
        <v>3</v>
      </c>
      <c r="AE1654">
        <v>2</v>
      </c>
      <c r="AF1654">
        <v>2</v>
      </c>
      <c r="AG1654">
        <v>4</v>
      </c>
      <c r="AH1654">
        <v>3</v>
      </c>
      <c r="AI1654">
        <v>3</v>
      </c>
      <c r="AJ1654">
        <v>4</v>
      </c>
      <c r="AK1654" t="b">
        <f>Table67[[#This Row],[What is your age?]]&lt;&gt;"18 - 25"</f>
        <v>0</v>
      </c>
      <c r="AL1654" t="b">
        <f t="shared" si="100"/>
        <v>0</v>
      </c>
      <c r="AM1654" t="b">
        <f t="shared" si="101"/>
        <v>0</v>
      </c>
      <c r="AN1654" t="b">
        <f t="shared" si="102"/>
        <v>1</v>
      </c>
      <c r="AO1654" t="b">
        <f>OR(Table67[[#This Row],[Ineligible respondents]:[Inconsistent response on opposite question (3)]])</f>
        <v>1</v>
      </c>
      <c r="AP165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654">
        <f>Table67[[#This Row],[Extreme Response]]/21</f>
        <v>0</v>
      </c>
      <c r="AR1654">
        <f>_xlfn.PERCENTILE.INC(Table67[Extrem Response Ratio (ERS)],0.9)</f>
        <v>0.61904761904761907</v>
      </c>
      <c r="AS1654" t="b">
        <f>Table67[[#This Row],[Extrem Response Ratio (ERS)]]&gt;=Table67[[#This Row],[Threshold of ERS]]</f>
        <v>0</v>
      </c>
      <c r="AT1654">
        <f>COUNTIF(Table67[[#This Row],[The mechanism of digital assets is difficult to understand, which discourages me from exploring it (E.g, Tokenization, Blockchain)]:[If I want to try different ways to invest, I will explore digital assets.]], 3)</f>
        <v>7</v>
      </c>
      <c r="AU1654">
        <f>Table67[[#This Row],[Midpoint]]/21</f>
        <v>0.33333333333333331</v>
      </c>
      <c r="AV1654">
        <f>_xlfn.PERCENTILE.INC(Table67[Midpoint ratio],0.9)</f>
        <v>0.5714285714285714</v>
      </c>
      <c r="AW1654" t="b">
        <f>Table67[[#This Row],[Midpoint ratio]]&gt;=Table67[[#This Row],[Threshold of Midpoint ratio]]</f>
        <v>0</v>
      </c>
      <c r="AX1654" t="b">
        <f>OR(Table67[[#This Row],[Extreme Response Style]],Table67[[#This Row],[Mid-point Response Style]])</f>
        <v>0</v>
      </c>
      <c r="AY1654" t="b">
        <f>OR(Table67[[#This Row],[Delete? (Stage 1)]],Table67[[#This Row],[Delete? (Stage 2)]])</f>
        <v>1</v>
      </c>
      <c r="AZ1654" t="s">
        <v>84</v>
      </c>
    </row>
    <row r="1655" spans="1:52">
      <c r="A1655">
        <f t="shared" si="103"/>
        <v>1654</v>
      </c>
      <c r="B1655" s="3">
        <v>46062.030740740738</v>
      </c>
      <c r="C1655" s="3">
        <v>46062.034942129627</v>
      </c>
      <c r="D1655" t="s">
        <v>53</v>
      </c>
      <c r="G1655" t="s">
        <v>54</v>
      </c>
      <c r="H1655" t="s">
        <v>63</v>
      </c>
      <c r="I1655" t="s">
        <v>83</v>
      </c>
      <c r="J1655" t="s">
        <v>60</v>
      </c>
      <c r="K1655" t="s">
        <v>57</v>
      </c>
      <c r="L1655" t="s">
        <v>58</v>
      </c>
      <c r="M1655" t="s">
        <v>58</v>
      </c>
      <c r="N1655">
        <v>4</v>
      </c>
      <c r="O1655">
        <v>1</v>
      </c>
      <c r="P1655">
        <v>4</v>
      </c>
      <c r="Q1655">
        <v>3</v>
      </c>
      <c r="R1655">
        <v>1</v>
      </c>
      <c r="S1655">
        <v>3</v>
      </c>
      <c r="T1655">
        <v>2</v>
      </c>
      <c r="U1655">
        <v>4</v>
      </c>
      <c r="V1655">
        <v>3</v>
      </c>
      <c r="W1655">
        <v>4</v>
      </c>
      <c r="X1655">
        <v>4</v>
      </c>
      <c r="Y1655">
        <v>4</v>
      </c>
      <c r="Z1655">
        <v>5</v>
      </c>
      <c r="AA1655">
        <v>5</v>
      </c>
      <c r="AB1655">
        <v>2</v>
      </c>
      <c r="AC1655">
        <v>3</v>
      </c>
      <c r="AD1655">
        <v>5</v>
      </c>
      <c r="AE1655">
        <v>4</v>
      </c>
      <c r="AF1655">
        <v>2</v>
      </c>
      <c r="AG1655">
        <v>2</v>
      </c>
      <c r="AH1655">
        <v>3</v>
      </c>
      <c r="AI1655">
        <v>3</v>
      </c>
      <c r="AJ1655">
        <v>4</v>
      </c>
      <c r="AK1655" t="b">
        <f>Table67[[#This Row],[What is your age?]]&lt;&gt;"18 - 25"</f>
        <v>0</v>
      </c>
      <c r="AL1655" t="b">
        <f t="shared" si="100"/>
        <v>0</v>
      </c>
      <c r="AM1655" t="b">
        <f t="shared" si="101"/>
        <v>0</v>
      </c>
      <c r="AN1655" t="b">
        <f t="shared" si="102"/>
        <v>1</v>
      </c>
      <c r="AO1655" t="b">
        <f>OR(Table67[[#This Row],[Ineligible respondents]:[Inconsistent response on opposite question (3)]])</f>
        <v>1</v>
      </c>
      <c r="AP165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655">
        <f>Table67[[#This Row],[Extreme Response]]/21</f>
        <v>0.23809523809523808</v>
      </c>
      <c r="AR1655">
        <f>_xlfn.PERCENTILE.INC(Table67[Extrem Response Ratio (ERS)],0.9)</f>
        <v>0.61904761904761907</v>
      </c>
      <c r="AS1655" t="b">
        <f>Table67[[#This Row],[Extrem Response Ratio (ERS)]]&gt;=Table67[[#This Row],[Threshold of ERS]]</f>
        <v>0</v>
      </c>
      <c r="AT1655">
        <f>COUNTIF(Table67[[#This Row],[The mechanism of digital assets is difficult to understand, which discourages me from exploring it (E.g, Tokenization, Blockchain)]:[If I want to try different ways to invest, I will explore digital assets.]], 3)</f>
        <v>5</v>
      </c>
      <c r="AU1655">
        <f>Table67[[#This Row],[Midpoint]]/21</f>
        <v>0.23809523809523808</v>
      </c>
      <c r="AV1655">
        <f>_xlfn.PERCENTILE.INC(Table67[Midpoint ratio],0.9)</f>
        <v>0.5714285714285714</v>
      </c>
      <c r="AW1655" t="b">
        <f>Table67[[#This Row],[Midpoint ratio]]&gt;=Table67[[#This Row],[Threshold of Midpoint ratio]]</f>
        <v>0</v>
      </c>
      <c r="AX1655" t="b">
        <f>OR(Table67[[#This Row],[Extreme Response Style]],Table67[[#This Row],[Mid-point Response Style]])</f>
        <v>0</v>
      </c>
      <c r="AY1655" t="b">
        <f>OR(Table67[[#This Row],[Delete? (Stage 1)]],Table67[[#This Row],[Delete? (Stage 2)]])</f>
        <v>1</v>
      </c>
      <c r="AZ1655" t="s">
        <v>84</v>
      </c>
    </row>
    <row r="1656" spans="1:52">
      <c r="A1656">
        <f t="shared" si="103"/>
        <v>1655</v>
      </c>
      <c r="B1656" s="3">
        <v>46062.093495370369</v>
      </c>
      <c r="C1656" s="3">
        <v>46062.097928240742</v>
      </c>
      <c r="D1656" t="s">
        <v>53</v>
      </c>
      <c r="G1656" t="s">
        <v>54</v>
      </c>
      <c r="H1656" t="s">
        <v>63</v>
      </c>
      <c r="I1656" t="s">
        <v>56</v>
      </c>
      <c r="J1656" t="s">
        <v>57</v>
      </c>
      <c r="K1656" t="s">
        <v>57</v>
      </c>
      <c r="L1656" t="s">
        <v>58</v>
      </c>
      <c r="M1656" t="s">
        <v>58</v>
      </c>
      <c r="N1656">
        <v>4</v>
      </c>
      <c r="O1656">
        <v>1</v>
      </c>
      <c r="P1656">
        <v>4</v>
      </c>
      <c r="Q1656">
        <v>3</v>
      </c>
      <c r="R1656">
        <v>4</v>
      </c>
      <c r="S1656">
        <v>5</v>
      </c>
      <c r="T1656">
        <v>5</v>
      </c>
      <c r="U1656">
        <v>4</v>
      </c>
      <c r="V1656">
        <v>4</v>
      </c>
      <c r="W1656">
        <v>4</v>
      </c>
      <c r="X1656">
        <v>5</v>
      </c>
      <c r="Y1656">
        <v>4</v>
      </c>
      <c r="Z1656">
        <v>5</v>
      </c>
      <c r="AA1656">
        <v>4</v>
      </c>
      <c r="AB1656">
        <v>4</v>
      </c>
      <c r="AC1656">
        <v>3</v>
      </c>
      <c r="AD1656">
        <v>5</v>
      </c>
      <c r="AE1656">
        <v>4</v>
      </c>
      <c r="AF1656">
        <v>2</v>
      </c>
      <c r="AG1656">
        <v>4</v>
      </c>
      <c r="AH1656">
        <v>3</v>
      </c>
      <c r="AI1656">
        <v>3</v>
      </c>
      <c r="AJ1656">
        <v>4</v>
      </c>
      <c r="AK1656" t="b">
        <f>Table67[[#This Row],[What is your age?]]&lt;&gt;"18 - 25"</f>
        <v>0</v>
      </c>
      <c r="AL1656" t="b">
        <f t="shared" si="100"/>
        <v>0</v>
      </c>
      <c r="AM1656" t="b">
        <f t="shared" si="101"/>
        <v>0</v>
      </c>
      <c r="AN1656" t="b">
        <f t="shared" si="102"/>
        <v>1</v>
      </c>
      <c r="AO1656" t="b">
        <f>OR(Table67[[#This Row],[Ineligible respondents]:[Inconsistent response on opposite question (3)]])</f>
        <v>1</v>
      </c>
      <c r="AP165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6</v>
      </c>
      <c r="AQ1656">
        <f>Table67[[#This Row],[Extreme Response]]/21</f>
        <v>0.2857142857142857</v>
      </c>
      <c r="AR1656">
        <f>_xlfn.PERCENTILE.INC(Table67[Extrem Response Ratio (ERS)],0.9)</f>
        <v>0.61904761904761907</v>
      </c>
      <c r="AS1656" t="b">
        <f>Table67[[#This Row],[Extrem Response Ratio (ERS)]]&gt;=Table67[[#This Row],[Threshold of ERS]]</f>
        <v>0</v>
      </c>
      <c r="AT1656">
        <f>COUNTIF(Table67[[#This Row],[The mechanism of digital assets is difficult to understand, which discourages me from exploring it (E.g, Tokenization, Blockchain)]:[If I want to try different ways to invest, I will explore digital assets.]], 3)</f>
        <v>3</v>
      </c>
      <c r="AU1656">
        <f>Table67[[#This Row],[Midpoint]]/21</f>
        <v>0.14285714285714285</v>
      </c>
      <c r="AV1656">
        <f>_xlfn.PERCENTILE.INC(Table67[Midpoint ratio],0.9)</f>
        <v>0.5714285714285714</v>
      </c>
      <c r="AW1656" t="b">
        <f>Table67[[#This Row],[Midpoint ratio]]&gt;=Table67[[#This Row],[Threshold of Midpoint ratio]]</f>
        <v>0</v>
      </c>
      <c r="AX1656" t="b">
        <f>OR(Table67[[#This Row],[Extreme Response Style]],Table67[[#This Row],[Mid-point Response Style]])</f>
        <v>0</v>
      </c>
      <c r="AY1656" t="b">
        <f>OR(Table67[[#This Row],[Delete? (Stage 1)]],Table67[[#This Row],[Delete? (Stage 2)]])</f>
        <v>1</v>
      </c>
      <c r="AZ1656" t="s">
        <v>84</v>
      </c>
    </row>
    <row r="1657" spans="1:52">
      <c r="A1657">
        <f t="shared" si="103"/>
        <v>1656</v>
      </c>
      <c r="B1657" s="3">
        <v>46062.024872685186</v>
      </c>
      <c r="C1657" s="3">
        <v>46062.029560185183</v>
      </c>
      <c r="D1657" t="s">
        <v>53</v>
      </c>
      <c r="G1657" t="s">
        <v>54</v>
      </c>
      <c r="H1657" t="s">
        <v>55</v>
      </c>
      <c r="I1657" t="s">
        <v>71</v>
      </c>
      <c r="J1657" t="s">
        <v>65</v>
      </c>
      <c r="K1657" t="s">
        <v>57</v>
      </c>
      <c r="L1657" t="s">
        <v>58</v>
      </c>
      <c r="M1657" t="s">
        <v>58</v>
      </c>
      <c r="N1657">
        <v>5</v>
      </c>
      <c r="O1657">
        <v>1</v>
      </c>
      <c r="P1657">
        <v>5</v>
      </c>
      <c r="Q1657">
        <v>1</v>
      </c>
      <c r="R1657">
        <v>1</v>
      </c>
      <c r="S1657">
        <v>5</v>
      </c>
      <c r="T1657">
        <v>5</v>
      </c>
      <c r="U1657">
        <v>5</v>
      </c>
      <c r="V1657">
        <v>5</v>
      </c>
      <c r="W1657">
        <v>5</v>
      </c>
      <c r="X1657">
        <v>5</v>
      </c>
      <c r="Y1657">
        <v>5</v>
      </c>
      <c r="Z1657">
        <v>5</v>
      </c>
      <c r="AA1657">
        <v>5</v>
      </c>
      <c r="AB1657">
        <v>1</v>
      </c>
      <c r="AC1657">
        <v>5</v>
      </c>
      <c r="AD1657">
        <v>5</v>
      </c>
      <c r="AE1657">
        <v>5</v>
      </c>
      <c r="AF1657">
        <v>1</v>
      </c>
      <c r="AG1657">
        <v>5</v>
      </c>
      <c r="AH1657">
        <v>1</v>
      </c>
      <c r="AI1657">
        <v>5</v>
      </c>
      <c r="AJ1657">
        <v>5</v>
      </c>
      <c r="AK1657" t="b">
        <f>Table67[[#This Row],[What is your age?]]&lt;&gt;"18 - 25"</f>
        <v>0</v>
      </c>
      <c r="AL1657" t="b">
        <f t="shared" si="100"/>
        <v>0</v>
      </c>
      <c r="AM1657" t="b">
        <f t="shared" si="101"/>
        <v>0</v>
      </c>
      <c r="AN1657" t="b">
        <f t="shared" si="102"/>
        <v>0</v>
      </c>
      <c r="AO1657" t="b">
        <f>OR(Table67[[#This Row],[Ineligible respondents]:[Inconsistent response on opposite question (3)]])</f>
        <v>0</v>
      </c>
      <c r="AP165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21</v>
      </c>
      <c r="AQ1657">
        <f>Table67[[#This Row],[Extreme Response]]/21</f>
        <v>1</v>
      </c>
      <c r="AR1657">
        <f>_xlfn.PERCENTILE.INC(Table67[Extrem Response Ratio (ERS)],0.9)</f>
        <v>0.61904761904761907</v>
      </c>
      <c r="AS1657" t="b">
        <f>Table67[[#This Row],[Extrem Response Ratio (ERS)]]&gt;=Table67[[#This Row],[Threshold of ERS]]</f>
        <v>1</v>
      </c>
      <c r="AT1657">
        <f>COUNTIF(Table67[[#This Row],[The mechanism of digital assets is difficult to understand, which discourages me from exploring it (E.g, Tokenization, Blockchain)]:[If I want to try different ways to invest, I will explore digital assets.]], 3)</f>
        <v>0</v>
      </c>
      <c r="AU1657">
        <f>Table67[[#This Row],[Midpoint]]/21</f>
        <v>0</v>
      </c>
      <c r="AV1657">
        <f>_xlfn.PERCENTILE.INC(Table67[Midpoint ratio],0.9)</f>
        <v>0.5714285714285714</v>
      </c>
      <c r="AW1657" t="b">
        <f>Table67[[#This Row],[Midpoint ratio]]&gt;=Table67[[#This Row],[Threshold of Midpoint ratio]]</f>
        <v>0</v>
      </c>
      <c r="AX1657" t="b">
        <f>OR(Table67[[#This Row],[Extreme Response Style]],Table67[[#This Row],[Mid-point Response Style]])</f>
        <v>1</v>
      </c>
      <c r="AY1657" t="b">
        <f>OR(Table67[[#This Row],[Delete? (Stage 1)]],Table67[[#This Row],[Delete? (Stage 2)]])</f>
        <v>1</v>
      </c>
      <c r="AZ1657" t="s">
        <v>84</v>
      </c>
    </row>
    <row r="1658" spans="1:52">
      <c r="A1658">
        <f t="shared" si="103"/>
        <v>1657</v>
      </c>
      <c r="B1658" s="3">
        <v>46065.725555555553</v>
      </c>
      <c r="C1658" s="3">
        <v>46065.725821759261</v>
      </c>
      <c r="D1658" t="s">
        <v>53</v>
      </c>
      <c r="G1658" t="s">
        <v>54</v>
      </c>
      <c r="H1658" t="s">
        <v>55</v>
      </c>
      <c r="I1658" t="s">
        <v>71</v>
      </c>
      <c r="J1658" t="s">
        <v>66</v>
      </c>
      <c r="K1658" t="s">
        <v>64</v>
      </c>
      <c r="L1658" t="s">
        <v>58</v>
      </c>
      <c r="M1658" t="s">
        <v>58</v>
      </c>
      <c r="N1658">
        <v>4</v>
      </c>
      <c r="O1658">
        <v>4</v>
      </c>
      <c r="P1658">
        <v>4</v>
      </c>
      <c r="Q1658">
        <v>3</v>
      </c>
      <c r="R1658">
        <v>3</v>
      </c>
      <c r="S1658">
        <v>4</v>
      </c>
      <c r="T1658">
        <v>4</v>
      </c>
      <c r="U1658">
        <v>3</v>
      </c>
      <c r="V1658">
        <v>4</v>
      </c>
      <c r="W1658">
        <v>5</v>
      </c>
      <c r="X1658">
        <v>4</v>
      </c>
      <c r="Y1658">
        <v>4</v>
      </c>
      <c r="Z1658">
        <v>4</v>
      </c>
      <c r="AA1658">
        <v>4</v>
      </c>
      <c r="AB1658">
        <v>4</v>
      </c>
      <c r="AC1658">
        <v>4</v>
      </c>
      <c r="AD1658">
        <v>4</v>
      </c>
      <c r="AE1658">
        <v>4</v>
      </c>
      <c r="AF1658">
        <v>4</v>
      </c>
      <c r="AG1658">
        <v>2</v>
      </c>
      <c r="AH1658">
        <v>5</v>
      </c>
      <c r="AI1658">
        <v>1</v>
      </c>
      <c r="AJ1658">
        <v>2</v>
      </c>
      <c r="AK1658" t="b">
        <f>Table67[[#This Row],[What is your age?]]&lt;&gt;"18 - 25"</f>
        <v>0</v>
      </c>
      <c r="AL1658" t="b">
        <f t="shared" si="100"/>
        <v>0</v>
      </c>
      <c r="AM1658" t="b">
        <f t="shared" si="101"/>
        <v>0</v>
      </c>
      <c r="AN1658" t="b">
        <f t="shared" si="102"/>
        <v>0</v>
      </c>
      <c r="AO1658" t="b">
        <f>OR(Table67[[#This Row],[Ineligible respondents]:[Inconsistent response on opposite question (3)]])</f>
        <v>0</v>
      </c>
      <c r="AP165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658">
        <f>Table67[[#This Row],[Extreme Response]]/21</f>
        <v>9.5238095238095233E-2</v>
      </c>
      <c r="AR1658">
        <f>_xlfn.PERCENTILE.INC(Table67[Extrem Response Ratio (ERS)],0.9)</f>
        <v>0.61904761904761907</v>
      </c>
      <c r="AS1658" t="b">
        <f>Table67[[#This Row],[Extrem Response Ratio (ERS)]]&gt;=Table67[[#This Row],[Threshold of ERS]]</f>
        <v>0</v>
      </c>
      <c r="AT1658">
        <f>COUNTIF(Table67[[#This Row],[The mechanism of digital assets is difficult to understand, which discourages me from exploring it (E.g, Tokenization, Blockchain)]:[If I want to try different ways to invest, I will explore digital assets.]], 3)</f>
        <v>3</v>
      </c>
      <c r="AU1658">
        <f>Table67[[#This Row],[Midpoint]]/21</f>
        <v>0.14285714285714285</v>
      </c>
      <c r="AV1658">
        <f>_xlfn.PERCENTILE.INC(Table67[Midpoint ratio],0.9)</f>
        <v>0.5714285714285714</v>
      </c>
      <c r="AW1658" t="b">
        <f>Table67[[#This Row],[Midpoint ratio]]&gt;=Table67[[#This Row],[Threshold of Midpoint ratio]]</f>
        <v>0</v>
      </c>
      <c r="AX1658" t="b">
        <f>OR(Table67[[#This Row],[Extreme Response Style]],Table67[[#This Row],[Mid-point Response Style]])</f>
        <v>0</v>
      </c>
      <c r="AY1658" t="b">
        <f>OR(Table67[[#This Row],[Delete? (Stage 1)]],Table67[[#This Row],[Delete? (Stage 2)]])</f>
        <v>0</v>
      </c>
      <c r="AZ1658" t="s">
        <v>84</v>
      </c>
    </row>
    <row r="1659" spans="1:52">
      <c r="A1659">
        <f t="shared" si="103"/>
        <v>1658</v>
      </c>
      <c r="B1659" s="3">
        <v>46062.063298611109</v>
      </c>
      <c r="C1659" s="3">
        <v>46062.067384259259</v>
      </c>
      <c r="D1659" t="s">
        <v>53</v>
      </c>
      <c r="G1659" t="s">
        <v>54</v>
      </c>
      <c r="H1659" t="s">
        <v>63</v>
      </c>
      <c r="I1659" t="s">
        <v>69</v>
      </c>
      <c r="J1659" t="s">
        <v>62</v>
      </c>
      <c r="K1659" t="s">
        <v>62</v>
      </c>
      <c r="L1659" t="s">
        <v>58</v>
      </c>
      <c r="M1659" t="s">
        <v>58</v>
      </c>
      <c r="N1659">
        <v>3</v>
      </c>
      <c r="O1659">
        <v>2</v>
      </c>
      <c r="P1659">
        <v>4</v>
      </c>
      <c r="Q1659">
        <v>2</v>
      </c>
      <c r="R1659">
        <v>3</v>
      </c>
      <c r="S1659">
        <v>2</v>
      </c>
      <c r="T1659">
        <v>3</v>
      </c>
      <c r="U1659">
        <v>3</v>
      </c>
      <c r="V1659">
        <v>4</v>
      </c>
      <c r="W1659">
        <v>3</v>
      </c>
      <c r="X1659">
        <v>2</v>
      </c>
      <c r="Y1659">
        <v>3</v>
      </c>
      <c r="Z1659">
        <v>3</v>
      </c>
      <c r="AA1659">
        <v>3</v>
      </c>
      <c r="AB1659">
        <v>2</v>
      </c>
      <c r="AC1659">
        <v>2</v>
      </c>
      <c r="AD1659">
        <v>2</v>
      </c>
      <c r="AE1659">
        <v>2</v>
      </c>
      <c r="AF1659">
        <v>4</v>
      </c>
      <c r="AG1659">
        <v>2</v>
      </c>
      <c r="AH1659">
        <v>3</v>
      </c>
      <c r="AI1659">
        <v>3</v>
      </c>
      <c r="AJ1659">
        <v>2</v>
      </c>
      <c r="AK1659" t="b">
        <f>Table67[[#This Row],[What is your age?]]&lt;&gt;"18 - 25"</f>
        <v>0</v>
      </c>
      <c r="AL1659" t="b">
        <f t="shared" si="100"/>
        <v>0</v>
      </c>
      <c r="AM1659" t="b">
        <f t="shared" si="101"/>
        <v>0</v>
      </c>
      <c r="AN1659" t="b">
        <f t="shared" si="102"/>
        <v>1</v>
      </c>
      <c r="AO1659" t="b">
        <f>OR(Table67[[#This Row],[Ineligible respondents]:[Inconsistent response on opposite question (3)]])</f>
        <v>1</v>
      </c>
      <c r="AP165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659">
        <f>Table67[[#This Row],[Extreme Response]]/21</f>
        <v>0</v>
      </c>
      <c r="AR1659">
        <f>_xlfn.PERCENTILE.INC(Table67[Extrem Response Ratio (ERS)],0.9)</f>
        <v>0.61904761904761907</v>
      </c>
      <c r="AS1659" t="b">
        <f>Table67[[#This Row],[Extrem Response Ratio (ERS)]]&gt;=Table67[[#This Row],[Threshold of ERS]]</f>
        <v>0</v>
      </c>
      <c r="AT1659">
        <f>COUNTIF(Table67[[#This Row],[The mechanism of digital assets is difficult to understand, which discourages me from exploring it (E.g, Tokenization, Blockchain)]:[If I want to try different ways to invest, I will explore digital assets.]], 3)</f>
        <v>9</v>
      </c>
      <c r="AU1659">
        <f>Table67[[#This Row],[Midpoint]]/21</f>
        <v>0.42857142857142855</v>
      </c>
      <c r="AV1659">
        <f>_xlfn.PERCENTILE.INC(Table67[Midpoint ratio],0.9)</f>
        <v>0.5714285714285714</v>
      </c>
      <c r="AW1659" t="b">
        <f>Table67[[#This Row],[Midpoint ratio]]&gt;=Table67[[#This Row],[Threshold of Midpoint ratio]]</f>
        <v>0</v>
      </c>
      <c r="AX1659" t="b">
        <f>OR(Table67[[#This Row],[Extreme Response Style]],Table67[[#This Row],[Mid-point Response Style]])</f>
        <v>0</v>
      </c>
      <c r="AY1659" t="b">
        <f>OR(Table67[[#This Row],[Delete? (Stage 1)]],Table67[[#This Row],[Delete? (Stage 2)]])</f>
        <v>1</v>
      </c>
      <c r="AZ1659" t="s">
        <v>84</v>
      </c>
    </row>
    <row r="1660" spans="1:52">
      <c r="A1660">
        <f t="shared" si="103"/>
        <v>1659</v>
      </c>
      <c r="B1660" s="3">
        <v>46062.05201388889</v>
      </c>
      <c r="C1660" s="3">
        <v>46062.053807870368</v>
      </c>
      <c r="D1660" t="s">
        <v>53</v>
      </c>
      <c r="G1660" t="s">
        <v>54</v>
      </c>
      <c r="H1660" t="s">
        <v>63</v>
      </c>
      <c r="I1660" t="s">
        <v>75</v>
      </c>
      <c r="J1660" t="s">
        <v>60</v>
      </c>
      <c r="K1660" t="s">
        <v>62</v>
      </c>
      <c r="L1660" t="s">
        <v>58</v>
      </c>
      <c r="M1660" t="s">
        <v>58</v>
      </c>
      <c r="N1660">
        <v>4</v>
      </c>
      <c r="O1660">
        <v>5</v>
      </c>
      <c r="P1660">
        <v>4</v>
      </c>
      <c r="Q1660">
        <v>4</v>
      </c>
      <c r="R1660">
        <v>4</v>
      </c>
      <c r="S1660">
        <v>5</v>
      </c>
      <c r="T1660">
        <v>2</v>
      </c>
      <c r="U1660">
        <v>4</v>
      </c>
      <c r="V1660">
        <v>5</v>
      </c>
      <c r="W1660">
        <v>5</v>
      </c>
      <c r="X1660">
        <v>4</v>
      </c>
      <c r="Y1660">
        <v>4</v>
      </c>
      <c r="Z1660">
        <v>4</v>
      </c>
      <c r="AA1660">
        <v>3</v>
      </c>
      <c r="AB1660">
        <v>2</v>
      </c>
      <c r="AC1660">
        <v>5</v>
      </c>
      <c r="AD1660">
        <v>4</v>
      </c>
      <c r="AE1660">
        <v>3</v>
      </c>
      <c r="AF1660">
        <v>4</v>
      </c>
      <c r="AG1660">
        <v>4</v>
      </c>
      <c r="AH1660">
        <v>4</v>
      </c>
      <c r="AI1660">
        <v>2</v>
      </c>
      <c r="AJ1660">
        <v>2</v>
      </c>
      <c r="AK1660" t="b">
        <f>Table67[[#This Row],[What is your age?]]&lt;&gt;"18 - 25"</f>
        <v>0</v>
      </c>
      <c r="AL1660" t="b">
        <f t="shared" si="100"/>
        <v>0</v>
      </c>
      <c r="AM1660" t="b">
        <f t="shared" si="101"/>
        <v>1</v>
      </c>
      <c r="AN1660" t="b">
        <f t="shared" si="102"/>
        <v>0</v>
      </c>
      <c r="AO1660" t="b">
        <f>OR(Table67[[#This Row],[Ineligible respondents]:[Inconsistent response on opposite question (3)]])</f>
        <v>1</v>
      </c>
      <c r="AP166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660">
        <f>Table67[[#This Row],[Extreme Response]]/21</f>
        <v>0.23809523809523808</v>
      </c>
      <c r="AR1660">
        <f>_xlfn.PERCENTILE.INC(Table67[Extrem Response Ratio (ERS)],0.9)</f>
        <v>0.61904761904761907</v>
      </c>
      <c r="AS1660" t="b">
        <f>Table67[[#This Row],[Extrem Response Ratio (ERS)]]&gt;=Table67[[#This Row],[Threshold of ERS]]</f>
        <v>0</v>
      </c>
      <c r="AT1660">
        <f>COUNTIF(Table67[[#This Row],[The mechanism of digital assets is difficult to understand, which discourages me from exploring it (E.g, Tokenization, Blockchain)]:[If I want to try different ways to invest, I will explore digital assets.]], 3)</f>
        <v>2</v>
      </c>
      <c r="AU1660">
        <f>Table67[[#This Row],[Midpoint]]/21</f>
        <v>9.5238095238095233E-2</v>
      </c>
      <c r="AV1660">
        <f>_xlfn.PERCENTILE.INC(Table67[Midpoint ratio],0.9)</f>
        <v>0.5714285714285714</v>
      </c>
      <c r="AW1660" t="b">
        <f>Table67[[#This Row],[Midpoint ratio]]&gt;=Table67[[#This Row],[Threshold of Midpoint ratio]]</f>
        <v>0</v>
      </c>
      <c r="AX1660" t="b">
        <f>OR(Table67[[#This Row],[Extreme Response Style]],Table67[[#This Row],[Mid-point Response Style]])</f>
        <v>0</v>
      </c>
      <c r="AY1660" t="b">
        <f>OR(Table67[[#This Row],[Delete? (Stage 1)]],Table67[[#This Row],[Delete? (Stage 2)]])</f>
        <v>1</v>
      </c>
      <c r="AZ1660" t="s">
        <v>84</v>
      </c>
    </row>
    <row r="1661" spans="1:52">
      <c r="A1661">
        <f t="shared" si="103"/>
        <v>1660</v>
      </c>
      <c r="B1661" s="3">
        <v>46065.727118055554</v>
      </c>
      <c r="C1661" s="3">
        <v>46065.727581018517</v>
      </c>
      <c r="D1661" t="s">
        <v>53</v>
      </c>
      <c r="G1661" t="s">
        <v>54</v>
      </c>
      <c r="H1661" t="s">
        <v>55</v>
      </c>
      <c r="I1661" t="s">
        <v>56</v>
      </c>
      <c r="J1661" t="s">
        <v>57</v>
      </c>
      <c r="K1661" t="s">
        <v>62</v>
      </c>
      <c r="L1661" t="s">
        <v>58</v>
      </c>
      <c r="M1661" t="s">
        <v>58</v>
      </c>
      <c r="N1661">
        <v>3</v>
      </c>
      <c r="O1661">
        <v>2</v>
      </c>
      <c r="P1661">
        <v>4</v>
      </c>
      <c r="Q1661">
        <v>4</v>
      </c>
      <c r="R1661">
        <v>2</v>
      </c>
      <c r="S1661">
        <v>4</v>
      </c>
      <c r="T1661">
        <v>4</v>
      </c>
      <c r="U1661">
        <v>4</v>
      </c>
      <c r="V1661">
        <v>4</v>
      </c>
      <c r="W1661">
        <v>4</v>
      </c>
      <c r="X1661">
        <v>3</v>
      </c>
      <c r="Y1661">
        <v>4</v>
      </c>
      <c r="Z1661">
        <v>2</v>
      </c>
      <c r="AA1661">
        <v>3</v>
      </c>
      <c r="AB1661">
        <v>4</v>
      </c>
      <c r="AC1661">
        <v>4</v>
      </c>
      <c r="AD1661">
        <v>2</v>
      </c>
      <c r="AE1661">
        <v>3</v>
      </c>
      <c r="AF1661">
        <v>2</v>
      </c>
      <c r="AG1661">
        <v>3</v>
      </c>
      <c r="AH1661">
        <v>3</v>
      </c>
      <c r="AI1661">
        <v>3</v>
      </c>
      <c r="AJ1661">
        <v>4</v>
      </c>
      <c r="AK1661" t="b">
        <f>Table67[[#This Row],[What is your age?]]&lt;&gt;"18 - 25"</f>
        <v>0</v>
      </c>
      <c r="AL1661" t="b">
        <f t="shared" si="100"/>
        <v>0</v>
      </c>
      <c r="AM1661" t="b">
        <f t="shared" si="101"/>
        <v>0</v>
      </c>
      <c r="AN1661" t="b">
        <f t="shared" si="102"/>
        <v>0</v>
      </c>
      <c r="AO1661" t="b">
        <f>OR(Table67[[#This Row],[Ineligible respondents]:[Inconsistent response on opposite question (3)]])</f>
        <v>0</v>
      </c>
      <c r="AP166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661">
        <f>Table67[[#This Row],[Extreme Response]]/21</f>
        <v>0</v>
      </c>
      <c r="AR1661">
        <f>_xlfn.PERCENTILE.INC(Table67[Extrem Response Ratio (ERS)],0.9)</f>
        <v>0.61904761904761907</v>
      </c>
      <c r="AS1661" t="b">
        <f>Table67[[#This Row],[Extrem Response Ratio (ERS)]]&gt;=Table67[[#This Row],[Threshold of ERS]]</f>
        <v>0</v>
      </c>
      <c r="AT1661">
        <f>COUNTIF(Table67[[#This Row],[The mechanism of digital assets is difficult to understand, which discourages me from exploring it (E.g, Tokenization, Blockchain)]:[If I want to try different ways to invest, I will explore digital assets.]], 3)</f>
        <v>6</v>
      </c>
      <c r="AU1661">
        <f>Table67[[#This Row],[Midpoint]]/21</f>
        <v>0.2857142857142857</v>
      </c>
      <c r="AV1661">
        <f>_xlfn.PERCENTILE.INC(Table67[Midpoint ratio],0.9)</f>
        <v>0.5714285714285714</v>
      </c>
      <c r="AW1661" t="b">
        <f>Table67[[#This Row],[Midpoint ratio]]&gt;=Table67[[#This Row],[Threshold of Midpoint ratio]]</f>
        <v>0</v>
      </c>
      <c r="AX1661" t="b">
        <f>OR(Table67[[#This Row],[Extreme Response Style]],Table67[[#This Row],[Mid-point Response Style]])</f>
        <v>0</v>
      </c>
      <c r="AY1661" t="b">
        <f>OR(Table67[[#This Row],[Delete? (Stage 1)]],Table67[[#This Row],[Delete? (Stage 2)]])</f>
        <v>0</v>
      </c>
      <c r="AZ1661" t="s">
        <v>84</v>
      </c>
    </row>
    <row r="1662" spans="1:52">
      <c r="A1662">
        <f t="shared" si="103"/>
        <v>1661</v>
      </c>
      <c r="B1662" s="3">
        <v>46062.055810185186</v>
      </c>
      <c r="C1662" s="3">
        <v>46062.061562499999</v>
      </c>
      <c r="D1662" t="s">
        <v>53</v>
      </c>
      <c r="G1662" t="s">
        <v>54</v>
      </c>
      <c r="H1662" t="s">
        <v>55</v>
      </c>
      <c r="I1662" t="s">
        <v>56</v>
      </c>
      <c r="J1662" t="s">
        <v>62</v>
      </c>
      <c r="K1662" t="s">
        <v>66</v>
      </c>
      <c r="L1662" t="s">
        <v>58</v>
      </c>
      <c r="M1662" t="s">
        <v>58</v>
      </c>
      <c r="N1662">
        <v>4</v>
      </c>
      <c r="O1662">
        <v>1</v>
      </c>
      <c r="P1662">
        <v>3</v>
      </c>
      <c r="Q1662">
        <v>2</v>
      </c>
      <c r="R1662">
        <v>3</v>
      </c>
      <c r="S1662">
        <v>4</v>
      </c>
      <c r="T1662">
        <v>4</v>
      </c>
      <c r="U1662">
        <v>3</v>
      </c>
      <c r="V1662">
        <v>4</v>
      </c>
      <c r="W1662">
        <v>4</v>
      </c>
      <c r="X1662">
        <v>4</v>
      </c>
      <c r="Y1662">
        <v>4</v>
      </c>
      <c r="Z1662">
        <v>3</v>
      </c>
      <c r="AA1662">
        <v>3</v>
      </c>
      <c r="AB1662">
        <v>4</v>
      </c>
      <c r="AC1662">
        <v>3</v>
      </c>
      <c r="AD1662">
        <v>4</v>
      </c>
      <c r="AE1662">
        <v>3</v>
      </c>
      <c r="AF1662">
        <v>3</v>
      </c>
      <c r="AG1662">
        <v>4</v>
      </c>
      <c r="AH1662">
        <v>3</v>
      </c>
      <c r="AI1662">
        <v>3</v>
      </c>
      <c r="AJ1662">
        <v>3</v>
      </c>
      <c r="AK1662" t="b">
        <f>Table67[[#This Row],[What is your age?]]&lt;&gt;"18 - 25"</f>
        <v>0</v>
      </c>
      <c r="AL1662" t="b">
        <f t="shared" si="100"/>
        <v>0</v>
      </c>
      <c r="AM1662" t="b">
        <f t="shared" si="101"/>
        <v>0</v>
      </c>
      <c r="AN1662" t="b">
        <f t="shared" si="102"/>
        <v>1</v>
      </c>
      <c r="AO1662" t="b">
        <f>OR(Table67[[#This Row],[Ineligible respondents]:[Inconsistent response on opposite question (3)]])</f>
        <v>1</v>
      </c>
      <c r="AP166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662">
        <f>Table67[[#This Row],[Extreme Response]]/21</f>
        <v>4.7619047619047616E-2</v>
      </c>
      <c r="AR1662">
        <f>_xlfn.PERCENTILE.INC(Table67[Extrem Response Ratio (ERS)],0.9)</f>
        <v>0.61904761904761907</v>
      </c>
      <c r="AS1662" t="b">
        <f>Table67[[#This Row],[Extrem Response Ratio (ERS)]]&gt;=Table67[[#This Row],[Threshold of ERS]]</f>
        <v>0</v>
      </c>
      <c r="AT1662">
        <f>COUNTIF(Table67[[#This Row],[The mechanism of digital assets is difficult to understand, which discourages me from exploring it (E.g, Tokenization, Blockchain)]:[If I want to try different ways to invest, I will explore digital assets.]], 3)</f>
        <v>9</v>
      </c>
      <c r="AU1662">
        <f>Table67[[#This Row],[Midpoint]]/21</f>
        <v>0.42857142857142855</v>
      </c>
      <c r="AV1662">
        <f>_xlfn.PERCENTILE.INC(Table67[Midpoint ratio],0.9)</f>
        <v>0.5714285714285714</v>
      </c>
      <c r="AW1662" t="b">
        <f>Table67[[#This Row],[Midpoint ratio]]&gt;=Table67[[#This Row],[Threshold of Midpoint ratio]]</f>
        <v>0</v>
      </c>
      <c r="AX1662" t="b">
        <f>OR(Table67[[#This Row],[Extreme Response Style]],Table67[[#This Row],[Mid-point Response Style]])</f>
        <v>0</v>
      </c>
      <c r="AY1662" t="b">
        <f>OR(Table67[[#This Row],[Delete? (Stage 1)]],Table67[[#This Row],[Delete? (Stage 2)]])</f>
        <v>1</v>
      </c>
      <c r="AZ1662" t="s">
        <v>84</v>
      </c>
    </row>
    <row r="1663" spans="1:52">
      <c r="A1663">
        <f t="shared" si="103"/>
        <v>1662</v>
      </c>
      <c r="B1663" s="3">
        <v>46065.870115740741</v>
      </c>
      <c r="C1663" s="3">
        <v>46065.875821759262</v>
      </c>
      <c r="D1663" t="s">
        <v>53</v>
      </c>
      <c r="G1663" t="s">
        <v>54</v>
      </c>
      <c r="H1663" t="s">
        <v>55</v>
      </c>
      <c r="I1663" t="s">
        <v>56</v>
      </c>
      <c r="J1663" t="s">
        <v>67</v>
      </c>
      <c r="K1663" t="s">
        <v>62</v>
      </c>
      <c r="L1663" t="s">
        <v>58</v>
      </c>
      <c r="M1663" t="s">
        <v>58</v>
      </c>
      <c r="N1663">
        <v>3</v>
      </c>
      <c r="O1663">
        <v>3</v>
      </c>
      <c r="P1663">
        <v>2</v>
      </c>
      <c r="Q1663">
        <v>2</v>
      </c>
      <c r="R1663">
        <v>3</v>
      </c>
      <c r="S1663">
        <v>1</v>
      </c>
      <c r="T1663">
        <v>2</v>
      </c>
      <c r="U1663">
        <v>2</v>
      </c>
      <c r="V1663">
        <v>2</v>
      </c>
      <c r="W1663">
        <v>2</v>
      </c>
      <c r="X1663">
        <v>3</v>
      </c>
      <c r="Y1663">
        <v>3</v>
      </c>
      <c r="Z1663">
        <v>2</v>
      </c>
      <c r="AA1663">
        <v>2</v>
      </c>
      <c r="AB1663">
        <v>2</v>
      </c>
      <c r="AC1663">
        <v>3</v>
      </c>
      <c r="AD1663">
        <v>3</v>
      </c>
      <c r="AE1663">
        <v>2</v>
      </c>
      <c r="AF1663">
        <v>5</v>
      </c>
      <c r="AG1663">
        <v>1</v>
      </c>
      <c r="AH1663">
        <v>5</v>
      </c>
      <c r="AI1663">
        <v>1</v>
      </c>
      <c r="AJ1663">
        <v>1</v>
      </c>
      <c r="AK1663" t="b">
        <f>Table67[[#This Row],[What is your age?]]&lt;&gt;"18 - 25"</f>
        <v>0</v>
      </c>
      <c r="AL1663" t="b">
        <f t="shared" si="100"/>
        <v>0</v>
      </c>
      <c r="AM1663" t="b">
        <f t="shared" si="101"/>
        <v>0</v>
      </c>
      <c r="AN1663" t="b">
        <f t="shared" si="102"/>
        <v>0</v>
      </c>
      <c r="AO1663" t="b">
        <f>OR(Table67[[#This Row],[Ineligible respondents]:[Inconsistent response on opposite question (3)]])</f>
        <v>0</v>
      </c>
      <c r="AP166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663">
        <f>Table67[[#This Row],[Extreme Response]]/21</f>
        <v>0.19047619047619047</v>
      </c>
      <c r="AR1663">
        <f>_xlfn.PERCENTILE.INC(Table67[Extrem Response Ratio (ERS)],0.9)</f>
        <v>0.61904761904761907</v>
      </c>
      <c r="AS1663" t="b">
        <f>Table67[[#This Row],[Extrem Response Ratio (ERS)]]&gt;=Table67[[#This Row],[Threshold of ERS]]</f>
        <v>0</v>
      </c>
      <c r="AT1663">
        <f>COUNTIF(Table67[[#This Row],[The mechanism of digital assets is difficult to understand, which discourages me from exploring it (E.g, Tokenization, Blockchain)]:[If I want to try different ways to invest, I will explore digital assets.]], 3)</f>
        <v>7</v>
      </c>
      <c r="AU1663">
        <f>Table67[[#This Row],[Midpoint]]/21</f>
        <v>0.33333333333333331</v>
      </c>
      <c r="AV1663">
        <f>_xlfn.PERCENTILE.INC(Table67[Midpoint ratio],0.9)</f>
        <v>0.5714285714285714</v>
      </c>
      <c r="AW1663" t="b">
        <f>Table67[[#This Row],[Midpoint ratio]]&gt;=Table67[[#This Row],[Threshold of Midpoint ratio]]</f>
        <v>0</v>
      </c>
      <c r="AX1663" t="b">
        <f>OR(Table67[[#This Row],[Extreme Response Style]],Table67[[#This Row],[Mid-point Response Style]])</f>
        <v>0</v>
      </c>
      <c r="AY1663" t="b">
        <f>OR(Table67[[#This Row],[Delete? (Stage 1)]],Table67[[#This Row],[Delete? (Stage 2)]])</f>
        <v>0</v>
      </c>
      <c r="AZ1663" t="s">
        <v>84</v>
      </c>
    </row>
    <row r="1664" spans="1:52">
      <c r="A1664">
        <f t="shared" si="103"/>
        <v>1663</v>
      </c>
      <c r="B1664" s="3">
        <v>46062.088819444441</v>
      </c>
      <c r="C1664" s="3">
        <v>46062.093229166669</v>
      </c>
      <c r="D1664" t="s">
        <v>53</v>
      </c>
      <c r="G1664" t="s">
        <v>54</v>
      </c>
      <c r="H1664" t="s">
        <v>63</v>
      </c>
      <c r="I1664" t="s">
        <v>71</v>
      </c>
      <c r="J1664" t="s">
        <v>57</v>
      </c>
      <c r="K1664" t="s">
        <v>62</v>
      </c>
      <c r="L1664" t="s">
        <v>58</v>
      </c>
      <c r="M1664" t="s">
        <v>58</v>
      </c>
      <c r="N1664">
        <v>4</v>
      </c>
      <c r="O1664">
        <v>2</v>
      </c>
      <c r="P1664">
        <v>5</v>
      </c>
      <c r="Q1664">
        <v>3</v>
      </c>
      <c r="R1664">
        <v>4</v>
      </c>
      <c r="S1664">
        <v>3</v>
      </c>
      <c r="T1664">
        <v>2</v>
      </c>
      <c r="U1664">
        <v>3</v>
      </c>
      <c r="V1664">
        <v>4</v>
      </c>
      <c r="W1664">
        <v>2</v>
      </c>
      <c r="X1664">
        <v>3</v>
      </c>
      <c r="Y1664">
        <v>3</v>
      </c>
      <c r="Z1664">
        <v>5</v>
      </c>
      <c r="AA1664">
        <v>3</v>
      </c>
      <c r="AB1664">
        <v>4</v>
      </c>
      <c r="AC1664">
        <v>3</v>
      </c>
      <c r="AD1664">
        <v>4</v>
      </c>
      <c r="AE1664">
        <v>2</v>
      </c>
      <c r="AF1664">
        <v>2</v>
      </c>
      <c r="AG1664">
        <v>3</v>
      </c>
      <c r="AH1664">
        <v>4</v>
      </c>
      <c r="AI1664">
        <v>2</v>
      </c>
      <c r="AJ1664">
        <v>4</v>
      </c>
      <c r="AK1664" t="b">
        <f>Table67[[#This Row],[What is your age?]]&lt;&gt;"18 - 25"</f>
        <v>0</v>
      </c>
      <c r="AL1664" t="b">
        <f t="shared" si="100"/>
        <v>0</v>
      </c>
      <c r="AM1664" t="b">
        <f t="shared" si="101"/>
        <v>0</v>
      </c>
      <c r="AN1664" t="b">
        <f t="shared" si="102"/>
        <v>1</v>
      </c>
      <c r="AO1664" t="b">
        <f>OR(Table67[[#This Row],[Ineligible respondents]:[Inconsistent response on opposite question (3)]])</f>
        <v>1</v>
      </c>
      <c r="AP166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664">
        <f>Table67[[#This Row],[Extreme Response]]/21</f>
        <v>9.5238095238095233E-2</v>
      </c>
      <c r="AR1664">
        <f>_xlfn.PERCENTILE.INC(Table67[Extrem Response Ratio (ERS)],0.9)</f>
        <v>0.61904761904761907</v>
      </c>
      <c r="AS1664" t="b">
        <f>Table67[[#This Row],[Extrem Response Ratio (ERS)]]&gt;=Table67[[#This Row],[Threshold of ERS]]</f>
        <v>0</v>
      </c>
      <c r="AT1664">
        <f>COUNTIF(Table67[[#This Row],[The mechanism of digital assets is difficult to understand, which discourages me from exploring it (E.g, Tokenization, Blockchain)]:[If I want to try different ways to invest, I will explore digital assets.]], 3)</f>
        <v>8</v>
      </c>
      <c r="AU1664">
        <f>Table67[[#This Row],[Midpoint]]/21</f>
        <v>0.38095238095238093</v>
      </c>
      <c r="AV1664">
        <f>_xlfn.PERCENTILE.INC(Table67[Midpoint ratio],0.9)</f>
        <v>0.5714285714285714</v>
      </c>
      <c r="AW1664" t="b">
        <f>Table67[[#This Row],[Midpoint ratio]]&gt;=Table67[[#This Row],[Threshold of Midpoint ratio]]</f>
        <v>0</v>
      </c>
      <c r="AX1664" t="b">
        <f>OR(Table67[[#This Row],[Extreme Response Style]],Table67[[#This Row],[Mid-point Response Style]])</f>
        <v>0</v>
      </c>
      <c r="AY1664" t="b">
        <f>OR(Table67[[#This Row],[Delete? (Stage 1)]],Table67[[#This Row],[Delete? (Stage 2)]])</f>
        <v>1</v>
      </c>
      <c r="AZ1664" t="s">
        <v>84</v>
      </c>
    </row>
    <row r="1665" spans="1:52">
      <c r="A1665">
        <f t="shared" si="103"/>
        <v>1664</v>
      </c>
      <c r="B1665" s="3">
        <v>46062.042847222219</v>
      </c>
      <c r="C1665" s="3">
        <v>46062.046319444446</v>
      </c>
      <c r="D1665" t="s">
        <v>53</v>
      </c>
      <c r="G1665" t="s">
        <v>54</v>
      </c>
      <c r="H1665" t="s">
        <v>55</v>
      </c>
      <c r="I1665" t="s">
        <v>69</v>
      </c>
      <c r="J1665" t="s">
        <v>72</v>
      </c>
      <c r="K1665" t="s">
        <v>60</v>
      </c>
      <c r="L1665" t="s">
        <v>58</v>
      </c>
      <c r="M1665" t="s">
        <v>61</v>
      </c>
      <c r="N1665">
        <v>3</v>
      </c>
      <c r="O1665">
        <v>2</v>
      </c>
      <c r="P1665">
        <v>4</v>
      </c>
      <c r="Q1665">
        <v>5</v>
      </c>
      <c r="R1665">
        <v>3</v>
      </c>
      <c r="S1665">
        <v>3</v>
      </c>
      <c r="T1665">
        <v>4</v>
      </c>
      <c r="U1665">
        <v>4</v>
      </c>
      <c r="V1665">
        <v>5</v>
      </c>
      <c r="W1665">
        <v>5</v>
      </c>
      <c r="X1665">
        <v>3</v>
      </c>
      <c r="Y1665">
        <v>3</v>
      </c>
      <c r="Z1665">
        <v>1</v>
      </c>
      <c r="AA1665">
        <v>2</v>
      </c>
      <c r="AB1665">
        <v>3</v>
      </c>
      <c r="AC1665">
        <v>5</v>
      </c>
      <c r="AD1665">
        <v>4</v>
      </c>
      <c r="AE1665">
        <v>4</v>
      </c>
      <c r="AF1665">
        <v>2</v>
      </c>
      <c r="AG1665">
        <v>3</v>
      </c>
      <c r="AH1665">
        <v>2</v>
      </c>
      <c r="AI1665">
        <v>4</v>
      </c>
      <c r="AJ1665">
        <v>4</v>
      </c>
      <c r="AK1665" t="b">
        <f>Table67[[#This Row],[What is your age?]]&lt;&gt;"18 - 25"</f>
        <v>0</v>
      </c>
      <c r="AL1665" t="b">
        <f t="shared" si="100"/>
        <v>0</v>
      </c>
      <c r="AM1665" t="b">
        <f t="shared" si="101"/>
        <v>0</v>
      </c>
      <c r="AN1665" t="b">
        <f t="shared" si="102"/>
        <v>1</v>
      </c>
      <c r="AO1665" t="b">
        <f>OR(Table67[[#This Row],[Ineligible respondents]:[Inconsistent response on opposite question (3)]])</f>
        <v>1</v>
      </c>
      <c r="AP166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665">
        <f>Table67[[#This Row],[Extreme Response]]/21</f>
        <v>0.23809523809523808</v>
      </c>
      <c r="AR1665">
        <f>_xlfn.PERCENTILE.INC(Table67[Extrem Response Ratio (ERS)],0.9)</f>
        <v>0.61904761904761907</v>
      </c>
      <c r="AS1665" t="b">
        <f>Table67[[#This Row],[Extrem Response Ratio (ERS)]]&gt;=Table67[[#This Row],[Threshold of ERS]]</f>
        <v>0</v>
      </c>
      <c r="AT1665">
        <f>COUNTIF(Table67[[#This Row],[The mechanism of digital assets is difficult to understand, which discourages me from exploring it (E.g, Tokenization, Blockchain)]:[If I want to try different ways to invest, I will explore digital assets.]], 3)</f>
        <v>7</v>
      </c>
      <c r="AU1665">
        <f>Table67[[#This Row],[Midpoint]]/21</f>
        <v>0.33333333333333331</v>
      </c>
      <c r="AV1665">
        <f>_xlfn.PERCENTILE.INC(Table67[Midpoint ratio],0.9)</f>
        <v>0.5714285714285714</v>
      </c>
      <c r="AW1665" t="b">
        <f>Table67[[#This Row],[Midpoint ratio]]&gt;=Table67[[#This Row],[Threshold of Midpoint ratio]]</f>
        <v>0</v>
      </c>
      <c r="AX1665" t="b">
        <f>OR(Table67[[#This Row],[Extreme Response Style]],Table67[[#This Row],[Mid-point Response Style]])</f>
        <v>0</v>
      </c>
      <c r="AY1665" t="b">
        <f>OR(Table67[[#This Row],[Delete? (Stage 1)]],Table67[[#This Row],[Delete? (Stage 2)]])</f>
        <v>1</v>
      </c>
      <c r="AZ1665" t="s">
        <v>84</v>
      </c>
    </row>
    <row r="1666" spans="1:52">
      <c r="A1666">
        <f t="shared" si="103"/>
        <v>1665</v>
      </c>
      <c r="B1666" s="3">
        <v>46065.769097222219</v>
      </c>
      <c r="C1666" s="3">
        <v>46065.77008101852</v>
      </c>
      <c r="D1666" t="s">
        <v>53</v>
      </c>
      <c r="G1666" t="s">
        <v>54</v>
      </c>
      <c r="H1666" t="s">
        <v>63</v>
      </c>
      <c r="I1666" t="s">
        <v>75</v>
      </c>
      <c r="J1666" t="s">
        <v>66</v>
      </c>
      <c r="K1666" t="s">
        <v>66</v>
      </c>
      <c r="L1666" t="s">
        <v>58</v>
      </c>
      <c r="M1666" t="s">
        <v>58</v>
      </c>
      <c r="N1666">
        <v>4</v>
      </c>
      <c r="O1666">
        <v>4</v>
      </c>
      <c r="P1666">
        <v>4</v>
      </c>
      <c r="Q1666">
        <v>3</v>
      </c>
      <c r="R1666">
        <v>4</v>
      </c>
      <c r="S1666">
        <v>3</v>
      </c>
      <c r="T1666">
        <v>3</v>
      </c>
      <c r="U1666">
        <v>3</v>
      </c>
      <c r="V1666">
        <v>2</v>
      </c>
      <c r="W1666">
        <v>2</v>
      </c>
      <c r="X1666">
        <v>3</v>
      </c>
      <c r="Y1666">
        <v>2</v>
      </c>
      <c r="Z1666">
        <v>3</v>
      </c>
      <c r="AA1666">
        <v>3</v>
      </c>
      <c r="AB1666">
        <v>3</v>
      </c>
      <c r="AC1666">
        <v>3</v>
      </c>
      <c r="AD1666">
        <v>4</v>
      </c>
      <c r="AE1666">
        <v>3</v>
      </c>
      <c r="AF1666">
        <v>3</v>
      </c>
      <c r="AG1666">
        <v>4</v>
      </c>
      <c r="AH1666">
        <v>1</v>
      </c>
      <c r="AI1666">
        <v>5</v>
      </c>
      <c r="AJ1666">
        <v>3</v>
      </c>
      <c r="AK1666" t="b">
        <f>Table67[[#This Row],[What is your age?]]&lt;&gt;"18 - 25"</f>
        <v>0</v>
      </c>
      <c r="AL1666" t="b">
        <f t="shared" si="100"/>
        <v>0</v>
      </c>
      <c r="AM1666" t="b">
        <f t="shared" si="101"/>
        <v>0</v>
      </c>
      <c r="AN1666" t="b">
        <f t="shared" si="102"/>
        <v>0</v>
      </c>
      <c r="AO1666" t="b">
        <f>OR(Table67[[#This Row],[Ineligible respondents]:[Inconsistent response on opposite question (3)]])</f>
        <v>0</v>
      </c>
      <c r="AP166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666">
        <f>Table67[[#This Row],[Extreme Response]]/21</f>
        <v>4.7619047619047616E-2</v>
      </c>
      <c r="AR1666">
        <f>_xlfn.PERCENTILE.INC(Table67[Extrem Response Ratio (ERS)],0.9)</f>
        <v>0.61904761904761907</v>
      </c>
      <c r="AS1666" t="b">
        <f>Table67[[#This Row],[Extrem Response Ratio (ERS)]]&gt;=Table67[[#This Row],[Threshold of ERS]]</f>
        <v>0</v>
      </c>
      <c r="AT1666">
        <f>COUNTIF(Table67[[#This Row],[The mechanism of digital assets is difficult to understand, which discourages me from exploring it (E.g, Tokenization, Blockchain)]:[If I want to try different ways to invest, I will explore digital assets.]], 3)</f>
        <v>11</v>
      </c>
      <c r="AU1666">
        <f>Table67[[#This Row],[Midpoint]]/21</f>
        <v>0.52380952380952384</v>
      </c>
      <c r="AV1666">
        <f>_xlfn.PERCENTILE.INC(Table67[Midpoint ratio],0.9)</f>
        <v>0.5714285714285714</v>
      </c>
      <c r="AW1666" t="b">
        <f>Table67[[#This Row],[Midpoint ratio]]&gt;=Table67[[#This Row],[Threshold of Midpoint ratio]]</f>
        <v>0</v>
      </c>
      <c r="AX1666" t="b">
        <f>OR(Table67[[#This Row],[Extreme Response Style]],Table67[[#This Row],[Mid-point Response Style]])</f>
        <v>0</v>
      </c>
      <c r="AY1666" t="b">
        <f>OR(Table67[[#This Row],[Delete? (Stage 1)]],Table67[[#This Row],[Delete? (Stage 2)]])</f>
        <v>0</v>
      </c>
      <c r="AZ1666" t="s">
        <v>84</v>
      </c>
    </row>
    <row r="1667" spans="1:52">
      <c r="A1667">
        <f t="shared" si="103"/>
        <v>1666</v>
      </c>
      <c r="B1667" s="3">
        <v>46065.870069444441</v>
      </c>
      <c r="C1667" s="3">
        <v>46065.875115740739</v>
      </c>
      <c r="D1667" t="s">
        <v>53</v>
      </c>
      <c r="G1667" t="s">
        <v>54</v>
      </c>
      <c r="H1667" t="s">
        <v>55</v>
      </c>
      <c r="I1667" t="s">
        <v>56</v>
      </c>
      <c r="J1667" t="s">
        <v>62</v>
      </c>
      <c r="K1667" t="s">
        <v>62</v>
      </c>
      <c r="L1667" t="s">
        <v>61</v>
      </c>
      <c r="M1667" t="s">
        <v>58</v>
      </c>
      <c r="N1667">
        <v>4</v>
      </c>
      <c r="O1667">
        <v>3</v>
      </c>
      <c r="P1667">
        <v>5</v>
      </c>
      <c r="Q1667">
        <v>4</v>
      </c>
      <c r="R1667">
        <v>3</v>
      </c>
      <c r="S1667">
        <v>3</v>
      </c>
      <c r="T1667">
        <v>4</v>
      </c>
      <c r="U1667">
        <v>5</v>
      </c>
      <c r="V1667">
        <v>3</v>
      </c>
      <c r="W1667">
        <v>4</v>
      </c>
      <c r="X1667">
        <v>3</v>
      </c>
      <c r="Y1667">
        <v>3</v>
      </c>
      <c r="Z1667">
        <v>3</v>
      </c>
      <c r="AA1667">
        <v>3</v>
      </c>
      <c r="AB1667">
        <v>3</v>
      </c>
      <c r="AC1667">
        <v>5</v>
      </c>
      <c r="AD1667">
        <v>3</v>
      </c>
      <c r="AE1667">
        <v>4</v>
      </c>
      <c r="AF1667">
        <v>4</v>
      </c>
      <c r="AG1667">
        <v>2</v>
      </c>
      <c r="AH1667">
        <v>5</v>
      </c>
      <c r="AI1667">
        <v>1</v>
      </c>
      <c r="AJ1667">
        <v>2</v>
      </c>
      <c r="AK1667" t="b">
        <f>Table67[[#This Row],[What is your age?]]&lt;&gt;"18 - 25"</f>
        <v>0</v>
      </c>
      <c r="AL1667" t="b">
        <f t="shared" ref="AL1667:AL1690" si="104">COUNTIF(N1667:AH1667, N1667) = COLUMNS(N1667:AH1667)</f>
        <v>0</v>
      </c>
      <c r="AM1667" t="b">
        <f t="shared" ref="AM1667:AM1690" si="105">OR(AND(AG1667=AH1667, AG1667&lt;&gt;3), AND(OR(AG1667=1, AG1667=2), OR(AH1667=1, AH1667=2)), AND(OR(AG1667=4, AG1667=5), OR(AH1667=4, AH1667=5)))</f>
        <v>0</v>
      </c>
      <c r="AN1667" t="b">
        <f t="shared" ref="AN1667:AN1690" si="106">OR(AND(AG1667=3, AH1667&lt;&gt;3), AND(AH1667=3, AG1667&lt;&gt;3))</f>
        <v>0</v>
      </c>
      <c r="AO1667" t="b">
        <f>OR(Table67[[#This Row],[Ineligible respondents]:[Inconsistent response on opposite question (3)]])</f>
        <v>0</v>
      </c>
      <c r="AP166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667">
        <f>Table67[[#This Row],[Extreme Response]]/21</f>
        <v>0.19047619047619047</v>
      </c>
      <c r="AR1667">
        <f>_xlfn.PERCENTILE.INC(Table67[Extrem Response Ratio (ERS)],0.9)</f>
        <v>0.61904761904761907</v>
      </c>
      <c r="AS1667" t="b">
        <f>Table67[[#This Row],[Extrem Response Ratio (ERS)]]&gt;=Table67[[#This Row],[Threshold of ERS]]</f>
        <v>0</v>
      </c>
      <c r="AT1667">
        <f>COUNTIF(Table67[[#This Row],[The mechanism of digital assets is difficult to understand, which discourages me from exploring it (E.g, Tokenization, Blockchain)]:[If I want to try different ways to invest, I will explore digital assets.]], 3)</f>
        <v>10</v>
      </c>
      <c r="AU1667">
        <f>Table67[[#This Row],[Midpoint]]/21</f>
        <v>0.47619047619047616</v>
      </c>
      <c r="AV1667">
        <f>_xlfn.PERCENTILE.INC(Table67[Midpoint ratio],0.9)</f>
        <v>0.5714285714285714</v>
      </c>
      <c r="AW1667" t="b">
        <f>Table67[[#This Row],[Midpoint ratio]]&gt;=Table67[[#This Row],[Threshold of Midpoint ratio]]</f>
        <v>0</v>
      </c>
      <c r="AX1667" t="b">
        <f>OR(Table67[[#This Row],[Extreme Response Style]],Table67[[#This Row],[Mid-point Response Style]])</f>
        <v>0</v>
      </c>
      <c r="AY1667" t="b">
        <f>OR(Table67[[#This Row],[Delete? (Stage 1)]],Table67[[#This Row],[Delete? (Stage 2)]])</f>
        <v>0</v>
      </c>
      <c r="AZ1667" t="s">
        <v>84</v>
      </c>
    </row>
    <row r="1668" spans="1:52">
      <c r="A1668">
        <f t="shared" ref="A1668:A1690" si="107">1+A1667</f>
        <v>1667</v>
      </c>
      <c r="B1668" s="3">
        <v>46062.025127314817</v>
      </c>
      <c r="C1668" s="3">
        <v>46062.031111111108</v>
      </c>
      <c r="D1668" t="s">
        <v>53</v>
      </c>
      <c r="G1668" t="s">
        <v>54</v>
      </c>
      <c r="H1668" t="s">
        <v>55</v>
      </c>
      <c r="I1668" t="s">
        <v>56</v>
      </c>
      <c r="J1668" t="s">
        <v>62</v>
      </c>
      <c r="K1668" t="s">
        <v>57</v>
      </c>
      <c r="L1668" t="s">
        <v>58</v>
      </c>
      <c r="M1668" t="s">
        <v>58</v>
      </c>
      <c r="N1668">
        <v>5</v>
      </c>
      <c r="O1668">
        <v>5</v>
      </c>
      <c r="P1668">
        <v>5</v>
      </c>
      <c r="Q1668">
        <v>5</v>
      </c>
      <c r="R1668">
        <v>5</v>
      </c>
      <c r="S1668">
        <v>5</v>
      </c>
      <c r="T1668">
        <v>1</v>
      </c>
      <c r="U1668">
        <v>5</v>
      </c>
      <c r="V1668">
        <v>5</v>
      </c>
      <c r="W1668">
        <v>5</v>
      </c>
      <c r="X1668">
        <v>4</v>
      </c>
      <c r="Y1668">
        <v>5</v>
      </c>
      <c r="Z1668">
        <v>5</v>
      </c>
      <c r="AA1668">
        <v>5</v>
      </c>
      <c r="AB1668">
        <v>3</v>
      </c>
      <c r="AC1668">
        <v>1</v>
      </c>
      <c r="AD1668">
        <v>5</v>
      </c>
      <c r="AE1668">
        <v>1</v>
      </c>
      <c r="AF1668">
        <v>1</v>
      </c>
      <c r="AG1668">
        <v>5</v>
      </c>
      <c r="AH1668">
        <v>1</v>
      </c>
      <c r="AI1668">
        <v>5</v>
      </c>
      <c r="AJ1668">
        <v>5</v>
      </c>
      <c r="AK1668" t="b">
        <f>Table67[[#This Row],[What is your age?]]&lt;&gt;"18 - 25"</f>
        <v>0</v>
      </c>
      <c r="AL1668" t="b">
        <f t="shared" si="104"/>
        <v>0</v>
      </c>
      <c r="AM1668" t="b">
        <f t="shared" si="105"/>
        <v>0</v>
      </c>
      <c r="AN1668" t="b">
        <f t="shared" si="106"/>
        <v>0</v>
      </c>
      <c r="AO1668" t="b">
        <f>OR(Table67[[#This Row],[Ineligible respondents]:[Inconsistent response on opposite question (3)]])</f>
        <v>0</v>
      </c>
      <c r="AP166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19</v>
      </c>
      <c r="AQ1668">
        <f>Table67[[#This Row],[Extreme Response]]/21</f>
        <v>0.90476190476190477</v>
      </c>
      <c r="AR1668">
        <f>_xlfn.PERCENTILE.INC(Table67[Extrem Response Ratio (ERS)],0.9)</f>
        <v>0.61904761904761907</v>
      </c>
      <c r="AS1668" t="b">
        <f>Table67[[#This Row],[Extrem Response Ratio (ERS)]]&gt;=Table67[[#This Row],[Threshold of ERS]]</f>
        <v>1</v>
      </c>
      <c r="AT1668">
        <f>COUNTIF(Table67[[#This Row],[The mechanism of digital assets is difficult to understand, which discourages me from exploring it (E.g, Tokenization, Blockchain)]:[If I want to try different ways to invest, I will explore digital assets.]], 3)</f>
        <v>1</v>
      </c>
      <c r="AU1668">
        <f>Table67[[#This Row],[Midpoint]]/21</f>
        <v>4.7619047619047616E-2</v>
      </c>
      <c r="AV1668">
        <f>_xlfn.PERCENTILE.INC(Table67[Midpoint ratio],0.9)</f>
        <v>0.5714285714285714</v>
      </c>
      <c r="AW1668" t="b">
        <f>Table67[[#This Row],[Midpoint ratio]]&gt;=Table67[[#This Row],[Threshold of Midpoint ratio]]</f>
        <v>0</v>
      </c>
      <c r="AX1668" t="b">
        <f>OR(Table67[[#This Row],[Extreme Response Style]],Table67[[#This Row],[Mid-point Response Style]])</f>
        <v>1</v>
      </c>
      <c r="AY1668" t="b">
        <f>OR(Table67[[#This Row],[Delete? (Stage 1)]],Table67[[#This Row],[Delete? (Stage 2)]])</f>
        <v>1</v>
      </c>
      <c r="AZ1668" t="s">
        <v>84</v>
      </c>
    </row>
    <row r="1669" spans="1:52">
      <c r="A1669">
        <f t="shared" si="107"/>
        <v>1668</v>
      </c>
      <c r="B1669" s="3">
        <v>46062.049479166664</v>
      </c>
      <c r="C1669" s="3">
        <v>46062.049525462964</v>
      </c>
      <c r="D1669" t="s">
        <v>53</v>
      </c>
      <c r="G1669" t="s">
        <v>54</v>
      </c>
      <c r="H1669" t="s">
        <v>55</v>
      </c>
      <c r="I1669" t="s">
        <v>69</v>
      </c>
      <c r="J1669" t="s">
        <v>57</v>
      </c>
      <c r="K1669" t="s">
        <v>57</v>
      </c>
      <c r="L1669" t="s">
        <v>58</v>
      </c>
      <c r="M1669" t="s">
        <v>58</v>
      </c>
      <c r="N1669">
        <v>4</v>
      </c>
      <c r="O1669">
        <v>1</v>
      </c>
      <c r="P1669">
        <v>1</v>
      </c>
      <c r="Q1669">
        <v>3</v>
      </c>
      <c r="R1669">
        <v>1</v>
      </c>
      <c r="S1669">
        <v>1</v>
      </c>
      <c r="T1669">
        <v>2</v>
      </c>
      <c r="U1669">
        <v>4</v>
      </c>
      <c r="V1669">
        <v>5</v>
      </c>
      <c r="W1669">
        <v>3</v>
      </c>
      <c r="X1669">
        <v>1</v>
      </c>
      <c r="Y1669">
        <v>3</v>
      </c>
      <c r="Z1669">
        <v>5</v>
      </c>
      <c r="AA1669">
        <v>2</v>
      </c>
      <c r="AB1669">
        <v>1</v>
      </c>
      <c r="AC1669">
        <v>1</v>
      </c>
      <c r="AD1669">
        <v>4</v>
      </c>
      <c r="AE1669">
        <v>5</v>
      </c>
      <c r="AF1669">
        <v>1</v>
      </c>
      <c r="AG1669">
        <v>3</v>
      </c>
      <c r="AH1669">
        <v>4</v>
      </c>
      <c r="AI1669">
        <v>2</v>
      </c>
      <c r="AJ1669">
        <v>5</v>
      </c>
      <c r="AK1669" t="b">
        <f>Table67[[#This Row],[What is your age?]]&lt;&gt;"18 - 25"</f>
        <v>0</v>
      </c>
      <c r="AL1669" t="b">
        <f t="shared" si="104"/>
        <v>0</v>
      </c>
      <c r="AM1669" t="b">
        <f t="shared" si="105"/>
        <v>0</v>
      </c>
      <c r="AN1669" t="b">
        <f t="shared" si="106"/>
        <v>1</v>
      </c>
      <c r="AO1669" t="b">
        <f>OR(Table67[[#This Row],[Ineligible respondents]:[Inconsistent response on opposite question (3)]])</f>
        <v>1</v>
      </c>
      <c r="AP166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11</v>
      </c>
      <c r="AQ1669">
        <f>Table67[[#This Row],[Extreme Response]]/21</f>
        <v>0.52380952380952384</v>
      </c>
      <c r="AR1669">
        <f>_xlfn.PERCENTILE.INC(Table67[Extrem Response Ratio (ERS)],0.9)</f>
        <v>0.61904761904761907</v>
      </c>
      <c r="AS1669" t="b">
        <f>Table67[[#This Row],[Extrem Response Ratio (ERS)]]&gt;=Table67[[#This Row],[Threshold of ERS]]</f>
        <v>0</v>
      </c>
      <c r="AT1669">
        <f>COUNTIF(Table67[[#This Row],[The mechanism of digital assets is difficult to understand, which discourages me from exploring it (E.g, Tokenization, Blockchain)]:[If I want to try different ways to invest, I will explore digital assets.]], 3)</f>
        <v>4</v>
      </c>
      <c r="AU1669">
        <f>Table67[[#This Row],[Midpoint]]/21</f>
        <v>0.19047619047619047</v>
      </c>
      <c r="AV1669">
        <f>_xlfn.PERCENTILE.INC(Table67[Midpoint ratio],0.9)</f>
        <v>0.5714285714285714</v>
      </c>
      <c r="AW1669" t="b">
        <f>Table67[[#This Row],[Midpoint ratio]]&gt;=Table67[[#This Row],[Threshold of Midpoint ratio]]</f>
        <v>0</v>
      </c>
      <c r="AX1669" t="b">
        <f>OR(Table67[[#This Row],[Extreme Response Style]],Table67[[#This Row],[Mid-point Response Style]])</f>
        <v>0</v>
      </c>
      <c r="AY1669" t="b">
        <f>OR(Table67[[#This Row],[Delete? (Stage 1)]],Table67[[#This Row],[Delete? (Stage 2)]])</f>
        <v>1</v>
      </c>
      <c r="AZ1669" t="s">
        <v>84</v>
      </c>
    </row>
    <row r="1670" spans="1:52">
      <c r="A1670">
        <f t="shared" si="107"/>
        <v>1669</v>
      </c>
      <c r="B1670" s="3">
        <v>46062.038356481484</v>
      </c>
      <c r="C1670" s="3">
        <v>46062.040590277778</v>
      </c>
      <c r="D1670" t="s">
        <v>53</v>
      </c>
      <c r="G1670" t="s">
        <v>54</v>
      </c>
      <c r="H1670" t="s">
        <v>63</v>
      </c>
      <c r="I1670" t="s">
        <v>75</v>
      </c>
      <c r="J1670" t="s">
        <v>64</v>
      </c>
      <c r="K1670" t="s">
        <v>60</v>
      </c>
      <c r="L1670" t="s">
        <v>61</v>
      </c>
      <c r="M1670" t="s">
        <v>58</v>
      </c>
      <c r="N1670">
        <v>4</v>
      </c>
      <c r="O1670">
        <v>5</v>
      </c>
      <c r="P1670">
        <v>3</v>
      </c>
      <c r="Q1670">
        <v>4</v>
      </c>
      <c r="R1670">
        <v>4</v>
      </c>
      <c r="S1670">
        <v>5</v>
      </c>
      <c r="T1670">
        <v>3</v>
      </c>
      <c r="U1670">
        <v>4</v>
      </c>
      <c r="V1670">
        <v>4</v>
      </c>
      <c r="W1670">
        <v>5</v>
      </c>
      <c r="X1670">
        <v>3</v>
      </c>
      <c r="Y1670">
        <v>4</v>
      </c>
      <c r="Z1670">
        <v>3</v>
      </c>
      <c r="AA1670">
        <v>5</v>
      </c>
      <c r="AB1670">
        <v>3</v>
      </c>
      <c r="AC1670">
        <v>4</v>
      </c>
      <c r="AD1670">
        <v>3</v>
      </c>
      <c r="AE1670">
        <v>4</v>
      </c>
      <c r="AF1670">
        <v>5</v>
      </c>
      <c r="AG1670">
        <v>3</v>
      </c>
      <c r="AH1670">
        <v>4</v>
      </c>
      <c r="AI1670">
        <v>2</v>
      </c>
      <c r="AJ1670">
        <v>1</v>
      </c>
      <c r="AK1670" t="b">
        <f>Table67[[#This Row],[What is your age?]]&lt;&gt;"18 - 25"</f>
        <v>0</v>
      </c>
      <c r="AL1670" t="b">
        <f t="shared" si="104"/>
        <v>0</v>
      </c>
      <c r="AM1670" t="b">
        <f t="shared" si="105"/>
        <v>0</v>
      </c>
      <c r="AN1670" t="b">
        <f t="shared" si="106"/>
        <v>1</v>
      </c>
      <c r="AO1670" t="b">
        <f>OR(Table67[[#This Row],[Ineligible respondents]:[Inconsistent response on opposite question (3)]])</f>
        <v>1</v>
      </c>
      <c r="AP167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670">
        <f>Table67[[#This Row],[Extreme Response]]/21</f>
        <v>0.23809523809523808</v>
      </c>
      <c r="AR1670">
        <f>_xlfn.PERCENTILE.INC(Table67[Extrem Response Ratio (ERS)],0.9)</f>
        <v>0.61904761904761907</v>
      </c>
      <c r="AS1670" t="b">
        <f>Table67[[#This Row],[Extrem Response Ratio (ERS)]]&gt;=Table67[[#This Row],[Threshold of ERS]]</f>
        <v>0</v>
      </c>
      <c r="AT1670">
        <f>COUNTIF(Table67[[#This Row],[The mechanism of digital assets is difficult to understand, which discourages me from exploring it (E.g, Tokenization, Blockchain)]:[If I want to try different ways to invest, I will explore digital assets.]], 3)</f>
        <v>7</v>
      </c>
      <c r="AU1670">
        <f>Table67[[#This Row],[Midpoint]]/21</f>
        <v>0.33333333333333331</v>
      </c>
      <c r="AV1670">
        <f>_xlfn.PERCENTILE.INC(Table67[Midpoint ratio],0.9)</f>
        <v>0.5714285714285714</v>
      </c>
      <c r="AW1670" t="b">
        <f>Table67[[#This Row],[Midpoint ratio]]&gt;=Table67[[#This Row],[Threshold of Midpoint ratio]]</f>
        <v>0</v>
      </c>
      <c r="AX1670" t="b">
        <f>OR(Table67[[#This Row],[Extreme Response Style]],Table67[[#This Row],[Mid-point Response Style]])</f>
        <v>0</v>
      </c>
      <c r="AY1670" t="b">
        <f>OR(Table67[[#This Row],[Delete? (Stage 1)]],Table67[[#This Row],[Delete? (Stage 2)]])</f>
        <v>1</v>
      </c>
      <c r="AZ1670" t="s">
        <v>84</v>
      </c>
    </row>
    <row r="1671" spans="1:52">
      <c r="A1671">
        <f t="shared" si="107"/>
        <v>1670</v>
      </c>
      <c r="B1671" s="3">
        <v>46065.703553240739</v>
      </c>
      <c r="C1671" s="3">
        <v>46065.703831018516</v>
      </c>
      <c r="D1671" t="s">
        <v>53</v>
      </c>
      <c r="G1671" t="s">
        <v>54</v>
      </c>
      <c r="H1671" t="s">
        <v>63</v>
      </c>
      <c r="I1671" t="s">
        <v>56</v>
      </c>
      <c r="J1671" t="s">
        <v>67</v>
      </c>
      <c r="K1671" t="s">
        <v>62</v>
      </c>
      <c r="L1671" t="s">
        <v>58</v>
      </c>
      <c r="M1671" t="s">
        <v>58</v>
      </c>
      <c r="N1671">
        <v>5</v>
      </c>
      <c r="O1671">
        <v>3</v>
      </c>
      <c r="P1671">
        <v>4</v>
      </c>
      <c r="Q1671">
        <v>4</v>
      </c>
      <c r="R1671">
        <v>4</v>
      </c>
      <c r="S1671">
        <v>2</v>
      </c>
      <c r="T1671">
        <v>3</v>
      </c>
      <c r="U1671">
        <v>3</v>
      </c>
      <c r="V1671">
        <v>4</v>
      </c>
      <c r="W1671">
        <v>4</v>
      </c>
      <c r="X1671">
        <v>3</v>
      </c>
      <c r="Y1671">
        <v>3</v>
      </c>
      <c r="Z1671">
        <v>4</v>
      </c>
      <c r="AA1671">
        <v>3</v>
      </c>
      <c r="AB1671">
        <v>3</v>
      </c>
      <c r="AC1671">
        <v>4</v>
      </c>
      <c r="AD1671">
        <v>3</v>
      </c>
      <c r="AE1671">
        <v>4</v>
      </c>
      <c r="AF1671">
        <v>4</v>
      </c>
      <c r="AG1671">
        <v>2</v>
      </c>
      <c r="AH1671">
        <v>4</v>
      </c>
      <c r="AI1671">
        <v>2</v>
      </c>
      <c r="AJ1671">
        <v>2</v>
      </c>
      <c r="AK1671" t="b">
        <f>Table67[[#This Row],[What is your age?]]&lt;&gt;"18 - 25"</f>
        <v>0</v>
      </c>
      <c r="AL1671" t="b">
        <f t="shared" si="104"/>
        <v>0</v>
      </c>
      <c r="AM1671" t="b">
        <f t="shared" si="105"/>
        <v>0</v>
      </c>
      <c r="AN1671" t="b">
        <f t="shared" si="106"/>
        <v>0</v>
      </c>
      <c r="AO1671" t="b">
        <f>OR(Table67[[#This Row],[Ineligible respondents]:[Inconsistent response on opposite question (3)]])</f>
        <v>0</v>
      </c>
      <c r="AP167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671">
        <f>Table67[[#This Row],[Extreme Response]]/21</f>
        <v>4.7619047619047616E-2</v>
      </c>
      <c r="AR1671">
        <f>_xlfn.PERCENTILE.INC(Table67[Extrem Response Ratio (ERS)],0.9)</f>
        <v>0.61904761904761907</v>
      </c>
      <c r="AS1671" t="b">
        <f>Table67[[#This Row],[Extrem Response Ratio (ERS)]]&gt;=Table67[[#This Row],[Threshold of ERS]]</f>
        <v>0</v>
      </c>
      <c r="AT1671">
        <f>COUNTIF(Table67[[#This Row],[The mechanism of digital assets is difficult to understand, which discourages me from exploring it (E.g, Tokenization, Blockchain)]:[If I want to try different ways to invest, I will explore digital assets.]], 3)</f>
        <v>8</v>
      </c>
      <c r="AU1671">
        <f>Table67[[#This Row],[Midpoint]]/21</f>
        <v>0.38095238095238093</v>
      </c>
      <c r="AV1671">
        <f>_xlfn.PERCENTILE.INC(Table67[Midpoint ratio],0.9)</f>
        <v>0.5714285714285714</v>
      </c>
      <c r="AW1671" t="b">
        <f>Table67[[#This Row],[Midpoint ratio]]&gt;=Table67[[#This Row],[Threshold of Midpoint ratio]]</f>
        <v>0</v>
      </c>
      <c r="AX1671" t="b">
        <f>OR(Table67[[#This Row],[Extreme Response Style]],Table67[[#This Row],[Mid-point Response Style]])</f>
        <v>0</v>
      </c>
      <c r="AY1671" t="b">
        <f>OR(Table67[[#This Row],[Delete? (Stage 1)]],Table67[[#This Row],[Delete? (Stage 2)]])</f>
        <v>0</v>
      </c>
      <c r="AZ1671" t="s">
        <v>84</v>
      </c>
    </row>
    <row r="1672" spans="1:52">
      <c r="A1672">
        <f t="shared" si="107"/>
        <v>1671</v>
      </c>
      <c r="B1672" s="3">
        <v>46065.890659722223</v>
      </c>
      <c r="C1672" s="3">
        <v>46065.892141203702</v>
      </c>
      <c r="D1672" t="s">
        <v>53</v>
      </c>
      <c r="G1672" t="s">
        <v>54</v>
      </c>
      <c r="H1672" t="s">
        <v>55</v>
      </c>
      <c r="I1672" t="s">
        <v>56</v>
      </c>
      <c r="J1672" t="s">
        <v>65</v>
      </c>
      <c r="K1672" t="s">
        <v>62</v>
      </c>
      <c r="L1672" t="s">
        <v>58</v>
      </c>
      <c r="M1672" t="s">
        <v>58</v>
      </c>
      <c r="N1672">
        <v>3</v>
      </c>
      <c r="O1672">
        <v>2</v>
      </c>
      <c r="P1672">
        <v>3</v>
      </c>
      <c r="Q1672">
        <v>2</v>
      </c>
      <c r="R1672">
        <v>1</v>
      </c>
      <c r="S1672">
        <v>3</v>
      </c>
      <c r="T1672">
        <v>4</v>
      </c>
      <c r="U1672">
        <v>3</v>
      </c>
      <c r="V1672">
        <v>2</v>
      </c>
      <c r="W1672">
        <v>2</v>
      </c>
      <c r="X1672">
        <v>3</v>
      </c>
      <c r="Y1672">
        <v>1</v>
      </c>
      <c r="Z1672">
        <v>4</v>
      </c>
      <c r="AA1672">
        <v>3</v>
      </c>
      <c r="AB1672">
        <v>3</v>
      </c>
      <c r="AC1672">
        <v>2</v>
      </c>
      <c r="AD1672">
        <v>3</v>
      </c>
      <c r="AE1672">
        <v>4</v>
      </c>
      <c r="AF1672">
        <v>4</v>
      </c>
      <c r="AG1672">
        <v>2</v>
      </c>
      <c r="AH1672">
        <v>4</v>
      </c>
      <c r="AI1672">
        <v>2</v>
      </c>
      <c r="AJ1672">
        <v>2</v>
      </c>
      <c r="AK1672" t="b">
        <f>Table67[[#This Row],[What is your age?]]&lt;&gt;"18 - 25"</f>
        <v>0</v>
      </c>
      <c r="AL1672" t="b">
        <f t="shared" si="104"/>
        <v>0</v>
      </c>
      <c r="AM1672" t="b">
        <f t="shared" si="105"/>
        <v>0</v>
      </c>
      <c r="AN1672" t="b">
        <f t="shared" si="106"/>
        <v>0</v>
      </c>
      <c r="AO1672" t="b">
        <f>OR(Table67[[#This Row],[Ineligible respondents]:[Inconsistent response on opposite question (3)]])</f>
        <v>0</v>
      </c>
      <c r="AP167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672">
        <f>Table67[[#This Row],[Extreme Response]]/21</f>
        <v>9.5238095238095233E-2</v>
      </c>
      <c r="AR1672">
        <f>_xlfn.PERCENTILE.INC(Table67[Extrem Response Ratio (ERS)],0.9)</f>
        <v>0.61904761904761907</v>
      </c>
      <c r="AS1672" t="b">
        <f>Table67[[#This Row],[Extrem Response Ratio (ERS)]]&gt;=Table67[[#This Row],[Threshold of ERS]]</f>
        <v>0</v>
      </c>
      <c r="AT1672">
        <f>COUNTIF(Table67[[#This Row],[The mechanism of digital assets is difficult to understand, which discourages me from exploring it (E.g, Tokenization, Blockchain)]:[If I want to try different ways to invest, I will explore digital assets.]], 3)</f>
        <v>8</v>
      </c>
      <c r="AU1672">
        <f>Table67[[#This Row],[Midpoint]]/21</f>
        <v>0.38095238095238093</v>
      </c>
      <c r="AV1672">
        <f>_xlfn.PERCENTILE.INC(Table67[Midpoint ratio],0.9)</f>
        <v>0.5714285714285714</v>
      </c>
      <c r="AW1672" t="b">
        <f>Table67[[#This Row],[Midpoint ratio]]&gt;=Table67[[#This Row],[Threshold of Midpoint ratio]]</f>
        <v>0</v>
      </c>
      <c r="AX1672" t="b">
        <f>OR(Table67[[#This Row],[Extreme Response Style]],Table67[[#This Row],[Mid-point Response Style]])</f>
        <v>0</v>
      </c>
      <c r="AY1672" t="b">
        <f>OR(Table67[[#This Row],[Delete? (Stage 1)]],Table67[[#This Row],[Delete? (Stage 2)]])</f>
        <v>0</v>
      </c>
      <c r="AZ1672" t="s">
        <v>84</v>
      </c>
    </row>
    <row r="1673" spans="1:52">
      <c r="A1673">
        <f t="shared" si="107"/>
        <v>1672</v>
      </c>
      <c r="B1673" s="3">
        <v>46065.875659722224</v>
      </c>
      <c r="C1673" s="3">
        <v>46065.881342592591</v>
      </c>
      <c r="D1673" t="s">
        <v>53</v>
      </c>
      <c r="G1673" t="s">
        <v>54</v>
      </c>
      <c r="H1673" t="s">
        <v>63</v>
      </c>
      <c r="I1673" t="s">
        <v>75</v>
      </c>
      <c r="J1673" t="s">
        <v>62</v>
      </c>
      <c r="K1673" t="s">
        <v>57</v>
      </c>
      <c r="L1673" t="s">
        <v>58</v>
      </c>
      <c r="M1673" t="s">
        <v>58</v>
      </c>
      <c r="N1673">
        <v>3</v>
      </c>
      <c r="O1673">
        <v>4</v>
      </c>
      <c r="P1673">
        <v>4</v>
      </c>
      <c r="Q1673">
        <v>3</v>
      </c>
      <c r="R1673">
        <v>4</v>
      </c>
      <c r="S1673">
        <v>4</v>
      </c>
      <c r="T1673">
        <v>3</v>
      </c>
      <c r="U1673">
        <v>3</v>
      </c>
      <c r="V1673">
        <v>3</v>
      </c>
      <c r="W1673">
        <v>4</v>
      </c>
      <c r="X1673">
        <v>3</v>
      </c>
      <c r="Y1673">
        <v>3</v>
      </c>
      <c r="Z1673">
        <v>3</v>
      </c>
      <c r="AA1673">
        <v>3</v>
      </c>
      <c r="AB1673">
        <v>3</v>
      </c>
      <c r="AC1673">
        <v>4</v>
      </c>
      <c r="AD1673">
        <v>3</v>
      </c>
      <c r="AE1673">
        <v>2</v>
      </c>
      <c r="AF1673">
        <v>3</v>
      </c>
      <c r="AG1673">
        <v>2</v>
      </c>
      <c r="AH1673">
        <v>5</v>
      </c>
      <c r="AI1673">
        <v>1</v>
      </c>
      <c r="AJ1673">
        <v>3</v>
      </c>
      <c r="AK1673" t="b">
        <f>Table67[[#This Row],[What is your age?]]&lt;&gt;"18 - 25"</f>
        <v>0</v>
      </c>
      <c r="AL1673" t="b">
        <f t="shared" si="104"/>
        <v>0</v>
      </c>
      <c r="AM1673" t="b">
        <f t="shared" si="105"/>
        <v>0</v>
      </c>
      <c r="AN1673" t="b">
        <f t="shared" si="106"/>
        <v>0</v>
      </c>
      <c r="AO1673" t="b">
        <f>OR(Table67[[#This Row],[Ineligible respondents]:[Inconsistent response on opposite question (3)]])</f>
        <v>0</v>
      </c>
      <c r="AP167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673">
        <f>Table67[[#This Row],[Extreme Response]]/21</f>
        <v>4.7619047619047616E-2</v>
      </c>
      <c r="AR1673">
        <f>_xlfn.PERCENTILE.INC(Table67[Extrem Response Ratio (ERS)],0.9)</f>
        <v>0.61904761904761907</v>
      </c>
      <c r="AS1673" t="b">
        <f>Table67[[#This Row],[Extrem Response Ratio (ERS)]]&gt;=Table67[[#This Row],[Threshold of ERS]]</f>
        <v>0</v>
      </c>
      <c r="AT1673">
        <f>COUNTIF(Table67[[#This Row],[The mechanism of digital assets is difficult to understand, which discourages me from exploring it (E.g, Tokenization, Blockchain)]:[If I want to try different ways to invest, I will explore digital assets.]], 3)</f>
        <v>12</v>
      </c>
      <c r="AU1673">
        <f>Table67[[#This Row],[Midpoint]]/21</f>
        <v>0.5714285714285714</v>
      </c>
      <c r="AV1673">
        <f>_xlfn.PERCENTILE.INC(Table67[Midpoint ratio],0.9)</f>
        <v>0.5714285714285714</v>
      </c>
      <c r="AW1673" t="b">
        <f>Table67[[#This Row],[Midpoint ratio]]&gt;=Table67[[#This Row],[Threshold of Midpoint ratio]]</f>
        <v>1</v>
      </c>
      <c r="AX1673" t="b">
        <f>OR(Table67[[#This Row],[Extreme Response Style]],Table67[[#This Row],[Mid-point Response Style]])</f>
        <v>1</v>
      </c>
      <c r="AY1673" t="b">
        <f>OR(Table67[[#This Row],[Delete? (Stage 1)]],Table67[[#This Row],[Delete? (Stage 2)]])</f>
        <v>1</v>
      </c>
      <c r="AZ1673" t="s">
        <v>84</v>
      </c>
    </row>
    <row r="1674" spans="1:52">
      <c r="A1674">
        <f t="shared" si="107"/>
        <v>1673</v>
      </c>
      <c r="B1674" s="3">
        <v>46062.037280092591</v>
      </c>
      <c r="C1674" s="3">
        <v>46062.042592592596</v>
      </c>
      <c r="D1674" t="s">
        <v>53</v>
      </c>
      <c r="G1674" t="s">
        <v>54</v>
      </c>
      <c r="H1674" t="s">
        <v>55</v>
      </c>
      <c r="I1674" t="s">
        <v>56</v>
      </c>
      <c r="J1674" t="s">
        <v>62</v>
      </c>
      <c r="K1674" t="s">
        <v>62</v>
      </c>
      <c r="L1674" t="s">
        <v>61</v>
      </c>
      <c r="M1674" t="s">
        <v>61</v>
      </c>
      <c r="N1674">
        <v>4</v>
      </c>
      <c r="O1674">
        <v>4</v>
      </c>
      <c r="P1674">
        <v>4</v>
      </c>
      <c r="Q1674">
        <v>2</v>
      </c>
      <c r="R1674">
        <v>5</v>
      </c>
      <c r="S1674">
        <v>2</v>
      </c>
      <c r="T1674">
        <v>3</v>
      </c>
      <c r="U1674">
        <v>4</v>
      </c>
      <c r="V1674">
        <v>3</v>
      </c>
      <c r="W1674">
        <v>1</v>
      </c>
      <c r="X1674">
        <v>2</v>
      </c>
      <c r="Y1674">
        <v>4</v>
      </c>
      <c r="Z1674">
        <v>2</v>
      </c>
      <c r="AA1674">
        <v>4</v>
      </c>
      <c r="AB1674">
        <v>2</v>
      </c>
      <c r="AC1674">
        <v>3</v>
      </c>
      <c r="AD1674">
        <v>3</v>
      </c>
      <c r="AE1674">
        <v>4</v>
      </c>
      <c r="AF1674">
        <v>3</v>
      </c>
      <c r="AG1674">
        <v>4</v>
      </c>
      <c r="AH1674">
        <v>4</v>
      </c>
      <c r="AI1674">
        <v>2</v>
      </c>
      <c r="AJ1674">
        <v>3</v>
      </c>
      <c r="AK1674" t="b">
        <f>Table67[[#This Row],[What is your age?]]&lt;&gt;"18 - 25"</f>
        <v>0</v>
      </c>
      <c r="AL1674" t="b">
        <f t="shared" si="104"/>
        <v>0</v>
      </c>
      <c r="AM1674" t="b">
        <f t="shared" si="105"/>
        <v>1</v>
      </c>
      <c r="AN1674" t="b">
        <f t="shared" si="106"/>
        <v>0</v>
      </c>
      <c r="AO1674" t="b">
        <f>OR(Table67[[#This Row],[Ineligible respondents]:[Inconsistent response on opposite question (3)]])</f>
        <v>1</v>
      </c>
      <c r="AP167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674">
        <f>Table67[[#This Row],[Extreme Response]]/21</f>
        <v>9.5238095238095233E-2</v>
      </c>
      <c r="AR1674">
        <f>_xlfn.PERCENTILE.INC(Table67[Extrem Response Ratio (ERS)],0.9)</f>
        <v>0.61904761904761907</v>
      </c>
      <c r="AS1674" t="b">
        <f>Table67[[#This Row],[Extrem Response Ratio (ERS)]]&gt;=Table67[[#This Row],[Threshold of ERS]]</f>
        <v>0</v>
      </c>
      <c r="AT1674">
        <f>COUNTIF(Table67[[#This Row],[The mechanism of digital assets is difficult to understand, which discourages me from exploring it (E.g, Tokenization, Blockchain)]:[If I want to try different ways to invest, I will explore digital assets.]], 3)</f>
        <v>5</v>
      </c>
      <c r="AU1674">
        <f>Table67[[#This Row],[Midpoint]]/21</f>
        <v>0.23809523809523808</v>
      </c>
      <c r="AV1674">
        <f>_xlfn.PERCENTILE.INC(Table67[Midpoint ratio],0.9)</f>
        <v>0.5714285714285714</v>
      </c>
      <c r="AW1674" t="b">
        <f>Table67[[#This Row],[Midpoint ratio]]&gt;=Table67[[#This Row],[Threshold of Midpoint ratio]]</f>
        <v>0</v>
      </c>
      <c r="AX1674" t="b">
        <f>OR(Table67[[#This Row],[Extreme Response Style]],Table67[[#This Row],[Mid-point Response Style]])</f>
        <v>0</v>
      </c>
      <c r="AY1674" t="b">
        <f>OR(Table67[[#This Row],[Delete? (Stage 1)]],Table67[[#This Row],[Delete? (Stage 2)]])</f>
        <v>1</v>
      </c>
      <c r="AZ1674" t="s">
        <v>84</v>
      </c>
    </row>
    <row r="1675" spans="1:52">
      <c r="A1675">
        <f t="shared" si="107"/>
        <v>1674</v>
      </c>
      <c r="B1675" s="3">
        <v>46065.769016203703</v>
      </c>
      <c r="C1675" s="3">
        <v>46065.769560185188</v>
      </c>
      <c r="D1675" t="s">
        <v>53</v>
      </c>
      <c r="G1675" t="s">
        <v>73</v>
      </c>
      <c r="H1675" t="s">
        <v>55</v>
      </c>
      <c r="I1675" t="s">
        <v>56</v>
      </c>
      <c r="J1675" t="s">
        <v>62</v>
      </c>
      <c r="K1675" t="s">
        <v>62</v>
      </c>
      <c r="L1675" t="s">
        <v>61</v>
      </c>
      <c r="M1675" t="s">
        <v>61</v>
      </c>
      <c r="N1675">
        <v>2</v>
      </c>
      <c r="O1675">
        <v>3</v>
      </c>
      <c r="P1675">
        <v>2</v>
      </c>
      <c r="Q1675">
        <v>2</v>
      </c>
      <c r="R1675">
        <v>2</v>
      </c>
      <c r="S1675">
        <v>2</v>
      </c>
      <c r="T1675">
        <v>3</v>
      </c>
      <c r="U1675">
        <v>1</v>
      </c>
      <c r="V1675">
        <v>2</v>
      </c>
      <c r="W1675">
        <v>2</v>
      </c>
      <c r="X1675">
        <v>2</v>
      </c>
      <c r="Y1675">
        <v>2</v>
      </c>
      <c r="Z1675">
        <v>1</v>
      </c>
      <c r="AA1675">
        <v>2</v>
      </c>
      <c r="AB1675">
        <v>2</v>
      </c>
      <c r="AC1675">
        <v>1</v>
      </c>
      <c r="AD1675">
        <v>2</v>
      </c>
      <c r="AE1675">
        <v>2</v>
      </c>
      <c r="AF1675">
        <v>5</v>
      </c>
      <c r="AG1675">
        <v>1</v>
      </c>
      <c r="AH1675">
        <v>4</v>
      </c>
      <c r="AI1675">
        <v>2</v>
      </c>
      <c r="AJ1675">
        <v>1</v>
      </c>
      <c r="AK1675" t="b">
        <f>Table67[[#This Row],[What is your age?]]&lt;&gt;"18 - 25"</f>
        <v>1</v>
      </c>
      <c r="AL1675" t="b">
        <f t="shared" si="104"/>
        <v>0</v>
      </c>
      <c r="AM1675" t="b">
        <f t="shared" si="105"/>
        <v>0</v>
      </c>
      <c r="AN1675" t="b">
        <f t="shared" si="106"/>
        <v>0</v>
      </c>
      <c r="AO1675" t="b">
        <f>OR(Table67[[#This Row],[Ineligible respondents]:[Inconsistent response on opposite question (3)]])</f>
        <v>1</v>
      </c>
      <c r="AP167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675">
        <f>Table67[[#This Row],[Extreme Response]]/21</f>
        <v>0.23809523809523808</v>
      </c>
      <c r="AR1675">
        <f>_xlfn.PERCENTILE.INC(Table67[Extrem Response Ratio (ERS)],0.9)</f>
        <v>0.61904761904761907</v>
      </c>
      <c r="AS1675" t="b">
        <f>Table67[[#This Row],[Extrem Response Ratio (ERS)]]&gt;=Table67[[#This Row],[Threshold of ERS]]</f>
        <v>0</v>
      </c>
      <c r="AT1675">
        <f>COUNTIF(Table67[[#This Row],[The mechanism of digital assets is difficult to understand, which discourages me from exploring it (E.g, Tokenization, Blockchain)]:[If I want to try different ways to invest, I will explore digital assets.]], 3)</f>
        <v>2</v>
      </c>
      <c r="AU1675">
        <f>Table67[[#This Row],[Midpoint]]/21</f>
        <v>9.5238095238095233E-2</v>
      </c>
      <c r="AV1675">
        <f>_xlfn.PERCENTILE.INC(Table67[Midpoint ratio],0.9)</f>
        <v>0.5714285714285714</v>
      </c>
      <c r="AW1675" t="b">
        <f>Table67[[#This Row],[Midpoint ratio]]&gt;=Table67[[#This Row],[Threshold of Midpoint ratio]]</f>
        <v>0</v>
      </c>
      <c r="AX1675" t="b">
        <f>OR(Table67[[#This Row],[Extreme Response Style]],Table67[[#This Row],[Mid-point Response Style]])</f>
        <v>0</v>
      </c>
      <c r="AY1675" t="b">
        <f>OR(Table67[[#This Row],[Delete? (Stage 1)]],Table67[[#This Row],[Delete? (Stage 2)]])</f>
        <v>1</v>
      </c>
      <c r="AZ1675" t="s">
        <v>84</v>
      </c>
    </row>
    <row r="1676" spans="1:52">
      <c r="A1676">
        <f t="shared" si="107"/>
        <v>1675</v>
      </c>
      <c r="B1676" s="3">
        <v>46065.832719907405</v>
      </c>
      <c r="C1676" s="3">
        <v>46065.841747685183</v>
      </c>
      <c r="D1676" t="s">
        <v>53</v>
      </c>
      <c r="G1676" t="s">
        <v>54</v>
      </c>
      <c r="H1676" t="s">
        <v>63</v>
      </c>
      <c r="I1676" t="s">
        <v>56</v>
      </c>
      <c r="J1676" t="s">
        <v>62</v>
      </c>
      <c r="K1676" t="s">
        <v>57</v>
      </c>
      <c r="L1676" t="s">
        <v>58</v>
      </c>
      <c r="M1676" t="s">
        <v>58</v>
      </c>
      <c r="N1676">
        <v>2</v>
      </c>
      <c r="O1676">
        <v>3</v>
      </c>
      <c r="P1676">
        <v>3</v>
      </c>
      <c r="Q1676">
        <v>3</v>
      </c>
      <c r="R1676">
        <v>2</v>
      </c>
      <c r="S1676">
        <v>2</v>
      </c>
      <c r="T1676">
        <v>2</v>
      </c>
      <c r="U1676">
        <v>3</v>
      </c>
      <c r="V1676">
        <v>3</v>
      </c>
      <c r="W1676">
        <v>3</v>
      </c>
      <c r="X1676">
        <v>3</v>
      </c>
      <c r="Y1676">
        <v>3</v>
      </c>
      <c r="Z1676">
        <v>3</v>
      </c>
      <c r="AA1676">
        <v>3</v>
      </c>
      <c r="AB1676">
        <v>2</v>
      </c>
      <c r="AC1676">
        <v>3</v>
      </c>
      <c r="AD1676">
        <v>3</v>
      </c>
      <c r="AE1676">
        <v>3</v>
      </c>
      <c r="AF1676">
        <v>3</v>
      </c>
      <c r="AG1676">
        <v>2</v>
      </c>
      <c r="AH1676">
        <v>4</v>
      </c>
      <c r="AI1676">
        <v>2</v>
      </c>
      <c r="AJ1676">
        <v>3</v>
      </c>
      <c r="AK1676" t="b">
        <f>Table67[[#This Row],[What is your age?]]&lt;&gt;"18 - 25"</f>
        <v>0</v>
      </c>
      <c r="AL1676" t="b">
        <f t="shared" si="104"/>
        <v>0</v>
      </c>
      <c r="AM1676" t="b">
        <f t="shared" si="105"/>
        <v>0</v>
      </c>
      <c r="AN1676" t="b">
        <f t="shared" si="106"/>
        <v>0</v>
      </c>
      <c r="AO1676" t="b">
        <f>OR(Table67[[#This Row],[Ineligible respondents]:[Inconsistent response on opposite question (3)]])</f>
        <v>0</v>
      </c>
      <c r="AP167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676">
        <f>Table67[[#This Row],[Extreme Response]]/21</f>
        <v>0</v>
      </c>
      <c r="AR1676">
        <f>_xlfn.PERCENTILE.INC(Table67[Extrem Response Ratio (ERS)],0.9)</f>
        <v>0.61904761904761907</v>
      </c>
      <c r="AS1676" t="b">
        <f>Table67[[#This Row],[Extrem Response Ratio (ERS)]]&gt;=Table67[[#This Row],[Threshold of ERS]]</f>
        <v>0</v>
      </c>
      <c r="AT1676">
        <f>COUNTIF(Table67[[#This Row],[The mechanism of digital assets is difficult to understand, which discourages me from exploring it (E.g, Tokenization, Blockchain)]:[If I want to try different ways to invest, I will explore digital assets.]], 3)</f>
        <v>14</v>
      </c>
      <c r="AU1676">
        <f>Table67[[#This Row],[Midpoint]]/21</f>
        <v>0.66666666666666663</v>
      </c>
      <c r="AV1676">
        <f>_xlfn.PERCENTILE.INC(Table67[Midpoint ratio],0.9)</f>
        <v>0.5714285714285714</v>
      </c>
      <c r="AW1676" t="b">
        <f>Table67[[#This Row],[Midpoint ratio]]&gt;=Table67[[#This Row],[Threshold of Midpoint ratio]]</f>
        <v>1</v>
      </c>
      <c r="AX1676" t="b">
        <f>OR(Table67[[#This Row],[Extreme Response Style]],Table67[[#This Row],[Mid-point Response Style]])</f>
        <v>1</v>
      </c>
      <c r="AY1676" t="b">
        <f>OR(Table67[[#This Row],[Delete? (Stage 1)]],Table67[[#This Row],[Delete? (Stage 2)]])</f>
        <v>1</v>
      </c>
      <c r="AZ1676" t="s">
        <v>84</v>
      </c>
    </row>
    <row r="1677" spans="1:52">
      <c r="A1677">
        <f t="shared" si="107"/>
        <v>1676</v>
      </c>
      <c r="B1677" s="3">
        <v>46065.769155092596</v>
      </c>
      <c r="C1677" s="3">
        <v>46065.770821759259</v>
      </c>
      <c r="D1677" t="s">
        <v>53</v>
      </c>
      <c r="G1677" t="s">
        <v>54</v>
      </c>
      <c r="H1677" t="s">
        <v>55</v>
      </c>
      <c r="I1677" t="s">
        <v>75</v>
      </c>
      <c r="J1677" t="s">
        <v>68</v>
      </c>
      <c r="K1677" t="s">
        <v>62</v>
      </c>
      <c r="L1677" t="s">
        <v>61</v>
      </c>
      <c r="M1677" t="s">
        <v>61</v>
      </c>
      <c r="N1677">
        <v>4</v>
      </c>
      <c r="O1677">
        <v>4</v>
      </c>
      <c r="P1677">
        <v>3</v>
      </c>
      <c r="Q1677">
        <v>2</v>
      </c>
      <c r="R1677">
        <v>4</v>
      </c>
      <c r="S1677">
        <v>3</v>
      </c>
      <c r="T1677">
        <v>3</v>
      </c>
      <c r="U1677">
        <v>3</v>
      </c>
      <c r="V1677">
        <v>4</v>
      </c>
      <c r="W1677">
        <v>4</v>
      </c>
      <c r="X1677">
        <v>3</v>
      </c>
      <c r="Y1677">
        <v>4</v>
      </c>
      <c r="Z1677">
        <v>3</v>
      </c>
      <c r="AA1677">
        <v>4</v>
      </c>
      <c r="AB1677">
        <v>3</v>
      </c>
      <c r="AC1677">
        <v>2</v>
      </c>
      <c r="AD1677">
        <v>3</v>
      </c>
      <c r="AE1677">
        <v>4</v>
      </c>
      <c r="AF1677">
        <v>3</v>
      </c>
      <c r="AG1677">
        <v>2</v>
      </c>
      <c r="AH1677">
        <v>5</v>
      </c>
      <c r="AI1677">
        <v>1</v>
      </c>
      <c r="AJ1677">
        <v>3</v>
      </c>
      <c r="AK1677" t="b">
        <f>Table67[[#This Row],[What is your age?]]&lt;&gt;"18 - 25"</f>
        <v>0</v>
      </c>
      <c r="AL1677" t="b">
        <f t="shared" si="104"/>
        <v>0</v>
      </c>
      <c r="AM1677" t="b">
        <f t="shared" si="105"/>
        <v>0</v>
      </c>
      <c r="AN1677" t="b">
        <f t="shared" si="106"/>
        <v>0</v>
      </c>
      <c r="AO1677" t="b">
        <f>OR(Table67[[#This Row],[Ineligible respondents]:[Inconsistent response on opposite question (3)]])</f>
        <v>0</v>
      </c>
      <c r="AP167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v>
      </c>
      <c r="AQ1677">
        <f>Table67[[#This Row],[Extreme Response]]/21</f>
        <v>4.7619047619047616E-2</v>
      </c>
      <c r="AR1677">
        <f>_xlfn.PERCENTILE.INC(Table67[Extrem Response Ratio (ERS)],0.9)</f>
        <v>0.61904761904761907</v>
      </c>
      <c r="AS1677" t="b">
        <f>Table67[[#This Row],[Extrem Response Ratio (ERS)]]&gt;=Table67[[#This Row],[Threshold of ERS]]</f>
        <v>0</v>
      </c>
      <c r="AT1677">
        <f>COUNTIF(Table67[[#This Row],[The mechanism of digital assets is difficult to understand, which discourages me from exploring it (E.g, Tokenization, Blockchain)]:[If I want to try different ways to invest, I will explore digital assets.]], 3)</f>
        <v>9</v>
      </c>
      <c r="AU1677">
        <f>Table67[[#This Row],[Midpoint]]/21</f>
        <v>0.42857142857142855</v>
      </c>
      <c r="AV1677">
        <f>_xlfn.PERCENTILE.INC(Table67[Midpoint ratio],0.9)</f>
        <v>0.5714285714285714</v>
      </c>
      <c r="AW1677" t="b">
        <f>Table67[[#This Row],[Midpoint ratio]]&gt;=Table67[[#This Row],[Threshold of Midpoint ratio]]</f>
        <v>0</v>
      </c>
      <c r="AX1677" t="b">
        <f>OR(Table67[[#This Row],[Extreme Response Style]],Table67[[#This Row],[Mid-point Response Style]])</f>
        <v>0</v>
      </c>
      <c r="AY1677" t="b">
        <f>OR(Table67[[#This Row],[Delete? (Stage 1)]],Table67[[#This Row],[Delete? (Stage 2)]])</f>
        <v>0</v>
      </c>
      <c r="AZ1677" t="s">
        <v>84</v>
      </c>
    </row>
    <row r="1678" spans="1:52">
      <c r="A1678">
        <f t="shared" si="107"/>
        <v>1677</v>
      </c>
      <c r="B1678" s="3">
        <v>46062.037835648145</v>
      </c>
      <c r="C1678" s="3">
        <v>46062.05</v>
      </c>
      <c r="D1678" t="s">
        <v>53</v>
      </c>
      <c r="G1678" t="s">
        <v>54</v>
      </c>
      <c r="H1678" t="s">
        <v>63</v>
      </c>
      <c r="I1678" t="s">
        <v>56</v>
      </c>
      <c r="J1678" t="s">
        <v>60</v>
      </c>
      <c r="K1678" t="s">
        <v>57</v>
      </c>
      <c r="L1678" t="s">
        <v>58</v>
      </c>
      <c r="M1678" t="s">
        <v>58</v>
      </c>
      <c r="N1678">
        <v>3</v>
      </c>
      <c r="O1678">
        <v>2</v>
      </c>
      <c r="P1678">
        <v>4</v>
      </c>
      <c r="Q1678">
        <v>4</v>
      </c>
      <c r="R1678">
        <v>5</v>
      </c>
      <c r="S1678">
        <v>4</v>
      </c>
      <c r="T1678">
        <v>2</v>
      </c>
      <c r="U1678">
        <v>3</v>
      </c>
      <c r="V1678">
        <v>5</v>
      </c>
      <c r="W1678">
        <v>4</v>
      </c>
      <c r="X1678">
        <v>4</v>
      </c>
      <c r="Y1678">
        <v>3</v>
      </c>
      <c r="Z1678">
        <v>5</v>
      </c>
      <c r="AA1678">
        <v>4</v>
      </c>
      <c r="AB1678">
        <v>3</v>
      </c>
      <c r="AC1678">
        <v>3</v>
      </c>
      <c r="AD1678">
        <v>3</v>
      </c>
      <c r="AE1678">
        <v>3</v>
      </c>
      <c r="AF1678">
        <v>4</v>
      </c>
      <c r="AG1678">
        <v>3</v>
      </c>
      <c r="AH1678">
        <v>4</v>
      </c>
      <c r="AI1678">
        <v>2</v>
      </c>
      <c r="AJ1678">
        <v>2</v>
      </c>
      <c r="AK1678" t="b">
        <f>Table67[[#This Row],[What is your age?]]&lt;&gt;"18 - 25"</f>
        <v>0</v>
      </c>
      <c r="AL1678" t="b">
        <f t="shared" si="104"/>
        <v>0</v>
      </c>
      <c r="AM1678" t="b">
        <f t="shared" si="105"/>
        <v>0</v>
      </c>
      <c r="AN1678" t="b">
        <f t="shared" si="106"/>
        <v>1</v>
      </c>
      <c r="AO1678" t="b">
        <f>OR(Table67[[#This Row],[Ineligible respondents]:[Inconsistent response on opposite question (3)]])</f>
        <v>1</v>
      </c>
      <c r="AP167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678">
        <f>Table67[[#This Row],[Extreme Response]]/21</f>
        <v>0.14285714285714285</v>
      </c>
      <c r="AR1678">
        <f>_xlfn.PERCENTILE.INC(Table67[Extrem Response Ratio (ERS)],0.9)</f>
        <v>0.61904761904761907</v>
      </c>
      <c r="AS1678" t="b">
        <f>Table67[[#This Row],[Extrem Response Ratio (ERS)]]&gt;=Table67[[#This Row],[Threshold of ERS]]</f>
        <v>0</v>
      </c>
      <c r="AT1678">
        <f>COUNTIF(Table67[[#This Row],[The mechanism of digital assets is difficult to understand, which discourages me from exploring it (E.g, Tokenization, Blockchain)]:[If I want to try different ways to invest, I will explore digital assets.]], 3)</f>
        <v>8</v>
      </c>
      <c r="AU1678">
        <f>Table67[[#This Row],[Midpoint]]/21</f>
        <v>0.38095238095238093</v>
      </c>
      <c r="AV1678">
        <f>_xlfn.PERCENTILE.INC(Table67[Midpoint ratio],0.9)</f>
        <v>0.5714285714285714</v>
      </c>
      <c r="AW1678" t="b">
        <f>Table67[[#This Row],[Midpoint ratio]]&gt;=Table67[[#This Row],[Threshold of Midpoint ratio]]</f>
        <v>0</v>
      </c>
      <c r="AX1678" t="b">
        <f>OR(Table67[[#This Row],[Extreme Response Style]],Table67[[#This Row],[Mid-point Response Style]])</f>
        <v>0</v>
      </c>
      <c r="AY1678" t="b">
        <f>OR(Table67[[#This Row],[Delete? (Stage 1)]],Table67[[#This Row],[Delete? (Stage 2)]])</f>
        <v>1</v>
      </c>
      <c r="AZ1678" t="s">
        <v>84</v>
      </c>
    </row>
    <row r="1679" spans="1:52">
      <c r="A1679">
        <f t="shared" si="107"/>
        <v>1678</v>
      </c>
      <c r="B1679" s="3">
        <v>46062.049143518518</v>
      </c>
      <c r="C1679" s="3">
        <v>46062.051921296297</v>
      </c>
      <c r="D1679" t="s">
        <v>53</v>
      </c>
      <c r="G1679" t="s">
        <v>54</v>
      </c>
      <c r="H1679" t="s">
        <v>63</v>
      </c>
      <c r="I1679" t="s">
        <v>56</v>
      </c>
      <c r="J1679" t="s">
        <v>62</v>
      </c>
      <c r="K1679" t="s">
        <v>62</v>
      </c>
      <c r="L1679" t="s">
        <v>58</v>
      </c>
      <c r="M1679" t="s">
        <v>58</v>
      </c>
      <c r="N1679">
        <v>3</v>
      </c>
      <c r="O1679">
        <v>4</v>
      </c>
      <c r="P1679">
        <v>4</v>
      </c>
      <c r="Q1679">
        <v>2</v>
      </c>
      <c r="R1679">
        <v>3</v>
      </c>
      <c r="S1679">
        <v>5</v>
      </c>
      <c r="T1679">
        <v>4</v>
      </c>
      <c r="U1679">
        <v>5</v>
      </c>
      <c r="V1679">
        <v>5</v>
      </c>
      <c r="W1679">
        <v>4</v>
      </c>
      <c r="X1679">
        <v>3</v>
      </c>
      <c r="Y1679">
        <v>3</v>
      </c>
      <c r="Z1679">
        <v>5</v>
      </c>
      <c r="AA1679">
        <v>4</v>
      </c>
      <c r="AB1679">
        <v>2</v>
      </c>
      <c r="AC1679">
        <v>4</v>
      </c>
      <c r="AD1679">
        <v>4</v>
      </c>
      <c r="AE1679">
        <v>2</v>
      </c>
      <c r="AF1679">
        <v>4</v>
      </c>
      <c r="AG1679">
        <v>3</v>
      </c>
      <c r="AH1679">
        <v>4</v>
      </c>
      <c r="AI1679">
        <v>2</v>
      </c>
      <c r="AJ1679">
        <v>2</v>
      </c>
      <c r="AK1679" t="b">
        <f>Table67[[#This Row],[What is your age?]]&lt;&gt;"18 - 25"</f>
        <v>0</v>
      </c>
      <c r="AL1679" t="b">
        <f t="shared" si="104"/>
        <v>0</v>
      </c>
      <c r="AM1679" t="b">
        <f t="shared" si="105"/>
        <v>0</v>
      </c>
      <c r="AN1679" t="b">
        <f t="shared" si="106"/>
        <v>1</v>
      </c>
      <c r="AO1679" t="b">
        <f>OR(Table67[[#This Row],[Ineligible respondents]:[Inconsistent response on opposite question (3)]])</f>
        <v>1</v>
      </c>
      <c r="AP167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4</v>
      </c>
      <c r="AQ1679">
        <f>Table67[[#This Row],[Extreme Response]]/21</f>
        <v>0.19047619047619047</v>
      </c>
      <c r="AR1679">
        <f>_xlfn.PERCENTILE.INC(Table67[Extrem Response Ratio (ERS)],0.9)</f>
        <v>0.61904761904761907</v>
      </c>
      <c r="AS1679" t="b">
        <f>Table67[[#This Row],[Extrem Response Ratio (ERS)]]&gt;=Table67[[#This Row],[Threshold of ERS]]</f>
        <v>0</v>
      </c>
      <c r="AT1679">
        <f>COUNTIF(Table67[[#This Row],[The mechanism of digital assets is difficult to understand, which discourages me from exploring it (E.g, Tokenization, Blockchain)]:[If I want to try different ways to invest, I will explore digital assets.]], 3)</f>
        <v>5</v>
      </c>
      <c r="AU1679">
        <f>Table67[[#This Row],[Midpoint]]/21</f>
        <v>0.23809523809523808</v>
      </c>
      <c r="AV1679">
        <f>_xlfn.PERCENTILE.INC(Table67[Midpoint ratio],0.9)</f>
        <v>0.5714285714285714</v>
      </c>
      <c r="AW1679" t="b">
        <f>Table67[[#This Row],[Midpoint ratio]]&gt;=Table67[[#This Row],[Threshold of Midpoint ratio]]</f>
        <v>0</v>
      </c>
      <c r="AX1679" t="b">
        <f>OR(Table67[[#This Row],[Extreme Response Style]],Table67[[#This Row],[Mid-point Response Style]])</f>
        <v>0</v>
      </c>
      <c r="AY1679" t="b">
        <f>OR(Table67[[#This Row],[Delete? (Stage 1)]],Table67[[#This Row],[Delete? (Stage 2)]])</f>
        <v>1</v>
      </c>
      <c r="AZ1679" t="s">
        <v>84</v>
      </c>
    </row>
    <row r="1680" spans="1:52">
      <c r="A1680">
        <f t="shared" si="107"/>
        <v>1679</v>
      </c>
      <c r="B1680" s="3">
        <v>46062.030532407407</v>
      </c>
      <c r="C1680" s="3">
        <v>46062.032754629632</v>
      </c>
      <c r="D1680" t="s">
        <v>53</v>
      </c>
      <c r="G1680" t="s">
        <v>54</v>
      </c>
      <c r="H1680" t="s">
        <v>63</v>
      </c>
      <c r="I1680" t="s">
        <v>56</v>
      </c>
      <c r="J1680" t="s">
        <v>65</v>
      </c>
      <c r="K1680" t="s">
        <v>62</v>
      </c>
      <c r="L1680" t="s">
        <v>58</v>
      </c>
      <c r="M1680" t="s">
        <v>58</v>
      </c>
      <c r="N1680">
        <v>4</v>
      </c>
      <c r="O1680">
        <v>2</v>
      </c>
      <c r="P1680">
        <v>4</v>
      </c>
      <c r="Q1680">
        <v>4</v>
      </c>
      <c r="R1680">
        <v>5</v>
      </c>
      <c r="S1680">
        <v>4</v>
      </c>
      <c r="T1680">
        <v>5</v>
      </c>
      <c r="U1680">
        <v>5</v>
      </c>
      <c r="V1680">
        <v>4</v>
      </c>
      <c r="W1680">
        <v>5</v>
      </c>
      <c r="X1680">
        <v>5</v>
      </c>
      <c r="Y1680">
        <v>4</v>
      </c>
      <c r="Z1680">
        <v>4</v>
      </c>
      <c r="AA1680">
        <v>5</v>
      </c>
      <c r="AB1680">
        <v>5</v>
      </c>
      <c r="AC1680">
        <v>4</v>
      </c>
      <c r="AD1680">
        <v>5</v>
      </c>
      <c r="AE1680">
        <v>2</v>
      </c>
      <c r="AF1680">
        <v>3</v>
      </c>
      <c r="AG1680">
        <v>4</v>
      </c>
      <c r="AH1680">
        <v>3</v>
      </c>
      <c r="AI1680">
        <v>3</v>
      </c>
      <c r="AJ1680">
        <v>3</v>
      </c>
      <c r="AK1680" t="b">
        <f>Table67[[#This Row],[What is your age?]]&lt;&gt;"18 - 25"</f>
        <v>0</v>
      </c>
      <c r="AL1680" t="b">
        <f t="shared" si="104"/>
        <v>0</v>
      </c>
      <c r="AM1680" t="b">
        <f t="shared" si="105"/>
        <v>0</v>
      </c>
      <c r="AN1680" t="b">
        <f t="shared" si="106"/>
        <v>1</v>
      </c>
      <c r="AO1680" t="b">
        <f>OR(Table67[[#This Row],[Ineligible respondents]:[Inconsistent response on opposite question (3)]])</f>
        <v>1</v>
      </c>
      <c r="AP168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1680">
        <f>Table67[[#This Row],[Extreme Response]]/21</f>
        <v>0.38095238095238093</v>
      </c>
      <c r="AR1680">
        <f>_xlfn.PERCENTILE.INC(Table67[Extrem Response Ratio (ERS)],0.9)</f>
        <v>0.61904761904761907</v>
      </c>
      <c r="AS1680" t="b">
        <f>Table67[[#This Row],[Extrem Response Ratio (ERS)]]&gt;=Table67[[#This Row],[Threshold of ERS]]</f>
        <v>0</v>
      </c>
      <c r="AT1680">
        <f>COUNTIF(Table67[[#This Row],[The mechanism of digital assets is difficult to understand, which discourages me from exploring it (E.g, Tokenization, Blockchain)]:[If I want to try different ways to invest, I will explore digital assets.]], 3)</f>
        <v>2</v>
      </c>
      <c r="AU1680">
        <f>Table67[[#This Row],[Midpoint]]/21</f>
        <v>9.5238095238095233E-2</v>
      </c>
      <c r="AV1680">
        <f>_xlfn.PERCENTILE.INC(Table67[Midpoint ratio],0.9)</f>
        <v>0.5714285714285714</v>
      </c>
      <c r="AW1680" t="b">
        <f>Table67[[#This Row],[Midpoint ratio]]&gt;=Table67[[#This Row],[Threshold of Midpoint ratio]]</f>
        <v>0</v>
      </c>
      <c r="AX1680" t="b">
        <f>OR(Table67[[#This Row],[Extreme Response Style]],Table67[[#This Row],[Mid-point Response Style]])</f>
        <v>0</v>
      </c>
      <c r="AY1680" t="b">
        <f>OR(Table67[[#This Row],[Delete? (Stage 1)]],Table67[[#This Row],[Delete? (Stage 2)]])</f>
        <v>1</v>
      </c>
      <c r="AZ1680" t="s">
        <v>84</v>
      </c>
    </row>
    <row r="1681" spans="1:52">
      <c r="A1681">
        <f t="shared" si="107"/>
        <v>1680</v>
      </c>
      <c r="B1681" s="3">
        <v>46062.037210648145</v>
      </c>
      <c r="C1681" s="3">
        <v>46062.039363425924</v>
      </c>
      <c r="D1681" t="s">
        <v>53</v>
      </c>
      <c r="G1681" t="s">
        <v>54</v>
      </c>
      <c r="H1681" t="s">
        <v>55</v>
      </c>
      <c r="I1681" t="s">
        <v>56</v>
      </c>
      <c r="J1681" t="s">
        <v>62</v>
      </c>
      <c r="K1681" t="s">
        <v>62</v>
      </c>
      <c r="L1681" t="s">
        <v>61</v>
      </c>
      <c r="M1681" t="s">
        <v>58</v>
      </c>
      <c r="N1681">
        <v>4</v>
      </c>
      <c r="O1681">
        <v>3</v>
      </c>
      <c r="P1681">
        <v>4</v>
      </c>
      <c r="Q1681">
        <v>3</v>
      </c>
      <c r="R1681">
        <v>4</v>
      </c>
      <c r="S1681">
        <v>3</v>
      </c>
      <c r="T1681">
        <v>2</v>
      </c>
      <c r="U1681">
        <v>3</v>
      </c>
      <c r="V1681">
        <v>4</v>
      </c>
      <c r="W1681">
        <v>2</v>
      </c>
      <c r="X1681">
        <v>2</v>
      </c>
      <c r="Y1681">
        <v>2</v>
      </c>
      <c r="Z1681">
        <v>3</v>
      </c>
      <c r="AA1681">
        <v>2</v>
      </c>
      <c r="AB1681">
        <v>3</v>
      </c>
      <c r="AC1681">
        <v>3</v>
      </c>
      <c r="AD1681">
        <v>3</v>
      </c>
      <c r="AE1681">
        <v>3</v>
      </c>
      <c r="AF1681">
        <v>4</v>
      </c>
      <c r="AG1681">
        <v>4</v>
      </c>
      <c r="AH1681">
        <v>4</v>
      </c>
      <c r="AI1681">
        <v>2</v>
      </c>
      <c r="AJ1681">
        <v>2</v>
      </c>
      <c r="AK1681" t="b">
        <f>Table67[[#This Row],[What is your age?]]&lt;&gt;"18 - 25"</f>
        <v>0</v>
      </c>
      <c r="AL1681" t="b">
        <f t="shared" si="104"/>
        <v>0</v>
      </c>
      <c r="AM1681" t="b">
        <f t="shared" si="105"/>
        <v>1</v>
      </c>
      <c r="AN1681" t="b">
        <f t="shared" si="106"/>
        <v>0</v>
      </c>
      <c r="AO1681" t="b">
        <f>OR(Table67[[#This Row],[Ineligible respondents]:[Inconsistent response on opposite question (3)]])</f>
        <v>1</v>
      </c>
      <c r="AP1681">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681">
        <f>Table67[[#This Row],[Extreme Response]]/21</f>
        <v>0</v>
      </c>
      <c r="AR1681">
        <f>_xlfn.PERCENTILE.INC(Table67[Extrem Response Ratio (ERS)],0.9)</f>
        <v>0.61904761904761907</v>
      </c>
      <c r="AS1681" t="b">
        <f>Table67[[#This Row],[Extrem Response Ratio (ERS)]]&gt;=Table67[[#This Row],[Threshold of ERS]]</f>
        <v>0</v>
      </c>
      <c r="AT1681">
        <f>COUNTIF(Table67[[#This Row],[The mechanism of digital assets is difficult to understand, which discourages me from exploring it (E.g, Tokenization, Blockchain)]:[If I want to try different ways to invest, I will explore digital assets.]], 3)</f>
        <v>9</v>
      </c>
      <c r="AU1681">
        <f>Table67[[#This Row],[Midpoint]]/21</f>
        <v>0.42857142857142855</v>
      </c>
      <c r="AV1681">
        <f>_xlfn.PERCENTILE.INC(Table67[Midpoint ratio],0.9)</f>
        <v>0.5714285714285714</v>
      </c>
      <c r="AW1681" t="b">
        <f>Table67[[#This Row],[Midpoint ratio]]&gt;=Table67[[#This Row],[Threshold of Midpoint ratio]]</f>
        <v>0</v>
      </c>
      <c r="AX1681" t="b">
        <f>OR(Table67[[#This Row],[Extreme Response Style]],Table67[[#This Row],[Mid-point Response Style]])</f>
        <v>0</v>
      </c>
      <c r="AY1681" t="b">
        <f>OR(Table67[[#This Row],[Delete? (Stage 1)]],Table67[[#This Row],[Delete? (Stage 2)]])</f>
        <v>1</v>
      </c>
      <c r="AZ1681" t="s">
        <v>84</v>
      </c>
    </row>
    <row r="1682" spans="1:52">
      <c r="A1682">
        <f t="shared" si="107"/>
        <v>1681</v>
      </c>
      <c r="B1682" s="3">
        <v>46062.079293981478</v>
      </c>
      <c r="C1682" s="3">
        <v>46062.085833333331</v>
      </c>
      <c r="D1682" t="s">
        <v>53</v>
      </c>
      <c r="G1682" t="s">
        <v>54</v>
      </c>
      <c r="H1682" t="s">
        <v>63</v>
      </c>
      <c r="I1682" t="s">
        <v>71</v>
      </c>
      <c r="J1682" t="s">
        <v>62</v>
      </c>
      <c r="K1682" t="s">
        <v>62</v>
      </c>
      <c r="L1682" t="s">
        <v>61</v>
      </c>
      <c r="M1682" t="s">
        <v>61</v>
      </c>
      <c r="N1682">
        <v>5</v>
      </c>
      <c r="O1682">
        <v>2</v>
      </c>
      <c r="P1682">
        <v>4</v>
      </c>
      <c r="Q1682">
        <v>3</v>
      </c>
      <c r="R1682">
        <v>5</v>
      </c>
      <c r="S1682">
        <v>4</v>
      </c>
      <c r="T1682">
        <v>4</v>
      </c>
      <c r="U1682">
        <v>5</v>
      </c>
      <c r="V1682">
        <v>4</v>
      </c>
      <c r="W1682">
        <v>5</v>
      </c>
      <c r="X1682">
        <v>3</v>
      </c>
      <c r="Y1682">
        <v>4</v>
      </c>
      <c r="Z1682">
        <v>5</v>
      </c>
      <c r="AA1682">
        <v>4</v>
      </c>
      <c r="AB1682">
        <v>4</v>
      </c>
      <c r="AC1682">
        <v>4</v>
      </c>
      <c r="AD1682">
        <v>4</v>
      </c>
      <c r="AE1682">
        <v>4</v>
      </c>
      <c r="AF1682">
        <v>4</v>
      </c>
      <c r="AG1682">
        <v>3</v>
      </c>
      <c r="AH1682">
        <v>4</v>
      </c>
      <c r="AI1682">
        <v>2</v>
      </c>
      <c r="AJ1682">
        <v>2</v>
      </c>
      <c r="AK1682" t="b">
        <f>Table67[[#This Row],[What is your age?]]&lt;&gt;"18 - 25"</f>
        <v>0</v>
      </c>
      <c r="AL1682" t="b">
        <f t="shared" si="104"/>
        <v>0</v>
      </c>
      <c r="AM1682" t="b">
        <f t="shared" si="105"/>
        <v>0</v>
      </c>
      <c r="AN1682" t="b">
        <f t="shared" si="106"/>
        <v>1</v>
      </c>
      <c r="AO1682" t="b">
        <f>OR(Table67[[#This Row],[Ineligible respondents]:[Inconsistent response on opposite question (3)]])</f>
        <v>1</v>
      </c>
      <c r="AP1682">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5</v>
      </c>
      <c r="AQ1682">
        <f>Table67[[#This Row],[Extreme Response]]/21</f>
        <v>0.23809523809523808</v>
      </c>
      <c r="AR1682">
        <f>_xlfn.PERCENTILE.INC(Table67[Extrem Response Ratio (ERS)],0.9)</f>
        <v>0.61904761904761907</v>
      </c>
      <c r="AS1682" t="b">
        <f>Table67[[#This Row],[Extrem Response Ratio (ERS)]]&gt;=Table67[[#This Row],[Threshold of ERS]]</f>
        <v>0</v>
      </c>
      <c r="AT1682">
        <f>COUNTIF(Table67[[#This Row],[The mechanism of digital assets is difficult to understand, which discourages me from exploring it (E.g, Tokenization, Blockchain)]:[If I want to try different ways to invest, I will explore digital assets.]], 3)</f>
        <v>3</v>
      </c>
      <c r="AU1682">
        <f>Table67[[#This Row],[Midpoint]]/21</f>
        <v>0.14285714285714285</v>
      </c>
      <c r="AV1682">
        <f>_xlfn.PERCENTILE.INC(Table67[Midpoint ratio],0.9)</f>
        <v>0.5714285714285714</v>
      </c>
      <c r="AW1682" t="b">
        <f>Table67[[#This Row],[Midpoint ratio]]&gt;=Table67[[#This Row],[Threshold of Midpoint ratio]]</f>
        <v>0</v>
      </c>
      <c r="AX1682" t="b">
        <f>OR(Table67[[#This Row],[Extreme Response Style]],Table67[[#This Row],[Mid-point Response Style]])</f>
        <v>0</v>
      </c>
      <c r="AY1682" t="b">
        <f>OR(Table67[[#This Row],[Delete? (Stage 1)]],Table67[[#This Row],[Delete? (Stage 2)]])</f>
        <v>1</v>
      </c>
      <c r="AZ1682" t="s">
        <v>84</v>
      </c>
    </row>
    <row r="1683" spans="1:52">
      <c r="A1683">
        <f t="shared" si="107"/>
        <v>1682</v>
      </c>
      <c r="B1683" s="3">
        <v>46065.710555555554</v>
      </c>
      <c r="C1683" s="3">
        <v>46065.710914351854</v>
      </c>
      <c r="D1683" t="s">
        <v>53</v>
      </c>
      <c r="G1683" t="s">
        <v>54</v>
      </c>
      <c r="H1683" t="s">
        <v>55</v>
      </c>
      <c r="I1683" t="s">
        <v>56</v>
      </c>
      <c r="J1683" t="s">
        <v>57</v>
      </c>
      <c r="K1683" t="s">
        <v>57</v>
      </c>
      <c r="L1683" t="s">
        <v>58</v>
      </c>
      <c r="M1683" t="s">
        <v>58</v>
      </c>
      <c r="N1683">
        <v>2</v>
      </c>
      <c r="O1683">
        <v>4</v>
      </c>
      <c r="P1683">
        <v>3</v>
      </c>
      <c r="Q1683">
        <v>3</v>
      </c>
      <c r="R1683">
        <v>2</v>
      </c>
      <c r="S1683">
        <v>2</v>
      </c>
      <c r="T1683">
        <v>2</v>
      </c>
      <c r="U1683">
        <v>3</v>
      </c>
      <c r="V1683">
        <v>3</v>
      </c>
      <c r="W1683">
        <v>3</v>
      </c>
      <c r="X1683">
        <v>4</v>
      </c>
      <c r="Y1683">
        <v>3</v>
      </c>
      <c r="Z1683">
        <v>5</v>
      </c>
      <c r="AA1683">
        <v>3</v>
      </c>
      <c r="AB1683">
        <v>3</v>
      </c>
      <c r="AC1683">
        <v>3</v>
      </c>
      <c r="AD1683">
        <v>5</v>
      </c>
      <c r="AE1683">
        <v>4</v>
      </c>
      <c r="AF1683">
        <v>3</v>
      </c>
      <c r="AG1683">
        <v>3</v>
      </c>
      <c r="AH1683">
        <v>3</v>
      </c>
      <c r="AI1683">
        <v>3</v>
      </c>
      <c r="AJ1683">
        <v>3</v>
      </c>
      <c r="AK1683" t="b">
        <f>Table67[[#This Row],[What is your age?]]&lt;&gt;"18 - 25"</f>
        <v>0</v>
      </c>
      <c r="AL1683" t="b">
        <f t="shared" si="104"/>
        <v>0</v>
      </c>
      <c r="AM1683" t="b">
        <f t="shared" si="105"/>
        <v>0</v>
      </c>
      <c r="AN1683" t="b">
        <f t="shared" si="106"/>
        <v>0</v>
      </c>
      <c r="AO1683" t="b">
        <f>OR(Table67[[#This Row],[Ineligible respondents]:[Inconsistent response on opposite question (3)]])</f>
        <v>0</v>
      </c>
      <c r="AP1683">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683">
        <f>Table67[[#This Row],[Extreme Response]]/21</f>
        <v>9.5238095238095233E-2</v>
      </c>
      <c r="AR1683">
        <f>_xlfn.PERCENTILE.INC(Table67[Extrem Response Ratio (ERS)],0.9)</f>
        <v>0.61904761904761907</v>
      </c>
      <c r="AS1683" t="b">
        <f>Table67[[#This Row],[Extrem Response Ratio (ERS)]]&gt;=Table67[[#This Row],[Threshold of ERS]]</f>
        <v>0</v>
      </c>
      <c r="AT1683">
        <f>COUNTIF(Table67[[#This Row],[The mechanism of digital assets is difficult to understand, which discourages me from exploring it (E.g, Tokenization, Blockchain)]:[If I want to try different ways to invest, I will explore digital assets.]], 3)</f>
        <v>12</v>
      </c>
      <c r="AU1683">
        <f>Table67[[#This Row],[Midpoint]]/21</f>
        <v>0.5714285714285714</v>
      </c>
      <c r="AV1683">
        <f>_xlfn.PERCENTILE.INC(Table67[Midpoint ratio],0.9)</f>
        <v>0.5714285714285714</v>
      </c>
      <c r="AW1683" t="b">
        <f>Table67[[#This Row],[Midpoint ratio]]&gt;=Table67[[#This Row],[Threshold of Midpoint ratio]]</f>
        <v>1</v>
      </c>
      <c r="AX1683" t="b">
        <f>OR(Table67[[#This Row],[Extreme Response Style]],Table67[[#This Row],[Mid-point Response Style]])</f>
        <v>1</v>
      </c>
      <c r="AY1683" t="b">
        <f>OR(Table67[[#This Row],[Delete? (Stage 1)]],Table67[[#This Row],[Delete? (Stage 2)]])</f>
        <v>1</v>
      </c>
      <c r="AZ1683" t="s">
        <v>84</v>
      </c>
    </row>
    <row r="1684" spans="1:52">
      <c r="A1684">
        <f t="shared" si="107"/>
        <v>1683</v>
      </c>
      <c r="B1684" s="3">
        <v>46065.671354166669</v>
      </c>
      <c r="C1684" s="3">
        <v>46065.673425925925</v>
      </c>
      <c r="D1684" t="s">
        <v>53</v>
      </c>
      <c r="G1684" t="s">
        <v>54</v>
      </c>
      <c r="H1684" t="s">
        <v>55</v>
      </c>
      <c r="I1684" t="s">
        <v>56</v>
      </c>
      <c r="J1684" t="s">
        <v>62</v>
      </c>
      <c r="K1684" t="s">
        <v>62</v>
      </c>
      <c r="L1684" t="s">
        <v>58</v>
      </c>
      <c r="M1684" t="s">
        <v>58</v>
      </c>
      <c r="N1684">
        <v>2</v>
      </c>
      <c r="O1684">
        <v>3</v>
      </c>
      <c r="P1684">
        <v>2</v>
      </c>
      <c r="Q1684">
        <v>2</v>
      </c>
      <c r="R1684">
        <v>2</v>
      </c>
      <c r="S1684">
        <v>3</v>
      </c>
      <c r="T1684">
        <v>3</v>
      </c>
      <c r="U1684">
        <v>2</v>
      </c>
      <c r="V1684">
        <v>2</v>
      </c>
      <c r="W1684">
        <v>3</v>
      </c>
      <c r="X1684">
        <v>3</v>
      </c>
      <c r="Y1684">
        <v>2</v>
      </c>
      <c r="Z1684">
        <v>3</v>
      </c>
      <c r="AA1684">
        <v>3</v>
      </c>
      <c r="AB1684">
        <v>3</v>
      </c>
      <c r="AC1684">
        <v>2</v>
      </c>
      <c r="AD1684">
        <v>3</v>
      </c>
      <c r="AE1684">
        <v>3</v>
      </c>
      <c r="AF1684">
        <v>4</v>
      </c>
      <c r="AG1684">
        <v>2</v>
      </c>
      <c r="AH1684">
        <v>4</v>
      </c>
      <c r="AI1684">
        <v>2</v>
      </c>
      <c r="AJ1684">
        <v>2</v>
      </c>
      <c r="AK1684" t="b">
        <f>Table67[[#This Row],[What is your age?]]&lt;&gt;"18 - 25"</f>
        <v>0</v>
      </c>
      <c r="AL1684" t="b">
        <f t="shared" si="104"/>
        <v>0</v>
      </c>
      <c r="AM1684" t="b">
        <f t="shared" si="105"/>
        <v>0</v>
      </c>
      <c r="AN1684" t="b">
        <f t="shared" si="106"/>
        <v>0</v>
      </c>
      <c r="AO1684" t="b">
        <f>OR(Table67[[#This Row],[Ineligible respondents]:[Inconsistent response on opposite question (3)]])</f>
        <v>0</v>
      </c>
      <c r="AP1684">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0</v>
      </c>
      <c r="AQ1684">
        <f>Table67[[#This Row],[Extreme Response]]/21</f>
        <v>0</v>
      </c>
      <c r="AR1684">
        <f>_xlfn.PERCENTILE.INC(Table67[Extrem Response Ratio (ERS)],0.9)</f>
        <v>0.61904761904761907</v>
      </c>
      <c r="AS1684" t="b">
        <f>Table67[[#This Row],[Extrem Response Ratio (ERS)]]&gt;=Table67[[#This Row],[Threshold of ERS]]</f>
        <v>0</v>
      </c>
      <c r="AT1684">
        <f>COUNTIF(Table67[[#This Row],[The mechanism of digital assets is difficult to understand, which discourages me from exploring it (E.g, Tokenization, Blockchain)]:[If I want to try different ways to invest, I will explore digital assets.]], 3)</f>
        <v>10</v>
      </c>
      <c r="AU1684">
        <f>Table67[[#This Row],[Midpoint]]/21</f>
        <v>0.47619047619047616</v>
      </c>
      <c r="AV1684">
        <f>_xlfn.PERCENTILE.INC(Table67[Midpoint ratio],0.9)</f>
        <v>0.5714285714285714</v>
      </c>
      <c r="AW1684" t="b">
        <f>Table67[[#This Row],[Midpoint ratio]]&gt;=Table67[[#This Row],[Threshold of Midpoint ratio]]</f>
        <v>0</v>
      </c>
      <c r="AX1684" t="b">
        <f>OR(Table67[[#This Row],[Extreme Response Style]],Table67[[#This Row],[Mid-point Response Style]])</f>
        <v>0</v>
      </c>
      <c r="AY1684" t="b">
        <f>OR(Table67[[#This Row],[Delete? (Stage 1)]],Table67[[#This Row],[Delete? (Stage 2)]])</f>
        <v>0</v>
      </c>
      <c r="AZ1684" t="s">
        <v>84</v>
      </c>
    </row>
    <row r="1685" spans="1:52">
      <c r="A1685">
        <f t="shared" si="107"/>
        <v>1684</v>
      </c>
      <c r="B1685" s="3">
        <v>46065.721921296295</v>
      </c>
      <c r="C1685" s="3">
        <v>46065.722187500003</v>
      </c>
      <c r="D1685" t="s">
        <v>53</v>
      </c>
      <c r="G1685" t="s">
        <v>54</v>
      </c>
      <c r="H1685" t="s">
        <v>55</v>
      </c>
      <c r="I1685" t="s">
        <v>56</v>
      </c>
      <c r="J1685" t="s">
        <v>62</v>
      </c>
      <c r="K1685" t="s">
        <v>57</v>
      </c>
      <c r="L1685" t="s">
        <v>58</v>
      </c>
      <c r="M1685" t="s">
        <v>58</v>
      </c>
      <c r="N1685">
        <v>2</v>
      </c>
      <c r="O1685">
        <v>1</v>
      </c>
      <c r="P1685">
        <v>3</v>
      </c>
      <c r="Q1685">
        <v>4</v>
      </c>
      <c r="R1685">
        <v>2</v>
      </c>
      <c r="S1685">
        <v>2</v>
      </c>
      <c r="T1685">
        <v>3</v>
      </c>
      <c r="U1685">
        <v>4</v>
      </c>
      <c r="V1685">
        <v>4</v>
      </c>
      <c r="W1685">
        <v>4</v>
      </c>
      <c r="X1685">
        <v>3</v>
      </c>
      <c r="Y1685">
        <v>4</v>
      </c>
      <c r="Z1685">
        <v>3</v>
      </c>
      <c r="AA1685">
        <v>2</v>
      </c>
      <c r="AB1685">
        <v>2</v>
      </c>
      <c r="AC1685">
        <v>4</v>
      </c>
      <c r="AD1685">
        <v>3</v>
      </c>
      <c r="AE1685">
        <v>3</v>
      </c>
      <c r="AF1685">
        <v>4</v>
      </c>
      <c r="AG1685">
        <v>2</v>
      </c>
      <c r="AH1685">
        <v>5</v>
      </c>
      <c r="AI1685">
        <v>1</v>
      </c>
      <c r="AJ1685">
        <v>2</v>
      </c>
      <c r="AK1685" t="b">
        <f>Table67[[#This Row],[What is your age?]]&lt;&gt;"18 - 25"</f>
        <v>0</v>
      </c>
      <c r="AL1685" t="b">
        <f t="shared" si="104"/>
        <v>0</v>
      </c>
      <c r="AM1685" t="b">
        <f t="shared" si="105"/>
        <v>0</v>
      </c>
      <c r="AN1685" t="b">
        <f t="shared" si="106"/>
        <v>0</v>
      </c>
      <c r="AO1685" t="b">
        <f>OR(Table67[[#This Row],[Ineligible respondents]:[Inconsistent response on opposite question (3)]])</f>
        <v>0</v>
      </c>
      <c r="AP1685">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2</v>
      </c>
      <c r="AQ1685">
        <f>Table67[[#This Row],[Extreme Response]]/21</f>
        <v>9.5238095238095233E-2</v>
      </c>
      <c r="AR1685">
        <f>_xlfn.PERCENTILE.INC(Table67[Extrem Response Ratio (ERS)],0.9)</f>
        <v>0.61904761904761907</v>
      </c>
      <c r="AS1685" t="b">
        <f>Table67[[#This Row],[Extrem Response Ratio (ERS)]]&gt;=Table67[[#This Row],[Threshold of ERS]]</f>
        <v>0</v>
      </c>
      <c r="AT1685">
        <f>COUNTIF(Table67[[#This Row],[The mechanism of digital assets is difficult to understand, which discourages me from exploring it (E.g, Tokenization, Blockchain)]:[If I want to try different ways to invest, I will explore digital assets.]], 3)</f>
        <v>6</v>
      </c>
      <c r="AU1685">
        <f>Table67[[#This Row],[Midpoint]]/21</f>
        <v>0.2857142857142857</v>
      </c>
      <c r="AV1685">
        <f>_xlfn.PERCENTILE.INC(Table67[Midpoint ratio],0.9)</f>
        <v>0.5714285714285714</v>
      </c>
      <c r="AW1685" t="b">
        <f>Table67[[#This Row],[Midpoint ratio]]&gt;=Table67[[#This Row],[Threshold of Midpoint ratio]]</f>
        <v>0</v>
      </c>
      <c r="AX1685" t="b">
        <f>OR(Table67[[#This Row],[Extreme Response Style]],Table67[[#This Row],[Mid-point Response Style]])</f>
        <v>0</v>
      </c>
      <c r="AY1685" t="b">
        <f>OR(Table67[[#This Row],[Delete? (Stage 1)]],Table67[[#This Row],[Delete? (Stage 2)]])</f>
        <v>0</v>
      </c>
      <c r="AZ1685" t="s">
        <v>84</v>
      </c>
    </row>
    <row r="1686" spans="1:52">
      <c r="A1686">
        <f t="shared" si="107"/>
        <v>1685</v>
      </c>
      <c r="B1686" s="3">
        <v>46062.066388888888</v>
      </c>
      <c r="C1686" s="3">
        <v>46062.067939814813</v>
      </c>
      <c r="D1686" t="s">
        <v>53</v>
      </c>
      <c r="G1686" t="s">
        <v>54</v>
      </c>
      <c r="H1686" t="s">
        <v>63</v>
      </c>
      <c r="I1686" t="s">
        <v>56</v>
      </c>
      <c r="J1686" t="s">
        <v>62</v>
      </c>
      <c r="K1686" t="s">
        <v>62</v>
      </c>
      <c r="L1686" t="s">
        <v>61</v>
      </c>
      <c r="M1686" t="s">
        <v>61</v>
      </c>
      <c r="N1686">
        <v>3</v>
      </c>
      <c r="O1686">
        <v>3</v>
      </c>
      <c r="P1686">
        <v>3</v>
      </c>
      <c r="Q1686">
        <v>4</v>
      </c>
      <c r="R1686">
        <v>4</v>
      </c>
      <c r="S1686">
        <v>4</v>
      </c>
      <c r="T1686">
        <v>2</v>
      </c>
      <c r="U1686">
        <v>4</v>
      </c>
      <c r="V1686">
        <v>5</v>
      </c>
      <c r="W1686">
        <v>5</v>
      </c>
      <c r="X1686">
        <v>3</v>
      </c>
      <c r="Y1686">
        <v>3</v>
      </c>
      <c r="Z1686">
        <v>4</v>
      </c>
      <c r="AA1686">
        <v>4</v>
      </c>
      <c r="AB1686">
        <v>4</v>
      </c>
      <c r="AC1686">
        <v>3</v>
      </c>
      <c r="AD1686">
        <v>4</v>
      </c>
      <c r="AE1686">
        <v>3</v>
      </c>
      <c r="AF1686">
        <v>5</v>
      </c>
      <c r="AG1686">
        <v>4</v>
      </c>
      <c r="AH1686">
        <v>4</v>
      </c>
      <c r="AI1686">
        <v>2</v>
      </c>
      <c r="AJ1686">
        <v>1</v>
      </c>
      <c r="AK1686" t="b">
        <f>Table67[[#This Row],[What is your age?]]&lt;&gt;"18 - 25"</f>
        <v>0</v>
      </c>
      <c r="AL1686" t="b">
        <f t="shared" si="104"/>
        <v>0</v>
      </c>
      <c r="AM1686" t="b">
        <f t="shared" si="105"/>
        <v>1</v>
      </c>
      <c r="AN1686" t="b">
        <f t="shared" si="106"/>
        <v>0</v>
      </c>
      <c r="AO1686" t="b">
        <f>OR(Table67[[#This Row],[Ineligible respondents]:[Inconsistent response on opposite question (3)]])</f>
        <v>1</v>
      </c>
      <c r="AP1686">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686">
        <f>Table67[[#This Row],[Extreme Response]]/21</f>
        <v>0.14285714285714285</v>
      </c>
      <c r="AR1686">
        <f>_xlfn.PERCENTILE.INC(Table67[Extrem Response Ratio (ERS)],0.9)</f>
        <v>0.61904761904761907</v>
      </c>
      <c r="AS1686" t="b">
        <f>Table67[[#This Row],[Extrem Response Ratio (ERS)]]&gt;=Table67[[#This Row],[Threshold of ERS]]</f>
        <v>0</v>
      </c>
      <c r="AT1686">
        <f>COUNTIF(Table67[[#This Row],[The mechanism of digital assets is difficult to understand, which discourages me from exploring it (E.g, Tokenization, Blockchain)]:[If I want to try different ways to invest, I will explore digital assets.]], 3)</f>
        <v>7</v>
      </c>
      <c r="AU1686">
        <f>Table67[[#This Row],[Midpoint]]/21</f>
        <v>0.33333333333333331</v>
      </c>
      <c r="AV1686">
        <f>_xlfn.PERCENTILE.INC(Table67[Midpoint ratio],0.9)</f>
        <v>0.5714285714285714</v>
      </c>
      <c r="AW1686" t="b">
        <f>Table67[[#This Row],[Midpoint ratio]]&gt;=Table67[[#This Row],[Threshold of Midpoint ratio]]</f>
        <v>0</v>
      </c>
      <c r="AX1686" t="b">
        <f>OR(Table67[[#This Row],[Extreme Response Style]],Table67[[#This Row],[Mid-point Response Style]])</f>
        <v>0</v>
      </c>
      <c r="AY1686" t="b">
        <f>OR(Table67[[#This Row],[Delete? (Stage 1)]],Table67[[#This Row],[Delete? (Stage 2)]])</f>
        <v>1</v>
      </c>
      <c r="AZ1686" t="s">
        <v>84</v>
      </c>
    </row>
    <row r="1687" spans="1:52">
      <c r="A1687">
        <f t="shared" si="107"/>
        <v>1686</v>
      </c>
      <c r="B1687" s="3">
        <v>46065.704479166663</v>
      </c>
      <c r="C1687" s="3">
        <v>46065.704884259256</v>
      </c>
      <c r="D1687" t="s">
        <v>53</v>
      </c>
      <c r="G1687" t="s">
        <v>54</v>
      </c>
      <c r="H1687" t="s">
        <v>55</v>
      </c>
      <c r="I1687" t="s">
        <v>71</v>
      </c>
      <c r="J1687" t="s">
        <v>62</v>
      </c>
      <c r="K1687" t="s">
        <v>64</v>
      </c>
      <c r="L1687" t="s">
        <v>58</v>
      </c>
      <c r="M1687" t="s">
        <v>58</v>
      </c>
      <c r="N1687">
        <v>1</v>
      </c>
      <c r="O1687">
        <v>4</v>
      </c>
      <c r="P1687">
        <v>3</v>
      </c>
      <c r="Q1687">
        <v>3</v>
      </c>
      <c r="R1687">
        <v>1</v>
      </c>
      <c r="S1687">
        <v>3</v>
      </c>
      <c r="T1687">
        <v>2</v>
      </c>
      <c r="U1687">
        <v>2</v>
      </c>
      <c r="V1687">
        <v>4</v>
      </c>
      <c r="W1687">
        <v>4</v>
      </c>
      <c r="X1687">
        <v>4</v>
      </c>
      <c r="Y1687">
        <v>3</v>
      </c>
      <c r="Z1687">
        <v>4</v>
      </c>
      <c r="AA1687">
        <v>3</v>
      </c>
      <c r="AB1687">
        <v>2</v>
      </c>
      <c r="AC1687">
        <v>3</v>
      </c>
      <c r="AD1687">
        <v>5</v>
      </c>
      <c r="AE1687">
        <v>4</v>
      </c>
      <c r="AF1687">
        <v>3</v>
      </c>
      <c r="AG1687">
        <v>2</v>
      </c>
      <c r="AH1687">
        <v>4</v>
      </c>
      <c r="AI1687">
        <v>2</v>
      </c>
      <c r="AJ1687">
        <v>3</v>
      </c>
      <c r="AK1687" t="b">
        <f>Table67[[#This Row],[What is your age?]]&lt;&gt;"18 - 25"</f>
        <v>0</v>
      </c>
      <c r="AL1687" t="b">
        <f t="shared" si="104"/>
        <v>0</v>
      </c>
      <c r="AM1687" t="b">
        <f t="shared" si="105"/>
        <v>0</v>
      </c>
      <c r="AN1687" t="b">
        <f t="shared" si="106"/>
        <v>0</v>
      </c>
      <c r="AO1687" t="b">
        <f>OR(Table67[[#This Row],[Ineligible respondents]:[Inconsistent response on opposite question (3)]])</f>
        <v>0</v>
      </c>
      <c r="AP1687">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3</v>
      </c>
      <c r="AQ1687">
        <f>Table67[[#This Row],[Extreme Response]]/21</f>
        <v>0.14285714285714285</v>
      </c>
      <c r="AR1687">
        <f>_xlfn.PERCENTILE.INC(Table67[Extrem Response Ratio (ERS)],0.9)</f>
        <v>0.61904761904761907</v>
      </c>
      <c r="AS1687" t="b">
        <f>Table67[[#This Row],[Extrem Response Ratio (ERS)]]&gt;=Table67[[#This Row],[Threshold of ERS]]</f>
        <v>0</v>
      </c>
      <c r="AT1687">
        <f>COUNTIF(Table67[[#This Row],[The mechanism of digital assets is difficult to understand, which discourages me from exploring it (E.g, Tokenization, Blockchain)]:[If I want to try different ways to invest, I will explore digital assets.]], 3)</f>
        <v>7</v>
      </c>
      <c r="AU1687">
        <f>Table67[[#This Row],[Midpoint]]/21</f>
        <v>0.33333333333333331</v>
      </c>
      <c r="AV1687">
        <f>_xlfn.PERCENTILE.INC(Table67[Midpoint ratio],0.9)</f>
        <v>0.5714285714285714</v>
      </c>
      <c r="AW1687" t="b">
        <f>Table67[[#This Row],[Midpoint ratio]]&gt;=Table67[[#This Row],[Threshold of Midpoint ratio]]</f>
        <v>0</v>
      </c>
      <c r="AX1687" t="b">
        <f>OR(Table67[[#This Row],[Extreme Response Style]],Table67[[#This Row],[Mid-point Response Style]])</f>
        <v>0</v>
      </c>
      <c r="AY1687" t="b">
        <f>OR(Table67[[#This Row],[Delete? (Stage 1)]],Table67[[#This Row],[Delete? (Stage 2)]])</f>
        <v>0</v>
      </c>
      <c r="AZ1687" t="s">
        <v>84</v>
      </c>
    </row>
    <row r="1688" spans="1:52">
      <c r="A1688">
        <f t="shared" si="107"/>
        <v>1687</v>
      </c>
      <c r="B1688" s="3">
        <v>46062.037280092591</v>
      </c>
      <c r="C1688" s="3">
        <v>46062.042060185187</v>
      </c>
      <c r="D1688" t="s">
        <v>53</v>
      </c>
      <c r="G1688" t="s">
        <v>54</v>
      </c>
      <c r="H1688" t="s">
        <v>63</v>
      </c>
      <c r="I1688" t="s">
        <v>56</v>
      </c>
      <c r="J1688" t="s">
        <v>62</v>
      </c>
      <c r="K1688" t="s">
        <v>57</v>
      </c>
      <c r="L1688" t="s">
        <v>58</v>
      </c>
      <c r="M1688" t="s">
        <v>61</v>
      </c>
      <c r="N1688">
        <v>4</v>
      </c>
      <c r="O1688">
        <v>3</v>
      </c>
      <c r="P1688">
        <v>1</v>
      </c>
      <c r="Q1688">
        <v>1</v>
      </c>
      <c r="R1688">
        <v>1</v>
      </c>
      <c r="S1688">
        <v>1</v>
      </c>
      <c r="T1688">
        <v>1</v>
      </c>
      <c r="U1688">
        <v>1</v>
      </c>
      <c r="V1688">
        <v>4</v>
      </c>
      <c r="W1688">
        <v>5</v>
      </c>
      <c r="X1688">
        <v>2</v>
      </c>
      <c r="Y1688">
        <v>4</v>
      </c>
      <c r="Z1688">
        <v>4</v>
      </c>
      <c r="AA1688">
        <v>4</v>
      </c>
      <c r="AB1688">
        <v>1</v>
      </c>
      <c r="AC1688">
        <v>2</v>
      </c>
      <c r="AD1688">
        <v>3</v>
      </c>
      <c r="AE1688">
        <v>4</v>
      </c>
      <c r="AF1688">
        <v>4</v>
      </c>
      <c r="AG1688">
        <v>2</v>
      </c>
      <c r="AH1688">
        <v>3</v>
      </c>
      <c r="AI1688">
        <v>3</v>
      </c>
      <c r="AJ1688">
        <v>2</v>
      </c>
      <c r="AK1688" t="b">
        <f>Table67[[#This Row],[What is your age?]]&lt;&gt;"18 - 25"</f>
        <v>0</v>
      </c>
      <c r="AL1688" t="b">
        <f t="shared" si="104"/>
        <v>0</v>
      </c>
      <c r="AM1688" t="b">
        <f t="shared" si="105"/>
        <v>0</v>
      </c>
      <c r="AN1688" t="b">
        <f t="shared" si="106"/>
        <v>1</v>
      </c>
      <c r="AO1688" t="b">
        <f>OR(Table67[[#This Row],[Ineligible respondents]:[Inconsistent response on opposite question (3)]])</f>
        <v>1</v>
      </c>
      <c r="AP1688">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1688">
        <f>Table67[[#This Row],[Extreme Response]]/21</f>
        <v>0.38095238095238093</v>
      </c>
      <c r="AR1688">
        <f>_xlfn.PERCENTILE.INC(Table67[Extrem Response Ratio (ERS)],0.9)</f>
        <v>0.61904761904761907</v>
      </c>
      <c r="AS1688" t="b">
        <f>Table67[[#This Row],[Extrem Response Ratio (ERS)]]&gt;=Table67[[#This Row],[Threshold of ERS]]</f>
        <v>0</v>
      </c>
      <c r="AT1688">
        <f>COUNTIF(Table67[[#This Row],[The mechanism of digital assets is difficult to understand, which discourages me from exploring it (E.g, Tokenization, Blockchain)]:[If I want to try different ways to invest, I will explore digital assets.]], 3)</f>
        <v>3</v>
      </c>
      <c r="AU1688">
        <f>Table67[[#This Row],[Midpoint]]/21</f>
        <v>0.14285714285714285</v>
      </c>
      <c r="AV1688">
        <f>_xlfn.PERCENTILE.INC(Table67[Midpoint ratio],0.9)</f>
        <v>0.5714285714285714</v>
      </c>
      <c r="AW1688" t="b">
        <f>Table67[[#This Row],[Midpoint ratio]]&gt;=Table67[[#This Row],[Threshold of Midpoint ratio]]</f>
        <v>0</v>
      </c>
      <c r="AX1688" t="b">
        <f>OR(Table67[[#This Row],[Extreme Response Style]],Table67[[#This Row],[Mid-point Response Style]])</f>
        <v>0</v>
      </c>
      <c r="AY1688" t="b">
        <f>OR(Table67[[#This Row],[Delete? (Stage 1)]],Table67[[#This Row],[Delete? (Stage 2)]])</f>
        <v>1</v>
      </c>
      <c r="AZ1688" t="s">
        <v>84</v>
      </c>
    </row>
    <row r="1689" spans="1:52">
      <c r="A1689">
        <f t="shared" si="107"/>
        <v>1688</v>
      </c>
      <c r="B1689" s="3">
        <v>46062.061886574076</v>
      </c>
      <c r="C1689" s="3">
        <v>46062.067962962959</v>
      </c>
      <c r="D1689" t="s">
        <v>53</v>
      </c>
      <c r="G1689" t="s">
        <v>54</v>
      </c>
      <c r="H1689" t="s">
        <v>55</v>
      </c>
      <c r="I1689" t="s">
        <v>56</v>
      </c>
      <c r="J1689" t="s">
        <v>64</v>
      </c>
      <c r="K1689" t="s">
        <v>62</v>
      </c>
      <c r="L1689" t="s">
        <v>58</v>
      </c>
      <c r="M1689" t="s">
        <v>61</v>
      </c>
      <c r="N1689">
        <v>4</v>
      </c>
      <c r="O1689">
        <v>1</v>
      </c>
      <c r="P1689">
        <v>5</v>
      </c>
      <c r="Q1689">
        <v>4</v>
      </c>
      <c r="R1689">
        <v>3</v>
      </c>
      <c r="S1689">
        <v>5</v>
      </c>
      <c r="T1689">
        <v>4</v>
      </c>
      <c r="U1689">
        <v>5</v>
      </c>
      <c r="V1689">
        <v>5</v>
      </c>
      <c r="W1689">
        <v>2</v>
      </c>
      <c r="X1689">
        <v>2</v>
      </c>
      <c r="Y1689">
        <v>3</v>
      </c>
      <c r="Z1689">
        <v>5</v>
      </c>
      <c r="AA1689">
        <v>5</v>
      </c>
      <c r="AB1689">
        <v>3</v>
      </c>
      <c r="AC1689">
        <v>4</v>
      </c>
      <c r="AD1689">
        <v>5</v>
      </c>
      <c r="AE1689">
        <v>2</v>
      </c>
      <c r="AF1689">
        <v>3</v>
      </c>
      <c r="AG1689">
        <v>4</v>
      </c>
      <c r="AH1689">
        <v>4</v>
      </c>
      <c r="AI1689">
        <v>2</v>
      </c>
      <c r="AJ1689">
        <v>3</v>
      </c>
      <c r="AK1689" t="b">
        <f>Table67[[#This Row],[What is your age?]]&lt;&gt;"18 - 25"</f>
        <v>0</v>
      </c>
      <c r="AL1689" t="b">
        <f t="shared" si="104"/>
        <v>0</v>
      </c>
      <c r="AM1689" t="b">
        <f t="shared" si="105"/>
        <v>1</v>
      </c>
      <c r="AN1689" t="b">
        <f t="shared" si="106"/>
        <v>0</v>
      </c>
      <c r="AO1689" t="b">
        <f>OR(Table67[[#This Row],[Ineligible respondents]:[Inconsistent response on opposite question (3)]])</f>
        <v>1</v>
      </c>
      <c r="AP1689">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8</v>
      </c>
      <c r="AQ1689">
        <f>Table67[[#This Row],[Extreme Response]]/21</f>
        <v>0.38095238095238093</v>
      </c>
      <c r="AR1689">
        <f>_xlfn.PERCENTILE.INC(Table67[Extrem Response Ratio (ERS)],0.9)</f>
        <v>0.61904761904761907</v>
      </c>
      <c r="AS1689" t="b">
        <f>Table67[[#This Row],[Extrem Response Ratio (ERS)]]&gt;=Table67[[#This Row],[Threshold of ERS]]</f>
        <v>0</v>
      </c>
      <c r="AT1689">
        <f>COUNTIF(Table67[[#This Row],[The mechanism of digital assets is difficult to understand, which discourages me from exploring it (E.g, Tokenization, Blockchain)]:[If I want to try different ways to invest, I will explore digital assets.]], 3)</f>
        <v>4</v>
      </c>
      <c r="AU1689">
        <f>Table67[[#This Row],[Midpoint]]/21</f>
        <v>0.19047619047619047</v>
      </c>
      <c r="AV1689">
        <f>_xlfn.PERCENTILE.INC(Table67[Midpoint ratio],0.9)</f>
        <v>0.5714285714285714</v>
      </c>
      <c r="AW1689" t="b">
        <f>Table67[[#This Row],[Midpoint ratio]]&gt;=Table67[[#This Row],[Threshold of Midpoint ratio]]</f>
        <v>0</v>
      </c>
      <c r="AX1689" t="b">
        <f>OR(Table67[[#This Row],[Extreme Response Style]],Table67[[#This Row],[Mid-point Response Style]])</f>
        <v>0</v>
      </c>
      <c r="AY1689" t="b">
        <f>OR(Table67[[#This Row],[Delete? (Stage 1)]],Table67[[#This Row],[Delete? (Stage 2)]])</f>
        <v>1</v>
      </c>
      <c r="AZ1689" t="s">
        <v>84</v>
      </c>
    </row>
    <row r="1690" spans="1:52">
      <c r="A1690">
        <f t="shared" si="107"/>
        <v>1689</v>
      </c>
      <c r="B1690" s="3">
        <v>46065.861620370371</v>
      </c>
      <c r="C1690" s="3">
        <v>46065.86409722222</v>
      </c>
      <c r="D1690" t="s">
        <v>53</v>
      </c>
      <c r="G1690" t="s">
        <v>54</v>
      </c>
      <c r="H1690" t="s">
        <v>63</v>
      </c>
      <c r="I1690" t="s">
        <v>75</v>
      </c>
      <c r="J1690" t="s">
        <v>57</v>
      </c>
      <c r="K1690" t="s">
        <v>57</v>
      </c>
      <c r="L1690" t="s">
        <v>58</v>
      </c>
      <c r="M1690" t="s">
        <v>58</v>
      </c>
      <c r="N1690">
        <v>1</v>
      </c>
      <c r="O1690">
        <v>1</v>
      </c>
      <c r="P1690">
        <v>1</v>
      </c>
      <c r="Q1690">
        <v>1</v>
      </c>
      <c r="R1690">
        <v>1</v>
      </c>
      <c r="S1690">
        <v>2</v>
      </c>
      <c r="T1690">
        <v>2</v>
      </c>
      <c r="U1690">
        <v>1</v>
      </c>
      <c r="V1690">
        <v>1</v>
      </c>
      <c r="W1690">
        <v>1</v>
      </c>
      <c r="X1690">
        <v>3</v>
      </c>
      <c r="Y1690">
        <v>1</v>
      </c>
      <c r="Z1690">
        <v>3</v>
      </c>
      <c r="AA1690">
        <v>2</v>
      </c>
      <c r="AB1690">
        <v>1</v>
      </c>
      <c r="AC1690">
        <v>1</v>
      </c>
      <c r="AD1690">
        <v>3</v>
      </c>
      <c r="AE1690">
        <v>3</v>
      </c>
      <c r="AF1690">
        <v>5</v>
      </c>
      <c r="AG1690">
        <v>1</v>
      </c>
      <c r="AH1690">
        <v>4</v>
      </c>
      <c r="AI1690">
        <v>2</v>
      </c>
      <c r="AJ1690">
        <v>1</v>
      </c>
      <c r="AK1690" t="b">
        <f>Table67[[#This Row],[What is your age?]]&lt;&gt;"18 - 25"</f>
        <v>0</v>
      </c>
      <c r="AL1690" t="b">
        <f t="shared" si="104"/>
        <v>0</v>
      </c>
      <c r="AM1690" t="b">
        <f t="shared" si="105"/>
        <v>0</v>
      </c>
      <c r="AN1690" t="b">
        <f t="shared" si="106"/>
        <v>0</v>
      </c>
      <c r="AO1690" t="b">
        <f>OR(Table67[[#This Row],[Ineligible respondents]:[Inconsistent response on opposite question (3)]])</f>
        <v>0</v>
      </c>
      <c r="AP1690">
        <f>COUNTIF(Table67[[#This Row],[The mechanism of digital assets is difficult to understand, which discourages me from exploring it (E.g, Tokenization, Blockchain)]:[If I want to try different ways to invest, I will explore digital assets.]], 1) + COUNTIF(Table67[[#This Row],[The mechanism of digital assets is difficult to understand, which discourages me from exploring it (E.g, Tokenization, Blockchain)]:[If I want to try different ways to invest, I will explore digital assets.]], 5)</f>
        <v>13</v>
      </c>
      <c r="AQ1690">
        <f>Table67[[#This Row],[Extreme Response]]/21</f>
        <v>0.61904761904761907</v>
      </c>
      <c r="AR1690">
        <f>_xlfn.PERCENTILE.INC(Table67[Extrem Response Ratio (ERS)],0.9)</f>
        <v>0.61904761904761907</v>
      </c>
      <c r="AS1690" t="b">
        <f>Table67[[#This Row],[Extrem Response Ratio (ERS)]]&gt;=Table67[[#This Row],[Threshold of ERS]]</f>
        <v>1</v>
      </c>
      <c r="AT1690">
        <f>COUNTIF(Table67[[#This Row],[The mechanism of digital assets is difficult to understand, which discourages me from exploring it (E.g, Tokenization, Blockchain)]:[If I want to try different ways to invest, I will explore digital assets.]], 3)</f>
        <v>4</v>
      </c>
      <c r="AU1690">
        <f>Table67[[#This Row],[Midpoint]]/21</f>
        <v>0.19047619047619047</v>
      </c>
      <c r="AV1690">
        <f>_xlfn.PERCENTILE.INC(Table67[Midpoint ratio],0.9)</f>
        <v>0.5714285714285714</v>
      </c>
      <c r="AW1690" t="b">
        <f>Table67[[#This Row],[Midpoint ratio]]&gt;=Table67[[#This Row],[Threshold of Midpoint ratio]]</f>
        <v>0</v>
      </c>
      <c r="AX1690" t="b">
        <f>OR(Table67[[#This Row],[Extreme Response Style]],Table67[[#This Row],[Mid-point Response Style]])</f>
        <v>1</v>
      </c>
      <c r="AY1690" t="b">
        <f>OR(Table67[[#This Row],[Delete? (Stage 1)]],Table67[[#This Row],[Delete? (Stage 2)]])</f>
        <v>1</v>
      </c>
      <c r="AZ1690" t="s">
        <v>84</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59CB6-1A54-4958-A3AD-BBE04BFD0454}">
  <dimension ref="A1:BA412"/>
  <sheetViews>
    <sheetView topLeftCell="AM1" zoomScale="219" workbookViewId="0">
      <selection activeCell="AR2" sqref="AR2"/>
    </sheetView>
  </sheetViews>
  <sheetFormatPr baseColWidth="10" defaultColWidth="8.83203125" defaultRowHeight="15"/>
  <cols>
    <col min="1" max="1" width="10.6640625" customWidth="1"/>
    <col min="2" max="3" width="16.6640625" style="3" bestFit="1" customWidth="1"/>
    <col min="4" max="53" width="10.6640625" customWidth="1"/>
  </cols>
  <sheetData>
    <row r="1" spans="1:53">
      <c r="A1" t="s">
        <v>0</v>
      </c>
      <c r="B1" s="3" t="s">
        <v>1</v>
      </c>
      <c r="C1" s="3"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row>
    <row r="2" spans="1:53">
      <c r="A2">
        <v>5</v>
      </c>
      <c r="B2" s="3">
        <v>45987.5686921296</v>
      </c>
      <c r="C2" s="3">
        <v>45987.571550925903</v>
      </c>
      <c r="D2" t="s">
        <v>53</v>
      </c>
      <c r="G2" t="s">
        <v>54</v>
      </c>
      <c r="H2" t="s">
        <v>63</v>
      </c>
      <c r="I2" t="s">
        <v>56</v>
      </c>
      <c r="J2" t="s">
        <v>60</v>
      </c>
      <c r="K2" t="s">
        <v>57</v>
      </c>
      <c r="L2" t="s">
        <v>58</v>
      </c>
      <c r="M2" t="s">
        <v>58</v>
      </c>
      <c r="N2">
        <v>4</v>
      </c>
      <c r="O2">
        <v>3</v>
      </c>
      <c r="P2">
        <v>3</v>
      </c>
      <c r="Q2">
        <v>3</v>
      </c>
      <c r="R2">
        <v>4</v>
      </c>
      <c r="S2">
        <v>4</v>
      </c>
      <c r="T2">
        <v>4</v>
      </c>
      <c r="U2">
        <v>5</v>
      </c>
      <c r="V2">
        <v>5</v>
      </c>
      <c r="W2">
        <v>5</v>
      </c>
      <c r="X2">
        <v>3</v>
      </c>
      <c r="Y2">
        <v>5</v>
      </c>
      <c r="Z2">
        <v>4</v>
      </c>
      <c r="AA2">
        <v>4</v>
      </c>
      <c r="AB2">
        <v>2</v>
      </c>
      <c r="AC2">
        <v>5</v>
      </c>
      <c r="AD2">
        <v>4</v>
      </c>
      <c r="AE2">
        <v>3</v>
      </c>
      <c r="AF2">
        <v>3</v>
      </c>
      <c r="AG2">
        <v>3</v>
      </c>
      <c r="AH2">
        <v>3</v>
      </c>
      <c r="AI2">
        <v>3</v>
      </c>
      <c r="AJ2">
        <v>3</v>
      </c>
      <c r="AK2" t="b">
        <f>Table7[[#This Row],[What is your age?]]&lt;&gt;"18 - 25"</f>
        <v>0</v>
      </c>
      <c r="AL2" t="b">
        <f t="shared" ref="AL2:AL65" si="0">COUNTIF(N2:AH2, N2) = COLUMNS(N2:AH2)</f>
        <v>0</v>
      </c>
      <c r="AM2" t="b">
        <f t="shared" ref="AM2:AM65" si="1">OR(AND(AG2=AH2, AG2&lt;&gt;3), AND(OR(AG2=1, AG2=2), OR(AH2=1, AH2=2)), AND(OR(AG2=4, AG2=5), OR(AH2=4, AH2=5)))</f>
        <v>0</v>
      </c>
      <c r="AN2" t="b">
        <f t="shared" ref="AN2:AN65" si="2">OR(AND(AG2=3, AH2&lt;&gt;3), AND(AH2=3, AG2&lt;&gt;3))</f>
        <v>0</v>
      </c>
      <c r="AO2" t="b">
        <f>OR(Table7[[#This Row],[Ineligible respondents]:[Inconsistent response on opposite question (3)]])</f>
        <v>0</v>
      </c>
      <c r="AP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5</v>
      </c>
      <c r="AQ2">
        <f>Table7[[#This Row],[Extreme Response]]/21</f>
        <v>0.23809523809523808</v>
      </c>
      <c r="AR2">
        <f>Table67[[#This Row],[Threshold of ERS]]</f>
        <v>0.61904761904761907</v>
      </c>
      <c r="AS2" t="b">
        <f>Table7[[#This Row],[Extrem Response Ratio (ERS)]]&gt;=Table7[[#This Row],[Threshold of ERS]]</f>
        <v>0</v>
      </c>
      <c r="AT2" t="b" cm="1">
        <f t="array" ref="AT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
        <f>COUNTIF(Table7[[#This Row],[The mechanism of digital assets is difficult to understand, which discourages me from exploring it (E.g, Tokenization, Blockchain)]:[If I want to try different ways to invest, I will explore digital assets.]], 3)</f>
        <v>8</v>
      </c>
      <c r="AV2">
        <f>Table7[[#This Row],[Midpoint]]/21</f>
        <v>0.38095238095238093</v>
      </c>
      <c r="AW2">
        <f>Table67[[#This Row],[Threshold of Midpoint ratio]]</f>
        <v>0.5714285714285714</v>
      </c>
      <c r="AX2" t="b">
        <f>Table7[[#This Row],[Midpoint ratio]]&gt;=Table7[[#This Row],[Threshold of Midpoint ratio]]</f>
        <v>0</v>
      </c>
      <c r="AY2" t="b">
        <f>OR(Table7[[#This Row],[Extreme Response Style]:[Straight-lining with 1 deviation]],Table7[[#This Row],[Mid-point Response Style]])</f>
        <v>0</v>
      </c>
      <c r="AZ2" t="b">
        <f>OR(Table7[[#This Row],[Delete? (Stage 1)]],Table7[[#This Row],[Delete? (Stage 2)]])</f>
        <v>0</v>
      </c>
      <c r="BA2" t="s">
        <v>59</v>
      </c>
    </row>
    <row r="3" spans="1:53">
      <c r="A3">
        <v>8</v>
      </c>
      <c r="B3" s="3">
        <v>45987.568796296298</v>
      </c>
      <c r="C3" s="3">
        <v>45987.573321759301</v>
      </c>
      <c r="D3" t="s">
        <v>53</v>
      </c>
      <c r="G3" t="s">
        <v>54</v>
      </c>
      <c r="H3" t="s">
        <v>55</v>
      </c>
      <c r="I3" t="s">
        <v>56</v>
      </c>
      <c r="J3" t="s">
        <v>64</v>
      </c>
      <c r="K3" t="s">
        <v>57</v>
      </c>
      <c r="L3" t="s">
        <v>61</v>
      </c>
      <c r="M3" t="s">
        <v>61</v>
      </c>
      <c r="N3">
        <v>3</v>
      </c>
      <c r="O3">
        <v>3</v>
      </c>
      <c r="P3">
        <v>3</v>
      </c>
      <c r="Q3">
        <v>3</v>
      </c>
      <c r="R3">
        <v>3</v>
      </c>
      <c r="S3">
        <v>3</v>
      </c>
      <c r="T3">
        <v>4</v>
      </c>
      <c r="U3">
        <v>4</v>
      </c>
      <c r="V3">
        <v>4</v>
      </c>
      <c r="W3">
        <v>4</v>
      </c>
      <c r="X3">
        <v>4</v>
      </c>
      <c r="Y3">
        <v>4</v>
      </c>
      <c r="Z3">
        <v>4</v>
      </c>
      <c r="AA3">
        <v>4</v>
      </c>
      <c r="AB3">
        <v>4</v>
      </c>
      <c r="AC3">
        <v>4</v>
      </c>
      <c r="AD3">
        <v>4</v>
      </c>
      <c r="AE3">
        <v>4</v>
      </c>
      <c r="AF3">
        <v>2</v>
      </c>
      <c r="AG3">
        <v>4</v>
      </c>
      <c r="AH3">
        <v>2</v>
      </c>
      <c r="AI3">
        <v>4</v>
      </c>
      <c r="AJ3">
        <v>4</v>
      </c>
      <c r="AK3" t="b">
        <f>Table7[[#This Row],[What is your age?]]&lt;&gt;"18 - 25"</f>
        <v>0</v>
      </c>
      <c r="AL3" t="b">
        <f t="shared" si="0"/>
        <v>0</v>
      </c>
      <c r="AM3" t="b">
        <f t="shared" si="1"/>
        <v>0</v>
      </c>
      <c r="AN3" t="b">
        <f t="shared" si="2"/>
        <v>0</v>
      </c>
      <c r="AO3" t="b">
        <f>OR(Table7[[#This Row],[Ineligible respondents]:[Inconsistent response on opposite question (3)]])</f>
        <v>0</v>
      </c>
      <c r="AP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3">
        <f>Table7[[#This Row],[Extreme Response]]/21</f>
        <v>0</v>
      </c>
      <c r="AR3">
        <f>Table67[[#This Row],[Threshold of ERS]]</f>
        <v>0.61904761904761907</v>
      </c>
      <c r="AS3" t="b">
        <f>Table7[[#This Row],[Extrem Response Ratio (ERS)]]&gt;=Table7[[#This Row],[Threshold of ERS]]</f>
        <v>0</v>
      </c>
      <c r="AT3" t="b" cm="1">
        <f t="array" ref="AT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
        <f>COUNTIF(Table7[[#This Row],[The mechanism of digital assets is difficult to understand, which discourages me from exploring it (E.g, Tokenization, Blockchain)]:[If I want to try different ways to invest, I will explore digital assets.]], 3)</f>
        <v>6</v>
      </c>
      <c r="AV3">
        <f>Table7[[#This Row],[Midpoint]]/21</f>
        <v>0.2857142857142857</v>
      </c>
      <c r="AW3">
        <f>Table67[[#This Row],[Threshold of Midpoint ratio]]</f>
        <v>0.5714285714285714</v>
      </c>
      <c r="AX3" t="b">
        <f>Table7[[#This Row],[Midpoint ratio]]&gt;=Table7[[#This Row],[Threshold of Midpoint ratio]]</f>
        <v>0</v>
      </c>
      <c r="AY3" t="b">
        <f>OR(Table7[[#This Row],[Extreme Response Style]:[Straight-lining with 1 deviation]],Table7[[#This Row],[Mid-point Response Style]])</f>
        <v>0</v>
      </c>
      <c r="AZ3" t="b">
        <f>OR(Table7[[#This Row],[Delete? (Stage 1)]],Table7[[#This Row],[Delete? (Stage 2)]])</f>
        <v>0</v>
      </c>
      <c r="BA3" t="s">
        <v>59</v>
      </c>
    </row>
    <row r="4" spans="1:53">
      <c r="A4">
        <v>12</v>
      </c>
      <c r="B4" s="3">
        <v>45987.568842592598</v>
      </c>
      <c r="C4" s="3">
        <v>45987.570127314801</v>
      </c>
      <c r="D4" t="s">
        <v>53</v>
      </c>
      <c r="G4" t="s">
        <v>54</v>
      </c>
      <c r="H4" t="s">
        <v>63</v>
      </c>
      <c r="I4" t="s">
        <v>56</v>
      </c>
      <c r="J4" t="s">
        <v>60</v>
      </c>
      <c r="K4" t="s">
        <v>57</v>
      </c>
      <c r="L4" t="s">
        <v>58</v>
      </c>
      <c r="M4" t="s">
        <v>61</v>
      </c>
      <c r="N4">
        <v>4</v>
      </c>
      <c r="O4">
        <v>4</v>
      </c>
      <c r="P4">
        <v>4</v>
      </c>
      <c r="Q4">
        <v>4</v>
      </c>
      <c r="R4">
        <v>4</v>
      </c>
      <c r="S4">
        <v>4</v>
      </c>
      <c r="T4">
        <v>4</v>
      </c>
      <c r="U4">
        <v>4</v>
      </c>
      <c r="V4">
        <v>4</v>
      </c>
      <c r="W4">
        <v>4</v>
      </c>
      <c r="X4">
        <v>3</v>
      </c>
      <c r="Y4">
        <v>3</v>
      </c>
      <c r="Z4">
        <v>3</v>
      </c>
      <c r="AA4">
        <v>3</v>
      </c>
      <c r="AB4">
        <v>3</v>
      </c>
      <c r="AC4">
        <v>3</v>
      </c>
      <c r="AD4">
        <v>3</v>
      </c>
      <c r="AE4">
        <v>3</v>
      </c>
      <c r="AF4">
        <v>3</v>
      </c>
      <c r="AG4">
        <v>3</v>
      </c>
      <c r="AH4">
        <v>3</v>
      </c>
      <c r="AI4">
        <v>3</v>
      </c>
      <c r="AJ4">
        <v>3</v>
      </c>
      <c r="AK4" t="b">
        <f>Table7[[#This Row],[What is your age?]]&lt;&gt;"18 - 25"</f>
        <v>0</v>
      </c>
      <c r="AL4" t="b">
        <f t="shared" si="0"/>
        <v>0</v>
      </c>
      <c r="AM4" t="b">
        <f t="shared" si="1"/>
        <v>0</v>
      </c>
      <c r="AN4" t="b">
        <f t="shared" si="2"/>
        <v>0</v>
      </c>
      <c r="AO4" t="b">
        <f>OR(Table7[[#This Row],[Ineligible respondents]:[Inconsistent response on opposite question (3)]])</f>
        <v>0</v>
      </c>
      <c r="AP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4">
        <f>Table7[[#This Row],[Extreme Response]]/21</f>
        <v>0</v>
      </c>
      <c r="AR4">
        <f>Table67[[#This Row],[Threshold of ERS]]</f>
        <v>0.61904761904761907</v>
      </c>
      <c r="AS4" t="b">
        <f>Table7[[#This Row],[Extrem Response Ratio (ERS)]]&gt;=Table7[[#This Row],[Threshold of ERS]]</f>
        <v>0</v>
      </c>
      <c r="AT4" t="b" cm="1">
        <f t="array" ref="AT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4">
        <f>COUNTIF(Table7[[#This Row],[The mechanism of digital assets is difficult to understand, which discourages me from exploring it (E.g, Tokenization, Blockchain)]:[If I want to try different ways to invest, I will explore digital assets.]], 3)</f>
        <v>11</v>
      </c>
      <c r="AV4">
        <f>Table7[[#This Row],[Midpoint]]/21</f>
        <v>0.52380952380952384</v>
      </c>
      <c r="AW4">
        <f>Table67[[#This Row],[Threshold of Midpoint ratio]]</f>
        <v>0.5714285714285714</v>
      </c>
      <c r="AX4" t="b">
        <f>Table7[[#This Row],[Midpoint ratio]]&gt;=Table7[[#This Row],[Threshold of Midpoint ratio]]</f>
        <v>0</v>
      </c>
      <c r="AY4" t="b">
        <f>OR(Table7[[#This Row],[Extreme Response Style]:[Straight-lining with 1 deviation]],Table7[[#This Row],[Mid-point Response Style]])</f>
        <v>0</v>
      </c>
      <c r="AZ4" t="b">
        <f>OR(Table7[[#This Row],[Delete? (Stage 1)]],Table7[[#This Row],[Delete? (Stage 2)]])</f>
        <v>0</v>
      </c>
      <c r="BA4" t="s">
        <v>59</v>
      </c>
    </row>
    <row r="5" spans="1:53">
      <c r="A5">
        <v>14</v>
      </c>
      <c r="B5" s="3">
        <v>45988.058923611097</v>
      </c>
      <c r="C5" s="3">
        <v>45988.064004629603</v>
      </c>
      <c r="D5" t="s">
        <v>53</v>
      </c>
      <c r="G5" t="s">
        <v>54</v>
      </c>
      <c r="H5" t="s">
        <v>63</v>
      </c>
      <c r="I5" t="s">
        <v>56</v>
      </c>
      <c r="J5" t="s">
        <v>60</v>
      </c>
      <c r="K5" t="s">
        <v>57</v>
      </c>
      <c r="L5" t="s">
        <v>58</v>
      </c>
      <c r="M5" t="s">
        <v>58</v>
      </c>
      <c r="N5">
        <v>4</v>
      </c>
      <c r="O5">
        <v>2</v>
      </c>
      <c r="P5">
        <v>4</v>
      </c>
      <c r="Q5">
        <v>4</v>
      </c>
      <c r="R5">
        <v>4</v>
      </c>
      <c r="S5">
        <v>4</v>
      </c>
      <c r="T5">
        <v>2</v>
      </c>
      <c r="U5">
        <v>4</v>
      </c>
      <c r="V5">
        <v>4</v>
      </c>
      <c r="W5">
        <v>4</v>
      </c>
      <c r="X5">
        <v>3</v>
      </c>
      <c r="Y5">
        <v>4</v>
      </c>
      <c r="Z5">
        <v>4</v>
      </c>
      <c r="AA5">
        <v>4</v>
      </c>
      <c r="AB5">
        <v>2</v>
      </c>
      <c r="AC5">
        <v>4</v>
      </c>
      <c r="AD5">
        <v>4</v>
      </c>
      <c r="AE5">
        <v>2</v>
      </c>
      <c r="AF5">
        <v>2</v>
      </c>
      <c r="AG5">
        <v>4</v>
      </c>
      <c r="AH5">
        <v>2</v>
      </c>
      <c r="AI5">
        <v>4</v>
      </c>
      <c r="AJ5">
        <v>4</v>
      </c>
      <c r="AK5" t="b">
        <f>Table7[[#This Row],[What is your age?]]&lt;&gt;"18 - 25"</f>
        <v>0</v>
      </c>
      <c r="AL5" t="b">
        <f t="shared" si="0"/>
        <v>0</v>
      </c>
      <c r="AM5" t="b">
        <f t="shared" si="1"/>
        <v>0</v>
      </c>
      <c r="AN5" t="b">
        <f t="shared" si="2"/>
        <v>0</v>
      </c>
      <c r="AO5" t="b">
        <f>OR(Table7[[#This Row],[Ineligible respondents]:[Inconsistent response on opposite question (3)]])</f>
        <v>0</v>
      </c>
      <c r="AP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5">
        <f>Table7[[#This Row],[Extreme Response]]/21</f>
        <v>0</v>
      </c>
      <c r="AR5">
        <f>Table67[[#This Row],[Threshold of ERS]]</f>
        <v>0.61904761904761907</v>
      </c>
      <c r="AS5" t="b">
        <f>Table7[[#This Row],[Extrem Response Ratio (ERS)]]&gt;=Table7[[#This Row],[Threshold of ERS]]</f>
        <v>0</v>
      </c>
      <c r="AT5" t="b" cm="1">
        <f t="array" ref="AT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5">
        <f>COUNTIF(Table7[[#This Row],[The mechanism of digital assets is difficult to understand, which discourages me from exploring it (E.g, Tokenization, Blockchain)]:[If I want to try different ways to invest, I will explore digital assets.]], 3)</f>
        <v>1</v>
      </c>
      <c r="AV5">
        <f>Table7[[#This Row],[Midpoint]]/21</f>
        <v>4.7619047619047616E-2</v>
      </c>
      <c r="AW5">
        <f>Table67[[#This Row],[Threshold of Midpoint ratio]]</f>
        <v>0.5714285714285714</v>
      </c>
      <c r="AX5" t="b">
        <f>Table7[[#This Row],[Midpoint ratio]]&gt;=Table7[[#This Row],[Threshold of Midpoint ratio]]</f>
        <v>0</v>
      </c>
      <c r="AY5" t="b">
        <f>OR(Table7[[#This Row],[Extreme Response Style]:[Straight-lining with 1 deviation]],Table7[[#This Row],[Mid-point Response Style]])</f>
        <v>0</v>
      </c>
      <c r="AZ5" t="b">
        <f>OR(Table7[[#This Row],[Delete? (Stage 1)]],Table7[[#This Row],[Delete? (Stage 2)]])</f>
        <v>0</v>
      </c>
      <c r="BA5" t="s">
        <v>59</v>
      </c>
    </row>
    <row r="6" spans="1:53">
      <c r="A6">
        <v>15</v>
      </c>
      <c r="B6" s="3">
        <v>45988.059421296297</v>
      </c>
      <c r="C6" s="3">
        <v>45988.060752314799</v>
      </c>
      <c r="D6" t="s">
        <v>53</v>
      </c>
      <c r="G6" t="s">
        <v>54</v>
      </c>
      <c r="H6" t="s">
        <v>63</v>
      </c>
      <c r="I6" t="s">
        <v>56</v>
      </c>
      <c r="J6" t="s">
        <v>57</v>
      </c>
      <c r="K6" t="s">
        <v>57</v>
      </c>
      <c r="L6" t="s">
        <v>58</v>
      </c>
      <c r="M6" t="s">
        <v>58</v>
      </c>
      <c r="N6">
        <v>4</v>
      </c>
      <c r="O6">
        <v>2</v>
      </c>
      <c r="P6">
        <v>4</v>
      </c>
      <c r="Q6">
        <v>4</v>
      </c>
      <c r="R6">
        <v>3</v>
      </c>
      <c r="S6">
        <v>3</v>
      </c>
      <c r="T6">
        <v>4</v>
      </c>
      <c r="U6">
        <v>4</v>
      </c>
      <c r="V6">
        <v>4</v>
      </c>
      <c r="W6">
        <v>4</v>
      </c>
      <c r="X6">
        <v>4</v>
      </c>
      <c r="Y6">
        <v>4</v>
      </c>
      <c r="Z6">
        <v>4</v>
      </c>
      <c r="AA6">
        <v>4</v>
      </c>
      <c r="AB6">
        <v>4</v>
      </c>
      <c r="AC6">
        <v>4</v>
      </c>
      <c r="AD6">
        <v>4</v>
      </c>
      <c r="AE6">
        <v>2</v>
      </c>
      <c r="AF6">
        <v>2</v>
      </c>
      <c r="AG6">
        <v>4</v>
      </c>
      <c r="AH6">
        <v>2</v>
      </c>
      <c r="AI6">
        <v>4</v>
      </c>
      <c r="AJ6">
        <v>4</v>
      </c>
      <c r="AK6" t="b">
        <f>Table7[[#This Row],[What is your age?]]&lt;&gt;"18 - 25"</f>
        <v>0</v>
      </c>
      <c r="AL6" t="b">
        <f t="shared" si="0"/>
        <v>0</v>
      </c>
      <c r="AM6" t="b">
        <f t="shared" si="1"/>
        <v>0</v>
      </c>
      <c r="AN6" t="b">
        <f t="shared" si="2"/>
        <v>0</v>
      </c>
      <c r="AO6" t="b">
        <f>OR(Table7[[#This Row],[Ineligible respondents]:[Inconsistent response on opposite question (3)]])</f>
        <v>0</v>
      </c>
      <c r="AP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6">
        <f>Table7[[#This Row],[Extreme Response]]/21</f>
        <v>0</v>
      </c>
      <c r="AR6">
        <f>Table67[[#This Row],[Threshold of ERS]]</f>
        <v>0.61904761904761907</v>
      </c>
      <c r="AS6" t="b">
        <f>Table7[[#This Row],[Extrem Response Ratio (ERS)]]&gt;=Table7[[#This Row],[Threshold of ERS]]</f>
        <v>0</v>
      </c>
      <c r="AT6" t="b" cm="1">
        <f t="array" ref="AT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6">
        <f>COUNTIF(Table7[[#This Row],[The mechanism of digital assets is difficult to understand, which discourages me from exploring it (E.g, Tokenization, Blockchain)]:[If I want to try different ways to invest, I will explore digital assets.]], 3)</f>
        <v>2</v>
      </c>
      <c r="AV6">
        <f>Table7[[#This Row],[Midpoint]]/21</f>
        <v>9.5238095238095233E-2</v>
      </c>
      <c r="AW6">
        <f>Table67[[#This Row],[Threshold of Midpoint ratio]]</f>
        <v>0.5714285714285714</v>
      </c>
      <c r="AX6" t="b">
        <f>Table7[[#This Row],[Midpoint ratio]]&gt;=Table7[[#This Row],[Threshold of Midpoint ratio]]</f>
        <v>0</v>
      </c>
      <c r="AY6" t="b">
        <f>OR(Table7[[#This Row],[Extreme Response Style]:[Straight-lining with 1 deviation]],Table7[[#This Row],[Mid-point Response Style]])</f>
        <v>0</v>
      </c>
      <c r="AZ6" t="b">
        <f>OR(Table7[[#This Row],[Delete? (Stage 1)]],Table7[[#This Row],[Delete? (Stage 2)]])</f>
        <v>0</v>
      </c>
      <c r="BA6" t="s">
        <v>59</v>
      </c>
    </row>
    <row r="7" spans="1:53">
      <c r="A7">
        <v>18</v>
      </c>
      <c r="B7" s="3">
        <v>45988.416099536997</v>
      </c>
      <c r="C7" s="3">
        <v>45988.420474537001</v>
      </c>
      <c r="D7" t="s">
        <v>53</v>
      </c>
      <c r="G7" t="s">
        <v>54</v>
      </c>
      <c r="H7" t="s">
        <v>63</v>
      </c>
      <c r="I7" t="s">
        <v>56</v>
      </c>
      <c r="J7" t="s">
        <v>62</v>
      </c>
      <c r="K7" t="s">
        <v>57</v>
      </c>
      <c r="L7" t="s">
        <v>58</v>
      </c>
      <c r="M7" t="s">
        <v>61</v>
      </c>
      <c r="N7">
        <v>4</v>
      </c>
      <c r="O7">
        <v>3</v>
      </c>
      <c r="P7">
        <v>4</v>
      </c>
      <c r="Q7">
        <v>3</v>
      </c>
      <c r="R7">
        <v>4</v>
      </c>
      <c r="S7">
        <v>4</v>
      </c>
      <c r="T7">
        <v>4</v>
      </c>
      <c r="U7">
        <v>4</v>
      </c>
      <c r="V7">
        <v>5</v>
      </c>
      <c r="W7">
        <v>4</v>
      </c>
      <c r="X7">
        <v>4</v>
      </c>
      <c r="Y7">
        <v>4</v>
      </c>
      <c r="Z7">
        <v>4</v>
      </c>
      <c r="AA7">
        <v>4</v>
      </c>
      <c r="AB7">
        <v>4</v>
      </c>
      <c r="AC7">
        <v>4</v>
      </c>
      <c r="AD7">
        <v>4</v>
      </c>
      <c r="AE7">
        <v>4</v>
      </c>
      <c r="AF7">
        <v>3</v>
      </c>
      <c r="AG7">
        <v>3</v>
      </c>
      <c r="AH7">
        <v>3</v>
      </c>
      <c r="AI7">
        <v>3</v>
      </c>
      <c r="AJ7">
        <v>3</v>
      </c>
      <c r="AK7" t="b">
        <f>Table7[[#This Row],[What is your age?]]&lt;&gt;"18 - 25"</f>
        <v>0</v>
      </c>
      <c r="AL7" t="b">
        <f t="shared" si="0"/>
        <v>0</v>
      </c>
      <c r="AM7" t="b">
        <f t="shared" si="1"/>
        <v>0</v>
      </c>
      <c r="AN7" t="b">
        <f t="shared" si="2"/>
        <v>0</v>
      </c>
      <c r="AO7" t="b">
        <f>OR(Table7[[#This Row],[Ineligible respondents]:[Inconsistent response on opposite question (3)]])</f>
        <v>0</v>
      </c>
      <c r="AP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7">
        <f>Table7[[#This Row],[Extreme Response]]/21</f>
        <v>4.7619047619047616E-2</v>
      </c>
      <c r="AR7">
        <f>Table67[[#This Row],[Threshold of ERS]]</f>
        <v>0.61904761904761907</v>
      </c>
      <c r="AS7" t="b">
        <f>Table7[[#This Row],[Extrem Response Ratio (ERS)]]&gt;=Table7[[#This Row],[Threshold of ERS]]</f>
        <v>0</v>
      </c>
      <c r="AT7" t="b" cm="1">
        <f t="array" ref="AT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7">
        <f>COUNTIF(Table7[[#This Row],[The mechanism of digital assets is difficult to understand, which discourages me from exploring it (E.g, Tokenization, Blockchain)]:[If I want to try different ways to invest, I will explore digital assets.]], 3)</f>
        <v>5</v>
      </c>
      <c r="AV7">
        <f>Table7[[#This Row],[Midpoint]]/21</f>
        <v>0.23809523809523808</v>
      </c>
      <c r="AW7">
        <f>Table67[[#This Row],[Threshold of Midpoint ratio]]</f>
        <v>0.5714285714285714</v>
      </c>
      <c r="AX7" t="b">
        <f>Table7[[#This Row],[Midpoint ratio]]&gt;=Table7[[#This Row],[Threshold of Midpoint ratio]]</f>
        <v>0</v>
      </c>
      <c r="AY7" t="b">
        <f>OR(Table7[[#This Row],[Extreme Response Style]:[Straight-lining with 1 deviation]],Table7[[#This Row],[Mid-point Response Style]])</f>
        <v>0</v>
      </c>
      <c r="AZ7" t="b">
        <f>OR(Table7[[#This Row],[Delete? (Stage 1)]],Table7[[#This Row],[Delete? (Stage 2)]])</f>
        <v>0</v>
      </c>
      <c r="BA7" t="s">
        <v>59</v>
      </c>
    </row>
    <row r="8" spans="1:53">
      <c r="A8">
        <v>40</v>
      </c>
      <c r="B8" s="3">
        <v>45988.541840277801</v>
      </c>
      <c r="C8" s="3">
        <v>45988.543831018498</v>
      </c>
      <c r="D8" t="s">
        <v>53</v>
      </c>
      <c r="G8" t="s">
        <v>54</v>
      </c>
      <c r="H8" t="s">
        <v>63</v>
      </c>
      <c r="I8" t="s">
        <v>56</v>
      </c>
      <c r="J8" t="s">
        <v>65</v>
      </c>
      <c r="K8" t="s">
        <v>57</v>
      </c>
      <c r="L8" t="s">
        <v>58</v>
      </c>
      <c r="M8" t="s">
        <v>61</v>
      </c>
      <c r="N8">
        <v>4</v>
      </c>
      <c r="O8">
        <v>3</v>
      </c>
      <c r="P8">
        <v>4</v>
      </c>
      <c r="Q8">
        <v>2</v>
      </c>
      <c r="R8">
        <v>2</v>
      </c>
      <c r="S8">
        <v>3</v>
      </c>
      <c r="T8">
        <v>4</v>
      </c>
      <c r="U8">
        <v>4</v>
      </c>
      <c r="V8">
        <v>5</v>
      </c>
      <c r="W8">
        <v>5</v>
      </c>
      <c r="X8">
        <v>5</v>
      </c>
      <c r="Y8">
        <v>5</v>
      </c>
      <c r="Z8">
        <v>4</v>
      </c>
      <c r="AA8">
        <v>4</v>
      </c>
      <c r="AB8">
        <v>3</v>
      </c>
      <c r="AC8">
        <v>2</v>
      </c>
      <c r="AD8">
        <v>4</v>
      </c>
      <c r="AE8">
        <v>2</v>
      </c>
      <c r="AF8">
        <v>2</v>
      </c>
      <c r="AG8">
        <v>3</v>
      </c>
      <c r="AH8">
        <v>3</v>
      </c>
      <c r="AI8">
        <v>3</v>
      </c>
      <c r="AJ8">
        <v>4</v>
      </c>
      <c r="AK8" t="b">
        <f>Table7[[#This Row],[What is your age?]]&lt;&gt;"18 - 25"</f>
        <v>0</v>
      </c>
      <c r="AL8" t="b">
        <f t="shared" si="0"/>
        <v>0</v>
      </c>
      <c r="AM8" t="b">
        <f t="shared" si="1"/>
        <v>0</v>
      </c>
      <c r="AN8" t="b">
        <f t="shared" si="2"/>
        <v>0</v>
      </c>
      <c r="AO8" t="b">
        <f>OR(Table7[[#This Row],[Ineligible respondents]:[Inconsistent response on opposite question (3)]])</f>
        <v>0</v>
      </c>
      <c r="AP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8">
        <f>Table7[[#This Row],[Extreme Response]]/21</f>
        <v>0.19047619047619047</v>
      </c>
      <c r="AR8">
        <f>Table67[[#This Row],[Threshold of ERS]]</f>
        <v>0.61904761904761907</v>
      </c>
      <c r="AS8" t="b">
        <f>Table7[[#This Row],[Extrem Response Ratio (ERS)]]&gt;=Table7[[#This Row],[Threshold of ERS]]</f>
        <v>0</v>
      </c>
      <c r="AT8" t="b" cm="1">
        <f t="array" ref="AT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8">
        <f>COUNTIF(Table7[[#This Row],[The mechanism of digital assets is difficult to understand, which discourages me from exploring it (E.g, Tokenization, Blockchain)]:[If I want to try different ways to invest, I will explore digital assets.]], 3)</f>
        <v>5</v>
      </c>
      <c r="AV8">
        <f>Table7[[#This Row],[Midpoint]]/21</f>
        <v>0.23809523809523808</v>
      </c>
      <c r="AW8">
        <f>Table67[[#This Row],[Threshold of Midpoint ratio]]</f>
        <v>0.5714285714285714</v>
      </c>
      <c r="AX8" t="b">
        <f>Table7[[#This Row],[Midpoint ratio]]&gt;=Table7[[#This Row],[Threshold of Midpoint ratio]]</f>
        <v>0</v>
      </c>
      <c r="AY8" t="b">
        <f>OR(Table7[[#This Row],[Extreme Response Style]:[Straight-lining with 1 deviation]],Table7[[#This Row],[Mid-point Response Style]])</f>
        <v>0</v>
      </c>
      <c r="AZ8" t="b">
        <f>OR(Table7[[#This Row],[Delete? (Stage 1)]],Table7[[#This Row],[Delete? (Stage 2)]])</f>
        <v>0</v>
      </c>
      <c r="BA8" t="s">
        <v>59</v>
      </c>
    </row>
    <row r="9" spans="1:53">
      <c r="A9">
        <v>41</v>
      </c>
      <c r="B9" s="3">
        <v>45988.547650462999</v>
      </c>
      <c r="C9" s="3">
        <v>45988.549942129597</v>
      </c>
      <c r="D9" t="s">
        <v>53</v>
      </c>
      <c r="G9" t="s">
        <v>54</v>
      </c>
      <c r="H9" t="s">
        <v>55</v>
      </c>
      <c r="I9" t="s">
        <v>56</v>
      </c>
      <c r="J9" t="s">
        <v>60</v>
      </c>
      <c r="K9" t="s">
        <v>66</v>
      </c>
      <c r="L9" t="s">
        <v>61</v>
      </c>
      <c r="M9" t="s">
        <v>61</v>
      </c>
      <c r="N9">
        <v>2</v>
      </c>
      <c r="O9">
        <v>2</v>
      </c>
      <c r="P9">
        <v>4</v>
      </c>
      <c r="Q9">
        <v>2</v>
      </c>
      <c r="R9">
        <v>2</v>
      </c>
      <c r="S9">
        <v>3</v>
      </c>
      <c r="T9">
        <v>2</v>
      </c>
      <c r="U9">
        <v>3</v>
      </c>
      <c r="V9">
        <v>4</v>
      </c>
      <c r="W9">
        <v>4</v>
      </c>
      <c r="X9">
        <v>3</v>
      </c>
      <c r="Y9">
        <v>4</v>
      </c>
      <c r="Z9">
        <v>4</v>
      </c>
      <c r="AA9">
        <v>2</v>
      </c>
      <c r="AB9">
        <v>2</v>
      </c>
      <c r="AC9">
        <v>3</v>
      </c>
      <c r="AD9">
        <v>3</v>
      </c>
      <c r="AE9">
        <v>4</v>
      </c>
      <c r="AF9">
        <v>4</v>
      </c>
      <c r="AG9">
        <v>2</v>
      </c>
      <c r="AH9">
        <v>4</v>
      </c>
      <c r="AI9">
        <v>2</v>
      </c>
      <c r="AJ9">
        <v>2</v>
      </c>
      <c r="AK9" t="b">
        <f>Table7[[#This Row],[What is your age?]]&lt;&gt;"18 - 25"</f>
        <v>0</v>
      </c>
      <c r="AL9" t="b">
        <f t="shared" si="0"/>
        <v>0</v>
      </c>
      <c r="AM9" t="b">
        <f t="shared" si="1"/>
        <v>0</v>
      </c>
      <c r="AN9" t="b">
        <f t="shared" si="2"/>
        <v>0</v>
      </c>
      <c r="AO9" t="b">
        <f>OR(Table7[[#This Row],[Ineligible respondents]:[Inconsistent response on opposite question (3)]])</f>
        <v>0</v>
      </c>
      <c r="AP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9">
        <f>Table7[[#This Row],[Extreme Response]]/21</f>
        <v>0</v>
      </c>
      <c r="AR9">
        <f>Table67[[#This Row],[Threshold of ERS]]</f>
        <v>0.61904761904761907</v>
      </c>
      <c r="AS9" t="b">
        <f>Table7[[#This Row],[Extrem Response Ratio (ERS)]]&gt;=Table7[[#This Row],[Threshold of ERS]]</f>
        <v>0</v>
      </c>
      <c r="AT9" t="b" cm="1">
        <f t="array" ref="AT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9">
        <f>COUNTIF(Table7[[#This Row],[The mechanism of digital assets is difficult to understand, which discourages me from exploring it (E.g, Tokenization, Blockchain)]:[If I want to try different ways to invest, I will explore digital assets.]], 3)</f>
        <v>5</v>
      </c>
      <c r="AV9">
        <f>Table7[[#This Row],[Midpoint]]/21</f>
        <v>0.23809523809523808</v>
      </c>
      <c r="AW9">
        <f>Table67[[#This Row],[Threshold of Midpoint ratio]]</f>
        <v>0.5714285714285714</v>
      </c>
      <c r="AX9" t="b">
        <f>Table7[[#This Row],[Midpoint ratio]]&gt;=Table7[[#This Row],[Threshold of Midpoint ratio]]</f>
        <v>0</v>
      </c>
      <c r="AY9" t="b">
        <f>OR(Table7[[#This Row],[Extreme Response Style]:[Straight-lining with 1 deviation]],Table7[[#This Row],[Mid-point Response Style]])</f>
        <v>0</v>
      </c>
      <c r="AZ9" t="b">
        <f>OR(Table7[[#This Row],[Delete? (Stage 1)]],Table7[[#This Row],[Delete? (Stage 2)]])</f>
        <v>0</v>
      </c>
      <c r="BA9" t="s">
        <v>59</v>
      </c>
    </row>
    <row r="10" spans="1:53">
      <c r="A10">
        <v>43</v>
      </c>
      <c r="B10" s="3">
        <v>45988.572314814803</v>
      </c>
      <c r="C10" s="3">
        <v>45988.581168981502</v>
      </c>
      <c r="D10" t="s">
        <v>53</v>
      </c>
      <c r="G10" t="s">
        <v>54</v>
      </c>
      <c r="H10" t="s">
        <v>63</v>
      </c>
      <c r="I10" t="s">
        <v>56</v>
      </c>
      <c r="J10" t="s">
        <v>62</v>
      </c>
      <c r="K10" t="s">
        <v>57</v>
      </c>
      <c r="L10" t="s">
        <v>61</v>
      </c>
      <c r="M10" t="s">
        <v>58</v>
      </c>
      <c r="N10">
        <v>3</v>
      </c>
      <c r="O10">
        <v>2</v>
      </c>
      <c r="P10">
        <v>5</v>
      </c>
      <c r="Q10">
        <v>3</v>
      </c>
      <c r="R10">
        <v>4</v>
      </c>
      <c r="S10">
        <v>4</v>
      </c>
      <c r="T10">
        <v>4</v>
      </c>
      <c r="U10">
        <v>4</v>
      </c>
      <c r="V10">
        <v>4</v>
      </c>
      <c r="W10">
        <v>5</v>
      </c>
      <c r="X10">
        <v>4</v>
      </c>
      <c r="Y10">
        <v>5</v>
      </c>
      <c r="Z10">
        <v>5</v>
      </c>
      <c r="AA10">
        <v>3</v>
      </c>
      <c r="AB10">
        <v>3</v>
      </c>
      <c r="AC10">
        <v>3</v>
      </c>
      <c r="AD10">
        <v>4</v>
      </c>
      <c r="AE10">
        <v>3</v>
      </c>
      <c r="AF10">
        <v>1</v>
      </c>
      <c r="AG10">
        <v>3</v>
      </c>
      <c r="AH10">
        <v>3</v>
      </c>
      <c r="AI10">
        <v>3</v>
      </c>
      <c r="AJ10">
        <v>5</v>
      </c>
      <c r="AK10" t="b">
        <f>Table7[[#This Row],[What is your age?]]&lt;&gt;"18 - 25"</f>
        <v>0</v>
      </c>
      <c r="AL10" t="b">
        <f t="shared" si="0"/>
        <v>0</v>
      </c>
      <c r="AM10" t="b">
        <f t="shared" si="1"/>
        <v>0</v>
      </c>
      <c r="AN10" t="b">
        <f t="shared" si="2"/>
        <v>0</v>
      </c>
      <c r="AO10" t="b">
        <f>OR(Table7[[#This Row],[Ineligible respondents]:[Inconsistent response on opposite question (3)]])</f>
        <v>0</v>
      </c>
      <c r="AP1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5</v>
      </c>
      <c r="AQ10">
        <f>Table7[[#This Row],[Extreme Response]]/21</f>
        <v>0.23809523809523808</v>
      </c>
      <c r="AR10">
        <f>Table67[[#This Row],[Threshold of ERS]]</f>
        <v>0.61904761904761907</v>
      </c>
      <c r="AS10" t="b">
        <f>Table7[[#This Row],[Extrem Response Ratio (ERS)]]&gt;=Table7[[#This Row],[Threshold of ERS]]</f>
        <v>0</v>
      </c>
      <c r="AT10" t="b" cm="1">
        <f t="array" ref="AT1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0">
        <f>COUNTIF(Table7[[#This Row],[The mechanism of digital assets is difficult to understand, which discourages me from exploring it (E.g, Tokenization, Blockchain)]:[If I want to try different ways to invest, I will explore digital assets.]], 3)</f>
        <v>8</v>
      </c>
      <c r="AV10">
        <f>Table7[[#This Row],[Midpoint]]/21</f>
        <v>0.38095238095238093</v>
      </c>
      <c r="AW10">
        <f>Table67[[#This Row],[Threshold of Midpoint ratio]]</f>
        <v>0.5714285714285714</v>
      </c>
      <c r="AX10" t="b">
        <f>Table7[[#This Row],[Midpoint ratio]]&gt;=Table7[[#This Row],[Threshold of Midpoint ratio]]</f>
        <v>0</v>
      </c>
      <c r="AY10" t="b">
        <f>OR(Table7[[#This Row],[Extreme Response Style]:[Straight-lining with 1 deviation]],Table7[[#This Row],[Mid-point Response Style]])</f>
        <v>0</v>
      </c>
      <c r="AZ10" t="b">
        <f>OR(Table7[[#This Row],[Delete? (Stage 1)]],Table7[[#This Row],[Delete? (Stage 2)]])</f>
        <v>0</v>
      </c>
      <c r="BA10" t="s">
        <v>59</v>
      </c>
    </row>
    <row r="11" spans="1:53">
      <c r="A11">
        <v>46</v>
      </c>
      <c r="B11" s="3">
        <v>45988.673634259299</v>
      </c>
      <c r="C11" s="3">
        <v>45988.678252314799</v>
      </c>
      <c r="D11" t="s">
        <v>53</v>
      </c>
      <c r="G11" t="s">
        <v>54</v>
      </c>
      <c r="H11" t="s">
        <v>55</v>
      </c>
      <c r="I11" t="s">
        <v>56</v>
      </c>
      <c r="J11" t="s">
        <v>64</v>
      </c>
      <c r="K11" t="s">
        <v>72</v>
      </c>
      <c r="L11" t="s">
        <v>61</v>
      </c>
      <c r="M11" t="s">
        <v>61</v>
      </c>
      <c r="N11">
        <v>2</v>
      </c>
      <c r="O11">
        <v>1</v>
      </c>
      <c r="P11">
        <v>4</v>
      </c>
      <c r="Q11">
        <v>2</v>
      </c>
      <c r="R11">
        <v>2</v>
      </c>
      <c r="S11">
        <v>2</v>
      </c>
      <c r="T11">
        <v>2</v>
      </c>
      <c r="U11">
        <v>1</v>
      </c>
      <c r="V11">
        <v>4</v>
      </c>
      <c r="W11">
        <v>4</v>
      </c>
      <c r="X11">
        <v>4</v>
      </c>
      <c r="Y11">
        <v>4</v>
      </c>
      <c r="Z11">
        <v>2</v>
      </c>
      <c r="AA11">
        <v>3</v>
      </c>
      <c r="AB11">
        <v>1</v>
      </c>
      <c r="AC11">
        <v>3</v>
      </c>
      <c r="AD11">
        <v>2</v>
      </c>
      <c r="AE11">
        <v>1</v>
      </c>
      <c r="AF11">
        <v>4</v>
      </c>
      <c r="AG11">
        <v>2</v>
      </c>
      <c r="AH11">
        <v>4</v>
      </c>
      <c r="AI11">
        <v>2</v>
      </c>
      <c r="AJ11">
        <v>2</v>
      </c>
      <c r="AK11" t="b">
        <f>Table7[[#This Row],[What is your age?]]&lt;&gt;"18 - 25"</f>
        <v>0</v>
      </c>
      <c r="AL11" t="b">
        <f t="shared" si="0"/>
        <v>0</v>
      </c>
      <c r="AM11" t="b">
        <f t="shared" si="1"/>
        <v>0</v>
      </c>
      <c r="AN11" t="b">
        <f t="shared" si="2"/>
        <v>0</v>
      </c>
      <c r="AO11" t="b">
        <f>OR(Table7[[#This Row],[Ineligible respondents]:[Inconsistent response on opposite question (3)]])</f>
        <v>0</v>
      </c>
      <c r="AP1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11">
        <f>Table7[[#This Row],[Extreme Response]]/21</f>
        <v>0.19047619047619047</v>
      </c>
      <c r="AR11">
        <f>Table67[[#This Row],[Threshold of ERS]]</f>
        <v>0.61904761904761907</v>
      </c>
      <c r="AS11" t="b">
        <f>Table7[[#This Row],[Extrem Response Ratio (ERS)]]&gt;=Table7[[#This Row],[Threshold of ERS]]</f>
        <v>0</v>
      </c>
      <c r="AT11" t="b" cm="1">
        <f t="array" ref="AT1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1">
        <f>COUNTIF(Table7[[#This Row],[The mechanism of digital assets is difficult to understand, which discourages me from exploring it (E.g, Tokenization, Blockchain)]:[If I want to try different ways to invest, I will explore digital assets.]], 3)</f>
        <v>2</v>
      </c>
      <c r="AV11">
        <f>Table7[[#This Row],[Midpoint]]/21</f>
        <v>9.5238095238095233E-2</v>
      </c>
      <c r="AW11">
        <f>Table67[[#This Row],[Threshold of Midpoint ratio]]</f>
        <v>0.5714285714285714</v>
      </c>
      <c r="AX11" t="b">
        <f>Table7[[#This Row],[Midpoint ratio]]&gt;=Table7[[#This Row],[Threshold of Midpoint ratio]]</f>
        <v>0</v>
      </c>
      <c r="AY11" t="b">
        <f>OR(Table7[[#This Row],[Extreme Response Style]:[Straight-lining with 1 deviation]],Table7[[#This Row],[Mid-point Response Style]])</f>
        <v>0</v>
      </c>
      <c r="AZ11" t="b">
        <f>OR(Table7[[#This Row],[Delete? (Stage 1)]],Table7[[#This Row],[Delete? (Stage 2)]])</f>
        <v>0</v>
      </c>
      <c r="BA11" t="s">
        <v>59</v>
      </c>
    </row>
    <row r="12" spans="1:53">
      <c r="A12">
        <v>53</v>
      </c>
      <c r="B12" s="3">
        <v>45988.809143518498</v>
      </c>
      <c r="C12" s="3">
        <v>45988.811446759297</v>
      </c>
      <c r="D12" t="s">
        <v>53</v>
      </c>
      <c r="G12" t="s">
        <v>54</v>
      </c>
      <c r="H12" t="s">
        <v>55</v>
      </c>
      <c r="I12" t="s">
        <v>56</v>
      </c>
      <c r="J12" t="s">
        <v>67</v>
      </c>
      <c r="K12" t="s">
        <v>64</v>
      </c>
      <c r="L12" t="s">
        <v>61</v>
      </c>
      <c r="M12" t="s">
        <v>61</v>
      </c>
      <c r="N12">
        <v>2</v>
      </c>
      <c r="O12">
        <v>1</v>
      </c>
      <c r="P12">
        <v>4</v>
      </c>
      <c r="Q12">
        <v>2</v>
      </c>
      <c r="R12">
        <v>2</v>
      </c>
      <c r="S12">
        <v>3</v>
      </c>
      <c r="T12">
        <v>4</v>
      </c>
      <c r="U12">
        <v>3</v>
      </c>
      <c r="V12">
        <v>3</v>
      </c>
      <c r="W12">
        <v>3</v>
      </c>
      <c r="X12">
        <v>4</v>
      </c>
      <c r="Y12">
        <v>3</v>
      </c>
      <c r="Z12">
        <v>5</v>
      </c>
      <c r="AA12">
        <v>2</v>
      </c>
      <c r="AB12">
        <v>1</v>
      </c>
      <c r="AC12">
        <v>2</v>
      </c>
      <c r="AD12">
        <v>2</v>
      </c>
      <c r="AE12">
        <v>4</v>
      </c>
      <c r="AF12">
        <v>4</v>
      </c>
      <c r="AG12">
        <v>2</v>
      </c>
      <c r="AH12">
        <v>4</v>
      </c>
      <c r="AI12">
        <v>2</v>
      </c>
      <c r="AJ12">
        <v>2</v>
      </c>
      <c r="AK12" t="b">
        <f>Table7[[#This Row],[What is your age?]]&lt;&gt;"18 - 25"</f>
        <v>0</v>
      </c>
      <c r="AL12" t="b">
        <f t="shared" si="0"/>
        <v>0</v>
      </c>
      <c r="AM12" t="b">
        <f t="shared" si="1"/>
        <v>0</v>
      </c>
      <c r="AN12" t="b">
        <f t="shared" si="2"/>
        <v>0</v>
      </c>
      <c r="AO12" t="b">
        <f>OR(Table7[[#This Row],[Ineligible respondents]:[Inconsistent response on opposite question (3)]])</f>
        <v>0</v>
      </c>
      <c r="AP1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12">
        <f>Table7[[#This Row],[Extreme Response]]/21</f>
        <v>0.14285714285714285</v>
      </c>
      <c r="AR12">
        <f>Table67[[#This Row],[Threshold of ERS]]</f>
        <v>0.61904761904761907</v>
      </c>
      <c r="AS12" t="b">
        <f>Table7[[#This Row],[Extrem Response Ratio (ERS)]]&gt;=Table7[[#This Row],[Threshold of ERS]]</f>
        <v>0</v>
      </c>
      <c r="AT12" t="b" cm="1">
        <f t="array" ref="AT1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2">
        <f>COUNTIF(Table7[[#This Row],[The mechanism of digital assets is difficult to understand, which discourages me from exploring it (E.g, Tokenization, Blockchain)]:[If I want to try different ways to invest, I will explore digital assets.]], 3)</f>
        <v>5</v>
      </c>
      <c r="AV12">
        <f>Table7[[#This Row],[Midpoint]]/21</f>
        <v>0.23809523809523808</v>
      </c>
      <c r="AW12">
        <f>Table67[[#This Row],[Threshold of Midpoint ratio]]</f>
        <v>0.5714285714285714</v>
      </c>
      <c r="AX12" t="b">
        <f>Table7[[#This Row],[Midpoint ratio]]&gt;=Table7[[#This Row],[Threshold of Midpoint ratio]]</f>
        <v>0</v>
      </c>
      <c r="AY12" t="b">
        <f>OR(Table7[[#This Row],[Extreme Response Style]:[Straight-lining with 1 deviation]],Table7[[#This Row],[Mid-point Response Style]])</f>
        <v>0</v>
      </c>
      <c r="AZ12" t="b">
        <f>OR(Table7[[#This Row],[Delete? (Stage 1)]],Table7[[#This Row],[Delete? (Stage 2)]])</f>
        <v>0</v>
      </c>
      <c r="BA12" t="s">
        <v>59</v>
      </c>
    </row>
    <row r="13" spans="1:53">
      <c r="A13">
        <v>57</v>
      </c>
      <c r="B13" s="3">
        <v>45988.900578703702</v>
      </c>
      <c r="C13" s="3">
        <v>45988.902245370402</v>
      </c>
      <c r="D13" t="s">
        <v>53</v>
      </c>
      <c r="G13" t="s">
        <v>54</v>
      </c>
      <c r="H13" t="s">
        <v>63</v>
      </c>
      <c r="I13" t="s">
        <v>56</v>
      </c>
      <c r="J13" t="s">
        <v>62</v>
      </c>
      <c r="K13" t="s">
        <v>57</v>
      </c>
      <c r="L13" t="s">
        <v>58</v>
      </c>
      <c r="M13" t="s">
        <v>61</v>
      </c>
      <c r="N13">
        <v>4</v>
      </c>
      <c r="O13">
        <v>3</v>
      </c>
      <c r="P13">
        <v>4</v>
      </c>
      <c r="Q13">
        <v>3</v>
      </c>
      <c r="R13">
        <v>4</v>
      </c>
      <c r="S13">
        <v>4</v>
      </c>
      <c r="T13">
        <v>4</v>
      </c>
      <c r="U13">
        <v>4</v>
      </c>
      <c r="V13">
        <v>4</v>
      </c>
      <c r="W13">
        <v>5</v>
      </c>
      <c r="X13">
        <v>5</v>
      </c>
      <c r="Y13">
        <v>5</v>
      </c>
      <c r="Z13">
        <v>4</v>
      </c>
      <c r="AA13">
        <v>4</v>
      </c>
      <c r="AB13">
        <v>4</v>
      </c>
      <c r="AC13">
        <v>4</v>
      </c>
      <c r="AD13">
        <v>4</v>
      </c>
      <c r="AE13">
        <v>3</v>
      </c>
      <c r="AF13">
        <v>3</v>
      </c>
      <c r="AG13">
        <v>3</v>
      </c>
      <c r="AH13">
        <v>3</v>
      </c>
      <c r="AI13">
        <v>3</v>
      </c>
      <c r="AJ13">
        <v>3</v>
      </c>
      <c r="AK13" t="b">
        <f>Table7[[#This Row],[What is your age?]]&lt;&gt;"18 - 25"</f>
        <v>0</v>
      </c>
      <c r="AL13" t="b">
        <f t="shared" si="0"/>
        <v>0</v>
      </c>
      <c r="AM13" t="b">
        <f t="shared" si="1"/>
        <v>0</v>
      </c>
      <c r="AN13" t="b">
        <f t="shared" si="2"/>
        <v>0</v>
      </c>
      <c r="AO13" t="b">
        <f>OR(Table7[[#This Row],[Ineligible respondents]:[Inconsistent response on opposite question (3)]])</f>
        <v>0</v>
      </c>
      <c r="AP1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13">
        <f>Table7[[#This Row],[Extreme Response]]/21</f>
        <v>0.14285714285714285</v>
      </c>
      <c r="AR13">
        <f>Table67[[#This Row],[Threshold of ERS]]</f>
        <v>0.61904761904761907</v>
      </c>
      <c r="AS13" t="b">
        <f>Table7[[#This Row],[Extrem Response Ratio (ERS)]]&gt;=Table7[[#This Row],[Threshold of ERS]]</f>
        <v>0</v>
      </c>
      <c r="AT13" t="b" cm="1">
        <f t="array" ref="AT1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3">
        <f>COUNTIF(Table7[[#This Row],[The mechanism of digital assets is difficult to understand, which discourages me from exploring it (E.g, Tokenization, Blockchain)]:[If I want to try different ways to invest, I will explore digital assets.]], 3)</f>
        <v>6</v>
      </c>
      <c r="AV13">
        <f>Table7[[#This Row],[Midpoint]]/21</f>
        <v>0.2857142857142857</v>
      </c>
      <c r="AW13">
        <f>Table67[[#This Row],[Threshold of Midpoint ratio]]</f>
        <v>0.5714285714285714</v>
      </c>
      <c r="AX13" t="b">
        <f>Table7[[#This Row],[Midpoint ratio]]&gt;=Table7[[#This Row],[Threshold of Midpoint ratio]]</f>
        <v>0</v>
      </c>
      <c r="AY13" t="b">
        <f>OR(Table7[[#This Row],[Extreme Response Style]:[Straight-lining with 1 deviation]],Table7[[#This Row],[Mid-point Response Style]])</f>
        <v>0</v>
      </c>
      <c r="AZ13" t="b">
        <f>OR(Table7[[#This Row],[Delete? (Stage 1)]],Table7[[#This Row],[Delete? (Stage 2)]])</f>
        <v>0</v>
      </c>
      <c r="BA13" t="s">
        <v>59</v>
      </c>
    </row>
    <row r="14" spans="1:53">
      <c r="A14">
        <v>58</v>
      </c>
      <c r="B14" s="3">
        <v>45988.925439814797</v>
      </c>
      <c r="C14" s="3">
        <v>45988.927719907399</v>
      </c>
      <c r="D14" t="s">
        <v>53</v>
      </c>
      <c r="G14" t="s">
        <v>54</v>
      </c>
      <c r="H14" t="s">
        <v>55</v>
      </c>
      <c r="I14" t="s">
        <v>56</v>
      </c>
      <c r="J14" t="s">
        <v>67</v>
      </c>
      <c r="K14" t="s">
        <v>62</v>
      </c>
      <c r="L14" t="s">
        <v>61</v>
      </c>
      <c r="M14" t="s">
        <v>61</v>
      </c>
      <c r="N14">
        <v>1</v>
      </c>
      <c r="O14">
        <v>1</v>
      </c>
      <c r="P14">
        <v>2</v>
      </c>
      <c r="Q14">
        <v>4</v>
      </c>
      <c r="R14">
        <v>2</v>
      </c>
      <c r="S14">
        <v>2</v>
      </c>
      <c r="T14">
        <v>2</v>
      </c>
      <c r="U14">
        <v>1</v>
      </c>
      <c r="V14">
        <v>2</v>
      </c>
      <c r="W14">
        <v>2</v>
      </c>
      <c r="X14">
        <v>2</v>
      </c>
      <c r="Y14">
        <v>2</v>
      </c>
      <c r="Z14">
        <v>2</v>
      </c>
      <c r="AA14">
        <v>2</v>
      </c>
      <c r="AB14">
        <v>3</v>
      </c>
      <c r="AC14">
        <v>2</v>
      </c>
      <c r="AD14">
        <v>3</v>
      </c>
      <c r="AE14">
        <v>3</v>
      </c>
      <c r="AF14">
        <v>3</v>
      </c>
      <c r="AG14">
        <v>2</v>
      </c>
      <c r="AH14">
        <v>4</v>
      </c>
      <c r="AI14">
        <v>2</v>
      </c>
      <c r="AJ14">
        <v>3</v>
      </c>
      <c r="AK14" t="b">
        <f>Table7[[#This Row],[What is your age?]]&lt;&gt;"18 - 25"</f>
        <v>0</v>
      </c>
      <c r="AL14" t="b">
        <f t="shared" si="0"/>
        <v>0</v>
      </c>
      <c r="AM14" t="b">
        <f t="shared" si="1"/>
        <v>0</v>
      </c>
      <c r="AN14" t="b">
        <f t="shared" si="2"/>
        <v>0</v>
      </c>
      <c r="AO14" t="b">
        <f>OR(Table7[[#This Row],[Ineligible respondents]:[Inconsistent response on opposite question (3)]])</f>
        <v>0</v>
      </c>
      <c r="AP1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14">
        <f>Table7[[#This Row],[Extreme Response]]/21</f>
        <v>0.14285714285714285</v>
      </c>
      <c r="AR14">
        <f>Table67[[#This Row],[Threshold of ERS]]</f>
        <v>0.61904761904761907</v>
      </c>
      <c r="AS14" t="b">
        <f>Table7[[#This Row],[Extrem Response Ratio (ERS)]]&gt;=Table7[[#This Row],[Threshold of ERS]]</f>
        <v>0</v>
      </c>
      <c r="AT14" t="b" cm="1">
        <f t="array" ref="AT1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4">
        <f>COUNTIF(Table7[[#This Row],[The mechanism of digital assets is difficult to understand, which discourages me from exploring it (E.g, Tokenization, Blockchain)]:[If I want to try different ways to invest, I will explore digital assets.]], 3)</f>
        <v>4</v>
      </c>
      <c r="AV14">
        <f>Table7[[#This Row],[Midpoint]]/21</f>
        <v>0.19047619047619047</v>
      </c>
      <c r="AW14">
        <f>Table67[[#This Row],[Threshold of Midpoint ratio]]</f>
        <v>0.5714285714285714</v>
      </c>
      <c r="AX14" t="b">
        <f>Table7[[#This Row],[Midpoint ratio]]&gt;=Table7[[#This Row],[Threshold of Midpoint ratio]]</f>
        <v>0</v>
      </c>
      <c r="AY14" t="b">
        <f>OR(Table7[[#This Row],[Extreme Response Style]:[Straight-lining with 1 deviation]],Table7[[#This Row],[Mid-point Response Style]])</f>
        <v>0</v>
      </c>
      <c r="AZ14" t="b">
        <f>OR(Table7[[#This Row],[Delete? (Stage 1)]],Table7[[#This Row],[Delete? (Stage 2)]])</f>
        <v>0</v>
      </c>
      <c r="BA14" t="s">
        <v>59</v>
      </c>
    </row>
    <row r="15" spans="1:53">
      <c r="A15">
        <v>60</v>
      </c>
      <c r="B15" s="3">
        <v>45988.964513888903</v>
      </c>
      <c r="C15" s="3">
        <v>45988.965844907398</v>
      </c>
      <c r="D15" t="s">
        <v>53</v>
      </c>
      <c r="G15" t="s">
        <v>54</v>
      </c>
      <c r="H15" t="s">
        <v>55</v>
      </c>
      <c r="I15" t="s">
        <v>56</v>
      </c>
      <c r="J15" t="s">
        <v>62</v>
      </c>
      <c r="K15" t="s">
        <v>57</v>
      </c>
      <c r="L15" t="s">
        <v>58</v>
      </c>
      <c r="M15" t="s">
        <v>58</v>
      </c>
      <c r="N15">
        <v>4</v>
      </c>
      <c r="O15">
        <v>3</v>
      </c>
      <c r="P15">
        <v>4</v>
      </c>
      <c r="Q15">
        <v>2</v>
      </c>
      <c r="R15">
        <v>3</v>
      </c>
      <c r="S15">
        <v>4</v>
      </c>
      <c r="T15">
        <v>4</v>
      </c>
      <c r="U15">
        <v>4</v>
      </c>
      <c r="V15">
        <v>4</v>
      </c>
      <c r="W15">
        <v>3</v>
      </c>
      <c r="X15">
        <v>3</v>
      </c>
      <c r="Y15">
        <v>3</v>
      </c>
      <c r="Z15">
        <v>3</v>
      </c>
      <c r="AA15">
        <v>4</v>
      </c>
      <c r="AB15">
        <v>4</v>
      </c>
      <c r="AC15">
        <v>4</v>
      </c>
      <c r="AD15">
        <v>3</v>
      </c>
      <c r="AE15">
        <v>1</v>
      </c>
      <c r="AF15">
        <v>2</v>
      </c>
      <c r="AG15">
        <v>2</v>
      </c>
      <c r="AH15">
        <v>4</v>
      </c>
      <c r="AI15">
        <v>2</v>
      </c>
      <c r="AJ15">
        <v>4</v>
      </c>
      <c r="AK15" t="b">
        <f>Table7[[#This Row],[What is your age?]]&lt;&gt;"18 - 25"</f>
        <v>0</v>
      </c>
      <c r="AL15" t="b">
        <f t="shared" si="0"/>
        <v>0</v>
      </c>
      <c r="AM15" t="b">
        <f t="shared" si="1"/>
        <v>0</v>
      </c>
      <c r="AN15" t="b">
        <f t="shared" si="2"/>
        <v>0</v>
      </c>
      <c r="AO15" t="b">
        <f>OR(Table7[[#This Row],[Ineligible respondents]:[Inconsistent response on opposite question (3)]])</f>
        <v>0</v>
      </c>
      <c r="AP1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15">
        <f>Table7[[#This Row],[Extreme Response]]/21</f>
        <v>4.7619047619047616E-2</v>
      </c>
      <c r="AR15">
        <f>Table67[[#This Row],[Threshold of ERS]]</f>
        <v>0.61904761904761907</v>
      </c>
      <c r="AS15" t="b">
        <f>Table7[[#This Row],[Extrem Response Ratio (ERS)]]&gt;=Table7[[#This Row],[Threshold of ERS]]</f>
        <v>0</v>
      </c>
      <c r="AT15" t="b" cm="1">
        <f t="array" ref="AT1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5">
        <f>COUNTIF(Table7[[#This Row],[The mechanism of digital assets is difficult to understand, which discourages me from exploring it (E.g, Tokenization, Blockchain)]:[If I want to try different ways to invest, I will explore digital assets.]], 3)</f>
        <v>7</v>
      </c>
      <c r="AV15">
        <f>Table7[[#This Row],[Midpoint]]/21</f>
        <v>0.33333333333333331</v>
      </c>
      <c r="AW15">
        <f>Table67[[#This Row],[Threshold of Midpoint ratio]]</f>
        <v>0.5714285714285714</v>
      </c>
      <c r="AX15" t="b">
        <f>Table7[[#This Row],[Midpoint ratio]]&gt;=Table7[[#This Row],[Threshold of Midpoint ratio]]</f>
        <v>0</v>
      </c>
      <c r="AY15" t="b">
        <f>OR(Table7[[#This Row],[Extreme Response Style]:[Straight-lining with 1 deviation]],Table7[[#This Row],[Mid-point Response Style]])</f>
        <v>0</v>
      </c>
      <c r="AZ15" t="b">
        <f>OR(Table7[[#This Row],[Delete? (Stage 1)]],Table7[[#This Row],[Delete? (Stage 2)]])</f>
        <v>0</v>
      </c>
      <c r="BA15" t="s">
        <v>59</v>
      </c>
    </row>
    <row r="16" spans="1:53">
      <c r="A16">
        <v>64</v>
      </c>
      <c r="B16" s="3">
        <v>45989.900567129604</v>
      </c>
      <c r="C16" s="3">
        <v>45989.902951388904</v>
      </c>
      <c r="D16" t="s">
        <v>53</v>
      </c>
      <c r="G16" t="s">
        <v>54</v>
      </c>
      <c r="H16" t="s">
        <v>55</v>
      </c>
      <c r="I16" t="s">
        <v>56</v>
      </c>
      <c r="J16" t="s">
        <v>62</v>
      </c>
      <c r="K16" t="s">
        <v>57</v>
      </c>
      <c r="L16" t="s">
        <v>58</v>
      </c>
      <c r="M16" t="s">
        <v>61</v>
      </c>
      <c r="N16">
        <v>3</v>
      </c>
      <c r="O16">
        <v>5</v>
      </c>
      <c r="P16">
        <v>4</v>
      </c>
      <c r="Q16">
        <v>3</v>
      </c>
      <c r="R16">
        <v>4</v>
      </c>
      <c r="S16">
        <v>3</v>
      </c>
      <c r="T16">
        <v>3</v>
      </c>
      <c r="U16">
        <v>4</v>
      </c>
      <c r="V16">
        <v>3</v>
      </c>
      <c r="W16">
        <v>3</v>
      </c>
      <c r="X16">
        <v>4</v>
      </c>
      <c r="Y16">
        <v>4</v>
      </c>
      <c r="Z16">
        <v>4</v>
      </c>
      <c r="AA16">
        <v>4</v>
      </c>
      <c r="AB16">
        <v>4</v>
      </c>
      <c r="AC16">
        <v>3</v>
      </c>
      <c r="AD16">
        <v>3</v>
      </c>
      <c r="AE16">
        <v>4</v>
      </c>
      <c r="AF16">
        <v>3</v>
      </c>
      <c r="AG16">
        <v>4</v>
      </c>
      <c r="AH16">
        <v>2</v>
      </c>
      <c r="AI16">
        <v>4</v>
      </c>
      <c r="AJ16">
        <v>3</v>
      </c>
      <c r="AK16" t="b">
        <f>Table7[[#This Row],[What is your age?]]&lt;&gt;"18 - 25"</f>
        <v>0</v>
      </c>
      <c r="AL16" t="b">
        <f t="shared" si="0"/>
        <v>0</v>
      </c>
      <c r="AM16" t="b">
        <f t="shared" si="1"/>
        <v>0</v>
      </c>
      <c r="AN16" t="b">
        <f t="shared" si="2"/>
        <v>0</v>
      </c>
      <c r="AO16" t="b">
        <f>OR(Table7[[#This Row],[Ineligible respondents]:[Inconsistent response on opposite question (3)]])</f>
        <v>0</v>
      </c>
      <c r="AP1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16">
        <f>Table7[[#This Row],[Extreme Response]]/21</f>
        <v>4.7619047619047616E-2</v>
      </c>
      <c r="AR16">
        <f>Table67[[#This Row],[Threshold of ERS]]</f>
        <v>0.61904761904761907</v>
      </c>
      <c r="AS16" t="b">
        <f>Table7[[#This Row],[Extrem Response Ratio (ERS)]]&gt;=Table7[[#This Row],[Threshold of ERS]]</f>
        <v>0</v>
      </c>
      <c r="AT16" t="b" cm="1">
        <f t="array" ref="AT1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6">
        <f>COUNTIF(Table7[[#This Row],[The mechanism of digital assets is difficult to understand, which discourages me from exploring it (E.g, Tokenization, Blockchain)]:[If I want to try different ways to invest, I will explore digital assets.]], 3)</f>
        <v>9</v>
      </c>
      <c r="AV16">
        <f>Table7[[#This Row],[Midpoint]]/21</f>
        <v>0.42857142857142855</v>
      </c>
      <c r="AW16">
        <f>Table67[[#This Row],[Threshold of Midpoint ratio]]</f>
        <v>0.5714285714285714</v>
      </c>
      <c r="AX16" t="b">
        <f>Table7[[#This Row],[Midpoint ratio]]&gt;=Table7[[#This Row],[Threshold of Midpoint ratio]]</f>
        <v>0</v>
      </c>
      <c r="AY16" t="b">
        <f>OR(Table7[[#This Row],[Extreme Response Style]:[Straight-lining with 1 deviation]],Table7[[#This Row],[Mid-point Response Style]])</f>
        <v>0</v>
      </c>
      <c r="AZ16" t="b">
        <f>OR(Table7[[#This Row],[Delete? (Stage 1)]],Table7[[#This Row],[Delete? (Stage 2)]])</f>
        <v>0</v>
      </c>
      <c r="BA16" t="s">
        <v>59</v>
      </c>
    </row>
    <row r="17" spans="1:53">
      <c r="A17">
        <v>76</v>
      </c>
      <c r="B17" s="3">
        <v>45990.709965277798</v>
      </c>
      <c r="C17" s="3">
        <v>45990.716736111099</v>
      </c>
      <c r="D17" t="s">
        <v>53</v>
      </c>
      <c r="G17" t="s">
        <v>54</v>
      </c>
      <c r="H17" t="s">
        <v>63</v>
      </c>
      <c r="I17" t="s">
        <v>56</v>
      </c>
      <c r="J17" t="s">
        <v>57</v>
      </c>
      <c r="K17" t="s">
        <v>57</v>
      </c>
      <c r="L17" t="s">
        <v>58</v>
      </c>
      <c r="M17" t="s">
        <v>58</v>
      </c>
      <c r="N17">
        <v>4</v>
      </c>
      <c r="O17">
        <v>3</v>
      </c>
      <c r="P17">
        <v>5</v>
      </c>
      <c r="Q17">
        <v>4</v>
      </c>
      <c r="R17">
        <v>4</v>
      </c>
      <c r="S17">
        <v>4</v>
      </c>
      <c r="T17">
        <v>3</v>
      </c>
      <c r="U17">
        <v>4</v>
      </c>
      <c r="V17">
        <v>5</v>
      </c>
      <c r="W17">
        <v>5</v>
      </c>
      <c r="X17">
        <v>5</v>
      </c>
      <c r="Y17">
        <v>5</v>
      </c>
      <c r="Z17">
        <v>5</v>
      </c>
      <c r="AA17">
        <v>4</v>
      </c>
      <c r="AB17">
        <v>4</v>
      </c>
      <c r="AC17">
        <v>5</v>
      </c>
      <c r="AD17">
        <v>4</v>
      </c>
      <c r="AE17">
        <v>3</v>
      </c>
      <c r="AF17">
        <v>3</v>
      </c>
      <c r="AG17">
        <v>3</v>
      </c>
      <c r="AH17">
        <v>3</v>
      </c>
      <c r="AI17">
        <v>3</v>
      </c>
      <c r="AJ17">
        <v>3</v>
      </c>
      <c r="AK17" t="b">
        <f>Table7[[#This Row],[What is your age?]]&lt;&gt;"18 - 25"</f>
        <v>0</v>
      </c>
      <c r="AL17" t="b">
        <f t="shared" si="0"/>
        <v>0</v>
      </c>
      <c r="AM17" t="b">
        <f t="shared" si="1"/>
        <v>0</v>
      </c>
      <c r="AN17" t="b">
        <f t="shared" si="2"/>
        <v>0</v>
      </c>
      <c r="AO17" t="b">
        <f>OR(Table7[[#This Row],[Ineligible respondents]:[Inconsistent response on opposite question (3)]])</f>
        <v>0</v>
      </c>
      <c r="AP1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7</v>
      </c>
      <c r="AQ17">
        <f>Table7[[#This Row],[Extreme Response]]/21</f>
        <v>0.33333333333333331</v>
      </c>
      <c r="AR17">
        <f>Table67[[#This Row],[Threshold of ERS]]</f>
        <v>0.61904761904761907</v>
      </c>
      <c r="AS17" t="b">
        <f>Table7[[#This Row],[Extrem Response Ratio (ERS)]]&gt;=Table7[[#This Row],[Threshold of ERS]]</f>
        <v>0</v>
      </c>
      <c r="AT17" t="b" cm="1">
        <f t="array" ref="AT1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7">
        <f>COUNTIF(Table7[[#This Row],[The mechanism of digital assets is difficult to understand, which discourages me from exploring it (E.g, Tokenization, Blockchain)]:[If I want to try different ways to invest, I will explore digital assets.]], 3)</f>
        <v>6</v>
      </c>
      <c r="AV17">
        <f>Table7[[#This Row],[Midpoint]]/21</f>
        <v>0.2857142857142857</v>
      </c>
      <c r="AW17">
        <f>Table67[[#This Row],[Threshold of Midpoint ratio]]</f>
        <v>0.5714285714285714</v>
      </c>
      <c r="AX17" t="b">
        <f>Table7[[#This Row],[Midpoint ratio]]&gt;=Table7[[#This Row],[Threshold of Midpoint ratio]]</f>
        <v>0</v>
      </c>
      <c r="AY17" t="b">
        <f>OR(Table7[[#This Row],[Extreme Response Style]:[Straight-lining with 1 deviation]],Table7[[#This Row],[Mid-point Response Style]])</f>
        <v>0</v>
      </c>
      <c r="AZ17" t="b">
        <f>OR(Table7[[#This Row],[Delete? (Stage 1)]],Table7[[#This Row],[Delete? (Stage 2)]])</f>
        <v>0</v>
      </c>
      <c r="BA17" t="s">
        <v>59</v>
      </c>
    </row>
    <row r="18" spans="1:53">
      <c r="A18">
        <v>79</v>
      </c>
      <c r="B18" s="3">
        <v>45991.559837963003</v>
      </c>
      <c r="C18" s="3">
        <v>45991.561724537001</v>
      </c>
      <c r="D18" t="s">
        <v>53</v>
      </c>
      <c r="G18" t="s">
        <v>54</v>
      </c>
      <c r="H18" t="s">
        <v>63</v>
      </c>
      <c r="I18" t="s">
        <v>56</v>
      </c>
      <c r="J18" t="s">
        <v>67</v>
      </c>
      <c r="K18" t="s">
        <v>64</v>
      </c>
      <c r="L18" t="s">
        <v>58</v>
      </c>
      <c r="M18" t="s">
        <v>58</v>
      </c>
      <c r="N18">
        <v>5</v>
      </c>
      <c r="O18">
        <v>3</v>
      </c>
      <c r="P18">
        <v>3</v>
      </c>
      <c r="Q18">
        <v>3</v>
      </c>
      <c r="R18">
        <v>5</v>
      </c>
      <c r="S18">
        <v>4</v>
      </c>
      <c r="T18">
        <v>4</v>
      </c>
      <c r="U18">
        <v>4</v>
      </c>
      <c r="V18">
        <v>5</v>
      </c>
      <c r="W18">
        <v>5</v>
      </c>
      <c r="X18">
        <v>5</v>
      </c>
      <c r="Y18">
        <v>5</v>
      </c>
      <c r="Z18">
        <v>3</v>
      </c>
      <c r="AA18">
        <v>4</v>
      </c>
      <c r="AB18">
        <v>4</v>
      </c>
      <c r="AC18">
        <v>4</v>
      </c>
      <c r="AD18">
        <v>4</v>
      </c>
      <c r="AE18">
        <v>4</v>
      </c>
      <c r="AF18">
        <v>3</v>
      </c>
      <c r="AG18">
        <v>3</v>
      </c>
      <c r="AH18">
        <v>3</v>
      </c>
      <c r="AI18">
        <v>3</v>
      </c>
      <c r="AJ18">
        <v>3</v>
      </c>
      <c r="AK18" t="b">
        <f>Table7[[#This Row],[What is your age?]]&lt;&gt;"18 - 25"</f>
        <v>0</v>
      </c>
      <c r="AL18" t="b">
        <f t="shared" si="0"/>
        <v>0</v>
      </c>
      <c r="AM18" t="b">
        <f t="shared" si="1"/>
        <v>0</v>
      </c>
      <c r="AN18" t="b">
        <f t="shared" si="2"/>
        <v>0</v>
      </c>
      <c r="AO18" t="b">
        <f>OR(Table7[[#This Row],[Ineligible respondents]:[Inconsistent response on opposite question (3)]])</f>
        <v>0</v>
      </c>
      <c r="AP1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6</v>
      </c>
      <c r="AQ18">
        <f>Table7[[#This Row],[Extreme Response]]/21</f>
        <v>0.2857142857142857</v>
      </c>
      <c r="AR18">
        <f>Table67[[#This Row],[Threshold of ERS]]</f>
        <v>0.61904761904761907</v>
      </c>
      <c r="AS18" t="b">
        <f>Table7[[#This Row],[Extrem Response Ratio (ERS)]]&gt;=Table7[[#This Row],[Threshold of ERS]]</f>
        <v>0</v>
      </c>
      <c r="AT18" t="b" cm="1">
        <f t="array" ref="AT1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8">
        <f>COUNTIF(Table7[[#This Row],[The mechanism of digital assets is difficult to understand, which discourages me from exploring it (E.g, Tokenization, Blockchain)]:[If I want to try different ways to invest, I will explore digital assets.]], 3)</f>
        <v>7</v>
      </c>
      <c r="AV18">
        <f>Table7[[#This Row],[Midpoint]]/21</f>
        <v>0.33333333333333331</v>
      </c>
      <c r="AW18">
        <f>Table67[[#This Row],[Threshold of Midpoint ratio]]</f>
        <v>0.5714285714285714</v>
      </c>
      <c r="AX18" t="b">
        <f>Table7[[#This Row],[Midpoint ratio]]&gt;=Table7[[#This Row],[Threshold of Midpoint ratio]]</f>
        <v>0</v>
      </c>
      <c r="AY18" t="b">
        <f>OR(Table7[[#This Row],[Extreme Response Style]:[Straight-lining with 1 deviation]],Table7[[#This Row],[Mid-point Response Style]])</f>
        <v>0</v>
      </c>
      <c r="AZ18" t="b">
        <f>OR(Table7[[#This Row],[Delete? (Stage 1)]],Table7[[#This Row],[Delete? (Stage 2)]])</f>
        <v>0</v>
      </c>
      <c r="BA18" t="s">
        <v>59</v>
      </c>
    </row>
    <row r="19" spans="1:53">
      <c r="A19">
        <v>80</v>
      </c>
      <c r="B19" s="3">
        <v>45991.563923611102</v>
      </c>
      <c r="C19" s="3">
        <v>45991.564942129597</v>
      </c>
      <c r="D19" t="s">
        <v>53</v>
      </c>
      <c r="G19" t="s">
        <v>54</v>
      </c>
      <c r="H19" t="s">
        <v>55</v>
      </c>
      <c r="I19" t="s">
        <v>56</v>
      </c>
      <c r="J19" t="s">
        <v>66</v>
      </c>
      <c r="K19" t="s">
        <v>57</v>
      </c>
      <c r="L19" t="s">
        <v>58</v>
      </c>
      <c r="M19" t="s">
        <v>58</v>
      </c>
      <c r="N19">
        <v>4</v>
      </c>
      <c r="O19">
        <v>3</v>
      </c>
      <c r="P19">
        <v>4</v>
      </c>
      <c r="Q19">
        <v>3</v>
      </c>
      <c r="R19">
        <v>4</v>
      </c>
      <c r="S19">
        <v>4</v>
      </c>
      <c r="T19">
        <v>3</v>
      </c>
      <c r="U19">
        <v>4</v>
      </c>
      <c r="V19">
        <v>4</v>
      </c>
      <c r="W19">
        <v>3</v>
      </c>
      <c r="X19">
        <v>4</v>
      </c>
      <c r="Y19">
        <v>3</v>
      </c>
      <c r="Z19">
        <v>4</v>
      </c>
      <c r="AA19">
        <v>3</v>
      </c>
      <c r="AB19">
        <v>4</v>
      </c>
      <c r="AC19">
        <v>4</v>
      </c>
      <c r="AD19">
        <v>5</v>
      </c>
      <c r="AE19">
        <v>4</v>
      </c>
      <c r="AF19">
        <v>3</v>
      </c>
      <c r="AG19">
        <v>3</v>
      </c>
      <c r="AH19">
        <v>3</v>
      </c>
      <c r="AI19">
        <v>3</v>
      </c>
      <c r="AJ19">
        <v>3</v>
      </c>
      <c r="AK19" t="b">
        <f>Table7[[#This Row],[What is your age?]]&lt;&gt;"18 - 25"</f>
        <v>0</v>
      </c>
      <c r="AL19" t="b">
        <f t="shared" si="0"/>
        <v>0</v>
      </c>
      <c r="AM19" t="b">
        <f t="shared" si="1"/>
        <v>0</v>
      </c>
      <c r="AN19" t="b">
        <f t="shared" si="2"/>
        <v>0</v>
      </c>
      <c r="AO19" t="b">
        <f>OR(Table7[[#This Row],[Ineligible respondents]:[Inconsistent response on opposite question (3)]])</f>
        <v>0</v>
      </c>
      <c r="AP1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19">
        <f>Table7[[#This Row],[Extreme Response]]/21</f>
        <v>4.7619047619047616E-2</v>
      </c>
      <c r="AR19">
        <f>Table67[[#This Row],[Threshold of ERS]]</f>
        <v>0.61904761904761907</v>
      </c>
      <c r="AS19" t="b">
        <f>Table7[[#This Row],[Extrem Response Ratio (ERS)]]&gt;=Table7[[#This Row],[Threshold of ERS]]</f>
        <v>0</v>
      </c>
      <c r="AT19" t="b" cm="1">
        <f t="array" ref="AT1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9">
        <f>COUNTIF(Table7[[#This Row],[The mechanism of digital assets is difficult to understand, which discourages me from exploring it (E.g, Tokenization, Blockchain)]:[If I want to try different ways to invest, I will explore digital assets.]], 3)</f>
        <v>9</v>
      </c>
      <c r="AV19">
        <f>Table7[[#This Row],[Midpoint]]/21</f>
        <v>0.42857142857142855</v>
      </c>
      <c r="AW19">
        <f>Table67[[#This Row],[Threshold of Midpoint ratio]]</f>
        <v>0.5714285714285714</v>
      </c>
      <c r="AX19" t="b">
        <f>Table7[[#This Row],[Midpoint ratio]]&gt;=Table7[[#This Row],[Threshold of Midpoint ratio]]</f>
        <v>0</v>
      </c>
      <c r="AY19" t="b">
        <f>OR(Table7[[#This Row],[Extreme Response Style]:[Straight-lining with 1 deviation]],Table7[[#This Row],[Mid-point Response Style]])</f>
        <v>0</v>
      </c>
      <c r="AZ19" t="b">
        <f>OR(Table7[[#This Row],[Delete? (Stage 1)]],Table7[[#This Row],[Delete? (Stage 2)]])</f>
        <v>0</v>
      </c>
      <c r="BA19" t="s">
        <v>59</v>
      </c>
    </row>
    <row r="20" spans="1:53">
      <c r="A20">
        <v>85</v>
      </c>
      <c r="B20" s="3">
        <v>45991.597615740699</v>
      </c>
      <c r="C20" s="3">
        <v>45991.603298611102</v>
      </c>
      <c r="D20" t="s">
        <v>53</v>
      </c>
      <c r="G20" t="s">
        <v>54</v>
      </c>
      <c r="H20" t="s">
        <v>63</v>
      </c>
      <c r="I20" t="s">
        <v>56</v>
      </c>
      <c r="J20" t="s">
        <v>67</v>
      </c>
      <c r="K20" t="s">
        <v>57</v>
      </c>
      <c r="L20" t="s">
        <v>58</v>
      </c>
      <c r="M20" t="s">
        <v>61</v>
      </c>
      <c r="N20">
        <v>4</v>
      </c>
      <c r="O20">
        <v>2</v>
      </c>
      <c r="P20">
        <v>4</v>
      </c>
      <c r="Q20">
        <v>3</v>
      </c>
      <c r="R20">
        <v>4</v>
      </c>
      <c r="S20">
        <v>4</v>
      </c>
      <c r="T20">
        <v>4</v>
      </c>
      <c r="U20">
        <v>4</v>
      </c>
      <c r="V20">
        <v>4</v>
      </c>
      <c r="W20">
        <v>4</v>
      </c>
      <c r="X20">
        <v>3</v>
      </c>
      <c r="Y20">
        <v>4</v>
      </c>
      <c r="Z20">
        <v>4</v>
      </c>
      <c r="AA20">
        <v>4</v>
      </c>
      <c r="AB20">
        <v>3</v>
      </c>
      <c r="AC20">
        <v>3</v>
      </c>
      <c r="AD20">
        <v>3</v>
      </c>
      <c r="AE20">
        <v>2</v>
      </c>
      <c r="AF20">
        <v>2</v>
      </c>
      <c r="AG20">
        <v>4</v>
      </c>
      <c r="AH20">
        <v>2</v>
      </c>
      <c r="AI20">
        <v>4</v>
      </c>
      <c r="AJ20">
        <v>4</v>
      </c>
      <c r="AK20" t="b">
        <f>Table7[[#This Row],[What is your age?]]&lt;&gt;"18 - 25"</f>
        <v>0</v>
      </c>
      <c r="AL20" t="b">
        <f t="shared" si="0"/>
        <v>0</v>
      </c>
      <c r="AM20" t="b">
        <f t="shared" si="1"/>
        <v>0</v>
      </c>
      <c r="AN20" t="b">
        <f t="shared" si="2"/>
        <v>0</v>
      </c>
      <c r="AO20" t="b">
        <f>OR(Table7[[#This Row],[Ineligible respondents]:[Inconsistent response on opposite question (3)]])</f>
        <v>0</v>
      </c>
      <c r="AP2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20">
        <f>Table7[[#This Row],[Extreme Response]]/21</f>
        <v>0</v>
      </c>
      <c r="AR20">
        <f>Table67[[#This Row],[Threshold of ERS]]</f>
        <v>0.61904761904761907</v>
      </c>
      <c r="AS20" t="b">
        <f>Table7[[#This Row],[Extrem Response Ratio (ERS)]]&gt;=Table7[[#This Row],[Threshold of ERS]]</f>
        <v>0</v>
      </c>
      <c r="AT20" t="b" cm="1">
        <f t="array" ref="AT2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0">
        <f>COUNTIF(Table7[[#This Row],[The mechanism of digital assets is difficult to understand, which discourages me from exploring it (E.g, Tokenization, Blockchain)]:[If I want to try different ways to invest, I will explore digital assets.]], 3)</f>
        <v>5</v>
      </c>
      <c r="AV20">
        <f>Table7[[#This Row],[Midpoint]]/21</f>
        <v>0.23809523809523808</v>
      </c>
      <c r="AW20">
        <f>Table67[[#This Row],[Threshold of Midpoint ratio]]</f>
        <v>0.5714285714285714</v>
      </c>
      <c r="AX20" t="b">
        <f>Table7[[#This Row],[Midpoint ratio]]&gt;=Table7[[#This Row],[Threshold of Midpoint ratio]]</f>
        <v>0</v>
      </c>
      <c r="AY20" t="b">
        <f>OR(Table7[[#This Row],[Extreme Response Style]:[Straight-lining with 1 deviation]],Table7[[#This Row],[Mid-point Response Style]])</f>
        <v>0</v>
      </c>
      <c r="AZ20" t="b">
        <f>OR(Table7[[#This Row],[Delete? (Stage 1)]],Table7[[#This Row],[Delete? (Stage 2)]])</f>
        <v>0</v>
      </c>
      <c r="BA20" t="s">
        <v>59</v>
      </c>
    </row>
    <row r="21" spans="1:53">
      <c r="A21">
        <v>86</v>
      </c>
      <c r="B21" s="3">
        <v>45991.608402777798</v>
      </c>
      <c r="C21" s="3">
        <v>45991.610474537003</v>
      </c>
      <c r="D21" t="s">
        <v>53</v>
      </c>
      <c r="G21" t="s">
        <v>54</v>
      </c>
      <c r="H21" t="s">
        <v>63</v>
      </c>
      <c r="I21" t="s">
        <v>56</v>
      </c>
      <c r="J21" t="s">
        <v>60</v>
      </c>
      <c r="K21" t="s">
        <v>60</v>
      </c>
      <c r="L21" t="s">
        <v>61</v>
      </c>
      <c r="M21" t="s">
        <v>58</v>
      </c>
      <c r="N21">
        <v>4</v>
      </c>
      <c r="O21">
        <v>5</v>
      </c>
      <c r="P21">
        <v>4</v>
      </c>
      <c r="Q21">
        <v>4</v>
      </c>
      <c r="R21">
        <v>4</v>
      </c>
      <c r="S21">
        <v>4</v>
      </c>
      <c r="T21">
        <v>3</v>
      </c>
      <c r="U21">
        <v>4</v>
      </c>
      <c r="V21">
        <v>3</v>
      </c>
      <c r="W21">
        <v>2</v>
      </c>
      <c r="X21">
        <v>2</v>
      </c>
      <c r="Y21">
        <v>3</v>
      </c>
      <c r="Z21">
        <v>4</v>
      </c>
      <c r="AA21">
        <v>4</v>
      </c>
      <c r="AB21">
        <v>4</v>
      </c>
      <c r="AC21">
        <v>4</v>
      </c>
      <c r="AD21">
        <v>4</v>
      </c>
      <c r="AE21">
        <v>1</v>
      </c>
      <c r="AF21">
        <v>5</v>
      </c>
      <c r="AG21">
        <v>1</v>
      </c>
      <c r="AH21">
        <v>5</v>
      </c>
      <c r="AI21">
        <v>1</v>
      </c>
      <c r="AJ21">
        <v>1</v>
      </c>
      <c r="AK21" t="b">
        <f>Table7[[#This Row],[What is your age?]]&lt;&gt;"18 - 25"</f>
        <v>0</v>
      </c>
      <c r="AL21" t="b">
        <f t="shared" si="0"/>
        <v>0</v>
      </c>
      <c r="AM21" t="b">
        <f t="shared" si="1"/>
        <v>0</v>
      </c>
      <c r="AN21" t="b">
        <f t="shared" si="2"/>
        <v>0</v>
      </c>
      <c r="AO21" t="b">
        <f>OR(Table7[[#This Row],[Ineligible respondents]:[Inconsistent response on opposite question (3)]])</f>
        <v>0</v>
      </c>
      <c r="AP2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5</v>
      </c>
      <c r="AQ21">
        <f>Table7[[#This Row],[Extreme Response]]/21</f>
        <v>0.23809523809523808</v>
      </c>
      <c r="AR21">
        <f>Table67[[#This Row],[Threshold of ERS]]</f>
        <v>0.61904761904761907</v>
      </c>
      <c r="AS21" t="b">
        <f>Table7[[#This Row],[Extrem Response Ratio (ERS)]]&gt;=Table7[[#This Row],[Threshold of ERS]]</f>
        <v>0</v>
      </c>
      <c r="AT21" t="b" cm="1">
        <f t="array" ref="AT2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1">
        <f>COUNTIF(Table7[[#This Row],[The mechanism of digital assets is difficult to understand, which discourages me from exploring it (E.g, Tokenization, Blockchain)]:[If I want to try different ways to invest, I will explore digital assets.]], 3)</f>
        <v>3</v>
      </c>
      <c r="AV21">
        <f>Table7[[#This Row],[Midpoint]]/21</f>
        <v>0.14285714285714285</v>
      </c>
      <c r="AW21">
        <f>Table67[[#This Row],[Threshold of Midpoint ratio]]</f>
        <v>0.5714285714285714</v>
      </c>
      <c r="AX21" t="b">
        <f>Table7[[#This Row],[Midpoint ratio]]&gt;=Table7[[#This Row],[Threshold of Midpoint ratio]]</f>
        <v>0</v>
      </c>
      <c r="AY21" t="b">
        <f>OR(Table7[[#This Row],[Extreme Response Style]:[Straight-lining with 1 deviation]],Table7[[#This Row],[Mid-point Response Style]])</f>
        <v>0</v>
      </c>
      <c r="AZ21" t="b">
        <f>OR(Table7[[#This Row],[Delete? (Stage 1)]],Table7[[#This Row],[Delete? (Stage 2)]])</f>
        <v>0</v>
      </c>
      <c r="BA21" t="s">
        <v>59</v>
      </c>
    </row>
    <row r="22" spans="1:53">
      <c r="A22">
        <v>88</v>
      </c>
      <c r="B22" s="3">
        <v>45991.785150463002</v>
      </c>
      <c r="C22" s="3">
        <v>45991.786400463003</v>
      </c>
      <c r="D22" t="s">
        <v>53</v>
      </c>
      <c r="G22" t="s">
        <v>54</v>
      </c>
      <c r="H22" t="s">
        <v>63</v>
      </c>
      <c r="I22" t="s">
        <v>56</v>
      </c>
      <c r="J22" t="s">
        <v>62</v>
      </c>
      <c r="K22" t="s">
        <v>57</v>
      </c>
      <c r="L22" t="s">
        <v>61</v>
      </c>
      <c r="M22" t="s">
        <v>61</v>
      </c>
      <c r="N22">
        <v>4</v>
      </c>
      <c r="O22">
        <v>3</v>
      </c>
      <c r="P22">
        <v>3</v>
      </c>
      <c r="Q22">
        <v>4</v>
      </c>
      <c r="R22">
        <v>3</v>
      </c>
      <c r="S22">
        <v>4</v>
      </c>
      <c r="T22">
        <v>2</v>
      </c>
      <c r="U22">
        <v>3</v>
      </c>
      <c r="V22">
        <v>4</v>
      </c>
      <c r="W22">
        <v>4</v>
      </c>
      <c r="X22">
        <v>3</v>
      </c>
      <c r="Y22">
        <v>3</v>
      </c>
      <c r="Z22">
        <v>4</v>
      </c>
      <c r="AA22">
        <v>3</v>
      </c>
      <c r="AB22">
        <v>2</v>
      </c>
      <c r="AC22">
        <v>2</v>
      </c>
      <c r="AD22">
        <v>2</v>
      </c>
      <c r="AE22">
        <v>2</v>
      </c>
      <c r="AF22">
        <v>4</v>
      </c>
      <c r="AG22">
        <v>2</v>
      </c>
      <c r="AH22">
        <v>4</v>
      </c>
      <c r="AI22">
        <v>2</v>
      </c>
      <c r="AJ22">
        <v>2</v>
      </c>
      <c r="AK22" t="b">
        <f>Table7[[#This Row],[What is your age?]]&lt;&gt;"18 - 25"</f>
        <v>0</v>
      </c>
      <c r="AL22" t="b">
        <f t="shared" si="0"/>
        <v>0</v>
      </c>
      <c r="AM22" t="b">
        <f t="shared" si="1"/>
        <v>0</v>
      </c>
      <c r="AN22" t="b">
        <f t="shared" si="2"/>
        <v>0</v>
      </c>
      <c r="AO22" t="b">
        <f>OR(Table7[[#This Row],[Ineligible respondents]:[Inconsistent response on opposite question (3)]])</f>
        <v>0</v>
      </c>
      <c r="AP2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22">
        <f>Table7[[#This Row],[Extreme Response]]/21</f>
        <v>0</v>
      </c>
      <c r="AR22">
        <f>Table67[[#This Row],[Threshold of ERS]]</f>
        <v>0.61904761904761907</v>
      </c>
      <c r="AS22" t="b">
        <f>Table7[[#This Row],[Extrem Response Ratio (ERS)]]&gt;=Table7[[#This Row],[Threshold of ERS]]</f>
        <v>0</v>
      </c>
      <c r="AT22" t="b" cm="1">
        <f t="array" ref="AT2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2">
        <f>COUNTIF(Table7[[#This Row],[The mechanism of digital assets is difficult to understand, which discourages me from exploring it (E.g, Tokenization, Blockchain)]:[If I want to try different ways to invest, I will explore digital assets.]], 3)</f>
        <v>7</v>
      </c>
      <c r="AV22">
        <f>Table7[[#This Row],[Midpoint]]/21</f>
        <v>0.33333333333333331</v>
      </c>
      <c r="AW22">
        <f>Table67[[#This Row],[Threshold of Midpoint ratio]]</f>
        <v>0.5714285714285714</v>
      </c>
      <c r="AX22" t="b">
        <f>Table7[[#This Row],[Midpoint ratio]]&gt;=Table7[[#This Row],[Threshold of Midpoint ratio]]</f>
        <v>0</v>
      </c>
      <c r="AY22" t="b">
        <f>OR(Table7[[#This Row],[Extreme Response Style]:[Straight-lining with 1 deviation]],Table7[[#This Row],[Mid-point Response Style]])</f>
        <v>0</v>
      </c>
      <c r="AZ22" t="b">
        <f>OR(Table7[[#This Row],[Delete? (Stage 1)]],Table7[[#This Row],[Delete? (Stage 2)]])</f>
        <v>0</v>
      </c>
      <c r="BA22" t="s">
        <v>59</v>
      </c>
    </row>
    <row r="23" spans="1:53">
      <c r="A23">
        <v>93</v>
      </c>
      <c r="B23" s="3">
        <v>45992.7659375</v>
      </c>
      <c r="C23" s="3">
        <v>45992.769062500003</v>
      </c>
      <c r="D23" t="s">
        <v>53</v>
      </c>
      <c r="G23" t="s">
        <v>54</v>
      </c>
      <c r="H23" t="s">
        <v>63</v>
      </c>
      <c r="I23" t="s">
        <v>75</v>
      </c>
      <c r="J23" t="s">
        <v>67</v>
      </c>
      <c r="K23" t="s">
        <v>66</v>
      </c>
      <c r="L23" t="s">
        <v>58</v>
      </c>
      <c r="M23" t="s">
        <v>58</v>
      </c>
      <c r="N23">
        <v>4</v>
      </c>
      <c r="O23">
        <v>3</v>
      </c>
      <c r="P23">
        <v>5</v>
      </c>
      <c r="Q23">
        <v>3</v>
      </c>
      <c r="R23">
        <v>3</v>
      </c>
      <c r="S23">
        <v>2</v>
      </c>
      <c r="T23">
        <v>4</v>
      </c>
      <c r="U23">
        <v>4</v>
      </c>
      <c r="V23">
        <v>5</v>
      </c>
      <c r="W23">
        <v>5</v>
      </c>
      <c r="X23">
        <v>5</v>
      </c>
      <c r="Y23">
        <v>5</v>
      </c>
      <c r="Z23">
        <v>4</v>
      </c>
      <c r="AA23">
        <v>4</v>
      </c>
      <c r="AB23">
        <v>2</v>
      </c>
      <c r="AC23">
        <v>4</v>
      </c>
      <c r="AD23">
        <v>4</v>
      </c>
      <c r="AE23">
        <v>2</v>
      </c>
      <c r="AF23">
        <v>2</v>
      </c>
      <c r="AG23">
        <v>4</v>
      </c>
      <c r="AH23">
        <v>2</v>
      </c>
      <c r="AI23">
        <v>4</v>
      </c>
      <c r="AJ23">
        <v>4</v>
      </c>
      <c r="AK23" t="b">
        <f>Table7[[#This Row],[What is your age?]]&lt;&gt;"18 - 25"</f>
        <v>0</v>
      </c>
      <c r="AL23" t="b">
        <f t="shared" si="0"/>
        <v>0</v>
      </c>
      <c r="AM23" t="b">
        <f t="shared" si="1"/>
        <v>0</v>
      </c>
      <c r="AN23" t="b">
        <f t="shared" si="2"/>
        <v>0</v>
      </c>
      <c r="AO23" t="b">
        <f>OR(Table7[[#This Row],[Ineligible respondents]:[Inconsistent response on opposite question (3)]])</f>
        <v>0</v>
      </c>
      <c r="AP2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5</v>
      </c>
      <c r="AQ23">
        <f>Table7[[#This Row],[Extreme Response]]/21</f>
        <v>0.23809523809523808</v>
      </c>
      <c r="AR23">
        <f>Table67[[#This Row],[Threshold of ERS]]</f>
        <v>0.61904761904761907</v>
      </c>
      <c r="AS23" t="b">
        <f>Table7[[#This Row],[Extrem Response Ratio (ERS)]]&gt;=Table7[[#This Row],[Threshold of ERS]]</f>
        <v>0</v>
      </c>
      <c r="AT23" t="b" cm="1">
        <f t="array" ref="AT2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3">
        <f>COUNTIF(Table7[[#This Row],[The mechanism of digital assets is difficult to understand, which discourages me from exploring it (E.g, Tokenization, Blockchain)]:[If I want to try different ways to invest, I will explore digital assets.]], 3)</f>
        <v>3</v>
      </c>
      <c r="AV23">
        <f>Table7[[#This Row],[Midpoint]]/21</f>
        <v>0.14285714285714285</v>
      </c>
      <c r="AW23">
        <f>Table67[[#This Row],[Threshold of Midpoint ratio]]</f>
        <v>0.5714285714285714</v>
      </c>
      <c r="AX23" t="b">
        <f>Table7[[#This Row],[Midpoint ratio]]&gt;=Table7[[#This Row],[Threshold of Midpoint ratio]]</f>
        <v>0</v>
      </c>
      <c r="AY23" t="b">
        <f>OR(Table7[[#This Row],[Extreme Response Style]:[Straight-lining with 1 deviation]],Table7[[#This Row],[Mid-point Response Style]])</f>
        <v>0</v>
      </c>
      <c r="AZ23" t="b">
        <f>OR(Table7[[#This Row],[Delete? (Stage 1)]],Table7[[#This Row],[Delete? (Stage 2)]])</f>
        <v>0</v>
      </c>
      <c r="BA23" t="s">
        <v>59</v>
      </c>
    </row>
    <row r="24" spans="1:53">
      <c r="A24">
        <v>97</v>
      </c>
      <c r="B24" s="3">
        <v>45993.4506944444</v>
      </c>
      <c r="C24" s="3">
        <v>45993.453182870398</v>
      </c>
      <c r="D24" t="s">
        <v>53</v>
      </c>
      <c r="G24" t="s">
        <v>54</v>
      </c>
      <c r="H24" t="s">
        <v>63</v>
      </c>
      <c r="I24" t="s">
        <v>56</v>
      </c>
      <c r="J24" t="s">
        <v>57</v>
      </c>
      <c r="K24" t="s">
        <v>66</v>
      </c>
      <c r="L24" t="s">
        <v>61</v>
      </c>
      <c r="M24" t="s">
        <v>58</v>
      </c>
      <c r="N24">
        <v>5</v>
      </c>
      <c r="O24">
        <v>3</v>
      </c>
      <c r="P24">
        <v>2</v>
      </c>
      <c r="Q24">
        <v>2</v>
      </c>
      <c r="R24">
        <v>4</v>
      </c>
      <c r="S24">
        <v>2</v>
      </c>
      <c r="T24">
        <v>2</v>
      </c>
      <c r="U24">
        <v>2</v>
      </c>
      <c r="V24">
        <v>4</v>
      </c>
      <c r="W24">
        <v>4</v>
      </c>
      <c r="X24">
        <v>4</v>
      </c>
      <c r="Y24">
        <v>4</v>
      </c>
      <c r="Z24">
        <v>2</v>
      </c>
      <c r="AA24">
        <v>2</v>
      </c>
      <c r="AB24">
        <v>2</v>
      </c>
      <c r="AC24">
        <v>2</v>
      </c>
      <c r="AD24">
        <v>2</v>
      </c>
      <c r="AE24">
        <v>2</v>
      </c>
      <c r="AF24">
        <v>4</v>
      </c>
      <c r="AG24">
        <v>2</v>
      </c>
      <c r="AH24">
        <v>4</v>
      </c>
      <c r="AI24">
        <v>2</v>
      </c>
      <c r="AJ24">
        <v>2</v>
      </c>
      <c r="AK24" t="b">
        <f>Table7[[#This Row],[What is your age?]]&lt;&gt;"18 - 25"</f>
        <v>0</v>
      </c>
      <c r="AL24" t="b">
        <f t="shared" si="0"/>
        <v>0</v>
      </c>
      <c r="AM24" t="b">
        <f t="shared" si="1"/>
        <v>0</v>
      </c>
      <c r="AN24" t="b">
        <f t="shared" si="2"/>
        <v>0</v>
      </c>
      <c r="AO24" t="b">
        <f>OR(Table7[[#This Row],[Ineligible respondents]:[Inconsistent response on opposite question (3)]])</f>
        <v>0</v>
      </c>
      <c r="AP2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24">
        <f>Table7[[#This Row],[Extreme Response]]/21</f>
        <v>4.7619047619047616E-2</v>
      </c>
      <c r="AR24">
        <f>Table67[[#This Row],[Threshold of ERS]]</f>
        <v>0.61904761904761907</v>
      </c>
      <c r="AS24" t="b">
        <f>Table7[[#This Row],[Extrem Response Ratio (ERS)]]&gt;=Table7[[#This Row],[Threshold of ERS]]</f>
        <v>0</v>
      </c>
      <c r="AT24" t="b" cm="1">
        <f t="array" ref="AT2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4">
        <f>COUNTIF(Table7[[#This Row],[The mechanism of digital assets is difficult to understand, which discourages me from exploring it (E.g, Tokenization, Blockchain)]:[If I want to try different ways to invest, I will explore digital assets.]], 3)</f>
        <v>1</v>
      </c>
      <c r="AV24">
        <f>Table7[[#This Row],[Midpoint]]/21</f>
        <v>4.7619047619047616E-2</v>
      </c>
      <c r="AW24">
        <f>Table67[[#This Row],[Threshold of Midpoint ratio]]</f>
        <v>0.5714285714285714</v>
      </c>
      <c r="AX24" t="b">
        <f>Table7[[#This Row],[Midpoint ratio]]&gt;=Table7[[#This Row],[Threshold of Midpoint ratio]]</f>
        <v>0</v>
      </c>
      <c r="AY24" t="b">
        <f>OR(Table7[[#This Row],[Extreme Response Style]:[Straight-lining with 1 deviation]],Table7[[#This Row],[Mid-point Response Style]])</f>
        <v>0</v>
      </c>
      <c r="AZ24" t="b">
        <f>OR(Table7[[#This Row],[Delete? (Stage 1)]],Table7[[#This Row],[Delete? (Stage 2)]])</f>
        <v>0</v>
      </c>
      <c r="BA24" t="s">
        <v>59</v>
      </c>
    </row>
    <row r="25" spans="1:53">
      <c r="A25">
        <v>99</v>
      </c>
      <c r="B25" s="3">
        <v>45993.636064814797</v>
      </c>
      <c r="C25" s="3">
        <v>45993.643865740698</v>
      </c>
      <c r="D25" t="s">
        <v>53</v>
      </c>
      <c r="G25" t="s">
        <v>54</v>
      </c>
      <c r="H25" t="s">
        <v>63</v>
      </c>
      <c r="I25" t="s">
        <v>75</v>
      </c>
      <c r="J25" t="s">
        <v>67</v>
      </c>
      <c r="K25" t="s">
        <v>66</v>
      </c>
      <c r="L25" t="s">
        <v>61</v>
      </c>
      <c r="M25" t="s">
        <v>61</v>
      </c>
      <c r="N25">
        <v>4</v>
      </c>
      <c r="O25">
        <v>4</v>
      </c>
      <c r="P25">
        <v>4</v>
      </c>
      <c r="Q25">
        <v>5</v>
      </c>
      <c r="R25">
        <v>4</v>
      </c>
      <c r="S25">
        <v>4</v>
      </c>
      <c r="T25">
        <v>4</v>
      </c>
      <c r="U25">
        <v>4</v>
      </c>
      <c r="V25">
        <v>5</v>
      </c>
      <c r="W25">
        <v>5</v>
      </c>
      <c r="X25">
        <v>5</v>
      </c>
      <c r="Y25">
        <v>4</v>
      </c>
      <c r="Z25">
        <v>5</v>
      </c>
      <c r="AA25">
        <v>4</v>
      </c>
      <c r="AB25">
        <v>2</v>
      </c>
      <c r="AC25">
        <v>4</v>
      </c>
      <c r="AD25">
        <v>4</v>
      </c>
      <c r="AE25">
        <v>4</v>
      </c>
      <c r="AF25">
        <v>4</v>
      </c>
      <c r="AG25">
        <v>2</v>
      </c>
      <c r="AH25">
        <v>4</v>
      </c>
      <c r="AI25">
        <v>2</v>
      </c>
      <c r="AJ25">
        <v>2</v>
      </c>
      <c r="AK25" t="b">
        <f>Table7[[#This Row],[What is your age?]]&lt;&gt;"18 - 25"</f>
        <v>0</v>
      </c>
      <c r="AL25" t="b">
        <f t="shared" si="0"/>
        <v>0</v>
      </c>
      <c r="AM25" t="b">
        <f t="shared" si="1"/>
        <v>0</v>
      </c>
      <c r="AN25" t="b">
        <f t="shared" si="2"/>
        <v>0</v>
      </c>
      <c r="AO25" t="b">
        <f>OR(Table7[[#This Row],[Ineligible respondents]:[Inconsistent response on opposite question (3)]])</f>
        <v>0</v>
      </c>
      <c r="AP2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5</v>
      </c>
      <c r="AQ25">
        <f>Table7[[#This Row],[Extreme Response]]/21</f>
        <v>0.23809523809523808</v>
      </c>
      <c r="AR25">
        <f>Table67[[#This Row],[Threshold of ERS]]</f>
        <v>0.61904761904761907</v>
      </c>
      <c r="AS25" t="b">
        <f>Table7[[#This Row],[Extrem Response Ratio (ERS)]]&gt;=Table7[[#This Row],[Threshold of ERS]]</f>
        <v>0</v>
      </c>
      <c r="AT25" t="b" cm="1">
        <f t="array" ref="AT2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5">
        <f>COUNTIF(Table7[[#This Row],[The mechanism of digital assets is difficult to understand, which discourages me from exploring it (E.g, Tokenization, Blockchain)]:[If I want to try different ways to invest, I will explore digital assets.]], 3)</f>
        <v>0</v>
      </c>
      <c r="AV25">
        <f>Table7[[#This Row],[Midpoint]]/21</f>
        <v>0</v>
      </c>
      <c r="AW25">
        <f>Table67[[#This Row],[Threshold of Midpoint ratio]]</f>
        <v>0.5714285714285714</v>
      </c>
      <c r="AX25" t="b">
        <f>Table7[[#This Row],[Midpoint ratio]]&gt;=Table7[[#This Row],[Threshold of Midpoint ratio]]</f>
        <v>0</v>
      </c>
      <c r="AY25" t="b">
        <f>OR(Table7[[#This Row],[Extreme Response Style]:[Straight-lining with 1 deviation]],Table7[[#This Row],[Mid-point Response Style]])</f>
        <v>0</v>
      </c>
      <c r="AZ25" t="b">
        <f>OR(Table7[[#This Row],[Delete? (Stage 1)]],Table7[[#This Row],[Delete? (Stage 2)]])</f>
        <v>0</v>
      </c>
      <c r="BA25" t="s">
        <v>59</v>
      </c>
    </row>
    <row r="26" spans="1:53">
      <c r="A26">
        <v>109</v>
      </c>
      <c r="B26" s="3">
        <v>45995.714027777802</v>
      </c>
      <c r="C26" s="3">
        <v>45995.715150463002</v>
      </c>
      <c r="D26" t="s">
        <v>53</v>
      </c>
      <c r="G26" t="s">
        <v>54</v>
      </c>
      <c r="H26" t="s">
        <v>63</v>
      </c>
      <c r="I26" t="s">
        <v>56</v>
      </c>
      <c r="J26" t="s">
        <v>60</v>
      </c>
      <c r="K26" t="s">
        <v>57</v>
      </c>
      <c r="L26" t="s">
        <v>58</v>
      </c>
      <c r="M26" t="s">
        <v>58</v>
      </c>
      <c r="N26">
        <v>2</v>
      </c>
      <c r="O26">
        <v>3</v>
      </c>
      <c r="P26">
        <v>3</v>
      </c>
      <c r="Q26">
        <v>4</v>
      </c>
      <c r="R26">
        <v>2</v>
      </c>
      <c r="S26">
        <v>3</v>
      </c>
      <c r="T26">
        <v>4</v>
      </c>
      <c r="U26">
        <v>3</v>
      </c>
      <c r="V26">
        <v>4</v>
      </c>
      <c r="W26">
        <v>3</v>
      </c>
      <c r="X26">
        <v>3</v>
      </c>
      <c r="Y26">
        <v>2</v>
      </c>
      <c r="Z26">
        <v>3</v>
      </c>
      <c r="AA26">
        <v>2</v>
      </c>
      <c r="AB26">
        <v>4</v>
      </c>
      <c r="AC26">
        <v>3</v>
      </c>
      <c r="AD26">
        <v>3</v>
      </c>
      <c r="AE26">
        <v>2</v>
      </c>
      <c r="AF26">
        <v>3</v>
      </c>
      <c r="AG26">
        <v>4</v>
      </c>
      <c r="AH26">
        <v>2</v>
      </c>
      <c r="AI26">
        <v>4</v>
      </c>
      <c r="AJ26">
        <v>3</v>
      </c>
      <c r="AK26" t="b">
        <f>Table7[[#This Row],[What is your age?]]&lt;&gt;"18 - 25"</f>
        <v>0</v>
      </c>
      <c r="AL26" t="b">
        <f t="shared" si="0"/>
        <v>0</v>
      </c>
      <c r="AM26" t="b">
        <f t="shared" si="1"/>
        <v>0</v>
      </c>
      <c r="AN26" t="b">
        <f t="shared" si="2"/>
        <v>0</v>
      </c>
      <c r="AO26" t="b">
        <f>OR(Table7[[#This Row],[Ineligible respondents]:[Inconsistent response on opposite question (3)]])</f>
        <v>0</v>
      </c>
      <c r="AP2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26">
        <f>Table7[[#This Row],[Extreme Response]]/21</f>
        <v>0</v>
      </c>
      <c r="AR26">
        <f>Table67[[#This Row],[Threshold of ERS]]</f>
        <v>0.61904761904761907</v>
      </c>
      <c r="AS26" t="b">
        <f>Table7[[#This Row],[Extrem Response Ratio (ERS)]]&gt;=Table7[[#This Row],[Threshold of ERS]]</f>
        <v>0</v>
      </c>
      <c r="AT26" t="b" cm="1">
        <f t="array" ref="AT2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6">
        <f>COUNTIF(Table7[[#This Row],[The mechanism of digital assets is difficult to understand, which discourages me from exploring it (E.g, Tokenization, Blockchain)]:[If I want to try different ways to invest, I will explore digital assets.]], 3)</f>
        <v>10</v>
      </c>
      <c r="AV26">
        <f>Table7[[#This Row],[Midpoint]]/21</f>
        <v>0.47619047619047616</v>
      </c>
      <c r="AW26">
        <f>Table67[[#This Row],[Threshold of Midpoint ratio]]</f>
        <v>0.5714285714285714</v>
      </c>
      <c r="AX26" t="b">
        <f>Table7[[#This Row],[Midpoint ratio]]&gt;=Table7[[#This Row],[Threshold of Midpoint ratio]]</f>
        <v>0</v>
      </c>
      <c r="AY26" t="b">
        <f>OR(Table7[[#This Row],[Extreme Response Style]:[Straight-lining with 1 deviation]],Table7[[#This Row],[Mid-point Response Style]])</f>
        <v>0</v>
      </c>
      <c r="AZ26" t="b">
        <f>OR(Table7[[#This Row],[Delete? (Stage 1)]],Table7[[#This Row],[Delete? (Stage 2)]])</f>
        <v>0</v>
      </c>
      <c r="BA26" t="s">
        <v>78</v>
      </c>
    </row>
    <row r="27" spans="1:53">
      <c r="A27">
        <v>110</v>
      </c>
      <c r="B27" s="3">
        <v>45995.734155092599</v>
      </c>
      <c r="C27" s="3">
        <v>45995.738657407397</v>
      </c>
      <c r="D27" t="s">
        <v>53</v>
      </c>
      <c r="G27" t="s">
        <v>54</v>
      </c>
      <c r="H27" t="s">
        <v>63</v>
      </c>
      <c r="I27" t="s">
        <v>56</v>
      </c>
      <c r="J27" t="s">
        <v>67</v>
      </c>
      <c r="K27" t="s">
        <v>64</v>
      </c>
      <c r="L27" t="s">
        <v>58</v>
      </c>
      <c r="M27" t="s">
        <v>61</v>
      </c>
      <c r="N27">
        <v>4</v>
      </c>
      <c r="O27">
        <v>3</v>
      </c>
      <c r="P27">
        <v>4</v>
      </c>
      <c r="Q27">
        <v>4</v>
      </c>
      <c r="R27">
        <v>4</v>
      </c>
      <c r="S27">
        <v>4</v>
      </c>
      <c r="T27">
        <v>4</v>
      </c>
      <c r="U27">
        <v>5</v>
      </c>
      <c r="V27">
        <v>5</v>
      </c>
      <c r="W27">
        <v>5</v>
      </c>
      <c r="X27">
        <v>3</v>
      </c>
      <c r="Y27">
        <v>4</v>
      </c>
      <c r="Z27">
        <v>4</v>
      </c>
      <c r="AA27">
        <v>4</v>
      </c>
      <c r="AB27">
        <v>3</v>
      </c>
      <c r="AC27">
        <v>4</v>
      </c>
      <c r="AD27">
        <v>4</v>
      </c>
      <c r="AE27">
        <v>2</v>
      </c>
      <c r="AF27">
        <v>2</v>
      </c>
      <c r="AG27">
        <v>3</v>
      </c>
      <c r="AH27">
        <v>3</v>
      </c>
      <c r="AI27">
        <v>3</v>
      </c>
      <c r="AJ27">
        <v>4</v>
      </c>
      <c r="AK27" t="b">
        <f>Table7[[#This Row],[What is your age?]]&lt;&gt;"18 - 25"</f>
        <v>0</v>
      </c>
      <c r="AL27" t="b">
        <f t="shared" si="0"/>
        <v>0</v>
      </c>
      <c r="AM27" t="b">
        <f t="shared" si="1"/>
        <v>0</v>
      </c>
      <c r="AN27" t="b">
        <f t="shared" si="2"/>
        <v>0</v>
      </c>
      <c r="AO27" t="b">
        <f>OR(Table7[[#This Row],[Ineligible respondents]:[Inconsistent response on opposite question (3)]])</f>
        <v>0</v>
      </c>
      <c r="AP2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27">
        <f>Table7[[#This Row],[Extreme Response]]/21</f>
        <v>0.14285714285714285</v>
      </c>
      <c r="AR27">
        <f>Table67[[#This Row],[Threshold of ERS]]</f>
        <v>0.61904761904761907</v>
      </c>
      <c r="AS27" t="b">
        <f>Table7[[#This Row],[Extrem Response Ratio (ERS)]]&gt;=Table7[[#This Row],[Threshold of ERS]]</f>
        <v>0</v>
      </c>
      <c r="AT27" t="b" cm="1">
        <f t="array" ref="AT2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7">
        <f>COUNTIF(Table7[[#This Row],[The mechanism of digital assets is difficult to understand, which discourages me from exploring it (E.g, Tokenization, Blockchain)]:[If I want to try different ways to invest, I will explore digital assets.]], 3)</f>
        <v>5</v>
      </c>
      <c r="AV27">
        <f>Table7[[#This Row],[Midpoint]]/21</f>
        <v>0.23809523809523808</v>
      </c>
      <c r="AW27">
        <f>Table67[[#This Row],[Threshold of Midpoint ratio]]</f>
        <v>0.5714285714285714</v>
      </c>
      <c r="AX27" t="b">
        <f>Table7[[#This Row],[Midpoint ratio]]&gt;=Table7[[#This Row],[Threshold of Midpoint ratio]]</f>
        <v>0</v>
      </c>
      <c r="AY27" t="b">
        <f>OR(Table7[[#This Row],[Extreme Response Style]:[Straight-lining with 1 deviation]],Table7[[#This Row],[Mid-point Response Style]])</f>
        <v>0</v>
      </c>
      <c r="AZ27" t="b">
        <f>OR(Table7[[#This Row],[Delete? (Stage 1)]],Table7[[#This Row],[Delete? (Stage 2)]])</f>
        <v>0</v>
      </c>
      <c r="BA27" t="s">
        <v>78</v>
      </c>
    </row>
    <row r="28" spans="1:53">
      <c r="A28">
        <v>125</v>
      </c>
      <c r="B28" s="3">
        <v>45996.724016203698</v>
      </c>
      <c r="C28" s="3">
        <v>45996.726747685199</v>
      </c>
      <c r="D28" t="s">
        <v>53</v>
      </c>
      <c r="G28" t="s">
        <v>54</v>
      </c>
      <c r="H28" t="s">
        <v>63</v>
      </c>
      <c r="I28" t="s">
        <v>56</v>
      </c>
      <c r="J28" t="s">
        <v>65</v>
      </c>
      <c r="K28" t="s">
        <v>64</v>
      </c>
      <c r="L28" t="s">
        <v>58</v>
      </c>
      <c r="M28" t="s">
        <v>58</v>
      </c>
      <c r="N28">
        <v>4</v>
      </c>
      <c r="O28">
        <v>4</v>
      </c>
      <c r="P28">
        <v>4</v>
      </c>
      <c r="Q28">
        <v>4</v>
      </c>
      <c r="R28">
        <v>3</v>
      </c>
      <c r="S28">
        <v>3</v>
      </c>
      <c r="T28">
        <v>2</v>
      </c>
      <c r="U28">
        <v>4</v>
      </c>
      <c r="V28">
        <v>4</v>
      </c>
      <c r="W28">
        <v>4</v>
      </c>
      <c r="X28">
        <v>4</v>
      </c>
      <c r="Y28">
        <v>4</v>
      </c>
      <c r="Z28">
        <v>4</v>
      </c>
      <c r="AA28">
        <v>4</v>
      </c>
      <c r="AB28">
        <v>4</v>
      </c>
      <c r="AC28">
        <v>3</v>
      </c>
      <c r="AD28">
        <v>4</v>
      </c>
      <c r="AE28">
        <v>2</v>
      </c>
      <c r="AF28">
        <v>2</v>
      </c>
      <c r="AG28">
        <v>3</v>
      </c>
      <c r="AH28">
        <v>3</v>
      </c>
      <c r="AI28">
        <v>3</v>
      </c>
      <c r="AJ28">
        <v>4</v>
      </c>
      <c r="AK28" t="b">
        <f>Table7[[#This Row],[What is your age?]]&lt;&gt;"18 - 25"</f>
        <v>0</v>
      </c>
      <c r="AL28" t="b">
        <f t="shared" si="0"/>
        <v>0</v>
      </c>
      <c r="AM28" t="b">
        <f t="shared" si="1"/>
        <v>0</v>
      </c>
      <c r="AN28" t="b">
        <f t="shared" si="2"/>
        <v>0</v>
      </c>
      <c r="AO28" t="b">
        <f>OR(Table7[[#This Row],[Ineligible respondents]:[Inconsistent response on opposite question (3)]])</f>
        <v>0</v>
      </c>
      <c r="AP2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28">
        <f>Table7[[#This Row],[Extreme Response]]/21</f>
        <v>0</v>
      </c>
      <c r="AR28">
        <f>Table67[[#This Row],[Threshold of ERS]]</f>
        <v>0.61904761904761907</v>
      </c>
      <c r="AS28" t="b">
        <f>Table7[[#This Row],[Extrem Response Ratio (ERS)]]&gt;=Table7[[#This Row],[Threshold of ERS]]</f>
        <v>0</v>
      </c>
      <c r="AT28" t="b" cm="1">
        <f t="array" ref="AT2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8">
        <f>COUNTIF(Table7[[#This Row],[The mechanism of digital assets is difficult to understand, which discourages me from exploring it (E.g, Tokenization, Blockchain)]:[If I want to try different ways to invest, I will explore digital assets.]], 3)</f>
        <v>5</v>
      </c>
      <c r="AV28">
        <f>Table7[[#This Row],[Midpoint]]/21</f>
        <v>0.23809523809523808</v>
      </c>
      <c r="AW28">
        <f>Table67[[#This Row],[Threshold of Midpoint ratio]]</f>
        <v>0.5714285714285714</v>
      </c>
      <c r="AX28" t="b">
        <f>Table7[[#This Row],[Midpoint ratio]]&gt;=Table7[[#This Row],[Threshold of Midpoint ratio]]</f>
        <v>0</v>
      </c>
      <c r="AY28" t="b">
        <f>OR(Table7[[#This Row],[Extreme Response Style]:[Straight-lining with 1 deviation]],Table7[[#This Row],[Mid-point Response Style]])</f>
        <v>0</v>
      </c>
      <c r="AZ28" t="b">
        <f>OR(Table7[[#This Row],[Delete? (Stage 1)]],Table7[[#This Row],[Delete? (Stage 2)]])</f>
        <v>0</v>
      </c>
      <c r="BA28" t="s">
        <v>59</v>
      </c>
    </row>
    <row r="29" spans="1:53">
      <c r="A29">
        <v>126</v>
      </c>
      <c r="B29" s="3">
        <v>45996.731504629599</v>
      </c>
      <c r="C29" s="3">
        <v>45996.732974537001</v>
      </c>
      <c r="D29" t="s">
        <v>53</v>
      </c>
      <c r="G29" t="s">
        <v>54</v>
      </c>
      <c r="H29" t="s">
        <v>63</v>
      </c>
      <c r="I29" t="s">
        <v>56</v>
      </c>
      <c r="J29" t="s">
        <v>62</v>
      </c>
      <c r="K29" t="s">
        <v>60</v>
      </c>
      <c r="L29" t="s">
        <v>58</v>
      </c>
      <c r="M29" t="s">
        <v>61</v>
      </c>
      <c r="N29">
        <v>4</v>
      </c>
      <c r="O29">
        <v>3</v>
      </c>
      <c r="P29">
        <v>4</v>
      </c>
      <c r="Q29">
        <v>4</v>
      </c>
      <c r="R29">
        <v>4</v>
      </c>
      <c r="S29">
        <v>4</v>
      </c>
      <c r="T29">
        <v>4</v>
      </c>
      <c r="U29">
        <v>4</v>
      </c>
      <c r="V29">
        <v>4</v>
      </c>
      <c r="W29">
        <v>4</v>
      </c>
      <c r="X29">
        <v>5</v>
      </c>
      <c r="Y29">
        <v>5</v>
      </c>
      <c r="Z29">
        <v>4</v>
      </c>
      <c r="AA29">
        <v>4</v>
      </c>
      <c r="AB29">
        <v>4</v>
      </c>
      <c r="AC29">
        <v>5</v>
      </c>
      <c r="AD29">
        <v>5</v>
      </c>
      <c r="AE29">
        <v>3</v>
      </c>
      <c r="AF29">
        <v>2</v>
      </c>
      <c r="AG29">
        <v>3</v>
      </c>
      <c r="AH29">
        <v>3</v>
      </c>
      <c r="AI29">
        <v>3</v>
      </c>
      <c r="AJ29">
        <v>4</v>
      </c>
      <c r="AK29" t="b">
        <f>Table7[[#This Row],[What is your age?]]&lt;&gt;"18 - 25"</f>
        <v>0</v>
      </c>
      <c r="AL29" t="b">
        <f t="shared" si="0"/>
        <v>0</v>
      </c>
      <c r="AM29" t="b">
        <f t="shared" si="1"/>
        <v>0</v>
      </c>
      <c r="AN29" t="b">
        <f t="shared" si="2"/>
        <v>0</v>
      </c>
      <c r="AO29" t="b">
        <f>OR(Table7[[#This Row],[Ineligible respondents]:[Inconsistent response on opposite question (3)]])</f>
        <v>0</v>
      </c>
      <c r="AP2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29">
        <f>Table7[[#This Row],[Extreme Response]]/21</f>
        <v>0.19047619047619047</v>
      </c>
      <c r="AR29">
        <f>Table67[[#This Row],[Threshold of ERS]]</f>
        <v>0.61904761904761907</v>
      </c>
      <c r="AS29" t="b">
        <f>Table7[[#This Row],[Extrem Response Ratio (ERS)]]&gt;=Table7[[#This Row],[Threshold of ERS]]</f>
        <v>0</v>
      </c>
      <c r="AT29" t="b" cm="1">
        <f t="array" ref="AT2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9">
        <f>COUNTIF(Table7[[#This Row],[The mechanism of digital assets is difficult to understand, which discourages me from exploring it (E.g, Tokenization, Blockchain)]:[If I want to try different ways to invest, I will explore digital assets.]], 3)</f>
        <v>4</v>
      </c>
      <c r="AV29">
        <f>Table7[[#This Row],[Midpoint]]/21</f>
        <v>0.19047619047619047</v>
      </c>
      <c r="AW29">
        <f>Table67[[#This Row],[Threshold of Midpoint ratio]]</f>
        <v>0.5714285714285714</v>
      </c>
      <c r="AX29" t="b">
        <f>Table7[[#This Row],[Midpoint ratio]]&gt;=Table7[[#This Row],[Threshold of Midpoint ratio]]</f>
        <v>0</v>
      </c>
      <c r="AY29" t="b">
        <f>OR(Table7[[#This Row],[Extreme Response Style]:[Straight-lining with 1 deviation]],Table7[[#This Row],[Mid-point Response Style]])</f>
        <v>0</v>
      </c>
      <c r="AZ29" t="b">
        <f>OR(Table7[[#This Row],[Delete? (Stage 1)]],Table7[[#This Row],[Delete? (Stage 2)]])</f>
        <v>0</v>
      </c>
      <c r="BA29" t="s">
        <v>59</v>
      </c>
    </row>
    <row r="30" spans="1:53">
      <c r="A30">
        <v>133</v>
      </c>
      <c r="B30" s="3">
        <v>45996.979745370401</v>
      </c>
      <c r="C30" s="3">
        <v>45996.981956018499</v>
      </c>
      <c r="D30" t="s">
        <v>53</v>
      </c>
      <c r="G30" t="s">
        <v>54</v>
      </c>
      <c r="H30" t="s">
        <v>55</v>
      </c>
      <c r="I30" t="s">
        <v>56</v>
      </c>
      <c r="J30" t="s">
        <v>62</v>
      </c>
      <c r="K30" t="s">
        <v>57</v>
      </c>
      <c r="L30" t="s">
        <v>58</v>
      </c>
      <c r="M30" t="s">
        <v>61</v>
      </c>
      <c r="N30">
        <v>4</v>
      </c>
      <c r="O30">
        <v>3</v>
      </c>
      <c r="P30">
        <v>5</v>
      </c>
      <c r="Q30">
        <v>4</v>
      </c>
      <c r="R30">
        <v>4</v>
      </c>
      <c r="S30">
        <v>5</v>
      </c>
      <c r="T30">
        <v>3</v>
      </c>
      <c r="U30">
        <v>4</v>
      </c>
      <c r="V30">
        <v>5</v>
      </c>
      <c r="W30">
        <v>3</v>
      </c>
      <c r="X30">
        <v>5</v>
      </c>
      <c r="Y30">
        <v>4</v>
      </c>
      <c r="Z30">
        <v>3</v>
      </c>
      <c r="AA30">
        <v>3</v>
      </c>
      <c r="AB30">
        <v>3</v>
      </c>
      <c r="AC30">
        <v>4</v>
      </c>
      <c r="AD30">
        <v>5</v>
      </c>
      <c r="AE30">
        <v>5</v>
      </c>
      <c r="AF30">
        <v>3</v>
      </c>
      <c r="AG30">
        <v>2</v>
      </c>
      <c r="AH30">
        <v>4</v>
      </c>
      <c r="AI30">
        <v>2</v>
      </c>
      <c r="AJ30">
        <v>3</v>
      </c>
      <c r="AK30" t="b">
        <f>Table7[[#This Row],[What is your age?]]&lt;&gt;"18 - 25"</f>
        <v>0</v>
      </c>
      <c r="AL30" t="b">
        <f t="shared" si="0"/>
        <v>0</v>
      </c>
      <c r="AM30" t="b">
        <f t="shared" si="1"/>
        <v>0</v>
      </c>
      <c r="AN30" t="b">
        <f t="shared" si="2"/>
        <v>0</v>
      </c>
      <c r="AO30" t="b">
        <f>OR(Table7[[#This Row],[Ineligible respondents]:[Inconsistent response on opposite question (3)]])</f>
        <v>0</v>
      </c>
      <c r="AP3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6</v>
      </c>
      <c r="AQ30">
        <f>Table7[[#This Row],[Extreme Response]]/21</f>
        <v>0.2857142857142857</v>
      </c>
      <c r="AR30">
        <f>Table67[[#This Row],[Threshold of ERS]]</f>
        <v>0.61904761904761907</v>
      </c>
      <c r="AS30" t="b">
        <f>Table7[[#This Row],[Extrem Response Ratio (ERS)]]&gt;=Table7[[#This Row],[Threshold of ERS]]</f>
        <v>0</v>
      </c>
      <c r="AT30" t="b" cm="1">
        <f t="array" ref="AT3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0">
        <f>COUNTIF(Table7[[#This Row],[The mechanism of digital assets is difficult to understand, which discourages me from exploring it (E.g, Tokenization, Blockchain)]:[If I want to try different ways to invest, I will explore digital assets.]], 3)</f>
        <v>7</v>
      </c>
      <c r="AV30">
        <f>Table7[[#This Row],[Midpoint]]/21</f>
        <v>0.33333333333333331</v>
      </c>
      <c r="AW30">
        <f>Table67[[#This Row],[Threshold of Midpoint ratio]]</f>
        <v>0.5714285714285714</v>
      </c>
      <c r="AX30" t="b">
        <f>Table7[[#This Row],[Midpoint ratio]]&gt;=Table7[[#This Row],[Threshold of Midpoint ratio]]</f>
        <v>0</v>
      </c>
      <c r="AY30" t="b">
        <f>OR(Table7[[#This Row],[Extreme Response Style]:[Straight-lining with 1 deviation]],Table7[[#This Row],[Mid-point Response Style]])</f>
        <v>0</v>
      </c>
      <c r="AZ30" t="b">
        <f>OR(Table7[[#This Row],[Delete? (Stage 1)]],Table7[[#This Row],[Delete? (Stage 2)]])</f>
        <v>0</v>
      </c>
      <c r="BA30" t="s">
        <v>59</v>
      </c>
    </row>
    <row r="31" spans="1:53">
      <c r="A31">
        <v>146</v>
      </c>
      <c r="B31" s="3">
        <v>46012.812256944402</v>
      </c>
      <c r="C31" s="3">
        <v>46012.814872685201</v>
      </c>
      <c r="D31" t="s">
        <v>53</v>
      </c>
      <c r="G31" t="s">
        <v>54</v>
      </c>
      <c r="H31" t="s">
        <v>55</v>
      </c>
      <c r="I31" t="s">
        <v>56</v>
      </c>
      <c r="J31" t="s">
        <v>62</v>
      </c>
      <c r="K31" t="s">
        <v>65</v>
      </c>
      <c r="L31" t="s">
        <v>61</v>
      </c>
      <c r="M31" t="s">
        <v>61</v>
      </c>
      <c r="N31">
        <v>4</v>
      </c>
      <c r="O31">
        <v>3</v>
      </c>
      <c r="P31">
        <v>5</v>
      </c>
      <c r="Q31">
        <v>4</v>
      </c>
      <c r="R31">
        <v>4</v>
      </c>
      <c r="S31">
        <v>4</v>
      </c>
      <c r="T31">
        <v>4</v>
      </c>
      <c r="U31">
        <v>4</v>
      </c>
      <c r="V31">
        <v>4</v>
      </c>
      <c r="W31">
        <v>4</v>
      </c>
      <c r="X31">
        <v>3</v>
      </c>
      <c r="Y31">
        <v>2</v>
      </c>
      <c r="Z31">
        <v>4</v>
      </c>
      <c r="AA31">
        <v>4</v>
      </c>
      <c r="AB31">
        <v>3</v>
      </c>
      <c r="AC31">
        <v>4</v>
      </c>
      <c r="AD31">
        <v>4</v>
      </c>
      <c r="AE31">
        <v>3</v>
      </c>
      <c r="AF31">
        <v>4</v>
      </c>
      <c r="AG31">
        <v>4</v>
      </c>
      <c r="AH31">
        <v>2</v>
      </c>
      <c r="AI31">
        <v>4</v>
      </c>
      <c r="AJ31">
        <v>2</v>
      </c>
      <c r="AK31" t="b">
        <f>Table7[[#This Row],[What is your age?]]&lt;&gt;"18 - 25"</f>
        <v>0</v>
      </c>
      <c r="AL31" t="b">
        <f t="shared" si="0"/>
        <v>0</v>
      </c>
      <c r="AM31" t="b">
        <f t="shared" si="1"/>
        <v>0</v>
      </c>
      <c r="AN31" t="b">
        <f t="shared" si="2"/>
        <v>0</v>
      </c>
      <c r="AO31" t="b">
        <f>OR(Table7[[#This Row],[Ineligible respondents]:[Inconsistent response on opposite question (3)]])</f>
        <v>0</v>
      </c>
      <c r="AP3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31">
        <f>Table7[[#This Row],[Extreme Response]]/21</f>
        <v>4.7619047619047616E-2</v>
      </c>
      <c r="AR31">
        <f>Table67[[#This Row],[Threshold of ERS]]</f>
        <v>0.61904761904761907</v>
      </c>
      <c r="AS31" t="b">
        <f>Table7[[#This Row],[Extrem Response Ratio (ERS)]]&gt;=Table7[[#This Row],[Threshold of ERS]]</f>
        <v>0</v>
      </c>
      <c r="AT31" t="b" cm="1">
        <f t="array" ref="AT3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1">
        <f>COUNTIF(Table7[[#This Row],[The mechanism of digital assets is difficult to understand, which discourages me from exploring it (E.g, Tokenization, Blockchain)]:[If I want to try different ways to invest, I will explore digital assets.]], 3)</f>
        <v>4</v>
      </c>
      <c r="AV31">
        <f>Table7[[#This Row],[Midpoint]]/21</f>
        <v>0.19047619047619047</v>
      </c>
      <c r="AW31">
        <f>Table67[[#This Row],[Threshold of Midpoint ratio]]</f>
        <v>0.5714285714285714</v>
      </c>
      <c r="AX31" t="b">
        <f>Table7[[#This Row],[Midpoint ratio]]&gt;=Table7[[#This Row],[Threshold of Midpoint ratio]]</f>
        <v>0</v>
      </c>
      <c r="AY31" t="b">
        <f>OR(Table7[[#This Row],[Extreme Response Style]:[Straight-lining with 1 deviation]],Table7[[#This Row],[Mid-point Response Style]])</f>
        <v>0</v>
      </c>
      <c r="AZ31" t="b">
        <f>OR(Table7[[#This Row],[Delete? (Stage 1)]],Table7[[#This Row],[Delete? (Stage 2)]])</f>
        <v>0</v>
      </c>
      <c r="BA31" t="s">
        <v>59</v>
      </c>
    </row>
    <row r="32" spans="1:53">
      <c r="A32">
        <v>154</v>
      </c>
      <c r="B32" s="3">
        <v>46035.536608796298</v>
      </c>
      <c r="C32" s="3">
        <v>46035.538020833301</v>
      </c>
      <c r="D32" t="s">
        <v>53</v>
      </c>
      <c r="G32" t="s">
        <v>54</v>
      </c>
      <c r="H32" t="s">
        <v>63</v>
      </c>
      <c r="I32" t="s">
        <v>56</v>
      </c>
      <c r="J32" t="s">
        <v>57</v>
      </c>
      <c r="K32" t="s">
        <v>57</v>
      </c>
      <c r="L32" t="s">
        <v>58</v>
      </c>
      <c r="M32" t="s">
        <v>58</v>
      </c>
      <c r="N32">
        <v>4</v>
      </c>
      <c r="O32">
        <v>5</v>
      </c>
      <c r="P32">
        <v>5</v>
      </c>
      <c r="Q32">
        <v>4</v>
      </c>
      <c r="R32">
        <v>4</v>
      </c>
      <c r="S32">
        <v>3</v>
      </c>
      <c r="T32">
        <v>3</v>
      </c>
      <c r="U32">
        <v>5</v>
      </c>
      <c r="V32">
        <v>3</v>
      </c>
      <c r="W32">
        <v>5</v>
      </c>
      <c r="X32">
        <v>3</v>
      </c>
      <c r="Y32">
        <v>5</v>
      </c>
      <c r="Z32">
        <v>3</v>
      </c>
      <c r="AA32">
        <v>4</v>
      </c>
      <c r="AB32">
        <v>3</v>
      </c>
      <c r="AC32">
        <v>5</v>
      </c>
      <c r="AD32">
        <v>4</v>
      </c>
      <c r="AE32">
        <v>5</v>
      </c>
      <c r="AF32">
        <v>1</v>
      </c>
      <c r="AG32">
        <v>5</v>
      </c>
      <c r="AH32">
        <v>1</v>
      </c>
      <c r="AI32">
        <v>5</v>
      </c>
      <c r="AJ32">
        <v>5</v>
      </c>
      <c r="AK32" t="b">
        <f>Table7[[#This Row],[What is your age?]]&lt;&gt;"18 - 25"</f>
        <v>0</v>
      </c>
      <c r="AL32" t="b">
        <f t="shared" si="0"/>
        <v>0</v>
      </c>
      <c r="AM32" t="b">
        <f t="shared" si="1"/>
        <v>0</v>
      </c>
      <c r="AN32" t="b">
        <f t="shared" si="2"/>
        <v>0</v>
      </c>
      <c r="AO32" t="b">
        <f>OR(Table7[[#This Row],[Ineligible respondents]:[Inconsistent response on opposite question (3)]])</f>
        <v>0</v>
      </c>
      <c r="AP3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10</v>
      </c>
      <c r="AQ32">
        <f>Table7[[#This Row],[Extreme Response]]/21</f>
        <v>0.47619047619047616</v>
      </c>
      <c r="AR32">
        <f>Table67[[#This Row],[Threshold of ERS]]</f>
        <v>0.61904761904761907</v>
      </c>
      <c r="AS32" t="b">
        <f>Table7[[#This Row],[Extrem Response Ratio (ERS)]]&gt;=Table7[[#This Row],[Threshold of ERS]]</f>
        <v>0</v>
      </c>
      <c r="AT32" t="b" cm="1">
        <f t="array" ref="AT3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2">
        <f>COUNTIF(Table7[[#This Row],[The mechanism of digital assets is difficult to understand, which discourages me from exploring it (E.g, Tokenization, Blockchain)]:[If I want to try different ways to invest, I will explore digital assets.]], 3)</f>
        <v>6</v>
      </c>
      <c r="AV32">
        <f>Table7[[#This Row],[Midpoint]]/21</f>
        <v>0.2857142857142857</v>
      </c>
      <c r="AW32">
        <f>Table67[[#This Row],[Threshold of Midpoint ratio]]</f>
        <v>0.5714285714285714</v>
      </c>
      <c r="AX32" t="b">
        <f>Table7[[#This Row],[Midpoint ratio]]&gt;=Table7[[#This Row],[Threshold of Midpoint ratio]]</f>
        <v>0</v>
      </c>
      <c r="AY32" t="b">
        <f>OR(Table7[[#This Row],[Extreme Response Style]:[Straight-lining with 1 deviation]],Table7[[#This Row],[Mid-point Response Style]])</f>
        <v>0</v>
      </c>
      <c r="AZ32" t="b">
        <f>OR(Table7[[#This Row],[Delete? (Stage 1)]],Table7[[#This Row],[Delete? (Stage 2)]])</f>
        <v>0</v>
      </c>
      <c r="BA32" t="s">
        <v>59</v>
      </c>
    </row>
    <row r="33" spans="1:53">
      <c r="A33">
        <v>156</v>
      </c>
      <c r="B33" s="3">
        <v>46035.540578703702</v>
      </c>
      <c r="C33" s="3">
        <v>46035.543009259301</v>
      </c>
      <c r="D33" t="s">
        <v>53</v>
      </c>
      <c r="G33" t="s">
        <v>54</v>
      </c>
      <c r="H33" t="s">
        <v>55</v>
      </c>
      <c r="I33" t="s">
        <v>56</v>
      </c>
      <c r="J33" t="s">
        <v>67</v>
      </c>
      <c r="K33" t="s">
        <v>66</v>
      </c>
      <c r="L33" t="s">
        <v>58</v>
      </c>
      <c r="M33" t="s">
        <v>58</v>
      </c>
      <c r="N33">
        <v>5</v>
      </c>
      <c r="O33">
        <v>4</v>
      </c>
      <c r="P33">
        <v>3</v>
      </c>
      <c r="Q33">
        <v>4</v>
      </c>
      <c r="R33">
        <v>5</v>
      </c>
      <c r="S33">
        <v>4</v>
      </c>
      <c r="T33">
        <v>3</v>
      </c>
      <c r="U33">
        <v>5</v>
      </c>
      <c r="V33">
        <v>3</v>
      </c>
      <c r="W33">
        <v>4</v>
      </c>
      <c r="X33">
        <v>3</v>
      </c>
      <c r="Y33">
        <v>4</v>
      </c>
      <c r="Z33">
        <v>5</v>
      </c>
      <c r="AA33">
        <v>3</v>
      </c>
      <c r="AB33">
        <v>2</v>
      </c>
      <c r="AC33">
        <v>4</v>
      </c>
      <c r="AD33">
        <v>2</v>
      </c>
      <c r="AE33">
        <v>3</v>
      </c>
      <c r="AF33">
        <v>3</v>
      </c>
      <c r="AG33">
        <v>3</v>
      </c>
      <c r="AH33">
        <v>3</v>
      </c>
      <c r="AI33">
        <v>3</v>
      </c>
      <c r="AJ33">
        <v>3</v>
      </c>
      <c r="AK33" t="b">
        <f>Table7[[#This Row],[What is your age?]]&lt;&gt;"18 - 25"</f>
        <v>0</v>
      </c>
      <c r="AL33" t="b">
        <f t="shared" si="0"/>
        <v>0</v>
      </c>
      <c r="AM33" t="b">
        <f t="shared" si="1"/>
        <v>0</v>
      </c>
      <c r="AN33" t="b">
        <f t="shared" si="2"/>
        <v>0</v>
      </c>
      <c r="AO33" t="b">
        <f>OR(Table7[[#This Row],[Ineligible respondents]:[Inconsistent response on opposite question (3)]])</f>
        <v>0</v>
      </c>
      <c r="AP3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33">
        <f>Table7[[#This Row],[Extreme Response]]/21</f>
        <v>0.19047619047619047</v>
      </c>
      <c r="AR33">
        <f>Table67[[#This Row],[Threshold of ERS]]</f>
        <v>0.61904761904761907</v>
      </c>
      <c r="AS33" t="b">
        <f>Table7[[#This Row],[Extrem Response Ratio (ERS)]]&gt;=Table7[[#This Row],[Threshold of ERS]]</f>
        <v>0</v>
      </c>
      <c r="AT33" t="b" cm="1">
        <f t="array" ref="AT3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3">
        <f>COUNTIF(Table7[[#This Row],[The mechanism of digital assets is difficult to understand, which discourages me from exploring it (E.g, Tokenization, Blockchain)]:[If I want to try different ways to invest, I will explore digital assets.]], 3)</f>
        <v>9</v>
      </c>
      <c r="AV33">
        <f>Table7[[#This Row],[Midpoint]]/21</f>
        <v>0.42857142857142855</v>
      </c>
      <c r="AW33">
        <f>Table67[[#This Row],[Threshold of Midpoint ratio]]</f>
        <v>0.5714285714285714</v>
      </c>
      <c r="AX33" t="b">
        <f>Table7[[#This Row],[Midpoint ratio]]&gt;=Table7[[#This Row],[Threshold of Midpoint ratio]]</f>
        <v>0</v>
      </c>
      <c r="AY33" t="b">
        <f>OR(Table7[[#This Row],[Extreme Response Style]:[Straight-lining with 1 deviation]],Table7[[#This Row],[Mid-point Response Style]])</f>
        <v>0</v>
      </c>
      <c r="AZ33" t="b">
        <f>OR(Table7[[#This Row],[Delete? (Stage 1)]],Table7[[#This Row],[Delete? (Stage 2)]])</f>
        <v>0</v>
      </c>
      <c r="BA33" t="s">
        <v>59</v>
      </c>
    </row>
    <row r="34" spans="1:53">
      <c r="A34">
        <v>165</v>
      </c>
      <c r="B34" s="3">
        <v>46035.676782407398</v>
      </c>
      <c r="C34" s="3">
        <v>46035.678958333301</v>
      </c>
      <c r="D34" t="s">
        <v>53</v>
      </c>
      <c r="G34" t="s">
        <v>54</v>
      </c>
      <c r="H34" t="s">
        <v>55</v>
      </c>
      <c r="I34" t="s">
        <v>56</v>
      </c>
      <c r="J34" t="s">
        <v>65</v>
      </c>
      <c r="K34" t="s">
        <v>60</v>
      </c>
      <c r="L34" t="s">
        <v>58</v>
      </c>
      <c r="M34" t="s">
        <v>61</v>
      </c>
      <c r="N34">
        <v>3</v>
      </c>
      <c r="O34">
        <v>3</v>
      </c>
      <c r="P34">
        <v>4</v>
      </c>
      <c r="Q34">
        <v>4</v>
      </c>
      <c r="R34">
        <v>4</v>
      </c>
      <c r="S34">
        <v>2</v>
      </c>
      <c r="T34">
        <v>2</v>
      </c>
      <c r="U34">
        <v>4</v>
      </c>
      <c r="V34">
        <v>5</v>
      </c>
      <c r="W34">
        <v>4</v>
      </c>
      <c r="X34">
        <v>4</v>
      </c>
      <c r="Y34">
        <v>5</v>
      </c>
      <c r="Z34">
        <v>4</v>
      </c>
      <c r="AA34">
        <v>2</v>
      </c>
      <c r="AB34">
        <v>2</v>
      </c>
      <c r="AC34">
        <v>2</v>
      </c>
      <c r="AD34">
        <v>4</v>
      </c>
      <c r="AE34">
        <v>4</v>
      </c>
      <c r="AF34">
        <v>2</v>
      </c>
      <c r="AG34">
        <v>3</v>
      </c>
      <c r="AH34">
        <v>3</v>
      </c>
      <c r="AI34">
        <v>3</v>
      </c>
      <c r="AJ34">
        <v>4</v>
      </c>
      <c r="AK34" t="b">
        <f>Table7[[#This Row],[What is your age?]]&lt;&gt;"18 - 25"</f>
        <v>0</v>
      </c>
      <c r="AL34" t="b">
        <f t="shared" si="0"/>
        <v>0</v>
      </c>
      <c r="AM34" t="b">
        <f t="shared" si="1"/>
        <v>0</v>
      </c>
      <c r="AN34" t="b">
        <f t="shared" si="2"/>
        <v>0</v>
      </c>
      <c r="AO34" t="b">
        <f>OR(Table7[[#This Row],[Ineligible respondents]:[Inconsistent response on opposite question (3)]])</f>
        <v>0</v>
      </c>
      <c r="AP3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34">
        <f>Table7[[#This Row],[Extreme Response]]/21</f>
        <v>9.5238095238095233E-2</v>
      </c>
      <c r="AR34">
        <f>Table67[[#This Row],[Threshold of ERS]]</f>
        <v>0.61904761904761907</v>
      </c>
      <c r="AS34" t="b">
        <f>Table7[[#This Row],[Extrem Response Ratio (ERS)]]&gt;=Table7[[#This Row],[Threshold of ERS]]</f>
        <v>0</v>
      </c>
      <c r="AT34" t="b" cm="1">
        <f t="array" ref="AT3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4">
        <f>COUNTIF(Table7[[#This Row],[The mechanism of digital assets is difficult to understand, which discourages me from exploring it (E.g, Tokenization, Blockchain)]:[If I want to try different ways to invest, I will explore digital assets.]], 3)</f>
        <v>4</v>
      </c>
      <c r="AV34">
        <f>Table7[[#This Row],[Midpoint]]/21</f>
        <v>0.19047619047619047</v>
      </c>
      <c r="AW34">
        <f>Table67[[#This Row],[Threshold of Midpoint ratio]]</f>
        <v>0.5714285714285714</v>
      </c>
      <c r="AX34" t="b">
        <f>Table7[[#This Row],[Midpoint ratio]]&gt;=Table7[[#This Row],[Threshold of Midpoint ratio]]</f>
        <v>0</v>
      </c>
      <c r="AY34" t="b">
        <f>OR(Table7[[#This Row],[Extreme Response Style]:[Straight-lining with 1 deviation]],Table7[[#This Row],[Mid-point Response Style]])</f>
        <v>0</v>
      </c>
      <c r="AZ34" t="b">
        <f>OR(Table7[[#This Row],[Delete? (Stage 1)]],Table7[[#This Row],[Delete? (Stage 2)]])</f>
        <v>0</v>
      </c>
      <c r="BA34" t="s">
        <v>81</v>
      </c>
    </row>
    <row r="35" spans="1:53">
      <c r="A35">
        <v>171</v>
      </c>
      <c r="B35" s="3">
        <v>46035.700995370396</v>
      </c>
      <c r="C35" s="3">
        <v>46035.703692129602</v>
      </c>
      <c r="D35" t="s">
        <v>53</v>
      </c>
      <c r="G35" t="s">
        <v>54</v>
      </c>
      <c r="H35" t="s">
        <v>63</v>
      </c>
      <c r="I35" t="s">
        <v>56</v>
      </c>
      <c r="J35" t="s">
        <v>60</v>
      </c>
      <c r="K35" t="s">
        <v>57</v>
      </c>
      <c r="L35" t="s">
        <v>58</v>
      </c>
      <c r="M35" t="s">
        <v>58</v>
      </c>
      <c r="N35">
        <v>4</v>
      </c>
      <c r="O35">
        <v>2</v>
      </c>
      <c r="P35">
        <v>4</v>
      </c>
      <c r="Q35">
        <v>4</v>
      </c>
      <c r="R35">
        <v>4</v>
      </c>
      <c r="S35">
        <v>4</v>
      </c>
      <c r="T35">
        <v>4</v>
      </c>
      <c r="U35">
        <v>5</v>
      </c>
      <c r="V35">
        <v>4</v>
      </c>
      <c r="W35">
        <v>4</v>
      </c>
      <c r="X35">
        <v>4</v>
      </c>
      <c r="Y35">
        <v>4</v>
      </c>
      <c r="Z35">
        <v>5</v>
      </c>
      <c r="AA35">
        <v>4</v>
      </c>
      <c r="AB35">
        <v>3</v>
      </c>
      <c r="AC35">
        <v>3</v>
      </c>
      <c r="AD35">
        <v>3</v>
      </c>
      <c r="AE35">
        <v>4</v>
      </c>
      <c r="AF35">
        <v>2</v>
      </c>
      <c r="AG35">
        <v>2</v>
      </c>
      <c r="AH35">
        <v>4</v>
      </c>
      <c r="AI35">
        <v>2</v>
      </c>
      <c r="AJ35">
        <v>4</v>
      </c>
      <c r="AK35" t="b">
        <f>Table7[[#This Row],[What is your age?]]&lt;&gt;"18 - 25"</f>
        <v>0</v>
      </c>
      <c r="AL35" t="b">
        <f t="shared" si="0"/>
        <v>0</v>
      </c>
      <c r="AM35" t="b">
        <f t="shared" si="1"/>
        <v>0</v>
      </c>
      <c r="AN35" t="b">
        <f t="shared" si="2"/>
        <v>0</v>
      </c>
      <c r="AO35" t="b">
        <f>OR(Table7[[#This Row],[Ineligible respondents]:[Inconsistent response on opposite question (3)]])</f>
        <v>0</v>
      </c>
      <c r="AP3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35">
        <f>Table7[[#This Row],[Extreme Response]]/21</f>
        <v>9.5238095238095233E-2</v>
      </c>
      <c r="AR35">
        <f>Table67[[#This Row],[Threshold of ERS]]</f>
        <v>0.61904761904761907</v>
      </c>
      <c r="AS35" t="b">
        <f>Table7[[#This Row],[Extrem Response Ratio (ERS)]]&gt;=Table7[[#This Row],[Threshold of ERS]]</f>
        <v>0</v>
      </c>
      <c r="AT35" t="b" cm="1">
        <f t="array" ref="AT3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5">
        <f>COUNTIF(Table7[[#This Row],[The mechanism of digital assets is difficult to understand, which discourages me from exploring it (E.g, Tokenization, Blockchain)]:[If I want to try different ways to invest, I will explore digital assets.]], 3)</f>
        <v>3</v>
      </c>
      <c r="AV35">
        <f>Table7[[#This Row],[Midpoint]]/21</f>
        <v>0.14285714285714285</v>
      </c>
      <c r="AW35">
        <f>Table67[[#This Row],[Threshold of Midpoint ratio]]</f>
        <v>0.5714285714285714</v>
      </c>
      <c r="AX35" t="b">
        <f>Table7[[#This Row],[Midpoint ratio]]&gt;=Table7[[#This Row],[Threshold of Midpoint ratio]]</f>
        <v>0</v>
      </c>
      <c r="AY35" t="b">
        <f>OR(Table7[[#This Row],[Extreme Response Style]:[Straight-lining with 1 deviation]],Table7[[#This Row],[Mid-point Response Style]])</f>
        <v>0</v>
      </c>
      <c r="AZ35" t="b">
        <f>OR(Table7[[#This Row],[Delete? (Stage 1)]],Table7[[#This Row],[Delete? (Stage 2)]])</f>
        <v>0</v>
      </c>
      <c r="BA35" t="s">
        <v>81</v>
      </c>
    </row>
    <row r="36" spans="1:53">
      <c r="A36">
        <v>177</v>
      </c>
      <c r="B36" s="3">
        <v>46035.702442129601</v>
      </c>
      <c r="C36" s="3">
        <v>46035.704074074099</v>
      </c>
      <c r="D36" t="s">
        <v>53</v>
      </c>
      <c r="G36" t="s">
        <v>54</v>
      </c>
      <c r="H36" t="s">
        <v>55</v>
      </c>
      <c r="I36" t="s">
        <v>56</v>
      </c>
      <c r="J36" t="s">
        <v>65</v>
      </c>
      <c r="K36" t="s">
        <v>60</v>
      </c>
      <c r="L36" t="s">
        <v>58</v>
      </c>
      <c r="M36" t="s">
        <v>61</v>
      </c>
      <c r="N36">
        <v>4</v>
      </c>
      <c r="O36">
        <v>4</v>
      </c>
      <c r="P36">
        <v>4</v>
      </c>
      <c r="Q36">
        <v>4</v>
      </c>
      <c r="R36">
        <v>4</v>
      </c>
      <c r="S36">
        <v>4</v>
      </c>
      <c r="T36">
        <v>3</v>
      </c>
      <c r="U36">
        <v>4</v>
      </c>
      <c r="V36">
        <v>4</v>
      </c>
      <c r="W36">
        <v>4</v>
      </c>
      <c r="X36">
        <v>4</v>
      </c>
      <c r="Y36">
        <v>4</v>
      </c>
      <c r="Z36">
        <v>4</v>
      </c>
      <c r="AA36">
        <v>4</v>
      </c>
      <c r="AB36">
        <v>4</v>
      </c>
      <c r="AC36">
        <v>4</v>
      </c>
      <c r="AD36">
        <v>4</v>
      </c>
      <c r="AE36">
        <v>4</v>
      </c>
      <c r="AF36">
        <v>4</v>
      </c>
      <c r="AG36">
        <v>2</v>
      </c>
      <c r="AH36">
        <v>4</v>
      </c>
      <c r="AI36">
        <v>2</v>
      </c>
      <c r="AJ36">
        <v>2</v>
      </c>
      <c r="AK36" t="b">
        <f>Table7[[#This Row],[What is your age?]]&lt;&gt;"18 - 25"</f>
        <v>0</v>
      </c>
      <c r="AL36" t="b">
        <f t="shared" si="0"/>
        <v>0</v>
      </c>
      <c r="AM36" t="b">
        <f t="shared" si="1"/>
        <v>0</v>
      </c>
      <c r="AN36" t="b">
        <f t="shared" si="2"/>
        <v>0</v>
      </c>
      <c r="AO36" t="b">
        <f>OR(Table7[[#This Row],[Ineligible respondents]:[Inconsistent response on opposite question (3)]])</f>
        <v>0</v>
      </c>
      <c r="AP3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36">
        <f>Table7[[#This Row],[Extreme Response]]/21</f>
        <v>0</v>
      </c>
      <c r="AR36">
        <f>Table67[[#This Row],[Threshold of ERS]]</f>
        <v>0.61904761904761907</v>
      </c>
      <c r="AS36" t="b">
        <f>Table7[[#This Row],[Extrem Response Ratio (ERS)]]&gt;=Table7[[#This Row],[Threshold of ERS]]</f>
        <v>0</v>
      </c>
      <c r="AT36" t="b" cm="1">
        <f t="array" ref="AT3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6">
        <f>COUNTIF(Table7[[#This Row],[The mechanism of digital assets is difficult to understand, which discourages me from exploring it (E.g, Tokenization, Blockchain)]:[If I want to try different ways to invest, I will explore digital assets.]], 3)</f>
        <v>1</v>
      </c>
      <c r="AV36">
        <f>Table7[[#This Row],[Midpoint]]/21</f>
        <v>4.7619047619047616E-2</v>
      </c>
      <c r="AW36">
        <f>Table67[[#This Row],[Threshold of Midpoint ratio]]</f>
        <v>0.5714285714285714</v>
      </c>
      <c r="AX36" t="b">
        <f>Table7[[#This Row],[Midpoint ratio]]&gt;=Table7[[#This Row],[Threshold of Midpoint ratio]]</f>
        <v>0</v>
      </c>
      <c r="AY36" t="b">
        <f>OR(Table7[[#This Row],[Extreme Response Style]:[Straight-lining with 1 deviation]],Table7[[#This Row],[Mid-point Response Style]])</f>
        <v>0</v>
      </c>
      <c r="AZ36" t="b">
        <f>OR(Table7[[#This Row],[Delete? (Stage 1)]],Table7[[#This Row],[Delete? (Stage 2)]])</f>
        <v>0</v>
      </c>
      <c r="BA36" t="s">
        <v>81</v>
      </c>
    </row>
    <row r="37" spans="1:53">
      <c r="A37">
        <v>184</v>
      </c>
      <c r="B37" s="3">
        <v>46035.704456018502</v>
      </c>
      <c r="C37" s="3">
        <v>46035.708078703698</v>
      </c>
      <c r="D37" t="s">
        <v>53</v>
      </c>
      <c r="G37" t="s">
        <v>54</v>
      </c>
      <c r="H37" t="s">
        <v>55</v>
      </c>
      <c r="I37" t="s">
        <v>56</v>
      </c>
      <c r="J37" t="s">
        <v>57</v>
      </c>
      <c r="K37" t="s">
        <v>57</v>
      </c>
      <c r="L37" t="s">
        <v>58</v>
      </c>
      <c r="M37" t="s">
        <v>58</v>
      </c>
      <c r="N37">
        <v>3</v>
      </c>
      <c r="O37">
        <v>3</v>
      </c>
      <c r="P37">
        <v>4</v>
      </c>
      <c r="Q37">
        <v>3</v>
      </c>
      <c r="R37">
        <v>3</v>
      </c>
      <c r="S37">
        <v>2</v>
      </c>
      <c r="T37">
        <v>2</v>
      </c>
      <c r="U37">
        <v>3</v>
      </c>
      <c r="V37">
        <v>2</v>
      </c>
      <c r="W37">
        <v>2</v>
      </c>
      <c r="X37">
        <v>2</v>
      </c>
      <c r="Y37">
        <v>3</v>
      </c>
      <c r="Z37">
        <v>2</v>
      </c>
      <c r="AA37">
        <v>2</v>
      </c>
      <c r="AB37">
        <v>2</v>
      </c>
      <c r="AC37">
        <v>1</v>
      </c>
      <c r="AD37">
        <v>3</v>
      </c>
      <c r="AE37">
        <v>3</v>
      </c>
      <c r="AF37">
        <v>4</v>
      </c>
      <c r="AG37">
        <v>2</v>
      </c>
      <c r="AH37">
        <v>4</v>
      </c>
      <c r="AI37">
        <v>2</v>
      </c>
      <c r="AJ37">
        <v>2</v>
      </c>
      <c r="AK37" t="b">
        <f>Table7[[#This Row],[What is your age?]]&lt;&gt;"18 - 25"</f>
        <v>0</v>
      </c>
      <c r="AL37" t="b">
        <f t="shared" si="0"/>
        <v>0</v>
      </c>
      <c r="AM37" t="b">
        <f t="shared" si="1"/>
        <v>0</v>
      </c>
      <c r="AN37" t="b">
        <f t="shared" si="2"/>
        <v>0</v>
      </c>
      <c r="AO37" t="b">
        <f>OR(Table7[[#This Row],[Ineligible respondents]:[Inconsistent response on opposite question (3)]])</f>
        <v>0</v>
      </c>
      <c r="AP3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37">
        <f>Table7[[#This Row],[Extreme Response]]/21</f>
        <v>4.7619047619047616E-2</v>
      </c>
      <c r="AR37">
        <f>Table67[[#This Row],[Threshold of ERS]]</f>
        <v>0.61904761904761907</v>
      </c>
      <c r="AS37" t="b">
        <f>Table7[[#This Row],[Extrem Response Ratio (ERS)]]&gt;=Table7[[#This Row],[Threshold of ERS]]</f>
        <v>0</v>
      </c>
      <c r="AT37" t="b" cm="1">
        <f t="array" ref="AT3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7">
        <f>COUNTIF(Table7[[#This Row],[The mechanism of digital assets is difficult to understand, which discourages me from exploring it (E.g, Tokenization, Blockchain)]:[If I want to try different ways to invest, I will explore digital assets.]], 3)</f>
        <v>8</v>
      </c>
      <c r="AV37">
        <f>Table7[[#This Row],[Midpoint]]/21</f>
        <v>0.38095238095238093</v>
      </c>
      <c r="AW37">
        <f>Table67[[#This Row],[Threshold of Midpoint ratio]]</f>
        <v>0.5714285714285714</v>
      </c>
      <c r="AX37" t="b">
        <f>Table7[[#This Row],[Midpoint ratio]]&gt;=Table7[[#This Row],[Threshold of Midpoint ratio]]</f>
        <v>0</v>
      </c>
      <c r="AY37" t="b">
        <f>OR(Table7[[#This Row],[Extreme Response Style]:[Straight-lining with 1 deviation]],Table7[[#This Row],[Mid-point Response Style]])</f>
        <v>0</v>
      </c>
      <c r="AZ37" t="b">
        <f>OR(Table7[[#This Row],[Delete? (Stage 1)]],Table7[[#This Row],[Delete? (Stage 2)]])</f>
        <v>0</v>
      </c>
      <c r="BA37" t="s">
        <v>81</v>
      </c>
    </row>
    <row r="38" spans="1:53">
      <c r="A38">
        <v>189</v>
      </c>
      <c r="B38" s="3">
        <v>46035.707233796304</v>
      </c>
      <c r="C38" s="3">
        <v>46035.708680555603</v>
      </c>
      <c r="D38" t="s">
        <v>53</v>
      </c>
      <c r="G38" t="s">
        <v>54</v>
      </c>
      <c r="H38" t="s">
        <v>63</v>
      </c>
      <c r="I38" t="s">
        <v>56</v>
      </c>
      <c r="J38" t="s">
        <v>62</v>
      </c>
      <c r="K38" t="s">
        <v>57</v>
      </c>
      <c r="L38" t="s">
        <v>58</v>
      </c>
      <c r="M38" t="s">
        <v>58</v>
      </c>
      <c r="N38">
        <v>4</v>
      </c>
      <c r="O38">
        <v>2</v>
      </c>
      <c r="P38">
        <v>4</v>
      </c>
      <c r="Q38">
        <v>3</v>
      </c>
      <c r="R38">
        <v>4</v>
      </c>
      <c r="S38">
        <v>4</v>
      </c>
      <c r="T38">
        <v>3</v>
      </c>
      <c r="U38">
        <v>5</v>
      </c>
      <c r="V38">
        <v>4</v>
      </c>
      <c r="W38">
        <v>4</v>
      </c>
      <c r="X38">
        <v>3</v>
      </c>
      <c r="Y38">
        <v>4</v>
      </c>
      <c r="Z38">
        <v>4</v>
      </c>
      <c r="AA38">
        <v>3</v>
      </c>
      <c r="AB38">
        <v>2</v>
      </c>
      <c r="AC38">
        <v>4</v>
      </c>
      <c r="AD38">
        <v>3</v>
      </c>
      <c r="AE38">
        <v>1</v>
      </c>
      <c r="AF38">
        <v>2</v>
      </c>
      <c r="AG38">
        <v>3</v>
      </c>
      <c r="AH38">
        <v>3</v>
      </c>
      <c r="AI38">
        <v>3</v>
      </c>
      <c r="AJ38">
        <v>4</v>
      </c>
      <c r="AK38" t="b">
        <f>Table7[[#This Row],[What is your age?]]&lt;&gt;"18 - 25"</f>
        <v>0</v>
      </c>
      <c r="AL38" t="b">
        <f t="shared" si="0"/>
        <v>0</v>
      </c>
      <c r="AM38" t="b">
        <f t="shared" si="1"/>
        <v>0</v>
      </c>
      <c r="AN38" t="b">
        <f t="shared" si="2"/>
        <v>0</v>
      </c>
      <c r="AO38" t="b">
        <f>OR(Table7[[#This Row],[Ineligible respondents]:[Inconsistent response on opposite question (3)]])</f>
        <v>0</v>
      </c>
      <c r="AP3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38">
        <f>Table7[[#This Row],[Extreme Response]]/21</f>
        <v>9.5238095238095233E-2</v>
      </c>
      <c r="AR38">
        <f>Table67[[#This Row],[Threshold of ERS]]</f>
        <v>0.61904761904761907</v>
      </c>
      <c r="AS38" t="b">
        <f>Table7[[#This Row],[Extrem Response Ratio (ERS)]]&gt;=Table7[[#This Row],[Threshold of ERS]]</f>
        <v>0</v>
      </c>
      <c r="AT38" t="b" cm="1">
        <f t="array" ref="AT3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8">
        <f>COUNTIF(Table7[[#This Row],[The mechanism of digital assets is difficult to understand, which discourages me from exploring it (E.g, Tokenization, Blockchain)]:[If I want to try different ways to invest, I will explore digital assets.]], 3)</f>
        <v>7</v>
      </c>
      <c r="AV38">
        <f>Table7[[#This Row],[Midpoint]]/21</f>
        <v>0.33333333333333331</v>
      </c>
      <c r="AW38">
        <f>Table67[[#This Row],[Threshold of Midpoint ratio]]</f>
        <v>0.5714285714285714</v>
      </c>
      <c r="AX38" t="b">
        <f>Table7[[#This Row],[Midpoint ratio]]&gt;=Table7[[#This Row],[Threshold of Midpoint ratio]]</f>
        <v>0</v>
      </c>
      <c r="AY38" t="b">
        <f>OR(Table7[[#This Row],[Extreme Response Style]:[Straight-lining with 1 deviation]],Table7[[#This Row],[Mid-point Response Style]])</f>
        <v>0</v>
      </c>
      <c r="AZ38" t="b">
        <f>OR(Table7[[#This Row],[Delete? (Stage 1)]],Table7[[#This Row],[Delete? (Stage 2)]])</f>
        <v>0</v>
      </c>
      <c r="BA38" t="s">
        <v>81</v>
      </c>
    </row>
    <row r="39" spans="1:53">
      <c r="A39">
        <v>190</v>
      </c>
      <c r="B39" s="3">
        <v>46035.707326388903</v>
      </c>
      <c r="C39" s="3">
        <v>46035.7084606481</v>
      </c>
      <c r="D39" t="s">
        <v>53</v>
      </c>
      <c r="G39" t="s">
        <v>54</v>
      </c>
      <c r="H39" t="s">
        <v>55</v>
      </c>
      <c r="I39" t="s">
        <v>75</v>
      </c>
      <c r="J39" t="s">
        <v>60</v>
      </c>
      <c r="K39" t="s">
        <v>57</v>
      </c>
      <c r="L39" t="s">
        <v>61</v>
      </c>
      <c r="M39" t="s">
        <v>61</v>
      </c>
      <c r="N39">
        <v>3</v>
      </c>
      <c r="O39">
        <v>2</v>
      </c>
      <c r="P39">
        <v>3</v>
      </c>
      <c r="Q39">
        <v>4</v>
      </c>
      <c r="R39">
        <v>3</v>
      </c>
      <c r="S39">
        <v>2</v>
      </c>
      <c r="T39">
        <v>2</v>
      </c>
      <c r="U39">
        <v>4</v>
      </c>
      <c r="V39">
        <v>4</v>
      </c>
      <c r="W39">
        <v>4</v>
      </c>
      <c r="X39">
        <v>3</v>
      </c>
      <c r="Y39">
        <v>4</v>
      </c>
      <c r="Z39">
        <v>2</v>
      </c>
      <c r="AA39">
        <v>2</v>
      </c>
      <c r="AB39">
        <v>4</v>
      </c>
      <c r="AC39">
        <v>4</v>
      </c>
      <c r="AD39">
        <v>2</v>
      </c>
      <c r="AE39">
        <v>2</v>
      </c>
      <c r="AF39">
        <v>4</v>
      </c>
      <c r="AG39">
        <v>3</v>
      </c>
      <c r="AH39">
        <v>3</v>
      </c>
      <c r="AI39">
        <v>3</v>
      </c>
      <c r="AJ39">
        <v>2</v>
      </c>
      <c r="AK39" t="b">
        <f>Table7[[#This Row],[What is your age?]]&lt;&gt;"18 - 25"</f>
        <v>0</v>
      </c>
      <c r="AL39" t="b">
        <f t="shared" si="0"/>
        <v>0</v>
      </c>
      <c r="AM39" t="b">
        <f t="shared" si="1"/>
        <v>0</v>
      </c>
      <c r="AN39" t="b">
        <f t="shared" si="2"/>
        <v>0</v>
      </c>
      <c r="AO39" t="b">
        <f>OR(Table7[[#This Row],[Ineligible respondents]:[Inconsistent response on opposite question (3)]])</f>
        <v>0</v>
      </c>
      <c r="AP3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39">
        <f>Table7[[#This Row],[Extreme Response]]/21</f>
        <v>0</v>
      </c>
      <c r="AR39">
        <f>Table67[[#This Row],[Threshold of ERS]]</f>
        <v>0.61904761904761907</v>
      </c>
      <c r="AS39" t="b">
        <f>Table7[[#This Row],[Extrem Response Ratio (ERS)]]&gt;=Table7[[#This Row],[Threshold of ERS]]</f>
        <v>0</v>
      </c>
      <c r="AT39" t="b" cm="1">
        <f t="array" ref="AT3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9">
        <f>COUNTIF(Table7[[#This Row],[The mechanism of digital assets is difficult to understand, which discourages me from exploring it (E.g, Tokenization, Blockchain)]:[If I want to try different ways to invest, I will explore digital assets.]], 3)</f>
        <v>6</v>
      </c>
      <c r="AV39">
        <f>Table7[[#This Row],[Midpoint]]/21</f>
        <v>0.2857142857142857</v>
      </c>
      <c r="AW39">
        <f>Table67[[#This Row],[Threshold of Midpoint ratio]]</f>
        <v>0.5714285714285714</v>
      </c>
      <c r="AX39" t="b">
        <f>Table7[[#This Row],[Midpoint ratio]]&gt;=Table7[[#This Row],[Threshold of Midpoint ratio]]</f>
        <v>0</v>
      </c>
      <c r="AY39" t="b">
        <f>OR(Table7[[#This Row],[Extreme Response Style]:[Straight-lining with 1 deviation]],Table7[[#This Row],[Mid-point Response Style]])</f>
        <v>0</v>
      </c>
      <c r="AZ39" t="b">
        <f>OR(Table7[[#This Row],[Delete? (Stage 1)]],Table7[[#This Row],[Delete? (Stage 2)]])</f>
        <v>0</v>
      </c>
      <c r="BA39" t="s">
        <v>81</v>
      </c>
    </row>
    <row r="40" spans="1:53">
      <c r="A40">
        <v>191</v>
      </c>
      <c r="B40" s="3">
        <v>46035.708171296297</v>
      </c>
      <c r="C40" s="3">
        <v>46035.711805555598</v>
      </c>
      <c r="D40" t="s">
        <v>53</v>
      </c>
      <c r="G40" t="s">
        <v>54</v>
      </c>
      <c r="H40" t="s">
        <v>55</v>
      </c>
      <c r="I40" t="s">
        <v>56</v>
      </c>
      <c r="J40" t="s">
        <v>60</v>
      </c>
      <c r="K40" t="s">
        <v>57</v>
      </c>
      <c r="L40" t="s">
        <v>58</v>
      </c>
      <c r="M40" t="s">
        <v>61</v>
      </c>
      <c r="N40">
        <v>3</v>
      </c>
      <c r="O40">
        <v>3</v>
      </c>
      <c r="P40">
        <v>4</v>
      </c>
      <c r="Q40">
        <v>3</v>
      </c>
      <c r="R40">
        <v>3</v>
      </c>
      <c r="S40">
        <v>4</v>
      </c>
      <c r="T40">
        <v>3</v>
      </c>
      <c r="U40">
        <v>4</v>
      </c>
      <c r="V40">
        <v>5</v>
      </c>
      <c r="W40">
        <v>5</v>
      </c>
      <c r="X40">
        <v>5</v>
      </c>
      <c r="Y40">
        <v>5</v>
      </c>
      <c r="Z40">
        <v>5</v>
      </c>
      <c r="AA40">
        <v>5</v>
      </c>
      <c r="AB40">
        <v>1</v>
      </c>
      <c r="AC40">
        <v>3</v>
      </c>
      <c r="AD40">
        <v>2</v>
      </c>
      <c r="AE40">
        <v>4</v>
      </c>
      <c r="AF40">
        <v>2</v>
      </c>
      <c r="AG40">
        <v>3</v>
      </c>
      <c r="AH40">
        <v>3</v>
      </c>
      <c r="AI40">
        <v>3</v>
      </c>
      <c r="AJ40">
        <v>4</v>
      </c>
      <c r="AK40" t="b">
        <f>Table7[[#This Row],[What is your age?]]&lt;&gt;"18 - 25"</f>
        <v>0</v>
      </c>
      <c r="AL40" t="b">
        <f t="shared" si="0"/>
        <v>0</v>
      </c>
      <c r="AM40" t="b">
        <f t="shared" si="1"/>
        <v>0</v>
      </c>
      <c r="AN40" t="b">
        <f t="shared" si="2"/>
        <v>0</v>
      </c>
      <c r="AO40" t="b">
        <f>OR(Table7[[#This Row],[Ineligible respondents]:[Inconsistent response on opposite question (3)]])</f>
        <v>0</v>
      </c>
      <c r="AP4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7</v>
      </c>
      <c r="AQ40">
        <f>Table7[[#This Row],[Extreme Response]]/21</f>
        <v>0.33333333333333331</v>
      </c>
      <c r="AR40">
        <f>Table67[[#This Row],[Threshold of ERS]]</f>
        <v>0.61904761904761907</v>
      </c>
      <c r="AS40" t="b">
        <f>Table7[[#This Row],[Extrem Response Ratio (ERS)]]&gt;=Table7[[#This Row],[Threshold of ERS]]</f>
        <v>0</v>
      </c>
      <c r="AT40" t="b" cm="1">
        <f t="array" ref="AT4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40">
        <f>COUNTIF(Table7[[#This Row],[The mechanism of digital assets is difficult to understand, which discourages me from exploring it (E.g, Tokenization, Blockchain)]:[If I want to try different ways to invest, I will explore digital assets.]], 3)</f>
        <v>8</v>
      </c>
      <c r="AV40">
        <f>Table7[[#This Row],[Midpoint]]/21</f>
        <v>0.38095238095238093</v>
      </c>
      <c r="AW40">
        <f>Table67[[#This Row],[Threshold of Midpoint ratio]]</f>
        <v>0.5714285714285714</v>
      </c>
      <c r="AX40" t="b">
        <f>Table7[[#This Row],[Midpoint ratio]]&gt;=Table7[[#This Row],[Threshold of Midpoint ratio]]</f>
        <v>0</v>
      </c>
      <c r="AY40" t="b">
        <f>OR(Table7[[#This Row],[Extreme Response Style]:[Straight-lining with 1 deviation]],Table7[[#This Row],[Mid-point Response Style]])</f>
        <v>0</v>
      </c>
      <c r="AZ40" t="b">
        <f>OR(Table7[[#This Row],[Delete? (Stage 1)]],Table7[[#This Row],[Delete? (Stage 2)]])</f>
        <v>0</v>
      </c>
      <c r="BA40" t="s">
        <v>81</v>
      </c>
    </row>
    <row r="41" spans="1:53">
      <c r="A41">
        <v>195</v>
      </c>
      <c r="B41" s="3">
        <v>46035.713194444397</v>
      </c>
      <c r="C41" s="3">
        <v>46035.715682870403</v>
      </c>
      <c r="D41" t="s">
        <v>53</v>
      </c>
      <c r="G41" t="s">
        <v>54</v>
      </c>
      <c r="H41" t="s">
        <v>55</v>
      </c>
      <c r="I41" t="s">
        <v>56</v>
      </c>
      <c r="J41" t="s">
        <v>62</v>
      </c>
      <c r="K41" t="s">
        <v>57</v>
      </c>
      <c r="L41" t="s">
        <v>61</v>
      </c>
      <c r="M41" t="s">
        <v>61</v>
      </c>
      <c r="N41">
        <v>2</v>
      </c>
      <c r="O41">
        <v>2</v>
      </c>
      <c r="P41">
        <v>3</v>
      </c>
      <c r="Q41">
        <v>2</v>
      </c>
      <c r="R41">
        <v>2</v>
      </c>
      <c r="S41">
        <v>2</v>
      </c>
      <c r="T41">
        <v>3</v>
      </c>
      <c r="U41">
        <v>2</v>
      </c>
      <c r="V41">
        <v>3</v>
      </c>
      <c r="W41">
        <v>4</v>
      </c>
      <c r="X41">
        <v>2</v>
      </c>
      <c r="Y41">
        <v>3</v>
      </c>
      <c r="Z41">
        <v>3</v>
      </c>
      <c r="AA41">
        <v>2</v>
      </c>
      <c r="AB41">
        <v>2</v>
      </c>
      <c r="AC41">
        <v>2</v>
      </c>
      <c r="AD41">
        <v>2</v>
      </c>
      <c r="AE41">
        <v>2</v>
      </c>
      <c r="AF41">
        <v>4</v>
      </c>
      <c r="AG41">
        <v>2</v>
      </c>
      <c r="AH41">
        <v>4</v>
      </c>
      <c r="AI41">
        <v>2</v>
      </c>
      <c r="AJ41">
        <v>2</v>
      </c>
      <c r="AK41" t="b">
        <f>Table7[[#This Row],[What is your age?]]&lt;&gt;"18 - 25"</f>
        <v>0</v>
      </c>
      <c r="AL41" t="b">
        <f t="shared" si="0"/>
        <v>0</v>
      </c>
      <c r="AM41" t="b">
        <f t="shared" si="1"/>
        <v>0</v>
      </c>
      <c r="AN41" t="b">
        <f t="shared" si="2"/>
        <v>0</v>
      </c>
      <c r="AO41" t="b">
        <f>OR(Table7[[#This Row],[Ineligible respondents]:[Inconsistent response on opposite question (3)]])</f>
        <v>0</v>
      </c>
      <c r="AP4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41">
        <f>Table7[[#This Row],[Extreme Response]]/21</f>
        <v>0</v>
      </c>
      <c r="AR41">
        <f>Table67[[#This Row],[Threshold of ERS]]</f>
        <v>0.61904761904761907</v>
      </c>
      <c r="AS41" t="b">
        <f>Table7[[#This Row],[Extrem Response Ratio (ERS)]]&gt;=Table7[[#This Row],[Threshold of ERS]]</f>
        <v>0</v>
      </c>
      <c r="AT41" t="b" cm="1">
        <f t="array" ref="AT4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41">
        <f>COUNTIF(Table7[[#This Row],[The mechanism of digital assets is difficult to understand, which discourages me from exploring it (E.g, Tokenization, Blockchain)]:[If I want to try different ways to invest, I will explore digital assets.]], 3)</f>
        <v>5</v>
      </c>
      <c r="AV41">
        <f>Table7[[#This Row],[Midpoint]]/21</f>
        <v>0.23809523809523808</v>
      </c>
      <c r="AW41">
        <f>Table67[[#This Row],[Threshold of Midpoint ratio]]</f>
        <v>0.5714285714285714</v>
      </c>
      <c r="AX41" t="b">
        <f>Table7[[#This Row],[Midpoint ratio]]&gt;=Table7[[#This Row],[Threshold of Midpoint ratio]]</f>
        <v>0</v>
      </c>
      <c r="AY41" t="b">
        <f>OR(Table7[[#This Row],[Extreme Response Style]:[Straight-lining with 1 deviation]],Table7[[#This Row],[Mid-point Response Style]])</f>
        <v>0</v>
      </c>
      <c r="AZ41" t="b">
        <f>OR(Table7[[#This Row],[Delete? (Stage 1)]],Table7[[#This Row],[Delete? (Stage 2)]])</f>
        <v>0</v>
      </c>
      <c r="BA41" t="s">
        <v>81</v>
      </c>
    </row>
    <row r="42" spans="1:53">
      <c r="A42">
        <v>204</v>
      </c>
      <c r="B42" s="3">
        <v>46035.728321759299</v>
      </c>
      <c r="C42" s="3">
        <v>46035.729826388902</v>
      </c>
      <c r="D42" t="s">
        <v>53</v>
      </c>
      <c r="G42" t="s">
        <v>54</v>
      </c>
      <c r="H42" t="s">
        <v>63</v>
      </c>
      <c r="I42" t="s">
        <v>56</v>
      </c>
      <c r="J42" t="s">
        <v>60</v>
      </c>
      <c r="K42" t="s">
        <v>57</v>
      </c>
      <c r="L42" t="s">
        <v>61</v>
      </c>
      <c r="M42" t="s">
        <v>61</v>
      </c>
      <c r="N42">
        <v>3</v>
      </c>
      <c r="O42">
        <v>4</v>
      </c>
      <c r="P42">
        <v>3</v>
      </c>
      <c r="Q42">
        <v>3</v>
      </c>
      <c r="R42">
        <v>4</v>
      </c>
      <c r="S42">
        <v>3</v>
      </c>
      <c r="T42">
        <v>3</v>
      </c>
      <c r="U42">
        <v>3</v>
      </c>
      <c r="V42">
        <v>4</v>
      </c>
      <c r="W42">
        <v>4</v>
      </c>
      <c r="X42">
        <v>4</v>
      </c>
      <c r="Y42">
        <v>3</v>
      </c>
      <c r="Z42">
        <v>4</v>
      </c>
      <c r="AA42">
        <v>4</v>
      </c>
      <c r="AB42">
        <v>3</v>
      </c>
      <c r="AC42">
        <v>4</v>
      </c>
      <c r="AD42">
        <v>3</v>
      </c>
      <c r="AE42">
        <v>3</v>
      </c>
      <c r="AF42">
        <v>2</v>
      </c>
      <c r="AG42">
        <v>4</v>
      </c>
      <c r="AH42">
        <v>2</v>
      </c>
      <c r="AI42">
        <v>4</v>
      </c>
      <c r="AJ42">
        <v>4</v>
      </c>
      <c r="AK42" t="b">
        <f>Table7[[#This Row],[What is your age?]]&lt;&gt;"18 - 25"</f>
        <v>0</v>
      </c>
      <c r="AL42" t="b">
        <f t="shared" si="0"/>
        <v>0</v>
      </c>
      <c r="AM42" t="b">
        <f t="shared" si="1"/>
        <v>0</v>
      </c>
      <c r="AN42" t="b">
        <f t="shared" si="2"/>
        <v>0</v>
      </c>
      <c r="AO42" t="b">
        <f>OR(Table7[[#This Row],[Ineligible respondents]:[Inconsistent response on opposite question (3)]])</f>
        <v>0</v>
      </c>
      <c r="AP4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42">
        <f>Table7[[#This Row],[Extreme Response]]/21</f>
        <v>0</v>
      </c>
      <c r="AR42">
        <f>Table67[[#This Row],[Threshold of ERS]]</f>
        <v>0.61904761904761907</v>
      </c>
      <c r="AS42" t="b">
        <f>Table7[[#This Row],[Extrem Response Ratio (ERS)]]&gt;=Table7[[#This Row],[Threshold of ERS]]</f>
        <v>0</v>
      </c>
      <c r="AT42" t="b" cm="1">
        <f t="array" ref="AT4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42">
        <f>COUNTIF(Table7[[#This Row],[The mechanism of digital assets is difficult to understand, which discourages me from exploring it (E.g, Tokenization, Blockchain)]:[If I want to try different ways to invest, I will explore digital assets.]], 3)</f>
        <v>10</v>
      </c>
      <c r="AV42">
        <f>Table7[[#This Row],[Midpoint]]/21</f>
        <v>0.47619047619047616</v>
      </c>
      <c r="AW42">
        <f>Table67[[#This Row],[Threshold of Midpoint ratio]]</f>
        <v>0.5714285714285714</v>
      </c>
      <c r="AX42" t="b">
        <f>Table7[[#This Row],[Midpoint ratio]]&gt;=Table7[[#This Row],[Threshold of Midpoint ratio]]</f>
        <v>0</v>
      </c>
      <c r="AY42" t="b">
        <f>OR(Table7[[#This Row],[Extreme Response Style]:[Straight-lining with 1 deviation]],Table7[[#This Row],[Mid-point Response Style]])</f>
        <v>0</v>
      </c>
      <c r="AZ42" t="b">
        <f>OR(Table7[[#This Row],[Delete? (Stage 1)]],Table7[[#This Row],[Delete? (Stage 2)]])</f>
        <v>0</v>
      </c>
      <c r="BA42" t="s">
        <v>81</v>
      </c>
    </row>
    <row r="43" spans="1:53">
      <c r="A43">
        <v>205</v>
      </c>
      <c r="B43" s="3">
        <v>46035.728333333303</v>
      </c>
      <c r="C43" s="3">
        <v>46035.729976851799</v>
      </c>
      <c r="D43" t="s">
        <v>53</v>
      </c>
      <c r="G43" t="s">
        <v>54</v>
      </c>
      <c r="H43" t="s">
        <v>55</v>
      </c>
      <c r="I43" t="s">
        <v>56</v>
      </c>
      <c r="J43" t="s">
        <v>62</v>
      </c>
      <c r="K43" t="s">
        <v>57</v>
      </c>
      <c r="L43" t="s">
        <v>58</v>
      </c>
      <c r="M43" t="s">
        <v>61</v>
      </c>
      <c r="N43">
        <v>3</v>
      </c>
      <c r="O43">
        <v>3</v>
      </c>
      <c r="P43">
        <v>3</v>
      </c>
      <c r="Q43">
        <v>2</v>
      </c>
      <c r="R43">
        <v>3</v>
      </c>
      <c r="S43">
        <v>3</v>
      </c>
      <c r="T43">
        <v>3</v>
      </c>
      <c r="U43">
        <v>4</v>
      </c>
      <c r="V43">
        <v>4</v>
      </c>
      <c r="W43">
        <v>5</v>
      </c>
      <c r="X43">
        <v>5</v>
      </c>
      <c r="Y43">
        <v>5</v>
      </c>
      <c r="Z43">
        <v>4</v>
      </c>
      <c r="AA43">
        <v>3</v>
      </c>
      <c r="AB43">
        <v>3</v>
      </c>
      <c r="AC43">
        <v>4</v>
      </c>
      <c r="AD43">
        <v>1</v>
      </c>
      <c r="AE43">
        <v>5</v>
      </c>
      <c r="AF43">
        <v>1</v>
      </c>
      <c r="AG43">
        <v>5</v>
      </c>
      <c r="AH43">
        <v>1</v>
      </c>
      <c r="AI43">
        <v>5</v>
      </c>
      <c r="AJ43">
        <v>5</v>
      </c>
      <c r="AK43" t="b">
        <f>Table7[[#This Row],[What is your age?]]&lt;&gt;"18 - 25"</f>
        <v>0</v>
      </c>
      <c r="AL43" t="b">
        <f t="shared" si="0"/>
        <v>0</v>
      </c>
      <c r="AM43" t="b">
        <f t="shared" si="1"/>
        <v>0</v>
      </c>
      <c r="AN43" t="b">
        <f t="shared" si="2"/>
        <v>0</v>
      </c>
      <c r="AO43" t="b">
        <f>OR(Table7[[#This Row],[Ineligible respondents]:[Inconsistent response on opposite question (3)]])</f>
        <v>0</v>
      </c>
      <c r="AP4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8</v>
      </c>
      <c r="AQ43">
        <f>Table7[[#This Row],[Extreme Response]]/21</f>
        <v>0.38095238095238093</v>
      </c>
      <c r="AR43">
        <f>Table67[[#This Row],[Threshold of ERS]]</f>
        <v>0.61904761904761907</v>
      </c>
      <c r="AS43" t="b">
        <f>Table7[[#This Row],[Extrem Response Ratio (ERS)]]&gt;=Table7[[#This Row],[Threshold of ERS]]</f>
        <v>0</v>
      </c>
      <c r="AT43" t="b" cm="1">
        <f t="array" ref="AT4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43">
        <f>COUNTIF(Table7[[#This Row],[The mechanism of digital assets is difficult to understand, which discourages me from exploring it (E.g, Tokenization, Blockchain)]:[If I want to try different ways to invest, I will explore digital assets.]], 3)</f>
        <v>8</v>
      </c>
      <c r="AV43">
        <f>Table7[[#This Row],[Midpoint]]/21</f>
        <v>0.38095238095238093</v>
      </c>
      <c r="AW43">
        <f>Table67[[#This Row],[Threshold of Midpoint ratio]]</f>
        <v>0.5714285714285714</v>
      </c>
      <c r="AX43" t="b">
        <f>Table7[[#This Row],[Midpoint ratio]]&gt;=Table7[[#This Row],[Threshold of Midpoint ratio]]</f>
        <v>0</v>
      </c>
      <c r="AY43" t="b">
        <f>OR(Table7[[#This Row],[Extreme Response Style]:[Straight-lining with 1 deviation]],Table7[[#This Row],[Mid-point Response Style]])</f>
        <v>0</v>
      </c>
      <c r="AZ43" t="b">
        <f>OR(Table7[[#This Row],[Delete? (Stage 1)]],Table7[[#This Row],[Delete? (Stage 2)]])</f>
        <v>0</v>
      </c>
      <c r="BA43" t="s">
        <v>81</v>
      </c>
    </row>
    <row r="44" spans="1:53">
      <c r="A44">
        <v>212</v>
      </c>
      <c r="B44" s="3">
        <v>46035.728657407402</v>
      </c>
      <c r="C44" s="3">
        <v>46035.733842592599</v>
      </c>
      <c r="D44" t="s">
        <v>53</v>
      </c>
      <c r="G44" t="s">
        <v>54</v>
      </c>
      <c r="H44" t="s">
        <v>55</v>
      </c>
      <c r="I44" t="s">
        <v>56</v>
      </c>
      <c r="J44" t="s">
        <v>57</v>
      </c>
      <c r="K44" t="s">
        <v>64</v>
      </c>
      <c r="L44" t="s">
        <v>61</v>
      </c>
      <c r="M44" t="s">
        <v>61</v>
      </c>
      <c r="N44">
        <v>2</v>
      </c>
      <c r="O44">
        <v>2</v>
      </c>
      <c r="P44">
        <v>3</v>
      </c>
      <c r="Q44">
        <v>3</v>
      </c>
      <c r="R44">
        <v>2</v>
      </c>
      <c r="S44">
        <v>3</v>
      </c>
      <c r="T44">
        <v>2</v>
      </c>
      <c r="U44">
        <v>2</v>
      </c>
      <c r="V44">
        <v>3</v>
      </c>
      <c r="W44">
        <v>4</v>
      </c>
      <c r="X44">
        <v>3</v>
      </c>
      <c r="Y44">
        <v>4</v>
      </c>
      <c r="Z44">
        <v>4</v>
      </c>
      <c r="AA44">
        <v>3</v>
      </c>
      <c r="AB44">
        <v>2</v>
      </c>
      <c r="AC44">
        <v>3</v>
      </c>
      <c r="AD44">
        <v>4</v>
      </c>
      <c r="AE44">
        <v>2</v>
      </c>
      <c r="AF44">
        <v>4</v>
      </c>
      <c r="AG44">
        <v>2</v>
      </c>
      <c r="AH44">
        <v>4</v>
      </c>
      <c r="AI44">
        <v>2</v>
      </c>
      <c r="AJ44">
        <v>2</v>
      </c>
      <c r="AK44" t="b">
        <f>Table7[[#This Row],[What is your age?]]&lt;&gt;"18 - 25"</f>
        <v>0</v>
      </c>
      <c r="AL44" t="b">
        <f t="shared" si="0"/>
        <v>0</v>
      </c>
      <c r="AM44" t="b">
        <f t="shared" si="1"/>
        <v>0</v>
      </c>
      <c r="AN44" t="b">
        <f t="shared" si="2"/>
        <v>0</v>
      </c>
      <c r="AO44" t="b">
        <f>OR(Table7[[#This Row],[Ineligible respondents]:[Inconsistent response on opposite question (3)]])</f>
        <v>0</v>
      </c>
      <c r="AP4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44">
        <f>Table7[[#This Row],[Extreme Response]]/21</f>
        <v>0</v>
      </c>
      <c r="AR44">
        <f>Table67[[#This Row],[Threshold of ERS]]</f>
        <v>0.61904761904761907</v>
      </c>
      <c r="AS44" t="b">
        <f>Table7[[#This Row],[Extrem Response Ratio (ERS)]]&gt;=Table7[[#This Row],[Threshold of ERS]]</f>
        <v>0</v>
      </c>
      <c r="AT44" t="b" cm="1">
        <f t="array" ref="AT4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44">
        <f>COUNTIF(Table7[[#This Row],[The mechanism of digital assets is difficult to understand, which discourages me from exploring it (E.g, Tokenization, Blockchain)]:[If I want to try different ways to invest, I will explore digital assets.]], 3)</f>
        <v>7</v>
      </c>
      <c r="AV44">
        <f>Table7[[#This Row],[Midpoint]]/21</f>
        <v>0.33333333333333331</v>
      </c>
      <c r="AW44">
        <f>Table67[[#This Row],[Threshold of Midpoint ratio]]</f>
        <v>0.5714285714285714</v>
      </c>
      <c r="AX44" t="b">
        <f>Table7[[#This Row],[Midpoint ratio]]&gt;=Table7[[#This Row],[Threshold of Midpoint ratio]]</f>
        <v>0</v>
      </c>
      <c r="AY44" t="b">
        <f>OR(Table7[[#This Row],[Extreme Response Style]:[Straight-lining with 1 deviation]],Table7[[#This Row],[Mid-point Response Style]])</f>
        <v>0</v>
      </c>
      <c r="AZ44" t="b">
        <f>OR(Table7[[#This Row],[Delete? (Stage 1)]],Table7[[#This Row],[Delete? (Stage 2)]])</f>
        <v>0</v>
      </c>
      <c r="BA44" t="s">
        <v>81</v>
      </c>
    </row>
    <row r="45" spans="1:53">
      <c r="A45">
        <v>217</v>
      </c>
      <c r="B45" s="3">
        <v>46035.728831018503</v>
      </c>
      <c r="C45" s="3">
        <v>46035.7336574074</v>
      </c>
      <c r="D45" t="s">
        <v>53</v>
      </c>
      <c r="G45" t="s">
        <v>54</v>
      </c>
      <c r="H45" t="s">
        <v>63</v>
      </c>
      <c r="I45" t="s">
        <v>56</v>
      </c>
      <c r="J45" t="s">
        <v>57</v>
      </c>
      <c r="K45" t="s">
        <v>57</v>
      </c>
      <c r="L45" t="s">
        <v>58</v>
      </c>
      <c r="M45" t="s">
        <v>61</v>
      </c>
      <c r="N45">
        <v>3</v>
      </c>
      <c r="O45">
        <v>2</v>
      </c>
      <c r="P45">
        <v>4</v>
      </c>
      <c r="Q45">
        <v>4</v>
      </c>
      <c r="R45">
        <v>5</v>
      </c>
      <c r="S45">
        <v>3</v>
      </c>
      <c r="T45">
        <v>4</v>
      </c>
      <c r="U45">
        <v>4</v>
      </c>
      <c r="V45">
        <v>4</v>
      </c>
      <c r="W45">
        <v>4</v>
      </c>
      <c r="X45">
        <v>4</v>
      </c>
      <c r="Y45">
        <v>4</v>
      </c>
      <c r="Z45">
        <v>4</v>
      </c>
      <c r="AA45">
        <v>3</v>
      </c>
      <c r="AB45">
        <v>2</v>
      </c>
      <c r="AC45">
        <v>4</v>
      </c>
      <c r="AD45">
        <v>4</v>
      </c>
      <c r="AE45">
        <v>3</v>
      </c>
      <c r="AF45">
        <v>2</v>
      </c>
      <c r="AG45">
        <v>2</v>
      </c>
      <c r="AH45">
        <v>4</v>
      </c>
      <c r="AI45">
        <v>2</v>
      </c>
      <c r="AJ45">
        <v>4</v>
      </c>
      <c r="AK45" t="b">
        <f>Table7[[#This Row],[What is your age?]]&lt;&gt;"18 - 25"</f>
        <v>0</v>
      </c>
      <c r="AL45" t="b">
        <f t="shared" si="0"/>
        <v>0</v>
      </c>
      <c r="AM45" t="b">
        <f t="shared" si="1"/>
        <v>0</v>
      </c>
      <c r="AN45" t="b">
        <f t="shared" si="2"/>
        <v>0</v>
      </c>
      <c r="AO45" t="b">
        <f>OR(Table7[[#This Row],[Ineligible respondents]:[Inconsistent response on opposite question (3)]])</f>
        <v>0</v>
      </c>
      <c r="AP4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45">
        <f>Table7[[#This Row],[Extreme Response]]/21</f>
        <v>4.7619047619047616E-2</v>
      </c>
      <c r="AR45">
        <f>Table67[[#This Row],[Threshold of ERS]]</f>
        <v>0.61904761904761907</v>
      </c>
      <c r="AS45" t="b">
        <f>Table7[[#This Row],[Extrem Response Ratio (ERS)]]&gt;=Table7[[#This Row],[Threshold of ERS]]</f>
        <v>0</v>
      </c>
      <c r="AT45" t="b" cm="1">
        <f t="array" ref="AT4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45">
        <f>COUNTIF(Table7[[#This Row],[The mechanism of digital assets is difficult to understand, which discourages me from exploring it (E.g, Tokenization, Blockchain)]:[If I want to try different ways to invest, I will explore digital assets.]], 3)</f>
        <v>4</v>
      </c>
      <c r="AV45">
        <f>Table7[[#This Row],[Midpoint]]/21</f>
        <v>0.19047619047619047</v>
      </c>
      <c r="AW45">
        <f>Table67[[#This Row],[Threshold of Midpoint ratio]]</f>
        <v>0.5714285714285714</v>
      </c>
      <c r="AX45" t="b">
        <f>Table7[[#This Row],[Midpoint ratio]]&gt;=Table7[[#This Row],[Threshold of Midpoint ratio]]</f>
        <v>0</v>
      </c>
      <c r="AY45" t="b">
        <f>OR(Table7[[#This Row],[Extreme Response Style]:[Straight-lining with 1 deviation]],Table7[[#This Row],[Mid-point Response Style]])</f>
        <v>0</v>
      </c>
      <c r="AZ45" t="b">
        <f>OR(Table7[[#This Row],[Delete? (Stage 1)]],Table7[[#This Row],[Delete? (Stage 2)]])</f>
        <v>0</v>
      </c>
      <c r="BA45" t="s">
        <v>81</v>
      </c>
    </row>
    <row r="46" spans="1:53">
      <c r="A46">
        <v>223</v>
      </c>
      <c r="B46" s="3">
        <v>46035.730439814797</v>
      </c>
      <c r="C46" s="3">
        <v>46035.7319444444</v>
      </c>
      <c r="D46" t="s">
        <v>53</v>
      </c>
      <c r="G46" t="s">
        <v>54</v>
      </c>
      <c r="H46" t="s">
        <v>55</v>
      </c>
      <c r="I46" t="s">
        <v>56</v>
      </c>
      <c r="J46" t="s">
        <v>57</v>
      </c>
      <c r="K46" t="s">
        <v>64</v>
      </c>
      <c r="L46" t="s">
        <v>61</v>
      </c>
      <c r="M46" t="s">
        <v>58</v>
      </c>
      <c r="N46">
        <v>2</v>
      </c>
      <c r="O46">
        <v>2</v>
      </c>
      <c r="P46">
        <v>4</v>
      </c>
      <c r="Q46">
        <v>2</v>
      </c>
      <c r="R46">
        <v>4</v>
      </c>
      <c r="S46">
        <v>4</v>
      </c>
      <c r="T46">
        <v>4</v>
      </c>
      <c r="U46">
        <v>3</v>
      </c>
      <c r="V46">
        <v>5</v>
      </c>
      <c r="W46">
        <v>5</v>
      </c>
      <c r="X46">
        <v>5</v>
      </c>
      <c r="Y46">
        <v>5</v>
      </c>
      <c r="Z46">
        <v>4</v>
      </c>
      <c r="AA46">
        <v>3</v>
      </c>
      <c r="AB46">
        <v>4</v>
      </c>
      <c r="AC46">
        <v>2</v>
      </c>
      <c r="AD46">
        <v>2</v>
      </c>
      <c r="AE46">
        <v>2</v>
      </c>
      <c r="AF46">
        <v>4</v>
      </c>
      <c r="AG46">
        <v>2</v>
      </c>
      <c r="AH46">
        <v>4</v>
      </c>
      <c r="AI46">
        <v>2</v>
      </c>
      <c r="AJ46">
        <v>2</v>
      </c>
      <c r="AK46" t="b">
        <f>Table7[[#This Row],[What is your age?]]&lt;&gt;"18 - 25"</f>
        <v>0</v>
      </c>
      <c r="AL46" t="b">
        <f t="shared" si="0"/>
        <v>0</v>
      </c>
      <c r="AM46" t="b">
        <f t="shared" si="1"/>
        <v>0</v>
      </c>
      <c r="AN46" t="b">
        <f t="shared" si="2"/>
        <v>0</v>
      </c>
      <c r="AO46" t="b">
        <f>OR(Table7[[#This Row],[Ineligible respondents]:[Inconsistent response on opposite question (3)]])</f>
        <v>0</v>
      </c>
      <c r="AP4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46">
        <f>Table7[[#This Row],[Extreme Response]]/21</f>
        <v>0.19047619047619047</v>
      </c>
      <c r="AR46">
        <f>Table67[[#This Row],[Threshold of ERS]]</f>
        <v>0.61904761904761907</v>
      </c>
      <c r="AS46" t="b">
        <f>Table7[[#This Row],[Extrem Response Ratio (ERS)]]&gt;=Table7[[#This Row],[Threshold of ERS]]</f>
        <v>0</v>
      </c>
      <c r="AT46" t="b" cm="1">
        <f t="array" ref="AT4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46">
        <f>COUNTIF(Table7[[#This Row],[The mechanism of digital assets is difficult to understand, which discourages me from exploring it (E.g, Tokenization, Blockchain)]:[If I want to try different ways to invest, I will explore digital assets.]], 3)</f>
        <v>2</v>
      </c>
      <c r="AV46">
        <f>Table7[[#This Row],[Midpoint]]/21</f>
        <v>9.5238095238095233E-2</v>
      </c>
      <c r="AW46">
        <f>Table67[[#This Row],[Threshold of Midpoint ratio]]</f>
        <v>0.5714285714285714</v>
      </c>
      <c r="AX46" t="b">
        <f>Table7[[#This Row],[Midpoint ratio]]&gt;=Table7[[#This Row],[Threshold of Midpoint ratio]]</f>
        <v>0</v>
      </c>
      <c r="AY46" t="b">
        <f>OR(Table7[[#This Row],[Extreme Response Style]:[Straight-lining with 1 deviation]],Table7[[#This Row],[Mid-point Response Style]])</f>
        <v>0</v>
      </c>
      <c r="AZ46" t="b">
        <f>OR(Table7[[#This Row],[Delete? (Stage 1)]],Table7[[#This Row],[Delete? (Stage 2)]])</f>
        <v>0</v>
      </c>
      <c r="BA46" t="s">
        <v>81</v>
      </c>
    </row>
    <row r="47" spans="1:53">
      <c r="A47">
        <v>225</v>
      </c>
      <c r="B47" s="3">
        <v>46035.775451388901</v>
      </c>
      <c r="C47" s="3">
        <v>46035.778900463003</v>
      </c>
      <c r="D47" t="s">
        <v>53</v>
      </c>
      <c r="G47" t="s">
        <v>54</v>
      </c>
      <c r="H47" t="s">
        <v>63</v>
      </c>
      <c r="I47" t="s">
        <v>56</v>
      </c>
      <c r="J47" t="s">
        <v>65</v>
      </c>
      <c r="K47" t="s">
        <v>57</v>
      </c>
      <c r="L47" t="s">
        <v>58</v>
      </c>
      <c r="M47" t="s">
        <v>58</v>
      </c>
      <c r="N47">
        <v>3</v>
      </c>
      <c r="O47">
        <v>1</v>
      </c>
      <c r="P47">
        <v>4</v>
      </c>
      <c r="Q47">
        <v>4</v>
      </c>
      <c r="R47">
        <v>2</v>
      </c>
      <c r="S47">
        <v>3</v>
      </c>
      <c r="T47">
        <v>4</v>
      </c>
      <c r="U47">
        <v>4</v>
      </c>
      <c r="V47">
        <v>5</v>
      </c>
      <c r="W47">
        <v>4</v>
      </c>
      <c r="X47">
        <v>2</v>
      </c>
      <c r="Y47">
        <v>3</v>
      </c>
      <c r="Z47">
        <v>4</v>
      </c>
      <c r="AA47">
        <v>3</v>
      </c>
      <c r="AB47">
        <v>3</v>
      </c>
      <c r="AC47">
        <v>3</v>
      </c>
      <c r="AD47">
        <v>3</v>
      </c>
      <c r="AE47">
        <v>2</v>
      </c>
      <c r="AF47">
        <v>3</v>
      </c>
      <c r="AG47">
        <v>4</v>
      </c>
      <c r="AH47">
        <v>2</v>
      </c>
      <c r="AI47">
        <v>4</v>
      </c>
      <c r="AJ47">
        <v>3</v>
      </c>
      <c r="AK47" t="b">
        <f>Table7[[#This Row],[What is your age?]]&lt;&gt;"18 - 25"</f>
        <v>0</v>
      </c>
      <c r="AL47" t="b">
        <f t="shared" si="0"/>
        <v>0</v>
      </c>
      <c r="AM47" t="b">
        <f t="shared" si="1"/>
        <v>0</v>
      </c>
      <c r="AN47" t="b">
        <f t="shared" si="2"/>
        <v>0</v>
      </c>
      <c r="AO47" t="b">
        <f>OR(Table7[[#This Row],[Ineligible respondents]:[Inconsistent response on opposite question (3)]])</f>
        <v>0</v>
      </c>
      <c r="AP4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47">
        <f>Table7[[#This Row],[Extreme Response]]/21</f>
        <v>9.5238095238095233E-2</v>
      </c>
      <c r="AR47">
        <f>Table67[[#This Row],[Threshold of ERS]]</f>
        <v>0.61904761904761907</v>
      </c>
      <c r="AS47" t="b">
        <f>Table7[[#This Row],[Extrem Response Ratio (ERS)]]&gt;=Table7[[#This Row],[Threshold of ERS]]</f>
        <v>0</v>
      </c>
      <c r="AT47" t="b" cm="1">
        <f t="array" ref="AT4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47">
        <f>COUNTIF(Table7[[#This Row],[The mechanism of digital assets is difficult to understand, which discourages me from exploring it (E.g, Tokenization, Blockchain)]:[If I want to try different ways to invest, I will explore digital assets.]], 3)</f>
        <v>8</v>
      </c>
      <c r="AV47">
        <f>Table7[[#This Row],[Midpoint]]/21</f>
        <v>0.38095238095238093</v>
      </c>
      <c r="AW47">
        <f>Table67[[#This Row],[Threshold of Midpoint ratio]]</f>
        <v>0.5714285714285714</v>
      </c>
      <c r="AX47" t="b">
        <f>Table7[[#This Row],[Midpoint ratio]]&gt;=Table7[[#This Row],[Threshold of Midpoint ratio]]</f>
        <v>0</v>
      </c>
      <c r="AY47" t="b">
        <f>OR(Table7[[#This Row],[Extreme Response Style]:[Straight-lining with 1 deviation]],Table7[[#This Row],[Mid-point Response Style]])</f>
        <v>0</v>
      </c>
      <c r="AZ47" t="b">
        <f>OR(Table7[[#This Row],[Delete? (Stage 1)]],Table7[[#This Row],[Delete? (Stage 2)]])</f>
        <v>0</v>
      </c>
      <c r="BA47" t="s">
        <v>81</v>
      </c>
    </row>
    <row r="48" spans="1:53">
      <c r="A48">
        <v>233</v>
      </c>
      <c r="B48" s="3">
        <v>46036.039618055598</v>
      </c>
      <c r="C48" s="3">
        <v>46036.041782407403</v>
      </c>
      <c r="D48" t="s">
        <v>53</v>
      </c>
      <c r="G48" t="s">
        <v>54</v>
      </c>
      <c r="H48" t="s">
        <v>63</v>
      </c>
      <c r="I48" t="s">
        <v>56</v>
      </c>
      <c r="J48" t="s">
        <v>57</v>
      </c>
      <c r="K48" t="s">
        <v>57</v>
      </c>
      <c r="L48" t="s">
        <v>58</v>
      </c>
      <c r="M48" t="s">
        <v>61</v>
      </c>
      <c r="N48">
        <v>3</v>
      </c>
      <c r="O48">
        <v>4</v>
      </c>
      <c r="P48">
        <v>4</v>
      </c>
      <c r="Q48">
        <v>4</v>
      </c>
      <c r="R48">
        <v>4</v>
      </c>
      <c r="S48">
        <v>4</v>
      </c>
      <c r="T48">
        <v>4</v>
      </c>
      <c r="U48">
        <v>3</v>
      </c>
      <c r="V48">
        <v>5</v>
      </c>
      <c r="W48">
        <v>5</v>
      </c>
      <c r="X48">
        <v>3</v>
      </c>
      <c r="Y48">
        <v>4</v>
      </c>
      <c r="Z48">
        <v>3</v>
      </c>
      <c r="AA48">
        <v>3</v>
      </c>
      <c r="AB48">
        <v>2</v>
      </c>
      <c r="AC48">
        <v>3</v>
      </c>
      <c r="AD48">
        <v>5</v>
      </c>
      <c r="AE48">
        <v>4</v>
      </c>
      <c r="AF48">
        <v>3</v>
      </c>
      <c r="AG48">
        <v>3</v>
      </c>
      <c r="AH48">
        <v>3</v>
      </c>
      <c r="AI48">
        <v>3</v>
      </c>
      <c r="AJ48">
        <v>3</v>
      </c>
      <c r="AK48" t="b">
        <f>Table7[[#This Row],[What is your age?]]&lt;&gt;"18 - 25"</f>
        <v>0</v>
      </c>
      <c r="AL48" t="b">
        <f t="shared" si="0"/>
        <v>0</v>
      </c>
      <c r="AM48" t="b">
        <f t="shared" si="1"/>
        <v>0</v>
      </c>
      <c r="AN48" t="b">
        <f t="shared" si="2"/>
        <v>0</v>
      </c>
      <c r="AO48" t="b">
        <f>OR(Table7[[#This Row],[Ineligible respondents]:[Inconsistent response on opposite question (3)]])</f>
        <v>0</v>
      </c>
      <c r="AP4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48">
        <f>Table7[[#This Row],[Extreme Response]]/21</f>
        <v>0.14285714285714285</v>
      </c>
      <c r="AR48">
        <f>Table67[[#This Row],[Threshold of ERS]]</f>
        <v>0.61904761904761907</v>
      </c>
      <c r="AS48" t="b">
        <f>Table7[[#This Row],[Extrem Response Ratio (ERS)]]&gt;=Table7[[#This Row],[Threshold of ERS]]</f>
        <v>0</v>
      </c>
      <c r="AT48" t="b" cm="1">
        <f t="array" ref="AT4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48">
        <f>COUNTIF(Table7[[#This Row],[The mechanism of digital assets is difficult to understand, which discourages me from exploring it (E.g, Tokenization, Blockchain)]:[If I want to try different ways to invest, I will explore digital assets.]], 3)</f>
        <v>9</v>
      </c>
      <c r="AV48">
        <f>Table7[[#This Row],[Midpoint]]/21</f>
        <v>0.42857142857142855</v>
      </c>
      <c r="AW48">
        <f>Table67[[#This Row],[Threshold of Midpoint ratio]]</f>
        <v>0.5714285714285714</v>
      </c>
      <c r="AX48" t="b">
        <f>Table7[[#This Row],[Midpoint ratio]]&gt;=Table7[[#This Row],[Threshold of Midpoint ratio]]</f>
        <v>0</v>
      </c>
      <c r="AY48" t="b">
        <f>OR(Table7[[#This Row],[Extreme Response Style]:[Straight-lining with 1 deviation]],Table7[[#This Row],[Mid-point Response Style]])</f>
        <v>0</v>
      </c>
      <c r="AZ48" t="b">
        <f>OR(Table7[[#This Row],[Delete? (Stage 1)]],Table7[[#This Row],[Delete? (Stage 2)]])</f>
        <v>0</v>
      </c>
      <c r="BA48" t="s">
        <v>81</v>
      </c>
    </row>
    <row r="49" spans="1:53">
      <c r="A49">
        <v>236</v>
      </c>
      <c r="B49" s="3">
        <v>46036.468692129602</v>
      </c>
      <c r="C49" s="3">
        <v>46036.659733796303</v>
      </c>
      <c r="D49" t="s">
        <v>53</v>
      </c>
      <c r="G49" t="s">
        <v>54</v>
      </c>
      <c r="H49" t="s">
        <v>63</v>
      </c>
      <c r="I49" t="s">
        <v>56</v>
      </c>
      <c r="J49" t="s">
        <v>62</v>
      </c>
      <c r="K49" t="s">
        <v>57</v>
      </c>
      <c r="L49" t="s">
        <v>58</v>
      </c>
      <c r="M49" t="s">
        <v>58</v>
      </c>
      <c r="N49">
        <v>4</v>
      </c>
      <c r="O49">
        <v>2</v>
      </c>
      <c r="P49">
        <v>4</v>
      </c>
      <c r="Q49">
        <v>3</v>
      </c>
      <c r="R49">
        <v>4</v>
      </c>
      <c r="S49">
        <v>4</v>
      </c>
      <c r="T49">
        <v>4</v>
      </c>
      <c r="U49">
        <v>4</v>
      </c>
      <c r="V49">
        <v>4</v>
      </c>
      <c r="W49">
        <v>4</v>
      </c>
      <c r="X49">
        <v>5</v>
      </c>
      <c r="Y49">
        <v>5</v>
      </c>
      <c r="Z49">
        <v>5</v>
      </c>
      <c r="AA49">
        <v>5</v>
      </c>
      <c r="AB49">
        <v>3</v>
      </c>
      <c r="AC49">
        <v>4</v>
      </c>
      <c r="AD49">
        <v>4</v>
      </c>
      <c r="AE49">
        <v>4</v>
      </c>
      <c r="AF49">
        <v>2</v>
      </c>
      <c r="AG49">
        <v>4</v>
      </c>
      <c r="AH49">
        <v>2</v>
      </c>
      <c r="AI49">
        <v>4</v>
      </c>
      <c r="AJ49">
        <v>4</v>
      </c>
      <c r="AK49" t="b">
        <f>Table7[[#This Row],[What is your age?]]&lt;&gt;"18 - 25"</f>
        <v>0</v>
      </c>
      <c r="AL49" t="b">
        <f t="shared" si="0"/>
        <v>0</v>
      </c>
      <c r="AM49" t="b">
        <f t="shared" si="1"/>
        <v>0</v>
      </c>
      <c r="AN49" t="b">
        <f t="shared" si="2"/>
        <v>0</v>
      </c>
      <c r="AO49" t="b">
        <f>OR(Table7[[#This Row],[Ineligible respondents]:[Inconsistent response on opposite question (3)]])</f>
        <v>0</v>
      </c>
      <c r="AP4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49">
        <f>Table7[[#This Row],[Extreme Response]]/21</f>
        <v>0.19047619047619047</v>
      </c>
      <c r="AR49">
        <f>Table67[[#This Row],[Threshold of ERS]]</f>
        <v>0.61904761904761907</v>
      </c>
      <c r="AS49" t="b">
        <f>Table7[[#This Row],[Extrem Response Ratio (ERS)]]&gt;=Table7[[#This Row],[Threshold of ERS]]</f>
        <v>0</v>
      </c>
      <c r="AT49" t="b" cm="1">
        <f t="array" ref="AT4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49">
        <f>COUNTIF(Table7[[#This Row],[The mechanism of digital assets is difficult to understand, which discourages me from exploring it (E.g, Tokenization, Blockchain)]:[If I want to try different ways to invest, I will explore digital assets.]], 3)</f>
        <v>2</v>
      </c>
      <c r="AV49">
        <f>Table7[[#This Row],[Midpoint]]/21</f>
        <v>9.5238095238095233E-2</v>
      </c>
      <c r="AW49">
        <f>Table67[[#This Row],[Threshold of Midpoint ratio]]</f>
        <v>0.5714285714285714</v>
      </c>
      <c r="AX49" t="b">
        <f>Table7[[#This Row],[Midpoint ratio]]&gt;=Table7[[#This Row],[Threshold of Midpoint ratio]]</f>
        <v>0</v>
      </c>
      <c r="AY49" t="b">
        <f>OR(Table7[[#This Row],[Extreme Response Style]:[Straight-lining with 1 deviation]],Table7[[#This Row],[Mid-point Response Style]])</f>
        <v>0</v>
      </c>
      <c r="AZ49" t="b">
        <f>OR(Table7[[#This Row],[Delete? (Stage 1)]],Table7[[#This Row],[Delete? (Stage 2)]])</f>
        <v>0</v>
      </c>
      <c r="BA49" t="s">
        <v>81</v>
      </c>
    </row>
    <row r="50" spans="1:53">
      <c r="A50">
        <v>239</v>
      </c>
      <c r="B50" s="3">
        <v>46036.626296296301</v>
      </c>
      <c r="C50" s="3">
        <v>46036.628888888903</v>
      </c>
      <c r="D50" t="s">
        <v>53</v>
      </c>
      <c r="G50" t="s">
        <v>54</v>
      </c>
      <c r="H50" t="s">
        <v>55</v>
      </c>
      <c r="I50" t="s">
        <v>56</v>
      </c>
      <c r="J50" t="s">
        <v>62</v>
      </c>
      <c r="K50" t="s">
        <v>57</v>
      </c>
      <c r="L50" t="s">
        <v>58</v>
      </c>
      <c r="M50" t="s">
        <v>61</v>
      </c>
      <c r="N50">
        <v>4</v>
      </c>
      <c r="O50">
        <v>5</v>
      </c>
      <c r="P50">
        <v>4</v>
      </c>
      <c r="Q50">
        <v>4</v>
      </c>
      <c r="R50">
        <v>4</v>
      </c>
      <c r="S50">
        <v>4</v>
      </c>
      <c r="T50">
        <v>2</v>
      </c>
      <c r="U50">
        <v>4</v>
      </c>
      <c r="V50">
        <v>5</v>
      </c>
      <c r="W50">
        <v>4</v>
      </c>
      <c r="X50">
        <v>4</v>
      </c>
      <c r="Y50">
        <v>5</v>
      </c>
      <c r="Z50">
        <v>3</v>
      </c>
      <c r="AA50">
        <v>4</v>
      </c>
      <c r="AB50">
        <v>2</v>
      </c>
      <c r="AC50">
        <v>4</v>
      </c>
      <c r="AD50">
        <v>4</v>
      </c>
      <c r="AE50">
        <v>4</v>
      </c>
      <c r="AF50">
        <v>4</v>
      </c>
      <c r="AG50">
        <v>2</v>
      </c>
      <c r="AH50">
        <v>4</v>
      </c>
      <c r="AI50">
        <v>2</v>
      </c>
      <c r="AJ50">
        <v>2</v>
      </c>
      <c r="AK50" t="b">
        <f>Table7[[#This Row],[What is your age?]]&lt;&gt;"18 - 25"</f>
        <v>0</v>
      </c>
      <c r="AL50" t="b">
        <f t="shared" si="0"/>
        <v>0</v>
      </c>
      <c r="AM50" t="b">
        <f t="shared" si="1"/>
        <v>0</v>
      </c>
      <c r="AN50" t="b">
        <f t="shared" si="2"/>
        <v>0</v>
      </c>
      <c r="AO50" t="b">
        <f>OR(Table7[[#This Row],[Ineligible respondents]:[Inconsistent response on opposite question (3)]])</f>
        <v>0</v>
      </c>
      <c r="AP5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50">
        <f>Table7[[#This Row],[Extreme Response]]/21</f>
        <v>0.14285714285714285</v>
      </c>
      <c r="AR50">
        <f>Table67[[#This Row],[Threshold of ERS]]</f>
        <v>0.61904761904761907</v>
      </c>
      <c r="AS50" t="b">
        <f>Table7[[#This Row],[Extrem Response Ratio (ERS)]]&gt;=Table7[[#This Row],[Threshold of ERS]]</f>
        <v>0</v>
      </c>
      <c r="AT50" t="b" cm="1">
        <f t="array" ref="AT5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50">
        <f>COUNTIF(Table7[[#This Row],[The mechanism of digital assets is difficult to understand, which discourages me from exploring it (E.g, Tokenization, Blockchain)]:[If I want to try different ways to invest, I will explore digital assets.]], 3)</f>
        <v>1</v>
      </c>
      <c r="AV50">
        <f>Table7[[#This Row],[Midpoint]]/21</f>
        <v>4.7619047619047616E-2</v>
      </c>
      <c r="AW50">
        <f>Table67[[#This Row],[Threshold of Midpoint ratio]]</f>
        <v>0.5714285714285714</v>
      </c>
      <c r="AX50" t="b">
        <f>Table7[[#This Row],[Midpoint ratio]]&gt;=Table7[[#This Row],[Threshold of Midpoint ratio]]</f>
        <v>0</v>
      </c>
      <c r="AY50" t="b">
        <f>OR(Table7[[#This Row],[Extreme Response Style]:[Straight-lining with 1 deviation]],Table7[[#This Row],[Mid-point Response Style]])</f>
        <v>0</v>
      </c>
      <c r="AZ50" t="b">
        <f>OR(Table7[[#This Row],[Delete? (Stage 1)]],Table7[[#This Row],[Delete? (Stage 2)]])</f>
        <v>0</v>
      </c>
      <c r="BA50" t="s">
        <v>81</v>
      </c>
    </row>
    <row r="51" spans="1:53">
      <c r="A51">
        <v>241</v>
      </c>
      <c r="B51" s="3">
        <v>46036.626458333303</v>
      </c>
      <c r="C51" s="3">
        <v>46036.628807870402</v>
      </c>
      <c r="D51" t="s">
        <v>53</v>
      </c>
      <c r="G51" t="s">
        <v>54</v>
      </c>
      <c r="H51" t="s">
        <v>55</v>
      </c>
      <c r="I51" t="s">
        <v>56</v>
      </c>
      <c r="J51" t="s">
        <v>57</v>
      </c>
      <c r="K51" t="s">
        <v>62</v>
      </c>
      <c r="L51" t="s">
        <v>58</v>
      </c>
      <c r="M51" t="s">
        <v>58</v>
      </c>
      <c r="N51">
        <v>2</v>
      </c>
      <c r="O51">
        <v>2</v>
      </c>
      <c r="P51">
        <v>2</v>
      </c>
      <c r="Q51">
        <v>2</v>
      </c>
      <c r="R51">
        <v>2</v>
      </c>
      <c r="S51">
        <v>2</v>
      </c>
      <c r="T51">
        <v>2</v>
      </c>
      <c r="U51">
        <v>2</v>
      </c>
      <c r="V51">
        <v>2</v>
      </c>
      <c r="W51">
        <v>2</v>
      </c>
      <c r="X51">
        <v>3</v>
      </c>
      <c r="Y51">
        <v>3</v>
      </c>
      <c r="Z51">
        <v>3</v>
      </c>
      <c r="AA51">
        <v>3</v>
      </c>
      <c r="AB51">
        <v>3</v>
      </c>
      <c r="AC51">
        <v>2</v>
      </c>
      <c r="AD51">
        <v>3</v>
      </c>
      <c r="AE51">
        <v>3</v>
      </c>
      <c r="AF51">
        <v>3</v>
      </c>
      <c r="AG51">
        <v>3</v>
      </c>
      <c r="AH51">
        <v>3</v>
      </c>
      <c r="AI51">
        <v>3</v>
      </c>
      <c r="AJ51">
        <v>3</v>
      </c>
      <c r="AK51" t="b">
        <f>Table7[[#This Row],[What is your age?]]&lt;&gt;"18 - 25"</f>
        <v>0</v>
      </c>
      <c r="AL51" t="b">
        <f t="shared" si="0"/>
        <v>0</v>
      </c>
      <c r="AM51" t="b">
        <f t="shared" si="1"/>
        <v>0</v>
      </c>
      <c r="AN51" t="b">
        <f t="shared" si="2"/>
        <v>0</v>
      </c>
      <c r="AO51" t="b">
        <f>OR(Table7[[#This Row],[Ineligible respondents]:[Inconsistent response on opposite question (3)]])</f>
        <v>0</v>
      </c>
      <c r="AP5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51">
        <f>Table7[[#This Row],[Extreme Response]]/21</f>
        <v>0</v>
      </c>
      <c r="AR51">
        <f>Table67[[#This Row],[Threshold of ERS]]</f>
        <v>0.61904761904761907</v>
      </c>
      <c r="AS51" t="b">
        <f>Table7[[#This Row],[Extrem Response Ratio (ERS)]]&gt;=Table7[[#This Row],[Threshold of ERS]]</f>
        <v>0</v>
      </c>
      <c r="AT51" t="b" cm="1">
        <f t="array" ref="AT5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51">
        <f>COUNTIF(Table7[[#This Row],[The mechanism of digital assets is difficult to understand, which discourages me from exploring it (E.g, Tokenization, Blockchain)]:[If I want to try different ways to invest, I will explore digital assets.]], 3)</f>
        <v>10</v>
      </c>
      <c r="AV51">
        <f>Table7[[#This Row],[Midpoint]]/21</f>
        <v>0.47619047619047616</v>
      </c>
      <c r="AW51">
        <f>Table67[[#This Row],[Threshold of Midpoint ratio]]</f>
        <v>0.5714285714285714</v>
      </c>
      <c r="AX51" t="b">
        <f>Table7[[#This Row],[Midpoint ratio]]&gt;=Table7[[#This Row],[Threshold of Midpoint ratio]]</f>
        <v>0</v>
      </c>
      <c r="AY51" t="b">
        <f>OR(Table7[[#This Row],[Extreme Response Style]:[Straight-lining with 1 deviation]],Table7[[#This Row],[Mid-point Response Style]])</f>
        <v>0</v>
      </c>
      <c r="AZ51" t="b">
        <f>OR(Table7[[#This Row],[Delete? (Stage 1)]],Table7[[#This Row],[Delete? (Stage 2)]])</f>
        <v>0</v>
      </c>
      <c r="BA51" t="s">
        <v>81</v>
      </c>
    </row>
    <row r="52" spans="1:53">
      <c r="A52">
        <v>244</v>
      </c>
      <c r="B52" s="3">
        <v>46036.6265277778</v>
      </c>
      <c r="C52" s="3">
        <v>46036.629803240699</v>
      </c>
      <c r="D52" t="s">
        <v>53</v>
      </c>
      <c r="G52" t="s">
        <v>54</v>
      </c>
      <c r="H52" t="s">
        <v>55</v>
      </c>
      <c r="I52" t="s">
        <v>56</v>
      </c>
      <c r="J52" t="s">
        <v>64</v>
      </c>
      <c r="K52" t="s">
        <v>66</v>
      </c>
      <c r="L52" t="s">
        <v>61</v>
      </c>
      <c r="M52" t="s">
        <v>61</v>
      </c>
      <c r="N52">
        <v>2</v>
      </c>
      <c r="O52">
        <v>1</v>
      </c>
      <c r="P52">
        <v>4</v>
      </c>
      <c r="Q52">
        <v>4</v>
      </c>
      <c r="R52">
        <v>2</v>
      </c>
      <c r="S52">
        <v>4</v>
      </c>
      <c r="T52">
        <v>4</v>
      </c>
      <c r="U52">
        <v>4</v>
      </c>
      <c r="V52">
        <v>5</v>
      </c>
      <c r="W52">
        <v>5</v>
      </c>
      <c r="X52">
        <v>3</v>
      </c>
      <c r="Y52">
        <v>3</v>
      </c>
      <c r="Z52">
        <v>4</v>
      </c>
      <c r="AA52">
        <v>5</v>
      </c>
      <c r="AB52">
        <v>4</v>
      </c>
      <c r="AC52">
        <v>5</v>
      </c>
      <c r="AD52">
        <v>2</v>
      </c>
      <c r="AE52">
        <v>3</v>
      </c>
      <c r="AF52">
        <v>2</v>
      </c>
      <c r="AG52">
        <v>4</v>
      </c>
      <c r="AH52">
        <v>2</v>
      </c>
      <c r="AI52">
        <v>4</v>
      </c>
      <c r="AJ52">
        <v>4</v>
      </c>
      <c r="AK52" t="b">
        <f>Table7[[#This Row],[What is your age?]]&lt;&gt;"18 - 25"</f>
        <v>0</v>
      </c>
      <c r="AL52" t="b">
        <f t="shared" si="0"/>
        <v>0</v>
      </c>
      <c r="AM52" t="b">
        <f t="shared" si="1"/>
        <v>0</v>
      </c>
      <c r="AN52" t="b">
        <f t="shared" si="2"/>
        <v>0</v>
      </c>
      <c r="AO52" t="b">
        <f>OR(Table7[[#This Row],[Ineligible respondents]:[Inconsistent response on opposite question (3)]])</f>
        <v>0</v>
      </c>
      <c r="AP5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5</v>
      </c>
      <c r="AQ52">
        <f>Table7[[#This Row],[Extreme Response]]/21</f>
        <v>0.23809523809523808</v>
      </c>
      <c r="AR52">
        <f>Table67[[#This Row],[Threshold of ERS]]</f>
        <v>0.61904761904761907</v>
      </c>
      <c r="AS52" t="b">
        <f>Table7[[#This Row],[Extrem Response Ratio (ERS)]]&gt;=Table7[[#This Row],[Threshold of ERS]]</f>
        <v>0</v>
      </c>
      <c r="AT52" t="b" cm="1">
        <f t="array" ref="AT5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52">
        <f>COUNTIF(Table7[[#This Row],[The mechanism of digital assets is difficult to understand, which discourages me from exploring it (E.g, Tokenization, Blockchain)]:[If I want to try different ways to invest, I will explore digital assets.]], 3)</f>
        <v>3</v>
      </c>
      <c r="AV52">
        <f>Table7[[#This Row],[Midpoint]]/21</f>
        <v>0.14285714285714285</v>
      </c>
      <c r="AW52">
        <f>Table67[[#This Row],[Threshold of Midpoint ratio]]</f>
        <v>0.5714285714285714</v>
      </c>
      <c r="AX52" t="b">
        <f>Table7[[#This Row],[Midpoint ratio]]&gt;=Table7[[#This Row],[Threshold of Midpoint ratio]]</f>
        <v>0</v>
      </c>
      <c r="AY52" t="b">
        <f>OR(Table7[[#This Row],[Extreme Response Style]:[Straight-lining with 1 deviation]],Table7[[#This Row],[Mid-point Response Style]])</f>
        <v>0</v>
      </c>
      <c r="AZ52" t="b">
        <f>OR(Table7[[#This Row],[Delete? (Stage 1)]],Table7[[#This Row],[Delete? (Stage 2)]])</f>
        <v>0</v>
      </c>
      <c r="BA52" t="s">
        <v>81</v>
      </c>
    </row>
    <row r="53" spans="1:53">
      <c r="A53">
        <v>250</v>
      </c>
      <c r="B53" s="3">
        <v>46036.627025463</v>
      </c>
      <c r="C53" s="3">
        <v>46036.629699074103</v>
      </c>
      <c r="D53" t="s">
        <v>53</v>
      </c>
      <c r="G53" t="s">
        <v>54</v>
      </c>
      <c r="H53" t="s">
        <v>63</v>
      </c>
      <c r="I53" t="s">
        <v>56</v>
      </c>
      <c r="J53" t="s">
        <v>57</v>
      </c>
      <c r="K53" t="s">
        <v>57</v>
      </c>
      <c r="L53" t="s">
        <v>58</v>
      </c>
      <c r="M53" t="s">
        <v>58</v>
      </c>
      <c r="N53">
        <v>3</v>
      </c>
      <c r="O53">
        <v>3</v>
      </c>
      <c r="P53">
        <v>4</v>
      </c>
      <c r="Q53">
        <v>3</v>
      </c>
      <c r="R53">
        <v>4</v>
      </c>
      <c r="S53">
        <v>4</v>
      </c>
      <c r="T53">
        <v>3</v>
      </c>
      <c r="U53">
        <v>2</v>
      </c>
      <c r="V53">
        <v>4</v>
      </c>
      <c r="W53">
        <v>4</v>
      </c>
      <c r="X53">
        <v>4</v>
      </c>
      <c r="Y53">
        <v>4</v>
      </c>
      <c r="Z53">
        <v>3</v>
      </c>
      <c r="AA53">
        <v>4</v>
      </c>
      <c r="AB53">
        <v>3</v>
      </c>
      <c r="AC53">
        <v>3</v>
      </c>
      <c r="AD53">
        <v>3</v>
      </c>
      <c r="AE53">
        <v>2</v>
      </c>
      <c r="AF53">
        <v>3</v>
      </c>
      <c r="AG53">
        <v>3</v>
      </c>
      <c r="AH53">
        <v>3</v>
      </c>
      <c r="AI53">
        <v>3</v>
      </c>
      <c r="AJ53">
        <v>3</v>
      </c>
      <c r="AK53" t="b">
        <f>Table7[[#This Row],[What is your age?]]&lt;&gt;"18 - 25"</f>
        <v>0</v>
      </c>
      <c r="AL53" t="b">
        <f t="shared" si="0"/>
        <v>0</v>
      </c>
      <c r="AM53" t="b">
        <f t="shared" si="1"/>
        <v>0</v>
      </c>
      <c r="AN53" t="b">
        <f t="shared" si="2"/>
        <v>0</v>
      </c>
      <c r="AO53" t="b">
        <f>OR(Table7[[#This Row],[Ineligible respondents]:[Inconsistent response on opposite question (3)]])</f>
        <v>0</v>
      </c>
      <c r="AP5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53">
        <f>Table7[[#This Row],[Extreme Response]]/21</f>
        <v>0</v>
      </c>
      <c r="AR53">
        <f>Table67[[#This Row],[Threshold of ERS]]</f>
        <v>0.61904761904761907</v>
      </c>
      <c r="AS53" t="b">
        <f>Table7[[#This Row],[Extrem Response Ratio (ERS)]]&gt;=Table7[[#This Row],[Threshold of ERS]]</f>
        <v>0</v>
      </c>
      <c r="AT53" t="b" cm="1">
        <f t="array" ref="AT5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53">
        <f>COUNTIF(Table7[[#This Row],[The mechanism of digital assets is difficult to understand, which discourages me from exploring it (E.g, Tokenization, Blockchain)]:[If I want to try different ways to invest, I will explore digital assets.]], 3)</f>
        <v>11</v>
      </c>
      <c r="AV53">
        <f>Table7[[#This Row],[Midpoint]]/21</f>
        <v>0.52380952380952384</v>
      </c>
      <c r="AW53">
        <f>Table67[[#This Row],[Threshold of Midpoint ratio]]</f>
        <v>0.5714285714285714</v>
      </c>
      <c r="AX53" t="b">
        <f>Table7[[#This Row],[Midpoint ratio]]&gt;=Table7[[#This Row],[Threshold of Midpoint ratio]]</f>
        <v>0</v>
      </c>
      <c r="AY53" t="b">
        <f>OR(Table7[[#This Row],[Extreme Response Style]:[Straight-lining with 1 deviation]],Table7[[#This Row],[Mid-point Response Style]])</f>
        <v>0</v>
      </c>
      <c r="AZ53" t="b">
        <f>OR(Table7[[#This Row],[Delete? (Stage 1)]],Table7[[#This Row],[Delete? (Stage 2)]])</f>
        <v>0</v>
      </c>
      <c r="BA53" t="s">
        <v>81</v>
      </c>
    </row>
    <row r="54" spans="1:53">
      <c r="A54">
        <v>254</v>
      </c>
      <c r="B54" s="3">
        <v>46036.6272916667</v>
      </c>
      <c r="C54" s="3">
        <v>46036.628796296303</v>
      </c>
      <c r="D54" t="s">
        <v>53</v>
      </c>
      <c r="G54" t="s">
        <v>54</v>
      </c>
      <c r="H54" t="s">
        <v>55</v>
      </c>
      <c r="I54" t="s">
        <v>56</v>
      </c>
      <c r="J54" t="s">
        <v>62</v>
      </c>
      <c r="K54" t="s">
        <v>66</v>
      </c>
      <c r="L54" t="s">
        <v>61</v>
      </c>
      <c r="M54" t="s">
        <v>61</v>
      </c>
      <c r="N54">
        <v>2</v>
      </c>
      <c r="O54">
        <v>2</v>
      </c>
      <c r="P54">
        <v>4</v>
      </c>
      <c r="Q54">
        <v>3</v>
      </c>
      <c r="R54">
        <v>2</v>
      </c>
      <c r="S54">
        <v>4</v>
      </c>
      <c r="T54">
        <v>3</v>
      </c>
      <c r="U54">
        <v>4</v>
      </c>
      <c r="V54">
        <v>3</v>
      </c>
      <c r="W54">
        <v>4</v>
      </c>
      <c r="X54">
        <v>3</v>
      </c>
      <c r="Y54">
        <v>3</v>
      </c>
      <c r="Z54">
        <v>3</v>
      </c>
      <c r="AA54">
        <v>3</v>
      </c>
      <c r="AB54">
        <v>3</v>
      </c>
      <c r="AC54">
        <v>3</v>
      </c>
      <c r="AD54">
        <v>2</v>
      </c>
      <c r="AE54">
        <v>2</v>
      </c>
      <c r="AF54">
        <v>4</v>
      </c>
      <c r="AG54">
        <v>2</v>
      </c>
      <c r="AH54">
        <v>4</v>
      </c>
      <c r="AI54">
        <v>2</v>
      </c>
      <c r="AJ54">
        <v>2</v>
      </c>
      <c r="AK54" t="b">
        <f>Table7[[#This Row],[What is your age?]]&lt;&gt;"18 - 25"</f>
        <v>0</v>
      </c>
      <c r="AL54" t="b">
        <f t="shared" si="0"/>
        <v>0</v>
      </c>
      <c r="AM54" t="b">
        <f t="shared" si="1"/>
        <v>0</v>
      </c>
      <c r="AN54" t="b">
        <f t="shared" si="2"/>
        <v>0</v>
      </c>
      <c r="AO54" t="b">
        <f>OR(Table7[[#This Row],[Ineligible respondents]:[Inconsistent response on opposite question (3)]])</f>
        <v>0</v>
      </c>
      <c r="AP5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54">
        <f>Table7[[#This Row],[Extreme Response]]/21</f>
        <v>0</v>
      </c>
      <c r="AR54">
        <f>Table67[[#This Row],[Threshold of ERS]]</f>
        <v>0.61904761904761907</v>
      </c>
      <c r="AS54" t="b">
        <f>Table7[[#This Row],[Extrem Response Ratio (ERS)]]&gt;=Table7[[#This Row],[Threshold of ERS]]</f>
        <v>0</v>
      </c>
      <c r="AT54" t="b" cm="1">
        <f t="array" ref="AT5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54">
        <f>COUNTIF(Table7[[#This Row],[The mechanism of digital assets is difficult to understand, which discourages me from exploring it (E.g, Tokenization, Blockchain)]:[If I want to try different ways to invest, I will explore digital assets.]], 3)</f>
        <v>9</v>
      </c>
      <c r="AV54">
        <f>Table7[[#This Row],[Midpoint]]/21</f>
        <v>0.42857142857142855</v>
      </c>
      <c r="AW54">
        <f>Table67[[#This Row],[Threshold of Midpoint ratio]]</f>
        <v>0.5714285714285714</v>
      </c>
      <c r="AX54" t="b">
        <f>Table7[[#This Row],[Midpoint ratio]]&gt;=Table7[[#This Row],[Threshold of Midpoint ratio]]</f>
        <v>0</v>
      </c>
      <c r="AY54" t="b">
        <f>OR(Table7[[#This Row],[Extreme Response Style]:[Straight-lining with 1 deviation]],Table7[[#This Row],[Mid-point Response Style]])</f>
        <v>0</v>
      </c>
      <c r="AZ54" t="b">
        <f>OR(Table7[[#This Row],[Delete? (Stage 1)]],Table7[[#This Row],[Delete? (Stage 2)]])</f>
        <v>0</v>
      </c>
      <c r="BA54" t="s">
        <v>81</v>
      </c>
    </row>
    <row r="55" spans="1:53">
      <c r="A55">
        <v>259</v>
      </c>
      <c r="B55" s="3">
        <v>46036.662662037001</v>
      </c>
      <c r="C55" s="3">
        <v>46036.664756944403</v>
      </c>
      <c r="D55" t="s">
        <v>53</v>
      </c>
      <c r="G55" t="s">
        <v>54</v>
      </c>
      <c r="H55" t="s">
        <v>55</v>
      </c>
      <c r="I55" t="s">
        <v>56</v>
      </c>
      <c r="J55" t="s">
        <v>62</v>
      </c>
      <c r="K55" t="s">
        <v>57</v>
      </c>
      <c r="L55" t="s">
        <v>58</v>
      </c>
      <c r="M55" t="s">
        <v>58</v>
      </c>
      <c r="N55">
        <v>3</v>
      </c>
      <c r="O55">
        <v>3</v>
      </c>
      <c r="P55">
        <v>3</v>
      </c>
      <c r="Q55">
        <v>2</v>
      </c>
      <c r="R55">
        <v>2</v>
      </c>
      <c r="S55">
        <v>3</v>
      </c>
      <c r="T55">
        <v>4</v>
      </c>
      <c r="U55">
        <v>4</v>
      </c>
      <c r="V55">
        <v>2</v>
      </c>
      <c r="W55">
        <v>3</v>
      </c>
      <c r="X55">
        <v>3</v>
      </c>
      <c r="Y55">
        <v>4</v>
      </c>
      <c r="Z55">
        <v>3</v>
      </c>
      <c r="AA55">
        <v>3</v>
      </c>
      <c r="AB55">
        <v>3</v>
      </c>
      <c r="AC55">
        <v>2</v>
      </c>
      <c r="AD55">
        <v>2</v>
      </c>
      <c r="AE55">
        <v>3</v>
      </c>
      <c r="AF55">
        <v>3</v>
      </c>
      <c r="AG55">
        <v>2</v>
      </c>
      <c r="AH55">
        <v>4</v>
      </c>
      <c r="AI55">
        <v>2</v>
      </c>
      <c r="AJ55">
        <v>3</v>
      </c>
      <c r="AK55" t="b">
        <f>Table7[[#This Row],[What is your age?]]&lt;&gt;"18 - 25"</f>
        <v>0</v>
      </c>
      <c r="AL55" t="b">
        <f t="shared" si="0"/>
        <v>0</v>
      </c>
      <c r="AM55" t="b">
        <f t="shared" si="1"/>
        <v>0</v>
      </c>
      <c r="AN55" t="b">
        <f t="shared" si="2"/>
        <v>0</v>
      </c>
      <c r="AO55" t="b">
        <f>OR(Table7[[#This Row],[Ineligible respondents]:[Inconsistent response on opposite question (3)]])</f>
        <v>0</v>
      </c>
      <c r="AP5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55">
        <f>Table7[[#This Row],[Extreme Response]]/21</f>
        <v>0</v>
      </c>
      <c r="AR55">
        <f>Table67[[#This Row],[Threshold of ERS]]</f>
        <v>0.61904761904761907</v>
      </c>
      <c r="AS55" t="b">
        <f>Table7[[#This Row],[Extrem Response Ratio (ERS)]]&gt;=Table7[[#This Row],[Threshold of ERS]]</f>
        <v>0</v>
      </c>
      <c r="AT55" t="b" cm="1">
        <f t="array" ref="AT5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55">
        <f>COUNTIF(Table7[[#This Row],[The mechanism of digital assets is difficult to understand, which discourages me from exploring it (E.g, Tokenization, Blockchain)]:[If I want to try different ways to invest, I will explore digital assets.]], 3)</f>
        <v>11</v>
      </c>
      <c r="AV55">
        <f>Table7[[#This Row],[Midpoint]]/21</f>
        <v>0.52380952380952384</v>
      </c>
      <c r="AW55">
        <f>Table67[[#This Row],[Threshold of Midpoint ratio]]</f>
        <v>0.5714285714285714</v>
      </c>
      <c r="AX55" t="b">
        <f>Table7[[#This Row],[Midpoint ratio]]&gt;=Table7[[#This Row],[Threshold of Midpoint ratio]]</f>
        <v>0</v>
      </c>
      <c r="AY55" t="b">
        <f>OR(Table7[[#This Row],[Extreme Response Style]:[Straight-lining with 1 deviation]],Table7[[#This Row],[Mid-point Response Style]])</f>
        <v>0</v>
      </c>
      <c r="AZ55" t="b">
        <f>OR(Table7[[#This Row],[Delete? (Stage 1)]],Table7[[#This Row],[Delete? (Stage 2)]])</f>
        <v>0</v>
      </c>
      <c r="BA55" t="s">
        <v>81</v>
      </c>
    </row>
    <row r="56" spans="1:53">
      <c r="A56">
        <v>260</v>
      </c>
      <c r="B56" s="3">
        <v>46036.662719907399</v>
      </c>
      <c r="C56" s="3">
        <v>46036.666122685201</v>
      </c>
      <c r="D56" t="s">
        <v>53</v>
      </c>
      <c r="G56" t="s">
        <v>54</v>
      </c>
      <c r="H56" t="s">
        <v>55</v>
      </c>
      <c r="I56" t="s">
        <v>56</v>
      </c>
      <c r="J56" t="s">
        <v>57</v>
      </c>
      <c r="K56" t="s">
        <v>62</v>
      </c>
      <c r="L56" t="s">
        <v>61</v>
      </c>
      <c r="M56" t="s">
        <v>61</v>
      </c>
      <c r="N56">
        <v>1</v>
      </c>
      <c r="O56">
        <v>2</v>
      </c>
      <c r="P56">
        <v>2</v>
      </c>
      <c r="Q56">
        <v>2</v>
      </c>
      <c r="R56">
        <v>2</v>
      </c>
      <c r="S56">
        <v>1</v>
      </c>
      <c r="T56">
        <v>2</v>
      </c>
      <c r="U56">
        <v>2</v>
      </c>
      <c r="V56">
        <v>3</v>
      </c>
      <c r="W56">
        <v>3</v>
      </c>
      <c r="X56">
        <v>3</v>
      </c>
      <c r="Y56">
        <v>4</v>
      </c>
      <c r="Z56">
        <v>2</v>
      </c>
      <c r="AA56">
        <v>2</v>
      </c>
      <c r="AB56">
        <v>2</v>
      </c>
      <c r="AC56">
        <v>2</v>
      </c>
      <c r="AD56">
        <v>1</v>
      </c>
      <c r="AE56">
        <v>1</v>
      </c>
      <c r="AF56">
        <v>4</v>
      </c>
      <c r="AG56">
        <v>2</v>
      </c>
      <c r="AH56">
        <v>4</v>
      </c>
      <c r="AI56">
        <v>2</v>
      </c>
      <c r="AJ56">
        <v>2</v>
      </c>
      <c r="AK56" t="b">
        <f>Table7[[#This Row],[What is your age?]]&lt;&gt;"18 - 25"</f>
        <v>0</v>
      </c>
      <c r="AL56" t="b">
        <f t="shared" si="0"/>
        <v>0</v>
      </c>
      <c r="AM56" t="b">
        <f t="shared" si="1"/>
        <v>0</v>
      </c>
      <c r="AN56" t="b">
        <f t="shared" si="2"/>
        <v>0</v>
      </c>
      <c r="AO56" t="b">
        <f>OR(Table7[[#This Row],[Ineligible respondents]:[Inconsistent response on opposite question (3)]])</f>
        <v>0</v>
      </c>
      <c r="AP5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56">
        <f>Table7[[#This Row],[Extreme Response]]/21</f>
        <v>0.19047619047619047</v>
      </c>
      <c r="AR56">
        <f>Table67[[#This Row],[Threshold of ERS]]</f>
        <v>0.61904761904761907</v>
      </c>
      <c r="AS56" t="b">
        <f>Table7[[#This Row],[Extrem Response Ratio (ERS)]]&gt;=Table7[[#This Row],[Threshold of ERS]]</f>
        <v>0</v>
      </c>
      <c r="AT56" t="b" cm="1">
        <f t="array" ref="AT5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56">
        <f>COUNTIF(Table7[[#This Row],[The mechanism of digital assets is difficult to understand, which discourages me from exploring it (E.g, Tokenization, Blockchain)]:[If I want to try different ways to invest, I will explore digital assets.]], 3)</f>
        <v>3</v>
      </c>
      <c r="AV56">
        <f>Table7[[#This Row],[Midpoint]]/21</f>
        <v>0.14285714285714285</v>
      </c>
      <c r="AW56">
        <f>Table67[[#This Row],[Threshold of Midpoint ratio]]</f>
        <v>0.5714285714285714</v>
      </c>
      <c r="AX56" t="b">
        <f>Table7[[#This Row],[Midpoint ratio]]&gt;=Table7[[#This Row],[Threshold of Midpoint ratio]]</f>
        <v>0</v>
      </c>
      <c r="AY56" t="b">
        <f>OR(Table7[[#This Row],[Extreme Response Style]:[Straight-lining with 1 deviation]],Table7[[#This Row],[Mid-point Response Style]])</f>
        <v>0</v>
      </c>
      <c r="AZ56" t="b">
        <f>OR(Table7[[#This Row],[Delete? (Stage 1)]],Table7[[#This Row],[Delete? (Stage 2)]])</f>
        <v>0</v>
      </c>
      <c r="BA56" t="s">
        <v>81</v>
      </c>
    </row>
    <row r="57" spans="1:53">
      <c r="A57">
        <v>261</v>
      </c>
      <c r="B57" s="3">
        <v>46036.663379629601</v>
      </c>
      <c r="C57" s="3">
        <v>46036.665740740696</v>
      </c>
      <c r="D57" t="s">
        <v>53</v>
      </c>
      <c r="G57" t="s">
        <v>54</v>
      </c>
      <c r="H57" t="s">
        <v>63</v>
      </c>
      <c r="I57" t="s">
        <v>56</v>
      </c>
      <c r="J57" t="s">
        <v>62</v>
      </c>
      <c r="K57" t="s">
        <v>57</v>
      </c>
      <c r="L57" t="s">
        <v>58</v>
      </c>
      <c r="M57" t="s">
        <v>58</v>
      </c>
      <c r="N57">
        <v>4</v>
      </c>
      <c r="O57">
        <v>4</v>
      </c>
      <c r="P57">
        <v>4</v>
      </c>
      <c r="Q57">
        <v>3</v>
      </c>
      <c r="R57">
        <v>3</v>
      </c>
      <c r="S57">
        <v>3</v>
      </c>
      <c r="T57">
        <v>2</v>
      </c>
      <c r="U57">
        <v>2</v>
      </c>
      <c r="V57">
        <v>4</v>
      </c>
      <c r="W57">
        <v>3</v>
      </c>
      <c r="X57">
        <v>3</v>
      </c>
      <c r="Y57">
        <v>4</v>
      </c>
      <c r="Z57">
        <v>4</v>
      </c>
      <c r="AA57">
        <v>4</v>
      </c>
      <c r="AB57">
        <v>3</v>
      </c>
      <c r="AC57">
        <v>2</v>
      </c>
      <c r="AD57">
        <v>3</v>
      </c>
      <c r="AE57">
        <v>2</v>
      </c>
      <c r="AF57">
        <v>4</v>
      </c>
      <c r="AG57">
        <v>2</v>
      </c>
      <c r="AH57">
        <v>4</v>
      </c>
      <c r="AI57">
        <v>2</v>
      </c>
      <c r="AJ57">
        <v>2</v>
      </c>
      <c r="AK57" t="b">
        <f>Table7[[#This Row],[What is your age?]]&lt;&gt;"18 - 25"</f>
        <v>0</v>
      </c>
      <c r="AL57" t="b">
        <f t="shared" si="0"/>
        <v>0</v>
      </c>
      <c r="AM57" t="b">
        <f t="shared" si="1"/>
        <v>0</v>
      </c>
      <c r="AN57" t="b">
        <f t="shared" si="2"/>
        <v>0</v>
      </c>
      <c r="AO57" t="b">
        <f>OR(Table7[[#This Row],[Ineligible respondents]:[Inconsistent response on opposite question (3)]])</f>
        <v>0</v>
      </c>
      <c r="AP5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57">
        <f>Table7[[#This Row],[Extreme Response]]/21</f>
        <v>0</v>
      </c>
      <c r="AR57">
        <f>Table67[[#This Row],[Threshold of ERS]]</f>
        <v>0.61904761904761907</v>
      </c>
      <c r="AS57" t="b">
        <f>Table7[[#This Row],[Extrem Response Ratio (ERS)]]&gt;=Table7[[#This Row],[Threshold of ERS]]</f>
        <v>0</v>
      </c>
      <c r="AT57" t="b" cm="1">
        <f t="array" ref="AT5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57">
        <f>COUNTIF(Table7[[#This Row],[The mechanism of digital assets is difficult to understand, which discourages me from exploring it (E.g, Tokenization, Blockchain)]:[If I want to try different ways to invest, I will explore digital assets.]], 3)</f>
        <v>7</v>
      </c>
      <c r="AV57">
        <f>Table7[[#This Row],[Midpoint]]/21</f>
        <v>0.33333333333333331</v>
      </c>
      <c r="AW57">
        <f>Table67[[#This Row],[Threshold of Midpoint ratio]]</f>
        <v>0.5714285714285714</v>
      </c>
      <c r="AX57" t="b">
        <f>Table7[[#This Row],[Midpoint ratio]]&gt;=Table7[[#This Row],[Threshold of Midpoint ratio]]</f>
        <v>0</v>
      </c>
      <c r="AY57" t="b">
        <f>OR(Table7[[#This Row],[Extreme Response Style]:[Straight-lining with 1 deviation]],Table7[[#This Row],[Mid-point Response Style]])</f>
        <v>0</v>
      </c>
      <c r="AZ57" t="b">
        <f>OR(Table7[[#This Row],[Delete? (Stage 1)]],Table7[[#This Row],[Delete? (Stage 2)]])</f>
        <v>0</v>
      </c>
      <c r="BA57" t="s">
        <v>81</v>
      </c>
    </row>
    <row r="58" spans="1:53">
      <c r="A58">
        <v>264</v>
      </c>
      <c r="B58" s="3">
        <v>46036.666145833296</v>
      </c>
      <c r="C58" s="3">
        <v>46036.670891203699</v>
      </c>
      <c r="D58" t="s">
        <v>53</v>
      </c>
      <c r="G58" t="s">
        <v>54</v>
      </c>
      <c r="H58" t="s">
        <v>63</v>
      </c>
      <c r="I58" t="s">
        <v>56</v>
      </c>
      <c r="J58" t="s">
        <v>62</v>
      </c>
      <c r="K58" t="s">
        <v>57</v>
      </c>
      <c r="L58" t="s">
        <v>58</v>
      </c>
      <c r="M58" t="s">
        <v>58</v>
      </c>
      <c r="N58">
        <v>3</v>
      </c>
      <c r="O58">
        <v>3</v>
      </c>
      <c r="P58">
        <v>4</v>
      </c>
      <c r="Q58">
        <v>3</v>
      </c>
      <c r="R58">
        <v>4</v>
      </c>
      <c r="S58">
        <v>4</v>
      </c>
      <c r="T58">
        <v>3</v>
      </c>
      <c r="U58">
        <v>4</v>
      </c>
      <c r="V58">
        <v>4</v>
      </c>
      <c r="W58">
        <v>4</v>
      </c>
      <c r="X58">
        <v>2</v>
      </c>
      <c r="Y58">
        <v>3</v>
      </c>
      <c r="Z58">
        <v>3</v>
      </c>
      <c r="AA58">
        <v>3</v>
      </c>
      <c r="AB58">
        <v>2</v>
      </c>
      <c r="AC58">
        <v>3</v>
      </c>
      <c r="AD58">
        <v>3</v>
      </c>
      <c r="AE58">
        <v>2</v>
      </c>
      <c r="AF58">
        <v>2</v>
      </c>
      <c r="AG58">
        <v>3</v>
      </c>
      <c r="AH58">
        <v>3</v>
      </c>
      <c r="AI58">
        <v>3</v>
      </c>
      <c r="AJ58">
        <v>4</v>
      </c>
      <c r="AK58" t="b">
        <f>Table7[[#This Row],[What is your age?]]&lt;&gt;"18 - 25"</f>
        <v>0</v>
      </c>
      <c r="AL58" t="b">
        <f t="shared" si="0"/>
        <v>0</v>
      </c>
      <c r="AM58" t="b">
        <f t="shared" si="1"/>
        <v>0</v>
      </c>
      <c r="AN58" t="b">
        <f t="shared" si="2"/>
        <v>0</v>
      </c>
      <c r="AO58" t="b">
        <f>OR(Table7[[#This Row],[Ineligible respondents]:[Inconsistent response on opposite question (3)]])</f>
        <v>0</v>
      </c>
      <c r="AP5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58">
        <f>Table7[[#This Row],[Extreme Response]]/21</f>
        <v>0</v>
      </c>
      <c r="AR58">
        <f>Table67[[#This Row],[Threshold of ERS]]</f>
        <v>0.61904761904761907</v>
      </c>
      <c r="AS58" t="b">
        <f>Table7[[#This Row],[Extrem Response Ratio (ERS)]]&gt;=Table7[[#This Row],[Threshold of ERS]]</f>
        <v>0</v>
      </c>
      <c r="AT58" t="b" cm="1">
        <f t="array" ref="AT5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58">
        <f>COUNTIF(Table7[[#This Row],[The mechanism of digital assets is difficult to understand, which discourages me from exploring it (E.g, Tokenization, Blockchain)]:[If I want to try different ways to invest, I will explore digital assets.]], 3)</f>
        <v>11</v>
      </c>
      <c r="AV58">
        <f>Table7[[#This Row],[Midpoint]]/21</f>
        <v>0.52380952380952384</v>
      </c>
      <c r="AW58">
        <f>Table67[[#This Row],[Threshold of Midpoint ratio]]</f>
        <v>0.5714285714285714</v>
      </c>
      <c r="AX58" t="b">
        <f>Table7[[#This Row],[Midpoint ratio]]&gt;=Table7[[#This Row],[Threshold of Midpoint ratio]]</f>
        <v>0</v>
      </c>
      <c r="AY58" t="b">
        <f>OR(Table7[[#This Row],[Extreme Response Style]:[Straight-lining with 1 deviation]],Table7[[#This Row],[Mid-point Response Style]])</f>
        <v>0</v>
      </c>
      <c r="AZ58" t="b">
        <f>OR(Table7[[#This Row],[Delete? (Stage 1)]],Table7[[#This Row],[Delete? (Stage 2)]])</f>
        <v>0</v>
      </c>
      <c r="BA58" t="s">
        <v>81</v>
      </c>
    </row>
    <row r="59" spans="1:53">
      <c r="A59">
        <v>268</v>
      </c>
      <c r="B59" s="3">
        <v>46037.479780092603</v>
      </c>
      <c r="C59" s="3">
        <v>46037.4859953704</v>
      </c>
      <c r="D59" t="s">
        <v>53</v>
      </c>
      <c r="G59" t="s">
        <v>54</v>
      </c>
      <c r="H59" t="s">
        <v>63</v>
      </c>
      <c r="I59" t="s">
        <v>56</v>
      </c>
      <c r="J59" t="s">
        <v>62</v>
      </c>
      <c r="K59" t="s">
        <v>57</v>
      </c>
      <c r="L59" t="s">
        <v>58</v>
      </c>
      <c r="M59" t="s">
        <v>58</v>
      </c>
      <c r="N59">
        <v>4</v>
      </c>
      <c r="O59">
        <v>2</v>
      </c>
      <c r="P59">
        <v>4</v>
      </c>
      <c r="Q59">
        <v>3</v>
      </c>
      <c r="R59">
        <v>2</v>
      </c>
      <c r="S59">
        <v>3</v>
      </c>
      <c r="T59">
        <v>4</v>
      </c>
      <c r="U59">
        <v>5</v>
      </c>
      <c r="V59">
        <v>5</v>
      </c>
      <c r="W59">
        <v>5</v>
      </c>
      <c r="X59">
        <v>5</v>
      </c>
      <c r="Y59">
        <v>5</v>
      </c>
      <c r="Z59">
        <v>4</v>
      </c>
      <c r="AA59">
        <v>3</v>
      </c>
      <c r="AB59">
        <v>3</v>
      </c>
      <c r="AC59">
        <v>4</v>
      </c>
      <c r="AD59">
        <v>4</v>
      </c>
      <c r="AE59">
        <v>3</v>
      </c>
      <c r="AF59">
        <v>2</v>
      </c>
      <c r="AG59">
        <v>4</v>
      </c>
      <c r="AH59">
        <v>2</v>
      </c>
      <c r="AI59">
        <v>4</v>
      </c>
      <c r="AJ59">
        <v>4</v>
      </c>
      <c r="AK59" t="b">
        <f>Table7[[#This Row],[What is your age?]]&lt;&gt;"18 - 25"</f>
        <v>0</v>
      </c>
      <c r="AL59" t="b">
        <f t="shared" si="0"/>
        <v>0</v>
      </c>
      <c r="AM59" t="b">
        <f t="shared" si="1"/>
        <v>0</v>
      </c>
      <c r="AN59" t="b">
        <f t="shared" si="2"/>
        <v>0</v>
      </c>
      <c r="AO59" t="b">
        <f>OR(Table7[[#This Row],[Ineligible respondents]:[Inconsistent response on opposite question (3)]])</f>
        <v>0</v>
      </c>
      <c r="AP5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5</v>
      </c>
      <c r="AQ59">
        <f>Table7[[#This Row],[Extreme Response]]/21</f>
        <v>0.23809523809523808</v>
      </c>
      <c r="AR59">
        <f>Table67[[#This Row],[Threshold of ERS]]</f>
        <v>0.61904761904761907</v>
      </c>
      <c r="AS59" t="b">
        <f>Table7[[#This Row],[Extrem Response Ratio (ERS)]]&gt;=Table7[[#This Row],[Threshold of ERS]]</f>
        <v>0</v>
      </c>
      <c r="AT59" t="b" cm="1">
        <f t="array" ref="AT5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59">
        <f>COUNTIF(Table7[[#This Row],[The mechanism of digital assets is difficult to understand, which discourages me from exploring it (E.g, Tokenization, Blockchain)]:[If I want to try different ways to invest, I will explore digital assets.]], 3)</f>
        <v>5</v>
      </c>
      <c r="AV59">
        <f>Table7[[#This Row],[Midpoint]]/21</f>
        <v>0.23809523809523808</v>
      </c>
      <c r="AW59">
        <f>Table67[[#This Row],[Threshold of Midpoint ratio]]</f>
        <v>0.5714285714285714</v>
      </c>
      <c r="AX59" t="b">
        <f>Table7[[#This Row],[Midpoint ratio]]&gt;=Table7[[#This Row],[Threshold of Midpoint ratio]]</f>
        <v>0</v>
      </c>
      <c r="AY59" t="b">
        <f>OR(Table7[[#This Row],[Extreme Response Style]:[Straight-lining with 1 deviation]],Table7[[#This Row],[Mid-point Response Style]])</f>
        <v>0</v>
      </c>
      <c r="AZ59" t="b">
        <f>OR(Table7[[#This Row],[Delete? (Stage 1)]],Table7[[#This Row],[Delete? (Stage 2)]])</f>
        <v>0</v>
      </c>
      <c r="BA59" t="s">
        <v>81</v>
      </c>
    </row>
    <row r="60" spans="1:53">
      <c r="A60">
        <v>270</v>
      </c>
      <c r="B60" s="3">
        <v>46037.574212963002</v>
      </c>
      <c r="C60" s="3">
        <v>46037.579270833303</v>
      </c>
      <c r="D60" t="s">
        <v>53</v>
      </c>
      <c r="G60" t="s">
        <v>54</v>
      </c>
      <c r="H60" t="s">
        <v>63</v>
      </c>
      <c r="I60" t="s">
        <v>56</v>
      </c>
      <c r="J60" t="s">
        <v>62</v>
      </c>
      <c r="K60" t="s">
        <v>57</v>
      </c>
      <c r="L60" t="s">
        <v>58</v>
      </c>
      <c r="M60" t="s">
        <v>61</v>
      </c>
      <c r="N60">
        <v>3</v>
      </c>
      <c r="O60">
        <v>2</v>
      </c>
      <c r="P60">
        <v>4</v>
      </c>
      <c r="Q60">
        <v>4</v>
      </c>
      <c r="R60">
        <v>3</v>
      </c>
      <c r="S60">
        <v>4</v>
      </c>
      <c r="T60">
        <v>4</v>
      </c>
      <c r="U60">
        <v>4</v>
      </c>
      <c r="V60">
        <v>4</v>
      </c>
      <c r="W60">
        <v>4</v>
      </c>
      <c r="X60">
        <v>4</v>
      </c>
      <c r="Y60">
        <v>4</v>
      </c>
      <c r="Z60">
        <v>4</v>
      </c>
      <c r="AA60">
        <v>4</v>
      </c>
      <c r="AB60">
        <v>3</v>
      </c>
      <c r="AC60">
        <v>4</v>
      </c>
      <c r="AD60">
        <v>4</v>
      </c>
      <c r="AE60">
        <v>2</v>
      </c>
      <c r="AF60">
        <v>3</v>
      </c>
      <c r="AG60">
        <v>3</v>
      </c>
      <c r="AH60">
        <v>3</v>
      </c>
      <c r="AI60">
        <v>3</v>
      </c>
      <c r="AJ60">
        <v>3</v>
      </c>
      <c r="AK60" t="b">
        <f>Table7[[#This Row],[What is your age?]]&lt;&gt;"18 - 25"</f>
        <v>0</v>
      </c>
      <c r="AL60" t="b">
        <f t="shared" si="0"/>
        <v>0</v>
      </c>
      <c r="AM60" t="b">
        <f t="shared" si="1"/>
        <v>0</v>
      </c>
      <c r="AN60" t="b">
        <f t="shared" si="2"/>
        <v>0</v>
      </c>
      <c r="AO60" t="b">
        <f>OR(Table7[[#This Row],[Ineligible respondents]:[Inconsistent response on opposite question (3)]])</f>
        <v>0</v>
      </c>
      <c r="AP6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60">
        <f>Table7[[#This Row],[Extreme Response]]/21</f>
        <v>0</v>
      </c>
      <c r="AR60">
        <f>Table67[[#This Row],[Threshold of ERS]]</f>
        <v>0.61904761904761907</v>
      </c>
      <c r="AS60" t="b">
        <f>Table7[[#This Row],[Extrem Response Ratio (ERS)]]&gt;=Table7[[#This Row],[Threshold of ERS]]</f>
        <v>0</v>
      </c>
      <c r="AT60" t="b" cm="1">
        <f t="array" ref="AT6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60">
        <f>COUNTIF(Table7[[#This Row],[The mechanism of digital assets is difficult to understand, which discourages me from exploring it (E.g, Tokenization, Blockchain)]:[If I want to try different ways to invest, I will explore digital assets.]], 3)</f>
        <v>6</v>
      </c>
      <c r="AV60">
        <f>Table7[[#This Row],[Midpoint]]/21</f>
        <v>0.2857142857142857</v>
      </c>
      <c r="AW60">
        <f>Table67[[#This Row],[Threshold of Midpoint ratio]]</f>
        <v>0.5714285714285714</v>
      </c>
      <c r="AX60" t="b">
        <f>Table7[[#This Row],[Midpoint ratio]]&gt;=Table7[[#This Row],[Threshold of Midpoint ratio]]</f>
        <v>0</v>
      </c>
      <c r="AY60" t="b">
        <f>OR(Table7[[#This Row],[Extreme Response Style]:[Straight-lining with 1 deviation]],Table7[[#This Row],[Mid-point Response Style]])</f>
        <v>0</v>
      </c>
      <c r="AZ60" t="b">
        <f>OR(Table7[[#This Row],[Delete? (Stage 1)]],Table7[[#This Row],[Delete? (Stage 2)]])</f>
        <v>0</v>
      </c>
      <c r="BA60" t="s">
        <v>81</v>
      </c>
    </row>
    <row r="61" spans="1:53">
      <c r="A61">
        <v>279</v>
      </c>
      <c r="B61" s="3">
        <v>46040.7608680556</v>
      </c>
      <c r="C61" s="3">
        <v>46040.763796296298</v>
      </c>
      <c r="D61" t="s">
        <v>53</v>
      </c>
      <c r="G61" t="s">
        <v>54</v>
      </c>
      <c r="H61" t="s">
        <v>63</v>
      </c>
      <c r="I61" t="s">
        <v>75</v>
      </c>
      <c r="J61" t="s">
        <v>66</v>
      </c>
      <c r="K61" t="s">
        <v>66</v>
      </c>
      <c r="L61" t="s">
        <v>58</v>
      </c>
      <c r="M61" t="s">
        <v>58</v>
      </c>
      <c r="N61">
        <v>5</v>
      </c>
      <c r="O61">
        <v>5</v>
      </c>
      <c r="P61">
        <v>3</v>
      </c>
      <c r="Q61">
        <v>5</v>
      </c>
      <c r="R61">
        <v>5</v>
      </c>
      <c r="S61">
        <v>4</v>
      </c>
      <c r="T61">
        <v>5</v>
      </c>
      <c r="U61">
        <v>4</v>
      </c>
      <c r="V61">
        <v>4</v>
      </c>
      <c r="W61">
        <v>4</v>
      </c>
      <c r="X61">
        <v>1</v>
      </c>
      <c r="Y61">
        <v>2</v>
      </c>
      <c r="Z61">
        <v>3</v>
      </c>
      <c r="AA61">
        <v>4</v>
      </c>
      <c r="AB61">
        <v>3</v>
      </c>
      <c r="AC61">
        <v>4</v>
      </c>
      <c r="AD61">
        <v>2</v>
      </c>
      <c r="AE61">
        <v>4</v>
      </c>
      <c r="AF61">
        <v>5</v>
      </c>
      <c r="AG61">
        <v>1</v>
      </c>
      <c r="AH61">
        <v>5</v>
      </c>
      <c r="AI61">
        <v>1</v>
      </c>
      <c r="AJ61">
        <v>1</v>
      </c>
      <c r="AK61" t="b">
        <f>Table7[[#This Row],[What is your age?]]&lt;&gt;"18 - 25"</f>
        <v>0</v>
      </c>
      <c r="AL61" t="b">
        <f t="shared" si="0"/>
        <v>0</v>
      </c>
      <c r="AM61" t="b">
        <f t="shared" si="1"/>
        <v>0</v>
      </c>
      <c r="AN61" t="b">
        <f t="shared" si="2"/>
        <v>0</v>
      </c>
      <c r="AO61" t="b">
        <f>OR(Table7[[#This Row],[Ineligible respondents]:[Inconsistent response on opposite question (3)]])</f>
        <v>0</v>
      </c>
      <c r="AP6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9</v>
      </c>
      <c r="AQ61">
        <f>Table7[[#This Row],[Extreme Response]]/21</f>
        <v>0.42857142857142855</v>
      </c>
      <c r="AR61">
        <f>Table67[[#This Row],[Threshold of ERS]]</f>
        <v>0.61904761904761907</v>
      </c>
      <c r="AS61" t="b">
        <f>Table7[[#This Row],[Extrem Response Ratio (ERS)]]&gt;=Table7[[#This Row],[Threshold of ERS]]</f>
        <v>0</v>
      </c>
      <c r="AT61" t="b" cm="1">
        <f t="array" ref="AT6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61">
        <f>COUNTIF(Table7[[#This Row],[The mechanism of digital assets is difficult to understand, which discourages me from exploring it (E.g, Tokenization, Blockchain)]:[If I want to try different ways to invest, I will explore digital assets.]], 3)</f>
        <v>3</v>
      </c>
      <c r="AV61">
        <f>Table7[[#This Row],[Midpoint]]/21</f>
        <v>0.14285714285714285</v>
      </c>
      <c r="AW61">
        <f>Table67[[#This Row],[Threshold of Midpoint ratio]]</f>
        <v>0.5714285714285714</v>
      </c>
      <c r="AX61" t="b">
        <f>Table7[[#This Row],[Midpoint ratio]]&gt;=Table7[[#This Row],[Threshold of Midpoint ratio]]</f>
        <v>0</v>
      </c>
      <c r="AY61" t="b">
        <f>OR(Table7[[#This Row],[Extreme Response Style]:[Straight-lining with 1 deviation]],Table7[[#This Row],[Mid-point Response Style]])</f>
        <v>0</v>
      </c>
      <c r="AZ61" t="b">
        <f>OR(Table7[[#This Row],[Delete? (Stage 1)]],Table7[[#This Row],[Delete? (Stage 2)]])</f>
        <v>0</v>
      </c>
      <c r="BA61" t="s">
        <v>84</v>
      </c>
    </row>
    <row r="62" spans="1:53">
      <c r="A62">
        <v>280</v>
      </c>
      <c r="B62" s="3">
        <v>46040.761030092603</v>
      </c>
      <c r="C62" s="3">
        <v>46040.764872685198</v>
      </c>
      <c r="D62" t="s">
        <v>53</v>
      </c>
      <c r="G62" t="s">
        <v>54</v>
      </c>
      <c r="H62" t="s">
        <v>63</v>
      </c>
      <c r="I62" t="s">
        <v>75</v>
      </c>
      <c r="J62" t="s">
        <v>62</v>
      </c>
      <c r="K62" t="s">
        <v>62</v>
      </c>
      <c r="L62" t="s">
        <v>61</v>
      </c>
      <c r="M62" t="s">
        <v>61</v>
      </c>
      <c r="N62">
        <v>4</v>
      </c>
      <c r="O62">
        <v>3</v>
      </c>
      <c r="P62">
        <v>5</v>
      </c>
      <c r="Q62">
        <v>4</v>
      </c>
      <c r="R62">
        <v>4</v>
      </c>
      <c r="S62">
        <v>4</v>
      </c>
      <c r="T62">
        <v>4</v>
      </c>
      <c r="U62">
        <v>4</v>
      </c>
      <c r="V62">
        <v>3</v>
      </c>
      <c r="W62">
        <v>3</v>
      </c>
      <c r="X62">
        <v>4</v>
      </c>
      <c r="Y62">
        <v>4</v>
      </c>
      <c r="Z62">
        <v>4</v>
      </c>
      <c r="AA62">
        <v>4</v>
      </c>
      <c r="AB62">
        <v>4</v>
      </c>
      <c r="AC62">
        <v>3</v>
      </c>
      <c r="AD62">
        <v>4</v>
      </c>
      <c r="AE62">
        <v>4</v>
      </c>
      <c r="AF62">
        <v>4</v>
      </c>
      <c r="AG62">
        <v>3</v>
      </c>
      <c r="AH62">
        <v>3</v>
      </c>
      <c r="AI62">
        <v>3</v>
      </c>
      <c r="AJ62">
        <v>2</v>
      </c>
      <c r="AK62" t="b">
        <f>Table7[[#This Row],[What is your age?]]&lt;&gt;"18 - 25"</f>
        <v>0</v>
      </c>
      <c r="AL62" t="b">
        <f t="shared" si="0"/>
        <v>0</v>
      </c>
      <c r="AM62" t="b">
        <f t="shared" si="1"/>
        <v>0</v>
      </c>
      <c r="AN62" t="b">
        <f t="shared" si="2"/>
        <v>0</v>
      </c>
      <c r="AO62" t="b">
        <f>OR(Table7[[#This Row],[Ineligible respondents]:[Inconsistent response on opposite question (3)]])</f>
        <v>0</v>
      </c>
      <c r="AP6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62">
        <f>Table7[[#This Row],[Extreme Response]]/21</f>
        <v>4.7619047619047616E-2</v>
      </c>
      <c r="AR62">
        <f>Table67[[#This Row],[Threshold of ERS]]</f>
        <v>0.61904761904761907</v>
      </c>
      <c r="AS62" t="b">
        <f>Table7[[#This Row],[Extrem Response Ratio (ERS)]]&gt;=Table7[[#This Row],[Threshold of ERS]]</f>
        <v>0</v>
      </c>
      <c r="AT62" t="b" cm="1">
        <f t="array" ref="AT6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62">
        <f>COUNTIF(Table7[[#This Row],[The mechanism of digital assets is difficult to understand, which discourages me from exploring it (E.g, Tokenization, Blockchain)]:[If I want to try different ways to invest, I will explore digital assets.]], 3)</f>
        <v>6</v>
      </c>
      <c r="AV62">
        <f>Table7[[#This Row],[Midpoint]]/21</f>
        <v>0.2857142857142857</v>
      </c>
      <c r="AW62">
        <f>Table67[[#This Row],[Threshold of Midpoint ratio]]</f>
        <v>0.5714285714285714</v>
      </c>
      <c r="AX62" t="b">
        <f>Table7[[#This Row],[Midpoint ratio]]&gt;=Table7[[#This Row],[Threshold of Midpoint ratio]]</f>
        <v>0</v>
      </c>
      <c r="AY62" t="b">
        <f>OR(Table7[[#This Row],[Extreme Response Style]:[Straight-lining with 1 deviation]],Table7[[#This Row],[Mid-point Response Style]])</f>
        <v>0</v>
      </c>
      <c r="AZ62" t="b">
        <f>OR(Table7[[#This Row],[Delete? (Stage 1)]],Table7[[#This Row],[Delete? (Stage 2)]])</f>
        <v>0</v>
      </c>
      <c r="BA62" t="s">
        <v>84</v>
      </c>
    </row>
    <row r="63" spans="1:53">
      <c r="A63">
        <v>282</v>
      </c>
      <c r="B63" s="3">
        <v>46040.761157407404</v>
      </c>
      <c r="C63" s="3">
        <v>46040.765069444402</v>
      </c>
      <c r="D63" t="s">
        <v>53</v>
      </c>
      <c r="G63" t="s">
        <v>54</v>
      </c>
      <c r="H63" t="s">
        <v>55</v>
      </c>
      <c r="I63" t="s">
        <v>56</v>
      </c>
      <c r="J63" t="s">
        <v>65</v>
      </c>
      <c r="K63" t="s">
        <v>66</v>
      </c>
      <c r="L63" t="s">
        <v>61</v>
      </c>
      <c r="M63" t="s">
        <v>58</v>
      </c>
      <c r="N63">
        <v>3</v>
      </c>
      <c r="O63">
        <v>4</v>
      </c>
      <c r="P63">
        <v>2</v>
      </c>
      <c r="Q63">
        <v>3</v>
      </c>
      <c r="R63">
        <v>4</v>
      </c>
      <c r="S63">
        <v>4</v>
      </c>
      <c r="T63">
        <v>4</v>
      </c>
      <c r="U63">
        <v>4</v>
      </c>
      <c r="V63">
        <v>4</v>
      </c>
      <c r="W63">
        <v>3</v>
      </c>
      <c r="X63">
        <v>4</v>
      </c>
      <c r="Y63">
        <v>4</v>
      </c>
      <c r="Z63">
        <v>5</v>
      </c>
      <c r="AA63">
        <v>4</v>
      </c>
      <c r="AB63">
        <v>4</v>
      </c>
      <c r="AC63">
        <v>4</v>
      </c>
      <c r="AD63">
        <v>5</v>
      </c>
      <c r="AE63">
        <v>4</v>
      </c>
      <c r="AF63">
        <v>2</v>
      </c>
      <c r="AG63">
        <v>5</v>
      </c>
      <c r="AH63">
        <v>2</v>
      </c>
      <c r="AI63">
        <v>4</v>
      </c>
      <c r="AJ63">
        <v>4</v>
      </c>
      <c r="AK63" t="b">
        <f>Table7[[#This Row],[What is your age?]]&lt;&gt;"18 - 25"</f>
        <v>0</v>
      </c>
      <c r="AL63" t="b">
        <f t="shared" si="0"/>
        <v>0</v>
      </c>
      <c r="AM63" t="b">
        <f t="shared" si="1"/>
        <v>0</v>
      </c>
      <c r="AN63" t="b">
        <f t="shared" si="2"/>
        <v>0</v>
      </c>
      <c r="AO63" t="b">
        <f>OR(Table7[[#This Row],[Ineligible respondents]:[Inconsistent response on opposite question (3)]])</f>
        <v>0</v>
      </c>
      <c r="AP6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63">
        <f>Table7[[#This Row],[Extreme Response]]/21</f>
        <v>0.14285714285714285</v>
      </c>
      <c r="AR63">
        <f>Table67[[#This Row],[Threshold of ERS]]</f>
        <v>0.61904761904761907</v>
      </c>
      <c r="AS63" t="b">
        <f>Table7[[#This Row],[Extrem Response Ratio (ERS)]]&gt;=Table7[[#This Row],[Threshold of ERS]]</f>
        <v>0</v>
      </c>
      <c r="AT63" t="b" cm="1">
        <f t="array" ref="AT6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63">
        <f>COUNTIF(Table7[[#This Row],[The mechanism of digital assets is difficult to understand, which discourages me from exploring it (E.g, Tokenization, Blockchain)]:[If I want to try different ways to invest, I will explore digital assets.]], 3)</f>
        <v>3</v>
      </c>
      <c r="AV63">
        <f>Table7[[#This Row],[Midpoint]]/21</f>
        <v>0.14285714285714285</v>
      </c>
      <c r="AW63">
        <f>Table67[[#This Row],[Threshold of Midpoint ratio]]</f>
        <v>0.5714285714285714</v>
      </c>
      <c r="AX63" t="b">
        <f>Table7[[#This Row],[Midpoint ratio]]&gt;=Table7[[#This Row],[Threshold of Midpoint ratio]]</f>
        <v>0</v>
      </c>
      <c r="AY63" t="b">
        <f>OR(Table7[[#This Row],[Extreme Response Style]:[Straight-lining with 1 deviation]],Table7[[#This Row],[Mid-point Response Style]])</f>
        <v>0</v>
      </c>
      <c r="AZ63" t="b">
        <f>OR(Table7[[#This Row],[Delete? (Stage 1)]],Table7[[#This Row],[Delete? (Stage 2)]])</f>
        <v>0</v>
      </c>
      <c r="BA63" t="s">
        <v>84</v>
      </c>
    </row>
    <row r="64" spans="1:53">
      <c r="A64">
        <v>296</v>
      </c>
      <c r="B64" s="3">
        <v>46040.7632407407</v>
      </c>
      <c r="C64" s="3">
        <v>46040.772858796299</v>
      </c>
      <c r="D64" t="s">
        <v>53</v>
      </c>
      <c r="G64" t="s">
        <v>54</v>
      </c>
      <c r="H64" t="s">
        <v>63</v>
      </c>
      <c r="I64" t="s">
        <v>56</v>
      </c>
      <c r="J64" t="s">
        <v>62</v>
      </c>
      <c r="K64" t="s">
        <v>62</v>
      </c>
      <c r="L64" t="s">
        <v>61</v>
      </c>
      <c r="M64" t="s">
        <v>61</v>
      </c>
      <c r="N64">
        <v>3</v>
      </c>
      <c r="O64">
        <v>4</v>
      </c>
      <c r="P64">
        <v>4</v>
      </c>
      <c r="Q64">
        <v>3</v>
      </c>
      <c r="R64">
        <v>4</v>
      </c>
      <c r="S64">
        <v>4</v>
      </c>
      <c r="T64">
        <v>3</v>
      </c>
      <c r="U64">
        <v>4</v>
      </c>
      <c r="V64">
        <v>4</v>
      </c>
      <c r="W64">
        <v>4</v>
      </c>
      <c r="X64">
        <v>2</v>
      </c>
      <c r="Y64">
        <v>3</v>
      </c>
      <c r="Z64">
        <v>4</v>
      </c>
      <c r="AA64">
        <v>4</v>
      </c>
      <c r="AB64">
        <v>2</v>
      </c>
      <c r="AC64">
        <v>2</v>
      </c>
      <c r="AD64">
        <v>2</v>
      </c>
      <c r="AE64">
        <v>3</v>
      </c>
      <c r="AF64">
        <v>4</v>
      </c>
      <c r="AG64">
        <v>3</v>
      </c>
      <c r="AH64">
        <v>3</v>
      </c>
      <c r="AI64">
        <v>3</v>
      </c>
      <c r="AJ64">
        <v>2</v>
      </c>
      <c r="AK64" t="b">
        <f>Table7[[#This Row],[What is your age?]]&lt;&gt;"18 - 25"</f>
        <v>0</v>
      </c>
      <c r="AL64" t="b">
        <f t="shared" si="0"/>
        <v>0</v>
      </c>
      <c r="AM64" t="b">
        <f t="shared" si="1"/>
        <v>0</v>
      </c>
      <c r="AN64" t="b">
        <f t="shared" si="2"/>
        <v>0</v>
      </c>
      <c r="AO64" t="b">
        <f>OR(Table7[[#This Row],[Ineligible respondents]:[Inconsistent response on opposite question (3)]])</f>
        <v>0</v>
      </c>
      <c r="AP6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64">
        <f>Table7[[#This Row],[Extreme Response]]/21</f>
        <v>0</v>
      </c>
      <c r="AR64">
        <f>Table67[[#This Row],[Threshold of ERS]]</f>
        <v>0.61904761904761907</v>
      </c>
      <c r="AS64" t="b">
        <f>Table7[[#This Row],[Extrem Response Ratio (ERS)]]&gt;=Table7[[#This Row],[Threshold of ERS]]</f>
        <v>0</v>
      </c>
      <c r="AT64" t="b" cm="1">
        <f t="array" ref="AT6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64">
        <f>COUNTIF(Table7[[#This Row],[The mechanism of digital assets is difficult to understand, which discourages me from exploring it (E.g, Tokenization, Blockchain)]:[If I want to try different ways to invest, I will explore digital assets.]], 3)</f>
        <v>7</v>
      </c>
      <c r="AV64">
        <f>Table7[[#This Row],[Midpoint]]/21</f>
        <v>0.33333333333333331</v>
      </c>
      <c r="AW64">
        <f>Table67[[#This Row],[Threshold of Midpoint ratio]]</f>
        <v>0.5714285714285714</v>
      </c>
      <c r="AX64" t="b">
        <f>Table7[[#This Row],[Midpoint ratio]]&gt;=Table7[[#This Row],[Threshold of Midpoint ratio]]</f>
        <v>0</v>
      </c>
      <c r="AY64" t="b">
        <f>OR(Table7[[#This Row],[Extreme Response Style]:[Straight-lining with 1 deviation]],Table7[[#This Row],[Mid-point Response Style]])</f>
        <v>0</v>
      </c>
      <c r="AZ64" t="b">
        <f>OR(Table7[[#This Row],[Delete? (Stage 1)]],Table7[[#This Row],[Delete? (Stage 2)]])</f>
        <v>0</v>
      </c>
      <c r="BA64" t="s">
        <v>84</v>
      </c>
    </row>
    <row r="65" spans="1:53">
      <c r="A65">
        <v>298</v>
      </c>
      <c r="B65" s="3">
        <v>46040.7643171296</v>
      </c>
      <c r="C65" s="3">
        <v>46040.772326388898</v>
      </c>
      <c r="D65" t="s">
        <v>53</v>
      </c>
      <c r="G65" t="s">
        <v>54</v>
      </c>
      <c r="H65" t="s">
        <v>63</v>
      </c>
      <c r="I65" t="s">
        <v>75</v>
      </c>
      <c r="J65" t="s">
        <v>62</v>
      </c>
      <c r="K65" t="s">
        <v>62</v>
      </c>
      <c r="L65" t="s">
        <v>58</v>
      </c>
      <c r="M65" t="s">
        <v>58</v>
      </c>
      <c r="N65">
        <v>4</v>
      </c>
      <c r="O65">
        <v>3</v>
      </c>
      <c r="P65">
        <v>5</v>
      </c>
      <c r="Q65">
        <v>4</v>
      </c>
      <c r="R65">
        <v>4</v>
      </c>
      <c r="S65">
        <v>5</v>
      </c>
      <c r="T65">
        <v>2</v>
      </c>
      <c r="U65">
        <v>4</v>
      </c>
      <c r="V65">
        <v>5</v>
      </c>
      <c r="W65">
        <v>4</v>
      </c>
      <c r="X65">
        <v>5</v>
      </c>
      <c r="Y65">
        <v>5</v>
      </c>
      <c r="Z65">
        <v>5</v>
      </c>
      <c r="AA65">
        <v>4</v>
      </c>
      <c r="AB65">
        <v>2</v>
      </c>
      <c r="AC65">
        <v>4</v>
      </c>
      <c r="AD65">
        <v>5</v>
      </c>
      <c r="AE65">
        <v>5</v>
      </c>
      <c r="AF65">
        <v>4</v>
      </c>
      <c r="AG65">
        <v>2</v>
      </c>
      <c r="AH65">
        <v>4</v>
      </c>
      <c r="AI65">
        <v>2</v>
      </c>
      <c r="AJ65">
        <v>2</v>
      </c>
      <c r="AK65" t="b">
        <f>Table7[[#This Row],[What is your age?]]&lt;&gt;"18 - 25"</f>
        <v>0</v>
      </c>
      <c r="AL65" t="b">
        <f t="shared" si="0"/>
        <v>0</v>
      </c>
      <c r="AM65" t="b">
        <f t="shared" si="1"/>
        <v>0</v>
      </c>
      <c r="AN65" t="b">
        <f t="shared" si="2"/>
        <v>0</v>
      </c>
      <c r="AO65" t="b">
        <f>OR(Table7[[#This Row],[Ineligible respondents]:[Inconsistent response on opposite question (3)]])</f>
        <v>0</v>
      </c>
      <c r="AP6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8</v>
      </c>
      <c r="AQ65">
        <f>Table7[[#This Row],[Extreme Response]]/21</f>
        <v>0.38095238095238093</v>
      </c>
      <c r="AR65">
        <f>Table67[[#This Row],[Threshold of ERS]]</f>
        <v>0.61904761904761907</v>
      </c>
      <c r="AS65" t="b">
        <f>Table7[[#This Row],[Extrem Response Ratio (ERS)]]&gt;=Table7[[#This Row],[Threshold of ERS]]</f>
        <v>0</v>
      </c>
      <c r="AT65" t="b" cm="1">
        <f t="array" ref="AT6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65">
        <f>COUNTIF(Table7[[#This Row],[The mechanism of digital assets is difficult to understand, which discourages me from exploring it (E.g, Tokenization, Blockchain)]:[If I want to try different ways to invest, I will explore digital assets.]], 3)</f>
        <v>1</v>
      </c>
      <c r="AV65">
        <f>Table7[[#This Row],[Midpoint]]/21</f>
        <v>4.7619047619047616E-2</v>
      </c>
      <c r="AW65">
        <f>Table67[[#This Row],[Threshold of Midpoint ratio]]</f>
        <v>0.5714285714285714</v>
      </c>
      <c r="AX65" t="b">
        <f>Table7[[#This Row],[Midpoint ratio]]&gt;=Table7[[#This Row],[Threshold of Midpoint ratio]]</f>
        <v>0</v>
      </c>
      <c r="AY65" t="b">
        <f>OR(Table7[[#This Row],[Extreme Response Style]:[Straight-lining with 1 deviation]],Table7[[#This Row],[Mid-point Response Style]])</f>
        <v>0</v>
      </c>
      <c r="AZ65" t="b">
        <f>OR(Table7[[#This Row],[Delete? (Stage 1)]],Table7[[#This Row],[Delete? (Stage 2)]])</f>
        <v>0</v>
      </c>
      <c r="BA65" t="s">
        <v>84</v>
      </c>
    </row>
    <row r="66" spans="1:53">
      <c r="A66">
        <v>307</v>
      </c>
      <c r="B66" s="3">
        <v>46040.7755555556</v>
      </c>
      <c r="C66" s="3">
        <v>46040.777800925898</v>
      </c>
      <c r="D66" t="s">
        <v>53</v>
      </c>
      <c r="G66" t="s">
        <v>54</v>
      </c>
      <c r="H66" t="s">
        <v>63</v>
      </c>
      <c r="I66" t="s">
        <v>56</v>
      </c>
      <c r="J66" t="s">
        <v>57</v>
      </c>
      <c r="K66" t="s">
        <v>57</v>
      </c>
      <c r="L66" t="s">
        <v>58</v>
      </c>
      <c r="M66" t="s">
        <v>58</v>
      </c>
      <c r="N66">
        <v>5</v>
      </c>
      <c r="O66">
        <v>4</v>
      </c>
      <c r="P66">
        <v>4</v>
      </c>
      <c r="Q66">
        <v>4</v>
      </c>
      <c r="R66">
        <v>4</v>
      </c>
      <c r="S66">
        <v>4</v>
      </c>
      <c r="T66">
        <v>5</v>
      </c>
      <c r="U66">
        <v>5</v>
      </c>
      <c r="V66">
        <v>4</v>
      </c>
      <c r="W66">
        <v>4</v>
      </c>
      <c r="X66">
        <v>4</v>
      </c>
      <c r="Y66">
        <v>5</v>
      </c>
      <c r="Z66">
        <v>4</v>
      </c>
      <c r="AA66">
        <v>5</v>
      </c>
      <c r="AB66">
        <v>3</v>
      </c>
      <c r="AC66">
        <v>4</v>
      </c>
      <c r="AD66">
        <v>5</v>
      </c>
      <c r="AE66">
        <v>4</v>
      </c>
      <c r="AF66">
        <v>2</v>
      </c>
      <c r="AG66">
        <v>5</v>
      </c>
      <c r="AH66">
        <v>1</v>
      </c>
      <c r="AI66">
        <v>5</v>
      </c>
      <c r="AJ66">
        <v>4</v>
      </c>
      <c r="AK66" t="b">
        <f>Table7[[#This Row],[What is your age?]]&lt;&gt;"18 - 25"</f>
        <v>0</v>
      </c>
      <c r="AL66" t="b">
        <f t="shared" ref="AL66:AL129" si="3">COUNTIF(N66:AH66, N66) = COLUMNS(N66:AH66)</f>
        <v>0</v>
      </c>
      <c r="AM66" t="b">
        <f t="shared" ref="AM66:AM129" si="4">OR(AND(AG66=AH66, AG66&lt;&gt;3), AND(OR(AG66=1, AG66=2), OR(AH66=1, AH66=2)), AND(OR(AG66=4, AG66=5), OR(AH66=4, AH66=5)))</f>
        <v>0</v>
      </c>
      <c r="AN66" t="b">
        <f t="shared" ref="AN66:AN129" si="5">OR(AND(AG66=3, AH66&lt;&gt;3), AND(AH66=3, AG66&lt;&gt;3))</f>
        <v>0</v>
      </c>
      <c r="AO66" t="b">
        <f>OR(Table7[[#This Row],[Ineligible respondents]:[Inconsistent response on opposite question (3)]])</f>
        <v>0</v>
      </c>
      <c r="AP6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8</v>
      </c>
      <c r="AQ66">
        <f>Table7[[#This Row],[Extreme Response]]/21</f>
        <v>0.38095238095238093</v>
      </c>
      <c r="AR66">
        <f>Table67[[#This Row],[Threshold of ERS]]</f>
        <v>0.61904761904761907</v>
      </c>
      <c r="AS66" t="b">
        <f>Table7[[#This Row],[Extrem Response Ratio (ERS)]]&gt;=Table7[[#This Row],[Threshold of ERS]]</f>
        <v>0</v>
      </c>
      <c r="AT66" t="b" cm="1">
        <f t="array" ref="AT6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66">
        <f>COUNTIF(Table7[[#This Row],[The mechanism of digital assets is difficult to understand, which discourages me from exploring it (E.g, Tokenization, Blockchain)]:[If I want to try different ways to invest, I will explore digital assets.]], 3)</f>
        <v>1</v>
      </c>
      <c r="AV66">
        <f>Table7[[#This Row],[Midpoint]]/21</f>
        <v>4.7619047619047616E-2</v>
      </c>
      <c r="AW66">
        <f>Table67[[#This Row],[Threshold of Midpoint ratio]]</f>
        <v>0.5714285714285714</v>
      </c>
      <c r="AX66" t="b">
        <f>Table7[[#This Row],[Midpoint ratio]]&gt;=Table7[[#This Row],[Threshold of Midpoint ratio]]</f>
        <v>0</v>
      </c>
      <c r="AY66" t="b">
        <f>OR(Table7[[#This Row],[Extreme Response Style]:[Straight-lining with 1 deviation]],Table7[[#This Row],[Mid-point Response Style]])</f>
        <v>0</v>
      </c>
      <c r="AZ66" t="b">
        <f>OR(Table7[[#This Row],[Delete? (Stage 1)]],Table7[[#This Row],[Delete? (Stage 2)]])</f>
        <v>0</v>
      </c>
      <c r="BA66" t="s">
        <v>84</v>
      </c>
    </row>
    <row r="67" spans="1:53">
      <c r="A67">
        <v>309</v>
      </c>
      <c r="B67" s="3">
        <v>46040.815185185202</v>
      </c>
      <c r="C67" s="3">
        <v>46040.817349536999</v>
      </c>
      <c r="D67" t="s">
        <v>53</v>
      </c>
      <c r="G67" t="s">
        <v>54</v>
      </c>
      <c r="H67" t="s">
        <v>63</v>
      </c>
      <c r="I67" t="s">
        <v>56</v>
      </c>
      <c r="J67" t="s">
        <v>62</v>
      </c>
      <c r="K67" t="s">
        <v>62</v>
      </c>
      <c r="L67" t="s">
        <v>61</v>
      </c>
      <c r="M67" t="s">
        <v>58</v>
      </c>
      <c r="N67">
        <v>4</v>
      </c>
      <c r="O67">
        <v>4</v>
      </c>
      <c r="P67">
        <v>2</v>
      </c>
      <c r="Q67">
        <v>2</v>
      </c>
      <c r="R67">
        <v>4</v>
      </c>
      <c r="S67">
        <v>4</v>
      </c>
      <c r="T67">
        <v>4</v>
      </c>
      <c r="U67">
        <v>3</v>
      </c>
      <c r="V67">
        <v>4</v>
      </c>
      <c r="W67">
        <v>4</v>
      </c>
      <c r="X67">
        <v>3</v>
      </c>
      <c r="Y67">
        <v>3</v>
      </c>
      <c r="Z67">
        <v>4</v>
      </c>
      <c r="AA67">
        <v>3</v>
      </c>
      <c r="AB67">
        <v>4</v>
      </c>
      <c r="AC67">
        <v>3</v>
      </c>
      <c r="AD67">
        <v>3</v>
      </c>
      <c r="AE67">
        <v>4</v>
      </c>
      <c r="AF67">
        <v>4</v>
      </c>
      <c r="AG67">
        <v>3</v>
      </c>
      <c r="AH67">
        <v>3</v>
      </c>
      <c r="AI67">
        <v>3</v>
      </c>
      <c r="AJ67">
        <v>2</v>
      </c>
      <c r="AK67" t="b">
        <f>Table7[[#This Row],[What is your age?]]&lt;&gt;"18 - 25"</f>
        <v>0</v>
      </c>
      <c r="AL67" t="b">
        <f t="shared" si="3"/>
        <v>0</v>
      </c>
      <c r="AM67" t="b">
        <f t="shared" si="4"/>
        <v>0</v>
      </c>
      <c r="AN67" t="b">
        <f t="shared" si="5"/>
        <v>0</v>
      </c>
      <c r="AO67" t="b">
        <f>OR(Table7[[#This Row],[Ineligible respondents]:[Inconsistent response on opposite question (3)]])</f>
        <v>0</v>
      </c>
      <c r="AP6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67">
        <f>Table7[[#This Row],[Extreme Response]]/21</f>
        <v>0</v>
      </c>
      <c r="AR67">
        <f>Table67[[#This Row],[Threshold of ERS]]</f>
        <v>0.61904761904761907</v>
      </c>
      <c r="AS67" t="b">
        <f>Table7[[#This Row],[Extrem Response Ratio (ERS)]]&gt;=Table7[[#This Row],[Threshold of ERS]]</f>
        <v>0</v>
      </c>
      <c r="AT67" t="b" cm="1">
        <f t="array" ref="AT6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67">
        <f>COUNTIF(Table7[[#This Row],[The mechanism of digital assets is difficult to understand, which discourages me from exploring it (E.g, Tokenization, Blockchain)]:[If I want to try different ways to invest, I will explore digital assets.]], 3)</f>
        <v>8</v>
      </c>
      <c r="AV67">
        <f>Table7[[#This Row],[Midpoint]]/21</f>
        <v>0.38095238095238093</v>
      </c>
      <c r="AW67">
        <f>Table67[[#This Row],[Threshold of Midpoint ratio]]</f>
        <v>0.5714285714285714</v>
      </c>
      <c r="AX67" t="b">
        <f>Table7[[#This Row],[Midpoint ratio]]&gt;=Table7[[#This Row],[Threshold of Midpoint ratio]]</f>
        <v>0</v>
      </c>
      <c r="AY67" t="b">
        <f>OR(Table7[[#This Row],[Extreme Response Style]:[Straight-lining with 1 deviation]],Table7[[#This Row],[Mid-point Response Style]])</f>
        <v>0</v>
      </c>
      <c r="AZ67" t="b">
        <f>OR(Table7[[#This Row],[Delete? (Stage 1)]],Table7[[#This Row],[Delete? (Stage 2)]])</f>
        <v>0</v>
      </c>
      <c r="BA67" t="s">
        <v>84</v>
      </c>
    </row>
    <row r="68" spans="1:53">
      <c r="A68">
        <v>329</v>
      </c>
      <c r="B68" s="3">
        <v>46042.546944444402</v>
      </c>
      <c r="C68" s="3">
        <v>46042.549502314803</v>
      </c>
      <c r="D68" t="s">
        <v>53</v>
      </c>
      <c r="G68" t="s">
        <v>54</v>
      </c>
      <c r="H68" t="s">
        <v>55</v>
      </c>
      <c r="I68" t="s">
        <v>56</v>
      </c>
      <c r="J68" t="s">
        <v>57</v>
      </c>
      <c r="K68" t="s">
        <v>62</v>
      </c>
      <c r="L68" t="s">
        <v>58</v>
      </c>
      <c r="M68" t="s">
        <v>58</v>
      </c>
      <c r="N68">
        <v>4</v>
      </c>
      <c r="O68">
        <v>3</v>
      </c>
      <c r="P68">
        <v>4</v>
      </c>
      <c r="Q68">
        <v>4</v>
      </c>
      <c r="R68">
        <v>2</v>
      </c>
      <c r="S68">
        <v>4</v>
      </c>
      <c r="T68">
        <v>3</v>
      </c>
      <c r="U68">
        <v>4</v>
      </c>
      <c r="V68">
        <v>4</v>
      </c>
      <c r="W68">
        <v>4</v>
      </c>
      <c r="X68">
        <v>4</v>
      </c>
      <c r="Y68">
        <v>3</v>
      </c>
      <c r="Z68">
        <v>4</v>
      </c>
      <c r="AA68">
        <v>3</v>
      </c>
      <c r="AB68">
        <v>4</v>
      </c>
      <c r="AC68">
        <v>4</v>
      </c>
      <c r="AD68">
        <v>4</v>
      </c>
      <c r="AE68">
        <v>2</v>
      </c>
      <c r="AF68">
        <v>3</v>
      </c>
      <c r="AG68">
        <v>2</v>
      </c>
      <c r="AH68">
        <v>4</v>
      </c>
      <c r="AI68">
        <v>2</v>
      </c>
      <c r="AJ68">
        <v>3</v>
      </c>
      <c r="AK68" t="b">
        <f>Table7[[#This Row],[What is your age?]]&lt;&gt;"18 - 25"</f>
        <v>0</v>
      </c>
      <c r="AL68" t="b">
        <f t="shared" si="3"/>
        <v>0</v>
      </c>
      <c r="AM68" t="b">
        <f t="shared" si="4"/>
        <v>0</v>
      </c>
      <c r="AN68" t="b">
        <f t="shared" si="5"/>
        <v>0</v>
      </c>
      <c r="AO68" t="b">
        <f>OR(Table7[[#This Row],[Ineligible respondents]:[Inconsistent response on opposite question (3)]])</f>
        <v>0</v>
      </c>
      <c r="AP6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68">
        <f>Table7[[#This Row],[Extreme Response]]/21</f>
        <v>0</v>
      </c>
      <c r="AR68">
        <f>Table67[[#This Row],[Threshold of ERS]]</f>
        <v>0.61904761904761907</v>
      </c>
      <c r="AS68" t="b">
        <f>Table7[[#This Row],[Extrem Response Ratio (ERS)]]&gt;=Table7[[#This Row],[Threshold of ERS]]</f>
        <v>0</v>
      </c>
      <c r="AT68" t="b" cm="1">
        <f t="array" ref="AT6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68">
        <f>COUNTIF(Table7[[#This Row],[The mechanism of digital assets is difficult to understand, which discourages me from exploring it (E.g, Tokenization, Blockchain)]:[If I want to try different ways to invest, I will explore digital assets.]], 3)</f>
        <v>5</v>
      </c>
      <c r="AV68">
        <f>Table7[[#This Row],[Midpoint]]/21</f>
        <v>0.23809523809523808</v>
      </c>
      <c r="AW68">
        <f>Table67[[#This Row],[Threshold of Midpoint ratio]]</f>
        <v>0.5714285714285714</v>
      </c>
      <c r="AX68" t="b">
        <f>Table7[[#This Row],[Midpoint ratio]]&gt;=Table7[[#This Row],[Threshold of Midpoint ratio]]</f>
        <v>0</v>
      </c>
      <c r="AY68" t="b">
        <f>OR(Table7[[#This Row],[Extreme Response Style]:[Straight-lining with 1 deviation]],Table7[[#This Row],[Mid-point Response Style]])</f>
        <v>0</v>
      </c>
      <c r="AZ68" t="b">
        <f>OR(Table7[[#This Row],[Delete? (Stage 1)]],Table7[[#This Row],[Delete? (Stage 2)]])</f>
        <v>0</v>
      </c>
      <c r="BA68" t="s">
        <v>81</v>
      </c>
    </row>
    <row r="69" spans="1:53">
      <c r="A69">
        <v>331</v>
      </c>
      <c r="B69" s="3">
        <v>46042.547037037002</v>
      </c>
      <c r="C69" s="3">
        <v>46042.551192129598</v>
      </c>
      <c r="D69" t="s">
        <v>53</v>
      </c>
      <c r="G69" t="s">
        <v>54</v>
      </c>
      <c r="H69" t="s">
        <v>63</v>
      </c>
      <c r="I69" t="s">
        <v>56</v>
      </c>
      <c r="J69" t="s">
        <v>62</v>
      </c>
      <c r="K69" t="s">
        <v>57</v>
      </c>
      <c r="L69" t="s">
        <v>58</v>
      </c>
      <c r="M69" t="s">
        <v>61</v>
      </c>
      <c r="N69">
        <v>4</v>
      </c>
      <c r="O69">
        <v>3</v>
      </c>
      <c r="P69">
        <v>3</v>
      </c>
      <c r="Q69">
        <v>4</v>
      </c>
      <c r="R69">
        <v>3</v>
      </c>
      <c r="S69">
        <v>4</v>
      </c>
      <c r="T69">
        <v>4</v>
      </c>
      <c r="U69">
        <v>4</v>
      </c>
      <c r="V69">
        <v>5</v>
      </c>
      <c r="W69">
        <v>5</v>
      </c>
      <c r="X69">
        <v>5</v>
      </c>
      <c r="Y69">
        <v>5</v>
      </c>
      <c r="Z69">
        <v>4</v>
      </c>
      <c r="AA69">
        <v>4</v>
      </c>
      <c r="AB69">
        <v>3</v>
      </c>
      <c r="AC69">
        <v>3</v>
      </c>
      <c r="AD69">
        <v>4</v>
      </c>
      <c r="AE69">
        <v>4</v>
      </c>
      <c r="AF69">
        <v>3</v>
      </c>
      <c r="AG69">
        <v>3</v>
      </c>
      <c r="AH69">
        <v>3</v>
      </c>
      <c r="AI69">
        <v>3</v>
      </c>
      <c r="AJ69">
        <v>3</v>
      </c>
      <c r="AK69" t="b">
        <f>Table7[[#This Row],[What is your age?]]&lt;&gt;"18 - 25"</f>
        <v>0</v>
      </c>
      <c r="AL69" t="b">
        <f t="shared" si="3"/>
        <v>0</v>
      </c>
      <c r="AM69" t="b">
        <f t="shared" si="4"/>
        <v>0</v>
      </c>
      <c r="AN69" t="b">
        <f t="shared" si="5"/>
        <v>0</v>
      </c>
      <c r="AO69" t="b">
        <f>OR(Table7[[#This Row],[Ineligible respondents]:[Inconsistent response on opposite question (3)]])</f>
        <v>0</v>
      </c>
      <c r="AP6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69">
        <f>Table7[[#This Row],[Extreme Response]]/21</f>
        <v>0.19047619047619047</v>
      </c>
      <c r="AR69">
        <f>Table67[[#This Row],[Threshold of ERS]]</f>
        <v>0.61904761904761907</v>
      </c>
      <c r="AS69" t="b">
        <f>Table7[[#This Row],[Extrem Response Ratio (ERS)]]&gt;=Table7[[#This Row],[Threshold of ERS]]</f>
        <v>0</v>
      </c>
      <c r="AT69" t="b" cm="1">
        <f t="array" ref="AT6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69">
        <f>COUNTIF(Table7[[#This Row],[The mechanism of digital assets is difficult to understand, which discourages me from exploring it (E.g, Tokenization, Blockchain)]:[If I want to try different ways to invest, I will explore digital assets.]], 3)</f>
        <v>8</v>
      </c>
      <c r="AV69">
        <f>Table7[[#This Row],[Midpoint]]/21</f>
        <v>0.38095238095238093</v>
      </c>
      <c r="AW69">
        <f>Table67[[#This Row],[Threshold of Midpoint ratio]]</f>
        <v>0.5714285714285714</v>
      </c>
      <c r="AX69" t="b">
        <f>Table7[[#This Row],[Midpoint ratio]]&gt;=Table7[[#This Row],[Threshold of Midpoint ratio]]</f>
        <v>0</v>
      </c>
      <c r="AY69" t="b">
        <f>OR(Table7[[#This Row],[Extreme Response Style]:[Straight-lining with 1 deviation]],Table7[[#This Row],[Mid-point Response Style]])</f>
        <v>0</v>
      </c>
      <c r="AZ69" t="b">
        <f>OR(Table7[[#This Row],[Delete? (Stage 1)]],Table7[[#This Row],[Delete? (Stage 2)]])</f>
        <v>0</v>
      </c>
      <c r="BA69" t="s">
        <v>81</v>
      </c>
    </row>
    <row r="70" spans="1:53">
      <c r="A70">
        <v>341</v>
      </c>
      <c r="B70" s="3">
        <v>46042.5858912037</v>
      </c>
      <c r="C70" s="3">
        <v>46042.586944444403</v>
      </c>
      <c r="D70" t="s">
        <v>53</v>
      </c>
      <c r="G70" t="s">
        <v>54</v>
      </c>
      <c r="H70" t="s">
        <v>63</v>
      </c>
      <c r="I70" t="s">
        <v>56</v>
      </c>
      <c r="J70" t="s">
        <v>62</v>
      </c>
      <c r="K70" t="s">
        <v>62</v>
      </c>
      <c r="L70" t="s">
        <v>58</v>
      </c>
      <c r="M70" t="s">
        <v>61</v>
      </c>
      <c r="N70">
        <v>4</v>
      </c>
      <c r="O70">
        <v>4</v>
      </c>
      <c r="P70">
        <v>4</v>
      </c>
      <c r="Q70">
        <v>4</v>
      </c>
      <c r="R70">
        <v>3</v>
      </c>
      <c r="S70">
        <v>3</v>
      </c>
      <c r="T70">
        <v>4</v>
      </c>
      <c r="U70">
        <v>4</v>
      </c>
      <c r="V70">
        <v>4</v>
      </c>
      <c r="W70">
        <v>4</v>
      </c>
      <c r="X70">
        <v>4</v>
      </c>
      <c r="Y70">
        <v>4</v>
      </c>
      <c r="Z70">
        <v>4</v>
      </c>
      <c r="AA70">
        <v>4</v>
      </c>
      <c r="AB70">
        <v>4</v>
      </c>
      <c r="AC70">
        <v>4</v>
      </c>
      <c r="AD70">
        <v>3</v>
      </c>
      <c r="AE70">
        <v>3</v>
      </c>
      <c r="AF70">
        <v>2</v>
      </c>
      <c r="AG70">
        <v>4</v>
      </c>
      <c r="AH70">
        <v>2</v>
      </c>
      <c r="AI70">
        <v>4</v>
      </c>
      <c r="AJ70">
        <v>4</v>
      </c>
      <c r="AK70" t="b">
        <f>Table7[[#This Row],[What is your age?]]&lt;&gt;"18 - 25"</f>
        <v>0</v>
      </c>
      <c r="AL70" t="b">
        <f t="shared" si="3"/>
        <v>0</v>
      </c>
      <c r="AM70" t="b">
        <f t="shared" si="4"/>
        <v>0</v>
      </c>
      <c r="AN70" t="b">
        <f t="shared" si="5"/>
        <v>0</v>
      </c>
      <c r="AO70" t="b">
        <f>OR(Table7[[#This Row],[Ineligible respondents]:[Inconsistent response on opposite question (3)]])</f>
        <v>0</v>
      </c>
      <c r="AP7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70">
        <f>Table7[[#This Row],[Extreme Response]]/21</f>
        <v>0</v>
      </c>
      <c r="AR70">
        <f>Table67[[#This Row],[Threshold of ERS]]</f>
        <v>0.61904761904761907</v>
      </c>
      <c r="AS70" t="b">
        <f>Table7[[#This Row],[Extrem Response Ratio (ERS)]]&gt;=Table7[[#This Row],[Threshold of ERS]]</f>
        <v>0</v>
      </c>
      <c r="AT70" t="b" cm="1">
        <f t="array" ref="AT7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70">
        <f>COUNTIF(Table7[[#This Row],[The mechanism of digital assets is difficult to understand, which discourages me from exploring it (E.g, Tokenization, Blockchain)]:[If I want to try different ways to invest, I will explore digital assets.]], 3)</f>
        <v>4</v>
      </c>
      <c r="AV70">
        <f>Table7[[#This Row],[Midpoint]]/21</f>
        <v>0.19047619047619047</v>
      </c>
      <c r="AW70">
        <f>Table67[[#This Row],[Threshold of Midpoint ratio]]</f>
        <v>0.5714285714285714</v>
      </c>
      <c r="AX70" t="b">
        <f>Table7[[#This Row],[Midpoint ratio]]&gt;=Table7[[#This Row],[Threshold of Midpoint ratio]]</f>
        <v>0</v>
      </c>
      <c r="AY70" t="b">
        <f>OR(Table7[[#This Row],[Extreme Response Style]:[Straight-lining with 1 deviation]],Table7[[#This Row],[Mid-point Response Style]])</f>
        <v>0</v>
      </c>
      <c r="AZ70" t="b">
        <f>OR(Table7[[#This Row],[Delete? (Stage 1)]],Table7[[#This Row],[Delete? (Stage 2)]])</f>
        <v>0</v>
      </c>
      <c r="BA70" t="s">
        <v>81</v>
      </c>
    </row>
    <row r="71" spans="1:53">
      <c r="A71">
        <v>342</v>
      </c>
      <c r="B71" s="3">
        <v>46042.662870370397</v>
      </c>
      <c r="C71" s="3">
        <v>46042.666724536997</v>
      </c>
      <c r="D71" t="s">
        <v>53</v>
      </c>
      <c r="G71" t="s">
        <v>54</v>
      </c>
      <c r="H71" t="s">
        <v>63</v>
      </c>
      <c r="I71" t="s">
        <v>56</v>
      </c>
      <c r="J71" t="s">
        <v>66</v>
      </c>
      <c r="K71" t="s">
        <v>66</v>
      </c>
      <c r="L71" t="s">
        <v>61</v>
      </c>
      <c r="M71" t="s">
        <v>61</v>
      </c>
      <c r="N71">
        <v>1</v>
      </c>
      <c r="O71">
        <v>1</v>
      </c>
      <c r="P71">
        <v>5</v>
      </c>
      <c r="Q71">
        <v>3</v>
      </c>
      <c r="R71">
        <v>2</v>
      </c>
      <c r="S71">
        <v>2</v>
      </c>
      <c r="T71">
        <v>2</v>
      </c>
      <c r="U71">
        <v>3</v>
      </c>
      <c r="V71">
        <v>5</v>
      </c>
      <c r="W71">
        <v>5</v>
      </c>
      <c r="X71">
        <v>5</v>
      </c>
      <c r="Y71">
        <v>4</v>
      </c>
      <c r="Z71">
        <v>5</v>
      </c>
      <c r="AA71">
        <v>2</v>
      </c>
      <c r="AB71">
        <v>2</v>
      </c>
      <c r="AC71">
        <v>3</v>
      </c>
      <c r="AD71">
        <v>4</v>
      </c>
      <c r="AE71">
        <v>2</v>
      </c>
      <c r="AF71">
        <v>4</v>
      </c>
      <c r="AG71">
        <v>2</v>
      </c>
      <c r="AH71">
        <v>4</v>
      </c>
      <c r="AI71">
        <v>2</v>
      </c>
      <c r="AJ71">
        <v>2</v>
      </c>
      <c r="AK71" t="b">
        <f>Table7[[#This Row],[What is your age?]]&lt;&gt;"18 - 25"</f>
        <v>0</v>
      </c>
      <c r="AL71" t="b">
        <f t="shared" si="3"/>
        <v>0</v>
      </c>
      <c r="AM71" t="b">
        <f t="shared" si="4"/>
        <v>0</v>
      </c>
      <c r="AN71" t="b">
        <f t="shared" si="5"/>
        <v>0</v>
      </c>
      <c r="AO71" t="b">
        <f>OR(Table7[[#This Row],[Ineligible respondents]:[Inconsistent response on opposite question (3)]])</f>
        <v>0</v>
      </c>
      <c r="AP7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7</v>
      </c>
      <c r="AQ71">
        <f>Table7[[#This Row],[Extreme Response]]/21</f>
        <v>0.33333333333333331</v>
      </c>
      <c r="AR71">
        <f>Table67[[#This Row],[Threshold of ERS]]</f>
        <v>0.61904761904761907</v>
      </c>
      <c r="AS71" t="b">
        <f>Table7[[#This Row],[Extrem Response Ratio (ERS)]]&gt;=Table7[[#This Row],[Threshold of ERS]]</f>
        <v>0</v>
      </c>
      <c r="AT71" t="b" cm="1">
        <f t="array" ref="AT7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71">
        <f>COUNTIF(Table7[[#This Row],[The mechanism of digital assets is difficult to understand, which discourages me from exploring it (E.g, Tokenization, Blockchain)]:[If I want to try different ways to invest, I will explore digital assets.]], 3)</f>
        <v>3</v>
      </c>
      <c r="AV71">
        <f>Table7[[#This Row],[Midpoint]]/21</f>
        <v>0.14285714285714285</v>
      </c>
      <c r="AW71">
        <f>Table67[[#This Row],[Threshold of Midpoint ratio]]</f>
        <v>0.5714285714285714</v>
      </c>
      <c r="AX71" t="b">
        <f>Table7[[#This Row],[Midpoint ratio]]&gt;=Table7[[#This Row],[Threshold of Midpoint ratio]]</f>
        <v>0</v>
      </c>
      <c r="AY71" t="b">
        <f>OR(Table7[[#This Row],[Extreme Response Style]:[Straight-lining with 1 deviation]],Table7[[#This Row],[Mid-point Response Style]])</f>
        <v>0</v>
      </c>
      <c r="AZ71" t="b">
        <f>OR(Table7[[#This Row],[Delete? (Stage 1)]],Table7[[#This Row],[Delete? (Stage 2)]])</f>
        <v>0</v>
      </c>
      <c r="BA71" t="s">
        <v>81</v>
      </c>
    </row>
    <row r="72" spans="1:53">
      <c r="A72">
        <v>343</v>
      </c>
      <c r="B72" s="3">
        <v>46042.667199074102</v>
      </c>
      <c r="C72" s="3">
        <v>46042.669432870403</v>
      </c>
      <c r="D72" t="s">
        <v>53</v>
      </c>
      <c r="G72" t="s">
        <v>54</v>
      </c>
      <c r="H72" t="s">
        <v>55</v>
      </c>
      <c r="I72" t="s">
        <v>56</v>
      </c>
      <c r="J72" t="s">
        <v>62</v>
      </c>
      <c r="K72" t="s">
        <v>60</v>
      </c>
      <c r="L72" t="s">
        <v>61</v>
      </c>
      <c r="M72" t="s">
        <v>61</v>
      </c>
      <c r="N72">
        <v>2</v>
      </c>
      <c r="O72">
        <v>2</v>
      </c>
      <c r="P72">
        <v>4</v>
      </c>
      <c r="Q72">
        <v>2</v>
      </c>
      <c r="R72">
        <v>3</v>
      </c>
      <c r="S72">
        <v>5</v>
      </c>
      <c r="T72">
        <v>3</v>
      </c>
      <c r="U72">
        <v>2</v>
      </c>
      <c r="V72">
        <v>4</v>
      </c>
      <c r="W72">
        <v>4</v>
      </c>
      <c r="X72">
        <v>3</v>
      </c>
      <c r="Y72">
        <v>4</v>
      </c>
      <c r="Z72">
        <v>4</v>
      </c>
      <c r="AA72">
        <v>5</v>
      </c>
      <c r="AB72">
        <v>2</v>
      </c>
      <c r="AC72">
        <v>2</v>
      </c>
      <c r="AD72">
        <v>2</v>
      </c>
      <c r="AE72">
        <v>2</v>
      </c>
      <c r="AF72">
        <v>4</v>
      </c>
      <c r="AG72">
        <v>2</v>
      </c>
      <c r="AH72">
        <v>4</v>
      </c>
      <c r="AI72">
        <v>2</v>
      </c>
      <c r="AJ72">
        <v>2</v>
      </c>
      <c r="AK72" t="b">
        <f>Table7[[#This Row],[What is your age?]]&lt;&gt;"18 - 25"</f>
        <v>0</v>
      </c>
      <c r="AL72" t="b">
        <f t="shared" si="3"/>
        <v>0</v>
      </c>
      <c r="AM72" t="b">
        <f t="shared" si="4"/>
        <v>0</v>
      </c>
      <c r="AN72" t="b">
        <f t="shared" si="5"/>
        <v>0</v>
      </c>
      <c r="AO72" t="b">
        <f>OR(Table7[[#This Row],[Ineligible respondents]:[Inconsistent response on opposite question (3)]])</f>
        <v>0</v>
      </c>
      <c r="AP7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72">
        <f>Table7[[#This Row],[Extreme Response]]/21</f>
        <v>9.5238095238095233E-2</v>
      </c>
      <c r="AR72">
        <f>Table67[[#This Row],[Threshold of ERS]]</f>
        <v>0.61904761904761907</v>
      </c>
      <c r="AS72" t="b">
        <f>Table7[[#This Row],[Extrem Response Ratio (ERS)]]&gt;=Table7[[#This Row],[Threshold of ERS]]</f>
        <v>0</v>
      </c>
      <c r="AT72" t="b" cm="1">
        <f t="array" ref="AT7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72">
        <f>COUNTIF(Table7[[#This Row],[The mechanism of digital assets is difficult to understand, which discourages me from exploring it (E.g, Tokenization, Blockchain)]:[If I want to try different ways to invest, I will explore digital assets.]], 3)</f>
        <v>3</v>
      </c>
      <c r="AV72">
        <f>Table7[[#This Row],[Midpoint]]/21</f>
        <v>0.14285714285714285</v>
      </c>
      <c r="AW72">
        <f>Table67[[#This Row],[Threshold of Midpoint ratio]]</f>
        <v>0.5714285714285714</v>
      </c>
      <c r="AX72" t="b">
        <f>Table7[[#This Row],[Midpoint ratio]]&gt;=Table7[[#This Row],[Threshold of Midpoint ratio]]</f>
        <v>0</v>
      </c>
      <c r="AY72" t="b">
        <f>OR(Table7[[#This Row],[Extreme Response Style]:[Straight-lining with 1 deviation]],Table7[[#This Row],[Mid-point Response Style]])</f>
        <v>0</v>
      </c>
      <c r="AZ72" t="b">
        <f>OR(Table7[[#This Row],[Delete? (Stage 1)]],Table7[[#This Row],[Delete? (Stage 2)]])</f>
        <v>0</v>
      </c>
      <c r="BA72" t="s">
        <v>81</v>
      </c>
    </row>
    <row r="73" spans="1:53">
      <c r="A73">
        <v>346</v>
      </c>
      <c r="B73" s="3">
        <v>46042.686840277798</v>
      </c>
      <c r="C73" s="3">
        <v>46042.688333333303</v>
      </c>
      <c r="D73" t="s">
        <v>53</v>
      </c>
      <c r="G73" t="s">
        <v>54</v>
      </c>
      <c r="H73" t="s">
        <v>63</v>
      </c>
      <c r="I73" t="s">
        <v>56</v>
      </c>
      <c r="J73" t="s">
        <v>57</v>
      </c>
      <c r="K73" t="s">
        <v>57</v>
      </c>
      <c r="L73" t="s">
        <v>58</v>
      </c>
      <c r="M73" t="s">
        <v>58</v>
      </c>
      <c r="N73">
        <v>2</v>
      </c>
      <c r="O73">
        <v>2</v>
      </c>
      <c r="P73">
        <v>3</v>
      </c>
      <c r="Q73">
        <v>3</v>
      </c>
      <c r="R73">
        <v>2</v>
      </c>
      <c r="S73">
        <v>2</v>
      </c>
      <c r="T73">
        <v>2</v>
      </c>
      <c r="U73">
        <v>2</v>
      </c>
      <c r="V73">
        <v>3</v>
      </c>
      <c r="W73">
        <v>3</v>
      </c>
      <c r="X73">
        <v>2</v>
      </c>
      <c r="Y73">
        <v>2</v>
      </c>
      <c r="Z73">
        <v>3</v>
      </c>
      <c r="AA73">
        <v>2</v>
      </c>
      <c r="AB73">
        <v>2</v>
      </c>
      <c r="AC73">
        <v>2</v>
      </c>
      <c r="AD73">
        <v>3</v>
      </c>
      <c r="AE73">
        <v>3</v>
      </c>
      <c r="AF73">
        <v>3</v>
      </c>
      <c r="AG73">
        <v>3</v>
      </c>
      <c r="AH73">
        <v>3</v>
      </c>
      <c r="AI73">
        <v>3</v>
      </c>
      <c r="AJ73">
        <v>3</v>
      </c>
      <c r="AK73" t="b">
        <f>Table7[[#This Row],[What is your age?]]&lt;&gt;"18 - 25"</f>
        <v>0</v>
      </c>
      <c r="AL73" t="b">
        <f t="shared" si="3"/>
        <v>0</v>
      </c>
      <c r="AM73" t="b">
        <f t="shared" si="4"/>
        <v>0</v>
      </c>
      <c r="AN73" t="b">
        <f t="shared" si="5"/>
        <v>0</v>
      </c>
      <c r="AO73" t="b">
        <f>OR(Table7[[#This Row],[Ineligible respondents]:[Inconsistent response on opposite question (3)]])</f>
        <v>0</v>
      </c>
      <c r="AP7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73">
        <f>Table7[[#This Row],[Extreme Response]]/21</f>
        <v>0</v>
      </c>
      <c r="AR73">
        <f>Table67[[#This Row],[Threshold of ERS]]</f>
        <v>0.61904761904761907</v>
      </c>
      <c r="AS73" t="b">
        <f>Table7[[#This Row],[Extrem Response Ratio (ERS)]]&gt;=Table7[[#This Row],[Threshold of ERS]]</f>
        <v>0</v>
      </c>
      <c r="AT73" t="b" cm="1">
        <f t="array" ref="AT7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73">
        <f>COUNTIF(Table7[[#This Row],[The mechanism of digital assets is difficult to understand, which discourages me from exploring it (E.g, Tokenization, Blockchain)]:[If I want to try different ways to invest, I will explore digital assets.]], 3)</f>
        <v>10</v>
      </c>
      <c r="AV73">
        <f>Table7[[#This Row],[Midpoint]]/21</f>
        <v>0.47619047619047616</v>
      </c>
      <c r="AW73">
        <f>Table67[[#This Row],[Threshold of Midpoint ratio]]</f>
        <v>0.5714285714285714</v>
      </c>
      <c r="AX73" t="b">
        <f>Table7[[#This Row],[Midpoint ratio]]&gt;=Table7[[#This Row],[Threshold of Midpoint ratio]]</f>
        <v>0</v>
      </c>
      <c r="AY73" t="b">
        <f>OR(Table7[[#This Row],[Extreme Response Style]:[Straight-lining with 1 deviation]],Table7[[#This Row],[Mid-point Response Style]])</f>
        <v>0</v>
      </c>
      <c r="AZ73" t="b">
        <f>OR(Table7[[#This Row],[Delete? (Stage 1)]],Table7[[#This Row],[Delete? (Stage 2)]])</f>
        <v>0</v>
      </c>
      <c r="BA73" t="s">
        <v>81</v>
      </c>
    </row>
    <row r="74" spans="1:53">
      <c r="A74">
        <v>347</v>
      </c>
      <c r="B74" s="3">
        <v>46042.686886574098</v>
      </c>
      <c r="C74" s="3">
        <v>46042.689282407402</v>
      </c>
      <c r="D74" t="s">
        <v>53</v>
      </c>
      <c r="G74" t="s">
        <v>54</v>
      </c>
      <c r="H74" t="s">
        <v>55</v>
      </c>
      <c r="I74" t="s">
        <v>71</v>
      </c>
      <c r="J74" t="s">
        <v>60</v>
      </c>
      <c r="K74" t="s">
        <v>57</v>
      </c>
      <c r="L74" t="s">
        <v>61</v>
      </c>
      <c r="M74" t="s">
        <v>61</v>
      </c>
      <c r="N74">
        <v>2</v>
      </c>
      <c r="O74">
        <v>2</v>
      </c>
      <c r="P74">
        <v>4</v>
      </c>
      <c r="Q74">
        <v>4</v>
      </c>
      <c r="R74">
        <v>2</v>
      </c>
      <c r="S74">
        <v>4</v>
      </c>
      <c r="T74">
        <v>5</v>
      </c>
      <c r="U74">
        <v>4</v>
      </c>
      <c r="V74">
        <v>4</v>
      </c>
      <c r="W74">
        <v>4</v>
      </c>
      <c r="X74">
        <v>3</v>
      </c>
      <c r="Y74">
        <v>3</v>
      </c>
      <c r="Z74">
        <v>1</v>
      </c>
      <c r="AA74">
        <v>4</v>
      </c>
      <c r="AB74">
        <v>1</v>
      </c>
      <c r="AC74">
        <v>4</v>
      </c>
      <c r="AD74">
        <v>2</v>
      </c>
      <c r="AE74">
        <v>1</v>
      </c>
      <c r="AF74">
        <v>2</v>
      </c>
      <c r="AG74">
        <v>4</v>
      </c>
      <c r="AH74">
        <v>2</v>
      </c>
      <c r="AI74">
        <v>4</v>
      </c>
      <c r="AJ74">
        <v>4</v>
      </c>
      <c r="AK74" t="b">
        <f>Table7[[#This Row],[What is your age?]]&lt;&gt;"18 - 25"</f>
        <v>0</v>
      </c>
      <c r="AL74" t="b">
        <f t="shared" si="3"/>
        <v>0</v>
      </c>
      <c r="AM74" t="b">
        <f t="shared" si="4"/>
        <v>0</v>
      </c>
      <c r="AN74" t="b">
        <f t="shared" si="5"/>
        <v>0</v>
      </c>
      <c r="AO74" t="b">
        <f>OR(Table7[[#This Row],[Ineligible respondents]:[Inconsistent response on opposite question (3)]])</f>
        <v>0</v>
      </c>
      <c r="AP7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74">
        <f>Table7[[#This Row],[Extreme Response]]/21</f>
        <v>0.19047619047619047</v>
      </c>
      <c r="AR74">
        <f>Table67[[#This Row],[Threshold of ERS]]</f>
        <v>0.61904761904761907</v>
      </c>
      <c r="AS74" t="b">
        <f>Table7[[#This Row],[Extrem Response Ratio (ERS)]]&gt;=Table7[[#This Row],[Threshold of ERS]]</f>
        <v>0</v>
      </c>
      <c r="AT74" t="b" cm="1">
        <f t="array" ref="AT7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74">
        <f>COUNTIF(Table7[[#This Row],[The mechanism of digital assets is difficult to understand, which discourages me from exploring it (E.g, Tokenization, Blockchain)]:[If I want to try different ways to invest, I will explore digital assets.]], 3)</f>
        <v>2</v>
      </c>
      <c r="AV74">
        <f>Table7[[#This Row],[Midpoint]]/21</f>
        <v>9.5238095238095233E-2</v>
      </c>
      <c r="AW74">
        <f>Table67[[#This Row],[Threshold of Midpoint ratio]]</f>
        <v>0.5714285714285714</v>
      </c>
      <c r="AX74" t="b">
        <f>Table7[[#This Row],[Midpoint ratio]]&gt;=Table7[[#This Row],[Threshold of Midpoint ratio]]</f>
        <v>0</v>
      </c>
      <c r="AY74" t="b">
        <f>OR(Table7[[#This Row],[Extreme Response Style]:[Straight-lining with 1 deviation]],Table7[[#This Row],[Mid-point Response Style]])</f>
        <v>0</v>
      </c>
      <c r="AZ74" t="b">
        <f>OR(Table7[[#This Row],[Delete? (Stage 1)]],Table7[[#This Row],[Delete? (Stage 2)]])</f>
        <v>0</v>
      </c>
      <c r="BA74" t="s">
        <v>81</v>
      </c>
    </row>
    <row r="75" spans="1:53">
      <c r="A75">
        <v>351</v>
      </c>
      <c r="B75" s="3">
        <v>46042.6875462963</v>
      </c>
      <c r="C75" s="3">
        <v>46042.688599537003</v>
      </c>
      <c r="D75" t="s">
        <v>53</v>
      </c>
      <c r="G75" t="s">
        <v>54</v>
      </c>
      <c r="H75" t="s">
        <v>55</v>
      </c>
      <c r="I75" t="s">
        <v>56</v>
      </c>
      <c r="J75" t="s">
        <v>60</v>
      </c>
      <c r="K75" t="s">
        <v>57</v>
      </c>
      <c r="L75" t="s">
        <v>58</v>
      </c>
      <c r="M75" t="s">
        <v>61</v>
      </c>
      <c r="N75">
        <v>3</v>
      </c>
      <c r="O75">
        <v>2</v>
      </c>
      <c r="P75">
        <v>3</v>
      </c>
      <c r="Q75">
        <v>2</v>
      </c>
      <c r="R75">
        <v>2</v>
      </c>
      <c r="S75">
        <v>4</v>
      </c>
      <c r="T75">
        <v>3</v>
      </c>
      <c r="U75">
        <v>4</v>
      </c>
      <c r="V75">
        <v>3</v>
      </c>
      <c r="W75">
        <v>3</v>
      </c>
      <c r="X75">
        <v>4</v>
      </c>
      <c r="Y75">
        <v>4</v>
      </c>
      <c r="Z75">
        <v>4</v>
      </c>
      <c r="AA75">
        <v>4</v>
      </c>
      <c r="AB75">
        <v>4</v>
      </c>
      <c r="AC75">
        <v>4</v>
      </c>
      <c r="AD75">
        <v>4</v>
      </c>
      <c r="AE75">
        <v>3</v>
      </c>
      <c r="AF75">
        <v>3</v>
      </c>
      <c r="AG75">
        <v>3</v>
      </c>
      <c r="AH75">
        <v>3</v>
      </c>
      <c r="AI75">
        <v>3</v>
      </c>
      <c r="AJ75">
        <v>3</v>
      </c>
      <c r="AK75" t="b">
        <f>Table7[[#This Row],[What is your age?]]&lt;&gt;"18 - 25"</f>
        <v>0</v>
      </c>
      <c r="AL75" t="b">
        <f t="shared" si="3"/>
        <v>0</v>
      </c>
      <c r="AM75" t="b">
        <f t="shared" si="4"/>
        <v>0</v>
      </c>
      <c r="AN75" t="b">
        <f t="shared" si="5"/>
        <v>0</v>
      </c>
      <c r="AO75" t="b">
        <f>OR(Table7[[#This Row],[Ineligible respondents]:[Inconsistent response on opposite question (3)]])</f>
        <v>0</v>
      </c>
      <c r="AP7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75">
        <f>Table7[[#This Row],[Extreme Response]]/21</f>
        <v>0</v>
      </c>
      <c r="AR75">
        <f>Table67[[#This Row],[Threshold of ERS]]</f>
        <v>0.61904761904761907</v>
      </c>
      <c r="AS75" t="b">
        <f>Table7[[#This Row],[Extrem Response Ratio (ERS)]]&gt;=Table7[[#This Row],[Threshold of ERS]]</f>
        <v>0</v>
      </c>
      <c r="AT75" t="b" cm="1">
        <f t="array" ref="AT7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75">
        <f>COUNTIF(Table7[[#This Row],[The mechanism of digital assets is difficult to understand, which discourages me from exploring it (E.g, Tokenization, Blockchain)]:[If I want to try different ways to invest, I will explore digital assets.]], 3)</f>
        <v>9</v>
      </c>
      <c r="AV75">
        <f>Table7[[#This Row],[Midpoint]]/21</f>
        <v>0.42857142857142855</v>
      </c>
      <c r="AW75">
        <f>Table67[[#This Row],[Threshold of Midpoint ratio]]</f>
        <v>0.5714285714285714</v>
      </c>
      <c r="AX75" t="b">
        <f>Table7[[#This Row],[Midpoint ratio]]&gt;=Table7[[#This Row],[Threshold of Midpoint ratio]]</f>
        <v>0</v>
      </c>
      <c r="AY75" t="b">
        <f>OR(Table7[[#This Row],[Extreme Response Style]:[Straight-lining with 1 deviation]],Table7[[#This Row],[Mid-point Response Style]])</f>
        <v>0</v>
      </c>
      <c r="AZ75" t="b">
        <f>OR(Table7[[#This Row],[Delete? (Stage 1)]],Table7[[#This Row],[Delete? (Stage 2)]])</f>
        <v>0</v>
      </c>
      <c r="BA75" t="s">
        <v>81</v>
      </c>
    </row>
    <row r="76" spans="1:53">
      <c r="A76">
        <v>354</v>
      </c>
      <c r="B76" s="3">
        <v>46042.688252314802</v>
      </c>
      <c r="C76" s="3">
        <v>46042.692245370403</v>
      </c>
      <c r="D76" t="s">
        <v>53</v>
      </c>
      <c r="G76" t="s">
        <v>54</v>
      </c>
      <c r="H76" t="s">
        <v>55</v>
      </c>
      <c r="I76" t="s">
        <v>56</v>
      </c>
      <c r="J76" t="s">
        <v>57</v>
      </c>
      <c r="K76" t="s">
        <v>57</v>
      </c>
      <c r="L76" t="s">
        <v>58</v>
      </c>
      <c r="M76" t="s">
        <v>58</v>
      </c>
      <c r="N76">
        <v>3</v>
      </c>
      <c r="O76">
        <v>3</v>
      </c>
      <c r="P76">
        <v>5</v>
      </c>
      <c r="Q76">
        <v>4</v>
      </c>
      <c r="R76">
        <v>3</v>
      </c>
      <c r="S76">
        <v>4</v>
      </c>
      <c r="T76">
        <v>1</v>
      </c>
      <c r="U76">
        <v>3</v>
      </c>
      <c r="V76">
        <v>5</v>
      </c>
      <c r="W76">
        <v>5</v>
      </c>
      <c r="X76">
        <v>5</v>
      </c>
      <c r="Y76">
        <v>5</v>
      </c>
      <c r="Z76">
        <v>4</v>
      </c>
      <c r="AA76">
        <v>4</v>
      </c>
      <c r="AB76">
        <v>4</v>
      </c>
      <c r="AC76">
        <v>3</v>
      </c>
      <c r="AD76">
        <v>4</v>
      </c>
      <c r="AE76">
        <v>4</v>
      </c>
      <c r="AF76">
        <v>3</v>
      </c>
      <c r="AG76">
        <v>3</v>
      </c>
      <c r="AH76">
        <v>3</v>
      </c>
      <c r="AI76">
        <v>3</v>
      </c>
      <c r="AJ76">
        <v>3</v>
      </c>
      <c r="AK76" t="b">
        <f>Table7[[#This Row],[What is your age?]]&lt;&gt;"18 - 25"</f>
        <v>0</v>
      </c>
      <c r="AL76" t="b">
        <f t="shared" si="3"/>
        <v>0</v>
      </c>
      <c r="AM76" t="b">
        <f t="shared" si="4"/>
        <v>0</v>
      </c>
      <c r="AN76" t="b">
        <f t="shared" si="5"/>
        <v>0</v>
      </c>
      <c r="AO76" t="b">
        <f>OR(Table7[[#This Row],[Ineligible respondents]:[Inconsistent response on opposite question (3)]])</f>
        <v>0</v>
      </c>
      <c r="AP7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6</v>
      </c>
      <c r="AQ76">
        <f>Table7[[#This Row],[Extreme Response]]/21</f>
        <v>0.2857142857142857</v>
      </c>
      <c r="AR76">
        <f>Table67[[#This Row],[Threshold of ERS]]</f>
        <v>0.61904761904761907</v>
      </c>
      <c r="AS76" t="b">
        <f>Table7[[#This Row],[Extrem Response Ratio (ERS)]]&gt;=Table7[[#This Row],[Threshold of ERS]]</f>
        <v>0</v>
      </c>
      <c r="AT76" t="b" cm="1">
        <f t="array" ref="AT7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76">
        <f>COUNTIF(Table7[[#This Row],[The mechanism of digital assets is difficult to understand, which discourages me from exploring it (E.g, Tokenization, Blockchain)]:[If I want to try different ways to invest, I will explore digital assets.]], 3)</f>
        <v>8</v>
      </c>
      <c r="AV76">
        <f>Table7[[#This Row],[Midpoint]]/21</f>
        <v>0.38095238095238093</v>
      </c>
      <c r="AW76">
        <f>Table67[[#This Row],[Threshold of Midpoint ratio]]</f>
        <v>0.5714285714285714</v>
      </c>
      <c r="AX76" t="b">
        <f>Table7[[#This Row],[Midpoint ratio]]&gt;=Table7[[#This Row],[Threshold of Midpoint ratio]]</f>
        <v>0</v>
      </c>
      <c r="AY76" t="b">
        <f>OR(Table7[[#This Row],[Extreme Response Style]:[Straight-lining with 1 deviation]],Table7[[#This Row],[Mid-point Response Style]])</f>
        <v>0</v>
      </c>
      <c r="AZ76" t="b">
        <f>OR(Table7[[#This Row],[Delete? (Stage 1)]],Table7[[#This Row],[Delete? (Stage 2)]])</f>
        <v>0</v>
      </c>
      <c r="BA76" t="s">
        <v>81</v>
      </c>
    </row>
    <row r="77" spans="1:53">
      <c r="A77">
        <v>356</v>
      </c>
      <c r="B77" s="3">
        <v>46042.689317129603</v>
      </c>
      <c r="C77" s="3">
        <v>46042.691805555602</v>
      </c>
      <c r="D77" t="s">
        <v>53</v>
      </c>
      <c r="G77" t="s">
        <v>54</v>
      </c>
      <c r="H77" t="s">
        <v>63</v>
      </c>
      <c r="I77" t="s">
        <v>56</v>
      </c>
      <c r="J77" t="s">
        <v>62</v>
      </c>
      <c r="K77" t="s">
        <v>57</v>
      </c>
      <c r="L77" t="s">
        <v>58</v>
      </c>
      <c r="M77" t="s">
        <v>58</v>
      </c>
      <c r="N77">
        <v>3</v>
      </c>
      <c r="O77">
        <v>2</v>
      </c>
      <c r="P77">
        <v>4</v>
      </c>
      <c r="Q77">
        <v>4</v>
      </c>
      <c r="R77">
        <v>4</v>
      </c>
      <c r="S77">
        <v>5</v>
      </c>
      <c r="T77">
        <v>4</v>
      </c>
      <c r="U77">
        <v>5</v>
      </c>
      <c r="V77">
        <v>1</v>
      </c>
      <c r="W77">
        <v>1</v>
      </c>
      <c r="X77">
        <v>4</v>
      </c>
      <c r="Y77">
        <v>1</v>
      </c>
      <c r="Z77">
        <v>5</v>
      </c>
      <c r="AA77">
        <v>5</v>
      </c>
      <c r="AB77">
        <v>3</v>
      </c>
      <c r="AC77">
        <v>5</v>
      </c>
      <c r="AD77">
        <v>2</v>
      </c>
      <c r="AE77">
        <v>2</v>
      </c>
      <c r="AF77">
        <v>3</v>
      </c>
      <c r="AG77">
        <v>3</v>
      </c>
      <c r="AH77">
        <v>3</v>
      </c>
      <c r="AI77">
        <v>3</v>
      </c>
      <c r="AJ77">
        <v>3</v>
      </c>
      <c r="AK77" t="b">
        <f>Table7[[#This Row],[What is your age?]]&lt;&gt;"18 - 25"</f>
        <v>0</v>
      </c>
      <c r="AL77" t="b">
        <f t="shared" si="3"/>
        <v>0</v>
      </c>
      <c r="AM77" t="b">
        <f t="shared" si="4"/>
        <v>0</v>
      </c>
      <c r="AN77" t="b">
        <f t="shared" si="5"/>
        <v>0</v>
      </c>
      <c r="AO77" t="b">
        <f>OR(Table7[[#This Row],[Ineligible respondents]:[Inconsistent response on opposite question (3)]])</f>
        <v>0</v>
      </c>
      <c r="AP7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8</v>
      </c>
      <c r="AQ77">
        <f>Table7[[#This Row],[Extreme Response]]/21</f>
        <v>0.38095238095238093</v>
      </c>
      <c r="AR77">
        <f>Table67[[#This Row],[Threshold of ERS]]</f>
        <v>0.61904761904761907</v>
      </c>
      <c r="AS77" t="b">
        <f>Table7[[#This Row],[Extrem Response Ratio (ERS)]]&gt;=Table7[[#This Row],[Threshold of ERS]]</f>
        <v>0</v>
      </c>
      <c r="AT77" t="b" cm="1">
        <f t="array" ref="AT7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77">
        <f>COUNTIF(Table7[[#This Row],[The mechanism of digital assets is difficult to understand, which discourages me from exploring it (E.g, Tokenization, Blockchain)]:[If I want to try different ways to invest, I will explore digital assets.]], 3)</f>
        <v>5</v>
      </c>
      <c r="AV77">
        <f>Table7[[#This Row],[Midpoint]]/21</f>
        <v>0.23809523809523808</v>
      </c>
      <c r="AW77">
        <f>Table67[[#This Row],[Threshold of Midpoint ratio]]</f>
        <v>0.5714285714285714</v>
      </c>
      <c r="AX77" t="b">
        <f>Table7[[#This Row],[Midpoint ratio]]&gt;=Table7[[#This Row],[Threshold of Midpoint ratio]]</f>
        <v>0</v>
      </c>
      <c r="AY77" t="b">
        <f>OR(Table7[[#This Row],[Extreme Response Style]:[Straight-lining with 1 deviation]],Table7[[#This Row],[Mid-point Response Style]])</f>
        <v>0</v>
      </c>
      <c r="AZ77" t="b">
        <f>OR(Table7[[#This Row],[Delete? (Stage 1)]],Table7[[#This Row],[Delete? (Stage 2)]])</f>
        <v>0</v>
      </c>
      <c r="BA77" t="s">
        <v>81</v>
      </c>
    </row>
    <row r="78" spans="1:53">
      <c r="A78">
        <v>360</v>
      </c>
      <c r="B78" s="3">
        <v>46042.693923611099</v>
      </c>
      <c r="C78" s="3">
        <v>46042.699062500003</v>
      </c>
      <c r="D78" t="s">
        <v>53</v>
      </c>
      <c r="G78" t="s">
        <v>54</v>
      </c>
      <c r="H78" t="s">
        <v>55</v>
      </c>
      <c r="I78" t="s">
        <v>71</v>
      </c>
      <c r="J78" t="s">
        <v>62</v>
      </c>
      <c r="K78" t="s">
        <v>57</v>
      </c>
      <c r="L78" t="s">
        <v>58</v>
      </c>
      <c r="M78" t="s">
        <v>58</v>
      </c>
      <c r="N78">
        <v>4</v>
      </c>
      <c r="O78">
        <v>4</v>
      </c>
      <c r="P78">
        <v>5</v>
      </c>
      <c r="Q78">
        <v>3</v>
      </c>
      <c r="R78">
        <v>3</v>
      </c>
      <c r="S78">
        <v>5</v>
      </c>
      <c r="T78">
        <v>2</v>
      </c>
      <c r="U78">
        <v>5</v>
      </c>
      <c r="V78">
        <v>5</v>
      </c>
      <c r="W78">
        <v>5</v>
      </c>
      <c r="X78">
        <v>2</v>
      </c>
      <c r="Y78">
        <v>4</v>
      </c>
      <c r="Z78">
        <v>3</v>
      </c>
      <c r="AA78">
        <v>4</v>
      </c>
      <c r="AB78">
        <v>3</v>
      </c>
      <c r="AC78">
        <v>4</v>
      </c>
      <c r="AD78">
        <v>2</v>
      </c>
      <c r="AE78">
        <v>2</v>
      </c>
      <c r="AF78">
        <v>3</v>
      </c>
      <c r="AG78">
        <v>4</v>
      </c>
      <c r="AH78">
        <v>2</v>
      </c>
      <c r="AI78">
        <v>4</v>
      </c>
      <c r="AJ78">
        <v>3</v>
      </c>
      <c r="AK78" t="b">
        <f>Table7[[#This Row],[What is your age?]]&lt;&gt;"18 - 25"</f>
        <v>0</v>
      </c>
      <c r="AL78" t="b">
        <f t="shared" si="3"/>
        <v>0</v>
      </c>
      <c r="AM78" t="b">
        <f t="shared" si="4"/>
        <v>0</v>
      </c>
      <c r="AN78" t="b">
        <f t="shared" si="5"/>
        <v>0</v>
      </c>
      <c r="AO78" t="b">
        <f>OR(Table7[[#This Row],[Ineligible respondents]:[Inconsistent response on opposite question (3)]])</f>
        <v>0</v>
      </c>
      <c r="AP7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5</v>
      </c>
      <c r="AQ78">
        <f>Table7[[#This Row],[Extreme Response]]/21</f>
        <v>0.23809523809523808</v>
      </c>
      <c r="AR78">
        <f>Table67[[#This Row],[Threshold of ERS]]</f>
        <v>0.61904761904761907</v>
      </c>
      <c r="AS78" t="b">
        <f>Table7[[#This Row],[Extrem Response Ratio (ERS)]]&gt;=Table7[[#This Row],[Threshold of ERS]]</f>
        <v>0</v>
      </c>
      <c r="AT78" t="b" cm="1">
        <f t="array" ref="AT7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78">
        <f>COUNTIF(Table7[[#This Row],[The mechanism of digital assets is difficult to understand, which discourages me from exploring it (E.g, Tokenization, Blockchain)]:[If I want to try different ways to invest, I will explore digital assets.]], 3)</f>
        <v>5</v>
      </c>
      <c r="AV78">
        <f>Table7[[#This Row],[Midpoint]]/21</f>
        <v>0.23809523809523808</v>
      </c>
      <c r="AW78">
        <f>Table67[[#This Row],[Threshold of Midpoint ratio]]</f>
        <v>0.5714285714285714</v>
      </c>
      <c r="AX78" t="b">
        <f>Table7[[#This Row],[Midpoint ratio]]&gt;=Table7[[#This Row],[Threshold of Midpoint ratio]]</f>
        <v>0</v>
      </c>
      <c r="AY78" t="b">
        <f>OR(Table7[[#This Row],[Extreme Response Style]:[Straight-lining with 1 deviation]],Table7[[#This Row],[Mid-point Response Style]])</f>
        <v>0</v>
      </c>
      <c r="AZ78" t="b">
        <f>OR(Table7[[#This Row],[Delete? (Stage 1)]],Table7[[#This Row],[Delete? (Stage 2)]])</f>
        <v>0</v>
      </c>
      <c r="BA78" t="s">
        <v>81</v>
      </c>
    </row>
    <row r="79" spans="1:53">
      <c r="A79">
        <v>362</v>
      </c>
      <c r="B79" s="3">
        <v>46042.701134259303</v>
      </c>
      <c r="C79" s="3">
        <v>46042.7035300926</v>
      </c>
      <c r="D79" t="s">
        <v>53</v>
      </c>
      <c r="G79" t="s">
        <v>54</v>
      </c>
      <c r="H79" t="s">
        <v>63</v>
      </c>
      <c r="I79" t="s">
        <v>75</v>
      </c>
      <c r="J79" t="s">
        <v>57</v>
      </c>
      <c r="K79" t="s">
        <v>62</v>
      </c>
      <c r="L79" t="s">
        <v>58</v>
      </c>
      <c r="M79" t="s">
        <v>58</v>
      </c>
      <c r="N79">
        <v>4</v>
      </c>
      <c r="O79">
        <v>3</v>
      </c>
      <c r="P79">
        <v>3</v>
      </c>
      <c r="Q79">
        <v>4</v>
      </c>
      <c r="R79">
        <v>4</v>
      </c>
      <c r="S79">
        <v>4</v>
      </c>
      <c r="T79">
        <v>3</v>
      </c>
      <c r="U79">
        <v>4</v>
      </c>
      <c r="V79">
        <v>2</v>
      </c>
      <c r="W79">
        <v>3</v>
      </c>
      <c r="X79">
        <v>4</v>
      </c>
      <c r="Y79">
        <v>4</v>
      </c>
      <c r="Z79">
        <v>4</v>
      </c>
      <c r="AA79">
        <v>3</v>
      </c>
      <c r="AB79">
        <v>4</v>
      </c>
      <c r="AC79">
        <v>2</v>
      </c>
      <c r="AD79">
        <v>3</v>
      </c>
      <c r="AE79">
        <v>4</v>
      </c>
      <c r="AF79">
        <v>2</v>
      </c>
      <c r="AG79">
        <v>2</v>
      </c>
      <c r="AH79">
        <v>4</v>
      </c>
      <c r="AI79">
        <v>2</v>
      </c>
      <c r="AJ79">
        <v>4</v>
      </c>
      <c r="AK79" t="b">
        <f>Table7[[#This Row],[What is your age?]]&lt;&gt;"18 - 25"</f>
        <v>0</v>
      </c>
      <c r="AL79" t="b">
        <f t="shared" si="3"/>
        <v>0</v>
      </c>
      <c r="AM79" t="b">
        <f t="shared" si="4"/>
        <v>0</v>
      </c>
      <c r="AN79" t="b">
        <f t="shared" si="5"/>
        <v>0</v>
      </c>
      <c r="AO79" t="b">
        <f>OR(Table7[[#This Row],[Ineligible respondents]:[Inconsistent response on opposite question (3)]])</f>
        <v>0</v>
      </c>
      <c r="AP7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79">
        <f>Table7[[#This Row],[Extreme Response]]/21</f>
        <v>0</v>
      </c>
      <c r="AR79">
        <f>Table67[[#This Row],[Threshold of ERS]]</f>
        <v>0.61904761904761907</v>
      </c>
      <c r="AS79" t="b">
        <f>Table7[[#This Row],[Extrem Response Ratio (ERS)]]&gt;=Table7[[#This Row],[Threshold of ERS]]</f>
        <v>0</v>
      </c>
      <c r="AT79" t="b" cm="1">
        <f t="array" ref="AT7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79">
        <f>COUNTIF(Table7[[#This Row],[The mechanism of digital assets is difficult to understand, which discourages me from exploring it (E.g, Tokenization, Blockchain)]:[If I want to try different ways to invest, I will explore digital assets.]], 3)</f>
        <v>6</v>
      </c>
      <c r="AV79">
        <f>Table7[[#This Row],[Midpoint]]/21</f>
        <v>0.2857142857142857</v>
      </c>
      <c r="AW79">
        <f>Table67[[#This Row],[Threshold of Midpoint ratio]]</f>
        <v>0.5714285714285714</v>
      </c>
      <c r="AX79" t="b">
        <f>Table7[[#This Row],[Midpoint ratio]]&gt;=Table7[[#This Row],[Threshold of Midpoint ratio]]</f>
        <v>0</v>
      </c>
      <c r="AY79" t="b">
        <f>OR(Table7[[#This Row],[Extreme Response Style]:[Straight-lining with 1 deviation]],Table7[[#This Row],[Mid-point Response Style]])</f>
        <v>0</v>
      </c>
      <c r="AZ79" t="b">
        <f>OR(Table7[[#This Row],[Delete? (Stage 1)]],Table7[[#This Row],[Delete? (Stage 2)]])</f>
        <v>0</v>
      </c>
      <c r="BA79" t="s">
        <v>81</v>
      </c>
    </row>
    <row r="80" spans="1:53">
      <c r="A80">
        <v>366</v>
      </c>
      <c r="B80" s="3">
        <v>46042.705185185201</v>
      </c>
      <c r="C80" s="3">
        <v>46042.709733796299</v>
      </c>
      <c r="D80" t="s">
        <v>53</v>
      </c>
      <c r="G80" t="s">
        <v>54</v>
      </c>
      <c r="H80" t="s">
        <v>55</v>
      </c>
      <c r="I80" t="s">
        <v>56</v>
      </c>
      <c r="J80" t="s">
        <v>57</v>
      </c>
      <c r="K80" t="s">
        <v>57</v>
      </c>
      <c r="L80" t="s">
        <v>58</v>
      </c>
      <c r="M80" t="s">
        <v>58</v>
      </c>
      <c r="N80">
        <v>3</v>
      </c>
      <c r="O80">
        <v>4</v>
      </c>
      <c r="P80">
        <v>4</v>
      </c>
      <c r="Q80">
        <v>4</v>
      </c>
      <c r="R80">
        <v>4</v>
      </c>
      <c r="S80">
        <v>4</v>
      </c>
      <c r="T80">
        <v>2</v>
      </c>
      <c r="U80">
        <v>4</v>
      </c>
      <c r="V80">
        <v>2</v>
      </c>
      <c r="W80">
        <v>2</v>
      </c>
      <c r="X80">
        <v>3</v>
      </c>
      <c r="Y80">
        <v>4</v>
      </c>
      <c r="Z80">
        <v>2</v>
      </c>
      <c r="AA80">
        <v>2</v>
      </c>
      <c r="AB80">
        <v>2</v>
      </c>
      <c r="AC80">
        <v>3</v>
      </c>
      <c r="AD80">
        <v>2</v>
      </c>
      <c r="AE80">
        <v>3</v>
      </c>
      <c r="AF80">
        <v>3</v>
      </c>
      <c r="AG80">
        <v>2</v>
      </c>
      <c r="AH80">
        <v>4</v>
      </c>
      <c r="AI80">
        <v>2</v>
      </c>
      <c r="AJ80">
        <v>3</v>
      </c>
      <c r="AK80" t="b">
        <f>Table7[[#This Row],[What is your age?]]&lt;&gt;"18 - 25"</f>
        <v>0</v>
      </c>
      <c r="AL80" t="b">
        <f t="shared" si="3"/>
        <v>0</v>
      </c>
      <c r="AM80" t="b">
        <f t="shared" si="4"/>
        <v>0</v>
      </c>
      <c r="AN80" t="b">
        <f t="shared" si="5"/>
        <v>0</v>
      </c>
      <c r="AO80" t="b">
        <f>OR(Table7[[#This Row],[Ineligible respondents]:[Inconsistent response on opposite question (3)]])</f>
        <v>0</v>
      </c>
      <c r="AP8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80">
        <f>Table7[[#This Row],[Extreme Response]]/21</f>
        <v>0</v>
      </c>
      <c r="AR80">
        <f>Table67[[#This Row],[Threshold of ERS]]</f>
        <v>0.61904761904761907</v>
      </c>
      <c r="AS80" t="b">
        <f>Table7[[#This Row],[Extrem Response Ratio (ERS)]]&gt;=Table7[[#This Row],[Threshold of ERS]]</f>
        <v>0</v>
      </c>
      <c r="AT80" t="b" cm="1">
        <f t="array" ref="AT8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80">
        <f>COUNTIF(Table7[[#This Row],[The mechanism of digital assets is difficult to understand, which discourages me from exploring it (E.g, Tokenization, Blockchain)]:[If I want to try different ways to invest, I will explore digital assets.]], 3)</f>
        <v>5</v>
      </c>
      <c r="AV80">
        <f>Table7[[#This Row],[Midpoint]]/21</f>
        <v>0.23809523809523808</v>
      </c>
      <c r="AW80">
        <f>Table67[[#This Row],[Threshold of Midpoint ratio]]</f>
        <v>0.5714285714285714</v>
      </c>
      <c r="AX80" t="b">
        <f>Table7[[#This Row],[Midpoint ratio]]&gt;=Table7[[#This Row],[Threshold of Midpoint ratio]]</f>
        <v>0</v>
      </c>
      <c r="AY80" t="b">
        <f>OR(Table7[[#This Row],[Extreme Response Style]:[Straight-lining with 1 deviation]],Table7[[#This Row],[Mid-point Response Style]])</f>
        <v>0</v>
      </c>
      <c r="AZ80" t="b">
        <f>OR(Table7[[#This Row],[Delete? (Stage 1)]],Table7[[#This Row],[Delete? (Stage 2)]])</f>
        <v>0</v>
      </c>
      <c r="BA80" t="s">
        <v>81</v>
      </c>
    </row>
    <row r="81" spans="1:53">
      <c r="A81">
        <v>371</v>
      </c>
      <c r="B81" s="3">
        <v>46042.7110300926</v>
      </c>
      <c r="C81" s="3">
        <v>46042.715300925898</v>
      </c>
      <c r="D81" t="s">
        <v>53</v>
      </c>
      <c r="G81" t="s">
        <v>54</v>
      </c>
      <c r="H81" t="s">
        <v>55</v>
      </c>
      <c r="I81" t="s">
        <v>56</v>
      </c>
      <c r="J81" t="s">
        <v>60</v>
      </c>
      <c r="K81" t="s">
        <v>57</v>
      </c>
      <c r="L81" t="s">
        <v>58</v>
      </c>
      <c r="M81" t="s">
        <v>58</v>
      </c>
      <c r="N81">
        <v>3</v>
      </c>
      <c r="O81">
        <v>2</v>
      </c>
      <c r="P81">
        <v>4</v>
      </c>
      <c r="Q81">
        <v>3</v>
      </c>
      <c r="R81">
        <v>3</v>
      </c>
      <c r="S81">
        <v>3</v>
      </c>
      <c r="T81">
        <v>4</v>
      </c>
      <c r="U81">
        <v>3</v>
      </c>
      <c r="V81">
        <v>4</v>
      </c>
      <c r="W81">
        <v>2</v>
      </c>
      <c r="X81">
        <v>3</v>
      </c>
      <c r="Y81">
        <v>2</v>
      </c>
      <c r="Z81">
        <v>4</v>
      </c>
      <c r="AA81">
        <v>3</v>
      </c>
      <c r="AB81">
        <v>4</v>
      </c>
      <c r="AC81">
        <v>4</v>
      </c>
      <c r="AD81">
        <v>5</v>
      </c>
      <c r="AE81">
        <v>3</v>
      </c>
      <c r="AF81">
        <v>3</v>
      </c>
      <c r="AG81">
        <v>4</v>
      </c>
      <c r="AH81">
        <v>2</v>
      </c>
      <c r="AI81">
        <v>4</v>
      </c>
      <c r="AJ81">
        <v>3</v>
      </c>
      <c r="AK81" t="b">
        <f>Table7[[#This Row],[What is your age?]]&lt;&gt;"18 - 25"</f>
        <v>0</v>
      </c>
      <c r="AL81" t="b">
        <f t="shared" si="3"/>
        <v>0</v>
      </c>
      <c r="AM81" t="b">
        <f t="shared" si="4"/>
        <v>0</v>
      </c>
      <c r="AN81" t="b">
        <f t="shared" si="5"/>
        <v>0</v>
      </c>
      <c r="AO81" t="b">
        <f>OR(Table7[[#This Row],[Ineligible respondents]:[Inconsistent response on opposite question (3)]])</f>
        <v>0</v>
      </c>
      <c r="AP8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81">
        <f>Table7[[#This Row],[Extreme Response]]/21</f>
        <v>4.7619047619047616E-2</v>
      </c>
      <c r="AR81">
        <f>Table67[[#This Row],[Threshold of ERS]]</f>
        <v>0.61904761904761907</v>
      </c>
      <c r="AS81" t="b">
        <f>Table7[[#This Row],[Extrem Response Ratio (ERS)]]&gt;=Table7[[#This Row],[Threshold of ERS]]</f>
        <v>0</v>
      </c>
      <c r="AT81" t="b" cm="1">
        <f t="array" ref="AT8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81">
        <f>COUNTIF(Table7[[#This Row],[The mechanism of digital assets is difficult to understand, which discourages me from exploring it (E.g, Tokenization, Blockchain)]:[If I want to try different ways to invest, I will explore digital assets.]], 3)</f>
        <v>9</v>
      </c>
      <c r="AV81">
        <f>Table7[[#This Row],[Midpoint]]/21</f>
        <v>0.42857142857142855</v>
      </c>
      <c r="AW81">
        <f>Table67[[#This Row],[Threshold of Midpoint ratio]]</f>
        <v>0.5714285714285714</v>
      </c>
      <c r="AX81" t="b">
        <f>Table7[[#This Row],[Midpoint ratio]]&gt;=Table7[[#This Row],[Threshold of Midpoint ratio]]</f>
        <v>0</v>
      </c>
      <c r="AY81" t="b">
        <f>OR(Table7[[#This Row],[Extreme Response Style]:[Straight-lining with 1 deviation]],Table7[[#This Row],[Mid-point Response Style]])</f>
        <v>0</v>
      </c>
      <c r="AZ81" t="b">
        <f>OR(Table7[[#This Row],[Delete? (Stage 1)]],Table7[[#This Row],[Delete? (Stage 2)]])</f>
        <v>0</v>
      </c>
      <c r="BA81" t="s">
        <v>81</v>
      </c>
    </row>
    <row r="82" spans="1:53">
      <c r="A82">
        <v>382</v>
      </c>
      <c r="B82" s="3">
        <v>46042.772557870398</v>
      </c>
      <c r="C82" s="3">
        <v>46042.775694444397</v>
      </c>
      <c r="D82" t="s">
        <v>53</v>
      </c>
      <c r="G82" t="s">
        <v>54</v>
      </c>
      <c r="H82" t="s">
        <v>63</v>
      </c>
      <c r="I82" t="s">
        <v>75</v>
      </c>
      <c r="J82" t="s">
        <v>62</v>
      </c>
      <c r="K82" t="s">
        <v>57</v>
      </c>
      <c r="L82" t="s">
        <v>58</v>
      </c>
      <c r="M82" t="s">
        <v>58</v>
      </c>
      <c r="N82">
        <v>3</v>
      </c>
      <c r="O82">
        <v>5</v>
      </c>
      <c r="P82">
        <v>4</v>
      </c>
      <c r="Q82">
        <v>3</v>
      </c>
      <c r="R82">
        <v>4</v>
      </c>
      <c r="S82">
        <v>4</v>
      </c>
      <c r="T82">
        <v>4</v>
      </c>
      <c r="U82">
        <v>4</v>
      </c>
      <c r="V82">
        <v>5</v>
      </c>
      <c r="W82">
        <v>5</v>
      </c>
      <c r="X82">
        <v>3</v>
      </c>
      <c r="Y82">
        <v>4</v>
      </c>
      <c r="Z82">
        <v>3</v>
      </c>
      <c r="AA82">
        <v>2</v>
      </c>
      <c r="AB82">
        <v>2</v>
      </c>
      <c r="AC82">
        <v>3</v>
      </c>
      <c r="AD82">
        <v>3</v>
      </c>
      <c r="AE82">
        <v>3</v>
      </c>
      <c r="AF82">
        <v>3</v>
      </c>
      <c r="AG82">
        <v>3</v>
      </c>
      <c r="AH82">
        <v>3</v>
      </c>
      <c r="AI82">
        <v>3</v>
      </c>
      <c r="AJ82">
        <v>3</v>
      </c>
      <c r="AK82" t="b">
        <f>Table7[[#This Row],[What is your age?]]&lt;&gt;"18 - 25"</f>
        <v>0</v>
      </c>
      <c r="AL82" t="b">
        <f t="shared" si="3"/>
        <v>0</v>
      </c>
      <c r="AM82" t="b">
        <f t="shared" si="4"/>
        <v>0</v>
      </c>
      <c r="AN82" t="b">
        <f t="shared" si="5"/>
        <v>0</v>
      </c>
      <c r="AO82" t="b">
        <f>OR(Table7[[#This Row],[Ineligible respondents]:[Inconsistent response on opposite question (3)]])</f>
        <v>0</v>
      </c>
      <c r="AP8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82">
        <f>Table7[[#This Row],[Extreme Response]]/21</f>
        <v>0.14285714285714285</v>
      </c>
      <c r="AR82">
        <f>Table67[[#This Row],[Threshold of ERS]]</f>
        <v>0.61904761904761907</v>
      </c>
      <c r="AS82" t="b">
        <f>Table7[[#This Row],[Extrem Response Ratio (ERS)]]&gt;=Table7[[#This Row],[Threshold of ERS]]</f>
        <v>0</v>
      </c>
      <c r="AT82" t="b" cm="1">
        <f t="array" ref="AT8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82">
        <f>COUNTIF(Table7[[#This Row],[The mechanism of digital assets is difficult to understand, which discourages me from exploring it (E.g, Tokenization, Blockchain)]:[If I want to try different ways to invest, I will explore digital assets.]], 3)</f>
        <v>10</v>
      </c>
      <c r="AV82">
        <f>Table7[[#This Row],[Midpoint]]/21</f>
        <v>0.47619047619047616</v>
      </c>
      <c r="AW82">
        <f>Table67[[#This Row],[Threshold of Midpoint ratio]]</f>
        <v>0.5714285714285714</v>
      </c>
      <c r="AX82" t="b">
        <f>Table7[[#This Row],[Midpoint ratio]]&gt;=Table7[[#This Row],[Threshold of Midpoint ratio]]</f>
        <v>0</v>
      </c>
      <c r="AY82" t="b">
        <f>OR(Table7[[#This Row],[Extreme Response Style]:[Straight-lining with 1 deviation]],Table7[[#This Row],[Mid-point Response Style]])</f>
        <v>0</v>
      </c>
      <c r="AZ82" t="b">
        <f>OR(Table7[[#This Row],[Delete? (Stage 1)]],Table7[[#This Row],[Delete? (Stage 2)]])</f>
        <v>0</v>
      </c>
      <c r="BA82" t="s">
        <v>81</v>
      </c>
    </row>
    <row r="83" spans="1:53">
      <c r="A83">
        <v>388</v>
      </c>
      <c r="B83" s="3">
        <v>46042.826319444401</v>
      </c>
      <c r="C83" s="3">
        <v>46042.828738425902</v>
      </c>
      <c r="D83" t="s">
        <v>53</v>
      </c>
      <c r="G83" t="s">
        <v>54</v>
      </c>
      <c r="H83" t="s">
        <v>63</v>
      </c>
      <c r="I83" t="s">
        <v>56</v>
      </c>
      <c r="J83" t="s">
        <v>62</v>
      </c>
      <c r="K83" t="s">
        <v>57</v>
      </c>
      <c r="L83" t="s">
        <v>58</v>
      </c>
      <c r="M83" t="s">
        <v>61</v>
      </c>
      <c r="N83">
        <v>3</v>
      </c>
      <c r="O83">
        <v>2</v>
      </c>
      <c r="P83">
        <v>4</v>
      </c>
      <c r="Q83">
        <v>3</v>
      </c>
      <c r="R83">
        <v>2</v>
      </c>
      <c r="S83">
        <v>3</v>
      </c>
      <c r="T83">
        <v>4</v>
      </c>
      <c r="U83">
        <v>5</v>
      </c>
      <c r="V83">
        <v>4</v>
      </c>
      <c r="W83">
        <v>4</v>
      </c>
      <c r="X83">
        <v>4</v>
      </c>
      <c r="Y83">
        <v>4</v>
      </c>
      <c r="Z83">
        <v>4</v>
      </c>
      <c r="AA83">
        <v>4</v>
      </c>
      <c r="AB83">
        <v>4</v>
      </c>
      <c r="AC83">
        <v>4</v>
      </c>
      <c r="AD83">
        <v>4</v>
      </c>
      <c r="AE83">
        <v>2</v>
      </c>
      <c r="AF83">
        <v>2</v>
      </c>
      <c r="AG83">
        <v>2</v>
      </c>
      <c r="AH83">
        <v>4</v>
      </c>
      <c r="AI83">
        <v>2</v>
      </c>
      <c r="AJ83">
        <v>4</v>
      </c>
      <c r="AK83" t="b">
        <f>Table7[[#This Row],[What is your age?]]&lt;&gt;"18 - 25"</f>
        <v>0</v>
      </c>
      <c r="AL83" t="b">
        <f t="shared" si="3"/>
        <v>0</v>
      </c>
      <c r="AM83" t="b">
        <f t="shared" si="4"/>
        <v>0</v>
      </c>
      <c r="AN83" t="b">
        <f t="shared" si="5"/>
        <v>0</v>
      </c>
      <c r="AO83" t="b">
        <f>OR(Table7[[#This Row],[Ineligible respondents]:[Inconsistent response on opposite question (3)]])</f>
        <v>0</v>
      </c>
      <c r="AP8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83">
        <f>Table7[[#This Row],[Extreme Response]]/21</f>
        <v>4.7619047619047616E-2</v>
      </c>
      <c r="AR83">
        <f>Table67[[#This Row],[Threshold of ERS]]</f>
        <v>0.61904761904761907</v>
      </c>
      <c r="AS83" t="b">
        <f>Table7[[#This Row],[Extrem Response Ratio (ERS)]]&gt;=Table7[[#This Row],[Threshold of ERS]]</f>
        <v>0</v>
      </c>
      <c r="AT83" t="b" cm="1">
        <f t="array" ref="AT8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83">
        <f>COUNTIF(Table7[[#This Row],[The mechanism of digital assets is difficult to understand, which discourages me from exploring it (E.g, Tokenization, Blockchain)]:[If I want to try different ways to invest, I will explore digital assets.]], 3)</f>
        <v>3</v>
      </c>
      <c r="AV83">
        <f>Table7[[#This Row],[Midpoint]]/21</f>
        <v>0.14285714285714285</v>
      </c>
      <c r="AW83">
        <f>Table67[[#This Row],[Threshold of Midpoint ratio]]</f>
        <v>0.5714285714285714</v>
      </c>
      <c r="AX83" t="b">
        <f>Table7[[#This Row],[Midpoint ratio]]&gt;=Table7[[#This Row],[Threshold of Midpoint ratio]]</f>
        <v>0</v>
      </c>
      <c r="AY83" t="b">
        <f>OR(Table7[[#This Row],[Extreme Response Style]:[Straight-lining with 1 deviation]],Table7[[#This Row],[Mid-point Response Style]])</f>
        <v>0</v>
      </c>
      <c r="AZ83" t="b">
        <f>OR(Table7[[#This Row],[Delete? (Stage 1)]],Table7[[#This Row],[Delete? (Stage 2)]])</f>
        <v>0</v>
      </c>
      <c r="BA83" t="s">
        <v>81</v>
      </c>
    </row>
    <row r="84" spans="1:53">
      <c r="A84">
        <v>389</v>
      </c>
      <c r="B84" s="3">
        <v>46042.832013888903</v>
      </c>
      <c r="C84" s="3">
        <v>46042.833854166704</v>
      </c>
      <c r="D84" t="s">
        <v>53</v>
      </c>
      <c r="G84" t="s">
        <v>54</v>
      </c>
      <c r="H84" t="s">
        <v>55</v>
      </c>
      <c r="I84" t="s">
        <v>56</v>
      </c>
      <c r="J84" t="s">
        <v>57</v>
      </c>
      <c r="K84" t="s">
        <v>66</v>
      </c>
      <c r="L84" t="s">
        <v>58</v>
      </c>
      <c r="M84" t="s">
        <v>61</v>
      </c>
      <c r="N84">
        <v>4</v>
      </c>
      <c r="O84">
        <v>3</v>
      </c>
      <c r="P84">
        <v>4</v>
      </c>
      <c r="Q84">
        <v>3</v>
      </c>
      <c r="R84">
        <v>3</v>
      </c>
      <c r="S84">
        <v>4</v>
      </c>
      <c r="T84">
        <v>4</v>
      </c>
      <c r="U84">
        <v>4</v>
      </c>
      <c r="V84">
        <v>4</v>
      </c>
      <c r="W84">
        <v>4</v>
      </c>
      <c r="X84">
        <v>4</v>
      </c>
      <c r="Y84">
        <v>4</v>
      </c>
      <c r="Z84">
        <v>4</v>
      </c>
      <c r="AA84">
        <v>4</v>
      </c>
      <c r="AB84">
        <v>2</v>
      </c>
      <c r="AC84">
        <v>5</v>
      </c>
      <c r="AD84">
        <v>4</v>
      </c>
      <c r="AE84">
        <v>4</v>
      </c>
      <c r="AF84">
        <v>3</v>
      </c>
      <c r="AG84">
        <v>5</v>
      </c>
      <c r="AH84">
        <v>1</v>
      </c>
      <c r="AI84">
        <v>5</v>
      </c>
      <c r="AJ84">
        <v>3</v>
      </c>
      <c r="AK84" t="b">
        <f>Table7[[#This Row],[What is your age?]]&lt;&gt;"18 - 25"</f>
        <v>0</v>
      </c>
      <c r="AL84" t="b">
        <f t="shared" si="3"/>
        <v>0</v>
      </c>
      <c r="AM84" t="b">
        <f t="shared" si="4"/>
        <v>0</v>
      </c>
      <c r="AN84" t="b">
        <f t="shared" si="5"/>
        <v>0</v>
      </c>
      <c r="AO84" t="b">
        <f>OR(Table7[[#This Row],[Ineligible respondents]:[Inconsistent response on opposite question (3)]])</f>
        <v>0</v>
      </c>
      <c r="AP8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84">
        <f>Table7[[#This Row],[Extreme Response]]/21</f>
        <v>0.14285714285714285</v>
      </c>
      <c r="AR84">
        <f>Table67[[#This Row],[Threshold of ERS]]</f>
        <v>0.61904761904761907</v>
      </c>
      <c r="AS84" t="b">
        <f>Table7[[#This Row],[Extrem Response Ratio (ERS)]]&gt;=Table7[[#This Row],[Threshold of ERS]]</f>
        <v>0</v>
      </c>
      <c r="AT84" t="b" cm="1">
        <f t="array" ref="AT8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84">
        <f>COUNTIF(Table7[[#This Row],[The mechanism of digital assets is difficult to understand, which discourages me from exploring it (E.g, Tokenization, Blockchain)]:[If I want to try different ways to invest, I will explore digital assets.]], 3)</f>
        <v>4</v>
      </c>
      <c r="AV84">
        <f>Table7[[#This Row],[Midpoint]]/21</f>
        <v>0.19047619047619047</v>
      </c>
      <c r="AW84">
        <f>Table67[[#This Row],[Threshold of Midpoint ratio]]</f>
        <v>0.5714285714285714</v>
      </c>
      <c r="AX84" t="b">
        <f>Table7[[#This Row],[Midpoint ratio]]&gt;=Table7[[#This Row],[Threshold of Midpoint ratio]]</f>
        <v>0</v>
      </c>
      <c r="AY84" t="b">
        <f>OR(Table7[[#This Row],[Extreme Response Style]:[Straight-lining with 1 deviation]],Table7[[#This Row],[Mid-point Response Style]])</f>
        <v>0</v>
      </c>
      <c r="AZ84" t="b">
        <f>OR(Table7[[#This Row],[Delete? (Stage 1)]],Table7[[#This Row],[Delete? (Stage 2)]])</f>
        <v>0</v>
      </c>
      <c r="BA84" t="s">
        <v>81</v>
      </c>
    </row>
    <row r="85" spans="1:53">
      <c r="A85">
        <v>403</v>
      </c>
      <c r="B85" s="3">
        <v>46043.511805555601</v>
      </c>
      <c r="C85" s="3">
        <v>46043.518599536997</v>
      </c>
      <c r="D85" t="s">
        <v>53</v>
      </c>
      <c r="G85" t="s">
        <v>54</v>
      </c>
      <c r="H85" t="s">
        <v>63</v>
      </c>
      <c r="I85" t="s">
        <v>56</v>
      </c>
      <c r="J85" t="s">
        <v>57</v>
      </c>
      <c r="K85" t="s">
        <v>57</v>
      </c>
      <c r="L85" t="s">
        <v>58</v>
      </c>
      <c r="M85" t="s">
        <v>61</v>
      </c>
      <c r="N85">
        <v>3</v>
      </c>
      <c r="O85">
        <v>2</v>
      </c>
      <c r="P85">
        <v>4</v>
      </c>
      <c r="Q85">
        <v>2</v>
      </c>
      <c r="R85">
        <v>3</v>
      </c>
      <c r="S85">
        <v>4</v>
      </c>
      <c r="T85">
        <v>2</v>
      </c>
      <c r="U85">
        <v>4</v>
      </c>
      <c r="V85">
        <v>4</v>
      </c>
      <c r="W85">
        <v>4</v>
      </c>
      <c r="X85">
        <v>3</v>
      </c>
      <c r="Y85">
        <v>3</v>
      </c>
      <c r="Z85">
        <v>4</v>
      </c>
      <c r="AA85">
        <v>3</v>
      </c>
      <c r="AB85">
        <v>3</v>
      </c>
      <c r="AC85">
        <v>3</v>
      </c>
      <c r="AD85">
        <v>2</v>
      </c>
      <c r="AE85">
        <v>3</v>
      </c>
      <c r="AF85">
        <v>4</v>
      </c>
      <c r="AG85">
        <v>3</v>
      </c>
      <c r="AH85">
        <v>3</v>
      </c>
      <c r="AI85">
        <v>3</v>
      </c>
      <c r="AJ85">
        <v>2</v>
      </c>
      <c r="AK85" t="b">
        <f>Table7[[#This Row],[What is your age?]]&lt;&gt;"18 - 25"</f>
        <v>0</v>
      </c>
      <c r="AL85" t="b">
        <f t="shared" si="3"/>
        <v>0</v>
      </c>
      <c r="AM85" t="b">
        <f t="shared" si="4"/>
        <v>0</v>
      </c>
      <c r="AN85" t="b">
        <f t="shared" si="5"/>
        <v>0</v>
      </c>
      <c r="AO85" t="b">
        <f>OR(Table7[[#This Row],[Ineligible respondents]:[Inconsistent response on opposite question (3)]])</f>
        <v>0</v>
      </c>
      <c r="AP8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85">
        <f>Table7[[#This Row],[Extreme Response]]/21</f>
        <v>0</v>
      </c>
      <c r="AR85">
        <f>Table67[[#This Row],[Threshold of ERS]]</f>
        <v>0.61904761904761907</v>
      </c>
      <c r="AS85" t="b">
        <f>Table7[[#This Row],[Extrem Response Ratio (ERS)]]&gt;=Table7[[#This Row],[Threshold of ERS]]</f>
        <v>0</v>
      </c>
      <c r="AT85" t="b" cm="1">
        <f t="array" ref="AT8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85">
        <f>COUNTIF(Table7[[#This Row],[The mechanism of digital assets is difficult to understand, which discourages me from exploring it (E.g, Tokenization, Blockchain)]:[If I want to try different ways to invest, I will explore digital assets.]], 3)</f>
        <v>10</v>
      </c>
      <c r="AV85">
        <f>Table7[[#This Row],[Midpoint]]/21</f>
        <v>0.47619047619047616</v>
      </c>
      <c r="AW85">
        <f>Table67[[#This Row],[Threshold of Midpoint ratio]]</f>
        <v>0.5714285714285714</v>
      </c>
      <c r="AX85" t="b">
        <f>Table7[[#This Row],[Midpoint ratio]]&gt;=Table7[[#This Row],[Threshold of Midpoint ratio]]</f>
        <v>0</v>
      </c>
      <c r="AY85" t="b">
        <f>OR(Table7[[#This Row],[Extreme Response Style]:[Straight-lining with 1 deviation]],Table7[[#This Row],[Mid-point Response Style]])</f>
        <v>0</v>
      </c>
      <c r="AZ85" t="b">
        <f>OR(Table7[[#This Row],[Delete? (Stage 1)]],Table7[[#This Row],[Delete? (Stage 2)]])</f>
        <v>0</v>
      </c>
      <c r="BA85" t="s">
        <v>81</v>
      </c>
    </row>
    <row r="86" spans="1:53">
      <c r="A86">
        <v>409</v>
      </c>
      <c r="B86" s="3">
        <v>46043.5241087963</v>
      </c>
      <c r="C86" s="3">
        <v>46043.539143518501</v>
      </c>
      <c r="D86" t="s">
        <v>53</v>
      </c>
      <c r="G86" t="s">
        <v>54</v>
      </c>
      <c r="H86" t="s">
        <v>55</v>
      </c>
      <c r="I86" t="s">
        <v>56</v>
      </c>
      <c r="J86" t="s">
        <v>60</v>
      </c>
      <c r="K86" t="s">
        <v>57</v>
      </c>
      <c r="L86" t="s">
        <v>58</v>
      </c>
      <c r="M86" t="s">
        <v>61</v>
      </c>
      <c r="N86">
        <v>5</v>
      </c>
      <c r="O86">
        <v>2</v>
      </c>
      <c r="P86">
        <v>4</v>
      </c>
      <c r="Q86">
        <v>4</v>
      </c>
      <c r="R86">
        <v>4</v>
      </c>
      <c r="S86">
        <v>4</v>
      </c>
      <c r="T86">
        <v>4</v>
      </c>
      <c r="U86">
        <v>4</v>
      </c>
      <c r="V86">
        <v>4</v>
      </c>
      <c r="W86">
        <v>5</v>
      </c>
      <c r="X86">
        <v>4</v>
      </c>
      <c r="Y86">
        <v>4</v>
      </c>
      <c r="Z86">
        <v>4</v>
      </c>
      <c r="AA86">
        <v>4</v>
      </c>
      <c r="AB86">
        <v>4</v>
      </c>
      <c r="AC86">
        <v>4</v>
      </c>
      <c r="AD86">
        <v>4</v>
      </c>
      <c r="AE86">
        <v>2</v>
      </c>
      <c r="AF86">
        <v>2</v>
      </c>
      <c r="AG86">
        <v>4</v>
      </c>
      <c r="AH86">
        <v>2</v>
      </c>
      <c r="AI86">
        <v>4</v>
      </c>
      <c r="AJ86">
        <v>4</v>
      </c>
      <c r="AK86" t="b">
        <f>Table7[[#This Row],[What is your age?]]&lt;&gt;"18 - 25"</f>
        <v>0</v>
      </c>
      <c r="AL86" t="b">
        <f t="shared" si="3"/>
        <v>0</v>
      </c>
      <c r="AM86" t="b">
        <f t="shared" si="4"/>
        <v>0</v>
      </c>
      <c r="AN86" t="b">
        <f t="shared" si="5"/>
        <v>0</v>
      </c>
      <c r="AO86" t="b">
        <f>OR(Table7[[#This Row],[Ineligible respondents]:[Inconsistent response on opposite question (3)]])</f>
        <v>0</v>
      </c>
      <c r="AP8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86">
        <f>Table7[[#This Row],[Extreme Response]]/21</f>
        <v>9.5238095238095233E-2</v>
      </c>
      <c r="AR86">
        <f>Table67[[#This Row],[Threshold of ERS]]</f>
        <v>0.61904761904761907</v>
      </c>
      <c r="AS86" t="b">
        <f>Table7[[#This Row],[Extrem Response Ratio (ERS)]]&gt;=Table7[[#This Row],[Threshold of ERS]]</f>
        <v>0</v>
      </c>
      <c r="AT86" t="b" cm="1">
        <f t="array" ref="AT8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86">
        <f>COUNTIF(Table7[[#This Row],[The mechanism of digital assets is difficult to understand, which discourages me from exploring it (E.g, Tokenization, Blockchain)]:[If I want to try different ways to invest, I will explore digital assets.]], 3)</f>
        <v>0</v>
      </c>
      <c r="AV86">
        <f>Table7[[#This Row],[Midpoint]]/21</f>
        <v>0</v>
      </c>
      <c r="AW86">
        <f>Table67[[#This Row],[Threshold of Midpoint ratio]]</f>
        <v>0.5714285714285714</v>
      </c>
      <c r="AX86" t="b">
        <f>Table7[[#This Row],[Midpoint ratio]]&gt;=Table7[[#This Row],[Threshold of Midpoint ratio]]</f>
        <v>0</v>
      </c>
      <c r="AY86" t="b">
        <f>OR(Table7[[#This Row],[Extreme Response Style]:[Straight-lining with 1 deviation]],Table7[[#This Row],[Mid-point Response Style]])</f>
        <v>0</v>
      </c>
      <c r="AZ86" t="b">
        <f>OR(Table7[[#This Row],[Delete? (Stage 1)]],Table7[[#This Row],[Delete? (Stage 2)]])</f>
        <v>0</v>
      </c>
      <c r="BA86" t="s">
        <v>81</v>
      </c>
    </row>
    <row r="87" spans="1:53">
      <c r="A87">
        <v>410</v>
      </c>
      <c r="B87" s="3">
        <v>46043.524675925903</v>
      </c>
      <c r="C87" s="3">
        <v>46043.527928240699</v>
      </c>
      <c r="D87" t="s">
        <v>53</v>
      </c>
      <c r="G87" t="s">
        <v>54</v>
      </c>
      <c r="H87" t="s">
        <v>63</v>
      </c>
      <c r="I87" t="s">
        <v>56</v>
      </c>
      <c r="J87" t="s">
        <v>57</v>
      </c>
      <c r="K87" t="s">
        <v>57</v>
      </c>
      <c r="L87" t="s">
        <v>58</v>
      </c>
      <c r="M87" t="s">
        <v>61</v>
      </c>
      <c r="N87">
        <v>3</v>
      </c>
      <c r="O87">
        <v>3</v>
      </c>
      <c r="P87">
        <v>2</v>
      </c>
      <c r="Q87">
        <v>3</v>
      </c>
      <c r="R87">
        <v>2</v>
      </c>
      <c r="S87">
        <v>3</v>
      </c>
      <c r="T87">
        <v>2</v>
      </c>
      <c r="U87">
        <v>4</v>
      </c>
      <c r="V87">
        <v>4</v>
      </c>
      <c r="W87">
        <v>4</v>
      </c>
      <c r="X87">
        <v>3</v>
      </c>
      <c r="Y87">
        <v>4</v>
      </c>
      <c r="Z87">
        <v>4</v>
      </c>
      <c r="AA87">
        <v>3</v>
      </c>
      <c r="AB87">
        <v>2</v>
      </c>
      <c r="AC87">
        <v>3</v>
      </c>
      <c r="AD87">
        <v>4</v>
      </c>
      <c r="AE87">
        <v>4</v>
      </c>
      <c r="AF87">
        <v>2</v>
      </c>
      <c r="AG87">
        <v>3</v>
      </c>
      <c r="AH87">
        <v>3</v>
      </c>
      <c r="AI87">
        <v>3</v>
      </c>
      <c r="AJ87">
        <v>4</v>
      </c>
      <c r="AK87" t="b">
        <f>Table7[[#This Row],[What is your age?]]&lt;&gt;"18 - 25"</f>
        <v>0</v>
      </c>
      <c r="AL87" t="b">
        <f t="shared" si="3"/>
        <v>0</v>
      </c>
      <c r="AM87" t="b">
        <f t="shared" si="4"/>
        <v>0</v>
      </c>
      <c r="AN87" t="b">
        <f t="shared" si="5"/>
        <v>0</v>
      </c>
      <c r="AO87" t="b">
        <f>OR(Table7[[#This Row],[Ineligible respondents]:[Inconsistent response on opposite question (3)]])</f>
        <v>0</v>
      </c>
      <c r="AP8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87">
        <f>Table7[[#This Row],[Extreme Response]]/21</f>
        <v>0</v>
      </c>
      <c r="AR87">
        <f>Table67[[#This Row],[Threshold of ERS]]</f>
        <v>0.61904761904761907</v>
      </c>
      <c r="AS87" t="b">
        <f>Table7[[#This Row],[Extrem Response Ratio (ERS)]]&gt;=Table7[[#This Row],[Threshold of ERS]]</f>
        <v>0</v>
      </c>
      <c r="AT87" t="b" cm="1">
        <f t="array" ref="AT8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87">
        <f>COUNTIF(Table7[[#This Row],[The mechanism of digital assets is difficult to understand, which discourages me from exploring it (E.g, Tokenization, Blockchain)]:[If I want to try different ways to invest, I will explore digital assets.]], 3)</f>
        <v>9</v>
      </c>
      <c r="AV87">
        <f>Table7[[#This Row],[Midpoint]]/21</f>
        <v>0.42857142857142855</v>
      </c>
      <c r="AW87">
        <f>Table67[[#This Row],[Threshold of Midpoint ratio]]</f>
        <v>0.5714285714285714</v>
      </c>
      <c r="AX87" t="b">
        <f>Table7[[#This Row],[Midpoint ratio]]&gt;=Table7[[#This Row],[Threshold of Midpoint ratio]]</f>
        <v>0</v>
      </c>
      <c r="AY87" t="b">
        <f>OR(Table7[[#This Row],[Extreme Response Style]:[Straight-lining with 1 deviation]],Table7[[#This Row],[Mid-point Response Style]])</f>
        <v>0</v>
      </c>
      <c r="AZ87" t="b">
        <f>OR(Table7[[#This Row],[Delete? (Stage 1)]],Table7[[#This Row],[Delete? (Stage 2)]])</f>
        <v>0</v>
      </c>
      <c r="BA87" t="s">
        <v>81</v>
      </c>
    </row>
    <row r="88" spans="1:53">
      <c r="A88">
        <v>411</v>
      </c>
      <c r="B88" s="3">
        <v>46043.524884259299</v>
      </c>
      <c r="C88" s="3">
        <v>46043.527210648099</v>
      </c>
      <c r="D88" t="s">
        <v>53</v>
      </c>
      <c r="G88" t="s">
        <v>54</v>
      </c>
      <c r="H88" t="s">
        <v>63</v>
      </c>
      <c r="I88" t="s">
        <v>69</v>
      </c>
      <c r="J88" t="s">
        <v>60</v>
      </c>
      <c r="K88" t="s">
        <v>62</v>
      </c>
      <c r="L88" t="s">
        <v>58</v>
      </c>
      <c r="M88" t="s">
        <v>61</v>
      </c>
      <c r="N88">
        <v>3</v>
      </c>
      <c r="O88">
        <v>1</v>
      </c>
      <c r="P88">
        <v>4</v>
      </c>
      <c r="Q88">
        <v>4</v>
      </c>
      <c r="R88">
        <v>3</v>
      </c>
      <c r="S88">
        <v>4</v>
      </c>
      <c r="T88">
        <v>4</v>
      </c>
      <c r="U88">
        <v>4</v>
      </c>
      <c r="V88">
        <v>5</v>
      </c>
      <c r="W88">
        <v>5</v>
      </c>
      <c r="X88">
        <v>4</v>
      </c>
      <c r="Y88">
        <v>4</v>
      </c>
      <c r="Z88">
        <v>4</v>
      </c>
      <c r="AA88">
        <v>4</v>
      </c>
      <c r="AB88">
        <v>4</v>
      </c>
      <c r="AC88">
        <v>4</v>
      </c>
      <c r="AD88">
        <v>4</v>
      </c>
      <c r="AE88">
        <v>4</v>
      </c>
      <c r="AF88">
        <v>2</v>
      </c>
      <c r="AG88">
        <v>4</v>
      </c>
      <c r="AH88">
        <v>2</v>
      </c>
      <c r="AI88">
        <v>4</v>
      </c>
      <c r="AJ88">
        <v>4</v>
      </c>
      <c r="AK88" t="b">
        <f>Table7[[#This Row],[What is your age?]]&lt;&gt;"18 - 25"</f>
        <v>0</v>
      </c>
      <c r="AL88" t="b">
        <f t="shared" si="3"/>
        <v>0</v>
      </c>
      <c r="AM88" t="b">
        <f t="shared" si="4"/>
        <v>0</v>
      </c>
      <c r="AN88" t="b">
        <f t="shared" si="5"/>
        <v>0</v>
      </c>
      <c r="AO88" t="b">
        <f>OR(Table7[[#This Row],[Ineligible respondents]:[Inconsistent response on opposite question (3)]])</f>
        <v>0</v>
      </c>
      <c r="AP8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88">
        <f>Table7[[#This Row],[Extreme Response]]/21</f>
        <v>0.14285714285714285</v>
      </c>
      <c r="AR88">
        <f>Table67[[#This Row],[Threshold of ERS]]</f>
        <v>0.61904761904761907</v>
      </c>
      <c r="AS88" t="b">
        <f>Table7[[#This Row],[Extrem Response Ratio (ERS)]]&gt;=Table7[[#This Row],[Threshold of ERS]]</f>
        <v>0</v>
      </c>
      <c r="AT88" t="b" cm="1">
        <f t="array" ref="AT8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88">
        <f>COUNTIF(Table7[[#This Row],[The mechanism of digital assets is difficult to understand, which discourages me from exploring it (E.g, Tokenization, Blockchain)]:[If I want to try different ways to invest, I will explore digital assets.]], 3)</f>
        <v>2</v>
      </c>
      <c r="AV88">
        <f>Table7[[#This Row],[Midpoint]]/21</f>
        <v>9.5238095238095233E-2</v>
      </c>
      <c r="AW88">
        <f>Table67[[#This Row],[Threshold of Midpoint ratio]]</f>
        <v>0.5714285714285714</v>
      </c>
      <c r="AX88" t="b">
        <f>Table7[[#This Row],[Midpoint ratio]]&gt;=Table7[[#This Row],[Threshold of Midpoint ratio]]</f>
        <v>0</v>
      </c>
      <c r="AY88" t="b">
        <f>OR(Table7[[#This Row],[Extreme Response Style]:[Straight-lining with 1 deviation]],Table7[[#This Row],[Mid-point Response Style]])</f>
        <v>0</v>
      </c>
      <c r="AZ88" t="b">
        <f>OR(Table7[[#This Row],[Delete? (Stage 1)]],Table7[[#This Row],[Delete? (Stage 2)]])</f>
        <v>0</v>
      </c>
      <c r="BA88" t="s">
        <v>81</v>
      </c>
    </row>
    <row r="89" spans="1:53">
      <c r="A89">
        <v>412</v>
      </c>
      <c r="B89" s="3">
        <v>46043.525254629603</v>
      </c>
      <c r="C89" s="3">
        <v>46043.526932870402</v>
      </c>
      <c r="D89" t="s">
        <v>53</v>
      </c>
      <c r="G89" t="s">
        <v>54</v>
      </c>
      <c r="H89" t="s">
        <v>63</v>
      </c>
      <c r="I89" t="s">
        <v>71</v>
      </c>
      <c r="J89" t="s">
        <v>57</v>
      </c>
      <c r="K89" t="s">
        <v>60</v>
      </c>
      <c r="L89" t="s">
        <v>61</v>
      </c>
      <c r="M89" t="s">
        <v>58</v>
      </c>
      <c r="N89">
        <v>3</v>
      </c>
      <c r="O89">
        <v>2</v>
      </c>
      <c r="P89">
        <v>2</v>
      </c>
      <c r="Q89">
        <v>3</v>
      </c>
      <c r="R89">
        <v>4</v>
      </c>
      <c r="S89">
        <v>3</v>
      </c>
      <c r="T89">
        <v>3</v>
      </c>
      <c r="U89">
        <v>4</v>
      </c>
      <c r="V89">
        <v>4</v>
      </c>
      <c r="W89">
        <v>4</v>
      </c>
      <c r="X89">
        <v>4</v>
      </c>
      <c r="Y89">
        <v>4</v>
      </c>
      <c r="Z89">
        <v>3</v>
      </c>
      <c r="AA89">
        <v>3</v>
      </c>
      <c r="AB89">
        <v>4</v>
      </c>
      <c r="AC89">
        <v>4</v>
      </c>
      <c r="AD89">
        <v>3</v>
      </c>
      <c r="AE89">
        <v>2</v>
      </c>
      <c r="AF89">
        <v>2</v>
      </c>
      <c r="AG89">
        <v>3</v>
      </c>
      <c r="AH89">
        <v>3</v>
      </c>
      <c r="AI89">
        <v>3</v>
      </c>
      <c r="AJ89">
        <v>4</v>
      </c>
      <c r="AK89" t="b">
        <f>Table7[[#This Row],[What is your age?]]&lt;&gt;"18 - 25"</f>
        <v>0</v>
      </c>
      <c r="AL89" t="b">
        <f t="shared" si="3"/>
        <v>0</v>
      </c>
      <c r="AM89" t="b">
        <f t="shared" si="4"/>
        <v>0</v>
      </c>
      <c r="AN89" t="b">
        <f t="shared" si="5"/>
        <v>0</v>
      </c>
      <c r="AO89" t="b">
        <f>OR(Table7[[#This Row],[Ineligible respondents]:[Inconsistent response on opposite question (3)]])</f>
        <v>0</v>
      </c>
      <c r="AP8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89">
        <f>Table7[[#This Row],[Extreme Response]]/21</f>
        <v>0</v>
      </c>
      <c r="AR89">
        <f>Table67[[#This Row],[Threshold of ERS]]</f>
        <v>0.61904761904761907</v>
      </c>
      <c r="AS89" t="b">
        <f>Table7[[#This Row],[Extrem Response Ratio (ERS)]]&gt;=Table7[[#This Row],[Threshold of ERS]]</f>
        <v>0</v>
      </c>
      <c r="AT89" t="b" cm="1">
        <f t="array" ref="AT8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89">
        <f>COUNTIF(Table7[[#This Row],[The mechanism of digital assets is difficult to understand, which discourages me from exploring it (E.g, Tokenization, Blockchain)]:[If I want to try different ways to invest, I will explore digital assets.]], 3)</f>
        <v>9</v>
      </c>
      <c r="AV89">
        <f>Table7[[#This Row],[Midpoint]]/21</f>
        <v>0.42857142857142855</v>
      </c>
      <c r="AW89">
        <f>Table67[[#This Row],[Threshold of Midpoint ratio]]</f>
        <v>0.5714285714285714</v>
      </c>
      <c r="AX89" t="b">
        <f>Table7[[#This Row],[Midpoint ratio]]&gt;=Table7[[#This Row],[Threshold of Midpoint ratio]]</f>
        <v>0</v>
      </c>
      <c r="AY89" t="b">
        <f>OR(Table7[[#This Row],[Extreme Response Style]:[Straight-lining with 1 deviation]],Table7[[#This Row],[Mid-point Response Style]])</f>
        <v>0</v>
      </c>
      <c r="AZ89" t="b">
        <f>OR(Table7[[#This Row],[Delete? (Stage 1)]],Table7[[#This Row],[Delete? (Stage 2)]])</f>
        <v>0</v>
      </c>
      <c r="BA89" t="s">
        <v>81</v>
      </c>
    </row>
    <row r="90" spans="1:53">
      <c r="A90">
        <v>413</v>
      </c>
      <c r="B90" s="3">
        <v>46043.525844907403</v>
      </c>
      <c r="C90" s="3">
        <v>46043.528344907398</v>
      </c>
      <c r="D90" t="s">
        <v>53</v>
      </c>
      <c r="G90" t="s">
        <v>54</v>
      </c>
      <c r="H90" t="s">
        <v>63</v>
      </c>
      <c r="I90" t="s">
        <v>56</v>
      </c>
      <c r="J90" t="s">
        <v>57</v>
      </c>
      <c r="K90" t="s">
        <v>57</v>
      </c>
      <c r="L90" t="s">
        <v>58</v>
      </c>
      <c r="M90" t="s">
        <v>58</v>
      </c>
      <c r="N90">
        <v>3</v>
      </c>
      <c r="O90">
        <v>3</v>
      </c>
      <c r="P90">
        <v>3</v>
      </c>
      <c r="Q90">
        <v>2</v>
      </c>
      <c r="R90">
        <v>4</v>
      </c>
      <c r="S90">
        <v>4</v>
      </c>
      <c r="T90">
        <v>3</v>
      </c>
      <c r="U90">
        <v>3</v>
      </c>
      <c r="V90">
        <v>4</v>
      </c>
      <c r="W90">
        <v>4</v>
      </c>
      <c r="X90">
        <v>3</v>
      </c>
      <c r="Y90">
        <v>4</v>
      </c>
      <c r="Z90">
        <v>3</v>
      </c>
      <c r="AA90">
        <v>3</v>
      </c>
      <c r="AB90">
        <v>4</v>
      </c>
      <c r="AC90">
        <v>2</v>
      </c>
      <c r="AD90">
        <v>2</v>
      </c>
      <c r="AE90">
        <v>4</v>
      </c>
      <c r="AF90">
        <v>3</v>
      </c>
      <c r="AG90">
        <v>2</v>
      </c>
      <c r="AH90">
        <v>4</v>
      </c>
      <c r="AI90">
        <v>2</v>
      </c>
      <c r="AJ90">
        <v>3</v>
      </c>
      <c r="AK90" t="b">
        <f>Table7[[#This Row],[What is your age?]]&lt;&gt;"18 - 25"</f>
        <v>0</v>
      </c>
      <c r="AL90" t="b">
        <f t="shared" si="3"/>
        <v>0</v>
      </c>
      <c r="AM90" t="b">
        <f t="shared" si="4"/>
        <v>0</v>
      </c>
      <c r="AN90" t="b">
        <f t="shared" si="5"/>
        <v>0</v>
      </c>
      <c r="AO90" t="b">
        <f>OR(Table7[[#This Row],[Ineligible respondents]:[Inconsistent response on opposite question (3)]])</f>
        <v>0</v>
      </c>
      <c r="AP9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90">
        <f>Table7[[#This Row],[Extreme Response]]/21</f>
        <v>0</v>
      </c>
      <c r="AR90">
        <f>Table67[[#This Row],[Threshold of ERS]]</f>
        <v>0.61904761904761907</v>
      </c>
      <c r="AS90" t="b">
        <f>Table7[[#This Row],[Extrem Response Ratio (ERS)]]&gt;=Table7[[#This Row],[Threshold of ERS]]</f>
        <v>0</v>
      </c>
      <c r="AT90" t="b" cm="1">
        <f t="array" ref="AT9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90">
        <f>COUNTIF(Table7[[#This Row],[The mechanism of digital assets is difficult to understand, which discourages me from exploring it (E.g, Tokenization, Blockchain)]:[If I want to try different ways to invest, I will explore digital assets.]], 3)</f>
        <v>9</v>
      </c>
      <c r="AV90">
        <f>Table7[[#This Row],[Midpoint]]/21</f>
        <v>0.42857142857142855</v>
      </c>
      <c r="AW90">
        <f>Table67[[#This Row],[Threshold of Midpoint ratio]]</f>
        <v>0.5714285714285714</v>
      </c>
      <c r="AX90" t="b">
        <f>Table7[[#This Row],[Midpoint ratio]]&gt;=Table7[[#This Row],[Threshold of Midpoint ratio]]</f>
        <v>0</v>
      </c>
      <c r="AY90" t="b">
        <f>OR(Table7[[#This Row],[Extreme Response Style]:[Straight-lining with 1 deviation]],Table7[[#This Row],[Mid-point Response Style]])</f>
        <v>0</v>
      </c>
      <c r="AZ90" t="b">
        <f>OR(Table7[[#This Row],[Delete? (Stage 1)]],Table7[[#This Row],[Delete? (Stage 2)]])</f>
        <v>0</v>
      </c>
      <c r="BA90" t="s">
        <v>81</v>
      </c>
    </row>
    <row r="91" spans="1:53">
      <c r="A91">
        <v>418</v>
      </c>
      <c r="B91" s="3">
        <v>46043.577708333301</v>
      </c>
      <c r="C91" s="3">
        <v>46043.5786226852</v>
      </c>
      <c r="D91" t="s">
        <v>53</v>
      </c>
      <c r="G91" t="s">
        <v>54</v>
      </c>
      <c r="H91" t="s">
        <v>63</v>
      </c>
      <c r="I91" t="s">
        <v>56</v>
      </c>
      <c r="J91" t="s">
        <v>62</v>
      </c>
      <c r="K91" t="s">
        <v>57</v>
      </c>
      <c r="L91" t="s">
        <v>58</v>
      </c>
      <c r="M91" t="s">
        <v>61</v>
      </c>
      <c r="N91">
        <v>4</v>
      </c>
      <c r="O91">
        <v>3</v>
      </c>
      <c r="P91">
        <v>3</v>
      </c>
      <c r="Q91">
        <v>3</v>
      </c>
      <c r="R91">
        <v>5</v>
      </c>
      <c r="S91">
        <v>5</v>
      </c>
      <c r="T91">
        <v>3</v>
      </c>
      <c r="U91">
        <v>4</v>
      </c>
      <c r="V91">
        <v>5</v>
      </c>
      <c r="W91">
        <v>4</v>
      </c>
      <c r="X91">
        <v>5</v>
      </c>
      <c r="Y91">
        <v>5</v>
      </c>
      <c r="Z91">
        <v>5</v>
      </c>
      <c r="AA91">
        <v>5</v>
      </c>
      <c r="AB91">
        <v>5</v>
      </c>
      <c r="AC91">
        <v>5</v>
      </c>
      <c r="AD91">
        <v>4</v>
      </c>
      <c r="AE91">
        <v>4</v>
      </c>
      <c r="AF91">
        <v>3</v>
      </c>
      <c r="AG91">
        <v>3</v>
      </c>
      <c r="AH91">
        <v>3</v>
      </c>
      <c r="AI91">
        <v>3</v>
      </c>
      <c r="AJ91">
        <v>3</v>
      </c>
      <c r="AK91" t="b">
        <f>Table7[[#This Row],[What is your age?]]&lt;&gt;"18 - 25"</f>
        <v>0</v>
      </c>
      <c r="AL91" t="b">
        <f t="shared" si="3"/>
        <v>0</v>
      </c>
      <c r="AM91" t="b">
        <f t="shared" si="4"/>
        <v>0</v>
      </c>
      <c r="AN91" t="b">
        <f t="shared" si="5"/>
        <v>0</v>
      </c>
      <c r="AO91" t="b">
        <f>OR(Table7[[#This Row],[Ineligible respondents]:[Inconsistent response on opposite question (3)]])</f>
        <v>0</v>
      </c>
      <c r="AP9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9</v>
      </c>
      <c r="AQ91">
        <f>Table7[[#This Row],[Extreme Response]]/21</f>
        <v>0.42857142857142855</v>
      </c>
      <c r="AR91">
        <f>Table67[[#This Row],[Threshold of ERS]]</f>
        <v>0.61904761904761907</v>
      </c>
      <c r="AS91" t="b">
        <f>Table7[[#This Row],[Extrem Response Ratio (ERS)]]&gt;=Table7[[#This Row],[Threshold of ERS]]</f>
        <v>0</v>
      </c>
      <c r="AT91" t="b" cm="1">
        <f t="array" ref="AT9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91">
        <f>COUNTIF(Table7[[#This Row],[The mechanism of digital assets is difficult to understand, which discourages me from exploring it (E.g, Tokenization, Blockchain)]:[If I want to try different ways to invest, I will explore digital assets.]], 3)</f>
        <v>7</v>
      </c>
      <c r="AV91">
        <f>Table7[[#This Row],[Midpoint]]/21</f>
        <v>0.33333333333333331</v>
      </c>
      <c r="AW91">
        <f>Table67[[#This Row],[Threshold of Midpoint ratio]]</f>
        <v>0.5714285714285714</v>
      </c>
      <c r="AX91" t="b">
        <f>Table7[[#This Row],[Midpoint ratio]]&gt;=Table7[[#This Row],[Threshold of Midpoint ratio]]</f>
        <v>0</v>
      </c>
      <c r="AY91" t="b">
        <f>OR(Table7[[#This Row],[Extreme Response Style]:[Straight-lining with 1 deviation]],Table7[[#This Row],[Mid-point Response Style]])</f>
        <v>0</v>
      </c>
      <c r="AZ91" t="b">
        <f>OR(Table7[[#This Row],[Delete? (Stage 1)]],Table7[[#This Row],[Delete? (Stage 2)]])</f>
        <v>0</v>
      </c>
      <c r="BA91" t="s">
        <v>81</v>
      </c>
    </row>
    <row r="92" spans="1:53">
      <c r="A92">
        <v>419</v>
      </c>
      <c r="B92" s="3">
        <v>46043.577881944402</v>
      </c>
      <c r="C92" s="3">
        <v>46043.580671296302</v>
      </c>
      <c r="D92" t="s">
        <v>53</v>
      </c>
      <c r="G92" t="s">
        <v>54</v>
      </c>
      <c r="H92" t="s">
        <v>63</v>
      </c>
      <c r="I92" t="s">
        <v>56</v>
      </c>
      <c r="J92" t="s">
        <v>60</v>
      </c>
      <c r="K92" t="s">
        <v>57</v>
      </c>
      <c r="L92" t="s">
        <v>58</v>
      </c>
      <c r="M92" t="s">
        <v>58</v>
      </c>
      <c r="N92">
        <v>4</v>
      </c>
      <c r="O92">
        <v>3</v>
      </c>
      <c r="P92">
        <v>3</v>
      </c>
      <c r="Q92">
        <v>3</v>
      </c>
      <c r="R92">
        <v>2</v>
      </c>
      <c r="S92">
        <v>2</v>
      </c>
      <c r="T92">
        <v>3</v>
      </c>
      <c r="U92">
        <v>3</v>
      </c>
      <c r="V92">
        <v>2</v>
      </c>
      <c r="W92">
        <v>3</v>
      </c>
      <c r="X92">
        <v>4</v>
      </c>
      <c r="Y92">
        <v>4</v>
      </c>
      <c r="Z92">
        <v>4</v>
      </c>
      <c r="AA92">
        <v>4</v>
      </c>
      <c r="AB92">
        <v>3</v>
      </c>
      <c r="AC92">
        <v>3</v>
      </c>
      <c r="AD92">
        <v>2</v>
      </c>
      <c r="AE92">
        <v>4</v>
      </c>
      <c r="AF92">
        <v>2</v>
      </c>
      <c r="AG92">
        <v>3</v>
      </c>
      <c r="AH92">
        <v>3</v>
      </c>
      <c r="AI92">
        <v>3</v>
      </c>
      <c r="AJ92">
        <v>4</v>
      </c>
      <c r="AK92" t="b">
        <f>Table7[[#This Row],[What is your age?]]&lt;&gt;"18 - 25"</f>
        <v>0</v>
      </c>
      <c r="AL92" t="b">
        <f t="shared" si="3"/>
        <v>0</v>
      </c>
      <c r="AM92" t="b">
        <f t="shared" si="4"/>
        <v>0</v>
      </c>
      <c r="AN92" t="b">
        <f t="shared" si="5"/>
        <v>0</v>
      </c>
      <c r="AO92" t="b">
        <f>OR(Table7[[#This Row],[Ineligible respondents]:[Inconsistent response on opposite question (3)]])</f>
        <v>0</v>
      </c>
      <c r="AP9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92">
        <f>Table7[[#This Row],[Extreme Response]]/21</f>
        <v>0</v>
      </c>
      <c r="AR92">
        <f>Table67[[#This Row],[Threshold of ERS]]</f>
        <v>0.61904761904761907</v>
      </c>
      <c r="AS92" t="b">
        <f>Table7[[#This Row],[Extrem Response Ratio (ERS)]]&gt;=Table7[[#This Row],[Threshold of ERS]]</f>
        <v>0</v>
      </c>
      <c r="AT92" t="b" cm="1">
        <f t="array" ref="AT9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92">
        <f>COUNTIF(Table7[[#This Row],[The mechanism of digital assets is difficult to understand, which discourages me from exploring it (E.g, Tokenization, Blockchain)]:[If I want to try different ways to invest, I will explore digital assets.]], 3)</f>
        <v>10</v>
      </c>
      <c r="AV92">
        <f>Table7[[#This Row],[Midpoint]]/21</f>
        <v>0.47619047619047616</v>
      </c>
      <c r="AW92">
        <f>Table67[[#This Row],[Threshold of Midpoint ratio]]</f>
        <v>0.5714285714285714</v>
      </c>
      <c r="AX92" t="b">
        <f>Table7[[#This Row],[Midpoint ratio]]&gt;=Table7[[#This Row],[Threshold of Midpoint ratio]]</f>
        <v>0</v>
      </c>
      <c r="AY92" t="b">
        <f>OR(Table7[[#This Row],[Extreme Response Style]:[Straight-lining with 1 deviation]],Table7[[#This Row],[Mid-point Response Style]])</f>
        <v>0</v>
      </c>
      <c r="AZ92" t="b">
        <f>OR(Table7[[#This Row],[Delete? (Stage 1)]],Table7[[#This Row],[Delete? (Stage 2)]])</f>
        <v>0</v>
      </c>
      <c r="BA92" t="s">
        <v>81</v>
      </c>
    </row>
    <row r="93" spans="1:53">
      <c r="A93">
        <v>420</v>
      </c>
      <c r="B93" s="3">
        <v>46043.577905092599</v>
      </c>
      <c r="C93" s="3">
        <v>46043.580381944397</v>
      </c>
      <c r="D93" t="s">
        <v>53</v>
      </c>
      <c r="G93" t="s">
        <v>54</v>
      </c>
      <c r="H93" t="s">
        <v>63</v>
      </c>
      <c r="I93" t="s">
        <v>56</v>
      </c>
      <c r="J93" t="s">
        <v>60</v>
      </c>
      <c r="K93" t="s">
        <v>57</v>
      </c>
      <c r="L93" t="s">
        <v>58</v>
      </c>
      <c r="M93" t="s">
        <v>58</v>
      </c>
      <c r="N93">
        <v>4</v>
      </c>
      <c r="O93">
        <v>2</v>
      </c>
      <c r="P93">
        <v>4</v>
      </c>
      <c r="Q93">
        <v>4</v>
      </c>
      <c r="R93">
        <v>4</v>
      </c>
      <c r="S93">
        <v>4</v>
      </c>
      <c r="T93">
        <v>2</v>
      </c>
      <c r="U93">
        <v>4</v>
      </c>
      <c r="V93">
        <v>4</v>
      </c>
      <c r="W93">
        <v>4</v>
      </c>
      <c r="X93">
        <v>4</v>
      </c>
      <c r="Y93">
        <v>4</v>
      </c>
      <c r="Z93">
        <v>4</v>
      </c>
      <c r="AA93">
        <v>4</v>
      </c>
      <c r="AB93">
        <v>2</v>
      </c>
      <c r="AC93">
        <v>2</v>
      </c>
      <c r="AD93">
        <v>4</v>
      </c>
      <c r="AE93">
        <v>4</v>
      </c>
      <c r="AF93">
        <v>4</v>
      </c>
      <c r="AG93">
        <v>2</v>
      </c>
      <c r="AH93">
        <v>4</v>
      </c>
      <c r="AI93">
        <v>2</v>
      </c>
      <c r="AJ93">
        <v>2</v>
      </c>
      <c r="AK93" t="b">
        <f>Table7[[#This Row],[What is your age?]]&lt;&gt;"18 - 25"</f>
        <v>0</v>
      </c>
      <c r="AL93" t="b">
        <f t="shared" si="3"/>
        <v>0</v>
      </c>
      <c r="AM93" t="b">
        <f t="shared" si="4"/>
        <v>0</v>
      </c>
      <c r="AN93" t="b">
        <f t="shared" si="5"/>
        <v>0</v>
      </c>
      <c r="AO93" t="b">
        <f>OR(Table7[[#This Row],[Ineligible respondents]:[Inconsistent response on opposite question (3)]])</f>
        <v>0</v>
      </c>
      <c r="AP9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93">
        <f>Table7[[#This Row],[Extreme Response]]/21</f>
        <v>0</v>
      </c>
      <c r="AR93">
        <f>Table67[[#This Row],[Threshold of ERS]]</f>
        <v>0.61904761904761907</v>
      </c>
      <c r="AS93" t="b">
        <f>Table7[[#This Row],[Extrem Response Ratio (ERS)]]&gt;=Table7[[#This Row],[Threshold of ERS]]</f>
        <v>0</v>
      </c>
      <c r="AT93" t="b" cm="1">
        <f t="array" ref="AT9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93">
        <f>COUNTIF(Table7[[#This Row],[The mechanism of digital assets is difficult to understand, which discourages me from exploring it (E.g, Tokenization, Blockchain)]:[If I want to try different ways to invest, I will explore digital assets.]], 3)</f>
        <v>0</v>
      </c>
      <c r="AV93">
        <f>Table7[[#This Row],[Midpoint]]/21</f>
        <v>0</v>
      </c>
      <c r="AW93">
        <f>Table67[[#This Row],[Threshold of Midpoint ratio]]</f>
        <v>0.5714285714285714</v>
      </c>
      <c r="AX93" t="b">
        <f>Table7[[#This Row],[Midpoint ratio]]&gt;=Table7[[#This Row],[Threshold of Midpoint ratio]]</f>
        <v>0</v>
      </c>
      <c r="AY93" t="b">
        <f>OR(Table7[[#This Row],[Extreme Response Style]:[Straight-lining with 1 deviation]],Table7[[#This Row],[Mid-point Response Style]])</f>
        <v>0</v>
      </c>
      <c r="AZ93" t="b">
        <f>OR(Table7[[#This Row],[Delete? (Stage 1)]],Table7[[#This Row],[Delete? (Stage 2)]])</f>
        <v>0</v>
      </c>
      <c r="BA93" t="s">
        <v>81</v>
      </c>
    </row>
    <row r="94" spans="1:53">
      <c r="A94">
        <v>425</v>
      </c>
      <c r="B94" s="3">
        <v>46043.579259259299</v>
      </c>
      <c r="C94" s="3">
        <v>46043.582349536999</v>
      </c>
      <c r="D94" t="s">
        <v>53</v>
      </c>
      <c r="G94" t="s">
        <v>54</v>
      </c>
      <c r="H94" t="s">
        <v>55</v>
      </c>
      <c r="I94" t="s">
        <v>56</v>
      </c>
      <c r="J94" t="s">
        <v>62</v>
      </c>
      <c r="K94" t="s">
        <v>57</v>
      </c>
      <c r="L94" t="s">
        <v>58</v>
      </c>
      <c r="M94" t="s">
        <v>61</v>
      </c>
      <c r="N94">
        <v>4</v>
      </c>
      <c r="O94">
        <v>3</v>
      </c>
      <c r="P94">
        <v>4</v>
      </c>
      <c r="Q94">
        <v>4</v>
      </c>
      <c r="R94">
        <v>5</v>
      </c>
      <c r="S94">
        <v>3</v>
      </c>
      <c r="T94">
        <v>5</v>
      </c>
      <c r="U94">
        <v>5</v>
      </c>
      <c r="V94">
        <v>5</v>
      </c>
      <c r="W94">
        <v>5</v>
      </c>
      <c r="X94">
        <v>4</v>
      </c>
      <c r="Y94">
        <v>5</v>
      </c>
      <c r="Z94">
        <v>5</v>
      </c>
      <c r="AA94">
        <v>5</v>
      </c>
      <c r="AB94">
        <v>4</v>
      </c>
      <c r="AC94">
        <v>5</v>
      </c>
      <c r="AD94">
        <v>5</v>
      </c>
      <c r="AE94">
        <v>4</v>
      </c>
      <c r="AF94">
        <v>2</v>
      </c>
      <c r="AG94">
        <v>5</v>
      </c>
      <c r="AH94">
        <v>2</v>
      </c>
      <c r="AI94">
        <v>4</v>
      </c>
      <c r="AJ94">
        <v>4</v>
      </c>
      <c r="AK94" t="b">
        <f>Table7[[#This Row],[What is your age?]]&lt;&gt;"18 - 25"</f>
        <v>0</v>
      </c>
      <c r="AL94" t="b">
        <f t="shared" si="3"/>
        <v>0</v>
      </c>
      <c r="AM94" t="b">
        <f t="shared" si="4"/>
        <v>0</v>
      </c>
      <c r="AN94" t="b">
        <f t="shared" si="5"/>
        <v>0</v>
      </c>
      <c r="AO94" t="b">
        <f>OR(Table7[[#This Row],[Ineligible respondents]:[Inconsistent response on opposite question (3)]])</f>
        <v>0</v>
      </c>
      <c r="AP9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11</v>
      </c>
      <c r="AQ94">
        <f>Table7[[#This Row],[Extreme Response]]/21</f>
        <v>0.52380952380952384</v>
      </c>
      <c r="AR94">
        <f>Table67[[#This Row],[Threshold of ERS]]</f>
        <v>0.61904761904761907</v>
      </c>
      <c r="AS94" t="b">
        <f>Table7[[#This Row],[Extrem Response Ratio (ERS)]]&gt;=Table7[[#This Row],[Threshold of ERS]]</f>
        <v>0</v>
      </c>
      <c r="AT94" t="b" cm="1">
        <f t="array" ref="AT9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94">
        <f>COUNTIF(Table7[[#This Row],[The mechanism of digital assets is difficult to understand, which discourages me from exploring it (E.g, Tokenization, Blockchain)]:[If I want to try different ways to invest, I will explore digital assets.]], 3)</f>
        <v>2</v>
      </c>
      <c r="AV94">
        <f>Table7[[#This Row],[Midpoint]]/21</f>
        <v>9.5238095238095233E-2</v>
      </c>
      <c r="AW94">
        <f>Table67[[#This Row],[Threshold of Midpoint ratio]]</f>
        <v>0.5714285714285714</v>
      </c>
      <c r="AX94" t="b">
        <f>Table7[[#This Row],[Midpoint ratio]]&gt;=Table7[[#This Row],[Threshold of Midpoint ratio]]</f>
        <v>0</v>
      </c>
      <c r="AY94" t="b">
        <f>OR(Table7[[#This Row],[Extreme Response Style]:[Straight-lining with 1 deviation]],Table7[[#This Row],[Mid-point Response Style]])</f>
        <v>0</v>
      </c>
      <c r="AZ94" t="b">
        <f>OR(Table7[[#This Row],[Delete? (Stage 1)]],Table7[[#This Row],[Delete? (Stage 2)]])</f>
        <v>0</v>
      </c>
      <c r="BA94" t="s">
        <v>81</v>
      </c>
    </row>
    <row r="95" spans="1:53">
      <c r="A95">
        <v>426</v>
      </c>
      <c r="B95" s="3">
        <v>46043.579444444404</v>
      </c>
      <c r="C95" s="3">
        <v>46043.581041666701</v>
      </c>
      <c r="D95" t="s">
        <v>53</v>
      </c>
      <c r="G95" t="s">
        <v>54</v>
      </c>
      <c r="H95" t="s">
        <v>55</v>
      </c>
      <c r="I95" t="s">
        <v>56</v>
      </c>
      <c r="J95" t="s">
        <v>62</v>
      </c>
      <c r="K95" t="s">
        <v>62</v>
      </c>
      <c r="L95" t="s">
        <v>61</v>
      </c>
      <c r="M95" t="s">
        <v>61</v>
      </c>
      <c r="N95">
        <v>3</v>
      </c>
      <c r="O95">
        <v>2</v>
      </c>
      <c r="P95">
        <v>4</v>
      </c>
      <c r="Q95">
        <v>4</v>
      </c>
      <c r="R95">
        <v>2</v>
      </c>
      <c r="S95">
        <v>2</v>
      </c>
      <c r="T95">
        <v>3</v>
      </c>
      <c r="U95">
        <v>3</v>
      </c>
      <c r="V95">
        <v>3</v>
      </c>
      <c r="W95">
        <v>4</v>
      </c>
      <c r="X95">
        <v>3</v>
      </c>
      <c r="Y95">
        <v>3</v>
      </c>
      <c r="Z95">
        <v>4</v>
      </c>
      <c r="AA95">
        <v>4</v>
      </c>
      <c r="AB95">
        <v>3</v>
      </c>
      <c r="AC95">
        <v>3</v>
      </c>
      <c r="AD95">
        <v>2</v>
      </c>
      <c r="AE95">
        <v>3</v>
      </c>
      <c r="AF95">
        <v>4</v>
      </c>
      <c r="AG95">
        <v>2</v>
      </c>
      <c r="AH95">
        <v>4</v>
      </c>
      <c r="AI95">
        <v>2</v>
      </c>
      <c r="AJ95">
        <v>2</v>
      </c>
      <c r="AK95" t="b">
        <f>Table7[[#This Row],[What is your age?]]&lt;&gt;"18 - 25"</f>
        <v>0</v>
      </c>
      <c r="AL95" t="b">
        <f t="shared" si="3"/>
        <v>0</v>
      </c>
      <c r="AM95" t="b">
        <f t="shared" si="4"/>
        <v>0</v>
      </c>
      <c r="AN95" t="b">
        <f t="shared" si="5"/>
        <v>0</v>
      </c>
      <c r="AO95" t="b">
        <f>OR(Table7[[#This Row],[Ineligible respondents]:[Inconsistent response on opposite question (3)]])</f>
        <v>0</v>
      </c>
      <c r="AP9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95">
        <f>Table7[[#This Row],[Extreme Response]]/21</f>
        <v>0</v>
      </c>
      <c r="AR95">
        <f>Table67[[#This Row],[Threshold of ERS]]</f>
        <v>0.61904761904761907</v>
      </c>
      <c r="AS95" t="b">
        <f>Table7[[#This Row],[Extrem Response Ratio (ERS)]]&gt;=Table7[[#This Row],[Threshold of ERS]]</f>
        <v>0</v>
      </c>
      <c r="AT95" t="b" cm="1">
        <f t="array" ref="AT9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95">
        <f>COUNTIF(Table7[[#This Row],[The mechanism of digital assets is difficult to understand, which discourages me from exploring it (E.g, Tokenization, Blockchain)]:[If I want to try different ways to invest, I will explore digital assets.]], 3)</f>
        <v>9</v>
      </c>
      <c r="AV95">
        <f>Table7[[#This Row],[Midpoint]]/21</f>
        <v>0.42857142857142855</v>
      </c>
      <c r="AW95">
        <f>Table67[[#This Row],[Threshold of Midpoint ratio]]</f>
        <v>0.5714285714285714</v>
      </c>
      <c r="AX95" t="b">
        <f>Table7[[#This Row],[Midpoint ratio]]&gt;=Table7[[#This Row],[Threshold of Midpoint ratio]]</f>
        <v>0</v>
      </c>
      <c r="AY95" t="b">
        <f>OR(Table7[[#This Row],[Extreme Response Style]:[Straight-lining with 1 deviation]],Table7[[#This Row],[Mid-point Response Style]])</f>
        <v>0</v>
      </c>
      <c r="AZ95" t="b">
        <f>OR(Table7[[#This Row],[Delete? (Stage 1)]],Table7[[#This Row],[Delete? (Stage 2)]])</f>
        <v>0</v>
      </c>
      <c r="BA95" t="s">
        <v>81</v>
      </c>
    </row>
    <row r="96" spans="1:53">
      <c r="A96">
        <v>434</v>
      </c>
      <c r="B96" s="3">
        <v>46043.582893518498</v>
      </c>
      <c r="C96" s="3">
        <v>46043.5852662037</v>
      </c>
      <c r="D96" t="s">
        <v>53</v>
      </c>
      <c r="G96" t="s">
        <v>54</v>
      </c>
      <c r="H96" t="s">
        <v>55</v>
      </c>
      <c r="I96" t="s">
        <v>71</v>
      </c>
      <c r="J96" t="s">
        <v>60</v>
      </c>
      <c r="K96" t="s">
        <v>57</v>
      </c>
      <c r="L96" t="s">
        <v>58</v>
      </c>
      <c r="M96" t="s">
        <v>61</v>
      </c>
      <c r="N96">
        <v>2</v>
      </c>
      <c r="O96">
        <v>2</v>
      </c>
      <c r="P96">
        <v>3</v>
      </c>
      <c r="Q96">
        <v>2</v>
      </c>
      <c r="R96">
        <v>2</v>
      </c>
      <c r="S96">
        <v>4</v>
      </c>
      <c r="T96">
        <v>3</v>
      </c>
      <c r="U96">
        <v>4</v>
      </c>
      <c r="V96">
        <v>4</v>
      </c>
      <c r="W96">
        <v>5</v>
      </c>
      <c r="X96">
        <v>4</v>
      </c>
      <c r="Y96">
        <v>4</v>
      </c>
      <c r="Z96">
        <v>5</v>
      </c>
      <c r="AA96">
        <v>3</v>
      </c>
      <c r="AB96">
        <v>2</v>
      </c>
      <c r="AC96">
        <v>3</v>
      </c>
      <c r="AD96">
        <v>4</v>
      </c>
      <c r="AE96">
        <v>3</v>
      </c>
      <c r="AF96">
        <v>3</v>
      </c>
      <c r="AG96">
        <v>2</v>
      </c>
      <c r="AH96">
        <v>4</v>
      </c>
      <c r="AI96">
        <v>2</v>
      </c>
      <c r="AJ96">
        <v>3</v>
      </c>
      <c r="AK96" t="b">
        <f>Table7[[#This Row],[What is your age?]]&lt;&gt;"18 - 25"</f>
        <v>0</v>
      </c>
      <c r="AL96" t="b">
        <f t="shared" si="3"/>
        <v>0</v>
      </c>
      <c r="AM96" t="b">
        <f t="shared" si="4"/>
        <v>0</v>
      </c>
      <c r="AN96" t="b">
        <f t="shared" si="5"/>
        <v>0</v>
      </c>
      <c r="AO96" t="b">
        <f>OR(Table7[[#This Row],[Ineligible respondents]:[Inconsistent response on opposite question (3)]])</f>
        <v>0</v>
      </c>
      <c r="AP9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96">
        <f>Table7[[#This Row],[Extreme Response]]/21</f>
        <v>9.5238095238095233E-2</v>
      </c>
      <c r="AR96">
        <f>Table67[[#This Row],[Threshold of ERS]]</f>
        <v>0.61904761904761907</v>
      </c>
      <c r="AS96" t="b">
        <f>Table7[[#This Row],[Extrem Response Ratio (ERS)]]&gt;=Table7[[#This Row],[Threshold of ERS]]</f>
        <v>0</v>
      </c>
      <c r="AT96" t="b" cm="1">
        <f t="array" ref="AT9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96">
        <f>COUNTIF(Table7[[#This Row],[The mechanism of digital assets is difficult to understand, which discourages me from exploring it (E.g, Tokenization, Blockchain)]:[If I want to try different ways to invest, I will explore digital assets.]], 3)</f>
        <v>6</v>
      </c>
      <c r="AV96">
        <f>Table7[[#This Row],[Midpoint]]/21</f>
        <v>0.2857142857142857</v>
      </c>
      <c r="AW96">
        <f>Table67[[#This Row],[Threshold of Midpoint ratio]]</f>
        <v>0.5714285714285714</v>
      </c>
      <c r="AX96" t="b">
        <f>Table7[[#This Row],[Midpoint ratio]]&gt;=Table7[[#This Row],[Threshold of Midpoint ratio]]</f>
        <v>0</v>
      </c>
      <c r="AY96" t="b">
        <f>OR(Table7[[#This Row],[Extreme Response Style]:[Straight-lining with 1 deviation]],Table7[[#This Row],[Mid-point Response Style]])</f>
        <v>0</v>
      </c>
      <c r="AZ96" t="b">
        <f>OR(Table7[[#This Row],[Delete? (Stage 1)]],Table7[[#This Row],[Delete? (Stage 2)]])</f>
        <v>0</v>
      </c>
      <c r="BA96" t="s">
        <v>81</v>
      </c>
    </row>
    <row r="97" spans="1:53">
      <c r="A97">
        <v>435</v>
      </c>
      <c r="B97" s="3">
        <v>46043.583124999997</v>
      </c>
      <c r="C97" s="3">
        <v>46043.585162037001</v>
      </c>
      <c r="D97" t="s">
        <v>53</v>
      </c>
      <c r="G97" t="s">
        <v>54</v>
      </c>
      <c r="H97" t="s">
        <v>63</v>
      </c>
      <c r="I97" t="s">
        <v>56</v>
      </c>
      <c r="J97" t="s">
        <v>60</v>
      </c>
      <c r="K97" t="s">
        <v>57</v>
      </c>
      <c r="L97" t="s">
        <v>58</v>
      </c>
      <c r="M97" t="s">
        <v>61</v>
      </c>
      <c r="N97">
        <v>3</v>
      </c>
      <c r="O97">
        <v>3</v>
      </c>
      <c r="P97">
        <v>4</v>
      </c>
      <c r="Q97">
        <v>4</v>
      </c>
      <c r="R97">
        <v>4</v>
      </c>
      <c r="S97">
        <v>4</v>
      </c>
      <c r="T97">
        <v>4</v>
      </c>
      <c r="U97">
        <v>4</v>
      </c>
      <c r="V97">
        <v>4</v>
      </c>
      <c r="W97">
        <v>4</v>
      </c>
      <c r="X97">
        <v>4</v>
      </c>
      <c r="Y97">
        <v>4</v>
      </c>
      <c r="Z97">
        <v>4</v>
      </c>
      <c r="AA97">
        <v>4</v>
      </c>
      <c r="AB97">
        <v>3</v>
      </c>
      <c r="AC97">
        <v>4</v>
      </c>
      <c r="AD97">
        <v>4</v>
      </c>
      <c r="AE97">
        <v>3</v>
      </c>
      <c r="AF97">
        <v>2</v>
      </c>
      <c r="AG97">
        <v>3</v>
      </c>
      <c r="AH97">
        <v>3</v>
      </c>
      <c r="AI97">
        <v>3</v>
      </c>
      <c r="AJ97">
        <v>4</v>
      </c>
      <c r="AK97" t="b">
        <f>Table7[[#This Row],[What is your age?]]&lt;&gt;"18 - 25"</f>
        <v>0</v>
      </c>
      <c r="AL97" t="b">
        <f t="shared" si="3"/>
        <v>0</v>
      </c>
      <c r="AM97" t="b">
        <f t="shared" si="4"/>
        <v>0</v>
      </c>
      <c r="AN97" t="b">
        <f t="shared" si="5"/>
        <v>0</v>
      </c>
      <c r="AO97" t="b">
        <f>OR(Table7[[#This Row],[Ineligible respondents]:[Inconsistent response on opposite question (3)]])</f>
        <v>0</v>
      </c>
      <c r="AP9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97">
        <f>Table7[[#This Row],[Extreme Response]]/21</f>
        <v>0</v>
      </c>
      <c r="AR97">
        <f>Table67[[#This Row],[Threshold of ERS]]</f>
        <v>0.61904761904761907</v>
      </c>
      <c r="AS97" t="b">
        <f>Table7[[#This Row],[Extrem Response Ratio (ERS)]]&gt;=Table7[[#This Row],[Threshold of ERS]]</f>
        <v>0</v>
      </c>
      <c r="AT97" t="b" cm="1">
        <f t="array" ref="AT9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97">
        <f>COUNTIF(Table7[[#This Row],[The mechanism of digital assets is difficult to understand, which discourages me from exploring it (E.g, Tokenization, Blockchain)]:[If I want to try different ways to invest, I will explore digital assets.]], 3)</f>
        <v>6</v>
      </c>
      <c r="AV97">
        <f>Table7[[#This Row],[Midpoint]]/21</f>
        <v>0.2857142857142857</v>
      </c>
      <c r="AW97">
        <f>Table67[[#This Row],[Threshold of Midpoint ratio]]</f>
        <v>0.5714285714285714</v>
      </c>
      <c r="AX97" t="b">
        <f>Table7[[#This Row],[Midpoint ratio]]&gt;=Table7[[#This Row],[Threshold of Midpoint ratio]]</f>
        <v>0</v>
      </c>
      <c r="AY97" t="b">
        <f>OR(Table7[[#This Row],[Extreme Response Style]:[Straight-lining with 1 deviation]],Table7[[#This Row],[Mid-point Response Style]])</f>
        <v>0</v>
      </c>
      <c r="AZ97" t="b">
        <f>OR(Table7[[#This Row],[Delete? (Stage 1)]],Table7[[#This Row],[Delete? (Stage 2)]])</f>
        <v>0</v>
      </c>
      <c r="BA97" t="s">
        <v>81</v>
      </c>
    </row>
    <row r="98" spans="1:53">
      <c r="A98">
        <v>442</v>
      </c>
      <c r="B98" s="3">
        <v>46043.585868055598</v>
      </c>
      <c r="C98" s="3">
        <v>46043.588125000002</v>
      </c>
      <c r="D98" t="s">
        <v>53</v>
      </c>
      <c r="G98" t="s">
        <v>54</v>
      </c>
      <c r="H98" t="s">
        <v>63</v>
      </c>
      <c r="I98" t="s">
        <v>56</v>
      </c>
      <c r="J98" t="s">
        <v>60</v>
      </c>
      <c r="K98" t="s">
        <v>66</v>
      </c>
      <c r="L98" t="s">
        <v>61</v>
      </c>
      <c r="M98" t="s">
        <v>61</v>
      </c>
      <c r="N98">
        <v>3</v>
      </c>
      <c r="O98">
        <v>2</v>
      </c>
      <c r="P98">
        <v>4</v>
      </c>
      <c r="Q98">
        <v>3</v>
      </c>
      <c r="R98">
        <v>3</v>
      </c>
      <c r="S98">
        <v>4</v>
      </c>
      <c r="T98">
        <v>2</v>
      </c>
      <c r="U98">
        <v>2</v>
      </c>
      <c r="V98">
        <v>4</v>
      </c>
      <c r="W98">
        <v>4</v>
      </c>
      <c r="X98">
        <v>3</v>
      </c>
      <c r="Y98">
        <v>3</v>
      </c>
      <c r="Z98">
        <v>4</v>
      </c>
      <c r="AA98">
        <v>3</v>
      </c>
      <c r="AB98">
        <v>2</v>
      </c>
      <c r="AC98">
        <v>2</v>
      </c>
      <c r="AD98">
        <v>2</v>
      </c>
      <c r="AE98">
        <v>2</v>
      </c>
      <c r="AF98">
        <v>4</v>
      </c>
      <c r="AG98">
        <v>2</v>
      </c>
      <c r="AH98">
        <v>4</v>
      </c>
      <c r="AI98">
        <v>2</v>
      </c>
      <c r="AJ98">
        <v>2</v>
      </c>
      <c r="AK98" t="b">
        <f>Table7[[#This Row],[What is your age?]]&lt;&gt;"18 - 25"</f>
        <v>0</v>
      </c>
      <c r="AL98" t="b">
        <f t="shared" si="3"/>
        <v>0</v>
      </c>
      <c r="AM98" t="b">
        <f t="shared" si="4"/>
        <v>0</v>
      </c>
      <c r="AN98" t="b">
        <f t="shared" si="5"/>
        <v>0</v>
      </c>
      <c r="AO98" t="b">
        <f>OR(Table7[[#This Row],[Ineligible respondents]:[Inconsistent response on opposite question (3)]])</f>
        <v>0</v>
      </c>
      <c r="AP9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98">
        <f>Table7[[#This Row],[Extreme Response]]/21</f>
        <v>0</v>
      </c>
      <c r="AR98">
        <f>Table67[[#This Row],[Threshold of ERS]]</f>
        <v>0.61904761904761907</v>
      </c>
      <c r="AS98" t="b">
        <f>Table7[[#This Row],[Extrem Response Ratio (ERS)]]&gt;=Table7[[#This Row],[Threshold of ERS]]</f>
        <v>0</v>
      </c>
      <c r="AT98" t="b" cm="1">
        <f t="array" ref="AT9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98">
        <f>COUNTIF(Table7[[#This Row],[The mechanism of digital assets is difficult to understand, which discourages me from exploring it (E.g, Tokenization, Blockchain)]:[If I want to try different ways to invest, I will explore digital assets.]], 3)</f>
        <v>6</v>
      </c>
      <c r="AV98">
        <f>Table7[[#This Row],[Midpoint]]/21</f>
        <v>0.2857142857142857</v>
      </c>
      <c r="AW98">
        <f>Table67[[#This Row],[Threshold of Midpoint ratio]]</f>
        <v>0.5714285714285714</v>
      </c>
      <c r="AX98" t="b">
        <f>Table7[[#This Row],[Midpoint ratio]]&gt;=Table7[[#This Row],[Threshold of Midpoint ratio]]</f>
        <v>0</v>
      </c>
      <c r="AY98" t="b">
        <f>OR(Table7[[#This Row],[Extreme Response Style]:[Straight-lining with 1 deviation]],Table7[[#This Row],[Mid-point Response Style]])</f>
        <v>0</v>
      </c>
      <c r="AZ98" t="b">
        <f>OR(Table7[[#This Row],[Delete? (Stage 1)]],Table7[[#This Row],[Delete? (Stage 2)]])</f>
        <v>0</v>
      </c>
      <c r="BA98" t="s">
        <v>81</v>
      </c>
    </row>
    <row r="99" spans="1:53">
      <c r="A99">
        <v>455</v>
      </c>
      <c r="B99" s="3">
        <v>46043.597546296303</v>
      </c>
      <c r="C99" s="3">
        <v>46043.599537037</v>
      </c>
      <c r="D99" t="s">
        <v>53</v>
      </c>
      <c r="G99" t="s">
        <v>54</v>
      </c>
      <c r="H99" t="s">
        <v>55</v>
      </c>
      <c r="I99" t="s">
        <v>56</v>
      </c>
      <c r="J99" t="s">
        <v>64</v>
      </c>
      <c r="K99" t="s">
        <v>57</v>
      </c>
      <c r="L99" t="s">
        <v>58</v>
      </c>
      <c r="M99" t="s">
        <v>61</v>
      </c>
      <c r="N99">
        <v>4</v>
      </c>
      <c r="O99">
        <v>3</v>
      </c>
      <c r="P99">
        <v>3</v>
      </c>
      <c r="Q99">
        <v>4</v>
      </c>
      <c r="R99">
        <v>3</v>
      </c>
      <c r="S99">
        <v>4</v>
      </c>
      <c r="T99">
        <v>2</v>
      </c>
      <c r="U99">
        <v>2</v>
      </c>
      <c r="V99">
        <v>4</v>
      </c>
      <c r="W99">
        <v>4</v>
      </c>
      <c r="X99">
        <v>4</v>
      </c>
      <c r="Y99">
        <v>4</v>
      </c>
      <c r="Z99">
        <v>4</v>
      </c>
      <c r="AA99">
        <v>4</v>
      </c>
      <c r="AB99">
        <v>3</v>
      </c>
      <c r="AC99">
        <v>2</v>
      </c>
      <c r="AD99">
        <v>3</v>
      </c>
      <c r="AE99">
        <v>4</v>
      </c>
      <c r="AF99">
        <v>3</v>
      </c>
      <c r="AG99">
        <v>2</v>
      </c>
      <c r="AH99">
        <v>4</v>
      </c>
      <c r="AI99">
        <v>2</v>
      </c>
      <c r="AJ99">
        <v>3</v>
      </c>
      <c r="AK99" t="b">
        <f>Table7[[#This Row],[What is your age?]]&lt;&gt;"18 - 25"</f>
        <v>0</v>
      </c>
      <c r="AL99" t="b">
        <f t="shared" si="3"/>
        <v>0</v>
      </c>
      <c r="AM99" t="b">
        <f t="shared" si="4"/>
        <v>0</v>
      </c>
      <c r="AN99" t="b">
        <f t="shared" si="5"/>
        <v>0</v>
      </c>
      <c r="AO99" t="b">
        <f>OR(Table7[[#This Row],[Ineligible respondents]:[Inconsistent response on opposite question (3)]])</f>
        <v>0</v>
      </c>
      <c r="AP9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99">
        <f>Table7[[#This Row],[Extreme Response]]/21</f>
        <v>0</v>
      </c>
      <c r="AR99">
        <f>Table67[[#This Row],[Threshold of ERS]]</f>
        <v>0.61904761904761907</v>
      </c>
      <c r="AS99" t="b">
        <f>Table7[[#This Row],[Extrem Response Ratio (ERS)]]&gt;=Table7[[#This Row],[Threshold of ERS]]</f>
        <v>0</v>
      </c>
      <c r="AT99" t="b" cm="1">
        <f t="array" ref="AT9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99">
        <f>COUNTIF(Table7[[#This Row],[The mechanism of digital assets is difficult to understand, which discourages me from exploring it (E.g, Tokenization, Blockchain)]:[If I want to try different ways to invest, I will explore digital assets.]], 3)</f>
        <v>6</v>
      </c>
      <c r="AV99">
        <f>Table7[[#This Row],[Midpoint]]/21</f>
        <v>0.2857142857142857</v>
      </c>
      <c r="AW99">
        <f>Table67[[#This Row],[Threshold of Midpoint ratio]]</f>
        <v>0.5714285714285714</v>
      </c>
      <c r="AX99" t="b">
        <f>Table7[[#This Row],[Midpoint ratio]]&gt;=Table7[[#This Row],[Threshold of Midpoint ratio]]</f>
        <v>0</v>
      </c>
      <c r="AY99" t="b">
        <f>OR(Table7[[#This Row],[Extreme Response Style]:[Straight-lining with 1 deviation]],Table7[[#This Row],[Mid-point Response Style]])</f>
        <v>0</v>
      </c>
      <c r="AZ99" t="b">
        <f>OR(Table7[[#This Row],[Delete? (Stage 1)]],Table7[[#This Row],[Delete? (Stage 2)]])</f>
        <v>0</v>
      </c>
      <c r="BA99" t="s">
        <v>81</v>
      </c>
    </row>
    <row r="100" spans="1:53">
      <c r="A100">
        <v>456</v>
      </c>
      <c r="B100" s="3">
        <v>46043.597557870402</v>
      </c>
      <c r="C100" s="3">
        <v>46043.600150462997</v>
      </c>
      <c r="D100" t="s">
        <v>53</v>
      </c>
      <c r="G100" t="s">
        <v>54</v>
      </c>
      <c r="H100" t="s">
        <v>55</v>
      </c>
      <c r="I100" t="s">
        <v>56</v>
      </c>
      <c r="J100" t="s">
        <v>62</v>
      </c>
      <c r="K100" t="s">
        <v>57</v>
      </c>
      <c r="L100" t="s">
        <v>61</v>
      </c>
      <c r="M100" t="s">
        <v>61</v>
      </c>
      <c r="N100">
        <v>4</v>
      </c>
      <c r="O100">
        <v>2</v>
      </c>
      <c r="P100">
        <v>4</v>
      </c>
      <c r="Q100">
        <v>3</v>
      </c>
      <c r="R100">
        <v>3</v>
      </c>
      <c r="S100">
        <v>3</v>
      </c>
      <c r="T100">
        <v>4</v>
      </c>
      <c r="U100">
        <v>4</v>
      </c>
      <c r="V100">
        <v>4</v>
      </c>
      <c r="W100">
        <v>4</v>
      </c>
      <c r="X100">
        <v>3</v>
      </c>
      <c r="Y100">
        <v>3</v>
      </c>
      <c r="Z100">
        <v>3</v>
      </c>
      <c r="AA100">
        <v>3</v>
      </c>
      <c r="AB100">
        <v>3</v>
      </c>
      <c r="AC100">
        <v>4</v>
      </c>
      <c r="AD100">
        <v>4</v>
      </c>
      <c r="AE100">
        <v>3</v>
      </c>
      <c r="AF100">
        <v>3</v>
      </c>
      <c r="AG100">
        <v>4</v>
      </c>
      <c r="AH100">
        <v>2</v>
      </c>
      <c r="AI100">
        <v>4</v>
      </c>
      <c r="AJ100">
        <v>3</v>
      </c>
      <c r="AK100" t="b">
        <f>Table7[[#This Row],[What is your age?]]&lt;&gt;"18 - 25"</f>
        <v>0</v>
      </c>
      <c r="AL100" t="b">
        <f t="shared" si="3"/>
        <v>0</v>
      </c>
      <c r="AM100" t="b">
        <f t="shared" si="4"/>
        <v>0</v>
      </c>
      <c r="AN100" t="b">
        <f t="shared" si="5"/>
        <v>0</v>
      </c>
      <c r="AO100" t="b">
        <f>OR(Table7[[#This Row],[Ineligible respondents]:[Inconsistent response on opposite question (3)]])</f>
        <v>0</v>
      </c>
      <c r="AP10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100">
        <f>Table7[[#This Row],[Extreme Response]]/21</f>
        <v>0</v>
      </c>
      <c r="AR100">
        <f>Table67[[#This Row],[Threshold of ERS]]</f>
        <v>0.61904761904761907</v>
      </c>
      <c r="AS100" t="b">
        <f>Table7[[#This Row],[Extrem Response Ratio (ERS)]]&gt;=Table7[[#This Row],[Threshold of ERS]]</f>
        <v>0</v>
      </c>
      <c r="AT100" t="b" cm="1">
        <f t="array" ref="AT10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00">
        <f>COUNTIF(Table7[[#This Row],[The mechanism of digital assets is difficult to understand, which discourages me from exploring it (E.g, Tokenization, Blockchain)]:[If I want to try different ways to invest, I will explore digital assets.]], 3)</f>
        <v>10</v>
      </c>
      <c r="AV100">
        <f>Table7[[#This Row],[Midpoint]]/21</f>
        <v>0.47619047619047616</v>
      </c>
      <c r="AW100">
        <f>Table67[[#This Row],[Threshold of Midpoint ratio]]</f>
        <v>0.5714285714285714</v>
      </c>
      <c r="AX100" t="b">
        <f>Table7[[#This Row],[Midpoint ratio]]&gt;=Table7[[#This Row],[Threshold of Midpoint ratio]]</f>
        <v>0</v>
      </c>
      <c r="AY100" t="b">
        <f>OR(Table7[[#This Row],[Extreme Response Style]:[Straight-lining with 1 deviation]],Table7[[#This Row],[Mid-point Response Style]])</f>
        <v>0</v>
      </c>
      <c r="AZ100" t="b">
        <f>OR(Table7[[#This Row],[Delete? (Stage 1)]],Table7[[#This Row],[Delete? (Stage 2)]])</f>
        <v>0</v>
      </c>
      <c r="BA100" t="s">
        <v>81</v>
      </c>
    </row>
    <row r="101" spans="1:53">
      <c r="A101">
        <v>461</v>
      </c>
      <c r="B101" s="3">
        <v>46043.600682870398</v>
      </c>
      <c r="C101" s="3">
        <v>46043.601990740703</v>
      </c>
      <c r="D101" t="s">
        <v>53</v>
      </c>
      <c r="G101" t="s">
        <v>54</v>
      </c>
      <c r="H101" t="s">
        <v>55</v>
      </c>
      <c r="I101" t="s">
        <v>56</v>
      </c>
      <c r="J101" t="s">
        <v>57</v>
      </c>
      <c r="K101" t="s">
        <v>64</v>
      </c>
      <c r="L101" t="s">
        <v>58</v>
      </c>
      <c r="M101" t="s">
        <v>58</v>
      </c>
      <c r="N101">
        <v>4</v>
      </c>
      <c r="O101">
        <v>3</v>
      </c>
      <c r="P101">
        <v>3</v>
      </c>
      <c r="Q101">
        <v>4</v>
      </c>
      <c r="R101">
        <v>4</v>
      </c>
      <c r="S101">
        <v>2</v>
      </c>
      <c r="T101">
        <v>3</v>
      </c>
      <c r="U101">
        <v>4</v>
      </c>
      <c r="V101">
        <v>3</v>
      </c>
      <c r="W101">
        <v>2</v>
      </c>
      <c r="X101">
        <v>5</v>
      </c>
      <c r="Y101">
        <v>3</v>
      </c>
      <c r="Z101">
        <v>5</v>
      </c>
      <c r="AA101">
        <v>5</v>
      </c>
      <c r="AB101">
        <v>2</v>
      </c>
      <c r="AC101">
        <v>3</v>
      </c>
      <c r="AD101">
        <v>5</v>
      </c>
      <c r="AE101">
        <v>3</v>
      </c>
      <c r="AF101">
        <v>3</v>
      </c>
      <c r="AG101">
        <v>3</v>
      </c>
      <c r="AH101">
        <v>3</v>
      </c>
      <c r="AI101">
        <v>3</v>
      </c>
      <c r="AJ101">
        <v>3</v>
      </c>
      <c r="AK101" t="b">
        <f>Table7[[#This Row],[What is your age?]]&lt;&gt;"18 - 25"</f>
        <v>0</v>
      </c>
      <c r="AL101" t="b">
        <f t="shared" si="3"/>
        <v>0</v>
      </c>
      <c r="AM101" t="b">
        <f t="shared" si="4"/>
        <v>0</v>
      </c>
      <c r="AN101" t="b">
        <f t="shared" si="5"/>
        <v>0</v>
      </c>
      <c r="AO101" t="b">
        <f>OR(Table7[[#This Row],[Ineligible respondents]:[Inconsistent response on opposite question (3)]])</f>
        <v>0</v>
      </c>
      <c r="AP10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101">
        <f>Table7[[#This Row],[Extreme Response]]/21</f>
        <v>0.19047619047619047</v>
      </c>
      <c r="AR101">
        <f>Table67[[#This Row],[Threshold of ERS]]</f>
        <v>0.61904761904761907</v>
      </c>
      <c r="AS101" t="b">
        <f>Table7[[#This Row],[Extrem Response Ratio (ERS)]]&gt;=Table7[[#This Row],[Threshold of ERS]]</f>
        <v>0</v>
      </c>
      <c r="AT101" t="b" cm="1">
        <f t="array" ref="AT10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01">
        <f>COUNTIF(Table7[[#This Row],[The mechanism of digital assets is difficult to understand, which discourages me from exploring it (E.g, Tokenization, Blockchain)]:[If I want to try different ways to invest, I will explore digital assets.]], 3)</f>
        <v>10</v>
      </c>
      <c r="AV101">
        <f>Table7[[#This Row],[Midpoint]]/21</f>
        <v>0.47619047619047616</v>
      </c>
      <c r="AW101">
        <f>Table67[[#This Row],[Threshold of Midpoint ratio]]</f>
        <v>0.5714285714285714</v>
      </c>
      <c r="AX101" t="b">
        <f>Table7[[#This Row],[Midpoint ratio]]&gt;=Table7[[#This Row],[Threshold of Midpoint ratio]]</f>
        <v>0</v>
      </c>
      <c r="AY101" t="b">
        <f>OR(Table7[[#This Row],[Extreme Response Style]:[Straight-lining with 1 deviation]],Table7[[#This Row],[Mid-point Response Style]])</f>
        <v>0</v>
      </c>
      <c r="AZ101" t="b">
        <f>OR(Table7[[#This Row],[Delete? (Stage 1)]],Table7[[#This Row],[Delete? (Stage 2)]])</f>
        <v>0</v>
      </c>
      <c r="BA101" t="s">
        <v>81</v>
      </c>
    </row>
    <row r="102" spans="1:53">
      <c r="A102">
        <v>462</v>
      </c>
      <c r="B102" s="3">
        <v>46043.600694444402</v>
      </c>
      <c r="C102" s="3">
        <v>46043.602569444403</v>
      </c>
      <c r="D102" t="s">
        <v>53</v>
      </c>
      <c r="G102" t="s">
        <v>54</v>
      </c>
      <c r="H102" t="s">
        <v>63</v>
      </c>
      <c r="I102" t="s">
        <v>56</v>
      </c>
      <c r="J102" t="s">
        <v>60</v>
      </c>
      <c r="K102" t="s">
        <v>67</v>
      </c>
      <c r="L102" t="s">
        <v>58</v>
      </c>
      <c r="M102" t="s">
        <v>58</v>
      </c>
      <c r="N102">
        <v>4</v>
      </c>
      <c r="O102">
        <v>4</v>
      </c>
      <c r="P102">
        <v>4</v>
      </c>
      <c r="Q102">
        <v>4</v>
      </c>
      <c r="R102">
        <v>4</v>
      </c>
      <c r="S102">
        <v>4</v>
      </c>
      <c r="T102">
        <v>3</v>
      </c>
      <c r="U102">
        <v>5</v>
      </c>
      <c r="V102">
        <v>5</v>
      </c>
      <c r="W102">
        <v>5</v>
      </c>
      <c r="X102">
        <v>4</v>
      </c>
      <c r="Y102">
        <v>4</v>
      </c>
      <c r="Z102">
        <v>5</v>
      </c>
      <c r="AA102">
        <v>4</v>
      </c>
      <c r="AB102">
        <v>4</v>
      </c>
      <c r="AC102">
        <v>4</v>
      </c>
      <c r="AD102">
        <v>4</v>
      </c>
      <c r="AE102">
        <v>3</v>
      </c>
      <c r="AF102">
        <v>3</v>
      </c>
      <c r="AG102">
        <v>4</v>
      </c>
      <c r="AH102">
        <v>2</v>
      </c>
      <c r="AI102">
        <v>4</v>
      </c>
      <c r="AJ102">
        <v>3</v>
      </c>
      <c r="AK102" t="b">
        <f>Table7[[#This Row],[What is your age?]]&lt;&gt;"18 - 25"</f>
        <v>0</v>
      </c>
      <c r="AL102" t="b">
        <f t="shared" si="3"/>
        <v>0</v>
      </c>
      <c r="AM102" t="b">
        <f t="shared" si="4"/>
        <v>0</v>
      </c>
      <c r="AN102" t="b">
        <f t="shared" si="5"/>
        <v>0</v>
      </c>
      <c r="AO102" t="b">
        <f>OR(Table7[[#This Row],[Ineligible respondents]:[Inconsistent response on opposite question (3)]])</f>
        <v>0</v>
      </c>
      <c r="AP10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102">
        <f>Table7[[#This Row],[Extreme Response]]/21</f>
        <v>0.19047619047619047</v>
      </c>
      <c r="AR102">
        <f>Table67[[#This Row],[Threshold of ERS]]</f>
        <v>0.61904761904761907</v>
      </c>
      <c r="AS102" t="b">
        <f>Table7[[#This Row],[Extrem Response Ratio (ERS)]]&gt;=Table7[[#This Row],[Threshold of ERS]]</f>
        <v>0</v>
      </c>
      <c r="AT102" t="b" cm="1">
        <f t="array" ref="AT10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02">
        <f>COUNTIF(Table7[[#This Row],[The mechanism of digital assets is difficult to understand, which discourages me from exploring it (E.g, Tokenization, Blockchain)]:[If I want to try different ways to invest, I will explore digital assets.]], 3)</f>
        <v>3</v>
      </c>
      <c r="AV102">
        <f>Table7[[#This Row],[Midpoint]]/21</f>
        <v>0.14285714285714285</v>
      </c>
      <c r="AW102">
        <f>Table67[[#This Row],[Threshold of Midpoint ratio]]</f>
        <v>0.5714285714285714</v>
      </c>
      <c r="AX102" t="b">
        <f>Table7[[#This Row],[Midpoint ratio]]&gt;=Table7[[#This Row],[Threshold of Midpoint ratio]]</f>
        <v>0</v>
      </c>
      <c r="AY102" t="b">
        <f>OR(Table7[[#This Row],[Extreme Response Style]:[Straight-lining with 1 deviation]],Table7[[#This Row],[Mid-point Response Style]])</f>
        <v>0</v>
      </c>
      <c r="AZ102" t="b">
        <f>OR(Table7[[#This Row],[Delete? (Stage 1)]],Table7[[#This Row],[Delete? (Stage 2)]])</f>
        <v>0</v>
      </c>
      <c r="BA102" t="s">
        <v>81</v>
      </c>
    </row>
    <row r="103" spans="1:53">
      <c r="A103">
        <v>463</v>
      </c>
      <c r="B103" s="3">
        <v>46043.6007060185</v>
      </c>
      <c r="C103" s="3">
        <v>46043.6022800926</v>
      </c>
      <c r="D103" t="s">
        <v>53</v>
      </c>
      <c r="G103" t="s">
        <v>54</v>
      </c>
      <c r="H103" t="s">
        <v>63</v>
      </c>
      <c r="I103" t="s">
        <v>56</v>
      </c>
      <c r="J103" t="s">
        <v>62</v>
      </c>
      <c r="K103" t="s">
        <v>60</v>
      </c>
      <c r="L103" t="s">
        <v>58</v>
      </c>
      <c r="M103" t="s">
        <v>58</v>
      </c>
      <c r="N103">
        <v>5</v>
      </c>
      <c r="O103">
        <v>4</v>
      </c>
      <c r="P103">
        <v>5</v>
      </c>
      <c r="Q103">
        <v>4</v>
      </c>
      <c r="R103">
        <v>4</v>
      </c>
      <c r="S103">
        <v>4</v>
      </c>
      <c r="T103">
        <v>3</v>
      </c>
      <c r="U103">
        <v>5</v>
      </c>
      <c r="V103">
        <v>5</v>
      </c>
      <c r="W103">
        <v>4</v>
      </c>
      <c r="X103">
        <v>4</v>
      </c>
      <c r="Y103">
        <v>4</v>
      </c>
      <c r="Z103">
        <v>4</v>
      </c>
      <c r="AA103">
        <v>5</v>
      </c>
      <c r="AB103">
        <v>4</v>
      </c>
      <c r="AC103">
        <v>4</v>
      </c>
      <c r="AD103">
        <v>2</v>
      </c>
      <c r="AE103">
        <v>3</v>
      </c>
      <c r="AF103">
        <v>2</v>
      </c>
      <c r="AG103">
        <v>5</v>
      </c>
      <c r="AH103">
        <v>2</v>
      </c>
      <c r="AI103">
        <v>4</v>
      </c>
      <c r="AJ103">
        <v>4</v>
      </c>
      <c r="AK103" t="b">
        <f>Table7[[#This Row],[What is your age?]]&lt;&gt;"18 - 25"</f>
        <v>0</v>
      </c>
      <c r="AL103" t="b">
        <f t="shared" si="3"/>
        <v>0</v>
      </c>
      <c r="AM103" t="b">
        <f t="shared" si="4"/>
        <v>0</v>
      </c>
      <c r="AN103" t="b">
        <f t="shared" si="5"/>
        <v>0</v>
      </c>
      <c r="AO103" t="b">
        <f>OR(Table7[[#This Row],[Ineligible respondents]:[Inconsistent response on opposite question (3)]])</f>
        <v>0</v>
      </c>
      <c r="AP10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6</v>
      </c>
      <c r="AQ103">
        <f>Table7[[#This Row],[Extreme Response]]/21</f>
        <v>0.2857142857142857</v>
      </c>
      <c r="AR103">
        <f>Table67[[#This Row],[Threshold of ERS]]</f>
        <v>0.61904761904761907</v>
      </c>
      <c r="AS103" t="b">
        <f>Table7[[#This Row],[Extrem Response Ratio (ERS)]]&gt;=Table7[[#This Row],[Threshold of ERS]]</f>
        <v>0</v>
      </c>
      <c r="AT103" t="b" cm="1">
        <f t="array" ref="AT10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03">
        <f>COUNTIF(Table7[[#This Row],[The mechanism of digital assets is difficult to understand, which discourages me from exploring it (E.g, Tokenization, Blockchain)]:[If I want to try different ways to invest, I will explore digital assets.]], 3)</f>
        <v>2</v>
      </c>
      <c r="AV103">
        <f>Table7[[#This Row],[Midpoint]]/21</f>
        <v>9.5238095238095233E-2</v>
      </c>
      <c r="AW103">
        <f>Table67[[#This Row],[Threshold of Midpoint ratio]]</f>
        <v>0.5714285714285714</v>
      </c>
      <c r="AX103" t="b">
        <f>Table7[[#This Row],[Midpoint ratio]]&gt;=Table7[[#This Row],[Threshold of Midpoint ratio]]</f>
        <v>0</v>
      </c>
      <c r="AY103" t="b">
        <f>OR(Table7[[#This Row],[Extreme Response Style]:[Straight-lining with 1 deviation]],Table7[[#This Row],[Mid-point Response Style]])</f>
        <v>0</v>
      </c>
      <c r="AZ103" t="b">
        <f>OR(Table7[[#This Row],[Delete? (Stage 1)]],Table7[[#This Row],[Delete? (Stage 2)]])</f>
        <v>0</v>
      </c>
      <c r="BA103" t="s">
        <v>81</v>
      </c>
    </row>
    <row r="104" spans="1:53">
      <c r="A104">
        <v>469</v>
      </c>
      <c r="B104" s="3">
        <v>46043.602800925903</v>
      </c>
      <c r="C104" s="3">
        <v>46043.604467592602</v>
      </c>
      <c r="D104" t="s">
        <v>53</v>
      </c>
      <c r="G104" t="s">
        <v>54</v>
      </c>
      <c r="H104" t="s">
        <v>63</v>
      </c>
      <c r="I104" t="s">
        <v>56</v>
      </c>
      <c r="J104" t="s">
        <v>62</v>
      </c>
      <c r="K104" t="s">
        <v>57</v>
      </c>
      <c r="L104" t="s">
        <v>61</v>
      </c>
      <c r="M104" t="s">
        <v>61</v>
      </c>
      <c r="N104">
        <v>4</v>
      </c>
      <c r="O104">
        <v>4</v>
      </c>
      <c r="P104">
        <v>2</v>
      </c>
      <c r="Q104">
        <v>4</v>
      </c>
      <c r="R104">
        <v>2</v>
      </c>
      <c r="S104">
        <v>4</v>
      </c>
      <c r="T104">
        <v>2</v>
      </c>
      <c r="U104">
        <v>2</v>
      </c>
      <c r="V104">
        <v>4</v>
      </c>
      <c r="W104">
        <v>4</v>
      </c>
      <c r="X104">
        <v>4</v>
      </c>
      <c r="Y104">
        <v>4</v>
      </c>
      <c r="Z104">
        <v>5</v>
      </c>
      <c r="AA104">
        <v>5</v>
      </c>
      <c r="AB104">
        <v>4</v>
      </c>
      <c r="AC104">
        <v>4</v>
      </c>
      <c r="AD104">
        <v>4</v>
      </c>
      <c r="AE104">
        <v>4</v>
      </c>
      <c r="AF104">
        <v>4</v>
      </c>
      <c r="AG104">
        <v>3</v>
      </c>
      <c r="AH104">
        <v>3</v>
      </c>
      <c r="AI104">
        <v>3</v>
      </c>
      <c r="AJ104">
        <v>2</v>
      </c>
      <c r="AK104" t="b">
        <f>Table7[[#This Row],[What is your age?]]&lt;&gt;"18 - 25"</f>
        <v>0</v>
      </c>
      <c r="AL104" t="b">
        <f t="shared" si="3"/>
        <v>0</v>
      </c>
      <c r="AM104" t="b">
        <f t="shared" si="4"/>
        <v>0</v>
      </c>
      <c r="AN104" t="b">
        <f t="shared" si="5"/>
        <v>0</v>
      </c>
      <c r="AO104" t="b">
        <f>OR(Table7[[#This Row],[Ineligible respondents]:[Inconsistent response on opposite question (3)]])</f>
        <v>0</v>
      </c>
      <c r="AP10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104">
        <f>Table7[[#This Row],[Extreme Response]]/21</f>
        <v>9.5238095238095233E-2</v>
      </c>
      <c r="AR104">
        <f>Table67[[#This Row],[Threshold of ERS]]</f>
        <v>0.61904761904761907</v>
      </c>
      <c r="AS104" t="b">
        <f>Table7[[#This Row],[Extrem Response Ratio (ERS)]]&gt;=Table7[[#This Row],[Threshold of ERS]]</f>
        <v>0</v>
      </c>
      <c r="AT104" t="b" cm="1">
        <f t="array" ref="AT10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04">
        <f>COUNTIF(Table7[[#This Row],[The mechanism of digital assets is difficult to understand, which discourages me from exploring it (E.g, Tokenization, Blockchain)]:[If I want to try different ways to invest, I will explore digital assets.]], 3)</f>
        <v>2</v>
      </c>
      <c r="AV104">
        <f>Table7[[#This Row],[Midpoint]]/21</f>
        <v>9.5238095238095233E-2</v>
      </c>
      <c r="AW104">
        <f>Table67[[#This Row],[Threshold of Midpoint ratio]]</f>
        <v>0.5714285714285714</v>
      </c>
      <c r="AX104" t="b">
        <f>Table7[[#This Row],[Midpoint ratio]]&gt;=Table7[[#This Row],[Threshold of Midpoint ratio]]</f>
        <v>0</v>
      </c>
      <c r="AY104" t="b">
        <f>OR(Table7[[#This Row],[Extreme Response Style]:[Straight-lining with 1 deviation]],Table7[[#This Row],[Mid-point Response Style]])</f>
        <v>0</v>
      </c>
      <c r="AZ104" t="b">
        <f>OR(Table7[[#This Row],[Delete? (Stage 1)]],Table7[[#This Row],[Delete? (Stage 2)]])</f>
        <v>0</v>
      </c>
      <c r="BA104" t="s">
        <v>81</v>
      </c>
    </row>
    <row r="105" spans="1:53">
      <c r="A105">
        <v>479</v>
      </c>
      <c r="B105" s="3">
        <v>46043.644814814797</v>
      </c>
      <c r="C105" s="3">
        <v>46043.646979166697</v>
      </c>
      <c r="D105" t="s">
        <v>53</v>
      </c>
      <c r="G105" t="s">
        <v>54</v>
      </c>
      <c r="H105" t="s">
        <v>63</v>
      </c>
      <c r="I105" t="s">
        <v>56</v>
      </c>
      <c r="J105" t="s">
        <v>67</v>
      </c>
      <c r="K105" t="s">
        <v>66</v>
      </c>
      <c r="L105" t="s">
        <v>58</v>
      </c>
      <c r="M105" t="s">
        <v>58</v>
      </c>
      <c r="N105">
        <v>3</v>
      </c>
      <c r="O105">
        <v>3</v>
      </c>
      <c r="P105">
        <v>5</v>
      </c>
      <c r="Q105">
        <v>3</v>
      </c>
      <c r="R105">
        <v>4</v>
      </c>
      <c r="S105">
        <v>4</v>
      </c>
      <c r="T105">
        <v>3</v>
      </c>
      <c r="U105">
        <v>4</v>
      </c>
      <c r="V105">
        <v>5</v>
      </c>
      <c r="W105">
        <v>4</v>
      </c>
      <c r="X105">
        <v>3</v>
      </c>
      <c r="Y105">
        <v>4</v>
      </c>
      <c r="Z105">
        <v>3</v>
      </c>
      <c r="AA105">
        <v>2</v>
      </c>
      <c r="AB105">
        <v>2</v>
      </c>
      <c r="AC105">
        <v>3</v>
      </c>
      <c r="AD105">
        <v>2</v>
      </c>
      <c r="AE105">
        <v>3</v>
      </c>
      <c r="AF105">
        <v>2</v>
      </c>
      <c r="AG105">
        <v>2</v>
      </c>
      <c r="AH105">
        <v>4</v>
      </c>
      <c r="AI105">
        <v>2</v>
      </c>
      <c r="AJ105">
        <v>4</v>
      </c>
      <c r="AK105" t="b">
        <f>Table7[[#This Row],[What is your age?]]&lt;&gt;"18 - 25"</f>
        <v>0</v>
      </c>
      <c r="AL105" t="b">
        <f t="shared" si="3"/>
        <v>0</v>
      </c>
      <c r="AM105" t="b">
        <f t="shared" si="4"/>
        <v>0</v>
      </c>
      <c r="AN105" t="b">
        <f t="shared" si="5"/>
        <v>0</v>
      </c>
      <c r="AO105" t="b">
        <f>OR(Table7[[#This Row],[Ineligible respondents]:[Inconsistent response on opposite question (3)]])</f>
        <v>0</v>
      </c>
      <c r="AP10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105">
        <f>Table7[[#This Row],[Extreme Response]]/21</f>
        <v>9.5238095238095233E-2</v>
      </c>
      <c r="AR105">
        <f>Table67[[#This Row],[Threshold of ERS]]</f>
        <v>0.61904761904761907</v>
      </c>
      <c r="AS105" t="b">
        <f>Table7[[#This Row],[Extrem Response Ratio (ERS)]]&gt;=Table7[[#This Row],[Threshold of ERS]]</f>
        <v>0</v>
      </c>
      <c r="AT105" t="b" cm="1">
        <f t="array" ref="AT10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05">
        <f>COUNTIF(Table7[[#This Row],[The mechanism of digital assets is difficult to understand, which discourages me from exploring it (E.g, Tokenization, Blockchain)]:[If I want to try different ways to invest, I will explore digital assets.]], 3)</f>
        <v>8</v>
      </c>
      <c r="AV105">
        <f>Table7[[#This Row],[Midpoint]]/21</f>
        <v>0.38095238095238093</v>
      </c>
      <c r="AW105">
        <f>Table67[[#This Row],[Threshold of Midpoint ratio]]</f>
        <v>0.5714285714285714</v>
      </c>
      <c r="AX105" t="b">
        <f>Table7[[#This Row],[Midpoint ratio]]&gt;=Table7[[#This Row],[Threshold of Midpoint ratio]]</f>
        <v>0</v>
      </c>
      <c r="AY105" t="b">
        <f>OR(Table7[[#This Row],[Extreme Response Style]:[Straight-lining with 1 deviation]],Table7[[#This Row],[Mid-point Response Style]])</f>
        <v>0</v>
      </c>
      <c r="AZ105" t="b">
        <f>OR(Table7[[#This Row],[Delete? (Stage 1)]],Table7[[#This Row],[Delete? (Stage 2)]])</f>
        <v>0</v>
      </c>
      <c r="BA105" t="s">
        <v>81</v>
      </c>
    </row>
    <row r="106" spans="1:53">
      <c r="A106">
        <v>481</v>
      </c>
      <c r="B106" s="3">
        <v>46043.645682870403</v>
      </c>
      <c r="C106" s="3">
        <v>46043.647442129601</v>
      </c>
      <c r="D106" t="s">
        <v>53</v>
      </c>
      <c r="G106" t="s">
        <v>54</v>
      </c>
      <c r="H106" t="s">
        <v>55</v>
      </c>
      <c r="I106" t="s">
        <v>56</v>
      </c>
      <c r="J106" t="s">
        <v>64</v>
      </c>
      <c r="K106" t="s">
        <v>60</v>
      </c>
      <c r="L106" t="s">
        <v>58</v>
      </c>
      <c r="M106" t="s">
        <v>61</v>
      </c>
      <c r="N106">
        <v>3</v>
      </c>
      <c r="O106">
        <v>3</v>
      </c>
      <c r="P106">
        <v>4</v>
      </c>
      <c r="Q106">
        <v>4</v>
      </c>
      <c r="R106">
        <v>2</v>
      </c>
      <c r="S106">
        <v>2</v>
      </c>
      <c r="T106">
        <v>2</v>
      </c>
      <c r="U106">
        <v>2</v>
      </c>
      <c r="V106">
        <v>3</v>
      </c>
      <c r="W106">
        <v>3</v>
      </c>
      <c r="X106">
        <v>3</v>
      </c>
      <c r="Y106">
        <v>4</v>
      </c>
      <c r="Z106">
        <v>5</v>
      </c>
      <c r="AA106">
        <v>2</v>
      </c>
      <c r="AB106">
        <v>2</v>
      </c>
      <c r="AC106">
        <v>2</v>
      </c>
      <c r="AD106">
        <v>4</v>
      </c>
      <c r="AE106">
        <v>3</v>
      </c>
      <c r="AF106">
        <v>5</v>
      </c>
      <c r="AG106">
        <v>2</v>
      </c>
      <c r="AH106">
        <v>4</v>
      </c>
      <c r="AI106">
        <v>2</v>
      </c>
      <c r="AJ106">
        <v>1</v>
      </c>
      <c r="AK106" t="b">
        <f>Table7[[#This Row],[What is your age?]]&lt;&gt;"18 - 25"</f>
        <v>0</v>
      </c>
      <c r="AL106" t="b">
        <f t="shared" si="3"/>
        <v>0</v>
      </c>
      <c r="AM106" t="b">
        <f t="shared" si="4"/>
        <v>0</v>
      </c>
      <c r="AN106" t="b">
        <f t="shared" si="5"/>
        <v>0</v>
      </c>
      <c r="AO106" t="b">
        <f>OR(Table7[[#This Row],[Ineligible respondents]:[Inconsistent response on opposite question (3)]])</f>
        <v>0</v>
      </c>
      <c r="AP10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106">
        <f>Table7[[#This Row],[Extreme Response]]/21</f>
        <v>9.5238095238095233E-2</v>
      </c>
      <c r="AR106">
        <f>Table67[[#This Row],[Threshold of ERS]]</f>
        <v>0.61904761904761907</v>
      </c>
      <c r="AS106" t="b">
        <f>Table7[[#This Row],[Extrem Response Ratio (ERS)]]&gt;=Table7[[#This Row],[Threshold of ERS]]</f>
        <v>0</v>
      </c>
      <c r="AT106" t="b" cm="1">
        <f t="array" ref="AT10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06">
        <f>COUNTIF(Table7[[#This Row],[The mechanism of digital assets is difficult to understand, which discourages me from exploring it (E.g, Tokenization, Blockchain)]:[If I want to try different ways to invest, I will explore digital assets.]], 3)</f>
        <v>6</v>
      </c>
      <c r="AV106">
        <f>Table7[[#This Row],[Midpoint]]/21</f>
        <v>0.2857142857142857</v>
      </c>
      <c r="AW106">
        <f>Table67[[#This Row],[Threshold of Midpoint ratio]]</f>
        <v>0.5714285714285714</v>
      </c>
      <c r="AX106" t="b">
        <f>Table7[[#This Row],[Midpoint ratio]]&gt;=Table7[[#This Row],[Threshold of Midpoint ratio]]</f>
        <v>0</v>
      </c>
      <c r="AY106" t="b">
        <f>OR(Table7[[#This Row],[Extreme Response Style]:[Straight-lining with 1 deviation]],Table7[[#This Row],[Mid-point Response Style]])</f>
        <v>0</v>
      </c>
      <c r="AZ106" t="b">
        <f>OR(Table7[[#This Row],[Delete? (Stage 1)]],Table7[[#This Row],[Delete? (Stage 2)]])</f>
        <v>0</v>
      </c>
      <c r="BA106" t="s">
        <v>81</v>
      </c>
    </row>
    <row r="107" spans="1:53">
      <c r="A107">
        <v>500</v>
      </c>
      <c r="B107" s="3">
        <v>46049.721851851798</v>
      </c>
      <c r="C107" s="3">
        <v>46049.724953703699</v>
      </c>
      <c r="D107" t="s">
        <v>53</v>
      </c>
      <c r="G107" t="s">
        <v>54</v>
      </c>
      <c r="H107" t="s">
        <v>55</v>
      </c>
      <c r="I107" t="s">
        <v>71</v>
      </c>
      <c r="J107" t="s">
        <v>68</v>
      </c>
      <c r="K107" t="s">
        <v>60</v>
      </c>
      <c r="L107" t="s">
        <v>58</v>
      </c>
      <c r="M107" t="s">
        <v>58</v>
      </c>
      <c r="N107">
        <v>2</v>
      </c>
      <c r="O107">
        <v>2</v>
      </c>
      <c r="P107">
        <v>3</v>
      </c>
      <c r="Q107">
        <v>3</v>
      </c>
      <c r="R107">
        <v>2</v>
      </c>
      <c r="S107">
        <v>3</v>
      </c>
      <c r="T107">
        <v>2</v>
      </c>
      <c r="U107">
        <v>4</v>
      </c>
      <c r="V107">
        <v>4</v>
      </c>
      <c r="W107">
        <v>4</v>
      </c>
      <c r="X107">
        <v>5</v>
      </c>
      <c r="Y107">
        <v>5</v>
      </c>
      <c r="Z107">
        <v>5</v>
      </c>
      <c r="AA107">
        <v>3</v>
      </c>
      <c r="AB107">
        <v>3</v>
      </c>
      <c r="AC107">
        <v>3</v>
      </c>
      <c r="AD107">
        <v>4</v>
      </c>
      <c r="AE107">
        <v>5</v>
      </c>
      <c r="AF107">
        <v>4</v>
      </c>
      <c r="AG107">
        <v>3</v>
      </c>
      <c r="AH107">
        <v>3</v>
      </c>
      <c r="AI107">
        <v>3</v>
      </c>
      <c r="AJ107">
        <v>2</v>
      </c>
      <c r="AK107" t="b">
        <f>Table7[[#This Row],[What is your age?]]&lt;&gt;"18 - 25"</f>
        <v>0</v>
      </c>
      <c r="AL107" t="b">
        <f t="shared" si="3"/>
        <v>0</v>
      </c>
      <c r="AM107" t="b">
        <f t="shared" si="4"/>
        <v>0</v>
      </c>
      <c r="AN107" t="b">
        <f t="shared" si="5"/>
        <v>0</v>
      </c>
      <c r="AO107" t="b">
        <f>OR(Table7[[#This Row],[Ineligible respondents]:[Inconsistent response on opposite question (3)]])</f>
        <v>0</v>
      </c>
      <c r="AP10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107">
        <f>Table7[[#This Row],[Extreme Response]]/21</f>
        <v>0.19047619047619047</v>
      </c>
      <c r="AR107">
        <f>Table67[[#This Row],[Threshold of ERS]]</f>
        <v>0.61904761904761907</v>
      </c>
      <c r="AS107" t="b">
        <f>Table7[[#This Row],[Extrem Response Ratio (ERS)]]&gt;=Table7[[#This Row],[Threshold of ERS]]</f>
        <v>0</v>
      </c>
      <c r="AT107" t="b" cm="1">
        <f t="array" ref="AT10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07">
        <f>COUNTIF(Table7[[#This Row],[The mechanism of digital assets is difficult to understand, which discourages me from exploring it (E.g, Tokenization, Blockchain)]:[If I want to try different ways to invest, I will explore digital assets.]], 3)</f>
        <v>8</v>
      </c>
      <c r="AV107">
        <f>Table7[[#This Row],[Midpoint]]/21</f>
        <v>0.38095238095238093</v>
      </c>
      <c r="AW107">
        <f>Table67[[#This Row],[Threshold of Midpoint ratio]]</f>
        <v>0.5714285714285714</v>
      </c>
      <c r="AX107" t="b">
        <f>Table7[[#This Row],[Midpoint ratio]]&gt;=Table7[[#This Row],[Threshold of Midpoint ratio]]</f>
        <v>0</v>
      </c>
      <c r="AY107" t="b">
        <f>OR(Table7[[#This Row],[Extreme Response Style]:[Straight-lining with 1 deviation]],Table7[[#This Row],[Mid-point Response Style]])</f>
        <v>0</v>
      </c>
      <c r="AZ107" t="b">
        <f>OR(Table7[[#This Row],[Delete? (Stage 1)]],Table7[[#This Row],[Delete? (Stage 2)]])</f>
        <v>0</v>
      </c>
      <c r="BA107" t="s">
        <v>81</v>
      </c>
    </row>
    <row r="108" spans="1:53">
      <c r="A108">
        <v>501</v>
      </c>
      <c r="B108" s="3">
        <v>46049.721863425897</v>
      </c>
      <c r="C108" s="3">
        <v>46049.724212963003</v>
      </c>
      <c r="D108" t="s">
        <v>53</v>
      </c>
      <c r="G108" t="s">
        <v>54</v>
      </c>
      <c r="H108" t="s">
        <v>63</v>
      </c>
      <c r="I108" t="s">
        <v>71</v>
      </c>
      <c r="J108" t="s">
        <v>62</v>
      </c>
      <c r="K108" t="s">
        <v>62</v>
      </c>
      <c r="L108" t="s">
        <v>58</v>
      </c>
      <c r="M108" t="s">
        <v>58</v>
      </c>
      <c r="N108">
        <v>5</v>
      </c>
      <c r="O108">
        <v>4</v>
      </c>
      <c r="P108">
        <v>5</v>
      </c>
      <c r="Q108">
        <v>4</v>
      </c>
      <c r="R108">
        <v>4</v>
      </c>
      <c r="S108">
        <v>4</v>
      </c>
      <c r="T108">
        <v>3</v>
      </c>
      <c r="U108">
        <v>4</v>
      </c>
      <c r="V108">
        <v>5</v>
      </c>
      <c r="W108">
        <v>5</v>
      </c>
      <c r="X108">
        <v>4</v>
      </c>
      <c r="Y108">
        <v>4</v>
      </c>
      <c r="Z108">
        <v>5</v>
      </c>
      <c r="AA108">
        <v>5</v>
      </c>
      <c r="AB108">
        <v>5</v>
      </c>
      <c r="AC108">
        <v>5</v>
      </c>
      <c r="AD108">
        <v>5</v>
      </c>
      <c r="AE108">
        <v>4</v>
      </c>
      <c r="AF108">
        <v>3</v>
      </c>
      <c r="AG108">
        <v>4</v>
      </c>
      <c r="AH108">
        <v>2</v>
      </c>
      <c r="AI108">
        <v>4</v>
      </c>
      <c r="AJ108">
        <v>3</v>
      </c>
      <c r="AK108" t="b">
        <f>Table7[[#This Row],[What is your age?]]&lt;&gt;"18 - 25"</f>
        <v>0</v>
      </c>
      <c r="AL108" t="b">
        <f t="shared" si="3"/>
        <v>0</v>
      </c>
      <c r="AM108" t="b">
        <f t="shared" si="4"/>
        <v>0</v>
      </c>
      <c r="AN108" t="b">
        <f t="shared" si="5"/>
        <v>0</v>
      </c>
      <c r="AO108" t="b">
        <f>OR(Table7[[#This Row],[Ineligible respondents]:[Inconsistent response on opposite question (3)]])</f>
        <v>0</v>
      </c>
      <c r="AP10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9</v>
      </c>
      <c r="AQ108">
        <f>Table7[[#This Row],[Extreme Response]]/21</f>
        <v>0.42857142857142855</v>
      </c>
      <c r="AR108">
        <f>Table67[[#This Row],[Threshold of ERS]]</f>
        <v>0.61904761904761907</v>
      </c>
      <c r="AS108" t="b">
        <f>Table7[[#This Row],[Extrem Response Ratio (ERS)]]&gt;=Table7[[#This Row],[Threshold of ERS]]</f>
        <v>0</v>
      </c>
      <c r="AT108" t="b" cm="1">
        <f t="array" ref="AT10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08">
        <f>COUNTIF(Table7[[#This Row],[The mechanism of digital assets is difficult to understand, which discourages me from exploring it (E.g, Tokenization, Blockchain)]:[If I want to try different ways to invest, I will explore digital assets.]], 3)</f>
        <v>2</v>
      </c>
      <c r="AV108">
        <f>Table7[[#This Row],[Midpoint]]/21</f>
        <v>9.5238095238095233E-2</v>
      </c>
      <c r="AW108">
        <f>Table67[[#This Row],[Threshold of Midpoint ratio]]</f>
        <v>0.5714285714285714</v>
      </c>
      <c r="AX108" t="b">
        <f>Table7[[#This Row],[Midpoint ratio]]&gt;=Table7[[#This Row],[Threshold of Midpoint ratio]]</f>
        <v>0</v>
      </c>
      <c r="AY108" t="b">
        <f>OR(Table7[[#This Row],[Extreme Response Style]:[Straight-lining with 1 deviation]],Table7[[#This Row],[Mid-point Response Style]])</f>
        <v>0</v>
      </c>
      <c r="AZ108" t="b">
        <f>OR(Table7[[#This Row],[Delete? (Stage 1)]],Table7[[#This Row],[Delete? (Stage 2)]])</f>
        <v>0</v>
      </c>
      <c r="BA108" t="s">
        <v>81</v>
      </c>
    </row>
    <row r="109" spans="1:53">
      <c r="A109">
        <v>511</v>
      </c>
      <c r="B109" s="3">
        <v>46049.722407407397</v>
      </c>
      <c r="C109" s="3">
        <v>46049.728819444397</v>
      </c>
      <c r="D109" t="s">
        <v>53</v>
      </c>
      <c r="G109" t="s">
        <v>54</v>
      </c>
      <c r="H109" t="s">
        <v>55</v>
      </c>
      <c r="I109" t="s">
        <v>75</v>
      </c>
      <c r="J109" t="s">
        <v>62</v>
      </c>
      <c r="K109" t="s">
        <v>62</v>
      </c>
      <c r="L109" t="s">
        <v>58</v>
      </c>
      <c r="M109" t="s">
        <v>58</v>
      </c>
      <c r="N109">
        <v>3</v>
      </c>
      <c r="O109">
        <v>3</v>
      </c>
      <c r="P109">
        <v>3</v>
      </c>
      <c r="Q109">
        <v>3</v>
      </c>
      <c r="R109">
        <v>3</v>
      </c>
      <c r="S109">
        <v>1</v>
      </c>
      <c r="T109">
        <v>4</v>
      </c>
      <c r="U109">
        <v>4</v>
      </c>
      <c r="V109">
        <v>5</v>
      </c>
      <c r="W109">
        <v>5</v>
      </c>
      <c r="X109">
        <v>4</v>
      </c>
      <c r="Y109">
        <v>4</v>
      </c>
      <c r="Z109">
        <v>5</v>
      </c>
      <c r="AA109">
        <v>4</v>
      </c>
      <c r="AB109">
        <v>4</v>
      </c>
      <c r="AC109">
        <v>5</v>
      </c>
      <c r="AD109">
        <v>5</v>
      </c>
      <c r="AE109">
        <v>4</v>
      </c>
      <c r="AF109">
        <v>1</v>
      </c>
      <c r="AG109">
        <v>4</v>
      </c>
      <c r="AH109">
        <v>1</v>
      </c>
      <c r="AI109">
        <v>5</v>
      </c>
      <c r="AJ109">
        <v>5</v>
      </c>
      <c r="AK109" t="b">
        <f>Table7[[#This Row],[What is your age?]]&lt;&gt;"18 - 25"</f>
        <v>0</v>
      </c>
      <c r="AL109" t="b">
        <f t="shared" si="3"/>
        <v>0</v>
      </c>
      <c r="AM109" t="b">
        <f t="shared" si="4"/>
        <v>0</v>
      </c>
      <c r="AN109" t="b">
        <f t="shared" si="5"/>
        <v>0</v>
      </c>
      <c r="AO109" t="b">
        <f>OR(Table7[[#This Row],[Ineligible respondents]:[Inconsistent response on opposite question (3)]])</f>
        <v>0</v>
      </c>
      <c r="AP10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8</v>
      </c>
      <c r="AQ109">
        <f>Table7[[#This Row],[Extreme Response]]/21</f>
        <v>0.38095238095238093</v>
      </c>
      <c r="AR109">
        <f>Table67[[#This Row],[Threshold of ERS]]</f>
        <v>0.61904761904761907</v>
      </c>
      <c r="AS109" t="b">
        <f>Table7[[#This Row],[Extrem Response Ratio (ERS)]]&gt;=Table7[[#This Row],[Threshold of ERS]]</f>
        <v>0</v>
      </c>
      <c r="AT109" t="b" cm="1">
        <f t="array" ref="AT10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09">
        <f>COUNTIF(Table7[[#This Row],[The mechanism of digital assets is difficult to understand, which discourages me from exploring it (E.g, Tokenization, Blockchain)]:[If I want to try different ways to invest, I will explore digital assets.]], 3)</f>
        <v>5</v>
      </c>
      <c r="AV109">
        <f>Table7[[#This Row],[Midpoint]]/21</f>
        <v>0.23809523809523808</v>
      </c>
      <c r="AW109">
        <f>Table67[[#This Row],[Threshold of Midpoint ratio]]</f>
        <v>0.5714285714285714</v>
      </c>
      <c r="AX109" t="b">
        <f>Table7[[#This Row],[Midpoint ratio]]&gt;=Table7[[#This Row],[Threshold of Midpoint ratio]]</f>
        <v>0</v>
      </c>
      <c r="AY109" t="b">
        <f>OR(Table7[[#This Row],[Extreme Response Style]:[Straight-lining with 1 deviation]],Table7[[#This Row],[Mid-point Response Style]])</f>
        <v>0</v>
      </c>
      <c r="AZ109" t="b">
        <f>OR(Table7[[#This Row],[Delete? (Stage 1)]],Table7[[#This Row],[Delete? (Stage 2)]])</f>
        <v>0</v>
      </c>
      <c r="BA109" t="s">
        <v>81</v>
      </c>
    </row>
    <row r="110" spans="1:53">
      <c r="A110">
        <v>532</v>
      </c>
      <c r="B110" s="3">
        <v>46049.723321759302</v>
      </c>
      <c r="C110" s="3">
        <v>46049.735011574099</v>
      </c>
      <c r="D110" t="s">
        <v>53</v>
      </c>
      <c r="G110" t="s">
        <v>54</v>
      </c>
      <c r="H110" t="s">
        <v>63</v>
      </c>
      <c r="I110" t="s">
        <v>56</v>
      </c>
      <c r="J110" t="s">
        <v>62</v>
      </c>
      <c r="K110" t="s">
        <v>62</v>
      </c>
      <c r="L110" t="s">
        <v>58</v>
      </c>
      <c r="M110" t="s">
        <v>61</v>
      </c>
      <c r="N110">
        <v>4</v>
      </c>
      <c r="O110">
        <v>2</v>
      </c>
      <c r="P110">
        <v>2</v>
      </c>
      <c r="Q110">
        <v>3</v>
      </c>
      <c r="R110">
        <v>4</v>
      </c>
      <c r="S110">
        <v>5</v>
      </c>
      <c r="T110">
        <v>2</v>
      </c>
      <c r="U110">
        <v>3</v>
      </c>
      <c r="V110">
        <v>4</v>
      </c>
      <c r="W110">
        <v>4</v>
      </c>
      <c r="X110">
        <v>5</v>
      </c>
      <c r="Y110">
        <v>4</v>
      </c>
      <c r="Z110">
        <v>5</v>
      </c>
      <c r="AA110">
        <v>3</v>
      </c>
      <c r="AB110">
        <v>2</v>
      </c>
      <c r="AC110">
        <v>2</v>
      </c>
      <c r="AD110">
        <v>4</v>
      </c>
      <c r="AE110">
        <v>4</v>
      </c>
      <c r="AF110">
        <v>5</v>
      </c>
      <c r="AG110">
        <v>2</v>
      </c>
      <c r="AH110">
        <v>4</v>
      </c>
      <c r="AI110">
        <v>2</v>
      </c>
      <c r="AJ110">
        <v>1</v>
      </c>
      <c r="AK110" t="b">
        <f>Table7[[#This Row],[What is your age?]]&lt;&gt;"18 - 25"</f>
        <v>0</v>
      </c>
      <c r="AL110" t="b">
        <f t="shared" si="3"/>
        <v>0</v>
      </c>
      <c r="AM110" t="b">
        <f t="shared" si="4"/>
        <v>0</v>
      </c>
      <c r="AN110" t="b">
        <f t="shared" si="5"/>
        <v>0</v>
      </c>
      <c r="AO110" t="b">
        <f>OR(Table7[[#This Row],[Ineligible respondents]:[Inconsistent response on opposite question (3)]])</f>
        <v>0</v>
      </c>
      <c r="AP11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110">
        <f>Table7[[#This Row],[Extreme Response]]/21</f>
        <v>0.19047619047619047</v>
      </c>
      <c r="AR110">
        <f>Table67[[#This Row],[Threshold of ERS]]</f>
        <v>0.61904761904761907</v>
      </c>
      <c r="AS110" t="b">
        <f>Table7[[#This Row],[Extrem Response Ratio (ERS)]]&gt;=Table7[[#This Row],[Threshold of ERS]]</f>
        <v>0</v>
      </c>
      <c r="AT110" t="b" cm="1">
        <f t="array" ref="AT11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10">
        <f>COUNTIF(Table7[[#This Row],[The mechanism of digital assets is difficult to understand, which discourages me from exploring it (E.g, Tokenization, Blockchain)]:[If I want to try different ways to invest, I will explore digital assets.]], 3)</f>
        <v>3</v>
      </c>
      <c r="AV110">
        <f>Table7[[#This Row],[Midpoint]]/21</f>
        <v>0.14285714285714285</v>
      </c>
      <c r="AW110">
        <f>Table67[[#This Row],[Threshold of Midpoint ratio]]</f>
        <v>0.5714285714285714</v>
      </c>
      <c r="AX110" t="b">
        <f>Table7[[#This Row],[Midpoint ratio]]&gt;=Table7[[#This Row],[Threshold of Midpoint ratio]]</f>
        <v>0</v>
      </c>
      <c r="AY110" t="b">
        <f>OR(Table7[[#This Row],[Extreme Response Style]:[Straight-lining with 1 deviation]],Table7[[#This Row],[Mid-point Response Style]])</f>
        <v>0</v>
      </c>
      <c r="AZ110" t="b">
        <f>OR(Table7[[#This Row],[Delete? (Stage 1)]],Table7[[#This Row],[Delete? (Stage 2)]])</f>
        <v>0</v>
      </c>
      <c r="BA110" t="s">
        <v>81</v>
      </c>
    </row>
    <row r="111" spans="1:53">
      <c r="A111">
        <v>534</v>
      </c>
      <c r="B111" s="3">
        <v>46049.723634259302</v>
      </c>
      <c r="C111" s="3">
        <v>46049.731296296297</v>
      </c>
      <c r="D111" t="s">
        <v>53</v>
      </c>
      <c r="G111" t="s">
        <v>54</v>
      </c>
      <c r="H111" t="s">
        <v>63</v>
      </c>
      <c r="I111" t="s">
        <v>56</v>
      </c>
      <c r="J111" t="s">
        <v>62</v>
      </c>
      <c r="K111" t="s">
        <v>62</v>
      </c>
      <c r="L111" t="s">
        <v>58</v>
      </c>
      <c r="M111" t="s">
        <v>58</v>
      </c>
      <c r="N111">
        <v>4</v>
      </c>
      <c r="O111">
        <v>3</v>
      </c>
      <c r="P111">
        <v>4</v>
      </c>
      <c r="Q111">
        <v>4</v>
      </c>
      <c r="R111">
        <v>4</v>
      </c>
      <c r="S111">
        <v>5</v>
      </c>
      <c r="T111">
        <v>2</v>
      </c>
      <c r="U111">
        <v>4</v>
      </c>
      <c r="V111">
        <v>5</v>
      </c>
      <c r="W111">
        <v>5</v>
      </c>
      <c r="X111">
        <v>4</v>
      </c>
      <c r="Y111">
        <v>5</v>
      </c>
      <c r="Z111">
        <v>5</v>
      </c>
      <c r="AA111">
        <v>4</v>
      </c>
      <c r="AB111">
        <v>2</v>
      </c>
      <c r="AC111">
        <v>4</v>
      </c>
      <c r="AD111">
        <v>5</v>
      </c>
      <c r="AE111">
        <v>5</v>
      </c>
      <c r="AF111">
        <v>3</v>
      </c>
      <c r="AG111">
        <v>4</v>
      </c>
      <c r="AH111">
        <v>2</v>
      </c>
      <c r="AI111">
        <v>4</v>
      </c>
      <c r="AJ111">
        <v>3</v>
      </c>
      <c r="AK111" t="b">
        <f>Table7[[#This Row],[What is your age?]]&lt;&gt;"18 - 25"</f>
        <v>0</v>
      </c>
      <c r="AL111" t="b">
        <f t="shared" si="3"/>
        <v>0</v>
      </c>
      <c r="AM111" t="b">
        <f t="shared" si="4"/>
        <v>0</v>
      </c>
      <c r="AN111" t="b">
        <f t="shared" si="5"/>
        <v>0</v>
      </c>
      <c r="AO111" t="b">
        <f>OR(Table7[[#This Row],[Ineligible respondents]:[Inconsistent response on opposite question (3)]])</f>
        <v>0</v>
      </c>
      <c r="AP11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7</v>
      </c>
      <c r="AQ111">
        <f>Table7[[#This Row],[Extreme Response]]/21</f>
        <v>0.33333333333333331</v>
      </c>
      <c r="AR111">
        <f>Table67[[#This Row],[Threshold of ERS]]</f>
        <v>0.61904761904761907</v>
      </c>
      <c r="AS111" t="b">
        <f>Table7[[#This Row],[Extrem Response Ratio (ERS)]]&gt;=Table7[[#This Row],[Threshold of ERS]]</f>
        <v>0</v>
      </c>
      <c r="AT111" t="b" cm="1">
        <f t="array" ref="AT11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11">
        <f>COUNTIF(Table7[[#This Row],[The mechanism of digital assets is difficult to understand, which discourages me from exploring it (E.g, Tokenization, Blockchain)]:[If I want to try different ways to invest, I will explore digital assets.]], 3)</f>
        <v>2</v>
      </c>
      <c r="AV111">
        <f>Table7[[#This Row],[Midpoint]]/21</f>
        <v>9.5238095238095233E-2</v>
      </c>
      <c r="AW111">
        <f>Table67[[#This Row],[Threshold of Midpoint ratio]]</f>
        <v>0.5714285714285714</v>
      </c>
      <c r="AX111" t="b">
        <f>Table7[[#This Row],[Midpoint ratio]]&gt;=Table7[[#This Row],[Threshold of Midpoint ratio]]</f>
        <v>0</v>
      </c>
      <c r="AY111" t="b">
        <f>OR(Table7[[#This Row],[Extreme Response Style]:[Straight-lining with 1 deviation]],Table7[[#This Row],[Mid-point Response Style]])</f>
        <v>0</v>
      </c>
      <c r="AZ111" t="b">
        <f>OR(Table7[[#This Row],[Delete? (Stage 1)]],Table7[[#This Row],[Delete? (Stage 2)]])</f>
        <v>0</v>
      </c>
      <c r="BA111" t="s">
        <v>81</v>
      </c>
    </row>
    <row r="112" spans="1:53">
      <c r="A112">
        <v>537</v>
      </c>
      <c r="B112" s="3">
        <v>46049.724039351902</v>
      </c>
      <c r="C112" s="3">
        <v>46049.729814814797</v>
      </c>
      <c r="D112" t="s">
        <v>53</v>
      </c>
      <c r="G112" t="s">
        <v>54</v>
      </c>
      <c r="H112" t="s">
        <v>63</v>
      </c>
      <c r="I112" t="s">
        <v>75</v>
      </c>
      <c r="J112" t="s">
        <v>57</v>
      </c>
      <c r="K112" t="s">
        <v>57</v>
      </c>
      <c r="L112" t="s">
        <v>58</v>
      </c>
      <c r="M112" t="s">
        <v>58</v>
      </c>
      <c r="N112">
        <v>4</v>
      </c>
      <c r="O112">
        <v>2</v>
      </c>
      <c r="P112">
        <v>4</v>
      </c>
      <c r="Q112">
        <v>4</v>
      </c>
      <c r="R112">
        <v>2</v>
      </c>
      <c r="S112">
        <v>4</v>
      </c>
      <c r="T112">
        <v>4</v>
      </c>
      <c r="U112">
        <v>5</v>
      </c>
      <c r="V112">
        <v>4</v>
      </c>
      <c r="W112">
        <v>4</v>
      </c>
      <c r="X112">
        <v>4</v>
      </c>
      <c r="Y112">
        <v>4</v>
      </c>
      <c r="Z112">
        <v>5</v>
      </c>
      <c r="AA112">
        <v>4</v>
      </c>
      <c r="AB112">
        <v>4</v>
      </c>
      <c r="AC112">
        <v>3</v>
      </c>
      <c r="AD112">
        <v>4</v>
      </c>
      <c r="AE112">
        <v>2</v>
      </c>
      <c r="AF112">
        <v>2</v>
      </c>
      <c r="AG112">
        <v>4</v>
      </c>
      <c r="AH112">
        <v>2</v>
      </c>
      <c r="AI112">
        <v>4</v>
      </c>
      <c r="AJ112">
        <v>4</v>
      </c>
      <c r="AK112" t="b">
        <f>Table7[[#This Row],[What is your age?]]&lt;&gt;"18 - 25"</f>
        <v>0</v>
      </c>
      <c r="AL112" t="b">
        <f t="shared" si="3"/>
        <v>0</v>
      </c>
      <c r="AM112" t="b">
        <f t="shared" si="4"/>
        <v>0</v>
      </c>
      <c r="AN112" t="b">
        <f t="shared" si="5"/>
        <v>0</v>
      </c>
      <c r="AO112" t="b">
        <f>OR(Table7[[#This Row],[Ineligible respondents]:[Inconsistent response on opposite question (3)]])</f>
        <v>0</v>
      </c>
      <c r="AP11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112">
        <f>Table7[[#This Row],[Extreme Response]]/21</f>
        <v>9.5238095238095233E-2</v>
      </c>
      <c r="AR112">
        <f>Table67[[#This Row],[Threshold of ERS]]</f>
        <v>0.61904761904761907</v>
      </c>
      <c r="AS112" t="b">
        <f>Table7[[#This Row],[Extrem Response Ratio (ERS)]]&gt;=Table7[[#This Row],[Threshold of ERS]]</f>
        <v>0</v>
      </c>
      <c r="AT112" t="b" cm="1">
        <f t="array" ref="AT11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12">
        <f>COUNTIF(Table7[[#This Row],[The mechanism of digital assets is difficult to understand, which discourages me from exploring it (E.g, Tokenization, Blockchain)]:[If I want to try different ways to invest, I will explore digital assets.]], 3)</f>
        <v>1</v>
      </c>
      <c r="AV112">
        <f>Table7[[#This Row],[Midpoint]]/21</f>
        <v>4.7619047619047616E-2</v>
      </c>
      <c r="AW112">
        <f>Table67[[#This Row],[Threshold of Midpoint ratio]]</f>
        <v>0.5714285714285714</v>
      </c>
      <c r="AX112" t="b">
        <f>Table7[[#This Row],[Midpoint ratio]]&gt;=Table7[[#This Row],[Threshold of Midpoint ratio]]</f>
        <v>0</v>
      </c>
      <c r="AY112" t="b">
        <f>OR(Table7[[#This Row],[Extreme Response Style]:[Straight-lining with 1 deviation]],Table7[[#This Row],[Mid-point Response Style]])</f>
        <v>0</v>
      </c>
      <c r="AZ112" t="b">
        <f>OR(Table7[[#This Row],[Delete? (Stage 1)]],Table7[[#This Row],[Delete? (Stage 2)]])</f>
        <v>0</v>
      </c>
      <c r="BA112" t="s">
        <v>84</v>
      </c>
    </row>
    <row r="113" spans="1:53">
      <c r="A113">
        <v>545</v>
      </c>
      <c r="B113" s="3">
        <v>46049.725972222201</v>
      </c>
      <c r="C113" s="3">
        <v>46049.7351388889</v>
      </c>
      <c r="D113" t="s">
        <v>53</v>
      </c>
      <c r="G113" t="s">
        <v>54</v>
      </c>
      <c r="H113" t="s">
        <v>55</v>
      </c>
      <c r="I113" t="s">
        <v>75</v>
      </c>
      <c r="J113" t="s">
        <v>60</v>
      </c>
      <c r="K113" t="s">
        <v>62</v>
      </c>
      <c r="L113" t="s">
        <v>58</v>
      </c>
      <c r="M113" t="s">
        <v>58</v>
      </c>
      <c r="N113">
        <v>2</v>
      </c>
      <c r="O113">
        <v>1</v>
      </c>
      <c r="P113">
        <v>4</v>
      </c>
      <c r="Q113">
        <v>3</v>
      </c>
      <c r="R113">
        <v>3</v>
      </c>
      <c r="S113">
        <v>4</v>
      </c>
      <c r="T113">
        <v>5</v>
      </c>
      <c r="U113">
        <v>5</v>
      </c>
      <c r="V113">
        <v>4</v>
      </c>
      <c r="W113">
        <v>4</v>
      </c>
      <c r="X113">
        <v>5</v>
      </c>
      <c r="Y113">
        <v>4</v>
      </c>
      <c r="Z113">
        <v>5</v>
      </c>
      <c r="AA113">
        <v>5</v>
      </c>
      <c r="AB113">
        <v>3</v>
      </c>
      <c r="AC113">
        <v>4</v>
      </c>
      <c r="AD113">
        <v>5</v>
      </c>
      <c r="AE113">
        <v>4</v>
      </c>
      <c r="AF113">
        <v>2</v>
      </c>
      <c r="AG113">
        <v>5</v>
      </c>
      <c r="AH113">
        <v>2</v>
      </c>
      <c r="AI113">
        <v>4</v>
      </c>
      <c r="AJ113">
        <v>4</v>
      </c>
      <c r="AK113" t="b">
        <f>Table7[[#This Row],[What is your age?]]&lt;&gt;"18 - 25"</f>
        <v>0</v>
      </c>
      <c r="AL113" t="b">
        <f t="shared" si="3"/>
        <v>0</v>
      </c>
      <c r="AM113" t="b">
        <f t="shared" si="4"/>
        <v>0</v>
      </c>
      <c r="AN113" t="b">
        <f t="shared" si="5"/>
        <v>0</v>
      </c>
      <c r="AO113" t="b">
        <f>OR(Table7[[#This Row],[Ineligible respondents]:[Inconsistent response on opposite question (3)]])</f>
        <v>0</v>
      </c>
      <c r="AP11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8</v>
      </c>
      <c r="AQ113">
        <f>Table7[[#This Row],[Extreme Response]]/21</f>
        <v>0.38095238095238093</v>
      </c>
      <c r="AR113">
        <f>Table67[[#This Row],[Threshold of ERS]]</f>
        <v>0.61904761904761907</v>
      </c>
      <c r="AS113" t="b">
        <f>Table7[[#This Row],[Extrem Response Ratio (ERS)]]&gt;=Table7[[#This Row],[Threshold of ERS]]</f>
        <v>0</v>
      </c>
      <c r="AT113" t="b" cm="1">
        <f t="array" ref="AT11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13">
        <f>COUNTIF(Table7[[#This Row],[The mechanism of digital assets is difficult to understand, which discourages me from exploring it (E.g, Tokenization, Blockchain)]:[If I want to try different ways to invest, I will explore digital assets.]], 3)</f>
        <v>3</v>
      </c>
      <c r="AV113">
        <f>Table7[[#This Row],[Midpoint]]/21</f>
        <v>0.14285714285714285</v>
      </c>
      <c r="AW113">
        <f>Table67[[#This Row],[Threshold of Midpoint ratio]]</f>
        <v>0.5714285714285714</v>
      </c>
      <c r="AX113" t="b">
        <f>Table7[[#This Row],[Midpoint ratio]]&gt;=Table7[[#This Row],[Threshold of Midpoint ratio]]</f>
        <v>0</v>
      </c>
      <c r="AY113" t="b">
        <f>OR(Table7[[#This Row],[Extreme Response Style]:[Straight-lining with 1 deviation]],Table7[[#This Row],[Mid-point Response Style]])</f>
        <v>0</v>
      </c>
      <c r="AZ113" t="b">
        <f>OR(Table7[[#This Row],[Delete? (Stage 1)]],Table7[[#This Row],[Delete? (Stage 2)]])</f>
        <v>0</v>
      </c>
      <c r="BA113" t="s">
        <v>84</v>
      </c>
    </row>
    <row r="114" spans="1:53">
      <c r="A114">
        <v>548</v>
      </c>
      <c r="B114" s="3">
        <v>46049.72625</v>
      </c>
      <c r="C114" s="3">
        <v>46049.729293981502</v>
      </c>
      <c r="D114" t="s">
        <v>53</v>
      </c>
      <c r="G114" t="s">
        <v>54</v>
      </c>
      <c r="H114" t="s">
        <v>55</v>
      </c>
      <c r="I114" t="s">
        <v>71</v>
      </c>
      <c r="J114" t="s">
        <v>64</v>
      </c>
      <c r="K114" t="s">
        <v>64</v>
      </c>
      <c r="L114" t="s">
        <v>58</v>
      </c>
      <c r="M114" t="s">
        <v>58</v>
      </c>
      <c r="N114">
        <v>4</v>
      </c>
      <c r="O114">
        <v>4</v>
      </c>
      <c r="P114">
        <v>5</v>
      </c>
      <c r="Q114">
        <v>4</v>
      </c>
      <c r="R114">
        <v>4</v>
      </c>
      <c r="S114">
        <v>5</v>
      </c>
      <c r="T114">
        <v>4</v>
      </c>
      <c r="U114">
        <v>5</v>
      </c>
      <c r="V114">
        <v>5</v>
      </c>
      <c r="W114">
        <v>4</v>
      </c>
      <c r="X114">
        <v>4</v>
      </c>
      <c r="Y114">
        <v>4</v>
      </c>
      <c r="Z114">
        <v>4</v>
      </c>
      <c r="AA114">
        <v>5</v>
      </c>
      <c r="AB114">
        <v>3</v>
      </c>
      <c r="AC114">
        <v>5</v>
      </c>
      <c r="AD114">
        <v>5</v>
      </c>
      <c r="AE114">
        <v>4</v>
      </c>
      <c r="AF114">
        <v>3</v>
      </c>
      <c r="AG114">
        <v>4</v>
      </c>
      <c r="AH114">
        <v>2</v>
      </c>
      <c r="AI114">
        <v>4</v>
      </c>
      <c r="AJ114">
        <v>3</v>
      </c>
      <c r="AK114" t="b">
        <f>Table7[[#This Row],[What is your age?]]&lt;&gt;"18 - 25"</f>
        <v>0</v>
      </c>
      <c r="AL114" t="b">
        <f t="shared" si="3"/>
        <v>0</v>
      </c>
      <c r="AM114" t="b">
        <f t="shared" si="4"/>
        <v>0</v>
      </c>
      <c r="AN114" t="b">
        <f t="shared" si="5"/>
        <v>0</v>
      </c>
      <c r="AO114" t="b">
        <f>OR(Table7[[#This Row],[Ineligible respondents]:[Inconsistent response on opposite question (3)]])</f>
        <v>0</v>
      </c>
      <c r="AP11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7</v>
      </c>
      <c r="AQ114">
        <f>Table7[[#This Row],[Extreme Response]]/21</f>
        <v>0.33333333333333331</v>
      </c>
      <c r="AR114">
        <f>Table67[[#This Row],[Threshold of ERS]]</f>
        <v>0.61904761904761907</v>
      </c>
      <c r="AS114" t="b">
        <f>Table7[[#This Row],[Extrem Response Ratio (ERS)]]&gt;=Table7[[#This Row],[Threshold of ERS]]</f>
        <v>0</v>
      </c>
      <c r="AT114" t="b" cm="1">
        <f t="array" ref="AT11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14">
        <f>COUNTIF(Table7[[#This Row],[The mechanism of digital assets is difficult to understand, which discourages me from exploring it (E.g, Tokenization, Blockchain)]:[If I want to try different ways to invest, I will explore digital assets.]], 3)</f>
        <v>2</v>
      </c>
      <c r="AV114">
        <f>Table7[[#This Row],[Midpoint]]/21</f>
        <v>9.5238095238095233E-2</v>
      </c>
      <c r="AW114">
        <f>Table67[[#This Row],[Threshold of Midpoint ratio]]</f>
        <v>0.5714285714285714</v>
      </c>
      <c r="AX114" t="b">
        <f>Table7[[#This Row],[Midpoint ratio]]&gt;=Table7[[#This Row],[Threshold of Midpoint ratio]]</f>
        <v>0</v>
      </c>
      <c r="AY114" t="b">
        <f>OR(Table7[[#This Row],[Extreme Response Style]:[Straight-lining with 1 deviation]],Table7[[#This Row],[Mid-point Response Style]])</f>
        <v>0</v>
      </c>
      <c r="AZ114" t="b">
        <f>OR(Table7[[#This Row],[Delete? (Stage 1)]],Table7[[#This Row],[Delete? (Stage 2)]])</f>
        <v>0</v>
      </c>
      <c r="BA114" t="s">
        <v>84</v>
      </c>
    </row>
    <row r="115" spans="1:53">
      <c r="A115">
        <v>549</v>
      </c>
      <c r="B115" s="3">
        <v>46049.7262962963</v>
      </c>
      <c r="C115" s="3">
        <v>46049.7323958333</v>
      </c>
      <c r="D115" t="s">
        <v>53</v>
      </c>
      <c r="G115" t="s">
        <v>54</v>
      </c>
      <c r="H115" t="s">
        <v>63</v>
      </c>
      <c r="I115" t="s">
        <v>56</v>
      </c>
      <c r="J115" t="s">
        <v>67</v>
      </c>
      <c r="K115" t="s">
        <v>60</v>
      </c>
      <c r="L115" t="s">
        <v>61</v>
      </c>
      <c r="M115" t="s">
        <v>61</v>
      </c>
      <c r="N115">
        <v>2</v>
      </c>
      <c r="O115">
        <v>1</v>
      </c>
      <c r="P115">
        <v>2</v>
      </c>
      <c r="Q115">
        <v>3</v>
      </c>
      <c r="R115">
        <v>3</v>
      </c>
      <c r="S115">
        <v>3</v>
      </c>
      <c r="T115">
        <v>3</v>
      </c>
      <c r="U115">
        <v>4</v>
      </c>
      <c r="V115">
        <v>4</v>
      </c>
      <c r="W115">
        <v>5</v>
      </c>
      <c r="X115">
        <v>4</v>
      </c>
      <c r="Y115">
        <v>5</v>
      </c>
      <c r="Z115">
        <v>5</v>
      </c>
      <c r="AA115">
        <v>3</v>
      </c>
      <c r="AB115">
        <v>3</v>
      </c>
      <c r="AC115">
        <v>3</v>
      </c>
      <c r="AD115">
        <v>4</v>
      </c>
      <c r="AE115">
        <v>4</v>
      </c>
      <c r="AF115">
        <v>2</v>
      </c>
      <c r="AG115">
        <v>3</v>
      </c>
      <c r="AH115">
        <v>3</v>
      </c>
      <c r="AI115">
        <v>3</v>
      </c>
      <c r="AJ115">
        <v>4</v>
      </c>
      <c r="AK115" t="b">
        <f>Table7[[#This Row],[What is your age?]]&lt;&gt;"18 - 25"</f>
        <v>0</v>
      </c>
      <c r="AL115" t="b">
        <f t="shared" si="3"/>
        <v>0</v>
      </c>
      <c r="AM115" t="b">
        <f t="shared" si="4"/>
        <v>0</v>
      </c>
      <c r="AN115" t="b">
        <f t="shared" si="5"/>
        <v>0</v>
      </c>
      <c r="AO115" t="b">
        <f>OR(Table7[[#This Row],[Ineligible respondents]:[Inconsistent response on opposite question (3)]])</f>
        <v>0</v>
      </c>
      <c r="AP11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115">
        <f>Table7[[#This Row],[Extreme Response]]/21</f>
        <v>0.19047619047619047</v>
      </c>
      <c r="AR115">
        <f>Table67[[#This Row],[Threshold of ERS]]</f>
        <v>0.61904761904761907</v>
      </c>
      <c r="AS115" t="b">
        <f>Table7[[#This Row],[Extrem Response Ratio (ERS)]]&gt;=Table7[[#This Row],[Threshold of ERS]]</f>
        <v>0</v>
      </c>
      <c r="AT115" t="b" cm="1">
        <f t="array" ref="AT11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15">
        <f>COUNTIF(Table7[[#This Row],[The mechanism of digital assets is difficult to understand, which discourages me from exploring it (E.g, Tokenization, Blockchain)]:[If I want to try different ways to invest, I will explore digital assets.]], 3)</f>
        <v>9</v>
      </c>
      <c r="AV115">
        <f>Table7[[#This Row],[Midpoint]]/21</f>
        <v>0.42857142857142855</v>
      </c>
      <c r="AW115">
        <f>Table67[[#This Row],[Threshold of Midpoint ratio]]</f>
        <v>0.5714285714285714</v>
      </c>
      <c r="AX115" t="b">
        <f>Table7[[#This Row],[Midpoint ratio]]&gt;=Table7[[#This Row],[Threshold of Midpoint ratio]]</f>
        <v>0</v>
      </c>
      <c r="AY115" t="b">
        <f>OR(Table7[[#This Row],[Extreme Response Style]:[Straight-lining with 1 deviation]],Table7[[#This Row],[Mid-point Response Style]])</f>
        <v>0</v>
      </c>
      <c r="AZ115" t="b">
        <f>OR(Table7[[#This Row],[Delete? (Stage 1)]],Table7[[#This Row],[Delete? (Stage 2)]])</f>
        <v>0</v>
      </c>
      <c r="BA115" t="s">
        <v>84</v>
      </c>
    </row>
    <row r="116" spans="1:53">
      <c r="A116">
        <v>550</v>
      </c>
      <c r="B116" s="3">
        <v>46049.726342592599</v>
      </c>
      <c r="C116" s="3">
        <v>46049.729606481502</v>
      </c>
      <c r="D116" t="s">
        <v>53</v>
      </c>
      <c r="G116" t="s">
        <v>54</v>
      </c>
      <c r="H116" t="s">
        <v>63</v>
      </c>
      <c r="I116" t="s">
        <v>56</v>
      </c>
      <c r="J116" t="s">
        <v>62</v>
      </c>
      <c r="K116" t="s">
        <v>62</v>
      </c>
      <c r="L116" t="s">
        <v>58</v>
      </c>
      <c r="M116" t="s">
        <v>61</v>
      </c>
      <c r="N116">
        <v>4</v>
      </c>
      <c r="O116">
        <v>5</v>
      </c>
      <c r="P116">
        <v>3</v>
      </c>
      <c r="Q116">
        <v>4</v>
      </c>
      <c r="R116">
        <v>3</v>
      </c>
      <c r="S116">
        <v>4</v>
      </c>
      <c r="T116">
        <v>2</v>
      </c>
      <c r="U116">
        <v>4</v>
      </c>
      <c r="V116">
        <v>5</v>
      </c>
      <c r="W116">
        <v>5</v>
      </c>
      <c r="X116">
        <v>5</v>
      </c>
      <c r="Y116">
        <v>5</v>
      </c>
      <c r="Z116">
        <v>4</v>
      </c>
      <c r="AA116">
        <v>3</v>
      </c>
      <c r="AB116">
        <v>3</v>
      </c>
      <c r="AC116">
        <v>3</v>
      </c>
      <c r="AD116">
        <v>4</v>
      </c>
      <c r="AE116">
        <v>4</v>
      </c>
      <c r="AF116">
        <v>3</v>
      </c>
      <c r="AG116">
        <v>3</v>
      </c>
      <c r="AH116">
        <v>3</v>
      </c>
      <c r="AI116">
        <v>3</v>
      </c>
      <c r="AJ116">
        <v>3</v>
      </c>
      <c r="AK116" t="b">
        <f>Table7[[#This Row],[What is your age?]]&lt;&gt;"18 - 25"</f>
        <v>0</v>
      </c>
      <c r="AL116" t="b">
        <f t="shared" si="3"/>
        <v>0</v>
      </c>
      <c r="AM116" t="b">
        <f t="shared" si="4"/>
        <v>0</v>
      </c>
      <c r="AN116" t="b">
        <f t="shared" si="5"/>
        <v>0</v>
      </c>
      <c r="AO116" t="b">
        <f>OR(Table7[[#This Row],[Ineligible respondents]:[Inconsistent response on opposite question (3)]])</f>
        <v>0</v>
      </c>
      <c r="AP11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5</v>
      </c>
      <c r="AQ116">
        <f>Table7[[#This Row],[Extreme Response]]/21</f>
        <v>0.23809523809523808</v>
      </c>
      <c r="AR116">
        <f>Table67[[#This Row],[Threshold of ERS]]</f>
        <v>0.61904761904761907</v>
      </c>
      <c r="AS116" t="b">
        <f>Table7[[#This Row],[Extrem Response Ratio (ERS)]]&gt;=Table7[[#This Row],[Threshold of ERS]]</f>
        <v>0</v>
      </c>
      <c r="AT116" t="b" cm="1">
        <f t="array" ref="AT11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16">
        <f>COUNTIF(Table7[[#This Row],[The mechanism of digital assets is difficult to understand, which discourages me from exploring it (E.g, Tokenization, Blockchain)]:[If I want to try different ways to invest, I will explore digital assets.]], 3)</f>
        <v>8</v>
      </c>
      <c r="AV116">
        <f>Table7[[#This Row],[Midpoint]]/21</f>
        <v>0.38095238095238093</v>
      </c>
      <c r="AW116">
        <f>Table67[[#This Row],[Threshold of Midpoint ratio]]</f>
        <v>0.5714285714285714</v>
      </c>
      <c r="AX116" t="b">
        <f>Table7[[#This Row],[Midpoint ratio]]&gt;=Table7[[#This Row],[Threshold of Midpoint ratio]]</f>
        <v>0</v>
      </c>
      <c r="AY116" t="b">
        <f>OR(Table7[[#This Row],[Extreme Response Style]:[Straight-lining with 1 deviation]],Table7[[#This Row],[Mid-point Response Style]])</f>
        <v>0</v>
      </c>
      <c r="AZ116" t="b">
        <f>OR(Table7[[#This Row],[Delete? (Stage 1)]],Table7[[#This Row],[Delete? (Stage 2)]])</f>
        <v>0</v>
      </c>
      <c r="BA116" t="s">
        <v>84</v>
      </c>
    </row>
    <row r="117" spans="1:53">
      <c r="A117">
        <v>551</v>
      </c>
      <c r="B117" s="3">
        <v>46049.726354166698</v>
      </c>
      <c r="C117" s="3">
        <v>46049.729641203703</v>
      </c>
      <c r="D117" t="s">
        <v>53</v>
      </c>
      <c r="G117" t="s">
        <v>54</v>
      </c>
      <c r="H117" t="s">
        <v>63</v>
      </c>
      <c r="I117" t="s">
        <v>56</v>
      </c>
      <c r="J117" t="s">
        <v>67</v>
      </c>
      <c r="K117" t="s">
        <v>57</v>
      </c>
      <c r="L117" t="s">
        <v>58</v>
      </c>
      <c r="M117" t="s">
        <v>58</v>
      </c>
      <c r="N117">
        <v>5</v>
      </c>
      <c r="O117">
        <v>3</v>
      </c>
      <c r="P117">
        <v>4</v>
      </c>
      <c r="Q117">
        <v>5</v>
      </c>
      <c r="R117">
        <v>4</v>
      </c>
      <c r="S117">
        <v>5</v>
      </c>
      <c r="T117">
        <v>5</v>
      </c>
      <c r="U117">
        <v>5</v>
      </c>
      <c r="V117">
        <v>5</v>
      </c>
      <c r="W117">
        <v>5</v>
      </c>
      <c r="X117">
        <v>4</v>
      </c>
      <c r="Y117">
        <v>5</v>
      </c>
      <c r="Z117">
        <v>4</v>
      </c>
      <c r="AA117">
        <v>5</v>
      </c>
      <c r="AB117">
        <v>3</v>
      </c>
      <c r="AC117">
        <v>4</v>
      </c>
      <c r="AD117">
        <v>5</v>
      </c>
      <c r="AE117">
        <v>4</v>
      </c>
      <c r="AF117">
        <v>1</v>
      </c>
      <c r="AG117">
        <v>5</v>
      </c>
      <c r="AH117">
        <v>2</v>
      </c>
      <c r="AI117">
        <v>4</v>
      </c>
      <c r="AJ117">
        <v>5</v>
      </c>
      <c r="AK117" t="b">
        <f>Table7[[#This Row],[What is your age?]]&lt;&gt;"18 - 25"</f>
        <v>0</v>
      </c>
      <c r="AL117" t="b">
        <f t="shared" si="3"/>
        <v>0</v>
      </c>
      <c r="AM117" t="b">
        <f t="shared" si="4"/>
        <v>0</v>
      </c>
      <c r="AN117" t="b">
        <f t="shared" si="5"/>
        <v>0</v>
      </c>
      <c r="AO117" t="b">
        <f>OR(Table7[[#This Row],[Ineligible respondents]:[Inconsistent response on opposite question (3)]])</f>
        <v>0</v>
      </c>
      <c r="AP11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12</v>
      </c>
      <c r="AQ117">
        <f>Table7[[#This Row],[Extreme Response]]/21</f>
        <v>0.5714285714285714</v>
      </c>
      <c r="AR117">
        <f>Table67[[#This Row],[Threshold of ERS]]</f>
        <v>0.61904761904761907</v>
      </c>
      <c r="AS117" t="b">
        <f>Table7[[#This Row],[Extrem Response Ratio (ERS)]]&gt;=Table7[[#This Row],[Threshold of ERS]]</f>
        <v>0</v>
      </c>
      <c r="AT117" t="b" cm="1">
        <f t="array" ref="AT11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17">
        <f>COUNTIF(Table7[[#This Row],[The mechanism of digital assets is difficult to understand, which discourages me from exploring it (E.g, Tokenization, Blockchain)]:[If I want to try different ways to invest, I will explore digital assets.]], 3)</f>
        <v>2</v>
      </c>
      <c r="AV117">
        <f>Table7[[#This Row],[Midpoint]]/21</f>
        <v>9.5238095238095233E-2</v>
      </c>
      <c r="AW117">
        <f>Table67[[#This Row],[Threshold of Midpoint ratio]]</f>
        <v>0.5714285714285714</v>
      </c>
      <c r="AX117" t="b">
        <f>Table7[[#This Row],[Midpoint ratio]]&gt;=Table7[[#This Row],[Threshold of Midpoint ratio]]</f>
        <v>0</v>
      </c>
      <c r="AY117" t="b">
        <f>OR(Table7[[#This Row],[Extreme Response Style]:[Straight-lining with 1 deviation]],Table7[[#This Row],[Mid-point Response Style]])</f>
        <v>0</v>
      </c>
      <c r="AZ117" t="b">
        <f>OR(Table7[[#This Row],[Delete? (Stage 1)]],Table7[[#This Row],[Delete? (Stage 2)]])</f>
        <v>0</v>
      </c>
      <c r="BA117" t="s">
        <v>84</v>
      </c>
    </row>
    <row r="118" spans="1:53">
      <c r="A118">
        <v>555</v>
      </c>
      <c r="B118" s="3">
        <v>46049.7266550926</v>
      </c>
      <c r="C118" s="3">
        <v>46049.729513888902</v>
      </c>
      <c r="D118" t="s">
        <v>53</v>
      </c>
      <c r="G118" t="s">
        <v>54</v>
      </c>
      <c r="H118" t="s">
        <v>55</v>
      </c>
      <c r="I118" t="s">
        <v>56</v>
      </c>
      <c r="J118" t="s">
        <v>62</v>
      </c>
      <c r="K118" t="s">
        <v>62</v>
      </c>
      <c r="L118" t="s">
        <v>58</v>
      </c>
      <c r="M118" t="s">
        <v>58</v>
      </c>
      <c r="N118">
        <v>4</v>
      </c>
      <c r="O118">
        <v>4</v>
      </c>
      <c r="P118">
        <v>3</v>
      </c>
      <c r="Q118">
        <v>4</v>
      </c>
      <c r="R118">
        <v>4</v>
      </c>
      <c r="S118">
        <v>3</v>
      </c>
      <c r="T118">
        <v>3</v>
      </c>
      <c r="U118">
        <v>4</v>
      </c>
      <c r="V118">
        <v>4</v>
      </c>
      <c r="W118">
        <v>5</v>
      </c>
      <c r="X118">
        <v>2</v>
      </c>
      <c r="Y118">
        <v>4</v>
      </c>
      <c r="Z118">
        <v>4</v>
      </c>
      <c r="AA118">
        <v>4</v>
      </c>
      <c r="AB118">
        <v>4</v>
      </c>
      <c r="AC118">
        <v>2</v>
      </c>
      <c r="AD118">
        <v>4</v>
      </c>
      <c r="AE118">
        <v>2</v>
      </c>
      <c r="AF118">
        <v>4</v>
      </c>
      <c r="AG118">
        <v>2</v>
      </c>
      <c r="AH118">
        <v>4</v>
      </c>
      <c r="AI118">
        <v>2</v>
      </c>
      <c r="AJ118">
        <v>2</v>
      </c>
      <c r="AK118" t="b">
        <f>Table7[[#This Row],[What is your age?]]&lt;&gt;"18 - 25"</f>
        <v>0</v>
      </c>
      <c r="AL118" t="b">
        <f t="shared" si="3"/>
        <v>0</v>
      </c>
      <c r="AM118" t="b">
        <f t="shared" si="4"/>
        <v>0</v>
      </c>
      <c r="AN118" t="b">
        <f t="shared" si="5"/>
        <v>0</v>
      </c>
      <c r="AO118" t="b">
        <f>OR(Table7[[#This Row],[Ineligible respondents]:[Inconsistent response on opposite question (3)]])</f>
        <v>0</v>
      </c>
      <c r="AP11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118">
        <f>Table7[[#This Row],[Extreme Response]]/21</f>
        <v>4.7619047619047616E-2</v>
      </c>
      <c r="AR118">
        <f>Table67[[#This Row],[Threshold of ERS]]</f>
        <v>0.61904761904761907</v>
      </c>
      <c r="AS118" t="b">
        <f>Table7[[#This Row],[Extrem Response Ratio (ERS)]]&gt;=Table7[[#This Row],[Threshold of ERS]]</f>
        <v>0</v>
      </c>
      <c r="AT118" t="b" cm="1">
        <f t="array" ref="AT11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18">
        <f>COUNTIF(Table7[[#This Row],[The mechanism of digital assets is difficult to understand, which discourages me from exploring it (E.g, Tokenization, Blockchain)]:[If I want to try different ways to invest, I will explore digital assets.]], 3)</f>
        <v>3</v>
      </c>
      <c r="AV118">
        <f>Table7[[#This Row],[Midpoint]]/21</f>
        <v>0.14285714285714285</v>
      </c>
      <c r="AW118">
        <f>Table67[[#This Row],[Threshold of Midpoint ratio]]</f>
        <v>0.5714285714285714</v>
      </c>
      <c r="AX118" t="b">
        <f>Table7[[#This Row],[Midpoint ratio]]&gt;=Table7[[#This Row],[Threshold of Midpoint ratio]]</f>
        <v>0</v>
      </c>
      <c r="AY118" t="b">
        <f>OR(Table7[[#This Row],[Extreme Response Style]:[Straight-lining with 1 deviation]],Table7[[#This Row],[Mid-point Response Style]])</f>
        <v>0</v>
      </c>
      <c r="AZ118" t="b">
        <f>OR(Table7[[#This Row],[Delete? (Stage 1)]],Table7[[#This Row],[Delete? (Stage 2)]])</f>
        <v>0</v>
      </c>
      <c r="BA118" t="s">
        <v>84</v>
      </c>
    </row>
    <row r="119" spans="1:53">
      <c r="A119">
        <v>559</v>
      </c>
      <c r="B119" s="3">
        <v>46049.727210648103</v>
      </c>
      <c r="C119" s="3">
        <v>46049.730706018498</v>
      </c>
      <c r="D119" t="s">
        <v>53</v>
      </c>
      <c r="G119" t="s">
        <v>54</v>
      </c>
      <c r="H119" t="s">
        <v>55</v>
      </c>
      <c r="I119" t="s">
        <v>56</v>
      </c>
      <c r="J119" t="s">
        <v>62</v>
      </c>
      <c r="K119" t="s">
        <v>57</v>
      </c>
      <c r="L119" t="s">
        <v>58</v>
      </c>
      <c r="M119" t="s">
        <v>58</v>
      </c>
      <c r="N119">
        <v>4</v>
      </c>
      <c r="O119">
        <v>4</v>
      </c>
      <c r="P119">
        <v>5</v>
      </c>
      <c r="Q119">
        <v>3</v>
      </c>
      <c r="R119">
        <v>5</v>
      </c>
      <c r="S119">
        <v>4</v>
      </c>
      <c r="T119">
        <v>5</v>
      </c>
      <c r="U119">
        <v>4</v>
      </c>
      <c r="V119">
        <v>5</v>
      </c>
      <c r="W119">
        <v>4</v>
      </c>
      <c r="X119">
        <v>4</v>
      </c>
      <c r="Y119">
        <v>5</v>
      </c>
      <c r="Z119">
        <v>5</v>
      </c>
      <c r="AA119">
        <v>4</v>
      </c>
      <c r="AB119">
        <v>4</v>
      </c>
      <c r="AC119">
        <v>3</v>
      </c>
      <c r="AD119">
        <v>4</v>
      </c>
      <c r="AE119">
        <v>5</v>
      </c>
      <c r="AF119">
        <v>2</v>
      </c>
      <c r="AG119">
        <v>4</v>
      </c>
      <c r="AH119">
        <v>2</v>
      </c>
      <c r="AI119">
        <v>4</v>
      </c>
      <c r="AJ119">
        <v>4</v>
      </c>
      <c r="AK119" t="b">
        <f>Table7[[#This Row],[What is your age?]]&lt;&gt;"18 - 25"</f>
        <v>0</v>
      </c>
      <c r="AL119" t="b">
        <f t="shared" si="3"/>
        <v>0</v>
      </c>
      <c r="AM119" t="b">
        <f t="shared" si="4"/>
        <v>0</v>
      </c>
      <c r="AN119" t="b">
        <f t="shared" si="5"/>
        <v>0</v>
      </c>
      <c r="AO119" t="b">
        <f>OR(Table7[[#This Row],[Ineligible respondents]:[Inconsistent response on opposite question (3)]])</f>
        <v>0</v>
      </c>
      <c r="AP11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7</v>
      </c>
      <c r="AQ119">
        <f>Table7[[#This Row],[Extreme Response]]/21</f>
        <v>0.33333333333333331</v>
      </c>
      <c r="AR119">
        <f>Table67[[#This Row],[Threshold of ERS]]</f>
        <v>0.61904761904761907</v>
      </c>
      <c r="AS119" t="b">
        <f>Table7[[#This Row],[Extrem Response Ratio (ERS)]]&gt;=Table7[[#This Row],[Threshold of ERS]]</f>
        <v>0</v>
      </c>
      <c r="AT119" t="b" cm="1">
        <f t="array" ref="AT11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19">
        <f>COUNTIF(Table7[[#This Row],[The mechanism of digital assets is difficult to understand, which discourages me from exploring it (E.g, Tokenization, Blockchain)]:[If I want to try different ways to invest, I will explore digital assets.]], 3)</f>
        <v>2</v>
      </c>
      <c r="AV119">
        <f>Table7[[#This Row],[Midpoint]]/21</f>
        <v>9.5238095238095233E-2</v>
      </c>
      <c r="AW119">
        <f>Table67[[#This Row],[Threshold of Midpoint ratio]]</f>
        <v>0.5714285714285714</v>
      </c>
      <c r="AX119" t="b">
        <f>Table7[[#This Row],[Midpoint ratio]]&gt;=Table7[[#This Row],[Threshold of Midpoint ratio]]</f>
        <v>0</v>
      </c>
      <c r="AY119" t="b">
        <f>OR(Table7[[#This Row],[Extreme Response Style]:[Straight-lining with 1 deviation]],Table7[[#This Row],[Mid-point Response Style]])</f>
        <v>0</v>
      </c>
      <c r="AZ119" t="b">
        <f>OR(Table7[[#This Row],[Delete? (Stage 1)]],Table7[[#This Row],[Delete? (Stage 2)]])</f>
        <v>0</v>
      </c>
      <c r="BA119" t="s">
        <v>84</v>
      </c>
    </row>
    <row r="120" spans="1:53">
      <c r="A120">
        <v>560</v>
      </c>
      <c r="B120" s="3">
        <v>46049.727303240703</v>
      </c>
      <c r="C120" s="3">
        <v>46049.730972222198</v>
      </c>
      <c r="D120" t="s">
        <v>53</v>
      </c>
      <c r="G120" t="s">
        <v>54</v>
      </c>
      <c r="H120" t="s">
        <v>55</v>
      </c>
      <c r="I120" t="s">
        <v>56</v>
      </c>
      <c r="J120" t="s">
        <v>62</v>
      </c>
      <c r="K120" t="s">
        <v>62</v>
      </c>
      <c r="L120" t="s">
        <v>58</v>
      </c>
      <c r="M120" t="s">
        <v>58</v>
      </c>
      <c r="N120">
        <v>3</v>
      </c>
      <c r="O120">
        <v>2</v>
      </c>
      <c r="P120">
        <v>4</v>
      </c>
      <c r="Q120">
        <v>4</v>
      </c>
      <c r="R120">
        <v>3</v>
      </c>
      <c r="S120">
        <v>3</v>
      </c>
      <c r="T120">
        <v>4</v>
      </c>
      <c r="U120">
        <v>4</v>
      </c>
      <c r="V120">
        <v>4</v>
      </c>
      <c r="W120">
        <v>3</v>
      </c>
      <c r="X120">
        <v>5</v>
      </c>
      <c r="Y120">
        <v>3</v>
      </c>
      <c r="Z120">
        <v>5</v>
      </c>
      <c r="AA120">
        <v>4</v>
      </c>
      <c r="AB120">
        <v>4</v>
      </c>
      <c r="AC120">
        <v>4</v>
      </c>
      <c r="AD120">
        <v>5</v>
      </c>
      <c r="AE120">
        <v>4</v>
      </c>
      <c r="AF120">
        <v>4</v>
      </c>
      <c r="AG120">
        <v>3</v>
      </c>
      <c r="AH120">
        <v>3</v>
      </c>
      <c r="AI120">
        <v>3</v>
      </c>
      <c r="AJ120">
        <v>2</v>
      </c>
      <c r="AK120" t="b">
        <f>Table7[[#This Row],[What is your age?]]&lt;&gt;"18 - 25"</f>
        <v>0</v>
      </c>
      <c r="AL120" t="b">
        <f t="shared" si="3"/>
        <v>0</v>
      </c>
      <c r="AM120" t="b">
        <f t="shared" si="4"/>
        <v>0</v>
      </c>
      <c r="AN120" t="b">
        <f t="shared" si="5"/>
        <v>0</v>
      </c>
      <c r="AO120" t="b">
        <f>OR(Table7[[#This Row],[Ineligible respondents]:[Inconsistent response on opposite question (3)]])</f>
        <v>0</v>
      </c>
      <c r="AP12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120">
        <f>Table7[[#This Row],[Extreme Response]]/21</f>
        <v>0.14285714285714285</v>
      </c>
      <c r="AR120">
        <f>Table67[[#This Row],[Threshold of ERS]]</f>
        <v>0.61904761904761907</v>
      </c>
      <c r="AS120" t="b">
        <f>Table7[[#This Row],[Extrem Response Ratio (ERS)]]&gt;=Table7[[#This Row],[Threshold of ERS]]</f>
        <v>0</v>
      </c>
      <c r="AT120" t="b" cm="1">
        <f t="array" ref="AT12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20">
        <f>COUNTIF(Table7[[#This Row],[The mechanism of digital assets is difficult to understand, which discourages me from exploring it (E.g, Tokenization, Blockchain)]:[If I want to try different ways to invest, I will explore digital assets.]], 3)</f>
        <v>7</v>
      </c>
      <c r="AV120">
        <f>Table7[[#This Row],[Midpoint]]/21</f>
        <v>0.33333333333333331</v>
      </c>
      <c r="AW120">
        <f>Table67[[#This Row],[Threshold of Midpoint ratio]]</f>
        <v>0.5714285714285714</v>
      </c>
      <c r="AX120" t="b">
        <f>Table7[[#This Row],[Midpoint ratio]]&gt;=Table7[[#This Row],[Threshold of Midpoint ratio]]</f>
        <v>0</v>
      </c>
      <c r="AY120" t="b">
        <f>OR(Table7[[#This Row],[Extreme Response Style]:[Straight-lining with 1 deviation]],Table7[[#This Row],[Mid-point Response Style]])</f>
        <v>0</v>
      </c>
      <c r="AZ120" t="b">
        <f>OR(Table7[[#This Row],[Delete? (Stage 1)]],Table7[[#This Row],[Delete? (Stage 2)]])</f>
        <v>0</v>
      </c>
      <c r="BA120" t="s">
        <v>84</v>
      </c>
    </row>
    <row r="121" spans="1:53">
      <c r="A121">
        <v>562</v>
      </c>
      <c r="B121" s="3">
        <v>46049.727407407401</v>
      </c>
      <c r="C121" s="3">
        <v>46049.728611111103</v>
      </c>
      <c r="D121" t="s">
        <v>53</v>
      </c>
      <c r="G121" t="s">
        <v>54</v>
      </c>
      <c r="H121" t="s">
        <v>63</v>
      </c>
      <c r="I121" t="s">
        <v>56</v>
      </c>
      <c r="J121" t="s">
        <v>68</v>
      </c>
      <c r="K121" t="s">
        <v>65</v>
      </c>
      <c r="L121" t="s">
        <v>58</v>
      </c>
      <c r="M121" t="s">
        <v>58</v>
      </c>
      <c r="N121">
        <v>3</v>
      </c>
      <c r="O121">
        <v>3</v>
      </c>
      <c r="P121">
        <v>4</v>
      </c>
      <c r="Q121">
        <v>3</v>
      </c>
      <c r="R121">
        <v>4</v>
      </c>
      <c r="S121">
        <v>4</v>
      </c>
      <c r="T121">
        <v>3</v>
      </c>
      <c r="U121">
        <v>4</v>
      </c>
      <c r="V121">
        <v>3</v>
      </c>
      <c r="W121">
        <v>4</v>
      </c>
      <c r="X121">
        <v>4</v>
      </c>
      <c r="Y121">
        <v>3</v>
      </c>
      <c r="Z121">
        <v>4</v>
      </c>
      <c r="AA121">
        <v>3</v>
      </c>
      <c r="AB121">
        <v>3</v>
      </c>
      <c r="AC121">
        <v>4</v>
      </c>
      <c r="AD121">
        <v>4</v>
      </c>
      <c r="AE121">
        <v>3</v>
      </c>
      <c r="AF121">
        <v>4</v>
      </c>
      <c r="AG121">
        <v>3</v>
      </c>
      <c r="AH121">
        <v>3</v>
      </c>
      <c r="AI121">
        <v>3</v>
      </c>
      <c r="AJ121">
        <v>2</v>
      </c>
      <c r="AK121" t="b">
        <f>Table7[[#This Row],[What is your age?]]&lt;&gt;"18 - 25"</f>
        <v>0</v>
      </c>
      <c r="AL121" t="b">
        <f t="shared" si="3"/>
        <v>0</v>
      </c>
      <c r="AM121" t="b">
        <f t="shared" si="4"/>
        <v>0</v>
      </c>
      <c r="AN121" t="b">
        <f t="shared" si="5"/>
        <v>0</v>
      </c>
      <c r="AO121" t="b">
        <f>OR(Table7[[#This Row],[Ineligible respondents]:[Inconsistent response on opposite question (3)]])</f>
        <v>0</v>
      </c>
      <c r="AP12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121">
        <f>Table7[[#This Row],[Extreme Response]]/21</f>
        <v>0</v>
      </c>
      <c r="AR121">
        <f>Table67[[#This Row],[Threshold of ERS]]</f>
        <v>0.61904761904761907</v>
      </c>
      <c r="AS121" t="b">
        <f>Table7[[#This Row],[Extrem Response Ratio (ERS)]]&gt;=Table7[[#This Row],[Threshold of ERS]]</f>
        <v>0</v>
      </c>
      <c r="AT121" t="b" cm="1">
        <f t="array" ref="AT12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21">
        <f>COUNTIF(Table7[[#This Row],[The mechanism of digital assets is difficult to understand, which discourages me from exploring it (E.g, Tokenization, Blockchain)]:[If I want to try different ways to invest, I will explore digital assets.]], 3)</f>
        <v>11</v>
      </c>
      <c r="AV121">
        <f>Table7[[#This Row],[Midpoint]]/21</f>
        <v>0.52380952380952384</v>
      </c>
      <c r="AW121">
        <f>Table67[[#This Row],[Threshold of Midpoint ratio]]</f>
        <v>0.5714285714285714</v>
      </c>
      <c r="AX121" t="b">
        <f>Table7[[#This Row],[Midpoint ratio]]&gt;=Table7[[#This Row],[Threshold of Midpoint ratio]]</f>
        <v>0</v>
      </c>
      <c r="AY121" t="b">
        <f>OR(Table7[[#This Row],[Extreme Response Style]:[Straight-lining with 1 deviation]],Table7[[#This Row],[Mid-point Response Style]])</f>
        <v>0</v>
      </c>
      <c r="AZ121" t="b">
        <f>OR(Table7[[#This Row],[Delete? (Stage 1)]],Table7[[#This Row],[Delete? (Stage 2)]])</f>
        <v>0</v>
      </c>
      <c r="BA121" t="s">
        <v>84</v>
      </c>
    </row>
    <row r="122" spans="1:53">
      <c r="A122">
        <v>563</v>
      </c>
      <c r="B122" s="3">
        <v>46049.727430555598</v>
      </c>
      <c r="C122" s="3">
        <v>46049.733553240701</v>
      </c>
      <c r="D122" t="s">
        <v>53</v>
      </c>
      <c r="G122" t="s">
        <v>54</v>
      </c>
      <c r="H122" t="s">
        <v>63</v>
      </c>
      <c r="I122" t="s">
        <v>75</v>
      </c>
      <c r="J122" t="s">
        <v>57</v>
      </c>
      <c r="K122" t="s">
        <v>57</v>
      </c>
      <c r="L122" t="s">
        <v>58</v>
      </c>
      <c r="M122" t="s">
        <v>61</v>
      </c>
      <c r="N122">
        <v>4</v>
      </c>
      <c r="O122">
        <v>1</v>
      </c>
      <c r="P122">
        <v>5</v>
      </c>
      <c r="Q122">
        <v>5</v>
      </c>
      <c r="R122">
        <v>3</v>
      </c>
      <c r="S122">
        <v>4</v>
      </c>
      <c r="T122">
        <v>3</v>
      </c>
      <c r="U122">
        <v>4</v>
      </c>
      <c r="V122">
        <v>5</v>
      </c>
      <c r="W122">
        <v>5</v>
      </c>
      <c r="X122">
        <v>4</v>
      </c>
      <c r="Y122">
        <v>5</v>
      </c>
      <c r="Z122">
        <v>5</v>
      </c>
      <c r="AA122">
        <v>4</v>
      </c>
      <c r="AB122">
        <v>2</v>
      </c>
      <c r="AC122">
        <v>3</v>
      </c>
      <c r="AD122">
        <v>5</v>
      </c>
      <c r="AE122">
        <v>4</v>
      </c>
      <c r="AF122">
        <v>2</v>
      </c>
      <c r="AG122">
        <v>4</v>
      </c>
      <c r="AH122">
        <v>2</v>
      </c>
      <c r="AI122">
        <v>4</v>
      </c>
      <c r="AJ122">
        <v>4</v>
      </c>
      <c r="AK122" t="b">
        <f>Table7[[#This Row],[What is your age?]]&lt;&gt;"18 - 25"</f>
        <v>0</v>
      </c>
      <c r="AL122" t="b">
        <f t="shared" si="3"/>
        <v>0</v>
      </c>
      <c r="AM122" t="b">
        <f t="shared" si="4"/>
        <v>0</v>
      </c>
      <c r="AN122" t="b">
        <f t="shared" si="5"/>
        <v>0</v>
      </c>
      <c r="AO122" t="b">
        <f>OR(Table7[[#This Row],[Ineligible respondents]:[Inconsistent response on opposite question (3)]])</f>
        <v>0</v>
      </c>
      <c r="AP12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8</v>
      </c>
      <c r="AQ122">
        <f>Table7[[#This Row],[Extreme Response]]/21</f>
        <v>0.38095238095238093</v>
      </c>
      <c r="AR122">
        <f>Table67[[#This Row],[Threshold of ERS]]</f>
        <v>0.61904761904761907</v>
      </c>
      <c r="AS122" t="b">
        <f>Table7[[#This Row],[Extrem Response Ratio (ERS)]]&gt;=Table7[[#This Row],[Threshold of ERS]]</f>
        <v>0</v>
      </c>
      <c r="AT122" t="b" cm="1">
        <f t="array" ref="AT12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22">
        <f>COUNTIF(Table7[[#This Row],[The mechanism of digital assets is difficult to understand, which discourages me from exploring it (E.g, Tokenization, Blockchain)]:[If I want to try different ways to invest, I will explore digital assets.]], 3)</f>
        <v>3</v>
      </c>
      <c r="AV122">
        <f>Table7[[#This Row],[Midpoint]]/21</f>
        <v>0.14285714285714285</v>
      </c>
      <c r="AW122">
        <f>Table67[[#This Row],[Threshold of Midpoint ratio]]</f>
        <v>0.5714285714285714</v>
      </c>
      <c r="AX122" t="b">
        <f>Table7[[#This Row],[Midpoint ratio]]&gt;=Table7[[#This Row],[Threshold of Midpoint ratio]]</f>
        <v>0</v>
      </c>
      <c r="AY122" t="b">
        <f>OR(Table7[[#This Row],[Extreme Response Style]:[Straight-lining with 1 deviation]],Table7[[#This Row],[Mid-point Response Style]])</f>
        <v>0</v>
      </c>
      <c r="AZ122" t="b">
        <f>OR(Table7[[#This Row],[Delete? (Stage 1)]],Table7[[#This Row],[Delete? (Stage 2)]])</f>
        <v>0</v>
      </c>
      <c r="BA122" t="s">
        <v>84</v>
      </c>
    </row>
    <row r="123" spans="1:53">
      <c r="A123">
        <v>564</v>
      </c>
      <c r="B123" s="3">
        <v>46049.727442129602</v>
      </c>
      <c r="C123" s="3">
        <v>46049.731759259303</v>
      </c>
      <c r="D123" t="s">
        <v>53</v>
      </c>
      <c r="G123" t="s">
        <v>54</v>
      </c>
      <c r="H123" t="s">
        <v>63</v>
      </c>
      <c r="I123" t="s">
        <v>56</v>
      </c>
      <c r="J123" t="s">
        <v>60</v>
      </c>
      <c r="K123" t="s">
        <v>62</v>
      </c>
      <c r="L123" t="s">
        <v>61</v>
      </c>
      <c r="M123" t="s">
        <v>61</v>
      </c>
      <c r="N123">
        <v>4</v>
      </c>
      <c r="O123">
        <v>2</v>
      </c>
      <c r="P123">
        <v>3</v>
      </c>
      <c r="Q123">
        <v>4</v>
      </c>
      <c r="R123">
        <v>2</v>
      </c>
      <c r="S123">
        <v>3</v>
      </c>
      <c r="T123">
        <v>5</v>
      </c>
      <c r="U123">
        <v>4</v>
      </c>
      <c r="V123">
        <v>3</v>
      </c>
      <c r="W123">
        <v>3</v>
      </c>
      <c r="X123">
        <v>3</v>
      </c>
      <c r="Y123">
        <v>4</v>
      </c>
      <c r="Z123">
        <v>4</v>
      </c>
      <c r="AA123">
        <v>4</v>
      </c>
      <c r="AB123">
        <v>4</v>
      </c>
      <c r="AC123">
        <v>4</v>
      </c>
      <c r="AD123">
        <v>3</v>
      </c>
      <c r="AE123">
        <v>4</v>
      </c>
      <c r="AF123">
        <v>5</v>
      </c>
      <c r="AG123">
        <v>3</v>
      </c>
      <c r="AH123">
        <v>3</v>
      </c>
      <c r="AI123">
        <v>3</v>
      </c>
      <c r="AJ123">
        <v>1</v>
      </c>
      <c r="AK123" t="b">
        <f>Table7[[#This Row],[What is your age?]]&lt;&gt;"18 - 25"</f>
        <v>0</v>
      </c>
      <c r="AL123" t="b">
        <f t="shared" si="3"/>
        <v>0</v>
      </c>
      <c r="AM123" t="b">
        <f t="shared" si="4"/>
        <v>0</v>
      </c>
      <c r="AN123" t="b">
        <f t="shared" si="5"/>
        <v>0</v>
      </c>
      <c r="AO123" t="b">
        <f>OR(Table7[[#This Row],[Ineligible respondents]:[Inconsistent response on opposite question (3)]])</f>
        <v>0</v>
      </c>
      <c r="AP12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123">
        <f>Table7[[#This Row],[Extreme Response]]/21</f>
        <v>9.5238095238095233E-2</v>
      </c>
      <c r="AR123">
        <f>Table67[[#This Row],[Threshold of ERS]]</f>
        <v>0.61904761904761907</v>
      </c>
      <c r="AS123" t="b">
        <f>Table7[[#This Row],[Extrem Response Ratio (ERS)]]&gt;=Table7[[#This Row],[Threshold of ERS]]</f>
        <v>0</v>
      </c>
      <c r="AT123" t="b" cm="1">
        <f t="array" ref="AT12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23">
        <f>COUNTIF(Table7[[#This Row],[The mechanism of digital assets is difficult to understand, which discourages me from exploring it (E.g, Tokenization, Blockchain)]:[If I want to try different ways to invest, I will explore digital assets.]], 3)</f>
        <v>8</v>
      </c>
      <c r="AV123">
        <f>Table7[[#This Row],[Midpoint]]/21</f>
        <v>0.38095238095238093</v>
      </c>
      <c r="AW123">
        <f>Table67[[#This Row],[Threshold of Midpoint ratio]]</f>
        <v>0.5714285714285714</v>
      </c>
      <c r="AX123" t="b">
        <f>Table7[[#This Row],[Midpoint ratio]]&gt;=Table7[[#This Row],[Threshold of Midpoint ratio]]</f>
        <v>0</v>
      </c>
      <c r="AY123" t="b">
        <f>OR(Table7[[#This Row],[Extreme Response Style]:[Straight-lining with 1 deviation]],Table7[[#This Row],[Mid-point Response Style]])</f>
        <v>0</v>
      </c>
      <c r="AZ123" t="b">
        <f>OR(Table7[[#This Row],[Delete? (Stage 1)]],Table7[[#This Row],[Delete? (Stage 2)]])</f>
        <v>0</v>
      </c>
      <c r="BA123" t="s">
        <v>84</v>
      </c>
    </row>
    <row r="124" spans="1:53">
      <c r="A124">
        <v>569</v>
      </c>
      <c r="B124" s="3">
        <v>46049.727812500001</v>
      </c>
      <c r="C124" s="3">
        <v>46049.732581018499</v>
      </c>
      <c r="D124" t="s">
        <v>53</v>
      </c>
      <c r="G124" t="s">
        <v>54</v>
      </c>
      <c r="H124" t="s">
        <v>55</v>
      </c>
      <c r="I124" t="s">
        <v>82</v>
      </c>
      <c r="J124" t="s">
        <v>64</v>
      </c>
      <c r="K124" t="s">
        <v>62</v>
      </c>
      <c r="L124" t="s">
        <v>58</v>
      </c>
      <c r="M124" t="s">
        <v>58</v>
      </c>
      <c r="N124">
        <v>2</v>
      </c>
      <c r="O124">
        <v>1</v>
      </c>
      <c r="P124">
        <v>4</v>
      </c>
      <c r="Q124">
        <v>3</v>
      </c>
      <c r="R124">
        <v>1</v>
      </c>
      <c r="S124">
        <v>1</v>
      </c>
      <c r="T124">
        <v>1</v>
      </c>
      <c r="U124">
        <v>3</v>
      </c>
      <c r="V124">
        <v>4</v>
      </c>
      <c r="W124">
        <v>3</v>
      </c>
      <c r="X124">
        <v>4</v>
      </c>
      <c r="Y124">
        <v>4</v>
      </c>
      <c r="Z124">
        <v>4</v>
      </c>
      <c r="AA124">
        <v>4</v>
      </c>
      <c r="AB124">
        <v>1</v>
      </c>
      <c r="AC124">
        <v>3</v>
      </c>
      <c r="AD124">
        <v>4</v>
      </c>
      <c r="AE124">
        <v>3</v>
      </c>
      <c r="AF124">
        <v>4</v>
      </c>
      <c r="AG124">
        <v>3</v>
      </c>
      <c r="AH124">
        <v>3</v>
      </c>
      <c r="AI124">
        <v>3</v>
      </c>
      <c r="AJ124">
        <v>2</v>
      </c>
      <c r="AK124" t="b">
        <f>Table7[[#This Row],[What is your age?]]&lt;&gt;"18 - 25"</f>
        <v>0</v>
      </c>
      <c r="AL124" t="b">
        <f t="shared" si="3"/>
        <v>0</v>
      </c>
      <c r="AM124" t="b">
        <f t="shared" si="4"/>
        <v>0</v>
      </c>
      <c r="AN124" t="b">
        <f t="shared" si="5"/>
        <v>0</v>
      </c>
      <c r="AO124" t="b">
        <f>OR(Table7[[#This Row],[Ineligible respondents]:[Inconsistent response on opposite question (3)]])</f>
        <v>0</v>
      </c>
      <c r="AP12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5</v>
      </c>
      <c r="AQ124">
        <f>Table7[[#This Row],[Extreme Response]]/21</f>
        <v>0.23809523809523808</v>
      </c>
      <c r="AR124">
        <f>Table67[[#This Row],[Threshold of ERS]]</f>
        <v>0.61904761904761907</v>
      </c>
      <c r="AS124" t="b">
        <f>Table7[[#This Row],[Extrem Response Ratio (ERS)]]&gt;=Table7[[#This Row],[Threshold of ERS]]</f>
        <v>0</v>
      </c>
      <c r="AT124" t="b" cm="1">
        <f t="array" ref="AT12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24">
        <f>COUNTIF(Table7[[#This Row],[The mechanism of digital assets is difficult to understand, which discourages me from exploring it (E.g, Tokenization, Blockchain)]:[If I want to try different ways to invest, I will explore digital assets.]], 3)</f>
        <v>7</v>
      </c>
      <c r="AV124">
        <f>Table7[[#This Row],[Midpoint]]/21</f>
        <v>0.33333333333333331</v>
      </c>
      <c r="AW124">
        <f>Table67[[#This Row],[Threshold of Midpoint ratio]]</f>
        <v>0.5714285714285714</v>
      </c>
      <c r="AX124" t="b">
        <f>Table7[[#This Row],[Midpoint ratio]]&gt;=Table7[[#This Row],[Threshold of Midpoint ratio]]</f>
        <v>0</v>
      </c>
      <c r="AY124" t="b">
        <f>OR(Table7[[#This Row],[Extreme Response Style]:[Straight-lining with 1 deviation]],Table7[[#This Row],[Mid-point Response Style]])</f>
        <v>0</v>
      </c>
      <c r="AZ124" t="b">
        <f>OR(Table7[[#This Row],[Delete? (Stage 1)]],Table7[[#This Row],[Delete? (Stage 2)]])</f>
        <v>0</v>
      </c>
      <c r="BA124" t="s">
        <v>84</v>
      </c>
    </row>
    <row r="125" spans="1:53">
      <c r="A125">
        <v>570</v>
      </c>
      <c r="B125" s="3">
        <v>46049.727962962999</v>
      </c>
      <c r="C125" s="3">
        <v>46049.729398148098</v>
      </c>
      <c r="D125" t="s">
        <v>53</v>
      </c>
      <c r="G125" t="s">
        <v>54</v>
      </c>
      <c r="H125" t="s">
        <v>63</v>
      </c>
      <c r="I125" t="s">
        <v>56</v>
      </c>
      <c r="J125" t="s">
        <v>62</v>
      </c>
      <c r="K125" t="s">
        <v>62</v>
      </c>
      <c r="L125" t="s">
        <v>61</v>
      </c>
      <c r="M125" t="s">
        <v>58</v>
      </c>
      <c r="N125">
        <v>4</v>
      </c>
      <c r="O125">
        <v>3</v>
      </c>
      <c r="P125">
        <v>2</v>
      </c>
      <c r="Q125">
        <v>4</v>
      </c>
      <c r="R125">
        <v>3</v>
      </c>
      <c r="S125">
        <v>4</v>
      </c>
      <c r="T125">
        <v>4</v>
      </c>
      <c r="U125">
        <v>2</v>
      </c>
      <c r="V125">
        <v>3</v>
      </c>
      <c r="W125">
        <v>2</v>
      </c>
      <c r="X125">
        <v>4</v>
      </c>
      <c r="Y125">
        <v>4</v>
      </c>
      <c r="Z125">
        <v>3</v>
      </c>
      <c r="AA125">
        <v>4</v>
      </c>
      <c r="AB125">
        <v>2</v>
      </c>
      <c r="AC125">
        <v>3</v>
      </c>
      <c r="AD125">
        <v>4</v>
      </c>
      <c r="AE125">
        <v>3</v>
      </c>
      <c r="AF125">
        <v>4</v>
      </c>
      <c r="AG125">
        <v>3</v>
      </c>
      <c r="AH125">
        <v>3</v>
      </c>
      <c r="AI125">
        <v>3</v>
      </c>
      <c r="AJ125">
        <v>2</v>
      </c>
      <c r="AK125" t="b">
        <f>Table7[[#This Row],[What is your age?]]&lt;&gt;"18 - 25"</f>
        <v>0</v>
      </c>
      <c r="AL125" t="b">
        <f t="shared" si="3"/>
        <v>0</v>
      </c>
      <c r="AM125" t="b">
        <f t="shared" si="4"/>
        <v>0</v>
      </c>
      <c r="AN125" t="b">
        <f t="shared" si="5"/>
        <v>0</v>
      </c>
      <c r="AO125" t="b">
        <f>OR(Table7[[#This Row],[Ineligible respondents]:[Inconsistent response on opposite question (3)]])</f>
        <v>0</v>
      </c>
      <c r="AP12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125">
        <f>Table7[[#This Row],[Extreme Response]]/21</f>
        <v>0</v>
      </c>
      <c r="AR125">
        <f>Table67[[#This Row],[Threshold of ERS]]</f>
        <v>0.61904761904761907</v>
      </c>
      <c r="AS125" t="b">
        <f>Table7[[#This Row],[Extrem Response Ratio (ERS)]]&gt;=Table7[[#This Row],[Threshold of ERS]]</f>
        <v>0</v>
      </c>
      <c r="AT125" t="b" cm="1">
        <f t="array" ref="AT12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25">
        <f>COUNTIF(Table7[[#This Row],[The mechanism of digital assets is difficult to understand, which discourages me from exploring it (E.g, Tokenization, Blockchain)]:[If I want to try different ways to invest, I will explore digital assets.]], 3)</f>
        <v>8</v>
      </c>
      <c r="AV125">
        <f>Table7[[#This Row],[Midpoint]]/21</f>
        <v>0.38095238095238093</v>
      </c>
      <c r="AW125">
        <f>Table67[[#This Row],[Threshold of Midpoint ratio]]</f>
        <v>0.5714285714285714</v>
      </c>
      <c r="AX125" t="b">
        <f>Table7[[#This Row],[Midpoint ratio]]&gt;=Table7[[#This Row],[Threshold of Midpoint ratio]]</f>
        <v>0</v>
      </c>
      <c r="AY125" t="b">
        <f>OR(Table7[[#This Row],[Extreme Response Style]:[Straight-lining with 1 deviation]],Table7[[#This Row],[Mid-point Response Style]])</f>
        <v>0</v>
      </c>
      <c r="AZ125" t="b">
        <f>OR(Table7[[#This Row],[Delete? (Stage 1)]],Table7[[#This Row],[Delete? (Stage 2)]])</f>
        <v>0</v>
      </c>
      <c r="BA125" t="s">
        <v>84</v>
      </c>
    </row>
    <row r="126" spans="1:53">
      <c r="A126">
        <v>576</v>
      </c>
      <c r="B126" s="3">
        <v>46049.7284490741</v>
      </c>
      <c r="C126" s="3">
        <v>46049.735243055598</v>
      </c>
      <c r="D126" t="s">
        <v>53</v>
      </c>
      <c r="G126" t="s">
        <v>54</v>
      </c>
      <c r="H126" t="s">
        <v>55</v>
      </c>
      <c r="I126" t="s">
        <v>75</v>
      </c>
      <c r="J126" t="s">
        <v>57</v>
      </c>
      <c r="K126" t="s">
        <v>57</v>
      </c>
      <c r="L126" t="s">
        <v>61</v>
      </c>
      <c r="M126" t="s">
        <v>58</v>
      </c>
      <c r="N126">
        <v>1</v>
      </c>
      <c r="O126">
        <v>1</v>
      </c>
      <c r="P126">
        <v>4</v>
      </c>
      <c r="Q126">
        <v>4</v>
      </c>
      <c r="R126">
        <v>1</v>
      </c>
      <c r="S126">
        <v>3</v>
      </c>
      <c r="T126">
        <v>4</v>
      </c>
      <c r="U126">
        <v>4</v>
      </c>
      <c r="V126">
        <v>5</v>
      </c>
      <c r="W126">
        <v>4</v>
      </c>
      <c r="X126">
        <v>2</v>
      </c>
      <c r="Y126">
        <v>4</v>
      </c>
      <c r="Z126">
        <v>5</v>
      </c>
      <c r="AA126">
        <v>4</v>
      </c>
      <c r="AB126">
        <v>4</v>
      </c>
      <c r="AC126">
        <v>4</v>
      </c>
      <c r="AD126">
        <v>5</v>
      </c>
      <c r="AE126">
        <v>2</v>
      </c>
      <c r="AF126">
        <v>2</v>
      </c>
      <c r="AG126">
        <v>4</v>
      </c>
      <c r="AH126">
        <v>2</v>
      </c>
      <c r="AI126">
        <v>4</v>
      </c>
      <c r="AJ126">
        <v>4</v>
      </c>
      <c r="AK126" t="b">
        <f>Table7[[#This Row],[What is your age?]]&lt;&gt;"18 - 25"</f>
        <v>0</v>
      </c>
      <c r="AL126" t="b">
        <f t="shared" si="3"/>
        <v>0</v>
      </c>
      <c r="AM126" t="b">
        <f t="shared" si="4"/>
        <v>0</v>
      </c>
      <c r="AN126" t="b">
        <f t="shared" si="5"/>
        <v>0</v>
      </c>
      <c r="AO126" t="b">
        <f>OR(Table7[[#This Row],[Ineligible respondents]:[Inconsistent response on opposite question (3)]])</f>
        <v>0</v>
      </c>
      <c r="AP12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6</v>
      </c>
      <c r="AQ126">
        <f>Table7[[#This Row],[Extreme Response]]/21</f>
        <v>0.2857142857142857</v>
      </c>
      <c r="AR126">
        <f>Table67[[#This Row],[Threshold of ERS]]</f>
        <v>0.61904761904761907</v>
      </c>
      <c r="AS126" t="b">
        <f>Table7[[#This Row],[Extrem Response Ratio (ERS)]]&gt;=Table7[[#This Row],[Threshold of ERS]]</f>
        <v>0</v>
      </c>
      <c r="AT126" t="b" cm="1">
        <f t="array" ref="AT12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26">
        <f>COUNTIF(Table7[[#This Row],[The mechanism of digital assets is difficult to understand, which discourages me from exploring it (E.g, Tokenization, Blockchain)]:[If I want to try different ways to invest, I will explore digital assets.]], 3)</f>
        <v>1</v>
      </c>
      <c r="AV126">
        <f>Table7[[#This Row],[Midpoint]]/21</f>
        <v>4.7619047619047616E-2</v>
      </c>
      <c r="AW126">
        <f>Table67[[#This Row],[Threshold of Midpoint ratio]]</f>
        <v>0.5714285714285714</v>
      </c>
      <c r="AX126" t="b">
        <f>Table7[[#This Row],[Midpoint ratio]]&gt;=Table7[[#This Row],[Threshold of Midpoint ratio]]</f>
        <v>0</v>
      </c>
      <c r="AY126" t="b">
        <f>OR(Table7[[#This Row],[Extreme Response Style]:[Straight-lining with 1 deviation]],Table7[[#This Row],[Mid-point Response Style]])</f>
        <v>0</v>
      </c>
      <c r="AZ126" t="b">
        <f>OR(Table7[[#This Row],[Delete? (Stage 1)]],Table7[[#This Row],[Delete? (Stage 2)]])</f>
        <v>0</v>
      </c>
      <c r="BA126" t="s">
        <v>84</v>
      </c>
    </row>
    <row r="127" spans="1:53">
      <c r="A127">
        <v>590</v>
      </c>
      <c r="B127" s="3">
        <v>46049.730196759301</v>
      </c>
      <c r="C127" s="3">
        <v>46049.7354513889</v>
      </c>
      <c r="D127" t="s">
        <v>53</v>
      </c>
      <c r="G127" t="s">
        <v>54</v>
      </c>
      <c r="H127" t="s">
        <v>63</v>
      </c>
      <c r="I127" t="s">
        <v>56</v>
      </c>
      <c r="J127" t="s">
        <v>64</v>
      </c>
      <c r="K127" t="s">
        <v>62</v>
      </c>
      <c r="L127" t="s">
        <v>61</v>
      </c>
      <c r="M127" t="s">
        <v>58</v>
      </c>
      <c r="N127">
        <v>3</v>
      </c>
      <c r="O127">
        <v>3</v>
      </c>
      <c r="P127">
        <v>2</v>
      </c>
      <c r="Q127">
        <v>2</v>
      </c>
      <c r="R127">
        <v>2</v>
      </c>
      <c r="S127">
        <v>4</v>
      </c>
      <c r="T127">
        <v>2</v>
      </c>
      <c r="U127">
        <v>2</v>
      </c>
      <c r="V127">
        <v>4</v>
      </c>
      <c r="W127">
        <v>3</v>
      </c>
      <c r="X127">
        <v>3</v>
      </c>
      <c r="Y127">
        <v>3</v>
      </c>
      <c r="Z127">
        <v>4</v>
      </c>
      <c r="AA127">
        <v>3</v>
      </c>
      <c r="AB127">
        <v>4</v>
      </c>
      <c r="AC127">
        <v>4</v>
      </c>
      <c r="AD127">
        <v>4</v>
      </c>
      <c r="AE127">
        <v>3</v>
      </c>
      <c r="AF127">
        <v>3</v>
      </c>
      <c r="AG127">
        <v>3</v>
      </c>
      <c r="AH127">
        <v>3</v>
      </c>
      <c r="AI127">
        <v>3</v>
      </c>
      <c r="AJ127">
        <v>3</v>
      </c>
      <c r="AK127" t="b">
        <f>Table7[[#This Row],[What is your age?]]&lt;&gt;"18 - 25"</f>
        <v>0</v>
      </c>
      <c r="AL127" t="b">
        <f t="shared" si="3"/>
        <v>0</v>
      </c>
      <c r="AM127" t="b">
        <f t="shared" si="4"/>
        <v>0</v>
      </c>
      <c r="AN127" t="b">
        <f t="shared" si="5"/>
        <v>0</v>
      </c>
      <c r="AO127" t="b">
        <f>OR(Table7[[#This Row],[Ineligible respondents]:[Inconsistent response on opposite question (3)]])</f>
        <v>0</v>
      </c>
      <c r="AP12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127">
        <f>Table7[[#This Row],[Extreme Response]]/21</f>
        <v>0</v>
      </c>
      <c r="AR127">
        <f>Table67[[#This Row],[Threshold of ERS]]</f>
        <v>0.61904761904761907</v>
      </c>
      <c r="AS127" t="b">
        <f>Table7[[#This Row],[Extrem Response Ratio (ERS)]]&gt;=Table7[[#This Row],[Threshold of ERS]]</f>
        <v>0</v>
      </c>
      <c r="AT127" t="b" cm="1">
        <f t="array" ref="AT12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27">
        <f>COUNTIF(Table7[[#This Row],[The mechanism of digital assets is difficult to understand, which discourages me from exploring it (E.g, Tokenization, Blockchain)]:[If I want to try different ways to invest, I will explore digital assets.]], 3)</f>
        <v>10</v>
      </c>
      <c r="AV127">
        <f>Table7[[#This Row],[Midpoint]]/21</f>
        <v>0.47619047619047616</v>
      </c>
      <c r="AW127">
        <f>Table67[[#This Row],[Threshold of Midpoint ratio]]</f>
        <v>0.5714285714285714</v>
      </c>
      <c r="AX127" t="b">
        <f>Table7[[#This Row],[Midpoint ratio]]&gt;=Table7[[#This Row],[Threshold of Midpoint ratio]]</f>
        <v>0</v>
      </c>
      <c r="AY127" t="b">
        <f>OR(Table7[[#This Row],[Extreme Response Style]:[Straight-lining with 1 deviation]],Table7[[#This Row],[Mid-point Response Style]])</f>
        <v>0</v>
      </c>
      <c r="AZ127" t="b">
        <f>OR(Table7[[#This Row],[Delete? (Stage 1)]],Table7[[#This Row],[Delete? (Stage 2)]])</f>
        <v>0</v>
      </c>
      <c r="BA127" t="s">
        <v>84</v>
      </c>
    </row>
    <row r="128" spans="1:53">
      <c r="A128">
        <v>594</v>
      </c>
      <c r="B128" s="3">
        <v>46049.730486111097</v>
      </c>
      <c r="C128" s="3">
        <v>46049.740011574097</v>
      </c>
      <c r="D128" t="s">
        <v>53</v>
      </c>
      <c r="G128" t="s">
        <v>54</v>
      </c>
      <c r="H128" t="s">
        <v>55</v>
      </c>
      <c r="I128" t="s">
        <v>71</v>
      </c>
      <c r="J128" t="s">
        <v>62</v>
      </c>
      <c r="K128" t="s">
        <v>67</v>
      </c>
      <c r="L128" t="s">
        <v>58</v>
      </c>
      <c r="M128" t="s">
        <v>58</v>
      </c>
      <c r="N128">
        <v>3</v>
      </c>
      <c r="O128">
        <v>2</v>
      </c>
      <c r="P128">
        <v>4</v>
      </c>
      <c r="Q128">
        <v>4</v>
      </c>
      <c r="R128">
        <v>4</v>
      </c>
      <c r="S128">
        <v>4</v>
      </c>
      <c r="T128">
        <v>4</v>
      </c>
      <c r="U128">
        <v>5</v>
      </c>
      <c r="V128">
        <v>4</v>
      </c>
      <c r="W128">
        <v>4</v>
      </c>
      <c r="X128">
        <v>3</v>
      </c>
      <c r="Y128">
        <v>4</v>
      </c>
      <c r="Z128">
        <v>4</v>
      </c>
      <c r="AA128">
        <v>4</v>
      </c>
      <c r="AB128">
        <v>3</v>
      </c>
      <c r="AC128">
        <v>5</v>
      </c>
      <c r="AD128">
        <v>5</v>
      </c>
      <c r="AE128">
        <v>4</v>
      </c>
      <c r="AF128">
        <v>2</v>
      </c>
      <c r="AG128">
        <v>4</v>
      </c>
      <c r="AH128">
        <v>2</v>
      </c>
      <c r="AI128">
        <v>4</v>
      </c>
      <c r="AJ128">
        <v>4</v>
      </c>
      <c r="AK128" t="b">
        <f>Table7[[#This Row],[What is your age?]]&lt;&gt;"18 - 25"</f>
        <v>0</v>
      </c>
      <c r="AL128" t="b">
        <f t="shared" si="3"/>
        <v>0</v>
      </c>
      <c r="AM128" t="b">
        <f t="shared" si="4"/>
        <v>0</v>
      </c>
      <c r="AN128" t="b">
        <f t="shared" si="5"/>
        <v>0</v>
      </c>
      <c r="AO128" t="b">
        <f>OR(Table7[[#This Row],[Ineligible respondents]:[Inconsistent response on opposite question (3)]])</f>
        <v>0</v>
      </c>
      <c r="AP12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128">
        <f>Table7[[#This Row],[Extreme Response]]/21</f>
        <v>0.14285714285714285</v>
      </c>
      <c r="AR128">
        <f>Table67[[#This Row],[Threshold of ERS]]</f>
        <v>0.61904761904761907</v>
      </c>
      <c r="AS128" t="b">
        <f>Table7[[#This Row],[Extrem Response Ratio (ERS)]]&gt;=Table7[[#This Row],[Threshold of ERS]]</f>
        <v>0</v>
      </c>
      <c r="AT128" t="b" cm="1">
        <f t="array" ref="AT12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28">
        <f>COUNTIF(Table7[[#This Row],[The mechanism of digital assets is difficult to understand, which discourages me from exploring it (E.g, Tokenization, Blockchain)]:[If I want to try different ways to invest, I will explore digital assets.]], 3)</f>
        <v>3</v>
      </c>
      <c r="AV128">
        <f>Table7[[#This Row],[Midpoint]]/21</f>
        <v>0.14285714285714285</v>
      </c>
      <c r="AW128">
        <f>Table67[[#This Row],[Threshold of Midpoint ratio]]</f>
        <v>0.5714285714285714</v>
      </c>
      <c r="AX128" t="b">
        <f>Table7[[#This Row],[Midpoint ratio]]&gt;=Table7[[#This Row],[Threshold of Midpoint ratio]]</f>
        <v>0</v>
      </c>
      <c r="AY128" t="b">
        <f>OR(Table7[[#This Row],[Extreme Response Style]:[Straight-lining with 1 deviation]],Table7[[#This Row],[Mid-point Response Style]])</f>
        <v>0</v>
      </c>
      <c r="AZ128" t="b">
        <f>OR(Table7[[#This Row],[Delete? (Stage 1)]],Table7[[#This Row],[Delete? (Stage 2)]])</f>
        <v>0</v>
      </c>
      <c r="BA128" t="s">
        <v>84</v>
      </c>
    </row>
    <row r="129" spans="1:53">
      <c r="A129">
        <v>598</v>
      </c>
      <c r="B129" s="3">
        <v>46049.730763888903</v>
      </c>
      <c r="C129" s="3">
        <v>46049.737835648099</v>
      </c>
      <c r="D129" t="s">
        <v>53</v>
      </c>
      <c r="G129" t="s">
        <v>54</v>
      </c>
      <c r="H129" t="s">
        <v>63</v>
      </c>
      <c r="I129" t="s">
        <v>75</v>
      </c>
      <c r="J129" t="s">
        <v>62</v>
      </c>
      <c r="K129" t="s">
        <v>62</v>
      </c>
      <c r="L129" t="s">
        <v>58</v>
      </c>
      <c r="M129" t="s">
        <v>58</v>
      </c>
      <c r="N129">
        <v>4</v>
      </c>
      <c r="O129">
        <v>2</v>
      </c>
      <c r="P129">
        <v>5</v>
      </c>
      <c r="Q129">
        <v>4</v>
      </c>
      <c r="R129">
        <v>4</v>
      </c>
      <c r="S129">
        <v>4</v>
      </c>
      <c r="T129">
        <v>4</v>
      </c>
      <c r="U129">
        <v>5</v>
      </c>
      <c r="V129">
        <v>5</v>
      </c>
      <c r="W129">
        <v>5</v>
      </c>
      <c r="X129">
        <v>4</v>
      </c>
      <c r="Y129">
        <v>5</v>
      </c>
      <c r="Z129">
        <v>5</v>
      </c>
      <c r="AA129">
        <v>5</v>
      </c>
      <c r="AB129">
        <v>5</v>
      </c>
      <c r="AC129">
        <v>4</v>
      </c>
      <c r="AD129">
        <v>5</v>
      </c>
      <c r="AE129">
        <v>4</v>
      </c>
      <c r="AF129">
        <v>2</v>
      </c>
      <c r="AG129">
        <v>5</v>
      </c>
      <c r="AH129">
        <v>1</v>
      </c>
      <c r="AI129">
        <v>5</v>
      </c>
      <c r="AJ129">
        <v>4</v>
      </c>
      <c r="AK129" t="b">
        <f>Table7[[#This Row],[What is your age?]]&lt;&gt;"18 - 25"</f>
        <v>0</v>
      </c>
      <c r="AL129" t="b">
        <f t="shared" si="3"/>
        <v>0</v>
      </c>
      <c r="AM129" t="b">
        <f t="shared" si="4"/>
        <v>0</v>
      </c>
      <c r="AN129" t="b">
        <f t="shared" si="5"/>
        <v>0</v>
      </c>
      <c r="AO129" t="b">
        <f>OR(Table7[[#This Row],[Ineligible respondents]:[Inconsistent response on opposite question (3)]])</f>
        <v>0</v>
      </c>
      <c r="AP12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11</v>
      </c>
      <c r="AQ129">
        <f>Table7[[#This Row],[Extreme Response]]/21</f>
        <v>0.52380952380952384</v>
      </c>
      <c r="AR129">
        <f>Table67[[#This Row],[Threshold of ERS]]</f>
        <v>0.61904761904761907</v>
      </c>
      <c r="AS129" t="b">
        <f>Table7[[#This Row],[Extrem Response Ratio (ERS)]]&gt;=Table7[[#This Row],[Threshold of ERS]]</f>
        <v>0</v>
      </c>
      <c r="AT129" t="b" cm="1">
        <f t="array" ref="AT12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29">
        <f>COUNTIF(Table7[[#This Row],[The mechanism of digital assets is difficult to understand, which discourages me from exploring it (E.g, Tokenization, Blockchain)]:[If I want to try different ways to invest, I will explore digital assets.]], 3)</f>
        <v>0</v>
      </c>
      <c r="AV129">
        <f>Table7[[#This Row],[Midpoint]]/21</f>
        <v>0</v>
      </c>
      <c r="AW129">
        <f>Table67[[#This Row],[Threshold of Midpoint ratio]]</f>
        <v>0.5714285714285714</v>
      </c>
      <c r="AX129" t="b">
        <f>Table7[[#This Row],[Midpoint ratio]]&gt;=Table7[[#This Row],[Threshold of Midpoint ratio]]</f>
        <v>0</v>
      </c>
      <c r="AY129" t="b">
        <f>OR(Table7[[#This Row],[Extreme Response Style]:[Straight-lining with 1 deviation]],Table7[[#This Row],[Mid-point Response Style]])</f>
        <v>0</v>
      </c>
      <c r="AZ129" t="b">
        <f>OR(Table7[[#This Row],[Delete? (Stage 1)]],Table7[[#This Row],[Delete? (Stage 2)]])</f>
        <v>0</v>
      </c>
      <c r="BA129" t="s">
        <v>84</v>
      </c>
    </row>
    <row r="130" spans="1:53">
      <c r="A130">
        <v>600</v>
      </c>
      <c r="B130" s="3">
        <v>46049.730844907397</v>
      </c>
      <c r="C130" s="3">
        <v>46049.736979166701</v>
      </c>
      <c r="D130" t="s">
        <v>53</v>
      </c>
      <c r="G130" t="s">
        <v>54</v>
      </c>
      <c r="H130" t="s">
        <v>55</v>
      </c>
      <c r="I130" t="s">
        <v>56</v>
      </c>
      <c r="J130" t="s">
        <v>65</v>
      </c>
      <c r="K130" t="s">
        <v>60</v>
      </c>
      <c r="L130" t="s">
        <v>61</v>
      </c>
      <c r="M130" t="s">
        <v>58</v>
      </c>
      <c r="N130">
        <v>2</v>
      </c>
      <c r="O130">
        <v>1</v>
      </c>
      <c r="P130">
        <v>4</v>
      </c>
      <c r="Q130">
        <v>4</v>
      </c>
      <c r="R130">
        <v>3</v>
      </c>
      <c r="S130">
        <v>4</v>
      </c>
      <c r="T130">
        <v>2</v>
      </c>
      <c r="U130">
        <v>2</v>
      </c>
      <c r="V130">
        <v>3</v>
      </c>
      <c r="W130">
        <v>2</v>
      </c>
      <c r="X130">
        <v>4</v>
      </c>
      <c r="Y130">
        <v>4</v>
      </c>
      <c r="Z130">
        <v>4</v>
      </c>
      <c r="AA130">
        <v>3</v>
      </c>
      <c r="AB130">
        <v>2</v>
      </c>
      <c r="AC130">
        <v>3</v>
      </c>
      <c r="AD130">
        <v>4</v>
      </c>
      <c r="AE130">
        <v>4</v>
      </c>
      <c r="AF130">
        <v>4</v>
      </c>
      <c r="AG130">
        <v>2</v>
      </c>
      <c r="AH130">
        <v>4</v>
      </c>
      <c r="AI130">
        <v>2</v>
      </c>
      <c r="AJ130">
        <v>2</v>
      </c>
      <c r="AK130" t="b">
        <f>Table7[[#This Row],[What is your age?]]&lt;&gt;"18 - 25"</f>
        <v>0</v>
      </c>
      <c r="AL130" t="b">
        <f t="shared" ref="AL130:AL193" si="6">COUNTIF(N130:AH130, N130) = COLUMNS(N130:AH130)</f>
        <v>0</v>
      </c>
      <c r="AM130" t="b">
        <f t="shared" ref="AM130:AM193" si="7">OR(AND(AG130=AH130, AG130&lt;&gt;3), AND(OR(AG130=1, AG130=2), OR(AH130=1, AH130=2)), AND(OR(AG130=4, AG130=5), OR(AH130=4, AH130=5)))</f>
        <v>0</v>
      </c>
      <c r="AN130" t="b">
        <f t="shared" ref="AN130:AN193" si="8">OR(AND(AG130=3, AH130&lt;&gt;3), AND(AH130=3, AG130&lt;&gt;3))</f>
        <v>0</v>
      </c>
      <c r="AO130" t="b">
        <f>OR(Table7[[#This Row],[Ineligible respondents]:[Inconsistent response on opposite question (3)]])</f>
        <v>0</v>
      </c>
      <c r="AP13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130">
        <f>Table7[[#This Row],[Extreme Response]]/21</f>
        <v>4.7619047619047616E-2</v>
      </c>
      <c r="AR130">
        <f>Table67[[#This Row],[Threshold of ERS]]</f>
        <v>0.61904761904761907</v>
      </c>
      <c r="AS130" t="b">
        <f>Table7[[#This Row],[Extrem Response Ratio (ERS)]]&gt;=Table7[[#This Row],[Threshold of ERS]]</f>
        <v>0</v>
      </c>
      <c r="AT130" t="b" cm="1">
        <f t="array" ref="AT13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30">
        <f>COUNTIF(Table7[[#This Row],[The mechanism of digital assets is difficult to understand, which discourages me from exploring it (E.g, Tokenization, Blockchain)]:[If I want to try different ways to invest, I will explore digital assets.]], 3)</f>
        <v>4</v>
      </c>
      <c r="AV130">
        <f>Table7[[#This Row],[Midpoint]]/21</f>
        <v>0.19047619047619047</v>
      </c>
      <c r="AW130">
        <f>Table67[[#This Row],[Threshold of Midpoint ratio]]</f>
        <v>0.5714285714285714</v>
      </c>
      <c r="AX130" t="b">
        <f>Table7[[#This Row],[Midpoint ratio]]&gt;=Table7[[#This Row],[Threshold of Midpoint ratio]]</f>
        <v>0</v>
      </c>
      <c r="AY130" t="b">
        <f>OR(Table7[[#This Row],[Extreme Response Style]:[Straight-lining with 1 deviation]],Table7[[#This Row],[Mid-point Response Style]])</f>
        <v>0</v>
      </c>
      <c r="AZ130" t="b">
        <f>OR(Table7[[#This Row],[Delete? (Stage 1)]],Table7[[#This Row],[Delete? (Stage 2)]])</f>
        <v>0</v>
      </c>
      <c r="BA130" t="s">
        <v>84</v>
      </c>
    </row>
    <row r="131" spans="1:53">
      <c r="A131">
        <v>605</v>
      </c>
      <c r="B131" s="3">
        <v>46049.731122685203</v>
      </c>
      <c r="C131" s="3">
        <v>46049.734178240702</v>
      </c>
      <c r="D131" t="s">
        <v>53</v>
      </c>
      <c r="G131" t="s">
        <v>54</v>
      </c>
      <c r="H131" t="s">
        <v>55</v>
      </c>
      <c r="I131" t="s">
        <v>71</v>
      </c>
      <c r="J131" t="s">
        <v>62</v>
      </c>
      <c r="K131" t="s">
        <v>60</v>
      </c>
      <c r="L131" t="s">
        <v>58</v>
      </c>
      <c r="M131" t="s">
        <v>58</v>
      </c>
      <c r="N131">
        <v>2</v>
      </c>
      <c r="O131">
        <v>2</v>
      </c>
      <c r="P131">
        <v>5</v>
      </c>
      <c r="Q131">
        <v>4</v>
      </c>
      <c r="R131">
        <v>3</v>
      </c>
      <c r="S131">
        <v>4</v>
      </c>
      <c r="T131">
        <v>2</v>
      </c>
      <c r="U131">
        <v>4</v>
      </c>
      <c r="V131">
        <v>4</v>
      </c>
      <c r="W131">
        <v>4</v>
      </c>
      <c r="X131">
        <v>4</v>
      </c>
      <c r="Y131">
        <v>4</v>
      </c>
      <c r="Z131">
        <v>2</v>
      </c>
      <c r="AA131">
        <v>2</v>
      </c>
      <c r="AB131">
        <v>1</v>
      </c>
      <c r="AC131">
        <v>4</v>
      </c>
      <c r="AD131">
        <v>4</v>
      </c>
      <c r="AE131">
        <v>2</v>
      </c>
      <c r="AF131">
        <v>3</v>
      </c>
      <c r="AG131">
        <v>2</v>
      </c>
      <c r="AH131">
        <v>4</v>
      </c>
      <c r="AI131">
        <v>2</v>
      </c>
      <c r="AJ131">
        <v>3</v>
      </c>
      <c r="AK131" t="b">
        <f>Table7[[#This Row],[What is your age?]]&lt;&gt;"18 - 25"</f>
        <v>0</v>
      </c>
      <c r="AL131" t="b">
        <f t="shared" si="6"/>
        <v>0</v>
      </c>
      <c r="AM131" t="b">
        <f t="shared" si="7"/>
        <v>0</v>
      </c>
      <c r="AN131" t="b">
        <f t="shared" si="8"/>
        <v>0</v>
      </c>
      <c r="AO131" t="b">
        <f>OR(Table7[[#This Row],[Ineligible respondents]:[Inconsistent response on opposite question (3)]])</f>
        <v>0</v>
      </c>
      <c r="AP13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131">
        <f>Table7[[#This Row],[Extreme Response]]/21</f>
        <v>9.5238095238095233E-2</v>
      </c>
      <c r="AR131">
        <f>Table67[[#This Row],[Threshold of ERS]]</f>
        <v>0.61904761904761907</v>
      </c>
      <c r="AS131" t="b">
        <f>Table7[[#This Row],[Extrem Response Ratio (ERS)]]&gt;=Table7[[#This Row],[Threshold of ERS]]</f>
        <v>0</v>
      </c>
      <c r="AT131" t="b" cm="1">
        <f t="array" ref="AT13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31">
        <f>COUNTIF(Table7[[#This Row],[The mechanism of digital assets is difficult to understand, which discourages me from exploring it (E.g, Tokenization, Blockchain)]:[If I want to try different ways to invest, I will explore digital assets.]], 3)</f>
        <v>2</v>
      </c>
      <c r="AV131">
        <f>Table7[[#This Row],[Midpoint]]/21</f>
        <v>9.5238095238095233E-2</v>
      </c>
      <c r="AW131">
        <f>Table67[[#This Row],[Threshold of Midpoint ratio]]</f>
        <v>0.5714285714285714</v>
      </c>
      <c r="AX131" t="b">
        <f>Table7[[#This Row],[Midpoint ratio]]&gt;=Table7[[#This Row],[Threshold of Midpoint ratio]]</f>
        <v>0</v>
      </c>
      <c r="AY131" t="b">
        <f>OR(Table7[[#This Row],[Extreme Response Style]:[Straight-lining with 1 deviation]],Table7[[#This Row],[Mid-point Response Style]])</f>
        <v>0</v>
      </c>
      <c r="AZ131" t="b">
        <f>OR(Table7[[#This Row],[Delete? (Stage 1)]],Table7[[#This Row],[Delete? (Stage 2)]])</f>
        <v>0</v>
      </c>
      <c r="BA131" t="s">
        <v>84</v>
      </c>
    </row>
    <row r="132" spans="1:53">
      <c r="A132">
        <v>610</v>
      </c>
      <c r="B132" s="3">
        <v>46049.7316782407</v>
      </c>
      <c r="C132" s="3">
        <v>46049.739837963003</v>
      </c>
      <c r="D132" t="s">
        <v>53</v>
      </c>
      <c r="G132" t="s">
        <v>54</v>
      </c>
      <c r="H132" t="s">
        <v>55</v>
      </c>
      <c r="I132" t="s">
        <v>56</v>
      </c>
      <c r="J132" t="s">
        <v>62</v>
      </c>
      <c r="K132" t="s">
        <v>60</v>
      </c>
      <c r="L132" t="s">
        <v>61</v>
      </c>
      <c r="M132" t="s">
        <v>61</v>
      </c>
      <c r="N132">
        <v>2</v>
      </c>
      <c r="O132">
        <v>1</v>
      </c>
      <c r="P132">
        <v>2</v>
      </c>
      <c r="Q132">
        <v>1</v>
      </c>
      <c r="R132">
        <v>1</v>
      </c>
      <c r="S132">
        <v>1</v>
      </c>
      <c r="T132">
        <v>1</v>
      </c>
      <c r="U132">
        <v>1</v>
      </c>
      <c r="V132">
        <v>2</v>
      </c>
      <c r="W132">
        <v>2</v>
      </c>
      <c r="X132">
        <v>1</v>
      </c>
      <c r="Y132">
        <v>2</v>
      </c>
      <c r="Z132">
        <v>2</v>
      </c>
      <c r="AA132">
        <v>2</v>
      </c>
      <c r="AB132">
        <v>1</v>
      </c>
      <c r="AC132">
        <v>2</v>
      </c>
      <c r="AD132">
        <v>2</v>
      </c>
      <c r="AE132">
        <v>1</v>
      </c>
      <c r="AF132">
        <v>5</v>
      </c>
      <c r="AG132">
        <v>1</v>
      </c>
      <c r="AH132">
        <v>5</v>
      </c>
      <c r="AI132">
        <v>1</v>
      </c>
      <c r="AJ132">
        <v>1</v>
      </c>
      <c r="AK132" t="b">
        <f>Table7[[#This Row],[What is your age?]]&lt;&gt;"18 - 25"</f>
        <v>0</v>
      </c>
      <c r="AL132" t="b">
        <f t="shared" si="6"/>
        <v>0</v>
      </c>
      <c r="AM132" t="b">
        <f t="shared" si="7"/>
        <v>0</v>
      </c>
      <c r="AN132" t="b">
        <f t="shared" si="8"/>
        <v>0</v>
      </c>
      <c r="AO132" t="b">
        <f>OR(Table7[[#This Row],[Ineligible respondents]:[Inconsistent response on opposite question (3)]])</f>
        <v>0</v>
      </c>
      <c r="AP13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12</v>
      </c>
      <c r="AQ132">
        <f>Table7[[#This Row],[Extreme Response]]/21</f>
        <v>0.5714285714285714</v>
      </c>
      <c r="AR132">
        <f>Table67[[#This Row],[Threshold of ERS]]</f>
        <v>0.61904761904761907</v>
      </c>
      <c r="AS132" t="b">
        <f>Table7[[#This Row],[Extrem Response Ratio (ERS)]]&gt;=Table7[[#This Row],[Threshold of ERS]]</f>
        <v>0</v>
      </c>
      <c r="AT132" t="b" cm="1">
        <f t="array" ref="AT13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32">
        <f>COUNTIF(Table7[[#This Row],[The mechanism of digital assets is difficult to understand, which discourages me from exploring it (E.g, Tokenization, Blockchain)]:[If I want to try different ways to invest, I will explore digital assets.]], 3)</f>
        <v>0</v>
      </c>
      <c r="AV132">
        <f>Table7[[#This Row],[Midpoint]]/21</f>
        <v>0</v>
      </c>
      <c r="AW132">
        <f>Table67[[#This Row],[Threshold of Midpoint ratio]]</f>
        <v>0.5714285714285714</v>
      </c>
      <c r="AX132" t="b">
        <f>Table7[[#This Row],[Midpoint ratio]]&gt;=Table7[[#This Row],[Threshold of Midpoint ratio]]</f>
        <v>0</v>
      </c>
      <c r="AY132" t="b">
        <f>OR(Table7[[#This Row],[Extreme Response Style]:[Straight-lining with 1 deviation]],Table7[[#This Row],[Mid-point Response Style]])</f>
        <v>0</v>
      </c>
      <c r="AZ132" t="b">
        <f>OR(Table7[[#This Row],[Delete? (Stage 1)]],Table7[[#This Row],[Delete? (Stage 2)]])</f>
        <v>0</v>
      </c>
      <c r="BA132" t="s">
        <v>84</v>
      </c>
    </row>
    <row r="133" spans="1:53">
      <c r="A133">
        <v>616</v>
      </c>
      <c r="B133" s="3">
        <v>46049.7328472222</v>
      </c>
      <c r="C133" s="3">
        <v>46049.737048611103</v>
      </c>
      <c r="D133" t="s">
        <v>53</v>
      </c>
      <c r="G133" t="s">
        <v>54</v>
      </c>
      <c r="H133" t="s">
        <v>63</v>
      </c>
      <c r="I133" t="s">
        <v>75</v>
      </c>
      <c r="J133" t="s">
        <v>62</v>
      </c>
      <c r="K133" t="s">
        <v>57</v>
      </c>
      <c r="L133" t="s">
        <v>58</v>
      </c>
      <c r="M133" t="s">
        <v>58</v>
      </c>
      <c r="N133">
        <v>5</v>
      </c>
      <c r="O133">
        <v>5</v>
      </c>
      <c r="P133">
        <v>4</v>
      </c>
      <c r="Q133">
        <v>3</v>
      </c>
      <c r="R133">
        <v>3</v>
      </c>
      <c r="S133">
        <v>4</v>
      </c>
      <c r="T133">
        <v>4</v>
      </c>
      <c r="U133">
        <v>5</v>
      </c>
      <c r="V133">
        <v>4</v>
      </c>
      <c r="W133">
        <v>4</v>
      </c>
      <c r="X133">
        <v>4</v>
      </c>
      <c r="Y133">
        <v>4</v>
      </c>
      <c r="Z133">
        <v>5</v>
      </c>
      <c r="AA133">
        <v>4</v>
      </c>
      <c r="AB133">
        <v>4</v>
      </c>
      <c r="AC133">
        <v>3</v>
      </c>
      <c r="AD133">
        <v>4</v>
      </c>
      <c r="AE133">
        <v>3</v>
      </c>
      <c r="AF133">
        <v>1</v>
      </c>
      <c r="AG133">
        <v>5</v>
      </c>
      <c r="AH133">
        <v>1</v>
      </c>
      <c r="AI133">
        <v>5</v>
      </c>
      <c r="AJ133">
        <v>5</v>
      </c>
      <c r="AK133" t="b">
        <f>Table7[[#This Row],[What is your age?]]&lt;&gt;"18 - 25"</f>
        <v>0</v>
      </c>
      <c r="AL133" t="b">
        <f t="shared" si="6"/>
        <v>0</v>
      </c>
      <c r="AM133" t="b">
        <f t="shared" si="7"/>
        <v>0</v>
      </c>
      <c r="AN133" t="b">
        <f t="shared" si="8"/>
        <v>0</v>
      </c>
      <c r="AO133" t="b">
        <f>OR(Table7[[#This Row],[Ineligible respondents]:[Inconsistent response on opposite question (3)]])</f>
        <v>0</v>
      </c>
      <c r="AP13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7</v>
      </c>
      <c r="AQ133">
        <f>Table7[[#This Row],[Extreme Response]]/21</f>
        <v>0.33333333333333331</v>
      </c>
      <c r="AR133">
        <f>Table67[[#This Row],[Threshold of ERS]]</f>
        <v>0.61904761904761907</v>
      </c>
      <c r="AS133" t="b">
        <f>Table7[[#This Row],[Extrem Response Ratio (ERS)]]&gt;=Table7[[#This Row],[Threshold of ERS]]</f>
        <v>0</v>
      </c>
      <c r="AT133" t="b" cm="1">
        <f t="array" ref="AT13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33">
        <f>COUNTIF(Table7[[#This Row],[The mechanism of digital assets is difficult to understand, which discourages me from exploring it (E.g, Tokenization, Blockchain)]:[If I want to try different ways to invest, I will explore digital assets.]], 3)</f>
        <v>4</v>
      </c>
      <c r="AV133">
        <f>Table7[[#This Row],[Midpoint]]/21</f>
        <v>0.19047619047619047</v>
      </c>
      <c r="AW133">
        <f>Table67[[#This Row],[Threshold of Midpoint ratio]]</f>
        <v>0.5714285714285714</v>
      </c>
      <c r="AX133" t="b">
        <f>Table7[[#This Row],[Midpoint ratio]]&gt;=Table7[[#This Row],[Threshold of Midpoint ratio]]</f>
        <v>0</v>
      </c>
      <c r="AY133" t="b">
        <f>OR(Table7[[#This Row],[Extreme Response Style]:[Straight-lining with 1 deviation]],Table7[[#This Row],[Mid-point Response Style]])</f>
        <v>0</v>
      </c>
      <c r="AZ133" t="b">
        <f>OR(Table7[[#This Row],[Delete? (Stage 1)]],Table7[[#This Row],[Delete? (Stage 2)]])</f>
        <v>0</v>
      </c>
      <c r="BA133" t="s">
        <v>84</v>
      </c>
    </row>
    <row r="134" spans="1:53">
      <c r="A134">
        <v>618</v>
      </c>
      <c r="B134" s="3">
        <v>46049.732928240701</v>
      </c>
      <c r="C134" s="3">
        <v>46049.735648148097</v>
      </c>
      <c r="D134" t="s">
        <v>53</v>
      </c>
      <c r="G134" t="s">
        <v>54</v>
      </c>
      <c r="H134" t="s">
        <v>63</v>
      </c>
      <c r="I134" t="s">
        <v>83</v>
      </c>
      <c r="J134" t="s">
        <v>62</v>
      </c>
      <c r="K134" t="s">
        <v>57</v>
      </c>
      <c r="L134" t="s">
        <v>58</v>
      </c>
      <c r="M134" t="s">
        <v>58</v>
      </c>
      <c r="N134">
        <v>4</v>
      </c>
      <c r="O134">
        <v>1</v>
      </c>
      <c r="P134">
        <v>5</v>
      </c>
      <c r="Q134">
        <v>4</v>
      </c>
      <c r="R134">
        <v>3</v>
      </c>
      <c r="S134">
        <v>3</v>
      </c>
      <c r="T134">
        <v>4</v>
      </c>
      <c r="U134">
        <v>4</v>
      </c>
      <c r="V134">
        <v>5</v>
      </c>
      <c r="W134">
        <v>5</v>
      </c>
      <c r="X134">
        <v>5</v>
      </c>
      <c r="Y134">
        <v>5</v>
      </c>
      <c r="Z134">
        <v>5</v>
      </c>
      <c r="AA134">
        <v>5</v>
      </c>
      <c r="AB134">
        <v>3</v>
      </c>
      <c r="AC134">
        <v>3</v>
      </c>
      <c r="AD134">
        <v>5</v>
      </c>
      <c r="AE134">
        <v>5</v>
      </c>
      <c r="AF134">
        <v>1</v>
      </c>
      <c r="AG134">
        <v>4</v>
      </c>
      <c r="AH134">
        <v>2</v>
      </c>
      <c r="AI134">
        <v>4</v>
      </c>
      <c r="AJ134">
        <v>5</v>
      </c>
      <c r="AK134" t="b">
        <f>Table7[[#This Row],[What is your age?]]&lt;&gt;"18 - 25"</f>
        <v>0</v>
      </c>
      <c r="AL134" t="b">
        <f t="shared" si="6"/>
        <v>0</v>
      </c>
      <c r="AM134" t="b">
        <f t="shared" si="7"/>
        <v>0</v>
      </c>
      <c r="AN134" t="b">
        <f t="shared" si="8"/>
        <v>0</v>
      </c>
      <c r="AO134" t="b">
        <f>OR(Table7[[#This Row],[Ineligible respondents]:[Inconsistent response on opposite question (3)]])</f>
        <v>0</v>
      </c>
      <c r="AP13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11</v>
      </c>
      <c r="AQ134">
        <f>Table7[[#This Row],[Extreme Response]]/21</f>
        <v>0.52380952380952384</v>
      </c>
      <c r="AR134">
        <f>Table67[[#This Row],[Threshold of ERS]]</f>
        <v>0.61904761904761907</v>
      </c>
      <c r="AS134" t="b">
        <f>Table7[[#This Row],[Extrem Response Ratio (ERS)]]&gt;=Table7[[#This Row],[Threshold of ERS]]</f>
        <v>0</v>
      </c>
      <c r="AT134" t="b" cm="1">
        <f t="array" ref="AT13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34">
        <f>COUNTIF(Table7[[#This Row],[The mechanism of digital assets is difficult to understand, which discourages me from exploring it (E.g, Tokenization, Blockchain)]:[If I want to try different ways to invest, I will explore digital assets.]], 3)</f>
        <v>4</v>
      </c>
      <c r="AV134">
        <f>Table7[[#This Row],[Midpoint]]/21</f>
        <v>0.19047619047619047</v>
      </c>
      <c r="AW134">
        <f>Table67[[#This Row],[Threshold of Midpoint ratio]]</f>
        <v>0.5714285714285714</v>
      </c>
      <c r="AX134" t="b">
        <f>Table7[[#This Row],[Midpoint ratio]]&gt;=Table7[[#This Row],[Threshold of Midpoint ratio]]</f>
        <v>0</v>
      </c>
      <c r="AY134" t="b">
        <f>OR(Table7[[#This Row],[Extreme Response Style]:[Straight-lining with 1 deviation]],Table7[[#This Row],[Mid-point Response Style]])</f>
        <v>0</v>
      </c>
      <c r="AZ134" t="b">
        <f>OR(Table7[[#This Row],[Delete? (Stage 1)]],Table7[[#This Row],[Delete? (Stage 2)]])</f>
        <v>0</v>
      </c>
      <c r="BA134" t="s">
        <v>84</v>
      </c>
    </row>
    <row r="135" spans="1:53">
      <c r="A135">
        <v>625</v>
      </c>
      <c r="B135" s="3">
        <v>46049.7334722222</v>
      </c>
      <c r="C135" s="3">
        <v>46049.734618055598</v>
      </c>
      <c r="D135" t="s">
        <v>53</v>
      </c>
      <c r="G135" t="s">
        <v>54</v>
      </c>
      <c r="H135" t="s">
        <v>63</v>
      </c>
      <c r="I135" t="s">
        <v>75</v>
      </c>
      <c r="J135" t="s">
        <v>60</v>
      </c>
      <c r="K135" t="s">
        <v>64</v>
      </c>
      <c r="L135" t="s">
        <v>58</v>
      </c>
      <c r="M135" t="s">
        <v>58</v>
      </c>
      <c r="N135">
        <v>4</v>
      </c>
      <c r="O135">
        <v>4</v>
      </c>
      <c r="P135">
        <v>4</v>
      </c>
      <c r="Q135">
        <v>4</v>
      </c>
      <c r="R135">
        <v>4</v>
      </c>
      <c r="S135">
        <v>4</v>
      </c>
      <c r="T135">
        <v>4</v>
      </c>
      <c r="U135">
        <v>4</v>
      </c>
      <c r="V135">
        <v>4</v>
      </c>
      <c r="W135">
        <v>4</v>
      </c>
      <c r="X135">
        <v>4</v>
      </c>
      <c r="Y135">
        <v>4</v>
      </c>
      <c r="Z135">
        <v>5</v>
      </c>
      <c r="AA135">
        <v>3</v>
      </c>
      <c r="AB135">
        <v>4</v>
      </c>
      <c r="AC135">
        <v>4</v>
      </c>
      <c r="AD135">
        <v>3</v>
      </c>
      <c r="AE135">
        <v>2</v>
      </c>
      <c r="AF135">
        <v>3</v>
      </c>
      <c r="AG135">
        <v>3</v>
      </c>
      <c r="AH135">
        <v>3</v>
      </c>
      <c r="AI135">
        <v>3</v>
      </c>
      <c r="AJ135">
        <v>3</v>
      </c>
      <c r="AK135" t="b">
        <f>Table7[[#This Row],[What is your age?]]&lt;&gt;"18 - 25"</f>
        <v>0</v>
      </c>
      <c r="AL135" t="b">
        <f t="shared" si="6"/>
        <v>0</v>
      </c>
      <c r="AM135" t="b">
        <f t="shared" si="7"/>
        <v>0</v>
      </c>
      <c r="AN135" t="b">
        <f t="shared" si="8"/>
        <v>0</v>
      </c>
      <c r="AO135" t="b">
        <f>OR(Table7[[#This Row],[Ineligible respondents]:[Inconsistent response on opposite question (3)]])</f>
        <v>0</v>
      </c>
      <c r="AP13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135">
        <f>Table7[[#This Row],[Extreme Response]]/21</f>
        <v>4.7619047619047616E-2</v>
      </c>
      <c r="AR135">
        <f>Table67[[#This Row],[Threshold of ERS]]</f>
        <v>0.61904761904761907</v>
      </c>
      <c r="AS135" t="b">
        <f>Table7[[#This Row],[Extrem Response Ratio (ERS)]]&gt;=Table7[[#This Row],[Threshold of ERS]]</f>
        <v>0</v>
      </c>
      <c r="AT135" t="b" cm="1">
        <f t="array" ref="AT13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35">
        <f>COUNTIF(Table7[[#This Row],[The mechanism of digital assets is difficult to understand, which discourages me from exploring it (E.g, Tokenization, Blockchain)]:[If I want to try different ways to invest, I will explore digital assets.]], 3)</f>
        <v>5</v>
      </c>
      <c r="AV135">
        <f>Table7[[#This Row],[Midpoint]]/21</f>
        <v>0.23809523809523808</v>
      </c>
      <c r="AW135">
        <f>Table67[[#This Row],[Threshold of Midpoint ratio]]</f>
        <v>0.5714285714285714</v>
      </c>
      <c r="AX135" t="b">
        <f>Table7[[#This Row],[Midpoint ratio]]&gt;=Table7[[#This Row],[Threshold of Midpoint ratio]]</f>
        <v>0</v>
      </c>
      <c r="AY135" t="b">
        <f>OR(Table7[[#This Row],[Extreme Response Style]:[Straight-lining with 1 deviation]],Table7[[#This Row],[Mid-point Response Style]])</f>
        <v>0</v>
      </c>
      <c r="AZ135" t="b">
        <f>OR(Table7[[#This Row],[Delete? (Stage 1)]],Table7[[#This Row],[Delete? (Stage 2)]])</f>
        <v>0</v>
      </c>
      <c r="BA135" t="s">
        <v>84</v>
      </c>
    </row>
    <row r="136" spans="1:53">
      <c r="A136">
        <v>627</v>
      </c>
      <c r="B136" s="3">
        <v>46049.733576388899</v>
      </c>
      <c r="C136" s="3">
        <v>46049.737847222197</v>
      </c>
      <c r="D136" t="s">
        <v>53</v>
      </c>
      <c r="G136" t="s">
        <v>54</v>
      </c>
      <c r="H136" t="s">
        <v>63</v>
      </c>
      <c r="I136" t="s">
        <v>75</v>
      </c>
      <c r="J136" t="s">
        <v>57</v>
      </c>
      <c r="K136" t="s">
        <v>57</v>
      </c>
      <c r="L136" t="s">
        <v>58</v>
      </c>
      <c r="M136" t="s">
        <v>58</v>
      </c>
      <c r="N136">
        <v>4</v>
      </c>
      <c r="O136">
        <v>4</v>
      </c>
      <c r="P136">
        <v>5</v>
      </c>
      <c r="Q136">
        <v>4</v>
      </c>
      <c r="R136">
        <v>3</v>
      </c>
      <c r="S136">
        <v>5</v>
      </c>
      <c r="T136">
        <v>3</v>
      </c>
      <c r="U136">
        <v>4</v>
      </c>
      <c r="V136">
        <v>4</v>
      </c>
      <c r="W136">
        <v>4</v>
      </c>
      <c r="X136">
        <v>3</v>
      </c>
      <c r="Y136">
        <v>4</v>
      </c>
      <c r="Z136">
        <v>5</v>
      </c>
      <c r="AA136">
        <v>4</v>
      </c>
      <c r="AB136">
        <v>3</v>
      </c>
      <c r="AC136">
        <v>3</v>
      </c>
      <c r="AD136">
        <v>4</v>
      </c>
      <c r="AE136">
        <v>3</v>
      </c>
      <c r="AF136">
        <v>3</v>
      </c>
      <c r="AG136">
        <v>3</v>
      </c>
      <c r="AH136">
        <v>3</v>
      </c>
      <c r="AI136">
        <v>3</v>
      </c>
      <c r="AJ136">
        <v>3</v>
      </c>
      <c r="AK136" t="b">
        <f>Table7[[#This Row],[What is your age?]]&lt;&gt;"18 - 25"</f>
        <v>0</v>
      </c>
      <c r="AL136" t="b">
        <f t="shared" si="6"/>
        <v>0</v>
      </c>
      <c r="AM136" t="b">
        <f t="shared" si="7"/>
        <v>0</v>
      </c>
      <c r="AN136" t="b">
        <f t="shared" si="8"/>
        <v>0</v>
      </c>
      <c r="AO136" t="b">
        <f>OR(Table7[[#This Row],[Ineligible respondents]:[Inconsistent response on opposite question (3)]])</f>
        <v>0</v>
      </c>
      <c r="AP13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136">
        <f>Table7[[#This Row],[Extreme Response]]/21</f>
        <v>0.14285714285714285</v>
      </c>
      <c r="AR136">
        <f>Table67[[#This Row],[Threshold of ERS]]</f>
        <v>0.61904761904761907</v>
      </c>
      <c r="AS136" t="b">
        <f>Table7[[#This Row],[Extrem Response Ratio (ERS)]]&gt;=Table7[[#This Row],[Threshold of ERS]]</f>
        <v>0</v>
      </c>
      <c r="AT136" t="b" cm="1">
        <f t="array" ref="AT13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36">
        <f>COUNTIF(Table7[[#This Row],[The mechanism of digital assets is difficult to understand, which discourages me from exploring it (E.g, Tokenization, Blockchain)]:[If I want to try different ways to invest, I will explore digital assets.]], 3)</f>
        <v>9</v>
      </c>
      <c r="AV136">
        <f>Table7[[#This Row],[Midpoint]]/21</f>
        <v>0.42857142857142855</v>
      </c>
      <c r="AW136">
        <f>Table67[[#This Row],[Threshold of Midpoint ratio]]</f>
        <v>0.5714285714285714</v>
      </c>
      <c r="AX136" t="b">
        <f>Table7[[#This Row],[Midpoint ratio]]&gt;=Table7[[#This Row],[Threshold of Midpoint ratio]]</f>
        <v>0</v>
      </c>
      <c r="AY136" t="b">
        <f>OR(Table7[[#This Row],[Extreme Response Style]:[Straight-lining with 1 deviation]],Table7[[#This Row],[Mid-point Response Style]])</f>
        <v>0</v>
      </c>
      <c r="AZ136" t="b">
        <f>OR(Table7[[#This Row],[Delete? (Stage 1)]],Table7[[#This Row],[Delete? (Stage 2)]])</f>
        <v>0</v>
      </c>
      <c r="BA136" t="s">
        <v>84</v>
      </c>
    </row>
    <row r="137" spans="1:53">
      <c r="A137">
        <v>630</v>
      </c>
      <c r="B137" s="3">
        <v>46049.733738425901</v>
      </c>
      <c r="C137" s="3">
        <v>46049.750613425902</v>
      </c>
      <c r="D137" t="s">
        <v>53</v>
      </c>
      <c r="G137" t="s">
        <v>54</v>
      </c>
      <c r="H137" t="s">
        <v>70</v>
      </c>
      <c r="I137" t="s">
        <v>56</v>
      </c>
      <c r="J137" t="s">
        <v>62</v>
      </c>
      <c r="K137" t="s">
        <v>57</v>
      </c>
      <c r="L137" t="s">
        <v>58</v>
      </c>
      <c r="M137" t="s">
        <v>58</v>
      </c>
      <c r="N137">
        <v>2</v>
      </c>
      <c r="O137">
        <v>3</v>
      </c>
      <c r="P137">
        <v>4</v>
      </c>
      <c r="Q137">
        <v>2</v>
      </c>
      <c r="R137">
        <v>2</v>
      </c>
      <c r="S137">
        <v>4</v>
      </c>
      <c r="T137">
        <v>2</v>
      </c>
      <c r="U137">
        <v>3</v>
      </c>
      <c r="V137">
        <v>4</v>
      </c>
      <c r="W137">
        <v>4</v>
      </c>
      <c r="X137">
        <v>2</v>
      </c>
      <c r="Y137">
        <v>4</v>
      </c>
      <c r="Z137">
        <v>4</v>
      </c>
      <c r="AA137">
        <v>4</v>
      </c>
      <c r="AB137">
        <v>3</v>
      </c>
      <c r="AC137">
        <v>2</v>
      </c>
      <c r="AD137">
        <v>3</v>
      </c>
      <c r="AE137">
        <v>4</v>
      </c>
      <c r="AF137">
        <v>4</v>
      </c>
      <c r="AG137">
        <v>3</v>
      </c>
      <c r="AH137">
        <v>3</v>
      </c>
      <c r="AI137">
        <v>3</v>
      </c>
      <c r="AJ137">
        <v>2</v>
      </c>
      <c r="AK137" t="b">
        <f>Table7[[#This Row],[What is your age?]]&lt;&gt;"18 - 25"</f>
        <v>0</v>
      </c>
      <c r="AL137" t="b">
        <f t="shared" si="6"/>
        <v>0</v>
      </c>
      <c r="AM137" t="b">
        <f t="shared" si="7"/>
        <v>0</v>
      </c>
      <c r="AN137" t="b">
        <f t="shared" si="8"/>
        <v>0</v>
      </c>
      <c r="AO137" t="b">
        <f>OR(Table7[[#This Row],[Ineligible respondents]:[Inconsistent response on opposite question (3)]])</f>
        <v>0</v>
      </c>
      <c r="AP13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137">
        <f>Table7[[#This Row],[Extreme Response]]/21</f>
        <v>0</v>
      </c>
      <c r="AR137">
        <f>Table67[[#This Row],[Threshold of ERS]]</f>
        <v>0.61904761904761907</v>
      </c>
      <c r="AS137" t="b">
        <f>Table7[[#This Row],[Extrem Response Ratio (ERS)]]&gt;=Table7[[#This Row],[Threshold of ERS]]</f>
        <v>0</v>
      </c>
      <c r="AT137" t="b" cm="1">
        <f t="array" ref="AT13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37">
        <f>COUNTIF(Table7[[#This Row],[The mechanism of digital assets is difficult to understand, which discourages me from exploring it (E.g, Tokenization, Blockchain)]:[If I want to try different ways to invest, I will explore digital assets.]], 3)</f>
        <v>6</v>
      </c>
      <c r="AV137">
        <f>Table7[[#This Row],[Midpoint]]/21</f>
        <v>0.2857142857142857</v>
      </c>
      <c r="AW137">
        <f>Table67[[#This Row],[Threshold of Midpoint ratio]]</f>
        <v>0.5714285714285714</v>
      </c>
      <c r="AX137" t="b">
        <f>Table7[[#This Row],[Midpoint ratio]]&gt;=Table7[[#This Row],[Threshold of Midpoint ratio]]</f>
        <v>0</v>
      </c>
      <c r="AY137" t="b">
        <f>OR(Table7[[#This Row],[Extreme Response Style]:[Straight-lining with 1 deviation]],Table7[[#This Row],[Mid-point Response Style]])</f>
        <v>0</v>
      </c>
      <c r="AZ137" t="b">
        <f>OR(Table7[[#This Row],[Delete? (Stage 1)]],Table7[[#This Row],[Delete? (Stage 2)]])</f>
        <v>0</v>
      </c>
      <c r="BA137" t="s">
        <v>84</v>
      </c>
    </row>
    <row r="138" spans="1:53">
      <c r="A138">
        <v>632</v>
      </c>
      <c r="B138" s="3">
        <v>46049.733819444402</v>
      </c>
      <c r="C138" s="3">
        <v>46049.738946759302</v>
      </c>
      <c r="D138" t="s">
        <v>53</v>
      </c>
      <c r="G138" t="s">
        <v>54</v>
      </c>
      <c r="H138" t="s">
        <v>55</v>
      </c>
      <c r="I138" t="s">
        <v>75</v>
      </c>
      <c r="J138" t="s">
        <v>67</v>
      </c>
      <c r="K138" t="s">
        <v>60</v>
      </c>
      <c r="L138" t="s">
        <v>58</v>
      </c>
      <c r="M138" t="s">
        <v>58</v>
      </c>
      <c r="N138">
        <v>2</v>
      </c>
      <c r="O138">
        <v>2</v>
      </c>
      <c r="P138">
        <v>2</v>
      </c>
      <c r="Q138">
        <v>3</v>
      </c>
      <c r="R138">
        <v>1</v>
      </c>
      <c r="S138">
        <v>3</v>
      </c>
      <c r="T138">
        <v>2</v>
      </c>
      <c r="U138">
        <v>1</v>
      </c>
      <c r="V138">
        <v>1</v>
      </c>
      <c r="W138">
        <v>2</v>
      </c>
      <c r="X138">
        <v>3</v>
      </c>
      <c r="Y138">
        <v>1</v>
      </c>
      <c r="Z138">
        <v>2</v>
      </c>
      <c r="AA138">
        <v>2</v>
      </c>
      <c r="AB138">
        <v>1</v>
      </c>
      <c r="AC138">
        <v>1</v>
      </c>
      <c r="AD138">
        <v>3</v>
      </c>
      <c r="AE138">
        <v>4</v>
      </c>
      <c r="AF138">
        <v>5</v>
      </c>
      <c r="AG138">
        <v>2</v>
      </c>
      <c r="AH138">
        <v>5</v>
      </c>
      <c r="AI138">
        <v>1</v>
      </c>
      <c r="AJ138">
        <v>1</v>
      </c>
      <c r="AK138" t="b">
        <f>Table7[[#This Row],[What is your age?]]&lt;&gt;"18 - 25"</f>
        <v>0</v>
      </c>
      <c r="AL138" t="b">
        <f t="shared" si="6"/>
        <v>0</v>
      </c>
      <c r="AM138" t="b">
        <f t="shared" si="7"/>
        <v>0</v>
      </c>
      <c r="AN138" t="b">
        <f t="shared" si="8"/>
        <v>0</v>
      </c>
      <c r="AO138" t="b">
        <f>OR(Table7[[#This Row],[Ineligible respondents]:[Inconsistent response on opposite question (3)]])</f>
        <v>0</v>
      </c>
      <c r="AP13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8</v>
      </c>
      <c r="AQ138">
        <f>Table7[[#This Row],[Extreme Response]]/21</f>
        <v>0.38095238095238093</v>
      </c>
      <c r="AR138">
        <f>Table67[[#This Row],[Threshold of ERS]]</f>
        <v>0.61904761904761907</v>
      </c>
      <c r="AS138" t="b">
        <f>Table7[[#This Row],[Extrem Response Ratio (ERS)]]&gt;=Table7[[#This Row],[Threshold of ERS]]</f>
        <v>0</v>
      </c>
      <c r="AT138" t="b" cm="1">
        <f t="array" ref="AT13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38">
        <f>COUNTIF(Table7[[#This Row],[The mechanism of digital assets is difficult to understand, which discourages me from exploring it (E.g, Tokenization, Blockchain)]:[If I want to try different ways to invest, I will explore digital assets.]], 3)</f>
        <v>4</v>
      </c>
      <c r="AV138">
        <f>Table7[[#This Row],[Midpoint]]/21</f>
        <v>0.19047619047619047</v>
      </c>
      <c r="AW138">
        <f>Table67[[#This Row],[Threshold of Midpoint ratio]]</f>
        <v>0.5714285714285714</v>
      </c>
      <c r="AX138" t="b">
        <f>Table7[[#This Row],[Midpoint ratio]]&gt;=Table7[[#This Row],[Threshold of Midpoint ratio]]</f>
        <v>0</v>
      </c>
      <c r="AY138" t="b">
        <f>OR(Table7[[#This Row],[Extreme Response Style]:[Straight-lining with 1 deviation]],Table7[[#This Row],[Mid-point Response Style]])</f>
        <v>0</v>
      </c>
      <c r="AZ138" t="b">
        <f>OR(Table7[[#This Row],[Delete? (Stage 1)]],Table7[[#This Row],[Delete? (Stage 2)]])</f>
        <v>0</v>
      </c>
      <c r="BA138" t="s">
        <v>84</v>
      </c>
    </row>
    <row r="139" spans="1:53">
      <c r="A139">
        <v>641</v>
      </c>
      <c r="B139" s="3">
        <v>46049.7340625</v>
      </c>
      <c r="C139" s="3">
        <v>46049.739872685197</v>
      </c>
      <c r="D139" t="s">
        <v>53</v>
      </c>
      <c r="G139" t="s">
        <v>54</v>
      </c>
      <c r="H139" t="s">
        <v>55</v>
      </c>
      <c r="I139" t="s">
        <v>56</v>
      </c>
      <c r="J139" t="s">
        <v>60</v>
      </c>
      <c r="K139" t="s">
        <v>62</v>
      </c>
      <c r="L139" t="s">
        <v>58</v>
      </c>
      <c r="M139" t="s">
        <v>58</v>
      </c>
      <c r="N139">
        <v>3</v>
      </c>
      <c r="O139">
        <v>2</v>
      </c>
      <c r="P139">
        <v>4</v>
      </c>
      <c r="Q139">
        <v>4</v>
      </c>
      <c r="R139">
        <v>3</v>
      </c>
      <c r="S139">
        <v>4</v>
      </c>
      <c r="T139">
        <v>4</v>
      </c>
      <c r="U139">
        <v>4</v>
      </c>
      <c r="V139">
        <v>5</v>
      </c>
      <c r="W139">
        <v>4</v>
      </c>
      <c r="X139">
        <v>4</v>
      </c>
      <c r="Y139">
        <v>3</v>
      </c>
      <c r="Z139">
        <v>3</v>
      </c>
      <c r="AA139">
        <v>3</v>
      </c>
      <c r="AB139">
        <v>2</v>
      </c>
      <c r="AC139">
        <v>3</v>
      </c>
      <c r="AD139">
        <v>4</v>
      </c>
      <c r="AE139">
        <v>3</v>
      </c>
      <c r="AF139">
        <v>3</v>
      </c>
      <c r="AG139">
        <v>3</v>
      </c>
      <c r="AH139">
        <v>3</v>
      </c>
      <c r="AI139">
        <v>3</v>
      </c>
      <c r="AJ139">
        <v>3</v>
      </c>
      <c r="AK139" t="b">
        <f>Table7[[#This Row],[What is your age?]]&lt;&gt;"18 - 25"</f>
        <v>0</v>
      </c>
      <c r="AL139" t="b">
        <f t="shared" si="6"/>
        <v>0</v>
      </c>
      <c r="AM139" t="b">
        <f t="shared" si="7"/>
        <v>0</v>
      </c>
      <c r="AN139" t="b">
        <f t="shared" si="8"/>
        <v>0</v>
      </c>
      <c r="AO139" t="b">
        <f>OR(Table7[[#This Row],[Ineligible respondents]:[Inconsistent response on opposite question (3)]])</f>
        <v>0</v>
      </c>
      <c r="AP13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139">
        <f>Table7[[#This Row],[Extreme Response]]/21</f>
        <v>4.7619047619047616E-2</v>
      </c>
      <c r="AR139">
        <f>Table67[[#This Row],[Threshold of ERS]]</f>
        <v>0.61904761904761907</v>
      </c>
      <c r="AS139" t="b">
        <f>Table7[[#This Row],[Extrem Response Ratio (ERS)]]&gt;=Table7[[#This Row],[Threshold of ERS]]</f>
        <v>0</v>
      </c>
      <c r="AT139" t="b" cm="1">
        <f t="array" ref="AT13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39">
        <f>COUNTIF(Table7[[#This Row],[The mechanism of digital assets is difficult to understand, which discourages me from exploring it (E.g, Tokenization, Blockchain)]:[If I want to try different ways to invest, I will explore digital assets.]], 3)</f>
        <v>10</v>
      </c>
      <c r="AV139">
        <f>Table7[[#This Row],[Midpoint]]/21</f>
        <v>0.47619047619047616</v>
      </c>
      <c r="AW139">
        <f>Table67[[#This Row],[Threshold of Midpoint ratio]]</f>
        <v>0.5714285714285714</v>
      </c>
      <c r="AX139" t="b">
        <f>Table7[[#This Row],[Midpoint ratio]]&gt;=Table7[[#This Row],[Threshold of Midpoint ratio]]</f>
        <v>0</v>
      </c>
      <c r="AY139" t="b">
        <f>OR(Table7[[#This Row],[Extreme Response Style]:[Straight-lining with 1 deviation]],Table7[[#This Row],[Mid-point Response Style]])</f>
        <v>0</v>
      </c>
      <c r="AZ139" t="b">
        <f>OR(Table7[[#This Row],[Delete? (Stage 1)]],Table7[[#This Row],[Delete? (Stage 2)]])</f>
        <v>0</v>
      </c>
      <c r="BA139" t="s">
        <v>84</v>
      </c>
    </row>
    <row r="140" spans="1:53">
      <c r="A140">
        <v>659</v>
      </c>
      <c r="B140" s="3">
        <v>46049.7346875</v>
      </c>
      <c r="C140" s="3">
        <v>46049.737048611103</v>
      </c>
      <c r="D140" t="s">
        <v>53</v>
      </c>
      <c r="G140" t="s">
        <v>54</v>
      </c>
      <c r="H140" t="s">
        <v>63</v>
      </c>
      <c r="I140" t="s">
        <v>56</v>
      </c>
      <c r="J140" t="s">
        <v>62</v>
      </c>
      <c r="K140" t="s">
        <v>62</v>
      </c>
      <c r="L140" t="s">
        <v>61</v>
      </c>
      <c r="M140" t="s">
        <v>58</v>
      </c>
      <c r="N140">
        <v>4</v>
      </c>
      <c r="O140">
        <v>2</v>
      </c>
      <c r="P140">
        <v>4</v>
      </c>
      <c r="Q140">
        <v>3</v>
      </c>
      <c r="R140">
        <v>2</v>
      </c>
      <c r="S140">
        <v>5</v>
      </c>
      <c r="T140">
        <v>2</v>
      </c>
      <c r="U140">
        <v>2</v>
      </c>
      <c r="V140">
        <v>4</v>
      </c>
      <c r="W140">
        <v>4</v>
      </c>
      <c r="X140">
        <v>3</v>
      </c>
      <c r="Y140">
        <v>4</v>
      </c>
      <c r="Z140">
        <v>3</v>
      </c>
      <c r="AA140">
        <v>3</v>
      </c>
      <c r="AB140">
        <v>2</v>
      </c>
      <c r="AC140">
        <v>2</v>
      </c>
      <c r="AD140">
        <v>2</v>
      </c>
      <c r="AE140">
        <v>2</v>
      </c>
      <c r="AF140">
        <v>5</v>
      </c>
      <c r="AG140">
        <v>2</v>
      </c>
      <c r="AH140">
        <v>4</v>
      </c>
      <c r="AI140">
        <v>2</v>
      </c>
      <c r="AJ140">
        <v>1</v>
      </c>
      <c r="AK140" t="b">
        <f>Table7[[#This Row],[What is your age?]]&lt;&gt;"18 - 25"</f>
        <v>0</v>
      </c>
      <c r="AL140" t="b">
        <f t="shared" si="6"/>
        <v>0</v>
      </c>
      <c r="AM140" t="b">
        <f t="shared" si="7"/>
        <v>0</v>
      </c>
      <c r="AN140" t="b">
        <f t="shared" si="8"/>
        <v>0</v>
      </c>
      <c r="AO140" t="b">
        <f>OR(Table7[[#This Row],[Ineligible respondents]:[Inconsistent response on opposite question (3)]])</f>
        <v>0</v>
      </c>
      <c r="AP14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140">
        <f>Table7[[#This Row],[Extreme Response]]/21</f>
        <v>9.5238095238095233E-2</v>
      </c>
      <c r="AR140">
        <f>Table67[[#This Row],[Threshold of ERS]]</f>
        <v>0.61904761904761907</v>
      </c>
      <c r="AS140" t="b">
        <f>Table7[[#This Row],[Extrem Response Ratio (ERS)]]&gt;=Table7[[#This Row],[Threshold of ERS]]</f>
        <v>0</v>
      </c>
      <c r="AT140" t="b" cm="1">
        <f t="array" ref="AT14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40">
        <f>COUNTIF(Table7[[#This Row],[The mechanism of digital assets is difficult to understand, which discourages me from exploring it (E.g, Tokenization, Blockchain)]:[If I want to try different ways to invest, I will explore digital assets.]], 3)</f>
        <v>4</v>
      </c>
      <c r="AV140">
        <f>Table7[[#This Row],[Midpoint]]/21</f>
        <v>0.19047619047619047</v>
      </c>
      <c r="AW140">
        <f>Table67[[#This Row],[Threshold of Midpoint ratio]]</f>
        <v>0.5714285714285714</v>
      </c>
      <c r="AX140" t="b">
        <f>Table7[[#This Row],[Midpoint ratio]]&gt;=Table7[[#This Row],[Threshold of Midpoint ratio]]</f>
        <v>0</v>
      </c>
      <c r="AY140" t="b">
        <f>OR(Table7[[#This Row],[Extreme Response Style]:[Straight-lining with 1 deviation]],Table7[[#This Row],[Mid-point Response Style]])</f>
        <v>0</v>
      </c>
      <c r="AZ140" t="b">
        <f>OR(Table7[[#This Row],[Delete? (Stage 1)]],Table7[[#This Row],[Delete? (Stage 2)]])</f>
        <v>0</v>
      </c>
      <c r="BA140" t="s">
        <v>84</v>
      </c>
    </row>
    <row r="141" spans="1:53">
      <c r="A141">
        <v>668</v>
      </c>
      <c r="B141" s="3">
        <v>46049.735787037003</v>
      </c>
      <c r="C141" s="3">
        <v>46049.743368055599</v>
      </c>
      <c r="D141" t="s">
        <v>53</v>
      </c>
      <c r="G141" t="s">
        <v>54</v>
      </c>
      <c r="H141" t="s">
        <v>55</v>
      </c>
      <c r="I141" t="s">
        <v>56</v>
      </c>
      <c r="J141" t="s">
        <v>57</v>
      </c>
      <c r="K141" t="s">
        <v>57</v>
      </c>
      <c r="L141" t="s">
        <v>58</v>
      </c>
      <c r="M141" t="s">
        <v>58</v>
      </c>
      <c r="N141">
        <v>4</v>
      </c>
      <c r="O141">
        <v>2</v>
      </c>
      <c r="P141">
        <v>4</v>
      </c>
      <c r="Q141">
        <v>4</v>
      </c>
      <c r="R141">
        <v>3</v>
      </c>
      <c r="S141">
        <v>4</v>
      </c>
      <c r="T141">
        <v>4</v>
      </c>
      <c r="U141">
        <v>5</v>
      </c>
      <c r="V141">
        <v>4</v>
      </c>
      <c r="W141">
        <v>2</v>
      </c>
      <c r="X141">
        <v>3</v>
      </c>
      <c r="Y141">
        <v>4</v>
      </c>
      <c r="Z141">
        <v>4</v>
      </c>
      <c r="AA141">
        <v>4</v>
      </c>
      <c r="AB141">
        <v>3</v>
      </c>
      <c r="AC141">
        <v>4</v>
      </c>
      <c r="AD141">
        <v>4</v>
      </c>
      <c r="AE141">
        <v>3</v>
      </c>
      <c r="AF141">
        <v>2</v>
      </c>
      <c r="AG141">
        <v>4</v>
      </c>
      <c r="AH141">
        <v>2</v>
      </c>
      <c r="AI141">
        <v>4</v>
      </c>
      <c r="AJ141">
        <v>4</v>
      </c>
      <c r="AK141" t="b">
        <f>Table7[[#This Row],[What is your age?]]&lt;&gt;"18 - 25"</f>
        <v>0</v>
      </c>
      <c r="AL141" t="b">
        <f t="shared" si="6"/>
        <v>0</v>
      </c>
      <c r="AM141" t="b">
        <f t="shared" si="7"/>
        <v>0</v>
      </c>
      <c r="AN141" t="b">
        <f t="shared" si="8"/>
        <v>0</v>
      </c>
      <c r="AO141" t="b">
        <f>OR(Table7[[#This Row],[Ineligible respondents]:[Inconsistent response on opposite question (3)]])</f>
        <v>0</v>
      </c>
      <c r="AP14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141">
        <f>Table7[[#This Row],[Extreme Response]]/21</f>
        <v>4.7619047619047616E-2</v>
      </c>
      <c r="AR141">
        <f>Table67[[#This Row],[Threshold of ERS]]</f>
        <v>0.61904761904761907</v>
      </c>
      <c r="AS141" t="b">
        <f>Table7[[#This Row],[Extrem Response Ratio (ERS)]]&gt;=Table7[[#This Row],[Threshold of ERS]]</f>
        <v>0</v>
      </c>
      <c r="AT141" t="b" cm="1">
        <f t="array" ref="AT14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41">
        <f>COUNTIF(Table7[[#This Row],[The mechanism of digital assets is difficult to understand, which discourages me from exploring it (E.g, Tokenization, Blockchain)]:[If I want to try different ways to invest, I will explore digital assets.]], 3)</f>
        <v>4</v>
      </c>
      <c r="AV141">
        <f>Table7[[#This Row],[Midpoint]]/21</f>
        <v>0.19047619047619047</v>
      </c>
      <c r="AW141">
        <f>Table67[[#This Row],[Threshold of Midpoint ratio]]</f>
        <v>0.5714285714285714</v>
      </c>
      <c r="AX141" t="b">
        <f>Table7[[#This Row],[Midpoint ratio]]&gt;=Table7[[#This Row],[Threshold of Midpoint ratio]]</f>
        <v>0</v>
      </c>
      <c r="AY141" t="b">
        <f>OR(Table7[[#This Row],[Extreme Response Style]:[Straight-lining with 1 deviation]],Table7[[#This Row],[Mid-point Response Style]])</f>
        <v>0</v>
      </c>
      <c r="AZ141" t="b">
        <f>OR(Table7[[#This Row],[Delete? (Stage 1)]],Table7[[#This Row],[Delete? (Stage 2)]])</f>
        <v>0</v>
      </c>
      <c r="BA141" t="s">
        <v>84</v>
      </c>
    </row>
    <row r="142" spans="1:53">
      <c r="A142">
        <v>672</v>
      </c>
      <c r="B142" s="3">
        <v>46049.736296296302</v>
      </c>
      <c r="C142" s="3">
        <v>46049.746342592603</v>
      </c>
      <c r="D142" t="s">
        <v>53</v>
      </c>
      <c r="G142" t="s">
        <v>54</v>
      </c>
      <c r="H142" t="s">
        <v>63</v>
      </c>
      <c r="I142" t="s">
        <v>71</v>
      </c>
      <c r="J142" t="s">
        <v>62</v>
      </c>
      <c r="K142" t="s">
        <v>62</v>
      </c>
      <c r="L142" t="s">
        <v>58</v>
      </c>
      <c r="M142" t="s">
        <v>58</v>
      </c>
      <c r="N142">
        <v>4</v>
      </c>
      <c r="O142">
        <v>3</v>
      </c>
      <c r="P142">
        <v>4</v>
      </c>
      <c r="Q142">
        <v>4</v>
      </c>
      <c r="R142">
        <v>4</v>
      </c>
      <c r="S142">
        <v>4</v>
      </c>
      <c r="T142">
        <v>5</v>
      </c>
      <c r="U142">
        <v>2</v>
      </c>
      <c r="V142">
        <v>4</v>
      </c>
      <c r="W142">
        <v>4</v>
      </c>
      <c r="X142">
        <v>2</v>
      </c>
      <c r="Y142">
        <v>4</v>
      </c>
      <c r="Z142">
        <v>4</v>
      </c>
      <c r="AA142">
        <v>3</v>
      </c>
      <c r="AB142">
        <v>4</v>
      </c>
      <c r="AC142">
        <v>2</v>
      </c>
      <c r="AD142">
        <v>2</v>
      </c>
      <c r="AE142">
        <v>2</v>
      </c>
      <c r="AF142">
        <v>5</v>
      </c>
      <c r="AG142">
        <v>1</v>
      </c>
      <c r="AH142">
        <v>4</v>
      </c>
      <c r="AI142">
        <v>2</v>
      </c>
      <c r="AJ142">
        <v>1</v>
      </c>
      <c r="AK142" t="b">
        <f>Table7[[#This Row],[What is your age?]]&lt;&gt;"18 - 25"</f>
        <v>0</v>
      </c>
      <c r="AL142" t="b">
        <f t="shared" si="6"/>
        <v>0</v>
      </c>
      <c r="AM142" t="b">
        <f t="shared" si="7"/>
        <v>0</v>
      </c>
      <c r="AN142" t="b">
        <f t="shared" si="8"/>
        <v>0</v>
      </c>
      <c r="AO142" t="b">
        <f>OR(Table7[[#This Row],[Ineligible respondents]:[Inconsistent response on opposite question (3)]])</f>
        <v>0</v>
      </c>
      <c r="AP14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142">
        <f>Table7[[#This Row],[Extreme Response]]/21</f>
        <v>0.14285714285714285</v>
      </c>
      <c r="AR142">
        <f>Table67[[#This Row],[Threshold of ERS]]</f>
        <v>0.61904761904761907</v>
      </c>
      <c r="AS142" t="b">
        <f>Table7[[#This Row],[Extrem Response Ratio (ERS)]]&gt;=Table7[[#This Row],[Threshold of ERS]]</f>
        <v>0</v>
      </c>
      <c r="AT142" t="b" cm="1">
        <f t="array" ref="AT14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42">
        <f>COUNTIF(Table7[[#This Row],[The mechanism of digital assets is difficult to understand, which discourages me from exploring it (E.g, Tokenization, Blockchain)]:[If I want to try different ways to invest, I will explore digital assets.]], 3)</f>
        <v>2</v>
      </c>
      <c r="AV142">
        <f>Table7[[#This Row],[Midpoint]]/21</f>
        <v>9.5238095238095233E-2</v>
      </c>
      <c r="AW142">
        <f>Table67[[#This Row],[Threshold of Midpoint ratio]]</f>
        <v>0.5714285714285714</v>
      </c>
      <c r="AX142" t="b">
        <f>Table7[[#This Row],[Midpoint ratio]]&gt;=Table7[[#This Row],[Threshold of Midpoint ratio]]</f>
        <v>0</v>
      </c>
      <c r="AY142" t="b">
        <f>OR(Table7[[#This Row],[Extreme Response Style]:[Straight-lining with 1 deviation]],Table7[[#This Row],[Mid-point Response Style]])</f>
        <v>0</v>
      </c>
      <c r="AZ142" t="b">
        <f>OR(Table7[[#This Row],[Delete? (Stage 1)]],Table7[[#This Row],[Delete? (Stage 2)]])</f>
        <v>0</v>
      </c>
      <c r="BA142" t="s">
        <v>84</v>
      </c>
    </row>
    <row r="143" spans="1:53">
      <c r="A143">
        <v>679</v>
      </c>
      <c r="B143" s="3">
        <v>46049.737662036998</v>
      </c>
      <c r="C143" s="3">
        <v>46049.740543981497</v>
      </c>
      <c r="D143" t="s">
        <v>53</v>
      </c>
      <c r="G143" t="s">
        <v>54</v>
      </c>
      <c r="H143" t="s">
        <v>63</v>
      </c>
      <c r="I143" t="s">
        <v>56</v>
      </c>
      <c r="J143" t="s">
        <v>62</v>
      </c>
      <c r="K143" t="s">
        <v>62</v>
      </c>
      <c r="L143" t="s">
        <v>58</v>
      </c>
      <c r="M143" t="s">
        <v>58</v>
      </c>
      <c r="N143">
        <v>3</v>
      </c>
      <c r="O143">
        <v>3</v>
      </c>
      <c r="P143">
        <v>3</v>
      </c>
      <c r="Q143">
        <v>3</v>
      </c>
      <c r="R143">
        <v>2</v>
      </c>
      <c r="S143">
        <v>4</v>
      </c>
      <c r="T143">
        <v>1</v>
      </c>
      <c r="U143">
        <v>2</v>
      </c>
      <c r="V143">
        <v>4</v>
      </c>
      <c r="W143">
        <v>3</v>
      </c>
      <c r="X143">
        <v>4</v>
      </c>
      <c r="Y143">
        <v>4</v>
      </c>
      <c r="Z143">
        <v>3</v>
      </c>
      <c r="AA143">
        <v>3</v>
      </c>
      <c r="AB143">
        <v>2</v>
      </c>
      <c r="AC143">
        <v>3</v>
      </c>
      <c r="AD143">
        <v>3</v>
      </c>
      <c r="AE143">
        <v>4</v>
      </c>
      <c r="AF143">
        <v>5</v>
      </c>
      <c r="AG143">
        <v>1</v>
      </c>
      <c r="AH143">
        <v>5</v>
      </c>
      <c r="AI143">
        <v>1</v>
      </c>
      <c r="AJ143">
        <v>1</v>
      </c>
      <c r="AK143" t="b">
        <f>Table7[[#This Row],[What is your age?]]&lt;&gt;"18 - 25"</f>
        <v>0</v>
      </c>
      <c r="AL143" t="b">
        <f t="shared" si="6"/>
        <v>0</v>
      </c>
      <c r="AM143" t="b">
        <f t="shared" si="7"/>
        <v>0</v>
      </c>
      <c r="AN143" t="b">
        <f t="shared" si="8"/>
        <v>0</v>
      </c>
      <c r="AO143" t="b">
        <f>OR(Table7[[#This Row],[Ineligible respondents]:[Inconsistent response on opposite question (3)]])</f>
        <v>0</v>
      </c>
      <c r="AP14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143">
        <f>Table7[[#This Row],[Extreme Response]]/21</f>
        <v>0.19047619047619047</v>
      </c>
      <c r="AR143">
        <f>Table67[[#This Row],[Threshold of ERS]]</f>
        <v>0.61904761904761907</v>
      </c>
      <c r="AS143" t="b">
        <f>Table7[[#This Row],[Extrem Response Ratio (ERS)]]&gt;=Table7[[#This Row],[Threshold of ERS]]</f>
        <v>0</v>
      </c>
      <c r="AT143" t="b" cm="1">
        <f t="array" ref="AT14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43">
        <f>COUNTIF(Table7[[#This Row],[The mechanism of digital assets is difficult to understand, which discourages me from exploring it (E.g, Tokenization, Blockchain)]:[If I want to try different ways to invest, I will explore digital assets.]], 3)</f>
        <v>9</v>
      </c>
      <c r="AV143">
        <f>Table7[[#This Row],[Midpoint]]/21</f>
        <v>0.42857142857142855</v>
      </c>
      <c r="AW143">
        <f>Table67[[#This Row],[Threshold of Midpoint ratio]]</f>
        <v>0.5714285714285714</v>
      </c>
      <c r="AX143" t="b">
        <f>Table7[[#This Row],[Midpoint ratio]]&gt;=Table7[[#This Row],[Threshold of Midpoint ratio]]</f>
        <v>0</v>
      </c>
      <c r="AY143" t="b">
        <f>OR(Table7[[#This Row],[Extreme Response Style]:[Straight-lining with 1 deviation]],Table7[[#This Row],[Mid-point Response Style]])</f>
        <v>0</v>
      </c>
      <c r="AZ143" t="b">
        <f>OR(Table7[[#This Row],[Delete? (Stage 1)]],Table7[[#This Row],[Delete? (Stage 2)]])</f>
        <v>0</v>
      </c>
      <c r="BA143" t="s">
        <v>84</v>
      </c>
    </row>
    <row r="144" spans="1:53">
      <c r="A144">
        <v>681</v>
      </c>
      <c r="B144" s="3">
        <v>46049.737847222197</v>
      </c>
      <c r="C144" s="3">
        <v>46049.7422800926</v>
      </c>
      <c r="D144" t="s">
        <v>53</v>
      </c>
      <c r="G144" t="s">
        <v>54</v>
      </c>
      <c r="H144" t="s">
        <v>63</v>
      </c>
      <c r="I144" t="s">
        <v>71</v>
      </c>
      <c r="J144" t="s">
        <v>57</v>
      </c>
      <c r="K144" t="s">
        <v>57</v>
      </c>
      <c r="L144" t="s">
        <v>58</v>
      </c>
      <c r="M144" t="s">
        <v>58</v>
      </c>
      <c r="N144">
        <v>3</v>
      </c>
      <c r="O144">
        <v>3</v>
      </c>
      <c r="P144">
        <v>3</v>
      </c>
      <c r="Q144">
        <v>4</v>
      </c>
      <c r="R144">
        <v>3</v>
      </c>
      <c r="S144">
        <v>3</v>
      </c>
      <c r="T144">
        <v>4</v>
      </c>
      <c r="U144">
        <v>4</v>
      </c>
      <c r="V144">
        <v>4</v>
      </c>
      <c r="W144">
        <v>4</v>
      </c>
      <c r="X144">
        <v>4</v>
      </c>
      <c r="Y144">
        <v>2</v>
      </c>
      <c r="Z144">
        <v>4</v>
      </c>
      <c r="AA144">
        <v>4</v>
      </c>
      <c r="AB144">
        <v>4</v>
      </c>
      <c r="AC144">
        <v>3</v>
      </c>
      <c r="AD144">
        <v>4</v>
      </c>
      <c r="AE144">
        <v>3</v>
      </c>
      <c r="AF144">
        <v>3</v>
      </c>
      <c r="AG144">
        <v>3</v>
      </c>
      <c r="AH144">
        <v>3</v>
      </c>
      <c r="AI144">
        <v>3</v>
      </c>
      <c r="AJ144">
        <v>3</v>
      </c>
      <c r="AK144" t="b">
        <f>Table7[[#This Row],[What is your age?]]&lt;&gt;"18 - 25"</f>
        <v>0</v>
      </c>
      <c r="AL144" t="b">
        <f t="shared" si="6"/>
        <v>0</v>
      </c>
      <c r="AM144" t="b">
        <f t="shared" si="7"/>
        <v>0</v>
      </c>
      <c r="AN144" t="b">
        <f t="shared" si="8"/>
        <v>0</v>
      </c>
      <c r="AO144" t="b">
        <f>OR(Table7[[#This Row],[Ineligible respondents]:[Inconsistent response on opposite question (3)]])</f>
        <v>0</v>
      </c>
      <c r="AP14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144">
        <f>Table7[[#This Row],[Extreme Response]]/21</f>
        <v>0</v>
      </c>
      <c r="AR144">
        <f>Table67[[#This Row],[Threshold of ERS]]</f>
        <v>0.61904761904761907</v>
      </c>
      <c r="AS144" t="b">
        <f>Table7[[#This Row],[Extrem Response Ratio (ERS)]]&gt;=Table7[[#This Row],[Threshold of ERS]]</f>
        <v>0</v>
      </c>
      <c r="AT144" t="b" cm="1">
        <f t="array" ref="AT14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44">
        <f>COUNTIF(Table7[[#This Row],[The mechanism of digital assets is difficult to understand, which discourages me from exploring it (E.g, Tokenization, Blockchain)]:[If I want to try different ways to invest, I will explore digital assets.]], 3)</f>
        <v>10</v>
      </c>
      <c r="AV144">
        <f>Table7[[#This Row],[Midpoint]]/21</f>
        <v>0.47619047619047616</v>
      </c>
      <c r="AW144">
        <f>Table67[[#This Row],[Threshold of Midpoint ratio]]</f>
        <v>0.5714285714285714</v>
      </c>
      <c r="AX144" t="b">
        <f>Table7[[#This Row],[Midpoint ratio]]&gt;=Table7[[#This Row],[Threshold of Midpoint ratio]]</f>
        <v>0</v>
      </c>
      <c r="AY144" t="b">
        <f>OR(Table7[[#This Row],[Extreme Response Style]:[Straight-lining with 1 deviation]],Table7[[#This Row],[Mid-point Response Style]])</f>
        <v>0</v>
      </c>
      <c r="AZ144" t="b">
        <f>OR(Table7[[#This Row],[Delete? (Stage 1)]],Table7[[#This Row],[Delete? (Stage 2)]])</f>
        <v>0</v>
      </c>
      <c r="BA144" t="s">
        <v>84</v>
      </c>
    </row>
    <row r="145" spans="1:53">
      <c r="A145">
        <v>685</v>
      </c>
      <c r="B145" s="3">
        <v>46049.738541666702</v>
      </c>
      <c r="C145" s="3">
        <v>46049.743136574099</v>
      </c>
      <c r="D145" t="s">
        <v>53</v>
      </c>
      <c r="G145" t="s">
        <v>54</v>
      </c>
      <c r="H145" t="s">
        <v>63</v>
      </c>
      <c r="I145" t="s">
        <v>75</v>
      </c>
      <c r="J145" t="s">
        <v>62</v>
      </c>
      <c r="K145" t="s">
        <v>60</v>
      </c>
      <c r="L145" t="s">
        <v>58</v>
      </c>
      <c r="M145" t="s">
        <v>58</v>
      </c>
      <c r="N145">
        <v>3</v>
      </c>
      <c r="O145">
        <v>1</v>
      </c>
      <c r="P145">
        <v>3</v>
      </c>
      <c r="Q145">
        <v>4</v>
      </c>
      <c r="R145">
        <v>3</v>
      </c>
      <c r="S145">
        <v>5</v>
      </c>
      <c r="T145">
        <v>2</v>
      </c>
      <c r="U145">
        <v>3</v>
      </c>
      <c r="V145">
        <v>4</v>
      </c>
      <c r="W145">
        <v>4</v>
      </c>
      <c r="X145">
        <v>4</v>
      </c>
      <c r="Y145">
        <v>4</v>
      </c>
      <c r="Z145">
        <v>3</v>
      </c>
      <c r="AA145">
        <v>3</v>
      </c>
      <c r="AB145">
        <v>2</v>
      </c>
      <c r="AC145">
        <v>2</v>
      </c>
      <c r="AD145">
        <v>3</v>
      </c>
      <c r="AE145">
        <v>4</v>
      </c>
      <c r="AF145">
        <v>4</v>
      </c>
      <c r="AG145">
        <v>2</v>
      </c>
      <c r="AH145">
        <v>4</v>
      </c>
      <c r="AI145">
        <v>2</v>
      </c>
      <c r="AJ145">
        <v>2</v>
      </c>
      <c r="AK145" t="b">
        <f>Table7[[#This Row],[What is your age?]]&lt;&gt;"18 - 25"</f>
        <v>0</v>
      </c>
      <c r="AL145" t="b">
        <f t="shared" si="6"/>
        <v>0</v>
      </c>
      <c r="AM145" t="b">
        <f t="shared" si="7"/>
        <v>0</v>
      </c>
      <c r="AN145" t="b">
        <f t="shared" si="8"/>
        <v>0</v>
      </c>
      <c r="AO145" t="b">
        <f>OR(Table7[[#This Row],[Ineligible respondents]:[Inconsistent response on opposite question (3)]])</f>
        <v>0</v>
      </c>
      <c r="AP14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145">
        <f>Table7[[#This Row],[Extreme Response]]/21</f>
        <v>9.5238095238095233E-2</v>
      </c>
      <c r="AR145">
        <f>Table67[[#This Row],[Threshold of ERS]]</f>
        <v>0.61904761904761907</v>
      </c>
      <c r="AS145" t="b">
        <f>Table7[[#This Row],[Extrem Response Ratio (ERS)]]&gt;=Table7[[#This Row],[Threshold of ERS]]</f>
        <v>0</v>
      </c>
      <c r="AT145" t="b" cm="1">
        <f t="array" ref="AT14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45">
        <f>COUNTIF(Table7[[#This Row],[The mechanism of digital assets is difficult to understand, which discourages me from exploring it (E.g, Tokenization, Blockchain)]:[If I want to try different ways to invest, I will explore digital assets.]], 3)</f>
        <v>7</v>
      </c>
      <c r="AV145">
        <f>Table7[[#This Row],[Midpoint]]/21</f>
        <v>0.33333333333333331</v>
      </c>
      <c r="AW145">
        <f>Table67[[#This Row],[Threshold of Midpoint ratio]]</f>
        <v>0.5714285714285714</v>
      </c>
      <c r="AX145" t="b">
        <f>Table7[[#This Row],[Midpoint ratio]]&gt;=Table7[[#This Row],[Threshold of Midpoint ratio]]</f>
        <v>0</v>
      </c>
      <c r="AY145" t="b">
        <f>OR(Table7[[#This Row],[Extreme Response Style]:[Straight-lining with 1 deviation]],Table7[[#This Row],[Mid-point Response Style]])</f>
        <v>0</v>
      </c>
      <c r="AZ145" t="b">
        <f>OR(Table7[[#This Row],[Delete? (Stage 1)]],Table7[[#This Row],[Delete? (Stage 2)]])</f>
        <v>0</v>
      </c>
      <c r="BA145" t="s">
        <v>84</v>
      </c>
    </row>
    <row r="146" spans="1:53">
      <c r="A146">
        <v>688</v>
      </c>
      <c r="B146" s="3">
        <v>46049.738888888904</v>
      </c>
      <c r="C146" s="3">
        <v>46049.746782407397</v>
      </c>
      <c r="D146" t="s">
        <v>53</v>
      </c>
      <c r="G146" t="s">
        <v>54</v>
      </c>
      <c r="H146" t="s">
        <v>55</v>
      </c>
      <c r="I146" t="s">
        <v>56</v>
      </c>
      <c r="J146" t="s">
        <v>60</v>
      </c>
      <c r="K146" t="s">
        <v>64</v>
      </c>
      <c r="L146" t="s">
        <v>58</v>
      </c>
      <c r="M146" t="s">
        <v>58</v>
      </c>
      <c r="N146">
        <v>2</v>
      </c>
      <c r="O146">
        <v>2</v>
      </c>
      <c r="P146">
        <v>4</v>
      </c>
      <c r="Q146">
        <v>3</v>
      </c>
      <c r="R146">
        <v>2</v>
      </c>
      <c r="S146">
        <v>4</v>
      </c>
      <c r="T146">
        <v>2</v>
      </c>
      <c r="U146">
        <v>4</v>
      </c>
      <c r="V146">
        <v>2</v>
      </c>
      <c r="W146">
        <v>4</v>
      </c>
      <c r="X146">
        <v>3</v>
      </c>
      <c r="Y146">
        <v>2</v>
      </c>
      <c r="Z146">
        <v>2</v>
      </c>
      <c r="AA146">
        <v>2</v>
      </c>
      <c r="AB146">
        <v>2</v>
      </c>
      <c r="AC146">
        <v>2</v>
      </c>
      <c r="AD146">
        <v>4</v>
      </c>
      <c r="AE146">
        <v>4</v>
      </c>
      <c r="AF146">
        <v>4</v>
      </c>
      <c r="AG146">
        <v>3</v>
      </c>
      <c r="AH146">
        <v>3</v>
      </c>
      <c r="AI146">
        <v>3</v>
      </c>
      <c r="AJ146">
        <v>2</v>
      </c>
      <c r="AK146" t="b">
        <f>Table7[[#This Row],[What is your age?]]&lt;&gt;"18 - 25"</f>
        <v>0</v>
      </c>
      <c r="AL146" t="b">
        <f t="shared" si="6"/>
        <v>0</v>
      </c>
      <c r="AM146" t="b">
        <f t="shared" si="7"/>
        <v>0</v>
      </c>
      <c r="AN146" t="b">
        <f t="shared" si="8"/>
        <v>0</v>
      </c>
      <c r="AO146" t="b">
        <f>OR(Table7[[#This Row],[Ineligible respondents]:[Inconsistent response on opposite question (3)]])</f>
        <v>0</v>
      </c>
      <c r="AP14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146">
        <f>Table7[[#This Row],[Extreme Response]]/21</f>
        <v>0</v>
      </c>
      <c r="AR146">
        <f>Table67[[#This Row],[Threshold of ERS]]</f>
        <v>0.61904761904761907</v>
      </c>
      <c r="AS146" t="b">
        <f>Table7[[#This Row],[Extrem Response Ratio (ERS)]]&gt;=Table7[[#This Row],[Threshold of ERS]]</f>
        <v>0</v>
      </c>
      <c r="AT146" t="b" cm="1">
        <f t="array" ref="AT14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46">
        <f>COUNTIF(Table7[[#This Row],[The mechanism of digital assets is difficult to understand, which discourages me from exploring it (E.g, Tokenization, Blockchain)]:[If I want to try different ways to invest, I will explore digital assets.]], 3)</f>
        <v>4</v>
      </c>
      <c r="AV146">
        <f>Table7[[#This Row],[Midpoint]]/21</f>
        <v>0.19047619047619047</v>
      </c>
      <c r="AW146">
        <f>Table67[[#This Row],[Threshold of Midpoint ratio]]</f>
        <v>0.5714285714285714</v>
      </c>
      <c r="AX146" t="b">
        <f>Table7[[#This Row],[Midpoint ratio]]&gt;=Table7[[#This Row],[Threshold of Midpoint ratio]]</f>
        <v>0</v>
      </c>
      <c r="AY146" t="b">
        <f>OR(Table7[[#This Row],[Extreme Response Style]:[Straight-lining with 1 deviation]],Table7[[#This Row],[Mid-point Response Style]])</f>
        <v>0</v>
      </c>
      <c r="AZ146" t="b">
        <f>OR(Table7[[#This Row],[Delete? (Stage 1)]],Table7[[#This Row],[Delete? (Stage 2)]])</f>
        <v>0</v>
      </c>
      <c r="BA146" t="s">
        <v>84</v>
      </c>
    </row>
    <row r="147" spans="1:53">
      <c r="A147">
        <v>699</v>
      </c>
      <c r="B147" s="3">
        <v>46049.740428240701</v>
      </c>
      <c r="C147" s="3">
        <v>46049.741875</v>
      </c>
      <c r="D147" t="s">
        <v>53</v>
      </c>
      <c r="G147" t="s">
        <v>54</v>
      </c>
      <c r="H147" t="s">
        <v>55</v>
      </c>
      <c r="I147" t="s">
        <v>56</v>
      </c>
      <c r="J147" t="s">
        <v>64</v>
      </c>
      <c r="K147" t="s">
        <v>57</v>
      </c>
      <c r="L147" t="s">
        <v>58</v>
      </c>
      <c r="M147" t="s">
        <v>58</v>
      </c>
      <c r="N147">
        <v>4</v>
      </c>
      <c r="O147">
        <v>2</v>
      </c>
      <c r="P147">
        <v>4</v>
      </c>
      <c r="Q147">
        <v>5</v>
      </c>
      <c r="R147">
        <v>4</v>
      </c>
      <c r="S147">
        <v>4</v>
      </c>
      <c r="T147">
        <v>4</v>
      </c>
      <c r="U147">
        <v>4</v>
      </c>
      <c r="V147">
        <v>4</v>
      </c>
      <c r="W147">
        <v>4</v>
      </c>
      <c r="X147">
        <v>5</v>
      </c>
      <c r="Y147">
        <v>5</v>
      </c>
      <c r="Z147">
        <v>4</v>
      </c>
      <c r="AA147">
        <v>4</v>
      </c>
      <c r="AB147">
        <v>3</v>
      </c>
      <c r="AC147">
        <v>3</v>
      </c>
      <c r="AD147">
        <v>5</v>
      </c>
      <c r="AE147">
        <v>5</v>
      </c>
      <c r="AF147">
        <v>2</v>
      </c>
      <c r="AG147">
        <v>5</v>
      </c>
      <c r="AH147">
        <v>2</v>
      </c>
      <c r="AI147">
        <v>4</v>
      </c>
      <c r="AJ147">
        <v>4</v>
      </c>
      <c r="AK147" t="b">
        <f>Table7[[#This Row],[What is your age?]]&lt;&gt;"18 - 25"</f>
        <v>0</v>
      </c>
      <c r="AL147" t="b">
        <f t="shared" si="6"/>
        <v>0</v>
      </c>
      <c r="AM147" t="b">
        <f t="shared" si="7"/>
        <v>0</v>
      </c>
      <c r="AN147" t="b">
        <f t="shared" si="8"/>
        <v>0</v>
      </c>
      <c r="AO147" t="b">
        <f>OR(Table7[[#This Row],[Ineligible respondents]:[Inconsistent response on opposite question (3)]])</f>
        <v>0</v>
      </c>
      <c r="AP14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6</v>
      </c>
      <c r="AQ147">
        <f>Table7[[#This Row],[Extreme Response]]/21</f>
        <v>0.2857142857142857</v>
      </c>
      <c r="AR147">
        <f>Table67[[#This Row],[Threshold of ERS]]</f>
        <v>0.61904761904761907</v>
      </c>
      <c r="AS147" t="b">
        <f>Table7[[#This Row],[Extrem Response Ratio (ERS)]]&gt;=Table7[[#This Row],[Threshold of ERS]]</f>
        <v>0</v>
      </c>
      <c r="AT147" t="b" cm="1">
        <f t="array" ref="AT14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47">
        <f>COUNTIF(Table7[[#This Row],[The mechanism of digital assets is difficult to understand, which discourages me from exploring it (E.g, Tokenization, Blockchain)]:[If I want to try different ways to invest, I will explore digital assets.]], 3)</f>
        <v>2</v>
      </c>
      <c r="AV147">
        <f>Table7[[#This Row],[Midpoint]]/21</f>
        <v>9.5238095238095233E-2</v>
      </c>
      <c r="AW147">
        <f>Table67[[#This Row],[Threshold of Midpoint ratio]]</f>
        <v>0.5714285714285714</v>
      </c>
      <c r="AX147" t="b">
        <f>Table7[[#This Row],[Midpoint ratio]]&gt;=Table7[[#This Row],[Threshold of Midpoint ratio]]</f>
        <v>0</v>
      </c>
      <c r="AY147" t="b">
        <f>OR(Table7[[#This Row],[Extreme Response Style]:[Straight-lining with 1 deviation]],Table7[[#This Row],[Mid-point Response Style]])</f>
        <v>0</v>
      </c>
      <c r="AZ147" t="b">
        <f>OR(Table7[[#This Row],[Delete? (Stage 1)]],Table7[[#This Row],[Delete? (Stage 2)]])</f>
        <v>0</v>
      </c>
      <c r="BA147" t="s">
        <v>84</v>
      </c>
    </row>
    <row r="148" spans="1:53">
      <c r="A148">
        <v>701</v>
      </c>
      <c r="B148" s="3">
        <v>46049.740810185198</v>
      </c>
      <c r="C148" s="3">
        <v>46049.743587962999</v>
      </c>
      <c r="D148" t="s">
        <v>53</v>
      </c>
      <c r="G148" t="s">
        <v>54</v>
      </c>
      <c r="H148" t="s">
        <v>63</v>
      </c>
      <c r="I148" t="s">
        <v>69</v>
      </c>
      <c r="J148" t="s">
        <v>62</v>
      </c>
      <c r="K148" t="s">
        <v>57</v>
      </c>
      <c r="L148" t="s">
        <v>58</v>
      </c>
      <c r="M148" t="s">
        <v>58</v>
      </c>
      <c r="N148">
        <v>4</v>
      </c>
      <c r="O148">
        <v>4</v>
      </c>
      <c r="P148">
        <v>5</v>
      </c>
      <c r="Q148">
        <v>3</v>
      </c>
      <c r="R148">
        <v>3</v>
      </c>
      <c r="S148">
        <v>4</v>
      </c>
      <c r="T148">
        <v>3</v>
      </c>
      <c r="U148">
        <v>3</v>
      </c>
      <c r="V148">
        <v>4</v>
      </c>
      <c r="W148">
        <v>4</v>
      </c>
      <c r="X148">
        <v>3</v>
      </c>
      <c r="Y148">
        <v>5</v>
      </c>
      <c r="Z148">
        <v>5</v>
      </c>
      <c r="AA148">
        <v>4</v>
      </c>
      <c r="AB148">
        <v>3</v>
      </c>
      <c r="AC148">
        <v>3</v>
      </c>
      <c r="AD148">
        <v>3</v>
      </c>
      <c r="AE148">
        <v>3</v>
      </c>
      <c r="AF148">
        <v>5</v>
      </c>
      <c r="AG148">
        <v>2</v>
      </c>
      <c r="AH148">
        <v>4</v>
      </c>
      <c r="AI148">
        <v>2</v>
      </c>
      <c r="AJ148">
        <v>1</v>
      </c>
      <c r="AK148" t="b">
        <f>Table7[[#This Row],[What is your age?]]&lt;&gt;"18 - 25"</f>
        <v>0</v>
      </c>
      <c r="AL148" t="b">
        <f t="shared" si="6"/>
        <v>0</v>
      </c>
      <c r="AM148" t="b">
        <f t="shared" si="7"/>
        <v>0</v>
      </c>
      <c r="AN148" t="b">
        <f t="shared" si="8"/>
        <v>0</v>
      </c>
      <c r="AO148" t="b">
        <f>OR(Table7[[#This Row],[Ineligible respondents]:[Inconsistent response on opposite question (3)]])</f>
        <v>0</v>
      </c>
      <c r="AP14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148">
        <f>Table7[[#This Row],[Extreme Response]]/21</f>
        <v>0.19047619047619047</v>
      </c>
      <c r="AR148">
        <f>Table67[[#This Row],[Threshold of ERS]]</f>
        <v>0.61904761904761907</v>
      </c>
      <c r="AS148" t="b">
        <f>Table7[[#This Row],[Extrem Response Ratio (ERS)]]&gt;=Table7[[#This Row],[Threshold of ERS]]</f>
        <v>0</v>
      </c>
      <c r="AT148" t="b" cm="1">
        <f t="array" ref="AT14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48">
        <f>COUNTIF(Table7[[#This Row],[The mechanism of digital assets is difficult to understand, which discourages me from exploring it (E.g, Tokenization, Blockchain)]:[If I want to try different ways to invest, I will explore digital assets.]], 3)</f>
        <v>9</v>
      </c>
      <c r="AV148">
        <f>Table7[[#This Row],[Midpoint]]/21</f>
        <v>0.42857142857142855</v>
      </c>
      <c r="AW148">
        <f>Table67[[#This Row],[Threshold of Midpoint ratio]]</f>
        <v>0.5714285714285714</v>
      </c>
      <c r="AX148" t="b">
        <f>Table7[[#This Row],[Midpoint ratio]]&gt;=Table7[[#This Row],[Threshold of Midpoint ratio]]</f>
        <v>0</v>
      </c>
      <c r="AY148" t="b">
        <f>OR(Table7[[#This Row],[Extreme Response Style]:[Straight-lining with 1 deviation]],Table7[[#This Row],[Mid-point Response Style]])</f>
        <v>0</v>
      </c>
      <c r="AZ148" t="b">
        <f>OR(Table7[[#This Row],[Delete? (Stage 1)]],Table7[[#This Row],[Delete? (Stage 2)]])</f>
        <v>0</v>
      </c>
      <c r="BA148" t="s">
        <v>84</v>
      </c>
    </row>
    <row r="149" spans="1:53">
      <c r="A149">
        <v>702</v>
      </c>
      <c r="B149" s="3">
        <v>46049.740833333301</v>
      </c>
      <c r="C149" s="3">
        <v>46049.744768518503</v>
      </c>
      <c r="D149" t="s">
        <v>53</v>
      </c>
      <c r="G149" t="s">
        <v>54</v>
      </c>
      <c r="H149" t="s">
        <v>55</v>
      </c>
      <c r="I149" t="s">
        <v>69</v>
      </c>
      <c r="J149" t="s">
        <v>57</v>
      </c>
      <c r="K149" t="s">
        <v>62</v>
      </c>
      <c r="L149" t="s">
        <v>58</v>
      </c>
      <c r="M149" t="s">
        <v>58</v>
      </c>
      <c r="N149">
        <v>1</v>
      </c>
      <c r="O149">
        <v>1</v>
      </c>
      <c r="P149">
        <v>3</v>
      </c>
      <c r="Q149">
        <v>3</v>
      </c>
      <c r="R149">
        <v>3</v>
      </c>
      <c r="S149">
        <v>2</v>
      </c>
      <c r="T149">
        <v>2</v>
      </c>
      <c r="U149">
        <v>3</v>
      </c>
      <c r="V149">
        <v>2</v>
      </c>
      <c r="W149">
        <v>4</v>
      </c>
      <c r="X149">
        <v>3</v>
      </c>
      <c r="Y149">
        <v>4</v>
      </c>
      <c r="Z149">
        <v>4</v>
      </c>
      <c r="AA149">
        <v>3</v>
      </c>
      <c r="AB149">
        <v>2</v>
      </c>
      <c r="AC149">
        <v>2</v>
      </c>
      <c r="AD149">
        <v>4</v>
      </c>
      <c r="AE149">
        <v>4</v>
      </c>
      <c r="AF149">
        <v>5</v>
      </c>
      <c r="AG149">
        <v>2</v>
      </c>
      <c r="AH149">
        <v>4</v>
      </c>
      <c r="AI149">
        <v>2</v>
      </c>
      <c r="AJ149">
        <v>1</v>
      </c>
      <c r="AK149" t="b">
        <f>Table7[[#This Row],[What is your age?]]&lt;&gt;"18 - 25"</f>
        <v>0</v>
      </c>
      <c r="AL149" t="b">
        <f t="shared" si="6"/>
        <v>0</v>
      </c>
      <c r="AM149" t="b">
        <f t="shared" si="7"/>
        <v>0</v>
      </c>
      <c r="AN149" t="b">
        <f t="shared" si="8"/>
        <v>0</v>
      </c>
      <c r="AO149" t="b">
        <f>OR(Table7[[#This Row],[Ineligible respondents]:[Inconsistent response on opposite question (3)]])</f>
        <v>0</v>
      </c>
      <c r="AP14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149">
        <f>Table7[[#This Row],[Extreme Response]]/21</f>
        <v>0.14285714285714285</v>
      </c>
      <c r="AR149">
        <f>Table67[[#This Row],[Threshold of ERS]]</f>
        <v>0.61904761904761907</v>
      </c>
      <c r="AS149" t="b">
        <f>Table7[[#This Row],[Extrem Response Ratio (ERS)]]&gt;=Table7[[#This Row],[Threshold of ERS]]</f>
        <v>0</v>
      </c>
      <c r="AT149" t="b" cm="1">
        <f t="array" ref="AT14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49">
        <f>COUNTIF(Table7[[#This Row],[The mechanism of digital assets is difficult to understand, which discourages me from exploring it (E.g, Tokenization, Blockchain)]:[If I want to try different ways to invest, I will explore digital assets.]], 3)</f>
        <v>6</v>
      </c>
      <c r="AV149">
        <f>Table7[[#This Row],[Midpoint]]/21</f>
        <v>0.2857142857142857</v>
      </c>
      <c r="AW149">
        <f>Table67[[#This Row],[Threshold of Midpoint ratio]]</f>
        <v>0.5714285714285714</v>
      </c>
      <c r="AX149" t="b">
        <f>Table7[[#This Row],[Midpoint ratio]]&gt;=Table7[[#This Row],[Threshold of Midpoint ratio]]</f>
        <v>0</v>
      </c>
      <c r="AY149" t="b">
        <f>OR(Table7[[#This Row],[Extreme Response Style]:[Straight-lining with 1 deviation]],Table7[[#This Row],[Mid-point Response Style]])</f>
        <v>0</v>
      </c>
      <c r="AZ149" t="b">
        <f>OR(Table7[[#This Row],[Delete? (Stage 1)]],Table7[[#This Row],[Delete? (Stage 2)]])</f>
        <v>0</v>
      </c>
      <c r="BA149" t="s">
        <v>84</v>
      </c>
    </row>
    <row r="150" spans="1:53">
      <c r="A150">
        <v>711</v>
      </c>
      <c r="B150" s="3">
        <v>46049.743159722202</v>
      </c>
      <c r="C150" s="3">
        <v>46049.746504629598</v>
      </c>
      <c r="D150" t="s">
        <v>53</v>
      </c>
      <c r="G150" t="s">
        <v>54</v>
      </c>
      <c r="H150" t="s">
        <v>63</v>
      </c>
      <c r="I150" t="s">
        <v>71</v>
      </c>
      <c r="J150" t="s">
        <v>62</v>
      </c>
      <c r="K150" t="s">
        <v>62</v>
      </c>
      <c r="L150" t="s">
        <v>61</v>
      </c>
      <c r="M150" t="s">
        <v>61</v>
      </c>
      <c r="N150">
        <v>2</v>
      </c>
      <c r="O150">
        <v>2</v>
      </c>
      <c r="P150">
        <v>4</v>
      </c>
      <c r="Q150">
        <v>2</v>
      </c>
      <c r="R150">
        <v>2</v>
      </c>
      <c r="S150">
        <v>2</v>
      </c>
      <c r="T150">
        <v>1</v>
      </c>
      <c r="U150">
        <v>2</v>
      </c>
      <c r="V150">
        <v>4</v>
      </c>
      <c r="W150">
        <v>4</v>
      </c>
      <c r="X150">
        <v>4</v>
      </c>
      <c r="Y150">
        <v>4</v>
      </c>
      <c r="Z150">
        <v>5</v>
      </c>
      <c r="AA150">
        <v>4</v>
      </c>
      <c r="AB150">
        <v>2</v>
      </c>
      <c r="AC150">
        <v>2</v>
      </c>
      <c r="AD150">
        <v>4</v>
      </c>
      <c r="AE150">
        <v>2</v>
      </c>
      <c r="AF150">
        <v>4</v>
      </c>
      <c r="AG150">
        <v>2</v>
      </c>
      <c r="AH150">
        <v>4</v>
      </c>
      <c r="AI150">
        <v>2</v>
      </c>
      <c r="AJ150">
        <v>2</v>
      </c>
      <c r="AK150" t="b">
        <f>Table7[[#This Row],[What is your age?]]&lt;&gt;"18 - 25"</f>
        <v>0</v>
      </c>
      <c r="AL150" t="b">
        <f t="shared" si="6"/>
        <v>0</v>
      </c>
      <c r="AM150" t="b">
        <f t="shared" si="7"/>
        <v>0</v>
      </c>
      <c r="AN150" t="b">
        <f t="shared" si="8"/>
        <v>0</v>
      </c>
      <c r="AO150" t="b">
        <f>OR(Table7[[#This Row],[Ineligible respondents]:[Inconsistent response on opposite question (3)]])</f>
        <v>0</v>
      </c>
      <c r="AP15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150">
        <f>Table7[[#This Row],[Extreme Response]]/21</f>
        <v>9.5238095238095233E-2</v>
      </c>
      <c r="AR150">
        <f>Table67[[#This Row],[Threshold of ERS]]</f>
        <v>0.61904761904761907</v>
      </c>
      <c r="AS150" t="b">
        <f>Table7[[#This Row],[Extrem Response Ratio (ERS)]]&gt;=Table7[[#This Row],[Threshold of ERS]]</f>
        <v>0</v>
      </c>
      <c r="AT150" t="b" cm="1">
        <f t="array" ref="AT15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50">
        <f>COUNTIF(Table7[[#This Row],[The mechanism of digital assets is difficult to understand, which discourages me from exploring it (E.g, Tokenization, Blockchain)]:[If I want to try different ways to invest, I will explore digital assets.]], 3)</f>
        <v>0</v>
      </c>
      <c r="AV150">
        <f>Table7[[#This Row],[Midpoint]]/21</f>
        <v>0</v>
      </c>
      <c r="AW150">
        <f>Table67[[#This Row],[Threshold of Midpoint ratio]]</f>
        <v>0.5714285714285714</v>
      </c>
      <c r="AX150" t="b">
        <f>Table7[[#This Row],[Midpoint ratio]]&gt;=Table7[[#This Row],[Threshold of Midpoint ratio]]</f>
        <v>0</v>
      </c>
      <c r="AY150" t="b">
        <f>OR(Table7[[#This Row],[Extreme Response Style]:[Straight-lining with 1 deviation]],Table7[[#This Row],[Mid-point Response Style]])</f>
        <v>0</v>
      </c>
      <c r="AZ150" t="b">
        <f>OR(Table7[[#This Row],[Delete? (Stage 1)]],Table7[[#This Row],[Delete? (Stage 2)]])</f>
        <v>0</v>
      </c>
      <c r="BA150" t="s">
        <v>84</v>
      </c>
    </row>
    <row r="151" spans="1:53">
      <c r="A151">
        <v>717</v>
      </c>
      <c r="B151" s="3">
        <v>46049.744398148097</v>
      </c>
      <c r="C151" s="3">
        <v>46049.7485185185</v>
      </c>
      <c r="D151" t="s">
        <v>53</v>
      </c>
      <c r="G151" t="s">
        <v>54</v>
      </c>
      <c r="H151" t="s">
        <v>63</v>
      </c>
      <c r="I151" t="s">
        <v>56</v>
      </c>
      <c r="J151" t="s">
        <v>57</v>
      </c>
      <c r="K151" t="s">
        <v>57</v>
      </c>
      <c r="L151" t="s">
        <v>58</v>
      </c>
      <c r="M151" t="s">
        <v>58</v>
      </c>
      <c r="N151">
        <v>4</v>
      </c>
      <c r="O151">
        <v>2</v>
      </c>
      <c r="P151">
        <v>4</v>
      </c>
      <c r="Q151">
        <v>3</v>
      </c>
      <c r="R151">
        <v>4</v>
      </c>
      <c r="S151">
        <v>4</v>
      </c>
      <c r="T151">
        <v>3</v>
      </c>
      <c r="U151">
        <v>3</v>
      </c>
      <c r="V151">
        <v>4</v>
      </c>
      <c r="W151">
        <v>4</v>
      </c>
      <c r="X151">
        <v>4</v>
      </c>
      <c r="Y151">
        <v>5</v>
      </c>
      <c r="Z151">
        <v>4</v>
      </c>
      <c r="AA151">
        <v>4</v>
      </c>
      <c r="AB151">
        <v>3</v>
      </c>
      <c r="AC151">
        <v>3</v>
      </c>
      <c r="AD151">
        <v>4</v>
      </c>
      <c r="AE151">
        <v>5</v>
      </c>
      <c r="AF151">
        <v>4</v>
      </c>
      <c r="AG151">
        <v>3</v>
      </c>
      <c r="AH151">
        <v>3</v>
      </c>
      <c r="AI151">
        <v>3</v>
      </c>
      <c r="AJ151">
        <v>2</v>
      </c>
      <c r="AK151" t="b">
        <f>Table7[[#This Row],[What is your age?]]&lt;&gt;"18 - 25"</f>
        <v>0</v>
      </c>
      <c r="AL151" t="b">
        <f t="shared" si="6"/>
        <v>0</v>
      </c>
      <c r="AM151" t="b">
        <f t="shared" si="7"/>
        <v>0</v>
      </c>
      <c r="AN151" t="b">
        <f t="shared" si="8"/>
        <v>0</v>
      </c>
      <c r="AO151" t="b">
        <f>OR(Table7[[#This Row],[Ineligible respondents]:[Inconsistent response on opposite question (3)]])</f>
        <v>0</v>
      </c>
      <c r="AP15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151">
        <f>Table7[[#This Row],[Extreme Response]]/21</f>
        <v>9.5238095238095233E-2</v>
      </c>
      <c r="AR151">
        <f>Table67[[#This Row],[Threshold of ERS]]</f>
        <v>0.61904761904761907</v>
      </c>
      <c r="AS151" t="b">
        <f>Table7[[#This Row],[Extrem Response Ratio (ERS)]]&gt;=Table7[[#This Row],[Threshold of ERS]]</f>
        <v>0</v>
      </c>
      <c r="AT151" t="b" cm="1">
        <f t="array" ref="AT15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51">
        <f>COUNTIF(Table7[[#This Row],[The mechanism of digital assets is difficult to understand, which discourages me from exploring it (E.g, Tokenization, Blockchain)]:[If I want to try different ways to invest, I will explore digital assets.]], 3)</f>
        <v>7</v>
      </c>
      <c r="AV151">
        <f>Table7[[#This Row],[Midpoint]]/21</f>
        <v>0.33333333333333331</v>
      </c>
      <c r="AW151">
        <f>Table67[[#This Row],[Threshold of Midpoint ratio]]</f>
        <v>0.5714285714285714</v>
      </c>
      <c r="AX151" t="b">
        <f>Table7[[#This Row],[Midpoint ratio]]&gt;=Table7[[#This Row],[Threshold of Midpoint ratio]]</f>
        <v>0</v>
      </c>
      <c r="AY151" t="b">
        <f>OR(Table7[[#This Row],[Extreme Response Style]:[Straight-lining with 1 deviation]],Table7[[#This Row],[Mid-point Response Style]])</f>
        <v>0</v>
      </c>
      <c r="AZ151" t="b">
        <f>OR(Table7[[#This Row],[Delete? (Stage 1)]],Table7[[#This Row],[Delete? (Stage 2)]])</f>
        <v>0</v>
      </c>
      <c r="BA151" t="s">
        <v>84</v>
      </c>
    </row>
    <row r="152" spans="1:53">
      <c r="A152">
        <v>719</v>
      </c>
      <c r="B152" s="3">
        <v>46049.744467592602</v>
      </c>
      <c r="C152" s="3">
        <v>46049.749872685199</v>
      </c>
      <c r="D152" t="s">
        <v>53</v>
      </c>
      <c r="G152" t="s">
        <v>54</v>
      </c>
      <c r="H152" t="s">
        <v>63</v>
      </c>
      <c r="I152" t="s">
        <v>56</v>
      </c>
      <c r="J152" t="s">
        <v>62</v>
      </c>
      <c r="K152" t="s">
        <v>62</v>
      </c>
      <c r="L152" t="s">
        <v>58</v>
      </c>
      <c r="M152" t="s">
        <v>58</v>
      </c>
      <c r="N152">
        <v>3</v>
      </c>
      <c r="O152">
        <v>4</v>
      </c>
      <c r="P152">
        <v>3</v>
      </c>
      <c r="Q152">
        <v>4</v>
      </c>
      <c r="R152">
        <v>3</v>
      </c>
      <c r="S152">
        <v>4</v>
      </c>
      <c r="T152">
        <v>4</v>
      </c>
      <c r="U152">
        <v>5</v>
      </c>
      <c r="V152">
        <v>2</v>
      </c>
      <c r="W152">
        <v>4</v>
      </c>
      <c r="X152">
        <v>3</v>
      </c>
      <c r="Y152">
        <v>5</v>
      </c>
      <c r="Z152">
        <v>3</v>
      </c>
      <c r="AA152">
        <v>5</v>
      </c>
      <c r="AB152">
        <v>5</v>
      </c>
      <c r="AC152">
        <v>5</v>
      </c>
      <c r="AD152">
        <v>3</v>
      </c>
      <c r="AE152">
        <v>3</v>
      </c>
      <c r="AF152">
        <v>1</v>
      </c>
      <c r="AG152">
        <v>5</v>
      </c>
      <c r="AH152">
        <v>1</v>
      </c>
      <c r="AI152">
        <v>5</v>
      </c>
      <c r="AJ152">
        <v>5</v>
      </c>
      <c r="AK152" t="b">
        <f>Table7[[#This Row],[What is your age?]]&lt;&gt;"18 - 25"</f>
        <v>0</v>
      </c>
      <c r="AL152" t="b">
        <f t="shared" si="6"/>
        <v>0</v>
      </c>
      <c r="AM152" t="b">
        <f t="shared" si="7"/>
        <v>0</v>
      </c>
      <c r="AN152" t="b">
        <f t="shared" si="8"/>
        <v>0</v>
      </c>
      <c r="AO152" t="b">
        <f>OR(Table7[[#This Row],[Ineligible respondents]:[Inconsistent response on opposite question (3)]])</f>
        <v>0</v>
      </c>
      <c r="AP15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8</v>
      </c>
      <c r="AQ152">
        <f>Table7[[#This Row],[Extreme Response]]/21</f>
        <v>0.38095238095238093</v>
      </c>
      <c r="AR152">
        <f>Table67[[#This Row],[Threshold of ERS]]</f>
        <v>0.61904761904761907</v>
      </c>
      <c r="AS152" t="b">
        <f>Table7[[#This Row],[Extrem Response Ratio (ERS)]]&gt;=Table7[[#This Row],[Threshold of ERS]]</f>
        <v>0</v>
      </c>
      <c r="AT152" t="b" cm="1">
        <f t="array" ref="AT15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52">
        <f>COUNTIF(Table7[[#This Row],[The mechanism of digital assets is difficult to understand, which discourages me from exploring it (E.g, Tokenization, Blockchain)]:[If I want to try different ways to invest, I will explore digital assets.]], 3)</f>
        <v>7</v>
      </c>
      <c r="AV152">
        <f>Table7[[#This Row],[Midpoint]]/21</f>
        <v>0.33333333333333331</v>
      </c>
      <c r="AW152">
        <f>Table67[[#This Row],[Threshold of Midpoint ratio]]</f>
        <v>0.5714285714285714</v>
      </c>
      <c r="AX152" t="b">
        <f>Table7[[#This Row],[Midpoint ratio]]&gt;=Table7[[#This Row],[Threshold of Midpoint ratio]]</f>
        <v>0</v>
      </c>
      <c r="AY152" t="b">
        <f>OR(Table7[[#This Row],[Extreme Response Style]:[Straight-lining with 1 deviation]],Table7[[#This Row],[Mid-point Response Style]])</f>
        <v>0</v>
      </c>
      <c r="AZ152" t="b">
        <f>OR(Table7[[#This Row],[Delete? (Stage 1)]],Table7[[#This Row],[Delete? (Stage 2)]])</f>
        <v>0</v>
      </c>
      <c r="BA152" t="s">
        <v>84</v>
      </c>
    </row>
    <row r="153" spans="1:53">
      <c r="A153">
        <v>724</v>
      </c>
      <c r="B153" s="3">
        <v>46049.745462963001</v>
      </c>
      <c r="C153" s="3">
        <v>46049.750868055598</v>
      </c>
      <c r="D153" t="s">
        <v>53</v>
      </c>
      <c r="G153" t="s">
        <v>54</v>
      </c>
      <c r="H153" t="s">
        <v>63</v>
      </c>
      <c r="I153" t="s">
        <v>56</v>
      </c>
      <c r="J153" t="s">
        <v>67</v>
      </c>
      <c r="K153" t="s">
        <v>60</v>
      </c>
      <c r="L153" t="s">
        <v>61</v>
      </c>
      <c r="M153" t="s">
        <v>61</v>
      </c>
      <c r="N153">
        <v>4</v>
      </c>
      <c r="O153">
        <v>3</v>
      </c>
      <c r="P153">
        <v>5</v>
      </c>
      <c r="Q153">
        <v>4</v>
      </c>
      <c r="R153">
        <v>3</v>
      </c>
      <c r="S153">
        <v>4</v>
      </c>
      <c r="T153">
        <v>4</v>
      </c>
      <c r="U153">
        <v>4</v>
      </c>
      <c r="V153">
        <v>5</v>
      </c>
      <c r="W153">
        <v>5</v>
      </c>
      <c r="X153">
        <v>3</v>
      </c>
      <c r="Y153">
        <v>5</v>
      </c>
      <c r="Z153">
        <v>4</v>
      </c>
      <c r="AA153">
        <v>4</v>
      </c>
      <c r="AB153">
        <v>2</v>
      </c>
      <c r="AC153">
        <v>3</v>
      </c>
      <c r="AD153">
        <v>4</v>
      </c>
      <c r="AE153">
        <v>4</v>
      </c>
      <c r="AF153">
        <v>5</v>
      </c>
      <c r="AG153">
        <v>2</v>
      </c>
      <c r="AH153">
        <v>4</v>
      </c>
      <c r="AI153">
        <v>2</v>
      </c>
      <c r="AJ153">
        <v>1</v>
      </c>
      <c r="AK153" t="b">
        <f>Table7[[#This Row],[What is your age?]]&lt;&gt;"18 - 25"</f>
        <v>0</v>
      </c>
      <c r="AL153" t="b">
        <f t="shared" si="6"/>
        <v>0</v>
      </c>
      <c r="AM153" t="b">
        <f t="shared" si="7"/>
        <v>0</v>
      </c>
      <c r="AN153" t="b">
        <f t="shared" si="8"/>
        <v>0</v>
      </c>
      <c r="AO153" t="b">
        <f>OR(Table7[[#This Row],[Ineligible respondents]:[Inconsistent response on opposite question (3)]])</f>
        <v>0</v>
      </c>
      <c r="AP15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5</v>
      </c>
      <c r="AQ153">
        <f>Table7[[#This Row],[Extreme Response]]/21</f>
        <v>0.23809523809523808</v>
      </c>
      <c r="AR153">
        <f>Table67[[#This Row],[Threshold of ERS]]</f>
        <v>0.61904761904761907</v>
      </c>
      <c r="AS153" t="b">
        <f>Table7[[#This Row],[Extrem Response Ratio (ERS)]]&gt;=Table7[[#This Row],[Threshold of ERS]]</f>
        <v>0</v>
      </c>
      <c r="AT153" t="b" cm="1">
        <f t="array" ref="AT15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53">
        <f>COUNTIF(Table7[[#This Row],[The mechanism of digital assets is difficult to understand, which discourages me from exploring it (E.g, Tokenization, Blockchain)]:[If I want to try different ways to invest, I will explore digital assets.]], 3)</f>
        <v>4</v>
      </c>
      <c r="AV153">
        <f>Table7[[#This Row],[Midpoint]]/21</f>
        <v>0.19047619047619047</v>
      </c>
      <c r="AW153">
        <f>Table67[[#This Row],[Threshold of Midpoint ratio]]</f>
        <v>0.5714285714285714</v>
      </c>
      <c r="AX153" t="b">
        <f>Table7[[#This Row],[Midpoint ratio]]&gt;=Table7[[#This Row],[Threshold of Midpoint ratio]]</f>
        <v>0</v>
      </c>
      <c r="AY153" t="b">
        <f>OR(Table7[[#This Row],[Extreme Response Style]:[Straight-lining with 1 deviation]],Table7[[#This Row],[Mid-point Response Style]])</f>
        <v>0</v>
      </c>
      <c r="AZ153" t="b">
        <f>OR(Table7[[#This Row],[Delete? (Stage 1)]],Table7[[#This Row],[Delete? (Stage 2)]])</f>
        <v>0</v>
      </c>
      <c r="BA153" t="s">
        <v>84</v>
      </c>
    </row>
    <row r="154" spans="1:53">
      <c r="A154">
        <v>726</v>
      </c>
      <c r="B154" s="3">
        <v>46049.745694444398</v>
      </c>
      <c r="C154" s="3">
        <v>46049.7547106481</v>
      </c>
      <c r="D154" t="s">
        <v>53</v>
      </c>
      <c r="G154" t="s">
        <v>54</v>
      </c>
      <c r="H154" t="s">
        <v>63</v>
      </c>
      <c r="I154" t="s">
        <v>71</v>
      </c>
      <c r="J154" t="s">
        <v>62</v>
      </c>
      <c r="K154" t="s">
        <v>57</v>
      </c>
      <c r="L154" t="s">
        <v>58</v>
      </c>
      <c r="M154" t="s">
        <v>58</v>
      </c>
      <c r="N154">
        <v>3</v>
      </c>
      <c r="O154">
        <v>2</v>
      </c>
      <c r="P154">
        <v>4</v>
      </c>
      <c r="Q154">
        <v>3</v>
      </c>
      <c r="R154">
        <v>4</v>
      </c>
      <c r="S154">
        <v>2</v>
      </c>
      <c r="T154">
        <v>4</v>
      </c>
      <c r="U154">
        <v>5</v>
      </c>
      <c r="V154">
        <v>5</v>
      </c>
      <c r="W154">
        <v>5</v>
      </c>
      <c r="X154">
        <v>5</v>
      </c>
      <c r="Y154">
        <v>5</v>
      </c>
      <c r="Z154">
        <v>5</v>
      </c>
      <c r="AA154">
        <v>4</v>
      </c>
      <c r="AB154">
        <v>5</v>
      </c>
      <c r="AC154">
        <v>5</v>
      </c>
      <c r="AD154">
        <v>5</v>
      </c>
      <c r="AE154">
        <v>4</v>
      </c>
      <c r="AF154">
        <v>2</v>
      </c>
      <c r="AG154">
        <v>4</v>
      </c>
      <c r="AH154">
        <v>2</v>
      </c>
      <c r="AI154">
        <v>4</v>
      </c>
      <c r="AJ154">
        <v>4</v>
      </c>
      <c r="AK154" t="b">
        <f>Table7[[#This Row],[What is your age?]]&lt;&gt;"18 - 25"</f>
        <v>0</v>
      </c>
      <c r="AL154" t="b">
        <f t="shared" si="6"/>
        <v>0</v>
      </c>
      <c r="AM154" t="b">
        <f t="shared" si="7"/>
        <v>0</v>
      </c>
      <c r="AN154" t="b">
        <f t="shared" si="8"/>
        <v>0</v>
      </c>
      <c r="AO154" t="b">
        <f>OR(Table7[[#This Row],[Ineligible respondents]:[Inconsistent response on opposite question (3)]])</f>
        <v>0</v>
      </c>
      <c r="AP15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9</v>
      </c>
      <c r="AQ154">
        <f>Table7[[#This Row],[Extreme Response]]/21</f>
        <v>0.42857142857142855</v>
      </c>
      <c r="AR154">
        <f>Table67[[#This Row],[Threshold of ERS]]</f>
        <v>0.61904761904761907</v>
      </c>
      <c r="AS154" t="b">
        <f>Table7[[#This Row],[Extrem Response Ratio (ERS)]]&gt;=Table7[[#This Row],[Threshold of ERS]]</f>
        <v>0</v>
      </c>
      <c r="AT154" t="b" cm="1">
        <f t="array" ref="AT15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54">
        <f>COUNTIF(Table7[[#This Row],[The mechanism of digital assets is difficult to understand, which discourages me from exploring it (E.g, Tokenization, Blockchain)]:[If I want to try different ways to invest, I will explore digital assets.]], 3)</f>
        <v>2</v>
      </c>
      <c r="AV154">
        <f>Table7[[#This Row],[Midpoint]]/21</f>
        <v>9.5238095238095233E-2</v>
      </c>
      <c r="AW154">
        <f>Table67[[#This Row],[Threshold of Midpoint ratio]]</f>
        <v>0.5714285714285714</v>
      </c>
      <c r="AX154" t="b">
        <f>Table7[[#This Row],[Midpoint ratio]]&gt;=Table7[[#This Row],[Threshold of Midpoint ratio]]</f>
        <v>0</v>
      </c>
      <c r="AY154" t="b">
        <f>OR(Table7[[#This Row],[Extreme Response Style]:[Straight-lining with 1 deviation]],Table7[[#This Row],[Mid-point Response Style]])</f>
        <v>0</v>
      </c>
      <c r="AZ154" t="b">
        <f>OR(Table7[[#This Row],[Delete? (Stage 1)]],Table7[[#This Row],[Delete? (Stage 2)]])</f>
        <v>0</v>
      </c>
      <c r="BA154" t="s">
        <v>84</v>
      </c>
    </row>
    <row r="155" spans="1:53">
      <c r="A155">
        <v>728</v>
      </c>
      <c r="B155" s="3">
        <v>46049.746076388903</v>
      </c>
      <c r="C155" s="3">
        <v>46049.757488425901</v>
      </c>
      <c r="D155" t="s">
        <v>53</v>
      </c>
      <c r="G155" t="s">
        <v>54</v>
      </c>
      <c r="H155" t="s">
        <v>55</v>
      </c>
      <c r="I155" t="s">
        <v>56</v>
      </c>
      <c r="J155" t="s">
        <v>62</v>
      </c>
      <c r="K155" t="s">
        <v>62</v>
      </c>
      <c r="L155" t="s">
        <v>61</v>
      </c>
      <c r="M155" t="s">
        <v>58</v>
      </c>
      <c r="N155">
        <v>1</v>
      </c>
      <c r="O155">
        <v>1</v>
      </c>
      <c r="P155">
        <v>2</v>
      </c>
      <c r="Q155">
        <v>1</v>
      </c>
      <c r="R155">
        <v>2</v>
      </c>
      <c r="S155">
        <v>2</v>
      </c>
      <c r="T155">
        <v>1</v>
      </c>
      <c r="U155">
        <v>2</v>
      </c>
      <c r="V155">
        <v>2</v>
      </c>
      <c r="W155">
        <v>3</v>
      </c>
      <c r="X155">
        <v>3</v>
      </c>
      <c r="Y155">
        <v>2</v>
      </c>
      <c r="Z155">
        <v>5</v>
      </c>
      <c r="AA155">
        <v>2</v>
      </c>
      <c r="AB155">
        <v>2</v>
      </c>
      <c r="AC155">
        <v>2</v>
      </c>
      <c r="AD155">
        <v>4</v>
      </c>
      <c r="AE155">
        <v>4</v>
      </c>
      <c r="AF155">
        <v>5</v>
      </c>
      <c r="AG155">
        <v>2</v>
      </c>
      <c r="AH155">
        <v>4</v>
      </c>
      <c r="AI155">
        <v>2</v>
      </c>
      <c r="AJ155">
        <v>1</v>
      </c>
      <c r="AK155" t="b">
        <f>Table7[[#This Row],[What is your age?]]&lt;&gt;"18 - 25"</f>
        <v>0</v>
      </c>
      <c r="AL155" t="b">
        <f t="shared" si="6"/>
        <v>0</v>
      </c>
      <c r="AM155" t="b">
        <f t="shared" si="7"/>
        <v>0</v>
      </c>
      <c r="AN155" t="b">
        <f t="shared" si="8"/>
        <v>0</v>
      </c>
      <c r="AO155" t="b">
        <f>OR(Table7[[#This Row],[Ineligible respondents]:[Inconsistent response on opposite question (3)]])</f>
        <v>0</v>
      </c>
      <c r="AP15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6</v>
      </c>
      <c r="AQ155">
        <f>Table7[[#This Row],[Extreme Response]]/21</f>
        <v>0.2857142857142857</v>
      </c>
      <c r="AR155">
        <f>Table67[[#This Row],[Threshold of ERS]]</f>
        <v>0.61904761904761907</v>
      </c>
      <c r="AS155" t="b">
        <f>Table7[[#This Row],[Extrem Response Ratio (ERS)]]&gt;=Table7[[#This Row],[Threshold of ERS]]</f>
        <v>0</v>
      </c>
      <c r="AT155" t="b" cm="1">
        <f t="array" ref="AT15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55">
        <f>COUNTIF(Table7[[#This Row],[The mechanism of digital assets is difficult to understand, which discourages me from exploring it (E.g, Tokenization, Blockchain)]:[If I want to try different ways to invest, I will explore digital assets.]], 3)</f>
        <v>2</v>
      </c>
      <c r="AV155">
        <f>Table7[[#This Row],[Midpoint]]/21</f>
        <v>9.5238095238095233E-2</v>
      </c>
      <c r="AW155">
        <f>Table67[[#This Row],[Threshold of Midpoint ratio]]</f>
        <v>0.5714285714285714</v>
      </c>
      <c r="AX155" t="b">
        <f>Table7[[#This Row],[Midpoint ratio]]&gt;=Table7[[#This Row],[Threshold of Midpoint ratio]]</f>
        <v>0</v>
      </c>
      <c r="AY155" t="b">
        <f>OR(Table7[[#This Row],[Extreme Response Style]:[Straight-lining with 1 deviation]],Table7[[#This Row],[Mid-point Response Style]])</f>
        <v>0</v>
      </c>
      <c r="AZ155" t="b">
        <f>OR(Table7[[#This Row],[Delete? (Stage 1)]],Table7[[#This Row],[Delete? (Stage 2)]])</f>
        <v>0</v>
      </c>
      <c r="BA155" t="s">
        <v>84</v>
      </c>
    </row>
    <row r="156" spans="1:53">
      <c r="A156">
        <v>732</v>
      </c>
      <c r="B156" s="3">
        <v>46049.747800925899</v>
      </c>
      <c r="C156" s="3">
        <v>46049.750254629602</v>
      </c>
      <c r="D156" t="s">
        <v>53</v>
      </c>
      <c r="G156" t="s">
        <v>54</v>
      </c>
      <c r="H156" t="s">
        <v>55</v>
      </c>
      <c r="I156" t="s">
        <v>56</v>
      </c>
      <c r="J156" t="s">
        <v>57</v>
      </c>
      <c r="K156" t="s">
        <v>57</v>
      </c>
      <c r="L156" t="s">
        <v>58</v>
      </c>
      <c r="M156" t="s">
        <v>58</v>
      </c>
      <c r="N156">
        <v>2</v>
      </c>
      <c r="O156">
        <v>1</v>
      </c>
      <c r="P156">
        <v>4</v>
      </c>
      <c r="Q156">
        <v>3</v>
      </c>
      <c r="R156">
        <v>3</v>
      </c>
      <c r="S156">
        <v>3</v>
      </c>
      <c r="T156">
        <v>4</v>
      </c>
      <c r="U156">
        <v>5</v>
      </c>
      <c r="V156">
        <v>4</v>
      </c>
      <c r="W156">
        <v>3</v>
      </c>
      <c r="X156">
        <v>3</v>
      </c>
      <c r="Y156">
        <v>3</v>
      </c>
      <c r="Z156">
        <v>4</v>
      </c>
      <c r="AA156">
        <v>4</v>
      </c>
      <c r="AB156">
        <v>4</v>
      </c>
      <c r="AC156">
        <v>4</v>
      </c>
      <c r="AD156">
        <v>4</v>
      </c>
      <c r="AE156">
        <v>4</v>
      </c>
      <c r="AF156">
        <v>2</v>
      </c>
      <c r="AG156">
        <v>4</v>
      </c>
      <c r="AH156">
        <v>2</v>
      </c>
      <c r="AI156">
        <v>4</v>
      </c>
      <c r="AJ156">
        <v>4</v>
      </c>
      <c r="AK156" t="b">
        <f>Table7[[#This Row],[What is your age?]]&lt;&gt;"18 - 25"</f>
        <v>0</v>
      </c>
      <c r="AL156" t="b">
        <f t="shared" si="6"/>
        <v>0</v>
      </c>
      <c r="AM156" t="b">
        <f t="shared" si="7"/>
        <v>0</v>
      </c>
      <c r="AN156" t="b">
        <f t="shared" si="8"/>
        <v>0</v>
      </c>
      <c r="AO156" t="b">
        <f>OR(Table7[[#This Row],[Ineligible respondents]:[Inconsistent response on opposite question (3)]])</f>
        <v>0</v>
      </c>
      <c r="AP15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156">
        <f>Table7[[#This Row],[Extreme Response]]/21</f>
        <v>9.5238095238095233E-2</v>
      </c>
      <c r="AR156">
        <f>Table67[[#This Row],[Threshold of ERS]]</f>
        <v>0.61904761904761907</v>
      </c>
      <c r="AS156" t="b">
        <f>Table7[[#This Row],[Extrem Response Ratio (ERS)]]&gt;=Table7[[#This Row],[Threshold of ERS]]</f>
        <v>0</v>
      </c>
      <c r="AT156" t="b" cm="1">
        <f t="array" ref="AT15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56">
        <f>COUNTIF(Table7[[#This Row],[The mechanism of digital assets is difficult to understand, which discourages me from exploring it (E.g, Tokenization, Blockchain)]:[If I want to try different ways to invest, I will explore digital assets.]], 3)</f>
        <v>6</v>
      </c>
      <c r="AV156">
        <f>Table7[[#This Row],[Midpoint]]/21</f>
        <v>0.2857142857142857</v>
      </c>
      <c r="AW156">
        <f>Table67[[#This Row],[Threshold of Midpoint ratio]]</f>
        <v>0.5714285714285714</v>
      </c>
      <c r="AX156" t="b">
        <f>Table7[[#This Row],[Midpoint ratio]]&gt;=Table7[[#This Row],[Threshold of Midpoint ratio]]</f>
        <v>0</v>
      </c>
      <c r="AY156" t="b">
        <f>OR(Table7[[#This Row],[Extreme Response Style]:[Straight-lining with 1 deviation]],Table7[[#This Row],[Mid-point Response Style]])</f>
        <v>0</v>
      </c>
      <c r="AZ156" t="b">
        <f>OR(Table7[[#This Row],[Delete? (Stage 1)]],Table7[[#This Row],[Delete? (Stage 2)]])</f>
        <v>0</v>
      </c>
      <c r="BA156" t="s">
        <v>84</v>
      </c>
    </row>
    <row r="157" spans="1:53">
      <c r="A157">
        <v>735</v>
      </c>
      <c r="B157" s="3">
        <v>46049.748310185198</v>
      </c>
      <c r="C157" s="3">
        <v>46049.750208333302</v>
      </c>
      <c r="D157" t="s">
        <v>53</v>
      </c>
      <c r="G157" t="s">
        <v>54</v>
      </c>
      <c r="H157" t="s">
        <v>55</v>
      </c>
      <c r="I157" t="s">
        <v>56</v>
      </c>
      <c r="J157" t="s">
        <v>60</v>
      </c>
      <c r="K157" t="s">
        <v>67</v>
      </c>
      <c r="L157" t="s">
        <v>58</v>
      </c>
      <c r="M157" t="s">
        <v>58</v>
      </c>
      <c r="N157">
        <v>1</v>
      </c>
      <c r="O157">
        <v>1</v>
      </c>
      <c r="P157">
        <v>4</v>
      </c>
      <c r="Q157">
        <v>1</v>
      </c>
      <c r="R157">
        <v>1</v>
      </c>
      <c r="S157">
        <v>1</v>
      </c>
      <c r="T157">
        <v>4</v>
      </c>
      <c r="U157">
        <v>4</v>
      </c>
      <c r="V157">
        <v>2</v>
      </c>
      <c r="W157">
        <v>2</v>
      </c>
      <c r="X157">
        <v>3</v>
      </c>
      <c r="Y157">
        <v>2</v>
      </c>
      <c r="Z157">
        <v>4</v>
      </c>
      <c r="AA157">
        <v>3</v>
      </c>
      <c r="AB157">
        <v>1</v>
      </c>
      <c r="AC157">
        <v>1</v>
      </c>
      <c r="AD157">
        <v>4</v>
      </c>
      <c r="AE157">
        <v>4</v>
      </c>
      <c r="AF157">
        <v>4</v>
      </c>
      <c r="AG157">
        <v>1</v>
      </c>
      <c r="AH157">
        <v>4</v>
      </c>
      <c r="AI157">
        <v>2</v>
      </c>
      <c r="AJ157">
        <v>2</v>
      </c>
      <c r="AK157" t="b">
        <f>Table7[[#This Row],[What is your age?]]&lt;&gt;"18 - 25"</f>
        <v>0</v>
      </c>
      <c r="AL157" t="b">
        <f t="shared" si="6"/>
        <v>0</v>
      </c>
      <c r="AM157" t="b">
        <f t="shared" si="7"/>
        <v>0</v>
      </c>
      <c r="AN157" t="b">
        <f t="shared" si="8"/>
        <v>0</v>
      </c>
      <c r="AO157" t="b">
        <f>OR(Table7[[#This Row],[Ineligible respondents]:[Inconsistent response on opposite question (3)]])</f>
        <v>0</v>
      </c>
      <c r="AP15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8</v>
      </c>
      <c r="AQ157">
        <f>Table7[[#This Row],[Extreme Response]]/21</f>
        <v>0.38095238095238093</v>
      </c>
      <c r="AR157">
        <f>Table67[[#This Row],[Threshold of ERS]]</f>
        <v>0.61904761904761907</v>
      </c>
      <c r="AS157" t="b">
        <f>Table7[[#This Row],[Extrem Response Ratio (ERS)]]&gt;=Table7[[#This Row],[Threshold of ERS]]</f>
        <v>0</v>
      </c>
      <c r="AT157" t="b" cm="1">
        <f t="array" ref="AT15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57">
        <f>COUNTIF(Table7[[#This Row],[The mechanism of digital assets is difficult to understand, which discourages me from exploring it (E.g, Tokenization, Blockchain)]:[If I want to try different ways to invest, I will explore digital assets.]], 3)</f>
        <v>2</v>
      </c>
      <c r="AV157">
        <f>Table7[[#This Row],[Midpoint]]/21</f>
        <v>9.5238095238095233E-2</v>
      </c>
      <c r="AW157">
        <f>Table67[[#This Row],[Threshold of Midpoint ratio]]</f>
        <v>0.5714285714285714</v>
      </c>
      <c r="AX157" t="b">
        <f>Table7[[#This Row],[Midpoint ratio]]&gt;=Table7[[#This Row],[Threshold of Midpoint ratio]]</f>
        <v>0</v>
      </c>
      <c r="AY157" t="b">
        <f>OR(Table7[[#This Row],[Extreme Response Style]:[Straight-lining with 1 deviation]],Table7[[#This Row],[Mid-point Response Style]])</f>
        <v>0</v>
      </c>
      <c r="AZ157" t="b">
        <f>OR(Table7[[#This Row],[Delete? (Stage 1)]],Table7[[#This Row],[Delete? (Stage 2)]])</f>
        <v>0</v>
      </c>
      <c r="BA157" t="s">
        <v>84</v>
      </c>
    </row>
    <row r="158" spans="1:53">
      <c r="A158">
        <v>747</v>
      </c>
      <c r="B158" s="3">
        <v>46049.751203703701</v>
      </c>
      <c r="C158" s="3">
        <v>46049.756446759297</v>
      </c>
      <c r="D158" t="s">
        <v>53</v>
      </c>
      <c r="G158" t="s">
        <v>54</v>
      </c>
      <c r="H158" t="s">
        <v>55</v>
      </c>
      <c r="I158" t="s">
        <v>71</v>
      </c>
      <c r="J158" t="s">
        <v>62</v>
      </c>
      <c r="K158" t="s">
        <v>62</v>
      </c>
      <c r="L158" t="s">
        <v>58</v>
      </c>
      <c r="M158" t="s">
        <v>61</v>
      </c>
      <c r="N158">
        <v>3</v>
      </c>
      <c r="O158">
        <v>3</v>
      </c>
      <c r="P158">
        <v>3</v>
      </c>
      <c r="Q158">
        <v>4</v>
      </c>
      <c r="R158">
        <v>4</v>
      </c>
      <c r="S158">
        <v>4</v>
      </c>
      <c r="T158">
        <v>4</v>
      </c>
      <c r="U158">
        <v>4</v>
      </c>
      <c r="V158">
        <v>2</v>
      </c>
      <c r="W158">
        <v>3</v>
      </c>
      <c r="X158">
        <v>2</v>
      </c>
      <c r="Y158">
        <v>2</v>
      </c>
      <c r="Z158">
        <v>4</v>
      </c>
      <c r="AA158">
        <v>4</v>
      </c>
      <c r="AB158">
        <v>2</v>
      </c>
      <c r="AC158">
        <v>4</v>
      </c>
      <c r="AD158">
        <v>2</v>
      </c>
      <c r="AE158">
        <v>4</v>
      </c>
      <c r="AF158">
        <v>5</v>
      </c>
      <c r="AG158">
        <v>3</v>
      </c>
      <c r="AH158">
        <v>3</v>
      </c>
      <c r="AI158">
        <v>3</v>
      </c>
      <c r="AJ158">
        <v>1</v>
      </c>
      <c r="AK158" t="b">
        <f>Table7[[#This Row],[What is your age?]]&lt;&gt;"18 - 25"</f>
        <v>0</v>
      </c>
      <c r="AL158" t="b">
        <f t="shared" si="6"/>
        <v>0</v>
      </c>
      <c r="AM158" t="b">
        <f t="shared" si="7"/>
        <v>0</v>
      </c>
      <c r="AN158" t="b">
        <f t="shared" si="8"/>
        <v>0</v>
      </c>
      <c r="AO158" t="b">
        <f>OR(Table7[[#This Row],[Ineligible respondents]:[Inconsistent response on opposite question (3)]])</f>
        <v>0</v>
      </c>
      <c r="AP15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158">
        <f>Table7[[#This Row],[Extreme Response]]/21</f>
        <v>4.7619047619047616E-2</v>
      </c>
      <c r="AR158">
        <f>Table67[[#This Row],[Threshold of ERS]]</f>
        <v>0.61904761904761907</v>
      </c>
      <c r="AS158" t="b">
        <f>Table7[[#This Row],[Extrem Response Ratio (ERS)]]&gt;=Table7[[#This Row],[Threshold of ERS]]</f>
        <v>0</v>
      </c>
      <c r="AT158" t="b" cm="1">
        <f t="array" ref="AT15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58">
        <f>COUNTIF(Table7[[#This Row],[The mechanism of digital assets is difficult to understand, which discourages me from exploring it (E.g, Tokenization, Blockchain)]:[If I want to try different ways to invest, I will explore digital assets.]], 3)</f>
        <v>6</v>
      </c>
      <c r="AV158">
        <f>Table7[[#This Row],[Midpoint]]/21</f>
        <v>0.2857142857142857</v>
      </c>
      <c r="AW158">
        <f>Table67[[#This Row],[Threshold of Midpoint ratio]]</f>
        <v>0.5714285714285714</v>
      </c>
      <c r="AX158" t="b">
        <f>Table7[[#This Row],[Midpoint ratio]]&gt;=Table7[[#This Row],[Threshold of Midpoint ratio]]</f>
        <v>0</v>
      </c>
      <c r="AY158" t="b">
        <f>OR(Table7[[#This Row],[Extreme Response Style]:[Straight-lining with 1 deviation]],Table7[[#This Row],[Mid-point Response Style]])</f>
        <v>0</v>
      </c>
      <c r="AZ158" t="b">
        <f>OR(Table7[[#This Row],[Delete? (Stage 1)]],Table7[[#This Row],[Delete? (Stage 2)]])</f>
        <v>0</v>
      </c>
      <c r="BA158" t="s">
        <v>84</v>
      </c>
    </row>
    <row r="159" spans="1:53">
      <c r="A159">
        <v>754</v>
      </c>
      <c r="B159" s="3">
        <v>46049.753402777802</v>
      </c>
      <c r="C159" s="3">
        <v>46049.760462963</v>
      </c>
      <c r="D159" t="s">
        <v>53</v>
      </c>
      <c r="G159" t="s">
        <v>54</v>
      </c>
      <c r="H159" t="s">
        <v>55</v>
      </c>
      <c r="I159" t="s">
        <v>69</v>
      </c>
      <c r="J159" t="s">
        <v>57</v>
      </c>
      <c r="K159" t="s">
        <v>57</v>
      </c>
      <c r="L159" t="s">
        <v>58</v>
      </c>
      <c r="M159" t="s">
        <v>58</v>
      </c>
      <c r="N159">
        <v>4</v>
      </c>
      <c r="O159">
        <v>2</v>
      </c>
      <c r="P159">
        <v>4</v>
      </c>
      <c r="Q159">
        <v>3</v>
      </c>
      <c r="R159">
        <v>4</v>
      </c>
      <c r="S159">
        <v>5</v>
      </c>
      <c r="T159">
        <v>3</v>
      </c>
      <c r="U159">
        <v>4</v>
      </c>
      <c r="V159">
        <v>2</v>
      </c>
      <c r="W159">
        <v>4</v>
      </c>
      <c r="X159">
        <v>4</v>
      </c>
      <c r="Y159">
        <v>3</v>
      </c>
      <c r="Z159">
        <v>4</v>
      </c>
      <c r="AA159">
        <v>4</v>
      </c>
      <c r="AB159">
        <v>3</v>
      </c>
      <c r="AC159">
        <v>4</v>
      </c>
      <c r="AD159">
        <v>5</v>
      </c>
      <c r="AE159">
        <v>4</v>
      </c>
      <c r="AF159">
        <v>2</v>
      </c>
      <c r="AG159">
        <v>4</v>
      </c>
      <c r="AH159">
        <v>2</v>
      </c>
      <c r="AI159">
        <v>4</v>
      </c>
      <c r="AJ159">
        <v>4</v>
      </c>
      <c r="AK159" t="b">
        <f>Table7[[#This Row],[What is your age?]]&lt;&gt;"18 - 25"</f>
        <v>0</v>
      </c>
      <c r="AL159" t="b">
        <f t="shared" si="6"/>
        <v>0</v>
      </c>
      <c r="AM159" t="b">
        <f t="shared" si="7"/>
        <v>0</v>
      </c>
      <c r="AN159" t="b">
        <f t="shared" si="8"/>
        <v>0</v>
      </c>
      <c r="AO159" t="b">
        <f>OR(Table7[[#This Row],[Ineligible respondents]:[Inconsistent response on opposite question (3)]])</f>
        <v>0</v>
      </c>
      <c r="AP15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159">
        <f>Table7[[#This Row],[Extreme Response]]/21</f>
        <v>9.5238095238095233E-2</v>
      </c>
      <c r="AR159">
        <f>Table67[[#This Row],[Threshold of ERS]]</f>
        <v>0.61904761904761907</v>
      </c>
      <c r="AS159" t="b">
        <f>Table7[[#This Row],[Extrem Response Ratio (ERS)]]&gt;=Table7[[#This Row],[Threshold of ERS]]</f>
        <v>0</v>
      </c>
      <c r="AT159" t="b" cm="1">
        <f t="array" ref="AT15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59">
        <f>COUNTIF(Table7[[#This Row],[The mechanism of digital assets is difficult to understand, which discourages me from exploring it (E.g, Tokenization, Blockchain)]:[If I want to try different ways to invest, I will explore digital assets.]], 3)</f>
        <v>4</v>
      </c>
      <c r="AV159">
        <f>Table7[[#This Row],[Midpoint]]/21</f>
        <v>0.19047619047619047</v>
      </c>
      <c r="AW159">
        <f>Table67[[#This Row],[Threshold of Midpoint ratio]]</f>
        <v>0.5714285714285714</v>
      </c>
      <c r="AX159" t="b">
        <f>Table7[[#This Row],[Midpoint ratio]]&gt;=Table7[[#This Row],[Threshold of Midpoint ratio]]</f>
        <v>0</v>
      </c>
      <c r="AY159" t="b">
        <f>OR(Table7[[#This Row],[Extreme Response Style]:[Straight-lining with 1 deviation]],Table7[[#This Row],[Mid-point Response Style]])</f>
        <v>0</v>
      </c>
      <c r="AZ159" t="b">
        <f>OR(Table7[[#This Row],[Delete? (Stage 1)]],Table7[[#This Row],[Delete? (Stage 2)]])</f>
        <v>0</v>
      </c>
      <c r="BA159" t="s">
        <v>84</v>
      </c>
    </row>
    <row r="160" spans="1:53">
      <c r="A160">
        <v>756</v>
      </c>
      <c r="B160" s="3">
        <v>46049.754120370402</v>
      </c>
      <c r="C160" s="3">
        <v>46049.758773148104</v>
      </c>
      <c r="D160" t="s">
        <v>53</v>
      </c>
      <c r="G160" t="s">
        <v>54</v>
      </c>
      <c r="H160" t="s">
        <v>55</v>
      </c>
      <c r="I160" t="s">
        <v>56</v>
      </c>
      <c r="J160" t="s">
        <v>64</v>
      </c>
      <c r="K160" t="s">
        <v>62</v>
      </c>
      <c r="L160" t="s">
        <v>58</v>
      </c>
      <c r="M160" t="s">
        <v>58</v>
      </c>
      <c r="N160">
        <v>3</v>
      </c>
      <c r="O160">
        <v>3</v>
      </c>
      <c r="P160">
        <v>3</v>
      </c>
      <c r="Q160">
        <v>2</v>
      </c>
      <c r="R160">
        <v>4</v>
      </c>
      <c r="S160">
        <v>4</v>
      </c>
      <c r="T160">
        <v>2</v>
      </c>
      <c r="U160">
        <v>3</v>
      </c>
      <c r="V160">
        <v>5</v>
      </c>
      <c r="W160">
        <v>4</v>
      </c>
      <c r="X160">
        <v>4</v>
      </c>
      <c r="Y160">
        <v>4</v>
      </c>
      <c r="Z160">
        <v>4</v>
      </c>
      <c r="AA160">
        <v>4</v>
      </c>
      <c r="AB160">
        <v>3</v>
      </c>
      <c r="AC160">
        <v>2</v>
      </c>
      <c r="AD160">
        <v>5</v>
      </c>
      <c r="AE160">
        <v>4</v>
      </c>
      <c r="AF160">
        <v>4</v>
      </c>
      <c r="AG160">
        <v>2</v>
      </c>
      <c r="AH160">
        <v>4</v>
      </c>
      <c r="AI160">
        <v>2</v>
      </c>
      <c r="AJ160">
        <v>2</v>
      </c>
      <c r="AK160" t="b">
        <f>Table7[[#This Row],[What is your age?]]&lt;&gt;"18 - 25"</f>
        <v>0</v>
      </c>
      <c r="AL160" t="b">
        <f t="shared" si="6"/>
        <v>0</v>
      </c>
      <c r="AM160" t="b">
        <f t="shared" si="7"/>
        <v>0</v>
      </c>
      <c r="AN160" t="b">
        <f t="shared" si="8"/>
        <v>0</v>
      </c>
      <c r="AO160" t="b">
        <f>OR(Table7[[#This Row],[Ineligible respondents]:[Inconsistent response on opposite question (3)]])</f>
        <v>0</v>
      </c>
      <c r="AP16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160">
        <f>Table7[[#This Row],[Extreme Response]]/21</f>
        <v>9.5238095238095233E-2</v>
      </c>
      <c r="AR160">
        <f>Table67[[#This Row],[Threshold of ERS]]</f>
        <v>0.61904761904761907</v>
      </c>
      <c r="AS160" t="b">
        <f>Table7[[#This Row],[Extrem Response Ratio (ERS)]]&gt;=Table7[[#This Row],[Threshold of ERS]]</f>
        <v>0</v>
      </c>
      <c r="AT160" t="b" cm="1">
        <f t="array" ref="AT16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60">
        <f>COUNTIF(Table7[[#This Row],[The mechanism of digital assets is difficult to understand, which discourages me from exploring it (E.g, Tokenization, Blockchain)]:[If I want to try different ways to invest, I will explore digital assets.]], 3)</f>
        <v>5</v>
      </c>
      <c r="AV160">
        <f>Table7[[#This Row],[Midpoint]]/21</f>
        <v>0.23809523809523808</v>
      </c>
      <c r="AW160">
        <f>Table67[[#This Row],[Threshold of Midpoint ratio]]</f>
        <v>0.5714285714285714</v>
      </c>
      <c r="AX160" t="b">
        <f>Table7[[#This Row],[Midpoint ratio]]&gt;=Table7[[#This Row],[Threshold of Midpoint ratio]]</f>
        <v>0</v>
      </c>
      <c r="AY160" t="b">
        <f>OR(Table7[[#This Row],[Extreme Response Style]:[Straight-lining with 1 deviation]],Table7[[#This Row],[Mid-point Response Style]])</f>
        <v>0</v>
      </c>
      <c r="AZ160" t="b">
        <f>OR(Table7[[#This Row],[Delete? (Stage 1)]],Table7[[#This Row],[Delete? (Stage 2)]])</f>
        <v>0</v>
      </c>
      <c r="BA160" t="s">
        <v>84</v>
      </c>
    </row>
    <row r="161" spans="1:53">
      <c r="A161">
        <v>757</v>
      </c>
      <c r="B161" s="3">
        <v>46049.754363425898</v>
      </c>
      <c r="C161" s="3">
        <v>46049.755497685197</v>
      </c>
      <c r="D161" t="s">
        <v>53</v>
      </c>
      <c r="G161" t="s">
        <v>54</v>
      </c>
      <c r="H161" t="s">
        <v>55</v>
      </c>
      <c r="I161" t="s">
        <v>56</v>
      </c>
      <c r="J161" t="s">
        <v>62</v>
      </c>
      <c r="K161" t="s">
        <v>62</v>
      </c>
      <c r="L161" t="s">
        <v>58</v>
      </c>
      <c r="M161" t="s">
        <v>58</v>
      </c>
      <c r="N161">
        <v>3</v>
      </c>
      <c r="O161">
        <v>3</v>
      </c>
      <c r="P161">
        <v>3</v>
      </c>
      <c r="Q161">
        <v>2</v>
      </c>
      <c r="R161">
        <v>4</v>
      </c>
      <c r="S161">
        <v>3</v>
      </c>
      <c r="T161">
        <v>2</v>
      </c>
      <c r="U161">
        <v>2</v>
      </c>
      <c r="V161">
        <v>3</v>
      </c>
      <c r="W161">
        <v>2</v>
      </c>
      <c r="X161">
        <v>4</v>
      </c>
      <c r="Y161">
        <v>3</v>
      </c>
      <c r="Z161">
        <v>3</v>
      </c>
      <c r="AA161">
        <v>3</v>
      </c>
      <c r="AB161">
        <v>2</v>
      </c>
      <c r="AC161">
        <v>4</v>
      </c>
      <c r="AD161">
        <v>4</v>
      </c>
      <c r="AE161">
        <v>2</v>
      </c>
      <c r="AF161">
        <v>4</v>
      </c>
      <c r="AG161">
        <v>2</v>
      </c>
      <c r="AH161">
        <v>4</v>
      </c>
      <c r="AI161">
        <v>2</v>
      </c>
      <c r="AJ161">
        <v>2</v>
      </c>
      <c r="AK161" t="b">
        <f>Table7[[#This Row],[What is your age?]]&lt;&gt;"18 - 25"</f>
        <v>0</v>
      </c>
      <c r="AL161" t="b">
        <f t="shared" si="6"/>
        <v>0</v>
      </c>
      <c r="AM161" t="b">
        <f t="shared" si="7"/>
        <v>0</v>
      </c>
      <c r="AN161" t="b">
        <f t="shared" si="8"/>
        <v>0</v>
      </c>
      <c r="AO161" t="b">
        <f>OR(Table7[[#This Row],[Ineligible respondents]:[Inconsistent response on opposite question (3)]])</f>
        <v>0</v>
      </c>
      <c r="AP16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161">
        <f>Table7[[#This Row],[Extreme Response]]/21</f>
        <v>0</v>
      </c>
      <c r="AR161">
        <f>Table67[[#This Row],[Threshold of ERS]]</f>
        <v>0.61904761904761907</v>
      </c>
      <c r="AS161" t="b">
        <f>Table7[[#This Row],[Extrem Response Ratio (ERS)]]&gt;=Table7[[#This Row],[Threshold of ERS]]</f>
        <v>0</v>
      </c>
      <c r="AT161" t="b" cm="1">
        <f t="array" ref="AT16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61">
        <f>COUNTIF(Table7[[#This Row],[The mechanism of digital assets is difficult to understand, which discourages me from exploring it (E.g, Tokenization, Blockchain)]:[If I want to try different ways to invest, I will explore digital assets.]], 3)</f>
        <v>8</v>
      </c>
      <c r="AV161">
        <f>Table7[[#This Row],[Midpoint]]/21</f>
        <v>0.38095238095238093</v>
      </c>
      <c r="AW161">
        <f>Table67[[#This Row],[Threshold of Midpoint ratio]]</f>
        <v>0.5714285714285714</v>
      </c>
      <c r="AX161" t="b">
        <f>Table7[[#This Row],[Midpoint ratio]]&gt;=Table7[[#This Row],[Threshold of Midpoint ratio]]</f>
        <v>0</v>
      </c>
      <c r="AY161" t="b">
        <f>OR(Table7[[#This Row],[Extreme Response Style]:[Straight-lining with 1 deviation]],Table7[[#This Row],[Mid-point Response Style]])</f>
        <v>0</v>
      </c>
      <c r="AZ161" t="b">
        <f>OR(Table7[[#This Row],[Delete? (Stage 1)]],Table7[[#This Row],[Delete? (Stage 2)]])</f>
        <v>0</v>
      </c>
      <c r="BA161" t="s">
        <v>84</v>
      </c>
    </row>
    <row r="162" spans="1:53">
      <c r="A162">
        <v>765</v>
      </c>
      <c r="B162" s="3">
        <v>46049.756446759297</v>
      </c>
      <c r="C162" s="3">
        <v>46049.763530092598</v>
      </c>
      <c r="D162" t="s">
        <v>53</v>
      </c>
      <c r="G162" t="s">
        <v>54</v>
      </c>
      <c r="H162" t="s">
        <v>63</v>
      </c>
      <c r="I162" t="s">
        <v>56</v>
      </c>
      <c r="J162" t="s">
        <v>57</v>
      </c>
      <c r="K162" t="s">
        <v>57</v>
      </c>
      <c r="L162" t="s">
        <v>58</v>
      </c>
      <c r="M162" t="s">
        <v>58</v>
      </c>
      <c r="N162">
        <v>3</v>
      </c>
      <c r="O162">
        <v>2</v>
      </c>
      <c r="P162">
        <v>4</v>
      </c>
      <c r="Q162">
        <v>3</v>
      </c>
      <c r="R162">
        <v>2</v>
      </c>
      <c r="S162">
        <v>3</v>
      </c>
      <c r="T162">
        <v>2</v>
      </c>
      <c r="U162">
        <v>3</v>
      </c>
      <c r="V162">
        <v>4</v>
      </c>
      <c r="W162">
        <v>3</v>
      </c>
      <c r="X162">
        <v>4</v>
      </c>
      <c r="Y162">
        <v>3</v>
      </c>
      <c r="Z162">
        <v>4</v>
      </c>
      <c r="AA162">
        <v>4</v>
      </c>
      <c r="AB162">
        <v>3</v>
      </c>
      <c r="AC162">
        <v>2</v>
      </c>
      <c r="AD162">
        <v>5</v>
      </c>
      <c r="AE162">
        <v>4</v>
      </c>
      <c r="AF162">
        <v>3</v>
      </c>
      <c r="AG162">
        <v>3</v>
      </c>
      <c r="AH162">
        <v>3</v>
      </c>
      <c r="AI162">
        <v>3</v>
      </c>
      <c r="AJ162">
        <v>3</v>
      </c>
      <c r="AK162" t="b">
        <f>Table7[[#This Row],[What is your age?]]&lt;&gt;"18 - 25"</f>
        <v>0</v>
      </c>
      <c r="AL162" t="b">
        <f t="shared" si="6"/>
        <v>0</v>
      </c>
      <c r="AM162" t="b">
        <f t="shared" si="7"/>
        <v>0</v>
      </c>
      <c r="AN162" t="b">
        <f t="shared" si="8"/>
        <v>0</v>
      </c>
      <c r="AO162" t="b">
        <f>OR(Table7[[#This Row],[Ineligible respondents]:[Inconsistent response on opposite question (3)]])</f>
        <v>0</v>
      </c>
      <c r="AP16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162">
        <f>Table7[[#This Row],[Extreme Response]]/21</f>
        <v>4.7619047619047616E-2</v>
      </c>
      <c r="AR162">
        <f>Table67[[#This Row],[Threshold of ERS]]</f>
        <v>0.61904761904761907</v>
      </c>
      <c r="AS162" t="b">
        <f>Table7[[#This Row],[Extrem Response Ratio (ERS)]]&gt;=Table7[[#This Row],[Threshold of ERS]]</f>
        <v>0</v>
      </c>
      <c r="AT162" t="b" cm="1">
        <f t="array" ref="AT16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62">
        <f>COUNTIF(Table7[[#This Row],[The mechanism of digital assets is difficult to understand, which discourages me from exploring it (E.g, Tokenization, Blockchain)]:[If I want to try different ways to invest, I will explore digital assets.]], 3)</f>
        <v>10</v>
      </c>
      <c r="AV162">
        <f>Table7[[#This Row],[Midpoint]]/21</f>
        <v>0.47619047619047616</v>
      </c>
      <c r="AW162">
        <f>Table67[[#This Row],[Threshold of Midpoint ratio]]</f>
        <v>0.5714285714285714</v>
      </c>
      <c r="AX162" t="b">
        <f>Table7[[#This Row],[Midpoint ratio]]&gt;=Table7[[#This Row],[Threshold of Midpoint ratio]]</f>
        <v>0</v>
      </c>
      <c r="AY162" t="b">
        <f>OR(Table7[[#This Row],[Extreme Response Style]:[Straight-lining with 1 deviation]],Table7[[#This Row],[Mid-point Response Style]])</f>
        <v>0</v>
      </c>
      <c r="AZ162" t="b">
        <f>OR(Table7[[#This Row],[Delete? (Stage 1)]],Table7[[#This Row],[Delete? (Stage 2)]])</f>
        <v>0</v>
      </c>
      <c r="BA162" t="s">
        <v>84</v>
      </c>
    </row>
    <row r="163" spans="1:53">
      <c r="A163">
        <v>767</v>
      </c>
      <c r="B163" s="3">
        <v>46049.758611111101</v>
      </c>
      <c r="C163" s="3">
        <v>46049.765972222202</v>
      </c>
      <c r="D163" t="s">
        <v>53</v>
      </c>
      <c r="G163" t="s">
        <v>54</v>
      </c>
      <c r="H163" t="s">
        <v>63</v>
      </c>
      <c r="I163" t="s">
        <v>56</v>
      </c>
      <c r="J163" t="s">
        <v>62</v>
      </c>
      <c r="K163" t="s">
        <v>62</v>
      </c>
      <c r="L163" t="s">
        <v>58</v>
      </c>
      <c r="M163" t="s">
        <v>61</v>
      </c>
      <c r="N163">
        <v>2</v>
      </c>
      <c r="O163">
        <v>2</v>
      </c>
      <c r="P163">
        <v>5</v>
      </c>
      <c r="Q163">
        <v>2</v>
      </c>
      <c r="R163">
        <v>4</v>
      </c>
      <c r="S163">
        <v>4</v>
      </c>
      <c r="T163">
        <v>4</v>
      </c>
      <c r="U163">
        <v>5</v>
      </c>
      <c r="V163">
        <v>5</v>
      </c>
      <c r="W163">
        <v>5</v>
      </c>
      <c r="X163">
        <v>4</v>
      </c>
      <c r="Y163">
        <v>5</v>
      </c>
      <c r="Z163">
        <v>5</v>
      </c>
      <c r="AA163">
        <v>4</v>
      </c>
      <c r="AB163">
        <v>3</v>
      </c>
      <c r="AC163">
        <v>5</v>
      </c>
      <c r="AD163">
        <v>4</v>
      </c>
      <c r="AE163">
        <v>4</v>
      </c>
      <c r="AF163">
        <v>4</v>
      </c>
      <c r="AG163">
        <v>5</v>
      </c>
      <c r="AH163">
        <v>1</v>
      </c>
      <c r="AI163">
        <v>5</v>
      </c>
      <c r="AJ163">
        <v>2</v>
      </c>
      <c r="AK163" t="b">
        <f>Table7[[#This Row],[What is your age?]]&lt;&gt;"18 - 25"</f>
        <v>0</v>
      </c>
      <c r="AL163" t="b">
        <f t="shared" si="6"/>
        <v>0</v>
      </c>
      <c r="AM163" t="b">
        <f t="shared" si="7"/>
        <v>0</v>
      </c>
      <c r="AN163" t="b">
        <f t="shared" si="8"/>
        <v>0</v>
      </c>
      <c r="AO163" t="b">
        <f>OR(Table7[[#This Row],[Ineligible respondents]:[Inconsistent response on opposite question (3)]])</f>
        <v>0</v>
      </c>
      <c r="AP16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9</v>
      </c>
      <c r="AQ163">
        <f>Table7[[#This Row],[Extreme Response]]/21</f>
        <v>0.42857142857142855</v>
      </c>
      <c r="AR163">
        <f>Table67[[#This Row],[Threshold of ERS]]</f>
        <v>0.61904761904761907</v>
      </c>
      <c r="AS163" t="b">
        <f>Table7[[#This Row],[Extrem Response Ratio (ERS)]]&gt;=Table7[[#This Row],[Threshold of ERS]]</f>
        <v>0</v>
      </c>
      <c r="AT163" t="b" cm="1">
        <f t="array" ref="AT16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63">
        <f>COUNTIF(Table7[[#This Row],[The mechanism of digital assets is difficult to understand, which discourages me from exploring it (E.g, Tokenization, Blockchain)]:[If I want to try different ways to invest, I will explore digital assets.]], 3)</f>
        <v>1</v>
      </c>
      <c r="AV163">
        <f>Table7[[#This Row],[Midpoint]]/21</f>
        <v>4.7619047619047616E-2</v>
      </c>
      <c r="AW163">
        <f>Table67[[#This Row],[Threshold of Midpoint ratio]]</f>
        <v>0.5714285714285714</v>
      </c>
      <c r="AX163" t="b">
        <f>Table7[[#This Row],[Midpoint ratio]]&gt;=Table7[[#This Row],[Threshold of Midpoint ratio]]</f>
        <v>0</v>
      </c>
      <c r="AY163" t="b">
        <f>OR(Table7[[#This Row],[Extreme Response Style]:[Straight-lining with 1 deviation]],Table7[[#This Row],[Mid-point Response Style]])</f>
        <v>0</v>
      </c>
      <c r="AZ163" t="b">
        <f>OR(Table7[[#This Row],[Delete? (Stage 1)]],Table7[[#This Row],[Delete? (Stage 2)]])</f>
        <v>0</v>
      </c>
      <c r="BA163" t="s">
        <v>84</v>
      </c>
    </row>
    <row r="164" spans="1:53">
      <c r="A164">
        <v>769</v>
      </c>
      <c r="B164" s="3">
        <v>46049.760925925897</v>
      </c>
      <c r="C164" s="3">
        <v>46049.769502314797</v>
      </c>
      <c r="D164" t="s">
        <v>53</v>
      </c>
      <c r="G164" t="s">
        <v>54</v>
      </c>
      <c r="H164" t="s">
        <v>70</v>
      </c>
      <c r="I164" t="s">
        <v>71</v>
      </c>
      <c r="J164" t="s">
        <v>57</v>
      </c>
      <c r="K164" t="s">
        <v>62</v>
      </c>
      <c r="L164" t="s">
        <v>58</v>
      </c>
      <c r="M164" t="s">
        <v>58</v>
      </c>
      <c r="N164">
        <v>3</v>
      </c>
      <c r="O164">
        <v>3</v>
      </c>
      <c r="P164">
        <v>5</v>
      </c>
      <c r="Q164">
        <v>4</v>
      </c>
      <c r="R164">
        <v>4</v>
      </c>
      <c r="S164">
        <v>4</v>
      </c>
      <c r="T164">
        <v>4</v>
      </c>
      <c r="U164">
        <v>5</v>
      </c>
      <c r="V164">
        <v>5</v>
      </c>
      <c r="W164">
        <v>3</v>
      </c>
      <c r="X164">
        <v>4</v>
      </c>
      <c r="Y164">
        <v>4</v>
      </c>
      <c r="Z164">
        <v>4</v>
      </c>
      <c r="AA164">
        <v>4</v>
      </c>
      <c r="AB164">
        <v>3</v>
      </c>
      <c r="AC164">
        <v>3</v>
      </c>
      <c r="AD164">
        <v>5</v>
      </c>
      <c r="AE164">
        <v>4</v>
      </c>
      <c r="AF164">
        <v>2</v>
      </c>
      <c r="AG164">
        <v>2</v>
      </c>
      <c r="AH164">
        <v>4</v>
      </c>
      <c r="AI164">
        <v>2</v>
      </c>
      <c r="AJ164">
        <v>4</v>
      </c>
      <c r="AK164" t="b">
        <f>Table7[[#This Row],[What is your age?]]&lt;&gt;"18 - 25"</f>
        <v>0</v>
      </c>
      <c r="AL164" t="b">
        <f t="shared" si="6"/>
        <v>0</v>
      </c>
      <c r="AM164" t="b">
        <f t="shared" si="7"/>
        <v>0</v>
      </c>
      <c r="AN164" t="b">
        <f t="shared" si="8"/>
        <v>0</v>
      </c>
      <c r="AO164" t="b">
        <f>OR(Table7[[#This Row],[Ineligible respondents]:[Inconsistent response on opposite question (3)]])</f>
        <v>0</v>
      </c>
      <c r="AP16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164">
        <f>Table7[[#This Row],[Extreme Response]]/21</f>
        <v>0.19047619047619047</v>
      </c>
      <c r="AR164">
        <f>Table67[[#This Row],[Threshold of ERS]]</f>
        <v>0.61904761904761907</v>
      </c>
      <c r="AS164" t="b">
        <f>Table7[[#This Row],[Extrem Response Ratio (ERS)]]&gt;=Table7[[#This Row],[Threshold of ERS]]</f>
        <v>0</v>
      </c>
      <c r="AT164" t="b" cm="1">
        <f t="array" ref="AT16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64">
        <f>COUNTIF(Table7[[#This Row],[The mechanism of digital assets is difficult to understand, which discourages me from exploring it (E.g, Tokenization, Blockchain)]:[If I want to try different ways to invest, I will explore digital assets.]], 3)</f>
        <v>5</v>
      </c>
      <c r="AV164">
        <f>Table7[[#This Row],[Midpoint]]/21</f>
        <v>0.23809523809523808</v>
      </c>
      <c r="AW164">
        <f>Table67[[#This Row],[Threshold of Midpoint ratio]]</f>
        <v>0.5714285714285714</v>
      </c>
      <c r="AX164" t="b">
        <f>Table7[[#This Row],[Midpoint ratio]]&gt;=Table7[[#This Row],[Threshold of Midpoint ratio]]</f>
        <v>0</v>
      </c>
      <c r="AY164" t="b">
        <f>OR(Table7[[#This Row],[Extreme Response Style]:[Straight-lining with 1 deviation]],Table7[[#This Row],[Mid-point Response Style]])</f>
        <v>0</v>
      </c>
      <c r="AZ164" t="b">
        <f>OR(Table7[[#This Row],[Delete? (Stage 1)]],Table7[[#This Row],[Delete? (Stage 2)]])</f>
        <v>0</v>
      </c>
      <c r="BA164" t="s">
        <v>84</v>
      </c>
    </row>
    <row r="165" spans="1:53">
      <c r="A165">
        <v>770</v>
      </c>
      <c r="B165" s="3">
        <v>46049.761134259301</v>
      </c>
      <c r="C165" s="3">
        <v>46049.762650463003</v>
      </c>
      <c r="D165" t="s">
        <v>53</v>
      </c>
      <c r="G165" t="s">
        <v>54</v>
      </c>
      <c r="H165" t="s">
        <v>63</v>
      </c>
      <c r="I165" t="s">
        <v>71</v>
      </c>
      <c r="J165" t="s">
        <v>62</v>
      </c>
      <c r="K165" t="s">
        <v>62</v>
      </c>
      <c r="L165" t="s">
        <v>61</v>
      </c>
      <c r="M165" t="s">
        <v>61</v>
      </c>
      <c r="N165">
        <v>4</v>
      </c>
      <c r="O165">
        <v>2</v>
      </c>
      <c r="P165">
        <v>4</v>
      </c>
      <c r="Q165">
        <v>4</v>
      </c>
      <c r="R165">
        <v>4</v>
      </c>
      <c r="S165">
        <v>4</v>
      </c>
      <c r="T165">
        <v>2</v>
      </c>
      <c r="U165">
        <v>4</v>
      </c>
      <c r="V165">
        <v>4</v>
      </c>
      <c r="W165">
        <v>4</v>
      </c>
      <c r="X165">
        <v>2</v>
      </c>
      <c r="Y165">
        <v>4</v>
      </c>
      <c r="Z165">
        <v>4</v>
      </c>
      <c r="AA165">
        <v>4</v>
      </c>
      <c r="AB165">
        <v>4</v>
      </c>
      <c r="AC165">
        <v>3</v>
      </c>
      <c r="AD165">
        <v>4</v>
      </c>
      <c r="AE165">
        <v>4</v>
      </c>
      <c r="AF165">
        <v>4</v>
      </c>
      <c r="AG165">
        <v>2</v>
      </c>
      <c r="AH165">
        <v>4</v>
      </c>
      <c r="AI165">
        <v>2</v>
      </c>
      <c r="AJ165">
        <v>2</v>
      </c>
      <c r="AK165" t="b">
        <f>Table7[[#This Row],[What is your age?]]&lt;&gt;"18 - 25"</f>
        <v>0</v>
      </c>
      <c r="AL165" t="b">
        <f t="shared" si="6"/>
        <v>0</v>
      </c>
      <c r="AM165" t="b">
        <f t="shared" si="7"/>
        <v>0</v>
      </c>
      <c r="AN165" t="b">
        <f t="shared" si="8"/>
        <v>0</v>
      </c>
      <c r="AO165" t="b">
        <f>OR(Table7[[#This Row],[Ineligible respondents]:[Inconsistent response on opposite question (3)]])</f>
        <v>0</v>
      </c>
      <c r="AP16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165">
        <f>Table7[[#This Row],[Extreme Response]]/21</f>
        <v>0</v>
      </c>
      <c r="AR165">
        <f>Table67[[#This Row],[Threshold of ERS]]</f>
        <v>0.61904761904761907</v>
      </c>
      <c r="AS165" t="b">
        <f>Table7[[#This Row],[Extrem Response Ratio (ERS)]]&gt;=Table7[[#This Row],[Threshold of ERS]]</f>
        <v>0</v>
      </c>
      <c r="AT165" t="b" cm="1">
        <f t="array" ref="AT16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65">
        <f>COUNTIF(Table7[[#This Row],[The mechanism of digital assets is difficult to understand, which discourages me from exploring it (E.g, Tokenization, Blockchain)]:[If I want to try different ways to invest, I will explore digital assets.]], 3)</f>
        <v>1</v>
      </c>
      <c r="AV165">
        <f>Table7[[#This Row],[Midpoint]]/21</f>
        <v>4.7619047619047616E-2</v>
      </c>
      <c r="AW165">
        <f>Table67[[#This Row],[Threshold of Midpoint ratio]]</f>
        <v>0.5714285714285714</v>
      </c>
      <c r="AX165" t="b">
        <f>Table7[[#This Row],[Midpoint ratio]]&gt;=Table7[[#This Row],[Threshold of Midpoint ratio]]</f>
        <v>0</v>
      </c>
      <c r="AY165" t="b">
        <f>OR(Table7[[#This Row],[Extreme Response Style]:[Straight-lining with 1 deviation]],Table7[[#This Row],[Mid-point Response Style]])</f>
        <v>0</v>
      </c>
      <c r="AZ165" t="b">
        <f>OR(Table7[[#This Row],[Delete? (Stage 1)]],Table7[[#This Row],[Delete? (Stage 2)]])</f>
        <v>0</v>
      </c>
      <c r="BA165" t="s">
        <v>84</v>
      </c>
    </row>
    <row r="166" spans="1:53">
      <c r="A166">
        <v>771</v>
      </c>
      <c r="B166" s="3">
        <v>46049.761180555601</v>
      </c>
      <c r="C166" s="3">
        <v>46049.768078703702</v>
      </c>
      <c r="D166" t="s">
        <v>53</v>
      </c>
      <c r="G166" t="s">
        <v>54</v>
      </c>
      <c r="H166" t="s">
        <v>63</v>
      </c>
      <c r="I166" t="s">
        <v>56</v>
      </c>
      <c r="J166" t="s">
        <v>62</v>
      </c>
      <c r="K166" t="s">
        <v>62</v>
      </c>
      <c r="L166" t="s">
        <v>61</v>
      </c>
      <c r="M166" t="s">
        <v>61</v>
      </c>
      <c r="N166">
        <v>4</v>
      </c>
      <c r="O166">
        <v>4</v>
      </c>
      <c r="P166">
        <v>4</v>
      </c>
      <c r="Q166">
        <v>3</v>
      </c>
      <c r="R166">
        <v>3</v>
      </c>
      <c r="S166">
        <v>4</v>
      </c>
      <c r="T166">
        <v>4</v>
      </c>
      <c r="U166">
        <v>4</v>
      </c>
      <c r="V166">
        <v>5</v>
      </c>
      <c r="W166">
        <v>5</v>
      </c>
      <c r="X166">
        <v>3</v>
      </c>
      <c r="Y166">
        <v>4</v>
      </c>
      <c r="Z166">
        <v>3</v>
      </c>
      <c r="AA166">
        <v>4</v>
      </c>
      <c r="AB166">
        <v>4</v>
      </c>
      <c r="AC166">
        <v>4</v>
      </c>
      <c r="AD166">
        <v>3</v>
      </c>
      <c r="AE166">
        <v>4</v>
      </c>
      <c r="AF166">
        <v>3</v>
      </c>
      <c r="AG166">
        <v>3</v>
      </c>
      <c r="AH166">
        <v>3</v>
      </c>
      <c r="AI166">
        <v>3</v>
      </c>
      <c r="AJ166">
        <v>3</v>
      </c>
      <c r="AK166" t="b">
        <f>Table7[[#This Row],[What is your age?]]&lt;&gt;"18 - 25"</f>
        <v>0</v>
      </c>
      <c r="AL166" t="b">
        <f t="shared" si="6"/>
        <v>0</v>
      </c>
      <c r="AM166" t="b">
        <f t="shared" si="7"/>
        <v>0</v>
      </c>
      <c r="AN166" t="b">
        <f t="shared" si="8"/>
        <v>0</v>
      </c>
      <c r="AO166" t="b">
        <f>OR(Table7[[#This Row],[Ineligible respondents]:[Inconsistent response on opposite question (3)]])</f>
        <v>0</v>
      </c>
      <c r="AP16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166">
        <f>Table7[[#This Row],[Extreme Response]]/21</f>
        <v>9.5238095238095233E-2</v>
      </c>
      <c r="AR166">
        <f>Table67[[#This Row],[Threshold of ERS]]</f>
        <v>0.61904761904761907</v>
      </c>
      <c r="AS166" t="b">
        <f>Table7[[#This Row],[Extrem Response Ratio (ERS)]]&gt;=Table7[[#This Row],[Threshold of ERS]]</f>
        <v>0</v>
      </c>
      <c r="AT166" t="b" cm="1">
        <f t="array" ref="AT16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66">
        <f>COUNTIF(Table7[[#This Row],[The mechanism of digital assets is difficult to understand, which discourages me from exploring it (E.g, Tokenization, Blockchain)]:[If I want to try different ways to invest, I will explore digital assets.]], 3)</f>
        <v>8</v>
      </c>
      <c r="AV166">
        <f>Table7[[#This Row],[Midpoint]]/21</f>
        <v>0.38095238095238093</v>
      </c>
      <c r="AW166">
        <f>Table67[[#This Row],[Threshold of Midpoint ratio]]</f>
        <v>0.5714285714285714</v>
      </c>
      <c r="AX166" t="b">
        <f>Table7[[#This Row],[Midpoint ratio]]&gt;=Table7[[#This Row],[Threshold of Midpoint ratio]]</f>
        <v>0</v>
      </c>
      <c r="AY166" t="b">
        <f>OR(Table7[[#This Row],[Extreme Response Style]:[Straight-lining with 1 deviation]],Table7[[#This Row],[Mid-point Response Style]])</f>
        <v>0</v>
      </c>
      <c r="AZ166" t="b">
        <f>OR(Table7[[#This Row],[Delete? (Stage 1)]],Table7[[#This Row],[Delete? (Stage 2)]])</f>
        <v>0</v>
      </c>
      <c r="BA166" t="s">
        <v>84</v>
      </c>
    </row>
    <row r="167" spans="1:53">
      <c r="A167">
        <v>773</v>
      </c>
      <c r="B167" s="3">
        <v>46049.761354166701</v>
      </c>
      <c r="C167" s="3">
        <v>46049.772812499999</v>
      </c>
      <c r="D167" t="s">
        <v>53</v>
      </c>
      <c r="G167" t="s">
        <v>54</v>
      </c>
      <c r="H167" t="s">
        <v>63</v>
      </c>
      <c r="I167" t="s">
        <v>56</v>
      </c>
      <c r="J167" t="s">
        <v>65</v>
      </c>
      <c r="K167" t="s">
        <v>62</v>
      </c>
      <c r="L167" t="s">
        <v>61</v>
      </c>
      <c r="M167" t="s">
        <v>61</v>
      </c>
      <c r="N167">
        <v>3</v>
      </c>
      <c r="O167">
        <v>2</v>
      </c>
      <c r="P167">
        <v>2</v>
      </c>
      <c r="Q167">
        <v>2</v>
      </c>
      <c r="R167">
        <v>1</v>
      </c>
      <c r="S167">
        <v>1</v>
      </c>
      <c r="T167">
        <v>1</v>
      </c>
      <c r="U167">
        <v>3</v>
      </c>
      <c r="V167">
        <v>3</v>
      </c>
      <c r="W167">
        <v>4</v>
      </c>
      <c r="X167">
        <v>4</v>
      </c>
      <c r="Y167">
        <v>4</v>
      </c>
      <c r="Z167">
        <v>5</v>
      </c>
      <c r="AA167">
        <v>3</v>
      </c>
      <c r="AB167">
        <v>3</v>
      </c>
      <c r="AC167">
        <v>2</v>
      </c>
      <c r="AD167">
        <v>4</v>
      </c>
      <c r="AE167">
        <v>5</v>
      </c>
      <c r="AF167">
        <v>4</v>
      </c>
      <c r="AG167">
        <v>2</v>
      </c>
      <c r="AH167">
        <v>4</v>
      </c>
      <c r="AI167">
        <v>2</v>
      </c>
      <c r="AJ167">
        <v>2</v>
      </c>
      <c r="AK167" t="b">
        <f>Table7[[#This Row],[What is your age?]]&lt;&gt;"18 - 25"</f>
        <v>0</v>
      </c>
      <c r="AL167" t="b">
        <f t="shared" si="6"/>
        <v>0</v>
      </c>
      <c r="AM167" t="b">
        <f t="shared" si="7"/>
        <v>0</v>
      </c>
      <c r="AN167" t="b">
        <f t="shared" si="8"/>
        <v>0</v>
      </c>
      <c r="AO167" t="b">
        <f>OR(Table7[[#This Row],[Ineligible respondents]:[Inconsistent response on opposite question (3)]])</f>
        <v>0</v>
      </c>
      <c r="AP16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5</v>
      </c>
      <c r="AQ167">
        <f>Table7[[#This Row],[Extreme Response]]/21</f>
        <v>0.23809523809523808</v>
      </c>
      <c r="AR167">
        <f>Table67[[#This Row],[Threshold of ERS]]</f>
        <v>0.61904761904761907</v>
      </c>
      <c r="AS167" t="b">
        <f>Table7[[#This Row],[Extrem Response Ratio (ERS)]]&gt;=Table7[[#This Row],[Threshold of ERS]]</f>
        <v>0</v>
      </c>
      <c r="AT167" t="b" cm="1">
        <f t="array" ref="AT16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67">
        <f>COUNTIF(Table7[[#This Row],[The mechanism of digital assets is difficult to understand, which discourages me from exploring it (E.g, Tokenization, Blockchain)]:[If I want to try different ways to invest, I will explore digital assets.]], 3)</f>
        <v>5</v>
      </c>
      <c r="AV167">
        <f>Table7[[#This Row],[Midpoint]]/21</f>
        <v>0.23809523809523808</v>
      </c>
      <c r="AW167">
        <f>Table67[[#This Row],[Threshold of Midpoint ratio]]</f>
        <v>0.5714285714285714</v>
      </c>
      <c r="AX167" t="b">
        <f>Table7[[#This Row],[Midpoint ratio]]&gt;=Table7[[#This Row],[Threshold of Midpoint ratio]]</f>
        <v>0</v>
      </c>
      <c r="AY167" t="b">
        <f>OR(Table7[[#This Row],[Extreme Response Style]:[Straight-lining with 1 deviation]],Table7[[#This Row],[Mid-point Response Style]])</f>
        <v>0</v>
      </c>
      <c r="AZ167" t="b">
        <f>OR(Table7[[#This Row],[Delete? (Stage 1)]],Table7[[#This Row],[Delete? (Stage 2)]])</f>
        <v>0</v>
      </c>
      <c r="BA167" t="s">
        <v>84</v>
      </c>
    </row>
    <row r="168" spans="1:53">
      <c r="A168">
        <v>774</v>
      </c>
      <c r="B168" s="3">
        <v>46049.761574074102</v>
      </c>
      <c r="C168" s="3">
        <v>46049.766469907401</v>
      </c>
      <c r="D168" t="s">
        <v>53</v>
      </c>
      <c r="G168" t="s">
        <v>54</v>
      </c>
      <c r="H168" t="s">
        <v>63</v>
      </c>
      <c r="I168" t="s">
        <v>56</v>
      </c>
      <c r="J168" t="s">
        <v>62</v>
      </c>
      <c r="K168" t="s">
        <v>62</v>
      </c>
      <c r="L168" t="s">
        <v>58</v>
      </c>
      <c r="M168" t="s">
        <v>58</v>
      </c>
      <c r="N168">
        <v>3</v>
      </c>
      <c r="O168">
        <v>2</v>
      </c>
      <c r="P168">
        <v>4</v>
      </c>
      <c r="Q168">
        <v>3</v>
      </c>
      <c r="R168">
        <v>4</v>
      </c>
      <c r="S168">
        <v>5</v>
      </c>
      <c r="T168">
        <v>4</v>
      </c>
      <c r="U168">
        <v>5</v>
      </c>
      <c r="V168">
        <v>3</v>
      </c>
      <c r="W168">
        <v>4</v>
      </c>
      <c r="X168">
        <v>2</v>
      </c>
      <c r="Y168">
        <v>4</v>
      </c>
      <c r="Z168">
        <v>3</v>
      </c>
      <c r="AA168">
        <v>4</v>
      </c>
      <c r="AB168">
        <v>3</v>
      </c>
      <c r="AC168">
        <v>4</v>
      </c>
      <c r="AD168">
        <v>4</v>
      </c>
      <c r="AE168">
        <v>3</v>
      </c>
      <c r="AF168">
        <v>2</v>
      </c>
      <c r="AG168">
        <v>4</v>
      </c>
      <c r="AH168">
        <v>2</v>
      </c>
      <c r="AI168">
        <v>4</v>
      </c>
      <c r="AJ168">
        <v>4</v>
      </c>
      <c r="AK168" t="b">
        <f>Table7[[#This Row],[What is your age?]]&lt;&gt;"18 - 25"</f>
        <v>0</v>
      </c>
      <c r="AL168" t="b">
        <f t="shared" si="6"/>
        <v>0</v>
      </c>
      <c r="AM168" t="b">
        <f t="shared" si="7"/>
        <v>0</v>
      </c>
      <c r="AN168" t="b">
        <f t="shared" si="8"/>
        <v>0</v>
      </c>
      <c r="AO168" t="b">
        <f>OR(Table7[[#This Row],[Ineligible respondents]:[Inconsistent response on opposite question (3)]])</f>
        <v>0</v>
      </c>
      <c r="AP16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168">
        <f>Table7[[#This Row],[Extreme Response]]/21</f>
        <v>9.5238095238095233E-2</v>
      </c>
      <c r="AR168">
        <f>Table67[[#This Row],[Threshold of ERS]]</f>
        <v>0.61904761904761907</v>
      </c>
      <c r="AS168" t="b">
        <f>Table7[[#This Row],[Extrem Response Ratio (ERS)]]&gt;=Table7[[#This Row],[Threshold of ERS]]</f>
        <v>0</v>
      </c>
      <c r="AT168" t="b" cm="1">
        <f t="array" ref="AT16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68">
        <f>COUNTIF(Table7[[#This Row],[The mechanism of digital assets is difficult to understand, which discourages me from exploring it (E.g, Tokenization, Blockchain)]:[If I want to try different ways to invest, I will explore digital assets.]], 3)</f>
        <v>6</v>
      </c>
      <c r="AV168">
        <f>Table7[[#This Row],[Midpoint]]/21</f>
        <v>0.2857142857142857</v>
      </c>
      <c r="AW168">
        <f>Table67[[#This Row],[Threshold of Midpoint ratio]]</f>
        <v>0.5714285714285714</v>
      </c>
      <c r="AX168" t="b">
        <f>Table7[[#This Row],[Midpoint ratio]]&gt;=Table7[[#This Row],[Threshold of Midpoint ratio]]</f>
        <v>0</v>
      </c>
      <c r="AY168" t="b">
        <f>OR(Table7[[#This Row],[Extreme Response Style]:[Straight-lining with 1 deviation]],Table7[[#This Row],[Mid-point Response Style]])</f>
        <v>0</v>
      </c>
      <c r="AZ168" t="b">
        <f>OR(Table7[[#This Row],[Delete? (Stage 1)]],Table7[[#This Row],[Delete? (Stage 2)]])</f>
        <v>0</v>
      </c>
      <c r="BA168" t="s">
        <v>84</v>
      </c>
    </row>
    <row r="169" spans="1:53">
      <c r="A169">
        <v>783</v>
      </c>
      <c r="B169" s="3">
        <v>46049.769548611097</v>
      </c>
      <c r="C169" s="3">
        <v>46049.774479166699</v>
      </c>
      <c r="D169" t="s">
        <v>53</v>
      </c>
      <c r="G169" t="s">
        <v>54</v>
      </c>
      <c r="H169" t="s">
        <v>55</v>
      </c>
      <c r="I169" t="s">
        <v>71</v>
      </c>
      <c r="J169" t="s">
        <v>57</v>
      </c>
      <c r="K169" t="s">
        <v>62</v>
      </c>
      <c r="L169" t="s">
        <v>58</v>
      </c>
      <c r="M169" t="s">
        <v>58</v>
      </c>
      <c r="N169">
        <v>4</v>
      </c>
      <c r="O169">
        <v>2</v>
      </c>
      <c r="P169">
        <v>4</v>
      </c>
      <c r="Q169">
        <v>3</v>
      </c>
      <c r="R169">
        <v>2</v>
      </c>
      <c r="S169">
        <v>4</v>
      </c>
      <c r="T169">
        <v>3</v>
      </c>
      <c r="U169">
        <v>4</v>
      </c>
      <c r="V169">
        <v>2</v>
      </c>
      <c r="W169">
        <v>2</v>
      </c>
      <c r="X169">
        <v>2</v>
      </c>
      <c r="Y169">
        <v>2</v>
      </c>
      <c r="Z169">
        <v>3</v>
      </c>
      <c r="AA169">
        <v>4</v>
      </c>
      <c r="AB169">
        <v>3</v>
      </c>
      <c r="AC169">
        <v>2</v>
      </c>
      <c r="AD169">
        <v>4</v>
      </c>
      <c r="AE169">
        <v>2</v>
      </c>
      <c r="AF169">
        <v>5</v>
      </c>
      <c r="AG169">
        <v>2</v>
      </c>
      <c r="AH169">
        <v>4</v>
      </c>
      <c r="AI169">
        <v>2</v>
      </c>
      <c r="AJ169">
        <v>1</v>
      </c>
      <c r="AK169" t="b">
        <f>Table7[[#This Row],[What is your age?]]&lt;&gt;"18 - 25"</f>
        <v>0</v>
      </c>
      <c r="AL169" t="b">
        <f t="shared" si="6"/>
        <v>0</v>
      </c>
      <c r="AM169" t="b">
        <f t="shared" si="7"/>
        <v>0</v>
      </c>
      <c r="AN169" t="b">
        <f t="shared" si="8"/>
        <v>0</v>
      </c>
      <c r="AO169" t="b">
        <f>OR(Table7[[#This Row],[Ineligible respondents]:[Inconsistent response on opposite question (3)]])</f>
        <v>0</v>
      </c>
      <c r="AP16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169">
        <f>Table7[[#This Row],[Extreme Response]]/21</f>
        <v>4.7619047619047616E-2</v>
      </c>
      <c r="AR169">
        <f>Table67[[#This Row],[Threshold of ERS]]</f>
        <v>0.61904761904761907</v>
      </c>
      <c r="AS169" t="b">
        <f>Table7[[#This Row],[Extrem Response Ratio (ERS)]]&gt;=Table7[[#This Row],[Threshold of ERS]]</f>
        <v>0</v>
      </c>
      <c r="AT169" t="b" cm="1">
        <f t="array" ref="AT16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69">
        <f>COUNTIF(Table7[[#This Row],[The mechanism of digital assets is difficult to understand, which discourages me from exploring it (E.g, Tokenization, Blockchain)]:[If I want to try different ways to invest, I will explore digital assets.]], 3)</f>
        <v>4</v>
      </c>
      <c r="AV169">
        <f>Table7[[#This Row],[Midpoint]]/21</f>
        <v>0.19047619047619047</v>
      </c>
      <c r="AW169">
        <f>Table67[[#This Row],[Threshold of Midpoint ratio]]</f>
        <v>0.5714285714285714</v>
      </c>
      <c r="AX169" t="b">
        <f>Table7[[#This Row],[Midpoint ratio]]&gt;=Table7[[#This Row],[Threshold of Midpoint ratio]]</f>
        <v>0</v>
      </c>
      <c r="AY169" t="b">
        <f>OR(Table7[[#This Row],[Extreme Response Style]:[Straight-lining with 1 deviation]],Table7[[#This Row],[Mid-point Response Style]])</f>
        <v>0</v>
      </c>
      <c r="AZ169" t="b">
        <f>OR(Table7[[#This Row],[Delete? (Stage 1)]],Table7[[#This Row],[Delete? (Stage 2)]])</f>
        <v>0</v>
      </c>
      <c r="BA169" t="s">
        <v>84</v>
      </c>
    </row>
    <row r="170" spans="1:53">
      <c r="A170">
        <v>786</v>
      </c>
      <c r="B170" s="3">
        <v>46049.772685185198</v>
      </c>
      <c r="C170" s="3">
        <v>46049.7784606481</v>
      </c>
      <c r="D170" t="s">
        <v>53</v>
      </c>
      <c r="G170" t="s">
        <v>54</v>
      </c>
      <c r="H170" t="s">
        <v>63</v>
      </c>
      <c r="I170" t="s">
        <v>56</v>
      </c>
      <c r="J170" t="s">
        <v>57</v>
      </c>
      <c r="K170" t="s">
        <v>57</v>
      </c>
      <c r="L170" t="s">
        <v>58</v>
      </c>
      <c r="M170" t="s">
        <v>58</v>
      </c>
      <c r="N170">
        <v>3</v>
      </c>
      <c r="O170">
        <v>4</v>
      </c>
      <c r="P170">
        <v>4</v>
      </c>
      <c r="Q170">
        <v>3</v>
      </c>
      <c r="R170">
        <v>4</v>
      </c>
      <c r="S170">
        <v>4</v>
      </c>
      <c r="T170">
        <v>2</v>
      </c>
      <c r="U170">
        <v>3</v>
      </c>
      <c r="V170">
        <v>4</v>
      </c>
      <c r="W170">
        <v>4</v>
      </c>
      <c r="X170">
        <v>3</v>
      </c>
      <c r="Y170">
        <v>4</v>
      </c>
      <c r="Z170">
        <v>4</v>
      </c>
      <c r="AA170">
        <v>3</v>
      </c>
      <c r="AB170">
        <v>3</v>
      </c>
      <c r="AC170">
        <v>2</v>
      </c>
      <c r="AD170">
        <v>3</v>
      </c>
      <c r="AE170">
        <v>5</v>
      </c>
      <c r="AF170">
        <v>4</v>
      </c>
      <c r="AG170">
        <v>2</v>
      </c>
      <c r="AH170">
        <v>4</v>
      </c>
      <c r="AI170">
        <v>2</v>
      </c>
      <c r="AJ170">
        <v>2</v>
      </c>
      <c r="AK170" t="b">
        <f>Table7[[#This Row],[What is your age?]]&lt;&gt;"18 - 25"</f>
        <v>0</v>
      </c>
      <c r="AL170" t="b">
        <f t="shared" si="6"/>
        <v>0</v>
      </c>
      <c r="AM170" t="b">
        <f t="shared" si="7"/>
        <v>0</v>
      </c>
      <c r="AN170" t="b">
        <f t="shared" si="8"/>
        <v>0</v>
      </c>
      <c r="AO170" t="b">
        <f>OR(Table7[[#This Row],[Ineligible respondents]:[Inconsistent response on opposite question (3)]])</f>
        <v>0</v>
      </c>
      <c r="AP17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170">
        <f>Table7[[#This Row],[Extreme Response]]/21</f>
        <v>4.7619047619047616E-2</v>
      </c>
      <c r="AR170">
        <f>Table67[[#This Row],[Threshold of ERS]]</f>
        <v>0.61904761904761907</v>
      </c>
      <c r="AS170" t="b">
        <f>Table7[[#This Row],[Extrem Response Ratio (ERS)]]&gt;=Table7[[#This Row],[Threshold of ERS]]</f>
        <v>0</v>
      </c>
      <c r="AT170" t="b" cm="1">
        <f t="array" ref="AT17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70">
        <f>COUNTIF(Table7[[#This Row],[The mechanism of digital assets is difficult to understand, which discourages me from exploring it (E.g, Tokenization, Blockchain)]:[If I want to try different ways to invest, I will explore digital assets.]], 3)</f>
        <v>7</v>
      </c>
      <c r="AV170">
        <f>Table7[[#This Row],[Midpoint]]/21</f>
        <v>0.33333333333333331</v>
      </c>
      <c r="AW170">
        <f>Table67[[#This Row],[Threshold of Midpoint ratio]]</f>
        <v>0.5714285714285714</v>
      </c>
      <c r="AX170" t="b">
        <f>Table7[[#This Row],[Midpoint ratio]]&gt;=Table7[[#This Row],[Threshold of Midpoint ratio]]</f>
        <v>0</v>
      </c>
      <c r="AY170" t="b">
        <f>OR(Table7[[#This Row],[Extreme Response Style]:[Straight-lining with 1 deviation]],Table7[[#This Row],[Mid-point Response Style]])</f>
        <v>0</v>
      </c>
      <c r="AZ170" t="b">
        <f>OR(Table7[[#This Row],[Delete? (Stage 1)]],Table7[[#This Row],[Delete? (Stage 2)]])</f>
        <v>0</v>
      </c>
      <c r="BA170" t="s">
        <v>84</v>
      </c>
    </row>
    <row r="171" spans="1:53">
      <c r="A171">
        <v>787</v>
      </c>
      <c r="B171" s="3">
        <v>46049.773587962998</v>
      </c>
      <c r="C171" s="3">
        <v>46049.777615740699</v>
      </c>
      <c r="D171" t="s">
        <v>53</v>
      </c>
      <c r="G171" t="s">
        <v>54</v>
      </c>
      <c r="H171" t="s">
        <v>55</v>
      </c>
      <c r="I171" t="s">
        <v>75</v>
      </c>
      <c r="J171" t="s">
        <v>57</v>
      </c>
      <c r="K171" t="s">
        <v>62</v>
      </c>
      <c r="L171" t="s">
        <v>58</v>
      </c>
      <c r="M171" t="s">
        <v>61</v>
      </c>
      <c r="N171">
        <v>4</v>
      </c>
      <c r="O171">
        <v>3</v>
      </c>
      <c r="P171">
        <v>4</v>
      </c>
      <c r="Q171">
        <v>3</v>
      </c>
      <c r="R171">
        <v>4</v>
      </c>
      <c r="S171">
        <v>4</v>
      </c>
      <c r="T171">
        <v>4</v>
      </c>
      <c r="U171">
        <v>5</v>
      </c>
      <c r="V171">
        <v>4</v>
      </c>
      <c r="W171">
        <v>4</v>
      </c>
      <c r="X171">
        <v>3</v>
      </c>
      <c r="Y171">
        <v>3</v>
      </c>
      <c r="Z171">
        <v>4</v>
      </c>
      <c r="AA171">
        <v>3</v>
      </c>
      <c r="AB171">
        <v>2</v>
      </c>
      <c r="AC171">
        <v>3</v>
      </c>
      <c r="AD171">
        <v>4</v>
      </c>
      <c r="AE171">
        <v>4</v>
      </c>
      <c r="AF171">
        <v>3</v>
      </c>
      <c r="AG171">
        <v>3</v>
      </c>
      <c r="AH171">
        <v>3</v>
      </c>
      <c r="AI171">
        <v>3</v>
      </c>
      <c r="AJ171">
        <v>3</v>
      </c>
      <c r="AK171" t="b">
        <f>Table7[[#This Row],[What is your age?]]&lt;&gt;"18 - 25"</f>
        <v>0</v>
      </c>
      <c r="AL171" t="b">
        <f t="shared" si="6"/>
        <v>0</v>
      </c>
      <c r="AM171" t="b">
        <f t="shared" si="7"/>
        <v>0</v>
      </c>
      <c r="AN171" t="b">
        <f t="shared" si="8"/>
        <v>0</v>
      </c>
      <c r="AO171" t="b">
        <f>OR(Table7[[#This Row],[Ineligible respondents]:[Inconsistent response on opposite question (3)]])</f>
        <v>0</v>
      </c>
      <c r="AP17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171">
        <f>Table7[[#This Row],[Extreme Response]]/21</f>
        <v>4.7619047619047616E-2</v>
      </c>
      <c r="AR171">
        <f>Table67[[#This Row],[Threshold of ERS]]</f>
        <v>0.61904761904761907</v>
      </c>
      <c r="AS171" t="b">
        <f>Table7[[#This Row],[Extrem Response Ratio (ERS)]]&gt;=Table7[[#This Row],[Threshold of ERS]]</f>
        <v>0</v>
      </c>
      <c r="AT171" t="b" cm="1">
        <f t="array" ref="AT17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71">
        <f>COUNTIF(Table7[[#This Row],[The mechanism of digital assets is difficult to understand, which discourages me from exploring it (E.g, Tokenization, Blockchain)]:[If I want to try different ways to invest, I will explore digital assets.]], 3)</f>
        <v>9</v>
      </c>
      <c r="AV171">
        <f>Table7[[#This Row],[Midpoint]]/21</f>
        <v>0.42857142857142855</v>
      </c>
      <c r="AW171">
        <f>Table67[[#This Row],[Threshold of Midpoint ratio]]</f>
        <v>0.5714285714285714</v>
      </c>
      <c r="AX171" t="b">
        <f>Table7[[#This Row],[Midpoint ratio]]&gt;=Table7[[#This Row],[Threshold of Midpoint ratio]]</f>
        <v>0</v>
      </c>
      <c r="AY171" t="b">
        <f>OR(Table7[[#This Row],[Extreme Response Style]:[Straight-lining with 1 deviation]],Table7[[#This Row],[Mid-point Response Style]])</f>
        <v>0</v>
      </c>
      <c r="AZ171" t="b">
        <f>OR(Table7[[#This Row],[Delete? (Stage 1)]],Table7[[#This Row],[Delete? (Stage 2)]])</f>
        <v>0</v>
      </c>
      <c r="BA171" t="s">
        <v>84</v>
      </c>
    </row>
    <row r="172" spans="1:53">
      <c r="A172">
        <v>790</v>
      </c>
      <c r="B172" s="3">
        <v>46049.775567129604</v>
      </c>
      <c r="C172" s="3">
        <v>46049.781990740703</v>
      </c>
      <c r="D172" t="s">
        <v>53</v>
      </c>
      <c r="G172" t="s">
        <v>54</v>
      </c>
      <c r="H172" t="s">
        <v>63</v>
      </c>
      <c r="I172" t="s">
        <v>56</v>
      </c>
      <c r="J172" t="s">
        <v>62</v>
      </c>
      <c r="K172" t="s">
        <v>62</v>
      </c>
      <c r="L172" t="s">
        <v>58</v>
      </c>
      <c r="M172" t="s">
        <v>58</v>
      </c>
      <c r="N172">
        <v>4</v>
      </c>
      <c r="O172">
        <v>2</v>
      </c>
      <c r="P172">
        <v>3</v>
      </c>
      <c r="Q172">
        <v>2</v>
      </c>
      <c r="R172">
        <v>5</v>
      </c>
      <c r="S172">
        <v>4</v>
      </c>
      <c r="T172">
        <v>4</v>
      </c>
      <c r="U172">
        <v>2</v>
      </c>
      <c r="V172">
        <v>5</v>
      </c>
      <c r="W172">
        <v>5</v>
      </c>
      <c r="X172">
        <v>4</v>
      </c>
      <c r="Y172">
        <v>5</v>
      </c>
      <c r="Z172">
        <v>5</v>
      </c>
      <c r="AA172">
        <v>4</v>
      </c>
      <c r="AB172">
        <v>1</v>
      </c>
      <c r="AC172">
        <v>2</v>
      </c>
      <c r="AD172">
        <v>4</v>
      </c>
      <c r="AE172">
        <v>5</v>
      </c>
      <c r="AF172">
        <v>5</v>
      </c>
      <c r="AG172">
        <v>2</v>
      </c>
      <c r="AH172">
        <v>4</v>
      </c>
      <c r="AI172">
        <v>2</v>
      </c>
      <c r="AJ172">
        <v>1</v>
      </c>
      <c r="AK172" t="b">
        <f>Table7[[#This Row],[What is your age?]]&lt;&gt;"18 - 25"</f>
        <v>0</v>
      </c>
      <c r="AL172" t="b">
        <f t="shared" si="6"/>
        <v>0</v>
      </c>
      <c r="AM172" t="b">
        <f t="shared" si="7"/>
        <v>0</v>
      </c>
      <c r="AN172" t="b">
        <f t="shared" si="8"/>
        <v>0</v>
      </c>
      <c r="AO172" t="b">
        <f>OR(Table7[[#This Row],[Ineligible respondents]:[Inconsistent response on opposite question (3)]])</f>
        <v>0</v>
      </c>
      <c r="AP17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8</v>
      </c>
      <c r="AQ172">
        <f>Table7[[#This Row],[Extreme Response]]/21</f>
        <v>0.38095238095238093</v>
      </c>
      <c r="AR172">
        <f>Table67[[#This Row],[Threshold of ERS]]</f>
        <v>0.61904761904761907</v>
      </c>
      <c r="AS172" t="b">
        <f>Table7[[#This Row],[Extrem Response Ratio (ERS)]]&gt;=Table7[[#This Row],[Threshold of ERS]]</f>
        <v>0</v>
      </c>
      <c r="AT172" t="b" cm="1">
        <f t="array" ref="AT17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72">
        <f>COUNTIF(Table7[[#This Row],[The mechanism of digital assets is difficult to understand, which discourages me from exploring it (E.g, Tokenization, Blockchain)]:[If I want to try different ways to invest, I will explore digital assets.]], 3)</f>
        <v>1</v>
      </c>
      <c r="AV172">
        <f>Table7[[#This Row],[Midpoint]]/21</f>
        <v>4.7619047619047616E-2</v>
      </c>
      <c r="AW172">
        <f>Table67[[#This Row],[Threshold of Midpoint ratio]]</f>
        <v>0.5714285714285714</v>
      </c>
      <c r="AX172" t="b">
        <f>Table7[[#This Row],[Midpoint ratio]]&gt;=Table7[[#This Row],[Threshold of Midpoint ratio]]</f>
        <v>0</v>
      </c>
      <c r="AY172" t="b">
        <f>OR(Table7[[#This Row],[Extreme Response Style]:[Straight-lining with 1 deviation]],Table7[[#This Row],[Mid-point Response Style]])</f>
        <v>0</v>
      </c>
      <c r="AZ172" t="b">
        <f>OR(Table7[[#This Row],[Delete? (Stage 1)]],Table7[[#This Row],[Delete? (Stage 2)]])</f>
        <v>0</v>
      </c>
      <c r="BA172" t="s">
        <v>84</v>
      </c>
    </row>
    <row r="173" spans="1:53">
      <c r="A173">
        <v>794</v>
      </c>
      <c r="B173" s="3">
        <v>46049.777719907397</v>
      </c>
      <c r="C173" s="3">
        <v>46049.783865740697</v>
      </c>
      <c r="D173" t="s">
        <v>53</v>
      </c>
      <c r="G173" t="s">
        <v>54</v>
      </c>
      <c r="H173" t="s">
        <v>63</v>
      </c>
      <c r="I173" t="s">
        <v>56</v>
      </c>
      <c r="J173" t="s">
        <v>62</v>
      </c>
      <c r="K173" t="s">
        <v>62</v>
      </c>
      <c r="L173" t="s">
        <v>61</v>
      </c>
      <c r="M173" t="s">
        <v>61</v>
      </c>
      <c r="N173">
        <v>2</v>
      </c>
      <c r="O173">
        <v>3</v>
      </c>
      <c r="P173">
        <v>2</v>
      </c>
      <c r="Q173">
        <v>2</v>
      </c>
      <c r="R173">
        <v>1</v>
      </c>
      <c r="S173">
        <v>1</v>
      </c>
      <c r="T173">
        <v>1</v>
      </c>
      <c r="U173">
        <v>2</v>
      </c>
      <c r="V173">
        <v>1</v>
      </c>
      <c r="W173">
        <v>1</v>
      </c>
      <c r="X173">
        <v>2</v>
      </c>
      <c r="Y173">
        <v>1</v>
      </c>
      <c r="Z173">
        <v>4</v>
      </c>
      <c r="AA173">
        <v>1</v>
      </c>
      <c r="AB173">
        <v>1</v>
      </c>
      <c r="AC173">
        <v>2</v>
      </c>
      <c r="AD173">
        <v>3</v>
      </c>
      <c r="AE173">
        <v>1</v>
      </c>
      <c r="AF173">
        <v>5</v>
      </c>
      <c r="AG173">
        <v>1</v>
      </c>
      <c r="AH173">
        <v>5</v>
      </c>
      <c r="AI173">
        <v>1</v>
      </c>
      <c r="AJ173">
        <v>1</v>
      </c>
      <c r="AK173" t="b">
        <f>Table7[[#This Row],[What is your age?]]&lt;&gt;"18 - 25"</f>
        <v>0</v>
      </c>
      <c r="AL173" t="b">
        <f t="shared" si="6"/>
        <v>0</v>
      </c>
      <c r="AM173" t="b">
        <f t="shared" si="7"/>
        <v>0</v>
      </c>
      <c r="AN173" t="b">
        <f t="shared" si="8"/>
        <v>0</v>
      </c>
      <c r="AO173" t="b">
        <f>OR(Table7[[#This Row],[Ineligible respondents]:[Inconsistent response on opposite question (3)]])</f>
        <v>0</v>
      </c>
      <c r="AP17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12</v>
      </c>
      <c r="AQ173">
        <f>Table7[[#This Row],[Extreme Response]]/21</f>
        <v>0.5714285714285714</v>
      </c>
      <c r="AR173">
        <f>Table67[[#This Row],[Threshold of ERS]]</f>
        <v>0.61904761904761907</v>
      </c>
      <c r="AS173" t="b">
        <f>Table7[[#This Row],[Extrem Response Ratio (ERS)]]&gt;=Table7[[#This Row],[Threshold of ERS]]</f>
        <v>0</v>
      </c>
      <c r="AT173" t="b" cm="1">
        <f t="array" ref="AT17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73">
        <f>COUNTIF(Table7[[#This Row],[The mechanism of digital assets is difficult to understand, which discourages me from exploring it (E.g, Tokenization, Blockchain)]:[If I want to try different ways to invest, I will explore digital assets.]], 3)</f>
        <v>2</v>
      </c>
      <c r="AV173">
        <f>Table7[[#This Row],[Midpoint]]/21</f>
        <v>9.5238095238095233E-2</v>
      </c>
      <c r="AW173">
        <f>Table67[[#This Row],[Threshold of Midpoint ratio]]</f>
        <v>0.5714285714285714</v>
      </c>
      <c r="AX173" t="b">
        <f>Table7[[#This Row],[Midpoint ratio]]&gt;=Table7[[#This Row],[Threshold of Midpoint ratio]]</f>
        <v>0</v>
      </c>
      <c r="AY173" t="b">
        <f>OR(Table7[[#This Row],[Extreme Response Style]:[Straight-lining with 1 deviation]],Table7[[#This Row],[Mid-point Response Style]])</f>
        <v>0</v>
      </c>
      <c r="AZ173" t="b">
        <f>OR(Table7[[#This Row],[Delete? (Stage 1)]],Table7[[#This Row],[Delete? (Stage 2)]])</f>
        <v>0</v>
      </c>
      <c r="BA173" t="s">
        <v>84</v>
      </c>
    </row>
    <row r="174" spans="1:53">
      <c r="A174">
        <v>803</v>
      </c>
      <c r="B174" s="3">
        <v>46049.794074074103</v>
      </c>
      <c r="C174" s="3">
        <v>46049.802523148101</v>
      </c>
      <c r="D174" t="s">
        <v>53</v>
      </c>
      <c r="G174" t="s">
        <v>54</v>
      </c>
      <c r="H174" t="s">
        <v>63</v>
      </c>
      <c r="I174" t="s">
        <v>56</v>
      </c>
      <c r="J174" t="s">
        <v>62</v>
      </c>
      <c r="K174" t="s">
        <v>57</v>
      </c>
      <c r="L174" t="s">
        <v>61</v>
      </c>
      <c r="M174" t="s">
        <v>61</v>
      </c>
      <c r="N174">
        <v>2</v>
      </c>
      <c r="O174">
        <v>2</v>
      </c>
      <c r="P174">
        <v>4</v>
      </c>
      <c r="Q174">
        <v>2</v>
      </c>
      <c r="R174">
        <v>2</v>
      </c>
      <c r="S174">
        <v>4</v>
      </c>
      <c r="T174">
        <v>2</v>
      </c>
      <c r="U174">
        <v>4</v>
      </c>
      <c r="V174">
        <v>3</v>
      </c>
      <c r="W174">
        <v>4</v>
      </c>
      <c r="X174">
        <v>4</v>
      </c>
      <c r="Y174">
        <v>4</v>
      </c>
      <c r="Z174">
        <v>3</v>
      </c>
      <c r="AA174">
        <v>2</v>
      </c>
      <c r="AB174">
        <v>3</v>
      </c>
      <c r="AC174">
        <v>3</v>
      </c>
      <c r="AD174">
        <v>4</v>
      </c>
      <c r="AE174">
        <v>1</v>
      </c>
      <c r="AF174">
        <v>5</v>
      </c>
      <c r="AG174">
        <v>2</v>
      </c>
      <c r="AH174">
        <v>4</v>
      </c>
      <c r="AI174">
        <v>2</v>
      </c>
      <c r="AJ174">
        <v>1</v>
      </c>
      <c r="AK174" t="b">
        <f>Table7[[#This Row],[What is your age?]]&lt;&gt;"18 - 25"</f>
        <v>0</v>
      </c>
      <c r="AL174" t="b">
        <f t="shared" si="6"/>
        <v>0</v>
      </c>
      <c r="AM174" t="b">
        <f t="shared" si="7"/>
        <v>0</v>
      </c>
      <c r="AN174" t="b">
        <f t="shared" si="8"/>
        <v>0</v>
      </c>
      <c r="AO174" t="b">
        <f>OR(Table7[[#This Row],[Ineligible respondents]:[Inconsistent response on opposite question (3)]])</f>
        <v>0</v>
      </c>
      <c r="AP17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174">
        <f>Table7[[#This Row],[Extreme Response]]/21</f>
        <v>9.5238095238095233E-2</v>
      </c>
      <c r="AR174">
        <f>Table67[[#This Row],[Threshold of ERS]]</f>
        <v>0.61904761904761907</v>
      </c>
      <c r="AS174" t="b">
        <f>Table7[[#This Row],[Extrem Response Ratio (ERS)]]&gt;=Table7[[#This Row],[Threshold of ERS]]</f>
        <v>0</v>
      </c>
      <c r="AT174" t="b" cm="1">
        <f t="array" ref="AT17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74">
        <f>COUNTIF(Table7[[#This Row],[The mechanism of digital assets is difficult to understand, which discourages me from exploring it (E.g, Tokenization, Blockchain)]:[If I want to try different ways to invest, I will explore digital assets.]], 3)</f>
        <v>4</v>
      </c>
      <c r="AV174">
        <f>Table7[[#This Row],[Midpoint]]/21</f>
        <v>0.19047619047619047</v>
      </c>
      <c r="AW174">
        <f>Table67[[#This Row],[Threshold of Midpoint ratio]]</f>
        <v>0.5714285714285714</v>
      </c>
      <c r="AX174" t="b">
        <f>Table7[[#This Row],[Midpoint ratio]]&gt;=Table7[[#This Row],[Threshold of Midpoint ratio]]</f>
        <v>0</v>
      </c>
      <c r="AY174" t="b">
        <f>OR(Table7[[#This Row],[Extreme Response Style]:[Straight-lining with 1 deviation]],Table7[[#This Row],[Mid-point Response Style]])</f>
        <v>0</v>
      </c>
      <c r="AZ174" t="b">
        <f>OR(Table7[[#This Row],[Delete? (Stage 1)]],Table7[[#This Row],[Delete? (Stage 2)]])</f>
        <v>0</v>
      </c>
      <c r="BA174" t="s">
        <v>84</v>
      </c>
    </row>
    <row r="175" spans="1:53">
      <c r="A175">
        <v>813</v>
      </c>
      <c r="B175" s="3">
        <v>46049.833113425899</v>
      </c>
      <c r="C175" s="3">
        <v>46049.853321759299</v>
      </c>
      <c r="D175" t="s">
        <v>53</v>
      </c>
      <c r="G175" t="s">
        <v>54</v>
      </c>
      <c r="H175" t="s">
        <v>63</v>
      </c>
      <c r="I175" t="s">
        <v>75</v>
      </c>
      <c r="J175" t="s">
        <v>60</v>
      </c>
      <c r="K175" t="s">
        <v>65</v>
      </c>
      <c r="L175" t="s">
        <v>58</v>
      </c>
      <c r="M175" t="s">
        <v>58</v>
      </c>
      <c r="N175">
        <v>4</v>
      </c>
      <c r="O175">
        <v>2</v>
      </c>
      <c r="P175">
        <v>4</v>
      </c>
      <c r="Q175">
        <v>3</v>
      </c>
      <c r="R175">
        <v>2</v>
      </c>
      <c r="S175">
        <v>3</v>
      </c>
      <c r="T175">
        <v>4</v>
      </c>
      <c r="U175">
        <v>5</v>
      </c>
      <c r="V175">
        <v>4</v>
      </c>
      <c r="W175">
        <v>4</v>
      </c>
      <c r="X175">
        <v>5</v>
      </c>
      <c r="Y175">
        <v>3</v>
      </c>
      <c r="Z175">
        <v>4</v>
      </c>
      <c r="AA175">
        <v>4</v>
      </c>
      <c r="AB175">
        <v>3</v>
      </c>
      <c r="AC175">
        <v>4</v>
      </c>
      <c r="AD175">
        <v>5</v>
      </c>
      <c r="AE175">
        <v>5</v>
      </c>
      <c r="AF175">
        <v>2</v>
      </c>
      <c r="AG175">
        <v>5</v>
      </c>
      <c r="AH175">
        <v>2</v>
      </c>
      <c r="AI175">
        <v>4</v>
      </c>
      <c r="AJ175">
        <v>4</v>
      </c>
      <c r="AK175" t="b">
        <f>Table7[[#This Row],[What is your age?]]&lt;&gt;"18 - 25"</f>
        <v>0</v>
      </c>
      <c r="AL175" t="b">
        <f t="shared" si="6"/>
        <v>0</v>
      </c>
      <c r="AM175" t="b">
        <f t="shared" si="7"/>
        <v>0</v>
      </c>
      <c r="AN175" t="b">
        <f t="shared" si="8"/>
        <v>0</v>
      </c>
      <c r="AO175" t="b">
        <f>OR(Table7[[#This Row],[Ineligible respondents]:[Inconsistent response on opposite question (3)]])</f>
        <v>0</v>
      </c>
      <c r="AP17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5</v>
      </c>
      <c r="AQ175">
        <f>Table7[[#This Row],[Extreme Response]]/21</f>
        <v>0.23809523809523808</v>
      </c>
      <c r="AR175">
        <f>Table67[[#This Row],[Threshold of ERS]]</f>
        <v>0.61904761904761907</v>
      </c>
      <c r="AS175" t="b">
        <f>Table7[[#This Row],[Extrem Response Ratio (ERS)]]&gt;=Table7[[#This Row],[Threshold of ERS]]</f>
        <v>0</v>
      </c>
      <c r="AT175" t="b" cm="1">
        <f t="array" ref="AT17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75">
        <f>COUNTIF(Table7[[#This Row],[The mechanism of digital assets is difficult to understand, which discourages me from exploring it (E.g, Tokenization, Blockchain)]:[If I want to try different ways to invest, I will explore digital assets.]], 3)</f>
        <v>4</v>
      </c>
      <c r="AV175">
        <f>Table7[[#This Row],[Midpoint]]/21</f>
        <v>0.19047619047619047</v>
      </c>
      <c r="AW175">
        <f>Table67[[#This Row],[Threshold of Midpoint ratio]]</f>
        <v>0.5714285714285714</v>
      </c>
      <c r="AX175" t="b">
        <f>Table7[[#This Row],[Midpoint ratio]]&gt;=Table7[[#This Row],[Threshold of Midpoint ratio]]</f>
        <v>0</v>
      </c>
      <c r="AY175" t="b">
        <f>OR(Table7[[#This Row],[Extreme Response Style]:[Straight-lining with 1 deviation]],Table7[[#This Row],[Mid-point Response Style]])</f>
        <v>0</v>
      </c>
      <c r="AZ175" t="b">
        <f>OR(Table7[[#This Row],[Delete? (Stage 1)]],Table7[[#This Row],[Delete? (Stage 2)]])</f>
        <v>0</v>
      </c>
      <c r="BA175" t="s">
        <v>84</v>
      </c>
    </row>
    <row r="176" spans="1:53">
      <c r="A176">
        <v>815</v>
      </c>
      <c r="B176" s="3">
        <v>46049.842372685198</v>
      </c>
      <c r="C176" s="3">
        <v>46049.8516087963</v>
      </c>
      <c r="D176" t="s">
        <v>53</v>
      </c>
      <c r="G176" t="s">
        <v>54</v>
      </c>
      <c r="H176" t="s">
        <v>63</v>
      </c>
      <c r="I176" t="s">
        <v>56</v>
      </c>
      <c r="J176" t="s">
        <v>64</v>
      </c>
      <c r="K176" t="s">
        <v>62</v>
      </c>
      <c r="L176" t="s">
        <v>58</v>
      </c>
      <c r="M176" t="s">
        <v>58</v>
      </c>
      <c r="N176">
        <v>4</v>
      </c>
      <c r="O176">
        <v>2</v>
      </c>
      <c r="P176">
        <v>4</v>
      </c>
      <c r="Q176">
        <v>4</v>
      </c>
      <c r="R176">
        <v>4</v>
      </c>
      <c r="S176">
        <v>4</v>
      </c>
      <c r="T176">
        <v>5</v>
      </c>
      <c r="U176">
        <v>5</v>
      </c>
      <c r="V176">
        <v>5</v>
      </c>
      <c r="W176">
        <v>5</v>
      </c>
      <c r="X176">
        <v>5</v>
      </c>
      <c r="Y176">
        <v>5</v>
      </c>
      <c r="Z176">
        <v>5</v>
      </c>
      <c r="AA176">
        <v>5</v>
      </c>
      <c r="AB176">
        <v>5</v>
      </c>
      <c r="AC176">
        <v>3</v>
      </c>
      <c r="AD176">
        <v>5</v>
      </c>
      <c r="AE176">
        <v>2</v>
      </c>
      <c r="AF176">
        <v>2</v>
      </c>
      <c r="AG176">
        <v>5</v>
      </c>
      <c r="AH176">
        <v>2</v>
      </c>
      <c r="AI176">
        <v>4</v>
      </c>
      <c r="AJ176">
        <v>4</v>
      </c>
      <c r="AK176" t="b">
        <f>Table7[[#This Row],[What is your age?]]&lt;&gt;"18 - 25"</f>
        <v>0</v>
      </c>
      <c r="AL176" t="b">
        <f t="shared" si="6"/>
        <v>0</v>
      </c>
      <c r="AM176" t="b">
        <f t="shared" si="7"/>
        <v>0</v>
      </c>
      <c r="AN176" t="b">
        <f t="shared" si="8"/>
        <v>0</v>
      </c>
      <c r="AO176" t="b">
        <f>OR(Table7[[#This Row],[Ineligible respondents]:[Inconsistent response on opposite question (3)]])</f>
        <v>0</v>
      </c>
      <c r="AP17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11</v>
      </c>
      <c r="AQ176">
        <f>Table7[[#This Row],[Extreme Response]]/21</f>
        <v>0.52380952380952384</v>
      </c>
      <c r="AR176">
        <f>Table67[[#This Row],[Threshold of ERS]]</f>
        <v>0.61904761904761907</v>
      </c>
      <c r="AS176" t="b">
        <f>Table7[[#This Row],[Extrem Response Ratio (ERS)]]&gt;=Table7[[#This Row],[Threshold of ERS]]</f>
        <v>0</v>
      </c>
      <c r="AT176" t="b" cm="1">
        <f t="array" ref="AT17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76">
        <f>COUNTIF(Table7[[#This Row],[The mechanism of digital assets is difficult to understand, which discourages me from exploring it (E.g, Tokenization, Blockchain)]:[If I want to try different ways to invest, I will explore digital assets.]], 3)</f>
        <v>1</v>
      </c>
      <c r="AV176">
        <f>Table7[[#This Row],[Midpoint]]/21</f>
        <v>4.7619047619047616E-2</v>
      </c>
      <c r="AW176">
        <f>Table67[[#This Row],[Threshold of Midpoint ratio]]</f>
        <v>0.5714285714285714</v>
      </c>
      <c r="AX176" t="b">
        <f>Table7[[#This Row],[Midpoint ratio]]&gt;=Table7[[#This Row],[Threshold of Midpoint ratio]]</f>
        <v>0</v>
      </c>
      <c r="AY176" t="b">
        <f>OR(Table7[[#This Row],[Extreme Response Style]:[Straight-lining with 1 deviation]],Table7[[#This Row],[Mid-point Response Style]])</f>
        <v>0</v>
      </c>
      <c r="AZ176" t="b">
        <f>OR(Table7[[#This Row],[Delete? (Stage 1)]],Table7[[#This Row],[Delete? (Stage 2)]])</f>
        <v>0</v>
      </c>
      <c r="BA176" t="s">
        <v>84</v>
      </c>
    </row>
    <row r="177" spans="1:53">
      <c r="A177">
        <v>820</v>
      </c>
      <c r="B177" s="3">
        <v>46056.873576388898</v>
      </c>
      <c r="C177" s="3">
        <v>46056.8762615741</v>
      </c>
      <c r="D177" t="s">
        <v>53</v>
      </c>
      <c r="G177" t="s">
        <v>54</v>
      </c>
      <c r="H177" t="s">
        <v>63</v>
      </c>
      <c r="I177" t="s">
        <v>56</v>
      </c>
      <c r="J177" t="s">
        <v>60</v>
      </c>
      <c r="K177" t="s">
        <v>57</v>
      </c>
      <c r="L177" t="s">
        <v>58</v>
      </c>
      <c r="M177" t="s">
        <v>58</v>
      </c>
      <c r="N177">
        <v>3</v>
      </c>
      <c r="O177">
        <v>3</v>
      </c>
      <c r="P177">
        <v>4</v>
      </c>
      <c r="Q177">
        <v>3</v>
      </c>
      <c r="R177">
        <v>4</v>
      </c>
      <c r="S177">
        <v>4</v>
      </c>
      <c r="T177">
        <v>4</v>
      </c>
      <c r="U177">
        <v>4</v>
      </c>
      <c r="V177">
        <v>4</v>
      </c>
      <c r="W177">
        <v>3</v>
      </c>
      <c r="X177">
        <v>3</v>
      </c>
      <c r="Y177">
        <v>4</v>
      </c>
      <c r="Z177">
        <v>4</v>
      </c>
      <c r="AA177">
        <v>3</v>
      </c>
      <c r="AB177">
        <v>3</v>
      </c>
      <c r="AC177">
        <v>4</v>
      </c>
      <c r="AD177">
        <v>5</v>
      </c>
      <c r="AE177">
        <v>4</v>
      </c>
      <c r="AF177">
        <v>1</v>
      </c>
      <c r="AG177">
        <v>4</v>
      </c>
      <c r="AH177">
        <v>1</v>
      </c>
      <c r="AI177">
        <v>5</v>
      </c>
      <c r="AJ177">
        <v>5</v>
      </c>
      <c r="AK177" t="b">
        <f>Table7[[#This Row],[What is your age?]]&lt;&gt;"18 - 25"</f>
        <v>0</v>
      </c>
      <c r="AL177" t="b">
        <f t="shared" si="6"/>
        <v>0</v>
      </c>
      <c r="AM177" t="b">
        <f t="shared" si="7"/>
        <v>0</v>
      </c>
      <c r="AN177" t="b">
        <f t="shared" si="8"/>
        <v>0</v>
      </c>
      <c r="AO177" t="b">
        <f>OR(Table7[[#This Row],[Ineligible respondents]:[Inconsistent response on opposite question (3)]])</f>
        <v>0</v>
      </c>
      <c r="AP17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177">
        <f>Table7[[#This Row],[Extreme Response]]/21</f>
        <v>0.14285714285714285</v>
      </c>
      <c r="AR177">
        <f>Table67[[#This Row],[Threshold of ERS]]</f>
        <v>0.61904761904761907</v>
      </c>
      <c r="AS177" t="b">
        <f>Table7[[#This Row],[Extrem Response Ratio (ERS)]]&gt;=Table7[[#This Row],[Threshold of ERS]]</f>
        <v>0</v>
      </c>
      <c r="AT177" t="b" cm="1">
        <f t="array" ref="AT17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77">
        <f>COUNTIF(Table7[[#This Row],[The mechanism of digital assets is difficult to understand, which discourages me from exploring it (E.g, Tokenization, Blockchain)]:[If I want to try different ways to invest, I will explore digital assets.]], 3)</f>
        <v>7</v>
      </c>
      <c r="AV177">
        <f>Table7[[#This Row],[Midpoint]]/21</f>
        <v>0.33333333333333331</v>
      </c>
      <c r="AW177">
        <f>Table67[[#This Row],[Threshold of Midpoint ratio]]</f>
        <v>0.5714285714285714</v>
      </c>
      <c r="AX177" t="b">
        <f>Table7[[#This Row],[Midpoint ratio]]&gt;=Table7[[#This Row],[Threshold of Midpoint ratio]]</f>
        <v>0</v>
      </c>
      <c r="AY177" t="b">
        <f>OR(Table7[[#This Row],[Extreme Response Style]:[Straight-lining with 1 deviation]],Table7[[#This Row],[Mid-point Response Style]])</f>
        <v>0</v>
      </c>
      <c r="AZ177" t="b">
        <f>OR(Table7[[#This Row],[Delete? (Stage 1)]],Table7[[#This Row],[Delete? (Stage 2)]])</f>
        <v>0</v>
      </c>
      <c r="BA177" t="s">
        <v>84</v>
      </c>
    </row>
    <row r="178" spans="1:53">
      <c r="A178">
        <v>823</v>
      </c>
      <c r="B178" s="3">
        <v>46056.873611111099</v>
      </c>
      <c r="C178" s="3">
        <v>46056.875821759299</v>
      </c>
      <c r="D178" t="s">
        <v>53</v>
      </c>
      <c r="G178" t="s">
        <v>54</v>
      </c>
      <c r="H178" t="s">
        <v>63</v>
      </c>
      <c r="I178" t="s">
        <v>71</v>
      </c>
      <c r="J178" t="s">
        <v>57</v>
      </c>
      <c r="K178" t="s">
        <v>57</v>
      </c>
      <c r="L178" t="s">
        <v>58</v>
      </c>
      <c r="M178" t="s">
        <v>58</v>
      </c>
      <c r="N178">
        <v>4</v>
      </c>
      <c r="O178">
        <v>2</v>
      </c>
      <c r="P178">
        <v>4</v>
      </c>
      <c r="Q178">
        <v>4</v>
      </c>
      <c r="R178">
        <v>4</v>
      </c>
      <c r="S178">
        <v>4</v>
      </c>
      <c r="T178">
        <v>4</v>
      </c>
      <c r="U178">
        <v>4</v>
      </c>
      <c r="V178">
        <v>4</v>
      </c>
      <c r="W178">
        <v>4</v>
      </c>
      <c r="X178">
        <v>4</v>
      </c>
      <c r="Y178">
        <v>4</v>
      </c>
      <c r="Z178">
        <v>4</v>
      </c>
      <c r="AA178">
        <v>4</v>
      </c>
      <c r="AB178">
        <v>3</v>
      </c>
      <c r="AC178">
        <v>4</v>
      </c>
      <c r="AD178">
        <v>4</v>
      </c>
      <c r="AE178">
        <v>3</v>
      </c>
      <c r="AF178">
        <v>1</v>
      </c>
      <c r="AG178">
        <v>4</v>
      </c>
      <c r="AH178">
        <v>1</v>
      </c>
      <c r="AI178">
        <v>5</v>
      </c>
      <c r="AJ178">
        <v>5</v>
      </c>
      <c r="AK178" t="b">
        <f>Table7[[#This Row],[What is your age?]]&lt;&gt;"18 - 25"</f>
        <v>0</v>
      </c>
      <c r="AL178" t="b">
        <f t="shared" si="6"/>
        <v>0</v>
      </c>
      <c r="AM178" t="b">
        <f t="shared" si="7"/>
        <v>0</v>
      </c>
      <c r="AN178" t="b">
        <f t="shared" si="8"/>
        <v>0</v>
      </c>
      <c r="AO178" t="b">
        <f>OR(Table7[[#This Row],[Ineligible respondents]:[Inconsistent response on opposite question (3)]])</f>
        <v>0</v>
      </c>
      <c r="AP17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178">
        <f>Table7[[#This Row],[Extreme Response]]/21</f>
        <v>9.5238095238095233E-2</v>
      </c>
      <c r="AR178">
        <f>Table67[[#This Row],[Threshold of ERS]]</f>
        <v>0.61904761904761907</v>
      </c>
      <c r="AS178" t="b">
        <f>Table7[[#This Row],[Extrem Response Ratio (ERS)]]&gt;=Table7[[#This Row],[Threshold of ERS]]</f>
        <v>0</v>
      </c>
      <c r="AT178" t="b" cm="1">
        <f t="array" ref="AT17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78">
        <f>COUNTIF(Table7[[#This Row],[The mechanism of digital assets is difficult to understand, which discourages me from exploring it (E.g, Tokenization, Blockchain)]:[If I want to try different ways to invest, I will explore digital assets.]], 3)</f>
        <v>2</v>
      </c>
      <c r="AV178">
        <f>Table7[[#This Row],[Midpoint]]/21</f>
        <v>9.5238095238095233E-2</v>
      </c>
      <c r="AW178">
        <f>Table67[[#This Row],[Threshold of Midpoint ratio]]</f>
        <v>0.5714285714285714</v>
      </c>
      <c r="AX178" t="b">
        <f>Table7[[#This Row],[Midpoint ratio]]&gt;=Table7[[#This Row],[Threshold of Midpoint ratio]]</f>
        <v>0</v>
      </c>
      <c r="AY178" t="b">
        <f>OR(Table7[[#This Row],[Extreme Response Style]:[Straight-lining with 1 deviation]],Table7[[#This Row],[Mid-point Response Style]])</f>
        <v>0</v>
      </c>
      <c r="AZ178" t="b">
        <f>OR(Table7[[#This Row],[Delete? (Stage 1)]],Table7[[#This Row],[Delete? (Stage 2)]])</f>
        <v>0</v>
      </c>
      <c r="BA178" t="s">
        <v>84</v>
      </c>
    </row>
    <row r="179" spans="1:53">
      <c r="A179">
        <v>828</v>
      </c>
      <c r="B179" s="3">
        <v>46056.8737847222</v>
      </c>
      <c r="C179" s="3">
        <v>46056.877766203703</v>
      </c>
      <c r="D179" t="s">
        <v>53</v>
      </c>
      <c r="G179" t="s">
        <v>54</v>
      </c>
      <c r="H179" t="s">
        <v>63</v>
      </c>
      <c r="I179" t="s">
        <v>56</v>
      </c>
      <c r="J179" t="s">
        <v>65</v>
      </c>
      <c r="K179" t="s">
        <v>62</v>
      </c>
      <c r="L179" t="s">
        <v>61</v>
      </c>
      <c r="M179" t="s">
        <v>61</v>
      </c>
      <c r="N179">
        <v>4</v>
      </c>
      <c r="O179">
        <v>3</v>
      </c>
      <c r="P179">
        <v>3</v>
      </c>
      <c r="Q179">
        <v>3</v>
      </c>
      <c r="R179">
        <v>4</v>
      </c>
      <c r="S179">
        <v>4</v>
      </c>
      <c r="T179">
        <v>4</v>
      </c>
      <c r="U179">
        <v>4</v>
      </c>
      <c r="V179">
        <v>5</v>
      </c>
      <c r="W179">
        <v>4</v>
      </c>
      <c r="X179">
        <v>4</v>
      </c>
      <c r="Y179">
        <v>3</v>
      </c>
      <c r="Z179">
        <v>4</v>
      </c>
      <c r="AA179">
        <v>4</v>
      </c>
      <c r="AB179">
        <v>4</v>
      </c>
      <c r="AC179">
        <v>4</v>
      </c>
      <c r="AD179">
        <v>4</v>
      </c>
      <c r="AE179">
        <v>4</v>
      </c>
      <c r="AF179">
        <v>4</v>
      </c>
      <c r="AG179">
        <v>2</v>
      </c>
      <c r="AH179">
        <v>4</v>
      </c>
      <c r="AI179">
        <v>2</v>
      </c>
      <c r="AJ179">
        <v>2</v>
      </c>
      <c r="AK179" t="b">
        <f>Table7[[#This Row],[What is your age?]]&lt;&gt;"18 - 25"</f>
        <v>0</v>
      </c>
      <c r="AL179" t="b">
        <f t="shared" si="6"/>
        <v>0</v>
      </c>
      <c r="AM179" t="b">
        <f t="shared" si="7"/>
        <v>0</v>
      </c>
      <c r="AN179" t="b">
        <f t="shared" si="8"/>
        <v>0</v>
      </c>
      <c r="AO179" t="b">
        <f>OR(Table7[[#This Row],[Ineligible respondents]:[Inconsistent response on opposite question (3)]])</f>
        <v>0</v>
      </c>
      <c r="AP17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179">
        <f>Table7[[#This Row],[Extreme Response]]/21</f>
        <v>4.7619047619047616E-2</v>
      </c>
      <c r="AR179">
        <f>Table67[[#This Row],[Threshold of ERS]]</f>
        <v>0.61904761904761907</v>
      </c>
      <c r="AS179" t="b">
        <f>Table7[[#This Row],[Extrem Response Ratio (ERS)]]&gt;=Table7[[#This Row],[Threshold of ERS]]</f>
        <v>0</v>
      </c>
      <c r="AT179" t="b" cm="1">
        <f t="array" ref="AT17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79">
        <f>COUNTIF(Table7[[#This Row],[The mechanism of digital assets is difficult to understand, which discourages me from exploring it (E.g, Tokenization, Blockchain)]:[If I want to try different ways to invest, I will explore digital assets.]], 3)</f>
        <v>4</v>
      </c>
      <c r="AV179">
        <f>Table7[[#This Row],[Midpoint]]/21</f>
        <v>0.19047619047619047</v>
      </c>
      <c r="AW179">
        <f>Table67[[#This Row],[Threshold of Midpoint ratio]]</f>
        <v>0.5714285714285714</v>
      </c>
      <c r="AX179" t="b">
        <f>Table7[[#This Row],[Midpoint ratio]]&gt;=Table7[[#This Row],[Threshold of Midpoint ratio]]</f>
        <v>0</v>
      </c>
      <c r="AY179" t="b">
        <f>OR(Table7[[#This Row],[Extreme Response Style]:[Straight-lining with 1 deviation]],Table7[[#This Row],[Mid-point Response Style]])</f>
        <v>0</v>
      </c>
      <c r="AZ179" t="b">
        <f>OR(Table7[[#This Row],[Delete? (Stage 1)]],Table7[[#This Row],[Delete? (Stage 2)]])</f>
        <v>0</v>
      </c>
      <c r="BA179" t="s">
        <v>84</v>
      </c>
    </row>
    <row r="180" spans="1:53">
      <c r="A180">
        <v>829</v>
      </c>
      <c r="B180" s="3">
        <v>46056.8737847222</v>
      </c>
      <c r="C180" s="3">
        <v>46056.878344907404</v>
      </c>
      <c r="D180" t="s">
        <v>53</v>
      </c>
      <c r="G180" t="s">
        <v>54</v>
      </c>
      <c r="H180" t="s">
        <v>63</v>
      </c>
      <c r="I180" t="s">
        <v>56</v>
      </c>
      <c r="J180" t="s">
        <v>64</v>
      </c>
      <c r="K180" t="s">
        <v>57</v>
      </c>
      <c r="L180" t="s">
        <v>58</v>
      </c>
      <c r="M180" t="s">
        <v>58</v>
      </c>
      <c r="N180">
        <v>4</v>
      </c>
      <c r="O180">
        <v>4</v>
      </c>
      <c r="P180">
        <v>4</v>
      </c>
      <c r="Q180">
        <v>3</v>
      </c>
      <c r="R180">
        <v>4</v>
      </c>
      <c r="S180">
        <v>4</v>
      </c>
      <c r="T180">
        <v>2</v>
      </c>
      <c r="U180">
        <v>3</v>
      </c>
      <c r="V180">
        <v>5</v>
      </c>
      <c r="W180">
        <v>4</v>
      </c>
      <c r="X180">
        <v>4</v>
      </c>
      <c r="Y180">
        <v>4</v>
      </c>
      <c r="Z180">
        <v>4</v>
      </c>
      <c r="AA180">
        <v>5</v>
      </c>
      <c r="AB180">
        <v>2</v>
      </c>
      <c r="AC180">
        <v>3</v>
      </c>
      <c r="AD180">
        <v>5</v>
      </c>
      <c r="AE180">
        <v>2</v>
      </c>
      <c r="AF180">
        <v>4</v>
      </c>
      <c r="AG180">
        <v>2</v>
      </c>
      <c r="AH180">
        <v>4</v>
      </c>
      <c r="AI180">
        <v>2</v>
      </c>
      <c r="AJ180">
        <v>2</v>
      </c>
      <c r="AK180" t="b">
        <f>Table7[[#This Row],[What is your age?]]&lt;&gt;"18 - 25"</f>
        <v>0</v>
      </c>
      <c r="AL180" t="b">
        <f t="shared" si="6"/>
        <v>0</v>
      </c>
      <c r="AM180" t="b">
        <f t="shared" si="7"/>
        <v>0</v>
      </c>
      <c r="AN180" t="b">
        <f t="shared" si="8"/>
        <v>0</v>
      </c>
      <c r="AO180" t="b">
        <f>OR(Table7[[#This Row],[Ineligible respondents]:[Inconsistent response on opposite question (3)]])</f>
        <v>0</v>
      </c>
      <c r="AP18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180">
        <f>Table7[[#This Row],[Extreme Response]]/21</f>
        <v>0.14285714285714285</v>
      </c>
      <c r="AR180">
        <f>Table67[[#This Row],[Threshold of ERS]]</f>
        <v>0.61904761904761907</v>
      </c>
      <c r="AS180" t="b">
        <f>Table7[[#This Row],[Extrem Response Ratio (ERS)]]&gt;=Table7[[#This Row],[Threshold of ERS]]</f>
        <v>0</v>
      </c>
      <c r="AT180" t="b" cm="1">
        <f t="array" ref="AT18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80">
        <f>COUNTIF(Table7[[#This Row],[The mechanism of digital assets is difficult to understand, which discourages me from exploring it (E.g, Tokenization, Blockchain)]:[If I want to try different ways to invest, I will explore digital assets.]], 3)</f>
        <v>3</v>
      </c>
      <c r="AV180">
        <f>Table7[[#This Row],[Midpoint]]/21</f>
        <v>0.14285714285714285</v>
      </c>
      <c r="AW180">
        <f>Table67[[#This Row],[Threshold of Midpoint ratio]]</f>
        <v>0.5714285714285714</v>
      </c>
      <c r="AX180" t="b">
        <f>Table7[[#This Row],[Midpoint ratio]]&gt;=Table7[[#This Row],[Threshold of Midpoint ratio]]</f>
        <v>0</v>
      </c>
      <c r="AY180" t="b">
        <f>OR(Table7[[#This Row],[Extreme Response Style]:[Straight-lining with 1 deviation]],Table7[[#This Row],[Mid-point Response Style]])</f>
        <v>0</v>
      </c>
      <c r="AZ180" t="b">
        <f>OR(Table7[[#This Row],[Delete? (Stage 1)]],Table7[[#This Row],[Delete? (Stage 2)]])</f>
        <v>0</v>
      </c>
      <c r="BA180" t="s">
        <v>84</v>
      </c>
    </row>
    <row r="181" spans="1:53">
      <c r="A181">
        <v>832</v>
      </c>
      <c r="B181" s="3">
        <v>46056.873807870397</v>
      </c>
      <c r="C181" s="3">
        <v>46056.883113425902</v>
      </c>
      <c r="D181" t="s">
        <v>53</v>
      </c>
      <c r="G181" t="s">
        <v>54</v>
      </c>
      <c r="H181" t="s">
        <v>55</v>
      </c>
      <c r="I181" t="s">
        <v>56</v>
      </c>
      <c r="J181" t="s">
        <v>62</v>
      </c>
      <c r="K181" t="s">
        <v>62</v>
      </c>
      <c r="L181" t="s">
        <v>58</v>
      </c>
      <c r="M181" t="s">
        <v>58</v>
      </c>
      <c r="N181">
        <v>2</v>
      </c>
      <c r="O181">
        <v>2</v>
      </c>
      <c r="P181">
        <v>4</v>
      </c>
      <c r="Q181">
        <v>1</v>
      </c>
      <c r="R181">
        <v>2</v>
      </c>
      <c r="S181">
        <v>3</v>
      </c>
      <c r="T181">
        <v>2</v>
      </c>
      <c r="U181">
        <v>2</v>
      </c>
      <c r="V181">
        <v>2</v>
      </c>
      <c r="W181">
        <v>3</v>
      </c>
      <c r="X181">
        <v>2</v>
      </c>
      <c r="Y181">
        <v>2</v>
      </c>
      <c r="Z181">
        <v>2</v>
      </c>
      <c r="AA181">
        <v>2</v>
      </c>
      <c r="AB181">
        <v>2</v>
      </c>
      <c r="AC181">
        <v>2</v>
      </c>
      <c r="AD181">
        <v>3</v>
      </c>
      <c r="AE181">
        <v>4</v>
      </c>
      <c r="AF181">
        <v>3</v>
      </c>
      <c r="AG181">
        <v>2</v>
      </c>
      <c r="AH181">
        <v>4</v>
      </c>
      <c r="AI181">
        <v>2</v>
      </c>
      <c r="AJ181">
        <v>3</v>
      </c>
      <c r="AK181" t="b">
        <f>Table7[[#This Row],[What is your age?]]&lt;&gt;"18 - 25"</f>
        <v>0</v>
      </c>
      <c r="AL181" t="b">
        <f t="shared" si="6"/>
        <v>0</v>
      </c>
      <c r="AM181" t="b">
        <f t="shared" si="7"/>
        <v>0</v>
      </c>
      <c r="AN181" t="b">
        <f t="shared" si="8"/>
        <v>0</v>
      </c>
      <c r="AO181" t="b">
        <f>OR(Table7[[#This Row],[Ineligible respondents]:[Inconsistent response on opposite question (3)]])</f>
        <v>0</v>
      </c>
      <c r="AP18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181">
        <f>Table7[[#This Row],[Extreme Response]]/21</f>
        <v>4.7619047619047616E-2</v>
      </c>
      <c r="AR181">
        <f>Table67[[#This Row],[Threshold of ERS]]</f>
        <v>0.61904761904761907</v>
      </c>
      <c r="AS181" t="b">
        <f>Table7[[#This Row],[Extrem Response Ratio (ERS)]]&gt;=Table7[[#This Row],[Threshold of ERS]]</f>
        <v>0</v>
      </c>
      <c r="AT181" t="b" cm="1">
        <f t="array" ref="AT18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81">
        <f>COUNTIF(Table7[[#This Row],[The mechanism of digital assets is difficult to understand, which discourages me from exploring it (E.g, Tokenization, Blockchain)]:[If I want to try different ways to invest, I will explore digital assets.]], 3)</f>
        <v>4</v>
      </c>
      <c r="AV181">
        <f>Table7[[#This Row],[Midpoint]]/21</f>
        <v>0.19047619047619047</v>
      </c>
      <c r="AW181">
        <f>Table67[[#This Row],[Threshold of Midpoint ratio]]</f>
        <v>0.5714285714285714</v>
      </c>
      <c r="AX181" t="b">
        <f>Table7[[#This Row],[Midpoint ratio]]&gt;=Table7[[#This Row],[Threshold of Midpoint ratio]]</f>
        <v>0</v>
      </c>
      <c r="AY181" t="b">
        <f>OR(Table7[[#This Row],[Extreme Response Style]:[Straight-lining with 1 deviation]],Table7[[#This Row],[Mid-point Response Style]])</f>
        <v>0</v>
      </c>
      <c r="AZ181" t="b">
        <f>OR(Table7[[#This Row],[Delete? (Stage 1)]],Table7[[#This Row],[Delete? (Stage 2)]])</f>
        <v>0</v>
      </c>
      <c r="BA181" t="s">
        <v>84</v>
      </c>
    </row>
    <row r="182" spans="1:53">
      <c r="A182">
        <v>844</v>
      </c>
      <c r="B182" s="3">
        <v>46056.874062499999</v>
      </c>
      <c r="C182" s="3">
        <v>46056.881053240701</v>
      </c>
      <c r="D182" t="s">
        <v>53</v>
      </c>
      <c r="G182" t="s">
        <v>54</v>
      </c>
      <c r="H182" t="s">
        <v>55</v>
      </c>
      <c r="I182" t="s">
        <v>75</v>
      </c>
      <c r="J182" t="s">
        <v>62</v>
      </c>
      <c r="K182" t="s">
        <v>62</v>
      </c>
      <c r="L182" t="s">
        <v>61</v>
      </c>
      <c r="M182" t="s">
        <v>61</v>
      </c>
      <c r="N182">
        <v>4</v>
      </c>
      <c r="O182">
        <v>2</v>
      </c>
      <c r="P182">
        <v>4</v>
      </c>
      <c r="Q182">
        <v>4</v>
      </c>
      <c r="R182">
        <v>5</v>
      </c>
      <c r="S182">
        <v>4</v>
      </c>
      <c r="T182">
        <v>4</v>
      </c>
      <c r="U182">
        <v>4</v>
      </c>
      <c r="V182">
        <v>5</v>
      </c>
      <c r="W182">
        <v>5</v>
      </c>
      <c r="X182">
        <v>4</v>
      </c>
      <c r="Y182">
        <v>5</v>
      </c>
      <c r="Z182">
        <v>5</v>
      </c>
      <c r="AA182">
        <v>5</v>
      </c>
      <c r="AB182">
        <v>5</v>
      </c>
      <c r="AC182">
        <v>4</v>
      </c>
      <c r="AD182">
        <v>5</v>
      </c>
      <c r="AE182">
        <v>4</v>
      </c>
      <c r="AF182">
        <v>1</v>
      </c>
      <c r="AG182">
        <v>4</v>
      </c>
      <c r="AH182">
        <v>1</v>
      </c>
      <c r="AI182">
        <v>5</v>
      </c>
      <c r="AJ182">
        <v>5</v>
      </c>
      <c r="AK182" t="b">
        <f>Table7[[#This Row],[What is your age?]]&lt;&gt;"18 - 25"</f>
        <v>0</v>
      </c>
      <c r="AL182" t="b">
        <f t="shared" si="6"/>
        <v>0</v>
      </c>
      <c r="AM182" t="b">
        <f t="shared" si="7"/>
        <v>0</v>
      </c>
      <c r="AN182" t="b">
        <f t="shared" si="8"/>
        <v>0</v>
      </c>
      <c r="AO182" t="b">
        <f>OR(Table7[[#This Row],[Ineligible respondents]:[Inconsistent response on opposite question (3)]])</f>
        <v>0</v>
      </c>
      <c r="AP18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10</v>
      </c>
      <c r="AQ182">
        <f>Table7[[#This Row],[Extreme Response]]/21</f>
        <v>0.47619047619047616</v>
      </c>
      <c r="AR182">
        <f>Table67[[#This Row],[Threshold of ERS]]</f>
        <v>0.61904761904761907</v>
      </c>
      <c r="AS182" t="b">
        <f>Table7[[#This Row],[Extrem Response Ratio (ERS)]]&gt;=Table7[[#This Row],[Threshold of ERS]]</f>
        <v>0</v>
      </c>
      <c r="AT182" t="b" cm="1">
        <f t="array" ref="AT18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82">
        <f>COUNTIF(Table7[[#This Row],[The mechanism of digital assets is difficult to understand, which discourages me from exploring it (E.g, Tokenization, Blockchain)]:[If I want to try different ways to invest, I will explore digital assets.]], 3)</f>
        <v>0</v>
      </c>
      <c r="AV182">
        <f>Table7[[#This Row],[Midpoint]]/21</f>
        <v>0</v>
      </c>
      <c r="AW182">
        <f>Table67[[#This Row],[Threshold of Midpoint ratio]]</f>
        <v>0.5714285714285714</v>
      </c>
      <c r="AX182" t="b">
        <f>Table7[[#This Row],[Midpoint ratio]]&gt;=Table7[[#This Row],[Threshold of Midpoint ratio]]</f>
        <v>0</v>
      </c>
      <c r="AY182" t="b">
        <f>OR(Table7[[#This Row],[Extreme Response Style]:[Straight-lining with 1 deviation]],Table7[[#This Row],[Mid-point Response Style]])</f>
        <v>0</v>
      </c>
      <c r="AZ182" t="b">
        <f>OR(Table7[[#This Row],[Delete? (Stage 1)]],Table7[[#This Row],[Delete? (Stage 2)]])</f>
        <v>0</v>
      </c>
      <c r="BA182" t="s">
        <v>84</v>
      </c>
    </row>
    <row r="183" spans="1:53">
      <c r="A183">
        <v>845</v>
      </c>
      <c r="B183" s="3">
        <v>46056.8740972222</v>
      </c>
      <c r="C183" s="3">
        <v>46056.876770833303</v>
      </c>
      <c r="D183" t="s">
        <v>53</v>
      </c>
      <c r="G183" t="s">
        <v>54</v>
      </c>
      <c r="H183" t="s">
        <v>55</v>
      </c>
      <c r="I183" t="s">
        <v>56</v>
      </c>
      <c r="J183" t="s">
        <v>72</v>
      </c>
      <c r="K183" t="s">
        <v>72</v>
      </c>
      <c r="L183" t="s">
        <v>58</v>
      </c>
      <c r="M183" t="s">
        <v>58</v>
      </c>
      <c r="N183">
        <v>2</v>
      </c>
      <c r="O183">
        <v>2</v>
      </c>
      <c r="P183">
        <v>4</v>
      </c>
      <c r="Q183">
        <v>3</v>
      </c>
      <c r="R183">
        <v>2</v>
      </c>
      <c r="S183">
        <v>3</v>
      </c>
      <c r="T183">
        <v>2</v>
      </c>
      <c r="U183">
        <v>3</v>
      </c>
      <c r="V183">
        <v>3</v>
      </c>
      <c r="W183">
        <v>4</v>
      </c>
      <c r="X183">
        <v>3</v>
      </c>
      <c r="Y183">
        <v>3</v>
      </c>
      <c r="Z183">
        <v>3</v>
      </c>
      <c r="AA183">
        <v>2</v>
      </c>
      <c r="AB183">
        <v>2</v>
      </c>
      <c r="AC183">
        <v>3</v>
      </c>
      <c r="AD183">
        <v>4</v>
      </c>
      <c r="AE183">
        <v>4</v>
      </c>
      <c r="AF183">
        <v>3</v>
      </c>
      <c r="AG183">
        <v>2</v>
      </c>
      <c r="AH183">
        <v>4</v>
      </c>
      <c r="AI183">
        <v>2</v>
      </c>
      <c r="AJ183">
        <v>3</v>
      </c>
      <c r="AK183" t="b">
        <f>Table7[[#This Row],[What is your age?]]&lt;&gt;"18 - 25"</f>
        <v>0</v>
      </c>
      <c r="AL183" t="b">
        <f t="shared" si="6"/>
        <v>0</v>
      </c>
      <c r="AM183" t="b">
        <f t="shared" si="7"/>
        <v>0</v>
      </c>
      <c r="AN183" t="b">
        <f t="shared" si="8"/>
        <v>0</v>
      </c>
      <c r="AO183" t="b">
        <f>OR(Table7[[#This Row],[Ineligible respondents]:[Inconsistent response on opposite question (3)]])</f>
        <v>0</v>
      </c>
      <c r="AP18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183">
        <f>Table7[[#This Row],[Extreme Response]]/21</f>
        <v>0</v>
      </c>
      <c r="AR183">
        <f>Table67[[#This Row],[Threshold of ERS]]</f>
        <v>0.61904761904761907</v>
      </c>
      <c r="AS183" t="b">
        <f>Table7[[#This Row],[Extrem Response Ratio (ERS)]]&gt;=Table7[[#This Row],[Threshold of ERS]]</f>
        <v>0</v>
      </c>
      <c r="AT183" t="b" cm="1">
        <f t="array" ref="AT18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83">
        <f>COUNTIF(Table7[[#This Row],[The mechanism of digital assets is difficult to understand, which discourages me from exploring it (E.g, Tokenization, Blockchain)]:[If I want to try different ways to invest, I will explore digital assets.]], 3)</f>
        <v>9</v>
      </c>
      <c r="AV183">
        <f>Table7[[#This Row],[Midpoint]]/21</f>
        <v>0.42857142857142855</v>
      </c>
      <c r="AW183">
        <f>Table67[[#This Row],[Threshold of Midpoint ratio]]</f>
        <v>0.5714285714285714</v>
      </c>
      <c r="AX183" t="b">
        <f>Table7[[#This Row],[Midpoint ratio]]&gt;=Table7[[#This Row],[Threshold of Midpoint ratio]]</f>
        <v>0</v>
      </c>
      <c r="AY183" t="b">
        <f>OR(Table7[[#This Row],[Extreme Response Style]:[Straight-lining with 1 deviation]],Table7[[#This Row],[Mid-point Response Style]])</f>
        <v>0</v>
      </c>
      <c r="AZ183" t="b">
        <f>OR(Table7[[#This Row],[Delete? (Stage 1)]],Table7[[#This Row],[Delete? (Stage 2)]])</f>
        <v>0</v>
      </c>
      <c r="BA183" t="s">
        <v>84</v>
      </c>
    </row>
    <row r="184" spans="1:53">
      <c r="A184">
        <v>851</v>
      </c>
      <c r="B184" s="3">
        <v>46056.874259259297</v>
      </c>
      <c r="C184" s="3">
        <v>46056.8769791667</v>
      </c>
      <c r="D184" t="s">
        <v>53</v>
      </c>
      <c r="G184" t="s">
        <v>54</v>
      </c>
      <c r="H184" t="s">
        <v>63</v>
      </c>
      <c r="I184" t="s">
        <v>56</v>
      </c>
      <c r="J184" t="s">
        <v>64</v>
      </c>
      <c r="K184" t="s">
        <v>60</v>
      </c>
      <c r="L184" t="s">
        <v>58</v>
      </c>
      <c r="M184" t="s">
        <v>58</v>
      </c>
      <c r="N184">
        <v>5</v>
      </c>
      <c r="O184">
        <v>3</v>
      </c>
      <c r="P184">
        <v>5</v>
      </c>
      <c r="Q184">
        <v>4</v>
      </c>
      <c r="R184">
        <v>4</v>
      </c>
      <c r="S184">
        <v>4</v>
      </c>
      <c r="T184">
        <v>4</v>
      </c>
      <c r="U184">
        <v>4</v>
      </c>
      <c r="V184">
        <v>3</v>
      </c>
      <c r="W184">
        <v>5</v>
      </c>
      <c r="X184">
        <v>3</v>
      </c>
      <c r="Y184">
        <v>4</v>
      </c>
      <c r="Z184">
        <v>4</v>
      </c>
      <c r="AA184">
        <v>5</v>
      </c>
      <c r="AB184">
        <v>4</v>
      </c>
      <c r="AC184">
        <v>4</v>
      </c>
      <c r="AD184">
        <v>3</v>
      </c>
      <c r="AE184">
        <v>4</v>
      </c>
      <c r="AF184">
        <v>2</v>
      </c>
      <c r="AG184">
        <v>3</v>
      </c>
      <c r="AH184">
        <v>3</v>
      </c>
      <c r="AI184">
        <v>3</v>
      </c>
      <c r="AJ184">
        <v>4</v>
      </c>
      <c r="AK184" t="b">
        <f>Table7[[#This Row],[What is your age?]]&lt;&gt;"18 - 25"</f>
        <v>0</v>
      </c>
      <c r="AL184" t="b">
        <f t="shared" si="6"/>
        <v>0</v>
      </c>
      <c r="AM184" t="b">
        <f t="shared" si="7"/>
        <v>0</v>
      </c>
      <c r="AN184" t="b">
        <f t="shared" si="8"/>
        <v>0</v>
      </c>
      <c r="AO184" t="b">
        <f>OR(Table7[[#This Row],[Ineligible respondents]:[Inconsistent response on opposite question (3)]])</f>
        <v>0</v>
      </c>
      <c r="AP18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184">
        <f>Table7[[#This Row],[Extreme Response]]/21</f>
        <v>0.19047619047619047</v>
      </c>
      <c r="AR184">
        <f>Table67[[#This Row],[Threshold of ERS]]</f>
        <v>0.61904761904761907</v>
      </c>
      <c r="AS184" t="b">
        <f>Table7[[#This Row],[Extrem Response Ratio (ERS)]]&gt;=Table7[[#This Row],[Threshold of ERS]]</f>
        <v>0</v>
      </c>
      <c r="AT184" t="b" cm="1">
        <f t="array" ref="AT18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84">
        <f>COUNTIF(Table7[[#This Row],[The mechanism of digital assets is difficult to understand, which discourages me from exploring it (E.g, Tokenization, Blockchain)]:[If I want to try different ways to invest, I will explore digital assets.]], 3)</f>
        <v>6</v>
      </c>
      <c r="AV184">
        <f>Table7[[#This Row],[Midpoint]]/21</f>
        <v>0.2857142857142857</v>
      </c>
      <c r="AW184">
        <f>Table67[[#This Row],[Threshold of Midpoint ratio]]</f>
        <v>0.5714285714285714</v>
      </c>
      <c r="AX184" t="b">
        <f>Table7[[#This Row],[Midpoint ratio]]&gt;=Table7[[#This Row],[Threshold of Midpoint ratio]]</f>
        <v>0</v>
      </c>
      <c r="AY184" t="b">
        <f>OR(Table7[[#This Row],[Extreme Response Style]:[Straight-lining with 1 deviation]],Table7[[#This Row],[Mid-point Response Style]])</f>
        <v>0</v>
      </c>
      <c r="AZ184" t="b">
        <f>OR(Table7[[#This Row],[Delete? (Stage 1)]],Table7[[#This Row],[Delete? (Stage 2)]])</f>
        <v>0</v>
      </c>
      <c r="BA184" t="s">
        <v>84</v>
      </c>
    </row>
    <row r="185" spans="1:53">
      <c r="A185">
        <v>852</v>
      </c>
      <c r="B185" s="3">
        <v>46056.874270833301</v>
      </c>
      <c r="C185" s="3">
        <v>46056.876400462999</v>
      </c>
      <c r="D185" t="s">
        <v>53</v>
      </c>
      <c r="G185" t="s">
        <v>54</v>
      </c>
      <c r="H185" t="s">
        <v>63</v>
      </c>
      <c r="I185" t="s">
        <v>56</v>
      </c>
      <c r="J185" t="s">
        <v>60</v>
      </c>
      <c r="K185" t="s">
        <v>62</v>
      </c>
      <c r="L185" t="s">
        <v>58</v>
      </c>
      <c r="M185" t="s">
        <v>58</v>
      </c>
      <c r="N185">
        <v>4</v>
      </c>
      <c r="O185">
        <v>3</v>
      </c>
      <c r="P185">
        <v>4</v>
      </c>
      <c r="Q185">
        <v>3</v>
      </c>
      <c r="R185">
        <v>2</v>
      </c>
      <c r="S185">
        <v>2</v>
      </c>
      <c r="T185">
        <v>3</v>
      </c>
      <c r="U185">
        <v>4</v>
      </c>
      <c r="V185">
        <v>5</v>
      </c>
      <c r="W185">
        <v>5</v>
      </c>
      <c r="X185">
        <v>3</v>
      </c>
      <c r="Y185">
        <v>5</v>
      </c>
      <c r="Z185">
        <v>5</v>
      </c>
      <c r="AA185">
        <v>3</v>
      </c>
      <c r="AB185">
        <v>2</v>
      </c>
      <c r="AC185">
        <v>3</v>
      </c>
      <c r="AD185">
        <v>3</v>
      </c>
      <c r="AE185">
        <v>3</v>
      </c>
      <c r="AF185">
        <v>5</v>
      </c>
      <c r="AG185">
        <v>2</v>
      </c>
      <c r="AH185">
        <v>4</v>
      </c>
      <c r="AI185">
        <v>2</v>
      </c>
      <c r="AJ185">
        <v>1</v>
      </c>
      <c r="AK185" t="b">
        <f>Table7[[#This Row],[What is your age?]]&lt;&gt;"18 - 25"</f>
        <v>0</v>
      </c>
      <c r="AL185" t="b">
        <f t="shared" si="6"/>
        <v>0</v>
      </c>
      <c r="AM185" t="b">
        <f t="shared" si="7"/>
        <v>0</v>
      </c>
      <c r="AN185" t="b">
        <f t="shared" si="8"/>
        <v>0</v>
      </c>
      <c r="AO185" t="b">
        <f>OR(Table7[[#This Row],[Ineligible respondents]:[Inconsistent response on opposite question (3)]])</f>
        <v>0</v>
      </c>
      <c r="AP18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5</v>
      </c>
      <c r="AQ185">
        <f>Table7[[#This Row],[Extreme Response]]/21</f>
        <v>0.23809523809523808</v>
      </c>
      <c r="AR185">
        <f>Table67[[#This Row],[Threshold of ERS]]</f>
        <v>0.61904761904761907</v>
      </c>
      <c r="AS185" t="b">
        <f>Table7[[#This Row],[Extrem Response Ratio (ERS)]]&gt;=Table7[[#This Row],[Threshold of ERS]]</f>
        <v>0</v>
      </c>
      <c r="AT185" t="b" cm="1">
        <f t="array" ref="AT18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85">
        <f>COUNTIF(Table7[[#This Row],[The mechanism of digital assets is difficult to understand, which discourages me from exploring it (E.g, Tokenization, Blockchain)]:[If I want to try different ways to invest, I will explore digital assets.]], 3)</f>
        <v>8</v>
      </c>
      <c r="AV185">
        <f>Table7[[#This Row],[Midpoint]]/21</f>
        <v>0.38095238095238093</v>
      </c>
      <c r="AW185">
        <f>Table67[[#This Row],[Threshold of Midpoint ratio]]</f>
        <v>0.5714285714285714</v>
      </c>
      <c r="AX185" t="b">
        <f>Table7[[#This Row],[Midpoint ratio]]&gt;=Table7[[#This Row],[Threshold of Midpoint ratio]]</f>
        <v>0</v>
      </c>
      <c r="AY185" t="b">
        <f>OR(Table7[[#This Row],[Extreme Response Style]:[Straight-lining with 1 deviation]],Table7[[#This Row],[Mid-point Response Style]])</f>
        <v>0</v>
      </c>
      <c r="AZ185" t="b">
        <f>OR(Table7[[#This Row],[Delete? (Stage 1)]],Table7[[#This Row],[Delete? (Stage 2)]])</f>
        <v>0</v>
      </c>
      <c r="BA185" t="s">
        <v>84</v>
      </c>
    </row>
    <row r="186" spans="1:53">
      <c r="A186">
        <v>857</v>
      </c>
      <c r="B186" s="3">
        <v>46056.874305555597</v>
      </c>
      <c r="C186" s="3">
        <v>46056.877835648098</v>
      </c>
      <c r="D186" t="s">
        <v>53</v>
      </c>
      <c r="G186" t="s">
        <v>54</v>
      </c>
      <c r="H186" t="s">
        <v>63</v>
      </c>
      <c r="I186" t="s">
        <v>56</v>
      </c>
      <c r="J186" t="s">
        <v>62</v>
      </c>
      <c r="K186" t="s">
        <v>57</v>
      </c>
      <c r="L186" t="s">
        <v>58</v>
      </c>
      <c r="M186" t="s">
        <v>58</v>
      </c>
      <c r="N186">
        <v>4</v>
      </c>
      <c r="O186">
        <v>4</v>
      </c>
      <c r="P186">
        <v>4</v>
      </c>
      <c r="Q186">
        <v>4</v>
      </c>
      <c r="R186">
        <v>5</v>
      </c>
      <c r="S186">
        <v>2</v>
      </c>
      <c r="T186">
        <v>4</v>
      </c>
      <c r="U186">
        <v>5</v>
      </c>
      <c r="V186">
        <v>5</v>
      </c>
      <c r="W186">
        <v>5</v>
      </c>
      <c r="X186">
        <v>5</v>
      </c>
      <c r="Y186">
        <v>5</v>
      </c>
      <c r="Z186">
        <v>4</v>
      </c>
      <c r="AA186">
        <v>5</v>
      </c>
      <c r="AB186">
        <v>3</v>
      </c>
      <c r="AC186">
        <v>5</v>
      </c>
      <c r="AD186">
        <v>5</v>
      </c>
      <c r="AE186">
        <v>2</v>
      </c>
      <c r="AF186">
        <v>3</v>
      </c>
      <c r="AG186">
        <v>2</v>
      </c>
      <c r="AH186">
        <v>4</v>
      </c>
      <c r="AI186">
        <v>2</v>
      </c>
      <c r="AJ186">
        <v>3</v>
      </c>
      <c r="AK186" t="b">
        <f>Table7[[#This Row],[What is your age?]]&lt;&gt;"18 - 25"</f>
        <v>0</v>
      </c>
      <c r="AL186" t="b">
        <f t="shared" si="6"/>
        <v>0</v>
      </c>
      <c r="AM186" t="b">
        <f t="shared" si="7"/>
        <v>0</v>
      </c>
      <c r="AN186" t="b">
        <f t="shared" si="8"/>
        <v>0</v>
      </c>
      <c r="AO186" t="b">
        <f>OR(Table7[[#This Row],[Ineligible respondents]:[Inconsistent response on opposite question (3)]])</f>
        <v>0</v>
      </c>
      <c r="AP18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9</v>
      </c>
      <c r="AQ186">
        <f>Table7[[#This Row],[Extreme Response]]/21</f>
        <v>0.42857142857142855</v>
      </c>
      <c r="AR186">
        <f>Table67[[#This Row],[Threshold of ERS]]</f>
        <v>0.61904761904761907</v>
      </c>
      <c r="AS186" t="b">
        <f>Table7[[#This Row],[Extrem Response Ratio (ERS)]]&gt;=Table7[[#This Row],[Threshold of ERS]]</f>
        <v>0</v>
      </c>
      <c r="AT186" t="b" cm="1">
        <f t="array" ref="AT18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86">
        <f>COUNTIF(Table7[[#This Row],[The mechanism of digital assets is difficult to understand, which discourages me from exploring it (E.g, Tokenization, Blockchain)]:[If I want to try different ways to invest, I will explore digital assets.]], 3)</f>
        <v>2</v>
      </c>
      <c r="AV186">
        <f>Table7[[#This Row],[Midpoint]]/21</f>
        <v>9.5238095238095233E-2</v>
      </c>
      <c r="AW186">
        <f>Table67[[#This Row],[Threshold of Midpoint ratio]]</f>
        <v>0.5714285714285714</v>
      </c>
      <c r="AX186" t="b">
        <f>Table7[[#This Row],[Midpoint ratio]]&gt;=Table7[[#This Row],[Threshold of Midpoint ratio]]</f>
        <v>0</v>
      </c>
      <c r="AY186" t="b">
        <f>OR(Table7[[#This Row],[Extreme Response Style]:[Straight-lining with 1 deviation]],Table7[[#This Row],[Mid-point Response Style]])</f>
        <v>0</v>
      </c>
      <c r="AZ186" t="b">
        <f>OR(Table7[[#This Row],[Delete? (Stage 1)]],Table7[[#This Row],[Delete? (Stage 2)]])</f>
        <v>0</v>
      </c>
      <c r="BA186" t="s">
        <v>84</v>
      </c>
    </row>
    <row r="187" spans="1:53">
      <c r="A187">
        <v>859</v>
      </c>
      <c r="B187" s="3">
        <v>46056.874317129601</v>
      </c>
      <c r="C187" s="3">
        <v>46056.878761574102</v>
      </c>
      <c r="D187" t="s">
        <v>53</v>
      </c>
      <c r="G187" t="s">
        <v>54</v>
      </c>
      <c r="H187" t="s">
        <v>63</v>
      </c>
      <c r="I187" t="s">
        <v>75</v>
      </c>
      <c r="J187" t="s">
        <v>62</v>
      </c>
      <c r="K187" t="s">
        <v>62</v>
      </c>
      <c r="L187" t="s">
        <v>58</v>
      </c>
      <c r="M187" t="s">
        <v>58</v>
      </c>
      <c r="N187">
        <v>3</v>
      </c>
      <c r="O187">
        <v>3</v>
      </c>
      <c r="P187">
        <v>3</v>
      </c>
      <c r="Q187">
        <v>2</v>
      </c>
      <c r="R187">
        <v>2</v>
      </c>
      <c r="S187">
        <v>3</v>
      </c>
      <c r="T187">
        <v>2</v>
      </c>
      <c r="U187">
        <v>3</v>
      </c>
      <c r="V187">
        <v>4</v>
      </c>
      <c r="W187">
        <v>4</v>
      </c>
      <c r="X187">
        <v>3</v>
      </c>
      <c r="Y187">
        <v>4</v>
      </c>
      <c r="Z187">
        <v>3</v>
      </c>
      <c r="AA187">
        <v>4</v>
      </c>
      <c r="AB187">
        <v>2</v>
      </c>
      <c r="AC187">
        <v>2</v>
      </c>
      <c r="AD187">
        <v>4</v>
      </c>
      <c r="AE187">
        <v>2</v>
      </c>
      <c r="AF187">
        <v>4</v>
      </c>
      <c r="AG187">
        <v>2</v>
      </c>
      <c r="AH187">
        <v>4</v>
      </c>
      <c r="AI187">
        <v>2</v>
      </c>
      <c r="AJ187">
        <v>2</v>
      </c>
      <c r="AK187" t="b">
        <f>Table7[[#This Row],[What is your age?]]&lt;&gt;"18 - 25"</f>
        <v>0</v>
      </c>
      <c r="AL187" t="b">
        <f t="shared" si="6"/>
        <v>0</v>
      </c>
      <c r="AM187" t="b">
        <f t="shared" si="7"/>
        <v>0</v>
      </c>
      <c r="AN187" t="b">
        <f t="shared" si="8"/>
        <v>0</v>
      </c>
      <c r="AO187" t="b">
        <f>OR(Table7[[#This Row],[Ineligible respondents]:[Inconsistent response on opposite question (3)]])</f>
        <v>0</v>
      </c>
      <c r="AP18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187">
        <f>Table7[[#This Row],[Extreme Response]]/21</f>
        <v>0</v>
      </c>
      <c r="AR187">
        <f>Table67[[#This Row],[Threshold of ERS]]</f>
        <v>0.61904761904761907</v>
      </c>
      <c r="AS187" t="b">
        <f>Table7[[#This Row],[Extrem Response Ratio (ERS)]]&gt;=Table7[[#This Row],[Threshold of ERS]]</f>
        <v>0</v>
      </c>
      <c r="AT187" t="b" cm="1">
        <f t="array" ref="AT18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87">
        <f>COUNTIF(Table7[[#This Row],[The mechanism of digital assets is difficult to understand, which discourages me from exploring it (E.g, Tokenization, Blockchain)]:[If I want to try different ways to invest, I will explore digital assets.]], 3)</f>
        <v>7</v>
      </c>
      <c r="AV187">
        <f>Table7[[#This Row],[Midpoint]]/21</f>
        <v>0.33333333333333331</v>
      </c>
      <c r="AW187">
        <f>Table67[[#This Row],[Threshold of Midpoint ratio]]</f>
        <v>0.5714285714285714</v>
      </c>
      <c r="AX187" t="b">
        <f>Table7[[#This Row],[Midpoint ratio]]&gt;=Table7[[#This Row],[Threshold of Midpoint ratio]]</f>
        <v>0</v>
      </c>
      <c r="AY187" t="b">
        <f>OR(Table7[[#This Row],[Extreme Response Style]:[Straight-lining with 1 deviation]],Table7[[#This Row],[Mid-point Response Style]])</f>
        <v>0</v>
      </c>
      <c r="AZ187" t="b">
        <f>OR(Table7[[#This Row],[Delete? (Stage 1)]],Table7[[#This Row],[Delete? (Stage 2)]])</f>
        <v>0</v>
      </c>
      <c r="BA187" t="s">
        <v>84</v>
      </c>
    </row>
    <row r="188" spans="1:53">
      <c r="A188">
        <v>865</v>
      </c>
      <c r="B188" s="3">
        <v>46056.8745023148</v>
      </c>
      <c r="C188" s="3">
        <v>46056.877164351798</v>
      </c>
      <c r="D188" t="s">
        <v>53</v>
      </c>
      <c r="G188" t="s">
        <v>54</v>
      </c>
      <c r="H188" t="s">
        <v>55</v>
      </c>
      <c r="I188" t="s">
        <v>56</v>
      </c>
      <c r="J188" t="s">
        <v>60</v>
      </c>
      <c r="K188" t="s">
        <v>67</v>
      </c>
      <c r="L188" t="s">
        <v>58</v>
      </c>
      <c r="M188" t="s">
        <v>58</v>
      </c>
      <c r="N188">
        <v>1</v>
      </c>
      <c r="O188">
        <v>1</v>
      </c>
      <c r="P188">
        <v>3</v>
      </c>
      <c r="Q188">
        <v>1</v>
      </c>
      <c r="R188">
        <v>2</v>
      </c>
      <c r="S188">
        <v>1</v>
      </c>
      <c r="T188">
        <v>3</v>
      </c>
      <c r="U188">
        <v>4</v>
      </c>
      <c r="V188">
        <v>1</v>
      </c>
      <c r="W188">
        <v>2</v>
      </c>
      <c r="X188">
        <v>4</v>
      </c>
      <c r="Y188">
        <v>1</v>
      </c>
      <c r="Z188">
        <v>3</v>
      </c>
      <c r="AA188">
        <v>1</v>
      </c>
      <c r="AB188">
        <v>1</v>
      </c>
      <c r="AC188">
        <v>1</v>
      </c>
      <c r="AD188">
        <v>4</v>
      </c>
      <c r="AE188">
        <v>4</v>
      </c>
      <c r="AF188">
        <v>5</v>
      </c>
      <c r="AG188">
        <v>1</v>
      </c>
      <c r="AH188">
        <v>4</v>
      </c>
      <c r="AI188">
        <v>2</v>
      </c>
      <c r="AJ188">
        <v>1</v>
      </c>
      <c r="AK188" t="b">
        <f>Table7[[#This Row],[What is your age?]]&lt;&gt;"18 - 25"</f>
        <v>0</v>
      </c>
      <c r="AL188" t="b">
        <f t="shared" si="6"/>
        <v>0</v>
      </c>
      <c r="AM188" t="b">
        <f t="shared" si="7"/>
        <v>0</v>
      </c>
      <c r="AN188" t="b">
        <f t="shared" si="8"/>
        <v>0</v>
      </c>
      <c r="AO188" t="b">
        <f>OR(Table7[[#This Row],[Ineligible respondents]:[Inconsistent response on opposite question (3)]])</f>
        <v>0</v>
      </c>
      <c r="AP18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11</v>
      </c>
      <c r="AQ188">
        <f>Table7[[#This Row],[Extreme Response]]/21</f>
        <v>0.52380952380952384</v>
      </c>
      <c r="AR188">
        <f>Table67[[#This Row],[Threshold of ERS]]</f>
        <v>0.61904761904761907</v>
      </c>
      <c r="AS188" t="b">
        <f>Table7[[#This Row],[Extrem Response Ratio (ERS)]]&gt;=Table7[[#This Row],[Threshold of ERS]]</f>
        <v>0</v>
      </c>
      <c r="AT188" t="b" cm="1">
        <f t="array" ref="AT18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88">
        <f>COUNTIF(Table7[[#This Row],[The mechanism of digital assets is difficult to understand, which discourages me from exploring it (E.g, Tokenization, Blockchain)]:[If I want to try different ways to invest, I will explore digital assets.]], 3)</f>
        <v>3</v>
      </c>
      <c r="AV188">
        <f>Table7[[#This Row],[Midpoint]]/21</f>
        <v>0.14285714285714285</v>
      </c>
      <c r="AW188">
        <f>Table67[[#This Row],[Threshold of Midpoint ratio]]</f>
        <v>0.5714285714285714</v>
      </c>
      <c r="AX188" t="b">
        <f>Table7[[#This Row],[Midpoint ratio]]&gt;=Table7[[#This Row],[Threshold of Midpoint ratio]]</f>
        <v>0</v>
      </c>
      <c r="AY188" t="b">
        <f>OR(Table7[[#This Row],[Extreme Response Style]:[Straight-lining with 1 deviation]],Table7[[#This Row],[Mid-point Response Style]])</f>
        <v>0</v>
      </c>
      <c r="AZ188" t="b">
        <f>OR(Table7[[#This Row],[Delete? (Stage 1)]],Table7[[#This Row],[Delete? (Stage 2)]])</f>
        <v>0</v>
      </c>
      <c r="BA188" t="s">
        <v>84</v>
      </c>
    </row>
    <row r="189" spans="1:53">
      <c r="A189">
        <v>867</v>
      </c>
      <c r="B189" s="3">
        <v>46056.874513888899</v>
      </c>
      <c r="C189" s="3">
        <v>46056.879143518498</v>
      </c>
      <c r="D189" t="s">
        <v>53</v>
      </c>
      <c r="G189" t="s">
        <v>54</v>
      </c>
      <c r="H189" t="s">
        <v>55</v>
      </c>
      <c r="I189" t="s">
        <v>75</v>
      </c>
      <c r="J189" t="s">
        <v>62</v>
      </c>
      <c r="K189" t="s">
        <v>62</v>
      </c>
      <c r="L189" t="s">
        <v>58</v>
      </c>
      <c r="M189" t="s">
        <v>58</v>
      </c>
      <c r="N189">
        <v>4</v>
      </c>
      <c r="O189">
        <v>2</v>
      </c>
      <c r="P189">
        <v>5</v>
      </c>
      <c r="Q189">
        <v>4</v>
      </c>
      <c r="R189">
        <v>4</v>
      </c>
      <c r="S189">
        <v>3</v>
      </c>
      <c r="T189">
        <v>5</v>
      </c>
      <c r="U189">
        <v>4</v>
      </c>
      <c r="V189">
        <v>4</v>
      </c>
      <c r="W189">
        <v>4</v>
      </c>
      <c r="X189">
        <v>4</v>
      </c>
      <c r="Y189">
        <v>4</v>
      </c>
      <c r="Z189">
        <v>4</v>
      </c>
      <c r="AA189">
        <v>4</v>
      </c>
      <c r="AB189">
        <v>4</v>
      </c>
      <c r="AC189">
        <v>4</v>
      </c>
      <c r="AD189">
        <v>5</v>
      </c>
      <c r="AE189">
        <v>4</v>
      </c>
      <c r="AF189">
        <v>2</v>
      </c>
      <c r="AG189">
        <v>3</v>
      </c>
      <c r="AH189">
        <v>3</v>
      </c>
      <c r="AI189">
        <v>3</v>
      </c>
      <c r="AJ189">
        <v>4</v>
      </c>
      <c r="AK189" t="b">
        <f>Table7[[#This Row],[What is your age?]]&lt;&gt;"18 - 25"</f>
        <v>0</v>
      </c>
      <c r="AL189" t="b">
        <f t="shared" si="6"/>
        <v>0</v>
      </c>
      <c r="AM189" t="b">
        <f t="shared" si="7"/>
        <v>0</v>
      </c>
      <c r="AN189" t="b">
        <f t="shared" si="8"/>
        <v>0</v>
      </c>
      <c r="AO189" t="b">
        <f>OR(Table7[[#This Row],[Ineligible respondents]:[Inconsistent response on opposite question (3)]])</f>
        <v>0</v>
      </c>
      <c r="AP18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189">
        <f>Table7[[#This Row],[Extreme Response]]/21</f>
        <v>0.14285714285714285</v>
      </c>
      <c r="AR189">
        <f>Table67[[#This Row],[Threshold of ERS]]</f>
        <v>0.61904761904761907</v>
      </c>
      <c r="AS189" t="b">
        <f>Table7[[#This Row],[Extrem Response Ratio (ERS)]]&gt;=Table7[[#This Row],[Threshold of ERS]]</f>
        <v>0</v>
      </c>
      <c r="AT189" t="b" cm="1">
        <f t="array" ref="AT18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89">
        <f>COUNTIF(Table7[[#This Row],[The mechanism of digital assets is difficult to understand, which discourages me from exploring it (E.g, Tokenization, Blockchain)]:[If I want to try different ways to invest, I will explore digital assets.]], 3)</f>
        <v>3</v>
      </c>
      <c r="AV189">
        <f>Table7[[#This Row],[Midpoint]]/21</f>
        <v>0.14285714285714285</v>
      </c>
      <c r="AW189">
        <f>Table67[[#This Row],[Threshold of Midpoint ratio]]</f>
        <v>0.5714285714285714</v>
      </c>
      <c r="AX189" t="b">
        <f>Table7[[#This Row],[Midpoint ratio]]&gt;=Table7[[#This Row],[Threshold of Midpoint ratio]]</f>
        <v>0</v>
      </c>
      <c r="AY189" t="b">
        <f>OR(Table7[[#This Row],[Extreme Response Style]:[Straight-lining with 1 deviation]],Table7[[#This Row],[Mid-point Response Style]])</f>
        <v>0</v>
      </c>
      <c r="AZ189" t="b">
        <f>OR(Table7[[#This Row],[Delete? (Stage 1)]],Table7[[#This Row],[Delete? (Stage 2)]])</f>
        <v>0</v>
      </c>
      <c r="BA189" t="s">
        <v>84</v>
      </c>
    </row>
    <row r="190" spans="1:53">
      <c r="A190">
        <v>879</v>
      </c>
      <c r="B190" s="3">
        <v>46056.874814814801</v>
      </c>
      <c r="C190" s="3">
        <v>46056.882060185198</v>
      </c>
      <c r="D190" t="s">
        <v>53</v>
      </c>
      <c r="G190" t="s">
        <v>54</v>
      </c>
      <c r="H190" t="s">
        <v>63</v>
      </c>
      <c r="I190" t="s">
        <v>75</v>
      </c>
      <c r="J190" t="s">
        <v>62</v>
      </c>
      <c r="K190" t="s">
        <v>57</v>
      </c>
      <c r="L190" t="s">
        <v>58</v>
      </c>
      <c r="M190" t="s">
        <v>58</v>
      </c>
      <c r="N190">
        <v>2</v>
      </c>
      <c r="O190">
        <v>2</v>
      </c>
      <c r="P190">
        <v>4</v>
      </c>
      <c r="Q190">
        <v>4</v>
      </c>
      <c r="R190">
        <v>2</v>
      </c>
      <c r="S190">
        <v>2</v>
      </c>
      <c r="T190">
        <v>3</v>
      </c>
      <c r="U190">
        <v>3</v>
      </c>
      <c r="V190">
        <v>3</v>
      </c>
      <c r="W190">
        <v>3</v>
      </c>
      <c r="X190">
        <v>2</v>
      </c>
      <c r="Y190">
        <v>2</v>
      </c>
      <c r="Z190">
        <v>3</v>
      </c>
      <c r="AA190">
        <v>2</v>
      </c>
      <c r="AB190">
        <v>3</v>
      </c>
      <c r="AC190">
        <v>3</v>
      </c>
      <c r="AD190">
        <v>4</v>
      </c>
      <c r="AE190">
        <v>4</v>
      </c>
      <c r="AF190">
        <v>3</v>
      </c>
      <c r="AG190">
        <v>3</v>
      </c>
      <c r="AH190">
        <v>3</v>
      </c>
      <c r="AI190">
        <v>3</v>
      </c>
      <c r="AJ190">
        <v>3</v>
      </c>
      <c r="AK190" t="b">
        <f>Table7[[#This Row],[What is your age?]]&lt;&gt;"18 - 25"</f>
        <v>0</v>
      </c>
      <c r="AL190" t="b">
        <f t="shared" si="6"/>
        <v>0</v>
      </c>
      <c r="AM190" t="b">
        <f t="shared" si="7"/>
        <v>0</v>
      </c>
      <c r="AN190" t="b">
        <f t="shared" si="8"/>
        <v>0</v>
      </c>
      <c r="AO190" t="b">
        <f>OR(Table7[[#This Row],[Ineligible respondents]:[Inconsistent response on opposite question (3)]])</f>
        <v>0</v>
      </c>
      <c r="AP19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190">
        <f>Table7[[#This Row],[Extreme Response]]/21</f>
        <v>0</v>
      </c>
      <c r="AR190">
        <f>Table67[[#This Row],[Threshold of ERS]]</f>
        <v>0.61904761904761907</v>
      </c>
      <c r="AS190" t="b">
        <f>Table7[[#This Row],[Extrem Response Ratio (ERS)]]&gt;=Table7[[#This Row],[Threshold of ERS]]</f>
        <v>0</v>
      </c>
      <c r="AT190" t="b" cm="1">
        <f t="array" ref="AT19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90">
        <f>COUNTIF(Table7[[#This Row],[The mechanism of digital assets is difficult to understand, which discourages me from exploring it (E.g, Tokenization, Blockchain)]:[If I want to try different ways to invest, I will explore digital assets.]], 3)</f>
        <v>10</v>
      </c>
      <c r="AV190">
        <f>Table7[[#This Row],[Midpoint]]/21</f>
        <v>0.47619047619047616</v>
      </c>
      <c r="AW190">
        <f>Table67[[#This Row],[Threshold of Midpoint ratio]]</f>
        <v>0.5714285714285714</v>
      </c>
      <c r="AX190" t="b">
        <f>Table7[[#This Row],[Midpoint ratio]]&gt;=Table7[[#This Row],[Threshold of Midpoint ratio]]</f>
        <v>0</v>
      </c>
      <c r="AY190" t="b">
        <f>OR(Table7[[#This Row],[Extreme Response Style]:[Straight-lining with 1 deviation]],Table7[[#This Row],[Mid-point Response Style]])</f>
        <v>0</v>
      </c>
      <c r="AZ190" t="b">
        <f>OR(Table7[[#This Row],[Delete? (Stage 1)]],Table7[[#This Row],[Delete? (Stage 2)]])</f>
        <v>0</v>
      </c>
      <c r="BA190" t="s">
        <v>84</v>
      </c>
    </row>
    <row r="191" spans="1:53">
      <c r="A191">
        <v>888</v>
      </c>
      <c r="B191" s="3">
        <v>46056.874942129602</v>
      </c>
      <c r="C191" s="3">
        <v>46056.880439814799</v>
      </c>
      <c r="D191" t="s">
        <v>53</v>
      </c>
      <c r="G191" t="s">
        <v>54</v>
      </c>
      <c r="H191" t="s">
        <v>63</v>
      </c>
      <c r="I191" t="s">
        <v>56</v>
      </c>
      <c r="J191" t="s">
        <v>62</v>
      </c>
      <c r="K191" t="s">
        <v>57</v>
      </c>
      <c r="L191" t="s">
        <v>58</v>
      </c>
      <c r="M191" t="s">
        <v>58</v>
      </c>
      <c r="N191">
        <v>3</v>
      </c>
      <c r="O191">
        <v>2</v>
      </c>
      <c r="P191">
        <v>2</v>
      </c>
      <c r="Q191">
        <v>2</v>
      </c>
      <c r="R191">
        <v>4</v>
      </c>
      <c r="S191">
        <v>4</v>
      </c>
      <c r="T191">
        <v>2</v>
      </c>
      <c r="U191">
        <v>4</v>
      </c>
      <c r="V191">
        <v>4</v>
      </c>
      <c r="W191">
        <v>4</v>
      </c>
      <c r="X191">
        <v>3</v>
      </c>
      <c r="Y191">
        <v>4</v>
      </c>
      <c r="Z191">
        <v>4</v>
      </c>
      <c r="AA191">
        <v>4</v>
      </c>
      <c r="AB191">
        <v>3</v>
      </c>
      <c r="AC191">
        <v>4</v>
      </c>
      <c r="AD191">
        <v>4</v>
      </c>
      <c r="AE191">
        <v>4</v>
      </c>
      <c r="AF191">
        <v>3</v>
      </c>
      <c r="AG191">
        <v>3</v>
      </c>
      <c r="AH191">
        <v>3</v>
      </c>
      <c r="AI191">
        <v>3</v>
      </c>
      <c r="AJ191">
        <v>3</v>
      </c>
      <c r="AK191" t="b">
        <f>Table7[[#This Row],[What is your age?]]&lt;&gt;"18 - 25"</f>
        <v>0</v>
      </c>
      <c r="AL191" t="b">
        <f t="shared" si="6"/>
        <v>0</v>
      </c>
      <c r="AM191" t="b">
        <f t="shared" si="7"/>
        <v>0</v>
      </c>
      <c r="AN191" t="b">
        <f t="shared" si="8"/>
        <v>0</v>
      </c>
      <c r="AO191" t="b">
        <f>OR(Table7[[#This Row],[Ineligible respondents]:[Inconsistent response on opposite question (3)]])</f>
        <v>0</v>
      </c>
      <c r="AP19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191">
        <f>Table7[[#This Row],[Extreme Response]]/21</f>
        <v>0</v>
      </c>
      <c r="AR191">
        <f>Table67[[#This Row],[Threshold of ERS]]</f>
        <v>0.61904761904761907</v>
      </c>
      <c r="AS191" t="b">
        <f>Table7[[#This Row],[Extrem Response Ratio (ERS)]]&gt;=Table7[[#This Row],[Threshold of ERS]]</f>
        <v>0</v>
      </c>
      <c r="AT191" t="b" cm="1">
        <f t="array" ref="AT19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91">
        <f>COUNTIF(Table7[[#This Row],[The mechanism of digital assets is difficult to understand, which discourages me from exploring it (E.g, Tokenization, Blockchain)]:[If I want to try different ways to invest, I will explore digital assets.]], 3)</f>
        <v>6</v>
      </c>
      <c r="AV191">
        <f>Table7[[#This Row],[Midpoint]]/21</f>
        <v>0.2857142857142857</v>
      </c>
      <c r="AW191">
        <f>Table67[[#This Row],[Threshold of Midpoint ratio]]</f>
        <v>0.5714285714285714</v>
      </c>
      <c r="AX191" t="b">
        <f>Table7[[#This Row],[Midpoint ratio]]&gt;=Table7[[#This Row],[Threshold of Midpoint ratio]]</f>
        <v>0</v>
      </c>
      <c r="AY191" t="b">
        <f>OR(Table7[[#This Row],[Extreme Response Style]:[Straight-lining with 1 deviation]],Table7[[#This Row],[Mid-point Response Style]])</f>
        <v>0</v>
      </c>
      <c r="AZ191" t="b">
        <f>OR(Table7[[#This Row],[Delete? (Stage 1)]],Table7[[#This Row],[Delete? (Stage 2)]])</f>
        <v>0</v>
      </c>
      <c r="BA191" t="s">
        <v>84</v>
      </c>
    </row>
    <row r="192" spans="1:53">
      <c r="A192">
        <v>892</v>
      </c>
      <c r="B192" s="3">
        <v>46056.874988425901</v>
      </c>
      <c r="C192" s="3">
        <v>46056.890821759298</v>
      </c>
      <c r="D192" t="s">
        <v>53</v>
      </c>
      <c r="G192" t="s">
        <v>54</v>
      </c>
      <c r="H192" t="s">
        <v>55</v>
      </c>
      <c r="I192" t="s">
        <v>56</v>
      </c>
      <c r="J192" t="s">
        <v>57</v>
      </c>
      <c r="K192" t="s">
        <v>57</v>
      </c>
      <c r="L192" t="s">
        <v>58</v>
      </c>
      <c r="M192" t="s">
        <v>58</v>
      </c>
      <c r="N192">
        <v>3</v>
      </c>
      <c r="O192">
        <v>3</v>
      </c>
      <c r="P192">
        <v>5</v>
      </c>
      <c r="Q192">
        <v>4</v>
      </c>
      <c r="R192">
        <v>4</v>
      </c>
      <c r="S192">
        <v>5</v>
      </c>
      <c r="T192">
        <v>5</v>
      </c>
      <c r="U192">
        <v>3</v>
      </c>
      <c r="V192">
        <v>4</v>
      </c>
      <c r="W192">
        <v>4</v>
      </c>
      <c r="X192">
        <v>4</v>
      </c>
      <c r="Y192">
        <v>4</v>
      </c>
      <c r="Z192">
        <v>4</v>
      </c>
      <c r="AA192">
        <v>4</v>
      </c>
      <c r="AB192">
        <v>5</v>
      </c>
      <c r="AC192">
        <v>3</v>
      </c>
      <c r="AD192">
        <v>4</v>
      </c>
      <c r="AE192">
        <v>4</v>
      </c>
      <c r="AF192">
        <v>4</v>
      </c>
      <c r="AG192">
        <v>2</v>
      </c>
      <c r="AH192">
        <v>4</v>
      </c>
      <c r="AI192">
        <v>2</v>
      </c>
      <c r="AJ192">
        <v>2</v>
      </c>
      <c r="AK192" t="b">
        <f>Table7[[#This Row],[What is your age?]]&lt;&gt;"18 - 25"</f>
        <v>0</v>
      </c>
      <c r="AL192" t="b">
        <f t="shared" si="6"/>
        <v>0</v>
      </c>
      <c r="AM192" t="b">
        <f t="shared" si="7"/>
        <v>0</v>
      </c>
      <c r="AN192" t="b">
        <f t="shared" si="8"/>
        <v>0</v>
      </c>
      <c r="AO192" t="b">
        <f>OR(Table7[[#This Row],[Ineligible respondents]:[Inconsistent response on opposite question (3)]])</f>
        <v>0</v>
      </c>
      <c r="AP19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192">
        <f>Table7[[#This Row],[Extreme Response]]/21</f>
        <v>0.19047619047619047</v>
      </c>
      <c r="AR192">
        <f>Table67[[#This Row],[Threshold of ERS]]</f>
        <v>0.61904761904761907</v>
      </c>
      <c r="AS192" t="b">
        <f>Table7[[#This Row],[Extrem Response Ratio (ERS)]]&gt;=Table7[[#This Row],[Threshold of ERS]]</f>
        <v>0</v>
      </c>
      <c r="AT192" t="b" cm="1">
        <f t="array" ref="AT19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92">
        <f>COUNTIF(Table7[[#This Row],[The mechanism of digital assets is difficult to understand, which discourages me from exploring it (E.g, Tokenization, Blockchain)]:[If I want to try different ways to invest, I will explore digital assets.]], 3)</f>
        <v>4</v>
      </c>
      <c r="AV192">
        <f>Table7[[#This Row],[Midpoint]]/21</f>
        <v>0.19047619047619047</v>
      </c>
      <c r="AW192">
        <f>Table67[[#This Row],[Threshold of Midpoint ratio]]</f>
        <v>0.5714285714285714</v>
      </c>
      <c r="AX192" t="b">
        <f>Table7[[#This Row],[Midpoint ratio]]&gt;=Table7[[#This Row],[Threshold of Midpoint ratio]]</f>
        <v>0</v>
      </c>
      <c r="AY192" t="b">
        <f>OR(Table7[[#This Row],[Extreme Response Style]:[Straight-lining with 1 deviation]],Table7[[#This Row],[Mid-point Response Style]])</f>
        <v>0</v>
      </c>
      <c r="AZ192" t="b">
        <f>OR(Table7[[#This Row],[Delete? (Stage 1)]],Table7[[#This Row],[Delete? (Stage 2)]])</f>
        <v>0</v>
      </c>
      <c r="BA192" t="s">
        <v>84</v>
      </c>
    </row>
    <row r="193" spans="1:53">
      <c r="A193">
        <v>897</v>
      </c>
      <c r="B193" s="3">
        <v>46056.8751388889</v>
      </c>
      <c r="C193" s="3">
        <v>46056.880243055602</v>
      </c>
      <c r="D193" t="s">
        <v>53</v>
      </c>
      <c r="G193" t="s">
        <v>54</v>
      </c>
      <c r="H193" t="s">
        <v>63</v>
      </c>
      <c r="I193" t="s">
        <v>69</v>
      </c>
      <c r="J193" t="s">
        <v>60</v>
      </c>
      <c r="K193" t="s">
        <v>62</v>
      </c>
      <c r="L193" t="s">
        <v>58</v>
      </c>
      <c r="M193" t="s">
        <v>61</v>
      </c>
      <c r="N193">
        <v>4</v>
      </c>
      <c r="O193">
        <v>3</v>
      </c>
      <c r="P193">
        <v>4</v>
      </c>
      <c r="Q193">
        <v>3</v>
      </c>
      <c r="R193">
        <v>4</v>
      </c>
      <c r="S193">
        <v>4</v>
      </c>
      <c r="T193">
        <v>2</v>
      </c>
      <c r="U193">
        <v>3</v>
      </c>
      <c r="V193">
        <v>4</v>
      </c>
      <c r="W193">
        <v>5</v>
      </c>
      <c r="X193">
        <v>2</v>
      </c>
      <c r="Y193">
        <v>3</v>
      </c>
      <c r="Z193">
        <v>3</v>
      </c>
      <c r="AA193">
        <v>3</v>
      </c>
      <c r="AB193">
        <v>3</v>
      </c>
      <c r="AC193">
        <v>2</v>
      </c>
      <c r="AD193">
        <v>2</v>
      </c>
      <c r="AE193">
        <v>3</v>
      </c>
      <c r="AF193">
        <v>4</v>
      </c>
      <c r="AG193">
        <v>2</v>
      </c>
      <c r="AH193">
        <v>4</v>
      </c>
      <c r="AI193">
        <v>2</v>
      </c>
      <c r="AJ193">
        <v>2</v>
      </c>
      <c r="AK193" t="b">
        <f>Table7[[#This Row],[What is your age?]]&lt;&gt;"18 - 25"</f>
        <v>0</v>
      </c>
      <c r="AL193" t="b">
        <f t="shared" si="6"/>
        <v>0</v>
      </c>
      <c r="AM193" t="b">
        <f t="shared" si="7"/>
        <v>0</v>
      </c>
      <c r="AN193" t="b">
        <f t="shared" si="8"/>
        <v>0</v>
      </c>
      <c r="AO193" t="b">
        <f>OR(Table7[[#This Row],[Ineligible respondents]:[Inconsistent response on opposite question (3)]])</f>
        <v>0</v>
      </c>
      <c r="AP19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193">
        <f>Table7[[#This Row],[Extreme Response]]/21</f>
        <v>4.7619047619047616E-2</v>
      </c>
      <c r="AR193">
        <f>Table67[[#This Row],[Threshold of ERS]]</f>
        <v>0.61904761904761907</v>
      </c>
      <c r="AS193" t="b">
        <f>Table7[[#This Row],[Extrem Response Ratio (ERS)]]&gt;=Table7[[#This Row],[Threshold of ERS]]</f>
        <v>0</v>
      </c>
      <c r="AT193" t="b" cm="1">
        <f t="array" ref="AT19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93">
        <f>COUNTIF(Table7[[#This Row],[The mechanism of digital assets is difficult to understand, which discourages me from exploring it (E.g, Tokenization, Blockchain)]:[If I want to try different ways to invest, I will explore digital assets.]], 3)</f>
        <v>8</v>
      </c>
      <c r="AV193">
        <f>Table7[[#This Row],[Midpoint]]/21</f>
        <v>0.38095238095238093</v>
      </c>
      <c r="AW193">
        <f>Table67[[#This Row],[Threshold of Midpoint ratio]]</f>
        <v>0.5714285714285714</v>
      </c>
      <c r="AX193" t="b">
        <f>Table7[[#This Row],[Midpoint ratio]]&gt;=Table7[[#This Row],[Threshold of Midpoint ratio]]</f>
        <v>0</v>
      </c>
      <c r="AY193" t="b">
        <f>OR(Table7[[#This Row],[Extreme Response Style]:[Straight-lining with 1 deviation]],Table7[[#This Row],[Mid-point Response Style]])</f>
        <v>0</v>
      </c>
      <c r="AZ193" t="b">
        <f>OR(Table7[[#This Row],[Delete? (Stage 1)]],Table7[[#This Row],[Delete? (Stage 2)]])</f>
        <v>0</v>
      </c>
      <c r="BA193" t="s">
        <v>84</v>
      </c>
    </row>
    <row r="194" spans="1:53">
      <c r="A194">
        <v>908</v>
      </c>
      <c r="B194" s="3">
        <v>46056.8756712963</v>
      </c>
      <c r="C194" s="3">
        <v>46056.878680555601</v>
      </c>
      <c r="D194" t="s">
        <v>53</v>
      </c>
      <c r="G194" t="s">
        <v>54</v>
      </c>
      <c r="H194" t="s">
        <v>63</v>
      </c>
      <c r="I194" t="s">
        <v>56</v>
      </c>
      <c r="J194" t="s">
        <v>57</v>
      </c>
      <c r="K194" t="s">
        <v>57</v>
      </c>
      <c r="L194" t="s">
        <v>58</v>
      </c>
      <c r="M194" t="s">
        <v>58</v>
      </c>
      <c r="N194">
        <v>4</v>
      </c>
      <c r="O194">
        <v>3</v>
      </c>
      <c r="P194">
        <v>4</v>
      </c>
      <c r="Q194">
        <v>3</v>
      </c>
      <c r="R194">
        <v>4</v>
      </c>
      <c r="S194">
        <v>4</v>
      </c>
      <c r="T194">
        <v>3</v>
      </c>
      <c r="U194">
        <v>3</v>
      </c>
      <c r="V194">
        <v>4</v>
      </c>
      <c r="W194">
        <v>3</v>
      </c>
      <c r="X194">
        <v>4</v>
      </c>
      <c r="Y194">
        <v>5</v>
      </c>
      <c r="Z194">
        <v>5</v>
      </c>
      <c r="AA194">
        <v>4</v>
      </c>
      <c r="AB194">
        <v>3</v>
      </c>
      <c r="AC194">
        <v>2</v>
      </c>
      <c r="AD194">
        <v>4</v>
      </c>
      <c r="AE194">
        <v>5</v>
      </c>
      <c r="AF194">
        <v>4</v>
      </c>
      <c r="AG194">
        <v>3</v>
      </c>
      <c r="AH194">
        <v>3</v>
      </c>
      <c r="AI194">
        <v>3</v>
      </c>
      <c r="AJ194">
        <v>2</v>
      </c>
      <c r="AK194" t="b">
        <f>Table7[[#This Row],[What is your age?]]&lt;&gt;"18 - 25"</f>
        <v>0</v>
      </c>
      <c r="AL194" t="b">
        <f t="shared" ref="AL194:AL257" si="9">COUNTIF(N194:AH194, N194) = COLUMNS(N194:AH194)</f>
        <v>0</v>
      </c>
      <c r="AM194" t="b">
        <f t="shared" ref="AM194:AM257" si="10">OR(AND(AG194=AH194, AG194&lt;&gt;3), AND(OR(AG194=1, AG194=2), OR(AH194=1, AH194=2)), AND(OR(AG194=4, AG194=5), OR(AH194=4, AH194=5)))</f>
        <v>0</v>
      </c>
      <c r="AN194" t="b">
        <f t="shared" ref="AN194:AN257" si="11">OR(AND(AG194=3, AH194&lt;&gt;3), AND(AH194=3, AG194&lt;&gt;3))</f>
        <v>0</v>
      </c>
      <c r="AO194" t="b">
        <f>OR(Table7[[#This Row],[Ineligible respondents]:[Inconsistent response on opposite question (3)]])</f>
        <v>0</v>
      </c>
      <c r="AP19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194">
        <f>Table7[[#This Row],[Extreme Response]]/21</f>
        <v>0.14285714285714285</v>
      </c>
      <c r="AR194">
        <f>Table67[[#This Row],[Threshold of ERS]]</f>
        <v>0.61904761904761907</v>
      </c>
      <c r="AS194" t="b">
        <f>Table7[[#This Row],[Extrem Response Ratio (ERS)]]&gt;=Table7[[#This Row],[Threshold of ERS]]</f>
        <v>0</v>
      </c>
      <c r="AT194" t="b" cm="1">
        <f t="array" ref="AT19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94">
        <f>COUNTIF(Table7[[#This Row],[The mechanism of digital assets is difficult to understand, which discourages me from exploring it (E.g, Tokenization, Blockchain)]:[If I want to try different ways to invest, I will explore digital assets.]], 3)</f>
        <v>8</v>
      </c>
      <c r="AV194">
        <f>Table7[[#This Row],[Midpoint]]/21</f>
        <v>0.38095238095238093</v>
      </c>
      <c r="AW194">
        <f>Table67[[#This Row],[Threshold of Midpoint ratio]]</f>
        <v>0.5714285714285714</v>
      </c>
      <c r="AX194" t="b">
        <f>Table7[[#This Row],[Midpoint ratio]]&gt;=Table7[[#This Row],[Threshold of Midpoint ratio]]</f>
        <v>0</v>
      </c>
      <c r="AY194" t="b">
        <f>OR(Table7[[#This Row],[Extreme Response Style]:[Straight-lining with 1 deviation]],Table7[[#This Row],[Mid-point Response Style]])</f>
        <v>0</v>
      </c>
      <c r="AZ194" t="b">
        <f>OR(Table7[[#This Row],[Delete? (Stage 1)]],Table7[[#This Row],[Delete? (Stage 2)]])</f>
        <v>0</v>
      </c>
      <c r="BA194" t="s">
        <v>84</v>
      </c>
    </row>
    <row r="195" spans="1:53">
      <c r="A195">
        <v>909</v>
      </c>
      <c r="B195" s="3">
        <v>46056.8756712963</v>
      </c>
      <c r="C195" s="3">
        <v>46056.883761574099</v>
      </c>
      <c r="D195" t="s">
        <v>53</v>
      </c>
      <c r="G195" t="s">
        <v>54</v>
      </c>
      <c r="H195" t="s">
        <v>63</v>
      </c>
      <c r="I195" t="s">
        <v>56</v>
      </c>
      <c r="J195" t="s">
        <v>62</v>
      </c>
      <c r="K195" t="s">
        <v>57</v>
      </c>
      <c r="L195" t="s">
        <v>58</v>
      </c>
      <c r="M195" t="s">
        <v>58</v>
      </c>
      <c r="N195">
        <v>2</v>
      </c>
      <c r="O195">
        <v>3</v>
      </c>
      <c r="P195">
        <v>4</v>
      </c>
      <c r="Q195">
        <v>2</v>
      </c>
      <c r="R195">
        <v>2</v>
      </c>
      <c r="S195">
        <v>3</v>
      </c>
      <c r="T195">
        <v>2</v>
      </c>
      <c r="U195">
        <v>3</v>
      </c>
      <c r="V195">
        <v>5</v>
      </c>
      <c r="W195">
        <v>4</v>
      </c>
      <c r="X195">
        <v>3</v>
      </c>
      <c r="Y195">
        <v>4</v>
      </c>
      <c r="Z195">
        <v>3</v>
      </c>
      <c r="AA195">
        <v>2</v>
      </c>
      <c r="AB195">
        <v>1</v>
      </c>
      <c r="AC195">
        <v>2</v>
      </c>
      <c r="AD195">
        <v>1</v>
      </c>
      <c r="AE195">
        <v>1</v>
      </c>
      <c r="AF195">
        <v>4</v>
      </c>
      <c r="AG195">
        <v>2</v>
      </c>
      <c r="AH195">
        <v>4</v>
      </c>
      <c r="AI195">
        <v>2</v>
      </c>
      <c r="AJ195">
        <v>2</v>
      </c>
      <c r="AK195" t="b">
        <f>Table7[[#This Row],[What is your age?]]&lt;&gt;"18 - 25"</f>
        <v>0</v>
      </c>
      <c r="AL195" t="b">
        <f t="shared" si="9"/>
        <v>0</v>
      </c>
      <c r="AM195" t="b">
        <f t="shared" si="10"/>
        <v>0</v>
      </c>
      <c r="AN195" t="b">
        <f t="shared" si="11"/>
        <v>0</v>
      </c>
      <c r="AO195" t="b">
        <f>OR(Table7[[#This Row],[Ineligible respondents]:[Inconsistent response on opposite question (3)]])</f>
        <v>0</v>
      </c>
      <c r="AP19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195">
        <f>Table7[[#This Row],[Extreme Response]]/21</f>
        <v>0.19047619047619047</v>
      </c>
      <c r="AR195">
        <f>Table67[[#This Row],[Threshold of ERS]]</f>
        <v>0.61904761904761907</v>
      </c>
      <c r="AS195" t="b">
        <f>Table7[[#This Row],[Extrem Response Ratio (ERS)]]&gt;=Table7[[#This Row],[Threshold of ERS]]</f>
        <v>0</v>
      </c>
      <c r="AT195" t="b" cm="1">
        <f t="array" ref="AT19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95">
        <f>COUNTIF(Table7[[#This Row],[The mechanism of digital assets is difficult to understand, which discourages me from exploring it (E.g, Tokenization, Blockchain)]:[If I want to try different ways to invest, I will explore digital assets.]], 3)</f>
        <v>5</v>
      </c>
      <c r="AV195">
        <f>Table7[[#This Row],[Midpoint]]/21</f>
        <v>0.23809523809523808</v>
      </c>
      <c r="AW195">
        <f>Table67[[#This Row],[Threshold of Midpoint ratio]]</f>
        <v>0.5714285714285714</v>
      </c>
      <c r="AX195" t="b">
        <f>Table7[[#This Row],[Midpoint ratio]]&gt;=Table7[[#This Row],[Threshold of Midpoint ratio]]</f>
        <v>0</v>
      </c>
      <c r="AY195" t="b">
        <f>OR(Table7[[#This Row],[Extreme Response Style]:[Straight-lining with 1 deviation]],Table7[[#This Row],[Mid-point Response Style]])</f>
        <v>0</v>
      </c>
      <c r="AZ195" t="b">
        <f>OR(Table7[[#This Row],[Delete? (Stage 1)]],Table7[[#This Row],[Delete? (Stage 2)]])</f>
        <v>0</v>
      </c>
      <c r="BA195" t="s">
        <v>84</v>
      </c>
    </row>
    <row r="196" spans="1:53">
      <c r="A196">
        <v>930</v>
      </c>
      <c r="B196" s="3">
        <v>46056.877129629604</v>
      </c>
      <c r="C196" s="3">
        <v>46056.879432870403</v>
      </c>
      <c r="D196" t="s">
        <v>53</v>
      </c>
      <c r="G196" t="s">
        <v>54</v>
      </c>
      <c r="H196" t="s">
        <v>55</v>
      </c>
      <c r="I196" t="s">
        <v>75</v>
      </c>
      <c r="J196" t="s">
        <v>57</v>
      </c>
      <c r="K196" t="s">
        <v>57</v>
      </c>
      <c r="L196" t="s">
        <v>58</v>
      </c>
      <c r="M196" t="s">
        <v>58</v>
      </c>
      <c r="N196">
        <v>4</v>
      </c>
      <c r="O196">
        <v>2</v>
      </c>
      <c r="P196">
        <v>4</v>
      </c>
      <c r="Q196">
        <v>4</v>
      </c>
      <c r="R196">
        <v>4</v>
      </c>
      <c r="S196">
        <v>5</v>
      </c>
      <c r="T196">
        <v>3</v>
      </c>
      <c r="U196">
        <v>4</v>
      </c>
      <c r="V196">
        <v>4</v>
      </c>
      <c r="W196">
        <v>4</v>
      </c>
      <c r="X196">
        <v>4</v>
      </c>
      <c r="Y196">
        <v>4</v>
      </c>
      <c r="Z196">
        <v>4</v>
      </c>
      <c r="AA196">
        <v>4</v>
      </c>
      <c r="AB196">
        <v>3</v>
      </c>
      <c r="AC196">
        <v>3</v>
      </c>
      <c r="AD196">
        <v>4</v>
      </c>
      <c r="AE196">
        <v>4</v>
      </c>
      <c r="AF196">
        <v>2</v>
      </c>
      <c r="AG196">
        <v>4</v>
      </c>
      <c r="AH196">
        <v>2</v>
      </c>
      <c r="AI196">
        <v>4</v>
      </c>
      <c r="AJ196">
        <v>4</v>
      </c>
      <c r="AK196" t="b">
        <f>Table7[[#This Row],[What is your age?]]&lt;&gt;"18 - 25"</f>
        <v>0</v>
      </c>
      <c r="AL196" t="b">
        <f t="shared" si="9"/>
        <v>0</v>
      </c>
      <c r="AM196" t="b">
        <f t="shared" si="10"/>
        <v>0</v>
      </c>
      <c r="AN196" t="b">
        <f t="shared" si="11"/>
        <v>0</v>
      </c>
      <c r="AO196" t="b">
        <f>OR(Table7[[#This Row],[Ineligible respondents]:[Inconsistent response on opposite question (3)]])</f>
        <v>0</v>
      </c>
      <c r="AP19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196">
        <f>Table7[[#This Row],[Extreme Response]]/21</f>
        <v>4.7619047619047616E-2</v>
      </c>
      <c r="AR196">
        <f>Table67[[#This Row],[Threshold of ERS]]</f>
        <v>0.61904761904761907</v>
      </c>
      <c r="AS196" t="b">
        <f>Table7[[#This Row],[Extrem Response Ratio (ERS)]]&gt;=Table7[[#This Row],[Threshold of ERS]]</f>
        <v>0</v>
      </c>
      <c r="AT196" t="b" cm="1">
        <f t="array" ref="AT19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96">
        <f>COUNTIF(Table7[[#This Row],[The mechanism of digital assets is difficult to understand, which discourages me from exploring it (E.g, Tokenization, Blockchain)]:[If I want to try different ways to invest, I will explore digital assets.]], 3)</f>
        <v>3</v>
      </c>
      <c r="AV196">
        <f>Table7[[#This Row],[Midpoint]]/21</f>
        <v>0.14285714285714285</v>
      </c>
      <c r="AW196">
        <f>Table67[[#This Row],[Threshold of Midpoint ratio]]</f>
        <v>0.5714285714285714</v>
      </c>
      <c r="AX196" t="b">
        <f>Table7[[#This Row],[Midpoint ratio]]&gt;=Table7[[#This Row],[Threshold of Midpoint ratio]]</f>
        <v>0</v>
      </c>
      <c r="AY196" t="b">
        <f>OR(Table7[[#This Row],[Extreme Response Style]:[Straight-lining with 1 deviation]],Table7[[#This Row],[Mid-point Response Style]])</f>
        <v>0</v>
      </c>
      <c r="AZ196" t="b">
        <f>OR(Table7[[#This Row],[Delete? (Stage 1)]],Table7[[#This Row],[Delete? (Stage 2)]])</f>
        <v>0</v>
      </c>
      <c r="BA196" t="s">
        <v>84</v>
      </c>
    </row>
    <row r="197" spans="1:53">
      <c r="A197">
        <v>931</v>
      </c>
      <c r="B197" s="3">
        <v>46056.877141203702</v>
      </c>
      <c r="C197" s="3">
        <v>46056.880856481497</v>
      </c>
      <c r="D197" t="s">
        <v>53</v>
      </c>
      <c r="G197" t="s">
        <v>54</v>
      </c>
      <c r="H197" t="s">
        <v>55</v>
      </c>
      <c r="I197" t="s">
        <v>69</v>
      </c>
      <c r="J197" t="s">
        <v>62</v>
      </c>
      <c r="K197" t="s">
        <v>62</v>
      </c>
      <c r="L197" t="s">
        <v>58</v>
      </c>
      <c r="M197" t="s">
        <v>58</v>
      </c>
      <c r="N197">
        <v>4</v>
      </c>
      <c r="O197">
        <v>2</v>
      </c>
      <c r="P197">
        <v>4</v>
      </c>
      <c r="Q197">
        <v>4</v>
      </c>
      <c r="R197">
        <v>4</v>
      </c>
      <c r="S197">
        <v>4</v>
      </c>
      <c r="T197">
        <v>2</v>
      </c>
      <c r="U197">
        <v>4</v>
      </c>
      <c r="V197">
        <v>4</v>
      </c>
      <c r="W197">
        <v>4</v>
      </c>
      <c r="X197">
        <v>2</v>
      </c>
      <c r="Y197">
        <v>4</v>
      </c>
      <c r="Z197">
        <v>4</v>
      </c>
      <c r="AA197">
        <v>3</v>
      </c>
      <c r="AB197">
        <v>2</v>
      </c>
      <c r="AC197">
        <v>2</v>
      </c>
      <c r="AD197">
        <v>3</v>
      </c>
      <c r="AE197">
        <v>2</v>
      </c>
      <c r="AF197">
        <v>4</v>
      </c>
      <c r="AG197">
        <v>2</v>
      </c>
      <c r="AH197">
        <v>4</v>
      </c>
      <c r="AI197">
        <v>2</v>
      </c>
      <c r="AJ197">
        <v>2</v>
      </c>
      <c r="AK197" t="b">
        <f>Table7[[#This Row],[What is your age?]]&lt;&gt;"18 - 25"</f>
        <v>0</v>
      </c>
      <c r="AL197" t="b">
        <f t="shared" si="9"/>
        <v>0</v>
      </c>
      <c r="AM197" t="b">
        <f t="shared" si="10"/>
        <v>0</v>
      </c>
      <c r="AN197" t="b">
        <f t="shared" si="11"/>
        <v>0</v>
      </c>
      <c r="AO197" t="b">
        <f>OR(Table7[[#This Row],[Ineligible respondents]:[Inconsistent response on opposite question (3)]])</f>
        <v>0</v>
      </c>
      <c r="AP19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197">
        <f>Table7[[#This Row],[Extreme Response]]/21</f>
        <v>0</v>
      </c>
      <c r="AR197">
        <f>Table67[[#This Row],[Threshold of ERS]]</f>
        <v>0.61904761904761907</v>
      </c>
      <c r="AS197" t="b">
        <f>Table7[[#This Row],[Extrem Response Ratio (ERS)]]&gt;=Table7[[#This Row],[Threshold of ERS]]</f>
        <v>0</v>
      </c>
      <c r="AT197" t="b" cm="1">
        <f t="array" ref="AT19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97">
        <f>COUNTIF(Table7[[#This Row],[The mechanism of digital assets is difficult to understand, which discourages me from exploring it (E.g, Tokenization, Blockchain)]:[If I want to try different ways to invest, I will explore digital assets.]], 3)</f>
        <v>2</v>
      </c>
      <c r="AV197">
        <f>Table7[[#This Row],[Midpoint]]/21</f>
        <v>9.5238095238095233E-2</v>
      </c>
      <c r="AW197">
        <f>Table67[[#This Row],[Threshold of Midpoint ratio]]</f>
        <v>0.5714285714285714</v>
      </c>
      <c r="AX197" t="b">
        <f>Table7[[#This Row],[Midpoint ratio]]&gt;=Table7[[#This Row],[Threshold of Midpoint ratio]]</f>
        <v>0</v>
      </c>
      <c r="AY197" t="b">
        <f>OR(Table7[[#This Row],[Extreme Response Style]:[Straight-lining with 1 deviation]],Table7[[#This Row],[Mid-point Response Style]])</f>
        <v>0</v>
      </c>
      <c r="AZ197" t="b">
        <f>OR(Table7[[#This Row],[Delete? (Stage 1)]],Table7[[#This Row],[Delete? (Stage 2)]])</f>
        <v>0</v>
      </c>
      <c r="BA197" t="s">
        <v>84</v>
      </c>
    </row>
    <row r="198" spans="1:53">
      <c r="A198">
        <v>933</v>
      </c>
      <c r="B198" s="3">
        <v>46056.877187500002</v>
      </c>
      <c r="C198" s="3">
        <v>46056.8816898148</v>
      </c>
      <c r="D198" t="s">
        <v>53</v>
      </c>
      <c r="G198" t="s">
        <v>54</v>
      </c>
      <c r="H198" t="s">
        <v>63</v>
      </c>
      <c r="I198" t="s">
        <v>56</v>
      </c>
      <c r="J198" t="s">
        <v>62</v>
      </c>
      <c r="K198" t="s">
        <v>57</v>
      </c>
      <c r="L198" t="s">
        <v>58</v>
      </c>
      <c r="M198" t="s">
        <v>61</v>
      </c>
      <c r="N198">
        <v>3</v>
      </c>
      <c r="O198">
        <v>3</v>
      </c>
      <c r="P198">
        <v>3</v>
      </c>
      <c r="Q198">
        <v>2</v>
      </c>
      <c r="R198">
        <v>4</v>
      </c>
      <c r="S198">
        <v>3</v>
      </c>
      <c r="T198">
        <v>4</v>
      </c>
      <c r="U198">
        <v>2</v>
      </c>
      <c r="V198">
        <v>4</v>
      </c>
      <c r="W198">
        <v>4</v>
      </c>
      <c r="X198">
        <v>3</v>
      </c>
      <c r="Y198">
        <v>3</v>
      </c>
      <c r="Z198">
        <v>4</v>
      </c>
      <c r="AA198">
        <v>3</v>
      </c>
      <c r="AB198">
        <v>3</v>
      </c>
      <c r="AC198">
        <v>3</v>
      </c>
      <c r="AD198">
        <v>3</v>
      </c>
      <c r="AE198">
        <v>2</v>
      </c>
      <c r="AF198">
        <v>5</v>
      </c>
      <c r="AG198">
        <v>1</v>
      </c>
      <c r="AH198">
        <v>4</v>
      </c>
      <c r="AI198">
        <v>2</v>
      </c>
      <c r="AJ198">
        <v>1</v>
      </c>
      <c r="AK198" t="b">
        <f>Table7[[#This Row],[What is your age?]]&lt;&gt;"18 - 25"</f>
        <v>0</v>
      </c>
      <c r="AL198" t="b">
        <f t="shared" si="9"/>
        <v>0</v>
      </c>
      <c r="AM198" t="b">
        <f t="shared" si="10"/>
        <v>0</v>
      </c>
      <c r="AN198" t="b">
        <f t="shared" si="11"/>
        <v>0</v>
      </c>
      <c r="AO198" t="b">
        <f>OR(Table7[[#This Row],[Ineligible respondents]:[Inconsistent response on opposite question (3)]])</f>
        <v>0</v>
      </c>
      <c r="AP19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198">
        <f>Table7[[#This Row],[Extreme Response]]/21</f>
        <v>9.5238095238095233E-2</v>
      </c>
      <c r="AR198">
        <f>Table67[[#This Row],[Threshold of ERS]]</f>
        <v>0.61904761904761907</v>
      </c>
      <c r="AS198" t="b">
        <f>Table7[[#This Row],[Extrem Response Ratio (ERS)]]&gt;=Table7[[#This Row],[Threshold of ERS]]</f>
        <v>0</v>
      </c>
      <c r="AT198" t="b" cm="1">
        <f t="array" ref="AT19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98">
        <f>COUNTIF(Table7[[#This Row],[The mechanism of digital assets is difficult to understand, which discourages me from exploring it (E.g, Tokenization, Blockchain)]:[If I want to try different ways to invest, I will explore digital assets.]], 3)</f>
        <v>10</v>
      </c>
      <c r="AV198">
        <f>Table7[[#This Row],[Midpoint]]/21</f>
        <v>0.47619047619047616</v>
      </c>
      <c r="AW198">
        <f>Table67[[#This Row],[Threshold of Midpoint ratio]]</f>
        <v>0.5714285714285714</v>
      </c>
      <c r="AX198" t="b">
        <f>Table7[[#This Row],[Midpoint ratio]]&gt;=Table7[[#This Row],[Threshold of Midpoint ratio]]</f>
        <v>0</v>
      </c>
      <c r="AY198" t="b">
        <f>OR(Table7[[#This Row],[Extreme Response Style]:[Straight-lining with 1 deviation]],Table7[[#This Row],[Mid-point Response Style]])</f>
        <v>0</v>
      </c>
      <c r="AZ198" t="b">
        <f>OR(Table7[[#This Row],[Delete? (Stage 1)]],Table7[[#This Row],[Delete? (Stage 2)]])</f>
        <v>0</v>
      </c>
      <c r="BA198" t="s">
        <v>84</v>
      </c>
    </row>
    <row r="199" spans="1:53">
      <c r="A199">
        <v>935</v>
      </c>
      <c r="B199" s="3">
        <v>46056.877303240697</v>
      </c>
      <c r="C199" s="3">
        <v>46056.882893518501</v>
      </c>
      <c r="D199" t="s">
        <v>53</v>
      </c>
      <c r="G199" t="s">
        <v>54</v>
      </c>
      <c r="H199" t="s">
        <v>55</v>
      </c>
      <c r="I199" t="s">
        <v>56</v>
      </c>
      <c r="J199" t="s">
        <v>62</v>
      </c>
      <c r="K199" t="s">
        <v>62</v>
      </c>
      <c r="L199" t="s">
        <v>61</v>
      </c>
      <c r="M199" t="s">
        <v>61</v>
      </c>
      <c r="N199">
        <v>2</v>
      </c>
      <c r="O199">
        <v>2</v>
      </c>
      <c r="P199">
        <v>2</v>
      </c>
      <c r="Q199">
        <v>1</v>
      </c>
      <c r="R199">
        <v>1</v>
      </c>
      <c r="S199">
        <v>1</v>
      </c>
      <c r="T199">
        <v>2</v>
      </c>
      <c r="U199">
        <v>2</v>
      </c>
      <c r="V199">
        <v>3</v>
      </c>
      <c r="W199">
        <v>3</v>
      </c>
      <c r="X199">
        <v>3</v>
      </c>
      <c r="Y199">
        <v>3</v>
      </c>
      <c r="Z199">
        <v>4</v>
      </c>
      <c r="AA199">
        <v>4</v>
      </c>
      <c r="AB199">
        <v>2</v>
      </c>
      <c r="AC199">
        <v>2</v>
      </c>
      <c r="AD199">
        <v>4</v>
      </c>
      <c r="AE199">
        <v>2</v>
      </c>
      <c r="AF199">
        <v>4</v>
      </c>
      <c r="AG199">
        <v>4</v>
      </c>
      <c r="AH199">
        <v>2</v>
      </c>
      <c r="AI199">
        <v>4</v>
      </c>
      <c r="AJ199">
        <v>2</v>
      </c>
      <c r="AK199" t="b">
        <f>Table7[[#This Row],[What is your age?]]&lt;&gt;"18 - 25"</f>
        <v>0</v>
      </c>
      <c r="AL199" t="b">
        <f t="shared" si="9"/>
        <v>0</v>
      </c>
      <c r="AM199" t="b">
        <f t="shared" si="10"/>
        <v>0</v>
      </c>
      <c r="AN199" t="b">
        <f t="shared" si="11"/>
        <v>0</v>
      </c>
      <c r="AO199" t="b">
        <f>OR(Table7[[#This Row],[Ineligible respondents]:[Inconsistent response on opposite question (3)]])</f>
        <v>0</v>
      </c>
      <c r="AP19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199">
        <f>Table7[[#This Row],[Extreme Response]]/21</f>
        <v>0.14285714285714285</v>
      </c>
      <c r="AR199">
        <f>Table67[[#This Row],[Threshold of ERS]]</f>
        <v>0.61904761904761907</v>
      </c>
      <c r="AS199" t="b">
        <f>Table7[[#This Row],[Extrem Response Ratio (ERS)]]&gt;=Table7[[#This Row],[Threshold of ERS]]</f>
        <v>0</v>
      </c>
      <c r="AT199" t="b" cm="1">
        <f t="array" ref="AT19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199">
        <f>COUNTIF(Table7[[#This Row],[The mechanism of digital assets is difficult to understand, which discourages me from exploring it (E.g, Tokenization, Blockchain)]:[If I want to try different ways to invest, I will explore digital assets.]], 3)</f>
        <v>4</v>
      </c>
      <c r="AV199">
        <f>Table7[[#This Row],[Midpoint]]/21</f>
        <v>0.19047619047619047</v>
      </c>
      <c r="AW199">
        <f>Table67[[#This Row],[Threshold of Midpoint ratio]]</f>
        <v>0.5714285714285714</v>
      </c>
      <c r="AX199" t="b">
        <f>Table7[[#This Row],[Midpoint ratio]]&gt;=Table7[[#This Row],[Threshold of Midpoint ratio]]</f>
        <v>0</v>
      </c>
      <c r="AY199" t="b">
        <f>OR(Table7[[#This Row],[Extreme Response Style]:[Straight-lining with 1 deviation]],Table7[[#This Row],[Mid-point Response Style]])</f>
        <v>0</v>
      </c>
      <c r="AZ199" t="b">
        <f>OR(Table7[[#This Row],[Delete? (Stage 1)]],Table7[[#This Row],[Delete? (Stage 2)]])</f>
        <v>0</v>
      </c>
      <c r="BA199" t="s">
        <v>84</v>
      </c>
    </row>
    <row r="200" spans="1:53">
      <c r="A200">
        <v>936</v>
      </c>
      <c r="B200" s="3">
        <v>46056.877349536997</v>
      </c>
      <c r="C200" s="3">
        <v>46056.881898148102</v>
      </c>
      <c r="D200" t="s">
        <v>53</v>
      </c>
      <c r="G200" t="s">
        <v>54</v>
      </c>
      <c r="H200" t="s">
        <v>55</v>
      </c>
      <c r="I200" t="s">
        <v>56</v>
      </c>
      <c r="J200" t="s">
        <v>60</v>
      </c>
      <c r="K200" t="s">
        <v>62</v>
      </c>
      <c r="L200" t="s">
        <v>58</v>
      </c>
      <c r="M200" t="s">
        <v>58</v>
      </c>
      <c r="N200">
        <v>3</v>
      </c>
      <c r="O200">
        <v>1</v>
      </c>
      <c r="P200">
        <v>5</v>
      </c>
      <c r="Q200">
        <v>5</v>
      </c>
      <c r="R200">
        <v>3</v>
      </c>
      <c r="S200">
        <v>5</v>
      </c>
      <c r="T200">
        <v>4</v>
      </c>
      <c r="U200">
        <v>5</v>
      </c>
      <c r="V200">
        <v>5</v>
      </c>
      <c r="W200">
        <v>5</v>
      </c>
      <c r="X200">
        <v>5</v>
      </c>
      <c r="Y200">
        <v>5</v>
      </c>
      <c r="Z200">
        <v>5</v>
      </c>
      <c r="AA200">
        <v>5</v>
      </c>
      <c r="AB200">
        <v>3</v>
      </c>
      <c r="AC200">
        <v>3</v>
      </c>
      <c r="AD200">
        <v>5</v>
      </c>
      <c r="AE200">
        <v>4</v>
      </c>
      <c r="AF200">
        <v>3</v>
      </c>
      <c r="AG200">
        <v>3</v>
      </c>
      <c r="AH200">
        <v>3</v>
      </c>
      <c r="AI200">
        <v>3</v>
      </c>
      <c r="AJ200">
        <v>3</v>
      </c>
      <c r="AK200" t="b">
        <f>Table7[[#This Row],[What is your age?]]&lt;&gt;"18 - 25"</f>
        <v>0</v>
      </c>
      <c r="AL200" t="b">
        <f t="shared" si="9"/>
        <v>0</v>
      </c>
      <c r="AM200" t="b">
        <f t="shared" si="10"/>
        <v>0</v>
      </c>
      <c r="AN200" t="b">
        <f t="shared" si="11"/>
        <v>0</v>
      </c>
      <c r="AO200" t="b">
        <f>OR(Table7[[#This Row],[Ineligible respondents]:[Inconsistent response on opposite question (3)]])</f>
        <v>0</v>
      </c>
      <c r="AP20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12</v>
      </c>
      <c r="AQ200">
        <f>Table7[[#This Row],[Extreme Response]]/21</f>
        <v>0.5714285714285714</v>
      </c>
      <c r="AR200">
        <f>Table67[[#This Row],[Threshold of ERS]]</f>
        <v>0.61904761904761907</v>
      </c>
      <c r="AS200" t="b">
        <f>Table7[[#This Row],[Extrem Response Ratio (ERS)]]&gt;=Table7[[#This Row],[Threshold of ERS]]</f>
        <v>0</v>
      </c>
      <c r="AT200" t="b" cm="1">
        <f t="array" ref="AT20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00">
        <f>COUNTIF(Table7[[#This Row],[The mechanism of digital assets is difficult to understand, which discourages me from exploring it (E.g, Tokenization, Blockchain)]:[If I want to try different ways to invest, I will explore digital assets.]], 3)</f>
        <v>7</v>
      </c>
      <c r="AV200">
        <f>Table7[[#This Row],[Midpoint]]/21</f>
        <v>0.33333333333333331</v>
      </c>
      <c r="AW200">
        <f>Table67[[#This Row],[Threshold of Midpoint ratio]]</f>
        <v>0.5714285714285714</v>
      </c>
      <c r="AX200" t="b">
        <f>Table7[[#This Row],[Midpoint ratio]]&gt;=Table7[[#This Row],[Threshold of Midpoint ratio]]</f>
        <v>0</v>
      </c>
      <c r="AY200" t="b">
        <f>OR(Table7[[#This Row],[Extreme Response Style]:[Straight-lining with 1 deviation]],Table7[[#This Row],[Mid-point Response Style]])</f>
        <v>0</v>
      </c>
      <c r="AZ200" t="b">
        <f>OR(Table7[[#This Row],[Delete? (Stage 1)]],Table7[[#This Row],[Delete? (Stage 2)]])</f>
        <v>0</v>
      </c>
      <c r="BA200" t="s">
        <v>84</v>
      </c>
    </row>
    <row r="201" spans="1:53">
      <c r="A201">
        <v>938</v>
      </c>
      <c r="B201" s="3">
        <v>46056.877592592602</v>
      </c>
      <c r="C201" s="3">
        <v>46056.880196759303</v>
      </c>
      <c r="D201" t="s">
        <v>53</v>
      </c>
      <c r="G201" t="s">
        <v>54</v>
      </c>
      <c r="H201" t="s">
        <v>55</v>
      </c>
      <c r="I201" t="s">
        <v>56</v>
      </c>
      <c r="J201" t="s">
        <v>62</v>
      </c>
      <c r="K201" t="s">
        <v>62</v>
      </c>
      <c r="L201" t="s">
        <v>58</v>
      </c>
      <c r="M201" t="s">
        <v>58</v>
      </c>
      <c r="N201">
        <v>5</v>
      </c>
      <c r="O201">
        <v>3</v>
      </c>
      <c r="P201">
        <v>4</v>
      </c>
      <c r="Q201">
        <v>3</v>
      </c>
      <c r="R201">
        <v>4</v>
      </c>
      <c r="S201">
        <v>5</v>
      </c>
      <c r="T201">
        <v>4</v>
      </c>
      <c r="U201">
        <v>4</v>
      </c>
      <c r="V201">
        <v>3</v>
      </c>
      <c r="W201">
        <v>4</v>
      </c>
      <c r="X201">
        <v>3</v>
      </c>
      <c r="Y201">
        <v>3</v>
      </c>
      <c r="Z201">
        <v>4</v>
      </c>
      <c r="AA201">
        <v>3</v>
      </c>
      <c r="AB201">
        <v>3</v>
      </c>
      <c r="AC201">
        <v>4</v>
      </c>
      <c r="AD201">
        <v>5</v>
      </c>
      <c r="AE201">
        <v>4</v>
      </c>
      <c r="AF201">
        <v>2</v>
      </c>
      <c r="AG201">
        <v>4</v>
      </c>
      <c r="AH201">
        <v>2</v>
      </c>
      <c r="AI201">
        <v>4</v>
      </c>
      <c r="AJ201">
        <v>4</v>
      </c>
      <c r="AK201" t="b">
        <f>Table7[[#This Row],[What is your age?]]&lt;&gt;"18 - 25"</f>
        <v>0</v>
      </c>
      <c r="AL201" t="b">
        <f t="shared" si="9"/>
        <v>0</v>
      </c>
      <c r="AM201" t="b">
        <f t="shared" si="10"/>
        <v>0</v>
      </c>
      <c r="AN201" t="b">
        <f t="shared" si="11"/>
        <v>0</v>
      </c>
      <c r="AO201" t="b">
        <f>OR(Table7[[#This Row],[Ineligible respondents]:[Inconsistent response on opposite question (3)]])</f>
        <v>0</v>
      </c>
      <c r="AP20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201">
        <f>Table7[[#This Row],[Extreme Response]]/21</f>
        <v>0.14285714285714285</v>
      </c>
      <c r="AR201">
        <f>Table67[[#This Row],[Threshold of ERS]]</f>
        <v>0.61904761904761907</v>
      </c>
      <c r="AS201" t="b">
        <f>Table7[[#This Row],[Extrem Response Ratio (ERS)]]&gt;=Table7[[#This Row],[Threshold of ERS]]</f>
        <v>0</v>
      </c>
      <c r="AT201" t="b" cm="1">
        <f t="array" ref="AT20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01">
        <f>COUNTIF(Table7[[#This Row],[The mechanism of digital assets is difficult to understand, which discourages me from exploring it (E.g, Tokenization, Blockchain)]:[If I want to try different ways to invest, I will explore digital assets.]], 3)</f>
        <v>7</v>
      </c>
      <c r="AV201">
        <f>Table7[[#This Row],[Midpoint]]/21</f>
        <v>0.33333333333333331</v>
      </c>
      <c r="AW201">
        <f>Table67[[#This Row],[Threshold of Midpoint ratio]]</f>
        <v>0.5714285714285714</v>
      </c>
      <c r="AX201" t="b">
        <f>Table7[[#This Row],[Midpoint ratio]]&gt;=Table7[[#This Row],[Threshold of Midpoint ratio]]</f>
        <v>0</v>
      </c>
      <c r="AY201" t="b">
        <f>OR(Table7[[#This Row],[Extreme Response Style]:[Straight-lining with 1 deviation]],Table7[[#This Row],[Mid-point Response Style]])</f>
        <v>0</v>
      </c>
      <c r="AZ201" t="b">
        <f>OR(Table7[[#This Row],[Delete? (Stage 1)]],Table7[[#This Row],[Delete? (Stage 2)]])</f>
        <v>0</v>
      </c>
      <c r="BA201" t="s">
        <v>84</v>
      </c>
    </row>
    <row r="202" spans="1:53">
      <c r="A202">
        <v>942</v>
      </c>
      <c r="B202" s="3">
        <v>46056.877835648098</v>
      </c>
      <c r="C202" s="3">
        <v>46056.893958333298</v>
      </c>
      <c r="D202" t="s">
        <v>53</v>
      </c>
      <c r="G202" t="s">
        <v>54</v>
      </c>
      <c r="H202" t="s">
        <v>63</v>
      </c>
      <c r="I202" t="s">
        <v>71</v>
      </c>
      <c r="J202" t="s">
        <v>64</v>
      </c>
      <c r="K202" t="s">
        <v>62</v>
      </c>
      <c r="L202" t="s">
        <v>58</v>
      </c>
      <c r="M202" t="s">
        <v>58</v>
      </c>
      <c r="N202">
        <v>3</v>
      </c>
      <c r="O202">
        <v>4</v>
      </c>
      <c r="P202">
        <v>4</v>
      </c>
      <c r="Q202">
        <v>3</v>
      </c>
      <c r="R202">
        <v>3</v>
      </c>
      <c r="S202">
        <v>3</v>
      </c>
      <c r="T202">
        <v>4</v>
      </c>
      <c r="U202">
        <v>4</v>
      </c>
      <c r="V202">
        <v>5</v>
      </c>
      <c r="W202">
        <v>5</v>
      </c>
      <c r="X202">
        <v>3</v>
      </c>
      <c r="Y202">
        <v>3</v>
      </c>
      <c r="Z202">
        <v>4</v>
      </c>
      <c r="AA202">
        <v>3</v>
      </c>
      <c r="AB202">
        <v>3</v>
      </c>
      <c r="AC202">
        <v>4</v>
      </c>
      <c r="AD202">
        <v>4</v>
      </c>
      <c r="AE202">
        <v>2</v>
      </c>
      <c r="AF202">
        <v>3</v>
      </c>
      <c r="AG202">
        <v>3</v>
      </c>
      <c r="AH202">
        <v>3</v>
      </c>
      <c r="AI202">
        <v>3</v>
      </c>
      <c r="AJ202">
        <v>3</v>
      </c>
      <c r="AK202" t="b">
        <f>Table7[[#This Row],[What is your age?]]&lt;&gt;"18 - 25"</f>
        <v>0</v>
      </c>
      <c r="AL202" t="b">
        <f t="shared" si="9"/>
        <v>0</v>
      </c>
      <c r="AM202" t="b">
        <f t="shared" si="10"/>
        <v>0</v>
      </c>
      <c r="AN202" t="b">
        <f t="shared" si="11"/>
        <v>0</v>
      </c>
      <c r="AO202" t="b">
        <f>OR(Table7[[#This Row],[Ineligible respondents]:[Inconsistent response on opposite question (3)]])</f>
        <v>0</v>
      </c>
      <c r="AP20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202">
        <f>Table7[[#This Row],[Extreme Response]]/21</f>
        <v>9.5238095238095233E-2</v>
      </c>
      <c r="AR202">
        <f>Table67[[#This Row],[Threshold of ERS]]</f>
        <v>0.61904761904761907</v>
      </c>
      <c r="AS202" t="b">
        <f>Table7[[#This Row],[Extrem Response Ratio (ERS)]]&gt;=Table7[[#This Row],[Threshold of ERS]]</f>
        <v>0</v>
      </c>
      <c r="AT202" t="b" cm="1">
        <f t="array" ref="AT20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02">
        <f>COUNTIF(Table7[[#This Row],[The mechanism of digital assets is difficult to understand, which discourages me from exploring it (E.g, Tokenization, Blockchain)]:[If I want to try different ways to invest, I will explore digital assets.]], 3)</f>
        <v>11</v>
      </c>
      <c r="AV202">
        <f>Table7[[#This Row],[Midpoint]]/21</f>
        <v>0.52380952380952384</v>
      </c>
      <c r="AW202">
        <f>Table67[[#This Row],[Threshold of Midpoint ratio]]</f>
        <v>0.5714285714285714</v>
      </c>
      <c r="AX202" t="b">
        <f>Table7[[#This Row],[Midpoint ratio]]&gt;=Table7[[#This Row],[Threshold of Midpoint ratio]]</f>
        <v>0</v>
      </c>
      <c r="AY202" t="b">
        <f>OR(Table7[[#This Row],[Extreme Response Style]:[Straight-lining with 1 deviation]],Table7[[#This Row],[Mid-point Response Style]])</f>
        <v>0</v>
      </c>
      <c r="AZ202" t="b">
        <f>OR(Table7[[#This Row],[Delete? (Stage 1)]],Table7[[#This Row],[Delete? (Stage 2)]])</f>
        <v>0</v>
      </c>
      <c r="BA202" t="s">
        <v>84</v>
      </c>
    </row>
    <row r="203" spans="1:53">
      <c r="A203">
        <v>949</v>
      </c>
      <c r="B203" s="3">
        <v>46056.878113425897</v>
      </c>
      <c r="C203" s="3">
        <v>46056.881400462997</v>
      </c>
      <c r="D203" t="s">
        <v>53</v>
      </c>
      <c r="G203" t="s">
        <v>54</v>
      </c>
      <c r="H203" t="s">
        <v>63</v>
      </c>
      <c r="I203" t="s">
        <v>56</v>
      </c>
      <c r="J203" t="s">
        <v>67</v>
      </c>
      <c r="K203" t="s">
        <v>57</v>
      </c>
      <c r="L203" t="s">
        <v>58</v>
      </c>
      <c r="M203" t="s">
        <v>61</v>
      </c>
      <c r="N203">
        <v>4</v>
      </c>
      <c r="O203">
        <v>4</v>
      </c>
      <c r="P203">
        <v>4</v>
      </c>
      <c r="Q203">
        <v>3</v>
      </c>
      <c r="R203">
        <v>5</v>
      </c>
      <c r="S203">
        <v>5</v>
      </c>
      <c r="T203">
        <v>3</v>
      </c>
      <c r="U203">
        <v>4</v>
      </c>
      <c r="V203">
        <v>4</v>
      </c>
      <c r="W203">
        <v>4</v>
      </c>
      <c r="X203">
        <v>4</v>
      </c>
      <c r="Y203">
        <v>4</v>
      </c>
      <c r="Z203">
        <v>3</v>
      </c>
      <c r="AA203">
        <v>5</v>
      </c>
      <c r="AB203">
        <v>2</v>
      </c>
      <c r="AC203">
        <v>3</v>
      </c>
      <c r="AD203">
        <v>4</v>
      </c>
      <c r="AE203">
        <v>2</v>
      </c>
      <c r="AF203">
        <v>4</v>
      </c>
      <c r="AG203">
        <v>2</v>
      </c>
      <c r="AH203">
        <v>4</v>
      </c>
      <c r="AI203">
        <v>2</v>
      </c>
      <c r="AJ203">
        <v>2</v>
      </c>
      <c r="AK203" t="b">
        <f>Table7[[#This Row],[What is your age?]]&lt;&gt;"18 - 25"</f>
        <v>0</v>
      </c>
      <c r="AL203" t="b">
        <f t="shared" si="9"/>
        <v>0</v>
      </c>
      <c r="AM203" t="b">
        <f t="shared" si="10"/>
        <v>0</v>
      </c>
      <c r="AN203" t="b">
        <f t="shared" si="11"/>
        <v>0</v>
      </c>
      <c r="AO203" t="b">
        <f>OR(Table7[[#This Row],[Ineligible respondents]:[Inconsistent response on opposite question (3)]])</f>
        <v>0</v>
      </c>
      <c r="AP20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203">
        <f>Table7[[#This Row],[Extreme Response]]/21</f>
        <v>0.14285714285714285</v>
      </c>
      <c r="AR203">
        <f>Table67[[#This Row],[Threshold of ERS]]</f>
        <v>0.61904761904761907</v>
      </c>
      <c r="AS203" t="b">
        <f>Table7[[#This Row],[Extrem Response Ratio (ERS)]]&gt;=Table7[[#This Row],[Threshold of ERS]]</f>
        <v>0</v>
      </c>
      <c r="AT203" t="b" cm="1">
        <f t="array" ref="AT20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03">
        <f>COUNTIF(Table7[[#This Row],[The mechanism of digital assets is difficult to understand, which discourages me from exploring it (E.g, Tokenization, Blockchain)]:[If I want to try different ways to invest, I will explore digital assets.]], 3)</f>
        <v>4</v>
      </c>
      <c r="AV203">
        <f>Table7[[#This Row],[Midpoint]]/21</f>
        <v>0.19047619047619047</v>
      </c>
      <c r="AW203">
        <f>Table67[[#This Row],[Threshold of Midpoint ratio]]</f>
        <v>0.5714285714285714</v>
      </c>
      <c r="AX203" t="b">
        <f>Table7[[#This Row],[Midpoint ratio]]&gt;=Table7[[#This Row],[Threshold of Midpoint ratio]]</f>
        <v>0</v>
      </c>
      <c r="AY203" t="b">
        <f>OR(Table7[[#This Row],[Extreme Response Style]:[Straight-lining with 1 deviation]],Table7[[#This Row],[Mid-point Response Style]])</f>
        <v>0</v>
      </c>
      <c r="AZ203" t="b">
        <f>OR(Table7[[#This Row],[Delete? (Stage 1)]],Table7[[#This Row],[Delete? (Stage 2)]])</f>
        <v>0</v>
      </c>
      <c r="BA203" t="s">
        <v>84</v>
      </c>
    </row>
    <row r="204" spans="1:53">
      <c r="A204">
        <v>952</v>
      </c>
      <c r="B204" s="3">
        <v>46056.878217592603</v>
      </c>
      <c r="C204" s="3">
        <v>46056.894039351799</v>
      </c>
      <c r="D204" t="s">
        <v>53</v>
      </c>
      <c r="G204" t="s">
        <v>54</v>
      </c>
      <c r="H204" t="s">
        <v>55</v>
      </c>
      <c r="I204" t="s">
        <v>75</v>
      </c>
      <c r="J204" t="s">
        <v>64</v>
      </c>
      <c r="K204" t="s">
        <v>62</v>
      </c>
      <c r="L204" t="s">
        <v>58</v>
      </c>
      <c r="M204" t="s">
        <v>58</v>
      </c>
      <c r="N204">
        <v>3</v>
      </c>
      <c r="O204">
        <v>3</v>
      </c>
      <c r="P204">
        <v>3</v>
      </c>
      <c r="Q204">
        <v>3</v>
      </c>
      <c r="R204">
        <v>3</v>
      </c>
      <c r="S204">
        <v>3</v>
      </c>
      <c r="T204">
        <v>3</v>
      </c>
      <c r="U204">
        <v>3</v>
      </c>
      <c r="V204">
        <v>3</v>
      </c>
      <c r="W204">
        <v>3</v>
      </c>
      <c r="X204">
        <v>4</v>
      </c>
      <c r="Y204">
        <v>4</v>
      </c>
      <c r="Z204">
        <v>4</v>
      </c>
      <c r="AA204">
        <v>4</v>
      </c>
      <c r="AB204">
        <v>2</v>
      </c>
      <c r="AC204">
        <v>2</v>
      </c>
      <c r="AD204">
        <v>3</v>
      </c>
      <c r="AE204">
        <v>1</v>
      </c>
      <c r="AF204">
        <v>4</v>
      </c>
      <c r="AG204">
        <v>2</v>
      </c>
      <c r="AH204">
        <v>4</v>
      </c>
      <c r="AI204">
        <v>2</v>
      </c>
      <c r="AJ204">
        <v>2</v>
      </c>
      <c r="AK204" t="b">
        <f>Table7[[#This Row],[What is your age?]]&lt;&gt;"18 - 25"</f>
        <v>0</v>
      </c>
      <c r="AL204" t="b">
        <f t="shared" si="9"/>
        <v>0</v>
      </c>
      <c r="AM204" t="b">
        <f t="shared" si="10"/>
        <v>0</v>
      </c>
      <c r="AN204" t="b">
        <f t="shared" si="11"/>
        <v>0</v>
      </c>
      <c r="AO204" t="b">
        <f>OR(Table7[[#This Row],[Ineligible respondents]:[Inconsistent response on opposite question (3)]])</f>
        <v>0</v>
      </c>
      <c r="AP20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204">
        <f>Table7[[#This Row],[Extreme Response]]/21</f>
        <v>4.7619047619047616E-2</v>
      </c>
      <c r="AR204">
        <f>Table67[[#This Row],[Threshold of ERS]]</f>
        <v>0.61904761904761907</v>
      </c>
      <c r="AS204" t="b">
        <f>Table7[[#This Row],[Extrem Response Ratio (ERS)]]&gt;=Table7[[#This Row],[Threshold of ERS]]</f>
        <v>0</v>
      </c>
      <c r="AT204" t="b" cm="1">
        <f t="array" ref="AT20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04">
        <f>COUNTIF(Table7[[#This Row],[The mechanism of digital assets is difficult to understand, which discourages me from exploring it (E.g, Tokenization, Blockchain)]:[If I want to try different ways to invest, I will explore digital assets.]], 3)</f>
        <v>11</v>
      </c>
      <c r="AV204">
        <f>Table7[[#This Row],[Midpoint]]/21</f>
        <v>0.52380952380952384</v>
      </c>
      <c r="AW204">
        <f>Table67[[#This Row],[Threshold of Midpoint ratio]]</f>
        <v>0.5714285714285714</v>
      </c>
      <c r="AX204" t="b">
        <f>Table7[[#This Row],[Midpoint ratio]]&gt;=Table7[[#This Row],[Threshold of Midpoint ratio]]</f>
        <v>0</v>
      </c>
      <c r="AY204" t="b">
        <f>OR(Table7[[#This Row],[Extreme Response Style]:[Straight-lining with 1 deviation]],Table7[[#This Row],[Mid-point Response Style]])</f>
        <v>0</v>
      </c>
      <c r="AZ204" t="b">
        <f>OR(Table7[[#This Row],[Delete? (Stage 1)]],Table7[[#This Row],[Delete? (Stage 2)]])</f>
        <v>0</v>
      </c>
      <c r="BA204" t="s">
        <v>84</v>
      </c>
    </row>
    <row r="205" spans="1:53">
      <c r="A205">
        <v>959</v>
      </c>
      <c r="B205" s="3">
        <v>46056.878761574102</v>
      </c>
      <c r="C205" s="3">
        <v>46056.884409722203</v>
      </c>
      <c r="D205" t="s">
        <v>53</v>
      </c>
      <c r="G205" t="s">
        <v>54</v>
      </c>
      <c r="H205" t="s">
        <v>55</v>
      </c>
      <c r="I205" t="s">
        <v>82</v>
      </c>
      <c r="J205" t="s">
        <v>62</v>
      </c>
      <c r="K205" t="s">
        <v>57</v>
      </c>
      <c r="L205" t="s">
        <v>58</v>
      </c>
      <c r="M205" t="s">
        <v>58</v>
      </c>
      <c r="N205">
        <v>4</v>
      </c>
      <c r="O205">
        <v>3</v>
      </c>
      <c r="P205">
        <v>3</v>
      </c>
      <c r="Q205">
        <v>4</v>
      </c>
      <c r="R205">
        <v>4</v>
      </c>
      <c r="S205">
        <v>4</v>
      </c>
      <c r="T205">
        <v>3</v>
      </c>
      <c r="U205">
        <v>3</v>
      </c>
      <c r="V205">
        <v>4</v>
      </c>
      <c r="W205">
        <v>4</v>
      </c>
      <c r="X205">
        <v>5</v>
      </c>
      <c r="Y205">
        <v>5</v>
      </c>
      <c r="Z205">
        <v>4</v>
      </c>
      <c r="AA205">
        <v>4</v>
      </c>
      <c r="AB205">
        <v>3</v>
      </c>
      <c r="AC205">
        <v>3</v>
      </c>
      <c r="AD205">
        <v>5</v>
      </c>
      <c r="AE205">
        <v>3</v>
      </c>
      <c r="AF205">
        <v>3</v>
      </c>
      <c r="AG205">
        <v>3</v>
      </c>
      <c r="AH205">
        <v>3</v>
      </c>
      <c r="AI205">
        <v>3</v>
      </c>
      <c r="AJ205">
        <v>3</v>
      </c>
      <c r="AK205" t="b">
        <f>Table7[[#This Row],[What is your age?]]&lt;&gt;"18 - 25"</f>
        <v>0</v>
      </c>
      <c r="AL205" t="b">
        <f t="shared" si="9"/>
        <v>0</v>
      </c>
      <c r="AM205" t="b">
        <f t="shared" si="10"/>
        <v>0</v>
      </c>
      <c r="AN205" t="b">
        <f t="shared" si="11"/>
        <v>0</v>
      </c>
      <c r="AO205" t="b">
        <f>OR(Table7[[#This Row],[Ineligible respondents]:[Inconsistent response on opposite question (3)]])</f>
        <v>0</v>
      </c>
      <c r="AP20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205">
        <f>Table7[[#This Row],[Extreme Response]]/21</f>
        <v>0.14285714285714285</v>
      </c>
      <c r="AR205">
        <f>Table67[[#This Row],[Threshold of ERS]]</f>
        <v>0.61904761904761907</v>
      </c>
      <c r="AS205" t="b">
        <f>Table7[[#This Row],[Extrem Response Ratio (ERS)]]&gt;=Table7[[#This Row],[Threshold of ERS]]</f>
        <v>0</v>
      </c>
      <c r="AT205" t="b" cm="1">
        <f t="array" ref="AT20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05">
        <f>COUNTIF(Table7[[#This Row],[The mechanism of digital assets is difficult to understand, which discourages me from exploring it (E.g, Tokenization, Blockchain)]:[If I want to try different ways to invest, I will explore digital assets.]], 3)</f>
        <v>10</v>
      </c>
      <c r="AV205">
        <f>Table7[[#This Row],[Midpoint]]/21</f>
        <v>0.47619047619047616</v>
      </c>
      <c r="AW205">
        <f>Table67[[#This Row],[Threshold of Midpoint ratio]]</f>
        <v>0.5714285714285714</v>
      </c>
      <c r="AX205" t="b">
        <f>Table7[[#This Row],[Midpoint ratio]]&gt;=Table7[[#This Row],[Threshold of Midpoint ratio]]</f>
        <v>0</v>
      </c>
      <c r="AY205" t="b">
        <f>OR(Table7[[#This Row],[Extreme Response Style]:[Straight-lining with 1 deviation]],Table7[[#This Row],[Mid-point Response Style]])</f>
        <v>0</v>
      </c>
      <c r="AZ205" t="b">
        <f>OR(Table7[[#This Row],[Delete? (Stage 1)]],Table7[[#This Row],[Delete? (Stage 2)]])</f>
        <v>0</v>
      </c>
      <c r="BA205" t="s">
        <v>84</v>
      </c>
    </row>
    <row r="206" spans="1:53">
      <c r="A206">
        <v>963</v>
      </c>
      <c r="B206" s="3">
        <v>46056.879039351901</v>
      </c>
      <c r="C206" s="3">
        <v>46056.886932870402</v>
      </c>
      <c r="D206" t="s">
        <v>53</v>
      </c>
      <c r="G206" t="s">
        <v>54</v>
      </c>
      <c r="H206" t="s">
        <v>63</v>
      </c>
      <c r="I206" t="s">
        <v>56</v>
      </c>
      <c r="J206" t="s">
        <v>57</v>
      </c>
      <c r="K206" t="s">
        <v>57</v>
      </c>
      <c r="L206" t="s">
        <v>58</v>
      </c>
      <c r="M206" t="s">
        <v>61</v>
      </c>
      <c r="N206">
        <v>2</v>
      </c>
      <c r="O206">
        <v>1</v>
      </c>
      <c r="P206">
        <v>2</v>
      </c>
      <c r="Q206">
        <v>3</v>
      </c>
      <c r="R206">
        <v>1</v>
      </c>
      <c r="S206">
        <v>3</v>
      </c>
      <c r="T206">
        <v>2</v>
      </c>
      <c r="U206">
        <v>2</v>
      </c>
      <c r="V206">
        <v>2</v>
      </c>
      <c r="W206">
        <v>1</v>
      </c>
      <c r="X206">
        <v>2</v>
      </c>
      <c r="Y206">
        <v>2</v>
      </c>
      <c r="Z206">
        <v>3</v>
      </c>
      <c r="AA206">
        <v>3</v>
      </c>
      <c r="AB206">
        <v>3</v>
      </c>
      <c r="AC206">
        <v>1</v>
      </c>
      <c r="AD206">
        <v>4</v>
      </c>
      <c r="AE206">
        <v>1</v>
      </c>
      <c r="AF206">
        <v>4</v>
      </c>
      <c r="AG206">
        <v>1</v>
      </c>
      <c r="AH206">
        <v>5</v>
      </c>
      <c r="AI206">
        <v>1</v>
      </c>
      <c r="AJ206">
        <v>2</v>
      </c>
      <c r="AK206" t="b">
        <f>Table7[[#This Row],[What is your age?]]&lt;&gt;"18 - 25"</f>
        <v>0</v>
      </c>
      <c r="AL206" t="b">
        <f t="shared" si="9"/>
        <v>0</v>
      </c>
      <c r="AM206" t="b">
        <f t="shared" si="10"/>
        <v>0</v>
      </c>
      <c r="AN206" t="b">
        <f t="shared" si="11"/>
        <v>0</v>
      </c>
      <c r="AO206" t="b">
        <f>OR(Table7[[#This Row],[Ineligible respondents]:[Inconsistent response on opposite question (3)]])</f>
        <v>0</v>
      </c>
      <c r="AP20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7</v>
      </c>
      <c r="AQ206">
        <f>Table7[[#This Row],[Extreme Response]]/21</f>
        <v>0.33333333333333331</v>
      </c>
      <c r="AR206">
        <f>Table67[[#This Row],[Threshold of ERS]]</f>
        <v>0.61904761904761907</v>
      </c>
      <c r="AS206" t="b">
        <f>Table7[[#This Row],[Extrem Response Ratio (ERS)]]&gt;=Table7[[#This Row],[Threshold of ERS]]</f>
        <v>0</v>
      </c>
      <c r="AT206" t="b" cm="1">
        <f t="array" ref="AT20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06">
        <f>COUNTIF(Table7[[#This Row],[The mechanism of digital assets is difficult to understand, which discourages me from exploring it (E.g, Tokenization, Blockchain)]:[If I want to try different ways to invest, I will explore digital assets.]], 3)</f>
        <v>5</v>
      </c>
      <c r="AV206">
        <f>Table7[[#This Row],[Midpoint]]/21</f>
        <v>0.23809523809523808</v>
      </c>
      <c r="AW206">
        <f>Table67[[#This Row],[Threshold of Midpoint ratio]]</f>
        <v>0.5714285714285714</v>
      </c>
      <c r="AX206" t="b">
        <f>Table7[[#This Row],[Midpoint ratio]]&gt;=Table7[[#This Row],[Threshold of Midpoint ratio]]</f>
        <v>0</v>
      </c>
      <c r="AY206" t="b">
        <f>OR(Table7[[#This Row],[Extreme Response Style]:[Straight-lining with 1 deviation]],Table7[[#This Row],[Mid-point Response Style]])</f>
        <v>0</v>
      </c>
      <c r="AZ206" t="b">
        <f>OR(Table7[[#This Row],[Delete? (Stage 1)]],Table7[[#This Row],[Delete? (Stage 2)]])</f>
        <v>0</v>
      </c>
      <c r="BA206" t="s">
        <v>84</v>
      </c>
    </row>
    <row r="207" spans="1:53">
      <c r="A207">
        <v>964</v>
      </c>
      <c r="B207" s="3">
        <v>46056.879050925898</v>
      </c>
      <c r="C207" s="3">
        <v>46056.880706018499</v>
      </c>
      <c r="D207" t="s">
        <v>53</v>
      </c>
      <c r="G207" t="s">
        <v>54</v>
      </c>
      <c r="H207" t="s">
        <v>70</v>
      </c>
      <c r="I207" t="s">
        <v>71</v>
      </c>
      <c r="J207" t="s">
        <v>57</v>
      </c>
      <c r="K207" t="s">
        <v>57</v>
      </c>
      <c r="L207" t="s">
        <v>58</v>
      </c>
      <c r="M207" t="s">
        <v>58</v>
      </c>
      <c r="N207">
        <v>4</v>
      </c>
      <c r="O207">
        <v>2</v>
      </c>
      <c r="P207">
        <v>4</v>
      </c>
      <c r="Q207">
        <v>3</v>
      </c>
      <c r="R207">
        <v>4</v>
      </c>
      <c r="S207">
        <v>5</v>
      </c>
      <c r="T207">
        <v>4</v>
      </c>
      <c r="U207">
        <v>4</v>
      </c>
      <c r="V207">
        <v>5</v>
      </c>
      <c r="W207">
        <v>4</v>
      </c>
      <c r="X207">
        <v>5</v>
      </c>
      <c r="Y207">
        <v>5</v>
      </c>
      <c r="Z207">
        <v>4</v>
      </c>
      <c r="AA207">
        <v>4</v>
      </c>
      <c r="AB207">
        <v>4</v>
      </c>
      <c r="AC207">
        <v>4</v>
      </c>
      <c r="AD207">
        <v>4</v>
      </c>
      <c r="AE207">
        <v>2</v>
      </c>
      <c r="AF207">
        <v>1</v>
      </c>
      <c r="AG207">
        <v>4</v>
      </c>
      <c r="AH207">
        <v>2</v>
      </c>
      <c r="AI207">
        <v>4</v>
      </c>
      <c r="AJ207">
        <v>5</v>
      </c>
      <c r="AK207" t="b">
        <f>Table7[[#This Row],[What is your age?]]&lt;&gt;"18 - 25"</f>
        <v>0</v>
      </c>
      <c r="AL207" t="b">
        <f t="shared" si="9"/>
        <v>0</v>
      </c>
      <c r="AM207" t="b">
        <f t="shared" si="10"/>
        <v>0</v>
      </c>
      <c r="AN207" t="b">
        <f t="shared" si="11"/>
        <v>0</v>
      </c>
      <c r="AO207" t="b">
        <f>OR(Table7[[#This Row],[Ineligible respondents]:[Inconsistent response on opposite question (3)]])</f>
        <v>0</v>
      </c>
      <c r="AP20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5</v>
      </c>
      <c r="AQ207">
        <f>Table7[[#This Row],[Extreme Response]]/21</f>
        <v>0.23809523809523808</v>
      </c>
      <c r="AR207">
        <f>Table67[[#This Row],[Threshold of ERS]]</f>
        <v>0.61904761904761907</v>
      </c>
      <c r="AS207" t="b">
        <f>Table7[[#This Row],[Extrem Response Ratio (ERS)]]&gt;=Table7[[#This Row],[Threshold of ERS]]</f>
        <v>0</v>
      </c>
      <c r="AT207" t="b" cm="1">
        <f t="array" ref="AT20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07">
        <f>COUNTIF(Table7[[#This Row],[The mechanism of digital assets is difficult to understand, which discourages me from exploring it (E.g, Tokenization, Blockchain)]:[If I want to try different ways to invest, I will explore digital assets.]], 3)</f>
        <v>1</v>
      </c>
      <c r="AV207">
        <f>Table7[[#This Row],[Midpoint]]/21</f>
        <v>4.7619047619047616E-2</v>
      </c>
      <c r="AW207">
        <f>Table67[[#This Row],[Threshold of Midpoint ratio]]</f>
        <v>0.5714285714285714</v>
      </c>
      <c r="AX207" t="b">
        <f>Table7[[#This Row],[Midpoint ratio]]&gt;=Table7[[#This Row],[Threshold of Midpoint ratio]]</f>
        <v>0</v>
      </c>
      <c r="AY207" t="b">
        <f>OR(Table7[[#This Row],[Extreme Response Style]:[Straight-lining with 1 deviation]],Table7[[#This Row],[Mid-point Response Style]])</f>
        <v>0</v>
      </c>
      <c r="AZ207" t="b">
        <f>OR(Table7[[#This Row],[Delete? (Stage 1)]],Table7[[#This Row],[Delete? (Stage 2)]])</f>
        <v>0</v>
      </c>
      <c r="BA207" t="s">
        <v>84</v>
      </c>
    </row>
    <row r="208" spans="1:53">
      <c r="A208">
        <v>965</v>
      </c>
      <c r="B208" s="3">
        <v>46056.879305555602</v>
      </c>
      <c r="C208" s="3">
        <v>46056.882627314801</v>
      </c>
      <c r="D208" t="s">
        <v>53</v>
      </c>
      <c r="G208" t="s">
        <v>54</v>
      </c>
      <c r="H208" t="s">
        <v>55</v>
      </c>
      <c r="I208" t="s">
        <v>56</v>
      </c>
      <c r="J208" t="s">
        <v>57</v>
      </c>
      <c r="K208" t="s">
        <v>57</v>
      </c>
      <c r="L208" t="s">
        <v>58</v>
      </c>
      <c r="M208" t="s">
        <v>58</v>
      </c>
      <c r="N208">
        <v>4</v>
      </c>
      <c r="O208">
        <v>2</v>
      </c>
      <c r="P208">
        <v>4</v>
      </c>
      <c r="Q208">
        <v>4</v>
      </c>
      <c r="R208">
        <v>4</v>
      </c>
      <c r="S208">
        <v>4</v>
      </c>
      <c r="T208">
        <v>3</v>
      </c>
      <c r="U208">
        <v>4</v>
      </c>
      <c r="V208">
        <v>4</v>
      </c>
      <c r="W208">
        <v>4</v>
      </c>
      <c r="X208">
        <v>4</v>
      </c>
      <c r="Y208">
        <v>4</v>
      </c>
      <c r="Z208">
        <v>5</v>
      </c>
      <c r="AA208">
        <v>4</v>
      </c>
      <c r="AB208">
        <v>3</v>
      </c>
      <c r="AC208">
        <v>4</v>
      </c>
      <c r="AD208">
        <v>4</v>
      </c>
      <c r="AE208">
        <v>3</v>
      </c>
      <c r="AF208">
        <v>3</v>
      </c>
      <c r="AG208">
        <v>4</v>
      </c>
      <c r="AH208">
        <v>2</v>
      </c>
      <c r="AI208">
        <v>4</v>
      </c>
      <c r="AJ208">
        <v>3</v>
      </c>
      <c r="AK208" t="b">
        <f>Table7[[#This Row],[What is your age?]]&lt;&gt;"18 - 25"</f>
        <v>0</v>
      </c>
      <c r="AL208" t="b">
        <f t="shared" si="9"/>
        <v>0</v>
      </c>
      <c r="AM208" t="b">
        <f t="shared" si="10"/>
        <v>0</v>
      </c>
      <c r="AN208" t="b">
        <f t="shared" si="11"/>
        <v>0</v>
      </c>
      <c r="AO208" t="b">
        <f>OR(Table7[[#This Row],[Ineligible respondents]:[Inconsistent response on opposite question (3)]])</f>
        <v>0</v>
      </c>
      <c r="AP20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208">
        <f>Table7[[#This Row],[Extreme Response]]/21</f>
        <v>4.7619047619047616E-2</v>
      </c>
      <c r="AR208">
        <f>Table67[[#This Row],[Threshold of ERS]]</f>
        <v>0.61904761904761907</v>
      </c>
      <c r="AS208" t="b">
        <f>Table7[[#This Row],[Extrem Response Ratio (ERS)]]&gt;=Table7[[#This Row],[Threshold of ERS]]</f>
        <v>0</v>
      </c>
      <c r="AT208" t="b" cm="1">
        <f t="array" ref="AT20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08">
        <f>COUNTIF(Table7[[#This Row],[The mechanism of digital assets is difficult to understand, which discourages me from exploring it (E.g, Tokenization, Blockchain)]:[If I want to try different ways to invest, I will explore digital assets.]], 3)</f>
        <v>4</v>
      </c>
      <c r="AV208">
        <f>Table7[[#This Row],[Midpoint]]/21</f>
        <v>0.19047619047619047</v>
      </c>
      <c r="AW208">
        <f>Table67[[#This Row],[Threshold of Midpoint ratio]]</f>
        <v>0.5714285714285714</v>
      </c>
      <c r="AX208" t="b">
        <f>Table7[[#This Row],[Midpoint ratio]]&gt;=Table7[[#This Row],[Threshold of Midpoint ratio]]</f>
        <v>0</v>
      </c>
      <c r="AY208" t="b">
        <f>OR(Table7[[#This Row],[Extreme Response Style]:[Straight-lining with 1 deviation]],Table7[[#This Row],[Mid-point Response Style]])</f>
        <v>0</v>
      </c>
      <c r="AZ208" t="b">
        <f>OR(Table7[[#This Row],[Delete? (Stage 1)]],Table7[[#This Row],[Delete? (Stage 2)]])</f>
        <v>0</v>
      </c>
      <c r="BA208" t="s">
        <v>84</v>
      </c>
    </row>
    <row r="209" spans="1:53">
      <c r="A209">
        <v>973</v>
      </c>
      <c r="B209" s="3">
        <v>46056.880057870403</v>
      </c>
      <c r="C209" s="3">
        <v>46056.882916666698</v>
      </c>
      <c r="D209" t="s">
        <v>53</v>
      </c>
      <c r="G209" t="s">
        <v>54</v>
      </c>
      <c r="H209" t="s">
        <v>55</v>
      </c>
      <c r="I209" t="s">
        <v>56</v>
      </c>
      <c r="J209" t="s">
        <v>62</v>
      </c>
      <c r="K209" t="s">
        <v>57</v>
      </c>
      <c r="L209" t="s">
        <v>58</v>
      </c>
      <c r="M209" t="s">
        <v>58</v>
      </c>
      <c r="N209">
        <v>4</v>
      </c>
      <c r="O209">
        <v>2</v>
      </c>
      <c r="P209">
        <v>4</v>
      </c>
      <c r="Q209">
        <v>4</v>
      </c>
      <c r="R209">
        <v>4</v>
      </c>
      <c r="S209">
        <v>4</v>
      </c>
      <c r="T209">
        <v>2</v>
      </c>
      <c r="U209">
        <v>3</v>
      </c>
      <c r="V209">
        <v>4</v>
      </c>
      <c r="W209">
        <v>4</v>
      </c>
      <c r="X209">
        <v>2</v>
      </c>
      <c r="Y209">
        <v>4</v>
      </c>
      <c r="Z209">
        <v>4</v>
      </c>
      <c r="AA209">
        <v>4</v>
      </c>
      <c r="AB209">
        <v>2</v>
      </c>
      <c r="AC209">
        <v>4</v>
      </c>
      <c r="AD209">
        <v>5</v>
      </c>
      <c r="AE209">
        <v>4</v>
      </c>
      <c r="AF209">
        <v>4</v>
      </c>
      <c r="AG209">
        <v>2</v>
      </c>
      <c r="AH209">
        <v>4</v>
      </c>
      <c r="AI209">
        <v>2</v>
      </c>
      <c r="AJ209">
        <v>2</v>
      </c>
      <c r="AK209" t="b">
        <f>Table7[[#This Row],[What is your age?]]&lt;&gt;"18 - 25"</f>
        <v>0</v>
      </c>
      <c r="AL209" t="b">
        <f t="shared" si="9"/>
        <v>0</v>
      </c>
      <c r="AM209" t="b">
        <f t="shared" si="10"/>
        <v>0</v>
      </c>
      <c r="AN209" t="b">
        <f t="shared" si="11"/>
        <v>0</v>
      </c>
      <c r="AO209" t="b">
        <f>OR(Table7[[#This Row],[Ineligible respondents]:[Inconsistent response on opposite question (3)]])</f>
        <v>0</v>
      </c>
      <c r="AP20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209">
        <f>Table7[[#This Row],[Extreme Response]]/21</f>
        <v>4.7619047619047616E-2</v>
      </c>
      <c r="AR209">
        <f>Table67[[#This Row],[Threshold of ERS]]</f>
        <v>0.61904761904761907</v>
      </c>
      <c r="AS209" t="b">
        <f>Table7[[#This Row],[Extrem Response Ratio (ERS)]]&gt;=Table7[[#This Row],[Threshold of ERS]]</f>
        <v>0</v>
      </c>
      <c r="AT209" t="b" cm="1">
        <f t="array" ref="AT20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09">
        <f>COUNTIF(Table7[[#This Row],[The mechanism of digital assets is difficult to understand, which discourages me from exploring it (E.g, Tokenization, Blockchain)]:[If I want to try different ways to invest, I will explore digital assets.]], 3)</f>
        <v>1</v>
      </c>
      <c r="AV209">
        <f>Table7[[#This Row],[Midpoint]]/21</f>
        <v>4.7619047619047616E-2</v>
      </c>
      <c r="AW209">
        <f>Table67[[#This Row],[Threshold of Midpoint ratio]]</f>
        <v>0.5714285714285714</v>
      </c>
      <c r="AX209" t="b">
        <f>Table7[[#This Row],[Midpoint ratio]]&gt;=Table7[[#This Row],[Threshold of Midpoint ratio]]</f>
        <v>0</v>
      </c>
      <c r="AY209" t="b">
        <f>OR(Table7[[#This Row],[Extreme Response Style]:[Straight-lining with 1 deviation]],Table7[[#This Row],[Mid-point Response Style]])</f>
        <v>0</v>
      </c>
      <c r="AZ209" t="b">
        <f>OR(Table7[[#This Row],[Delete? (Stage 1)]],Table7[[#This Row],[Delete? (Stage 2)]])</f>
        <v>0</v>
      </c>
      <c r="BA209" t="s">
        <v>84</v>
      </c>
    </row>
    <row r="210" spans="1:53">
      <c r="A210">
        <v>974</v>
      </c>
      <c r="B210" s="3">
        <v>46056.880057870403</v>
      </c>
      <c r="C210" s="3">
        <v>46056.883611111101</v>
      </c>
      <c r="D210" t="s">
        <v>53</v>
      </c>
      <c r="G210" t="s">
        <v>54</v>
      </c>
      <c r="H210" t="s">
        <v>55</v>
      </c>
      <c r="I210" t="s">
        <v>56</v>
      </c>
      <c r="J210" t="s">
        <v>64</v>
      </c>
      <c r="K210" t="s">
        <v>60</v>
      </c>
      <c r="L210" t="s">
        <v>58</v>
      </c>
      <c r="M210" t="s">
        <v>58</v>
      </c>
      <c r="N210">
        <v>3</v>
      </c>
      <c r="O210">
        <v>4</v>
      </c>
      <c r="P210">
        <v>4</v>
      </c>
      <c r="Q210">
        <v>3</v>
      </c>
      <c r="R210">
        <v>4</v>
      </c>
      <c r="S210">
        <v>4</v>
      </c>
      <c r="T210">
        <v>2</v>
      </c>
      <c r="U210">
        <v>4</v>
      </c>
      <c r="V210">
        <v>5</v>
      </c>
      <c r="W210">
        <v>4</v>
      </c>
      <c r="X210">
        <v>4</v>
      </c>
      <c r="Y210">
        <v>4</v>
      </c>
      <c r="Z210">
        <v>4</v>
      </c>
      <c r="AA210">
        <v>3</v>
      </c>
      <c r="AB210">
        <v>2</v>
      </c>
      <c r="AC210">
        <v>4</v>
      </c>
      <c r="AD210">
        <v>3</v>
      </c>
      <c r="AE210">
        <v>3</v>
      </c>
      <c r="AF210">
        <v>3</v>
      </c>
      <c r="AG210">
        <v>3</v>
      </c>
      <c r="AH210">
        <v>3</v>
      </c>
      <c r="AI210">
        <v>3</v>
      </c>
      <c r="AJ210">
        <v>3</v>
      </c>
      <c r="AK210" t="b">
        <f>Table7[[#This Row],[What is your age?]]&lt;&gt;"18 - 25"</f>
        <v>0</v>
      </c>
      <c r="AL210" t="b">
        <f t="shared" si="9"/>
        <v>0</v>
      </c>
      <c r="AM210" t="b">
        <f t="shared" si="10"/>
        <v>0</v>
      </c>
      <c r="AN210" t="b">
        <f t="shared" si="11"/>
        <v>0</v>
      </c>
      <c r="AO210" t="b">
        <f>OR(Table7[[#This Row],[Ineligible respondents]:[Inconsistent response on opposite question (3)]])</f>
        <v>0</v>
      </c>
      <c r="AP21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210">
        <f>Table7[[#This Row],[Extreme Response]]/21</f>
        <v>4.7619047619047616E-2</v>
      </c>
      <c r="AR210">
        <f>Table67[[#This Row],[Threshold of ERS]]</f>
        <v>0.61904761904761907</v>
      </c>
      <c r="AS210" t="b">
        <f>Table7[[#This Row],[Extrem Response Ratio (ERS)]]&gt;=Table7[[#This Row],[Threshold of ERS]]</f>
        <v>0</v>
      </c>
      <c r="AT210" t="b" cm="1">
        <f t="array" ref="AT21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10">
        <f>COUNTIF(Table7[[#This Row],[The mechanism of digital assets is difficult to understand, which discourages me from exploring it (E.g, Tokenization, Blockchain)]:[If I want to try different ways to invest, I will explore digital assets.]], 3)</f>
        <v>8</v>
      </c>
      <c r="AV210">
        <f>Table7[[#This Row],[Midpoint]]/21</f>
        <v>0.38095238095238093</v>
      </c>
      <c r="AW210">
        <f>Table67[[#This Row],[Threshold of Midpoint ratio]]</f>
        <v>0.5714285714285714</v>
      </c>
      <c r="AX210" t="b">
        <f>Table7[[#This Row],[Midpoint ratio]]&gt;=Table7[[#This Row],[Threshold of Midpoint ratio]]</f>
        <v>0</v>
      </c>
      <c r="AY210" t="b">
        <f>OR(Table7[[#This Row],[Extreme Response Style]:[Straight-lining with 1 deviation]],Table7[[#This Row],[Mid-point Response Style]])</f>
        <v>0</v>
      </c>
      <c r="AZ210" t="b">
        <f>OR(Table7[[#This Row],[Delete? (Stage 1)]],Table7[[#This Row],[Delete? (Stage 2)]])</f>
        <v>0</v>
      </c>
      <c r="BA210" t="s">
        <v>84</v>
      </c>
    </row>
    <row r="211" spans="1:53">
      <c r="A211">
        <v>975</v>
      </c>
      <c r="B211" s="3">
        <v>46056.880092592597</v>
      </c>
      <c r="C211" s="3">
        <v>46056.889016203699</v>
      </c>
      <c r="D211" t="s">
        <v>53</v>
      </c>
      <c r="G211" t="s">
        <v>54</v>
      </c>
      <c r="H211" t="s">
        <v>63</v>
      </c>
      <c r="I211" t="s">
        <v>56</v>
      </c>
      <c r="J211" t="s">
        <v>64</v>
      </c>
      <c r="K211" t="s">
        <v>62</v>
      </c>
      <c r="L211" t="s">
        <v>58</v>
      </c>
      <c r="M211" t="s">
        <v>61</v>
      </c>
      <c r="N211">
        <v>2</v>
      </c>
      <c r="O211">
        <v>2</v>
      </c>
      <c r="P211">
        <v>2</v>
      </c>
      <c r="Q211">
        <v>2</v>
      </c>
      <c r="R211">
        <v>3</v>
      </c>
      <c r="S211">
        <v>2</v>
      </c>
      <c r="T211">
        <v>1</v>
      </c>
      <c r="U211">
        <v>2</v>
      </c>
      <c r="V211">
        <v>3</v>
      </c>
      <c r="W211">
        <v>3</v>
      </c>
      <c r="X211">
        <v>2</v>
      </c>
      <c r="Y211">
        <v>2</v>
      </c>
      <c r="Z211">
        <v>4</v>
      </c>
      <c r="AA211">
        <v>2</v>
      </c>
      <c r="AB211">
        <v>1</v>
      </c>
      <c r="AC211">
        <v>2</v>
      </c>
      <c r="AD211">
        <v>3</v>
      </c>
      <c r="AE211">
        <v>2</v>
      </c>
      <c r="AF211">
        <v>4</v>
      </c>
      <c r="AG211">
        <v>2</v>
      </c>
      <c r="AH211">
        <v>4</v>
      </c>
      <c r="AI211">
        <v>2</v>
      </c>
      <c r="AJ211">
        <v>2</v>
      </c>
      <c r="AK211" t="b">
        <f>Table7[[#This Row],[What is your age?]]&lt;&gt;"18 - 25"</f>
        <v>0</v>
      </c>
      <c r="AL211" t="b">
        <f t="shared" si="9"/>
        <v>0</v>
      </c>
      <c r="AM211" t="b">
        <f t="shared" si="10"/>
        <v>0</v>
      </c>
      <c r="AN211" t="b">
        <f t="shared" si="11"/>
        <v>0</v>
      </c>
      <c r="AO211" t="b">
        <f>OR(Table7[[#This Row],[Ineligible respondents]:[Inconsistent response on opposite question (3)]])</f>
        <v>0</v>
      </c>
      <c r="AP21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211">
        <f>Table7[[#This Row],[Extreme Response]]/21</f>
        <v>9.5238095238095233E-2</v>
      </c>
      <c r="AR211">
        <f>Table67[[#This Row],[Threshold of ERS]]</f>
        <v>0.61904761904761907</v>
      </c>
      <c r="AS211" t="b">
        <f>Table7[[#This Row],[Extrem Response Ratio (ERS)]]&gt;=Table7[[#This Row],[Threshold of ERS]]</f>
        <v>0</v>
      </c>
      <c r="AT211" t="b" cm="1">
        <f t="array" ref="AT21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11">
        <f>COUNTIF(Table7[[#This Row],[The mechanism of digital assets is difficult to understand, which discourages me from exploring it (E.g, Tokenization, Blockchain)]:[If I want to try different ways to invest, I will explore digital assets.]], 3)</f>
        <v>4</v>
      </c>
      <c r="AV211">
        <f>Table7[[#This Row],[Midpoint]]/21</f>
        <v>0.19047619047619047</v>
      </c>
      <c r="AW211">
        <f>Table67[[#This Row],[Threshold of Midpoint ratio]]</f>
        <v>0.5714285714285714</v>
      </c>
      <c r="AX211" t="b">
        <f>Table7[[#This Row],[Midpoint ratio]]&gt;=Table7[[#This Row],[Threshold of Midpoint ratio]]</f>
        <v>0</v>
      </c>
      <c r="AY211" t="b">
        <f>OR(Table7[[#This Row],[Extreme Response Style]:[Straight-lining with 1 deviation]],Table7[[#This Row],[Mid-point Response Style]])</f>
        <v>0</v>
      </c>
      <c r="AZ211" t="b">
        <f>OR(Table7[[#This Row],[Delete? (Stage 1)]],Table7[[#This Row],[Delete? (Stage 2)]])</f>
        <v>0</v>
      </c>
      <c r="BA211" t="s">
        <v>84</v>
      </c>
    </row>
    <row r="212" spans="1:53">
      <c r="A212">
        <v>976</v>
      </c>
      <c r="B212" s="3">
        <v>46056.880150463003</v>
      </c>
      <c r="C212" s="3">
        <v>46056.883645833303</v>
      </c>
      <c r="D212" t="s">
        <v>53</v>
      </c>
      <c r="G212" t="s">
        <v>54</v>
      </c>
      <c r="H212" t="s">
        <v>63</v>
      </c>
      <c r="I212" t="s">
        <v>56</v>
      </c>
      <c r="J212" t="s">
        <v>62</v>
      </c>
      <c r="K212" t="s">
        <v>62</v>
      </c>
      <c r="L212" t="s">
        <v>58</v>
      </c>
      <c r="M212" t="s">
        <v>61</v>
      </c>
      <c r="N212">
        <v>3</v>
      </c>
      <c r="O212">
        <v>2</v>
      </c>
      <c r="P212">
        <v>3</v>
      </c>
      <c r="Q212">
        <v>3</v>
      </c>
      <c r="R212">
        <v>5</v>
      </c>
      <c r="S212">
        <v>4</v>
      </c>
      <c r="T212">
        <v>2</v>
      </c>
      <c r="U212">
        <v>4</v>
      </c>
      <c r="V212">
        <v>4</v>
      </c>
      <c r="W212">
        <v>5</v>
      </c>
      <c r="X212">
        <v>4</v>
      </c>
      <c r="Y212">
        <v>4</v>
      </c>
      <c r="Z212">
        <v>4</v>
      </c>
      <c r="AA212">
        <v>3</v>
      </c>
      <c r="AB212">
        <v>3</v>
      </c>
      <c r="AC212">
        <v>3</v>
      </c>
      <c r="AD212">
        <v>3</v>
      </c>
      <c r="AE212">
        <v>4</v>
      </c>
      <c r="AF212">
        <v>5</v>
      </c>
      <c r="AG212">
        <v>2</v>
      </c>
      <c r="AH212">
        <v>5</v>
      </c>
      <c r="AI212">
        <v>1</v>
      </c>
      <c r="AJ212">
        <v>1</v>
      </c>
      <c r="AK212" t="b">
        <f>Table7[[#This Row],[What is your age?]]&lt;&gt;"18 - 25"</f>
        <v>0</v>
      </c>
      <c r="AL212" t="b">
        <f t="shared" si="9"/>
        <v>0</v>
      </c>
      <c r="AM212" t="b">
        <f t="shared" si="10"/>
        <v>0</v>
      </c>
      <c r="AN212" t="b">
        <f t="shared" si="11"/>
        <v>0</v>
      </c>
      <c r="AO212" t="b">
        <f>OR(Table7[[#This Row],[Ineligible respondents]:[Inconsistent response on opposite question (3)]])</f>
        <v>0</v>
      </c>
      <c r="AP21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212">
        <f>Table7[[#This Row],[Extreme Response]]/21</f>
        <v>0.19047619047619047</v>
      </c>
      <c r="AR212">
        <f>Table67[[#This Row],[Threshold of ERS]]</f>
        <v>0.61904761904761907</v>
      </c>
      <c r="AS212" t="b">
        <f>Table7[[#This Row],[Extrem Response Ratio (ERS)]]&gt;=Table7[[#This Row],[Threshold of ERS]]</f>
        <v>0</v>
      </c>
      <c r="AT212" t="b" cm="1">
        <f t="array" ref="AT21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12">
        <f>COUNTIF(Table7[[#This Row],[The mechanism of digital assets is difficult to understand, which discourages me from exploring it (E.g, Tokenization, Blockchain)]:[If I want to try different ways to invest, I will explore digital assets.]], 3)</f>
        <v>7</v>
      </c>
      <c r="AV212">
        <f>Table7[[#This Row],[Midpoint]]/21</f>
        <v>0.33333333333333331</v>
      </c>
      <c r="AW212">
        <f>Table67[[#This Row],[Threshold of Midpoint ratio]]</f>
        <v>0.5714285714285714</v>
      </c>
      <c r="AX212" t="b">
        <f>Table7[[#This Row],[Midpoint ratio]]&gt;=Table7[[#This Row],[Threshold of Midpoint ratio]]</f>
        <v>0</v>
      </c>
      <c r="AY212" t="b">
        <f>OR(Table7[[#This Row],[Extreme Response Style]:[Straight-lining with 1 deviation]],Table7[[#This Row],[Mid-point Response Style]])</f>
        <v>0</v>
      </c>
      <c r="AZ212" t="b">
        <f>OR(Table7[[#This Row],[Delete? (Stage 1)]],Table7[[#This Row],[Delete? (Stage 2)]])</f>
        <v>0</v>
      </c>
      <c r="BA212" t="s">
        <v>84</v>
      </c>
    </row>
    <row r="213" spans="1:53">
      <c r="A213">
        <v>978</v>
      </c>
      <c r="B213" s="3">
        <v>46056.880231481497</v>
      </c>
      <c r="C213" s="3">
        <v>46056.881886574098</v>
      </c>
      <c r="D213" t="s">
        <v>53</v>
      </c>
      <c r="G213" t="s">
        <v>54</v>
      </c>
      <c r="H213" t="s">
        <v>55</v>
      </c>
      <c r="I213" t="s">
        <v>56</v>
      </c>
      <c r="J213" t="s">
        <v>64</v>
      </c>
      <c r="K213" t="s">
        <v>62</v>
      </c>
      <c r="L213" t="s">
        <v>58</v>
      </c>
      <c r="M213" t="s">
        <v>58</v>
      </c>
      <c r="N213">
        <v>4</v>
      </c>
      <c r="O213">
        <v>2</v>
      </c>
      <c r="P213">
        <v>4</v>
      </c>
      <c r="Q213">
        <v>5</v>
      </c>
      <c r="R213">
        <v>3</v>
      </c>
      <c r="S213">
        <v>4</v>
      </c>
      <c r="T213">
        <v>4</v>
      </c>
      <c r="U213">
        <v>5</v>
      </c>
      <c r="V213">
        <v>5</v>
      </c>
      <c r="W213">
        <v>4</v>
      </c>
      <c r="X213">
        <v>5</v>
      </c>
      <c r="Y213">
        <v>4</v>
      </c>
      <c r="Z213">
        <v>4</v>
      </c>
      <c r="AA213">
        <v>4</v>
      </c>
      <c r="AB213">
        <v>3</v>
      </c>
      <c r="AC213">
        <v>4</v>
      </c>
      <c r="AD213">
        <v>5</v>
      </c>
      <c r="AE213">
        <v>5</v>
      </c>
      <c r="AF213">
        <v>2</v>
      </c>
      <c r="AG213">
        <v>4</v>
      </c>
      <c r="AH213">
        <v>2</v>
      </c>
      <c r="AI213">
        <v>4</v>
      </c>
      <c r="AJ213">
        <v>4</v>
      </c>
      <c r="AK213" t="b">
        <f>Table7[[#This Row],[What is your age?]]&lt;&gt;"18 - 25"</f>
        <v>0</v>
      </c>
      <c r="AL213" t="b">
        <f t="shared" si="9"/>
        <v>0</v>
      </c>
      <c r="AM213" t="b">
        <f t="shared" si="10"/>
        <v>0</v>
      </c>
      <c r="AN213" t="b">
        <f t="shared" si="11"/>
        <v>0</v>
      </c>
      <c r="AO213" t="b">
        <f>OR(Table7[[#This Row],[Ineligible respondents]:[Inconsistent response on opposite question (3)]])</f>
        <v>0</v>
      </c>
      <c r="AP21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6</v>
      </c>
      <c r="AQ213">
        <f>Table7[[#This Row],[Extreme Response]]/21</f>
        <v>0.2857142857142857</v>
      </c>
      <c r="AR213">
        <f>Table67[[#This Row],[Threshold of ERS]]</f>
        <v>0.61904761904761907</v>
      </c>
      <c r="AS213" t="b">
        <f>Table7[[#This Row],[Extrem Response Ratio (ERS)]]&gt;=Table7[[#This Row],[Threshold of ERS]]</f>
        <v>0</v>
      </c>
      <c r="AT213" t="b" cm="1">
        <f t="array" ref="AT21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13">
        <f>COUNTIF(Table7[[#This Row],[The mechanism of digital assets is difficult to understand, which discourages me from exploring it (E.g, Tokenization, Blockchain)]:[If I want to try different ways to invest, I will explore digital assets.]], 3)</f>
        <v>2</v>
      </c>
      <c r="AV213">
        <f>Table7[[#This Row],[Midpoint]]/21</f>
        <v>9.5238095238095233E-2</v>
      </c>
      <c r="AW213">
        <f>Table67[[#This Row],[Threshold of Midpoint ratio]]</f>
        <v>0.5714285714285714</v>
      </c>
      <c r="AX213" t="b">
        <f>Table7[[#This Row],[Midpoint ratio]]&gt;=Table7[[#This Row],[Threshold of Midpoint ratio]]</f>
        <v>0</v>
      </c>
      <c r="AY213" t="b">
        <f>OR(Table7[[#This Row],[Extreme Response Style]:[Straight-lining with 1 deviation]],Table7[[#This Row],[Mid-point Response Style]])</f>
        <v>0</v>
      </c>
      <c r="AZ213" t="b">
        <f>OR(Table7[[#This Row],[Delete? (Stage 1)]],Table7[[#This Row],[Delete? (Stage 2)]])</f>
        <v>0</v>
      </c>
      <c r="BA213" t="s">
        <v>84</v>
      </c>
    </row>
    <row r="214" spans="1:53">
      <c r="A214">
        <v>997</v>
      </c>
      <c r="B214" s="3">
        <v>46056.881354166697</v>
      </c>
      <c r="C214" s="3">
        <v>46056.8833101852</v>
      </c>
      <c r="D214" t="s">
        <v>53</v>
      </c>
      <c r="G214" t="s">
        <v>54</v>
      </c>
      <c r="H214" t="s">
        <v>63</v>
      </c>
      <c r="I214" t="s">
        <v>56</v>
      </c>
      <c r="J214" t="s">
        <v>62</v>
      </c>
      <c r="K214" t="s">
        <v>62</v>
      </c>
      <c r="L214" t="s">
        <v>61</v>
      </c>
      <c r="M214" t="s">
        <v>61</v>
      </c>
      <c r="N214">
        <v>5</v>
      </c>
      <c r="O214">
        <v>5</v>
      </c>
      <c r="P214">
        <v>3</v>
      </c>
      <c r="Q214">
        <v>4</v>
      </c>
      <c r="R214">
        <v>5</v>
      </c>
      <c r="S214">
        <v>4</v>
      </c>
      <c r="T214">
        <v>5</v>
      </c>
      <c r="U214">
        <v>2</v>
      </c>
      <c r="V214">
        <v>5</v>
      </c>
      <c r="W214">
        <v>5</v>
      </c>
      <c r="X214">
        <v>2</v>
      </c>
      <c r="Y214">
        <v>5</v>
      </c>
      <c r="Z214">
        <v>4</v>
      </c>
      <c r="AA214">
        <v>2</v>
      </c>
      <c r="AB214">
        <v>3</v>
      </c>
      <c r="AC214">
        <v>2</v>
      </c>
      <c r="AD214">
        <v>5</v>
      </c>
      <c r="AE214">
        <v>4</v>
      </c>
      <c r="AF214">
        <v>5</v>
      </c>
      <c r="AG214">
        <v>2</v>
      </c>
      <c r="AH214">
        <v>5</v>
      </c>
      <c r="AI214">
        <v>1</v>
      </c>
      <c r="AJ214">
        <v>1</v>
      </c>
      <c r="AK214" t="b">
        <f>Table7[[#This Row],[What is your age?]]&lt;&gt;"18 - 25"</f>
        <v>0</v>
      </c>
      <c r="AL214" t="b">
        <f t="shared" si="9"/>
        <v>0</v>
      </c>
      <c r="AM214" t="b">
        <f t="shared" si="10"/>
        <v>0</v>
      </c>
      <c r="AN214" t="b">
        <f t="shared" si="11"/>
        <v>0</v>
      </c>
      <c r="AO214" t="b">
        <f>OR(Table7[[#This Row],[Ineligible respondents]:[Inconsistent response on opposite question (3)]])</f>
        <v>0</v>
      </c>
      <c r="AP21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10</v>
      </c>
      <c r="AQ214">
        <f>Table7[[#This Row],[Extreme Response]]/21</f>
        <v>0.47619047619047616</v>
      </c>
      <c r="AR214">
        <f>Table67[[#This Row],[Threshold of ERS]]</f>
        <v>0.61904761904761907</v>
      </c>
      <c r="AS214" t="b">
        <f>Table7[[#This Row],[Extrem Response Ratio (ERS)]]&gt;=Table7[[#This Row],[Threshold of ERS]]</f>
        <v>0</v>
      </c>
      <c r="AT214" t="b" cm="1">
        <f t="array" ref="AT21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14">
        <f>COUNTIF(Table7[[#This Row],[The mechanism of digital assets is difficult to understand, which discourages me from exploring it (E.g, Tokenization, Blockchain)]:[If I want to try different ways to invest, I will explore digital assets.]], 3)</f>
        <v>2</v>
      </c>
      <c r="AV214">
        <f>Table7[[#This Row],[Midpoint]]/21</f>
        <v>9.5238095238095233E-2</v>
      </c>
      <c r="AW214">
        <f>Table67[[#This Row],[Threshold of Midpoint ratio]]</f>
        <v>0.5714285714285714</v>
      </c>
      <c r="AX214" t="b">
        <f>Table7[[#This Row],[Midpoint ratio]]&gt;=Table7[[#This Row],[Threshold of Midpoint ratio]]</f>
        <v>0</v>
      </c>
      <c r="AY214" t="b">
        <f>OR(Table7[[#This Row],[Extreme Response Style]:[Straight-lining with 1 deviation]],Table7[[#This Row],[Mid-point Response Style]])</f>
        <v>0</v>
      </c>
      <c r="AZ214" t="b">
        <f>OR(Table7[[#This Row],[Delete? (Stage 1)]],Table7[[#This Row],[Delete? (Stage 2)]])</f>
        <v>0</v>
      </c>
      <c r="BA214" t="s">
        <v>84</v>
      </c>
    </row>
    <row r="215" spans="1:53">
      <c r="A215">
        <v>1004</v>
      </c>
      <c r="B215" s="3">
        <v>46056.882280092599</v>
      </c>
      <c r="C215" s="3">
        <v>46056.888449074097</v>
      </c>
      <c r="D215" t="s">
        <v>53</v>
      </c>
      <c r="G215" t="s">
        <v>54</v>
      </c>
      <c r="H215" t="s">
        <v>55</v>
      </c>
      <c r="I215" t="s">
        <v>71</v>
      </c>
      <c r="J215" t="s">
        <v>60</v>
      </c>
      <c r="K215" t="s">
        <v>62</v>
      </c>
      <c r="L215" t="s">
        <v>58</v>
      </c>
      <c r="M215" t="s">
        <v>61</v>
      </c>
      <c r="N215">
        <v>3</v>
      </c>
      <c r="O215">
        <v>3</v>
      </c>
      <c r="P215">
        <v>4</v>
      </c>
      <c r="Q215">
        <v>4</v>
      </c>
      <c r="R215">
        <v>4</v>
      </c>
      <c r="S215">
        <v>4</v>
      </c>
      <c r="T215">
        <v>4</v>
      </c>
      <c r="U215">
        <v>5</v>
      </c>
      <c r="V215">
        <v>4</v>
      </c>
      <c r="W215">
        <v>3</v>
      </c>
      <c r="X215">
        <v>4</v>
      </c>
      <c r="Y215">
        <v>4</v>
      </c>
      <c r="Z215">
        <v>4</v>
      </c>
      <c r="AA215">
        <v>4</v>
      </c>
      <c r="AB215">
        <v>4</v>
      </c>
      <c r="AC215">
        <v>3</v>
      </c>
      <c r="AD215">
        <v>4</v>
      </c>
      <c r="AE215">
        <v>2</v>
      </c>
      <c r="AF215">
        <v>4</v>
      </c>
      <c r="AG215">
        <v>3</v>
      </c>
      <c r="AH215">
        <v>3</v>
      </c>
      <c r="AI215">
        <v>3</v>
      </c>
      <c r="AJ215">
        <v>2</v>
      </c>
      <c r="AK215" t="b">
        <f>Table7[[#This Row],[What is your age?]]&lt;&gt;"18 - 25"</f>
        <v>0</v>
      </c>
      <c r="AL215" t="b">
        <f t="shared" si="9"/>
        <v>0</v>
      </c>
      <c r="AM215" t="b">
        <f t="shared" si="10"/>
        <v>0</v>
      </c>
      <c r="AN215" t="b">
        <f t="shared" si="11"/>
        <v>0</v>
      </c>
      <c r="AO215" t="b">
        <f>OR(Table7[[#This Row],[Ineligible respondents]:[Inconsistent response on opposite question (3)]])</f>
        <v>0</v>
      </c>
      <c r="AP21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215">
        <f>Table7[[#This Row],[Extreme Response]]/21</f>
        <v>4.7619047619047616E-2</v>
      </c>
      <c r="AR215">
        <f>Table67[[#This Row],[Threshold of ERS]]</f>
        <v>0.61904761904761907</v>
      </c>
      <c r="AS215" t="b">
        <f>Table7[[#This Row],[Extrem Response Ratio (ERS)]]&gt;=Table7[[#This Row],[Threshold of ERS]]</f>
        <v>0</v>
      </c>
      <c r="AT215" t="b" cm="1">
        <f t="array" ref="AT21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15">
        <f>COUNTIF(Table7[[#This Row],[The mechanism of digital assets is difficult to understand, which discourages me from exploring it (E.g, Tokenization, Blockchain)]:[If I want to try different ways to invest, I will explore digital assets.]], 3)</f>
        <v>6</v>
      </c>
      <c r="AV215">
        <f>Table7[[#This Row],[Midpoint]]/21</f>
        <v>0.2857142857142857</v>
      </c>
      <c r="AW215">
        <f>Table67[[#This Row],[Threshold of Midpoint ratio]]</f>
        <v>0.5714285714285714</v>
      </c>
      <c r="AX215" t="b">
        <f>Table7[[#This Row],[Midpoint ratio]]&gt;=Table7[[#This Row],[Threshold of Midpoint ratio]]</f>
        <v>0</v>
      </c>
      <c r="AY215" t="b">
        <f>OR(Table7[[#This Row],[Extreme Response Style]:[Straight-lining with 1 deviation]],Table7[[#This Row],[Mid-point Response Style]])</f>
        <v>0</v>
      </c>
      <c r="AZ215" t="b">
        <f>OR(Table7[[#This Row],[Delete? (Stage 1)]],Table7[[#This Row],[Delete? (Stage 2)]])</f>
        <v>0</v>
      </c>
      <c r="BA215" t="s">
        <v>84</v>
      </c>
    </row>
    <row r="216" spans="1:53">
      <c r="A216">
        <v>1005</v>
      </c>
      <c r="B216" s="3">
        <v>46056.882291666698</v>
      </c>
      <c r="C216" s="3">
        <v>46056.885254629597</v>
      </c>
      <c r="D216" t="s">
        <v>53</v>
      </c>
      <c r="G216" t="s">
        <v>54</v>
      </c>
      <c r="H216" t="s">
        <v>55</v>
      </c>
      <c r="I216" t="s">
        <v>71</v>
      </c>
      <c r="J216" t="s">
        <v>60</v>
      </c>
      <c r="K216" t="s">
        <v>62</v>
      </c>
      <c r="L216" t="s">
        <v>61</v>
      </c>
      <c r="M216" t="s">
        <v>61</v>
      </c>
      <c r="N216">
        <v>4</v>
      </c>
      <c r="O216">
        <v>4</v>
      </c>
      <c r="P216">
        <v>4</v>
      </c>
      <c r="Q216">
        <v>4</v>
      </c>
      <c r="R216">
        <v>3</v>
      </c>
      <c r="S216">
        <v>5</v>
      </c>
      <c r="T216">
        <v>3</v>
      </c>
      <c r="U216">
        <v>3</v>
      </c>
      <c r="V216">
        <v>4</v>
      </c>
      <c r="W216">
        <v>5</v>
      </c>
      <c r="X216">
        <v>4</v>
      </c>
      <c r="Y216">
        <v>4</v>
      </c>
      <c r="Z216">
        <v>4</v>
      </c>
      <c r="AA216">
        <v>3</v>
      </c>
      <c r="AB216">
        <v>5</v>
      </c>
      <c r="AC216">
        <v>2</v>
      </c>
      <c r="AD216">
        <v>3</v>
      </c>
      <c r="AE216">
        <v>4</v>
      </c>
      <c r="AF216">
        <v>5</v>
      </c>
      <c r="AG216">
        <v>2</v>
      </c>
      <c r="AH216">
        <v>4</v>
      </c>
      <c r="AI216">
        <v>2</v>
      </c>
      <c r="AJ216">
        <v>1</v>
      </c>
      <c r="AK216" t="b">
        <f>Table7[[#This Row],[What is your age?]]&lt;&gt;"18 - 25"</f>
        <v>0</v>
      </c>
      <c r="AL216" t="b">
        <f t="shared" si="9"/>
        <v>0</v>
      </c>
      <c r="AM216" t="b">
        <f t="shared" si="10"/>
        <v>0</v>
      </c>
      <c r="AN216" t="b">
        <f t="shared" si="11"/>
        <v>0</v>
      </c>
      <c r="AO216" t="b">
        <f>OR(Table7[[#This Row],[Ineligible respondents]:[Inconsistent response on opposite question (3)]])</f>
        <v>0</v>
      </c>
      <c r="AP21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216">
        <f>Table7[[#This Row],[Extreme Response]]/21</f>
        <v>0.19047619047619047</v>
      </c>
      <c r="AR216">
        <f>Table67[[#This Row],[Threshold of ERS]]</f>
        <v>0.61904761904761907</v>
      </c>
      <c r="AS216" t="b">
        <f>Table7[[#This Row],[Extrem Response Ratio (ERS)]]&gt;=Table7[[#This Row],[Threshold of ERS]]</f>
        <v>0</v>
      </c>
      <c r="AT216" t="b" cm="1">
        <f t="array" ref="AT21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16">
        <f>COUNTIF(Table7[[#This Row],[The mechanism of digital assets is difficult to understand, which discourages me from exploring it (E.g, Tokenization, Blockchain)]:[If I want to try different ways to invest, I will explore digital assets.]], 3)</f>
        <v>5</v>
      </c>
      <c r="AV216">
        <f>Table7[[#This Row],[Midpoint]]/21</f>
        <v>0.23809523809523808</v>
      </c>
      <c r="AW216">
        <f>Table67[[#This Row],[Threshold of Midpoint ratio]]</f>
        <v>0.5714285714285714</v>
      </c>
      <c r="AX216" t="b">
        <f>Table7[[#This Row],[Midpoint ratio]]&gt;=Table7[[#This Row],[Threshold of Midpoint ratio]]</f>
        <v>0</v>
      </c>
      <c r="AY216" t="b">
        <f>OR(Table7[[#This Row],[Extreme Response Style]:[Straight-lining with 1 deviation]],Table7[[#This Row],[Mid-point Response Style]])</f>
        <v>0</v>
      </c>
      <c r="AZ216" t="b">
        <f>OR(Table7[[#This Row],[Delete? (Stage 1)]],Table7[[#This Row],[Delete? (Stage 2)]])</f>
        <v>0</v>
      </c>
      <c r="BA216" t="s">
        <v>84</v>
      </c>
    </row>
    <row r="217" spans="1:53">
      <c r="A217">
        <v>1008</v>
      </c>
      <c r="B217" s="3">
        <v>46056.882627314801</v>
      </c>
      <c r="C217" s="3">
        <v>46056.886851851901</v>
      </c>
      <c r="D217" t="s">
        <v>53</v>
      </c>
      <c r="G217" t="s">
        <v>54</v>
      </c>
      <c r="H217" t="s">
        <v>55</v>
      </c>
      <c r="I217" t="s">
        <v>56</v>
      </c>
      <c r="J217" t="s">
        <v>62</v>
      </c>
      <c r="K217" t="s">
        <v>57</v>
      </c>
      <c r="L217" t="s">
        <v>58</v>
      </c>
      <c r="M217" t="s">
        <v>58</v>
      </c>
      <c r="N217">
        <v>2</v>
      </c>
      <c r="O217">
        <v>2</v>
      </c>
      <c r="P217">
        <v>3</v>
      </c>
      <c r="Q217">
        <v>3</v>
      </c>
      <c r="R217">
        <v>2</v>
      </c>
      <c r="S217">
        <v>2</v>
      </c>
      <c r="T217">
        <v>4</v>
      </c>
      <c r="U217">
        <v>5</v>
      </c>
      <c r="V217">
        <v>4</v>
      </c>
      <c r="W217">
        <v>4</v>
      </c>
      <c r="X217">
        <v>4</v>
      </c>
      <c r="Y217">
        <v>3</v>
      </c>
      <c r="Z217">
        <v>5</v>
      </c>
      <c r="AA217">
        <v>4</v>
      </c>
      <c r="AB217">
        <v>3</v>
      </c>
      <c r="AC217">
        <v>4</v>
      </c>
      <c r="AD217">
        <v>5</v>
      </c>
      <c r="AE217">
        <v>2</v>
      </c>
      <c r="AF217">
        <v>3</v>
      </c>
      <c r="AG217">
        <v>3</v>
      </c>
      <c r="AH217">
        <v>3</v>
      </c>
      <c r="AI217">
        <v>3</v>
      </c>
      <c r="AJ217">
        <v>3</v>
      </c>
      <c r="AK217" t="b">
        <f>Table7[[#This Row],[What is your age?]]&lt;&gt;"18 - 25"</f>
        <v>0</v>
      </c>
      <c r="AL217" t="b">
        <f t="shared" si="9"/>
        <v>0</v>
      </c>
      <c r="AM217" t="b">
        <f t="shared" si="10"/>
        <v>0</v>
      </c>
      <c r="AN217" t="b">
        <f t="shared" si="11"/>
        <v>0</v>
      </c>
      <c r="AO217" t="b">
        <f>OR(Table7[[#This Row],[Ineligible respondents]:[Inconsistent response on opposite question (3)]])</f>
        <v>0</v>
      </c>
      <c r="AP21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217">
        <f>Table7[[#This Row],[Extreme Response]]/21</f>
        <v>0.14285714285714285</v>
      </c>
      <c r="AR217">
        <f>Table67[[#This Row],[Threshold of ERS]]</f>
        <v>0.61904761904761907</v>
      </c>
      <c r="AS217" t="b">
        <f>Table7[[#This Row],[Extrem Response Ratio (ERS)]]&gt;=Table7[[#This Row],[Threshold of ERS]]</f>
        <v>0</v>
      </c>
      <c r="AT217" t="b" cm="1">
        <f t="array" ref="AT21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17">
        <f>COUNTIF(Table7[[#This Row],[The mechanism of digital assets is difficult to understand, which discourages me from exploring it (E.g, Tokenization, Blockchain)]:[If I want to try different ways to invest, I will explore digital assets.]], 3)</f>
        <v>7</v>
      </c>
      <c r="AV217">
        <f>Table7[[#This Row],[Midpoint]]/21</f>
        <v>0.33333333333333331</v>
      </c>
      <c r="AW217">
        <f>Table67[[#This Row],[Threshold of Midpoint ratio]]</f>
        <v>0.5714285714285714</v>
      </c>
      <c r="AX217" t="b">
        <f>Table7[[#This Row],[Midpoint ratio]]&gt;=Table7[[#This Row],[Threshold of Midpoint ratio]]</f>
        <v>0</v>
      </c>
      <c r="AY217" t="b">
        <f>OR(Table7[[#This Row],[Extreme Response Style]:[Straight-lining with 1 deviation]],Table7[[#This Row],[Mid-point Response Style]])</f>
        <v>0</v>
      </c>
      <c r="AZ217" t="b">
        <f>OR(Table7[[#This Row],[Delete? (Stage 1)]],Table7[[#This Row],[Delete? (Stage 2)]])</f>
        <v>0</v>
      </c>
      <c r="BA217" t="s">
        <v>84</v>
      </c>
    </row>
    <row r="218" spans="1:53">
      <c r="A218">
        <v>1011</v>
      </c>
      <c r="B218" s="3">
        <v>46056.882789351803</v>
      </c>
      <c r="C218" s="3">
        <v>46056.884907407402</v>
      </c>
      <c r="D218" t="s">
        <v>53</v>
      </c>
      <c r="G218" t="s">
        <v>54</v>
      </c>
      <c r="H218" t="s">
        <v>55</v>
      </c>
      <c r="I218" t="s">
        <v>56</v>
      </c>
      <c r="J218" t="s">
        <v>66</v>
      </c>
      <c r="K218" t="s">
        <v>57</v>
      </c>
      <c r="L218" t="s">
        <v>58</v>
      </c>
      <c r="M218" t="s">
        <v>58</v>
      </c>
      <c r="N218">
        <v>4</v>
      </c>
      <c r="O218">
        <v>4</v>
      </c>
      <c r="P218">
        <v>3</v>
      </c>
      <c r="Q218">
        <v>4</v>
      </c>
      <c r="R218">
        <v>3</v>
      </c>
      <c r="S218">
        <v>4</v>
      </c>
      <c r="T218">
        <v>4</v>
      </c>
      <c r="U218">
        <v>3</v>
      </c>
      <c r="V218">
        <v>4</v>
      </c>
      <c r="W218">
        <v>4</v>
      </c>
      <c r="X218">
        <v>3</v>
      </c>
      <c r="Y218">
        <v>4</v>
      </c>
      <c r="Z218">
        <v>4</v>
      </c>
      <c r="AA218">
        <v>4</v>
      </c>
      <c r="AB218">
        <v>4</v>
      </c>
      <c r="AC218">
        <v>4</v>
      </c>
      <c r="AD218">
        <v>4</v>
      </c>
      <c r="AE218">
        <v>3</v>
      </c>
      <c r="AF218">
        <v>2</v>
      </c>
      <c r="AG218">
        <v>2</v>
      </c>
      <c r="AH218">
        <v>4</v>
      </c>
      <c r="AI218">
        <v>2</v>
      </c>
      <c r="AJ218">
        <v>4</v>
      </c>
      <c r="AK218" t="b">
        <f>Table7[[#This Row],[What is your age?]]&lt;&gt;"18 - 25"</f>
        <v>0</v>
      </c>
      <c r="AL218" t="b">
        <f t="shared" si="9"/>
        <v>0</v>
      </c>
      <c r="AM218" t="b">
        <f t="shared" si="10"/>
        <v>0</v>
      </c>
      <c r="AN218" t="b">
        <f t="shared" si="11"/>
        <v>0</v>
      </c>
      <c r="AO218" t="b">
        <f>OR(Table7[[#This Row],[Ineligible respondents]:[Inconsistent response on opposite question (3)]])</f>
        <v>0</v>
      </c>
      <c r="AP21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218">
        <f>Table7[[#This Row],[Extreme Response]]/21</f>
        <v>0</v>
      </c>
      <c r="AR218">
        <f>Table67[[#This Row],[Threshold of ERS]]</f>
        <v>0.61904761904761907</v>
      </c>
      <c r="AS218" t="b">
        <f>Table7[[#This Row],[Extrem Response Ratio (ERS)]]&gt;=Table7[[#This Row],[Threshold of ERS]]</f>
        <v>0</v>
      </c>
      <c r="AT218" t="b" cm="1">
        <f t="array" ref="AT21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18">
        <f>COUNTIF(Table7[[#This Row],[The mechanism of digital assets is difficult to understand, which discourages me from exploring it (E.g, Tokenization, Blockchain)]:[If I want to try different ways to invest, I will explore digital assets.]], 3)</f>
        <v>5</v>
      </c>
      <c r="AV218">
        <f>Table7[[#This Row],[Midpoint]]/21</f>
        <v>0.23809523809523808</v>
      </c>
      <c r="AW218">
        <f>Table67[[#This Row],[Threshold of Midpoint ratio]]</f>
        <v>0.5714285714285714</v>
      </c>
      <c r="AX218" t="b">
        <f>Table7[[#This Row],[Midpoint ratio]]&gt;=Table7[[#This Row],[Threshold of Midpoint ratio]]</f>
        <v>0</v>
      </c>
      <c r="AY218" t="b">
        <f>OR(Table7[[#This Row],[Extreme Response Style]:[Straight-lining with 1 deviation]],Table7[[#This Row],[Mid-point Response Style]])</f>
        <v>0</v>
      </c>
      <c r="AZ218" t="b">
        <f>OR(Table7[[#This Row],[Delete? (Stage 1)]],Table7[[#This Row],[Delete? (Stage 2)]])</f>
        <v>0</v>
      </c>
      <c r="BA218" t="s">
        <v>84</v>
      </c>
    </row>
    <row r="219" spans="1:53">
      <c r="A219">
        <v>1013</v>
      </c>
      <c r="B219" s="3">
        <v>46056.8829050926</v>
      </c>
      <c r="C219" s="3">
        <v>46056.888495370396</v>
      </c>
      <c r="D219" t="s">
        <v>53</v>
      </c>
      <c r="G219" t="s">
        <v>54</v>
      </c>
      <c r="H219" t="s">
        <v>63</v>
      </c>
      <c r="I219" t="s">
        <v>56</v>
      </c>
      <c r="J219" t="s">
        <v>62</v>
      </c>
      <c r="K219" t="s">
        <v>57</v>
      </c>
      <c r="L219" t="s">
        <v>58</v>
      </c>
      <c r="M219" t="s">
        <v>58</v>
      </c>
      <c r="N219">
        <v>4</v>
      </c>
      <c r="O219">
        <v>4</v>
      </c>
      <c r="P219">
        <v>3</v>
      </c>
      <c r="Q219">
        <v>4</v>
      </c>
      <c r="R219">
        <v>3</v>
      </c>
      <c r="S219">
        <v>5</v>
      </c>
      <c r="T219">
        <v>3</v>
      </c>
      <c r="U219">
        <v>5</v>
      </c>
      <c r="V219">
        <v>5</v>
      </c>
      <c r="W219">
        <v>5</v>
      </c>
      <c r="X219">
        <v>4</v>
      </c>
      <c r="Y219">
        <v>5</v>
      </c>
      <c r="Z219">
        <v>5</v>
      </c>
      <c r="AA219">
        <v>4</v>
      </c>
      <c r="AB219">
        <v>3</v>
      </c>
      <c r="AC219">
        <v>4</v>
      </c>
      <c r="AD219">
        <v>4</v>
      </c>
      <c r="AE219">
        <v>3</v>
      </c>
      <c r="AF219">
        <v>3</v>
      </c>
      <c r="AG219">
        <v>3</v>
      </c>
      <c r="AH219">
        <v>3</v>
      </c>
      <c r="AI219">
        <v>3</v>
      </c>
      <c r="AJ219">
        <v>3</v>
      </c>
      <c r="AK219" t="b">
        <f>Table7[[#This Row],[What is your age?]]&lt;&gt;"18 - 25"</f>
        <v>0</v>
      </c>
      <c r="AL219" t="b">
        <f t="shared" si="9"/>
        <v>0</v>
      </c>
      <c r="AM219" t="b">
        <f t="shared" si="10"/>
        <v>0</v>
      </c>
      <c r="AN219" t="b">
        <f t="shared" si="11"/>
        <v>0</v>
      </c>
      <c r="AO219" t="b">
        <f>OR(Table7[[#This Row],[Ineligible respondents]:[Inconsistent response on opposite question (3)]])</f>
        <v>0</v>
      </c>
      <c r="AP21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6</v>
      </c>
      <c r="AQ219">
        <f>Table7[[#This Row],[Extreme Response]]/21</f>
        <v>0.2857142857142857</v>
      </c>
      <c r="AR219">
        <f>Table67[[#This Row],[Threshold of ERS]]</f>
        <v>0.61904761904761907</v>
      </c>
      <c r="AS219" t="b">
        <f>Table7[[#This Row],[Extrem Response Ratio (ERS)]]&gt;=Table7[[#This Row],[Threshold of ERS]]</f>
        <v>0</v>
      </c>
      <c r="AT219" t="b" cm="1">
        <f t="array" ref="AT21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19">
        <f>COUNTIF(Table7[[#This Row],[The mechanism of digital assets is difficult to understand, which discourages me from exploring it (E.g, Tokenization, Blockchain)]:[If I want to try different ways to invest, I will explore digital assets.]], 3)</f>
        <v>8</v>
      </c>
      <c r="AV219">
        <f>Table7[[#This Row],[Midpoint]]/21</f>
        <v>0.38095238095238093</v>
      </c>
      <c r="AW219">
        <f>Table67[[#This Row],[Threshold of Midpoint ratio]]</f>
        <v>0.5714285714285714</v>
      </c>
      <c r="AX219" t="b">
        <f>Table7[[#This Row],[Midpoint ratio]]&gt;=Table7[[#This Row],[Threshold of Midpoint ratio]]</f>
        <v>0</v>
      </c>
      <c r="AY219" t="b">
        <f>OR(Table7[[#This Row],[Extreme Response Style]:[Straight-lining with 1 deviation]],Table7[[#This Row],[Mid-point Response Style]])</f>
        <v>0</v>
      </c>
      <c r="AZ219" t="b">
        <f>OR(Table7[[#This Row],[Delete? (Stage 1)]],Table7[[#This Row],[Delete? (Stage 2)]])</f>
        <v>0</v>
      </c>
      <c r="BA219" t="s">
        <v>84</v>
      </c>
    </row>
    <row r="220" spans="1:53">
      <c r="A220">
        <v>1017</v>
      </c>
      <c r="B220" s="3">
        <v>46056.883055555598</v>
      </c>
      <c r="C220" s="3">
        <v>46056.8909837963</v>
      </c>
      <c r="D220" t="s">
        <v>53</v>
      </c>
      <c r="G220" t="s">
        <v>54</v>
      </c>
      <c r="H220" t="s">
        <v>55</v>
      </c>
      <c r="I220" t="s">
        <v>56</v>
      </c>
      <c r="J220" t="s">
        <v>62</v>
      </c>
      <c r="K220" t="s">
        <v>57</v>
      </c>
      <c r="L220" t="s">
        <v>58</v>
      </c>
      <c r="M220" t="s">
        <v>58</v>
      </c>
      <c r="N220">
        <v>4</v>
      </c>
      <c r="O220">
        <v>4</v>
      </c>
      <c r="P220">
        <v>5</v>
      </c>
      <c r="Q220">
        <v>3</v>
      </c>
      <c r="R220">
        <v>5</v>
      </c>
      <c r="S220">
        <v>5</v>
      </c>
      <c r="T220">
        <v>5</v>
      </c>
      <c r="U220">
        <v>5</v>
      </c>
      <c r="V220">
        <v>5</v>
      </c>
      <c r="W220">
        <v>5</v>
      </c>
      <c r="X220">
        <v>4</v>
      </c>
      <c r="Y220">
        <v>5</v>
      </c>
      <c r="Z220">
        <v>3</v>
      </c>
      <c r="AA220">
        <v>5</v>
      </c>
      <c r="AB220">
        <v>3</v>
      </c>
      <c r="AC220">
        <v>4</v>
      </c>
      <c r="AD220">
        <v>3</v>
      </c>
      <c r="AE220">
        <v>4</v>
      </c>
      <c r="AF220">
        <v>3</v>
      </c>
      <c r="AG220">
        <v>3</v>
      </c>
      <c r="AH220">
        <v>3</v>
      </c>
      <c r="AI220">
        <v>3</v>
      </c>
      <c r="AJ220">
        <v>3</v>
      </c>
      <c r="AK220" t="b">
        <f>Table7[[#This Row],[What is your age?]]&lt;&gt;"18 - 25"</f>
        <v>0</v>
      </c>
      <c r="AL220" t="b">
        <f t="shared" si="9"/>
        <v>0</v>
      </c>
      <c r="AM220" t="b">
        <f t="shared" si="10"/>
        <v>0</v>
      </c>
      <c r="AN220" t="b">
        <f t="shared" si="11"/>
        <v>0</v>
      </c>
      <c r="AO220" t="b">
        <f>OR(Table7[[#This Row],[Ineligible respondents]:[Inconsistent response on opposite question (3)]])</f>
        <v>0</v>
      </c>
      <c r="AP22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9</v>
      </c>
      <c r="AQ220">
        <f>Table7[[#This Row],[Extreme Response]]/21</f>
        <v>0.42857142857142855</v>
      </c>
      <c r="AR220">
        <f>Table67[[#This Row],[Threshold of ERS]]</f>
        <v>0.61904761904761907</v>
      </c>
      <c r="AS220" t="b">
        <f>Table7[[#This Row],[Extrem Response Ratio (ERS)]]&gt;=Table7[[#This Row],[Threshold of ERS]]</f>
        <v>0</v>
      </c>
      <c r="AT220" t="b" cm="1">
        <f t="array" ref="AT22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20">
        <f>COUNTIF(Table7[[#This Row],[The mechanism of digital assets is difficult to understand, which discourages me from exploring it (E.g, Tokenization, Blockchain)]:[If I want to try different ways to invest, I will explore digital assets.]], 3)</f>
        <v>7</v>
      </c>
      <c r="AV220">
        <f>Table7[[#This Row],[Midpoint]]/21</f>
        <v>0.33333333333333331</v>
      </c>
      <c r="AW220">
        <f>Table67[[#This Row],[Threshold of Midpoint ratio]]</f>
        <v>0.5714285714285714</v>
      </c>
      <c r="AX220" t="b">
        <f>Table7[[#This Row],[Midpoint ratio]]&gt;=Table7[[#This Row],[Threshold of Midpoint ratio]]</f>
        <v>0</v>
      </c>
      <c r="AY220" t="b">
        <f>OR(Table7[[#This Row],[Extreme Response Style]:[Straight-lining with 1 deviation]],Table7[[#This Row],[Mid-point Response Style]])</f>
        <v>0</v>
      </c>
      <c r="AZ220" t="b">
        <f>OR(Table7[[#This Row],[Delete? (Stage 1)]],Table7[[#This Row],[Delete? (Stage 2)]])</f>
        <v>0</v>
      </c>
      <c r="BA220" t="s">
        <v>84</v>
      </c>
    </row>
    <row r="221" spans="1:53">
      <c r="A221">
        <v>1026</v>
      </c>
      <c r="B221" s="3">
        <v>46056.883854166699</v>
      </c>
      <c r="C221" s="3">
        <v>46056.890104166698</v>
      </c>
      <c r="D221" t="s">
        <v>53</v>
      </c>
      <c r="G221" t="s">
        <v>54</v>
      </c>
      <c r="H221" t="s">
        <v>63</v>
      </c>
      <c r="I221" t="s">
        <v>56</v>
      </c>
      <c r="J221" t="s">
        <v>60</v>
      </c>
      <c r="K221" t="s">
        <v>62</v>
      </c>
      <c r="L221" t="s">
        <v>58</v>
      </c>
      <c r="M221" t="s">
        <v>61</v>
      </c>
      <c r="N221">
        <v>1</v>
      </c>
      <c r="O221">
        <v>3</v>
      </c>
      <c r="P221">
        <v>4</v>
      </c>
      <c r="Q221">
        <v>3</v>
      </c>
      <c r="R221">
        <v>1</v>
      </c>
      <c r="S221">
        <v>2</v>
      </c>
      <c r="T221">
        <v>3</v>
      </c>
      <c r="U221">
        <v>4</v>
      </c>
      <c r="V221">
        <v>4</v>
      </c>
      <c r="W221">
        <v>4</v>
      </c>
      <c r="X221">
        <v>3</v>
      </c>
      <c r="Y221">
        <v>4</v>
      </c>
      <c r="Z221">
        <v>3</v>
      </c>
      <c r="AA221">
        <v>4</v>
      </c>
      <c r="AB221">
        <v>3</v>
      </c>
      <c r="AC221">
        <v>3</v>
      </c>
      <c r="AD221">
        <v>4</v>
      </c>
      <c r="AE221">
        <v>4</v>
      </c>
      <c r="AF221">
        <v>4</v>
      </c>
      <c r="AG221">
        <v>2</v>
      </c>
      <c r="AH221">
        <v>4</v>
      </c>
      <c r="AI221">
        <v>2</v>
      </c>
      <c r="AJ221">
        <v>2</v>
      </c>
      <c r="AK221" t="b">
        <f>Table7[[#This Row],[What is your age?]]&lt;&gt;"18 - 25"</f>
        <v>0</v>
      </c>
      <c r="AL221" t="b">
        <f t="shared" si="9"/>
        <v>0</v>
      </c>
      <c r="AM221" t="b">
        <f t="shared" si="10"/>
        <v>0</v>
      </c>
      <c r="AN221" t="b">
        <f t="shared" si="11"/>
        <v>0</v>
      </c>
      <c r="AO221" t="b">
        <f>OR(Table7[[#This Row],[Ineligible respondents]:[Inconsistent response on opposite question (3)]])</f>
        <v>0</v>
      </c>
      <c r="AP22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221">
        <f>Table7[[#This Row],[Extreme Response]]/21</f>
        <v>9.5238095238095233E-2</v>
      </c>
      <c r="AR221">
        <f>Table67[[#This Row],[Threshold of ERS]]</f>
        <v>0.61904761904761907</v>
      </c>
      <c r="AS221" t="b">
        <f>Table7[[#This Row],[Extrem Response Ratio (ERS)]]&gt;=Table7[[#This Row],[Threshold of ERS]]</f>
        <v>0</v>
      </c>
      <c r="AT221" t="b" cm="1">
        <f t="array" ref="AT22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21">
        <f>COUNTIF(Table7[[#This Row],[The mechanism of digital assets is difficult to understand, which discourages me from exploring it (E.g, Tokenization, Blockchain)]:[If I want to try different ways to invest, I will explore digital assets.]], 3)</f>
        <v>7</v>
      </c>
      <c r="AV221">
        <f>Table7[[#This Row],[Midpoint]]/21</f>
        <v>0.33333333333333331</v>
      </c>
      <c r="AW221">
        <f>Table67[[#This Row],[Threshold of Midpoint ratio]]</f>
        <v>0.5714285714285714</v>
      </c>
      <c r="AX221" t="b">
        <f>Table7[[#This Row],[Midpoint ratio]]&gt;=Table7[[#This Row],[Threshold of Midpoint ratio]]</f>
        <v>0</v>
      </c>
      <c r="AY221" t="b">
        <f>OR(Table7[[#This Row],[Extreme Response Style]:[Straight-lining with 1 deviation]],Table7[[#This Row],[Mid-point Response Style]])</f>
        <v>0</v>
      </c>
      <c r="AZ221" t="b">
        <f>OR(Table7[[#This Row],[Delete? (Stage 1)]],Table7[[#This Row],[Delete? (Stage 2)]])</f>
        <v>0</v>
      </c>
      <c r="BA221" t="s">
        <v>84</v>
      </c>
    </row>
    <row r="222" spans="1:53">
      <c r="A222">
        <v>1028</v>
      </c>
      <c r="B222" s="3">
        <v>46056.8839814815</v>
      </c>
      <c r="C222" s="3">
        <v>46056.888275463003</v>
      </c>
      <c r="D222" t="s">
        <v>53</v>
      </c>
      <c r="G222" t="s">
        <v>54</v>
      </c>
      <c r="H222" t="s">
        <v>55</v>
      </c>
      <c r="I222" t="s">
        <v>56</v>
      </c>
      <c r="J222" t="s">
        <v>62</v>
      </c>
      <c r="K222" t="s">
        <v>62</v>
      </c>
      <c r="L222" t="s">
        <v>58</v>
      </c>
      <c r="M222" t="s">
        <v>58</v>
      </c>
      <c r="N222">
        <v>2</v>
      </c>
      <c r="O222">
        <v>1</v>
      </c>
      <c r="P222">
        <v>5</v>
      </c>
      <c r="Q222">
        <v>4</v>
      </c>
      <c r="R222">
        <v>1</v>
      </c>
      <c r="S222">
        <v>2</v>
      </c>
      <c r="T222">
        <v>4</v>
      </c>
      <c r="U222">
        <v>4</v>
      </c>
      <c r="V222">
        <v>4</v>
      </c>
      <c r="W222">
        <v>4</v>
      </c>
      <c r="X222">
        <v>5</v>
      </c>
      <c r="Y222">
        <v>4</v>
      </c>
      <c r="Z222">
        <v>5</v>
      </c>
      <c r="AA222">
        <v>5</v>
      </c>
      <c r="AB222">
        <v>4</v>
      </c>
      <c r="AC222">
        <v>5</v>
      </c>
      <c r="AD222">
        <v>5</v>
      </c>
      <c r="AE222">
        <v>5</v>
      </c>
      <c r="AF222">
        <v>2</v>
      </c>
      <c r="AG222">
        <v>4</v>
      </c>
      <c r="AH222">
        <v>2</v>
      </c>
      <c r="AI222">
        <v>4</v>
      </c>
      <c r="AJ222">
        <v>4</v>
      </c>
      <c r="AK222" t="b">
        <f>Table7[[#This Row],[What is your age?]]&lt;&gt;"18 - 25"</f>
        <v>0</v>
      </c>
      <c r="AL222" t="b">
        <f t="shared" si="9"/>
        <v>0</v>
      </c>
      <c r="AM222" t="b">
        <f t="shared" si="10"/>
        <v>0</v>
      </c>
      <c r="AN222" t="b">
        <f t="shared" si="11"/>
        <v>0</v>
      </c>
      <c r="AO222" t="b">
        <f>OR(Table7[[#This Row],[Ineligible respondents]:[Inconsistent response on opposite question (3)]])</f>
        <v>0</v>
      </c>
      <c r="AP22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9</v>
      </c>
      <c r="AQ222">
        <f>Table7[[#This Row],[Extreme Response]]/21</f>
        <v>0.42857142857142855</v>
      </c>
      <c r="AR222">
        <f>Table67[[#This Row],[Threshold of ERS]]</f>
        <v>0.61904761904761907</v>
      </c>
      <c r="AS222" t="b">
        <f>Table7[[#This Row],[Extrem Response Ratio (ERS)]]&gt;=Table7[[#This Row],[Threshold of ERS]]</f>
        <v>0</v>
      </c>
      <c r="AT222" t="b" cm="1">
        <f t="array" ref="AT22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22">
        <f>COUNTIF(Table7[[#This Row],[The mechanism of digital assets is difficult to understand, which discourages me from exploring it (E.g, Tokenization, Blockchain)]:[If I want to try different ways to invest, I will explore digital assets.]], 3)</f>
        <v>0</v>
      </c>
      <c r="AV222">
        <f>Table7[[#This Row],[Midpoint]]/21</f>
        <v>0</v>
      </c>
      <c r="AW222">
        <f>Table67[[#This Row],[Threshold of Midpoint ratio]]</f>
        <v>0.5714285714285714</v>
      </c>
      <c r="AX222" t="b">
        <f>Table7[[#This Row],[Midpoint ratio]]&gt;=Table7[[#This Row],[Threshold of Midpoint ratio]]</f>
        <v>0</v>
      </c>
      <c r="AY222" t="b">
        <f>OR(Table7[[#This Row],[Extreme Response Style]:[Straight-lining with 1 deviation]],Table7[[#This Row],[Mid-point Response Style]])</f>
        <v>0</v>
      </c>
      <c r="AZ222" t="b">
        <f>OR(Table7[[#This Row],[Delete? (Stage 1)]],Table7[[#This Row],[Delete? (Stage 2)]])</f>
        <v>0</v>
      </c>
      <c r="BA222" t="s">
        <v>84</v>
      </c>
    </row>
    <row r="223" spans="1:53">
      <c r="A223">
        <v>1030</v>
      </c>
      <c r="B223" s="3">
        <v>46056.884317129603</v>
      </c>
      <c r="C223" s="3">
        <v>46056.885879629597</v>
      </c>
      <c r="D223" t="s">
        <v>53</v>
      </c>
      <c r="G223" t="s">
        <v>54</v>
      </c>
      <c r="H223" t="s">
        <v>63</v>
      </c>
      <c r="I223" t="s">
        <v>56</v>
      </c>
      <c r="J223" t="s">
        <v>62</v>
      </c>
      <c r="K223" t="s">
        <v>62</v>
      </c>
      <c r="L223" t="s">
        <v>61</v>
      </c>
      <c r="M223" t="s">
        <v>61</v>
      </c>
      <c r="N223">
        <v>4</v>
      </c>
      <c r="O223">
        <v>3</v>
      </c>
      <c r="P223">
        <v>5</v>
      </c>
      <c r="Q223">
        <v>4</v>
      </c>
      <c r="R223">
        <v>4</v>
      </c>
      <c r="S223">
        <v>4</v>
      </c>
      <c r="T223">
        <v>4</v>
      </c>
      <c r="U223">
        <v>4</v>
      </c>
      <c r="V223">
        <v>4</v>
      </c>
      <c r="W223">
        <v>4</v>
      </c>
      <c r="X223">
        <v>4</v>
      </c>
      <c r="Y223">
        <v>3</v>
      </c>
      <c r="Z223">
        <v>4</v>
      </c>
      <c r="AA223">
        <v>5</v>
      </c>
      <c r="AB223">
        <v>4</v>
      </c>
      <c r="AC223">
        <v>4</v>
      </c>
      <c r="AD223">
        <v>4</v>
      </c>
      <c r="AE223">
        <v>3</v>
      </c>
      <c r="AF223">
        <v>5</v>
      </c>
      <c r="AG223">
        <v>2</v>
      </c>
      <c r="AH223">
        <v>5</v>
      </c>
      <c r="AI223">
        <v>1</v>
      </c>
      <c r="AJ223">
        <v>1</v>
      </c>
      <c r="AK223" t="b">
        <f>Table7[[#This Row],[What is your age?]]&lt;&gt;"18 - 25"</f>
        <v>0</v>
      </c>
      <c r="AL223" t="b">
        <f t="shared" si="9"/>
        <v>0</v>
      </c>
      <c r="AM223" t="b">
        <f t="shared" si="10"/>
        <v>0</v>
      </c>
      <c r="AN223" t="b">
        <f t="shared" si="11"/>
        <v>0</v>
      </c>
      <c r="AO223" t="b">
        <f>OR(Table7[[#This Row],[Ineligible respondents]:[Inconsistent response on opposite question (3)]])</f>
        <v>0</v>
      </c>
      <c r="AP22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223">
        <f>Table7[[#This Row],[Extreme Response]]/21</f>
        <v>0.19047619047619047</v>
      </c>
      <c r="AR223">
        <f>Table67[[#This Row],[Threshold of ERS]]</f>
        <v>0.61904761904761907</v>
      </c>
      <c r="AS223" t="b">
        <f>Table7[[#This Row],[Extrem Response Ratio (ERS)]]&gt;=Table7[[#This Row],[Threshold of ERS]]</f>
        <v>0</v>
      </c>
      <c r="AT223" t="b" cm="1">
        <f t="array" ref="AT22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23">
        <f>COUNTIF(Table7[[#This Row],[The mechanism of digital assets is difficult to understand, which discourages me from exploring it (E.g, Tokenization, Blockchain)]:[If I want to try different ways to invest, I will explore digital assets.]], 3)</f>
        <v>3</v>
      </c>
      <c r="AV223">
        <f>Table7[[#This Row],[Midpoint]]/21</f>
        <v>0.14285714285714285</v>
      </c>
      <c r="AW223">
        <f>Table67[[#This Row],[Threshold of Midpoint ratio]]</f>
        <v>0.5714285714285714</v>
      </c>
      <c r="AX223" t="b">
        <f>Table7[[#This Row],[Midpoint ratio]]&gt;=Table7[[#This Row],[Threshold of Midpoint ratio]]</f>
        <v>0</v>
      </c>
      <c r="AY223" t="b">
        <f>OR(Table7[[#This Row],[Extreme Response Style]:[Straight-lining with 1 deviation]],Table7[[#This Row],[Mid-point Response Style]])</f>
        <v>0</v>
      </c>
      <c r="AZ223" t="b">
        <f>OR(Table7[[#This Row],[Delete? (Stage 1)]],Table7[[#This Row],[Delete? (Stage 2)]])</f>
        <v>0</v>
      </c>
      <c r="BA223" t="s">
        <v>84</v>
      </c>
    </row>
    <row r="224" spans="1:53">
      <c r="A224">
        <v>1033</v>
      </c>
      <c r="B224" s="3">
        <v>46056.8844328704</v>
      </c>
      <c r="C224" s="3">
        <v>46056.891400462999</v>
      </c>
      <c r="D224" t="s">
        <v>53</v>
      </c>
      <c r="G224" t="s">
        <v>54</v>
      </c>
      <c r="H224" t="s">
        <v>55</v>
      </c>
      <c r="I224" t="s">
        <v>56</v>
      </c>
      <c r="J224" t="s">
        <v>57</v>
      </c>
      <c r="K224" t="s">
        <v>57</v>
      </c>
      <c r="L224" t="s">
        <v>58</v>
      </c>
      <c r="M224" t="s">
        <v>58</v>
      </c>
      <c r="N224">
        <v>4</v>
      </c>
      <c r="O224">
        <v>5</v>
      </c>
      <c r="P224">
        <v>4</v>
      </c>
      <c r="Q224">
        <v>3</v>
      </c>
      <c r="R224">
        <v>4</v>
      </c>
      <c r="S224">
        <v>4</v>
      </c>
      <c r="T224">
        <v>5</v>
      </c>
      <c r="U224">
        <v>4</v>
      </c>
      <c r="V224">
        <v>5</v>
      </c>
      <c r="W224">
        <v>5</v>
      </c>
      <c r="X224">
        <v>4</v>
      </c>
      <c r="Y224">
        <v>4</v>
      </c>
      <c r="Z224">
        <v>5</v>
      </c>
      <c r="AA224">
        <v>5</v>
      </c>
      <c r="AB224">
        <v>2</v>
      </c>
      <c r="AC224">
        <v>4</v>
      </c>
      <c r="AD224">
        <v>5</v>
      </c>
      <c r="AE224">
        <v>5</v>
      </c>
      <c r="AF224">
        <v>5</v>
      </c>
      <c r="AG224">
        <v>4</v>
      </c>
      <c r="AH224">
        <v>2</v>
      </c>
      <c r="AI224">
        <v>4</v>
      </c>
      <c r="AJ224">
        <v>1</v>
      </c>
      <c r="AK224" t="b">
        <f>Table7[[#This Row],[What is your age?]]&lt;&gt;"18 - 25"</f>
        <v>0</v>
      </c>
      <c r="AL224" t="b">
        <f t="shared" si="9"/>
        <v>0</v>
      </c>
      <c r="AM224" t="b">
        <f t="shared" si="10"/>
        <v>0</v>
      </c>
      <c r="AN224" t="b">
        <f t="shared" si="11"/>
        <v>0</v>
      </c>
      <c r="AO224" t="b">
        <f>OR(Table7[[#This Row],[Ineligible respondents]:[Inconsistent response on opposite question (3)]])</f>
        <v>0</v>
      </c>
      <c r="AP22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9</v>
      </c>
      <c r="AQ224">
        <f>Table7[[#This Row],[Extreme Response]]/21</f>
        <v>0.42857142857142855</v>
      </c>
      <c r="AR224">
        <f>Table67[[#This Row],[Threshold of ERS]]</f>
        <v>0.61904761904761907</v>
      </c>
      <c r="AS224" t="b">
        <f>Table7[[#This Row],[Extrem Response Ratio (ERS)]]&gt;=Table7[[#This Row],[Threshold of ERS]]</f>
        <v>0</v>
      </c>
      <c r="AT224" t="b" cm="1">
        <f t="array" ref="AT22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24">
        <f>COUNTIF(Table7[[#This Row],[The mechanism of digital assets is difficult to understand, which discourages me from exploring it (E.g, Tokenization, Blockchain)]:[If I want to try different ways to invest, I will explore digital assets.]], 3)</f>
        <v>1</v>
      </c>
      <c r="AV224">
        <f>Table7[[#This Row],[Midpoint]]/21</f>
        <v>4.7619047619047616E-2</v>
      </c>
      <c r="AW224">
        <f>Table67[[#This Row],[Threshold of Midpoint ratio]]</f>
        <v>0.5714285714285714</v>
      </c>
      <c r="AX224" t="b">
        <f>Table7[[#This Row],[Midpoint ratio]]&gt;=Table7[[#This Row],[Threshold of Midpoint ratio]]</f>
        <v>0</v>
      </c>
      <c r="AY224" t="b">
        <f>OR(Table7[[#This Row],[Extreme Response Style]:[Straight-lining with 1 deviation]],Table7[[#This Row],[Mid-point Response Style]])</f>
        <v>0</v>
      </c>
      <c r="AZ224" t="b">
        <f>OR(Table7[[#This Row],[Delete? (Stage 1)]],Table7[[#This Row],[Delete? (Stage 2)]])</f>
        <v>0</v>
      </c>
      <c r="BA224" t="s">
        <v>84</v>
      </c>
    </row>
    <row r="225" spans="1:53">
      <c r="A225">
        <v>1039</v>
      </c>
      <c r="B225" s="3">
        <v>46056.884733796302</v>
      </c>
      <c r="C225" s="3">
        <v>46056.8905324074</v>
      </c>
      <c r="D225" t="s">
        <v>53</v>
      </c>
      <c r="G225" t="s">
        <v>54</v>
      </c>
      <c r="H225" t="s">
        <v>63</v>
      </c>
      <c r="I225" t="s">
        <v>56</v>
      </c>
      <c r="J225" t="s">
        <v>62</v>
      </c>
      <c r="K225" t="s">
        <v>57</v>
      </c>
      <c r="L225" t="s">
        <v>58</v>
      </c>
      <c r="M225" t="s">
        <v>58</v>
      </c>
      <c r="N225">
        <v>4</v>
      </c>
      <c r="O225">
        <v>2</v>
      </c>
      <c r="P225">
        <v>4</v>
      </c>
      <c r="Q225">
        <v>3</v>
      </c>
      <c r="R225">
        <v>2</v>
      </c>
      <c r="S225">
        <v>2</v>
      </c>
      <c r="T225">
        <v>4</v>
      </c>
      <c r="U225">
        <v>5</v>
      </c>
      <c r="V225">
        <v>4</v>
      </c>
      <c r="W225">
        <v>4</v>
      </c>
      <c r="X225">
        <v>5</v>
      </c>
      <c r="Y225">
        <v>4</v>
      </c>
      <c r="Z225">
        <v>3</v>
      </c>
      <c r="AA225">
        <v>4</v>
      </c>
      <c r="AB225">
        <v>3</v>
      </c>
      <c r="AC225">
        <v>3</v>
      </c>
      <c r="AD225">
        <v>4</v>
      </c>
      <c r="AE225">
        <v>4</v>
      </c>
      <c r="AF225">
        <v>2</v>
      </c>
      <c r="AG225">
        <v>4</v>
      </c>
      <c r="AH225">
        <v>2</v>
      </c>
      <c r="AI225">
        <v>4</v>
      </c>
      <c r="AJ225">
        <v>4</v>
      </c>
      <c r="AK225" t="b">
        <f>Table7[[#This Row],[What is your age?]]&lt;&gt;"18 - 25"</f>
        <v>0</v>
      </c>
      <c r="AL225" t="b">
        <f t="shared" si="9"/>
        <v>0</v>
      </c>
      <c r="AM225" t="b">
        <f t="shared" si="10"/>
        <v>0</v>
      </c>
      <c r="AN225" t="b">
        <f t="shared" si="11"/>
        <v>0</v>
      </c>
      <c r="AO225" t="b">
        <f>OR(Table7[[#This Row],[Ineligible respondents]:[Inconsistent response on opposite question (3)]])</f>
        <v>0</v>
      </c>
      <c r="AP22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225">
        <f>Table7[[#This Row],[Extreme Response]]/21</f>
        <v>9.5238095238095233E-2</v>
      </c>
      <c r="AR225">
        <f>Table67[[#This Row],[Threshold of ERS]]</f>
        <v>0.61904761904761907</v>
      </c>
      <c r="AS225" t="b">
        <f>Table7[[#This Row],[Extrem Response Ratio (ERS)]]&gt;=Table7[[#This Row],[Threshold of ERS]]</f>
        <v>0</v>
      </c>
      <c r="AT225" t="b" cm="1">
        <f t="array" ref="AT22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25">
        <f>COUNTIF(Table7[[#This Row],[The mechanism of digital assets is difficult to understand, which discourages me from exploring it (E.g, Tokenization, Blockchain)]:[If I want to try different ways to invest, I will explore digital assets.]], 3)</f>
        <v>4</v>
      </c>
      <c r="AV225">
        <f>Table7[[#This Row],[Midpoint]]/21</f>
        <v>0.19047619047619047</v>
      </c>
      <c r="AW225">
        <f>Table67[[#This Row],[Threshold of Midpoint ratio]]</f>
        <v>0.5714285714285714</v>
      </c>
      <c r="AX225" t="b">
        <f>Table7[[#This Row],[Midpoint ratio]]&gt;=Table7[[#This Row],[Threshold of Midpoint ratio]]</f>
        <v>0</v>
      </c>
      <c r="AY225" t="b">
        <f>OR(Table7[[#This Row],[Extreme Response Style]:[Straight-lining with 1 deviation]],Table7[[#This Row],[Mid-point Response Style]])</f>
        <v>0</v>
      </c>
      <c r="AZ225" t="b">
        <f>OR(Table7[[#This Row],[Delete? (Stage 1)]],Table7[[#This Row],[Delete? (Stage 2)]])</f>
        <v>0</v>
      </c>
      <c r="BA225" t="s">
        <v>84</v>
      </c>
    </row>
    <row r="226" spans="1:53">
      <c r="A226">
        <v>1048</v>
      </c>
      <c r="B226" s="3">
        <v>46056.885173611103</v>
      </c>
      <c r="C226" s="3">
        <v>46056.889444444401</v>
      </c>
      <c r="D226" t="s">
        <v>53</v>
      </c>
      <c r="G226" t="s">
        <v>54</v>
      </c>
      <c r="H226" t="s">
        <v>63</v>
      </c>
      <c r="I226" t="s">
        <v>56</v>
      </c>
      <c r="J226" t="s">
        <v>67</v>
      </c>
      <c r="K226" t="s">
        <v>57</v>
      </c>
      <c r="L226" t="s">
        <v>58</v>
      </c>
      <c r="M226" t="s">
        <v>58</v>
      </c>
      <c r="N226">
        <v>4</v>
      </c>
      <c r="O226">
        <v>3</v>
      </c>
      <c r="P226">
        <v>3</v>
      </c>
      <c r="Q226">
        <v>4</v>
      </c>
      <c r="R226">
        <v>4</v>
      </c>
      <c r="S226">
        <v>4</v>
      </c>
      <c r="T226">
        <v>4</v>
      </c>
      <c r="U226">
        <v>4</v>
      </c>
      <c r="V226">
        <v>5</v>
      </c>
      <c r="W226">
        <v>3</v>
      </c>
      <c r="X226">
        <v>5</v>
      </c>
      <c r="Y226">
        <v>5</v>
      </c>
      <c r="Z226">
        <v>4</v>
      </c>
      <c r="AA226">
        <v>4</v>
      </c>
      <c r="AB226">
        <v>3</v>
      </c>
      <c r="AC226">
        <v>4</v>
      </c>
      <c r="AD226">
        <v>5</v>
      </c>
      <c r="AE226">
        <v>4</v>
      </c>
      <c r="AF226">
        <v>3</v>
      </c>
      <c r="AG226">
        <v>3</v>
      </c>
      <c r="AH226">
        <v>3</v>
      </c>
      <c r="AI226">
        <v>3</v>
      </c>
      <c r="AJ226">
        <v>3</v>
      </c>
      <c r="AK226" t="b">
        <f>Table7[[#This Row],[What is your age?]]&lt;&gt;"18 - 25"</f>
        <v>0</v>
      </c>
      <c r="AL226" t="b">
        <f t="shared" si="9"/>
        <v>0</v>
      </c>
      <c r="AM226" t="b">
        <f t="shared" si="10"/>
        <v>0</v>
      </c>
      <c r="AN226" t="b">
        <f t="shared" si="11"/>
        <v>0</v>
      </c>
      <c r="AO226" t="b">
        <f>OR(Table7[[#This Row],[Ineligible respondents]:[Inconsistent response on opposite question (3)]])</f>
        <v>0</v>
      </c>
      <c r="AP22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226">
        <f>Table7[[#This Row],[Extreme Response]]/21</f>
        <v>0.19047619047619047</v>
      </c>
      <c r="AR226">
        <f>Table67[[#This Row],[Threshold of ERS]]</f>
        <v>0.61904761904761907</v>
      </c>
      <c r="AS226" t="b">
        <f>Table7[[#This Row],[Extrem Response Ratio (ERS)]]&gt;=Table7[[#This Row],[Threshold of ERS]]</f>
        <v>0</v>
      </c>
      <c r="AT226" t="b" cm="1">
        <f t="array" ref="AT22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26">
        <f>COUNTIF(Table7[[#This Row],[The mechanism of digital assets is difficult to understand, which discourages me from exploring it (E.g, Tokenization, Blockchain)]:[If I want to try different ways to invest, I will explore digital assets.]], 3)</f>
        <v>7</v>
      </c>
      <c r="AV226">
        <f>Table7[[#This Row],[Midpoint]]/21</f>
        <v>0.33333333333333331</v>
      </c>
      <c r="AW226">
        <f>Table67[[#This Row],[Threshold of Midpoint ratio]]</f>
        <v>0.5714285714285714</v>
      </c>
      <c r="AX226" t="b">
        <f>Table7[[#This Row],[Midpoint ratio]]&gt;=Table7[[#This Row],[Threshold of Midpoint ratio]]</f>
        <v>0</v>
      </c>
      <c r="AY226" t="b">
        <f>OR(Table7[[#This Row],[Extreme Response Style]:[Straight-lining with 1 deviation]],Table7[[#This Row],[Mid-point Response Style]])</f>
        <v>0</v>
      </c>
      <c r="AZ226" t="b">
        <f>OR(Table7[[#This Row],[Delete? (Stage 1)]],Table7[[#This Row],[Delete? (Stage 2)]])</f>
        <v>0</v>
      </c>
      <c r="BA226" t="s">
        <v>84</v>
      </c>
    </row>
    <row r="227" spans="1:53">
      <c r="A227">
        <v>1052</v>
      </c>
      <c r="B227" s="3">
        <v>46056.885381944398</v>
      </c>
      <c r="C227" s="3">
        <v>46056.893344907403</v>
      </c>
      <c r="D227" t="s">
        <v>53</v>
      </c>
      <c r="G227" t="s">
        <v>54</v>
      </c>
      <c r="H227" t="s">
        <v>55</v>
      </c>
      <c r="I227" t="s">
        <v>69</v>
      </c>
      <c r="J227" t="s">
        <v>62</v>
      </c>
      <c r="K227" t="s">
        <v>57</v>
      </c>
      <c r="L227" t="s">
        <v>58</v>
      </c>
      <c r="M227" t="s">
        <v>58</v>
      </c>
      <c r="N227">
        <v>4</v>
      </c>
      <c r="O227">
        <v>4</v>
      </c>
      <c r="P227">
        <v>5</v>
      </c>
      <c r="Q227">
        <v>4</v>
      </c>
      <c r="R227">
        <v>3</v>
      </c>
      <c r="S227">
        <v>4</v>
      </c>
      <c r="T227">
        <v>4</v>
      </c>
      <c r="U227">
        <v>4</v>
      </c>
      <c r="V227">
        <v>4</v>
      </c>
      <c r="W227">
        <v>2</v>
      </c>
      <c r="X227">
        <v>4</v>
      </c>
      <c r="Y227">
        <v>3</v>
      </c>
      <c r="Z227">
        <v>4</v>
      </c>
      <c r="AA227">
        <v>3</v>
      </c>
      <c r="AB227">
        <v>4</v>
      </c>
      <c r="AC227">
        <v>4</v>
      </c>
      <c r="AD227">
        <v>3</v>
      </c>
      <c r="AE227">
        <v>1</v>
      </c>
      <c r="AF227">
        <v>3</v>
      </c>
      <c r="AG227">
        <v>3</v>
      </c>
      <c r="AH227">
        <v>3</v>
      </c>
      <c r="AI227">
        <v>3</v>
      </c>
      <c r="AJ227">
        <v>3</v>
      </c>
      <c r="AK227" t="b">
        <f>Table7[[#This Row],[What is your age?]]&lt;&gt;"18 - 25"</f>
        <v>0</v>
      </c>
      <c r="AL227" t="b">
        <f t="shared" si="9"/>
        <v>0</v>
      </c>
      <c r="AM227" t="b">
        <f t="shared" si="10"/>
        <v>0</v>
      </c>
      <c r="AN227" t="b">
        <f t="shared" si="11"/>
        <v>0</v>
      </c>
      <c r="AO227" t="b">
        <f>OR(Table7[[#This Row],[Ineligible respondents]:[Inconsistent response on opposite question (3)]])</f>
        <v>0</v>
      </c>
      <c r="AP22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227">
        <f>Table7[[#This Row],[Extreme Response]]/21</f>
        <v>9.5238095238095233E-2</v>
      </c>
      <c r="AR227">
        <f>Table67[[#This Row],[Threshold of ERS]]</f>
        <v>0.61904761904761907</v>
      </c>
      <c r="AS227" t="b">
        <f>Table7[[#This Row],[Extrem Response Ratio (ERS)]]&gt;=Table7[[#This Row],[Threshold of ERS]]</f>
        <v>0</v>
      </c>
      <c r="AT227" t="b" cm="1">
        <f t="array" ref="AT22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27">
        <f>COUNTIF(Table7[[#This Row],[The mechanism of digital assets is difficult to understand, which discourages me from exploring it (E.g, Tokenization, Blockchain)]:[If I want to try different ways to invest, I will explore digital assets.]], 3)</f>
        <v>7</v>
      </c>
      <c r="AV227">
        <f>Table7[[#This Row],[Midpoint]]/21</f>
        <v>0.33333333333333331</v>
      </c>
      <c r="AW227">
        <f>Table67[[#This Row],[Threshold of Midpoint ratio]]</f>
        <v>0.5714285714285714</v>
      </c>
      <c r="AX227" t="b">
        <f>Table7[[#This Row],[Midpoint ratio]]&gt;=Table7[[#This Row],[Threshold of Midpoint ratio]]</f>
        <v>0</v>
      </c>
      <c r="AY227" t="b">
        <f>OR(Table7[[#This Row],[Extreme Response Style]:[Straight-lining with 1 deviation]],Table7[[#This Row],[Mid-point Response Style]])</f>
        <v>0</v>
      </c>
      <c r="AZ227" t="b">
        <f>OR(Table7[[#This Row],[Delete? (Stage 1)]],Table7[[#This Row],[Delete? (Stage 2)]])</f>
        <v>0</v>
      </c>
      <c r="BA227" t="s">
        <v>84</v>
      </c>
    </row>
    <row r="228" spans="1:53">
      <c r="A228">
        <v>1054</v>
      </c>
      <c r="B228" s="3">
        <v>46056.885439814803</v>
      </c>
      <c r="C228" s="3">
        <v>46056.8882407407</v>
      </c>
      <c r="D228" t="s">
        <v>53</v>
      </c>
      <c r="G228" t="s">
        <v>54</v>
      </c>
      <c r="H228" t="s">
        <v>70</v>
      </c>
      <c r="I228" t="s">
        <v>69</v>
      </c>
      <c r="J228" t="s">
        <v>62</v>
      </c>
      <c r="K228" t="s">
        <v>57</v>
      </c>
      <c r="L228" t="s">
        <v>58</v>
      </c>
      <c r="M228" t="s">
        <v>58</v>
      </c>
      <c r="N228">
        <v>5</v>
      </c>
      <c r="O228">
        <v>4</v>
      </c>
      <c r="P228">
        <v>4</v>
      </c>
      <c r="Q228">
        <v>4</v>
      </c>
      <c r="R228">
        <v>4</v>
      </c>
      <c r="S228">
        <v>5</v>
      </c>
      <c r="T228">
        <v>5</v>
      </c>
      <c r="U228">
        <v>5</v>
      </c>
      <c r="V228">
        <v>5</v>
      </c>
      <c r="W228">
        <v>5</v>
      </c>
      <c r="X228">
        <v>4</v>
      </c>
      <c r="Y228">
        <v>5</v>
      </c>
      <c r="Z228">
        <v>4</v>
      </c>
      <c r="AA228">
        <v>5</v>
      </c>
      <c r="AB228">
        <v>2</v>
      </c>
      <c r="AC228">
        <v>5</v>
      </c>
      <c r="AD228">
        <v>5</v>
      </c>
      <c r="AE228">
        <v>5</v>
      </c>
      <c r="AF228">
        <v>2</v>
      </c>
      <c r="AG228">
        <v>5</v>
      </c>
      <c r="AH228">
        <v>2</v>
      </c>
      <c r="AI228">
        <v>4</v>
      </c>
      <c r="AJ228">
        <v>4</v>
      </c>
      <c r="AK228" t="b">
        <f>Table7[[#This Row],[What is your age?]]&lt;&gt;"18 - 25"</f>
        <v>0</v>
      </c>
      <c r="AL228" t="b">
        <f t="shared" si="9"/>
        <v>0</v>
      </c>
      <c r="AM228" t="b">
        <f t="shared" si="10"/>
        <v>0</v>
      </c>
      <c r="AN228" t="b">
        <f t="shared" si="11"/>
        <v>0</v>
      </c>
      <c r="AO228" t="b">
        <f>OR(Table7[[#This Row],[Ineligible respondents]:[Inconsistent response on opposite question (3)]])</f>
        <v>0</v>
      </c>
      <c r="AP22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12</v>
      </c>
      <c r="AQ228">
        <f>Table7[[#This Row],[Extreme Response]]/21</f>
        <v>0.5714285714285714</v>
      </c>
      <c r="AR228">
        <f>Table67[[#This Row],[Threshold of ERS]]</f>
        <v>0.61904761904761907</v>
      </c>
      <c r="AS228" t="b">
        <f>Table7[[#This Row],[Extrem Response Ratio (ERS)]]&gt;=Table7[[#This Row],[Threshold of ERS]]</f>
        <v>0</v>
      </c>
      <c r="AT228" t="b" cm="1">
        <f t="array" ref="AT22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28">
        <f>COUNTIF(Table7[[#This Row],[The mechanism of digital assets is difficult to understand, which discourages me from exploring it (E.g, Tokenization, Blockchain)]:[If I want to try different ways to invest, I will explore digital assets.]], 3)</f>
        <v>0</v>
      </c>
      <c r="AV228">
        <f>Table7[[#This Row],[Midpoint]]/21</f>
        <v>0</v>
      </c>
      <c r="AW228">
        <f>Table67[[#This Row],[Threshold of Midpoint ratio]]</f>
        <v>0.5714285714285714</v>
      </c>
      <c r="AX228" t="b">
        <f>Table7[[#This Row],[Midpoint ratio]]&gt;=Table7[[#This Row],[Threshold of Midpoint ratio]]</f>
        <v>0</v>
      </c>
      <c r="AY228" t="b">
        <f>OR(Table7[[#This Row],[Extreme Response Style]:[Straight-lining with 1 deviation]],Table7[[#This Row],[Mid-point Response Style]])</f>
        <v>0</v>
      </c>
      <c r="AZ228" t="b">
        <f>OR(Table7[[#This Row],[Delete? (Stage 1)]],Table7[[#This Row],[Delete? (Stage 2)]])</f>
        <v>0</v>
      </c>
      <c r="BA228" t="s">
        <v>84</v>
      </c>
    </row>
    <row r="229" spans="1:53">
      <c r="A229">
        <v>1056</v>
      </c>
      <c r="B229" s="3">
        <v>46056.885486111103</v>
      </c>
      <c r="C229" s="3">
        <v>46056.887118055602</v>
      </c>
      <c r="D229" t="s">
        <v>53</v>
      </c>
      <c r="G229" t="s">
        <v>54</v>
      </c>
      <c r="H229" t="s">
        <v>63</v>
      </c>
      <c r="I229" t="s">
        <v>56</v>
      </c>
      <c r="J229" t="s">
        <v>62</v>
      </c>
      <c r="K229" t="s">
        <v>62</v>
      </c>
      <c r="L229" t="s">
        <v>58</v>
      </c>
      <c r="M229" t="s">
        <v>58</v>
      </c>
      <c r="N229">
        <v>4</v>
      </c>
      <c r="O229">
        <v>3</v>
      </c>
      <c r="P229">
        <v>5</v>
      </c>
      <c r="Q229">
        <v>3</v>
      </c>
      <c r="R229">
        <v>4</v>
      </c>
      <c r="S229">
        <v>5</v>
      </c>
      <c r="T229">
        <v>3</v>
      </c>
      <c r="U229">
        <v>3</v>
      </c>
      <c r="V229">
        <v>4</v>
      </c>
      <c r="W229">
        <v>4</v>
      </c>
      <c r="X229">
        <v>3</v>
      </c>
      <c r="Y229">
        <v>4</v>
      </c>
      <c r="Z229">
        <v>3</v>
      </c>
      <c r="AA229">
        <v>4</v>
      </c>
      <c r="AB229">
        <v>4</v>
      </c>
      <c r="AC229">
        <v>4</v>
      </c>
      <c r="AD229">
        <v>4</v>
      </c>
      <c r="AE229">
        <v>2</v>
      </c>
      <c r="AF229">
        <v>3</v>
      </c>
      <c r="AG229">
        <v>3</v>
      </c>
      <c r="AH229">
        <v>3</v>
      </c>
      <c r="AI229">
        <v>3</v>
      </c>
      <c r="AJ229">
        <v>3</v>
      </c>
      <c r="AK229" t="b">
        <f>Table7[[#This Row],[What is your age?]]&lt;&gt;"18 - 25"</f>
        <v>0</v>
      </c>
      <c r="AL229" t="b">
        <f t="shared" si="9"/>
        <v>0</v>
      </c>
      <c r="AM229" t="b">
        <f t="shared" si="10"/>
        <v>0</v>
      </c>
      <c r="AN229" t="b">
        <f t="shared" si="11"/>
        <v>0</v>
      </c>
      <c r="AO229" t="b">
        <f>OR(Table7[[#This Row],[Ineligible respondents]:[Inconsistent response on opposite question (3)]])</f>
        <v>0</v>
      </c>
      <c r="AP22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229">
        <f>Table7[[#This Row],[Extreme Response]]/21</f>
        <v>9.5238095238095233E-2</v>
      </c>
      <c r="AR229">
        <f>Table67[[#This Row],[Threshold of ERS]]</f>
        <v>0.61904761904761907</v>
      </c>
      <c r="AS229" t="b">
        <f>Table7[[#This Row],[Extrem Response Ratio (ERS)]]&gt;=Table7[[#This Row],[Threshold of ERS]]</f>
        <v>0</v>
      </c>
      <c r="AT229" t="b" cm="1">
        <f t="array" ref="AT22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29">
        <f>COUNTIF(Table7[[#This Row],[The mechanism of digital assets is difficult to understand, which discourages me from exploring it (E.g, Tokenization, Blockchain)]:[If I want to try different ways to invest, I will explore digital assets.]], 3)</f>
        <v>9</v>
      </c>
      <c r="AV229">
        <f>Table7[[#This Row],[Midpoint]]/21</f>
        <v>0.42857142857142855</v>
      </c>
      <c r="AW229">
        <f>Table67[[#This Row],[Threshold of Midpoint ratio]]</f>
        <v>0.5714285714285714</v>
      </c>
      <c r="AX229" t="b">
        <f>Table7[[#This Row],[Midpoint ratio]]&gt;=Table7[[#This Row],[Threshold of Midpoint ratio]]</f>
        <v>0</v>
      </c>
      <c r="AY229" t="b">
        <f>OR(Table7[[#This Row],[Extreme Response Style]:[Straight-lining with 1 deviation]],Table7[[#This Row],[Mid-point Response Style]])</f>
        <v>0</v>
      </c>
      <c r="AZ229" t="b">
        <f>OR(Table7[[#This Row],[Delete? (Stage 1)]],Table7[[#This Row],[Delete? (Stage 2)]])</f>
        <v>0</v>
      </c>
      <c r="BA229" t="s">
        <v>84</v>
      </c>
    </row>
    <row r="230" spans="1:53">
      <c r="A230">
        <v>1058</v>
      </c>
      <c r="B230" s="3">
        <v>46056.8855555556</v>
      </c>
      <c r="C230" s="3">
        <v>46056.892210648097</v>
      </c>
      <c r="D230" t="s">
        <v>53</v>
      </c>
      <c r="G230" t="s">
        <v>54</v>
      </c>
      <c r="H230" t="s">
        <v>55</v>
      </c>
      <c r="I230" t="s">
        <v>56</v>
      </c>
      <c r="J230" t="s">
        <v>57</v>
      </c>
      <c r="K230" t="s">
        <v>57</v>
      </c>
      <c r="L230" t="s">
        <v>58</v>
      </c>
      <c r="M230" t="s">
        <v>58</v>
      </c>
      <c r="N230">
        <v>2</v>
      </c>
      <c r="O230">
        <v>1</v>
      </c>
      <c r="P230">
        <v>4</v>
      </c>
      <c r="Q230">
        <v>3</v>
      </c>
      <c r="R230">
        <v>2</v>
      </c>
      <c r="S230">
        <v>4</v>
      </c>
      <c r="T230">
        <v>4</v>
      </c>
      <c r="U230">
        <v>4</v>
      </c>
      <c r="V230">
        <v>4</v>
      </c>
      <c r="W230">
        <v>4</v>
      </c>
      <c r="X230">
        <v>4</v>
      </c>
      <c r="Y230">
        <v>4</v>
      </c>
      <c r="Z230">
        <v>4</v>
      </c>
      <c r="AA230">
        <v>4</v>
      </c>
      <c r="AB230">
        <v>3</v>
      </c>
      <c r="AC230">
        <v>3</v>
      </c>
      <c r="AD230">
        <v>4</v>
      </c>
      <c r="AE230">
        <v>2</v>
      </c>
      <c r="AF230">
        <v>2</v>
      </c>
      <c r="AG230">
        <v>4</v>
      </c>
      <c r="AH230">
        <v>2</v>
      </c>
      <c r="AI230">
        <v>4</v>
      </c>
      <c r="AJ230">
        <v>4</v>
      </c>
      <c r="AK230" t="b">
        <f>Table7[[#This Row],[What is your age?]]&lt;&gt;"18 - 25"</f>
        <v>0</v>
      </c>
      <c r="AL230" t="b">
        <f t="shared" si="9"/>
        <v>0</v>
      </c>
      <c r="AM230" t="b">
        <f t="shared" si="10"/>
        <v>0</v>
      </c>
      <c r="AN230" t="b">
        <f t="shared" si="11"/>
        <v>0</v>
      </c>
      <c r="AO230" t="b">
        <f>OR(Table7[[#This Row],[Ineligible respondents]:[Inconsistent response on opposite question (3)]])</f>
        <v>0</v>
      </c>
      <c r="AP23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230">
        <f>Table7[[#This Row],[Extreme Response]]/21</f>
        <v>4.7619047619047616E-2</v>
      </c>
      <c r="AR230">
        <f>Table67[[#This Row],[Threshold of ERS]]</f>
        <v>0.61904761904761907</v>
      </c>
      <c r="AS230" t="b">
        <f>Table7[[#This Row],[Extrem Response Ratio (ERS)]]&gt;=Table7[[#This Row],[Threshold of ERS]]</f>
        <v>0</v>
      </c>
      <c r="AT230" t="b" cm="1">
        <f t="array" ref="AT23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30">
        <f>COUNTIF(Table7[[#This Row],[The mechanism of digital assets is difficult to understand, which discourages me from exploring it (E.g, Tokenization, Blockchain)]:[If I want to try different ways to invest, I will explore digital assets.]], 3)</f>
        <v>3</v>
      </c>
      <c r="AV230">
        <f>Table7[[#This Row],[Midpoint]]/21</f>
        <v>0.14285714285714285</v>
      </c>
      <c r="AW230">
        <f>Table67[[#This Row],[Threshold of Midpoint ratio]]</f>
        <v>0.5714285714285714</v>
      </c>
      <c r="AX230" t="b">
        <f>Table7[[#This Row],[Midpoint ratio]]&gt;=Table7[[#This Row],[Threshold of Midpoint ratio]]</f>
        <v>0</v>
      </c>
      <c r="AY230" t="b">
        <f>OR(Table7[[#This Row],[Extreme Response Style]:[Straight-lining with 1 deviation]],Table7[[#This Row],[Mid-point Response Style]])</f>
        <v>0</v>
      </c>
      <c r="AZ230" t="b">
        <f>OR(Table7[[#This Row],[Delete? (Stage 1)]],Table7[[#This Row],[Delete? (Stage 2)]])</f>
        <v>0</v>
      </c>
      <c r="BA230" t="s">
        <v>84</v>
      </c>
    </row>
    <row r="231" spans="1:53">
      <c r="A231">
        <v>1061</v>
      </c>
      <c r="B231" s="3">
        <v>46056.885648148098</v>
      </c>
      <c r="C231" s="3">
        <v>46056.890011574098</v>
      </c>
      <c r="D231" t="s">
        <v>53</v>
      </c>
      <c r="G231" t="s">
        <v>54</v>
      </c>
      <c r="H231" t="s">
        <v>63</v>
      </c>
      <c r="I231" t="s">
        <v>75</v>
      </c>
      <c r="J231" t="s">
        <v>57</v>
      </c>
      <c r="K231" t="s">
        <v>57</v>
      </c>
      <c r="L231" t="s">
        <v>58</v>
      </c>
      <c r="M231" t="s">
        <v>58</v>
      </c>
      <c r="N231">
        <v>3</v>
      </c>
      <c r="O231">
        <v>3</v>
      </c>
      <c r="P231">
        <v>4</v>
      </c>
      <c r="Q231">
        <v>4</v>
      </c>
      <c r="R231">
        <v>4</v>
      </c>
      <c r="S231">
        <v>4</v>
      </c>
      <c r="T231">
        <v>4</v>
      </c>
      <c r="U231">
        <v>4</v>
      </c>
      <c r="V231">
        <v>5</v>
      </c>
      <c r="W231">
        <v>5</v>
      </c>
      <c r="X231">
        <v>3</v>
      </c>
      <c r="Y231">
        <v>4</v>
      </c>
      <c r="Z231">
        <v>4</v>
      </c>
      <c r="AA231">
        <v>4</v>
      </c>
      <c r="AB231">
        <v>3</v>
      </c>
      <c r="AC231">
        <v>3</v>
      </c>
      <c r="AD231">
        <v>4</v>
      </c>
      <c r="AE231">
        <v>4</v>
      </c>
      <c r="AF231">
        <v>3</v>
      </c>
      <c r="AG231">
        <v>3</v>
      </c>
      <c r="AH231">
        <v>3</v>
      </c>
      <c r="AI231">
        <v>3</v>
      </c>
      <c r="AJ231">
        <v>3</v>
      </c>
      <c r="AK231" t="b">
        <f>Table7[[#This Row],[What is your age?]]&lt;&gt;"18 - 25"</f>
        <v>0</v>
      </c>
      <c r="AL231" t="b">
        <f t="shared" si="9"/>
        <v>0</v>
      </c>
      <c r="AM231" t="b">
        <f t="shared" si="10"/>
        <v>0</v>
      </c>
      <c r="AN231" t="b">
        <f t="shared" si="11"/>
        <v>0</v>
      </c>
      <c r="AO231" t="b">
        <f>OR(Table7[[#This Row],[Ineligible respondents]:[Inconsistent response on opposite question (3)]])</f>
        <v>0</v>
      </c>
      <c r="AP23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231">
        <f>Table7[[#This Row],[Extreme Response]]/21</f>
        <v>9.5238095238095233E-2</v>
      </c>
      <c r="AR231">
        <f>Table67[[#This Row],[Threshold of ERS]]</f>
        <v>0.61904761904761907</v>
      </c>
      <c r="AS231" t="b">
        <f>Table7[[#This Row],[Extrem Response Ratio (ERS)]]&gt;=Table7[[#This Row],[Threshold of ERS]]</f>
        <v>0</v>
      </c>
      <c r="AT231" t="b" cm="1">
        <f t="array" ref="AT23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31">
        <f>COUNTIF(Table7[[#This Row],[The mechanism of digital assets is difficult to understand, which discourages me from exploring it (E.g, Tokenization, Blockchain)]:[If I want to try different ways to invest, I will explore digital assets.]], 3)</f>
        <v>8</v>
      </c>
      <c r="AV231">
        <f>Table7[[#This Row],[Midpoint]]/21</f>
        <v>0.38095238095238093</v>
      </c>
      <c r="AW231">
        <f>Table67[[#This Row],[Threshold of Midpoint ratio]]</f>
        <v>0.5714285714285714</v>
      </c>
      <c r="AX231" t="b">
        <f>Table7[[#This Row],[Midpoint ratio]]&gt;=Table7[[#This Row],[Threshold of Midpoint ratio]]</f>
        <v>0</v>
      </c>
      <c r="AY231" t="b">
        <f>OR(Table7[[#This Row],[Extreme Response Style]:[Straight-lining with 1 deviation]],Table7[[#This Row],[Mid-point Response Style]])</f>
        <v>0</v>
      </c>
      <c r="AZ231" t="b">
        <f>OR(Table7[[#This Row],[Delete? (Stage 1)]],Table7[[#This Row],[Delete? (Stage 2)]])</f>
        <v>0</v>
      </c>
      <c r="BA231" t="s">
        <v>84</v>
      </c>
    </row>
    <row r="232" spans="1:53">
      <c r="A232">
        <v>1070</v>
      </c>
      <c r="B232" s="3">
        <v>46056.886030092603</v>
      </c>
      <c r="C232" s="3">
        <v>46056.889305555596</v>
      </c>
      <c r="D232" t="s">
        <v>53</v>
      </c>
      <c r="G232" t="s">
        <v>54</v>
      </c>
      <c r="H232" t="s">
        <v>55</v>
      </c>
      <c r="I232" t="s">
        <v>56</v>
      </c>
      <c r="J232" t="s">
        <v>65</v>
      </c>
      <c r="K232" t="s">
        <v>64</v>
      </c>
      <c r="L232" t="s">
        <v>61</v>
      </c>
      <c r="M232" t="s">
        <v>61</v>
      </c>
      <c r="N232">
        <v>1</v>
      </c>
      <c r="O232">
        <v>2</v>
      </c>
      <c r="P232">
        <v>2</v>
      </c>
      <c r="Q232">
        <v>1</v>
      </c>
      <c r="R232">
        <v>3</v>
      </c>
      <c r="S232">
        <v>3</v>
      </c>
      <c r="T232">
        <v>1</v>
      </c>
      <c r="U232">
        <v>1</v>
      </c>
      <c r="V232">
        <v>1</v>
      </c>
      <c r="W232">
        <v>1</v>
      </c>
      <c r="X232">
        <v>1</v>
      </c>
      <c r="Y232">
        <v>2</v>
      </c>
      <c r="Z232">
        <v>3</v>
      </c>
      <c r="AA232">
        <v>1</v>
      </c>
      <c r="AB232">
        <v>2</v>
      </c>
      <c r="AC232">
        <v>1</v>
      </c>
      <c r="AD232">
        <v>2</v>
      </c>
      <c r="AE232">
        <v>2</v>
      </c>
      <c r="AF232">
        <v>5</v>
      </c>
      <c r="AG232">
        <v>1</v>
      </c>
      <c r="AH232">
        <v>5</v>
      </c>
      <c r="AI232">
        <v>1</v>
      </c>
      <c r="AJ232">
        <v>1</v>
      </c>
      <c r="AK232" t="b">
        <f>Table7[[#This Row],[What is your age?]]&lt;&gt;"18 - 25"</f>
        <v>0</v>
      </c>
      <c r="AL232" t="b">
        <f t="shared" si="9"/>
        <v>0</v>
      </c>
      <c r="AM232" t="b">
        <f t="shared" si="10"/>
        <v>0</v>
      </c>
      <c r="AN232" t="b">
        <f t="shared" si="11"/>
        <v>0</v>
      </c>
      <c r="AO232" t="b">
        <f>OR(Table7[[#This Row],[Ineligible respondents]:[Inconsistent response on opposite question (3)]])</f>
        <v>0</v>
      </c>
      <c r="AP23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12</v>
      </c>
      <c r="AQ232">
        <f>Table7[[#This Row],[Extreme Response]]/21</f>
        <v>0.5714285714285714</v>
      </c>
      <c r="AR232">
        <f>Table67[[#This Row],[Threshold of ERS]]</f>
        <v>0.61904761904761907</v>
      </c>
      <c r="AS232" t="b">
        <f>Table7[[#This Row],[Extrem Response Ratio (ERS)]]&gt;=Table7[[#This Row],[Threshold of ERS]]</f>
        <v>0</v>
      </c>
      <c r="AT232" t="b" cm="1">
        <f t="array" ref="AT23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32">
        <f>COUNTIF(Table7[[#This Row],[The mechanism of digital assets is difficult to understand, which discourages me from exploring it (E.g, Tokenization, Blockchain)]:[If I want to try different ways to invest, I will explore digital assets.]], 3)</f>
        <v>3</v>
      </c>
      <c r="AV232">
        <f>Table7[[#This Row],[Midpoint]]/21</f>
        <v>0.14285714285714285</v>
      </c>
      <c r="AW232">
        <f>Table67[[#This Row],[Threshold of Midpoint ratio]]</f>
        <v>0.5714285714285714</v>
      </c>
      <c r="AX232" t="b">
        <f>Table7[[#This Row],[Midpoint ratio]]&gt;=Table7[[#This Row],[Threshold of Midpoint ratio]]</f>
        <v>0</v>
      </c>
      <c r="AY232" t="b">
        <f>OR(Table7[[#This Row],[Extreme Response Style]:[Straight-lining with 1 deviation]],Table7[[#This Row],[Mid-point Response Style]])</f>
        <v>0</v>
      </c>
      <c r="AZ232" t="b">
        <f>OR(Table7[[#This Row],[Delete? (Stage 1)]],Table7[[#This Row],[Delete? (Stage 2)]])</f>
        <v>0</v>
      </c>
      <c r="BA232" t="s">
        <v>84</v>
      </c>
    </row>
    <row r="233" spans="1:53">
      <c r="A233">
        <v>1071</v>
      </c>
      <c r="B233" s="3">
        <v>46056.886053240698</v>
      </c>
      <c r="C233" s="3">
        <v>46056.891875000001</v>
      </c>
      <c r="D233" t="s">
        <v>53</v>
      </c>
      <c r="G233" t="s">
        <v>54</v>
      </c>
      <c r="H233" t="s">
        <v>63</v>
      </c>
      <c r="I233" t="s">
        <v>82</v>
      </c>
      <c r="J233" t="s">
        <v>60</v>
      </c>
      <c r="K233" t="s">
        <v>62</v>
      </c>
      <c r="L233" t="s">
        <v>61</v>
      </c>
      <c r="M233" t="s">
        <v>61</v>
      </c>
      <c r="N233">
        <v>3</v>
      </c>
      <c r="O233">
        <v>3</v>
      </c>
      <c r="P233">
        <v>4</v>
      </c>
      <c r="Q233">
        <v>3</v>
      </c>
      <c r="R233">
        <v>4</v>
      </c>
      <c r="S233">
        <v>3</v>
      </c>
      <c r="T233">
        <v>2</v>
      </c>
      <c r="U233">
        <v>4</v>
      </c>
      <c r="V233">
        <v>4</v>
      </c>
      <c r="W233">
        <v>4</v>
      </c>
      <c r="X233">
        <v>4</v>
      </c>
      <c r="Y233">
        <v>4</v>
      </c>
      <c r="Z233">
        <v>4</v>
      </c>
      <c r="AA233">
        <v>2</v>
      </c>
      <c r="AB233">
        <v>2</v>
      </c>
      <c r="AC233">
        <v>2</v>
      </c>
      <c r="AD233">
        <v>3</v>
      </c>
      <c r="AE233">
        <v>3</v>
      </c>
      <c r="AF233">
        <v>3</v>
      </c>
      <c r="AG233">
        <v>2</v>
      </c>
      <c r="AH233">
        <v>4</v>
      </c>
      <c r="AI233">
        <v>2</v>
      </c>
      <c r="AJ233">
        <v>3</v>
      </c>
      <c r="AK233" t="b">
        <f>Table7[[#This Row],[What is your age?]]&lt;&gt;"18 - 25"</f>
        <v>0</v>
      </c>
      <c r="AL233" t="b">
        <f t="shared" si="9"/>
        <v>0</v>
      </c>
      <c r="AM233" t="b">
        <f t="shared" si="10"/>
        <v>0</v>
      </c>
      <c r="AN233" t="b">
        <f t="shared" si="11"/>
        <v>0</v>
      </c>
      <c r="AO233" t="b">
        <f>OR(Table7[[#This Row],[Ineligible respondents]:[Inconsistent response on opposite question (3)]])</f>
        <v>0</v>
      </c>
      <c r="AP23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233">
        <f>Table7[[#This Row],[Extreme Response]]/21</f>
        <v>0</v>
      </c>
      <c r="AR233">
        <f>Table67[[#This Row],[Threshold of ERS]]</f>
        <v>0.61904761904761907</v>
      </c>
      <c r="AS233" t="b">
        <f>Table7[[#This Row],[Extrem Response Ratio (ERS)]]&gt;=Table7[[#This Row],[Threshold of ERS]]</f>
        <v>0</v>
      </c>
      <c r="AT233" t="b" cm="1">
        <f t="array" ref="AT23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33">
        <f>COUNTIF(Table7[[#This Row],[The mechanism of digital assets is difficult to understand, which discourages me from exploring it (E.g, Tokenization, Blockchain)]:[If I want to try different ways to invest, I will explore digital assets.]], 3)</f>
        <v>7</v>
      </c>
      <c r="AV233">
        <f>Table7[[#This Row],[Midpoint]]/21</f>
        <v>0.33333333333333331</v>
      </c>
      <c r="AW233">
        <f>Table67[[#This Row],[Threshold of Midpoint ratio]]</f>
        <v>0.5714285714285714</v>
      </c>
      <c r="AX233" t="b">
        <f>Table7[[#This Row],[Midpoint ratio]]&gt;=Table7[[#This Row],[Threshold of Midpoint ratio]]</f>
        <v>0</v>
      </c>
      <c r="AY233" t="b">
        <f>OR(Table7[[#This Row],[Extreme Response Style]:[Straight-lining with 1 deviation]],Table7[[#This Row],[Mid-point Response Style]])</f>
        <v>0</v>
      </c>
      <c r="AZ233" t="b">
        <f>OR(Table7[[#This Row],[Delete? (Stage 1)]],Table7[[#This Row],[Delete? (Stage 2)]])</f>
        <v>0</v>
      </c>
      <c r="BA233" t="s">
        <v>84</v>
      </c>
    </row>
    <row r="234" spans="1:53">
      <c r="A234">
        <v>1074</v>
      </c>
      <c r="B234" s="3">
        <v>46056.886215277802</v>
      </c>
      <c r="C234" s="3">
        <v>46056.8912962963</v>
      </c>
      <c r="D234" t="s">
        <v>53</v>
      </c>
      <c r="G234" t="s">
        <v>54</v>
      </c>
      <c r="H234" t="s">
        <v>55</v>
      </c>
      <c r="I234" t="s">
        <v>56</v>
      </c>
      <c r="J234" t="s">
        <v>67</v>
      </c>
      <c r="K234" t="s">
        <v>65</v>
      </c>
      <c r="L234" t="s">
        <v>61</v>
      </c>
      <c r="M234" t="s">
        <v>61</v>
      </c>
      <c r="N234">
        <v>3</v>
      </c>
      <c r="O234">
        <v>2</v>
      </c>
      <c r="P234">
        <v>4</v>
      </c>
      <c r="Q234">
        <v>3</v>
      </c>
      <c r="R234">
        <v>3</v>
      </c>
      <c r="S234">
        <v>3</v>
      </c>
      <c r="T234">
        <v>2</v>
      </c>
      <c r="U234">
        <v>3</v>
      </c>
      <c r="V234">
        <v>2</v>
      </c>
      <c r="W234">
        <v>4</v>
      </c>
      <c r="X234">
        <v>4</v>
      </c>
      <c r="Y234">
        <v>4</v>
      </c>
      <c r="Z234">
        <v>4</v>
      </c>
      <c r="AA234">
        <v>3</v>
      </c>
      <c r="AB234">
        <v>3</v>
      </c>
      <c r="AC234">
        <v>3</v>
      </c>
      <c r="AD234">
        <v>4</v>
      </c>
      <c r="AE234">
        <v>4</v>
      </c>
      <c r="AF234">
        <v>4</v>
      </c>
      <c r="AG234">
        <v>3</v>
      </c>
      <c r="AH234">
        <v>3</v>
      </c>
      <c r="AI234">
        <v>3</v>
      </c>
      <c r="AJ234">
        <v>2</v>
      </c>
      <c r="AK234" t="b">
        <f>Table7[[#This Row],[What is your age?]]&lt;&gt;"18 - 25"</f>
        <v>0</v>
      </c>
      <c r="AL234" t="b">
        <f t="shared" si="9"/>
        <v>0</v>
      </c>
      <c r="AM234" t="b">
        <f t="shared" si="10"/>
        <v>0</v>
      </c>
      <c r="AN234" t="b">
        <f t="shared" si="11"/>
        <v>0</v>
      </c>
      <c r="AO234" t="b">
        <f>OR(Table7[[#This Row],[Ineligible respondents]:[Inconsistent response on opposite question (3)]])</f>
        <v>0</v>
      </c>
      <c r="AP23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234">
        <f>Table7[[#This Row],[Extreme Response]]/21</f>
        <v>0</v>
      </c>
      <c r="AR234">
        <f>Table67[[#This Row],[Threshold of ERS]]</f>
        <v>0.61904761904761907</v>
      </c>
      <c r="AS234" t="b">
        <f>Table7[[#This Row],[Extrem Response Ratio (ERS)]]&gt;=Table7[[#This Row],[Threshold of ERS]]</f>
        <v>0</v>
      </c>
      <c r="AT234" t="b" cm="1">
        <f t="array" ref="AT23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34">
        <f>COUNTIF(Table7[[#This Row],[The mechanism of digital assets is difficult to understand, which discourages me from exploring it (E.g, Tokenization, Blockchain)]:[If I want to try different ways to invest, I will explore digital assets.]], 3)</f>
        <v>10</v>
      </c>
      <c r="AV234">
        <f>Table7[[#This Row],[Midpoint]]/21</f>
        <v>0.47619047619047616</v>
      </c>
      <c r="AW234">
        <f>Table67[[#This Row],[Threshold of Midpoint ratio]]</f>
        <v>0.5714285714285714</v>
      </c>
      <c r="AX234" t="b">
        <f>Table7[[#This Row],[Midpoint ratio]]&gt;=Table7[[#This Row],[Threshold of Midpoint ratio]]</f>
        <v>0</v>
      </c>
      <c r="AY234" t="b">
        <f>OR(Table7[[#This Row],[Extreme Response Style]:[Straight-lining with 1 deviation]],Table7[[#This Row],[Mid-point Response Style]])</f>
        <v>0</v>
      </c>
      <c r="AZ234" t="b">
        <f>OR(Table7[[#This Row],[Delete? (Stage 1)]],Table7[[#This Row],[Delete? (Stage 2)]])</f>
        <v>0</v>
      </c>
      <c r="BA234" t="s">
        <v>84</v>
      </c>
    </row>
    <row r="235" spans="1:53">
      <c r="A235">
        <v>1080</v>
      </c>
      <c r="B235" s="3">
        <v>46056.886354166701</v>
      </c>
      <c r="C235" s="3">
        <v>46056.898807870399</v>
      </c>
      <c r="D235" t="s">
        <v>53</v>
      </c>
      <c r="G235" t="s">
        <v>54</v>
      </c>
      <c r="H235" t="s">
        <v>55</v>
      </c>
      <c r="I235" t="s">
        <v>71</v>
      </c>
      <c r="J235" t="s">
        <v>60</v>
      </c>
      <c r="K235" t="s">
        <v>62</v>
      </c>
      <c r="L235" t="s">
        <v>61</v>
      </c>
      <c r="M235" t="s">
        <v>61</v>
      </c>
      <c r="N235">
        <v>4</v>
      </c>
      <c r="O235">
        <v>2</v>
      </c>
      <c r="P235">
        <v>4</v>
      </c>
      <c r="Q235">
        <v>2</v>
      </c>
      <c r="R235">
        <v>2</v>
      </c>
      <c r="S235">
        <v>2</v>
      </c>
      <c r="T235">
        <v>3</v>
      </c>
      <c r="U235">
        <v>4</v>
      </c>
      <c r="V235">
        <v>4</v>
      </c>
      <c r="W235">
        <v>4</v>
      </c>
      <c r="X235">
        <v>4</v>
      </c>
      <c r="Y235">
        <v>4</v>
      </c>
      <c r="Z235">
        <v>5</v>
      </c>
      <c r="AA235">
        <v>4</v>
      </c>
      <c r="AB235">
        <v>3</v>
      </c>
      <c r="AC235">
        <v>4</v>
      </c>
      <c r="AD235">
        <v>4</v>
      </c>
      <c r="AE235">
        <v>4</v>
      </c>
      <c r="AF235">
        <v>2</v>
      </c>
      <c r="AG235">
        <v>4</v>
      </c>
      <c r="AH235">
        <v>2</v>
      </c>
      <c r="AI235">
        <v>4</v>
      </c>
      <c r="AJ235">
        <v>4</v>
      </c>
      <c r="AK235" t="b">
        <f>Table7[[#This Row],[What is your age?]]&lt;&gt;"18 - 25"</f>
        <v>0</v>
      </c>
      <c r="AL235" t="b">
        <f t="shared" si="9"/>
        <v>0</v>
      </c>
      <c r="AM235" t="b">
        <f t="shared" si="10"/>
        <v>0</v>
      </c>
      <c r="AN235" t="b">
        <f t="shared" si="11"/>
        <v>0</v>
      </c>
      <c r="AO235" t="b">
        <f>OR(Table7[[#This Row],[Ineligible respondents]:[Inconsistent response on opposite question (3)]])</f>
        <v>0</v>
      </c>
      <c r="AP23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235">
        <f>Table7[[#This Row],[Extreme Response]]/21</f>
        <v>4.7619047619047616E-2</v>
      </c>
      <c r="AR235">
        <f>Table67[[#This Row],[Threshold of ERS]]</f>
        <v>0.61904761904761907</v>
      </c>
      <c r="AS235" t="b">
        <f>Table7[[#This Row],[Extrem Response Ratio (ERS)]]&gt;=Table7[[#This Row],[Threshold of ERS]]</f>
        <v>0</v>
      </c>
      <c r="AT235" t="b" cm="1">
        <f t="array" ref="AT23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35">
        <f>COUNTIF(Table7[[#This Row],[The mechanism of digital assets is difficult to understand, which discourages me from exploring it (E.g, Tokenization, Blockchain)]:[If I want to try different ways to invest, I will explore digital assets.]], 3)</f>
        <v>2</v>
      </c>
      <c r="AV235">
        <f>Table7[[#This Row],[Midpoint]]/21</f>
        <v>9.5238095238095233E-2</v>
      </c>
      <c r="AW235">
        <f>Table67[[#This Row],[Threshold of Midpoint ratio]]</f>
        <v>0.5714285714285714</v>
      </c>
      <c r="AX235" t="b">
        <f>Table7[[#This Row],[Midpoint ratio]]&gt;=Table7[[#This Row],[Threshold of Midpoint ratio]]</f>
        <v>0</v>
      </c>
      <c r="AY235" t="b">
        <f>OR(Table7[[#This Row],[Extreme Response Style]:[Straight-lining with 1 deviation]],Table7[[#This Row],[Mid-point Response Style]])</f>
        <v>0</v>
      </c>
      <c r="AZ235" t="b">
        <f>OR(Table7[[#This Row],[Delete? (Stage 1)]],Table7[[#This Row],[Delete? (Stage 2)]])</f>
        <v>0</v>
      </c>
      <c r="BA235" t="s">
        <v>84</v>
      </c>
    </row>
    <row r="236" spans="1:53">
      <c r="A236">
        <v>1081</v>
      </c>
      <c r="B236" s="3">
        <v>46056.886423611097</v>
      </c>
      <c r="C236" s="3">
        <v>46056.890914351803</v>
      </c>
      <c r="D236" t="s">
        <v>53</v>
      </c>
      <c r="G236" t="s">
        <v>54</v>
      </c>
      <c r="H236" t="s">
        <v>63</v>
      </c>
      <c r="I236" t="s">
        <v>56</v>
      </c>
      <c r="J236" t="s">
        <v>57</v>
      </c>
      <c r="K236" t="s">
        <v>57</v>
      </c>
      <c r="L236" t="s">
        <v>58</v>
      </c>
      <c r="M236" t="s">
        <v>61</v>
      </c>
      <c r="N236">
        <v>4</v>
      </c>
      <c r="O236">
        <v>2</v>
      </c>
      <c r="P236">
        <v>4</v>
      </c>
      <c r="Q236">
        <v>3</v>
      </c>
      <c r="R236">
        <v>4</v>
      </c>
      <c r="S236">
        <v>3</v>
      </c>
      <c r="T236">
        <v>2</v>
      </c>
      <c r="U236">
        <v>3</v>
      </c>
      <c r="V236">
        <v>4</v>
      </c>
      <c r="W236">
        <v>4</v>
      </c>
      <c r="X236">
        <v>4</v>
      </c>
      <c r="Y236">
        <v>4</v>
      </c>
      <c r="Z236">
        <v>4</v>
      </c>
      <c r="AA236">
        <v>3</v>
      </c>
      <c r="AB236">
        <v>2</v>
      </c>
      <c r="AC236">
        <v>3</v>
      </c>
      <c r="AD236">
        <v>3</v>
      </c>
      <c r="AE236">
        <v>2</v>
      </c>
      <c r="AF236">
        <v>4</v>
      </c>
      <c r="AG236">
        <v>3</v>
      </c>
      <c r="AH236">
        <v>3</v>
      </c>
      <c r="AI236">
        <v>3</v>
      </c>
      <c r="AJ236">
        <v>2</v>
      </c>
      <c r="AK236" t="b">
        <f>Table7[[#This Row],[What is your age?]]&lt;&gt;"18 - 25"</f>
        <v>0</v>
      </c>
      <c r="AL236" t="b">
        <f t="shared" si="9"/>
        <v>0</v>
      </c>
      <c r="AM236" t="b">
        <f t="shared" si="10"/>
        <v>0</v>
      </c>
      <c r="AN236" t="b">
        <f t="shared" si="11"/>
        <v>0</v>
      </c>
      <c r="AO236" t="b">
        <f>OR(Table7[[#This Row],[Ineligible respondents]:[Inconsistent response on opposite question (3)]])</f>
        <v>0</v>
      </c>
      <c r="AP23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236">
        <f>Table7[[#This Row],[Extreme Response]]/21</f>
        <v>0</v>
      </c>
      <c r="AR236">
        <f>Table67[[#This Row],[Threshold of ERS]]</f>
        <v>0.61904761904761907</v>
      </c>
      <c r="AS236" t="b">
        <f>Table7[[#This Row],[Extrem Response Ratio (ERS)]]&gt;=Table7[[#This Row],[Threshold of ERS]]</f>
        <v>0</v>
      </c>
      <c r="AT236" t="b" cm="1">
        <f t="array" ref="AT23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36">
        <f>COUNTIF(Table7[[#This Row],[The mechanism of digital assets is difficult to understand, which discourages me from exploring it (E.g, Tokenization, Blockchain)]:[If I want to try different ways to invest, I will explore digital assets.]], 3)</f>
        <v>8</v>
      </c>
      <c r="AV236">
        <f>Table7[[#This Row],[Midpoint]]/21</f>
        <v>0.38095238095238093</v>
      </c>
      <c r="AW236">
        <f>Table67[[#This Row],[Threshold of Midpoint ratio]]</f>
        <v>0.5714285714285714</v>
      </c>
      <c r="AX236" t="b">
        <f>Table7[[#This Row],[Midpoint ratio]]&gt;=Table7[[#This Row],[Threshold of Midpoint ratio]]</f>
        <v>0</v>
      </c>
      <c r="AY236" t="b">
        <f>OR(Table7[[#This Row],[Extreme Response Style]:[Straight-lining with 1 deviation]],Table7[[#This Row],[Mid-point Response Style]])</f>
        <v>0</v>
      </c>
      <c r="AZ236" t="b">
        <f>OR(Table7[[#This Row],[Delete? (Stage 1)]],Table7[[#This Row],[Delete? (Stage 2)]])</f>
        <v>0</v>
      </c>
      <c r="BA236" t="s">
        <v>84</v>
      </c>
    </row>
    <row r="237" spans="1:53">
      <c r="A237">
        <v>1086</v>
      </c>
      <c r="B237" s="3">
        <v>46056.886539351799</v>
      </c>
      <c r="C237" s="3">
        <v>46056.889756944402</v>
      </c>
      <c r="D237" t="s">
        <v>53</v>
      </c>
      <c r="G237" t="s">
        <v>54</v>
      </c>
      <c r="H237" t="s">
        <v>55</v>
      </c>
      <c r="I237" t="s">
        <v>56</v>
      </c>
      <c r="J237" t="s">
        <v>62</v>
      </c>
      <c r="K237" t="s">
        <v>64</v>
      </c>
      <c r="L237" t="s">
        <v>58</v>
      </c>
      <c r="M237" t="s">
        <v>58</v>
      </c>
      <c r="N237">
        <v>3</v>
      </c>
      <c r="O237">
        <v>1</v>
      </c>
      <c r="P237">
        <v>4</v>
      </c>
      <c r="Q237">
        <v>3</v>
      </c>
      <c r="R237">
        <v>2</v>
      </c>
      <c r="S237">
        <v>2</v>
      </c>
      <c r="T237">
        <v>4</v>
      </c>
      <c r="U237">
        <v>4</v>
      </c>
      <c r="V237">
        <v>5</v>
      </c>
      <c r="W237">
        <v>5</v>
      </c>
      <c r="X237">
        <v>4</v>
      </c>
      <c r="Y237">
        <v>5</v>
      </c>
      <c r="Z237">
        <v>5</v>
      </c>
      <c r="AA237">
        <v>3</v>
      </c>
      <c r="AB237">
        <v>4</v>
      </c>
      <c r="AC237">
        <v>5</v>
      </c>
      <c r="AD237">
        <v>5</v>
      </c>
      <c r="AE237">
        <v>4</v>
      </c>
      <c r="AF237">
        <v>2</v>
      </c>
      <c r="AG237">
        <v>4</v>
      </c>
      <c r="AH237">
        <v>2</v>
      </c>
      <c r="AI237">
        <v>4</v>
      </c>
      <c r="AJ237">
        <v>4</v>
      </c>
      <c r="AK237" t="b">
        <f>Table7[[#This Row],[What is your age?]]&lt;&gt;"18 - 25"</f>
        <v>0</v>
      </c>
      <c r="AL237" t="b">
        <f t="shared" si="9"/>
        <v>0</v>
      </c>
      <c r="AM237" t="b">
        <f t="shared" si="10"/>
        <v>0</v>
      </c>
      <c r="AN237" t="b">
        <f t="shared" si="11"/>
        <v>0</v>
      </c>
      <c r="AO237" t="b">
        <f>OR(Table7[[#This Row],[Ineligible respondents]:[Inconsistent response on opposite question (3)]])</f>
        <v>0</v>
      </c>
      <c r="AP23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7</v>
      </c>
      <c r="AQ237">
        <f>Table7[[#This Row],[Extreme Response]]/21</f>
        <v>0.33333333333333331</v>
      </c>
      <c r="AR237">
        <f>Table67[[#This Row],[Threshold of ERS]]</f>
        <v>0.61904761904761907</v>
      </c>
      <c r="AS237" t="b">
        <f>Table7[[#This Row],[Extrem Response Ratio (ERS)]]&gt;=Table7[[#This Row],[Threshold of ERS]]</f>
        <v>0</v>
      </c>
      <c r="AT237" t="b" cm="1">
        <f t="array" ref="AT23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37">
        <f>COUNTIF(Table7[[#This Row],[The mechanism of digital assets is difficult to understand, which discourages me from exploring it (E.g, Tokenization, Blockchain)]:[If I want to try different ways to invest, I will explore digital assets.]], 3)</f>
        <v>3</v>
      </c>
      <c r="AV237">
        <f>Table7[[#This Row],[Midpoint]]/21</f>
        <v>0.14285714285714285</v>
      </c>
      <c r="AW237">
        <f>Table67[[#This Row],[Threshold of Midpoint ratio]]</f>
        <v>0.5714285714285714</v>
      </c>
      <c r="AX237" t="b">
        <f>Table7[[#This Row],[Midpoint ratio]]&gt;=Table7[[#This Row],[Threshold of Midpoint ratio]]</f>
        <v>0</v>
      </c>
      <c r="AY237" t="b">
        <f>OR(Table7[[#This Row],[Extreme Response Style]:[Straight-lining with 1 deviation]],Table7[[#This Row],[Mid-point Response Style]])</f>
        <v>0</v>
      </c>
      <c r="AZ237" t="b">
        <f>OR(Table7[[#This Row],[Delete? (Stage 1)]],Table7[[#This Row],[Delete? (Stage 2)]])</f>
        <v>0</v>
      </c>
      <c r="BA237" t="s">
        <v>84</v>
      </c>
    </row>
    <row r="238" spans="1:53">
      <c r="A238">
        <v>1090</v>
      </c>
      <c r="B238" s="3">
        <v>46056.886701388903</v>
      </c>
      <c r="C238" s="3">
        <v>46056.892777777801</v>
      </c>
      <c r="D238" t="s">
        <v>53</v>
      </c>
      <c r="G238" t="s">
        <v>54</v>
      </c>
      <c r="H238" t="s">
        <v>55</v>
      </c>
      <c r="I238" t="s">
        <v>75</v>
      </c>
      <c r="J238" t="s">
        <v>60</v>
      </c>
      <c r="K238" t="s">
        <v>62</v>
      </c>
      <c r="L238" t="s">
        <v>58</v>
      </c>
      <c r="M238" t="s">
        <v>61</v>
      </c>
      <c r="N238">
        <v>2</v>
      </c>
      <c r="O238">
        <v>2</v>
      </c>
      <c r="P238">
        <v>4</v>
      </c>
      <c r="Q238">
        <v>2</v>
      </c>
      <c r="R238">
        <v>2</v>
      </c>
      <c r="S238">
        <v>4</v>
      </c>
      <c r="T238">
        <v>2</v>
      </c>
      <c r="U238">
        <v>1</v>
      </c>
      <c r="V238">
        <v>1</v>
      </c>
      <c r="W238">
        <v>2</v>
      </c>
      <c r="X238">
        <v>2</v>
      </c>
      <c r="Y238">
        <v>3</v>
      </c>
      <c r="Z238">
        <v>3</v>
      </c>
      <c r="AA238">
        <v>2</v>
      </c>
      <c r="AB238">
        <v>2</v>
      </c>
      <c r="AC238">
        <v>2</v>
      </c>
      <c r="AD238">
        <v>3</v>
      </c>
      <c r="AE238">
        <v>3</v>
      </c>
      <c r="AF238">
        <v>4</v>
      </c>
      <c r="AG238">
        <v>2</v>
      </c>
      <c r="AH238">
        <v>4</v>
      </c>
      <c r="AI238">
        <v>2</v>
      </c>
      <c r="AJ238">
        <v>2</v>
      </c>
      <c r="AK238" t="b">
        <f>Table7[[#This Row],[What is your age?]]&lt;&gt;"18 - 25"</f>
        <v>0</v>
      </c>
      <c r="AL238" t="b">
        <f t="shared" si="9"/>
        <v>0</v>
      </c>
      <c r="AM238" t="b">
        <f t="shared" si="10"/>
        <v>0</v>
      </c>
      <c r="AN238" t="b">
        <f t="shared" si="11"/>
        <v>0</v>
      </c>
      <c r="AO238" t="b">
        <f>OR(Table7[[#This Row],[Ineligible respondents]:[Inconsistent response on opposite question (3)]])</f>
        <v>0</v>
      </c>
      <c r="AP23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238">
        <f>Table7[[#This Row],[Extreme Response]]/21</f>
        <v>9.5238095238095233E-2</v>
      </c>
      <c r="AR238">
        <f>Table67[[#This Row],[Threshold of ERS]]</f>
        <v>0.61904761904761907</v>
      </c>
      <c r="AS238" t="b">
        <f>Table7[[#This Row],[Extrem Response Ratio (ERS)]]&gt;=Table7[[#This Row],[Threshold of ERS]]</f>
        <v>0</v>
      </c>
      <c r="AT238" t="b" cm="1">
        <f t="array" ref="AT23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38">
        <f>COUNTIF(Table7[[#This Row],[The mechanism of digital assets is difficult to understand, which discourages me from exploring it (E.g, Tokenization, Blockchain)]:[If I want to try different ways to invest, I will explore digital assets.]], 3)</f>
        <v>4</v>
      </c>
      <c r="AV238">
        <f>Table7[[#This Row],[Midpoint]]/21</f>
        <v>0.19047619047619047</v>
      </c>
      <c r="AW238">
        <f>Table67[[#This Row],[Threshold of Midpoint ratio]]</f>
        <v>0.5714285714285714</v>
      </c>
      <c r="AX238" t="b">
        <f>Table7[[#This Row],[Midpoint ratio]]&gt;=Table7[[#This Row],[Threshold of Midpoint ratio]]</f>
        <v>0</v>
      </c>
      <c r="AY238" t="b">
        <f>OR(Table7[[#This Row],[Extreme Response Style]:[Straight-lining with 1 deviation]],Table7[[#This Row],[Mid-point Response Style]])</f>
        <v>0</v>
      </c>
      <c r="AZ238" t="b">
        <f>OR(Table7[[#This Row],[Delete? (Stage 1)]],Table7[[#This Row],[Delete? (Stage 2)]])</f>
        <v>0</v>
      </c>
      <c r="BA238" t="s">
        <v>84</v>
      </c>
    </row>
    <row r="239" spans="1:53">
      <c r="A239">
        <v>1091</v>
      </c>
      <c r="B239" s="3">
        <v>46056.886712963002</v>
      </c>
      <c r="C239" s="3">
        <v>46056.889490740701</v>
      </c>
      <c r="D239" t="s">
        <v>53</v>
      </c>
      <c r="G239" t="s">
        <v>54</v>
      </c>
      <c r="H239" t="s">
        <v>63</v>
      </c>
      <c r="I239" t="s">
        <v>56</v>
      </c>
      <c r="J239" t="s">
        <v>62</v>
      </c>
      <c r="K239" t="s">
        <v>62</v>
      </c>
      <c r="L239" t="s">
        <v>61</v>
      </c>
      <c r="M239" t="s">
        <v>61</v>
      </c>
      <c r="N239">
        <v>4</v>
      </c>
      <c r="O239">
        <v>3</v>
      </c>
      <c r="P239">
        <v>4</v>
      </c>
      <c r="Q239">
        <v>4</v>
      </c>
      <c r="R239">
        <v>4</v>
      </c>
      <c r="S239">
        <v>5</v>
      </c>
      <c r="T239">
        <v>5</v>
      </c>
      <c r="U239">
        <v>4</v>
      </c>
      <c r="V239">
        <v>5</v>
      </c>
      <c r="W239">
        <v>4</v>
      </c>
      <c r="X239">
        <v>4</v>
      </c>
      <c r="Y239">
        <v>4</v>
      </c>
      <c r="Z239">
        <v>4</v>
      </c>
      <c r="AA239">
        <v>3</v>
      </c>
      <c r="AB239">
        <v>4</v>
      </c>
      <c r="AC239">
        <v>3</v>
      </c>
      <c r="AD239">
        <v>4</v>
      </c>
      <c r="AE239">
        <v>1</v>
      </c>
      <c r="AF239">
        <v>3</v>
      </c>
      <c r="AG239">
        <v>3</v>
      </c>
      <c r="AH239">
        <v>3</v>
      </c>
      <c r="AI239">
        <v>3</v>
      </c>
      <c r="AJ239">
        <v>3</v>
      </c>
      <c r="AK239" t="b">
        <f>Table7[[#This Row],[What is your age?]]&lt;&gt;"18 - 25"</f>
        <v>0</v>
      </c>
      <c r="AL239" t="b">
        <f t="shared" si="9"/>
        <v>0</v>
      </c>
      <c r="AM239" t="b">
        <f t="shared" si="10"/>
        <v>0</v>
      </c>
      <c r="AN239" t="b">
        <f t="shared" si="11"/>
        <v>0</v>
      </c>
      <c r="AO239" t="b">
        <f>OR(Table7[[#This Row],[Ineligible respondents]:[Inconsistent response on opposite question (3)]])</f>
        <v>0</v>
      </c>
      <c r="AP23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239">
        <f>Table7[[#This Row],[Extreme Response]]/21</f>
        <v>0.19047619047619047</v>
      </c>
      <c r="AR239">
        <f>Table67[[#This Row],[Threshold of ERS]]</f>
        <v>0.61904761904761907</v>
      </c>
      <c r="AS239" t="b">
        <f>Table7[[#This Row],[Extrem Response Ratio (ERS)]]&gt;=Table7[[#This Row],[Threshold of ERS]]</f>
        <v>0</v>
      </c>
      <c r="AT239" t="b" cm="1">
        <f t="array" ref="AT23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39">
        <f>COUNTIF(Table7[[#This Row],[The mechanism of digital assets is difficult to understand, which discourages me from exploring it (E.g, Tokenization, Blockchain)]:[If I want to try different ways to invest, I will explore digital assets.]], 3)</f>
        <v>6</v>
      </c>
      <c r="AV239">
        <f>Table7[[#This Row],[Midpoint]]/21</f>
        <v>0.2857142857142857</v>
      </c>
      <c r="AW239">
        <f>Table67[[#This Row],[Threshold of Midpoint ratio]]</f>
        <v>0.5714285714285714</v>
      </c>
      <c r="AX239" t="b">
        <f>Table7[[#This Row],[Midpoint ratio]]&gt;=Table7[[#This Row],[Threshold of Midpoint ratio]]</f>
        <v>0</v>
      </c>
      <c r="AY239" t="b">
        <f>OR(Table7[[#This Row],[Extreme Response Style]:[Straight-lining with 1 deviation]],Table7[[#This Row],[Mid-point Response Style]])</f>
        <v>0</v>
      </c>
      <c r="AZ239" t="b">
        <f>OR(Table7[[#This Row],[Delete? (Stage 1)]],Table7[[#This Row],[Delete? (Stage 2)]])</f>
        <v>0</v>
      </c>
      <c r="BA239" t="s">
        <v>84</v>
      </c>
    </row>
    <row r="240" spans="1:53">
      <c r="A240">
        <v>1092</v>
      </c>
      <c r="B240" s="3">
        <v>46056.886828703697</v>
      </c>
      <c r="C240" s="3">
        <v>46056.890636574099</v>
      </c>
      <c r="D240" t="s">
        <v>53</v>
      </c>
      <c r="G240" t="s">
        <v>54</v>
      </c>
      <c r="H240" t="s">
        <v>63</v>
      </c>
      <c r="I240" t="s">
        <v>56</v>
      </c>
      <c r="J240" t="s">
        <v>62</v>
      </c>
      <c r="K240" t="s">
        <v>62</v>
      </c>
      <c r="L240" t="s">
        <v>58</v>
      </c>
      <c r="M240" t="s">
        <v>58</v>
      </c>
      <c r="N240">
        <v>2</v>
      </c>
      <c r="O240">
        <v>3</v>
      </c>
      <c r="P240">
        <v>4</v>
      </c>
      <c r="Q240">
        <v>3</v>
      </c>
      <c r="R240">
        <v>2</v>
      </c>
      <c r="S240">
        <v>2</v>
      </c>
      <c r="T240">
        <v>4</v>
      </c>
      <c r="U240">
        <v>4</v>
      </c>
      <c r="V240">
        <v>5</v>
      </c>
      <c r="W240">
        <v>4</v>
      </c>
      <c r="X240">
        <v>4</v>
      </c>
      <c r="Y240">
        <v>5</v>
      </c>
      <c r="Z240">
        <v>4</v>
      </c>
      <c r="AA240">
        <v>4</v>
      </c>
      <c r="AB240">
        <v>2</v>
      </c>
      <c r="AC240">
        <v>3</v>
      </c>
      <c r="AD240">
        <v>4</v>
      </c>
      <c r="AE240">
        <v>2</v>
      </c>
      <c r="AF240">
        <v>4</v>
      </c>
      <c r="AG240">
        <v>2</v>
      </c>
      <c r="AH240">
        <v>4</v>
      </c>
      <c r="AI240">
        <v>2</v>
      </c>
      <c r="AJ240">
        <v>2</v>
      </c>
      <c r="AK240" t="b">
        <f>Table7[[#This Row],[What is your age?]]&lt;&gt;"18 - 25"</f>
        <v>0</v>
      </c>
      <c r="AL240" t="b">
        <f t="shared" si="9"/>
        <v>0</v>
      </c>
      <c r="AM240" t="b">
        <f t="shared" si="10"/>
        <v>0</v>
      </c>
      <c r="AN240" t="b">
        <f t="shared" si="11"/>
        <v>0</v>
      </c>
      <c r="AO240" t="b">
        <f>OR(Table7[[#This Row],[Ineligible respondents]:[Inconsistent response on opposite question (3)]])</f>
        <v>0</v>
      </c>
      <c r="AP24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240">
        <f>Table7[[#This Row],[Extreme Response]]/21</f>
        <v>9.5238095238095233E-2</v>
      </c>
      <c r="AR240">
        <f>Table67[[#This Row],[Threshold of ERS]]</f>
        <v>0.61904761904761907</v>
      </c>
      <c r="AS240" t="b">
        <f>Table7[[#This Row],[Extrem Response Ratio (ERS)]]&gt;=Table7[[#This Row],[Threshold of ERS]]</f>
        <v>0</v>
      </c>
      <c r="AT240" t="b" cm="1">
        <f t="array" ref="AT24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40">
        <f>COUNTIF(Table7[[#This Row],[The mechanism of digital assets is difficult to understand, which discourages me from exploring it (E.g, Tokenization, Blockchain)]:[If I want to try different ways to invest, I will explore digital assets.]], 3)</f>
        <v>3</v>
      </c>
      <c r="AV240">
        <f>Table7[[#This Row],[Midpoint]]/21</f>
        <v>0.14285714285714285</v>
      </c>
      <c r="AW240">
        <f>Table67[[#This Row],[Threshold of Midpoint ratio]]</f>
        <v>0.5714285714285714</v>
      </c>
      <c r="AX240" t="b">
        <f>Table7[[#This Row],[Midpoint ratio]]&gt;=Table7[[#This Row],[Threshold of Midpoint ratio]]</f>
        <v>0</v>
      </c>
      <c r="AY240" t="b">
        <f>OR(Table7[[#This Row],[Extreme Response Style]:[Straight-lining with 1 deviation]],Table7[[#This Row],[Mid-point Response Style]])</f>
        <v>0</v>
      </c>
      <c r="AZ240" t="b">
        <f>OR(Table7[[#This Row],[Delete? (Stage 1)]],Table7[[#This Row],[Delete? (Stage 2)]])</f>
        <v>0</v>
      </c>
      <c r="BA240" t="s">
        <v>84</v>
      </c>
    </row>
    <row r="241" spans="1:53">
      <c r="A241">
        <v>1093</v>
      </c>
      <c r="B241" s="3">
        <v>46056.886944444399</v>
      </c>
      <c r="C241" s="3">
        <v>46056.889525462997</v>
      </c>
      <c r="D241" t="s">
        <v>53</v>
      </c>
      <c r="G241" t="s">
        <v>54</v>
      </c>
      <c r="H241" t="s">
        <v>55</v>
      </c>
      <c r="I241" t="s">
        <v>56</v>
      </c>
      <c r="J241" t="s">
        <v>62</v>
      </c>
      <c r="K241" t="s">
        <v>62</v>
      </c>
      <c r="L241" t="s">
        <v>61</v>
      </c>
      <c r="M241" t="s">
        <v>61</v>
      </c>
      <c r="N241">
        <v>4</v>
      </c>
      <c r="O241">
        <v>4</v>
      </c>
      <c r="P241">
        <v>4</v>
      </c>
      <c r="Q241">
        <v>4</v>
      </c>
      <c r="R241">
        <v>3</v>
      </c>
      <c r="S241">
        <v>4</v>
      </c>
      <c r="T241">
        <v>4</v>
      </c>
      <c r="U241">
        <v>4</v>
      </c>
      <c r="V241">
        <v>3</v>
      </c>
      <c r="W241">
        <v>4</v>
      </c>
      <c r="X241">
        <v>4</v>
      </c>
      <c r="Y241">
        <v>3</v>
      </c>
      <c r="Z241">
        <v>4</v>
      </c>
      <c r="AA241">
        <v>4</v>
      </c>
      <c r="AB241">
        <v>4</v>
      </c>
      <c r="AC241">
        <v>3</v>
      </c>
      <c r="AD241">
        <v>4</v>
      </c>
      <c r="AE241">
        <v>3</v>
      </c>
      <c r="AF241">
        <v>4</v>
      </c>
      <c r="AG241">
        <v>4</v>
      </c>
      <c r="AH241">
        <v>2</v>
      </c>
      <c r="AI241">
        <v>4</v>
      </c>
      <c r="AJ241">
        <v>2</v>
      </c>
      <c r="AK241" t="b">
        <f>Table7[[#This Row],[What is your age?]]&lt;&gt;"18 - 25"</f>
        <v>0</v>
      </c>
      <c r="AL241" t="b">
        <f t="shared" si="9"/>
        <v>0</v>
      </c>
      <c r="AM241" t="b">
        <f t="shared" si="10"/>
        <v>0</v>
      </c>
      <c r="AN241" t="b">
        <f t="shared" si="11"/>
        <v>0</v>
      </c>
      <c r="AO241" t="b">
        <f>OR(Table7[[#This Row],[Ineligible respondents]:[Inconsistent response on opposite question (3)]])</f>
        <v>0</v>
      </c>
      <c r="AP24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241">
        <f>Table7[[#This Row],[Extreme Response]]/21</f>
        <v>0</v>
      </c>
      <c r="AR241">
        <f>Table67[[#This Row],[Threshold of ERS]]</f>
        <v>0.61904761904761907</v>
      </c>
      <c r="AS241" t="b">
        <f>Table7[[#This Row],[Extrem Response Ratio (ERS)]]&gt;=Table7[[#This Row],[Threshold of ERS]]</f>
        <v>0</v>
      </c>
      <c r="AT241" t="b" cm="1">
        <f t="array" ref="AT24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41">
        <f>COUNTIF(Table7[[#This Row],[The mechanism of digital assets is difficult to understand, which discourages me from exploring it (E.g, Tokenization, Blockchain)]:[If I want to try different ways to invest, I will explore digital assets.]], 3)</f>
        <v>5</v>
      </c>
      <c r="AV241">
        <f>Table7[[#This Row],[Midpoint]]/21</f>
        <v>0.23809523809523808</v>
      </c>
      <c r="AW241">
        <f>Table67[[#This Row],[Threshold of Midpoint ratio]]</f>
        <v>0.5714285714285714</v>
      </c>
      <c r="AX241" t="b">
        <f>Table7[[#This Row],[Midpoint ratio]]&gt;=Table7[[#This Row],[Threshold of Midpoint ratio]]</f>
        <v>0</v>
      </c>
      <c r="AY241" t="b">
        <f>OR(Table7[[#This Row],[Extreme Response Style]:[Straight-lining with 1 deviation]],Table7[[#This Row],[Mid-point Response Style]])</f>
        <v>0</v>
      </c>
      <c r="AZ241" t="b">
        <f>OR(Table7[[#This Row],[Delete? (Stage 1)]],Table7[[#This Row],[Delete? (Stage 2)]])</f>
        <v>0</v>
      </c>
      <c r="BA241" t="s">
        <v>84</v>
      </c>
    </row>
    <row r="242" spans="1:53">
      <c r="A242">
        <v>1095</v>
      </c>
      <c r="B242" s="3">
        <v>46056.887141203697</v>
      </c>
      <c r="C242" s="3">
        <v>46056.891875000001</v>
      </c>
      <c r="D242" t="s">
        <v>53</v>
      </c>
      <c r="G242" t="s">
        <v>54</v>
      </c>
      <c r="H242" t="s">
        <v>55</v>
      </c>
      <c r="I242" t="s">
        <v>56</v>
      </c>
      <c r="J242" t="s">
        <v>57</v>
      </c>
      <c r="K242" t="s">
        <v>57</v>
      </c>
      <c r="L242" t="s">
        <v>61</v>
      </c>
      <c r="M242" t="s">
        <v>61</v>
      </c>
      <c r="N242">
        <v>2</v>
      </c>
      <c r="O242">
        <v>1</v>
      </c>
      <c r="P242">
        <v>4</v>
      </c>
      <c r="Q242">
        <v>3</v>
      </c>
      <c r="R242">
        <v>3</v>
      </c>
      <c r="S242">
        <v>4</v>
      </c>
      <c r="T242">
        <v>2</v>
      </c>
      <c r="U242">
        <v>3</v>
      </c>
      <c r="V242">
        <v>4</v>
      </c>
      <c r="W242">
        <v>4</v>
      </c>
      <c r="X242">
        <v>4</v>
      </c>
      <c r="Y242">
        <v>4</v>
      </c>
      <c r="Z242">
        <v>4</v>
      </c>
      <c r="AA242">
        <v>3</v>
      </c>
      <c r="AB242">
        <v>3</v>
      </c>
      <c r="AC242">
        <v>2</v>
      </c>
      <c r="AD242">
        <v>3</v>
      </c>
      <c r="AE242">
        <v>3</v>
      </c>
      <c r="AF242">
        <v>4</v>
      </c>
      <c r="AG242">
        <v>2</v>
      </c>
      <c r="AH242">
        <v>4</v>
      </c>
      <c r="AI242">
        <v>2</v>
      </c>
      <c r="AJ242">
        <v>2</v>
      </c>
      <c r="AK242" t="b">
        <f>Table7[[#This Row],[What is your age?]]&lt;&gt;"18 - 25"</f>
        <v>0</v>
      </c>
      <c r="AL242" t="b">
        <f t="shared" si="9"/>
        <v>0</v>
      </c>
      <c r="AM242" t="b">
        <f t="shared" si="10"/>
        <v>0</v>
      </c>
      <c r="AN242" t="b">
        <f t="shared" si="11"/>
        <v>0</v>
      </c>
      <c r="AO242" t="b">
        <f>OR(Table7[[#This Row],[Ineligible respondents]:[Inconsistent response on opposite question (3)]])</f>
        <v>0</v>
      </c>
      <c r="AP24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242">
        <f>Table7[[#This Row],[Extreme Response]]/21</f>
        <v>4.7619047619047616E-2</v>
      </c>
      <c r="AR242">
        <f>Table67[[#This Row],[Threshold of ERS]]</f>
        <v>0.61904761904761907</v>
      </c>
      <c r="AS242" t="b">
        <f>Table7[[#This Row],[Extrem Response Ratio (ERS)]]&gt;=Table7[[#This Row],[Threshold of ERS]]</f>
        <v>0</v>
      </c>
      <c r="AT242" t="b" cm="1">
        <f t="array" ref="AT24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42">
        <f>COUNTIF(Table7[[#This Row],[The mechanism of digital assets is difficult to understand, which discourages me from exploring it (E.g, Tokenization, Blockchain)]:[If I want to try different ways to invest, I will explore digital assets.]], 3)</f>
        <v>7</v>
      </c>
      <c r="AV242">
        <f>Table7[[#This Row],[Midpoint]]/21</f>
        <v>0.33333333333333331</v>
      </c>
      <c r="AW242">
        <f>Table67[[#This Row],[Threshold of Midpoint ratio]]</f>
        <v>0.5714285714285714</v>
      </c>
      <c r="AX242" t="b">
        <f>Table7[[#This Row],[Midpoint ratio]]&gt;=Table7[[#This Row],[Threshold of Midpoint ratio]]</f>
        <v>0</v>
      </c>
      <c r="AY242" t="b">
        <f>OR(Table7[[#This Row],[Extreme Response Style]:[Straight-lining with 1 deviation]],Table7[[#This Row],[Mid-point Response Style]])</f>
        <v>0</v>
      </c>
      <c r="AZ242" t="b">
        <f>OR(Table7[[#This Row],[Delete? (Stage 1)]],Table7[[#This Row],[Delete? (Stage 2)]])</f>
        <v>0</v>
      </c>
      <c r="BA242" t="s">
        <v>84</v>
      </c>
    </row>
    <row r="243" spans="1:53">
      <c r="A243">
        <v>1102</v>
      </c>
      <c r="B243" s="3">
        <v>46056.887824074103</v>
      </c>
      <c r="C243" s="3">
        <v>46056.8900810185</v>
      </c>
      <c r="D243" t="s">
        <v>53</v>
      </c>
      <c r="G243" t="s">
        <v>54</v>
      </c>
      <c r="H243" t="s">
        <v>63</v>
      </c>
      <c r="I243" t="s">
        <v>71</v>
      </c>
      <c r="J243" t="s">
        <v>62</v>
      </c>
      <c r="K243" t="s">
        <v>62</v>
      </c>
      <c r="L243" t="s">
        <v>61</v>
      </c>
      <c r="M243" t="s">
        <v>61</v>
      </c>
      <c r="N243">
        <v>1</v>
      </c>
      <c r="O243">
        <v>2</v>
      </c>
      <c r="P243">
        <v>4</v>
      </c>
      <c r="Q243">
        <v>3</v>
      </c>
      <c r="R243">
        <v>3</v>
      </c>
      <c r="S243">
        <v>2</v>
      </c>
      <c r="T243">
        <v>2</v>
      </c>
      <c r="U243">
        <v>3</v>
      </c>
      <c r="V243">
        <v>2</v>
      </c>
      <c r="W243">
        <v>3</v>
      </c>
      <c r="X243">
        <v>2</v>
      </c>
      <c r="Y243">
        <v>2</v>
      </c>
      <c r="Z243">
        <v>3</v>
      </c>
      <c r="AA243">
        <v>2</v>
      </c>
      <c r="AB243">
        <v>2</v>
      </c>
      <c r="AC243">
        <v>2</v>
      </c>
      <c r="AD243">
        <v>2</v>
      </c>
      <c r="AE243">
        <v>2</v>
      </c>
      <c r="AF243">
        <v>4</v>
      </c>
      <c r="AG243">
        <v>3</v>
      </c>
      <c r="AH243">
        <v>3</v>
      </c>
      <c r="AI243">
        <v>3</v>
      </c>
      <c r="AJ243">
        <v>2</v>
      </c>
      <c r="AK243" t="b">
        <f>Table7[[#This Row],[What is your age?]]&lt;&gt;"18 - 25"</f>
        <v>0</v>
      </c>
      <c r="AL243" t="b">
        <f t="shared" si="9"/>
        <v>0</v>
      </c>
      <c r="AM243" t="b">
        <f t="shared" si="10"/>
        <v>0</v>
      </c>
      <c r="AN243" t="b">
        <f t="shared" si="11"/>
        <v>0</v>
      </c>
      <c r="AO243" t="b">
        <f>OR(Table7[[#This Row],[Ineligible respondents]:[Inconsistent response on opposite question (3)]])</f>
        <v>0</v>
      </c>
      <c r="AP24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243">
        <f>Table7[[#This Row],[Extreme Response]]/21</f>
        <v>4.7619047619047616E-2</v>
      </c>
      <c r="AR243">
        <f>Table67[[#This Row],[Threshold of ERS]]</f>
        <v>0.61904761904761907</v>
      </c>
      <c r="AS243" t="b">
        <f>Table7[[#This Row],[Extrem Response Ratio (ERS)]]&gt;=Table7[[#This Row],[Threshold of ERS]]</f>
        <v>0</v>
      </c>
      <c r="AT243" t="b" cm="1">
        <f t="array" ref="AT24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43">
        <f>COUNTIF(Table7[[#This Row],[The mechanism of digital assets is difficult to understand, which discourages me from exploring it (E.g, Tokenization, Blockchain)]:[If I want to try different ways to invest, I will explore digital assets.]], 3)</f>
        <v>7</v>
      </c>
      <c r="AV243">
        <f>Table7[[#This Row],[Midpoint]]/21</f>
        <v>0.33333333333333331</v>
      </c>
      <c r="AW243">
        <f>Table67[[#This Row],[Threshold of Midpoint ratio]]</f>
        <v>0.5714285714285714</v>
      </c>
      <c r="AX243" t="b">
        <f>Table7[[#This Row],[Midpoint ratio]]&gt;=Table7[[#This Row],[Threshold of Midpoint ratio]]</f>
        <v>0</v>
      </c>
      <c r="AY243" t="b">
        <f>OR(Table7[[#This Row],[Extreme Response Style]:[Straight-lining with 1 deviation]],Table7[[#This Row],[Mid-point Response Style]])</f>
        <v>0</v>
      </c>
      <c r="AZ243" t="b">
        <f>OR(Table7[[#This Row],[Delete? (Stage 1)]],Table7[[#This Row],[Delete? (Stage 2)]])</f>
        <v>0</v>
      </c>
      <c r="BA243" t="s">
        <v>84</v>
      </c>
    </row>
    <row r="244" spans="1:53">
      <c r="A244">
        <v>1107</v>
      </c>
      <c r="B244" s="3">
        <v>46056.888020833299</v>
      </c>
      <c r="C244" s="3">
        <v>46056.895578703698</v>
      </c>
      <c r="D244" t="s">
        <v>53</v>
      </c>
      <c r="G244" t="s">
        <v>54</v>
      </c>
      <c r="H244" t="s">
        <v>63</v>
      </c>
      <c r="I244" t="s">
        <v>56</v>
      </c>
      <c r="J244" t="s">
        <v>62</v>
      </c>
      <c r="K244" t="s">
        <v>62</v>
      </c>
      <c r="L244" t="s">
        <v>58</v>
      </c>
      <c r="M244" t="s">
        <v>58</v>
      </c>
      <c r="N244">
        <v>4</v>
      </c>
      <c r="O244">
        <v>4</v>
      </c>
      <c r="P244">
        <v>4</v>
      </c>
      <c r="Q244">
        <v>2</v>
      </c>
      <c r="R244">
        <v>3</v>
      </c>
      <c r="S244">
        <v>4</v>
      </c>
      <c r="T244">
        <v>3</v>
      </c>
      <c r="U244">
        <v>3</v>
      </c>
      <c r="V244">
        <v>4</v>
      </c>
      <c r="W244">
        <v>4</v>
      </c>
      <c r="X244">
        <v>4</v>
      </c>
      <c r="Y244">
        <v>4</v>
      </c>
      <c r="Z244">
        <v>4</v>
      </c>
      <c r="AA244">
        <v>4</v>
      </c>
      <c r="AB244">
        <v>2</v>
      </c>
      <c r="AC244">
        <v>4</v>
      </c>
      <c r="AD244">
        <v>4</v>
      </c>
      <c r="AE244">
        <v>4</v>
      </c>
      <c r="AF244">
        <v>3</v>
      </c>
      <c r="AG244">
        <v>2</v>
      </c>
      <c r="AH244">
        <v>4</v>
      </c>
      <c r="AI244">
        <v>2</v>
      </c>
      <c r="AJ244">
        <v>3</v>
      </c>
      <c r="AK244" t="b">
        <f>Table7[[#This Row],[What is your age?]]&lt;&gt;"18 - 25"</f>
        <v>0</v>
      </c>
      <c r="AL244" t="b">
        <f t="shared" si="9"/>
        <v>0</v>
      </c>
      <c r="AM244" t="b">
        <f t="shared" si="10"/>
        <v>0</v>
      </c>
      <c r="AN244" t="b">
        <f t="shared" si="11"/>
        <v>0</v>
      </c>
      <c r="AO244" t="b">
        <f>OR(Table7[[#This Row],[Ineligible respondents]:[Inconsistent response on opposite question (3)]])</f>
        <v>0</v>
      </c>
      <c r="AP24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244">
        <f>Table7[[#This Row],[Extreme Response]]/21</f>
        <v>0</v>
      </c>
      <c r="AR244">
        <f>Table67[[#This Row],[Threshold of ERS]]</f>
        <v>0.61904761904761907</v>
      </c>
      <c r="AS244" t="b">
        <f>Table7[[#This Row],[Extrem Response Ratio (ERS)]]&gt;=Table7[[#This Row],[Threshold of ERS]]</f>
        <v>0</v>
      </c>
      <c r="AT244" t="b" cm="1">
        <f t="array" ref="AT24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44">
        <f>COUNTIF(Table7[[#This Row],[The mechanism of digital assets is difficult to understand, which discourages me from exploring it (E.g, Tokenization, Blockchain)]:[If I want to try different ways to invest, I will explore digital assets.]], 3)</f>
        <v>4</v>
      </c>
      <c r="AV244">
        <f>Table7[[#This Row],[Midpoint]]/21</f>
        <v>0.19047619047619047</v>
      </c>
      <c r="AW244">
        <f>Table67[[#This Row],[Threshold of Midpoint ratio]]</f>
        <v>0.5714285714285714</v>
      </c>
      <c r="AX244" t="b">
        <f>Table7[[#This Row],[Midpoint ratio]]&gt;=Table7[[#This Row],[Threshold of Midpoint ratio]]</f>
        <v>0</v>
      </c>
      <c r="AY244" t="b">
        <f>OR(Table7[[#This Row],[Extreme Response Style]:[Straight-lining with 1 deviation]],Table7[[#This Row],[Mid-point Response Style]])</f>
        <v>0</v>
      </c>
      <c r="AZ244" t="b">
        <f>OR(Table7[[#This Row],[Delete? (Stage 1)]],Table7[[#This Row],[Delete? (Stage 2)]])</f>
        <v>0</v>
      </c>
      <c r="BA244" t="s">
        <v>84</v>
      </c>
    </row>
    <row r="245" spans="1:53">
      <c r="A245">
        <v>1110</v>
      </c>
      <c r="B245" s="3">
        <v>46056.888206018499</v>
      </c>
      <c r="C245" s="3">
        <v>46056.890300925901</v>
      </c>
      <c r="D245" t="s">
        <v>53</v>
      </c>
      <c r="G245" t="s">
        <v>54</v>
      </c>
      <c r="H245" t="s">
        <v>63</v>
      </c>
      <c r="I245" t="s">
        <v>56</v>
      </c>
      <c r="J245" t="s">
        <v>62</v>
      </c>
      <c r="K245" t="s">
        <v>62</v>
      </c>
      <c r="L245" t="s">
        <v>61</v>
      </c>
      <c r="M245" t="s">
        <v>61</v>
      </c>
      <c r="N245">
        <v>2</v>
      </c>
      <c r="O245">
        <v>2</v>
      </c>
      <c r="P245">
        <v>3</v>
      </c>
      <c r="Q245">
        <v>4</v>
      </c>
      <c r="R245">
        <v>2</v>
      </c>
      <c r="S245">
        <v>1</v>
      </c>
      <c r="T245">
        <v>2</v>
      </c>
      <c r="U245">
        <v>3</v>
      </c>
      <c r="V245">
        <v>2</v>
      </c>
      <c r="W245">
        <v>2</v>
      </c>
      <c r="X245">
        <v>2</v>
      </c>
      <c r="Y245">
        <v>2</v>
      </c>
      <c r="Z245">
        <v>3</v>
      </c>
      <c r="AA245">
        <v>4</v>
      </c>
      <c r="AB245">
        <v>4</v>
      </c>
      <c r="AC245">
        <v>2</v>
      </c>
      <c r="AD245">
        <v>3</v>
      </c>
      <c r="AE245">
        <v>5</v>
      </c>
      <c r="AF245">
        <v>5</v>
      </c>
      <c r="AG245">
        <v>2</v>
      </c>
      <c r="AH245">
        <v>5</v>
      </c>
      <c r="AI245">
        <v>1</v>
      </c>
      <c r="AJ245">
        <v>1</v>
      </c>
      <c r="AK245" t="b">
        <f>Table7[[#This Row],[What is your age?]]&lt;&gt;"18 - 25"</f>
        <v>0</v>
      </c>
      <c r="AL245" t="b">
        <f t="shared" si="9"/>
        <v>0</v>
      </c>
      <c r="AM245" t="b">
        <f t="shared" si="10"/>
        <v>0</v>
      </c>
      <c r="AN245" t="b">
        <f t="shared" si="11"/>
        <v>0</v>
      </c>
      <c r="AO245" t="b">
        <f>OR(Table7[[#This Row],[Ineligible respondents]:[Inconsistent response on opposite question (3)]])</f>
        <v>0</v>
      </c>
      <c r="AP24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245">
        <f>Table7[[#This Row],[Extreme Response]]/21</f>
        <v>0.19047619047619047</v>
      </c>
      <c r="AR245">
        <f>Table67[[#This Row],[Threshold of ERS]]</f>
        <v>0.61904761904761907</v>
      </c>
      <c r="AS245" t="b">
        <f>Table7[[#This Row],[Extrem Response Ratio (ERS)]]&gt;=Table7[[#This Row],[Threshold of ERS]]</f>
        <v>0</v>
      </c>
      <c r="AT245" t="b" cm="1">
        <f t="array" ref="AT24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45">
        <f>COUNTIF(Table7[[#This Row],[The mechanism of digital assets is difficult to understand, which discourages me from exploring it (E.g, Tokenization, Blockchain)]:[If I want to try different ways to invest, I will explore digital assets.]], 3)</f>
        <v>4</v>
      </c>
      <c r="AV245">
        <f>Table7[[#This Row],[Midpoint]]/21</f>
        <v>0.19047619047619047</v>
      </c>
      <c r="AW245">
        <f>Table67[[#This Row],[Threshold of Midpoint ratio]]</f>
        <v>0.5714285714285714</v>
      </c>
      <c r="AX245" t="b">
        <f>Table7[[#This Row],[Midpoint ratio]]&gt;=Table7[[#This Row],[Threshold of Midpoint ratio]]</f>
        <v>0</v>
      </c>
      <c r="AY245" t="b">
        <f>OR(Table7[[#This Row],[Extreme Response Style]:[Straight-lining with 1 deviation]],Table7[[#This Row],[Mid-point Response Style]])</f>
        <v>0</v>
      </c>
      <c r="AZ245" t="b">
        <f>OR(Table7[[#This Row],[Delete? (Stage 1)]],Table7[[#This Row],[Delete? (Stage 2)]])</f>
        <v>0</v>
      </c>
      <c r="BA245" t="s">
        <v>84</v>
      </c>
    </row>
    <row r="246" spans="1:53">
      <c r="A246">
        <v>1111</v>
      </c>
      <c r="B246" s="3">
        <v>46056.888206018499</v>
      </c>
      <c r="C246" s="3">
        <v>46056.896736111099</v>
      </c>
      <c r="D246" t="s">
        <v>53</v>
      </c>
      <c r="G246" t="s">
        <v>54</v>
      </c>
      <c r="H246" t="s">
        <v>55</v>
      </c>
      <c r="I246" t="s">
        <v>71</v>
      </c>
      <c r="J246" t="s">
        <v>62</v>
      </c>
      <c r="K246" t="s">
        <v>62</v>
      </c>
      <c r="L246" t="s">
        <v>58</v>
      </c>
      <c r="M246" t="s">
        <v>58</v>
      </c>
      <c r="N246">
        <v>1</v>
      </c>
      <c r="O246">
        <v>2</v>
      </c>
      <c r="P246">
        <v>2</v>
      </c>
      <c r="Q246">
        <v>2</v>
      </c>
      <c r="R246">
        <v>3</v>
      </c>
      <c r="S246">
        <v>2</v>
      </c>
      <c r="T246">
        <v>1</v>
      </c>
      <c r="U246">
        <v>2</v>
      </c>
      <c r="V246">
        <v>5</v>
      </c>
      <c r="W246">
        <v>5</v>
      </c>
      <c r="X246">
        <v>4</v>
      </c>
      <c r="Y246">
        <v>4</v>
      </c>
      <c r="Z246">
        <v>5</v>
      </c>
      <c r="AA246">
        <v>3</v>
      </c>
      <c r="AB246">
        <v>2</v>
      </c>
      <c r="AC246">
        <v>1</v>
      </c>
      <c r="AD246">
        <v>3</v>
      </c>
      <c r="AE246">
        <v>4</v>
      </c>
      <c r="AF246">
        <v>5</v>
      </c>
      <c r="AG246">
        <v>1</v>
      </c>
      <c r="AH246">
        <v>5</v>
      </c>
      <c r="AI246">
        <v>1</v>
      </c>
      <c r="AJ246">
        <v>1</v>
      </c>
      <c r="AK246" t="b">
        <f>Table7[[#This Row],[What is your age?]]&lt;&gt;"18 - 25"</f>
        <v>0</v>
      </c>
      <c r="AL246" t="b">
        <f t="shared" si="9"/>
        <v>0</v>
      </c>
      <c r="AM246" t="b">
        <f t="shared" si="10"/>
        <v>0</v>
      </c>
      <c r="AN246" t="b">
        <f t="shared" si="11"/>
        <v>0</v>
      </c>
      <c r="AO246" t="b">
        <f>OR(Table7[[#This Row],[Ineligible respondents]:[Inconsistent response on opposite question (3)]])</f>
        <v>0</v>
      </c>
      <c r="AP24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9</v>
      </c>
      <c r="AQ246">
        <f>Table7[[#This Row],[Extreme Response]]/21</f>
        <v>0.42857142857142855</v>
      </c>
      <c r="AR246">
        <f>Table67[[#This Row],[Threshold of ERS]]</f>
        <v>0.61904761904761907</v>
      </c>
      <c r="AS246" t="b">
        <f>Table7[[#This Row],[Extrem Response Ratio (ERS)]]&gt;=Table7[[#This Row],[Threshold of ERS]]</f>
        <v>0</v>
      </c>
      <c r="AT246" t="b" cm="1">
        <f t="array" ref="AT24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46">
        <f>COUNTIF(Table7[[#This Row],[The mechanism of digital assets is difficult to understand, which discourages me from exploring it (E.g, Tokenization, Blockchain)]:[If I want to try different ways to invest, I will explore digital assets.]], 3)</f>
        <v>3</v>
      </c>
      <c r="AV246">
        <f>Table7[[#This Row],[Midpoint]]/21</f>
        <v>0.14285714285714285</v>
      </c>
      <c r="AW246">
        <f>Table67[[#This Row],[Threshold of Midpoint ratio]]</f>
        <v>0.5714285714285714</v>
      </c>
      <c r="AX246" t="b">
        <f>Table7[[#This Row],[Midpoint ratio]]&gt;=Table7[[#This Row],[Threshold of Midpoint ratio]]</f>
        <v>0</v>
      </c>
      <c r="AY246" t="b">
        <f>OR(Table7[[#This Row],[Extreme Response Style]:[Straight-lining with 1 deviation]],Table7[[#This Row],[Mid-point Response Style]])</f>
        <v>0</v>
      </c>
      <c r="AZ246" t="b">
        <f>OR(Table7[[#This Row],[Delete? (Stage 1)]],Table7[[#This Row],[Delete? (Stage 2)]])</f>
        <v>0</v>
      </c>
      <c r="BA246" t="s">
        <v>84</v>
      </c>
    </row>
    <row r="247" spans="1:53">
      <c r="A247">
        <v>1114</v>
      </c>
      <c r="B247" s="3">
        <v>46056.888298611098</v>
      </c>
      <c r="C247" s="3">
        <v>46056.895081018498</v>
      </c>
      <c r="D247" t="s">
        <v>53</v>
      </c>
      <c r="G247" t="s">
        <v>54</v>
      </c>
      <c r="H247" t="s">
        <v>55</v>
      </c>
      <c r="I247" t="s">
        <v>56</v>
      </c>
      <c r="J247" t="s">
        <v>62</v>
      </c>
      <c r="K247" t="s">
        <v>62</v>
      </c>
      <c r="L247" t="s">
        <v>58</v>
      </c>
      <c r="M247" t="s">
        <v>58</v>
      </c>
      <c r="N247">
        <v>4</v>
      </c>
      <c r="O247">
        <v>2</v>
      </c>
      <c r="P247">
        <v>4</v>
      </c>
      <c r="Q247">
        <v>4</v>
      </c>
      <c r="R247">
        <v>4</v>
      </c>
      <c r="S247">
        <v>4</v>
      </c>
      <c r="T247">
        <v>4</v>
      </c>
      <c r="U247">
        <v>5</v>
      </c>
      <c r="V247">
        <v>4</v>
      </c>
      <c r="W247">
        <v>5</v>
      </c>
      <c r="X247">
        <v>5</v>
      </c>
      <c r="Y247">
        <v>5</v>
      </c>
      <c r="Z247">
        <v>5</v>
      </c>
      <c r="AA247">
        <v>5</v>
      </c>
      <c r="AB247">
        <v>4</v>
      </c>
      <c r="AC247">
        <v>5</v>
      </c>
      <c r="AD247">
        <v>5</v>
      </c>
      <c r="AE247">
        <v>4</v>
      </c>
      <c r="AF247">
        <v>1</v>
      </c>
      <c r="AG247">
        <v>5</v>
      </c>
      <c r="AH247">
        <v>1</v>
      </c>
      <c r="AI247">
        <v>5</v>
      </c>
      <c r="AJ247">
        <v>5</v>
      </c>
      <c r="AK247" t="b">
        <f>Table7[[#This Row],[What is your age?]]&lt;&gt;"18 - 25"</f>
        <v>0</v>
      </c>
      <c r="AL247" t="b">
        <f t="shared" si="9"/>
        <v>0</v>
      </c>
      <c r="AM247" t="b">
        <f t="shared" si="10"/>
        <v>0</v>
      </c>
      <c r="AN247" t="b">
        <f t="shared" si="11"/>
        <v>0</v>
      </c>
      <c r="AO247" t="b">
        <f>OR(Table7[[#This Row],[Ineligible respondents]:[Inconsistent response on opposite question (3)]])</f>
        <v>0</v>
      </c>
      <c r="AP24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11</v>
      </c>
      <c r="AQ247">
        <f>Table7[[#This Row],[Extreme Response]]/21</f>
        <v>0.52380952380952384</v>
      </c>
      <c r="AR247">
        <f>Table67[[#This Row],[Threshold of ERS]]</f>
        <v>0.61904761904761907</v>
      </c>
      <c r="AS247" t="b">
        <f>Table7[[#This Row],[Extrem Response Ratio (ERS)]]&gt;=Table7[[#This Row],[Threshold of ERS]]</f>
        <v>0</v>
      </c>
      <c r="AT247" t="b" cm="1">
        <f t="array" ref="AT24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47">
        <f>COUNTIF(Table7[[#This Row],[The mechanism of digital assets is difficult to understand, which discourages me from exploring it (E.g, Tokenization, Blockchain)]:[If I want to try different ways to invest, I will explore digital assets.]], 3)</f>
        <v>0</v>
      </c>
      <c r="AV247">
        <f>Table7[[#This Row],[Midpoint]]/21</f>
        <v>0</v>
      </c>
      <c r="AW247">
        <f>Table67[[#This Row],[Threshold of Midpoint ratio]]</f>
        <v>0.5714285714285714</v>
      </c>
      <c r="AX247" t="b">
        <f>Table7[[#This Row],[Midpoint ratio]]&gt;=Table7[[#This Row],[Threshold of Midpoint ratio]]</f>
        <v>0</v>
      </c>
      <c r="AY247" t="b">
        <f>OR(Table7[[#This Row],[Extreme Response Style]:[Straight-lining with 1 deviation]],Table7[[#This Row],[Mid-point Response Style]])</f>
        <v>0</v>
      </c>
      <c r="AZ247" t="b">
        <f>OR(Table7[[#This Row],[Delete? (Stage 1)]],Table7[[#This Row],[Delete? (Stage 2)]])</f>
        <v>0</v>
      </c>
      <c r="BA247" t="s">
        <v>84</v>
      </c>
    </row>
    <row r="248" spans="1:53">
      <c r="A248">
        <v>1117</v>
      </c>
      <c r="B248" s="3">
        <v>46056.888483796298</v>
      </c>
      <c r="C248" s="3">
        <v>46056.892187500001</v>
      </c>
      <c r="D248" t="s">
        <v>53</v>
      </c>
      <c r="G248" t="s">
        <v>54</v>
      </c>
      <c r="H248" t="s">
        <v>63</v>
      </c>
      <c r="I248" t="s">
        <v>71</v>
      </c>
      <c r="J248" t="s">
        <v>65</v>
      </c>
      <c r="K248" t="s">
        <v>66</v>
      </c>
      <c r="L248" t="s">
        <v>58</v>
      </c>
      <c r="M248" t="s">
        <v>58</v>
      </c>
      <c r="N248">
        <v>3</v>
      </c>
      <c r="O248">
        <v>2</v>
      </c>
      <c r="P248">
        <v>3</v>
      </c>
      <c r="Q248">
        <v>3</v>
      </c>
      <c r="R248">
        <v>4</v>
      </c>
      <c r="S248">
        <v>4</v>
      </c>
      <c r="T248">
        <v>4</v>
      </c>
      <c r="U248">
        <v>4</v>
      </c>
      <c r="V248">
        <v>3</v>
      </c>
      <c r="W248">
        <v>2</v>
      </c>
      <c r="X248">
        <v>3</v>
      </c>
      <c r="Y248">
        <v>3</v>
      </c>
      <c r="Z248">
        <v>2</v>
      </c>
      <c r="AA248">
        <v>3</v>
      </c>
      <c r="AB248">
        <v>4</v>
      </c>
      <c r="AC248">
        <v>4</v>
      </c>
      <c r="AD248">
        <v>4</v>
      </c>
      <c r="AE248">
        <v>3</v>
      </c>
      <c r="AF248">
        <v>1</v>
      </c>
      <c r="AG248">
        <v>4</v>
      </c>
      <c r="AH248">
        <v>2</v>
      </c>
      <c r="AI248">
        <v>4</v>
      </c>
      <c r="AJ248">
        <v>5</v>
      </c>
      <c r="AK248" t="b">
        <f>Table7[[#This Row],[What is your age?]]&lt;&gt;"18 - 25"</f>
        <v>0</v>
      </c>
      <c r="AL248" t="b">
        <f t="shared" si="9"/>
        <v>0</v>
      </c>
      <c r="AM248" t="b">
        <f t="shared" si="10"/>
        <v>0</v>
      </c>
      <c r="AN248" t="b">
        <f t="shared" si="11"/>
        <v>0</v>
      </c>
      <c r="AO248" t="b">
        <f>OR(Table7[[#This Row],[Ineligible respondents]:[Inconsistent response on opposite question (3)]])</f>
        <v>0</v>
      </c>
      <c r="AP24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248">
        <f>Table7[[#This Row],[Extreme Response]]/21</f>
        <v>4.7619047619047616E-2</v>
      </c>
      <c r="AR248">
        <f>Table67[[#This Row],[Threshold of ERS]]</f>
        <v>0.61904761904761907</v>
      </c>
      <c r="AS248" t="b">
        <f>Table7[[#This Row],[Extrem Response Ratio (ERS)]]&gt;=Table7[[#This Row],[Threshold of ERS]]</f>
        <v>0</v>
      </c>
      <c r="AT248" t="b" cm="1">
        <f t="array" ref="AT24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48">
        <f>COUNTIF(Table7[[#This Row],[The mechanism of digital assets is difficult to understand, which discourages me from exploring it (E.g, Tokenization, Blockchain)]:[If I want to try different ways to invest, I will explore digital assets.]], 3)</f>
        <v>8</v>
      </c>
      <c r="AV248">
        <f>Table7[[#This Row],[Midpoint]]/21</f>
        <v>0.38095238095238093</v>
      </c>
      <c r="AW248">
        <f>Table67[[#This Row],[Threshold of Midpoint ratio]]</f>
        <v>0.5714285714285714</v>
      </c>
      <c r="AX248" t="b">
        <f>Table7[[#This Row],[Midpoint ratio]]&gt;=Table7[[#This Row],[Threshold of Midpoint ratio]]</f>
        <v>0</v>
      </c>
      <c r="AY248" t="b">
        <f>OR(Table7[[#This Row],[Extreme Response Style]:[Straight-lining with 1 deviation]],Table7[[#This Row],[Mid-point Response Style]])</f>
        <v>0</v>
      </c>
      <c r="AZ248" t="b">
        <f>OR(Table7[[#This Row],[Delete? (Stage 1)]],Table7[[#This Row],[Delete? (Stage 2)]])</f>
        <v>0</v>
      </c>
      <c r="BA248" t="s">
        <v>84</v>
      </c>
    </row>
    <row r="249" spans="1:53">
      <c r="A249">
        <v>1118</v>
      </c>
      <c r="B249" s="3">
        <v>46056.888796296298</v>
      </c>
      <c r="C249" s="3">
        <v>46056.900486111103</v>
      </c>
      <c r="D249" t="s">
        <v>53</v>
      </c>
      <c r="G249" t="s">
        <v>54</v>
      </c>
      <c r="H249" t="s">
        <v>63</v>
      </c>
      <c r="I249" t="s">
        <v>56</v>
      </c>
      <c r="J249" t="s">
        <v>57</v>
      </c>
      <c r="K249" t="s">
        <v>57</v>
      </c>
      <c r="L249" t="s">
        <v>58</v>
      </c>
      <c r="M249" t="s">
        <v>58</v>
      </c>
      <c r="N249">
        <v>4</v>
      </c>
      <c r="O249">
        <v>4</v>
      </c>
      <c r="P249">
        <v>3</v>
      </c>
      <c r="Q249">
        <v>3</v>
      </c>
      <c r="R249">
        <v>3</v>
      </c>
      <c r="S249">
        <v>3</v>
      </c>
      <c r="T249">
        <v>4</v>
      </c>
      <c r="U249">
        <v>4</v>
      </c>
      <c r="V249">
        <v>4</v>
      </c>
      <c r="W249">
        <v>4</v>
      </c>
      <c r="X249">
        <v>3</v>
      </c>
      <c r="Y249">
        <v>4</v>
      </c>
      <c r="Z249">
        <v>4</v>
      </c>
      <c r="AA249">
        <v>4</v>
      </c>
      <c r="AB249">
        <v>3</v>
      </c>
      <c r="AC249">
        <v>4</v>
      </c>
      <c r="AD249">
        <v>4</v>
      </c>
      <c r="AE249">
        <v>2</v>
      </c>
      <c r="AF249">
        <v>2</v>
      </c>
      <c r="AG249">
        <v>4</v>
      </c>
      <c r="AH249">
        <v>2</v>
      </c>
      <c r="AI249">
        <v>4</v>
      </c>
      <c r="AJ249">
        <v>4</v>
      </c>
      <c r="AK249" t="b">
        <f>Table7[[#This Row],[What is your age?]]&lt;&gt;"18 - 25"</f>
        <v>0</v>
      </c>
      <c r="AL249" t="b">
        <f t="shared" si="9"/>
        <v>0</v>
      </c>
      <c r="AM249" t="b">
        <f t="shared" si="10"/>
        <v>0</v>
      </c>
      <c r="AN249" t="b">
        <f t="shared" si="11"/>
        <v>0</v>
      </c>
      <c r="AO249" t="b">
        <f>OR(Table7[[#This Row],[Ineligible respondents]:[Inconsistent response on opposite question (3)]])</f>
        <v>0</v>
      </c>
      <c r="AP24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249">
        <f>Table7[[#This Row],[Extreme Response]]/21</f>
        <v>0</v>
      </c>
      <c r="AR249">
        <f>Table67[[#This Row],[Threshold of ERS]]</f>
        <v>0.61904761904761907</v>
      </c>
      <c r="AS249" t="b">
        <f>Table7[[#This Row],[Extrem Response Ratio (ERS)]]&gt;=Table7[[#This Row],[Threshold of ERS]]</f>
        <v>0</v>
      </c>
      <c r="AT249" t="b" cm="1">
        <f t="array" ref="AT24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49">
        <f>COUNTIF(Table7[[#This Row],[The mechanism of digital assets is difficult to understand, which discourages me from exploring it (E.g, Tokenization, Blockchain)]:[If I want to try different ways to invest, I will explore digital assets.]], 3)</f>
        <v>6</v>
      </c>
      <c r="AV249">
        <f>Table7[[#This Row],[Midpoint]]/21</f>
        <v>0.2857142857142857</v>
      </c>
      <c r="AW249">
        <f>Table67[[#This Row],[Threshold of Midpoint ratio]]</f>
        <v>0.5714285714285714</v>
      </c>
      <c r="AX249" t="b">
        <f>Table7[[#This Row],[Midpoint ratio]]&gt;=Table7[[#This Row],[Threshold of Midpoint ratio]]</f>
        <v>0</v>
      </c>
      <c r="AY249" t="b">
        <f>OR(Table7[[#This Row],[Extreme Response Style]:[Straight-lining with 1 deviation]],Table7[[#This Row],[Mid-point Response Style]])</f>
        <v>0</v>
      </c>
      <c r="AZ249" t="b">
        <f>OR(Table7[[#This Row],[Delete? (Stage 1)]],Table7[[#This Row],[Delete? (Stage 2)]])</f>
        <v>0</v>
      </c>
      <c r="BA249" t="s">
        <v>84</v>
      </c>
    </row>
    <row r="250" spans="1:53">
      <c r="A250">
        <v>1126</v>
      </c>
      <c r="B250" s="3">
        <v>46056.891307870399</v>
      </c>
      <c r="C250" s="3">
        <v>46056.893206018503</v>
      </c>
      <c r="D250" t="s">
        <v>53</v>
      </c>
      <c r="G250" t="s">
        <v>54</v>
      </c>
      <c r="H250" t="s">
        <v>55</v>
      </c>
      <c r="I250" t="s">
        <v>71</v>
      </c>
      <c r="J250" t="s">
        <v>67</v>
      </c>
      <c r="K250" t="s">
        <v>64</v>
      </c>
      <c r="L250" t="s">
        <v>61</v>
      </c>
      <c r="M250" t="s">
        <v>61</v>
      </c>
      <c r="N250">
        <v>3</v>
      </c>
      <c r="O250">
        <v>2</v>
      </c>
      <c r="P250">
        <v>5</v>
      </c>
      <c r="Q250">
        <v>4</v>
      </c>
      <c r="R250">
        <v>3</v>
      </c>
      <c r="S250">
        <v>3</v>
      </c>
      <c r="T250">
        <v>4</v>
      </c>
      <c r="U250">
        <v>3</v>
      </c>
      <c r="V250">
        <v>2</v>
      </c>
      <c r="W250">
        <v>2</v>
      </c>
      <c r="X250">
        <v>2</v>
      </c>
      <c r="Y250">
        <v>2</v>
      </c>
      <c r="Z250">
        <v>2</v>
      </c>
      <c r="AA250">
        <v>2</v>
      </c>
      <c r="AB250">
        <v>2</v>
      </c>
      <c r="AC250">
        <v>3</v>
      </c>
      <c r="AD250">
        <v>4</v>
      </c>
      <c r="AE250">
        <v>1</v>
      </c>
      <c r="AF250">
        <v>2</v>
      </c>
      <c r="AG250">
        <v>5</v>
      </c>
      <c r="AH250">
        <v>2</v>
      </c>
      <c r="AI250">
        <v>4</v>
      </c>
      <c r="AJ250">
        <v>4</v>
      </c>
      <c r="AK250" t="b">
        <f>Table7[[#This Row],[What is your age?]]&lt;&gt;"18 - 25"</f>
        <v>0</v>
      </c>
      <c r="AL250" t="b">
        <f t="shared" si="9"/>
        <v>0</v>
      </c>
      <c r="AM250" t="b">
        <f t="shared" si="10"/>
        <v>0</v>
      </c>
      <c r="AN250" t="b">
        <f t="shared" si="11"/>
        <v>0</v>
      </c>
      <c r="AO250" t="b">
        <f>OR(Table7[[#This Row],[Ineligible respondents]:[Inconsistent response on opposite question (3)]])</f>
        <v>0</v>
      </c>
      <c r="AP25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250">
        <f>Table7[[#This Row],[Extreme Response]]/21</f>
        <v>0.14285714285714285</v>
      </c>
      <c r="AR250">
        <f>Table67[[#This Row],[Threshold of ERS]]</f>
        <v>0.61904761904761907</v>
      </c>
      <c r="AS250" t="b">
        <f>Table7[[#This Row],[Extrem Response Ratio (ERS)]]&gt;=Table7[[#This Row],[Threshold of ERS]]</f>
        <v>0</v>
      </c>
      <c r="AT250" t="b" cm="1">
        <f t="array" ref="AT25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50">
        <f>COUNTIF(Table7[[#This Row],[The mechanism of digital assets is difficult to understand, which discourages me from exploring it (E.g, Tokenization, Blockchain)]:[If I want to try different ways to invest, I will explore digital assets.]], 3)</f>
        <v>5</v>
      </c>
      <c r="AV250">
        <f>Table7[[#This Row],[Midpoint]]/21</f>
        <v>0.23809523809523808</v>
      </c>
      <c r="AW250">
        <f>Table67[[#This Row],[Threshold of Midpoint ratio]]</f>
        <v>0.5714285714285714</v>
      </c>
      <c r="AX250" t="b">
        <f>Table7[[#This Row],[Midpoint ratio]]&gt;=Table7[[#This Row],[Threshold of Midpoint ratio]]</f>
        <v>0</v>
      </c>
      <c r="AY250" t="b">
        <f>OR(Table7[[#This Row],[Extreme Response Style]:[Straight-lining with 1 deviation]],Table7[[#This Row],[Mid-point Response Style]])</f>
        <v>0</v>
      </c>
      <c r="AZ250" t="b">
        <f>OR(Table7[[#This Row],[Delete? (Stage 1)]],Table7[[#This Row],[Delete? (Stage 2)]])</f>
        <v>0</v>
      </c>
      <c r="BA250" t="s">
        <v>84</v>
      </c>
    </row>
    <row r="251" spans="1:53">
      <c r="A251">
        <v>1128</v>
      </c>
      <c r="B251" s="3">
        <v>46056.891631944403</v>
      </c>
      <c r="C251" s="3">
        <v>46056.901979166701</v>
      </c>
      <c r="D251" t="s">
        <v>53</v>
      </c>
      <c r="G251" t="s">
        <v>54</v>
      </c>
      <c r="H251" t="s">
        <v>55</v>
      </c>
      <c r="I251" t="s">
        <v>75</v>
      </c>
      <c r="J251" t="s">
        <v>57</v>
      </c>
      <c r="K251" t="s">
        <v>57</v>
      </c>
      <c r="L251" t="s">
        <v>58</v>
      </c>
      <c r="M251" t="s">
        <v>58</v>
      </c>
      <c r="N251">
        <v>3</v>
      </c>
      <c r="O251">
        <v>2</v>
      </c>
      <c r="P251">
        <v>4</v>
      </c>
      <c r="Q251">
        <v>3</v>
      </c>
      <c r="R251">
        <v>4</v>
      </c>
      <c r="S251">
        <v>4</v>
      </c>
      <c r="T251">
        <v>3</v>
      </c>
      <c r="U251">
        <v>4</v>
      </c>
      <c r="V251">
        <v>4</v>
      </c>
      <c r="W251">
        <v>4</v>
      </c>
      <c r="X251">
        <v>3</v>
      </c>
      <c r="Y251">
        <v>4</v>
      </c>
      <c r="Z251">
        <v>5</v>
      </c>
      <c r="AA251">
        <v>4</v>
      </c>
      <c r="AB251">
        <v>3</v>
      </c>
      <c r="AC251">
        <v>3</v>
      </c>
      <c r="AD251">
        <v>4</v>
      </c>
      <c r="AE251">
        <v>3</v>
      </c>
      <c r="AF251">
        <v>2</v>
      </c>
      <c r="AG251">
        <v>3</v>
      </c>
      <c r="AH251">
        <v>3</v>
      </c>
      <c r="AI251">
        <v>3</v>
      </c>
      <c r="AJ251">
        <v>4</v>
      </c>
      <c r="AK251" t="b">
        <f>Table7[[#This Row],[What is your age?]]&lt;&gt;"18 - 25"</f>
        <v>0</v>
      </c>
      <c r="AL251" t="b">
        <f t="shared" si="9"/>
        <v>0</v>
      </c>
      <c r="AM251" t="b">
        <f t="shared" si="10"/>
        <v>0</v>
      </c>
      <c r="AN251" t="b">
        <f t="shared" si="11"/>
        <v>0</v>
      </c>
      <c r="AO251" t="b">
        <f>OR(Table7[[#This Row],[Ineligible respondents]:[Inconsistent response on opposite question (3)]])</f>
        <v>0</v>
      </c>
      <c r="AP25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251">
        <f>Table7[[#This Row],[Extreme Response]]/21</f>
        <v>4.7619047619047616E-2</v>
      </c>
      <c r="AR251">
        <f>Table67[[#This Row],[Threshold of ERS]]</f>
        <v>0.61904761904761907</v>
      </c>
      <c r="AS251" t="b">
        <f>Table7[[#This Row],[Extrem Response Ratio (ERS)]]&gt;=Table7[[#This Row],[Threshold of ERS]]</f>
        <v>0</v>
      </c>
      <c r="AT251" t="b" cm="1">
        <f t="array" ref="AT25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51">
        <f>COUNTIF(Table7[[#This Row],[The mechanism of digital assets is difficult to understand, which discourages me from exploring it (E.g, Tokenization, Blockchain)]:[If I want to try different ways to invest, I will explore digital assets.]], 3)</f>
        <v>9</v>
      </c>
      <c r="AV251">
        <f>Table7[[#This Row],[Midpoint]]/21</f>
        <v>0.42857142857142855</v>
      </c>
      <c r="AW251">
        <f>Table67[[#This Row],[Threshold of Midpoint ratio]]</f>
        <v>0.5714285714285714</v>
      </c>
      <c r="AX251" t="b">
        <f>Table7[[#This Row],[Midpoint ratio]]&gt;=Table7[[#This Row],[Threshold of Midpoint ratio]]</f>
        <v>0</v>
      </c>
      <c r="AY251" t="b">
        <f>OR(Table7[[#This Row],[Extreme Response Style]:[Straight-lining with 1 deviation]],Table7[[#This Row],[Mid-point Response Style]])</f>
        <v>0</v>
      </c>
      <c r="AZ251" t="b">
        <f>OR(Table7[[#This Row],[Delete? (Stage 1)]],Table7[[#This Row],[Delete? (Stage 2)]])</f>
        <v>0</v>
      </c>
      <c r="BA251" t="s">
        <v>84</v>
      </c>
    </row>
    <row r="252" spans="1:53">
      <c r="A252">
        <v>1135</v>
      </c>
      <c r="B252" s="3">
        <v>46056.893136574101</v>
      </c>
      <c r="C252" s="3">
        <v>46056.895567129599</v>
      </c>
      <c r="D252" t="s">
        <v>53</v>
      </c>
      <c r="G252" t="s">
        <v>54</v>
      </c>
      <c r="H252" t="s">
        <v>63</v>
      </c>
      <c r="I252" t="s">
        <v>56</v>
      </c>
      <c r="J252" t="s">
        <v>62</v>
      </c>
      <c r="K252" t="s">
        <v>62</v>
      </c>
      <c r="L252" t="s">
        <v>58</v>
      </c>
      <c r="M252" t="s">
        <v>58</v>
      </c>
      <c r="N252">
        <v>3</v>
      </c>
      <c r="O252">
        <v>2</v>
      </c>
      <c r="P252">
        <v>2</v>
      </c>
      <c r="Q252">
        <v>3</v>
      </c>
      <c r="R252">
        <v>2</v>
      </c>
      <c r="S252">
        <v>3</v>
      </c>
      <c r="T252">
        <v>2</v>
      </c>
      <c r="U252">
        <v>4</v>
      </c>
      <c r="V252">
        <v>4</v>
      </c>
      <c r="W252">
        <v>2</v>
      </c>
      <c r="X252">
        <v>4</v>
      </c>
      <c r="Y252">
        <v>4</v>
      </c>
      <c r="Z252">
        <v>3</v>
      </c>
      <c r="AA252">
        <v>3</v>
      </c>
      <c r="AB252">
        <v>3</v>
      </c>
      <c r="AC252">
        <v>4</v>
      </c>
      <c r="AD252">
        <v>4</v>
      </c>
      <c r="AE252">
        <v>4</v>
      </c>
      <c r="AF252">
        <v>3</v>
      </c>
      <c r="AG252">
        <v>3</v>
      </c>
      <c r="AH252">
        <v>3</v>
      </c>
      <c r="AI252">
        <v>3</v>
      </c>
      <c r="AJ252">
        <v>3</v>
      </c>
      <c r="AK252" t="b">
        <f>Table7[[#This Row],[What is your age?]]&lt;&gt;"18 - 25"</f>
        <v>0</v>
      </c>
      <c r="AL252" t="b">
        <f t="shared" si="9"/>
        <v>0</v>
      </c>
      <c r="AM252" t="b">
        <f t="shared" si="10"/>
        <v>0</v>
      </c>
      <c r="AN252" t="b">
        <f t="shared" si="11"/>
        <v>0</v>
      </c>
      <c r="AO252" t="b">
        <f>OR(Table7[[#This Row],[Ineligible respondents]:[Inconsistent response on opposite question (3)]])</f>
        <v>0</v>
      </c>
      <c r="AP25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252">
        <f>Table7[[#This Row],[Extreme Response]]/21</f>
        <v>0</v>
      </c>
      <c r="AR252">
        <f>Table67[[#This Row],[Threshold of ERS]]</f>
        <v>0.61904761904761907</v>
      </c>
      <c r="AS252" t="b">
        <f>Table7[[#This Row],[Extrem Response Ratio (ERS)]]&gt;=Table7[[#This Row],[Threshold of ERS]]</f>
        <v>0</v>
      </c>
      <c r="AT252" t="b" cm="1">
        <f t="array" ref="AT25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52">
        <f>COUNTIF(Table7[[#This Row],[The mechanism of digital assets is difficult to understand, which discourages me from exploring it (E.g, Tokenization, Blockchain)]:[If I want to try different ways to invest, I will explore digital assets.]], 3)</f>
        <v>9</v>
      </c>
      <c r="AV252">
        <f>Table7[[#This Row],[Midpoint]]/21</f>
        <v>0.42857142857142855</v>
      </c>
      <c r="AW252">
        <f>Table67[[#This Row],[Threshold of Midpoint ratio]]</f>
        <v>0.5714285714285714</v>
      </c>
      <c r="AX252" t="b">
        <f>Table7[[#This Row],[Midpoint ratio]]&gt;=Table7[[#This Row],[Threshold of Midpoint ratio]]</f>
        <v>0</v>
      </c>
      <c r="AY252" t="b">
        <f>OR(Table7[[#This Row],[Extreme Response Style]:[Straight-lining with 1 deviation]],Table7[[#This Row],[Mid-point Response Style]])</f>
        <v>0</v>
      </c>
      <c r="AZ252" t="b">
        <f>OR(Table7[[#This Row],[Delete? (Stage 1)]],Table7[[#This Row],[Delete? (Stage 2)]])</f>
        <v>0</v>
      </c>
      <c r="BA252" t="s">
        <v>84</v>
      </c>
    </row>
    <row r="253" spans="1:53">
      <c r="A253">
        <v>1136</v>
      </c>
      <c r="B253" s="3">
        <v>46056.893807870401</v>
      </c>
      <c r="C253" s="3">
        <v>46056.901377314804</v>
      </c>
      <c r="D253" t="s">
        <v>53</v>
      </c>
      <c r="G253" t="s">
        <v>54</v>
      </c>
      <c r="H253" t="s">
        <v>55</v>
      </c>
      <c r="I253" t="s">
        <v>75</v>
      </c>
      <c r="J253" t="s">
        <v>62</v>
      </c>
      <c r="K253" t="s">
        <v>62</v>
      </c>
      <c r="L253" t="s">
        <v>61</v>
      </c>
      <c r="M253" t="s">
        <v>61</v>
      </c>
      <c r="N253">
        <v>4</v>
      </c>
      <c r="O253">
        <v>2</v>
      </c>
      <c r="P253">
        <v>5</v>
      </c>
      <c r="Q253">
        <v>4</v>
      </c>
      <c r="R253">
        <v>4</v>
      </c>
      <c r="S253">
        <v>4</v>
      </c>
      <c r="T253">
        <v>4</v>
      </c>
      <c r="U253">
        <v>4</v>
      </c>
      <c r="V253">
        <v>5</v>
      </c>
      <c r="W253">
        <v>5</v>
      </c>
      <c r="X253">
        <v>5</v>
      </c>
      <c r="Y253">
        <v>5</v>
      </c>
      <c r="Z253">
        <v>5</v>
      </c>
      <c r="AA253">
        <v>5</v>
      </c>
      <c r="AB253">
        <v>3</v>
      </c>
      <c r="AC253">
        <v>4</v>
      </c>
      <c r="AD253">
        <v>5</v>
      </c>
      <c r="AE253">
        <v>4</v>
      </c>
      <c r="AF253">
        <v>3</v>
      </c>
      <c r="AG253">
        <v>3</v>
      </c>
      <c r="AH253">
        <v>3</v>
      </c>
      <c r="AI253">
        <v>3</v>
      </c>
      <c r="AJ253">
        <v>3</v>
      </c>
      <c r="AK253" t="b">
        <f>Table7[[#This Row],[What is your age?]]&lt;&gt;"18 - 25"</f>
        <v>0</v>
      </c>
      <c r="AL253" t="b">
        <f t="shared" si="9"/>
        <v>0</v>
      </c>
      <c r="AM253" t="b">
        <f t="shared" si="10"/>
        <v>0</v>
      </c>
      <c r="AN253" t="b">
        <f t="shared" si="11"/>
        <v>0</v>
      </c>
      <c r="AO253" t="b">
        <f>OR(Table7[[#This Row],[Ineligible respondents]:[Inconsistent response on opposite question (3)]])</f>
        <v>0</v>
      </c>
      <c r="AP25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8</v>
      </c>
      <c r="AQ253">
        <f>Table7[[#This Row],[Extreme Response]]/21</f>
        <v>0.38095238095238093</v>
      </c>
      <c r="AR253">
        <f>Table67[[#This Row],[Threshold of ERS]]</f>
        <v>0.61904761904761907</v>
      </c>
      <c r="AS253" t="b">
        <f>Table7[[#This Row],[Extrem Response Ratio (ERS)]]&gt;=Table7[[#This Row],[Threshold of ERS]]</f>
        <v>0</v>
      </c>
      <c r="AT253" t="b" cm="1">
        <f t="array" ref="AT25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53">
        <f>COUNTIF(Table7[[#This Row],[The mechanism of digital assets is difficult to understand, which discourages me from exploring it (E.g, Tokenization, Blockchain)]:[If I want to try different ways to invest, I will explore digital assets.]], 3)</f>
        <v>4</v>
      </c>
      <c r="AV253">
        <f>Table7[[#This Row],[Midpoint]]/21</f>
        <v>0.19047619047619047</v>
      </c>
      <c r="AW253">
        <f>Table67[[#This Row],[Threshold of Midpoint ratio]]</f>
        <v>0.5714285714285714</v>
      </c>
      <c r="AX253" t="b">
        <f>Table7[[#This Row],[Midpoint ratio]]&gt;=Table7[[#This Row],[Threshold of Midpoint ratio]]</f>
        <v>0</v>
      </c>
      <c r="AY253" t="b">
        <f>OR(Table7[[#This Row],[Extreme Response Style]:[Straight-lining with 1 deviation]],Table7[[#This Row],[Mid-point Response Style]])</f>
        <v>0</v>
      </c>
      <c r="AZ253" t="b">
        <f>OR(Table7[[#This Row],[Delete? (Stage 1)]],Table7[[#This Row],[Delete? (Stage 2)]])</f>
        <v>0</v>
      </c>
      <c r="BA253" t="s">
        <v>84</v>
      </c>
    </row>
    <row r="254" spans="1:53">
      <c r="A254">
        <v>1141</v>
      </c>
      <c r="B254" s="3">
        <v>46056.894999999997</v>
      </c>
      <c r="C254" s="3">
        <v>46056.903020833299</v>
      </c>
      <c r="D254" t="s">
        <v>53</v>
      </c>
      <c r="G254" t="s">
        <v>54</v>
      </c>
      <c r="H254" t="s">
        <v>55</v>
      </c>
      <c r="I254" t="s">
        <v>56</v>
      </c>
      <c r="J254" t="s">
        <v>68</v>
      </c>
      <c r="K254" t="s">
        <v>62</v>
      </c>
      <c r="L254" t="s">
        <v>58</v>
      </c>
      <c r="M254" t="s">
        <v>58</v>
      </c>
      <c r="N254">
        <v>1</v>
      </c>
      <c r="O254">
        <v>1</v>
      </c>
      <c r="P254">
        <v>4</v>
      </c>
      <c r="Q254">
        <v>1</v>
      </c>
      <c r="R254">
        <v>1</v>
      </c>
      <c r="S254">
        <v>2</v>
      </c>
      <c r="T254">
        <v>3</v>
      </c>
      <c r="U254">
        <v>2</v>
      </c>
      <c r="V254">
        <v>2</v>
      </c>
      <c r="W254">
        <v>1</v>
      </c>
      <c r="X254">
        <v>1</v>
      </c>
      <c r="Y254">
        <v>2</v>
      </c>
      <c r="Z254">
        <v>1</v>
      </c>
      <c r="AA254">
        <v>2</v>
      </c>
      <c r="AB254">
        <v>1</v>
      </c>
      <c r="AC254">
        <v>1</v>
      </c>
      <c r="AD254">
        <v>3</v>
      </c>
      <c r="AE254">
        <v>3</v>
      </c>
      <c r="AF254">
        <v>5</v>
      </c>
      <c r="AG254">
        <v>2</v>
      </c>
      <c r="AH254">
        <v>5</v>
      </c>
      <c r="AI254">
        <v>1</v>
      </c>
      <c r="AJ254">
        <v>1</v>
      </c>
      <c r="AK254" t="b">
        <f>Table7[[#This Row],[What is your age?]]&lt;&gt;"18 - 25"</f>
        <v>0</v>
      </c>
      <c r="AL254" t="b">
        <f t="shared" si="9"/>
        <v>0</v>
      </c>
      <c r="AM254" t="b">
        <f t="shared" si="10"/>
        <v>0</v>
      </c>
      <c r="AN254" t="b">
        <f t="shared" si="11"/>
        <v>0</v>
      </c>
      <c r="AO254" t="b">
        <f>OR(Table7[[#This Row],[Ineligible respondents]:[Inconsistent response on opposite question (3)]])</f>
        <v>0</v>
      </c>
      <c r="AP25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11</v>
      </c>
      <c r="AQ254">
        <f>Table7[[#This Row],[Extreme Response]]/21</f>
        <v>0.52380952380952384</v>
      </c>
      <c r="AR254">
        <f>Table67[[#This Row],[Threshold of ERS]]</f>
        <v>0.61904761904761907</v>
      </c>
      <c r="AS254" t="b">
        <f>Table7[[#This Row],[Extrem Response Ratio (ERS)]]&gt;=Table7[[#This Row],[Threshold of ERS]]</f>
        <v>0</v>
      </c>
      <c r="AT254" t="b" cm="1">
        <f t="array" ref="AT25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54">
        <f>COUNTIF(Table7[[#This Row],[The mechanism of digital assets is difficult to understand, which discourages me from exploring it (E.g, Tokenization, Blockchain)]:[If I want to try different ways to invest, I will explore digital assets.]], 3)</f>
        <v>3</v>
      </c>
      <c r="AV254">
        <f>Table7[[#This Row],[Midpoint]]/21</f>
        <v>0.14285714285714285</v>
      </c>
      <c r="AW254">
        <f>Table67[[#This Row],[Threshold of Midpoint ratio]]</f>
        <v>0.5714285714285714</v>
      </c>
      <c r="AX254" t="b">
        <f>Table7[[#This Row],[Midpoint ratio]]&gt;=Table7[[#This Row],[Threshold of Midpoint ratio]]</f>
        <v>0</v>
      </c>
      <c r="AY254" t="b">
        <f>OR(Table7[[#This Row],[Extreme Response Style]:[Straight-lining with 1 deviation]],Table7[[#This Row],[Mid-point Response Style]])</f>
        <v>0</v>
      </c>
      <c r="AZ254" t="b">
        <f>OR(Table7[[#This Row],[Delete? (Stage 1)]],Table7[[#This Row],[Delete? (Stage 2)]])</f>
        <v>0</v>
      </c>
      <c r="BA254" t="s">
        <v>84</v>
      </c>
    </row>
    <row r="255" spans="1:53">
      <c r="A255">
        <v>1144</v>
      </c>
      <c r="B255" s="3">
        <v>46056.895891203698</v>
      </c>
      <c r="C255" s="3">
        <v>46056.8987962963</v>
      </c>
      <c r="D255" t="s">
        <v>53</v>
      </c>
      <c r="G255" t="s">
        <v>54</v>
      </c>
      <c r="H255" t="s">
        <v>55</v>
      </c>
      <c r="I255" t="s">
        <v>75</v>
      </c>
      <c r="J255" t="s">
        <v>64</v>
      </c>
      <c r="K255" t="s">
        <v>62</v>
      </c>
      <c r="L255" t="s">
        <v>58</v>
      </c>
      <c r="M255" t="s">
        <v>61</v>
      </c>
      <c r="N255">
        <v>4</v>
      </c>
      <c r="O255">
        <v>4</v>
      </c>
      <c r="P255">
        <v>4</v>
      </c>
      <c r="Q255">
        <v>4</v>
      </c>
      <c r="R255">
        <v>4</v>
      </c>
      <c r="S255">
        <v>4</v>
      </c>
      <c r="T255">
        <v>3</v>
      </c>
      <c r="U255">
        <v>3</v>
      </c>
      <c r="V255">
        <v>3</v>
      </c>
      <c r="W255">
        <v>4</v>
      </c>
      <c r="X255">
        <v>5</v>
      </c>
      <c r="Y255">
        <v>4</v>
      </c>
      <c r="Z255">
        <v>3</v>
      </c>
      <c r="AA255">
        <v>4</v>
      </c>
      <c r="AB255">
        <v>3</v>
      </c>
      <c r="AC255">
        <v>3</v>
      </c>
      <c r="AD255">
        <v>4</v>
      </c>
      <c r="AE255">
        <v>3</v>
      </c>
      <c r="AF255">
        <v>4</v>
      </c>
      <c r="AG255">
        <v>3</v>
      </c>
      <c r="AH255">
        <v>3</v>
      </c>
      <c r="AI255">
        <v>3</v>
      </c>
      <c r="AJ255">
        <v>2</v>
      </c>
      <c r="AK255" t="b">
        <f>Table7[[#This Row],[What is your age?]]&lt;&gt;"18 - 25"</f>
        <v>0</v>
      </c>
      <c r="AL255" t="b">
        <f t="shared" si="9"/>
        <v>0</v>
      </c>
      <c r="AM255" t="b">
        <f t="shared" si="10"/>
        <v>0</v>
      </c>
      <c r="AN255" t="b">
        <f t="shared" si="11"/>
        <v>0</v>
      </c>
      <c r="AO255" t="b">
        <f>OR(Table7[[#This Row],[Ineligible respondents]:[Inconsistent response on opposite question (3)]])</f>
        <v>0</v>
      </c>
      <c r="AP25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255">
        <f>Table7[[#This Row],[Extreme Response]]/21</f>
        <v>4.7619047619047616E-2</v>
      </c>
      <c r="AR255">
        <f>Table67[[#This Row],[Threshold of ERS]]</f>
        <v>0.61904761904761907</v>
      </c>
      <c r="AS255" t="b">
        <f>Table7[[#This Row],[Extrem Response Ratio (ERS)]]&gt;=Table7[[#This Row],[Threshold of ERS]]</f>
        <v>0</v>
      </c>
      <c r="AT255" t="b" cm="1">
        <f t="array" ref="AT25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55">
        <f>COUNTIF(Table7[[#This Row],[The mechanism of digital assets is difficult to understand, which discourages me from exploring it (E.g, Tokenization, Blockchain)]:[If I want to try different ways to invest, I will explore digital assets.]], 3)</f>
        <v>9</v>
      </c>
      <c r="AV255">
        <f>Table7[[#This Row],[Midpoint]]/21</f>
        <v>0.42857142857142855</v>
      </c>
      <c r="AW255">
        <f>Table67[[#This Row],[Threshold of Midpoint ratio]]</f>
        <v>0.5714285714285714</v>
      </c>
      <c r="AX255" t="b">
        <f>Table7[[#This Row],[Midpoint ratio]]&gt;=Table7[[#This Row],[Threshold of Midpoint ratio]]</f>
        <v>0</v>
      </c>
      <c r="AY255" t="b">
        <f>OR(Table7[[#This Row],[Extreme Response Style]:[Straight-lining with 1 deviation]],Table7[[#This Row],[Mid-point Response Style]])</f>
        <v>0</v>
      </c>
      <c r="AZ255" t="b">
        <f>OR(Table7[[#This Row],[Delete? (Stage 1)]],Table7[[#This Row],[Delete? (Stage 2)]])</f>
        <v>0</v>
      </c>
      <c r="BA255" t="s">
        <v>84</v>
      </c>
    </row>
    <row r="256" spans="1:53">
      <c r="A256">
        <v>1152</v>
      </c>
      <c r="B256" s="3">
        <v>46056.897442129601</v>
      </c>
      <c r="C256" s="3">
        <v>46056.901875000003</v>
      </c>
      <c r="D256" t="s">
        <v>53</v>
      </c>
      <c r="G256" t="s">
        <v>54</v>
      </c>
      <c r="H256" t="s">
        <v>63</v>
      </c>
      <c r="I256" t="s">
        <v>75</v>
      </c>
      <c r="J256" t="s">
        <v>64</v>
      </c>
      <c r="K256" t="s">
        <v>60</v>
      </c>
      <c r="L256" t="s">
        <v>58</v>
      </c>
      <c r="M256" t="s">
        <v>61</v>
      </c>
      <c r="N256">
        <v>4</v>
      </c>
      <c r="O256">
        <v>2</v>
      </c>
      <c r="P256">
        <v>3</v>
      </c>
      <c r="Q256">
        <v>2</v>
      </c>
      <c r="R256">
        <v>2</v>
      </c>
      <c r="S256">
        <v>2</v>
      </c>
      <c r="T256">
        <v>2</v>
      </c>
      <c r="U256">
        <v>2</v>
      </c>
      <c r="V256">
        <v>2</v>
      </c>
      <c r="W256">
        <v>2</v>
      </c>
      <c r="X256">
        <v>2</v>
      </c>
      <c r="Y256">
        <v>2</v>
      </c>
      <c r="Z256">
        <v>4</v>
      </c>
      <c r="AA256">
        <v>3</v>
      </c>
      <c r="AB256">
        <v>2</v>
      </c>
      <c r="AC256">
        <v>3</v>
      </c>
      <c r="AD256">
        <v>3</v>
      </c>
      <c r="AE256">
        <v>2</v>
      </c>
      <c r="AF256">
        <v>4</v>
      </c>
      <c r="AG256">
        <v>2</v>
      </c>
      <c r="AH256">
        <v>4</v>
      </c>
      <c r="AI256">
        <v>2</v>
      </c>
      <c r="AJ256">
        <v>2</v>
      </c>
      <c r="AK256" t="b">
        <f>Table7[[#This Row],[What is your age?]]&lt;&gt;"18 - 25"</f>
        <v>0</v>
      </c>
      <c r="AL256" t="b">
        <f t="shared" si="9"/>
        <v>0</v>
      </c>
      <c r="AM256" t="b">
        <f t="shared" si="10"/>
        <v>0</v>
      </c>
      <c r="AN256" t="b">
        <f t="shared" si="11"/>
        <v>0</v>
      </c>
      <c r="AO256" t="b">
        <f>OR(Table7[[#This Row],[Ineligible respondents]:[Inconsistent response on opposite question (3)]])</f>
        <v>0</v>
      </c>
      <c r="AP25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256">
        <f>Table7[[#This Row],[Extreme Response]]/21</f>
        <v>0</v>
      </c>
      <c r="AR256">
        <f>Table67[[#This Row],[Threshold of ERS]]</f>
        <v>0.61904761904761907</v>
      </c>
      <c r="AS256" t="b">
        <f>Table7[[#This Row],[Extrem Response Ratio (ERS)]]&gt;=Table7[[#This Row],[Threshold of ERS]]</f>
        <v>0</v>
      </c>
      <c r="AT256" t="b" cm="1">
        <f t="array" ref="AT25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56">
        <f>COUNTIF(Table7[[#This Row],[The mechanism of digital assets is difficult to understand, which discourages me from exploring it (E.g, Tokenization, Blockchain)]:[If I want to try different ways to invest, I will explore digital assets.]], 3)</f>
        <v>4</v>
      </c>
      <c r="AV256">
        <f>Table7[[#This Row],[Midpoint]]/21</f>
        <v>0.19047619047619047</v>
      </c>
      <c r="AW256">
        <f>Table67[[#This Row],[Threshold of Midpoint ratio]]</f>
        <v>0.5714285714285714</v>
      </c>
      <c r="AX256" t="b">
        <f>Table7[[#This Row],[Midpoint ratio]]&gt;=Table7[[#This Row],[Threshold of Midpoint ratio]]</f>
        <v>0</v>
      </c>
      <c r="AY256" t="b">
        <f>OR(Table7[[#This Row],[Extreme Response Style]:[Straight-lining with 1 deviation]],Table7[[#This Row],[Mid-point Response Style]])</f>
        <v>0</v>
      </c>
      <c r="AZ256" t="b">
        <f>OR(Table7[[#This Row],[Delete? (Stage 1)]],Table7[[#This Row],[Delete? (Stage 2)]])</f>
        <v>0</v>
      </c>
      <c r="BA256" t="s">
        <v>84</v>
      </c>
    </row>
    <row r="257" spans="1:53">
      <c r="A257">
        <v>1162</v>
      </c>
      <c r="B257" s="3">
        <v>46056.900393518503</v>
      </c>
      <c r="C257" s="3">
        <v>46056.902407407397</v>
      </c>
      <c r="D257" t="s">
        <v>53</v>
      </c>
      <c r="G257" t="s">
        <v>54</v>
      </c>
      <c r="H257" t="s">
        <v>55</v>
      </c>
      <c r="I257" t="s">
        <v>82</v>
      </c>
      <c r="J257" t="s">
        <v>68</v>
      </c>
      <c r="K257" t="s">
        <v>64</v>
      </c>
      <c r="L257" t="s">
        <v>61</v>
      </c>
      <c r="M257" t="s">
        <v>61</v>
      </c>
      <c r="N257">
        <v>2</v>
      </c>
      <c r="O257">
        <v>3</v>
      </c>
      <c r="P257">
        <v>4</v>
      </c>
      <c r="Q257">
        <v>4</v>
      </c>
      <c r="R257">
        <v>4</v>
      </c>
      <c r="S257">
        <v>4</v>
      </c>
      <c r="T257">
        <v>4</v>
      </c>
      <c r="U257">
        <v>4</v>
      </c>
      <c r="V257">
        <v>4</v>
      </c>
      <c r="W257">
        <v>4</v>
      </c>
      <c r="X257">
        <v>4</v>
      </c>
      <c r="Y257">
        <v>4</v>
      </c>
      <c r="Z257">
        <v>4</v>
      </c>
      <c r="AA257">
        <v>4</v>
      </c>
      <c r="AB257">
        <v>4</v>
      </c>
      <c r="AC257">
        <v>2</v>
      </c>
      <c r="AD257">
        <v>5</v>
      </c>
      <c r="AE257">
        <v>1</v>
      </c>
      <c r="AF257">
        <v>4</v>
      </c>
      <c r="AG257">
        <v>1</v>
      </c>
      <c r="AH257">
        <v>4</v>
      </c>
      <c r="AI257">
        <v>2</v>
      </c>
      <c r="AJ257">
        <v>2</v>
      </c>
      <c r="AK257" t="b">
        <f>Table7[[#This Row],[What is your age?]]&lt;&gt;"18 - 25"</f>
        <v>0</v>
      </c>
      <c r="AL257" t="b">
        <f t="shared" si="9"/>
        <v>0</v>
      </c>
      <c r="AM257" t="b">
        <f t="shared" si="10"/>
        <v>0</v>
      </c>
      <c r="AN257" t="b">
        <f t="shared" si="11"/>
        <v>0</v>
      </c>
      <c r="AO257" t="b">
        <f>OR(Table7[[#This Row],[Ineligible respondents]:[Inconsistent response on opposite question (3)]])</f>
        <v>0</v>
      </c>
      <c r="AP25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257">
        <f>Table7[[#This Row],[Extreme Response]]/21</f>
        <v>0.14285714285714285</v>
      </c>
      <c r="AR257">
        <f>Table67[[#This Row],[Threshold of ERS]]</f>
        <v>0.61904761904761907</v>
      </c>
      <c r="AS257" t="b">
        <f>Table7[[#This Row],[Extrem Response Ratio (ERS)]]&gt;=Table7[[#This Row],[Threshold of ERS]]</f>
        <v>0</v>
      </c>
      <c r="AT257" t="b" cm="1">
        <f t="array" ref="AT25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57">
        <f>COUNTIF(Table7[[#This Row],[The mechanism of digital assets is difficult to understand, which discourages me from exploring it (E.g, Tokenization, Blockchain)]:[If I want to try different ways to invest, I will explore digital assets.]], 3)</f>
        <v>1</v>
      </c>
      <c r="AV257">
        <f>Table7[[#This Row],[Midpoint]]/21</f>
        <v>4.7619047619047616E-2</v>
      </c>
      <c r="AW257">
        <f>Table67[[#This Row],[Threshold of Midpoint ratio]]</f>
        <v>0.5714285714285714</v>
      </c>
      <c r="AX257" t="b">
        <f>Table7[[#This Row],[Midpoint ratio]]&gt;=Table7[[#This Row],[Threshold of Midpoint ratio]]</f>
        <v>0</v>
      </c>
      <c r="AY257" t="b">
        <f>OR(Table7[[#This Row],[Extreme Response Style]:[Straight-lining with 1 deviation]],Table7[[#This Row],[Mid-point Response Style]])</f>
        <v>0</v>
      </c>
      <c r="AZ257" t="b">
        <f>OR(Table7[[#This Row],[Delete? (Stage 1)]],Table7[[#This Row],[Delete? (Stage 2)]])</f>
        <v>0</v>
      </c>
      <c r="BA257" t="s">
        <v>84</v>
      </c>
    </row>
    <row r="258" spans="1:53">
      <c r="A258">
        <v>1179</v>
      </c>
      <c r="B258" s="3">
        <v>46056.904745370397</v>
      </c>
      <c r="C258" s="3">
        <v>46056.934328703697</v>
      </c>
      <c r="D258" t="s">
        <v>53</v>
      </c>
      <c r="G258" t="s">
        <v>54</v>
      </c>
      <c r="H258" t="s">
        <v>63</v>
      </c>
      <c r="I258" t="s">
        <v>75</v>
      </c>
      <c r="J258" t="s">
        <v>65</v>
      </c>
      <c r="K258" t="s">
        <v>57</v>
      </c>
      <c r="L258" t="s">
        <v>58</v>
      </c>
      <c r="M258" t="s">
        <v>58</v>
      </c>
      <c r="N258">
        <v>5</v>
      </c>
      <c r="O258">
        <v>5</v>
      </c>
      <c r="P258">
        <v>5</v>
      </c>
      <c r="Q258">
        <v>4</v>
      </c>
      <c r="R258">
        <v>4</v>
      </c>
      <c r="S258">
        <v>4</v>
      </c>
      <c r="T258">
        <v>4</v>
      </c>
      <c r="U258">
        <v>5</v>
      </c>
      <c r="V258">
        <v>5</v>
      </c>
      <c r="W258">
        <v>4</v>
      </c>
      <c r="X258">
        <v>4</v>
      </c>
      <c r="Y258">
        <v>4</v>
      </c>
      <c r="Z258">
        <v>4</v>
      </c>
      <c r="AA258">
        <v>4</v>
      </c>
      <c r="AB258">
        <v>3</v>
      </c>
      <c r="AC258">
        <v>3</v>
      </c>
      <c r="AD258">
        <v>4</v>
      </c>
      <c r="AE258">
        <v>4</v>
      </c>
      <c r="AF258">
        <v>2</v>
      </c>
      <c r="AG258">
        <v>3</v>
      </c>
      <c r="AH258">
        <v>3</v>
      </c>
      <c r="AI258">
        <v>3</v>
      </c>
      <c r="AJ258">
        <v>4</v>
      </c>
      <c r="AK258" t="b">
        <f>Table7[[#This Row],[What is your age?]]&lt;&gt;"18 - 25"</f>
        <v>0</v>
      </c>
      <c r="AL258" t="b">
        <f t="shared" ref="AL258:AL321" si="12">COUNTIF(N258:AH258, N258) = COLUMNS(N258:AH258)</f>
        <v>0</v>
      </c>
      <c r="AM258" t="b">
        <f t="shared" ref="AM258:AM321" si="13">OR(AND(AG258=AH258, AG258&lt;&gt;3), AND(OR(AG258=1, AG258=2), OR(AH258=1, AH258=2)), AND(OR(AG258=4, AG258=5), OR(AH258=4, AH258=5)))</f>
        <v>0</v>
      </c>
      <c r="AN258" t="b">
        <f t="shared" ref="AN258:AN321" si="14">OR(AND(AG258=3, AH258&lt;&gt;3), AND(AH258=3, AG258&lt;&gt;3))</f>
        <v>0</v>
      </c>
      <c r="AO258" t="b">
        <f>OR(Table7[[#This Row],[Ineligible respondents]:[Inconsistent response on opposite question (3)]])</f>
        <v>0</v>
      </c>
      <c r="AP25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5</v>
      </c>
      <c r="AQ258">
        <f>Table7[[#This Row],[Extreme Response]]/21</f>
        <v>0.23809523809523808</v>
      </c>
      <c r="AR258">
        <f>Table67[[#This Row],[Threshold of ERS]]</f>
        <v>0.61904761904761907</v>
      </c>
      <c r="AS258" t="b">
        <f>Table7[[#This Row],[Extrem Response Ratio (ERS)]]&gt;=Table7[[#This Row],[Threshold of ERS]]</f>
        <v>0</v>
      </c>
      <c r="AT258" t="b" cm="1">
        <f t="array" ref="AT25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58">
        <f>COUNTIF(Table7[[#This Row],[The mechanism of digital assets is difficult to understand, which discourages me from exploring it (E.g, Tokenization, Blockchain)]:[If I want to try different ways to invest, I will explore digital assets.]], 3)</f>
        <v>4</v>
      </c>
      <c r="AV258">
        <f>Table7[[#This Row],[Midpoint]]/21</f>
        <v>0.19047619047619047</v>
      </c>
      <c r="AW258">
        <f>Table67[[#This Row],[Threshold of Midpoint ratio]]</f>
        <v>0.5714285714285714</v>
      </c>
      <c r="AX258" t="b">
        <f>Table7[[#This Row],[Midpoint ratio]]&gt;=Table7[[#This Row],[Threshold of Midpoint ratio]]</f>
        <v>0</v>
      </c>
      <c r="AY258" t="b">
        <f>OR(Table7[[#This Row],[Extreme Response Style]:[Straight-lining with 1 deviation]],Table7[[#This Row],[Mid-point Response Style]])</f>
        <v>0</v>
      </c>
      <c r="AZ258" t="b">
        <f>OR(Table7[[#This Row],[Delete? (Stage 1)]],Table7[[#This Row],[Delete? (Stage 2)]])</f>
        <v>0</v>
      </c>
      <c r="BA258" t="s">
        <v>84</v>
      </c>
    </row>
    <row r="259" spans="1:53">
      <c r="A259">
        <v>1187</v>
      </c>
      <c r="B259" s="3">
        <v>46056.907291666699</v>
      </c>
      <c r="C259" s="3">
        <v>46056.909965277802</v>
      </c>
      <c r="D259" t="s">
        <v>53</v>
      </c>
      <c r="G259" t="s">
        <v>54</v>
      </c>
      <c r="H259" t="s">
        <v>55</v>
      </c>
      <c r="I259" t="s">
        <v>75</v>
      </c>
      <c r="J259" t="s">
        <v>60</v>
      </c>
      <c r="K259" t="s">
        <v>62</v>
      </c>
      <c r="L259" t="s">
        <v>58</v>
      </c>
      <c r="M259" t="s">
        <v>61</v>
      </c>
      <c r="N259">
        <v>3</v>
      </c>
      <c r="O259">
        <v>2</v>
      </c>
      <c r="P259">
        <v>2</v>
      </c>
      <c r="Q259">
        <v>2</v>
      </c>
      <c r="R259">
        <v>1</v>
      </c>
      <c r="S259">
        <v>2</v>
      </c>
      <c r="T259">
        <v>3</v>
      </c>
      <c r="U259">
        <v>3</v>
      </c>
      <c r="V259">
        <v>5</v>
      </c>
      <c r="W259">
        <v>5</v>
      </c>
      <c r="X259">
        <v>4</v>
      </c>
      <c r="Y259">
        <v>5</v>
      </c>
      <c r="Z259">
        <v>5</v>
      </c>
      <c r="AA259">
        <v>4</v>
      </c>
      <c r="AB259">
        <v>2</v>
      </c>
      <c r="AC259">
        <v>3</v>
      </c>
      <c r="AD259">
        <v>4</v>
      </c>
      <c r="AE259">
        <v>2</v>
      </c>
      <c r="AF259">
        <v>3</v>
      </c>
      <c r="AG259">
        <v>2</v>
      </c>
      <c r="AH259">
        <v>4</v>
      </c>
      <c r="AI259">
        <v>2</v>
      </c>
      <c r="AJ259">
        <v>3</v>
      </c>
      <c r="AK259" t="b">
        <f>Table7[[#This Row],[What is your age?]]&lt;&gt;"18 - 25"</f>
        <v>0</v>
      </c>
      <c r="AL259" t="b">
        <f t="shared" si="12"/>
        <v>0</v>
      </c>
      <c r="AM259" t="b">
        <f t="shared" si="13"/>
        <v>0</v>
      </c>
      <c r="AN259" t="b">
        <f t="shared" si="14"/>
        <v>0</v>
      </c>
      <c r="AO259" t="b">
        <f>OR(Table7[[#This Row],[Ineligible respondents]:[Inconsistent response on opposite question (3)]])</f>
        <v>0</v>
      </c>
      <c r="AP25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5</v>
      </c>
      <c r="AQ259">
        <f>Table7[[#This Row],[Extreme Response]]/21</f>
        <v>0.23809523809523808</v>
      </c>
      <c r="AR259">
        <f>Table67[[#This Row],[Threshold of ERS]]</f>
        <v>0.61904761904761907</v>
      </c>
      <c r="AS259" t="b">
        <f>Table7[[#This Row],[Extrem Response Ratio (ERS)]]&gt;=Table7[[#This Row],[Threshold of ERS]]</f>
        <v>0</v>
      </c>
      <c r="AT259" t="b" cm="1">
        <f t="array" ref="AT25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59">
        <f>COUNTIF(Table7[[#This Row],[The mechanism of digital assets is difficult to understand, which discourages me from exploring it (E.g, Tokenization, Blockchain)]:[If I want to try different ways to invest, I will explore digital assets.]], 3)</f>
        <v>5</v>
      </c>
      <c r="AV259">
        <f>Table7[[#This Row],[Midpoint]]/21</f>
        <v>0.23809523809523808</v>
      </c>
      <c r="AW259">
        <f>Table67[[#This Row],[Threshold of Midpoint ratio]]</f>
        <v>0.5714285714285714</v>
      </c>
      <c r="AX259" t="b">
        <f>Table7[[#This Row],[Midpoint ratio]]&gt;=Table7[[#This Row],[Threshold of Midpoint ratio]]</f>
        <v>0</v>
      </c>
      <c r="AY259" t="b">
        <f>OR(Table7[[#This Row],[Extreme Response Style]:[Straight-lining with 1 deviation]],Table7[[#This Row],[Mid-point Response Style]])</f>
        <v>0</v>
      </c>
      <c r="AZ259" t="b">
        <f>OR(Table7[[#This Row],[Delete? (Stage 1)]],Table7[[#This Row],[Delete? (Stage 2)]])</f>
        <v>0</v>
      </c>
      <c r="BA259" t="s">
        <v>84</v>
      </c>
    </row>
    <row r="260" spans="1:53">
      <c r="A260">
        <v>1203</v>
      </c>
      <c r="B260" s="3">
        <v>46056.913402777798</v>
      </c>
      <c r="C260" s="3">
        <v>46056.9159490741</v>
      </c>
      <c r="D260" t="s">
        <v>53</v>
      </c>
      <c r="G260" t="s">
        <v>54</v>
      </c>
      <c r="H260" t="s">
        <v>55</v>
      </c>
      <c r="I260" t="s">
        <v>71</v>
      </c>
      <c r="J260" t="s">
        <v>57</v>
      </c>
      <c r="K260" t="s">
        <v>62</v>
      </c>
      <c r="L260" t="s">
        <v>58</v>
      </c>
      <c r="M260" t="s">
        <v>58</v>
      </c>
      <c r="N260">
        <v>4</v>
      </c>
      <c r="O260">
        <v>3</v>
      </c>
      <c r="P260">
        <v>3</v>
      </c>
      <c r="Q260">
        <v>3</v>
      </c>
      <c r="R260">
        <v>2</v>
      </c>
      <c r="S260">
        <v>2</v>
      </c>
      <c r="T260">
        <v>3</v>
      </c>
      <c r="U260">
        <v>4</v>
      </c>
      <c r="V260">
        <v>3</v>
      </c>
      <c r="W260">
        <v>3</v>
      </c>
      <c r="X260">
        <v>3</v>
      </c>
      <c r="Y260">
        <v>4</v>
      </c>
      <c r="Z260">
        <v>4</v>
      </c>
      <c r="AA260">
        <v>3</v>
      </c>
      <c r="AB260">
        <v>4</v>
      </c>
      <c r="AC260">
        <v>4</v>
      </c>
      <c r="AD260">
        <v>5</v>
      </c>
      <c r="AE260">
        <v>3</v>
      </c>
      <c r="AF260">
        <v>4</v>
      </c>
      <c r="AG260">
        <v>2</v>
      </c>
      <c r="AH260">
        <v>4</v>
      </c>
      <c r="AI260">
        <v>2</v>
      </c>
      <c r="AJ260">
        <v>2</v>
      </c>
      <c r="AK260" t="b">
        <f>Table7[[#This Row],[What is your age?]]&lt;&gt;"18 - 25"</f>
        <v>0</v>
      </c>
      <c r="AL260" t="b">
        <f t="shared" si="12"/>
        <v>0</v>
      </c>
      <c r="AM260" t="b">
        <f t="shared" si="13"/>
        <v>0</v>
      </c>
      <c r="AN260" t="b">
        <f t="shared" si="14"/>
        <v>0</v>
      </c>
      <c r="AO260" t="b">
        <f>OR(Table7[[#This Row],[Ineligible respondents]:[Inconsistent response on opposite question (3)]])</f>
        <v>0</v>
      </c>
      <c r="AP26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260">
        <f>Table7[[#This Row],[Extreme Response]]/21</f>
        <v>4.7619047619047616E-2</v>
      </c>
      <c r="AR260">
        <f>Table67[[#This Row],[Threshold of ERS]]</f>
        <v>0.61904761904761907</v>
      </c>
      <c r="AS260" t="b">
        <f>Table7[[#This Row],[Extrem Response Ratio (ERS)]]&gt;=Table7[[#This Row],[Threshold of ERS]]</f>
        <v>0</v>
      </c>
      <c r="AT260" t="b" cm="1">
        <f t="array" ref="AT26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60">
        <f>COUNTIF(Table7[[#This Row],[The mechanism of digital assets is difficult to understand, which discourages me from exploring it (E.g, Tokenization, Blockchain)]:[If I want to try different ways to invest, I will explore digital assets.]], 3)</f>
        <v>9</v>
      </c>
      <c r="AV260">
        <f>Table7[[#This Row],[Midpoint]]/21</f>
        <v>0.42857142857142855</v>
      </c>
      <c r="AW260">
        <f>Table67[[#This Row],[Threshold of Midpoint ratio]]</f>
        <v>0.5714285714285714</v>
      </c>
      <c r="AX260" t="b">
        <f>Table7[[#This Row],[Midpoint ratio]]&gt;=Table7[[#This Row],[Threshold of Midpoint ratio]]</f>
        <v>0</v>
      </c>
      <c r="AY260" t="b">
        <f>OR(Table7[[#This Row],[Extreme Response Style]:[Straight-lining with 1 deviation]],Table7[[#This Row],[Mid-point Response Style]])</f>
        <v>0</v>
      </c>
      <c r="AZ260" t="b">
        <f>OR(Table7[[#This Row],[Delete? (Stage 1)]],Table7[[#This Row],[Delete? (Stage 2)]])</f>
        <v>0</v>
      </c>
      <c r="BA260" t="s">
        <v>84</v>
      </c>
    </row>
    <row r="261" spans="1:53">
      <c r="A261">
        <v>1205</v>
      </c>
      <c r="B261" s="3">
        <v>46056.914074074099</v>
      </c>
      <c r="C261" s="3">
        <v>46056.918946759302</v>
      </c>
      <c r="D261" t="s">
        <v>53</v>
      </c>
      <c r="G261" t="s">
        <v>54</v>
      </c>
      <c r="H261" t="s">
        <v>55</v>
      </c>
      <c r="I261" t="s">
        <v>56</v>
      </c>
      <c r="J261" t="s">
        <v>64</v>
      </c>
      <c r="K261" t="s">
        <v>64</v>
      </c>
      <c r="L261" t="s">
        <v>58</v>
      </c>
      <c r="M261" t="s">
        <v>58</v>
      </c>
      <c r="N261">
        <v>4</v>
      </c>
      <c r="O261">
        <v>3</v>
      </c>
      <c r="P261">
        <v>4</v>
      </c>
      <c r="Q261">
        <v>4</v>
      </c>
      <c r="R261">
        <v>4</v>
      </c>
      <c r="S261">
        <v>5</v>
      </c>
      <c r="T261">
        <v>4</v>
      </c>
      <c r="U261">
        <v>5</v>
      </c>
      <c r="V261">
        <v>3</v>
      </c>
      <c r="W261">
        <v>2</v>
      </c>
      <c r="X261">
        <v>2</v>
      </c>
      <c r="Y261">
        <v>2</v>
      </c>
      <c r="Z261">
        <v>4</v>
      </c>
      <c r="AA261">
        <v>5</v>
      </c>
      <c r="AB261">
        <v>3</v>
      </c>
      <c r="AC261">
        <v>4</v>
      </c>
      <c r="AD261">
        <v>3</v>
      </c>
      <c r="AE261">
        <v>4</v>
      </c>
      <c r="AF261">
        <v>4</v>
      </c>
      <c r="AG261">
        <v>2</v>
      </c>
      <c r="AH261">
        <v>4</v>
      </c>
      <c r="AI261">
        <v>2</v>
      </c>
      <c r="AJ261">
        <v>2</v>
      </c>
      <c r="AK261" t="b">
        <f>Table7[[#This Row],[What is your age?]]&lt;&gt;"18 - 25"</f>
        <v>0</v>
      </c>
      <c r="AL261" t="b">
        <f t="shared" si="12"/>
        <v>0</v>
      </c>
      <c r="AM261" t="b">
        <f t="shared" si="13"/>
        <v>0</v>
      </c>
      <c r="AN261" t="b">
        <f t="shared" si="14"/>
        <v>0</v>
      </c>
      <c r="AO261" t="b">
        <f>OR(Table7[[#This Row],[Ineligible respondents]:[Inconsistent response on opposite question (3)]])</f>
        <v>0</v>
      </c>
      <c r="AP26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261">
        <f>Table7[[#This Row],[Extreme Response]]/21</f>
        <v>0.14285714285714285</v>
      </c>
      <c r="AR261">
        <f>Table67[[#This Row],[Threshold of ERS]]</f>
        <v>0.61904761904761907</v>
      </c>
      <c r="AS261" t="b">
        <f>Table7[[#This Row],[Extrem Response Ratio (ERS)]]&gt;=Table7[[#This Row],[Threshold of ERS]]</f>
        <v>0</v>
      </c>
      <c r="AT261" t="b" cm="1">
        <f t="array" ref="AT26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61">
        <f>COUNTIF(Table7[[#This Row],[The mechanism of digital assets is difficult to understand, which discourages me from exploring it (E.g, Tokenization, Blockchain)]:[If I want to try different ways to invest, I will explore digital assets.]], 3)</f>
        <v>4</v>
      </c>
      <c r="AV261">
        <f>Table7[[#This Row],[Midpoint]]/21</f>
        <v>0.19047619047619047</v>
      </c>
      <c r="AW261">
        <f>Table67[[#This Row],[Threshold of Midpoint ratio]]</f>
        <v>0.5714285714285714</v>
      </c>
      <c r="AX261" t="b">
        <f>Table7[[#This Row],[Midpoint ratio]]&gt;=Table7[[#This Row],[Threshold of Midpoint ratio]]</f>
        <v>0</v>
      </c>
      <c r="AY261" t="b">
        <f>OR(Table7[[#This Row],[Extreme Response Style]:[Straight-lining with 1 deviation]],Table7[[#This Row],[Mid-point Response Style]])</f>
        <v>0</v>
      </c>
      <c r="AZ261" t="b">
        <f>OR(Table7[[#This Row],[Delete? (Stage 1)]],Table7[[#This Row],[Delete? (Stage 2)]])</f>
        <v>0</v>
      </c>
      <c r="BA261" t="s">
        <v>84</v>
      </c>
    </row>
    <row r="262" spans="1:53">
      <c r="A262">
        <v>1214</v>
      </c>
      <c r="B262" s="3">
        <v>46056.915486111102</v>
      </c>
      <c r="C262" s="3">
        <v>46056.918078703697</v>
      </c>
      <c r="D262" t="s">
        <v>53</v>
      </c>
      <c r="G262" t="s">
        <v>54</v>
      </c>
      <c r="H262" t="s">
        <v>63</v>
      </c>
      <c r="I262" t="s">
        <v>56</v>
      </c>
      <c r="J262" t="s">
        <v>57</v>
      </c>
      <c r="K262" t="s">
        <v>57</v>
      </c>
      <c r="L262" t="s">
        <v>58</v>
      </c>
      <c r="M262" t="s">
        <v>58</v>
      </c>
      <c r="N262">
        <v>5</v>
      </c>
      <c r="O262">
        <v>2</v>
      </c>
      <c r="P262">
        <v>3</v>
      </c>
      <c r="Q262">
        <v>3</v>
      </c>
      <c r="R262">
        <v>4</v>
      </c>
      <c r="S262">
        <v>4</v>
      </c>
      <c r="T262">
        <v>4</v>
      </c>
      <c r="U262">
        <v>5</v>
      </c>
      <c r="V262">
        <v>4</v>
      </c>
      <c r="W262">
        <v>3</v>
      </c>
      <c r="X262">
        <v>4</v>
      </c>
      <c r="Y262">
        <v>4</v>
      </c>
      <c r="Z262">
        <v>4</v>
      </c>
      <c r="AA262">
        <v>4</v>
      </c>
      <c r="AB262">
        <v>3</v>
      </c>
      <c r="AC262">
        <v>4</v>
      </c>
      <c r="AD262">
        <v>5</v>
      </c>
      <c r="AE262">
        <v>4</v>
      </c>
      <c r="AF262">
        <v>2</v>
      </c>
      <c r="AG262">
        <v>4</v>
      </c>
      <c r="AH262">
        <v>2</v>
      </c>
      <c r="AI262">
        <v>4</v>
      </c>
      <c r="AJ262">
        <v>4</v>
      </c>
      <c r="AK262" t="b">
        <f>Table7[[#This Row],[What is your age?]]&lt;&gt;"18 - 25"</f>
        <v>0</v>
      </c>
      <c r="AL262" t="b">
        <f t="shared" si="12"/>
        <v>0</v>
      </c>
      <c r="AM262" t="b">
        <f t="shared" si="13"/>
        <v>0</v>
      </c>
      <c r="AN262" t="b">
        <f t="shared" si="14"/>
        <v>0</v>
      </c>
      <c r="AO262" t="b">
        <f>OR(Table7[[#This Row],[Ineligible respondents]:[Inconsistent response on opposite question (3)]])</f>
        <v>0</v>
      </c>
      <c r="AP26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262">
        <f>Table7[[#This Row],[Extreme Response]]/21</f>
        <v>0.14285714285714285</v>
      </c>
      <c r="AR262">
        <f>Table67[[#This Row],[Threshold of ERS]]</f>
        <v>0.61904761904761907</v>
      </c>
      <c r="AS262" t="b">
        <f>Table7[[#This Row],[Extrem Response Ratio (ERS)]]&gt;=Table7[[#This Row],[Threshold of ERS]]</f>
        <v>0</v>
      </c>
      <c r="AT262" t="b" cm="1">
        <f t="array" ref="AT26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62">
        <f>COUNTIF(Table7[[#This Row],[The mechanism of digital assets is difficult to understand, which discourages me from exploring it (E.g, Tokenization, Blockchain)]:[If I want to try different ways to invest, I will explore digital assets.]], 3)</f>
        <v>4</v>
      </c>
      <c r="AV262">
        <f>Table7[[#This Row],[Midpoint]]/21</f>
        <v>0.19047619047619047</v>
      </c>
      <c r="AW262">
        <f>Table67[[#This Row],[Threshold of Midpoint ratio]]</f>
        <v>0.5714285714285714</v>
      </c>
      <c r="AX262" t="b">
        <f>Table7[[#This Row],[Midpoint ratio]]&gt;=Table7[[#This Row],[Threshold of Midpoint ratio]]</f>
        <v>0</v>
      </c>
      <c r="AY262" t="b">
        <f>OR(Table7[[#This Row],[Extreme Response Style]:[Straight-lining with 1 deviation]],Table7[[#This Row],[Mid-point Response Style]])</f>
        <v>0</v>
      </c>
      <c r="AZ262" t="b">
        <f>OR(Table7[[#This Row],[Delete? (Stage 1)]],Table7[[#This Row],[Delete? (Stage 2)]])</f>
        <v>0</v>
      </c>
      <c r="BA262" t="s">
        <v>84</v>
      </c>
    </row>
    <row r="263" spans="1:53">
      <c r="A263">
        <v>1224</v>
      </c>
      <c r="B263" s="3">
        <v>46056.923877314803</v>
      </c>
      <c r="C263" s="3">
        <v>46056.930648148104</v>
      </c>
      <c r="D263" t="s">
        <v>53</v>
      </c>
      <c r="G263" t="s">
        <v>54</v>
      </c>
      <c r="H263" t="s">
        <v>55</v>
      </c>
      <c r="I263" t="s">
        <v>56</v>
      </c>
      <c r="J263" t="s">
        <v>60</v>
      </c>
      <c r="K263" t="s">
        <v>65</v>
      </c>
      <c r="L263" t="s">
        <v>61</v>
      </c>
      <c r="M263" t="s">
        <v>61</v>
      </c>
      <c r="N263">
        <v>2</v>
      </c>
      <c r="O263">
        <v>2</v>
      </c>
      <c r="P263">
        <v>4</v>
      </c>
      <c r="Q263">
        <v>1</v>
      </c>
      <c r="R263">
        <v>4</v>
      </c>
      <c r="S263">
        <v>4</v>
      </c>
      <c r="T263">
        <v>5</v>
      </c>
      <c r="U263">
        <v>2</v>
      </c>
      <c r="V263">
        <v>5</v>
      </c>
      <c r="W263">
        <v>5</v>
      </c>
      <c r="X263">
        <v>5</v>
      </c>
      <c r="Y263">
        <v>5</v>
      </c>
      <c r="Z263">
        <v>5</v>
      </c>
      <c r="AA263">
        <v>4</v>
      </c>
      <c r="AB263">
        <v>2</v>
      </c>
      <c r="AC263">
        <v>2</v>
      </c>
      <c r="AD263">
        <v>5</v>
      </c>
      <c r="AE263">
        <v>5</v>
      </c>
      <c r="AF263">
        <v>4</v>
      </c>
      <c r="AG263">
        <v>2</v>
      </c>
      <c r="AH263">
        <v>5</v>
      </c>
      <c r="AI263">
        <v>1</v>
      </c>
      <c r="AJ263">
        <v>2</v>
      </c>
      <c r="AK263" t="b">
        <f>Table7[[#This Row],[What is your age?]]&lt;&gt;"18 - 25"</f>
        <v>0</v>
      </c>
      <c r="AL263" t="b">
        <f t="shared" si="12"/>
        <v>0</v>
      </c>
      <c r="AM263" t="b">
        <f t="shared" si="13"/>
        <v>0</v>
      </c>
      <c r="AN263" t="b">
        <f t="shared" si="14"/>
        <v>0</v>
      </c>
      <c r="AO263" t="b">
        <f>OR(Table7[[#This Row],[Ineligible respondents]:[Inconsistent response on opposite question (3)]])</f>
        <v>0</v>
      </c>
      <c r="AP26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10</v>
      </c>
      <c r="AQ263">
        <f>Table7[[#This Row],[Extreme Response]]/21</f>
        <v>0.47619047619047616</v>
      </c>
      <c r="AR263">
        <f>Table67[[#This Row],[Threshold of ERS]]</f>
        <v>0.61904761904761907</v>
      </c>
      <c r="AS263" t="b">
        <f>Table7[[#This Row],[Extrem Response Ratio (ERS)]]&gt;=Table7[[#This Row],[Threshold of ERS]]</f>
        <v>0</v>
      </c>
      <c r="AT263" t="b" cm="1">
        <f t="array" ref="AT26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63">
        <f>COUNTIF(Table7[[#This Row],[The mechanism of digital assets is difficult to understand, which discourages me from exploring it (E.g, Tokenization, Blockchain)]:[If I want to try different ways to invest, I will explore digital assets.]], 3)</f>
        <v>0</v>
      </c>
      <c r="AV263">
        <f>Table7[[#This Row],[Midpoint]]/21</f>
        <v>0</v>
      </c>
      <c r="AW263">
        <f>Table67[[#This Row],[Threshold of Midpoint ratio]]</f>
        <v>0.5714285714285714</v>
      </c>
      <c r="AX263" t="b">
        <f>Table7[[#This Row],[Midpoint ratio]]&gt;=Table7[[#This Row],[Threshold of Midpoint ratio]]</f>
        <v>0</v>
      </c>
      <c r="AY263" t="b">
        <f>OR(Table7[[#This Row],[Extreme Response Style]:[Straight-lining with 1 deviation]],Table7[[#This Row],[Mid-point Response Style]])</f>
        <v>0</v>
      </c>
      <c r="AZ263" t="b">
        <f>OR(Table7[[#This Row],[Delete? (Stage 1)]],Table7[[#This Row],[Delete? (Stage 2)]])</f>
        <v>0</v>
      </c>
      <c r="BA263" t="s">
        <v>84</v>
      </c>
    </row>
    <row r="264" spans="1:53">
      <c r="A264">
        <v>1229</v>
      </c>
      <c r="B264" s="3">
        <v>46056.9281597222</v>
      </c>
      <c r="C264" s="3">
        <v>46056.930671296301</v>
      </c>
      <c r="D264" t="s">
        <v>53</v>
      </c>
      <c r="G264" t="s">
        <v>54</v>
      </c>
      <c r="H264" t="s">
        <v>55</v>
      </c>
      <c r="I264" t="s">
        <v>75</v>
      </c>
      <c r="J264" t="s">
        <v>65</v>
      </c>
      <c r="K264" t="s">
        <v>62</v>
      </c>
      <c r="L264" t="s">
        <v>61</v>
      </c>
      <c r="M264" t="s">
        <v>58</v>
      </c>
      <c r="N264">
        <v>3</v>
      </c>
      <c r="O264">
        <v>2</v>
      </c>
      <c r="P264">
        <v>4</v>
      </c>
      <c r="Q264">
        <v>2</v>
      </c>
      <c r="R264">
        <v>2</v>
      </c>
      <c r="S264">
        <v>3</v>
      </c>
      <c r="T264">
        <v>3</v>
      </c>
      <c r="U264">
        <v>2</v>
      </c>
      <c r="V264">
        <v>2</v>
      </c>
      <c r="W264">
        <v>4</v>
      </c>
      <c r="X264">
        <v>2</v>
      </c>
      <c r="Y264">
        <v>2</v>
      </c>
      <c r="Z264">
        <v>3</v>
      </c>
      <c r="AA264">
        <v>2</v>
      </c>
      <c r="AB264">
        <v>2</v>
      </c>
      <c r="AC264">
        <v>3</v>
      </c>
      <c r="AD264">
        <v>3</v>
      </c>
      <c r="AE264">
        <v>3</v>
      </c>
      <c r="AF264">
        <v>4</v>
      </c>
      <c r="AG264">
        <v>2</v>
      </c>
      <c r="AH264">
        <v>4</v>
      </c>
      <c r="AI264">
        <v>2</v>
      </c>
      <c r="AJ264">
        <v>2</v>
      </c>
      <c r="AK264" t="b">
        <f>Table7[[#This Row],[What is your age?]]&lt;&gt;"18 - 25"</f>
        <v>0</v>
      </c>
      <c r="AL264" t="b">
        <f t="shared" si="12"/>
        <v>0</v>
      </c>
      <c r="AM264" t="b">
        <f t="shared" si="13"/>
        <v>0</v>
      </c>
      <c r="AN264" t="b">
        <f t="shared" si="14"/>
        <v>0</v>
      </c>
      <c r="AO264" t="b">
        <f>OR(Table7[[#This Row],[Ineligible respondents]:[Inconsistent response on opposite question (3)]])</f>
        <v>0</v>
      </c>
      <c r="AP26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264">
        <f>Table7[[#This Row],[Extreme Response]]/21</f>
        <v>0</v>
      </c>
      <c r="AR264">
        <f>Table67[[#This Row],[Threshold of ERS]]</f>
        <v>0.61904761904761907</v>
      </c>
      <c r="AS264" t="b">
        <f>Table7[[#This Row],[Extrem Response Ratio (ERS)]]&gt;=Table7[[#This Row],[Threshold of ERS]]</f>
        <v>0</v>
      </c>
      <c r="AT264" t="b" cm="1">
        <f t="array" ref="AT26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64">
        <f>COUNTIF(Table7[[#This Row],[The mechanism of digital assets is difficult to understand, which discourages me from exploring it (E.g, Tokenization, Blockchain)]:[If I want to try different ways to invest, I will explore digital assets.]], 3)</f>
        <v>7</v>
      </c>
      <c r="AV264">
        <f>Table7[[#This Row],[Midpoint]]/21</f>
        <v>0.33333333333333331</v>
      </c>
      <c r="AW264">
        <f>Table67[[#This Row],[Threshold of Midpoint ratio]]</f>
        <v>0.5714285714285714</v>
      </c>
      <c r="AX264" t="b">
        <f>Table7[[#This Row],[Midpoint ratio]]&gt;=Table7[[#This Row],[Threshold of Midpoint ratio]]</f>
        <v>0</v>
      </c>
      <c r="AY264" t="b">
        <f>OR(Table7[[#This Row],[Extreme Response Style]:[Straight-lining with 1 deviation]],Table7[[#This Row],[Mid-point Response Style]])</f>
        <v>0</v>
      </c>
      <c r="AZ264" t="b">
        <f>OR(Table7[[#This Row],[Delete? (Stage 1)]],Table7[[#This Row],[Delete? (Stage 2)]])</f>
        <v>0</v>
      </c>
      <c r="BA264" t="s">
        <v>84</v>
      </c>
    </row>
    <row r="265" spans="1:53">
      <c r="A265">
        <v>1231</v>
      </c>
      <c r="B265" s="3">
        <v>46056.933900463002</v>
      </c>
      <c r="C265" s="3">
        <v>46056.935474537</v>
      </c>
      <c r="D265" t="s">
        <v>53</v>
      </c>
      <c r="G265" t="s">
        <v>54</v>
      </c>
      <c r="H265" t="s">
        <v>55</v>
      </c>
      <c r="I265" t="s">
        <v>56</v>
      </c>
      <c r="J265" t="s">
        <v>65</v>
      </c>
      <c r="K265" t="s">
        <v>60</v>
      </c>
      <c r="L265" t="s">
        <v>61</v>
      </c>
      <c r="M265" t="s">
        <v>61</v>
      </c>
      <c r="N265">
        <v>4</v>
      </c>
      <c r="O265">
        <v>2</v>
      </c>
      <c r="P265">
        <v>4</v>
      </c>
      <c r="Q265">
        <v>4</v>
      </c>
      <c r="R265">
        <v>4</v>
      </c>
      <c r="S265">
        <v>4</v>
      </c>
      <c r="T265">
        <v>2</v>
      </c>
      <c r="U265">
        <v>4</v>
      </c>
      <c r="V265">
        <v>4</v>
      </c>
      <c r="W265">
        <v>4</v>
      </c>
      <c r="X265">
        <v>2</v>
      </c>
      <c r="Y265">
        <v>4</v>
      </c>
      <c r="Z265">
        <v>4</v>
      </c>
      <c r="AA265">
        <v>4</v>
      </c>
      <c r="AB265">
        <v>4</v>
      </c>
      <c r="AC265">
        <v>4</v>
      </c>
      <c r="AD265">
        <v>2</v>
      </c>
      <c r="AE265">
        <v>2</v>
      </c>
      <c r="AF265">
        <v>4</v>
      </c>
      <c r="AG265">
        <v>2</v>
      </c>
      <c r="AH265">
        <v>4</v>
      </c>
      <c r="AI265">
        <v>2</v>
      </c>
      <c r="AJ265">
        <v>2</v>
      </c>
      <c r="AK265" t="b">
        <f>Table7[[#This Row],[What is your age?]]&lt;&gt;"18 - 25"</f>
        <v>0</v>
      </c>
      <c r="AL265" t="b">
        <f t="shared" si="12"/>
        <v>0</v>
      </c>
      <c r="AM265" t="b">
        <f t="shared" si="13"/>
        <v>0</v>
      </c>
      <c r="AN265" t="b">
        <f t="shared" si="14"/>
        <v>0</v>
      </c>
      <c r="AO265" t="b">
        <f>OR(Table7[[#This Row],[Ineligible respondents]:[Inconsistent response on opposite question (3)]])</f>
        <v>0</v>
      </c>
      <c r="AP26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265">
        <f>Table7[[#This Row],[Extreme Response]]/21</f>
        <v>0</v>
      </c>
      <c r="AR265">
        <f>Table67[[#This Row],[Threshold of ERS]]</f>
        <v>0.61904761904761907</v>
      </c>
      <c r="AS265" t="b">
        <f>Table7[[#This Row],[Extrem Response Ratio (ERS)]]&gt;=Table7[[#This Row],[Threshold of ERS]]</f>
        <v>0</v>
      </c>
      <c r="AT265" t="b" cm="1">
        <f t="array" ref="AT26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65">
        <f>COUNTIF(Table7[[#This Row],[The mechanism of digital assets is difficult to understand, which discourages me from exploring it (E.g, Tokenization, Blockchain)]:[If I want to try different ways to invest, I will explore digital assets.]], 3)</f>
        <v>0</v>
      </c>
      <c r="AV265">
        <f>Table7[[#This Row],[Midpoint]]/21</f>
        <v>0</v>
      </c>
      <c r="AW265">
        <f>Table67[[#This Row],[Threshold of Midpoint ratio]]</f>
        <v>0.5714285714285714</v>
      </c>
      <c r="AX265" t="b">
        <f>Table7[[#This Row],[Midpoint ratio]]&gt;=Table7[[#This Row],[Threshold of Midpoint ratio]]</f>
        <v>0</v>
      </c>
      <c r="AY265" t="b">
        <f>OR(Table7[[#This Row],[Extreme Response Style]:[Straight-lining with 1 deviation]],Table7[[#This Row],[Mid-point Response Style]])</f>
        <v>0</v>
      </c>
      <c r="AZ265" t="b">
        <f>OR(Table7[[#This Row],[Delete? (Stage 1)]],Table7[[#This Row],[Delete? (Stage 2)]])</f>
        <v>0</v>
      </c>
      <c r="BA265" t="s">
        <v>84</v>
      </c>
    </row>
    <row r="266" spans="1:53">
      <c r="A266">
        <v>1234</v>
      </c>
      <c r="B266" s="3">
        <v>46056.939444444397</v>
      </c>
      <c r="C266" s="3">
        <v>46056.948483796303</v>
      </c>
      <c r="D266" t="s">
        <v>53</v>
      </c>
      <c r="G266" t="s">
        <v>54</v>
      </c>
      <c r="H266" t="s">
        <v>55</v>
      </c>
      <c r="I266" t="s">
        <v>69</v>
      </c>
      <c r="J266" t="s">
        <v>60</v>
      </c>
      <c r="K266" t="s">
        <v>60</v>
      </c>
      <c r="L266" t="s">
        <v>61</v>
      </c>
      <c r="M266" t="s">
        <v>58</v>
      </c>
      <c r="N266">
        <v>4</v>
      </c>
      <c r="O266">
        <v>4</v>
      </c>
      <c r="P266">
        <v>4</v>
      </c>
      <c r="Q266">
        <v>3</v>
      </c>
      <c r="R266">
        <v>4</v>
      </c>
      <c r="S266">
        <v>4</v>
      </c>
      <c r="T266">
        <v>2</v>
      </c>
      <c r="U266">
        <v>4</v>
      </c>
      <c r="V266">
        <v>2</v>
      </c>
      <c r="W266">
        <v>4</v>
      </c>
      <c r="X266">
        <v>2</v>
      </c>
      <c r="Y266">
        <v>3</v>
      </c>
      <c r="Z266">
        <v>2</v>
      </c>
      <c r="AA266">
        <v>2</v>
      </c>
      <c r="AB266">
        <v>4</v>
      </c>
      <c r="AC266">
        <v>3</v>
      </c>
      <c r="AD266">
        <v>4</v>
      </c>
      <c r="AE266">
        <v>3</v>
      </c>
      <c r="AF266">
        <v>4</v>
      </c>
      <c r="AG266">
        <v>3</v>
      </c>
      <c r="AH266">
        <v>3</v>
      </c>
      <c r="AI266">
        <v>3</v>
      </c>
      <c r="AJ266">
        <v>2</v>
      </c>
      <c r="AK266" t="b">
        <f>Table7[[#This Row],[What is your age?]]&lt;&gt;"18 - 25"</f>
        <v>0</v>
      </c>
      <c r="AL266" t="b">
        <f t="shared" si="12"/>
        <v>0</v>
      </c>
      <c r="AM266" t="b">
        <f t="shared" si="13"/>
        <v>0</v>
      </c>
      <c r="AN266" t="b">
        <f t="shared" si="14"/>
        <v>0</v>
      </c>
      <c r="AO266" t="b">
        <f>OR(Table7[[#This Row],[Ineligible respondents]:[Inconsistent response on opposite question (3)]])</f>
        <v>0</v>
      </c>
      <c r="AP26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266">
        <f>Table7[[#This Row],[Extreme Response]]/21</f>
        <v>0</v>
      </c>
      <c r="AR266">
        <f>Table67[[#This Row],[Threshold of ERS]]</f>
        <v>0.61904761904761907</v>
      </c>
      <c r="AS266" t="b">
        <f>Table7[[#This Row],[Extrem Response Ratio (ERS)]]&gt;=Table7[[#This Row],[Threshold of ERS]]</f>
        <v>0</v>
      </c>
      <c r="AT266" t="b" cm="1">
        <f t="array" ref="AT26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66">
        <f>COUNTIF(Table7[[#This Row],[The mechanism of digital assets is difficult to understand, which discourages me from exploring it (E.g, Tokenization, Blockchain)]:[If I want to try different ways to invest, I will explore digital assets.]], 3)</f>
        <v>6</v>
      </c>
      <c r="AV266">
        <f>Table7[[#This Row],[Midpoint]]/21</f>
        <v>0.2857142857142857</v>
      </c>
      <c r="AW266">
        <f>Table67[[#This Row],[Threshold of Midpoint ratio]]</f>
        <v>0.5714285714285714</v>
      </c>
      <c r="AX266" t="b">
        <f>Table7[[#This Row],[Midpoint ratio]]&gt;=Table7[[#This Row],[Threshold of Midpoint ratio]]</f>
        <v>0</v>
      </c>
      <c r="AY266" t="b">
        <f>OR(Table7[[#This Row],[Extreme Response Style]:[Straight-lining with 1 deviation]],Table7[[#This Row],[Mid-point Response Style]])</f>
        <v>0</v>
      </c>
      <c r="AZ266" t="b">
        <f>OR(Table7[[#This Row],[Delete? (Stage 1)]],Table7[[#This Row],[Delete? (Stage 2)]])</f>
        <v>0</v>
      </c>
      <c r="BA266" t="s">
        <v>84</v>
      </c>
    </row>
    <row r="267" spans="1:53">
      <c r="A267">
        <v>1236</v>
      </c>
      <c r="B267" s="3">
        <v>46056.942268518498</v>
      </c>
      <c r="C267" s="3">
        <v>46056.946944444397</v>
      </c>
      <c r="D267" t="s">
        <v>53</v>
      </c>
      <c r="G267" t="s">
        <v>54</v>
      </c>
      <c r="H267" t="s">
        <v>63</v>
      </c>
      <c r="I267" t="s">
        <v>82</v>
      </c>
      <c r="J267" t="s">
        <v>57</v>
      </c>
      <c r="K267" t="s">
        <v>62</v>
      </c>
      <c r="L267" t="s">
        <v>58</v>
      </c>
      <c r="M267" t="s">
        <v>58</v>
      </c>
      <c r="N267">
        <v>3</v>
      </c>
      <c r="O267">
        <v>4</v>
      </c>
      <c r="P267">
        <v>4</v>
      </c>
      <c r="Q267">
        <v>3</v>
      </c>
      <c r="R267">
        <v>3</v>
      </c>
      <c r="S267">
        <v>4</v>
      </c>
      <c r="T267">
        <v>3</v>
      </c>
      <c r="U267">
        <v>3</v>
      </c>
      <c r="V267">
        <v>4</v>
      </c>
      <c r="W267">
        <v>2</v>
      </c>
      <c r="X267">
        <v>4</v>
      </c>
      <c r="Y267">
        <v>4</v>
      </c>
      <c r="Z267">
        <v>3</v>
      </c>
      <c r="AA267">
        <v>4</v>
      </c>
      <c r="AB267">
        <v>3</v>
      </c>
      <c r="AC267">
        <v>3</v>
      </c>
      <c r="AD267">
        <v>5</v>
      </c>
      <c r="AE267">
        <v>4</v>
      </c>
      <c r="AF267">
        <v>2</v>
      </c>
      <c r="AG267">
        <v>4</v>
      </c>
      <c r="AH267">
        <v>2</v>
      </c>
      <c r="AI267">
        <v>4</v>
      </c>
      <c r="AJ267">
        <v>4</v>
      </c>
      <c r="AK267" t="b">
        <f>Table7[[#This Row],[What is your age?]]&lt;&gt;"18 - 25"</f>
        <v>0</v>
      </c>
      <c r="AL267" t="b">
        <f t="shared" si="12"/>
        <v>0</v>
      </c>
      <c r="AM267" t="b">
        <f t="shared" si="13"/>
        <v>0</v>
      </c>
      <c r="AN267" t="b">
        <f t="shared" si="14"/>
        <v>0</v>
      </c>
      <c r="AO267" t="b">
        <f>OR(Table7[[#This Row],[Ineligible respondents]:[Inconsistent response on opposite question (3)]])</f>
        <v>0</v>
      </c>
      <c r="AP26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267">
        <f>Table7[[#This Row],[Extreme Response]]/21</f>
        <v>4.7619047619047616E-2</v>
      </c>
      <c r="AR267">
        <f>Table67[[#This Row],[Threshold of ERS]]</f>
        <v>0.61904761904761907</v>
      </c>
      <c r="AS267" t="b">
        <f>Table7[[#This Row],[Extrem Response Ratio (ERS)]]&gt;=Table7[[#This Row],[Threshold of ERS]]</f>
        <v>0</v>
      </c>
      <c r="AT267" t="b" cm="1">
        <f t="array" ref="AT26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67">
        <f>COUNTIF(Table7[[#This Row],[The mechanism of digital assets is difficult to understand, which discourages me from exploring it (E.g, Tokenization, Blockchain)]:[If I want to try different ways to invest, I will explore digital assets.]], 3)</f>
        <v>8</v>
      </c>
      <c r="AV267">
        <f>Table7[[#This Row],[Midpoint]]/21</f>
        <v>0.38095238095238093</v>
      </c>
      <c r="AW267">
        <f>Table67[[#This Row],[Threshold of Midpoint ratio]]</f>
        <v>0.5714285714285714</v>
      </c>
      <c r="AX267" t="b">
        <f>Table7[[#This Row],[Midpoint ratio]]&gt;=Table7[[#This Row],[Threshold of Midpoint ratio]]</f>
        <v>0</v>
      </c>
      <c r="AY267" t="b">
        <f>OR(Table7[[#This Row],[Extreme Response Style]:[Straight-lining with 1 deviation]],Table7[[#This Row],[Mid-point Response Style]])</f>
        <v>0</v>
      </c>
      <c r="AZ267" t="b">
        <f>OR(Table7[[#This Row],[Delete? (Stage 1)]],Table7[[#This Row],[Delete? (Stage 2)]])</f>
        <v>0</v>
      </c>
      <c r="BA267" t="s">
        <v>84</v>
      </c>
    </row>
    <row r="268" spans="1:53">
      <c r="A268">
        <v>1241</v>
      </c>
      <c r="B268" s="3">
        <v>46056.953368055598</v>
      </c>
      <c r="C268" s="3">
        <v>46056.964942129598</v>
      </c>
      <c r="D268" t="s">
        <v>53</v>
      </c>
      <c r="G268" t="s">
        <v>54</v>
      </c>
      <c r="H268" t="s">
        <v>55</v>
      </c>
      <c r="I268" t="s">
        <v>56</v>
      </c>
      <c r="J268" t="s">
        <v>67</v>
      </c>
      <c r="K268" t="s">
        <v>62</v>
      </c>
      <c r="L268" t="s">
        <v>61</v>
      </c>
      <c r="M268" t="s">
        <v>61</v>
      </c>
      <c r="N268">
        <v>3</v>
      </c>
      <c r="O268">
        <v>3</v>
      </c>
      <c r="P268">
        <v>5</v>
      </c>
      <c r="Q268">
        <v>3</v>
      </c>
      <c r="R268">
        <v>3</v>
      </c>
      <c r="S268">
        <v>5</v>
      </c>
      <c r="T268">
        <v>2</v>
      </c>
      <c r="U268">
        <v>4</v>
      </c>
      <c r="V268">
        <v>3</v>
      </c>
      <c r="W268">
        <v>3</v>
      </c>
      <c r="X268">
        <v>4</v>
      </c>
      <c r="Y268">
        <v>4</v>
      </c>
      <c r="Z268">
        <v>3</v>
      </c>
      <c r="AA268">
        <v>4</v>
      </c>
      <c r="AB268">
        <v>2</v>
      </c>
      <c r="AC268">
        <v>3</v>
      </c>
      <c r="AD268">
        <v>4</v>
      </c>
      <c r="AE268">
        <v>4</v>
      </c>
      <c r="AF268">
        <v>4</v>
      </c>
      <c r="AG268">
        <v>3</v>
      </c>
      <c r="AH268">
        <v>3</v>
      </c>
      <c r="AI268">
        <v>3</v>
      </c>
      <c r="AJ268">
        <v>2</v>
      </c>
      <c r="AK268" t="b">
        <f>Table7[[#This Row],[What is your age?]]&lt;&gt;"18 - 25"</f>
        <v>0</v>
      </c>
      <c r="AL268" t="b">
        <f t="shared" si="12"/>
        <v>0</v>
      </c>
      <c r="AM268" t="b">
        <f t="shared" si="13"/>
        <v>0</v>
      </c>
      <c r="AN268" t="b">
        <f t="shared" si="14"/>
        <v>0</v>
      </c>
      <c r="AO268" t="b">
        <f>OR(Table7[[#This Row],[Ineligible respondents]:[Inconsistent response on opposite question (3)]])</f>
        <v>0</v>
      </c>
      <c r="AP26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268">
        <f>Table7[[#This Row],[Extreme Response]]/21</f>
        <v>9.5238095238095233E-2</v>
      </c>
      <c r="AR268">
        <f>Table67[[#This Row],[Threshold of ERS]]</f>
        <v>0.61904761904761907</v>
      </c>
      <c r="AS268" t="b">
        <f>Table7[[#This Row],[Extrem Response Ratio (ERS)]]&gt;=Table7[[#This Row],[Threshold of ERS]]</f>
        <v>0</v>
      </c>
      <c r="AT268" t="b" cm="1">
        <f t="array" ref="AT26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68">
        <f>COUNTIF(Table7[[#This Row],[The mechanism of digital assets is difficult to understand, which discourages me from exploring it (E.g, Tokenization, Blockchain)]:[If I want to try different ways to invest, I will explore digital assets.]], 3)</f>
        <v>10</v>
      </c>
      <c r="AV268">
        <f>Table7[[#This Row],[Midpoint]]/21</f>
        <v>0.47619047619047616</v>
      </c>
      <c r="AW268">
        <f>Table67[[#This Row],[Threshold of Midpoint ratio]]</f>
        <v>0.5714285714285714</v>
      </c>
      <c r="AX268" t="b">
        <f>Table7[[#This Row],[Midpoint ratio]]&gt;=Table7[[#This Row],[Threshold of Midpoint ratio]]</f>
        <v>0</v>
      </c>
      <c r="AY268" t="b">
        <f>OR(Table7[[#This Row],[Extreme Response Style]:[Straight-lining with 1 deviation]],Table7[[#This Row],[Mid-point Response Style]])</f>
        <v>0</v>
      </c>
      <c r="AZ268" t="b">
        <f>OR(Table7[[#This Row],[Delete? (Stage 1)]],Table7[[#This Row],[Delete? (Stage 2)]])</f>
        <v>0</v>
      </c>
      <c r="BA268" t="s">
        <v>84</v>
      </c>
    </row>
    <row r="269" spans="1:53">
      <c r="A269">
        <v>1243</v>
      </c>
      <c r="B269" s="3">
        <v>46056.956122685202</v>
      </c>
      <c r="C269" s="3">
        <v>46056.959502314799</v>
      </c>
      <c r="D269" t="s">
        <v>53</v>
      </c>
      <c r="G269" t="s">
        <v>54</v>
      </c>
      <c r="H269" t="s">
        <v>63</v>
      </c>
      <c r="I269" t="s">
        <v>56</v>
      </c>
      <c r="J269" t="s">
        <v>57</v>
      </c>
      <c r="K269" t="s">
        <v>57</v>
      </c>
      <c r="L269" t="s">
        <v>58</v>
      </c>
      <c r="M269" t="s">
        <v>58</v>
      </c>
      <c r="N269">
        <v>4</v>
      </c>
      <c r="O269">
        <v>3</v>
      </c>
      <c r="P269">
        <v>4</v>
      </c>
      <c r="Q269">
        <v>3</v>
      </c>
      <c r="R269">
        <v>3</v>
      </c>
      <c r="S269">
        <v>2</v>
      </c>
      <c r="T269">
        <v>2</v>
      </c>
      <c r="U269">
        <v>2</v>
      </c>
      <c r="V269">
        <v>3</v>
      </c>
      <c r="W269">
        <v>3</v>
      </c>
      <c r="X269">
        <v>4</v>
      </c>
      <c r="Y269">
        <v>4</v>
      </c>
      <c r="Z269">
        <v>3</v>
      </c>
      <c r="AA269">
        <v>4</v>
      </c>
      <c r="AB269">
        <v>4</v>
      </c>
      <c r="AC269">
        <v>3</v>
      </c>
      <c r="AD269">
        <v>5</v>
      </c>
      <c r="AE269">
        <v>4</v>
      </c>
      <c r="AF269">
        <v>3</v>
      </c>
      <c r="AG269">
        <v>3</v>
      </c>
      <c r="AH269">
        <v>3</v>
      </c>
      <c r="AI269">
        <v>3</v>
      </c>
      <c r="AJ269">
        <v>3</v>
      </c>
      <c r="AK269" t="b">
        <f>Table7[[#This Row],[What is your age?]]&lt;&gt;"18 - 25"</f>
        <v>0</v>
      </c>
      <c r="AL269" t="b">
        <f t="shared" si="12"/>
        <v>0</v>
      </c>
      <c r="AM269" t="b">
        <f t="shared" si="13"/>
        <v>0</v>
      </c>
      <c r="AN269" t="b">
        <f t="shared" si="14"/>
        <v>0</v>
      </c>
      <c r="AO269" t="b">
        <f>OR(Table7[[#This Row],[Ineligible respondents]:[Inconsistent response on opposite question (3)]])</f>
        <v>0</v>
      </c>
      <c r="AP26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269">
        <f>Table7[[#This Row],[Extreme Response]]/21</f>
        <v>4.7619047619047616E-2</v>
      </c>
      <c r="AR269">
        <f>Table67[[#This Row],[Threshold of ERS]]</f>
        <v>0.61904761904761907</v>
      </c>
      <c r="AS269" t="b">
        <f>Table7[[#This Row],[Extrem Response Ratio (ERS)]]&gt;=Table7[[#This Row],[Threshold of ERS]]</f>
        <v>0</v>
      </c>
      <c r="AT269" t="b" cm="1">
        <f t="array" ref="AT26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69">
        <f>COUNTIF(Table7[[#This Row],[The mechanism of digital assets is difficult to understand, which discourages me from exploring it (E.g, Tokenization, Blockchain)]:[If I want to try different ways to invest, I will explore digital assets.]], 3)</f>
        <v>10</v>
      </c>
      <c r="AV269">
        <f>Table7[[#This Row],[Midpoint]]/21</f>
        <v>0.47619047619047616</v>
      </c>
      <c r="AW269">
        <f>Table67[[#This Row],[Threshold of Midpoint ratio]]</f>
        <v>0.5714285714285714</v>
      </c>
      <c r="AX269" t="b">
        <f>Table7[[#This Row],[Midpoint ratio]]&gt;=Table7[[#This Row],[Threshold of Midpoint ratio]]</f>
        <v>0</v>
      </c>
      <c r="AY269" t="b">
        <f>OR(Table7[[#This Row],[Extreme Response Style]:[Straight-lining with 1 deviation]],Table7[[#This Row],[Mid-point Response Style]])</f>
        <v>0</v>
      </c>
      <c r="AZ269" t="b">
        <f>OR(Table7[[#This Row],[Delete? (Stage 1)]],Table7[[#This Row],[Delete? (Stage 2)]])</f>
        <v>0</v>
      </c>
      <c r="BA269" t="s">
        <v>84</v>
      </c>
    </row>
    <row r="270" spans="1:53">
      <c r="A270">
        <v>1246</v>
      </c>
      <c r="B270" s="3">
        <v>46057.003101851798</v>
      </c>
      <c r="C270" s="3">
        <v>46057.006979166697</v>
      </c>
      <c r="D270" t="s">
        <v>53</v>
      </c>
      <c r="G270" t="s">
        <v>54</v>
      </c>
      <c r="H270" t="s">
        <v>63</v>
      </c>
      <c r="I270" t="s">
        <v>75</v>
      </c>
      <c r="J270" t="s">
        <v>65</v>
      </c>
      <c r="K270" t="s">
        <v>57</v>
      </c>
      <c r="L270" t="s">
        <v>58</v>
      </c>
      <c r="M270" t="s">
        <v>58</v>
      </c>
      <c r="N270">
        <v>2</v>
      </c>
      <c r="O270">
        <v>1</v>
      </c>
      <c r="P270">
        <v>5</v>
      </c>
      <c r="Q270">
        <v>2</v>
      </c>
      <c r="R270">
        <v>2</v>
      </c>
      <c r="S270">
        <v>5</v>
      </c>
      <c r="T270">
        <v>4</v>
      </c>
      <c r="U270">
        <v>4</v>
      </c>
      <c r="V270">
        <v>4</v>
      </c>
      <c r="W270">
        <v>3</v>
      </c>
      <c r="X270">
        <v>4</v>
      </c>
      <c r="Y270">
        <v>3</v>
      </c>
      <c r="Z270">
        <v>4</v>
      </c>
      <c r="AA270">
        <v>5</v>
      </c>
      <c r="AB270">
        <v>5</v>
      </c>
      <c r="AC270">
        <v>4</v>
      </c>
      <c r="AD270">
        <v>5</v>
      </c>
      <c r="AE270">
        <v>4</v>
      </c>
      <c r="AF270">
        <v>1</v>
      </c>
      <c r="AG270">
        <v>4</v>
      </c>
      <c r="AH270">
        <v>2</v>
      </c>
      <c r="AI270">
        <v>4</v>
      </c>
      <c r="AJ270">
        <v>5</v>
      </c>
      <c r="AK270" t="b">
        <f>Table7[[#This Row],[What is your age?]]&lt;&gt;"18 - 25"</f>
        <v>0</v>
      </c>
      <c r="AL270" t="b">
        <f t="shared" si="12"/>
        <v>0</v>
      </c>
      <c r="AM270" t="b">
        <f t="shared" si="13"/>
        <v>0</v>
      </c>
      <c r="AN270" t="b">
        <f t="shared" si="14"/>
        <v>0</v>
      </c>
      <c r="AO270" t="b">
        <f>OR(Table7[[#This Row],[Ineligible respondents]:[Inconsistent response on opposite question (3)]])</f>
        <v>0</v>
      </c>
      <c r="AP27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7</v>
      </c>
      <c r="AQ270">
        <f>Table7[[#This Row],[Extreme Response]]/21</f>
        <v>0.33333333333333331</v>
      </c>
      <c r="AR270">
        <f>Table67[[#This Row],[Threshold of ERS]]</f>
        <v>0.61904761904761907</v>
      </c>
      <c r="AS270" t="b">
        <f>Table7[[#This Row],[Extrem Response Ratio (ERS)]]&gt;=Table7[[#This Row],[Threshold of ERS]]</f>
        <v>0</v>
      </c>
      <c r="AT270" t="b" cm="1">
        <f t="array" ref="AT27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70">
        <f>COUNTIF(Table7[[#This Row],[The mechanism of digital assets is difficult to understand, which discourages me from exploring it (E.g, Tokenization, Blockchain)]:[If I want to try different ways to invest, I will explore digital assets.]], 3)</f>
        <v>2</v>
      </c>
      <c r="AV270">
        <f>Table7[[#This Row],[Midpoint]]/21</f>
        <v>9.5238095238095233E-2</v>
      </c>
      <c r="AW270">
        <f>Table67[[#This Row],[Threshold of Midpoint ratio]]</f>
        <v>0.5714285714285714</v>
      </c>
      <c r="AX270" t="b">
        <f>Table7[[#This Row],[Midpoint ratio]]&gt;=Table7[[#This Row],[Threshold of Midpoint ratio]]</f>
        <v>0</v>
      </c>
      <c r="AY270" t="b">
        <f>OR(Table7[[#This Row],[Extreme Response Style]:[Straight-lining with 1 deviation]],Table7[[#This Row],[Mid-point Response Style]])</f>
        <v>0</v>
      </c>
      <c r="AZ270" t="b">
        <f>OR(Table7[[#This Row],[Delete? (Stage 1)]],Table7[[#This Row],[Delete? (Stage 2)]])</f>
        <v>0</v>
      </c>
      <c r="BA270" t="s">
        <v>84</v>
      </c>
    </row>
    <row r="271" spans="1:53">
      <c r="A271">
        <v>1249</v>
      </c>
      <c r="B271" s="3">
        <v>46057.387048611097</v>
      </c>
      <c r="C271" s="3">
        <v>46057.392430555599</v>
      </c>
      <c r="D271" t="s">
        <v>53</v>
      </c>
      <c r="G271" t="s">
        <v>54</v>
      </c>
      <c r="H271" t="s">
        <v>55</v>
      </c>
      <c r="I271" t="s">
        <v>71</v>
      </c>
      <c r="J271" t="s">
        <v>62</v>
      </c>
      <c r="K271" t="s">
        <v>66</v>
      </c>
      <c r="L271" t="s">
        <v>61</v>
      </c>
      <c r="M271" t="s">
        <v>58</v>
      </c>
      <c r="N271">
        <v>2</v>
      </c>
      <c r="O271">
        <v>2</v>
      </c>
      <c r="P271">
        <v>4</v>
      </c>
      <c r="Q271">
        <v>3</v>
      </c>
      <c r="R271">
        <v>2</v>
      </c>
      <c r="S271">
        <v>4</v>
      </c>
      <c r="T271">
        <v>2</v>
      </c>
      <c r="U271">
        <v>2</v>
      </c>
      <c r="V271">
        <v>3</v>
      </c>
      <c r="W271">
        <v>3</v>
      </c>
      <c r="X271">
        <v>3</v>
      </c>
      <c r="Y271">
        <v>2</v>
      </c>
      <c r="Z271">
        <v>3</v>
      </c>
      <c r="AA271">
        <v>2</v>
      </c>
      <c r="AB271">
        <v>2</v>
      </c>
      <c r="AC271">
        <v>2</v>
      </c>
      <c r="AD271">
        <v>3</v>
      </c>
      <c r="AE271">
        <v>2</v>
      </c>
      <c r="AF271">
        <v>3</v>
      </c>
      <c r="AG271">
        <v>2</v>
      </c>
      <c r="AH271">
        <v>4</v>
      </c>
      <c r="AI271">
        <v>2</v>
      </c>
      <c r="AJ271">
        <v>3</v>
      </c>
      <c r="AK271" t="b">
        <f>Table7[[#This Row],[What is your age?]]&lt;&gt;"18 - 25"</f>
        <v>0</v>
      </c>
      <c r="AL271" t="b">
        <f t="shared" si="12"/>
        <v>0</v>
      </c>
      <c r="AM271" t="b">
        <f t="shared" si="13"/>
        <v>0</v>
      </c>
      <c r="AN271" t="b">
        <f t="shared" si="14"/>
        <v>0</v>
      </c>
      <c r="AO271" t="b">
        <f>OR(Table7[[#This Row],[Ineligible respondents]:[Inconsistent response on opposite question (3)]])</f>
        <v>0</v>
      </c>
      <c r="AP27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271">
        <f>Table7[[#This Row],[Extreme Response]]/21</f>
        <v>0</v>
      </c>
      <c r="AR271">
        <f>Table67[[#This Row],[Threshold of ERS]]</f>
        <v>0.61904761904761907</v>
      </c>
      <c r="AS271" t="b">
        <f>Table7[[#This Row],[Extrem Response Ratio (ERS)]]&gt;=Table7[[#This Row],[Threshold of ERS]]</f>
        <v>0</v>
      </c>
      <c r="AT271" t="b" cm="1">
        <f t="array" ref="AT27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71">
        <f>COUNTIF(Table7[[#This Row],[The mechanism of digital assets is difficult to understand, which discourages me from exploring it (E.g, Tokenization, Blockchain)]:[If I want to try different ways to invest, I will explore digital assets.]], 3)</f>
        <v>7</v>
      </c>
      <c r="AV271">
        <f>Table7[[#This Row],[Midpoint]]/21</f>
        <v>0.33333333333333331</v>
      </c>
      <c r="AW271">
        <f>Table67[[#This Row],[Threshold of Midpoint ratio]]</f>
        <v>0.5714285714285714</v>
      </c>
      <c r="AX271" t="b">
        <f>Table7[[#This Row],[Midpoint ratio]]&gt;=Table7[[#This Row],[Threshold of Midpoint ratio]]</f>
        <v>0</v>
      </c>
      <c r="AY271" t="b">
        <f>OR(Table7[[#This Row],[Extreme Response Style]:[Straight-lining with 1 deviation]],Table7[[#This Row],[Mid-point Response Style]])</f>
        <v>0</v>
      </c>
      <c r="AZ271" t="b">
        <f>OR(Table7[[#This Row],[Delete? (Stage 1)]],Table7[[#This Row],[Delete? (Stage 2)]])</f>
        <v>0</v>
      </c>
      <c r="BA271" t="s">
        <v>84</v>
      </c>
    </row>
    <row r="272" spans="1:53">
      <c r="A272">
        <v>1250</v>
      </c>
      <c r="B272" s="3">
        <v>46057.387175925898</v>
      </c>
      <c r="C272" s="3">
        <v>46057.394490740699</v>
      </c>
      <c r="D272" t="s">
        <v>53</v>
      </c>
      <c r="G272" t="s">
        <v>54</v>
      </c>
      <c r="H272" t="s">
        <v>55</v>
      </c>
      <c r="I272" t="s">
        <v>69</v>
      </c>
      <c r="J272" t="s">
        <v>64</v>
      </c>
      <c r="K272" t="s">
        <v>62</v>
      </c>
      <c r="L272" t="s">
        <v>58</v>
      </c>
      <c r="M272" t="s">
        <v>58</v>
      </c>
      <c r="N272">
        <v>4</v>
      </c>
      <c r="O272">
        <v>3</v>
      </c>
      <c r="P272">
        <v>4</v>
      </c>
      <c r="Q272">
        <v>3</v>
      </c>
      <c r="R272">
        <v>2</v>
      </c>
      <c r="S272">
        <v>4</v>
      </c>
      <c r="T272">
        <v>3</v>
      </c>
      <c r="U272">
        <v>4</v>
      </c>
      <c r="V272">
        <v>5</v>
      </c>
      <c r="W272">
        <v>4</v>
      </c>
      <c r="X272">
        <v>5</v>
      </c>
      <c r="Y272">
        <v>5</v>
      </c>
      <c r="Z272">
        <v>5</v>
      </c>
      <c r="AA272">
        <v>4</v>
      </c>
      <c r="AB272">
        <v>4</v>
      </c>
      <c r="AC272">
        <v>4</v>
      </c>
      <c r="AD272">
        <v>5</v>
      </c>
      <c r="AE272">
        <v>5</v>
      </c>
      <c r="AF272">
        <v>3</v>
      </c>
      <c r="AG272">
        <v>4</v>
      </c>
      <c r="AH272">
        <v>2</v>
      </c>
      <c r="AI272">
        <v>4</v>
      </c>
      <c r="AJ272">
        <v>3</v>
      </c>
      <c r="AK272" t="b">
        <f>Table7[[#This Row],[What is your age?]]&lt;&gt;"18 - 25"</f>
        <v>0</v>
      </c>
      <c r="AL272" t="b">
        <f t="shared" si="12"/>
        <v>0</v>
      </c>
      <c r="AM272" t="b">
        <f t="shared" si="13"/>
        <v>0</v>
      </c>
      <c r="AN272" t="b">
        <f t="shared" si="14"/>
        <v>0</v>
      </c>
      <c r="AO272" t="b">
        <f>OR(Table7[[#This Row],[Ineligible respondents]:[Inconsistent response on opposite question (3)]])</f>
        <v>0</v>
      </c>
      <c r="AP27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6</v>
      </c>
      <c r="AQ272">
        <f>Table7[[#This Row],[Extreme Response]]/21</f>
        <v>0.2857142857142857</v>
      </c>
      <c r="AR272">
        <f>Table67[[#This Row],[Threshold of ERS]]</f>
        <v>0.61904761904761907</v>
      </c>
      <c r="AS272" t="b">
        <f>Table7[[#This Row],[Extrem Response Ratio (ERS)]]&gt;=Table7[[#This Row],[Threshold of ERS]]</f>
        <v>0</v>
      </c>
      <c r="AT272" t="b" cm="1">
        <f t="array" ref="AT27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72">
        <f>COUNTIF(Table7[[#This Row],[The mechanism of digital assets is difficult to understand, which discourages me from exploring it (E.g, Tokenization, Blockchain)]:[If I want to try different ways to invest, I will explore digital assets.]], 3)</f>
        <v>4</v>
      </c>
      <c r="AV272">
        <f>Table7[[#This Row],[Midpoint]]/21</f>
        <v>0.19047619047619047</v>
      </c>
      <c r="AW272">
        <f>Table67[[#This Row],[Threshold of Midpoint ratio]]</f>
        <v>0.5714285714285714</v>
      </c>
      <c r="AX272" t="b">
        <f>Table7[[#This Row],[Midpoint ratio]]&gt;=Table7[[#This Row],[Threshold of Midpoint ratio]]</f>
        <v>0</v>
      </c>
      <c r="AY272" t="b">
        <f>OR(Table7[[#This Row],[Extreme Response Style]:[Straight-lining with 1 deviation]],Table7[[#This Row],[Mid-point Response Style]])</f>
        <v>0</v>
      </c>
      <c r="AZ272" t="b">
        <f>OR(Table7[[#This Row],[Delete? (Stage 1)]],Table7[[#This Row],[Delete? (Stage 2)]])</f>
        <v>0</v>
      </c>
      <c r="BA272" t="s">
        <v>84</v>
      </c>
    </row>
    <row r="273" spans="1:53">
      <c r="A273">
        <v>1256</v>
      </c>
      <c r="B273" s="3">
        <v>46057.387499999997</v>
      </c>
      <c r="C273" s="3">
        <v>46057.392824074101</v>
      </c>
      <c r="D273" t="s">
        <v>53</v>
      </c>
      <c r="G273" t="s">
        <v>54</v>
      </c>
      <c r="H273" t="s">
        <v>55</v>
      </c>
      <c r="I273" t="s">
        <v>69</v>
      </c>
      <c r="J273" t="s">
        <v>62</v>
      </c>
      <c r="K273" t="s">
        <v>62</v>
      </c>
      <c r="L273" t="s">
        <v>58</v>
      </c>
      <c r="M273" t="s">
        <v>58</v>
      </c>
      <c r="N273">
        <v>2</v>
      </c>
      <c r="O273">
        <v>2</v>
      </c>
      <c r="P273">
        <v>3</v>
      </c>
      <c r="Q273">
        <v>2</v>
      </c>
      <c r="R273">
        <v>2</v>
      </c>
      <c r="S273">
        <v>5</v>
      </c>
      <c r="T273">
        <v>3</v>
      </c>
      <c r="U273">
        <v>4</v>
      </c>
      <c r="V273">
        <v>5</v>
      </c>
      <c r="W273">
        <v>5</v>
      </c>
      <c r="X273">
        <v>5</v>
      </c>
      <c r="Y273">
        <v>5</v>
      </c>
      <c r="Z273">
        <v>4</v>
      </c>
      <c r="AA273">
        <v>4</v>
      </c>
      <c r="AB273">
        <v>2</v>
      </c>
      <c r="AC273">
        <v>2</v>
      </c>
      <c r="AD273">
        <v>5</v>
      </c>
      <c r="AE273">
        <v>5</v>
      </c>
      <c r="AF273">
        <v>4</v>
      </c>
      <c r="AG273">
        <v>2</v>
      </c>
      <c r="AH273">
        <v>4</v>
      </c>
      <c r="AI273">
        <v>2</v>
      </c>
      <c r="AJ273">
        <v>2</v>
      </c>
      <c r="AK273" t="b">
        <f>Table7[[#This Row],[What is your age?]]&lt;&gt;"18 - 25"</f>
        <v>0</v>
      </c>
      <c r="AL273" t="b">
        <f t="shared" si="12"/>
        <v>0</v>
      </c>
      <c r="AM273" t="b">
        <f t="shared" si="13"/>
        <v>0</v>
      </c>
      <c r="AN273" t="b">
        <f t="shared" si="14"/>
        <v>0</v>
      </c>
      <c r="AO273" t="b">
        <f>OR(Table7[[#This Row],[Ineligible respondents]:[Inconsistent response on opposite question (3)]])</f>
        <v>0</v>
      </c>
      <c r="AP27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7</v>
      </c>
      <c r="AQ273">
        <f>Table7[[#This Row],[Extreme Response]]/21</f>
        <v>0.33333333333333331</v>
      </c>
      <c r="AR273">
        <f>Table67[[#This Row],[Threshold of ERS]]</f>
        <v>0.61904761904761907</v>
      </c>
      <c r="AS273" t="b">
        <f>Table7[[#This Row],[Extrem Response Ratio (ERS)]]&gt;=Table7[[#This Row],[Threshold of ERS]]</f>
        <v>0</v>
      </c>
      <c r="AT273" t="b" cm="1">
        <f t="array" ref="AT27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73">
        <f>COUNTIF(Table7[[#This Row],[The mechanism of digital assets is difficult to understand, which discourages me from exploring it (E.g, Tokenization, Blockchain)]:[If I want to try different ways to invest, I will explore digital assets.]], 3)</f>
        <v>2</v>
      </c>
      <c r="AV273">
        <f>Table7[[#This Row],[Midpoint]]/21</f>
        <v>9.5238095238095233E-2</v>
      </c>
      <c r="AW273">
        <f>Table67[[#This Row],[Threshold of Midpoint ratio]]</f>
        <v>0.5714285714285714</v>
      </c>
      <c r="AX273" t="b">
        <f>Table7[[#This Row],[Midpoint ratio]]&gt;=Table7[[#This Row],[Threshold of Midpoint ratio]]</f>
        <v>0</v>
      </c>
      <c r="AY273" t="b">
        <f>OR(Table7[[#This Row],[Extreme Response Style]:[Straight-lining with 1 deviation]],Table7[[#This Row],[Mid-point Response Style]])</f>
        <v>0</v>
      </c>
      <c r="AZ273" t="b">
        <f>OR(Table7[[#This Row],[Delete? (Stage 1)]],Table7[[#This Row],[Delete? (Stage 2)]])</f>
        <v>0</v>
      </c>
      <c r="BA273" t="s">
        <v>84</v>
      </c>
    </row>
    <row r="274" spans="1:53">
      <c r="A274">
        <v>1257</v>
      </c>
      <c r="B274" s="3">
        <v>46057.387974537</v>
      </c>
      <c r="C274" s="3">
        <v>46057.393333333297</v>
      </c>
      <c r="D274" t="s">
        <v>53</v>
      </c>
      <c r="G274" t="s">
        <v>54</v>
      </c>
      <c r="H274" t="s">
        <v>55</v>
      </c>
      <c r="I274" t="s">
        <v>56</v>
      </c>
      <c r="J274" t="s">
        <v>67</v>
      </c>
      <c r="K274" t="s">
        <v>60</v>
      </c>
      <c r="L274" t="s">
        <v>58</v>
      </c>
      <c r="M274" t="s">
        <v>58</v>
      </c>
      <c r="N274">
        <v>3</v>
      </c>
      <c r="O274">
        <v>4</v>
      </c>
      <c r="P274">
        <v>5</v>
      </c>
      <c r="Q274">
        <v>4</v>
      </c>
      <c r="R274">
        <v>3</v>
      </c>
      <c r="S274">
        <v>3</v>
      </c>
      <c r="T274">
        <v>4</v>
      </c>
      <c r="U274">
        <v>4</v>
      </c>
      <c r="V274">
        <v>5</v>
      </c>
      <c r="W274">
        <v>5</v>
      </c>
      <c r="X274">
        <v>5</v>
      </c>
      <c r="Y274">
        <v>5</v>
      </c>
      <c r="Z274">
        <v>3</v>
      </c>
      <c r="AA274">
        <v>4</v>
      </c>
      <c r="AB274">
        <v>2</v>
      </c>
      <c r="AC274">
        <v>4</v>
      </c>
      <c r="AD274">
        <v>4</v>
      </c>
      <c r="AE274">
        <v>3</v>
      </c>
      <c r="AF274">
        <v>4</v>
      </c>
      <c r="AG274">
        <v>2</v>
      </c>
      <c r="AH274">
        <v>4</v>
      </c>
      <c r="AI274">
        <v>2</v>
      </c>
      <c r="AJ274">
        <v>2</v>
      </c>
      <c r="AK274" t="b">
        <f>Table7[[#This Row],[What is your age?]]&lt;&gt;"18 - 25"</f>
        <v>0</v>
      </c>
      <c r="AL274" t="b">
        <f t="shared" si="12"/>
        <v>0</v>
      </c>
      <c r="AM274" t="b">
        <f t="shared" si="13"/>
        <v>0</v>
      </c>
      <c r="AN274" t="b">
        <f t="shared" si="14"/>
        <v>0</v>
      </c>
      <c r="AO274" t="b">
        <f>OR(Table7[[#This Row],[Ineligible respondents]:[Inconsistent response on opposite question (3)]])</f>
        <v>0</v>
      </c>
      <c r="AP27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5</v>
      </c>
      <c r="AQ274">
        <f>Table7[[#This Row],[Extreme Response]]/21</f>
        <v>0.23809523809523808</v>
      </c>
      <c r="AR274">
        <f>Table67[[#This Row],[Threshold of ERS]]</f>
        <v>0.61904761904761907</v>
      </c>
      <c r="AS274" t="b">
        <f>Table7[[#This Row],[Extrem Response Ratio (ERS)]]&gt;=Table7[[#This Row],[Threshold of ERS]]</f>
        <v>0</v>
      </c>
      <c r="AT274" t="b" cm="1">
        <f t="array" ref="AT27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74">
        <f>COUNTIF(Table7[[#This Row],[The mechanism of digital assets is difficult to understand, which discourages me from exploring it (E.g, Tokenization, Blockchain)]:[If I want to try different ways to invest, I will explore digital assets.]], 3)</f>
        <v>5</v>
      </c>
      <c r="AV274">
        <f>Table7[[#This Row],[Midpoint]]/21</f>
        <v>0.23809523809523808</v>
      </c>
      <c r="AW274">
        <f>Table67[[#This Row],[Threshold of Midpoint ratio]]</f>
        <v>0.5714285714285714</v>
      </c>
      <c r="AX274" t="b">
        <f>Table7[[#This Row],[Midpoint ratio]]&gt;=Table7[[#This Row],[Threshold of Midpoint ratio]]</f>
        <v>0</v>
      </c>
      <c r="AY274" t="b">
        <f>OR(Table7[[#This Row],[Extreme Response Style]:[Straight-lining with 1 deviation]],Table7[[#This Row],[Mid-point Response Style]])</f>
        <v>0</v>
      </c>
      <c r="AZ274" t="b">
        <f>OR(Table7[[#This Row],[Delete? (Stage 1)]],Table7[[#This Row],[Delete? (Stage 2)]])</f>
        <v>0</v>
      </c>
      <c r="BA274" t="s">
        <v>84</v>
      </c>
    </row>
    <row r="275" spans="1:53">
      <c r="A275">
        <v>1268</v>
      </c>
      <c r="B275" s="3">
        <v>46057.4850925926</v>
      </c>
      <c r="C275" s="3">
        <v>46057.492164351803</v>
      </c>
      <c r="D275" t="s">
        <v>53</v>
      </c>
      <c r="G275" t="s">
        <v>54</v>
      </c>
      <c r="H275" t="s">
        <v>63</v>
      </c>
      <c r="I275" t="s">
        <v>56</v>
      </c>
      <c r="J275" t="s">
        <v>65</v>
      </c>
      <c r="K275" t="s">
        <v>60</v>
      </c>
      <c r="L275" t="s">
        <v>58</v>
      </c>
      <c r="M275" t="s">
        <v>58</v>
      </c>
      <c r="N275">
        <v>4</v>
      </c>
      <c r="O275">
        <v>4</v>
      </c>
      <c r="P275">
        <v>5</v>
      </c>
      <c r="Q275">
        <v>3</v>
      </c>
      <c r="R275">
        <v>4</v>
      </c>
      <c r="S275">
        <v>4</v>
      </c>
      <c r="T275">
        <v>4</v>
      </c>
      <c r="U275">
        <v>5</v>
      </c>
      <c r="V275">
        <v>5</v>
      </c>
      <c r="W275">
        <v>4</v>
      </c>
      <c r="X275">
        <v>3</v>
      </c>
      <c r="Y275">
        <v>4</v>
      </c>
      <c r="Z275">
        <v>5</v>
      </c>
      <c r="AA275">
        <v>5</v>
      </c>
      <c r="AB275">
        <v>4</v>
      </c>
      <c r="AC275">
        <v>5</v>
      </c>
      <c r="AD275">
        <v>5</v>
      </c>
      <c r="AE275">
        <v>3</v>
      </c>
      <c r="AF275">
        <v>1</v>
      </c>
      <c r="AG275">
        <v>5</v>
      </c>
      <c r="AH275">
        <v>1</v>
      </c>
      <c r="AI275">
        <v>5</v>
      </c>
      <c r="AJ275">
        <v>5</v>
      </c>
      <c r="AK275" t="b">
        <f>Table7[[#This Row],[What is your age?]]&lt;&gt;"18 - 25"</f>
        <v>0</v>
      </c>
      <c r="AL275" t="b">
        <f t="shared" si="12"/>
        <v>0</v>
      </c>
      <c r="AM275" t="b">
        <f t="shared" si="13"/>
        <v>0</v>
      </c>
      <c r="AN275" t="b">
        <f t="shared" si="14"/>
        <v>0</v>
      </c>
      <c r="AO275" t="b">
        <f>OR(Table7[[#This Row],[Ineligible respondents]:[Inconsistent response on opposite question (3)]])</f>
        <v>0</v>
      </c>
      <c r="AP27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10</v>
      </c>
      <c r="AQ275">
        <f>Table7[[#This Row],[Extreme Response]]/21</f>
        <v>0.47619047619047616</v>
      </c>
      <c r="AR275">
        <f>Table67[[#This Row],[Threshold of ERS]]</f>
        <v>0.61904761904761907</v>
      </c>
      <c r="AS275" t="b">
        <f>Table7[[#This Row],[Extrem Response Ratio (ERS)]]&gt;=Table7[[#This Row],[Threshold of ERS]]</f>
        <v>0</v>
      </c>
      <c r="AT275" t="b" cm="1">
        <f t="array" ref="AT27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75">
        <f>COUNTIF(Table7[[#This Row],[The mechanism of digital assets is difficult to understand, which discourages me from exploring it (E.g, Tokenization, Blockchain)]:[If I want to try different ways to invest, I will explore digital assets.]], 3)</f>
        <v>3</v>
      </c>
      <c r="AV275">
        <f>Table7[[#This Row],[Midpoint]]/21</f>
        <v>0.14285714285714285</v>
      </c>
      <c r="AW275">
        <f>Table67[[#This Row],[Threshold of Midpoint ratio]]</f>
        <v>0.5714285714285714</v>
      </c>
      <c r="AX275" t="b">
        <f>Table7[[#This Row],[Midpoint ratio]]&gt;=Table7[[#This Row],[Threshold of Midpoint ratio]]</f>
        <v>0</v>
      </c>
      <c r="AY275" t="b">
        <f>OR(Table7[[#This Row],[Extreme Response Style]:[Straight-lining with 1 deviation]],Table7[[#This Row],[Mid-point Response Style]])</f>
        <v>0</v>
      </c>
      <c r="AZ275" t="b">
        <f>OR(Table7[[#This Row],[Delete? (Stage 1)]],Table7[[#This Row],[Delete? (Stage 2)]])</f>
        <v>0</v>
      </c>
      <c r="BA275" t="s">
        <v>84</v>
      </c>
    </row>
    <row r="276" spans="1:53">
      <c r="A276">
        <v>1280</v>
      </c>
      <c r="B276" s="3">
        <v>46057.492627314801</v>
      </c>
      <c r="C276" s="3">
        <v>46057.501828703702</v>
      </c>
      <c r="D276" t="s">
        <v>53</v>
      </c>
      <c r="G276" t="s">
        <v>54</v>
      </c>
      <c r="H276" t="s">
        <v>55</v>
      </c>
      <c r="I276" t="s">
        <v>71</v>
      </c>
      <c r="J276" t="s">
        <v>62</v>
      </c>
      <c r="K276" t="s">
        <v>57</v>
      </c>
      <c r="L276" t="s">
        <v>58</v>
      </c>
      <c r="M276" t="s">
        <v>58</v>
      </c>
      <c r="N276">
        <v>3</v>
      </c>
      <c r="O276">
        <v>2</v>
      </c>
      <c r="P276">
        <v>1</v>
      </c>
      <c r="Q276">
        <v>1</v>
      </c>
      <c r="R276">
        <v>3</v>
      </c>
      <c r="S276">
        <v>4</v>
      </c>
      <c r="T276">
        <v>3</v>
      </c>
      <c r="U276">
        <v>3</v>
      </c>
      <c r="V276">
        <v>4</v>
      </c>
      <c r="W276">
        <v>4</v>
      </c>
      <c r="X276">
        <v>3</v>
      </c>
      <c r="Y276">
        <v>5</v>
      </c>
      <c r="Z276">
        <v>5</v>
      </c>
      <c r="AA276">
        <v>4</v>
      </c>
      <c r="AB276">
        <v>3</v>
      </c>
      <c r="AC276">
        <v>3</v>
      </c>
      <c r="AD276">
        <v>4</v>
      </c>
      <c r="AE276">
        <v>4</v>
      </c>
      <c r="AF276">
        <v>3</v>
      </c>
      <c r="AG276">
        <v>3</v>
      </c>
      <c r="AH276">
        <v>3</v>
      </c>
      <c r="AI276">
        <v>3</v>
      </c>
      <c r="AJ276">
        <v>3</v>
      </c>
      <c r="AK276" t="b">
        <f>Table7[[#This Row],[What is your age?]]&lt;&gt;"18 - 25"</f>
        <v>0</v>
      </c>
      <c r="AL276" t="b">
        <f t="shared" si="12"/>
        <v>0</v>
      </c>
      <c r="AM276" t="b">
        <f t="shared" si="13"/>
        <v>0</v>
      </c>
      <c r="AN276" t="b">
        <f t="shared" si="14"/>
        <v>0</v>
      </c>
      <c r="AO276" t="b">
        <f>OR(Table7[[#This Row],[Ineligible respondents]:[Inconsistent response on opposite question (3)]])</f>
        <v>0</v>
      </c>
      <c r="AP27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276">
        <f>Table7[[#This Row],[Extreme Response]]/21</f>
        <v>0.19047619047619047</v>
      </c>
      <c r="AR276">
        <f>Table67[[#This Row],[Threshold of ERS]]</f>
        <v>0.61904761904761907</v>
      </c>
      <c r="AS276" t="b">
        <f>Table7[[#This Row],[Extrem Response Ratio (ERS)]]&gt;=Table7[[#This Row],[Threshold of ERS]]</f>
        <v>0</v>
      </c>
      <c r="AT276" t="b" cm="1">
        <f t="array" ref="AT27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76">
        <f>COUNTIF(Table7[[#This Row],[The mechanism of digital assets is difficult to understand, which discourages me from exploring it (E.g, Tokenization, Blockchain)]:[If I want to try different ways to invest, I will explore digital assets.]], 3)</f>
        <v>10</v>
      </c>
      <c r="AV276">
        <f>Table7[[#This Row],[Midpoint]]/21</f>
        <v>0.47619047619047616</v>
      </c>
      <c r="AW276">
        <f>Table67[[#This Row],[Threshold of Midpoint ratio]]</f>
        <v>0.5714285714285714</v>
      </c>
      <c r="AX276" t="b">
        <f>Table7[[#This Row],[Midpoint ratio]]&gt;=Table7[[#This Row],[Threshold of Midpoint ratio]]</f>
        <v>0</v>
      </c>
      <c r="AY276" t="b">
        <f>OR(Table7[[#This Row],[Extreme Response Style]:[Straight-lining with 1 deviation]],Table7[[#This Row],[Mid-point Response Style]])</f>
        <v>0</v>
      </c>
      <c r="AZ276" t="b">
        <f>OR(Table7[[#This Row],[Delete? (Stage 1)]],Table7[[#This Row],[Delete? (Stage 2)]])</f>
        <v>0</v>
      </c>
      <c r="BA276" t="s">
        <v>84</v>
      </c>
    </row>
    <row r="277" spans="1:53">
      <c r="A277">
        <v>1285</v>
      </c>
      <c r="B277" s="3">
        <v>46057.561608796299</v>
      </c>
      <c r="C277" s="3">
        <v>46057.568587962996</v>
      </c>
      <c r="D277" t="s">
        <v>53</v>
      </c>
      <c r="G277" t="s">
        <v>54</v>
      </c>
      <c r="H277" t="s">
        <v>55</v>
      </c>
      <c r="I277" t="s">
        <v>56</v>
      </c>
      <c r="J277" t="s">
        <v>62</v>
      </c>
      <c r="K277" t="s">
        <v>57</v>
      </c>
      <c r="L277" t="s">
        <v>58</v>
      </c>
      <c r="M277" t="s">
        <v>58</v>
      </c>
      <c r="N277">
        <v>4</v>
      </c>
      <c r="O277">
        <v>4</v>
      </c>
      <c r="P277">
        <v>3</v>
      </c>
      <c r="Q277">
        <v>4</v>
      </c>
      <c r="R277">
        <v>5</v>
      </c>
      <c r="S277">
        <v>4</v>
      </c>
      <c r="T277">
        <v>3</v>
      </c>
      <c r="U277">
        <v>4</v>
      </c>
      <c r="V277">
        <v>4</v>
      </c>
      <c r="W277">
        <v>5</v>
      </c>
      <c r="X277">
        <v>4</v>
      </c>
      <c r="Y277">
        <v>4</v>
      </c>
      <c r="Z277">
        <v>4</v>
      </c>
      <c r="AA277">
        <v>4</v>
      </c>
      <c r="AB277">
        <v>3</v>
      </c>
      <c r="AC277">
        <v>3</v>
      </c>
      <c r="AD277">
        <v>4</v>
      </c>
      <c r="AE277">
        <v>4</v>
      </c>
      <c r="AF277">
        <v>3</v>
      </c>
      <c r="AG277">
        <v>3</v>
      </c>
      <c r="AH277">
        <v>3</v>
      </c>
      <c r="AI277">
        <v>3</v>
      </c>
      <c r="AJ277">
        <v>3</v>
      </c>
      <c r="AK277" t="b">
        <f>Table7[[#This Row],[What is your age?]]&lt;&gt;"18 - 25"</f>
        <v>0</v>
      </c>
      <c r="AL277" t="b">
        <f t="shared" si="12"/>
        <v>0</v>
      </c>
      <c r="AM277" t="b">
        <f t="shared" si="13"/>
        <v>0</v>
      </c>
      <c r="AN277" t="b">
        <f t="shared" si="14"/>
        <v>0</v>
      </c>
      <c r="AO277" t="b">
        <f>OR(Table7[[#This Row],[Ineligible respondents]:[Inconsistent response on opposite question (3)]])</f>
        <v>0</v>
      </c>
      <c r="AP27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277">
        <f>Table7[[#This Row],[Extreme Response]]/21</f>
        <v>9.5238095238095233E-2</v>
      </c>
      <c r="AR277">
        <f>Table67[[#This Row],[Threshold of ERS]]</f>
        <v>0.61904761904761907</v>
      </c>
      <c r="AS277" t="b">
        <f>Table7[[#This Row],[Extrem Response Ratio (ERS)]]&gt;=Table7[[#This Row],[Threshold of ERS]]</f>
        <v>0</v>
      </c>
      <c r="AT277" t="b" cm="1">
        <f t="array" ref="AT27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77">
        <f>COUNTIF(Table7[[#This Row],[The mechanism of digital assets is difficult to understand, which discourages me from exploring it (E.g, Tokenization, Blockchain)]:[If I want to try different ways to invest, I will explore digital assets.]], 3)</f>
        <v>7</v>
      </c>
      <c r="AV277">
        <f>Table7[[#This Row],[Midpoint]]/21</f>
        <v>0.33333333333333331</v>
      </c>
      <c r="AW277">
        <f>Table67[[#This Row],[Threshold of Midpoint ratio]]</f>
        <v>0.5714285714285714</v>
      </c>
      <c r="AX277" t="b">
        <f>Table7[[#This Row],[Midpoint ratio]]&gt;=Table7[[#This Row],[Threshold of Midpoint ratio]]</f>
        <v>0</v>
      </c>
      <c r="AY277" t="b">
        <f>OR(Table7[[#This Row],[Extreme Response Style]:[Straight-lining with 1 deviation]],Table7[[#This Row],[Mid-point Response Style]])</f>
        <v>0</v>
      </c>
      <c r="AZ277" t="b">
        <f>OR(Table7[[#This Row],[Delete? (Stage 1)]],Table7[[#This Row],[Delete? (Stage 2)]])</f>
        <v>0</v>
      </c>
      <c r="BA277" t="s">
        <v>84</v>
      </c>
    </row>
    <row r="278" spans="1:53">
      <c r="A278">
        <v>1292</v>
      </c>
      <c r="B278" s="3">
        <v>46065.715439814812</v>
      </c>
      <c r="C278" s="3">
        <v>46065.715729166666</v>
      </c>
      <c r="D278" t="s">
        <v>53</v>
      </c>
      <c r="G278" t="s">
        <v>54</v>
      </c>
      <c r="H278" t="s">
        <v>55</v>
      </c>
      <c r="I278" t="s">
        <v>56</v>
      </c>
      <c r="J278" t="s">
        <v>62</v>
      </c>
      <c r="K278" t="s">
        <v>62</v>
      </c>
      <c r="L278" t="s">
        <v>58</v>
      </c>
      <c r="M278" t="s">
        <v>61</v>
      </c>
      <c r="N278">
        <v>3</v>
      </c>
      <c r="O278">
        <v>3</v>
      </c>
      <c r="P278">
        <v>4</v>
      </c>
      <c r="Q278">
        <v>4</v>
      </c>
      <c r="R278">
        <v>2</v>
      </c>
      <c r="S278">
        <v>3</v>
      </c>
      <c r="T278">
        <v>4</v>
      </c>
      <c r="U278">
        <v>4</v>
      </c>
      <c r="V278">
        <v>5</v>
      </c>
      <c r="W278">
        <v>5</v>
      </c>
      <c r="X278">
        <v>4</v>
      </c>
      <c r="Y278">
        <v>4</v>
      </c>
      <c r="Z278">
        <v>3</v>
      </c>
      <c r="AA278">
        <v>4</v>
      </c>
      <c r="AB278">
        <v>4</v>
      </c>
      <c r="AC278">
        <v>4</v>
      </c>
      <c r="AD278">
        <v>4</v>
      </c>
      <c r="AE278">
        <v>3</v>
      </c>
      <c r="AF278">
        <v>2</v>
      </c>
      <c r="AG278">
        <v>3</v>
      </c>
      <c r="AH278">
        <v>3</v>
      </c>
      <c r="AI278">
        <v>3</v>
      </c>
      <c r="AJ278">
        <v>4</v>
      </c>
      <c r="AK278" t="b">
        <f>Table7[[#This Row],[What is your age?]]&lt;&gt;"18 - 25"</f>
        <v>0</v>
      </c>
      <c r="AL278" t="b">
        <f t="shared" si="12"/>
        <v>0</v>
      </c>
      <c r="AM278" t="b">
        <f t="shared" si="13"/>
        <v>0</v>
      </c>
      <c r="AN278" t="b">
        <f t="shared" si="14"/>
        <v>0</v>
      </c>
      <c r="AO278" t="b">
        <f>OR(Table7[[#This Row],[Ineligible respondents]:[Inconsistent response on opposite question (3)]])</f>
        <v>0</v>
      </c>
      <c r="AP27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278">
        <f>Table7[[#This Row],[Extreme Response]]/21</f>
        <v>9.5238095238095233E-2</v>
      </c>
      <c r="AR278">
        <f>Table67[[#This Row],[Threshold of ERS]]</f>
        <v>0.61904761904761907</v>
      </c>
      <c r="AS278" t="b">
        <f>Table7[[#This Row],[Extrem Response Ratio (ERS)]]&gt;=Table7[[#This Row],[Threshold of ERS]]</f>
        <v>0</v>
      </c>
      <c r="AT278" t="b" cm="1">
        <f t="array" ref="AT27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78">
        <f>COUNTIF(Table7[[#This Row],[The mechanism of digital assets is difficult to understand, which discourages me from exploring it (E.g, Tokenization, Blockchain)]:[If I want to try different ways to invest, I will explore digital assets.]], 3)</f>
        <v>7</v>
      </c>
      <c r="AV278">
        <f>Table7[[#This Row],[Midpoint]]/21</f>
        <v>0.33333333333333331</v>
      </c>
      <c r="AW278">
        <f>Table67[[#This Row],[Threshold of Midpoint ratio]]</f>
        <v>0.5714285714285714</v>
      </c>
      <c r="AX278" t="b">
        <f>Table7[[#This Row],[Midpoint ratio]]&gt;=Table7[[#This Row],[Threshold of Midpoint ratio]]</f>
        <v>0</v>
      </c>
      <c r="AY278" t="b">
        <f>OR(Table7[[#This Row],[Extreme Response Style]:[Straight-lining with 1 deviation]],Table7[[#This Row],[Mid-point Response Style]])</f>
        <v>0</v>
      </c>
      <c r="AZ278" t="b">
        <f>OR(Table7[[#This Row],[Delete? (Stage 1)]],Table7[[#This Row],[Delete? (Stage 2)]])</f>
        <v>0</v>
      </c>
      <c r="BA278" t="s">
        <v>84</v>
      </c>
    </row>
    <row r="279" spans="1:53">
      <c r="A279">
        <v>1296</v>
      </c>
      <c r="B279" s="3">
        <v>46065.870092592595</v>
      </c>
      <c r="C279" s="3">
        <v>46065.875902777778</v>
      </c>
      <c r="D279" t="s">
        <v>53</v>
      </c>
      <c r="G279" t="s">
        <v>54</v>
      </c>
      <c r="H279" t="s">
        <v>63</v>
      </c>
      <c r="I279" t="s">
        <v>56</v>
      </c>
      <c r="J279" t="s">
        <v>68</v>
      </c>
      <c r="K279" t="s">
        <v>62</v>
      </c>
      <c r="L279" t="s">
        <v>61</v>
      </c>
      <c r="M279" t="s">
        <v>61</v>
      </c>
      <c r="N279">
        <v>4</v>
      </c>
      <c r="O279">
        <v>4</v>
      </c>
      <c r="P279">
        <v>3</v>
      </c>
      <c r="Q279">
        <v>3</v>
      </c>
      <c r="R279">
        <v>3</v>
      </c>
      <c r="S279">
        <v>3</v>
      </c>
      <c r="T279">
        <v>4</v>
      </c>
      <c r="U279">
        <v>4</v>
      </c>
      <c r="V279">
        <v>3</v>
      </c>
      <c r="W279">
        <v>3</v>
      </c>
      <c r="X279">
        <v>4</v>
      </c>
      <c r="Y279">
        <v>3</v>
      </c>
      <c r="Z279">
        <v>5</v>
      </c>
      <c r="AA279">
        <v>4</v>
      </c>
      <c r="AB279">
        <v>3</v>
      </c>
      <c r="AC279">
        <v>4</v>
      </c>
      <c r="AD279">
        <v>5</v>
      </c>
      <c r="AE279">
        <v>5</v>
      </c>
      <c r="AF279">
        <v>4</v>
      </c>
      <c r="AG279">
        <v>2</v>
      </c>
      <c r="AH279">
        <v>4</v>
      </c>
      <c r="AI279">
        <v>2</v>
      </c>
      <c r="AJ279">
        <v>2</v>
      </c>
      <c r="AK279" t="b">
        <f>Table7[[#This Row],[What is your age?]]&lt;&gt;"18 - 25"</f>
        <v>0</v>
      </c>
      <c r="AL279" t="b">
        <f t="shared" si="12"/>
        <v>0</v>
      </c>
      <c r="AM279" t="b">
        <f t="shared" si="13"/>
        <v>0</v>
      </c>
      <c r="AN279" t="b">
        <f t="shared" si="14"/>
        <v>0</v>
      </c>
      <c r="AO279" t="b">
        <f>OR(Table7[[#This Row],[Ineligible respondents]:[Inconsistent response on opposite question (3)]])</f>
        <v>0</v>
      </c>
      <c r="AP27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279">
        <f>Table7[[#This Row],[Extreme Response]]/21</f>
        <v>0.14285714285714285</v>
      </c>
      <c r="AR279">
        <f>Table67[[#This Row],[Threshold of ERS]]</f>
        <v>0.61904761904761907</v>
      </c>
      <c r="AS279" t="b">
        <f>Table7[[#This Row],[Extrem Response Ratio (ERS)]]&gt;=Table7[[#This Row],[Threshold of ERS]]</f>
        <v>0</v>
      </c>
      <c r="AT279" t="b" cm="1">
        <f t="array" ref="AT27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79">
        <f>COUNTIF(Table7[[#This Row],[The mechanism of digital assets is difficult to understand, which discourages me from exploring it (E.g, Tokenization, Blockchain)]:[If I want to try different ways to invest, I will explore digital assets.]], 3)</f>
        <v>8</v>
      </c>
      <c r="AV279">
        <f>Table7[[#This Row],[Midpoint]]/21</f>
        <v>0.38095238095238093</v>
      </c>
      <c r="AW279">
        <f>Table67[[#This Row],[Threshold of Midpoint ratio]]</f>
        <v>0.5714285714285714</v>
      </c>
      <c r="AX279" t="b">
        <f>Table7[[#This Row],[Midpoint ratio]]&gt;=Table7[[#This Row],[Threshold of Midpoint ratio]]</f>
        <v>0</v>
      </c>
      <c r="AY279" t="b">
        <f>OR(Table7[[#This Row],[Extreme Response Style]:[Straight-lining with 1 deviation]],Table7[[#This Row],[Mid-point Response Style]])</f>
        <v>0</v>
      </c>
      <c r="AZ279" t="b">
        <f>OR(Table7[[#This Row],[Delete? (Stage 1)]],Table7[[#This Row],[Delete? (Stage 2)]])</f>
        <v>0</v>
      </c>
      <c r="BA279" t="s">
        <v>84</v>
      </c>
    </row>
    <row r="280" spans="1:53">
      <c r="A280">
        <v>1300</v>
      </c>
      <c r="B280" s="3">
        <v>46065.870069444441</v>
      </c>
      <c r="C280" s="3">
        <v>46065.875937500001</v>
      </c>
      <c r="D280" t="s">
        <v>53</v>
      </c>
      <c r="G280" t="s">
        <v>54</v>
      </c>
      <c r="H280" t="s">
        <v>55</v>
      </c>
      <c r="I280" t="s">
        <v>56</v>
      </c>
      <c r="J280" t="s">
        <v>66</v>
      </c>
      <c r="K280" t="s">
        <v>66</v>
      </c>
      <c r="L280" t="s">
        <v>58</v>
      </c>
      <c r="M280" t="s">
        <v>58</v>
      </c>
      <c r="N280">
        <v>4</v>
      </c>
      <c r="O280">
        <v>4</v>
      </c>
      <c r="P280">
        <v>4</v>
      </c>
      <c r="Q280">
        <v>4</v>
      </c>
      <c r="R280">
        <v>4</v>
      </c>
      <c r="S280">
        <v>4</v>
      </c>
      <c r="T280">
        <v>3</v>
      </c>
      <c r="U280">
        <v>4</v>
      </c>
      <c r="V280">
        <v>4</v>
      </c>
      <c r="W280">
        <v>4</v>
      </c>
      <c r="X280">
        <v>2</v>
      </c>
      <c r="Y280">
        <v>4</v>
      </c>
      <c r="Z280">
        <v>2</v>
      </c>
      <c r="AA280">
        <v>4</v>
      </c>
      <c r="AB280">
        <v>4</v>
      </c>
      <c r="AC280">
        <v>4</v>
      </c>
      <c r="AD280">
        <v>2</v>
      </c>
      <c r="AE280">
        <v>2</v>
      </c>
      <c r="AF280">
        <v>3</v>
      </c>
      <c r="AG280">
        <v>3</v>
      </c>
      <c r="AH280">
        <v>3</v>
      </c>
      <c r="AI280">
        <v>3</v>
      </c>
      <c r="AJ280">
        <v>3</v>
      </c>
      <c r="AK280" t="b">
        <f>Table7[[#This Row],[What is your age?]]&lt;&gt;"18 - 25"</f>
        <v>0</v>
      </c>
      <c r="AL280" t="b">
        <f t="shared" si="12"/>
        <v>0</v>
      </c>
      <c r="AM280" t="b">
        <f t="shared" si="13"/>
        <v>0</v>
      </c>
      <c r="AN280" t="b">
        <f t="shared" si="14"/>
        <v>0</v>
      </c>
      <c r="AO280" t="b">
        <f>OR(Table7[[#This Row],[Ineligible respondents]:[Inconsistent response on opposite question (3)]])</f>
        <v>0</v>
      </c>
      <c r="AP28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280">
        <f>Table7[[#This Row],[Extreme Response]]/21</f>
        <v>0</v>
      </c>
      <c r="AR280">
        <f>Table67[[#This Row],[Threshold of ERS]]</f>
        <v>0.61904761904761907</v>
      </c>
      <c r="AS280" t="b">
        <f>Table7[[#This Row],[Extrem Response Ratio (ERS)]]&gt;=Table7[[#This Row],[Threshold of ERS]]</f>
        <v>0</v>
      </c>
      <c r="AT280" t="b" cm="1">
        <f t="array" ref="AT28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80">
        <f>COUNTIF(Table7[[#This Row],[The mechanism of digital assets is difficult to understand, which discourages me from exploring it (E.g, Tokenization, Blockchain)]:[If I want to try different ways to invest, I will explore digital assets.]], 3)</f>
        <v>4</v>
      </c>
      <c r="AV280">
        <f>Table7[[#This Row],[Midpoint]]/21</f>
        <v>0.19047619047619047</v>
      </c>
      <c r="AW280">
        <f>Table67[[#This Row],[Threshold of Midpoint ratio]]</f>
        <v>0.5714285714285714</v>
      </c>
      <c r="AX280" t="b">
        <f>Table7[[#This Row],[Midpoint ratio]]&gt;=Table7[[#This Row],[Threshold of Midpoint ratio]]</f>
        <v>0</v>
      </c>
      <c r="AY280" t="b">
        <f>OR(Table7[[#This Row],[Extreme Response Style]:[Straight-lining with 1 deviation]],Table7[[#This Row],[Mid-point Response Style]])</f>
        <v>0</v>
      </c>
      <c r="AZ280" t="b">
        <f>OR(Table7[[#This Row],[Delete? (Stage 1)]],Table7[[#This Row],[Delete? (Stage 2)]])</f>
        <v>0</v>
      </c>
      <c r="BA280" t="s">
        <v>84</v>
      </c>
    </row>
    <row r="281" spans="1:53">
      <c r="A281">
        <v>1308</v>
      </c>
      <c r="B281" s="3">
        <v>46065.765729166669</v>
      </c>
      <c r="C281" s="3">
        <v>46065.767696759256</v>
      </c>
      <c r="D281" t="s">
        <v>53</v>
      </c>
      <c r="G281" t="s">
        <v>54</v>
      </c>
      <c r="H281" t="s">
        <v>55</v>
      </c>
      <c r="I281" t="s">
        <v>56</v>
      </c>
      <c r="J281" t="s">
        <v>62</v>
      </c>
      <c r="K281" t="s">
        <v>62</v>
      </c>
      <c r="L281" t="s">
        <v>58</v>
      </c>
      <c r="M281" t="s">
        <v>58</v>
      </c>
      <c r="N281">
        <v>4</v>
      </c>
      <c r="O281">
        <v>5</v>
      </c>
      <c r="P281">
        <v>3</v>
      </c>
      <c r="Q281">
        <v>3</v>
      </c>
      <c r="R281">
        <v>5</v>
      </c>
      <c r="S281">
        <v>5</v>
      </c>
      <c r="T281">
        <v>5</v>
      </c>
      <c r="U281">
        <v>3</v>
      </c>
      <c r="V281">
        <v>5</v>
      </c>
      <c r="W281">
        <v>5</v>
      </c>
      <c r="X281">
        <v>3</v>
      </c>
      <c r="Y281">
        <v>5</v>
      </c>
      <c r="Z281">
        <v>4</v>
      </c>
      <c r="AA281">
        <v>5</v>
      </c>
      <c r="AB281">
        <v>5</v>
      </c>
      <c r="AC281">
        <v>3</v>
      </c>
      <c r="AD281">
        <v>4</v>
      </c>
      <c r="AE281">
        <v>3</v>
      </c>
      <c r="AF281">
        <v>2</v>
      </c>
      <c r="AG281">
        <v>3</v>
      </c>
      <c r="AH281">
        <v>3</v>
      </c>
      <c r="AI281">
        <v>3</v>
      </c>
      <c r="AJ281">
        <v>4</v>
      </c>
      <c r="AK281" t="b">
        <f>Table7[[#This Row],[What is your age?]]&lt;&gt;"18 - 25"</f>
        <v>0</v>
      </c>
      <c r="AL281" t="b">
        <f t="shared" si="12"/>
        <v>0</v>
      </c>
      <c r="AM281" t="b">
        <f t="shared" si="13"/>
        <v>0</v>
      </c>
      <c r="AN281" t="b">
        <f t="shared" si="14"/>
        <v>0</v>
      </c>
      <c r="AO281" t="b">
        <f>OR(Table7[[#This Row],[Ineligible respondents]:[Inconsistent response on opposite question (3)]])</f>
        <v>0</v>
      </c>
      <c r="AP28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9</v>
      </c>
      <c r="AQ281">
        <f>Table7[[#This Row],[Extreme Response]]/21</f>
        <v>0.42857142857142855</v>
      </c>
      <c r="AR281">
        <f>Table67[[#This Row],[Threshold of ERS]]</f>
        <v>0.61904761904761907</v>
      </c>
      <c r="AS281" t="b">
        <f>Table7[[#This Row],[Extrem Response Ratio (ERS)]]&gt;=Table7[[#This Row],[Threshold of ERS]]</f>
        <v>0</v>
      </c>
      <c r="AT281" t="b" cm="1">
        <f t="array" ref="AT28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81">
        <f>COUNTIF(Table7[[#This Row],[The mechanism of digital assets is difficult to understand, which discourages me from exploring it (E.g, Tokenization, Blockchain)]:[If I want to try different ways to invest, I will explore digital assets.]], 3)</f>
        <v>8</v>
      </c>
      <c r="AV281">
        <f>Table7[[#This Row],[Midpoint]]/21</f>
        <v>0.38095238095238093</v>
      </c>
      <c r="AW281">
        <f>Table67[[#This Row],[Threshold of Midpoint ratio]]</f>
        <v>0.5714285714285714</v>
      </c>
      <c r="AX281" t="b">
        <f>Table7[[#This Row],[Midpoint ratio]]&gt;=Table7[[#This Row],[Threshold of Midpoint ratio]]</f>
        <v>0</v>
      </c>
      <c r="AY281" t="b">
        <f>OR(Table7[[#This Row],[Extreme Response Style]:[Straight-lining with 1 deviation]],Table7[[#This Row],[Mid-point Response Style]])</f>
        <v>0</v>
      </c>
      <c r="AZ281" t="b">
        <f>OR(Table7[[#This Row],[Delete? (Stage 1)]],Table7[[#This Row],[Delete? (Stage 2)]])</f>
        <v>0</v>
      </c>
      <c r="BA281" t="s">
        <v>84</v>
      </c>
    </row>
    <row r="282" spans="1:53">
      <c r="A282">
        <v>1310</v>
      </c>
      <c r="B282" s="3">
        <v>46065.765706018516</v>
      </c>
      <c r="C282" s="3">
        <v>46065.767500000002</v>
      </c>
      <c r="D282" t="s">
        <v>53</v>
      </c>
      <c r="G282" t="s">
        <v>54</v>
      </c>
      <c r="H282" t="s">
        <v>63</v>
      </c>
      <c r="I282" t="s">
        <v>71</v>
      </c>
      <c r="J282" t="s">
        <v>62</v>
      </c>
      <c r="K282" t="s">
        <v>62</v>
      </c>
      <c r="L282" t="s">
        <v>61</v>
      </c>
      <c r="M282" t="s">
        <v>61</v>
      </c>
      <c r="N282">
        <v>4</v>
      </c>
      <c r="O282">
        <v>4</v>
      </c>
      <c r="P282">
        <v>3</v>
      </c>
      <c r="Q282">
        <v>3</v>
      </c>
      <c r="R282">
        <v>3</v>
      </c>
      <c r="S282">
        <v>4</v>
      </c>
      <c r="T282">
        <v>4</v>
      </c>
      <c r="U282">
        <v>3</v>
      </c>
      <c r="V282">
        <v>4</v>
      </c>
      <c r="W282">
        <v>3</v>
      </c>
      <c r="X282">
        <v>5</v>
      </c>
      <c r="Y282">
        <v>4</v>
      </c>
      <c r="Z282">
        <v>5</v>
      </c>
      <c r="AA282">
        <v>4</v>
      </c>
      <c r="AB282">
        <v>4</v>
      </c>
      <c r="AC282">
        <v>3</v>
      </c>
      <c r="AD282">
        <v>5</v>
      </c>
      <c r="AE282">
        <v>5</v>
      </c>
      <c r="AF282">
        <v>4</v>
      </c>
      <c r="AG282">
        <v>2</v>
      </c>
      <c r="AH282">
        <v>5</v>
      </c>
      <c r="AI282">
        <v>1</v>
      </c>
      <c r="AJ282">
        <v>2</v>
      </c>
      <c r="AK282" t="b">
        <f>Table7[[#This Row],[What is your age?]]&lt;&gt;"18 - 25"</f>
        <v>0</v>
      </c>
      <c r="AL282" t="b">
        <f t="shared" si="12"/>
        <v>0</v>
      </c>
      <c r="AM282" t="b">
        <f t="shared" si="13"/>
        <v>0</v>
      </c>
      <c r="AN282" t="b">
        <f t="shared" si="14"/>
        <v>0</v>
      </c>
      <c r="AO282" t="b">
        <f>OR(Table7[[#This Row],[Ineligible respondents]:[Inconsistent response on opposite question (3)]])</f>
        <v>0</v>
      </c>
      <c r="AP28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5</v>
      </c>
      <c r="AQ282">
        <f>Table7[[#This Row],[Extreme Response]]/21</f>
        <v>0.23809523809523808</v>
      </c>
      <c r="AR282">
        <f>Table67[[#This Row],[Threshold of ERS]]</f>
        <v>0.61904761904761907</v>
      </c>
      <c r="AS282" t="b">
        <f>Table7[[#This Row],[Extrem Response Ratio (ERS)]]&gt;=Table7[[#This Row],[Threshold of ERS]]</f>
        <v>0</v>
      </c>
      <c r="AT282" t="b" cm="1">
        <f t="array" ref="AT28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82">
        <f>COUNTIF(Table7[[#This Row],[The mechanism of digital assets is difficult to understand, which discourages me from exploring it (E.g, Tokenization, Blockchain)]:[If I want to try different ways to invest, I will explore digital assets.]], 3)</f>
        <v>6</v>
      </c>
      <c r="AV282">
        <f>Table7[[#This Row],[Midpoint]]/21</f>
        <v>0.2857142857142857</v>
      </c>
      <c r="AW282">
        <f>Table67[[#This Row],[Threshold of Midpoint ratio]]</f>
        <v>0.5714285714285714</v>
      </c>
      <c r="AX282" t="b">
        <f>Table7[[#This Row],[Midpoint ratio]]&gt;=Table7[[#This Row],[Threshold of Midpoint ratio]]</f>
        <v>0</v>
      </c>
      <c r="AY282" t="b">
        <f>OR(Table7[[#This Row],[Extreme Response Style]:[Straight-lining with 1 deviation]],Table7[[#This Row],[Mid-point Response Style]])</f>
        <v>0</v>
      </c>
      <c r="AZ282" t="b">
        <f>OR(Table7[[#This Row],[Delete? (Stage 1)]],Table7[[#This Row],[Delete? (Stage 2)]])</f>
        <v>0</v>
      </c>
      <c r="BA282" t="s">
        <v>84</v>
      </c>
    </row>
    <row r="283" spans="1:53">
      <c r="A283">
        <v>1312</v>
      </c>
      <c r="B283" s="3">
        <v>46065.842210648145</v>
      </c>
      <c r="C283" s="3">
        <v>46065.848425925928</v>
      </c>
      <c r="D283" t="s">
        <v>53</v>
      </c>
      <c r="G283" t="s">
        <v>54</v>
      </c>
      <c r="H283" t="s">
        <v>55</v>
      </c>
      <c r="I283" t="s">
        <v>56</v>
      </c>
      <c r="J283" t="s">
        <v>62</v>
      </c>
      <c r="K283" t="s">
        <v>57</v>
      </c>
      <c r="L283" t="s">
        <v>58</v>
      </c>
      <c r="M283" t="s">
        <v>61</v>
      </c>
      <c r="N283">
        <v>5</v>
      </c>
      <c r="O283">
        <v>5</v>
      </c>
      <c r="P283">
        <v>5</v>
      </c>
      <c r="Q283">
        <v>5</v>
      </c>
      <c r="R283">
        <v>5</v>
      </c>
      <c r="S283">
        <v>5</v>
      </c>
      <c r="T283">
        <v>4</v>
      </c>
      <c r="U283">
        <v>5</v>
      </c>
      <c r="V283">
        <v>5</v>
      </c>
      <c r="W283">
        <v>5</v>
      </c>
      <c r="X283">
        <v>4</v>
      </c>
      <c r="Y283">
        <v>5</v>
      </c>
      <c r="Z283">
        <v>4</v>
      </c>
      <c r="AA283">
        <v>5</v>
      </c>
      <c r="AB283">
        <v>4</v>
      </c>
      <c r="AC283">
        <v>4</v>
      </c>
      <c r="AD283">
        <v>4</v>
      </c>
      <c r="AE283">
        <v>4</v>
      </c>
      <c r="AF283">
        <v>3</v>
      </c>
      <c r="AG283">
        <v>3</v>
      </c>
      <c r="AH283">
        <v>3</v>
      </c>
      <c r="AI283">
        <v>3</v>
      </c>
      <c r="AJ283">
        <v>3</v>
      </c>
      <c r="AK283" t="b">
        <f>Table7[[#This Row],[What is your age?]]&lt;&gt;"18 - 25"</f>
        <v>0</v>
      </c>
      <c r="AL283" t="b">
        <f t="shared" si="12"/>
        <v>0</v>
      </c>
      <c r="AM283" t="b">
        <f t="shared" si="13"/>
        <v>0</v>
      </c>
      <c r="AN283" t="b">
        <f t="shared" si="14"/>
        <v>0</v>
      </c>
      <c r="AO283" t="b">
        <f>OR(Table7[[#This Row],[Ineligible respondents]:[Inconsistent response on opposite question (3)]])</f>
        <v>0</v>
      </c>
      <c r="AP28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11</v>
      </c>
      <c r="AQ283">
        <f>Table7[[#This Row],[Extreme Response]]/21</f>
        <v>0.52380952380952384</v>
      </c>
      <c r="AR283">
        <f>Table67[[#This Row],[Threshold of ERS]]</f>
        <v>0.61904761904761907</v>
      </c>
      <c r="AS283" t="b">
        <f>Table7[[#This Row],[Extrem Response Ratio (ERS)]]&gt;=Table7[[#This Row],[Threshold of ERS]]</f>
        <v>0</v>
      </c>
      <c r="AT283" t="b" cm="1">
        <f t="array" ref="AT28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83">
        <f>COUNTIF(Table7[[#This Row],[The mechanism of digital assets is difficult to understand, which discourages me from exploring it (E.g, Tokenization, Blockchain)]:[If I want to try different ways to invest, I will explore digital assets.]], 3)</f>
        <v>3</v>
      </c>
      <c r="AV283">
        <f>Table7[[#This Row],[Midpoint]]/21</f>
        <v>0.14285714285714285</v>
      </c>
      <c r="AW283">
        <f>Table67[[#This Row],[Threshold of Midpoint ratio]]</f>
        <v>0.5714285714285714</v>
      </c>
      <c r="AX283" t="b">
        <f>Table7[[#This Row],[Midpoint ratio]]&gt;=Table7[[#This Row],[Threshold of Midpoint ratio]]</f>
        <v>0</v>
      </c>
      <c r="AY283" t="b">
        <f>OR(Table7[[#This Row],[Extreme Response Style]:[Straight-lining with 1 deviation]],Table7[[#This Row],[Mid-point Response Style]])</f>
        <v>0</v>
      </c>
      <c r="AZ283" t="b">
        <f>OR(Table7[[#This Row],[Delete? (Stage 1)]],Table7[[#This Row],[Delete? (Stage 2)]])</f>
        <v>0</v>
      </c>
      <c r="BA283" t="s">
        <v>84</v>
      </c>
    </row>
    <row r="284" spans="1:53">
      <c r="A284">
        <v>1314</v>
      </c>
      <c r="B284" s="3">
        <v>46065.850578703707</v>
      </c>
      <c r="C284" s="3">
        <v>46065.861122685186</v>
      </c>
      <c r="D284" t="s">
        <v>53</v>
      </c>
      <c r="G284" t="s">
        <v>54</v>
      </c>
      <c r="H284" t="s">
        <v>63</v>
      </c>
      <c r="I284" t="s">
        <v>56</v>
      </c>
      <c r="J284" t="s">
        <v>60</v>
      </c>
      <c r="K284" t="s">
        <v>57</v>
      </c>
      <c r="L284" t="s">
        <v>61</v>
      </c>
      <c r="M284" t="s">
        <v>61</v>
      </c>
      <c r="N284">
        <v>3</v>
      </c>
      <c r="O284">
        <v>3</v>
      </c>
      <c r="P284">
        <v>2</v>
      </c>
      <c r="Q284">
        <v>3</v>
      </c>
      <c r="R284">
        <v>2</v>
      </c>
      <c r="S284">
        <v>3</v>
      </c>
      <c r="T284">
        <v>3</v>
      </c>
      <c r="U284">
        <v>2</v>
      </c>
      <c r="V284">
        <v>4</v>
      </c>
      <c r="W284">
        <v>4</v>
      </c>
      <c r="X284">
        <v>3</v>
      </c>
      <c r="Y284">
        <v>4</v>
      </c>
      <c r="Z284">
        <v>3</v>
      </c>
      <c r="AA284">
        <v>3</v>
      </c>
      <c r="AB284">
        <v>2</v>
      </c>
      <c r="AC284">
        <v>2</v>
      </c>
      <c r="AD284">
        <v>3</v>
      </c>
      <c r="AE284">
        <v>3</v>
      </c>
      <c r="AF284">
        <v>4</v>
      </c>
      <c r="AG284">
        <v>1</v>
      </c>
      <c r="AH284">
        <v>5</v>
      </c>
      <c r="AI284">
        <v>1</v>
      </c>
      <c r="AJ284">
        <v>2</v>
      </c>
      <c r="AK284" t="b">
        <f>Table7[[#This Row],[What is your age?]]&lt;&gt;"18 - 25"</f>
        <v>0</v>
      </c>
      <c r="AL284" t="b">
        <f t="shared" si="12"/>
        <v>0</v>
      </c>
      <c r="AM284" t="b">
        <f t="shared" si="13"/>
        <v>0</v>
      </c>
      <c r="AN284" t="b">
        <f t="shared" si="14"/>
        <v>0</v>
      </c>
      <c r="AO284" t="b">
        <f>OR(Table7[[#This Row],[Ineligible respondents]:[Inconsistent response on opposite question (3)]])</f>
        <v>0</v>
      </c>
      <c r="AP28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284">
        <f>Table7[[#This Row],[Extreme Response]]/21</f>
        <v>9.5238095238095233E-2</v>
      </c>
      <c r="AR284">
        <f>Table67[[#This Row],[Threshold of ERS]]</f>
        <v>0.61904761904761907</v>
      </c>
      <c r="AS284" t="b">
        <f>Table7[[#This Row],[Extrem Response Ratio (ERS)]]&gt;=Table7[[#This Row],[Threshold of ERS]]</f>
        <v>0</v>
      </c>
      <c r="AT284" t="b" cm="1">
        <f t="array" ref="AT28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84">
        <f>COUNTIF(Table7[[#This Row],[The mechanism of digital assets is difficult to understand, which discourages me from exploring it (E.g, Tokenization, Blockchain)]:[If I want to try different ways to invest, I will explore digital assets.]], 3)</f>
        <v>10</v>
      </c>
      <c r="AV284">
        <f>Table7[[#This Row],[Midpoint]]/21</f>
        <v>0.47619047619047616</v>
      </c>
      <c r="AW284">
        <f>Table67[[#This Row],[Threshold of Midpoint ratio]]</f>
        <v>0.5714285714285714</v>
      </c>
      <c r="AX284" t="b">
        <f>Table7[[#This Row],[Midpoint ratio]]&gt;=Table7[[#This Row],[Threshold of Midpoint ratio]]</f>
        <v>0</v>
      </c>
      <c r="AY284" t="b">
        <f>OR(Table7[[#This Row],[Extreme Response Style]:[Straight-lining with 1 deviation]],Table7[[#This Row],[Mid-point Response Style]])</f>
        <v>0</v>
      </c>
      <c r="AZ284" t="b">
        <f>OR(Table7[[#This Row],[Delete? (Stage 1)]],Table7[[#This Row],[Delete? (Stage 2)]])</f>
        <v>0</v>
      </c>
      <c r="BA284" t="s">
        <v>84</v>
      </c>
    </row>
    <row r="285" spans="1:53">
      <c r="A285">
        <v>1316</v>
      </c>
      <c r="B285" s="3">
        <v>46065.723460648151</v>
      </c>
      <c r="C285" s="3">
        <v>46065.723761574074</v>
      </c>
      <c r="D285" t="s">
        <v>53</v>
      </c>
      <c r="G285" t="s">
        <v>54</v>
      </c>
      <c r="H285" t="s">
        <v>63</v>
      </c>
      <c r="I285" t="s">
        <v>71</v>
      </c>
      <c r="J285" t="s">
        <v>64</v>
      </c>
      <c r="K285" t="s">
        <v>65</v>
      </c>
      <c r="L285" t="s">
        <v>58</v>
      </c>
      <c r="M285" t="s">
        <v>58</v>
      </c>
      <c r="N285">
        <v>2</v>
      </c>
      <c r="O285">
        <v>2</v>
      </c>
      <c r="P285">
        <v>5</v>
      </c>
      <c r="Q285">
        <v>5</v>
      </c>
      <c r="R285">
        <v>2</v>
      </c>
      <c r="S285">
        <v>5</v>
      </c>
      <c r="T285">
        <v>5</v>
      </c>
      <c r="U285">
        <v>5</v>
      </c>
      <c r="V285">
        <v>4</v>
      </c>
      <c r="W285">
        <v>4</v>
      </c>
      <c r="X285">
        <v>4</v>
      </c>
      <c r="Y285">
        <v>4</v>
      </c>
      <c r="Z285">
        <v>4</v>
      </c>
      <c r="AA285">
        <v>4</v>
      </c>
      <c r="AB285">
        <v>5</v>
      </c>
      <c r="AC285">
        <v>5</v>
      </c>
      <c r="AD285">
        <v>4</v>
      </c>
      <c r="AE285">
        <v>4</v>
      </c>
      <c r="AF285">
        <v>3</v>
      </c>
      <c r="AG285">
        <v>3</v>
      </c>
      <c r="AH285">
        <v>3</v>
      </c>
      <c r="AI285">
        <v>3</v>
      </c>
      <c r="AJ285">
        <v>3</v>
      </c>
      <c r="AK285" t="b">
        <f>Table7[[#This Row],[What is your age?]]&lt;&gt;"18 - 25"</f>
        <v>0</v>
      </c>
      <c r="AL285" t="b">
        <f t="shared" si="12"/>
        <v>0</v>
      </c>
      <c r="AM285" t="b">
        <f t="shared" si="13"/>
        <v>0</v>
      </c>
      <c r="AN285" t="b">
        <f t="shared" si="14"/>
        <v>0</v>
      </c>
      <c r="AO285" t="b">
        <f>OR(Table7[[#This Row],[Ineligible respondents]:[Inconsistent response on opposite question (3)]])</f>
        <v>0</v>
      </c>
      <c r="AP28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7</v>
      </c>
      <c r="AQ285">
        <f>Table7[[#This Row],[Extreme Response]]/21</f>
        <v>0.33333333333333331</v>
      </c>
      <c r="AR285">
        <f>Table67[[#This Row],[Threshold of ERS]]</f>
        <v>0.61904761904761907</v>
      </c>
      <c r="AS285" t="b">
        <f>Table7[[#This Row],[Extrem Response Ratio (ERS)]]&gt;=Table7[[#This Row],[Threshold of ERS]]</f>
        <v>0</v>
      </c>
      <c r="AT285" t="b" cm="1">
        <f t="array" ref="AT28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85">
        <f>COUNTIF(Table7[[#This Row],[The mechanism of digital assets is difficult to understand, which discourages me from exploring it (E.g, Tokenization, Blockchain)]:[If I want to try different ways to invest, I will explore digital assets.]], 3)</f>
        <v>3</v>
      </c>
      <c r="AV285">
        <f>Table7[[#This Row],[Midpoint]]/21</f>
        <v>0.14285714285714285</v>
      </c>
      <c r="AW285">
        <f>Table67[[#This Row],[Threshold of Midpoint ratio]]</f>
        <v>0.5714285714285714</v>
      </c>
      <c r="AX285" t="b">
        <f>Table7[[#This Row],[Midpoint ratio]]&gt;=Table7[[#This Row],[Threshold of Midpoint ratio]]</f>
        <v>0</v>
      </c>
      <c r="AY285" t="b">
        <f>OR(Table7[[#This Row],[Extreme Response Style]:[Straight-lining with 1 deviation]],Table7[[#This Row],[Mid-point Response Style]])</f>
        <v>0</v>
      </c>
      <c r="AZ285" t="b">
        <f>OR(Table7[[#This Row],[Delete? (Stage 1)]],Table7[[#This Row],[Delete? (Stage 2)]])</f>
        <v>0</v>
      </c>
      <c r="BA285" t="s">
        <v>84</v>
      </c>
    </row>
    <row r="286" spans="1:53">
      <c r="A286">
        <v>1319</v>
      </c>
      <c r="B286" s="3">
        <v>46065.837488425925</v>
      </c>
      <c r="C286" s="3">
        <v>46065.83965277778</v>
      </c>
      <c r="D286" t="s">
        <v>53</v>
      </c>
      <c r="G286" t="s">
        <v>54</v>
      </c>
      <c r="H286" t="s">
        <v>55</v>
      </c>
      <c r="I286" t="s">
        <v>56</v>
      </c>
      <c r="J286" t="s">
        <v>62</v>
      </c>
      <c r="K286" t="s">
        <v>62</v>
      </c>
      <c r="L286" t="s">
        <v>58</v>
      </c>
      <c r="M286" t="s">
        <v>58</v>
      </c>
      <c r="N286">
        <v>5</v>
      </c>
      <c r="O286">
        <v>5</v>
      </c>
      <c r="P286">
        <v>3</v>
      </c>
      <c r="Q286">
        <v>4</v>
      </c>
      <c r="R286">
        <v>5</v>
      </c>
      <c r="S286">
        <v>4</v>
      </c>
      <c r="T286">
        <v>4</v>
      </c>
      <c r="U286">
        <v>4</v>
      </c>
      <c r="V286">
        <v>5</v>
      </c>
      <c r="W286">
        <v>5</v>
      </c>
      <c r="X286">
        <v>4</v>
      </c>
      <c r="Y286">
        <v>5</v>
      </c>
      <c r="Z286">
        <v>4</v>
      </c>
      <c r="AA286">
        <v>4</v>
      </c>
      <c r="AB286">
        <v>4</v>
      </c>
      <c r="AC286">
        <v>4</v>
      </c>
      <c r="AD286">
        <v>4</v>
      </c>
      <c r="AE286">
        <v>4</v>
      </c>
      <c r="AF286">
        <v>2</v>
      </c>
      <c r="AG286">
        <v>3</v>
      </c>
      <c r="AH286">
        <v>3</v>
      </c>
      <c r="AI286">
        <v>3</v>
      </c>
      <c r="AJ286">
        <v>4</v>
      </c>
      <c r="AK286" t="b">
        <f>Table7[[#This Row],[What is your age?]]&lt;&gt;"18 - 25"</f>
        <v>0</v>
      </c>
      <c r="AL286" t="b">
        <f t="shared" si="12"/>
        <v>0</v>
      </c>
      <c r="AM286" t="b">
        <f t="shared" si="13"/>
        <v>0</v>
      </c>
      <c r="AN286" t="b">
        <f t="shared" si="14"/>
        <v>0</v>
      </c>
      <c r="AO286" t="b">
        <f>OR(Table7[[#This Row],[Ineligible respondents]:[Inconsistent response on opposite question (3)]])</f>
        <v>0</v>
      </c>
      <c r="AP28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6</v>
      </c>
      <c r="AQ286">
        <f>Table7[[#This Row],[Extreme Response]]/21</f>
        <v>0.2857142857142857</v>
      </c>
      <c r="AR286">
        <f>Table67[[#This Row],[Threshold of ERS]]</f>
        <v>0.61904761904761907</v>
      </c>
      <c r="AS286" t="b">
        <f>Table7[[#This Row],[Extrem Response Ratio (ERS)]]&gt;=Table7[[#This Row],[Threshold of ERS]]</f>
        <v>0</v>
      </c>
      <c r="AT286" t="b" cm="1">
        <f t="array" ref="AT28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86">
        <f>COUNTIF(Table7[[#This Row],[The mechanism of digital assets is difficult to understand, which discourages me from exploring it (E.g, Tokenization, Blockchain)]:[If I want to try different ways to invest, I will explore digital assets.]], 3)</f>
        <v>3</v>
      </c>
      <c r="AV286">
        <f>Table7[[#This Row],[Midpoint]]/21</f>
        <v>0.14285714285714285</v>
      </c>
      <c r="AW286">
        <f>Table67[[#This Row],[Threshold of Midpoint ratio]]</f>
        <v>0.5714285714285714</v>
      </c>
      <c r="AX286" t="b">
        <f>Table7[[#This Row],[Midpoint ratio]]&gt;=Table7[[#This Row],[Threshold of Midpoint ratio]]</f>
        <v>0</v>
      </c>
      <c r="AY286" t="b">
        <f>OR(Table7[[#This Row],[Extreme Response Style]:[Straight-lining with 1 deviation]],Table7[[#This Row],[Mid-point Response Style]])</f>
        <v>0</v>
      </c>
      <c r="AZ286" t="b">
        <f>OR(Table7[[#This Row],[Delete? (Stage 1)]],Table7[[#This Row],[Delete? (Stage 2)]])</f>
        <v>0</v>
      </c>
      <c r="BA286" t="s">
        <v>84</v>
      </c>
    </row>
    <row r="287" spans="1:53">
      <c r="A287">
        <v>1327</v>
      </c>
      <c r="B287" s="3">
        <v>46065.717499999999</v>
      </c>
      <c r="C287" s="3">
        <v>46065.717800925922</v>
      </c>
      <c r="D287" t="s">
        <v>53</v>
      </c>
      <c r="G287" t="s">
        <v>54</v>
      </c>
      <c r="H287" t="s">
        <v>63</v>
      </c>
      <c r="I287" t="s">
        <v>56</v>
      </c>
      <c r="J287" t="s">
        <v>60</v>
      </c>
      <c r="K287" t="s">
        <v>62</v>
      </c>
      <c r="L287" t="s">
        <v>58</v>
      </c>
      <c r="M287" t="s">
        <v>58</v>
      </c>
      <c r="N287">
        <v>3</v>
      </c>
      <c r="O287">
        <v>3</v>
      </c>
      <c r="P287">
        <v>3</v>
      </c>
      <c r="Q287">
        <v>3</v>
      </c>
      <c r="R287">
        <v>3</v>
      </c>
      <c r="S287">
        <v>2</v>
      </c>
      <c r="T287">
        <v>2</v>
      </c>
      <c r="U287">
        <v>3</v>
      </c>
      <c r="V287">
        <v>4</v>
      </c>
      <c r="W287">
        <v>4</v>
      </c>
      <c r="X287">
        <v>3</v>
      </c>
      <c r="Y287">
        <v>4</v>
      </c>
      <c r="Z287">
        <v>3</v>
      </c>
      <c r="AA287">
        <v>2</v>
      </c>
      <c r="AB287">
        <v>2</v>
      </c>
      <c r="AC287">
        <v>4</v>
      </c>
      <c r="AD287">
        <v>3</v>
      </c>
      <c r="AE287">
        <v>3</v>
      </c>
      <c r="AF287">
        <v>4</v>
      </c>
      <c r="AG287">
        <v>1</v>
      </c>
      <c r="AH287">
        <v>4</v>
      </c>
      <c r="AI287">
        <v>2</v>
      </c>
      <c r="AJ287">
        <v>2</v>
      </c>
      <c r="AK287" t="b">
        <f>Table7[[#This Row],[What is your age?]]&lt;&gt;"18 - 25"</f>
        <v>0</v>
      </c>
      <c r="AL287" t="b">
        <f t="shared" si="12"/>
        <v>0</v>
      </c>
      <c r="AM287" t="b">
        <f t="shared" si="13"/>
        <v>0</v>
      </c>
      <c r="AN287" t="b">
        <f t="shared" si="14"/>
        <v>0</v>
      </c>
      <c r="AO287" t="b">
        <f>OR(Table7[[#This Row],[Ineligible respondents]:[Inconsistent response on opposite question (3)]])</f>
        <v>0</v>
      </c>
      <c r="AP28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287">
        <f>Table7[[#This Row],[Extreme Response]]/21</f>
        <v>4.7619047619047616E-2</v>
      </c>
      <c r="AR287">
        <f>Table67[[#This Row],[Threshold of ERS]]</f>
        <v>0.61904761904761907</v>
      </c>
      <c r="AS287" t="b">
        <f>Table7[[#This Row],[Extrem Response Ratio (ERS)]]&gt;=Table7[[#This Row],[Threshold of ERS]]</f>
        <v>0</v>
      </c>
      <c r="AT287" t="b" cm="1">
        <f t="array" ref="AT28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87">
        <f>COUNTIF(Table7[[#This Row],[The mechanism of digital assets is difficult to understand, which discourages me from exploring it (E.g, Tokenization, Blockchain)]:[If I want to try different ways to invest, I will explore digital assets.]], 3)</f>
        <v>10</v>
      </c>
      <c r="AV287">
        <f>Table7[[#This Row],[Midpoint]]/21</f>
        <v>0.47619047619047616</v>
      </c>
      <c r="AW287">
        <f>Table67[[#This Row],[Threshold of Midpoint ratio]]</f>
        <v>0.5714285714285714</v>
      </c>
      <c r="AX287" t="b">
        <f>Table7[[#This Row],[Midpoint ratio]]&gt;=Table7[[#This Row],[Threshold of Midpoint ratio]]</f>
        <v>0</v>
      </c>
      <c r="AY287" t="b">
        <f>OR(Table7[[#This Row],[Extreme Response Style]:[Straight-lining with 1 deviation]],Table7[[#This Row],[Mid-point Response Style]])</f>
        <v>0</v>
      </c>
      <c r="AZ287" t="b">
        <f>OR(Table7[[#This Row],[Delete? (Stage 1)]],Table7[[#This Row],[Delete? (Stage 2)]])</f>
        <v>0</v>
      </c>
      <c r="BA287" t="s">
        <v>84</v>
      </c>
    </row>
    <row r="288" spans="1:53">
      <c r="A288">
        <v>1332</v>
      </c>
      <c r="B288" s="3">
        <v>46065.765856481485</v>
      </c>
      <c r="C288" s="3">
        <v>46065.768645833334</v>
      </c>
      <c r="D288" t="s">
        <v>53</v>
      </c>
      <c r="G288" t="s">
        <v>54</v>
      </c>
      <c r="H288" t="s">
        <v>63</v>
      </c>
      <c r="I288" t="s">
        <v>56</v>
      </c>
      <c r="J288" t="s">
        <v>57</v>
      </c>
      <c r="K288" t="s">
        <v>57</v>
      </c>
      <c r="L288" t="s">
        <v>58</v>
      </c>
      <c r="M288" t="s">
        <v>58</v>
      </c>
      <c r="N288">
        <v>3</v>
      </c>
      <c r="O288">
        <v>3</v>
      </c>
      <c r="P288">
        <v>3</v>
      </c>
      <c r="Q288">
        <v>4</v>
      </c>
      <c r="R288">
        <v>3</v>
      </c>
      <c r="S288">
        <v>3</v>
      </c>
      <c r="T288">
        <v>3</v>
      </c>
      <c r="U288">
        <v>4</v>
      </c>
      <c r="V288">
        <v>4</v>
      </c>
      <c r="W288">
        <v>4</v>
      </c>
      <c r="X288">
        <v>2</v>
      </c>
      <c r="Y288">
        <v>4</v>
      </c>
      <c r="Z288">
        <v>2</v>
      </c>
      <c r="AA288">
        <v>3</v>
      </c>
      <c r="AB288">
        <v>3</v>
      </c>
      <c r="AC288">
        <v>4</v>
      </c>
      <c r="AD288">
        <v>2</v>
      </c>
      <c r="AE288">
        <v>2</v>
      </c>
      <c r="AF288">
        <v>4</v>
      </c>
      <c r="AG288">
        <v>2</v>
      </c>
      <c r="AH288">
        <v>4</v>
      </c>
      <c r="AI288">
        <v>2</v>
      </c>
      <c r="AJ288">
        <v>2</v>
      </c>
      <c r="AK288" t="b">
        <f>Table7[[#This Row],[What is your age?]]&lt;&gt;"18 - 25"</f>
        <v>0</v>
      </c>
      <c r="AL288" t="b">
        <f t="shared" si="12"/>
        <v>0</v>
      </c>
      <c r="AM288" t="b">
        <f t="shared" si="13"/>
        <v>0</v>
      </c>
      <c r="AN288" t="b">
        <f t="shared" si="14"/>
        <v>0</v>
      </c>
      <c r="AO288" t="b">
        <f>OR(Table7[[#This Row],[Ineligible respondents]:[Inconsistent response on opposite question (3)]])</f>
        <v>0</v>
      </c>
      <c r="AP28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288">
        <f>Table7[[#This Row],[Extreme Response]]/21</f>
        <v>0</v>
      </c>
      <c r="AR288">
        <f>Table67[[#This Row],[Threshold of ERS]]</f>
        <v>0.61904761904761907</v>
      </c>
      <c r="AS288" t="b">
        <f>Table7[[#This Row],[Extrem Response Ratio (ERS)]]&gt;=Table7[[#This Row],[Threshold of ERS]]</f>
        <v>0</v>
      </c>
      <c r="AT288" t="b" cm="1">
        <f t="array" ref="AT28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88">
        <f>COUNTIF(Table7[[#This Row],[The mechanism of digital assets is difficult to understand, which discourages me from exploring it (E.g, Tokenization, Blockchain)]:[If I want to try different ways to invest, I will explore digital assets.]], 3)</f>
        <v>8</v>
      </c>
      <c r="AV288">
        <f>Table7[[#This Row],[Midpoint]]/21</f>
        <v>0.38095238095238093</v>
      </c>
      <c r="AW288">
        <f>Table67[[#This Row],[Threshold of Midpoint ratio]]</f>
        <v>0.5714285714285714</v>
      </c>
      <c r="AX288" t="b">
        <f>Table7[[#This Row],[Midpoint ratio]]&gt;=Table7[[#This Row],[Threshold of Midpoint ratio]]</f>
        <v>0</v>
      </c>
      <c r="AY288" t="b">
        <f>OR(Table7[[#This Row],[Extreme Response Style]:[Straight-lining with 1 deviation]],Table7[[#This Row],[Mid-point Response Style]])</f>
        <v>0</v>
      </c>
      <c r="AZ288" t="b">
        <f>OR(Table7[[#This Row],[Delete? (Stage 1)]],Table7[[#This Row],[Delete? (Stage 2)]])</f>
        <v>0</v>
      </c>
      <c r="BA288" t="s">
        <v>84</v>
      </c>
    </row>
    <row r="289" spans="1:53">
      <c r="A289">
        <v>1335</v>
      </c>
      <c r="B289" s="3">
        <v>46065.850601851853</v>
      </c>
      <c r="C289" s="3">
        <v>46065.861273148148</v>
      </c>
      <c r="D289" t="s">
        <v>53</v>
      </c>
      <c r="G289" t="s">
        <v>54</v>
      </c>
      <c r="H289" t="s">
        <v>55</v>
      </c>
      <c r="I289" t="s">
        <v>56</v>
      </c>
      <c r="J289" t="s">
        <v>62</v>
      </c>
      <c r="K289" t="s">
        <v>62</v>
      </c>
      <c r="L289" t="s">
        <v>58</v>
      </c>
      <c r="M289" t="s">
        <v>58</v>
      </c>
      <c r="N289">
        <v>4</v>
      </c>
      <c r="O289">
        <v>5</v>
      </c>
      <c r="P289">
        <v>4</v>
      </c>
      <c r="Q289">
        <v>4</v>
      </c>
      <c r="R289">
        <v>4</v>
      </c>
      <c r="S289">
        <v>4</v>
      </c>
      <c r="T289">
        <v>3</v>
      </c>
      <c r="U289">
        <v>4</v>
      </c>
      <c r="V289">
        <v>3</v>
      </c>
      <c r="W289">
        <v>3</v>
      </c>
      <c r="X289">
        <v>3</v>
      </c>
      <c r="Y289">
        <v>3</v>
      </c>
      <c r="Z289">
        <v>3</v>
      </c>
      <c r="AA289">
        <v>4</v>
      </c>
      <c r="AB289">
        <v>4</v>
      </c>
      <c r="AC289">
        <v>4</v>
      </c>
      <c r="AD289">
        <v>3</v>
      </c>
      <c r="AE289">
        <v>3</v>
      </c>
      <c r="AF289">
        <v>3</v>
      </c>
      <c r="AG289">
        <v>2</v>
      </c>
      <c r="AH289">
        <v>5</v>
      </c>
      <c r="AI289">
        <v>1</v>
      </c>
      <c r="AJ289">
        <v>3</v>
      </c>
      <c r="AK289" t="b">
        <f>Table7[[#This Row],[What is your age?]]&lt;&gt;"18 - 25"</f>
        <v>0</v>
      </c>
      <c r="AL289" t="b">
        <f t="shared" si="12"/>
        <v>0</v>
      </c>
      <c r="AM289" t="b">
        <f t="shared" si="13"/>
        <v>0</v>
      </c>
      <c r="AN289" t="b">
        <f t="shared" si="14"/>
        <v>0</v>
      </c>
      <c r="AO289" t="b">
        <f>OR(Table7[[#This Row],[Ineligible respondents]:[Inconsistent response on opposite question (3)]])</f>
        <v>0</v>
      </c>
      <c r="AP28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289">
        <f>Table7[[#This Row],[Extreme Response]]/21</f>
        <v>9.5238095238095233E-2</v>
      </c>
      <c r="AR289">
        <f>Table67[[#This Row],[Threshold of ERS]]</f>
        <v>0.61904761904761907</v>
      </c>
      <c r="AS289" t="b">
        <f>Table7[[#This Row],[Extrem Response Ratio (ERS)]]&gt;=Table7[[#This Row],[Threshold of ERS]]</f>
        <v>0</v>
      </c>
      <c r="AT289" t="b" cm="1">
        <f t="array" ref="AT28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89">
        <f>COUNTIF(Table7[[#This Row],[The mechanism of digital assets is difficult to understand, which discourages me from exploring it (E.g, Tokenization, Blockchain)]:[If I want to try different ways to invest, I will explore digital assets.]], 3)</f>
        <v>9</v>
      </c>
      <c r="AV289">
        <f>Table7[[#This Row],[Midpoint]]/21</f>
        <v>0.42857142857142855</v>
      </c>
      <c r="AW289">
        <f>Table67[[#This Row],[Threshold of Midpoint ratio]]</f>
        <v>0.5714285714285714</v>
      </c>
      <c r="AX289" t="b">
        <f>Table7[[#This Row],[Midpoint ratio]]&gt;=Table7[[#This Row],[Threshold of Midpoint ratio]]</f>
        <v>0</v>
      </c>
      <c r="AY289" t="b">
        <f>OR(Table7[[#This Row],[Extreme Response Style]:[Straight-lining with 1 deviation]],Table7[[#This Row],[Mid-point Response Style]])</f>
        <v>0</v>
      </c>
      <c r="AZ289" t="b">
        <f>OR(Table7[[#This Row],[Delete? (Stage 1)]],Table7[[#This Row],[Delete? (Stage 2)]])</f>
        <v>0</v>
      </c>
      <c r="BA289" t="s">
        <v>84</v>
      </c>
    </row>
    <row r="290" spans="1:53">
      <c r="A290">
        <v>1340</v>
      </c>
      <c r="B290" s="3">
        <v>46065.832858796297</v>
      </c>
      <c r="C290" s="3">
        <v>46065.84170138889</v>
      </c>
      <c r="D290" t="s">
        <v>53</v>
      </c>
      <c r="G290" t="s">
        <v>54</v>
      </c>
      <c r="H290" t="s">
        <v>63</v>
      </c>
      <c r="I290" t="s">
        <v>82</v>
      </c>
      <c r="J290" t="s">
        <v>68</v>
      </c>
      <c r="K290" t="s">
        <v>67</v>
      </c>
      <c r="L290" t="s">
        <v>58</v>
      </c>
      <c r="M290" t="s">
        <v>61</v>
      </c>
      <c r="N290">
        <v>4</v>
      </c>
      <c r="O290">
        <v>4</v>
      </c>
      <c r="P290">
        <v>3</v>
      </c>
      <c r="Q290">
        <v>3</v>
      </c>
      <c r="R290">
        <v>5</v>
      </c>
      <c r="S290">
        <v>2</v>
      </c>
      <c r="T290">
        <v>2</v>
      </c>
      <c r="U290">
        <v>3</v>
      </c>
      <c r="V290">
        <v>2</v>
      </c>
      <c r="W290">
        <v>4</v>
      </c>
      <c r="X290">
        <v>3</v>
      </c>
      <c r="Y290">
        <v>3</v>
      </c>
      <c r="Z290">
        <v>3</v>
      </c>
      <c r="AA290">
        <v>2</v>
      </c>
      <c r="AB290">
        <v>2</v>
      </c>
      <c r="AC290">
        <v>3</v>
      </c>
      <c r="AD290">
        <v>2</v>
      </c>
      <c r="AE290">
        <v>3</v>
      </c>
      <c r="AF290">
        <v>3</v>
      </c>
      <c r="AG290">
        <v>2</v>
      </c>
      <c r="AH290">
        <v>4</v>
      </c>
      <c r="AI290">
        <v>2</v>
      </c>
      <c r="AJ290">
        <v>3</v>
      </c>
      <c r="AK290" t="b">
        <f>Table7[[#This Row],[What is your age?]]&lt;&gt;"18 - 25"</f>
        <v>0</v>
      </c>
      <c r="AL290" t="b">
        <f t="shared" si="12"/>
        <v>0</v>
      </c>
      <c r="AM290" t="b">
        <f t="shared" si="13"/>
        <v>0</v>
      </c>
      <c r="AN290" t="b">
        <f t="shared" si="14"/>
        <v>0</v>
      </c>
      <c r="AO290" t="b">
        <f>OR(Table7[[#This Row],[Ineligible respondents]:[Inconsistent response on opposite question (3)]])</f>
        <v>0</v>
      </c>
      <c r="AP29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290">
        <f>Table7[[#This Row],[Extreme Response]]/21</f>
        <v>4.7619047619047616E-2</v>
      </c>
      <c r="AR290">
        <f>Table67[[#This Row],[Threshold of ERS]]</f>
        <v>0.61904761904761907</v>
      </c>
      <c r="AS290" t="b">
        <f>Table7[[#This Row],[Extrem Response Ratio (ERS)]]&gt;=Table7[[#This Row],[Threshold of ERS]]</f>
        <v>0</v>
      </c>
      <c r="AT290" t="b" cm="1">
        <f t="array" ref="AT29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90">
        <f>COUNTIF(Table7[[#This Row],[The mechanism of digital assets is difficult to understand, which discourages me from exploring it (E.g, Tokenization, Blockchain)]:[If I want to try different ways to invest, I will explore digital assets.]], 3)</f>
        <v>9</v>
      </c>
      <c r="AV290">
        <f>Table7[[#This Row],[Midpoint]]/21</f>
        <v>0.42857142857142855</v>
      </c>
      <c r="AW290">
        <f>Table67[[#This Row],[Threshold of Midpoint ratio]]</f>
        <v>0.5714285714285714</v>
      </c>
      <c r="AX290" t="b">
        <f>Table7[[#This Row],[Midpoint ratio]]&gt;=Table7[[#This Row],[Threshold of Midpoint ratio]]</f>
        <v>0</v>
      </c>
      <c r="AY290" t="b">
        <f>OR(Table7[[#This Row],[Extreme Response Style]:[Straight-lining with 1 deviation]],Table7[[#This Row],[Mid-point Response Style]])</f>
        <v>0</v>
      </c>
      <c r="AZ290" t="b">
        <f>OR(Table7[[#This Row],[Delete? (Stage 1)]],Table7[[#This Row],[Delete? (Stage 2)]])</f>
        <v>0</v>
      </c>
      <c r="BA290" t="s">
        <v>84</v>
      </c>
    </row>
    <row r="291" spans="1:53">
      <c r="A291">
        <v>1342</v>
      </c>
      <c r="B291" s="3">
        <v>46065.882256944446</v>
      </c>
      <c r="C291" s="3">
        <v>46065.888726851852</v>
      </c>
      <c r="D291" t="s">
        <v>53</v>
      </c>
      <c r="G291" t="s">
        <v>54</v>
      </c>
      <c r="H291" t="s">
        <v>55</v>
      </c>
      <c r="I291" t="s">
        <v>71</v>
      </c>
      <c r="J291" t="s">
        <v>62</v>
      </c>
      <c r="K291" t="s">
        <v>62</v>
      </c>
      <c r="L291" t="s">
        <v>58</v>
      </c>
      <c r="M291" t="s">
        <v>58</v>
      </c>
      <c r="N291">
        <v>4</v>
      </c>
      <c r="O291">
        <v>4</v>
      </c>
      <c r="P291">
        <v>4</v>
      </c>
      <c r="Q291">
        <v>4</v>
      </c>
      <c r="R291">
        <v>4</v>
      </c>
      <c r="S291">
        <v>4</v>
      </c>
      <c r="T291">
        <v>4</v>
      </c>
      <c r="U291">
        <v>4</v>
      </c>
      <c r="V291">
        <v>4</v>
      </c>
      <c r="W291">
        <v>4</v>
      </c>
      <c r="X291">
        <v>3</v>
      </c>
      <c r="Y291">
        <v>4</v>
      </c>
      <c r="Z291">
        <v>3</v>
      </c>
      <c r="AA291">
        <v>4</v>
      </c>
      <c r="AB291">
        <v>5</v>
      </c>
      <c r="AC291">
        <v>4</v>
      </c>
      <c r="AD291">
        <v>3</v>
      </c>
      <c r="AE291">
        <v>4</v>
      </c>
      <c r="AF291">
        <v>2</v>
      </c>
      <c r="AG291">
        <v>3</v>
      </c>
      <c r="AH291">
        <v>3</v>
      </c>
      <c r="AI291">
        <v>3</v>
      </c>
      <c r="AJ291">
        <v>4</v>
      </c>
      <c r="AK291" t="b">
        <f>Table7[[#This Row],[What is your age?]]&lt;&gt;"18 - 25"</f>
        <v>0</v>
      </c>
      <c r="AL291" t="b">
        <f t="shared" si="12"/>
        <v>0</v>
      </c>
      <c r="AM291" t="b">
        <f t="shared" si="13"/>
        <v>0</v>
      </c>
      <c r="AN291" t="b">
        <f t="shared" si="14"/>
        <v>0</v>
      </c>
      <c r="AO291" t="b">
        <f>OR(Table7[[#This Row],[Ineligible respondents]:[Inconsistent response on opposite question (3)]])</f>
        <v>0</v>
      </c>
      <c r="AP29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291">
        <f>Table7[[#This Row],[Extreme Response]]/21</f>
        <v>4.7619047619047616E-2</v>
      </c>
      <c r="AR291">
        <f>Table67[[#This Row],[Threshold of ERS]]</f>
        <v>0.61904761904761907</v>
      </c>
      <c r="AS291" t="b">
        <f>Table7[[#This Row],[Extrem Response Ratio (ERS)]]&gt;=Table7[[#This Row],[Threshold of ERS]]</f>
        <v>0</v>
      </c>
      <c r="AT291" t="b" cm="1">
        <f t="array" ref="AT29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91">
        <f>COUNTIF(Table7[[#This Row],[The mechanism of digital assets is difficult to understand, which discourages me from exploring it (E.g, Tokenization, Blockchain)]:[If I want to try different ways to invest, I will explore digital assets.]], 3)</f>
        <v>5</v>
      </c>
      <c r="AV291">
        <f>Table7[[#This Row],[Midpoint]]/21</f>
        <v>0.23809523809523808</v>
      </c>
      <c r="AW291">
        <f>Table67[[#This Row],[Threshold of Midpoint ratio]]</f>
        <v>0.5714285714285714</v>
      </c>
      <c r="AX291" t="b">
        <f>Table7[[#This Row],[Midpoint ratio]]&gt;=Table7[[#This Row],[Threshold of Midpoint ratio]]</f>
        <v>0</v>
      </c>
      <c r="AY291" t="b">
        <f>OR(Table7[[#This Row],[Extreme Response Style]:[Straight-lining with 1 deviation]],Table7[[#This Row],[Mid-point Response Style]])</f>
        <v>0</v>
      </c>
      <c r="AZ291" t="b">
        <f>OR(Table7[[#This Row],[Delete? (Stage 1)]],Table7[[#This Row],[Delete? (Stage 2)]])</f>
        <v>0</v>
      </c>
      <c r="BA291" t="s">
        <v>84</v>
      </c>
    </row>
    <row r="292" spans="1:53">
      <c r="A292">
        <v>1347</v>
      </c>
      <c r="B292" s="3">
        <v>46065.699699074074</v>
      </c>
      <c r="C292" s="3">
        <v>46065.702696759261</v>
      </c>
      <c r="D292" t="s">
        <v>53</v>
      </c>
      <c r="G292" t="s">
        <v>54</v>
      </c>
      <c r="H292" t="s">
        <v>63</v>
      </c>
      <c r="I292" t="s">
        <v>56</v>
      </c>
      <c r="J292" t="s">
        <v>57</v>
      </c>
      <c r="K292" t="s">
        <v>57</v>
      </c>
      <c r="L292" t="s">
        <v>58</v>
      </c>
      <c r="M292" t="s">
        <v>58</v>
      </c>
      <c r="N292">
        <v>3</v>
      </c>
      <c r="O292">
        <v>4</v>
      </c>
      <c r="P292">
        <v>4</v>
      </c>
      <c r="Q292">
        <v>4</v>
      </c>
      <c r="R292">
        <v>2</v>
      </c>
      <c r="S292">
        <v>3</v>
      </c>
      <c r="T292">
        <v>3</v>
      </c>
      <c r="U292">
        <v>4</v>
      </c>
      <c r="V292">
        <v>3</v>
      </c>
      <c r="W292">
        <v>3</v>
      </c>
      <c r="X292">
        <v>4</v>
      </c>
      <c r="Y292">
        <v>4</v>
      </c>
      <c r="Z292">
        <v>4</v>
      </c>
      <c r="AA292">
        <v>3</v>
      </c>
      <c r="AB292">
        <v>2</v>
      </c>
      <c r="AC292">
        <v>4</v>
      </c>
      <c r="AD292">
        <v>4</v>
      </c>
      <c r="AE292">
        <v>3</v>
      </c>
      <c r="AF292">
        <v>1</v>
      </c>
      <c r="AG292">
        <v>4</v>
      </c>
      <c r="AH292">
        <v>2</v>
      </c>
      <c r="AI292">
        <v>4</v>
      </c>
      <c r="AJ292">
        <v>5</v>
      </c>
      <c r="AK292" t="b">
        <f>Table7[[#This Row],[What is your age?]]&lt;&gt;"18 - 25"</f>
        <v>0</v>
      </c>
      <c r="AL292" t="b">
        <f t="shared" si="12"/>
        <v>0</v>
      </c>
      <c r="AM292" t="b">
        <f t="shared" si="13"/>
        <v>0</v>
      </c>
      <c r="AN292" t="b">
        <f t="shared" si="14"/>
        <v>0</v>
      </c>
      <c r="AO292" t="b">
        <f>OR(Table7[[#This Row],[Ineligible respondents]:[Inconsistent response on opposite question (3)]])</f>
        <v>0</v>
      </c>
      <c r="AP29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292">
        <f>Table7[[#This Row],[Extreme Response]]/21</f>
        <v>4.7619047619047616E-2</v>
      </c>
      <c r="AR292">
        <f>Table67[[#This Row],[Threshold of ERS]]</f>
        <v>0.61904761904761907</v>
      </c>
      <c r="AS292" t="b">
        <f>Table7[[#This Row],[Extrem Response Ratio (ERS)]]&gt;=Table7[[#This Row],[Threshold of ERS]]</f>
        <v>0</v>
      </c>
      <c r="AT292" t="b" cm="1">
        <f t="array" ref="AT29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92">
        <f>COUNTIF(Table7[[#This Row],[The mechanism of digital assets is difficult to understand, which discourages me from exploring it (E.g, Tokenization, Blockchain)]:[If I want to try different ways to invest, I will explore digital assets.]], 3)</f>
        <v>7</v>
      </c>
      <c r="AV292">
        <f>Table7[[#This Row],[Midpoint]]/21</f>
        <v>0.33333333333333331</v>
      </c>
      <c r="AW292">
        <f>Table67[[#This Row],[Threshold of Midpoint ratio]]</f>
        <v>0.5714285714285714</v>
      </c>
      <c r="AX292" t="b">
        <f>Table7[[#This Row],[Midpoint ratio]]&gt;=Table7[[#This Row],[Threshold of Midpoint ratio]]</f>
        <v>0</v>
      </c>
      <c r="AY292" t="b">
        <f>OR(Table7[[#This Row],[Extreme Response Style]:[Straight-lining with 1 deviation]],Table7[[#This Row],[Mid-point Response Style]])</f>
        <v>0</v>
      </c>
      <c r="AZ292" t="b">
        <f>OR(Table7[[#This Row],[Delete? (Stage 1)]],Table7[[#This Row],[Delete? (Stage 2)]])</f>
        <v>0</v>
      </c>
      <c r="BA292" t="s">
        <v>84</v>
      </c>
    </row>
    <row r="293" spans="1:53">
      <c r="A293">
        <v>1348</v>
      </c>
      <c r="B293" s="3">
        <v>46065.723993055559</v>
      </c>
      <c r="C293" s="3">
        <v>46065.724351851852</v>
      </c>
      <c r="D293" t="s">
        <v>53</v>
      </c>
      <c r="G293" t="s">
        <v>54</v>
      </c>
      <c r="H293" t="s">
        <v>63</v>
      </c>
      <c r="I293" t="s">
        <v>56</v>
      </c>
      <c r="J293" t="s">
        <v>57</v>
      </c>
      <c r="K293" t="s">
        <v>57</v>
      </c>
      <c r="L293" t="s">
        <v>58</v>
      </c>
      <c r="M293" t="s">
        <v>58</v>
      </c>
      <c r="N293">
        <v>3</v>
      </c>
      <c r="O293">
        <v>3</v>
      </c>
      <c r="P293">
        <v>3</v>
      </c>
      <c r="Q293">
        <v>2</v>
      </c>
      <c r="R293">
        <v>3</v>
      </c>
      <c r="S293">
        <v>3</v>
      </c>
      <c r="T293">
        <v>4</v>
      </c>
      <c r="U293">
        <v>3</v>
      </c>
      <c r="V293">
        <v>2</v>
      </c>
      <c r="W293">
        <v>3</v>
      </c>
      <c r="X293">
        <v>2</v>
      </c>
      <c r="Y293">
        <v>3</v>
      </c>
      <c r="Z293">
        <v>2</v>
      </c>
      <c r="AA293">
        <v>3</v>
      </c>
      <c r="AB293">
        <v>3</v>
      </c>
      <c r="AC293">
        <v>3</v>
      </c>
      <c r="AD293">
        <v>2</v>
      </c>
      <c r="AE293">
        <v>2</v>
      </c>
      <c r="AF293">
        <v>4</v>
      </c>
      <c r="AG293">
        <v>2</v>
      </c>
      <c r="AH293">
        <v>5</v>
      </c>
      <c r="AI293">
        <v>1</v>
      </c>
      <c r="AJ293">
        <v>2</v>
      </c>
      <c r="AK293" t="b">
        <f>Table7[[#This Row],[What is your age?]]&lt;&gt;"18 - 25"</f>
        <v>0</v>
      </c>
      <c r="AL293" t="b">
        <f t="shared" si="12"/>
        <v>0</v>
      </c>
      <c r="AM293" t="b">
        <f t="shared" si="13"/>
        <v>0</v>
      </c>
      <c r="AN293" t="b">
        <f t="shared" si="14"/>
        <v>0</v>
      </c>
      <c r="AO293" t="b">
        <f>OR(Table7[[#This Row],[Ineligible respondents]:[Inconsistent response on opposite question (3)]])</f>
        <v>0</v>
      </c>
      <c r="AP29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293">
        <f>Table7[[#This Row],[Extreme Response]]/21</f>
        <v>4.7619047619047616E-2</v>
      </c>
      <c r="AR293">
        <f>Table67[[#This Row],[Threshold of ERS]]</f>
        <v>0.61904761904761907</v>
      </c>
      <c r="AS293" t="b">
        <f>Table7[[#This Row],[Extrem Response Ratio (ERS)]]&gt;=Table7[[#This Row],[Threshold of ERS]]</f>
        <v>0</v>
      </c>
      <c r="AT293" t="b" cm="1">
        <f t="array" ref="AT29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93">
        <f>COUNTIF(Table7[[#This Row],[The mechanism of digital assets is difficult to understand, which discourages me from exploring it (E.g, Tokenization, Blockchain)]:[If I want to try different ways to invest, I will explore digital assets.]], 3)</f>
        <v>11</v>
      </c>
      <c r="AV293">
        <f>Table7[[#This Row],[Midpoint]]/21</f>
        <v>0.52380952380952384</v>
      </c>
      <c r="AW293">
        <f>Table67[[#This Row],[Threshold of Midpoint ratio]]</f>
        <v>0.5714285714285714</v>
      </c>
      <c r="AX293" t="b">
        <f>Table7[[#This Row],[Midpoint ratio]]&gt;=Table7[[#This Row],[Threshold of Midpoint ratio]]</f>
        <v>0</v>
      </c>
      <c r="AY293" t="b">
        <f>OR(Table7[[#This Row],[Extreme Response Style]:[Straight-lining with 1 deviation]],Table7[[#This Row],[Mid-point Response Style]])</f>
        <v>0</v>
      </c>
      <c r="AZ293" t="b">
        <f>OR(Table7[[#This Row],[Delete? (Stage 1)]],Table7[[#This Row],[Delete? (Stage 2)]])</f>
        <v>0</v>
      </c>
      <c r="BA293" t="s">
        <v>84</v>
      </c>
    </row>
    <row r="294" spans="1:53">
      <c r="A294">
        <v>1353</v>
      </c>
      <c r="B294" s="3">
        <v>46065.83289351852</v>
      </c>
      <c r="C294" s="3">
        <v>46065.841724537036</v>
      </c>
      <c r="D294" t="s">
        <v>53</v>
      </c>
      <c r="G294" t="s">
        <v>54</v>
      </c>
      <c r="H294" t="s">
        <v>55</v>
      </c>
      <c r="I294" t="s">
        <v>56</v>
      </c>
      <c r="J294" t="s">
        <v>66</v>
      </c>
      <c r="K294" t="s">
        <v>66</v>
      </c>
      <c r="L294" t="s">
        <v>58</v>
      </c>
      <c r="M294" t="s">
        <v>58</v>
      </c>
      <c r="N294">
        <v>4</v>
      </c>
      <c r="O294">
        <v>4</v>
      </c>
      <c r="P294">
        <v>2</v>
      </c>
      <c r="Q294">
        <v>2</v>
      </c>
      <c r="R294">
        <v>4</v>
      </c>
      <c r="S294">
        <v>2</v>
      </c>
      <c r="T294">
        <v>3</v>
      </c>
      <c r="U294">
        <v>3</v>
      </c>
      <c r="V294">
        <v>3</v>
      </c>
      <c r="W294">
        <v>3</v>
      </c>
      <c r="X294">
        <v>2</v>
      </c>
      <c r="Y294">
        <v>2</v>
      </c>
      <c r="Z294">
        <v>2</v>
      </c>
      <c r="AA294">
        <v>2</v>
      </c>
      <c r="AB294">
        <v>3</v>
      </c>
      <c r="AC294">
        <v>2</v>
      </c>
      <c r="AD294">
        <v>2</v>
      </c>
      <c r="AE294">
        <v>2</v>
      </c>
      <c r="AF294">
        <v>5</v>
      </c>
      <c r="AG294">
        <v>1</v>
      </c>
      <c r="AH294">
        <v>4</v>
      </c>
      <c r="AI294">
        <v>2</v>
      </c>
      <c r="AJ294">
        <v>1</v>
      </c>
      <c r="AK294" t="b">
        <f>Table7[[#This Row],[What is your age?]]&lt;&gt;"18 - 25"</f>
        <v>0</v>
      </c>
      <c r="AL294" t="b">
        <f t="shared" si="12"/>
        <v>0</v>
      </c>
      <c r="AM294" t="b">
        <f t="shared" si="13"/>
        <v>0</v>
      </c>
      <c r="AN294" t="b">
        <f t="shared" si="14"/>
        <v>0</v>
      </c>
      <c r="AO294" t="b">
        <f>OR(Table7[[#This Row],[Ineligible respondents]:[Inconsistent response on opposite question (3)]])</f>
        <v>0</v>
      </c>
      <c r="AP29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294">
        <f>Table7[[#This Row],[Extreme Response]]/21</f>
        <v>9.5238095238095233E-2</v>
      </c>
      <c r="AR294">
        <f>Table67[[#This Row],[Threshold of ERS]]</f>
        <v>0.61904761904761907</v>
      </c>
      <c r="AS294" t="b">
        <f>Table7[[#This Row],[Extrem Response Ratio (ERS)]]&gt;=Table7[[#This Row],[Threshold of ERS]]</f>
        <v>0</v>
      </c>
      <c r="AT294" t="b" cm="1">
        <f t="array" ref="AT29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94">
        <f>COUNTIF(Table7[[#This Row],[The mechanism of digital assets is difficult to understand, which discourages me from exploring it (E.g, Tokenization, Blockchain)]:[If I want to try different ways to invest, I will explore digital assets.]], 3)</f>
        <v>5</v>
      </c>
      <c r="AV294">
        <f>Table7[[#This Row],[Midpoint]]/21</f>
        <v>0.23809523809523808</v>
      </c>
      <c r="AW294">
        <f>Table67[[#This Row],[Threshold of Midpoint ratio]]</f>
        <v>0.5714285714285714</v>
      </c>
      <c r="AX294" t="b">
        <f>Table7[[#This Row],[Midpoint ratio]]&gt;=Table7[[#This Row],[Threshold of Midpoint ratio]]</f>
        <v>0</v>
      </c>
      <c r="AY294" t="b">
        <f>OR(Table7[[#This Row],[Extreme Response Style]:[Straight-lining with 1 deviation]],Table7[[#This Row],[Mid-point Response Style]])</f>
        <v>0</v>
      </c>
      <c r="AZ294" t="b">
        <f>OR(Table7[[#This Row],[Delete? (Stage 1)]],Table7[[#This Row],[Delete? (Stage 2)]])</f>
        <v>0</v>
      </c>
      <c r="BA294" t="s">
        <v>84</v>
      </c>
    </row>
    <row r="295" spans="1:53">
      <c r="A295">
        <v>1355</v>
      </c>
      <c r="B295" s="3">
        <v>46065.886793981481</v>
      </c>
      <c r="C295" s="3">
        <v>46065.886944444443</v>
      </c>
      <c r="D295" t="s">
        <v>53</v>
      </c>
      <c r="G295" t="s">
        <v>54</v>
      </c>
      <c r="H295" t="s">
        <v>55</v>
      </c>
      <c r="I295" t="s">
        <v>56</v>
      </c>
      <c r="J295" t="s">
        <v>64</v>
      </c>
      <c r="K295" t="s">
        <v>62</v>
      </c>
      <c r="L295" t="s">
        <v>58</v>
      </c>
      <c r="M295" t="s">
        <v>58</v>
      </c>
      <c r="N295">
        <v>4</v>
      </c>
      <c r="O295">
        <v>5</v>
      </c>
      <c r="P295">
        <v>4</v>
      </c>
      <c r="Q295">
        <v>4</v>
      </c>
      <c r="R295">
        <v>4</v>
      </c>
      <c r="S295">
        <v>2</v>
      </c>
      <c r="T295">
        <v>3</v>
      </c>
      <c r="U295">
        <v>4</v>
      </c>
      <c r="V295">
        <v>5</v>
      </c>
      <c r="W295">
        <v>5</v>
      </c>
      <c r="X295">
        <v>3</v>
      </c>
      <c r="Y295">
        <v>5</v>
      </c>
      <c r="Z295">
        <v>3</v>
      </c>
      <c r="AA295">
        <v>2</v>
      </c>
      <c r="AB295">
        <v>2</v>
      </c>
      <c r="AC295">
        <v>4</v>
      </c>
      <c r="AD295">
        <v>4</v>
      </c>
      <c r="AE295">
        <v>3</v>
      </c>
      <c r="AF295">
        <v>5</v>
      </c>
      <c r="AG295">
        <v>1</v>
      </c>
      <c r="AH295">
        <v>4</v>
      </c>
      <c r="AI295">
        <v>2</v>
      </c>
      <c r="AJ295">
        <v>1</v>
      </c>
      <c r="AK295" t="b">
        <f>Table7[[#This Row],[What is your age?]]&lt;&gt;"18 - 25"</f>
        <v>0</v>
      </c>
      <c r="AL295" t="b">
        <f t="shared" si="12"/>
        <v>0</v>
      </c>
      <c r="AM295" t="b">
        <f t="shared" si="13"/>
        <v>0</v>
      </c>
      <c r="AN295" t="b">
        <f t="shared" si="14"/>
        <v>0</v>
      </c>
      <c r="AO295" t="b">
        <f>OR(Table7[[#This Row],[Ineligible respondents]:[Inconsistent response on opposite question (3)]])</f>
        <v>0</v>
      </c>
      <c r="AP29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6</v>
      </c>
      <c r="AQ295">
        <f>Table7[[#This Row],[Extreme Response]]/21</f>
        <v>0.2857142857142857</v>
      </c>
      <c r="AR295">
        <f>Table67[[#This Row],[Threshold of ERS]]</f>
        <v>0.61904761904761907</v>
      </c>
      <c r="AS295" t="b">
        <f>Table7[[#This Row],[Extrem Response Ratio (ERS)]]&gt;=Table7[[#This Row],[Threshold of ERS]]</f>
        <v>0</v>
      </c>
      <c r="AT295" t="b" cm="1">
        <f t="array" ref="AT29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95">
        <f>COUNTIF(Table7[[#This Row],[The mechanism of digital assets is difficult to understand, which discourages me from exploring it (E.g, Tokenization, Blockchain)]:[If I want to try different ways to invest, I will explore digital assets.]], 3)</f>
        <v>4</v>
      </c>
      <c r="AV295">
        <f>Table7[[#This Row],[Midpoint]]/21</f>
        <v>0.19047619047619047</v>
      </c>
      <c r="AW295">
        <f>Table67[[#This Row],[Threshold of Midpoint ratio]]</f>
        <v>0.5714285714285714</v>
      </c>
      <c r="AX295" t="b">
        <f>Table7[[#This Row],[Midpoint ratio]]&gt;=Table7[[#This Row],[Threshold of Midpoint ratio]]</f>
        <v>0</v>
      </c>
      <c r="AY295" t="b">
        <f>OR(Table7[[#This Row],[Extreme Response Style]:[Straight-lining with 1 deviation]],Table7[[#This Row],[Mid-point Response Style]])</f>
        <v>0</v>
      </c>
      <c r="AZ295" t="b">
        <f>OR(Table7[[#This Row],[Delete? (Stage 1)]],Table7[[#This Row],[Delete? (Stage 2)]])</f>
        <v>0</v>
      </c>
      <c r="BA295" t="s">
        <v>84</v>
      </c>
    </row>
    <row r="296" spans="1:53">
      <c r="A296">
        <v>1358</v>
      </c>
      <c r="B296" s="3">
        <v>46065.694560185184</v>
      </c>
      <c r="C296" s="3">
        <v>46065.694907407407</v>
      </c>
      <c r="D296" t="s">
        <v>53</v>
      </c>
      <c r="G296" t="s">
        <v>54</v>
      </c>
      <c r="H296" t="s">
        <v>55</v>
      </c>
      <c r="I296" t="s">
        <v>56</v>
      </c>
      <c r="J296" t="s">
        <v>65</v>
      </c>
      <c r="K296" t="s">
        <v>62</v>
      </c>
      <c r="L296" t="s">
        <v>58</v>
      </c>
      <c r="M296" t="s">
        <v>58</v>
      </c>
      <c r="N296">
        <v>1</v>
      </c>
      <c r="O296">
        <v>1</v>
      </c>
      <c r="P296">
        <v>3</v>
      </c>
      <c r="Q296">
        <v>2</v>
      </c>
      <c r="R296">
        <v>1</v>
      </c>
      <c r="S296">
        <v>2</v>
      </c>
      <c r="T296">
        <v>3</v>
      </c>
      <c r="U296">
        <v>3</v>
      </c>
      <c r="V296">
        <v>4</v>
      </c>
      <c r="W296">
        <v>5</v>
      </c>
      <c r="X296">
        <v>3</v>
      </c>
      <c r="Y296">
        <v>5</v>
      </c>
      <c r="Z296">
        <v>4</v>
      </c>
      <c r="AA296">
        <v>2</v>
      </c>
      <c r="AB296">
        <v>2</v>
      </c>
      <c r="AC296">
        <v>3</v>
      </c>
      <c r="AD296">
        <v>4</v>
      </c>
      <c r="AE296">
        <v>4</v>
      </c>
      <c r="AF296">
        <v>3</v>
      </c>
      <c r="AG296">
        <v>2</v>
      </c>
      <c r="AH296">
        <v>5</v>
      </c>
      <c r="AI296">
        <v>1</v>
      </c>
      <c r="AJ296">
        <v>3</v>
      </c>
      <c r="AK296" t="b">
        <f>Table7[[#This Row],[What is your age?]]&lt;&gt;"18 - 25"</f>
        <v>0</v>
      </c>
      <c r="AL296" t="b">
        <f t="shared" si="12"/>
        <v>0</v>
      </c>
      <c r="AM296" t="b">
        <f t="shared" si="13"/>
        <v>0</v>
      </c>
      <c r="AN296" t="b">
        <f t="shared" si="14"/>
        <v>0</v>
      </c>
      <c r="AO296" t="b">
        <f>OR(Table7[[#This Row],[Ineligible respondents]:[Inconsistent response on opposite question (3)]])</f>
        <v>0</v>
      </c>
      <c r="AP29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6</v>
      </c>
      <c r="AQ296">
        <f>Table7[[#This Row],[Extreme Response]]/21</f>
        <v>0.2857142857142857</v>
      </c>
      <c r="AR296">
        <f>Table67[[#This Row],[Threshold of ERS]]</f>
        <v>0.61904761904761907</v>
      </c>
      <c r="AS296" t="b">
        <f>Table7[[#This Row],[Extrem Response Ratio (ERS)]]&gt;=Table7[[#This Row],[Threshold of ERS]]</f>
        <v>0</v>
      </c>
      <c r="AT296" t="b" cm="1">
        <f t="array" ref="AT29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96">
        <f>COUNTIF(Table7[[#This Row],[The mechanism of digital assets is difficult to understand, which discourages me from exploring it (E.g, Tokenization, Blockchain)]:[If I want to try different ways to invest, I will explore digital assets.]], 3)</f>
        <v>6</v>
      </c>
      <c r="AV296">
        <f>Table7[[#This Row],[Midpoint]]/21</f>
        <v>0.2857142857142857</v>
      </c>
      <c r="AW296">
        <f>Table67[[#This Row],[Threshold of Midpoint ratio]]</f>
        <v>0.5714285714285714</v>
      </c>
      <c r="AX296" t="b">
        <f>Table7[[#This Row],[Midpoint ratio]]&gt;=Table7[[#This Row],[Threshold of Midpoint ratio]]</f>
        <v>0</v>
      </c>
      <c r="AY296" t="b">
        <f>OR(Table7[[#This Row],[Extreme Response Style]:[Straight-lining with 1 deviation]],Table7[[#This Row],[Mid-point Response Style]])</f>
        <v>0</v>
      </c>
      <c r="AZ296" t="b">
        <f>OR(Table7[[#This Row],[Delete? (Stage 1)]],Table7[[#This Row],[Delete? (Stage 2)]])</f>
        <v>0</v>
      </c>
      <c r="BA296" t="s">
        <v>84</v>
      </c>
    </row>
    <row r="297" spans="1:53">
      <c r="A297">
        <v>1360</v>
      </c>
      <c r="B297" s="3">
        <v>46065.890856481485</v>
      </c>
      <c r="C297" s="3">
        <v>46065.891527777778</v>
      </c>
      <c r="D297" t="s">
        <v>53</v>
      </c>
      <c r="G297" t="s">
        <v>54</v>
      </c>
      <c r="H297" t="s">
        <v>55</v>
      </c>
      <c r="I297" t="s">
        <v>71</v>
      </c>
      <c r="J297" t="s">
        <v>57</v>
      </c>
      <c r="K297" t="s">
        <v>57</v>
      </c>
      <c r="L297" t="s">
        <v>58</v>
      </c>
      <c r="M297" t="s">
        <v>58</v>
      </c>
      <c r="N297">
        <v>3</v>
      </c>
      <c r="O297">
        <v>1</v>
      </c>
      <c r="P297">
        <v>3</v>
      </c>
      <c r="Q297">
        <v>2</v>
      </c>
      <c r="R297">
        <v>5</v>
      </c>
      <c r="S297">
        <v>1</v>
      </c>
      <c r="T297">
        <v>4</v>
      </c>
      <c r="U297">
        <v>4</v>
      </c>
      <c r="V297">
        <v>4</v>
      </c>
      <c r="W297">
        <v>3</v>
      </c>
      <c r="X297">
        <v>2</v>
      </c>
      <c r="Y297">
        <v>4</v>
      </c>
      <c r="Z297">
        <v>2</v>
      </c>
      <c r="AA297">
        <v>2</v>
      </c>
      <c r="AB297">
        <v>2</v>
      </c>
      <c r="AC297">
        <v>2</v>
      </c>
      <c r="AD297">
        <v>1</v>
      </c>
      <c r="AE297">
        <v>1</v>
      </c>
      <c r="AF297">
        <v>2</v>
      </c>
      <c r="AG297">
        <v>2</v>
      </c>
      <c r="AH297">
        <v>5</v>
      </c>
      <c r="AI297">
        <v>1</v>
      </c>
      <c r="AJ297">
        <v>4</v>
      </c>
      <c r="AK297" t="b">
        <f>Table7[[#This Row],[What is your age?]]&lt;&gt;"18 - 25"</f>
        <v>0</v>
      </c>
      <c r="AL297" t="b">
        <f t="shared" si="12"/>
        <v>0</v>
      </c>
      <c r="AM297" t="b">
        <f t="shared" si="13"/>
        <v>0</v>
      </c>
      <c r="AN297" t="b">
        <f t="shared" si="14"/>
        <v>0</v>
      </c>
      <c r="AO297" t="b">
        <f>OR(Table7[[#This Row],[Ineligible respondents]:[Inconsistent response on opposite question (3)]])</f>
        <v>0</v>
      </c>
      <c r="AP29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6</v>
      </c>
      <c r="AQ297">
        <f>Table7[[#This Row],[Extreme Response]]/21</f>
        <v>0.2857142857142857</v>
      </c>
      <c r="AR297">
        <f>Table67[[#This Row],[Threshold of ERS]]</f>
        <v>0.61904761904761907</v>
      </c>
      <c r="AS297" t="b">
        <f>Table7[[#This Row],[Extrem Response Ratio (ERS)]]&gt;=Table7[[#This Row],[Threshold of ERS]]</f>
        <v>0</v>
      </c>
      <c r="AT297" t="b" cm="1">
        <f t="array" ref="AT29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97">
        <f>COUNTIF(Table7[[#This Row],[The mechanism of digital assets is difficult to understand, which discourages me from exploring it (E.g, Tokenization, Blockchain)]:[If I want to try different ways to invest, I will explore digital assets.]], 3)</f>
        <v>3</v>
      </c>
      <c r="AV297">
        <f>Table7[[#This Row],[Midpoint]]/21</f>
        <v>0.14285714285714285</v>
      </c>
      <c r="AW297">
        <f>Table67[[#This Row],[Threshold of Midpoint ratio]]</f>
        <v>0.5714285714285714</v>
      </c>
      <c r="AX297" t="b">
        <f>Table7[[#This Row],[Midpoint ratio]]&gt;=Table7[[#This Row],[Threshold of Midpoint ratio]]</f>
        <v>0</v>
      </c>
      <c r="AY297" t="b">
        <f>OR(Table7[[#This Row],[Extreme Response Style]:[Straight-lining with 1 deviation]],Table7[[#This Row],[Mid-point Response Style]])</f>
        <v>0</v>
      </c>
      <c r="AZ297" t="b">
        <f>OR(Table7[[#This Row],[Delete? (Stage 1)]],Table7[[#This Row],[Delete? (Stage 2)]])</f>
        <v>0</v>
      </c>
      <c r="BA297" t="s">
        <v>84</v>
      </c>
    </row>
    <row r="298" spans="1:53">
      <c r="A298">
        <v>1368</v>
      </c>
      <c r="B298" s="3">
        <v>46065.714988425927</v>
      </c>
      <c r="C298" s="3">
        <v>46065.715185185189</v>
      </c>
      <c r="D298" t="s">
        <v>53</v>
      </c>
      <c r="G298" t="s">
        <v>54</v>
      </c>
      <c r="H298" t="s">
        <v>63</v>
      </c>
      <c r="I298" t="s">
        <v>56</v>
      </c>
      <c r="J298" t="s">
        <v>62</v>
      </c>
      <c r="K298" t="s">
        <v>62</v>
      </c>
      <c r="L298" t="s">
        <v>58</v>
      </c>
      <c r="M298" t="s">
        <v>58</v>
      </c>
      <c r="N298">
        <v>1</v>
      </c>
      <c r="O298">
        <v>1</v>
      </c>
      <c r="P298">
        <v>4</v>
      </c>
      <c r="Q298">
        <v>4</v>
      </c>
      <c r="R298">
        <v>1</v>
      </c>
      <c r="S298">
        <v>3</v>
      </c>
      <c r="T298">
        <v>2</v>
      </c>
      <c r="U298">
        <v>4</v>
      </c>
      <c r="V298">
        <v>3</v>
      </c>
      <c r="W298">
        <v>3</v>
      </c>
      <c r="X298">
        <v>2</v>
      </c>
      <c r="Y298">
        <v>2</v>
      </c>
      <c r="Z298">
        <v>3</v>
      </c>
      <c r="AA298">
        <v>2</v>
      </c>
      <c r="AB298">
        <v>2</v>
      </c>
      <c r="AC298">
        <v>4</v>
      </c>
      <c r="AD298">
        <v>2</v>
      </c>
      <c r="AE298">
        <v>2</v>
      </c>
      <c r="AF298">
        <v>4</v>
      </c>
      <c r="AG298">
        <v>2</v>
      </c>
      <c r="AH298">
        <v>4</v>
      </c>
      <c r="AI298">
        <v>2</v>
      </c>
      <c r="AJ298">
        <v>2</v>
      </c>
      <c r="AK298" t="b">
        <f>Table7[[#This Row],[What is your age?]]&lt;&gt;"18 - 25"</f>
        <v>0</v>
      </c>
      <c r="AL298" t="b">
        <f t="shared" si="12"/>
        <v>0</v>
      </c>
      <c r="AM298" t="b">
        <f t="shared" si="13"/>
        <v>0</v>
      </c>
      <c r="AN298" t="b">
        <f t="shared" si="14"/>
        <v>0</v>
      </c>
      <c r="AO298" t="b">
        <f>OR(Table7[[#This Row],[Ineligible respondents]:[Inconsistent response on opposite question (3)]])</f>
        <v>0</v>
      </c>
      <c r="AP29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298">
        <f>Table7[[#This Row],[Extreme Response]]/21</f>
        <v>0.14285714285714285</v>
      </c>
      <c r="AR298">
        <f>Table67[[#This Row],[Threshold of ERS]]</f>
        <v>0.61904761904761907</v>
      </c>
      <c r="AS298" t="b">
        <f>Table7[[#This Row],[Extrem Response Ratio (ERS)]]&gt;=Table7[[#This Row],[Threshold of ERS]]</f>
        <v>0</v>
      </c>
      <c r="AT298" t="b" cm="1">
        <f t="array" ref="AT29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98">
        <f>COUNTIF(Table7[[#This Row],[The mechanism of digital assets is difficult to understand, which discourages me from exploring it (E.g, Tokenization, Blockchain)]:[If I want to try different ways to invest, I will explore digital assets.]], 3)</f>
        <v>4</v>
      </c>
      <c r="AV298">
        <f>Table7[[#This Row],[Midpoint]]/21</f>
        <v>0.19047619047619047</v>
      </c>
      <c r="AW298">
        <f>Table67[[#This Row],[Threshold of Midpoint ratio]]</f>
        <v>0.5714285714285714</v>
      </c>
      <c r="AX298" t="b">
        <f>Table7[[#This Row],[Midpoint ratio]]&gt;=Table7[[#This Row],[Threshold of Midpoint ratio]]</f>
        <v>0</v>
      </c>
      <c r="AY298" t="b">
        <f>OR(Table7[[#This Row],[Extreme Response Style]:[Straight-lining with 1 deviation]],Table7[[#This Row],[Mid-point Response Style]])</f>
        <v>0</v>
      </c>
      <c r="AZ298" t="b">
        <f>OR(Table7[[#This Row],[Delete? (Stage 1)]],Table7[[#This Row],[Delete? (Stage 2)]])</f>
        <v>0</v>
      </c>
      <c r="BA298" t="s">
        <v>84</v>
      </c>
    </row>
    <row r="299" spans="1:53">
      <c r="A299">
        <v>1370</v>
      </c>
      <c r="B299" s="3">
        <v>46065.875381944446</v>
      </c>
      <c r="C299" s="3">
        <v>46065.881388888891</v>
      </c>
      <c r="D299" t="s">
        <v>53</v>
      </c>
      <c r="G299" t="s">
        <v>54</v>
      </c>
      <c r="H299" t="s">
        <v>55</v>
      </c>
      <c r="I299" t="s">
        <v>75</v>
      </c>
      <c r="J299" t="s">
        <v>60</v>
      </c>
      <c r="K299" t="s">
        <v>62</v>
      </c>
      <c r="L299" t="s">
        <v>58</v>
      </c>
      <c r="M299" t="s">
        <v>58</v>
      </c>
      <c r="N299">
        <v>4</v>
      </c>
      <c r="O299">
        <v>4</v>
      </c>
      <c r="P299">
        <v>4</v>
      </c>
      <c r="Q299">
        <v>4</v>
      </c>
      <c r="R299">
        <v>4</v>
      </c>
      <c r="S299">
        <v>4</v>
      </c>
      <c r="T299">
        <v>4</v>
      </c>
      <c r="U299">
        <v>4</v>
      </c>
      <c r="V299">
        <v>5</v>
      </c>
      <c r="W299">
        <v>4</v>
      </c>
      <c r="X299">
        <v>3</v>
      </c>
      <c r="Y299">
        <v>4</v>
      </c>
      <c r="Z299">
        <v>3</v>
      </c>
      <c r="AA299">
        <v>4</v>
      </c>
      <c r="AB299">
        <v>4</v>
      </c>
      <c r="AC299">
        <v>4</v>
      </c>
      <c r="AD299">
        <v>3</v>
      </c>
      <c r="AE299">
        <v>3</v>
      </c>
      <c r="AF299">
        <v>3</v>
      </c>
      <c r="AG299">
        <v>3</v>
      </c>
      <c r="AH299">
        <v>3</v>
      </c>
      <c r="AI299">
        <v>3</v>
      </c>
      <c r="AJ299">
        <v>3</v>
      </c>
      <c r="AK299" t="b">
        <f>Table7[[#This Row],[What is your age?]]&lt;&gt;"18 - 25"</f>
        <v>0</v>
      </c>
      <c r="AL299" t="b">
        <f t="shared" si="12"/>
        <v>0</v>
      </c>
      <c r="AM299" t="b">
        <f t="shared" si="13"/>
        <v>0</v>
      </c>
      <c r="AN299" t="b">
        <f t="shared" si="14"/>
        <v>0</v>
      </c>
      <c r="AO299" t="b">
        <f>OR(Table7[[#This Row],[Ineligible respondents]:[Inconsistent response on opposite question (3)]])</f>
        <v>0</v>
      </c>
      <c r="AP29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299">
        <f>Table7[[#This Row],[Extreme Response]]/21</f>
        <v>4.7619047619047616E-2</v>
      </c>
      <c r="AR299">
        <f>Table67[[#This Row],[Threshold of ERS]]</f>
        <v>0.61904761904761907</v>
      </c>
      <c r="AS299" t="b">
        <f>Table7[[#This Row],[Extrem Response Ratio (ERS)]]&gt;=Table7[[#This Row],[Threshold of ERS]]</f>
        <v>0</v>
      </c>
      <c r="AT299" t="b" cm="1">
        <f t="array" ref="AT29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299">
        <f>COUNTIF(Table7[[#This Row],[The mechanism of digital assets is difficult to understand, which discourages me from exploring it (E.g, Tokenization, Blockchain)]:[If I want to try different ways to invest, I will explore digital assets.]], 3)</f>
        <v>7</v>
      </c>
      <c r="AV299">
        <f>Table7[[#This Row],[Midpoint]]/21</f>
        <v>0.33333333333333331</v>
      </c>
      <c r="AW299">
        <f>Table67[[#This Row],[Threshold of Midpoint ratio]]</f>
        <v>0.5714285714285714</v>
      </c>
      <c r="AX299" t="b">
        <f>Table7[[#This Row],[Midpoint ratio]]&gt;=Table7[[#This Row],[Threshold of Midpoint ratio]]</f>
        <v>0</v>
      </c>
      <c r="AY299" t="b">
        <f>OR(Table7[[#This Row],[Extreme Response Style]:[Straight-lining with 1 deviation]],Table7[[#This Row],[Mid-point Response Style]])</f>
        <v>0</v>
      </c>
      <c r="AZ299" t="b">
        <f>OR(Table7[[#This Row],[Delete? (Stage 1)]],Table7[[#This Row],[Delete? (Stage 2)]])</f>
        <v>0</v>
      </c>
      <c r="BA299" t="s">
        <v>84</v>
      </c>
    </row>
    <row r="300" spans="1:53">
      <c r="A300">
        <v>1371</v>
      </c>
      <c r="B300" s="3">
        <v>46065.861608796295</v>
      </c>
      <c r="C300" s="3">
        <v>46065.866886574076</v>
      </c>
      <c r="D300" t="s">
        <v>53</v>
      </c>
      <c r="G300" t="s">
        <v>54</v>
      </c>
      <c r="H300" t="s">
        <v>55</v>
      </c>
      <c r="I300" t="s">
        <v>69</v>
      </c>
      <c r="J300" t="s">
        <v>60</v>
      </c>
      <c r="K300" t="s">
        <v>62</v>
      </c>
      <c r="L300" t="s">
        <v>61</v>
      </c>
      <c r="M300" t="s">
        <v>61</v>
      </c>
      <c r="N300">
        <v>3</v>
      </c>
      <c r="O300">
        <v>3</v>
      </c>
      <c r="P300">
        <v>2</v>
      </c>
      <c r="Q300">
        <v>3</v>
      </c>
      <c r="R300">
        <v>2</v>
      </c>
      <c r="S300">
        <v>4</v>
      </c>
      <c r="T300">
        <v>4</v>
      </c>
      <c r="U300">
        <v>3</v>
      </c>
      <c r="V300">
        <v>3</v>
      </c>
      <c r="W300">
        <v>3</v>
      </c>
      <c r="X300">
        <v>2</v>
      </c>
      <c r="Y300">
        <v>3</v>
      </c>
      <c r="Z300">
        <v>3</v>
      </c>
      <c r="AA300">
        <v>4</v>
      </c>
      <c r="AB300">
        <v>4</v>
      </c>
      <c r="AC300">
        <v>3</v>
      </c>
      <c r="AD300">
        <v>2</v>
      </c>
      <c r="AE300">
        <v>3</v>
      </c>
      <c r="AF300">
        <v>4</v>
      </c>
      <c r="AG300">
        <v>2</v>
      </c>
      <c r="AH300">
        <v>5</v>
      </c>
      <c r="AI300">
        <v>1</v>
      </c>
      <c r="AJ300">
        <v>2</v>
      </c>
      <c r="AK300" t="b">
        <f>Table7[[#This Row],[What is your age?]]&lt;&gt;"18 - 25"</f>
        <v>0</v>
      </c>
      <c r="AL300" t="b">
        <f t="shared" si="12"/>
        <v>0</v>
      </c>
      <c r="AM300" t="b">
        <f t="shared" si="13"/>
        <v>0</v>
      </c>
      <c r="AN300" t="b">
        <f t="shared" si="14"/>
        <v>0</v>
      </c>
      <c r="AO300" t="b">
        <f>OR(Table7[[#This Row],[Ineligible respondents]:[Inconsistent response on opposite question (3)]])</f>
        <v>0</v>
      </c>
      <c r="AP30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300">
        <f>Table7[[#This Row],[Extreme Response]]/21</f>
        <v>4.7619047619047616E-2</v>
      </c>
      <c r="AR300">
        <f>Table67[[#This Row],[Threshold of ERS]]</f>
        <v>0.61904761904761907</v>
      </c>
      <c r="AS300" t="b">
        <f>Table7[[#This Row],[Extrem Response Ratio (ERS)]]&gt;=Table7[[#This Row],[Threshold of ERS]]</f>
        <v>0</v>
      </c>
      <c r="AT300" t="b" cm="1">
        <f t="array" ref="AT30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00">
        <f>COUNTIF(Table7[[#This Row],[The mechanism of digital assets is difficult to understand, which discourages me from exploring it (E.g, Tokenization, Blockchain)]:[If I want to try different ways to invest, I will explore digital assets.]], 3)</f>
        <v>10</v>
      </c>
      <c r="AV300">
        <f>Table7[[#This Row],[Midpoint]]/21</f>
        <v>0.47619047619047616</v>
      </c>
      <c r="AW300">
        <f>Table67[[#This Row],[Threshold of Midpoint ratio]]</f>
        <v>0.5714285714285714</v>
      </c>
      <c r="AX300" t="b">
        <f>Table7[[#This Row],[Midpoint ratio]]&gt;=Table7[[#This Row],[Threshold of Midpoint ratio]]</f>
        <v>0</v>
      </c>
      <c r="AY300" t="b">
        <f>OR(Table7[[#This Row],[Extreme Response Style]:[Straight-lining with 1 deviation]],Table7[[#This Row],[Mid-point Response Style]])</f>
        <v>0</v>
      </c>
      <c r="AZ300" t="b">
        <f>OR(Table7[[#This Row],[Delete? (Stage 1)]],Table7[[#This Row],[Delete? (Stage 2)]])</f>
        <v>0</v>
      </c>
      <c r="BA300" t="s">
        <v>84</v>
      </c>
    </row>
    <row r="301" spans="1:53">
      <c r="A301">
        <v>1375</v>
      </c>
      <c r="B301" s="3">
        <v>46065.828043981484</v>
      </c>
      <c r="C301" s="3">
        <v>46065.829583333332</v>
      </c>
      <c r="D301" t="s">
        <v>53</v>
      </c>
      <c r="G301" t="s">
        <v>54</v>
      </c>
      <c r="H301" t="s">
        <v>70</v>
      </c>
      <c r="I301" t="s">
        <v>56</v>
      </c>
      <c r="J301" t="s">
        <v>60</v>
      </c>
      <c r="K301" t="s">
        <v>62</v>
      </c>
      <c r="L301" t="s">
        <v>58</v>
      </c>
      <c r="M301" t="s">
        <v>58</v>
      </c>
      <c r="N301">
        <v>2</v>
      </c>
      <c r="O301">
        <v>3</v>
      </c>
      <c r="P301">
        <v>4</v>
      </c>
      <c r="Q301">
        <v>3</v>
      </c>
      <c r="R301">
        <v>2</v>
      </c>
      <c r="S301">
        <v>4</v>
      </c>
      <c r="T301">
        <v>4</v>
      </c>
      <c r="U301">
        <v>5</v>
      </c>
      <c r="V301">
        <v>3</v>
      </c>
      <c r="W301">
        <v>4</v>
      </c>
      <c r="X301">
        <v>3</v>
      </c>
      <c r="Y301">
        <v>3</v>
      </c>
      <c r="Z301">
        <v>3</v>
      </c>
      <c r="AA301">
        <v>4</v>
      </c>
      <c r="AB301">
        <v>4</v>
      </c>
      <c r="AC301">
        <v>4</v>
      </c>
      <c r="AD301">
        <v>4</v>
      </c>
      <c r="AE301">
        <v>3</v>
      </c>
      <c r="AF301">
        <v>2</v>
      </c>
      <c r="AG301">
        <v>4</v>
      </c>
      <c r="AH301">
        <v>2</v>
      </c>
      <c r="AI301">
        <v>4</v>
      </c>
      <c r="AJ301">
        <v>4</v>
      </c>
      <c r="AK301" t="b">
        <f>Table7[[#This Row],[What is your age?]]&lt;&gt;"18 - 25"</f>
        <v>0</v>
      </c>
      <c r="AL301" t="b">
        <f t="shared" si="12"/>
        <v>0</v>
      </c>
      <c r="AM301" t="b">
        <f t="shared" si="13"/>
        <v>0</v>
      </c>
      <c r="AN301" t="b">
        <f t="shared" si="14"/>
        <v>0</v>
      </c>
      <c r="AO301" t="b">
        <f>OR(Table7[[#This Row],[Ineligible respondents]:[Inconsistent response on opposite question (3)]])</f>
        <v>0</v>
      </c>
      <c r="AP30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301">
        <f>Table7[[#This Row],[Extreme Response]]/21</f>
        <v>4.7619047619047616E-2</v>
      </c>
      <c r="AR301">
        <f>Table67[[#This Row],[Threshold of ERS]]</f>
        <v>0.61904761904761907</v>
      </c>
      <c r="AS301" t="b">
        <f>Table7[[#This Row],[Extrem Response Ratio (ERS)]]&gt;=Table7[[#This Row],[Threshold of ERS]]</f>
        <v>0</v>
      </c>
      <c r="AT301" t="b" cm="1">
        <f t="array" ref="AT30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01">
        <f>COUNTIF(Table7[[#This Row],[The mechanism of digital assets is difficult to understand, which discourages me from exploring it (E.g, Tokenization, Blockchain)]:[If I want to try different ways to invest, I will explore digital assets.]], 3)</f>
        <v>7</v>
      </c>
      <c r="AV301">
        <f>Table7[[#This Row],[Midpoint]]/21</f>
        <v>0.33333333333333331</v>
      </c>
      <c r="AW301">
        <f>Table67[[#This Row],[Threshold of Midpoint ratio]]</f>
        <v>0.5714285714285714</v>
      </c>
      <c r="AX301" t="b">
        <f>Table7[[#This Row],[Midpoint ratio]]&gt;=Table7[[#This Row],[Threshold of Midpoint ratio]]</f>
        <v>0</v>
      </c>
      <c r="AY301" t="b">
        <f>OR(Table7[[#This Row],[Extreme Response Style]:[Straight-lining with 1 deviation]],Table7[[#This Row],[Mid-point Response Style]])</f>
        <v>0</v>
      </c>
      <c r="AZ301" t="b">
        <f>OR(Table7[[#This Row],[Delete? (Stage 1)]],Table7[[#This Row],[Delete? (Stage 2)]])</f>
        <v>0</v>
      </c>
      <c r="BA301" t="s">
        <v>84</v>
      </c>
    </row>
    <row r="302" spans="1:53">
      <c r="A302">
        <v>1378</v>
      </c>
      <c r="B302" s="3">
        <v>46065.769178240742</v>
      </c>
      <c r="C302" s="3">
        <v>46065.77107638889</v>
      </c>
      <c r="D302" t="s">
        <v>53</v>
      </c>
      <c r="G302" t="s">
        <v>54</v>
      </c>
      <c r="H302" t="s">
        <v>63</v>
      </c>
      <c r="I302" t="s">
        <v>56</v>
      </c>
      <c r="J302" t="s">
        <v>62</v>
      </c>
      <c r="K302" t="s">
        <v>62</v>
      </c>
      <c r="L302" t="s">
        <v>58</v>
      </c>
      <c r="M302" t="s">
        <v>58</v>
      </c>
      <c r="N302">
        <v>3</v>
      </c>
      <c r="O302">
        <v>3</v>
      </c>
      <c r="P302">
        <v>4</v>
      </c>
      <c r="Q302">
        <v>3</v>
      </c>
      <c r="R302">
        <v>2</v>
      </c>
      <c r="S302">
        <v>2</v>
      </c>
      <c r="T302">
        <v>2</v>
      </c>
      <c r="U302">
        <v>4</v>
      </c>
      <c r="V302">
        <v>3</v>
      </c>
      <c r="W302">
        <v>3</v>
      </c>
      <c r="X302">
        <v>4</v>
      </c>
      <c r="Y302">
        <v>3</v>
      </c>
      <c r="Z302">
        <v>5</v>
      </c>
      <c r="AA302">
        <v>2</v>
      </c>
      <c r="AB302">
        <v>2</v>
      </c>
      <c r="AC302">
        <v>4</v>
      </c>
      <c r="AD302">
        <v>5</v>
      </c>
      <c r="AE302">
        <v>4</v>
      </c>
      <c r="AF302">
        <v>3</v>
      </c>
      <c r="AG302">
        <v>2</v>
      </c>
      <c r="AH302">
        <v>5</v>
      </c>
      <c r="AI302">
        <v>1</v>
      </c>
      <c r="AJ302">
        <v>3</v>
      </c>
      <c r="AK302" t="b">
        <f>Table7[[#This Row],[What is your age?]]&lt;&gt;"18 - 25"</f>
        <v>0</v>
      </c>
      <c r="AL302" t="b">
        <f t="shared" si="12"/>
        <v>0</v>
      </c>
      <c r="AM302" t="b">
        <f t="shared" si="13"/>
        <v>0</v>
      </c>
      <c r="AN302" t="b">
        <f t="shared" si="14"/>
        <v>0</v>
      </c>
      <c r="AO302" t="b">
        <f>OR(Table7[[#This Row],[Ineligible respondents]:[Inconsistent response on opposite question (3)]])</f>
        <v>0</v>
      </c>
      <c r="AP30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302">
        <f>Table7[[#This Row],[Extreme Response]]/21</f>
        <v>0.14285714285714285</v>
      </c>
      <c r="AR302">
        <f>Table67[[#This Row],[Threshold of ERS]]</f>
        <v>0.61904761904761907</v>
      </c>
      <c r="AS302" t="b">
        <f>Table7[[#This Row],[Extrem Response Ratio (ERS)]]&gt;=Table7[[#This Row],[Threshold of ERS]]</f>
        <v>0</v>
      </c>
      <c r="AT302" t="b" cm="1">
        <f t="array" ref="AT30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02">
        <f>COUNTIF(Table7[[#This Row],[The mechanism of digital assets is difficult to understand, which discourages me from exploring it (E.g, Tokenization, Blockchain)]:[If I want to try different ways to invest, I will explore digital assets.]], 3)</f>
        <v>7</v>
      </c>
      <c r="AV302">
        <f>Table7[[#This Row],[Midpoint]]/21</f>
        <v>0.33333333333333331</v>
      </c>
      <c r="AW302">
        <f>Table67[[#This Row],[Threshold of Midpoint ratio]]</f>
        <v>0.5714285714285714</v>
      </c>
      <c r="AX302" t="b">
        <f>Table7[[#This Row],[Midpoint ratio]]&gt;=Table7[[#This Row],[Threshold of Midpoint ratio]]</f>
        <v>0</v>
      </c>
      <c r="AY302" t="b">
        <f>OR(Table7[[#This Row],[Extreme Response Style]:[Straight-lining with 1 deviation]],Table7[[#This Row],[Mid-point Response Style]])</f>
        <v>0</v>
      </c>
      <c r="AZ302" t="b">
        <f>OR(Table7[[#This Row],[Delete? (Stage 1)]],Table7[[#This Row],[Delete? (Stage 2)]])</f>
        <v>0</v>
      </c>
      <c r="BA302" t="s">
        <v>84</v>
      </c>
    </row>
    <row r="303" spans="1:53">
      <c r="A303">
        <v>1382</v>
      </c>
      <c r="B303" s="3">
        <v>46065.689837962964</v>
      </c>
      <c r="C303" s="3">
        <v>46065.69023148148</v>
      </c>
      <c r="D303" t="s">
        <v>53</v>
      </c>
      <c r="G303" t="s">
        <v>54</v>
      </c>
      <c r="H303" t="s">
        <v>55</v>
      </c>
      <c r="I303" t="s">
        <v>69</v>
      </c>
      <c r="J303" t="s">
        <v>62</v>
      </c>
      <c r="K303" t="s">
        <v>62</v>
      </c>
      <c r="L303" t="s">
        <v>58</v>
      </c>
      <c r="M303" t="s">
        <v>58</v>
      </c>
      <c r="N303">
        <v>2</v>
      </c>
      <c r="O303">
        <v>3</v>
      </c>
      <c r="P303">
        <v>2</v>
      </c>
      <c r="Q303">
        <v>2</v>
      </c>
      <c r="R303">
        <v>2</v>
      </c>
      <c r="S303">
        <v>3</v>
      </c>
      <c r="T303">
        <v>3</v>
      </c>
      <c r="U303">
        <v>2</v>
      </c>
      <c r="V303">
        <v>2</v>
      </c>
      <c r="W303">
        <v>3</v>
      </c>
      <c r="X303">
        <v>3</v>
      </c>
      <c r="Y303">
        <v>2</v>
      </c>
      <c r="Z303">
        <v>3</v>
      </c>
      <c r="AA303">
        <v>3</v>
      </c>
      <c r="AB303">
        <v>3</v>
      </c>
      <c r="AC303">
        <v>2</v>
      </c>
      <c r="AD303">
        <v>3</v>
      </c>
      <c r="AE303">
        <v>3</v>
      </c>
      <c r="AF303">
        <v>4</v>
      </c>
      <c r="AG303">
        <v>2</v>
      </c>
      <c r="AH303">
        <v>4</v>
      </c>
      <c r="AI303">
        <v>2</v>
      </c>
      <c r="AJ303">
        <v>2</v>
      </c>
      <c r="AK303" t="b">
        <f>Table7[[#This Row],[What is your age?]]&lt;&gt;"18 - 25"</f>
        <v>0</v>
      </c>
      <c r="AL303" t="b">
        <f t="shared" si="12"/>
        <v>0</v>
      </c>
      <c r="AM303" t="b">
        <f t="shared" si="13"/>
        <v>0</v>
      </c>
      <c r="AN303" t="b">
        <f t="shared" si="14"/>
        <v>0</v>
      </c>
      <c r="AO303" t="b">
        <f>OR(Table7[[#This Row],[Ineligible respondents]:[Inconsistent response on opposite question (3)]])</f>
        <v>0</v>
      </c>
      <c r="AP30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303">
        <f>Table7[[#This Row],[Extreme Response]]/21</f>
        <v>0</v>
      </c>
      <c r="AR303">
        <f>Table67[[#This Row],[Threshold of ERS]]</f>
        <v>0.61904761904761907</v>
      </c>
      <c r="AS303" t="b">
        <f>Table7[[#This Row],[Extrem Response Ratio (ERS)]]&gt;=Table7[[#This Row],[Threshold of ERS]]</f>
        <v>0</v>
      </c>
      <c r="AT303" t="b" cm="1">
        <f t="array" ref="AT30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03">
        <f>COUNTIF(Table7[[#This Row],[The mechanism of digital assets is difficult to understand, which discourages me from exploring it (E.g, Tokenization, Blockchain)]:[If I want to try different ways to invest, I will explore digital assets.]], 3)</f>
        <v>10</v>
      </c>
      <c r="AV303">
        <f>Table7[[#This Row],[Midpoint]]/21</f>
        <v>0.47619047619047616</v>
      </c>
      <c r="AW303">
        <f>Table67[[#This Row],[Threshold of Midpoint ratio]]</f>
        <v>0.5714285714285714</v>
      </c>
      <c r="AX303" t="b">
        <f>Table7[[#This Row],[Midpoint ratio]]&gt;=Table7[[#This Row],[Threshold of Midpoint ratio]]</f>
        <v>0</v>
      </c>
      <c r="AY303" t="b">
        <f>OR(Table7[[#This Row],[Extreme Response Style]:[Straight-lining with 1 deviation]],Table7[[#This Row],[Mid-point Response Style]])</f>
        <v>0</v>
      </c>
      <c r="AZ303" t="b">
        <f>OR(Table7[[#This Row],[Delete? (Stage 1)]],Table7[[#This Row],[Delete? (Stage 2)]])</f>
        <v>0</v>
      </c>
      <c r="BA303" t="s">
        <v>84</v>
      </c>
    </row>
    <row r="304" spans="1:53">
      <c r="A304">
        <v>1384</v>
      </c>
      <c r="B304" s="3">
        <v>46065.850543981483</v>
      </c>
      <c r="C304" s="3">
        <v>46065.861307870371</v>
      </c>
      <c r="D304" t="s">
        <v>53</v>
      </c>
      <c r="G304" t="s">
        <v>54</v>
      </c>
      <c r="H304" t="s">
        <v>63</v>
      </c>
      <c r="I304" t="s">
        <v>56</v>
      </c>
      <c r="J304" t="s">
        <v>62</v>
      </c>
      <c r="K304" t="s">
        <v>57</v>
      </c>
      <c r="L304" t="s">
        <v>58</v>
      </c>
      <c r="M304" t="s">
        <v>58</v>
      </c>
      <c r="N304">
        <v>3</v>
      </c>
      <c r="O304">
        <v>3</v>
      </c>
      <c r="P304">
        <v>3</v>
      </c>
      <c r="Q304">
        <v>3</v>
      </c>
      <c r="R304">
        <v>3</v>
      </c>
      <c r="S304">
        <v>2</v>
      </c>
      <c r="T304">
        <v>2</v>
      </c>
      <c r="U304">
        <v>3</v>
      </c>
      <c r="V304">
        <v>4</v>
      </c>
      <c r="W304">
        <v>4</v>
      </c>
      <c r="X304">
        <v>3</v>
      </c>
      <c r="Y304">
        <v>4</v>
      </c>
      <c r="Z304">
        <v>3</v>
      </c>
      <c r="AA304">
        <v>2</v>
      </c>
      <c r="AB304">
        <v>2</v>
      </c>
      <c r="AC304">
        <v>4</v>
      </c>
      <c r="AD304">
        <v>4</v>
      </c>
      <c r="AE304">
        <v>3</v>
      </c>
      <c r="AF304">
        <v>4</v>
      </c>
      <c r="AG304">
        <v>2</v>
      </c>
      <c r="AH304">
        <v>5</v>
      </c>
      <c r="AI304">
        <v>1</v>
      </c>
      <c r="AJ304">
        <v>2</v>
      </c>
      <c r="AK304" t="b">
        <f>Table7[[#This Row],[What is your age?]]&lt;&gt;"18 - 25"</f>
        <v>0</v>
      </c>
      <c r="AL304" t="b">
        <f t="shared" si="12"/>
        <v>0</v>
      </c>
      <c r="AM304" t="b">
        <f t="shared" si="13"/>
        <v>0</v>
      </c>
      <c r="AN304" t="b">
        <f t="shared" si="14"/>
        <v>0</v>
      </c>
      <c r="AO304" t="b">
        <f>OR(Table7[[#This Row],[Ineligible respondents]:[Inconsistent response on opposite question (3)]])</f>
        <v>0</v>
      </c>
      <c r="AP30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304">
        <f>Table7[[#This Row],[Extreme Response]]/21</f>
        <v>4.7619047619047616E-2</v>
      </c>
      <c r="AR304">
        <f>Table67[[#This Row],[Threshold of ERS]]</f>
        <v>0.61904761904761907</v>
      </c>
      <c r="AS304" t="b">
        <f>Table7[[#This Row],[Extrem Response Ratio (ERS)]]&gt;=Table7[[#This Row],[Threshold of ERS]]</f>
        <v>0</v>
      </c>
      <c r="AT304" t="b" cm="1">
        <f t="array" ref="AT30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04">
        <f>COUNTIF(Table7[[#This Row],[The mechanism of digital assets is difficult to understand, which discourages me from exploring it (E.g, Tokenization, Blockchain)]:[If I want to try different ways to invest, I will explore digital assets.]], 3)</f>
        <v>9</v>
      </c>
      <c r="AV304">
        <f>Table7[[#This Row],[Midpoint]]/21</f>
        <v>0.42857142857142855</v>
      </c>
      <c r="AW304">
        <f>Table67[[#This Row],[Threshold of Midpoint ratio]]</f>
        <v>0.5714285714285714</v>
      </c>
      <c r="AX304" t="b">
        <f>Table7[[#This Row],[Midpoint ratio]]&gt;=Table7[[#This Row],[Threshold of Midpoint ratio]]</f>
        <v>0</v>
      </c>
      <c r="AY304" t="b">
        <f>OR(Table7[[#This Row],[Extreme Response Style]:[Straight-lining with 1 deviation]],Table7[[#This Row],[Mid-point Response Style]])</f>
        <v>0</v>
      </c>
      <c r="AZ304" t="b">
        <f>OR(Table7[[#This Row],[Delete? (Stage 1)]],Table7[[#This Row],[Delete? (Stage 2)]])</f>
        <v>0</v>
      </c>
      <c r="BA304" t="s">
        <v>84</v>
      </c>
    </row>
    <row r="305" spans="1:53">
      <c r="A305">
        <v>1387</v>
      </c>
      <c r="B305" s="3">
        <v>46065.731469907405</v>
      </c>
      <c r="C305" s="3">
        <v>46065.733136574076</v>
      </c>
      <c r="D305" t="s">
        <v>53</v>
      </c>
      <c r="G305" t="s">
        <v>54</v>
      </c>
      <c r="H305" t="s">
        <v>55</v>
      </c>
      <c r="I305" t="s">
        <v>69</v>
      </c>
      <c r="J305" t="s">
        <v>60</v>
      </c>
      <c r="K305" t="s">
        <v>57</v>
      </c>
      <c r="L305" t="s">
        <v>61</v>
      </c>
      <c r="M305" t="s">
        <v>61</v>
      </c>
      <c r="N305">
        <v>3</v>
      </c>
      <c r="O305">
        <v>3</v>
      </c>
      <c r="P305">
        <v>3</v>
      </c>
      <c r="Q305">
        <v>3</v>
      </c>
      <c r="R305">
        <v>3</v>
      </c>
      <c r="S305">
        <v>2</v>
      </c>
      <c r="T305">
        <v>2</v>
      </c>
      <c r="U305">
        <v>2</v>
      </c>
      <c r="V305">
        <v>2</v>
      </c>
      <c r="W305">
        <v>2</v>
      </c>
      <c r="X305">
        <v>2</v>
      </c>
      <c r="Y305">
        <v>2</v>
      </c>
      <c r="Z305">
        <v>2</v>
      </c>
      <c r="AA305">
        <v>2</v>
      </c>
      <c r="AB305">
        <v>3</v>
      </c>
      <c r="AC305">
        <v>3</v>
      </c>
      <c r="AD305">
        <v>2</v>
      </c>
      <c r="AE305">
        <v>2</v>
      </c>
      <c r="AF305">
        <v>3</v>
      </c>
      <c r="AG305">
        <v>2</v>
      </c>
      <c r="AH305">
        <v>4</v>
      </c>
      <c r="AI305">
        <v>2</v>
      </c>
      <c r="AJ305">
        <v>3</v>
      </c>
      <c r="AK305" t="b">
        <f>Table7[[#This Row],[What is your age?]]&lt;&gt;"18 - 25"</f>
        <v>0</v>
      </c>
      <c r="AL305" t="b">
        <f t="shared" si="12"/>
        <v>0</v>
      </c>
      <c r="AM305" t="b">
        <f t="shared" si="13"/>
        <v>0</v>
      </c>
      <c r="AN305" t="b">
        <f t="shared" si="14"/>
        <v>0</v>
      </c>
      <c r="AO305" t="b">
        <f>OR(Table7[[#This Row],[Ineligible respondents]:[Inconsistent response on opposite question (3)]])</f>
        <v>0</v>
      </c>
      <c r="AP30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305">
        <f>Table7[[#This Row],[Extreme Response]]/21</f>
        <v>0</v>
      </c>
      <c r="AR305">
        <f>Table67[[#This Row],[Threshold of ERS]]</f>
        <v>0.61904761904761907</v>
      </c>
      <c r="AS305" t="b">
        <f>Table7[[#This Row],[Extrem Response Ratio (ERS)]]&gt;=Table7[[#This Row],[Threshold of ERS]]</f>
        <v>0</v>
      </c>
      <c r="AT305" t="b" cm="1">
        <f t="array" ref="AT30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05">
        <f>COUNTIF(Table7[[#This Row],[The mechanism of digital assets is difficult to understand, which discourages me from exploring it (E.g, Tokenization, Blockchain)]:[If I want to try different ways to invest, I will explore digital assets.]], 3)</f>
        <v>8</v>
      </c>
      <c r="AV305">
        <f>Table7[[#This Row],[Midpoint]]/21</f>
        <v>0.38095238095238093</v>
      </c>
      <c r="AW305">
        <f>Table67[[#This Row],[Threshold of Midpoint ratio]]</f>
        <v>0.5714285714285714</v>
      </c>
      <c r="AX305" t="b">
        <f>Table7[[#This Row],[Midpoint ratio]]&gt;=Table7[[#This Row],[Threshold of Midpoint ratio]]</f>
        <v>0</v>
      </c>
      <c r="AY305" t="b">
        <f>OR(Table7[[#This Row],[Extreme Response Style]:[Straight-lining with 1 deviation]],Table7[[#This Row],[Mid-point Response Style]])</f>
        <v>0</v>
      </c>
      <c r="AZ305" t="b">
        <f>OR(Table7[[#This Row],[Delete? (Stage 1)]],Table7[[#This Row],[Delete? (Stage 2)]])</f>
        <v>0</v>
      </c>
      <c r="BA305" t="s">
        <v>84</v>
      </c>
    </row>
    <row r="306" spans="1:53">
      <c r="A306">
        <v>1388</v>
      </c>
      <c r="B306" s="3">
        <v>46065.861597222225</v>
      </c>
      <c r="C306" s="3">
        <v>46065.867048611108</v>
      </c>
      <c r="D306" t="s">
        <v>53</v>
      </c>
      <c r="G306" t="s">
        <v>54</v>
      </c>
      <c r="H306" t="s">
        <v>63</v>
      </c>
      <c r="I306" t="s">
        <v>75</v>
      </c>
      <c r="J306" t="s">
        <v>62</v>
      </c>
      <c r="K306" t="s">
        <v>57</v>
      </c>
      <c r="L306" t="s">
        <v>58</v>
      </c>
      <c r="M306" t="s">
        <v>58</v>
      </c>
      <c r="N306">
        <v>3</v>
      </c>
      <c r="O306">
        <v>4</v>
      </c>
      <c r="P306">
        <v>4</v>
      </c>
      <c r="Q306">
        <v>4</v>
      </c>
      <c r="R306">
        <v>3</v>
      </c>
      <c r="S306">
        <v>3</v>
      </c>
      <c r="T306">
        <v>3</v>
      </c>
      <c r="U306">
        <v>4</v>
      </c>
      <c r="V306">
        <v>3</v>
      </c>
      <c r="W306">
        <v>3</v>
      </c>
      <c r="X306">
        <v>4</v>
      </c>
      <c r="Y306">
        <v>3</v>
      </c>
      <c r="Z306">
        <v>4</v>
      </c>
      <c r="AA306">
        <v>2</v>
      </c>
      <c r="AB306">
        <v>2</v>
      </c>
      <c r="AC306">
        <v>3</v>
      </c>
      <c r="AD306">
        <v>4</v>
      </c>
      <c r="AE306">
        <v>4</v>
      </c>
      <c r="AF306">
        <v>3</v>
      </c>
      <c r="AG306">
        <v>3</v>
      </c>
      <c r="AH306">
        <v>3</v>
      </c>
      <c r="AI306">
        <v>3</v>
      </c>
      <c r="AJ306">
        <v>3</v>
      </c>
      <c r="AK306" t="b">
        <f>Table7[[#This Row],[What is your age?]]&lt;&gt;"18 - 25"</f>
        <v>0</v>
      </c>
      <c r="AL306" t="b">
        <f t="shared" si="12"/>
        <v>0</v>
      </c>
      <c r="AM306" t="b">
        <f t="shared" si="13"/>
        <v>0</v>
      </c>
      <c r="AN306" t="b">
        <f t="shared" si="14"/>
        <v>0</v>
      </c>
      <c r="AO306" t="b">
        <f>OR(Table7[[#This Row],[Ineligible respondents]:[Inconsistent response on opposite question (3)]])</f>
        <v>0</v>
      </c>
      <c r="AP30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306">
        <f>Table7[[#This Row],[Extreme Response]]/21</f>
        <v>0</v>
      </c>
      <c r="AR306">
        <f>Table67[[#This Row],[Threshold of ERS]]</f>
        <v>0.61904761904761907</v>
      </c>
      <c r="AS306" t="b">
        <f>Table7[[#This Row],[Extrem Response Ratio (ERS)]]&gt;=Table7[[#This Row],[Threshold of ERS]]</f>
        <v>0</v>
      </c>
      <c r="AT306" t="b" cm="1">
        <f t="array" ref="AT30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06">
        <f>COUNTIF(Table7[[#This Row],[The mechanism of digital assets is difficult to understand, which discourages me from exploring it (E.g, Tokenization, Blockchain)]:[If I want to try different ways to invest, I will explore digital assets.]], 3)</f>
        <v>11</v>
      </c>
      <c r="AV306">
        <f>Table7[[#This Row],[Midpoint]]/21</f>
        <v>0.52380952380952384</v>
      </c>
      <c r="AW306">
        <f>Table67[[#This Row],[Threshold of Midpoint ratio]]</f>
        <v>0.5714285714285714</v>
      </c>
      <c r="AX306" t="b">
        <f>Table7[[#This Row],[Midpoint ratio]]&gt;=Table7[[#This Row],[Threshold of Midpoint ratio]]</f>
        <v>0</v>
      </c>
      <c r="AY306" t="b">
        <f>OR(Table7[[#This Row],[Extreme Response Style]:[Straight-lining with 1 deviation]],Table7[[#This Row],[Mid-point Response Style]])</f>
        <v>0</v>
      </c>
      <c r="AZ306" t="b">
        <f>OR(Table7[[#This Row],[Delete? (Stage 1)]],Table7[[#This Row],[Delete? (Stage 2)]])</f>
        <v>0</v>
      </c>
      <c r="BA306" t="s">
        <v>84</v>
      </c>
    </row>
    <row r="307" spans="1:53">
      <c r="A307">
        <v>1391</v>
      </c>
      <c r="B307" s="3">
        <v>46065.710081018522</v>
      </c>
      <c r="C307" s="3">
        <v>46065.710393518515</v>
      </c>
      <c r="D307" t="s">
        <v>53</v>
      </c>
      <c r="G307" t="s">
        <v>54</v>
      </c>
      <c r="H307" t="s">
        <v>63</v>
      </c>
      <c r="I307" t="s">
        <v>75</v>
      </c>
      <c r="J307" t="s">
        <v>67</v>
      </c>
      <c r="K307" t="s">
        <v>62</v>
      </c>
      <c r="L307" t="s">
        <v>61</v>
      </c>
      <c r="M307" t="s">
        <v>61</v>
      </c>
      <c r="N307">
        <v>4</v>
      </c>
      <c r="O307">
        <v>3</v>
      </c>
      <c r="P307">
        <v>3</v>
      </c>
      <c r="Q307">
        <v>2</v>
      </c>
      <c r="R307">
        <v>4</v>
      </c>
      <c r="S307">
        <v>3</v>
      </c>
      <c r="T307">
        <v>3</v>
      </c>
      <c r="U307">
        <v>2</v>
      </c>
      <c r="V307">
        <v>4</v>
      </c>
      <c r="W307">
        <v>5</v>
      </c>
      <c r="X307">
        <v>4</v>
      </c>
      <c r="Y307">
        <v>4</v>
      </c>
      <c r="Z307">
        <v>3</v>
      </c>
      <c r="AA307">
        <v>3</v>
      </c>
      <c r="AB307">
        <v>3</v>
      </c>
      <c r="AC307">
        <v>2</v>
      </c>
      <c r="AD307">
        <v>4</v>
      </c>
      <c r="AE307">
        <v>3</v>
      </c>
      <c r="AF307">
        <v>5</v>
      </c>
      <c r="AG307">
        <v>1</v>
      </c>
      <c r="AH307">
        <v>5</v>
      </c>
      <c r="AI307">
        <v>1</v>
      </c>
      <c r="AJ307">
        <v>1</v>
      </c>
      <c r="AK307" t="b">
        <f>Table7[[#This Row],[What is your age?]]&lt;&gt;"18 - 25"</f>
        <v>0</v>
      </c>
      <c r="AL307" t="b">
        <f t="shared" si="12"/>
        <v>0</v>
      </c>
      <c r="AM307" t="b">
        <f t="shared" si="13"/>
        <v>0</v>
      </c>
      <c r="AN307" t="b">
        <f t="shared" si="14"/>
        <v>0</v>
      </c>
      <c r="AO307" t="b">
        <f>OR(Table7[[#This Row],[Ineligible respondents]:[Inconsistent response on opposite question (3)]])</f>
        <v>0</v>
      </c>
      <c r="AP30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307">
        <f>Table7[[#This Row],[Extreme Response]]/21</f>
        <v>0.19047619047619047</v>
      </c>
      <c r="AR307">
        <f>Table67[[#This Row],[Threshold of ERS]]</f>
        <v>0.61904761904761907</v>
      </c>
      <c r="AS307" t="b">
        <f>Table7[[#This Row],[Extrem Response Ratio (ERS)]]&gt;=Table7[[#This Row],[Threshold of ERS]]</f>
        <v>0</v>
      </c>
      <c r="AT307" t="b" cm="1">
        <f t="array" ref="AT30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07">
        <f>COUNTIF(Table7[[#This Row],[The mechanism of digital assets is difficult to understand, which discourages me from exploring it (E.g, Tokenization, Blockchain)]:[If I want to try different ways to invest, I will explore digital assets.]], 3)</f>
        <v>8</v>
      </c>
      <c r="AV307">
        <f>Table7[[#This Row],[Midpoint]]/21</f>
        <v>0.38095238095238093</v>
      </c>
      <c r="AW307">
        <f>Table67[[#This Row],[Threshold of Midpoint ratio]]</f>
        <v>0.5714285714285714</v>
      </c>
      <c r="AX307" t="b">
        <f>Table7[[#This Row],[Midpoint ratio]]&gt;=Table7[[#This Row],[Threshold of Midpoint ratio]]</f>
        <v>0</v>
      </c>
      <c r="AY307" t="b">
        <f>OR(Table7[[#This Row],[Extreme Response Style]:[Straight-lining with 1 deviation]],Table7[[#This Row],[Mid-point Response Style]])</f>
        <v>0</v>
      </c>
      <c r="AZ307" t="b">
        <f>OR(Table7[[#This Row],[Delete? (Stage 1)]],Table7[[#This Row],[Delete? (Stage 2)]])</f>
        <v>0</v>
      </c>
      <c r="BA307" t="s">
        <v>84</v>
      </c>
    </row>
    <row r="308" spans="1:53">
      <c r="A308">
        <v>1397</v>
      </c>
      <c r="B308" s="3">
        <v>46065.837488425925</v>
      </c>
      <c r="C308" s="3">
        <v>46065.844375000001</v>
      </c>
      <c r="D308" t="s">
        <v>53</v>
      </c>
      <c r="G308" t="s">
        <v>54</v>
      </c>
      <c r="H308" t="s">
        <v>55</v>
      </c>
      <c r="I308" t="s">
        <v>56</v>
      </c>
      <c r="J308" t="s">
        <v>62</v>
      </c>
      <c r="K308" t="s">
        <v>62</v>
      </c>
      <c r="L308" t="s">
        <v>58</v>
      </c>
      <c r="M308" t="s">
        <v>61</v>
      </c>
      <c r="N308">
        <v>2</v>
      </c>
      <c r="O308">
        <v>2</v>
      </c>
      <c r="P308">
        <v>3</v>
      </c>
      <c r="Q308">
        <v>3</v>
      </c>
      <c r="R308">
        <v>2</v>
      </c>
      <c r="S308">
        <v>2</v>
      </c>
      <c r="T308">
        <v>2</v>
      </c>
      <c r="U308">
        <v>3</v>
      </c>
      <c r="V308">
        <v>4</v>
      </c>
      <c r="W308">
        <v>4</v>
      </c>
      <c r="X308">
        <v>3</v>
      </c>
      <c r="Y308">
        <v>4</v>
      </c>
      <c r="Z308">
        <v>3</v>
      </c>
      <c r="AA308">
        <v>1</v>
      </c>
      <c r="AB308">
        <v>2</v>
      </c>
      <c r="AC308">
        <v>3</v>
      </c>
      <c r="AD308">
        <v>3</v>
      </c>
      <c r="AE308">
        <v>3</v>
      </c>
      <c r="AF308">
        <v>5</v>
      </c>
      <c r="AG308">
        <v>1</v>
      </c>
      <c r="AH308">
        <v>5</v>
      </c>
      <c r="AI308">
        <v>1</v>
      </c>
      <c r="AJ308">
        <v>1</v>
      </c>
      <c r="AK308" t="b">
        <f>Table7[[#This Row],[What is your age?]]&lt;&gt;"18 - 25"</f>
        <v>0</v>
      </c>
      <c r="AL308" t="b">
        <f t="shared" si="12"/>
        <v>0</v>
      </c>
      <c r="AM308" t="b">
        <f t="shared" si="13"/>
        <v>0</v>
      </c>
      <c r="AN308" t="b">
        <f t="shared" si="14"/>
        <v>0</v>
      </c>
      <c r="AO308" t="b">
        <f>OR(Table7[[#This Row],[Ineligible respondents]:[Inconsistent response on opposite question (3)]])</f>
        <v>0</v>
      </c>
      <c r="AP30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308">
        <f>Table7[[#This Row],[Extreme Response]]/21</f>
        <v>0.19047619047619047</v>
      </c>
      <c r="AR308">
        <f>Table67[[#This Row],[Threshold of ERS]]</f>
        <v>0.61904761904761907</v>
      </c>
      <c r="AS308" t="b">
        <f>Table7[[#This Row],[Extrem Response Ratio (ERS)]]&gt;=Table7[[#This Row],[Threshold of ERS]]</f>
        <v>0</v>
      </c>
      <c r="AT308" t="b" cm="1">
        <f t="array" ref="AT30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08">
        <f>COUNTIF(Table7[[#This Row],[The mechanism of digital assets is difficult to understand, which discourages me from exploring it (E.g, Tokenization, Blockchain)]:[If I want to try different ways to invest, I will explore digital assets.]], 3)</f>
        <v>8</v>
      </c>
      <c r="AV308">
        <f>Table7[[#This Row],[Midpoint]]/21</f>
        <v>0.38095238095238093</v>
      </c>
      <c r="AW308">
        <f>Table67[[#This Row],[Threshold of Midpoint ratio]]</f>
        <v>0.5714285714285714</v>
      </c>
      <c r="AX308" t="b">
        <f>Table7[[#This Row],[Midpoint ratio]]&gt;=Table7[[#This Row],[Threshold of Midpoint ratio]]</f>
        <v>0</v>
      </c>
      <c r="AY308" t="b">
        <f>OR(Table7[[#This Row],[Extreme Response Style]:[Straight-lining with 1 deviation]],Table7[[#This Row],[Mid-point Response Style]])</f>
        <v>0</v>
      </c>
      <c r="AZ308" t="b">
        <f>OR(Table7[[#This Row],[Delete? (Stage 1)]],Table7[[#This Row],[Delete? (Stage 2)]])</f>
        <v>0</v>
      </c>
      <c r="BA308" t="s">
        <v>84</v>
      </c>
    </row>
    <row r="309" spans="1:53">
      <c r="A309">
        <v>1399</v>
      </c>
      <c r="B309" s="3">
        <v>46065.716354166667</v>
      </c>
      <c r="C309" s="3">
        <v>46065.716620370367</v>
      </c>
      <c r="D309" t="s">
        <v>53</v>
      </c>
      <c r="G309" t="s">
        <v>54</v>
      </c>
      <c r="H309" t="s">
        <v>63</v>
      </c>
      <c r="I309" t="s">
        <v>56</v>
      </c>
      <c r="J309" t="s">
        <v>62</v>
      </c>
      <c r="K309" t="s">
        <v>66</v>
      </c>
      <c r="L309" t="s">
        <v>58</v>
      </c>
      <c r="M309" t="s">
        <v>58</v>
      </c>
      <c r="N309">
        <v>4</v>
      </c>
      <c r="O309">
        <v>4</v>
      </c>
      <c r="P309">
        <v>2</v>
      </c>
      <c r="Q309">
        <v>3</v>
      </c>
      <c r="R309">
        <v>3</v>
      </c>
      <c r="S309">
        <v>4</v>
      </c>
      <c r="T309">
        <v>5</v>
      </c>
      <c r="U309">
        <v>3</v>
      </c>
      <c r="V309">
        <v>4</v>
      </c>
      <c r="W309">
        <v>5</v>
      </c>
      <c r="X309">
        <v>4</v>
      </c>
      <c r="Y309">
        <v>4</v>
      </c>
      <c r="Z309">
        <v>4</v>
      </c>
      <c r="AA309">
        <v>5</v>
      </c>
      <c r="AB309">
        <v>4</v>
      </c>
      <c r="AC309">
        <v>3</v>
      </c>
      <c r="AD309">
        <v>4</v>
      </c>
      <c r="AE309">
        <v>4</v>
      </c>
      <c r="AF309">
        <v>3</v>
      </c>
      <c r="AG309">
        <v>3</v>
      </c>
      <c r="AH309">
        <v>3</v>
      </c>
      <c r="AI309">
        <v>3</v>
      </c>
      <c r="AJ309">
        <v>3</v>
      </c>
      <c r="AK309" t="b">
        <f>Table7[[#This Row],[What is your age?]]&lt;&gt;"18 - 25"</f>
        <v>0</v>
      </c>
      <c r="AL309" t="b">
        <f t="shared" si="12"/>
        <v>0</v>
      </c>
      <c r="AM309" t="b">
        <f t="shared" si="13"/>
        <v>0</v>
      </c>
      <c r="AN309" t="b">
        <f t="shared" si="14"/>
        <v>0</v>
      </c>
      <c r="AO309" t="b">
        <f>OR(Table7[[#This Row],[Ineligible respondents]:[Inconsistent response on opposite question (3)]])</f>
        <v>0</v>
      </c>
      <c r="AP30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309">
        <f>Table7[[#This Row],[Extreme Response]]/21</f>
        <v>0.14285714285714285</v>
      </c>
      <c r="AR309">
        <f>Table67[[#This Row],[Threshold of ERS]]</f>
        <v>0.61904761904761907</v>
      </c>
      <c r="AS309" t="b">
        <f>Table7[[#This Row],[Extrem Response Ratio (ERS)]]&gt;=Table7[[#This Row],[Threshold of ERS]]</f>
        <v>0</v>
      </c>
      <c r="AT309" t="b" cm="1">
        <f t="array" ref="AT30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09">
        <f>COUNTIF(Table7[[#This Row],[The mechanism of digital assets is difficult to understand, which discourages me from exploring it (E.g, Tokenization, Blockchain)]:[If I want to try different ways to invest, I will explore digital assets.]], 3)</f>
        <v>7</v>
      </c>
      <c r="AV309">
        <f>Table7[[#This Row],[Midpoint]]/21</f>
        <v>0.33333333333333331</v>
      </c>
      <c r="AW309">
        <f>Table67[[#This Row],[Threshold of Midpoint ratio]]</f>
        <v>0.5714285714285714</v>
      </c>
      <c r="AX309" t="b">
        <f>Table7[[#This Row],[Midpoint ratio]]&gt;=Table7[[#This Row],[Threshold of Midpoint ratio]]</f>
        <v>0</v>
      </c>
      <c r="AY309" t="b">
        <f>OR(Table7[[#This Row],[Extreme Response Style]:[Straight-lining with 1 deviation]],Table7[[#This Row],[Mid-point Response Style]])</f>
        <v>0</v>
      </c>
      <c r="AZ309" t="b">
        <f>OR(Table7[[#This Row],[Delete? (Stage 1)]],Table7[[#This Row],[Delete? (Stage 2)]])</f>
        <v>0</v>
      </c>
      <c r="BA309" t="s">
        <v>84</v>
      </c>
    </row>
    <row r="310" spans="1:53">
      <c r="A310">
        <v>1401</v>
      </c>
      <c r="B310" s="3">
        <v>46065.88726851852</v>
      </c>
      <c r="C310" s="3">
        <v>46065.887615740743</v>
      </c>
      <c r="D310" t="s">
        <v>53</v>
      </c>
      <c r="G310" t="s">
        <v>54</v>
      </c>
      <c r="H310" t="s">
        <v>55</v>
      </c>
      <c r="I310" t="s">
        <v>56</v>
      </c>
      <c r="J310" t="s">
        <v>62</v>
      </c>
      <c r="K310" t="s">
        <v>57</v>
      </c>
      <c r="L310" t="s">
        <v>58</v>
      </c>
      <c r="M310" t="s">
        <v>58</v>
      </c>
      <c r="N310">
        <v>1</v>
      </c>
      <c r="O310">
        <v>1</v>
      </c>
      <c r="P310">
        <v>2</v>
      </c>
      <c r="Q310">
        <v>3</v>
      </c>
      <c r="R310">
        <v>1</v>
      </c>
      <c r="S310">
        <v>2</v>
      </c>
      <c r="T310">
        <v>1</v>
      </c>
      <c r="U310">
        <v>2</v>
      </c>
      <c r="V310">
        <v>2</v>
      </c>
      <c r="W310">
        <v>2</v>
      </c>
      <c r="X310">
        <v>3</v>
      </c>
      <c r="Y310">
        <v>2</v>
      </c>
      <c r="Z310">
        <v>4</v>
      </c>
      <c r="AA310">
        <v>2</v>
      </c>
      <c r="AB310">
        <v>2</v>
      </c>
      <c r="AC310">
        <v>2</v>
      </c>
      <c r="AD310">
        <v>5</v>
      </c>
      <c r="AE310">
        <v>4</v>
      </c>
      <c r="AF310">
        <v>4</v>
      </c>
      <c r="AG310">
        <v>2</v>
      </c>
      <c r="AH310">
        <v>5</v>
      </c>
      <c r="AI310">
        <v>1</v>
      </c>
      <c r="AJ310">
        <v>2</v>
      </c>
      <c r="AK310" t="b">
        <f>Table7[[#This Row],[What is your age?]]&lt;&gt;"18 - 25"</f>
        <v>0</v>
      </c>
      <c r="AL310" t="b">
        <f t="shared" si="12"/>
        <v>0</v>
      </c>
      <c r="AM310" t="b">
        <f t="shared" si="13"/>
        <v>0</v>
      </c>
      <c r="AN310" t="b">
        <f t="shared" si="14"/>
        <v>0</v>
      </c>
      <c r="AO310" t="b">
        <f>OR(Table7[[#This Row],[Ineligible respondents]:[Inconsistent response on opposite question (3)]])</f>
        <v>0</v>
      </c>
      <c r="AP31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6</v>
      </c>
      <c r="AQ310">
        <f>Table7[[#This Row],[Extreme Response]]/21</f>
        <v>0.2857142857142857</v>
      </c>
      <c r="AR310">
        <f>Table67[[#This Row],[Threshold of ERS]]</f>
        <v>0.61904761904761907</v>
      </c>
      <c r="AS310" t="b">
        <f>Table7[[#This Row],[Extrem Response Ratio (ERS)]]&gt;=Table7[[#This Row],[Threshold of ERS]]</f>
        <v>0</v>
      </c>
      <c r="AT310" t="b" cm="1">
        <f t="array" ref="AT31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10">
        <f>COUNTIF(Table7[[#This Row],[The mechanism of digital assets is difficult to understand, which discourages me from exploring it (E.g, Tokenization, Blockchain)]:[If I want to try different ways to invest, I will explore digital assets.]], 3)</f>
        <v>2</v>
      </c>
      <c r="AV310">
        <f>Table7[[#This Row],[Midpoint]]/21</f>
        <v>9.5238095238095233E-2</v>
      </c>
      <c r="AW310">
        <f>Table67[[#This Row],[Threshold of Midpoint ratio]]</f>
        <v>0.5714285714285714</v>
      </c>
      <c r="AX310" t="b">
        <f>Table7[[#This Row],[Midpoint ratio]]&gt;=Table7[[#This Row],[Threshold of Midpoint ratio]]</f>
        <v>0</v>
      </c>
      <c r="AY310" t="b">
        <f>OR(Table7[[#This Row],[Extreme Response Style]:[Straight-lining with 1 deviation]],Table7[[#This Row],[Mid-point Response Style]])</f>
        <v>0</v>
      </c>
      <c r="AZ310" t="b">
        <f>OR(Table7[[#This Row],[Delete? (Stage 1)]],Table7[[#This Row],[Delete? (Stage 2)]])</f>
        <v>0</v>
      </c>
      <c r="BA310" t="s">
        <v>84</v>
      </c>
    </row>
    <row r="311" spans="1:53">
      <c r="A311">
        <v>1402</v>
      </c>
      <c r="B311" s="3">
        <v>46065.673645833333</v>
      </c>
      <c r="C311" s="3">
        <v>46065.675370370373</v>
      </c>
      <c r="D311" t="s">
        <v>53</v>
      </c>
      <c r="G311" t="s">
        <v>54</v>
      </c>
      <c r="H311" t="s">
        <v>55</v>
      </c>
      <c r="I311" t="s">
        <v>71</v>
      </c>
      <c r="J311" t="s">
        <v>72</v>
      </c>
      <c r="K311" t="s">
        <v>62</v>
      </c>
      <c r="L311" t="s">
        <v>58</v>
      </c>
      <c r="M311" t="s">
        <v>58</v>
      </c>
      <c r="N311">
        <v>3</v>
      </c>
      <c r="O311">
        <v>3</v>
      </c>
      <c r="P311">
        <v>2</v>
      </c>
      <c r="Q311">
        <v>1</v>
      </c>
      <c r="R311">
        <v>3</v>
      </c>
      <c r="S311">
        <v>2</v>
      </c>
      <c r="T311">
        <v>2</v>
      </c>
      <c r="U311">
        <v>2</v>
      </c>
      <c r="V311">
        <v>2</v>
      </c>
      <c r="W311">
        <v>2</v>
      </c>
      <c r="X311">
        <v>2</v>
      </c>
      <c r="Y311">
        <v>3</v>
      </c>
      <c r="Z311">
        <v>2</v>
      </c>
      <c r="AA311">
        <v>2</v>
      </c>
      <c r="AB311">
        <v>2</v>
      </c>
      <c r="AC311">
        <v>2</v>
      </c>
      <c r="AD311">
        <v>2</v>
      </c>
      <c r="AE311">
        <v>2</v>
      </c>
      <c r="AF311">
        <v>5</v>
      </c>
      <c r="AG311">
        <v>1</v>
      </c>
      <c r="AH311">
        <v>4</v>
      </c>
      <c r="AI311">
        <v>2</v>
      </c>
      <c r="AJ311">
        <v>1</v>
      </c>
      <c r="AK311" t="b">
        <f>Table7[[#This Row],[What is your age?]]&lt;&gt;"18 - 25"</f>
        <v>0</v>
      </c>
      <c r="AL311" t="b">
        <f t="shared" si="12"/>
        <v>0</v>
      </c>
      <c r="AM311" t="b">
        <f t="shared" si="13"/>
        <v>0</v>
      </c>
      <c r="AN311" t="b">
        <f t="shared" si="14"/>
        <v>0</v>
      </c>
      <c r="AO311" t="b">
        <f>OR(Table7[[#This Row],[Ineligible respondents]:[Inconsistent response on opposite question (3)]])</f>
        <v>0</v>
      </c>
      <c r="AP31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311">
        <f>Table7[[#This Row],[Extreme Response]]/21</f>
        <v>0.14285714285714285</v>
      </c>
      <c r="AR311">
        <f>Table67[[#This Row],[Threshold of ERS]]</f>
        <v>0.61904761904761907</v>
      </c>
      <c r="AS311" t="b">
        <f>Table7[[#This Row],[Extrem Response Ratio (ERS)]]&gt;=Table7[[#This Row],[Threshold of ERS]]</f>
        <v>0</v>
      </c>
      <c r="AT311" t="b" cm="1">
        <f t="array" ref="AT31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11">
        <f>COUNTIF(Table7[[#This Row],[The mechanism of digital assets is difficult to understand, which discourages me from exploring it (E.g, Tokenization, Blockchain)]:[If I want to try different ways to invest, I will explore digital assets.]], 3)</f>
        <v>4</v>
      </c>
      <c r="AV311">
        <f>Table7[[#This Row],[Midpoint]]/21</f>
        <v>0.19047619047619047</v>
      </c>
      <c r="AW311">
        <f>Table67[[#This Row],[Threshold of Midpoint ratio]]</f>
        <v>0.5714285714285714</v>
      </c>
      <c r="AX311" t="b">
        <f>Table7[[#This Row],[Midpoint ratio]]&gt;=Table7[[#This Row],[Threshold of Midpoint ratio]]</f>
        <v>0</v>
      </c>
      <c r="AY311" t="b">
        <f>OR(Table7[[#This Row],[Extreme Response Style]:[Straight-lining with 1 deviation]],Table7[[#This Row],[Mid-point Response Style]])</f>
        <v>0</v>
      </c>
      <c r="AZ311" t="b">
        <f>OR(Table7[[#This Row],[Delete? (Stage 1)]],Table7[[#This Row],[Delete? (Stage 2)]])</f>
        <v>0</v>
      </c>
      <c r="BA311" t="s">
        <v>84</v>
      </c>
    </row>
    <row r="312" spans="1:53">
      <c r="A312">
        <v>1403</v>
      </c>
      <c r="B312" s="3">
        <v>46065.870081018518</v>
      </c>
      <c r="C312" s="3">
        <v>46065.873391203706</v>
      </c>
      <c r="D312" t="s">
        <v>53</v>
      </c>
      <c r="G312" t="s">
        <v>54</v>
      </c>
      <c r="H312" t="s">
        <v>55</v>
      </c>
      <c r="I312" t="s">
        <v>69</v>
      </c>
      <c r="J312" t="s">
        <v>62</v>
      </c>
      <c r="K312" t="s">
        <v>62</v>
      </c>
      <c r="L312" t="s">
        <v>61</v>
      </c>
      <c r="M312" t="s">
        <v>61</v>
      </c>
      <c r="N312">
        <v>2</v>
      </c>
      <c r="O312">
        <v>2</v>
      </c>
      <c r="P312">
        <v>4</v>
      </c>
      <c r="Q312">
        <v>4</v>
      </c>
      <c r="R312">
        <v>3</v>
      </c>
      <c r="S312">
        <v>4</v>
      </c>
      <c r="T312">
        <v>4</v>
      </c>
      <c r="U312">
        <v>4</v>
      </c>
      <c r="V312">
        <v>3</v>
      </c>
      <c r="W312">
        <v>4</v>
      </c>
      <c r="X312">
        <v>4</v>
      </c>
      <c r="Y312">
        <v>2</v>
      </c>
      <c r="Z312">
        <v>4</v>
      </c>
      <c r="AA312">
        <v>4</v>
      </c>
      <c r="AB312">
        <v>3</v>
      </c>
      <c r="AC312">
        <v>5</v>
      </c>
      <c r="AD312">
        <v>4</v>
      </c>
      <c r="AE312">
        <v>3</v>
      </c>
      <c r="AF312">
        <v>3</v>
      </c>
      <c r="AG312">
        <v>2</v>
      </c>
      <c r="AH312">
        <v>4</v>
      </c>
      <c r="AI312">
        <v>2</v>
      </c>
      <c r="AJ312">
        <v>3</v>
      </c>
      <c r="AK312" t="b">
        <f>Table7[[#This Row],[What is your age?]]&lt;&gt;"18 - 25"</f>
        <v>0</v>
      </c>
      <c r="AL312" t="b">
        <f t="shared" si="12"/>
        <v>0</v>
      </c>
      <c r="AM312" t="b">
        <f t="shared" si="13"/>
        <v>0</v>
      </c>
      <c r="AN312" t="b">
        <f t="shared" si="14"/>
        <v>0</v>
      </c>
      <c r="AO312" t="b">
        <f>OR(Table7[[#This Row],[Ineligible respondents]:[Inconsistent response on opposite question (3)]])</f>
        <v>0</v>
      </c>
      <c r="AP31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312">
        <f>Table7[[#This Row],[Extreme Response]]/21</f>
        <v>4.7619047619047616E-2</v>
      </c>
      <c r="AR312">
        <f>Table67[[#This Row],[Threshold of ERS]]</f>
        <v>0.61904761904761907</v>
      </c>
      <c r="AS312" t="b">
        <f>Table7[[#This Row],[Extrem Response Ratio (ERS)]]&gt;=Table7[[#This Row],[Threshold of ERS]]</f>
        <v>0</v>
      </c>
      <c r="AT312" t="b" cm="1">
        <f t="array" ref="AT31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12">
        <f>COUNTIF(Table7[[#This Row],[The mechanism of digital assets is difficult to understand, which discourages me from exploring it (E.g, Tokenization, Blockchain)]:[If I want to try different ways to invest, I will explore digital assets.]], 3)</f>
        <v>5</v>
      </c>
      <c r="AV312">
        <f>Table7[[#This Row],[Midpoint]]/21</f>
        <v>0.23809523809523808</v>
      </c>
      <c r="AW312">
        <f>Table67[[#This Row],[Threshold of Midpoint ratio]]</f>
        <v>0.5714285714285714</v>
      </c>
      <c r="AX312" t="b">
        <f>Table7[[#This Row],[Midpoint ratio]]&gt;=Table7[[#This Row],[Threshold of Midpoint ratio]]</f>
        <v>0</v>
      </c>
      <c r="AY312" t="b">
        <f>OR(Table7[[#This Row],[Extreme Response Style]:[Straight-lining with 1 deviation]],Table7[[#This Row],[Mid-point Response Style]])</f>
        <v>0</v>
      </c>
      <c r="AZ312" t="b">
        <f>OR(Table7[[#This Row],[Delete? (Stage 1)]],Table7[[#This Row],[Delete? (Stage 2)]])</f>
        <v>0</v>
      </c>
      <c r="BA312" t="s">
        <v>84</v>
      </c>
    </row>
    <row r="313" spans="1:53">
      <c r="A313">
        <v>1413</v>
      </c>
      <c r="B313" s="3">
        <v>46065.842164351852</v>
      </c>
      <c r="C313" s="3">
        <v>46065.846689814818</v>
      </c>
      <c r="D313" t="s">
        <v>53</v>
      </c>
      <c r="G313" t="s">
        <v>54</v>
      </c>
      <c r="H313" t="s">
        <v>55</v>
      </c>
      <c r="I313" t="s">
        <v>71</v>
      </c>
      <c r="J313" t="s">
        <v>62</v>
      </c>
      <c r="K313" t="s">
        <v>62</v>
      </c>
      <c r="L313" t="s">
        <v>58</v>
      </c>
      <c r="M313" t="s">
        <v>61</v>
      </c>
      <c r="N313">
        <v>3</v>
      </c>
      <c r="O313">
        <v>3</v>
      </c>
      <c r="P313">
        <v>3</v>
      </c>
      <c r="Q313">
        <v>3</v>
      </c>
      <c r="R313">
        <v>2</v>
      </c>
      <c r="S313">
        <v>2</v>
      </c>
      <c r="T313">
        <v>2</v>
      </c>
      <c r="U313">
        <v>3</v>
      </c>
      <c r="V313">
        <v>2</v>
      </c>
      <c r="W313">
        <v>4</v>
      </c>
      <c r="X313">
        <v>1</v>
      </c>
      <c r="Y313">
        <v>3</v>
      </c>
      <c r="Z313">
        <v>2</v>
      </c>
      <c r="AA313">
        <v>2</v>
      </c>
      <c r="AB313">
        <v>2</v>
      </c>
      <c r="AC313">
        <v>3</v>
      </c>
      <c r="AD313">
        <v>2</v>
      </c>
      <c r="AE313">
        <v>1</v>
      </c>
      <c r="AF313">
        <v>4</v>
      </c>
      <c r="AG313">
        <v>1</v>
      </c>
      <c r="AH313">
        <v>5</v>
      </c>
      <c r="AI313">
        <v>1</v>
      </c>
      <c r="AJ313">
        <v>2</v>
      </c>
      <c r="AK313" t="b">
        <f>Table7[[#This Row],[What is your age?]]&lt;&gt;"18 - 25"</f>
        <v>0</v>
      </c>
      <c r="AL313" t="b">
        <f t="shared" si="12"/>
        <v>0</v>
      </c>
      <c r="AM313" t="b">
        <f t="shared" si="13"/>
        <v>0</v>
      </c>
      <c r="AN313" t="b">
        <f t="shared" si="14"/>
        <v>0</v>
      </c>
      <c r="AO313" t="b">
        <f>OR(Table7[[#This Row],[Ineligible respondents]:[Inconsistent response on opposite question (3)]])</f>
        <v>0</v>
      </c>
      <c r="AP31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313">
        <f>Table7[[#This Row],[Extreme Response]]/21</f>
        <v>0.19047619047619047</v>
      </c>
      <c r="AR313">
        <f>Table67[[#This Row],[Threshold of ERS]]</f>
        <v>0.61904761904761907</v>
      </c>
      <c r="AS313" t="b">
        <f>Table7[[#This Row],[Extrem Response Ratio (ERS)]]&gt;=Table7[[#This Row],[Threshold of ERS]]</f>
        <v>0</v>
      </c>
      <c r="AT313" t="b" cm="1">
        <f t="array" ref="AT31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13">
        <f>COUNTIF(Table7[[#This Row],[The mechanism of digital assets is difficult to understand, which discourages me from exploring it (E.g, Tokenization, Blockchain)]:[If I want to try different ways to invest, I will explore digital assets.]], 3)</f>
        <v>7</v>
      </c>
      <c r="AV313">
        <f>Table7[[#This Row],[Midpoint]]/21</f>
        <v>0.33333333333333331</v>
      </c>
      <c r="AW313">
        <f>Table67[[#This Row],[Threshold of Midpoint ratio]]</f>
        <v>0.5714285714285714</v>
      </c>
      <c r="AX313" t="b">
        <f>Table7[[#This Row],[Midpoint ratio]]&gt;=Table7[[#This Row],[Threshold of Midpoint ratio]]</f>
        <v>0</v>
      </c>
      <c r="AY313" t="b">
        <f>OR(Table7[[#This Row],[Extreme Response Style]:[Straight-lining with 1 deviation]],Table7[[#This Row],[Mid-point Response Style]])</f>
        <v>0</v>
      </c>
      <c r="AZ313" t="b">
        <f>OR(Table7[[#This Row],[Delete? (Stage 1)]],Table7[[#This Row],[Delete? (Stage 2)]])</f>
        <v>0</v>
      </c>
      <c r="BA313" t="s">
        <v>84</v>
      </c>
    </row>
    <row r="314" spans="1:53">
      <c r="A314">
        <v>1422</v>
      </c>
      <c r="B314" s="3">
        <v>46065.707962962966</v>
      </c>
      <c r="C314" s="3">
        <v>46065.708472222221</v>
      </c>
      <c r="D314" t="s">
        <v>53</v>
      </c>
      <c r="G314" t="s">
        <v>54</v>
      </c>
      <c r="H314" t="s">
        <v>55</v>
      </c>
      <c r="I314" t="s">
        <v>75</v>
      </c>
      <c r="J314" t="s">
        <v>62</v>
      </c>
      <c r="K314" t="s">
        <v>57</v>
      </c>
      <c r="L314" t="s">
        <v>58</v>
      </c>
      <c r="M314" t="s">
        <v>58</v>
      </c>
      <c r="N314">
        <v>4</v>
      </c>
      <c r="O314">
        <v>2</v>
      </c>
      <c r="P314">
        <v>4</v>
      </c>
      <c r="Q314">
        <v>4</v>
      </c>
      <c r="R314">
        <v>3</v>
      </c>
      <c r="S314">
        <v>3</v>
      </c>
      <c r="T314">
        <v>3</v>
      </c>
      <c r="U314">
        <v>4</v>
      </c>
      <c r="V314">
        <v>3</v>
      </c>
      <c r="W314">
        <v>3</v>
      </c>
      <c r="X314">
        <v>3</v>
      </c>
      <c r="Y314">
        <v>3</v>
      </c>
      <c r="Z314">
        <v>3</v>
      </c>
      <c r="AA314">
        <v>3</v>
      </c>
      <c r="AB314">
        <v>3</v>
      </c>
      <c r="AC314">
        <v>4</v>
      </c>
      <c r="AD314">
        <v>2</v>
      </c>
      <c r="AE314">
        <v>2</v>
      </c>
      <c r="AF314">
        <v>4</v>
      </c>
      <c r="AG314">
        <v>2</v>
      </c>
      <c r="AH314">
        <v>5</v>
      </c>
      <c r="AI314">
        <v>1</v>
      </c>
      <c r="AJ314">
        <v>2</v>
      </c>
      <c r="AK314" t="b">
        <f>Table7[[#This Row],[What is your age?]]&lt;&gt;"18 - 25"</f>
        <v>0</v>
      </c>
      <c r="AL314" t="b">
        <f t="shared" si="12"/>
        <v>0</v>
      </c>
      <c r="AM314" t="b">
        <f t="shared" si="13"/>
        <v>0</v>
      </c>
      <c r="AN314" t="b">
        <f t="shared" si="14"/>
        <v>0</v>
      </c>
      <c r="AO314" t="b">
        <f>OR(Table7[[#This Row],[Ineligible respondents]:[Inconsistent response on opposite question (3)]])</f>
        <v>0</v>
      </c>
      <c r="AP31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314">
        <f>Table7[[#This Row],[Extreme Response]]/21</f>
        <v>4.7619047619047616E-2</v>
      </c>
      <c r="AR314">
        <f>Table67[[#This Row],[Threshold of ERS]]</f>
        <v>0.61904761904761907</v>
      </c>
      <c r="AS314" t="b">
        <f>Table7[[#This Row],[Extrem Response Ratio (ERS)]]&gt;=Table7[[#This Row],[Threshold of ERS]]</f>
        <v>0</v>
      </c>
      <c r="AT314" t="b" cm="1">
        <f t="array" ref="AT31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14">
        <f>COUNTIF(Table7[[#This Row],[The mechanism of digital assets is difficult to understand, which discourages me from exploring it (E.g, Tokenization, Blockchain)]:[If I want to try different ways to invest, I will explore digital assets.]], 3)</f>
        <v>10</v>
      </c>
      <c r="AV314">
        <f>Table7[[#This Row],[Midpoint]]/21</f>
        <v>0.47619047619047616</v>
      </c>
      <c r="AW314">
        <f>Table67[[#This Row],[Threshold of Midpoint ratio]]</f>
        <v>0.5714285714285714</v>
      </c>
      <c r="AX314" t="b">
        <f>Table7[[#This Row],[Midpoint ratio]]&gt;=Table7[[#This Row],[Threshold of Midpoint ratio]]</f>
        <v>0</v>
      </c>
      <c r="AY314" t="b">
        <f>OR(Table7[[#This Row],[Extreme Response Style]:[Straight-lining with 1 deviation]],Table7[[#This Row],[Mid-point Response Style]])</f>
        <v>0</v>
      </c>
      <c r="AZ314" t="b">
        <f>OR(Table7[[#This Row],[Delete? (Stage 1)]],Table7[[#This Row],[Delete? (Stage 2)]])</f>
        <v>0</v>
      </c>
      <c r="BA314" t="s">
        <v>84</v>
      </c>
    </row>
    <row r="315" spans="1:53">
      <c r="A315">
        <v>1425</v>
      </c>
      <c r="B315" s="3">
        <v>46065.890729166669</v>
      </c>
      <c r="C315" s="3">
        <v>46065.894884259258</v>
      </c>
      <c r="D315" t="s">
        <v>53</v>
      </c>
      <c r="G315" t="s">
        <v>54</v>
      </c>
      <c r="H315" t="s">
        <v>55</v>
      </c>
      <c r="I315" t="s">
        <v>56</v>
      </c>
      <c r="J315" t="s">
        <v>62</v>
      </c>
      <c r="K315" t="s">
        <v>57</v>
      </c>
      <c r="L315" t="s">
        <v>61</v>
      </c>
      <c r="M315" t="s">
        <v>58</v>
      </c>
      <c r="N315">
        <v>2</v>
      </c>
      <c r="O315">
        <v>2</v>
      </c>
      <c r="P315">
        <v>2</v>
      </c>
      <c r="Q315">
        <v>3</v>
      </c>
      <c r="R315">
        <v>2</v>
      </c>
      <c r="S315">
        <v>2</v>
      </c>
      <c r="T315">
        <v>2</v>
      </c>
      <c r="U315">
        <v>3</v>
      </c>
      <c r="V315">
        <v>3</v>
      </c>
      <c r="W315">
        <v>2</v>
      </c>
      <c r="X315">
        <v>4</v>
      </c>
      <c r="Y315">
        <v>3</v>
      </c>
      <c r="Z315">
        <v>4</v>
      </c>
      <c r="AA315">
        <v>2</v>
      </c>
      <c r="AB315">
        <v>2</v>
      </c>
      <c r="AC315">
        <v>3</v>
      </c>
      <c r="AD315">
        <v>3</v>
      </c>
      <c r="AE315">
        <v>4</v>
      </c>
      <c r="AF315">
        <v>4</v>
      </c>
      <c r="AG315">
        <v>1</v>
      </c>
      <c r="AH315">
        <v>5</v>
      </c>
      <c r="AI315">
        <v>1</v>
      </c>
      <c r="AJ315">
        <v>2</v>
      </c>
      <c r="AK315" t="b">
        <f>Table7[[#This Row],[What is your age?]]&lt;&gt;"18 - 25"</f>
        <v>0</v>
      </c>
      <c r="AL315" t="b">
        <f t="shared" si="12"/>
        <v>0</v>
      </c>
      <c r="AM315" t="b">
        <f t="shared" si="13"/>
        <v>0</v>
      </c>
      <c r="AN315" t="b">
        <f t="shared" si="14"/>
        <v>0</v>
      </c>
      <c r="AO315" t="b">
        <f>OR(Table7[[#This Row],[Ineligible respondents]:[Inconsistent response on opposite question (3)]])</f>
        <v>0</v>
      </c>
      <c r="AP31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315">
        <f>Table7[[#This Row],[Extreme Response]]/21</f>
        <v>9.5238095238095233E-2</v>
      </c>
      <c r="AR315">
        <f>Table67[[#This Row],[Threshold of ERS]]</f>
        <v>0.61904761904761907</v>
      </c>
      <c r="AS315" t="b">
        <f>Table7[[#This Row],[Extrem Response Ratio (ERS)]]&gt;=Table7[[#This Row],[Threshold of ERS]]</f>
        <v>0</v>
      </c>
      <c r="AT315" t="b" cm="1">
        <f t="array" ref="AT31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15">
        <f>COUNTIF(Table7[[#This Row],[The mechanism of digital assets is difficult to understand, which discourages me from exploring it (E.g, Tokenization, Blockchain)]:[If I want to try different ways to invest, I will explore digital assets.]], 3)</f>
        <v>6</v>
      </c>
      <c r="AV315">
        <f>Table7[[#This Row],[Midpoint]]/21</f>
        <v>0.2857142857142857</v>
      </c>
      <c r="AW315">
        <f>Table67[[#This Row],[Threshold of Midpoint ratio]]</f>
        <v>0.5714285714285714</v>
      </c>
      <c r="AX315" t="b">
        <f>Table7[[#This Row],[Midpoint ratio]]&gt;=Table7[[#This Row],[Threshold of Midpoint ratio]]</f>
        <v>0</v>
      </c>
      <c r="AY315" t="b">
        <f>OR(Table7[[#This Row],[Extreme Response Style]:[Straight-lining with 1 deviation]],Table7[[#This Row],[Mid-point Response Style]])</f>
        <v>0</v>
      </c>
      <c r="AZ315" t="b">
        <f>OR(Table7[[#This Row],[Delete? (Stage 1)]],Table7[[#This Row],[Delete? (Stage 2)]])</f>
        <v>0</v>
      </c>
      <c r="BA315" t="s">
        <v>84</v>
      </c>
    </row>
    <row r="316" spans="1:53">
      <c r="A316">
        <v>1430</v>
      </c>
      <c r="B316" s="3">
        <v>46065.765462962961</v>
      </c>
      <c r="C316" s="3">
        <v>46065.766886574071</v>
      </c>
      <c r="D316" t="s">
        <v>53</v>
      </c>
      <c r="G316" t="s">
        <v>54</v>
      </c>
      <c r="H316" t="s">
        <v>63</v>
      </c>
      <c r="I316" t="s">
        <v>75</v>
      </c>
      <c r="J316" t="s">
        <v>62</v>
      </c>
      <c r="K316" t="s">
        <v>57</v>
      </c>
      <c r="L316" t="s">
        <v>58</v>
      </c>
      <c r="M316" t="s">
        <v>58</v>
      </c>
      <c r="N316">
        <v>3</v>
      </c>
      <c r="O316">
        <v>3</v>
      </c>
      <c r="P316">
        <v>3</v>
      </c>
      <c r="Q316">
        <v>3</v>
      </c>
      <c r="R316">
        <v>2</v>
      </c>
      <c r="S316">
        <v>2</v>
      </c>
      <c r="T316">
        <v>2</v>
      </c>
      <c r="U316">
        <v>4</v>
      </c>
      <c r="V316">
        <v>1</v>
      </c>
      <c r="W316">
        <v>1</v>
      </c>
      <c r="X316">
        <v>2</v>
      </c>
      <c r="Y316">
        <v>1</v>
      </c>
      <c r="Z316">
        <v>1</v>
      </c>
      <c r="AA316">
        <v>2</v>
      </c>
      <c r="AB316">
        <v>2</v>
      </c>
      <c r="AC316">
        <v>4</v>
      </c>
      <c r="AD316">
        <v>1</v>
      </c>
      <c r="AE316">
        <v>1</v>
      </c>
      <c r="AF316">
        <v>4</v>
      </c>
      <c r="AG316">
        <v>2</v>
      </c>
      <c r="AH316">
        <v>4</v>
      </c>
      <c r="AI316">
        <v>2</v>
      </c>
      <c r="AJ316">
        <v>2</v>
      </c>
      <c r="AK316" t="b">
        <f>Table7[[#This Row],[What is your age?]]&lt;&gt;"18 - 25"</f>
        <v>0</v>
      </c>
      <c r="AL316" t="b">
        <f t="shared" si="12"/>
        <v>0</v>
      </c>
      <c r="AM316" t="b">
        <f t="shared" si="13"/>
        <v>0</v>
      </c>
      <c r="AN316" t="b">
        <f t="shared" si="14"/>
        <v>0</v>
      </c>
      <c r="AO316" t="b">
        <f>OR(Table7[[#This Row],[Ineligible respondents]:[Inconsistent response on opposite question (3)]])</f>
        <v>0</v>
      </c>
      <c r="AP31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6</v>
      </c>
      <c r="AQ316">
        <f>Table7[[#This Row],[Extreme Response]]/21</f>
        <v>0.2857142857142857</v>
      </c>
      <c r="AR316">
        <f>Table67[[#This Row],[Threshold of ERS]]</f>
        <v>0.61904761904761907</v>
      </c>
      <c r="AS316" t="b">
        <f>Table7[[#This Row],[Extrem Response Ratio (ERS)]]&gt;=Table7[[#This Row],[Threshold of ERS]]</f>
        <v>0</v>
      </c>
      <c r="AT316" t="b" cm="1">
        <f t="array" ref="AT31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16">
        <f>COUNTIF(Table7[[#This Row],[The mechanism of digital assets is difficult to understand, which discourages me from exploring it (E.g, Tokenization, Blockchain)]:[If I want to try different ways to invest, I will explore digital assets.]], 3)</f>
        <v>4</v>
      </c>
      <c r="AV316">
        <f>Table7[[#This Row],[Midpoint]]/21</f>
        <v>0.19047619047619047</v>
      </c>
      <c r="AW316">
        <f>Table67[[#This Row],[Threshold of Midpoint ratio]]</f>
        <v>0.5714285714285714</v>
      </c>
      <c r="AX316" t="b">
        <f>Table7[[#This Row],[Midpoint ratio]]&gt;=Table7[[#This Row],[Threshold of Midpoint ratio]]</f>
        <v>0</v>
      </c>
      <c r="AY316" t="b">
        <f>OR(Table7[[#This Row],[Extreme Response Style]:[Straight-lining with 1 deviation]],Table7[[#This Row],[Mid-point Response Style]])</f>
        <v>0</v>
      </c>
      <c r="AZ316" t="b">
        <f>OR(Table7[[#This Row],[Delete? (Stage 1)]],Table7[[#This Row],[Delete? (Stage 2)]])</f>
        <v>0</v>
      </c>
      <c r="BA316" t="s">
        <v>84</v>
      </c>
    </row>
    <row r="317" spans="1:53">
      <c r="A317">
        <v>1432</v>
      </c>
      <c r="B317" s="3">
        <v>46065.837476851855</v>
      </c>
      <c r="C317" s="3">
        <v>46065.839953703704</v>
      </c>
      <c r="D317" t="s">
        <v>53</v>
      </c>
      <c r="G317" t="s">
        <v>54</v>
      </c>
      <c r="H317" t="s">
        <v>63</v>
      </c>
      <c r="I317" t="s">
        <v>56</v>
      </c>
      <c r="J317" t="s">
        <v>60</v>
      </c>
      <c r="K317" t="s">
        <v>62</v>
      </c>
      <c r="L317" t="s">
        <v>58</v>
      </c>
      <c r="M317" t="s">
        <v>58</v>
      </c>
      <c r="N317">
        <v>1</v>
      </c>
      <c r="O317">
        <v>1</v>
      </c>
      <c r="P317">
        <v>2</v>
      </c>
      <c r="Q317">
        <v>2</v>
      </c>
      <c r="R317">
        <v>1</v>
      </c>
      <c r="S317">
        <v>2</v>
      </c>
      <c r="T317">
        <v>2</v>
      </c>
      <c r="U317">
        <v>3</v>
      </c>
      <c r="V317">
        <v>3</v>
      </c>
      <c r="W317">
        <v>3</v>
      </c>
      <c r="X317">
        <v>3</v>
      </c>
      <c r="Y317">
        <v>3</v>
      </c>
      <c r="Z317">
        <v>3</v>
      </c>
      <c r="AA317">
        <v>1</v>
      </c>
      <c r="AB317">
        <v>2</v>
      </c>
      <c r="AC317">
        <v>2</v>
      </c>
      <c r="AD317">
        <v>3</v>
      </c>
      <c r="AE317">
        <v>2</v>
      </c>
      <c r="AF317">
        <v>5</v>
      </c>
      <c r="AG317">
        <v>1</v>
      </c>
      <c r="AH317">
        <v>4</v>
      </c>
      <c r="AI317">
        <v>2</v>
      </c>
      <c r="AJ317">
        <v>1</v>
      </c>
      <c r="AK317" t="b">
        <f>Table7[[#This Row],[What is your age?]]&lt;&gt;"18 - 25"</f>
        <v>0</v>
      </c>
      <c r="AL317" t="b">
        <f t="shared" si="12"/>
        <v>0</v>
      </c>
      <c r="AM317" t="b">
        <f t="shared" si="13"/>
        <v>0</v>
      </c>
      <c r="AN317" t="b">
        <f t="shared" si="14"/>
        <v>0</v>
      </c>
      <c r="AO317" t="b">
        <f>OR(Table7[[#This Row],[Ineligible respondents]:[Inconsistent response on opposite question (3)]])</f>
        <v>0</v>
      </c>
      <c r="AP31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6</v>
      </c>
      <c r="AQ317">
        <f>Table7[[#This Row],[Extreme Response]]/21</f>
        <v>0.2857142857142857</v>
      </c>
      <c r="AR317">
        <f>Table67[[#This Row],[Threshold of ERS]]</f>
        <v>0.61904761904761907</v>
      </c>
      <c r="AS317" t="b">
        <f>Table7[[#This Row],[Extrem Response Ratio (ERS)]]&gt;=Table7[[#This Row],[Threshold of ERS]]</f>
        <v>0</v>
      </c>
      <c r="AT317" t="b" cm="1">
        <f t="array" ref="AT31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17">
        <f>COUNTIF(Table7[[#This Row],[The mechanism of digital assets is difficult to understand, which discourages me from exploring it (E.g, Tokenization, Blockchain)]:[If I want to try different ways to invest, I will explore digital assets.]], 3)</f>
        <v>7</v>
      </c>
      <c r="AV317">
        <f>Table7[[#This Row],[Midpoint]]/21</f>
        <v>0.33333333333333331</v>
      </c>
      <c r="AW317">
        <f>Table67[[#This Row],[Threshold of Midpoint ratio]]</f>
        <v>0.5714285714285714</v>
      </c>
      <c r="AX317" t="b">
        <f>Table7[[#This Row],[Midpoint ratio]]&gt;=Table7[[#This Row],[Threshold of Midpoint ratio]]</f>
        <v>0</v>
      </c>
      <c r="AY317" t="b">
        <f>OR(Table7[[#This Row],[Extreme Response Style]:[Straight-lining with 1 deviation]],Table7[[#This Row],[Mid-point Response Style]])</f>
        <v>0</v>
      </c>
      <c r="AZ317" t="b">
        <f>OR(Table7[[#This Row],[Delete? (Stage 1)]],Table7[[#This Row],[Delete? (Stage 2)]])</f>
        <v>0</v>
      </c>
      <c r="BA317" t="s">
        <v>84</v>
      </c>
    </row>
    <row r="318" spans="1:53">
      <c r="A318">
        <v>1433</v>
      </c>
      <c r="B318" s="3">
        <v>46065.719837962963</v>
      </c>
      <c r="C318" s="3">
        <v>46065.72016203704</v>
      </c>
      <c r="D318" t="s">
        <v>53</v>
      </c>
      <c r="G318" t="s">
        <v>54</v>
      </c>
      <c r="H318" t="s">
        <v>55</v>
      </c>
      <c r="I318" t="s">
        <v>75</v>
      </c>
      <c r="J318" t="s">
        <v>64</v>
      </c>
      <c r="K318" t="s">
        <v>66</v>
      </c>
      <c r="L318" t="s">
        <v>58</v>
      </c>
      <c r="M318" t="s">
        <v>58</v>
      </c>
      <c r="N318">
        <v>2</v>
      </c>
      <c r="O318">
        <v>3</v>
      </c>
      <c r="P318">
        <v>4</v>
      </c>
      <c r="Q318">
        <v>4</v>
      </c>
      <c r="R318">
        <v>2</v>
      </c>
      <c r="S318">
        <v>2</v>
      </c>
      <c r="T318">
        <v>3</v>
      </c>
      <c r="U318">
        <v>4</v>
      </c>
      <c r="V318">
        <v>4</v>
      </c>
      <c r="W318">
        <v>4</v>
      </c>
      <c r="X318">
        <v>4</v>
      </c>
      <c r="Y318">
        <v>4</v>
      </c>
      <c r="Z318">
        <v>3</v>
      </c>
      <c r="AA318">
        <v>2</v>
      </c>
      <c r="AB318">
        <v>3</v>
      </c>
      <c r="AC318">
        <v>4</v>
      </c>
      <c r="AD318">
        <v>4</v>
      </c>
      <c r="AE318">
        <v>4</v>
      </c>
      <c r="AF318">
        <v>3</v>
      </c>
      <c r="AG318">
        <v>2</v>
      </c>
      <c r="AH318">
        <v>4</v>
      </c>
      <c r="AI318">
        <v>2</v>
      </c>
      <c r="AJ318">
        <v>3</v>
      </c>
      <c r="AK318" t="b">
        <f>Table7[[#This Row],[What is your age?]]&lt;&gt;"18 - 25"</f>
        <v>0</v>
      </c>
      <c r="AL318" t="b">
        <f t="shared" si="12"/>
        <v>0</v>
      </c>
      <c r="AM318" t="b">
        <f t="shared" si="13"/>
        <v>0</v>
      </c>
      <c r="AN318" t="b">
        <f t="shared" si="14"/>
        <v>0</v>
      </c>
      <c r="AO318" t="b">
        <f>OR(Table7[[#This Row],[Ineligible respondents]:[Inconsistent response on opposite question (3)]])</f>
        <v>0</v>
      </c>
      <c r="AP31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318">
        <f>Table7[[#This Row],[Extreme Response]]/21</f>
        <v>0</v>
      </c>
      <c r="AR318">
        <f>Table67[[#This Row],[Threshold of ERS]]</f>
        <v>0.61904761904761907</v>
      </c>
      <c r="AS318" t="b">
        <f>Table7[[#This Row],[Extrem Response Ratio (ERS)]]&gt;=Table7[[#This Row],[Threshold of ERS]]</f>
        <v>0</v>
      </c>
      <c r="AT318" t="b" cm="1">
        <f t="array" ref="AT31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18">
        <f>COUNTIF(Table7[[#This Row],[The mechanism of digital assets is difficult to understand, which discourages me from exploring it (E.g, Tokenization, Blockchain)]:[If I want to try different ways to invest, I will explore digital assets.]], 3)</f>
        <v>5</v>
      </c>
      <c r="AV318">
        <f>Table7[[#This Row],[Midpoint]]/21</f>
        <v>0.23809523809523808</v>
      </c>
      <c r="AW318">
        <f>Table67[[#This Row],[Threshold of Midpoint ratio]]</f>
        <v>0.5714285714285714</v>
      </c>
      <c r="AX318" t="b">
        <f>Table7[[#This Row],[Midpoint ratio]]&gt;=Table7[[#This Row],[Threshold of Midpoint ratio]]</f>
        <v>0</v>
      </c>
      <c r="AY318" t="b">
        <f>OR(Table7[[#This Row],[Extreme Response Style]:[Straight-lining with 1 deviation]],Table7[[#This Row],[Mid-point Response Style]])</f>
        <v>0</v>
      </c>
      <c r="AZ318" t="b">
        <f>OR(Table7[[#This Row],[Delete? (Stage 1)]],Table7[[#This Row],[Delete? (Stage 2)]])</f>
        <v>0</v>
      </c>
      <c r="BA318" t="s">
        <v>84</v>
      </c>
    </row>
    <row r="319" spans="1:53">
      <c r="A319">
        <v>1442</v>
      </c>
      <c r="B319" s="3">
        <v>46065.72451388889</v>
      </c>
      <c r="C319" s="3">
        <v>46065.724918981483</v>
      </c>
      <c r="D319" t="s">
        <v>53</v>
      </c>
      <c r="G319" t="s">
        <v>54</v>
      </c>
      <c r="H319" t="s">
        <v>55</v>
      </c>
      <c r="I319" t="s">
        <v>56</v>
      </c>
      <c r="J319" t="s">
        <v>60</v>
      </c>
      <c r="K319" t="s">
        <v>64</v>
      </c>
      <c r="L319" t="s">
        <v>61</v>
      </c>
      <c r="M319" t="s">
        <v>58</v>
      </c>
      <c r="N319">
        <v>3</v>
      </c>
      <c r="O319">
        <v>4</v>
      </c>
      <c r="P319">
        <v>3</v>
      </c>
      <c r="Q319">
        <v>3</v>
      </c>
      <c r="R319">
        <v>4</v>
      </c>
      <c r="S319">
        <v>3</v>
      </c>
      <c r="T319">
        <v>3</v>
      </c>
      <c r="U319">
        <v>4</v>
      </c>
      <c r="V319">
        <v>4</v>
      </c>
      <c r="W319">
        <v>4</v>
      </c>
      <c r="X319">
        <v>5</v>
      </c>
      <c r="Y319">
        <v>3</v>
      </c>
      <c r="Z319">
        <v>5</v>
      </c>
      <c r="AA319">
        <v>2</v>
      </c>
      <c r="AB319">
        <v>3</v>
      </c>
      <c r="AC319">
        <v>4</v>
      </c>
      <c r="AD319">
        <v>5</v>
      </c>
      <c r="AE319">
        <v>5</v>
      </c>
      <c r="AF319">
        <v>3</v>
      </c>
      <c r="AG319">
        <v>2</v>
      </c>
      <c r="AH319">
        <v>5</v>
      </c>
      <c r="AI319">
        <v>1</v>
      </c>
      <c r="AJ319">
        <v>3</v>
      </c>
      <c r="AK319" t="b">
        <f>Table7[[#This Row],[What is your age?]]&lt;&gt;"18 - 25"</f>
        <v>0</v>
      </c>
      <c r="AL319" t="b">
        <f t="shared" si="12"/>
        <v>0</v>
      </c>
      <c r="AM319" t="b">
        <f t="shared" si="13"/>
        <v>0</v>
      </c>
      <c r="AN319" t="b">
        <f t="shared" si="14"/>
        <v>0</v>
      </c>
      <c r="AO319" t="b">
        <f>OR(Table7[[#This Row],[Ineligible respondents]:[Inconsistent response on opposite question (3)]])</f>
        <v>0</v>
      </c>
      <c r="AP31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5</v>
      </c>
      <c r="AQ319">
        <f>Table7[[#This Row],[Extreme Response]]/21</f>
        <v>0.23809523809523808</v>
      </c>
      <c r="AR319">
        <f>Table67[[#This Row],[Threshold of ERS]]</f>
        <v>0.61904761904761907</v>
      </c>
      <c r="AS319" t="b">
        <f>Table7[[#This Row],[Extrem Response Ratio (ERS)]]&gt;=Table7[[#This Row],[Threshold of ERS]]</f>
        <v>0</v>
      </c>
      <c r="AT319" t="b" cm="1">
        <f t="array" ref="AT31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19">
        <f>COUNTIF(Table7[[#This Row],[The mechanism of digital assets is difficult to understand, which discourages me from exploring it (E.g, Tokenization, Blockchain)]:[If I want to try different ways to invest, I will explore digital assets.]], 3)</f>
        <v>8</v>
      </c>
      <c r="AV319">
        <f>Table7[[#This Row],[Midpoint]]/21</f>
        <v>0.38095238095238093</v>
      </c>
      <c r="AW319">
        <f>Table67[[#This Row],[Threshold of Midpoint ratio]]</f>
        <v>0.5714285714285714</v>
      </c>
      <c r="AX319" t="b">
        <f>Table7[[#This Row],[Midpoint ratio]]&gt;=Table7[[#This Row],[Threshold of Midpoint ratio]]</f>
        <v>0</v>
      </c>
      <c r="AY319" t="b">
        <f>OR(Table7[[#This Row],[Extreme Response Style]:[Straight-lining with 1 deviation]],Table7[[#This Row],[Mid-point Response Style]])</f>
        <v>0</v>
      </c>
      <c r="AZ319" t="b">
        <f>OR(Table7[[#This Row],[Delete? (Stage 1)]],Table7[[#This Row],[Delete? (Stage 2)]])</f>
        <v>0</v>
      </c>
      <c r="BA319" t="s">
        <v>84</v>
      </c>
    </row>
    <row r="320" spans="1:53">
      <c r="A320">
        <v>1445</v>
      </c>
      <c r="B320" s="3">
        <v>46065.712407407409</v>
      </c>
      <c r="C320" s="3">
        <v>46065.712777777779</v>
      </c>
      <c r="D320" t="s">
        <v>53</v>
      </c>
      <c r="G320" t="s">
        <v>54</v>
      </c>
      <c r="H320" t="s">
        <v>55</v>
      </c>
      <c r="I320" t="s">
        <v>71</v>
      </c>
      <c r="J320" t="s">
        <v>57</v>
      </c>
      <c r="K320" t="s">
        <v>57</v>
      </c>
      <c r="L320" t="s">
        <v>58</v>
      </c>
      <c r="M320" t="s">
        <v>58</v>
      </c>
      <c r="N320">
        <v>4</v>
      </c>
      <c r="O320">
        <v>4</v>
      </c>
      <c r="P320">
        <v>3</v>
      </c>
      <c r="Q320">
        <v>3</v>
      </c>
      <c r="R320">
        <v>3</v>
      </c>
      <c r="S320">
        <v>2</v>
      </c>
      <c r="T320">
        <v>3</v>
      </c>
      <c r="U320">
        <v>3</v>
      </c>
      <c r="V320">
        <v>4</v>
      </c>
      <c r="W320">
        <v>4</v>
      </c>
      <c r="X320">
        <v>3</v>
      </c>
      <c r="Y320">
        <v>4</v>
      </c>
      <c r="Z320">
        <v>3</v>
      </c>
      <c r="AA320">
        <v>2</v>
      </c>
      <c r="AB320">
        <v>2</v>
      </c>
      <c r="AC320">
        <v>3</v>
      </c>
      <c r="AD320">
        <v>4</v>
      </c>
      <c r="AE320">
        <v>3</v>
      </c>
      <c r="AF320">
        <v>4</v>
      </c>
      <c r="AG320">
        <v>2</v>
      </c>
      <c r="AH320">
        <v>5</v>
      </c>
      <c r="AI320">
        <v>1</v>
      </c>
      <c r="AJ320">
        <v>2</v>
      </c>
      <c r="AK320" t="b">
        <f>Table7[[#This Row],[What is your age?]]&lt;&gt;"18 - 25"</f>
        <v>0</v>
      </c>
      <c r="AL320" t="b">
        <f t="shared" si="12"/>
        <v>0</v>
      </c>
      <c r="AM320" t="b">
        <f t="shared" si="13"/>
        <v>0</v>
      </c>
      <c r="AN320" t="b">
        <f t="shared" si="14"/>
        <v>0</v>
      </c>
      <c r="AO320" t="b">
        <f>OR(Table7[[#This Row],[Ineligible respondents]:[Inconsistent response on opposite question (3)]])</f>
        <v>0</v>
      </c>
      <c r="AP32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320">
        <f>Table7[[#This Row],[Extreme Response]]/21</f>
        <v>4.7619047619047616E-2</v>
      </c>
      <c r="AR320">
        <f>Table67[[#This Row],[Threshold of ERS]]</f>
        <v>0.61904761904761907</v>
      </c>
      <c r="AS320" t="b">
        <f>Table7[[#This Row],[Extrem Response Ratio (ERS)]]&gt;=Table7[[#This Row],[Threshold of ERS]]</f>
        <v>0</v>
      </c>
      <c r="AT320" t="b" cm="1">
        <f t="array" ref="AT32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20">
        <f>COUNTIF(Table7[[#This Row],[The mechanism of digital assets is difficult to understand, which discourages me from exploring it (E.g, Tokenization, Blockchain)]:[If I want to try different ways to invest, I will explore digital assets.]], 3)</f>
        <v>9</v>
      </c>
      <c r="AV320">
        <f>Table7[[#This Row],[Midpoint]]/21</f>
        <v>0.42857142857142855</v>
      </c>
      <c r="AW320">
        <f>Table67[[#This Row],[Threshold of Midpoint ratio]]</f>
        <v>0.5714285714285714</v>
      </c>
      <c r="AX320" t="b">
        <f>Table7[[#This Row],[Midpoint ratio]]&gt;=Table7[[#This Row],[Threshold of Midpoint ratio]]</f>
        <v>0</v>
      </c>
      <c r="AY320" t="b">
        <f>OR(Table7[[#This Row],[Extreme Response Style]:[Straight-lining with 1 deviation]],Table7[[#This Row],[Mid-point Response Style]])</f>
        <v>0</v>
      </c>
      <c r="AZ320" t="b">
        <f>OR(Table7[[#This Row],[Delete? (Stage 1)]],Table7[[#This Row],[Delete? (Stage 2)]])</f>
        <v>0</v>
      </c>
      <c r="BA320" t="s">
        <v>84</v>
      </c>
    </row>
    <row r="321" spans="1:53">
      <c r="A321">
        <v>1447</v>
      </c>
      <c r="B321" s="3">
        <v>46065.832743055558</v>
      </c>
      <c r="C321" s="3">
        <v>46065.835023148145</v>
      </c>
      <c r="D321" t="s">
        <v>53</v>
      </c>
      <c r="G321" t="s">
        <v>54</v>
      </c>
      <c r="H321" t="s">
        <v>63</v>
      </c>
      <c r="I321" t="s">
        <v>69</v>
      </c>
      <c r="J321" t="s">
        <v>62</v>
      </c>
      <c r="K321" t="s">
        <v>57</v>
      </c>
      <c r="L321" t="s">
        <v>61</v>
      </c>
      <c r="M321" t="s">
        <v>58</v>
      </c>
      <c r="N321">
        <v>3</v>
      </c>
      <c r="O321">
        <v>2</v>
      </c>
      <c r="P321">
        <v>3</v>
      </c>
      <c r="Q321">
        <v>2</v>
      </c>
      <c r="R321">
        <v>2</v>
      </c>
      <c r="S321">
        <v>2</v>
      </c>
      <c r="T321">
        <v>1</v>
      </c>
      <c r="U321">
        <v>2</v>
      </c>
      <c r="V321">
        <v>3</v>
      </c>
      <c r="W321">
        <v>2</v>
      </c>
      <c r="X321">
        <v>1</v>
      </c>
      <c r="Y321">
        <v>3</v>
      </c>
      <c r="Z321">
        <v>2</v>
      </c>
      <c r="AA321">
        <v>2</v>
      </c>
      <c r="AB321">
        <v>2</v>
      </c>
      <c r="AC321">
        <v>3</v>
      </c>
      <c r="AD321">
        <v>2</v>
      </c>
      <c r="AE321">
        <v>2</v>
      </c>
      <c r="AF321">
        <v>4</v>
      </c>
      <c r="AG321">
        <v>2</v>
      </c>
      <c r="AH321">
        <v>4</v>
      </c>
      <c r="AI321">
        <v>2</v>
      </c>
      <c r="AJ321">
        <v>2</v>
      </c>
      <c r="AK321" t="b">
        <f>Table7[[#This Row],[What is your age?]]&lt;&gt;"18 - 25"</f>
        <v>0</v>
      </c>
      <c r="AL321" t="b">
        <f t="shared" si="12"/>
        <v>0</v>
      </c>
      <c r="AM321" t="b">
        <f t="shared" si="13"/>
        <v>0</v>
      </c>
      <c r="AN321" t="b">
        <f t="shared" si="14"/>
        <v>0</v>
      </c>
      <c r="AO321" t="b">
        <f>OR(Table7[[#This Row],[Ineligible respondents]:[Inconsistent response on opposite question (3)]])</f>
        <v>0</v>
      </c>
      <c r="AP32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321">
        <f>Table7[[#This Row],[Extreme Response]]/21</f>
        <v>9.5238095238095233E-2</v>
      </c>
      <c r="AR321">
        <f>Table67[[#This Row],[Threshold of ERS]]</f>
        <v>0.61904761904761907</v>
      </c>
      <c r="AS321" t="b">
        <f>Table7[[#This Row],[Extrem Response Ratio (ERS)]]&gt;=Table7[[#This Row],[Threshold of ERS]]</f>
        <v>0</v>
      </c>
      <c r="AT321" t="b" cm="1">
        <f t="array" ref="AT32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21">
        <f>COUNTIF(Table7[[#This Row],[The mechanism of digital assets is difficult to understand, which discourages me from exploring it (E.g, Tokenization, Blockchain)]:[If I want to try different ways to invest, I will explore digital assets.]], 3)</f>
        <v>5</v>
      </c>
      <c r="AV321">
        <f>Table7[[#This Row],[Midpoint]]/21</f>
        <v>0.23809523809523808</v>
      </c>
      <c r="AW321">
        <f>Table67[[#This Row],[Threshold of Midpoint ratio]]</f>
        <v>0.5714285714285714</v>
      </c>
      <c r="AX321" t="b">
        <f>Table7[[#This Row],[Midpoint ratio]]&gt;=Table7[[#This Row],[Threshold of Midpoint ratio]]</f>
        <v>0</v>
      </c>
      <c r="AY321" t="b">
        <f>OR(Table7[[#This Row],[Extreme Response Style]:[Straight-lining with 1 deviation]],Table7[[#This Row],[Mid-point Response Style]])</f>
        <v>0</v>
      </c>
      <c r="AZ321" t="b">
        <f>OR(Table7[[#This Row],[Delete? (Stage 1)]],Table7[[#This Row],[Delete? (Stage 2)]])</f>
        <v>0</v>
      </c>
      <c r="BA321" t="s">
        <v>84</v>
      </c>
    </row>
    <row r="322" spans="1:53">
      <c r="A322">
        <v>1448</v>
      </c>
      <c r="B322" s="3">
        <v>46065.842187499999</v>
      </c>
      <c r="C322" s="3">
        <v>46065.848773148151</v>
      </c>
      <c r="D322" t="s">
        <v>53</v>
      </c>
      <c r="G322" t="s">
        <v>54</v>
      </c>
      <c r="H322" t="s">
        <v>55</v>
      </c>
      <c r="I322" t="s">
        <v>56</v>
      </c>
      <c r="J322" t="s">
        <v>62</v>
      </c>
      <c r="K322" t="s">
        <v>57</v>
      </c>
      <c r="L322" t="s">
        <v>61</v>
      </c>
      <c r="M322" t="s">
        <v>61</v>
      </c>
      <c r="N322">
        <v>2</v>
      </c>
      <c r="O322">
        <v>1</v>
      </c>
      <c r="P322">
        <v>3</v>
      </c>
      <c r="Q322">
        <v>4</v>
      </c>
      <c r="R322">
        <v>2</v>
      </c>
      <c r="S322">
        <v>4</v>
      </c>
      <c r="T322">
        <v>4</v>
      </c>
      <c r="U322">
        <v>3</v>
      </c>
      <c r="V322">
        <v>5</v>
      </c>
      <c r="W322">
        <v>5</v>
      </c>
      <c r="X322">
        <v>3</v>
      </c>
      <c r="Y322">
        <v>4</v>
      </c>
      <c r="Z322">
        <v>4</v>
      </c>
      <c r="AA322">
        <v>4</v>
      </c>
      <c r="AB322">
        <v>4</v>
      </c>
      <c r="AC322">
        <v>4</v>
      </c>
      <c r="AD322">
        <v>4</v>
      </c>
      <c r="AE322">
        <v>4</v>
      </c>
      <c r="AF322">
        <v>4</v>
      </c>
      <c r="AG322">
        <v>2</v>
      </c>
      <c r="AH322">
        <v>4</v>
      </c>
      <c r="AI322">
        <v>2</v>
      </c>
      <c r="AJ322">
        <v>2</v>
      </c>
      <c r="AK322" t="b">
        <f>Table7[[#This Row],[What is your age?]]&lt;&gt;"18 - 25"</f>
        <v>0</v>
      </c>
      <c r="AL322" t="b">
        <f t="shared" ref="AL322:AL385" si="15">COUNTIF(N322:AH322, N322) = COLUMNS(N322:AH322)</f>
        <v>0</v>
      </c>
      <c r="AM322" t="b">
        <f t="shared" ref="AM322:AM385" si="16">OR(AND(AG322=AH322, AG322&lt;&gt;3), AND(OR(AG322=1, AG322=2), OR(AH322=1, AH322=2)), AND(OR(AG322=4, AG322=5), OR(AH322=4, AH322=5)))</f>
        <v>0</v>
      </c>
      <c r="AN322" t="b">
        <f t="shared" ref="AN322:AN385" si="17">OR(AND(AG322=3, AH322&lt;&gt;3), AND(AH322=3, AG322&lt;&gt;3))</f>
        <v>0</v>
      </c>
      <c r="AO322" t="b">
        <f>OR(Table7[[#This Row],[Ineligible respondents]:[Inconsistent response on opposite question (3)]])</f>
        <v>0</v>
      </c>
      <c r="AP32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322">
        <f>Table7[[#This Row],[Extreme Response]]/21</f>
        <v>0.14285714285714285</v>
      </c>
      <c r="AR322">
        <f>Table67[[#This Row],[Threshold of ERS]]</f>
        <v>0.61904761904761907</v>
      </c>
      <c r="AS322" t="b">
        <f>Table7[[#This Row],[Extrem Response Ratio (ERS)]]&gt;=Table7[[#This Row],[Threshold of ERS]]</f>
        <v>0</v>
      </c>
      <c r="AT322" t="b" cm="1">
        <f t="array" ref="AT32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22">
        <f>COUNTIF(Table7[[#This Row],[The mechanism of digital assets is difficult to understand, which discourages me from exploring it (E.g, Tokenization, Blockchain)]:[If I want to try different ways to invest, I will explore digital assets.]], 3)</f>
        <v>3</v>
      </c>
      <c r="AV322">
        <f>Table7[[#This Row],[Midpoint]]/21</f>
        <v>0.14285714285714285</v>
      </c>
      <c r="AW322">
        <f>Table67[[#This Row],[Threshold of Midpoint ratio]]</f>
        <v>0.5714285714285714</v>
      </c>
      <c r="AX322" t="b">
        <f>Table7[[#This Row],[Midpoint ratio]]&gt;=Table7[[#This Row],[Threshold of Midpoint ratio]]</f>
        <v>0</v>
      </c>
      <c r="AY322" t="b">
        <f>OR(Table7[[#This Row],[Extreme Response Style]:[Straight-lining with 1 deviation]],Table7[[#This Row],[Mid-point Response Style]])</f>
        <v>0</v>
      </c>
      <c r="AZ322" t="b">
        <f>OR(Table7[[#This Row],[Delete? (Stage 1)]],Table7[[#This Row],[Delete? (Stage 2)]])</f>
        <v>0</v>
      </c>
      <c r="BA322" t="s">
        <v>84</v>
      </c>
    </row>
    <row r="323" spans="1:53">
      <c r="A323">
        <v>1453</v>
      </c>
      <c r="B323" s="3">
        <v>46065.850555555553</v>
      </c>
      <c r="C323" s="3">
        <v>46065.860543981478</v>
      </c>
      <c r="D323" t="s">
        <v>53</v>
      </c>
      <c r="G323" t="s">
        <v>54</v>
      </c>
      <c r="H323" t="s">
        <v>55</v>
      </c>
      <c r="I323" t="s">
        <v>69</v>
      </c>
      <c r="J323" t="s">
        <v>67</v>
      </c>
      <c r="K323" t="s">
        <v>62</v>
      </c>
      <c r="L323" t="s">
        <v>58</v>
      </c>
      <c r="M323" t="s">
        <v>61</v>
      </c>
      <c r="N323">
        <v>2</v>
      </c>
      <c r="O323">
        <v>3</v>
      </c>
      <c r="P323">
        <v>2</v>
      </c>
      <c r="Q323">
        <v>2</v>
      </c>
      <c r="R323">
        <v>2</v>
      </c>
      <c r="S323">
        <v>1</v>
      </c>
      <c r="T323">
        <v>1</v>
      </c>
      <c r="U323">
        <v>2</v>
      </c>
      <c r="V323">
        <v>4</v>
      </c>
      <c r="W323">
        <v>4</v>
      </c>
      <c r="X323">
        <v>2</v>
      </c>
      <c r="Y323">
        <v>3</v>
      </c>
      <c r="Z323">
        <v>2</v>
      </c>
      <c r="AA323">
        <v>1</v>
      </c>
      <c r="AB323">
        <v>1</v>
      </c>
      <c r="AC323">
        <v>3</v>
      </c>
      <c r="AD323">
        <v>3</v>
      </c>
      <c r="AE323">
        <v>2</v>
      </c>
      <c r="AF323">
        <v>5</v>
      </c>
      <c r="AG323">
        <v>1</v>
      </c>
      <c r="AH323">
        <v>5</v>
      </c>
      <c r="AI323">
        <v>1</v>
      </c>
      <c r="AJ323">
        <v>1</v>
      </c>
      <c r="AK323" t="b">
        <f>Table7[[#This Row],[What is your age?]]&lt;&gt;"18 - 25"</f>
        <v>0</v>
      </c>
      <c r="AL323" t="b">
        <f t="shared" si="15"/>
        <v>0</v>
      </c>
      <c r="AM323" t="b">
        <f t="shared" si="16"/>
        <v>0</v>
      </c>
      <c r="AN323" t="b">
        <f t="shared" si="17"/>
        <v>0</v>
      </c>
      <c r="AO323" t="b">
        <f>OR(Table7[[#This Row],[Ineligible respondents]:[Inconsistent response on opposite question (3)]])</f>
        <v>0</v>
      </c>
      <c r="AP32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7</v>
      </c>
      <c r="AQ323">
        <f>Table7[[#This Row],[Extreme Response]]/21</f>
        <v>0.33333333333333331</v>
      </c>
      <c r="AR323">
        <f>Table67[[#This Row],[Threshold of ERS]]</f>
        <v>0.61904761904761907</v>
      </c>
      <c r="AS323" t="b">
        <f>Table7[[#This Row],[Extrem Response Ratio (ERS)]]&gt;=Table7[[#This Row],[Threshold of ERS]]</f>
        <v>0</v>
      </c>
      <c r="AT323" t="b" cm="1">
        <f t="array" ref="AT32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23">
        <f>COUNTIF(Table7[[#This Row],[The mechanism of digital assets is difficult to understand, which discourages me from exploring it (E.g, Tokenization, Blockchain)]:[If I want to try different ways to invest, I will explore digital assets.]], 3)</f>
        <v>4</v>
      </c>
      <c r="AV323">
        <f>Table7[[#This Row],[Midpoint]]/21</f>
        <v>0.19047619047619047</v>
      </c>
      <c r="AW323">
        <f>Table67[[#This Row],[Threshold of Midpoint ratio]]</f>
        <v>0.5714285714285714</v>
      </c>
      <c r="AX323" t="b">
        <f>Table7[[#This Row],[Midpoint ratio]]&gt;=Table7[[#This Row],[Threshold of Midpoint ratio]]</f>
        <v>0</v>
      </c>
      <c r="AY323" t="b">
        <f>OR(Table7[[#This Row],[Extreme Response Style]:[Straight-lining with 1 deviation]],Table7[[#This Row],[Mid-point Response Style]])</f>
        <v>0</v>
      </c>
      <c r="AZ323" t="b">
        <f>OR(Table7[[#This Row],[Delete? (Stage 1)]],Table7[[#This Row],[Delete? (Stage 2)]])</f>
        <v>0</v>
      </c>
      <c r="BA323" t="s">
        <v>84</v>
      </c>
    </row>
    <row r="324" spans="1:53">
      <c r="A324">
        <v>1454</v>
      </c>
      <c r="B324" s="3">
        <v>46065.726458333331</v>
      </c>
      <c r="C324" s="3">
        <v>46065.727002314816</v>
      </c>
      <c r="D324" t="s">
        <v>53</v>
      </c>
      <c r="G324" t="s">
        <v>54</v>
      </c>
      <c r="H324" t="s">
        <v>55</v>
      </c>
      <c r="I324" t="s">
        <v>69</v>
      </c>
      <c r="J324" t="s">
        <v>57</v>
      </c>
      <c r="K324" t="s">
        <v>62</v>
      </c>
      <c r="L324" t="s">
        <v>58</v>
      </c>
      <c r="M324" t="s">
        <v>58</v>
      </c>
      <c r="N324">
        <v>4</v>
      </c>
      <c r="O324">
        <v>4</v>
      </c>
      <c r="P324">
        <v>3</v>
      </c>
      <c r="Q324">
        <v>3</v>
      </c>
      <c r="R324">
        <v>3</v>
      </c>
      <c r="S324">
        <v>5</v>
      </c>
      <c r="T324">
        <v>4</v>
      </c>
      <c r="U324">
        <v>4</v>
      </c>
      <c r="V324">
        <v>4</v>
      </c>
      <c r="W324">
        <v>5</v>
      </c>
      <c r="X324">
        <v>3</v>
      </c>
      <c r="Y324">
        <v>4</v>
      </c>
      <c r="Z324">
        <v>3</v>
      </c>
      <c r="AA324">
        <v>4</v>
      </c>
      <c r="AB324">
        <v>4</v>
      </c>
      <c r="AC324">
        <v>3</v>
      </c>
      <c r="AD324">
        <v>4</v>
      </c>
      <c r="AE324">
        <v>4</v>
      </c>
      <c r="AF324">
        <v>2</v>
      </c>
      <c r="AG324">
        <v>3</v>
      </c>
      <c r="AH324">
        <v>3</v>
      </c>
      <c r="AI324">
        <v>3</v>
      </c>
      <c r="AJ324">
        <v>4</v>
      </c>
      <c r="AK324" t="b">
        <f>Table7[[#This Row],[What is your age?]]&lt;&gt;"18 - 25"</f>
        <v>0</v>
      </c>
      <c r="AL324" t="b">
        <f t="shared" si="15"/>
        <v>0</v>
      </c>
      <c r="AM324" t="b">
        <f t="shared" si="16"/>
        <v>0</v>
      </c>
      <c r="AN324" t="b">
        <f t="shared" si="17"/>
        <v>0</v>
      </c>
      <c r="AO324" t="b">
        <f>OR(Table7[[#This Row],[Ineligible respondents]:[Inconsistent response on opposite question (3)]])</f>
        <v>0</v>
      </c>
      <c r="AP32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324">
        <f>Table7[[#This Row],[Extreme Response]]/21</f>
        <v>9.5238095238095233E-2</v>
      </c>
      <c r="AR324">
        <f>Table67[[#This Row],[Threshold of ERS]]</f>
        <v>0.61904761904761907</v>
      </c>
      <c r="AS324" t="b">
        <f>Table7[[#This Row],[Extrem Response Ratio (ERS)]]&gt;=Table7[[#This Row],[Threshold of ERS]]</f>
        <v>0</v>
      </c>
      <c r="AT324" t="b" cm="1">
        <f t="array" ref="AT32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24">
        <f>COUNTIF(Table7[[#This Row],[The mechanism of digital assets is difficult to understand, which discourages me from exploring it (E.g, Tokenization, Blockchain)]:[If I want to try different ways to invest, I will explore digital assets.]], 3)</f>
        <v>8</v>
      </c>
      <c r="AV324">
        <f>Table7[[#This Row],[Midpoint]]/21</f>
        <v>0.38095238095238093</v>
      </c>
      <c r="AW324">
        <f>Table67[[#This Row],[Threshold of Midpoint ratio]]</f>
        <v>0.5714285714285714</v>
      </c>
      <c r="AX324" t="b">
        <f>Table7[[#This Row],[Midpoint ratio]]&gt;=Table7[[#This Row],[Threshold of Midpoint ratio]]</f>
        <v>0</v>
      </c>
      <c r="AY324" t="b">
        <f>OR(Table7[[#This Row],[Extreme Response Style]:[Straight-lining with 1 deviation]],Table7[[#This Row],[Mid-point Response Style]])</f>
        <v>0</v>
      </c>
      <c r="AZ324" t="b">
        <f>OR(Table7[[#This Row],[Delete? (Stage 1)]],Table7[[#This Row],[Delete? (Stage 2)]])</f>
        <v>0</v>
      </c>
      <c r="BA324" t="s">
        <v>84</v>
      </c>
    </row>
    <row r="325" spans="1:53">
      <c r="A325">
        <v>1455</v>
      </c>
      <c r="B325" s="3">
        <v>46065.693854166668</v>
      </c>
      <c r="C325" s="3">
        <v>46065.694386574076</v>
      </c>
      <c r="D325" t="s">
        <v>53</v>
      </c>
      <c r="G325" t="s">
        <v>54</v>
      </c>
      <c r="H325" t="s">
        <v>55</v>
      </c>
      <c r="I325" t="s">
        <v>71</v>
      </c>
      <c r="J325" t="s">
        <v>72</v>
      </c>
      <c r="K325" t="s">
        <v>62</v>
      </c>
      <c r="L325" t="s">
        <v>58</v>
      </c>
      <c r="M325" t="s">
        <v>58</v>
      </c>
      <c r="N325">
        <v>3</v>
      </c>
      <c r="O325">
        <v>3</v>
      </c>
      <c r="P325">
        <v>2</v>
      </c>
      <c r="Q325">
        <v>1</v>
      </c>
      <c r="R325">
        <v>3</v>
      </c>
      <c r="S325">
        <v>2</v>
      </c>
      <c r="T325">
        <v>2</v>
      </c>
      <c r="U325">
        <v>2</v>
      </c>
      <c r="V325">
        <v>2</v>
      </c>
      <c r="W325">
        <v>2</v>
      </c>
      <c r="X325">
        <v>2</v>
      </c>
      <c r="Y325">
        <v>3</v>
      </c>
      <c r="Z325">
        <v>2</v>
      </c>
      <c r="AA325">
        <v>2</v>
      </c>
      <c r="AB325">
        <v>2</v>
      </c>
      <c r="AC325">
        <v>2</v>
      </c>
      <c r="AD325">
        <v>2</v>
      </c>
      <c r="AE325">
        <v>2</v>
      </c>
      <c r="AF325">
        <v>5</v>
      </c>
      <c r="AG325">
        <v>1</v>
      </c>
      <c r="AH325">
        <v>4</v>
      </c>
      <c r="AI325">
        <v>2</v>
      </c>
      <c r="AJ325">
        <v>1</v>
      </c>
      <c r="AK325" t="b">
        <f>Table7[[#This Row],[What is your age?]]&lt;&gt;"18 - 25"</f>
        <v>0</v>
      </c>
      <c r="AL325" t="b">
        <f t="shared" si="15"/>
        <v>0</v>
      </c>
      <c r="AM325" t="b">
        <f t="shared" si="16"/>
        <v>0</v>
      </c>
      <c r="AN325" t="b">
        <f t="shared" si="17"/>
        <v>0</v>
      </c>
      <c r="AO325" t="b">
        <f>OR(Table7[[#This Row],[Ineligible respondents]:[Inconsistent response on opposite question (3)]])</f>
        <v>0</v>
      </c>
      <c r="AP32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325">
        <f>Table7[[#This Row],[Extreme Response]]/21</f>
        <v>0.14285714285714285</v>
      </c>
      <c r="AR325">
        <f>Table67[[#This Row],[Threshold of ERS]]</f>
        <v>0.61904761904761907</v>
      </c>
      <c r="AS325" t="b">
        <f>Table7[[#This Row],[Extrem Response Ratio (ERS)]]&gt;=Table7[[#This Row],[Threshold of ERS]]</f>
        <v>0</v>
      </c>
      <c r="AT325" t="b" cm="1">
        <f t="array" ref="AT32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25">
        <f>COUNTIF(Table7[[#This Row],[The mechanism of digital assets is difficult to understand, which discourages me from exploring it (E.g, Tokenization, Blockchain)]:[If I want to try different ways to invest, I will explore digital assets.]], 3)</f>
        <v>4</v>
      </c>
      <c r="AV325">
        <f>Table7[[#This Row],[Midpoint]]/21</f>
        <v>0.19047619047619047</v>
      </c>
      <c r="AW325">
        <f>Table67[[#This Row],[Threshold of Midpoint ratio]]</f>
        <v>0.5714285714285714</v>
      </c>
      <c r="AX325" t="b">
        <f>Table7[[#This Row],[Midpoint ratio]]&gt;=Table7[[#This Row],[Threshold of Midpoint ratio]]</f>
        <v>0</v>
      </c>
      <c r="AY325" t="b">
        <f>OR(Table7[[#This Row],[Extreme Response Style]:[Straight-lining with 1 deviation]],Table7[[#This Row],[Mid-point Response Style]])</f>
        <v>0</v>
      </c>
      <c r="AZ325" t="b">
        <f>OR(Table7[[#This Row],[Delete? (Stage 1)]],Table7[[#This Row],[Delete? (Stage 2)]])</f>
        <v>0</v>
      </c>
      <c r="BA325" t="s">
        <v>84</v>
      </c>
    </row>
    <row r="326" spans="1:53">
      <c r="A326">
        <v>1464</v>
      </c>
      <c r="B326" s="3">
        <v>46065.731678240743</v>
      </c>
      <c r="C326" s="3">
        <v>46065.734074074076</v>
      </c>
      <c r="D326" t="s">
        <v>53</v>
      </c>
      <c r="G326" t="s">
        <v>54</v>
      </c>
      <c r="H326" t="s">
        <v>55</v>
      </c>
      <c r="I326" t="s">
        <v>56</v>
      </c>
      <c r="J326" t="s">
        <v>62</v>
      </c>
      <c r="K326" t="s">
        <v>62</v>
      </c>
      <c r="L326" t="s">
        <v>58</v>
      </c>
      <c r="M326" t="s">
        <v>58</v>
      </c>
      <c r="N326">
        <v>3</v>
      </c>
      <c r="O326">
        <v>2</v>
      </c>
      <c r="P326">
        <v>4</v>
      </c>
      <c r="Q326">
        <v>4</v>
      </c>
      <c r="R326">
        <v>2</v>
      </c>
      <c r="S326">
        <v>3</v>
      </c>
      <c r="T326">
        <v>3</v>
      </c>
      <c r="U326">
        <v>4</v>
      </c>
      <c r="V326">
        <v>3</v>
      </c>
      <c r="W326">
        <v>3</v>
      </c>
      <c r="X326">
        <v>4</v>
      </c>
      <c r="Y326">
        <v>3</v>
      </c>
      <c r="Z326">
        <v>3</v>
      </c>
      <c r="AA326">
        <v>2</v>
      </c>
      <c r="AB326">
        <v>2</v>
      </c>
      <c r="AC326">
        <v>3</v>
      </c>
      <c r="AD326">
        <v>4</v>
      </c>
      <c r="AE326">
        <v>4</v>
      </c>
      <c r="AF326">
        <v>3</v>
      </c>
      <c r="AG326">
        <v>2</v>
      </c>
      <c r="AH326">
        <v>5</v>
      </c>
      <c r="AI326">
        <v>1</v>
      </c>
      <c r="AJ326">
        <v>3</v>
      </c>
      <c r="AK326" t="b">
        <f>Table7[[#This Row],[What is your age?]]&lt;&gt;"18 - 25"</f>
        <v>0</v>
      </c>
      <c r="AL326" t="b">
        <f t="shared" si="15"/>
        <v>0</v>
      </c>
      <c r="AM326" t="b">
        <f t="shared" si="16"/>
        <v>0</v>
      </c>
      <c r="AN326" t="b">
        <f t="shared" si="17"/>
        <v>0</v>
      </c>
      <c r="AO326" t="b">
        <f>OR(Table7[[#This Row],[Ineligible respondents]:[Inconsistent response on opposite question (3)]])</f>
        <v>0</v>
      </c>
      <c r="AP32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326">
        <f>Table7[[#This Row],[Extreme Response]]/21</f>
        <v>4.7619047619047616E-2</v>
      </c>
      <c r="AR326">
        <f>Table67[[#This Row],[Threshold of ERS]]</f>
        <v>0.61904761904761907</v>
      </c>
      <c r="AS326" t="b">
        <f>Table7[[#This Row],[Extrem Response Ratio (ERS)]]&gt;=Table7[[#This Row],[Threshold of ERS]]</f>
        <v>0</v>
      </c>
      <c r="AT326" t="b" cm="1">
        <f t="array" ref="AT32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26">
        <f>COUNTIF(Table7[[#This Row],[The mechanism of digital assets is difficult to understand, which discourages me from exploring it (E.g, Tokenization, Blockchain)]:[If I want to try different ways to invest, I will explore digital assets.]], 3)</f>
        <v>9</v>
      </c>
      <c r="AV326">
        <f>Table7[[#This Row],[Midpoint]]/21</f>
        <v>0.42857142857142855</v>
      </c>
      <c r="AW326">
        <f>Table67[[#This Row],[Threshold of Midpoint ratio]]</f>
        <v>0.5714285714285714</v>
      </c>
      <c r="AX326" t="b">
        <f>Table7[[#This Row],[Midpoint ratio]]&gt;=Table7[[#This Row],[Threshold of Midpoint ratio]]</f>
        <v>0</v>
      </c>
      <c r="AY326" t="b">
        <f>OR(Table7[[#This Row],[Extreme Response Style]:[Straight-lining with 1 deviation]],Table7[[#This Row],[Mid-point Response Style]])</f>
        <v>0</v>
      </c>
      <c r="AZ326" t="b">
        <f>OR(Table7[[#This Row],[Delete? (Stage 1)]],Table7[[#This Row],[Delete? (Stage 2)]])</f>
        <v>0</v>
      </c>
      <c r="BA326" t="s">
        <v>84</v>
      </c>
    </row>
    <row r="327" spans="1:53">
      <c r="A327">
        <v>1465</v>
      </c>
      <c r="B327" s="3">
        <v>46065.832835648151</v>
      </c>
      <c r="C327" s="3">
        <v>46065.841666666667</v>
      </c>
      <c r="D327" t="s">
        <v>53</v>
      </c>
      <c r="G327" t="s">
        <v>54</v>
      </c>
      <c r="H327" t="s">
        <v>55</v>
      </c>
      <c r="I327" t="s">
        <v>75</v>
      </c>
      <c r="J327" t="s">
        <v>65</v>
      </c>
      <c r="K327" t="s">
        <v>62</v>
      </c>
      <c r="L327" t="s">
        <v>58</v>
      </c>
      <c r="M327" t="s">
        <v>58</v>
      </c>
      <c r="N327">
        <v>2</v>
      </c>
      <c r="O327">
        <v>2</v>
      </c>
      <c r="P327">
        <v>1</v>
      </c>
      <c r="Q327">
        <v>2</v>
      </c>
      <c r="R327">
        <v>1</v>
      </c>
      <c r="S327">
        <v>1</v>
      </c>
      <c r="T327">
        <v>1</v>
      </c>
      <c r="U327">
        <v>2</v>
      </c>
      <c r="V327">
        <v>5</v>
      </c>
      <c r="W327">
        <v>4</v>
      </c>
      <c r="X327">
        <v>2</v>
      </c>
      <c r="Y327">
        <v>4</v>
      </c>
      <c r="Z327">
        <v>3</v>
      </c>
      <c r="AA327">
        <v>2</v>
      </c>
      <c r="AB327">
        <v>1</v>
      </c>
      <c r="AC327">
        <v>1</v>
      </c>
      <c r="AD327">
        <v>3</v>
      </c>
      <c r="AE327">
        <v>2</v>
      </c>
      <c r="AF327">
        <v>5</v>
      </c>
      <c r="AG327">
        <v>1</v>
      </c>
      <c r="AH327">
        <v>4</v>
      </c>
      <c r="AI327">
        <v>2</v>
      </c>
      <c r="AJ327">
        <v>1</v>
      </c>
      <c r="AK327" t="b">
        <f>Table7[[#This Row],[What is your age?]]&lt;&gt;"18 - 25"</f>
        <v>0</v>
      </c>
      <c r="AL327" t="b">
        <f t="shared" si="15"/>
        <v>0</v>
      </c>
      <c r="AM327" t="b">
        <f t="shared" si="16"/>
        <v>0</v>
      </c>
      <c r="AN327" t="b">
        <f t="shared" si="17"/>
        <v>0</v>
      </c>
      <c r="AO327" t="b">
        <f>OR(Table7[[#This Row],[Ineligible respondents]:[Inconsistent response on opposite question (3)]])</f>
        <v>0</v>
      </c>
      <c r="AP32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9</v>
      </c>
      <c r="AQ327">
        <f>Table7[[#This Row],[Extreme Response]]/21</f>
        <v>0.42857142857142855</v>
      </c>
      <c r="AR327">
        <f>Table67[[#This Row],[Threshold of ERS]]</f>
        <v>0.61904761904761907</v>
      </c>
      <c r="AS327" t="b">
        <f>Table7[[#This Row],[Extrem Response Ratio (ERS)]]&gt;=Table7[[#This Row],[Threshold of ERS]]</f>
        <v>0</v>
      </c>
      <c r="AT327" t="b" cm="1">
        <f t="array" ref="AT32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27">
        <f>COUNTIF(Table7[[#This Row],[The mechanism of digital assets is difficult to understand, which discourages me from exploring it (E.g, Tokenization, Blockchain)]:[If I want to try different ways to invest, I will explore digital assets.]], 3)</f>
        <v>2</v>
      </c>
      <c r="AV327">
        <f>Table7[[#This Row],[Midpoint]]/21</f>
        <v>9.5238095238095233E-2</v>
      </c>
      <c r="AW327">
        <f>Table67[[#This Row],[Threshold of Midpoint ratio]]</f>
        <v>0.5714285714285714</v>
      </c>
      <c r="AX327" t="b">
        <f>Table7[[#This Row],[Midpoint ratio]]&gt;=Table7[[#This Row],[Threshold of Midpoint ratio]]</f>
        <v>0</v>
      </c>
      <c r="AY327" t="b">
        <f>OR(Table7[[#This Row],[Extreme Response Style]:[Straight-lining with 1 deviation]],Table7[[#This Row],[Mid-point Response Style]])</f>
        <v>0</v>
      </c>
      <c r="AZ327" t="b">
        <f>OR(Table7[[#This Row],[Delete? (Stage 1)]],Table7[[#This Row],[Delete? (Stage 2)]])</f>
        <v>0</v>
      </c>
      <c r="BA327" t="s">
        <v>84</v>
      </c>
    </row>
    <row r="328" spans="1:53">
      <c r="A328">
        <v>1474</v>
      </c>
      <c r="B328" s="3">
        <v>46065.711840277778</v>
      </c>
      <c r="C328" s="3">
        <v>46065.712291666663</v>
      </c>
      <c r="D328" t="s">
        <v>53</v>
      </c>
      <c r="G328" t="s">
        <v>54</v>
      </c>
      <c r="H328" t="s">
        <v>63</v>
      </c>
      <c r="I328" t="s">
        <v>71</v>
      </c>
      <c r="J328" t="s">
        <v>57</v>
      </c>
      <c r="K328" t="s">
        <v>57</v>
      </c>
      <c r="L328" t="s">
        <v>58</v>
      </c>
      <c r="M328" t="s">
        <v>58</v>
      </c>
      <c r="N328">
        <v>2</v>
      </c>
      <c r="O328">
        <v>3</v>
      </c>
      <c r="P328">
        <v>3</v>
      </c>
      <c r="Q328">
        <v>4</v>
      </c>
      <c r="R328">
        <v>3</v>
      </c>
      <c r="S328">
        <v>4</v>
      </c>
      <c r="T328">
        <v>4</v>
      </c>
      <c r="U328">
        <v>4</v>
      </c>
      <c r="V328">
        <v>4</v>
      </c>
      <c r="W328">
        <v>4</v>
      </c>
      <c r="X328">
        <v>4</v>
      </c>
      <c r="Y328">
        <v>4</v>
      </c>
      <c r="Z328">
        <v>4</v>
      </c>
      <c r="AA328">
        <v>4</v>
      </c>
      <c r="AB328">
        <v>4</v>
      </c>
      <c r="AC328">
        <v>4</v>
      </c>
      <c r="AD328">
        <v>4</v>
      </c>
      <c r="AE328">
        <v>3</v>
      </c>
      <c r="AF328">
        <v>3</v>
      </c>
      <c r="AG328">
        <v>3</v>
      </c>
      <c r="AH328">
        <v>3</v>
      </c>
      <c r="AI328">
        <v>3</v>
      </c>
      <c r="AJ328">
        <v>3</v>
      </c>
      <c r="AK328" t="b">
        <f>Table7[[#This Row],[What is your age?]]&lt;&gt;"18 - 25"</f>
        <v>0</v>
      </c>
      <c r="AL328" t="b">
        <f t="shared" si="15"/>
        <v>0</v>
      </c>
      <c r="AM328" t="b">
        <f t="shared" si="16"/>
        <v>0</v>
      </c>
      <c r="AN328" t="b">
        <f t="shared" si="17"/>
        <v>0</v>
      </c>
      <c r="AO328" t="b">
        <f>OR(Table7[[#This Row],[Ineligible respondents]:[Inconsistent response on opposite question (3)]])</f>
        <v>0</v>
      </c>
      <c r="AP32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328">
        <f>Table7[[#This Row],[Extreme Response]]/21</f>
        <v>0</v>
      </c>
      <c r="AR328">
        <f>Table67[[#This Row],[Threshold of ERS]]</f>
        <v>0.61904761904761907</v>
      </c>
      <c r="AS328" t="b">
        <f>Table7[[#This Row],[Extrem Response Ratio (ERS)]]&gt;=Table7[[#This Row],[Threshold of ERS]]</f>
        <v>0</v>
      </c>
      <c r="AT328" t="b" cm="1">
        <f t="array" ref="AT32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28">
        <f>COUNTIF(Table7[[#This Row],[The mechanism of digital assets is difficult to understand, which discourages me from exploring it (E.g, Tokenization, Blockchain)]:[If I want to try different ways to invest, I will explore digital assets.]], 3)</f>
        <v>7</v>
      </c>
      <c r="AV328">
        <f>Table7[[#This Row],[Midpoint]]/21</f>
        <v>0.33333333333333331</v>
      </c>
      <c r="AW328">
        <f>Table67[[#This Row],[Threshold of Midpoint ratio]]</f>
        <v>0.5714285714285714</v>
      </c>
      <c r="AX328" t="b">
        <f>Table7[[#This Row],[Midpoint ratio]]&gt;=Table7[[#This Row],[Threshold of Midpoint ratio]]</f>
        <v>0</v>
      </c>
      <c r="AY328" t="b">
        <f>OR(Table7[[#This Row],[Extreme Response Style]:[Straight-lining with 1 deviation]],Table7[[#This Row],[Mid-point Response Style]])</f>
        <v>0</v>
      </c>
      <c r="AZ328" t="b">
        <f>OR(Table7[[#This Row],[Delete? (Stage 1)]],Table7[[#This Row],[Delete? (Stage 2)]])</f>
        <v>0</v>
      </c>
      <c r="BA328" t="s">
        <v>84</v>
      </c>
    </row>
    <row r="329" spans="1:53">
      <c r="A329">
        <v>1475</v>
      </c>
      <c r="B329" s="3">
        <v>46065.769236111111</v>
      </c>
      <c r="C329" s="3">
        <v>46065.771944444445</v>
      </c>
      <c r="D329" t="s">
        <v>53</v>
      </c>
      <c r="G329" t="s">
        <v>54</v>
      </c>
      <c r="H329" t="s">
        <v>55</v>
      </c>
      <c r="I329" t="s">
        <v>56</v>
      </c>
      <c r="J329" t="s">
        <v>60</v>
      </c>
      <c r="K329" t="s">
        <v>62</v>
      </c>
      <c r="L329" t="s">
        <v>58</v>
      </c>
      <c r="M329" t="s">
        <v>58</v>
      </c>
      <c r="N329">
        <v>2</v>
      </c>
      <c r="O329">
        <v>2</v>
      </c>
      <c r="P329">
        <v>3</v>
      </c>
      <c r="Q329">
        <v>3</v>
      </c>
      <c r="R329">
        <v>1</v>
      </c>
      <c r="S329">
        <v>2</v>
      </c>
      <c r="T329">
        <v>2</v>
      </c>
      <c r="U329">
        <v>3</v>
      </c>
      <c r="V329">
        <v>1</v>
      </c>
      <c r="W329">
        <v>1</v>
      </c>
      <c r="X329">
        <v>3</v>
      </c>
      <c r="Y329">
        <v>1</v>
      </c>
      <c r="Z329">
        <v>3</v>
      </c>
      <c r="AA329">
        <v>2</v>
      </c>
      <c r="AB329">
        <v>2</v>
      </c>
      <c r="AC329">
        <v>2</v>
      </c>
      <c r="AD329">
        <v>4</v>
      </c>
      <c r="AE329">
        <v>3</v>
      </c>
      <c r="AF329">
        <v>5</v>
      </c>
      <c r="AG329">
        <v>1</v>
      </c>
      <c r="AH329">
        <v>4</v>
      </c>
      <c r="AI329">
        <v>2</v>
      </c>
      <c r="AJ329">
        <v>1</v>
      </c>
      <c r="AK329" t="b">
        <f>Table7[[#This Row],[What is your age?]]&lt;&gt;"18 - 25"</f>
        <v>0</v>
      </c>
      <c r="AL329" t="b">
        <f t="shared" si="15"/>
        <v>0</v>
      </c>
      <c r="AM329" t="b">
        <f t="shared" si="16"/>
        <v>0</v>
      </c>
      <c r="AN329" t="b">
        <f t="shared" si="17"/>
        <v>0</v>
      </c>
      <c r="AO329" t="b">
        <f>OR(Table7[[#This Row],[Ineligible respondents]:[Inconsistent response on opposite question (3)]])</f>
        <v>0</v>
      </c>
      <c r="AP32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6</v>
      </c>
      <c r="AQ329">
        <f>Table7[[#This Row],[Extreme Response]]/21</f>
        <v>0.2857142857142857</v>
      </c>
      <c r="AR329">
        <f>Table67[[#This Row],[Threshold of ERS]]</f>
        <v>0.61904761904761907</v>
      </c>
      <c r="AS329" t="b">
        <f>Table7[[#This Row],[Extrem Response Ratio (ERS)]]&gt;=Table7[[#This Row],[Threshold of ERS]]</f>
        <v>0</v>
      </c>
      <c r="AT329" t="b" cm="1">
        <f t="array" ref="AT32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29">
        <f>COUNTIF(Table7[[#This Row],[The mechanism of digital assets is difficult to understand, which discourages me from exploring it (E.g, Tokenization, Blockchain)]:[If I want to try different ways to invest, I will explore digital assets.]], 3)</f>
        <v>6</v>
      </c>
      <c r="AV329">
        <f>Table7[[#This Row],[Midpoint]]/21</f>
        <v>0.2857142857142857</v>
      </c>
      <c r="AW329">
        <f>Table67[[#This Row],[Threshold of Midpoint ratio]]</f>
        <v>0.5714285714285714</v>
      </c>
      <c r="AX329" t="b">
        <f>Table7[[#This Row],[Midpoint ratio]]&gt;=Table7[[#This Row],[Threshold of Midpoint ratio]]</f>
        <v>0</v>
      </c>
      <c r="AY329" t="b">
        <f>OR(Table7[[#This Row],[Extreme Response Style]:[Straight-lining with 1 deviation]],Table7[[#This Row],[Mid-point Response Style]])</f>
        <v>0</v>
      </c>
      <c r="AZ329" t="b">
        <f>OR(Table7[[#This Row],[Delete? (Stage 1)]],Table7[[#This Row],[Delete? (Stage 2)]])</f>
        <v>0</v>
      </c>
      <c r="BA329" t="s">
        <v>84</v>
      </c>
    </row>
    <row r="330" spans="1:53">
      <c r="A330">
        <v>1476</v>
      </c>
      <c r="B330" s="3">
        <v>46065.714085648149</v>
      </c>
      <c r="C330" s="3">
        <v>46065.714363425926</v>
      </c>
      <c r="D330" t="s">
        <v>53</v>
      </c>
      <c r="G330" t="s">
        <v>54</v>
      </c>
      <c r="H330" t="s">
        <v>63</v>
      </c>
      <c r="I330" t="s">
        <v>56</v>
      </c>
      <c r="J330" t="s">
        <v>65</v>
      </c>
      <c r="K330" t="s">
        <v>60</v>
      </c>
      <c r="L330" t="s">
        <v>58</v>
      </c>
      <c r="M330" t="s">
        <v>61</v>
      </c>
      <c r="N330">
        <v>2</v>
      </c>
      <c r="O330">
        <v>2</v>
      </c>
      <c r="P330">
        <v>2</v>
      </c>
      <c r="Q330">
        <v>3</v>
      </c>
      <c r="R330">
        <v>3</v>
      </c>
      <c r="S330">
        <v>3</v>
      </c>
      <c r="T330">
        <v>3</v>
      </c>
      <c r="U330">
        <v>3</v>
      </c>
      <c r="V330">
        <v>4</v>
      </c>
      <c r="W330">
        <v>4</v>
      </c>
      <c r="X330">
        <v>3</v>
      </c>
      <c r="Y330">
        <v>4</v>
      </c>
      <c r="Z330">
        <v>4</v>
      </c>
      <c r="AA330">
        <v>4</v>
      </c>
      <c r="AB330">
        <v>3</v>
      </c>
      <c r="AC330">
        <v>3</v>
      </c>
      <c r="AD330">
        <v>4</v>
      </c>
      <c r="AE330">
        <v>4</v>
      </c>
      <c r="AF330">
        <v>5</v>
      </c>
      <c r="AG330">
        <v>1</v>
      </c>
      <c r="AH330">
        <v>5</v>
      </c>
      <c r="AI330">
        <v>1</v>
      </c>
      <c r="AJ330">
        <v>1</v>
      </c>
      <c r="AK330" t="b">
        <f>Table7[[#This Row],[What is your age?]]&lt;&gt;"18 - 25"</f>
        <v>0</v>
      </c>
      <c r="AL330" t="b">
        <f t="shared" si="15"/>
        <v>0</v>
      </c>
      <c r="AM330" t="b">
        <f t="shared" si="16"/>
        <v>0</v>
      </c>
      <c r="AN330" t="b">
        <f t="shared" si="17"/>
        <v>0</v>
      </c>
      <c r="AO330" t="b">
        <f>OR(Table7[[#This Row],[Ineligible respondents]:[Inconsistent response on opposite question (3)]])</f>
        <v>0</v>
      </c>
      <c r="AP33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330">
        <f>Table7[[#This Row],[Extreme Response]]/21</f>
        <v>0.14285714285714285</v>
      </c>
      <c r="AR330">
        <f>Table67[[#This Row],[Threshold of ERS]]</f>
        <v>0.61904761904761907</v>
      </c>
      <c r="AS330" t="b">
        <f>Table7[[#This Row],[Extrem Response Ratio (ERS)]]&gt;=Table7[[#This Row],[Threshold of ERS]]</f>
        <v>0</v>
      </c>
      <c r="AT330" t="b" cm="1">
        <f t="array" ref="AT33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30">
        <f>COUNTIF(Table7[[#This Row],[The mechanism of digital assets is difficult to understand, which discourages me from exploring it (E.g, Tokenization, Blockchain)]:[If I want to try different ways to invest, I will explore digital assets.]], 3)</f>
        <v>8</v>
      </c>
      <c r="AV330">
        <f>Table7[[#This Row],[Midpoint]]/21</f>
        <v>0.38095238095238093</v>
      </c>
      <c r="AW330">
        <f>Table67[[#This Row],[Threshold of Midpoint ratio]]</f>
        <v>0.5714285714285714</v>
      </c>
      <c r="AX330" t="b">
        <f>Table7[[#This Row],[Midpoint ratio]]&gt;=Table7[[#This Row],[Threshold of Midpoint ratio]]</f>
        <v>0</v>
      </c>
      <c r="AY330" t="b">
        <f>OR(Table7[[#This Row],[Extreme Response Style]:[Straight-lining with 1 deviation]],Table7[[#This Row],[Mid-point Response Style]])</f>
        <v>0</v>
      </c>
      <c r="AZ330" t="b">
        <f>OR(Table7[[#This Row],[Delete? (Stage 1)]],Table7[[#This Row],[Delete? (Stage 2)]])</f>
        <v>0</v>
      </c>
      <c r="BA330" t="s">
        <v>84</v>
      </c>
    </row>
    <row r="331" spans="1:53">
      <c r="A331">
        <v>1479</v>
      </c>
      <c r="B331" s="3">
        <v>46065.837500000001</v>
      </c>
      <c r="C331" s="3">
        <v>46065.844351851854</v>
      </c>
      <c r="D331" t="s">
        <v>53</v>
      </c>
      <c r="G331" t="s">
        <v>54</v>
      </c>
      <c r="H331" t="s">
        <v>55</v>
      </c>
      <c r="I331" t="s">
        <v>71</v>
      </c>
      <c r="J331" t="s">
        <v>62</v>
      </c>
      <c r="K331" t="s">
        <v>57</v>
      </c>
      <c r="L331" t="s">
        <v>58</v>
      </c>
      <c r="M331" t="s">
        <v>58</v>
      </c>
      <c r="N331">
        <v>4</v>
      </c>
      <c r="O331">
        <v>4</v>
      </c>
      <c r="P331">
        <v>3</v>
      </c>
      <c r="Q331">
        <v>3</v>
      </c>
      <c r="R331">
        <v>4</v>
      </c>
      <c r="S331">
        <v>4</v>
      </c>
      <c r="T331">
        <v>4</v>
      </c>
      <c r="U331">
        <v>3</v>
      </c>
      <c r="V331">
        <v>3</v>
      </c>
      <c r="W331">
        <v>2</v>
      </c>
      <c r="X331">
        <v>2</v>
      </c>
      <c r="Y331">
        <v>2</v>
      </c>
      <c r="Z331">
        <v>3</v>
      </c>
      <c r="AA331">
        <v>3</v>
      </c>
      <c r="AB331">
        <v>4</v>
      </c>
      <c r="AC331">
        <v>3</v>
      </c>
      <c r="AD331">
        <v>3</v>
      </c>
      <c r="AE331">
        <v>3</v>
      </c>
      <c r="AF331">
        <v>2</v>
      </c>
      <c r="AG331">
        <v>3</v>
      </c>
      <c r="AH331">
        <v>3</v>
      </c>
      <c r="AI331">
        <v>3</v>
      </c>
      <c r="AJ331">
        <v>4</v>
      </c>
      <c r="AK331" t="b">
        <f>Table7[[#This Row],[What is your age?]]&lt;&gt;"18 - 25"</f>
        <v>0</v>
      </c>
      <c r="AL331" t="b">
        <f t="shared" si="15"/>
        <v>0</v>
      </c>
      <c r="AM331" t="b">
        <f t="shared" si="16"/>
        <v>0</v>
      </c>
      <c r="AN331" t="b">
        <f t="shared" si="17"/>
        <v>0</v>
      </c>
      <c r="AO331" t="b">
        <f>OR(Table7[[#This Row],[Ineligible respondents]:[Inconsistent response on opposite question (3)]])</f>
        <v>0</v>
      </c>
      <c r="AP33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331">
        <f>Table7[[#This Row],[Extreme Response]]/21</f>
        <v>0</v>
      </c>
      <c r="AR331">
        <f>Table67[[#This Row],[Threshold of ERS]]</f>
        <v>0.61904761904761907</v>
      </c>
      <c r="AS331" t="b">
        <f>Table7[[#This Row],[Extrem Response Ratio (ERS)]]&gt;=Table7[[#This Row],[Threshold of ERS]]</f>
        <v>0</v>
      </c>
      <c r="AT331" t="b" cm="1">
        <f t="array" ref="AT33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31">
        <f>COUNTIF(Table7[[#This Row],[The mechanism of digital assets is difficult to understand, which discourages me from exploring it (E.g, Tokenization, Blockchain)]:[If I want to try different ways to invest, I will explore digital assets.]], 3)</f>
        <v>11</v>
      </c>
      <c r="AV331">
        <f>Table7[[#This Row],[Midpoint]]/21</f>
        <v>0.52380952380952384</v>
      </c>
      <c r="AW331">
        <f>Table67[[#This Row],[Threshold of Midpoint ratio]]</f>
        <v>0.5714285714285714</v>
      </c>
      <c r="AX331" t="b">
        <f>Table7[[#This Row],[Midpoint ratio]]&gt;=Table7[[#This Row],[Threshold of Midpoint ratio]]</f>
        <v>0</v>
      </c>
      <c r="AY331" t="b">
        <f>OR(Table7[[#This Row],[Extreme Response Style]:[Straight-lining with 1 deviation]],Table7[[#This Row],[Mid-point Response Style]])</f>
        <v>0</v>
      </c>
      <c r="AZ331" t="b">
        <f>OR(Table7[[#This Row],[Delete? (Stage 1)]],Table7[[#This Row],[Delete? (Stage 2)]])</f>
        <v>0</v>
      </c>
      <c r="BA331" t="s">
        <v>84</v>
      </c>
    </row>
    <row r="332" spans="1:53">
      <c r="A332">
        <v>1480</v>
      </c>
      <c r="B332" s="3">
        <v>46065.828136574077</v>
      </c>
      <c r="C332" s="3">
        <v>46065.832268518519</v>
      </c>
      <c r="D332" t="s">
        <v>53</v>
      </c>
      <c r="G332" t="s">
        <v>54</v>
      </c>
      <c r="H332" t="s">
        <v>55</v>
      </c>
      <c r="I332" t="s">
        <v>56</v>
      </c>
      <c r="J332" t="s">
        <v>62</v>
      </c>
      <c r="K332" t="s">
        <v>57</v>
      </c>
      <c r="L332" t="s">
        <v>61</v>
      </c>
      <c r="M332" t="s">
        <v>61</v>
      </c>
      <c r="N332">
        <v>2</v>
      </c>
      <c r="O332">
        <v>2</v>
      </c>
      <c r="P332">
        <v>3</v>
      </c>
      <c r="Q332">
        <v>3</v>
      </c>
      <c r="R332">
        <v>2</v>
      </c>
      <c r="S332">
        <v>4</v>
      </c>
      <c r="T332">
        <v>5</v>
      </c>
      <c r="U332">
        <v>3</v>
      </c>
      <c r="V332">
        <v>4</v>
      </c>
      <c r="W332">
        <v>4</v>
      </c>
      <c r="X332">
        <v>3</v>
      </c>
      <c r="Y332">
        <v>4</v>
      </c>
      <c r="Z332">
        <v>4</v>
      </c>
      <c r="AA332">
        <v>4</v>
      </c>
      <c r="AB332">
        <v>4</v>
      </c>
      <c r="AC332">
        <v>3</v>
      </c>
      <c r="AD332">
        <v>4</v>
      </c>
      <c r="AE332">
        <v>4</v>
      </c>
      <c r="AF332">
        <v>2</v>
      </c>
      <c r="AG332">
        <v>3</v>
      </c>
      <c r="AH332">
        <v>3</v>
      </c>
      <c r="AI332">
        <v>3</v>
      </c>
      <c r="AJ332">
        <v>4</v>
      </c>
      <c r="AK332" t="b">
        <f>Table7[[#This Row],[What is your age?]]&lt;&gt;"18 - 25"</f>
        <v>0</v>
      </c>
      <c r="AL332" t="b">
        <f t="shared" si="15"/>
        <v>0</v>
      </c>
      <c r="AM332" t="b">
        <f t="shared" si="16"/>
        <v>0</v>
      </c>
      <c r="AN332" t="b">
        <f t="shared" si="17"/>
        <v>0</v>
      </c>
      <c r="AO332" t="b">
        <f>OR(Table7[[#This Row],[Ineligible respondents]:[Inconsistent response on opposite question (3)]])</f>
        <v>0</v>
      </c>
      <c r="AP33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332">
        <f>Table7[[#This Row],[Extreme Response]]/21</f>
        <v>4.7619047619047616E-2</v>
      </c>
      <c r="AR332">
        <f>Table67[[#This Row],[Threshold of ERS]]</f>
        <v>0.61904761904761907</v>
      </c>
      <c r="AS332" t="b">
        <f>Table7[[#This Row],[Extrem Response Ratio (ERS)]]&gt;=Table7[[#This Row],[Threshold of ERS]]</f>
        <v>0</v>
      </c>
      <c r="AT332" t="b" cm="1">
        <f t="array" ref="AT33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32">
        <f>COUNTIF(Table7[[#This Row],[The mechanism of digital assets is difficult to understand, which discourages me from exploring it (E.g, Tokenization, Blockchain)]:[If I want to try different ways to invest, I will explore digital assets.]], 3)</f>
        <v>7</v>
      </c>
      <c r="AV332">
        <f>Table7[[#This Row],[Midpoint]]/21</f>
        <v>0.33333333333333331</v>
      </c>
      <c r="AW332">
        <f>Table67[[#This Row],[Threshold of Midpoint ratio]]</f>
        <v>0.5714285714285714</v>
      </c>
      <c r="AX332" t="b">
        <f>Table7[[#This Row],[Midpoint ratio]]&gt;=Table7[[#This Row],[Threshold of Midpoint ratio]]</f>
        <v>0</v>
      </c>
      <c r="AY332" t="b">
        <f>OR(Table7[[#This Row],[Extreme Response Style]:[Straight-lining with 1 deviation]],Table7[[#This Row],[Mid-point Response Style]])</f>
        <v>0</v>
      </c>
      <c r="AZ332" t="b">
        <f>OR(Table7[[#This Row],[Delete? (Stage 1)]],Table7[[#This Row],[Delete? (Stage 2)]])</f>
        <v>0</v>
      </c>
      <c r="BA332" t="s">
        <v>84</v>
      </c>
    </row>
    <row r="333" spans="1:53">
      <c r="A333">
        <v>1481</v>
      </c>
      <c r="B333" s="3">
        <v>46065.725937499999</v>
      </c>
      <c r="C333" s="3">
        <v>46065.726354166669</v>
      </c>
      <c r="D333" t="s">
        <v>53</v>
      </c>
      <c r="G333" t="s">
        <v>54</v>
      </c>
      <c r="H333" t="s">
        <v>63</v>
      </c>
      <c r="I333" t="s">
        <v>75</v>
      </c>
      <c r="J333" t="s">
        <v>64</v>
      </c>
      <c r="K333" t="s">
        <v>57</v>
      </c>
      <c r="L333" t="s">
        <v>58</v>
      </c>
      <c r="M333" t="s">
        <v>58</v>
      </c>
      <c r="N333">
        <v>2</v>
      </c>
      <c r="O333">
        <v>2</v>
      </c>
      <c r="P333">
        <v>1</v>
      </c>
      <c r="Q333">
        <v>2</v>
      </c>
      <c r="R333">
        <v>1</v>
      </c>
      <c r="S333">
        <v>2</v>
      </c>
      <c r="T333">
        <v>1</v>
      </c>
      <c r="U333">
        <v>1</v>
      </c>
      <c r="V333">
        <v>3</v>
      </c>
      <c r="W333">
        <v>3</v>
      </c>
      <c r="X333">
        <v>2</v>
      </c>
      <c r="Y333">
        <v>3</v>
      </c>
      <c r="Z333">
        <v>2</v>
      </c>
      <c r="AA333">
        <v>2</v>
      </c>
      <c r="AB333">
        <v>2</v>
      </c>
      <c r="AC333">
        <v>1</v>
      </c>
      <c r="AD333">
        <v>3</v>
      </c>
      <c r="AE333">
        <v>2</v>
      </c>
      <c r="AF333">
        <v>5</v>
      </c>
      <c r="AG333">
        <v>1</v>
      </c>
      <c r="AH333">
        <v>4</v>
      </c>
      <c r="AI333">
        <v>2</v>
      </c>
      <c r="AJ333">
        <v>1</v>
      </c>
      <c r="AK333" t="b">
        <f>Table7[[#This Row],[What is your age?]]&lt;&gt;"18 - 25"</f>
        <v>0</v>
      </c>
      <c r="AL333" t="b">
        <f t="shared" si="15"/>
        <v>0</v>
      </c>
      <c r="AM333" t="b">
        <f t="shared" si="16"/>
        <v>0</v>
      </c>
      <c r="AN333" t="b">
        <f t="shared" si="17"/>
        <v>0</v>
      </c>
      <c r="AO333" t="b">
        <f>OR(Table7[[#This Row],[Ineligible respondents]:[Inconsistent response on opposite question (3)]])</f>
        <v>0</v>
      </c>
      <c r="AP33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7</v>
      </c>
      <c r="AQ333">
        <f>Table7[[#This Row],[Extreme Response]]/21</f>
        <v>0.33333333333333331</v>
      </c>
      <c r="AR333">
        <f>Table67[[#This Row],[Threshold of ERS]]</f>
        <v>0.61904761904761907</v>
      </c>
      <c r="AS333" t="b">
        <f>Table7[[#This Row],[Extrem Response Ratio (ERS)]]&gt;=Table7[[#This Row],[Threshold of ERS]]</f>
        <v>0</v>
      </c>
      <c r="AT333" t="b" cm="1">
        <f t="array" ref="AT33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33">
        <f>COUNTIF(Table7[[#This Row],[The mechanism of digital assets is difficult to understand, which discourages me from exploring it (E.g, Tokenization, Blockchain)]:[If I want to try different ways to invest, I will explore digital assets.]], 3)</f>
        <v>4</v>
      </c>
      <c r="AV333">
        <f>Table7[[#This Row],[Midpoint]]/21</f>
        <v>0.19047619047619047</v>
      </c>
      <c r="AW333">
        <f>Table67[[#This Row],[Threshold of Midpoint ratio]]</f>
        <v>0.5714285714285714</v>
      </c>
      <c r="AX333" t="b">
        <f>Table7[[#This Row],[Midpoint ratio]]&gt;=Table7[[#This Row],[Threshold of Midpoint ratio]]</f>
        <v>0</v>
      </c>
      <c r="AY333" t="b">
        <f>OR(Table7[[#This Row],[Extreme Response Style]:[Straight-lining with 1 deviation]],Table7[[#This Row],[Mid-point Response Style]])</f>
        <v>0</v>
      </c>
      <c r="AZ333" t="b">
        <f>OR(Table7[[#This Row],[Delete? (Stage 1)]],Table7[[#This Row],[Delete? (Stage 2)]])</f>
        <v>0</v>
      </c>
      <c r="BA333" t="s">
        <v>84</v>
      </c>
    </row>
    <row r="334" spans="1:53">
      <c r="A334">
        <v>1482</v>
      </c>
      <c r="B334" s="3">
        <v>46065.875474537039</v>
      </c>
      <c r="C334" s="3">
        <v>46065.88244212963</v>
      </c>
      <c r="D334" t="s">
        <v>53</v>
      </c>
      <c r="G334" t="s">
        <v>54</v>
      </c>
      <c r="H334" t="s">
        <v>55</v>
      </c>
      <c r="I334" t="s">
        <v>56</v>
      </c>
      <c r="J334" t="s">
        <v>64</v>
      </c>
      <c r="K334" t="s">
        <v>62</v>
      </c>
      <c r="L334" t="s">
        <v>58</v>
      </c>
      <c r="M334" t="s">
        <v>58</v>
      </c>
      <c r="N334">
        <v>4</v>
      </c>
      <c r="O334">
        <v>5</v>
      </c>
      <c r="P334">
        <v>4</v>
      </c>
      <c r="Q334">
        <v>4</v>
      </c>
      <c r="R334">
        <v>4</v>
      </c>
      <c r="S334">
        <v>2</v>
      </c>
      <c r="T334">
        <v>3</v>
      </c>
      <c r="U334">
        <v>4</v>
      </c>
      <c r="V334">
        <v>5</v>
      </c>
      <c r="W334">
        <v>5</v>
      </c>
      <c r="X334">
        <v>3</v>
      </c>
      <c r="Y334">
        <v>5</v>
      </c>
      <c r="Z334">
        <v>3</v>
      </c>
      <c r="AA334">
        <v>2</v>
      </c>
      <c r="AB334">
        <v>2</v>
      </c>
      <c r="AC334">
        <v>4</v>
      </c>
      <c r="AD334">
        <v>4</v>
      </c>
      <c r="AE334">
        <v>3</v>
      </c>
      <c r="AF334">
        <v>5</v>
      </c>
      <c r="AG334">
        <v>1</v>
      </c>
      <c r="AH334">
        <v>4</v>
      </c>
      <c r="AI334">
        <v>2</v>
      </c>
      <c r="AJ334">
        <v>1</v>
      </c>
      <c r="AK334" t="b">
        <f>Table7[[#This Row],[What is your age?]]&lt;&gt;"18 - 25"</f>
        <v>0</v>
      </c>
      <c r="AL334" t="b">
        <f t="shared" si="15"/>
        <v>0</v>
      </c>
      <c r="AM334" t="b">
        <f t="shared" si="16"/>
        <v>0</v>
      </c>
      <c r="AN334" t="b">
        <f t="shared" si="17"/>
        <v>0</v>
      </c>
      <c r="AO334" t="b">
        <f>OR(Table7[[#This Row],[Ineligible respondents]:[Inconsistent response on opposite question (3)]])</f>
        <v>0</v>
      </c>
      <c r="AP33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6</v>
      </c>
      <c r="AQ334">
        <f>Table7[[#This Row],[Extreme Response]]/21</f>
        <v>0.2857142857142857</v>
      </c>
      <c r="AR334">
        <f>Table67[[#This Row],[Threshold of ERS]]</f>
        <v>0.61904761904761907</v>
      </c>
      <c r="AS334" t="b">
        <f>Table7[[#This Row],[Extrem Response Ratio (ERS)]]&gt;=Table7[[#This Row],[Threshold of ERS]]</f>
        <v>0</v>
      </c>
      <c r="AT334" t="b" cm="1">
        <f t="array" ref="AT33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34">
        <f>COUNTIF(Table7[[#This Row],[The mechanism of digital assets is difficult to understand, which discourages me from exploring it (E.g, Tokenization, Blockchain)]:[If I want to try different ways to invest, I will explore digital assets.]], 3)</f>
        <v>4</v>
      </c>
      <c r="AV334">
        <f>Table7[[#This Row],[Midpoint]]/21</f>
        <v>0.19047619047619047</v>
      </c>
      <c r="AW334">
        <f>Table67[[#This Row],[Threshold of Midpoint ratio]]</f>
        <v>0.5714285714285714</v>
      </c>
      <c r="AX334" t="b">
        <f>Table7[[#This Row],[Midpoint ratio]]&gt;=Table7[[#This Row],[Threshold of Midpoint ratio]]</f>
        <v>0</v>
      </c>
      <c r="AY334" t="b">
        <f>OR(Table7[[#This Row],[Extreme Response Style]:[Straight-lining with 1 deviation]],Table7[[#This Row],[Mid-point Response Style]])</f>
        <v>0</v>
      </c>
      <c r="AZ334" t="b">
        <f>OR(Table7[[#This Row],[Delete? (Stage 1)]],Table7[[#This Row],[Delete? (Stage 2)]])</f>
        <v>0</v>
      </c>
      <c r="BA334" t="s">
        <v>84</v>
      </c>
    </row>
    <row r="335" spans="1:53">
      <c r="A335">
        <v>1483</v>
      </c>
      <c r="B335" s="3">
        <v>46065.828252314815</v>
      </c>
      <c r="C335" s="3">
        <v>46065.832395833335</v>
      </c>
      <c r="D335" t="s">
        <v>53</v>
      </c>
      <c r="G335" t="s">
        <v>54</v>
      </c>
      <c r="H335" t="s">
        <v>63</v>
      </c>
      <c r="I335" t="s">
        <v>56</v>
      </c>
      <c r="J335" t="s">
        <v>66</v>
      </c>
      <c r="K335" t="s">
        <v>64</v>
      </c>
      <c r="L335" t="s">
        <v>58</v>
      </c>
      <c r="M335" t="s">
        <v>58</v>
      </c>
      <c r="N335">
        <v>3</v>
      </c>
      <c r="O335">
        <v>2</v>
      </c>
      <c r="P335">
        <v>4</v>
      </c>
      <c r="Q335">
        <v>3</v>
      </c>
      <c r="R335">
        <v>2</v>
      </c>
      <c r="S335">
        <v>2</v>
      </c>
      <c r="T335">
        <v>2</v>
      </c>
      <c r="U335">
        <v>4</v>
      </c>
      <c r="V335">
        <v>4</v>
      </c>
      <c r="W335">
        <v>3</v>
      </c>
      <c r="X335">
        <v>3</v>
      </c>
      <c r="Y335">
        <v>3</v>
      </c>
      <c r="Z335">
        <v>3</v>
      </c>
      <c r="AA335">
        <v>2</v>
      </c>
      <c r="AB335">
        <v>1</v>
      </c>
      <c r="AC335">
        <v>4</v>
      </c>
      <c r="AD335">
        <v>3</v>
      </c>
      <c r="AE335">
        <v>3</v>
      </c>
      <c r="AF335">
        <v>2</v>
      </c>
      <c r="AG335">
        <v>3</v>
      </c>
      <c r="AH335">
        <v>3</v>
      </c>
      <c r="AI335">
        <v>3</v>
      </c>
      <c r="AJ335">
        <v>4</v>
      </c>
      <c r="AK335" t="b">
        <f>Table7[[#This Row],[What is your age?]]&lt;&gt;"18 - 25"</f>
        <v>0</v>
      </c>
      <c r="AL335" t="b">
        <f t="shared" si="15"/>
        <v>0</v>
      </c>
      <c r="AM335" t="b">
        <f t="shared" si="16"/>
        <v>0</v>
      </c>
      <c r="AN335" t="b">
        <f t="shared" si="17"/>
        <v>0</v>
      </c>
      <c r="AO335" t="b">
        <f>OR(Table7[[#This Row],[Ineligible respondents]:[Inconsistent response on opposite question (3)]])</f>
        <v>0</v>
      </c>
      <c r="AP33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335">
        <f>Table7[[#This Row],[Extreme Response]]/21</f>
        <v>4.7619047619047616E-2</v>
      </c>
      <c r="AR335">
        <f>Table67[[#This Row],[Threshold of ERS]]</f>
        <v>0.61904761904761907</v>
      </c>
      <c r="AS335" t="b">
        <f>Table7[[#This Row],[Extrem Response Ratio (ERS)]]&gt;=Table7[[#This Row],[Threshold of ERS]]</f>
        <v>0</v>
      </c>
      <c r="AT335" t="b" cm="1">
        <f t="array" ref="AT33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35">
        <f>COUNTIF(Table7[[#This Row],[The mechanism of digital assets is difficult to understand, which discourages me from exploring it (E.g, Tokenization, Blockchain)]:[If I want to try different ways to invest, I will explore digital assets.]], 3)</f>
        <v>10</v>
      </c>
      <c r="AV335">
        <f>Table7[[#This Row],[Midpoint]]/21</f>
        <v>0.47619047619047616</v>
      </c>
      <c r="AW335">
        <f>Table67[[#This Row],[Threshold of Midpoint ratio]]</f>
        <v>0.5714285714285714</v>
      </c>
      <c r="AX335" t="b">
        <f>Table7[[#This Row],[Midpoint ratio]]&gt;=Table7[[#This Row],[Threshold of Midpoint ratio]]</f>
        <v>0</v>
      </c>
      <c r="AY335" t="b">
        <f>OR(Table7[[#This Row],[Extreme Response Style]:[Straight-lining with 1 deviation]],Table7[[#This Row],[Mid-point Response Style]])</f>
        <v>0</v>
      </c>
      <c r="AZ335" t="b">
        <f>OR(Table7[[#This Row],[Delete? (Stage 1)]],Table7[[#This Row],[Delete? (Stage 2)]])</f>
        <v>0</v>
      </c>
      <c r="BA335" t="s">
        <v>84</v>
      </c>
    </row>
    <row r="336" spans="1:53">
      <c r="A336">
        <v>1487</v>
      </c>
      <c r="B336" s="3">
        <v>46065.875636574077</v>
      </c>
      <c r="C336" s="3">
        <v>46065.882465277777</v>
      </c>
      <c r="D336" t="s">
        <v>53</v>
      </c>
      <c r="G336" t="s">
        <v>54</v>
      </c>
      <c r="H336" t="s">
        <v>55</v>
      </c>
      <c r="I336" t="s">
        <v>75</v>
      </c>
      <c r="J336" t="s">
        <v>57</v>
      </c>
      <c r="K336" t="s">
        <v>62</v>
      </c>
      <c r="L336" t="s">
        <v>58</v>
      </c>
      <c r="M336" t="s">
        <v>58</v>
      </c>
      <c r="N336">
        <v>2</v>
      </c>
      <c r="O336">
        <v>2</v>
      </c>
      <c r="P336">
        <v>3</v>
      </c>
      <c r="Q336">
        <v>3</v>
      </c>
      <c r="R336">
        <v>2</v>
      </c>
      <c r="S336">
        <v>4</v>
      </c>
      <c r="T336">
        <v>4</v>
      </c>
      <c r="U336">
        <v>3</v>
      </c>
      <c r="V336">
        <v>4</v>
      </c>
      <c r="W336">
        <v>4</v>
      </c>
      <c r="X336">
        <v>2</v>
      </c>
      <c r="Y336">
        <v>4</v>
      </c>
      <c r="Z336">
        <v>3</v>
      </c>
      <c r="AA336">
        <v>4</v>
      </c>
      <c r="AB336">
        <v>4</v>
      </c>
      <c r="AC336">
        <v>3</v>
      </c>
      <c r="AD336">
        <v>3</v>
      </c>
      <c r="AE336">
        <v>3</v>
      </c>
      <c r="AF336">
        <v>3</v>
      </c>
      <c r="AG336">
        <v>2</v>
      </c>
      <c r="AH336">
        <v>5</v>
      </c>
      <c r="AI336">
        <v>1</v>
      </c>
      <c r="AJ336">
        <v>3</v>
      </c>
      <c r="AK336" t="b">
        <f>Table7[[#This Row],[What is your age?]]&lt;&gt;"18 - 25"</f>
        <v>0</v>
      </c>
      <c r="AL336" t="b">
        <f t="shared" si="15"/>
        <v>0</v>
      </c>
      <c r="AM336" t="b">
        <f t="shared" si="16"/>
        <v>0</v>
      </c>
      <c r="AN336" t="b">
        <f t="shared" si="17"/>
        <v>0</v>
      </c>
      <c r="AO336" t="b">
        <f>OR(Table7[[#This Row],[Ineligible respondents]:[Inconsistent response on opposite question (3)]])</f>
        <v>0</v>
      </c>
      <c r="AP33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336">
        <f>Table7[[#This Row],[Extreme Response]]/21</f>
        <v>4.7619047619047616E-2</v>
      </c>
      <c r="AR336">
        <f>Table67[[#This Row],[Threshold of ERS]]</f>
        <v>0.61904761904761907</v>
      </c>
      <c r="AS336" t="b">
        <f>Table7[[#This Row],[Extrem Response Ratio (ERS)]]&gt;=Table7[[#This Row],[Threshold of ERS]]</f>
        <v>0</v>
      </c>
      <c r="AT336" t="b" cm="1">
        <f t="array" ref="AT33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36">
        <f>COUNTIF(Table7[[#This Row],[The mechanism of digital assets is difficult to understand, which discourages me from exploring it (E.g, Tokenization, Blockchain)]:[If I want to try different ways to invest, I will explore digital assets.]], 3)</f>
        <v>8</v>
      </c>
      <c r="AV336">
        <f>Table7[[#This Row],[Midpoint]]/21</f>
        <v>0.38095238095238093</v>
      </c>
      <c r="AW336">
        <f>Table67[[#This Row],[Threshold of Midpoint ratio]]</f>
        <v>0.5714285714285714</v>
      </c>
      <c r="AX336" t="b">
        <f>Table7[[#This Row],[Midpoint ratio]]&gt;=Table7[[#This Row],[Threshold of Midpoint ratio]]</f>
        <v>0</v>
      </c>
      <c r="AY336" t="b">
        <f>OR(Table7[[#This Row],[Extreme Response Style]:[Straight-lining with 1 deviation]],Table7[[#This Row],[Mid-point Response Style]])</f>
        <v>0</v>
      </c>
      <c r="AZ336" t="b">
        <f>OR(Table7[[#This Row],[Delete? (Stage 1)]],Table7[[#This Row],[Delete? (Stage 2)]])</f>
        <v>0</v>
      </c>
      <c r="BA336" t="s">
        <v>84</v>
      </c>
    </row>
    <row r="337" spans="1:53">
      <c r="A337">
        <v>1489</v>
      </c>
      <c r="B337" s="3">
        <v>46065.705046296294</v>
      </c>
      <c r="C337" s="3">
        <v>46065.705416666664</v>
      </c>
      <c r="D337" t="s">
        <v>53</v>
      </c>
      <c r="G337" t="s">
        <v>54</v>
      </c>
      <c r="H337" t="s">
        <v>55</v>
      </c>
      <c r="I337" t="s">
        <v>56</v>
      </c>
      <c r="J337" t="s">
        <v>57</v>
      </c>
      <c r="K337" t="s">
        <v>57</v>
      </c>
      <c r="L337" t="s">
        <v>58</v>
      </c>
      <c r="M337" t="s">
        <v>58</v>
      </c>
      <c r="N337">
        <v>2</v>
      </c>
      <c r="O337">
        <v>2</v>
      </c>
      <c r="P337">
        <v>3</v>
      </c>
      <c r="Q337">
        <v>3</v>
      </c>
      <c r="R337">
        <v>3</v>
      </c>
      <c r="S337">
        <v>3</v>
      </c>
      <c r="T337">
        <v>3</v>
      </c>
      <c r="U337">
        <v>3</v>
      </c>
      <c r="V337">
        <v>5</v>
      </c>
      <c r="W337">
        <v>4</v>
      </c>
      <c r="X337">
        <v>4</v>
      </c>
      <c r="Y337">
        <v>5</v>
      </c>
      <c r="Z337">
        <v>4</v>
      </c>
      <c r="AA337">
        <v>3</v>
      </c>
      <c r="AB337">
        <v>3</v>
      </c>
      <c r="AC337">
        <v>3</v>
      </c>
      <c r="AD337">
        <v>3</v>
      </c>
      <c r="AE337">
        <v>4</v>
      </c>
      <c r="AF337">
        <v>4</v>
      </c>
      <c r="AG337">
        <v>1</v>
      </c>
      <c r="AH337">
        <v>5</v>
      </c>
      <c r="AI337">
        <v>1</v>
      </c>
      <c r="AJ337">
        <v>2</v>
      </c>
      <c r="AK337" t="b">
        <f>Table7[[#This Row],[What is your age?]]&lt;&gt;"18 - 25"</f>
        <v>0</v>
      </c>
      <c r="AL337" t="b">
        <f t="shared" si="15"/>
        <v>0</v>
      </c>
      <c r="AM337" t="b">
        <f t="shared" si="16"/>
        <v>0</v>
      </c>
      <c r="AN337" t="b">
        <f t="shared" si="17"/>
        <v>0</v>
      </c>
      <c r="AO337" t="b">
        <f>OR(Table7[[#This Row],[Ineligible respondents]:[Inconsistent response on opposite question (3)]])</f>
        <v>0</v>
      </c>
      <c r="AP33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337">
        <f>Table7[[#This Row],[Extreme Response]]/21</f>
        <v>0.19047619047619047</v>
      </c>
      <c r="AR337">
        <f>Table67[[#This Row],[Threshold of ERS]]</f>
        <v>0.61904761904761907</v>
      </c>
      <c r="AS337" t="b">
        <f>Table7[[#This Row],[Extrem Response Ratio (ERS)]]&gt;=Table7[[#This Row],[Threshold of ERS]]</f>
        <v>0</v>
      </c>
      <c r="AT337" t="b" cm="1">
        <f t="array" ref="AT33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37">
        <f>COUNTIF(Table7[[#This Row],[The mechanism of digital assets is difficult to understand, which discourages me from exploring it (E.g, Tokenization, Blockchain)]:[If I want to try different ways to invest, I will explore digital assets.]], 3)</f>
        <v>10</v>
      </c>
      <c r="AV337">
        <f>Table7[[#This Row],[Midpoint]]/21</f>
        <v>0.47619047619047616</v>
      </c>
      <c r="AW337">
        <f>Table67[[#This Row],[Threshold of Midpoint ratio]]</f>
        <v>0.5714285714285714</v>
      </c>
      <c r="AX337" t="b">
        <f>Table7[[#This Row],[Midpoint ratio]]&gt;=Table7[[#This Row],[Threshold of Midpoint ratio]]</f>
        <v>0</v>
      </c>
      <c r="AY337" t="b">
        <f>OR(Table7[[#This Row],[Extreme Response Style]:[Straight-lining with 1 deviation]],Table7[[#This Row],[Mid-point Response Style]])</f>
        <v>0</v>
      </c>
      <c r="AZ337" t="b">
        <f>OR(Table7[[#This Row],[Delete? (Stage 1)]],Table7[[#This Row],[Delete? (Stage 2)]])</f>
        <v>0</v>
      </c>
      <c r="BA337" t="s">
        <v>84</v>
      </c>
    </row>
    <row r="338" spans="1:53">
      <c r="A338">
        <v>1490</v>
      </c>
      <c r="B338" s="3">
        <v>46065.882280092592</v>
      </c>
      <c r="C338" s="3">
        <v>46065.895358796297</v>
      </c>
      <c r="D338" t="s">
        <v>53</v>
      </c>
      <c r="G338" t="s">
        <v>54</v>
      </c>
      <c r="H338" t="s">
        <v>55</v>
      </c>
      <c r="I338" t="s">
        <v>56</v>
      </c>
      <c r="J338" t="s">
        <v>62</v>
      </c>
      <c r="K338" t="s">
        <v>57</v>
      </c>
      <c r="L338" t="s">
        <v>58</v>
      </c>
      <c r="M338" t="s">
        <v>58</v>
      </c>
      <c r="N338">
        <v>2</v>
      </c>
      <c r="O338">
        <v>3</v>
      </c>
      <c r="P338">
        <v>3</v>
      </c>
      <c r="Q338">
        <v>3</v>
      </c>
      <c r="R338">
        <v>2</v>
      </c>
      <c r="S338">
        <v>2</v>
      </c>
      <c r="T338">
        <v>2</v>
      </c>
      <c r="U338">
        <v>3</v>
      </c>
      <c r="V338">
        <v>1</v>
      </c>
      <c r="W338">
        <v>1</v>
      </c>
      <c r="X338">
        <v>3</v>
      </c>
      <c r="Y338">
        <v>2</v>
      </c>
      <c r="Z338">
        <v>3</v>
      </c>
      <c r="AA338">
        <v>2</v>
      </c>
      <c r="AB338">
        <v>2</v>
      </c>
      <c r="AC338">
        <v>3</v>
      </c>
      <c r="AD338">
        <v>3</v>
      </c>
      <c r="AE338">
        <v>3</v>
      </c>
      <c r="AF338">
        <v>3</v>
      </c>
      <c r="AG338">
        <v>2</v>
      </c>
      <c r="AH338">
        <v>5</v>
      </c>
      <c r="AI338">
        <v>1</v>
      </c>
      <c r="AJ338">
        <v>3</v>
      </c>
      <c r="AK338" t="b">
        <f>Table7[[#This Row],[What is your age?]]&lt;&gt;"18 - 25"</f>
        <v>0</v>
      </c>
      <c r="AL338" t="b">
        <f t="shared" si="15"/>
        <v>0</v>
      </c>
      <c r="AM338" t="b">
        <f t="shared" si="16"/>
        <v>0</v>
      </c>
      <c r="AN338" t="b">
        <f t="shared" si="17"/>
        <v>0</v>
      </c>
      <c r="AO338" t="b">
        <f>OR(Table7[[#This Row],[Ineligible respondents]:[Inconsistent response on opposite question (3)]])</f>
        <v>0</v>
      </c>
      <c r="AP33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338">
        <f>Table7[[#This Row],[Extreme Response]]/21</f>
        <v>0.14285714285714285</v>
      </c>
      <c r="AR338">
        <f>Table67[[#This Row],[Threshold of ERS]]</f>
        <v>0.61904761904761907</v>
      </c>
      <c r="AS338" t="b">
        <f>Table7[[#This Row],[Extrem Response Ratio (ERS)]]&gt;=Table7[[#This Row],[Threshold of ERS]]</f>
        <v>0</v>
      </c>
      <c r="AT338" t="b" cm="1">
        <f t="array" ref="AT33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38">
        <f>COUNTIF(Table7[[#This Row],[The mechanism of digital assets is difficult to understand, which discourages me from exploring it (E.g, Tokenization, Blockchain)]:[If I want to try different ways to invest, I will explore digital assets.]], 3)</f>
        <v>10</v>
      </c>
      <c r="AV338">
        <f>Table7[[#This Row],[Midpoint]]/21</f>
        <v>0.47619047619047616</v>
      </c>
      <c r="AW338">
        <f>Table67[[#This Row],[Threshold of Midpoint ratio]]</f>
        <v>0.5714285714285714</v>
      </c>
      <c r="AX338" t="b">
        <f>Table7[[#This Row],[Midpoint ratio]]&gt;=Table7[[#This Row],[Threshold of Midpoint ratio]]</f>
        <v>0</v>
      </c>
      <c r="AY338" t="b">
        <f>OR(Table7[[#This Row],[Extreme Response Style]:[Straight-lining with 1 deviation]],Table7[[#This Row],[Mid-point Response Style]])</f>
        <v>0</v>
      </c>
      <c r="AZ338" t="b">
        <f>OR(Table7[[#This Row],[Delete? (Stage 1)]],Table7[[#This Row],[Delete? (Stage 2)]])</f>
        <v>0</v>
      </c>
      <c r="BA338" t="s">
        <v>84</v>
      </c>
    </row>
    <row r="339" spans="1:53">
      <c r="A339">
        <v>1493</v>
      </c>
      <c r="B339" s="3">
        <v>46065.765775462962</v>
      </c>
      <c r="C339" s="3">
        <v>46065.768078703702</v>
      </c>
      <c r="D339" t="s">
        <v>53</v>
      </c>
      <c r="G339" t="s">
        <v>54</v>
      </c>
      <c r="H339" t="s">
        <v>63</v>
      </c>
      <c r="I339" t="s">
        <v>56</v>
      </c>
      <c r="J339" t="s">
        <v>62</v>
      </c>
      <c r="K339" t="s">
        <v>57</v>
      </c>
      <c r="L339" t="s">
        <v>58</v>
      </c>
      <c r="M339" t="s">
        <v>58</v>
      </c>
      <c r="N339">
        <v>3</v>
      </c>
      <c r="O339">
        <v>3</v>
      </c>
      <c r="P339">
        <v>3</v>
      </c>
      <c r="Q339">
        <v>4</v>
      </c>
      <c r="R339">
        <v>3</v>
      </c>
      <c r="S339">
        <v>3</v>
      </c>
      <c r="T339">
        <v>3</v>
      </c>
      <c r="U339">
        <v>4</v>
      </c>
      <c r="V339">
        <v>4</v>
      </c>
      <c r="W339">
        <v>4</v>
      </c>
      <c r="X339">
        <v>2</v>
      </c>
      <c r="Y339">
        <v>4</v>
      </c>
      <c r="Z339">
        <v>2</v>
      </c>
      <c r="AA339">
        <v>3</v>
      </c>
      <c r="AB339">
        <v>3</v>
      </c>
      <c r="AC339">
        <v>4</v>
      </c>
      <c r="AD339">
        <v>2</v>
      </c>
      <c r="AE339">
        <v>2</v>
      </c>
      <c r="AF339">
        <v>4</v>
      </c>
      <c r="AG339">
        <v>2</v>
      </c>
      <c r="AH339">
        <v>4</v>
      </c>
      <c r="AI339">
        <v>2</v>
      </c>
      <c r="AJ339">
        <v>2</v>
      </c>
      <c r="AK339" t="b">
        <f>Table7[[#This Row],[What is your age?]]&lt;&gt;"18 - 25"</f>
        <v>0</v>
      </c>
      <c r="AL339" t="b">
        <f t="shared" si="15"/>
        <v>0</v>
      </c>
      <c r="AM339" t="b">
        <f t="shared" si="16"/>
        <v>0</v>
      </c>
      <c r="AN339" t="b">
        <f t="shared" si="17"/>
        <v>0</v>
      </c>
      <c r="AO339" t="b">
        <f>OR(Table7[[#This Row],[Ineligible respondents]:[Inconsistent response on opposite question (3)]])</f>
        <v>0</v>
      </c>
      <c r="AP33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339">
        <f>Table7[[#This Row],[Extreme Response]]/21</f>
        <v>0</v>
      </c>
      <c r="AR339">
        <f>Table67[[#This Row],[Threshold of ERS]]</f>
        <v>0.61904761904761907</v>
      </c>
      <c r="AS339" t="b">
        <f>Table7[[#This Row],[Extrem Response Ratio (ERS)]]&gt;=Table7[[#This Row],[Threshold of ERS]]</f>
        <v>0</v>
      </c>
      <c r="AT339" t="b" cm="1">
        <f t="array" ref="AT33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39">
        <f>COUNTIF(Table7[[#This Row],[The mechanism of digital assets is difficult to understand, which discourages me from exploring it (E.g, Tokenization, Blockchain)]:[If I want to try different ways to invest, I will explore digital assets.]], 3)</f>
        <v>8</v>
      </c>
      <c r="AV339">
        <f>Table7[[#This Row],[Midpoint]]/21</f>
        <v>0.38095238095238093</v>
      </c>
      <c r="AW339">
        <f>Table67[[#This Row],[Threshold of Midpoint ratio]]</f>
        <v>0.5714285714285714</v>
      </c>
      <c r="AX339" t="b">
        <f>Table7[[#This Row],[Midpoint ratio]]&gt;=Table7[[#This Row],[Threshold of Midpoint ratio]]</f>
        <v>0</v>
      </c>
      <c r="AY339" t="b">
        <f>OR(Table7[[#This Row],[Extreme Response Style]:[Straight-lining with 1 deviation]],Table7[[#This Row],[Mid-point Response Style]])</f>
        <v>0</v>
      </c>
      <c r="AZ339" t="b">
        <f>OR(Table7[[#This Row],[Delete? (Stage 1)]],Table7[[#This Row],[Delete? (Stage 2)]])</f>
        <v>0</v>
      </c>
      <c r="BA339" t="s">
        <v>84</v>
      </c>
    </row>
    <row r="340" spans="1:53">
      <c r="A340">
        <v>1494</v>
      </c>
      <c r="B340" s="3">
        <v>46065.882268518515</v>
      </c>
      <c r="C340" s="3">
        <v>46065.889050925929</v>
      </c>
      <c r="D340" t="s">
        <v>53</v>
      </c>
      <c r="G340" t="s">
        <v>54</v>
      </c>
      <c r="H340" t="s">
        <v>63</v>
      </c>
      <c r="I340" t="s">
        <v>71</v>
      </c>
      <c r="J340" t="s">
        <v>62</v>
      </c>
      <c r="K340" t="s">
        <v>62</v>
      </c>
      <c r="L340" t="s">
        <v>58</v>
      </c>
      <c r="M340" t="s">
        <v>58</v>
      </c>
      <c r="N340">
        <v>2</v>
      </c>
      <c r="O340">
        <v>1</v>
      </c>
      <c r="P340">
        <v>3</v>
      </c>
      <c r="Q340">
        <v>3</v>
      </c>
      <c r="R340">
        <v>2</v>
      </c>
      <c r="S340">
        <v>2</v>
      </c>
      <c r="T340">
        <v>2</v>
      </c>
      <c r="U340">
        <v>3</v>
      </c>
      <c r="V340">
        <v>4</v>
      </c>
      <c r="W340">
        <v>4</v>
      </c>
      <c r="X340">
        <v>3</v>
      </c>
      <c r="Y340">
        <v>3</v>
      </c>
      <c r="Z340">
        <v>3</v>
      </c>
      <c r="AA340">
        <v>2</v>
      </c>
      <c r="AB340">
        <v>2</v>
      </c>
      <c r="AC340">
        <v>3</v>
      </c>
      <c r="AD340">
        <v>4</v>
      </c>
      <c r="AE340">
        <v>3</v>
      </c>
      <c r="AF340">
        <v>3</v>
      </c>
      <c r="AG340">
        <v>3</v>
      </c>
      <c r="AH340">
        <v>3</v>
      </c>
      <c r="AI340">
        <v>3</v>
      </c>
      <c r="AJ340">
        <v>3</v>
      </c>
      <c r="AK340" t="b">
        <f>Table7[[#This Row],[What is your age?]]&lt;&gt;"18 - 25"</f>
        <v>0</v>
      </c>
      <c r="AL340" t="b">
        <f t="shared" si="15"/>
        <v>0</v>
      </c>
      <c r="AM340" t="b">
        <f t="shared" si="16"/>
        <v>0</v>
      </c>
      <c r="AN340" t="b">
        <f t="shared" si="17"/>
        <v>0</v>
      </c>
      <c r="AO340" t="b">
        <f>OR(Table7[[#This Row],[Ineligible respondents]:[Inconsistent response on opposite question (3)]])</f>
        <v>0</v>
      </c>
      <c r="AP34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340">
        <f>Table7[[#This Row],[Extreme Response]]/21</f>
        <v>4.7619047619047616E-2</v>
      </c>
      <c r="AR340">
        <f>Table67[[#This Row],[Threshold of ERS]]</f>
        <v>0.61904761904761907</v>
      </c>
      <c r="AS340" t="b">
        <f>Table7[[#This Row],[Extrem Response Ratio (ERS)]]&gt;=Table7[[#This Row],[Threshold of ERS]]</f>
        <v>0</v>
      </c>
      <c r="AT340" t="b" cm="1">
        <f t="array" ref="AT34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40">
        <f>COUNTIF(Table7[[#This Row],[The mechanism of digital assets is difficult to understand, which discourages me from exploring it (E.g, Tokenization, Blockchain)]:[If I want to try different ways to invest, I will explore digital assets.]], 3)</f>
        <v>11</v>
      </c>
      <c r="AV340">
        <f>Table7[[#This Row],[Midpoint]]/21</f>
        <v>0.52380952380952384</v>
      </c>
      <c r="AW340">
        <f>Table67[[#This Row],[Threshold of Midpoint ratio]]</f>
        <v>0.5714285714285714</v>
      </c>
      <c r="AX340" t="b">
        <f>Table7[[#This Row],[Midpoint ratio]]&gt;=Table7[[#This Row],[Threshold of Midpoint ratio]]</f>
        <v>0</v>
      </c>
      <c r="AY340" t="b">
        <f>OR(Table7[[#This Row],[Extreme Response Style]:[Straight-lining with 1 deviation]],Table7[[#This Row],[Mid-point Response Style]])</f>
        <v>0</v>
      </c>
      <c r="AZ340" t="b">
        <f>OR(Table7[[#This Row],[Delete? (Stage 1)]],Table7[[#This Row],[Delete? (Stage 2)]])</f>
        <v>0</v>
      </c>
      <c r="BA340" t="s">
        <v>84</v>
      </c>
    </row>
    <row r="341" spans="1:53">
      <c r="A341">
        <v>1496</v>
      </c>
      <c r="B341" s="3">
        <v>46065.832870370374</v>
      </c>
      <c r="C341" s="3">
        <v>46065.841678240744</v>
      </c>
      <c r="D341" t="s">
        <v>53</v>
      </c>
      <c r="G341" t="s">
        <v>54</v>
      </c>
      <c r="H341" t="s">
        <v>55</v>
      </c>
      <c r="I341" t="s">
        <v>56</v>
      </c>
      <c r="J341" t="s">
        <v>62</v>
      </c>
      <c r="K341" t="s">
        <v>57</v>
      </c>
      <c r="L341" t="s">
        <v>61</v>
      </c>
      <c r="M341" t="s">
        <v>61</v>
      </c>
      <c r="N341">
        <v>3</v>
      </c>
      <c r="O341">
        <v>4</v>
      </c>
      <c r="P341">
        <v>2</v>
      </c>
      <c r="Q341">
        <v>3</v>
      </c>
      <c r="R341">
        <v>3</v>
      </c>
      <c r="S341">
        <v>3</v>
      </c>
      <c r="T341">
        <v>3</v>
      </c>
      <c r="U341">
        <v>2</v>
      </c>
      <c r="V341">
        <v>4</v>
      </c>
      <c r="W341">
        <v>4</v>
      </c>
      <c r="X341">
        <v>4</v>
      </c>
      <c r="Y341">
        <v>4</v>
      </c>
      <c r="Z341">
        <v>4</v>
      </c>
      <c r="AA341">
        <v>3</v>
      </c>
      <c r="AB341">
        <v>3</v>
      </c>
      <c r="AC341">
        <v>2</v>
      </c>
      <c r="AD341">
        <v>4</v>
      </c>
      <c r="AE341">
        <v>3</v>
      </c>
      <c r="AF341">
        <v>4</v>
      </c>
      <c r="AG341">
        <v>2</v>
      </c>
      <c r="AH341">
        <v>5</v>
      </c>
      <c r="AI341">
        <v>1</v>
      </c>
      <c r="AJ341">
        <v>2</v>
      </c>
      <c r="AK341" t="b">
        <f>Table7[[#This Row],[What is your age?]]&lt;&gt;"18 - 25"</f>
        <v>0</v>
      </c>
      <c r="AL341" t="b">
        <f t="shared" si="15"/>
        <v>0</v>
      </c>
      <c r="AM341" t="b">
        <f t="shared" si="16"/>
        <v>0</v>
      </c>
      <c r="AN341" t="b">
        <f t="shared" si="17"/>
        <v>0</v>
      </c>
      <c r="AO341" t="b">
        <f>OR(Table7[[#This Row],[Ineligible respondents]:[Inconsistent response on opposite question (3)]])</f>
        <v>0</v>
      </c>
      <c r="AP34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341">
        <f>Table7[[#This Row],[Extreme Response]]/21</f>
        <v>4.7619047619047616E-2</v>
      </c>
      <c r="AR341">
        <f>Table67[[#This Row],[Threshold of ERS]]</f>
        <v>0.61904761904761907</v>
      </c>
      <c r="AS341" t="b">
        <f>Table7[[#This Row],[Extrem Response Ratio (ERS)]]&gt;=Table7[[#This Row],[Threshold of ERS]]</f>
        <v>0</v>
      </c>
      <c r="AT341" t="b" cm="1">
        <f t="array" ref="AT34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41">
        <f>COUNTIF(Table7[[#This Row],[The mechanism of digital assets is difficult to understand, which discourages me from exploring it (E.g, Tokenization, Blockchain)]:[If I want to try different ways to invest, I will explore digital assets.]], 3)</f>
        <v>8</v>
      </c>
      <c r="AV341">
        <f>Table7[[#This Row],[Midpoint]]/21</f>
        <v>0.38095238095238093</v>
      </c>
      <c r="AW341">
        <f>Table67[[#This Row],[Threshold of Midpoint ratio]]</f>
        <v>0.5714285714285714</v>
      </c>
      <c r="AX341" t="b">
        <f>Table7[[#This Row],[Midpoint ratio]]&gt;=Table7[[#This Row],[Threshold of Midpoint ratio]]</f>
        <v>0</v>
      </c>
      <c r="AY341" t="b">
        <f>OR(Table7[[#This Row],[Extreme Response Style]:[Straight-lining with 1 deviation]],Table7[[#This Row],[Mid-point Response Style]])</f>
        <v>0</v>
      </c>
      <c r="AZ341" t="b">
        <f>OR(Table7[[#This Row],[Delete? (Stage 1)]],Table7[[#This Row],[Delete? (Stage 2)]])</f>
        <v>0</v>
      </c>
      <c r="BA341" t="s">
        <v>84</v>
      </c>
    </row>
    <row r="342" spans="1:53">
      <c r="A342">
        <v>1497</v>
      </c>
      <c r="B342" s="3">
        <v>46065.731747685182</v>
      </c>
      <c r="C342" s="3">
        <v>46065.734386574077</v>
      </c>
      <c r="D342" t="s">
        <v>53</v>
      </c>
      <c r="G342" t="s">
        <v>54</v>
      </c>
      <c r="H342" t="s">
        <v>55</v>
      </c>
      <c r="I342" t="s">
        <v>56</v>
      </c>
      <c r="J342" t="s">
        <v>62</v>
      </c>
      <c r="K342" t="s">
        <v>62</v>
      </c>
      <c r="L342" t="s">
        <v>58</v>
      </c>
      <c r="M342" t="s">
        <v>61</v>
      </c>
      <c r="N342">
        <v>3</v>
      </c>
      <c r="O342">
        <v>4</v>
      </c>
      <c r="P342">
        <v>4</v>
      </c>
      <c r="Q342">
        <v>4</v>
      </c>
      <c r="R342">
        <v>3</v>
      </c>
      <c r="S342">
        <v>4</v>
      </c>
      <c r="T342">
        <v>4</v>
      </c>
      <c r="U342">
        <v>4</v>
      </c>
      <c r="V342">
        <v>4</v>
      </c>
      <c r="W342">
        <v>4</v>
      </c>
      <c r="X342">
        <v>3</v>
      </c>
      <c r="Y342">
        <v>4</v>
      </c>
      <c r="Z342">
        <v>4</v>
      </c>
      <c r="AA342">
        <v>4</v>
      </c>
      <c r="AB342">
        <v>3</v>
      </c>
      <c r="AC342">
        <v>4</v>
      </c>
      <c r="AD342">
        <v>3</v>
      </c>
      <c r="AE342">
        <v>3</v>
      </c>
      <c r="AF342">
        <v>2</v>
      </c>
      <c r="AG342">
        <v>2</v>
      </c>
      <c r="AH342">
        <v>5</v>
      </c>
      <c r="AI342">
        <v>1</v>
      </c>
      <c r="AJ342">
        <v>4</v>
      </c>
      <c r="AK342" t="b">
        <f>Table7[[#This Row],[What is your age?]]&lt;&gt;"18 - 25"</f>
        <v>0</v>
      </c>
      <c r="AL342" t="b">
        <f t="shared" si="15"/>
        <v>0</v>
      </c>
      <c r="AM342" t="b">
        <f t="shared" si="16"/>
        <v>0</v>
      </c>
      <c r="AN342" t="b">
        <f t="shared" si="17"/>
        <v>0</v>
      </c>
      <c r="AO342" t="b">
        <f>OR(Table7[[#This Row],[Ineligible respondents]:[Inconsistent response on opposite question (3)]])</f>
        <v>0</v>
      </c>
      <c r="AP34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342">
        <f>Table7[[#This Row],[Extreme Response]]/21</f>
        <v>4.7619047619047616E-2</v>
      </c>
      <c r="AR342">
        <f>Table67[[#This Row],[Threshold of ERS]]</f>
        <v>0.61904761904761907</v>
      </c>
      <c r="AS342" t="b">
        <f>Table7[[#This Row],[Extrem Response Ratio (ERS)]]&gt;=Table7[[#This Row],[Threshold of ERS]]</f>
        <v>0</v>
      </c>
      <c r="AT342" t="b" cm="1">
        <f t="array" ref="AT34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42">
        <f>COUNTIF(Table7[[#This Row],[The mechanism of digital assets is difficult to understand, which discourages me from exploring it (E.g, Tokenization, Blockchain)]:[If I want to try different ways to invest, I will explore digital assets.]], 3)</f>
        <v>6</v>
      </c>
      <c r="AV342">
        <f>Table7[[#This Row],[Midpoint]]/21</f>
        <v>0.2857142857142857</v>
      </c>
      <c r="AW342">
        <f>Table67[[#This Row],[Threshold of Midpoint ratio]]</f>
        <v>0.5714285714285714</v>
      </c>
      <c r="AX342" t="b">
        <f>Table7[[#This Row],[Midpoint ratio]]&gt;=Table7[[#This Row],[Threshold of Midpoint ratio]]</f>
        <v>0</v>
      </c>
      <c r="AY342" t="b">
        <f>OR(Table7[[#This Row],[Extreme Response Style]:[Straight-lining with 1 deviation]],Table7[[#This Row],[Mid-point Response Style]])</f>
        <v>0</v>
      </c>
      <c r="AZ342" t="b">
        <f>OR(Table7[[#This Row],[Delete? (Stage 1)]],Table7[[#This Row],[Delete? (Stage 2)]])</f>
        <v>0</v>
      </c>
      <c r="BA342" t="s">
        <v>84</v>
      </c>
    </row>
    <row r="343" spans="1:53">
      <c r="A343">
        <v>1499</v>
      </c>
      <c r="B343" s="3">
        <v>46065.706388888888</v>
      </c>
      <c r="C343" s="3">
        <v>46065.706655092596</v>
      </c>
      <c r="D343" t="s">
        <v>53</v>
      </c>
      <c r="G343" t="s">
        <v>54</v>
      </c>
      <c r="H343" t="s">
        <v>55</v>
      </c>
      <c r="I343" t="s">
        <v>69</v>
      </c>
      <c r="J343" t="s">
        <v>62</v>
      </c>
      <c r="K343" t="s">
        <v>57</v>
      </c>
      <c r="L343" t="s">
        <v>58</v>
      </c>
      <c r="M343" t="s">
        <v>58</v>
      </c>
      <c r="N343">
        <v>3</v>
      </c>
      <c r="O343">
        <v>3</v>
      </c>
      <c r="P343">
        <v>3</v>
      </c>
      <c r="Q343">
        <v>3</v>
      </c>
      <c r="R343">
        <v>2</v>
      </c>
      <c r="S343">
        <v>2</v>
      </c>
      <c r="T343">
        <v>3</v>
      </c>
      <c r="U343">
        <v>2</v>
      </c>
      <c r="V343">
        <v>3</v>
      </c>
      <c r="W343">
        <v>3</v>
      </c>
      <c r="X343">
        <v>3</v>
      </c>
      <c r="Y343">
        <v>2</v>
      </c>
      <c r="Z343">
        <v>3</v>
      </c>
      <c r="AA343">
        <v>2</v>
      </c>
      <c r="AB343">
        <v>3</v>
      </c>
      <c r="AC343">
        <v>2</v>
      </c>
      <c r="AD343">
        <v>3</v>
      </c>
      <c r="AE343">
        <v>2</v>
      </c>
      <c r="AF343">
        <v>5</v>
      </c>
      <c r="AG343">
        <v>1</v>
      </c>
      <c r="AH343">
        <v>5</v>
      </c>
      <c r="AI343">
        <v>1</v>
      </c>
      <c r="AJ343">
        <v>1</v>
      </c>
      <c r="AK343" t="b">
        <f>Table7[[#This Row],[What is your age?]]&lt;&gt;"18 - 25"</f>
        <v>0</v>
      </c>
      <c r="AL343" t="b">
        <f t="shared" si="15"/>
        <v>0</v>
      </c>
      <c r="AM343" t="b">
        <f t="shared" si="16"/>
        <v>0</v>
      </c>
      <c r="AN343" t="b">
        <f t="shared" si="17"/>
        <v>0</v>
      </c>
      <c r="AO343" t="b">
        <f>OR(Table7[[#This Row],[Ineligible respondents]:[Inconsistent response on opposite question (3)]])</f>
        <v>0</v>
      </c>
      <c r="AP34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343">
        <f>Table7[[#This Row],[Extreme Response]]/21</f>
        <v>0.14285714285714285</v>
      </c>
      <c r="AR343">
        <f>Table67[[#This Row],[Threshold of ERS]]</f>
        <v>0.61904761904761907</v>
      </c>
      <c r="AS343" t="b">
        <f>Table7[[#This Row],[Extrem Response Ratio (ERS)]]&gt;=Table7[[#This Row],[Threshold of ERS]]</f>
        <v>0</v>
      </c>
      <c r="AT343" t="b" cm="1">
        <f t="array" ref="AT34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43">
        <f>COUNTIF(Table7[[#This Row],[The mechanism of digital assets is difficult to understand, which discourages me from exploring it (E.g, Tokenization, Blockchain)]:[If I want to try different ways to invest, I will explore digital assets.]], 3)</f>
        <v>11</v>
      </c>
      <c r="AV343">
        <f>Table7[[#This Row],[Midpoint]]/21</f>
        <v>0.52380952380952384</v>
      </c>
      <c r="AW343">
        <f>Table67[[#This Row],[Threshold of Midpoint ratio]]</f>
        <v>0.5714285714285714</v>
      </c>
      <c r="AX343" t="b">
        <f>Table7[[#This Row],[Midpoint ratio]]&gt;=Table7[[#This Row],[Threshold of Midpoint ratio]]</f>
        <v>0</v>
      </c>
      <c r="AY343" t="b">
        <f>OR(Table7[[#This Row],[Extreme Response Style]:[Straight-lining with 1 deviation]],Table7[[#This Row],[Mid-point Response Style]])</f>
        <v>0</v>
      </c>
      <c r="AZ343" t="b">
        <f>OR(Table7[[#This Row],[Delete? (Stage 1)]],Table7[[#This Row],[Delete? (Stage 2)]])</f>
        <v>0</v>
      </c>
      <c r="BA343" t="s">
        <v>84</v>
      </c>
    </row>
    <row r="344" spans="1:53">
      <c r="A344">
        <v>1503</v>
      </c>
      <c r="B344" s="3">
        <v>46065.850578703707</v>
      </c>
      <c r="C344" s="3">
        <v>46065.861296296294</v>
      </c>
      <c r="D344" t="s">
        <v>53</v>
      </c>
      <c r="G344" t="s">
        <v>54</v>
      </c>
      <c r="H344" t="s">
        <v>63</v>
      </c>
      <c r="I344" t="s">
        <v>56</v>
      </c>
      <c r="J344" t="s">
        <v>72</v>
      </c>
      <c r="K344" t="s">
        <v>57</v>
      </c>
      <c r="L344" t="s">
        <v>61</v>
      </c>
      <c r="M344" t="s">
        <v>61</v>
      </c>
      <c r="N344">
        <v>2</v>
      </c>
      <c r="O344">
        <v>2</v>
      </c>
      <c r="P344">
        <v>4</v>
      </c>
      <c r="Q344">
        <v>3</v>
      </c>
      <c r="R344">
        <v>2</v>
      </c>
      <c r="S344">
        <v>5</v>
      </c>
      <c r="T344">
        <v>5</v>
      </c>
      <c r="U344">
        <v>4</v>
      </c>
      <c r="V344">
        <v>5</v>
      </c>
      <c r="W344">
        <v>5</v>
      </c>
      <c r="X344">
        <v>4</v>
      </c>
      <c r="Y344">
        <v>5</v>
      </c>
      <c r="Z344">
        <v>4</v>
      </c>
      <c r="AA344">
        <v>5</v>
      </c>
      <c r="AB344">
        <v>5</v>
      </c>
      <c r="AC344">
        <v>4</v>
      </c>
      <c r="AD344">
        <v>4</v>
      </c>
      <c r="AE344">
        <v>4</v>
      </c>
      <c r="AF344">
        <v>3</v>
      </c>
      <c r="AG344">
        <v>3</v>
      </c>
      <c r="AH344">
        <v>3</v>
      </c>
      <c r="AI344">
        <v>3</v>
      </c>
      <c r="AJ344">
        <v>3</v>
      </c>
      <c r="AK344" t="b">
        <f>Table7[[#This Row],[What is your age?]]&lt;&gt;"18 - 25"</f>
        <v>0</v>
      </c>
      <c r="AL344" t="b">
        <f t="shared" si="15"/>
        <v>0</v>
      </c>
      <c r="AM344" t="b">
        <f t="shared" si="16"/>
        <v>0</v>
      </c>
      <c r="AN344" t="b">
        <f t="shared" si="17"/>
        <v>0</v>
      </c>
      <c r="AO344" t="b">
        <f>OR(Table7[[#This Row],[Ineligible respondents]:[Inconsistent response on opposite question (3)]])</f>
        <v>0</v>
      </c>
      <c r="AP34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7</v>
      </c>
      <c r="AQ344">
        <f>Table7[[#This Row],[Extreme Response]]/21</f>
        <v>0.33333333333333331</v>
      </c>
      <c r="AR344">
        <f>Table67[[#This Row],[Threshold of ERS]]</f>
        <v>0.61904761904761907</v>
      </c>
      <c r="AS344" t="b">
        <f>Table7[[#This Row],[Extrem Response Ratio (ERS)]]&gt;=Table7[[#This Row],[Threshold of ERS]]</f>
        <v>0</v>
      </c>
      <c r="AT344" t="b" cm="1">
        <f t="array" ref="AT34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44">
        <f>COUNTIF(Table7[[#This Row],[The mechanism of digital assets is difficult to understand, which discourages me from exploring it (E.g, Tokenization, Blockchain)]:[If I want to try different ways to invest, I will explore digital assets.]], 3)</f>
        <v>4</v>
      </c>
      <c r="AV344">
        <f>Table7[[#This Row],[Midpoint]]/21</f>
        <v>0.19047619047619047</v>
      </c>
      <c r="AW344">
        <f>Table67[[#This Row],[Threshold of Midpoint ratio]]</f>
        <v>0.5714285714285714</v>
      </c>
      <c r="AX344" t="b">
        <f>Table7[[#This Row],[Midpoint ratio]]&gt;=Table7[[#This Row],[Threshold of Midpoint ratio]]</f>
        <v>0</v>
      </c>
      <c r="AY344" t="b">
        <f>OR(Table7[[#This Row],[Extreme Response Style]:[Straight-lining with 1 deviation]],Table7[[#This Row],[Mid-point Response Style]])</f>
        <v>0</v>
      </c>
      <c r="AZ344" t="b">
        <f>OR(Table7[[#This Row],[Delete? (Stage 1)]],Table7[[#This Row],[Delete? (Stage 2)]])</f>
        <v>0</v>
      </c>
      <c r="BA344" t="s">
        <v>84</v>
      </c>
    </row>
    <row r="345" spans="1:53">
      <c r="A345">
        <v>1506</v>
      </c>
      <c r="B345" s="3">
        <v>46065.769212962965</v>
      </c>
      <c r="C345" s="3">
        <v>46065.771562499998</v>
      </c>
      <c r="D345" t="s">
        <v>53</v>
      </c>
      <c r="G345" t="s">
        <v>54</v>
      </c>
      <c r="H345" t="s">
        <v>63</v>
      </c>
      <c r="I345" t="s">
        <v>71</v>
      </c>
      <c r="J345" t="s">
        <v>62</v>
      </c>
      <c r="K345" t="s">
        <v>62</v>
      </c>
      <c r="L345" t="s">
        <v>58</v>
      </c>
      <c r="M345" t="s">
        <v>58</v>
      </c>
      <c r="N345">
        <v>3</v>
      </c>
      <c r="O345">
        <v>3</v>
      </c>
      <c r="P345">
        <v>4</v>
      </c>
      <c r="Q345">
        <v>4</v>
      </c>
      <c r="R345">
        <v>2</v>
      </c>
      <c r="S345">
        <v>3</v>
      </c>
      <c r="T345">
        <v>3</v>
      </c>
      <c r="U345">
        <v>5</v>
      </c>
      <c r="V345">
        <v>5</v>
      </c>
      <c r="W345">
        <v>5</v>
      </c>
      <c r="X345">
        <v>3</v>
      </c>
      <c r="Y345">
        <v>5</v>
      </c>
      <c r="Z345">
        <v>3</v>
      </c>
      <c r="AA345">
        <v>3</v>
      </c>
      <c r="AB345">
        <v>3</v>
      </c>
      <c r="AC345">
        <v>5</v>
      </c>
      <c r="AD345">
        <v>2</v>
      </c>
      <c r="AE345">
        <v>3</v>
      </c>
      <c r="AF345">
        <v>3</v>
      </c>
      <c r="AG345">
        <v>2</v>
      </c>
      <c r="AH345">
        <v>4</v>
      </c>
      <c r="AI345">
        <v>2</v>
      </c>
      <c r="AJ345">
        <v>3</v>
      </c>
      <c r="AK345" t="b">
        <f>Table7[[#This Row],[What is your age?]]&lt;&gt;"18 - 25"</f>
        <v>0</v>
      </c>
      <c r="AL345" t="b">
        <f t="shared" si="15"/>
        <v>0</v>
      </c>
      <c r="AM345" t="b">
        <f t="shared" si="16"/>
        <v>0</v>
      </c>
      <c r="AN345" t="b">
        <f t="shared" si="17"/>
        <v>0</v>
      </c>
      <c r="AO345" t="b">
        <f>OR(Table7[[#This Row],[Ineligible respondents]:[Inconsistent response on opposite question (3)]])</f>
        <v>0</v>
      </c>
      <c r="AP34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5</v>
      </c>
      <c r="AQ345">
        <f>Table7[[#This Row],[Extreme Response]]/21</f>
        <v>0.23809523809523808</v>
      </c>
      <c r="AR345">
        <f>Table67[[#This Row],[Threshold of ERS]]</f>
        <v>0.61904761904761907</v>
      </c>
      <c r="AS345" t="b">
        <f>Table7[[#This Row],[Extrem Response Ratio (ERS)]]&gt;=Table7[[#This Row],[Threshold of ERS]]</f>
        <v>0</v>
      </c>
      <c r="AT345" t="b" cm="1">
        <f t="array" ref="AT34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45">
        <f>COUNTIF(Table7[[#This Row],[The mechanism of digital assets is difficult to understand, which discourages me from exploring it (E.g, Tokenization, Blockchain)]:[If I want to try different ways to invest, I will explore digital assets.]], 3)</f>
        <v>10</v>
      </c>
      <c r="AV345">
        <f>Table7[[#This Row],[Midpoint]]/21</f>
        <v>0.47619047619047616</v>
      </c>
      <c r="AW345">
        <f>Table67[[#This Row],[Threshold of Midpoint ratio]]</f>
        <v>0.5714285714285714</v>
      </c>
      <c r="AX345" t="b">
        <f>Table7[[#This Row],[Midpoint ratio]]&gt;=Table7[[#This Row],[Threshold of Midpoint ratio]]</f>
        <v>0</v>
      </c>
      <c r="AY345" t="b">
        <f>OR(Table7[[#This Row],[Extreme Response Style]:[Straight-lining with 1 deviation]],Table7[[#This Row],[Mid-point Response Style]])</f>
        <v>0</v>
      </c>
      <c r="AZ345" t="b">
        <f>OR(Table7[[#This Row],[Delete? (Stage 1)]],Table7[[#This Row],[Delete? (Stage 2)]])</f>
        <v>0</v>
      </c>
      <c r="BA345" t="s">
        <v>84</v>
      </c>
    </row>
    <row r="346" spans="1:53">
      <c r="A346">
        <v>1511</v>
      </c>
      <c r="B346" s="3">
        <v>46065.861574074072</v>
      </c>
      <c r="C346" s="3">
        <v>46065.8671412037</v>
      </c>
      <c r="D346" t="s">
        <v>53</v>
      </c>
      <c r="G346" t="s">
        <v>54</v>
      </c>
      <c r="H346" t="s">
        <v>63</v>
      </c>
      <c r="I346" t="s">
        <v>75</v>
      </c>
      <c r="J346" t="s">
        <v>62</v>
      </c>
      <c r="K346" t="s">
        <v>57</v>
      </c>
      <c r="L346" t="s">
        <v>58</v>
      </c>
      <c r="M346" t="s">
        <v>58</v>
      </c>
      <c r="N346">
        <v>3</v>
      </c>
      <c r="O346">
        <v>2</v>
      </c>
      <c r="P346">
        <v>4</v>
      </c>
      <c r="Q346">
        <v>3</v>
      </c>
      <c r="R346">
        <v>3</v>
      </c>
      <c r="S346">
        <v>2</v>
      </c>
      <c r="T346">
        <v>2</v>
      </c>
      <c r="U346">
        <v>4</v>
      </c>
      <c r="V346">
        <v>3</v>
      </c>
      <c r="W346">
        <v>3</v>
      </c>
      <c r="X346">
        <v>3</v>
      </c>
      <c r="Y346">
        <v>3</v>
      </c>
      <c r="Z346">
        <v>2</v>
      </c>
      <c r="AA346">
        <v>2</v>
      </c>
      <c r="AB346">
        <v>2</v>
      </c>
      <c r="AC346">
        <v>4</v>
      </c>
      <c r="AD346">
        <v>3</v>
      </c>
      <c r="AE346">
        <v>2</v>
      </c>
      <c r="AF346">
        <v>5</v>
      </c>
      <c r="AG346">
        <v>1</v>
      </c>
      <c r="AH346">
        <v>4</v>
      </c>
      <c r="AI346">
        <v>2</v>
      </c>
      <c r="AJ346">
        <v>1</v>
      </c>
      <c r="AK346" t="b">
        <f>Table7[[#This Row],[What is your age?]]&lt;&gt;"18 - 25"</f>
        <v>0</v>
      </c>
      <c r="AL346" t="b">
        <f t="shared" si="15"/>
        <v>0</v>
      </c>
      <c r="AM346" t="b">
        <f t="shared" si="16"/>
        <v>0</v>
      </c>
      <c r="AN346" t="b">
        <f t="shared" si="17"/>
        <v>0</v>
      </c>
      <c r="AO346" t="b">
        <f>OR(Table7[[#This Row],[Ineligible respondents]:[Inconsistent response on opposite question (3)]])</f>
        <v>0</v>
      </c>
      <c r="AP34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346">
        <f>Table7[[#This Row],[Extreme Response]]/21</f>
        <v>9.5238095238095233E-2</v>
      </c>
      <c r="AR346">
        <f>Table67[[#This Row],[Threshold of ERS]]</f>
        <v>0.61904761904761907</v>
      </c>
      <c r="AS346" t="b">
        <f>Table7[[#This Row],[Extrem Response Ratio (ERS)]]&gt;=Table7[[#This Row],[Threshold of ERS]]</f>
        <v>0</v>
      </c>
      <c r="AT346" t="b" cm="1">
        <f t="array" ref="AT34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46">
        <f>COUNTIF(Table7[[#This Row],[The mechanism of digital assets is difficult to understand, which discourages me from exploring it (E.g, Tokenization, Blockchain)]:[If I want to try different ways to invest, I will explore digital assets.]], 3)</f>
        <v>8</v>
      </c>
      <c r="AV346">
        <f>Table7[[#This Row],[Midpoint]]/21</f>
        <v>0.38095238095238093</v>
      </c>
      <c r="AW346">
        <f>Table67[[#This Row],[Threshold of Midpoint ratio]]</f>
        <v>0.5714285714285714</v>
      </c>
      <c r="AX346" t="b">
        <f>Table7[[#This Row],[Midpoint ratio]]&gt;=Table7[[#This Row],[Threshold of Midpoint ratio]]</f>
        <v>0</v>
      </c>
      <c r="AY346" t="b">
        <f>OR(Table7[[#This Row],[Extreme Response Style]:[Straight-lining with 1 deviation]],Table7[[#This Row],[Mid-point Response Style]])</f>
        <v>0</v>
      </c>
      <c r="AZ346" t="b">
        <f>OR(Table7[[#This Row],[Delete? (Stage 1)]],Table7[[#This Row],[Delete? (Stage 2)]])</f>
        <v>0</v>
      </c>
      <c r="BA346" t="s">
        <v>84</v>
      </c>
    </row>
    <row r="347" spans="1:53">
      <c r="A347">
        <v>1513</v>
      </c>
      <c r="B347" s="3">
        <v>46065.689710648148</v>
      </c>
      <c r="C347" s="3">
        <v>46065.690416666665</v>
      </c>
      <c r="D347" t="s">
        <v>53</v>
      </c>
      <c r="G347" t="s">
        <v>54</v>
      </c>
      <c r="H347" t="s">
        <v>55</v>
      </c>
      <c r="I347" t="s">
        <v>69</v>
      </c>
      <c r="J347" t="s">
        <v>62</v>
      </c>
      <c r="K347" t="s">
        <v>62</v>
      </c>
      <c r="L347" t="s">
        <v>58</v>
      </c>
      <c r="M347" t="s">
        <v>58</v>
      </c>
      <c r="N347">
        <v>2</v>
      </c>
      <c r="O347">
        <v>3</v>
      </c>
      <c r="P347">
        <v>2</v>
      </c>
      <c r="Q347">
        <v>2</v>
      </c>
      <c r="R347">
        <v>2</v>
      </c>
      <c r="S347">
        <v>3</v>
      </c>
      <c r="T347">
        <v>3</v>
      </c>
      <c r="U347">
        <v>2</v>
      </c>
      <c r="V347">
        <v>2</v>
      </c>
      <c r="W347">
        <v>3</v>
      </c>
      <c r="X347">
        <v>3</v>
      </c>
      <c r="Y347">
        <v>2</v>
      </c>
      <c r="Z347">
        <v>3</v>
      </c>
      <c r="AA347">
        <v>3</v>
      </c>
      <c r="AB347">
        <v>3</v>
      </c>
      <c r="AC347">
        <v>2</v>
      </c>
      <c r="AD347">
        <v>3</v>
      </c>
      <c r="AE347">
        <v>3</v>
      </c>
      <c r="AF347">
        <v>4</v>
      </c>
      <c r="AG347">
        <v>2</v>
      </c>
      <c r="AH347">
        <v>4</v>
      </c>
      <c r="AI347">
        <v>2</v>
      </c>
      <c r="AJ347">
        <v>2</v>
      </c>
      <c r="AK347" t="b">
        <f>Table7[[#This Row],[What is your age?]]&lt;&gt;"18 - 25"</f>
        <v>0</v>
      </c>
      <c r="AL347" t="b">
        <f t="shared" si="15"/>
        <v>0</v>
      </c>
      <c r="AM347" t="b">
        <f t="shared" si="16"/>
        <v>0</v>
      </c>
      <c r="AN347" t="b">
        <f t="shared" si="17"/>
        <v>0</v>
      </c>
      <c r="AO347" t="b">
        <f>OR(Table7[[#This Row],[Ineligible respondents]:[Inconsistent response on opposite question (3)]])</f>
        <v>0</v>
      </c>
      <c r="AP34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347">
        <f>Table7[[#This Row],[Extreme Response]]/21</f>
        <v>0</v>
      </c>
      <c r="AR347">
        <f>Table67[[#This Row],[Threshold of ERS]]</f>
        <v>0.61904761904761907</v>
      </c>
      <c r="AS347" t="b">
        <f>Table7[[#This Row],[Extrem Response Ratio (ERS)]]&gt;=Table7[[#This Row],[Threshold of ERS]]</f>
        <v>0</v>
      </c>
      <c r="AT347" t="b" cm="1">
        <f t="array" ref="AT34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47">
        <f>COUNTIF(Table7[[#This Row],[The mechanism of digital assets is difficult to understand, which discourages me from exploring it (E.g, Tokenization, Blockchain)]:[If I want to try different ways to invest, I will explore digital assets.]], 3)</f>
        <v>10</v>
      </c>
      <c r="AV347">
        <f>Table7[[#This Row],[Midpoint]]/21</f>
        <v>0.47619047619047616</v>
      </c>
      <c r="AW347">
        <f>Table67[[#This Row],[Threshold of Midpoint ratio]]</f>
        <v>0.5714285714285714</v>
      </c>
      <c r="AX347" t="b">
        <f>Table7[[#This Row],[Midpoint ratio]]&gt;=Table7[[#This Row],[Threshold of Midpoint ratio]]</f>
        <v>0</v>
      </c>
      <c r="AY347" t="b">
        <f>OR(Table7[[#This Row],[Extreme Response Style]:[Straight-lining with 1 deviation]],Table7[[#This Row],[Mid-point Response Style]])</f>
        <v>0</v>
      </c>
      <c r="AZ347" t="b">
        <f>OR(Table7[[#This Row],[Delete? (Stage 1)]],Table7[[#This Row],[Delete? (Stage 2)]])</f>
        <v>0</v>
      </c>
      <c r="BA347" t="s">
        <v>84</v>
      </c>
    </row>
    <row r="348" spans="1:53">
      <c r="A348">
        <v>1516</v>
      </c>
      <c r="B348" s="3">
        <v>46065.731307870374</v>
      </c>
      <c r="C348" s="3">
        <v>46065.732372685183</v>
      </c>
      <c r="D348" t="s">
        <v>53</v>
      </c>
      <c r="G348" t="s">
        <v>54</v>
      </c>
      <c r="H348" t="s">
        <v>63</v>
      </c>
      <c r="I348" t="s">
        <v>56</v>
      </c>
      <c r="J348" t="s">
        <v>57</v>
      </c>
      <c r="K348" t="s">
        <v>57</v>
      </c>
      <c r="L348" t="s">
        <v>58</v>
      </c>
      <c r="M348" t="s">
        <v>58</v>
      </c>
      <c r="N348">
        <v>2</v>
      </c>
      <c r="O348">
        <v>3</v>
      </c>
      <c r="P348">
        <v>4</v>
      </c>
      <c r="Q348">
        <v>4</v>
      </c>
      <c r="R348">
        <v>3</v>
      </c>
      <c r="S348">
        <v>4</v>
      </c>
      <c r="T348">
        <v>4</v>
      </c>
      <c r="U348">
        <v>4</v>
      </c>
      <c r="V348">
        <v>4</v>
      </c>
      <c r="W348">
        <v>4</v>
      </c>
      <c r="X348">
        <v>4</v>
      </c>
      <c r="Y348">
        <v>3</v>
      </c>
      <c r="Z348">
        <v>4</v>
      </c>
      <c r="AA348">
        <v>4</v>
      </c>
      <c r="AB348">
        <v>3</v>
      </c>
      <c r="AC348">
        <v>3</v>
      </c>
      <c r="AD348">
        <v>3</v>
      </c>
      <c r="AE348">
        <v>4</v>
      </c>
      <c r="AF348">
        <v>2</v>
      </c>
      <c r="AG348">
        <v>3</v>
      </c>
      <c r="AH348">
        <v>3</v>
      </c>
      <c r="AI348">
        <v>3</v>
      </c>
      <c r="AJ348">
        <v>4</v>
      </c>
      <c r="AK348" t="b">
        <f>Table7[[#This Row],[What is your age?]]&lt;&gt;"18 - 25"</f>
        <v>0</v>
      </c>
      <c r="AL348" t="b">
        <f t="shared" si="15"/>
        <v>0</v>
      </c>
      <c r="AM348" t="b">
        <f t="shared" si="16"/>
        <v>0</v>
      </c>
      <c r="AN348" t="b">
        <f t="shared" si="17"/>
        <v>0</v>
      </c>
      <c r="AO348" t="b">
        <f>OR(Table7[[#This Row],[Ineligible respondents]:[Inconsistent response on opposite question (3)]])</f>
        <v>0</v>
      </c>
      <c r="AP34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348">
        <f>Table7[[#This Row],[Extreme Response]]/21</f>
        <v>0</v>
      </c>
      <c r="AR348">
        <f>Table67[[#This Row],[Threshold of ERS]]</f>
        <v>0.61904761904761907</v>
      </c>
      <c r="AS348" t="b">
        <f>Table7[[#This Row],[Extrem Response Ratio (ERS)]]&gt;=Table7[[#This Row],[Threshold of ERS]]</f>
        <v>0</v>
      </c>
      <c r="AT348" t="b" cm="1">
        <f t="array" ref="AT34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48">
        <f>COUNTIF(Table7[[#This Row],[The mechanism of digital assets is difficult to understand, which discourages me from exploring it (E.g, Tokenization, Blockchain)]:[If I want to try different ways to invest, I will explore digital assets.]], 3)</f>
        <v>8</v>
      </c>
      <c r="AV348">
        <f>Table7[[#This Row],[Midpoint]]/21</f>
        <v>0.38095238095238093</v>
      </c>
      <c r="AW348">
        <f>Table67[[#This Row],[Threshold of Midpoint ratio]]</f>
        <v>0.5714285714285714</v>
      </c>
      <c r="AX348" t="b">
        <f>Table7[[#This Row],[Midpoint ratio]]&gt;=Table7[[#This Row],[Threshold of Midpoint ratio]]</f>
        <v>0</v>
      </c>
      <c r="AY348" t="b">
        <f>OR(Table7[[#This Row],[Extreme Response Style]:[Straight-lining with 1 deviation]],Table7[[#This Row],[Mid-point Response Style]])</f>
        <v>0</v>
      </c>
      <c r="AZ348" t="b">
        <f>OR(Table7[[#This Row],[Delete? (Stage 1)]],Table7[[#This Row],[Delete? (Stage 2)]])</f>
        <v>0</v>
      </c>
      <c r="BA348" t="s">
        <v>84</v>
      </c>
    </row>
    <row r="349" spans="1:53">
      <c r="A349">
        <v>1517</v>
      </c>
      <c r="B349" s="3">
        <v>46065.861620370371</v>
      </c>
      <c r="C349" s="3">
        <v>46065.865891203706</v>
      </c>
      <c r="D349" t="s">
        <v>53</v>
      </c>
      <c r="G349" t="s">
        <v>54</v>
      </c>
      <c r="H349" t="s">
        <v>63</v>
      </c>
      <c r="I349" t="s">
        <v>75</v>
      </c>
      <c r="J349" t="s">
        <v>72</v>
      </c>
      <c r="K349" t="s">
        <v>60</v>
      </c>
      <c r="L349" t="s">
        <v>58</v>
      </c>
      <c r="M349" t="s">
        <v>58</v>
      </c>
      <c r="N349">
        <v>2</v>
      </c>
      <c r="O349">
        <v>3</v>
      </c>
      <c r="P349">
        <v>4</v>
      </c>
      <c r="Q349">
        <v>3</v>
      </c>
      <c r="R349">
        <v>2</v>
      </c>
      <c r="S349">
        <v>2</v>
      </c>
      <c r="T349">
        <v>2</v>
      </c>
      <c r="U349">
        <v>3</v>
      </c>
      <c r="V349">
        <v>5</v>
      </c>
      <c r="W349">
        <v>5</v>
      </c>
      <c r="X349">
        <v>3</v>
      </c>
      <c r="Y349">
        <v>5</v>
      </c>
      <c r="Z349">
        <v>4</v>
      </c>
      <c r="AA349">
        <v>2</v>
      </c>
      <c r="AB349">
        <v>2</v>
      </c>
      <c r="AC349">
        <v>3</v>
      </c>
      <c r="AD349">
        <v>3</v>
      </c>
      <c r="AE349">
        <v>4</v>
      </c>
      <c r="AF349">
        <v>4</v>
      </c>
      <c r="AG349">
        <v>2</v>
      </c>
      <c r="AH349">
        <v>5</v>
      </c>
      <c r="AI349">
        <v>1</v>
      </c>
      <c r="AJ349">
        <v>2</v>
      </c>
      <c r="AK349" t="b">
        <f>Table7[[#This Row],[What is your age?]]&lt;&gt;"18 - 25"</f>
        <v>0</v>
      </c>
      <c r="AL349" t="b">
        <f t="shared" si="15"/>
        <v>0</v>
      </c>
      <c r="AM349" t="b">
        <f t="shared" si="16"/>
        <v>0</v>
      </c>
      <c r="AN349" t="b">
        <f t="shared" si="17"/>
        <v>0</v>
      </c>
      <c r="AO349" t="b">
        <f>OR(Table7[[#This Row],[Ineligible respondents]:[Inconsistent response on opposite question (3)]])</f>
        <v>0</v>
      </c>
      <c r="AP34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349">
        <f>Table7[[#This Row],[Extreme Response]]/21</f>
        <v>0.19047619047619047</v>
      </c>
      <c r="AR349">
        <f>Table67[[#This Row],[Threshold of ERS]]</f>
        <v>0.61904761904761907</v>
      </c>
      <c r="AS349" t="b">
        <f>Table7[[#This Row],[Extrem Response Ratio (ERS)]]&gt;=Table7[[#This Row],[Threshold of ERS]]</f>
        <v>0</v>
      </c>
      <c r="AT349" t="b" cm="1">
        <f t="array" ref="AT34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49">
        <f>COUNTIF(Table7[[#This Row],[The mechanism of digital assets is difficult to understand, which discourages me from exploring it (E.g, Tokenization, Blockchain)]:[If I want to try different ways to invest, I will explore digital assets.]], 3)</f>
        <v>6</v>
      </c>
      <c r="AV349">
        <f>Table7[[#This Row],[Midpoint]]/21</f>
        <v>0.2857142857142857</v>
      </c>
      <c r="AW349">
        <f>Table67[[#This Row],[Threshold of Midpoint ratio]]</f>
        <v>0.5714285714285714</v>
      </c>
      <c r="AX349" t="b">
        <f>Table7[[#This Row],[Midpoint ratio]]&gt;=Table7[[#This Row],[Threshold of Midpoint ratio]]</f>
        <v>0</v>
      </c>
      <c r="AY349" t="b">
        <f>OR(Table7[[#This Row],[Extreme Response Style]:[Straight-lining with 1 deviation]],Table7[[#This Row],[Mid-point Response Style]])</f>
        <v>0</v>
      </c>
      <c r="AZ349" t="b">
        <f>OR(Table7[[#This Row],[Delete? (Stage 1)]],Table7[[#This Row],[Delete? (Stage 2)]])</f>
        <v>0</v>
      </c>
      <c r="BA349" t="s">
        <v>84</v>
      </c>
    </row>
    <row r="350" spans="1:53">
      <c r="A350">
        <v>1519</v>
      </c>
      <c r="B350" s="3">
        <v>46065.842164351852</v>
      </c>
      <c r="C350" s="3">
        <v>46065.847060185188</v>
      </c>
      <c r="D350" t="s">
        <v>53</v>
      </c>
      <c r="G350" t="s">
        <v>54</v>
      </c>
      <c r="H350" t="s">
        <v>63</v>
      </c>
      <c r="I350" t="s">
        <v>56</v>
      </c>
      <c r="J350" t="s">
        <v>60</v>
      </c>
      <c r="K350" t="s">
        <v>62</v>
      </c>
      <c r="L350" t="s">
        <v>58</v>
      </c>
      <c r="M350" t="s">
        <v>58</v>
      </c>
      <c r="N350">
        <v>4</v>
      </c>
      <c r="O350">
        <v>4</v>
      </c>
      <c r="P350">
        <v>5</v>
      </c>
      <c r="Q350">
        <v>4</v>
      </c>
      <c r="R350">
        <v>4</v>
      </c>
      <c r="S350">
        <v>4</v>
      </c>
      <c r="T350">
        <v>4</v>
      </c>
      <c r="U350">
        <v>4</v>
      </c>
      <c r="V350">
        <v>5</v>
      </c>
      <c r="W350">
        <v>4</v>
      </c>
      <c r="X350">
        <v>4</v>
      </c>
      <c r="Y350">
        <v>4</v>
      </c>
      <c r="Z350">
        <v>4</v>
      </c>
      <c r="AA350">
        <v>4</v>
      </c>
      <c r="AB350">
        <v>4</v>
      </c>
      <c r="AC350">
        <v>5</v>
      </c>
      <c r="AD350">
        <v>4</v>
      </c>
      <c r="AE350">
        <v>5</v>
      </c>
      <c r="AF350">
        <v>3</v>
      </c>
      <c r="AG350">
        <v>2</v>
      </c>
      <c r="AH350">
        <v>5</v>
      </c>
      <c r="AI350">
        <v>1</v>
      </c>
      <c r="AJ350">
        <v>3</v>
      </c>
      <c r="AK350" t="b">
        <f>Table7[[#This Row],[What is your age?]]&lt;&gt;"18 - 25"</f>
        <v>0</v>
      </c>
      <c r="AL350" t="b">
        <f t="shared" si="15"/>
        <v>0</v>
      </c>
      <c r="AM350" t="b">
        <f t="shared" si="16"/>
        <v>0</v>
      </c>
      <c r="AN350" t="b">
        <f t="shared" si="17"/>
        <v>0</v>
      </c>
      <c r="AO350" t="b">
        <f>OR(Table7[[#This Row],[Ineligible respondents]:[Inconsistent response on opposite question (3)]])</f>
        <v>0</v>
      </c>
      <c r="AP35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5</v>
      </c>
      <c r="AQ350">
        <f>Table7[[#This Row],[Extreme Response]]/21</f>
        <v>0.23809523809523808</v>
      </c>
      <c r="AR350">
        <f>Table67[[#This Row],[Threshold of ERS]]</f>
        <v>0.61904761904761907</v>
      </c>
      <c r="AS350" t="b">
        <f>Table7[[#This Row],[Extrem Response Ratio (ERS)]]&gt;=Table7[[#This Row],[Threshold of ERS]]</f>
        <v>0</v>
      </c>
      <c r="AT350" t="b" cm="1">
        <f t="array" ref="AT35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50">
        <f>COUNTIF(Table7[[#This Row],[The mechanism of digital assets is difficult to understand, which discourages me from exploring it (E.g, Tokenization, Blockchain)]:[If I want to try different ways to invest, I will explore digital assets.]], 3)</f>
        <v>1</v>
      </c>
      <c r="AV350">
        <f>Table7[[#This Row],[Midpoint]]/21</f>
        <v>4.7619047619047616E-2</v>
      </c>
      <c r="AW350">
        <f>Table67[[#This Row],[Threshold of Midpoint ratio]]</f>
        <v>0.5714285714285714</v>
      </c>
      <c r="AX350" t="b">
        <f>Table7[[#This Row],[Midpoint ratio]]&gt;=Table7[[#This Row],[Threshold of Midpoint ratio]]</f>
        <v>0</v>
      </c>
      <c r="AY350" t="b">
        <f>OR(Table7[[#This Row],[Extreme Response Style]:[Straight-lining with 1 deviation]],Table7[[#This Row],[Mid-point Response Style]])</f>
        <v>0</v>
      </c>
      <c r="AZ350" t="b">
        <f>OR(Table7[[#This Row],[Delete? (Stage 1)]],Table7[[#This Row],[Delete? (Stage 2)]])</f>
        <v>0</v>
      </c>
      <c r="BA350" t="s">
        <v>84</v>
      </c>
    </row>
    <row r="351" spans="1:53">
      <c r="A351">
        <v>1520</v>
      </c>
      <c r="B351" s="3">
        <v>46065.890729166669</v>
      </c>
      <c r="C351" s="3">
        <v>46065.894999999997</v>
      </c>
      <c r="D351" t="s">
        <v>53</v>
      </c>
      <c r="G351" t="s">
        <v>54</v>
      </c>
      <c r="H351" t="s">
        <v>55</v>
      </c>
      <c r="I351" t="s">
        <v>71</v>
      </c>
      <c r="J351" t="s">
        <v>62</v>
      </c>
      <c r="K351" t="s">
        <v>62</v>
      </c>
      <c r="L351" t="s">
        <v>58</v>
      </c>
      <c r="M351" t="s">
        <v>58</v>
      </c>
      <c r="N351">
        <v>1</v>
      </c>
      <c r="O351">
        <v>1</v>
      </c>
      <c r="P351">
        <v>3</v>
      </c>
      <c r="Q351">
        <v>3</v>
      </c>
      <c r="R351">
        <v>1</v>
      </c>
      <c r="S351">
        <v>2</v>
      </c>
      <c r="T351">
        <v>2</v>
      </c>
      <c r="U351">
        <v>3</v>
      </c>
      <c r="V351">
        <v>3</v>
      </c>
      <c r="W351">
        <v>4</v>
      </c>
      <c r="X351">
        <v>2</v>
      </c>
      <c r="Y351">
        <v>4</v>
      </c>
      <c r="Z351">
        <v>3</v>
      </c>
      <c r="AA351">
        <v>2</v>
      </c>
      <c r="AB351">
        <v>1</v>
      </c>
      <c r="AC351">
        <v>3</v>
      </c>
      <c r="AD351">
        <v>3</v>
      </c>
      <c r="AE351">
        <v>2</v>
      </c>
      <c r="AF351">
        <v>4</v>
      </c>
      <c r="AG351">
        <v>2</v>
      </c>
      <c r="AH351">
        <v>4</v>
      </c>
      <c r="AI351">
        <v>2</v>
      </c>
      <c r="AJ351">
        <v>2</v>
      </c>
      <c r="AK351" t="b">
        <f>Table7[[#This Row],[What is your age?]]&lt;&gt;"18 - 25"</f>
        <v>0</v>
      </c>
      <c r="AL351" t="b">
        <f t="shared" si="15"/>
        <v>0</v>
      </c>
      <c r="AM351" t="b">
        <f t="shared" si="16"/>
        <v>0</v>
      </c>
      <c r="AN351" t="b">
        <f t="shared" si="17"/>
        <v>0</v>
      </c>
      <c r="AO351" t="b">
        <f>OR(Table7[[#This Row],[Ineligible respondents]:[Inconsistent response on opposite question (3)]])</f>
        <v>0</v>
      </c>
      <c r="AP35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351">
        <f>Table7[[#This Row],[Extreme Response]]/21</f>
        <v>0.19047619047619047</v>
      </c>
      <c r="AR351">
        <f>Table67[[#This Row],[Threshold of ERS]]</f>
        <v>0.61904761904761907</v>
      </c>
      <c r="AS351" t="b">
        <f>Table7[[#This Row],[Extrem Response Ratio (ERS)]]&gt;=Table7[[#This Row],[Threshold of ERS]]</f>
        <v>0</v>
      </c>
      <c r="AT351" t="b" cm="1">
        <f t="array" ref="AT35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51">
        <f>COUNTIF(Table7[[#This Row],[The mechanism of digital assets is difficult to understand, which discourages me from exploring it (E.g, Tokenization, Blockchain)]:[If I want to try different ways to invest, I will explore digital assets.]], 3)</f>
        <v>7</v>
      </c>
      <c r="AV351">
        <f>Table7[[#This Row],[Midpoint]]/21</f>
        <v>0.33333333333333331</v>
      </c>
      <c r="AW351">
        <f>Table67[[#This Row],[Threshold of Midpoint ratio]]</f>
        <v>0.5714285714285714</v>
      </c>
      <c r="AX351" t="b">
        <f>Table7[[#This Row],[Midpoint ratio]]&gt;=Table7[[#This Row],[Threshold of Midpoint ratio]]</f>
        <v>0</v>
      </c>
      <c r="AY351" t="b">
        <f>OR(Table7[[#This Row],[Extreme Response Style]:[Straight-lining with 1 deviation]],Table7[[#This Row],[Mid-point Response Style]])</f>
        <v>0</v>
      </c>
      <c r="AZ351" t="b">
        <f>OR(Table7[[#This Row],[Delete? (Stage 1)]],Table7[[#This Row],[Delete? (Stage 2)]])</f>
        <v>0</v>
      </c>
      <c r="BA351" t="s">
        <v>84</v>
      </c>
    </row>
    <row r="352" spans="1:53">
      <c r="A352">
        <v>1522</v>
      </c>
      <c r="B352" s="3">
        <v>46065.718831018516</v>
      </c>
      <c r="C352" s="3">
        <v>46065.719201388885</v>
      </c>
      <c r="D352" t="s">
        <v>53</v>
      </c>
      <c r="G352" t="s">
        <v>54</v>
      </c>
      <c r="H352" t="s">
        <v>55</v>
      </c>
      <c r="I352" t="s">
        <v>75</v>
      </c>
      <c r="J352" t="s">
        <v>66</v>
      </c>
      <c r="K352" t="s">
        <v>67</v>
      </c>
      <c r="L352" t="s">
        <v>61</v>
      </c>
      <c r="M352" t="s">
        <v>58</v>
      </c>
      <c r="N352">
        <v>2</v>
      </c>
      <c r="O352">
        <v>2</v>
      </c>
      <c r="P352">
        <v>2</v>
      </c>
      <c r="Q352">
        <v>1</v>
      </c>
      <c r="R352">
        <v>2</v>
      </c>
      <c r="S352">
        <v>1</v>
      </c>
      <c r="T352">
        <v>2</v>
      </c>
      <c r="U352">
        <v>1</v>
      </c>
      <c r="V352">
        <v>3</v>
      </c>
      <c r="W352">
        <v>4</v>
      </c>
      <c r="X352">
        <v>2</v>
      </c>
      <c r="Y352">
        <v>3</v>
      </c>
      <c r="Z352">
        <v>2</v>
      </c>
      <c r="AA352">
        <v>2</v>
      </c>
      <c r="AB352">
        <v>2</v>
      </c>
      <c r="AC352">
        <v>1</v>
      </c>
      <c r="AD352">
        <v>2</v>
      </c>
      <c r="AE352">
        <v>2</v>
      </c>
      <c r="AF352">
        <v>5</v>
      </c>
      <c r="AG352">
        <v>1</v>
      </c>
      <c r="AH352">
        <v>4</v>
      </c>
      <c r="AI352">
        <v>2</v>
      </c>
      <c r="AJ352">
        <v>1</v>
      </c>
      <c r="AK352" t="b">
        <f>Table7[[#This Row],[What is your age?]]&lt;&gt;"18 - 25"</f>
        <v>0</v>
      </c>
      <c r="AL352" t="b">
        <f t="shared" si="15"/>
        <v>0</v>
      </c>
      <c r="AM352" t="b">
        <f t="shared" si="16"/>
        <v>0</v>
      </c>
      <c r="AN352" t="b">
        <f t="shared" si="17"/>
        <v>0</v>
      </c>
      <c r="AO352" t="b">
        <f>OR(Table7[[#This Row],[Ineligible respondents]:[Inconsistent response on opposite question (3)]])</f>
        <v>0</v>
      </c>
      <c r="AP35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6</v>
      </c>
      <c r="AQ352">
        <f>Table7[[#This Row],[Extreme Response]]/21</f>
        <v>0.2857142857142857</v>
      </c>
      <c r="AR352">
        <f>Table67[[#This Row],[Threshold of ERS]]</f>
        <v>0.61904761904761907</v>
      </c>
      <c r="AS352" t="b">
        <f>Table7[[#This Row],[Extrem Response Ratio (ERS)]]&gt;=Table7[[#This Row],[Threshold of ERS]]</f>
        <v>0</v>
      </c>
      <c r="AT352" t="b" cm="1">
        <f t="array" ref="AT35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52">
        <f>COUNTIF(Table7[[#This Row],[The mechanism of digital assets is difficult to understand, which discourages me from exploring it (E.g, Tokenization, Blockchain)]:[If I want to try different ways to invest, I will explore digital assets.]], 3)</f>
        <v>2</v>
      </c>
      <c r="AV352">
        <f>Table7[[#This Row],[Midpoint]]/21</f>
        <v>9.5238095238095233E-2</v>
      </c>
      <c r="AW352">
        <f>Table67[[#This Row],[Threshold of Midpoint ratio]]</f>
        <v>0.5714285714285714</v>
      </c>
      <c r="AX352" t="b">
        <f>Table7[[#This Row],[Midpoint ratio]]&gt;=Table7[[#This Row],[Threshold of Midpoint ratio]]</f>
        <v>0</v>
      </c>
      <c r="AY352" t="b">
        <f>OR(Table7[[#This Row],[Extreme Response Style]:[Straight-lining with 1 deviation]],Table7[[#This Row],[Mid-point Response Style]])</f>
        <v>0</v>
      </c>
      <c r="AZ352" t="b">
        <f>OR(Table7[[#This Row],[Delete? (Stage 1)]],Table7[[#This Row],[Delete? (Stage 2)]])</f>
        <v>0</v>
      </c>
      <c r="BA352" t="s">
        <v>84</v>
      </c>
    </row>
    <row r="353" spans="1:53">
      <c r="A353">
        <v>1524</v>
      </c>
      <c r="B353" s="3">
        <v>46065.832662037035</v>
      </c>
      <c r="C353" s="3">
        <v>46065.841643518521</v>
      </c>
      <c r="D353" t="s">
        <v>53</v>
      </c>
      <c r="G353" t="s">
        <v>54</v>
      </c>
      <c r="H353" t="s">
        <v>63</v>
      </c>
      <c r="I353" t="s">
        <v>56</v>
      </c>
      <c r="J353" t="s">
        <v>65</v>
      </c>
      <c r="K353" t="s">
        <v>62</v>
      </c>
      <c r="L353" t="s">
        <v>61</v>
      </c>
      <c r="M353" t="s">
        <v>58</v>
      </c>
      <c r="N353">
        <v>2</v>
      </c>
      <c r="O353">
        <v>1</v>
      </c>
      <c r="P353">
        <v>2</v>
      </c>
      <c r="Q353">
        <v>1</v>
      </c>
      <c r="R353">
        <v>1</v>
      </c>
      <c r="S353">
        <v>3</v>
      </c>
      <c r="T353">
        <v>3</v>
      </c>
      <c r="U353">
        <v>1</v>
      </c>
      <c r="V353">
        <v>3</v>
      </c>
      <c r="W353">
        <v>3</v>
      </c>
      <c r="X353">
        <v>3</v>
      </c>
      <c r="Y353">
        <v>4</v>
      </c>
      <c r="Z353">
        <v>3</v>
      </c>
      <c r="AA353">
        <v>2</v>
      </c>
      <c r="AB353">
        <v>3</v>
      </c>
      <c r="AC353">
        <v>1</v>
      </c>
      <c r="AD353">
        <v>2</v>
      </c>
      <c r="AE353">
        <v>2</v>
      </c>
      <c r="AF353">
        <v>2</v>
      </c>
      <c r="AG353">
        <v>3</v>
      </c>
      <c r="AH353">
        <v>3</v>
      </c>
      <c r="AI353">
        <v>3</v>
      </c>
      <c r="AJ353">
        <v>4</v>
      </c>
      <c r="AK353" t="b">
        <f>Table7[[#This Row],[What is your age?]]&lt;&gt;"18 - 25"</f>
        <v>0</v>
      </c>
      <c r="AL353" t="b">
        <f t="shared" si="15"/>
        <v>0</v>
      </c>
      <c r="AM353" t="b">
        <f t="shared" si="16"/>
        <v>0</v>
      </c>
      <c r="AN353" t="b">
        <f t="shared" si="17"/>
        <v>0</v>
      </c>
      <c r="AO353" t="b">
        <f>OR(Table7[[#This Row],[Ineligible respondents]:[Inconsistent response on opposite question (3)]])</f>
        <v>0</v>
      </c>
      <c r="AP35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5</v>
      </c>
      <c r="AQ353">
        <f>Table7[[#This Row],[Extreme Response]]/21</f>
        <v>0.23809523809523808</v>
      </c>
      <c r="AR353">
        <f>Table67[[#This Row],[Threshold of ERS]]</f>
        <v>0.61904761904761907</v>
      </c>
      <c r="AS353" t="b">
        <f>Table7[[#This Row],[Extrem Response Ratio (ERS)]]&gt;=Table7[[#This Row],[Threshold of ERS]]</f>
        <v>0</v>
      </c>
      <c r="AT353" t="b" cm="1">
        <f t="array" ref="AT35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53">
        <f>COUNTIF(Table7[[#This Row],[The mechanism of digital assets is difficult to understand, which discourages me from exploring it (E.g, Tokenization, Blockchain)]:[If I want to try different ways to invest, I will explore digital assets.]], 3)</f>
        <v>9</v>
      </c>
      <c r="AV353">
        <f>Table7[[#This Row],[Midpoint]]/21</f>
        <v>0.42857142857142855</v>
      </c>
      <c r="AW353">
        <f>Table67[[#This Row],[Threshold of Midpoint ratio]]</f>
        <v>0.5714285714285714</v>
      </c>
      <c r="AX353" t="b">
        <f>Table7[[#This Row],[Midpoint ratio]]&gt;=Table7[[#This Row],[Threshold of Midpoint ratio]]</f>
        <v>0</v>
      </c>
      <c r="AY353" t="b">
        <f>OR(Table7[[#This Row],[Extreme Response Style]:[Straight-lining with 1 deviation]],Table7[[#This Row],[Mid-point Response Style]])</f>
        <v>0</v>
      </c>
      <c r="AZ353" t="b">
        <f>OR(Table7[[#This Row],[Delete? (Stage 1)]],Table7[[#This Row],[Delete? (Stage 2)]])</f>
        <v>0</v>
      </c>
      <c r="BA353" t="s">
        <v>84</v>
      </c>
    </row>
    <row r="354" spans="1:53">
      <c r="A354">
        <v>1525</v>
      </c>
      <c r="B354" s="3">
        <v>46065.832916666666</v>
      </c>
      <c r="C354" s="3">
        <v>46065.841620370367</v>
      </c>
      <c r="D354" t="s">
        <v>53</v>
      </c>
      <c r="G354" t="s">
        <v>54</v>
      </c>
      <c r="H354" t="s">
        <v>63</v>
      </c>
      <c r="I354" t="s">
        <v>71</v>
      </c>
      <c r="J354" t="s">
        <v>62</v>
      </c>
      <c r="K354" t="s">
        <v>62</v>
      </c>
      <c r="L354" t="s">
        <v>58</v>
      </c>
      <c r="M354" t="s">
        <v>58</v>
      </c>
      <c r="N354">
        <v>2</v>
      </c>
      <c r="O354">
        <v>2</v>
      </c>
      <c r="P354">
        <v>3</v>
      </c>
      <c r="Q354">
        <v>3</v>
      </c>
      <c r="R354">
        <v>2</v>
      </c>
      <c r="S354">
        <v>2</v>
      </c>
      <c r="T354">
        <v>2</v>
      </c>
      <c r="U354">
        <v>3</v>
      </c>
      <c r="V354">
        <v>3</v>
      </c>
      <c r="W354">
        <v>3</v>
      </c>
      <c r="X354">
        <v>3</v>
      </c>
      <c r="Y354">
        <v>3</v>
      </c>
      <c r="Z354">
        <v>3</v>
      </c>
      <c r="AA354">
        <v>2</v>
      </c>
      <c r="AB354">
        <v>2</v>
      </c>
      <c r="AC354">
        <v>3</v>
      </c>
      <c r="AD354">
        <v>3</v>
      </c>
      <c r="AE354">
        <v>3</v>
      </c>
      <c r="AF354">
        <v>4</v>
      </c>
      <c r="AG354">
        <v>2</v>
      </c>
      <c r="AH354">
        <v>4</v>
      </c>
      <c r="AI354">
        <v>2</v>
      </c>
      <c r="AJ354">
        <v>2</v>
      </c>
      <c r="AK354" t="b">
        <f>Table7[[#This Row],[What is your age?]]&lt;&gt;"18 - 25"</f>
        <v>0</v>
      </c>
      <c r="AL354" t="b">
        <f t="shared" si="15"/>
        <v>0</v>
      </c>
      <c r="AM354" t="b">
        <f t="shared" si="16"/>
        <v>0</v>
      </c>
      <c r="AN354" t="b">
        <f t="shared" si="17"/>
        <v>0</v>
      </c>
      <c r="AO354" t="b">
        <f>OR(Table7[[#This Row],[Ineligible respondents]:[Inconsistent response on opposite question (3)]])</f>
        <v>0</v>
      </c>
      <c r="AP35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354">
        <f>Table7[[#This Row],[Extreme Response]]/21</f>
        <v>0</v>
      </c>
      <c r="AR354">
        <f>Table67[[#This Row],[Threshold of ERS]]</f>
        <v>0.61904761904761907</v>
      </c>
      <c r="AS354" t="b">
        <f>Table7[[#This Row],[Extrem Response Ratio (ERS)]]&gt;=Table7[[#This Row],[Threshold of ERS]]</f>
        <v>0</v>
      </c>
      <c r="AT354" t="b" cm="1">
        <f t="array" ref="AT35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54">
        <f>COUNTIF(Table7[[#This Row],[The mechanism of digital assets is difficult to understand, which discourages me from exploring it (E.g, Tokenization, Blockchain)]:[If I want to try different ways to invest, I will explore digital assets.]], 3)</f>
        <v>11</v>
      </c>
      <c r="AV354">
        <f>Table7[[#This Row],[Midpoint]]/21</f>
        <v>0.52380952380952384</v>
      </c>
      <c r="AW354">
        <f>Table67[[#This Row],[Threshold of Midpoint ratio]]</f>
        <v>0.5714285714285714</v>
      </c>
      <c r="AX354" t="b">
        <f>Table7[[#This Row],[Midpoint ratio]]&gt;=Table7[[#This Row],[Threshold of Midpoint ratio]]</f>
        <v>0</v>
      </c>
      <c r="AY354" t="b">
        <f>OR(Table7[[#This Row],[Extreme Response Style]:[Straight-lining with 1 deviation]],Table7[[#This Row],[Mid-point Response Style]])</f>
        <v>0</v>
      </c>
      <c r="AZ354" t="b">
        <f>OR(Table7[[#This Row],[Delete? (Stage 1)]],Table7[[#This Row],[Delete? (Stage 2)]])</f>
        <v>0</v>
      </c>
      <c r="BA354" t="s">
        <v>84</v>
      </c>
    </row>
    <row r="355" spans="1:53">
      <c r="A355">
        <v>1526</v>
      </c>
      <c r="B355" s="3">
        <v>46065.728113425925</v>
      </c>
      <c r="C355" s="3">
        <v>46065.728634259256</v>
      </c>
      <c r="D355" t="s">
        <v>53</v>
      </c>
      <c r="G355" t="s">
        <v>54</v>
      </c>
      <c r="H355" t="s">
        <v>63</v>
      </c>
      <c r="I355" t="s">
        <v>75</v>
      </c>
      <c r="J355" t="s">
        <v>60</v>
      </c>
      <c r="K355" t="s">
        <v>57</v>
      </c>
      <c r="L355" t="s">
        <v>58</v>
      </c>
      <c r="M355" t="s">
        <v>58</v>
      </c>
      <c r="N355">
        <v>3</v>
      </c>
      <c r="O355">
        <v>3</v>
      </c>
      <c r="P355">
        <v>2</v>
      </c>
      <c r="Q355">
        <v>2</v>
      </c>
      <c r="R355">
        <v>3</v>
      </c>
      <c r="S355">
        <v>2</v>
      </c>
      <c r="T355">
        <v>3</v>
      </c>
      <c r="U355">
        <v>2</v>
      </c>
      <c r="V355">
        <v>5</v>
      </c>
      <c r="W355">
        <v>4</v>
      </c>
      <c r="X355">
        <v>2</v>
      </c>
      <c r="Y355">
        <v>5</v>
      </c>
      <c r="Z355">
        <v>2</v>
      </c>
      <c r="AA355">
        <v>3</v>
      </c>
      <c r="AB355">
        <v>3</v>
      </c>
      <c r="AC355">
        <v>1</v>
      </c>
      <c r="AD355">
        <v>2</v>
      </c>
      <c r="AE355">
        <v>2</v>
      </c>
      <c r="AF355">
        <v>4</v>
      </c>
      <c r="AG355">
        <v>2</v>
      </c>
      <c r="AH355">
        <v>4</v>
      </c>
      <c r="AI355">
        <v>2</v>
      </c>
      <c r="AJ355">
        <v>2</v>
      </c>
      <c r="AK355" t="b">
        <f>Table7[[#This Row],[What is your age?]]&lt;&gt;"18 - 25"</f>
        <v>0</v>
      </c>
      <c r="AL355" t="b">
        <f t="shared" si="15"/>
        <v>0</v>
      </c>
      <c r="AM355" t="b">
        <f t="shared" si="16"/>
        <v>0</v>
      </c>
      <c r="AN355" t="b">
        <f t="shared" si="17"/>
        <v>0</v>
      </c>
      <c r="AO355" t="b">
        <f>OR(Table7[[#This Row],[Ineligible respondents]:[Inconsistent response on opposite question (3)]])</f>
        <v>0</v>
      </c>
      <c r="AP35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355">
        <f>Table7[[#This Row],[Extreme Response]]/21</f>
        <v>0.14285714285714285</v>
      </c>
      <c r="AR355">
        <f>Table67[[#This Row],[Threshold of ERS]]</f>
        <v>0.61904761904761907</v>
      </c>
      <c r="AS355" t="b">
        <f>Table7[[#This Row],[Extrem Response Ratio (ERS)]]&gt;=Table7[[#This Row],[Threshold of ERS]]</f>
        <v>0</v>
      </c>
      <c r="AT355" t="b" cm="1">
        <f t="array" ref="AT35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55">
        <f>COUNTIF(Table7[[#This Row],[The mechanism of digital assets is difficult to understand, which discourages me from exploring it (E.g, Tokenization, Blockchain)]:[If I want to try different ways to invest, I will explore digital assets.]], 3)</f>
        <v>6</v>
      </c>
      <c r="AV355">
        <f>Table7[[#This Row],[Midpoint]]/21</f>
        <v>0.2857142857142857</v>
      </c>
      <c r="AW355">
        <f>Table67[[#This Row],[Threshold of Midpoint ratio]]</f>
        <v>0.5714285714285714</v>
      </c>
      <c r="AX355" t="b">
        <f>Table7[[#This Row],[Midpoint ratio]]&gt;=Table7[[#This Row],[Threshold of Midpoint ratio]]</f>
        <v>0</v>
      </c>
      <c r="AY355" t="b">
        <f>OR(Table7[[#This Row],[Extreme Response Style]:[Straight-lining with 1 deviation]],Table7[[#This Row],[Mid-point Response Style]])</f>
        <v>0</v>
      </c>
      <c r="AZ355" t="b">
        <f>OR(Table7[[#This Row],[Delete? (Stage 1)]],Table7[[#This Row],[Delete? (Stage 2)]])</f>
        <v>0</v>
      </c>
      <c r="BA355" t="s">
        <v>84</v>
      </c>
    </row>
    <row r="356" spans="1:53">
      <c r="A356">
        <v>1527</v>
      </c>
      <c r="B356" s="3">
        <v>46065.837442129632</v>
      </c>
      <c r="C356" s="3">
        <v>46065.837939814817</v>
      </c>
      <c r="D356" t="s">
        <v>53</v>
      </c>
      <c r="G356" t="s">
        <v>54</v>
      </c>
      <c r="H356" t="s">
        <v>55</v>
      </c>
      <c r="I356" t="s">
        <v>56</v>
      </c>
      <c r="J356" t="s">
        <v>62</v>
      </c>
      <c r="K356" t="s">
        <v>60</v>
      </c>
      <c r="L356" t="s">
        <v>61</v>
      </c>
      <c r="M356" t="s">
        <v>58</v>
      </c>
      <c r="N356">
        <v>2</v>
      </c>
      <c r="O356">
        <v>2</v>
      </c>
      <c r="P356">
        <v>3</v>
      </c>
      <c r="Q356">
        <v>2</v>
      </c>
      <c r="R356">
        <v>1</v>
      </c>
      <c r="S356">
        <v>3</v>
      </c>
      <c r="T356">
        <v>4</v>
      </c>
      <c r="U356">
        <v>3</v>
      </c>
      <c r="V356">
        <v>2</v>
      </c>
      <c r="W356">
        <v>2</v>
      </c>
      <c r="X356">
        <v>3</v>
      </c>
      <c r="Y356">
        <v>2</v>
      </c>
      <c r="Z356">
        <v>3</v>
      </c>
      <c r="AA356">
        <v>3</v>
      </c>
      <c r="AB356">
        <v>3</v>
      </c>
      <c r="AC356">
        <v>2</v>
      </c>
      <c r="AD356">
        <v>3</v>
      </c>
      <c r="AE356">
        <v>3</v>
      </c>
      <c r="AF356">
        <v>4</v>
      </c>
      <c r="AG356">
        <v>2</v>
      </c>
      <c r="AH356">
        <v>4</v>
      </c>
      <c r="AI356">
        <v>2</v>
      </c>
      <c r="AJ356">
        <v>2</v>
      </c>
      <c r="AK356" t="b">
        <f>Table7[[#This Row],[What is your age?]]&lt;&gt;"18 - 25"</f>
        <v>0</v>
      </c>
      <c r="AL356" t="b">
        <f t="shared" si="15"/>
        <v>0</v>
      </c>
      <c r="AM356" t="b">
        <f t="shared" si="16"/>
        <v>0</v>
      </c>
      <c r="AN356" t="b">
        <f t="shared" si="17"/>
        <v>0</v>
      </c>
      <c r="AO356" t="b">
        <f>OR(Table7[[#This Row],[Ineligible respondents]:[Inconsistent response on opposite question (3)]])</f>
        <v>0</v>
      </c>
      <c r="AP35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356">
        <f>Table7[[#This Row],[Extreme Response]]/21</f>
        <v>4.7619047619047616E-2</v>
      </c>
      <c r="AR356">
        <f>Table67[[#This Row],[Threshold of ERS]]</f>
        <v>0.61904761904761907</v>
      </c>
      <c r="AS356" t="b">
        <f>Table7[[#This Row],[Extrem Response Ratio (ERS)]]&gt;=Table7[[#This Row],[Threshold of ERS]]</f>
        <v>0</v>
      </c>
      <c r="AT356" t="b" cm="1">
        <f t="array" ref="AT35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56">
        <f>COUNTIF(Table7[[#This Row],[The mechanism of digital assets is difficult to understand, which discourages me from exploring it (E.g, Tokenization, Blockchain)]:[If I want to try different ways to invest, I will explore digital assets.]], 3)</f>
        <v>9</v>
      </c>
      <c r="AV356">
        <f>Table7[[#This Row],[Midpoint]]/21</f>
        <v>0.42857142857142855</v>
      </c>
      <c r="AW356">
        <f>Table67[[#This Row],[Threshold of Midpoint ratio]]</f>
        <v>0.5714285714285714</v>
      </c>
      <c r="AX356" t="b">
        <f>Table7[[#This Row],[Midpoint ratio]]&gt;=Table7[[#This Row],[Threshold of Midpoint ratio]]</f>
        <v>0</v>
      </c>
      <c r="AY356" t="b">
        <f>OR(Table7[[#This Row],[Extreme Response Style]:[Straight-lining with 1 deviation]],Table7[[#This Row],[Mid-point Response Style]])</f>
        <v>0</v>
      </c>
      <c r="AZ356" t="b">
        <f>OR(Table7[[#This Row],[Delete? (Stage 1)]],Table7[[#This Row],[Delete? (Stage 2)]])</f>
        <v>0</v>
      </c>
      <c r="BA356" t="s">
        <v>84</v>
      </c>
    </row>
    <row r="357" spans="1:53">
      <c r="A357">
        <v>1534</v>
      </c>
      <c r="B357" s="3">
        <v>46065.731608796297</v>
      </c>
      <c r="C357" s="3">
        <v>46065.733831018515</v>
      </c>
      <c r="D357" t="s">
        <v>53</v>
      </c>
      <c r="G357" t="s">
        <v>54</v>
      </c>
      <c r="H357" t="s">
        <v>63</v>
      </c>
      <c r="I357" t="s">
        <v>56</v>
      </c>
      <c r="J357" t="s">
        <v>65</v>
      </c>
      <c r="K357" t="s">
        <v>60</v>
      </c>
      <c r="L357" t="s">
        <v>61</v>
      </c>
      <c r="M357" t="s">
        <v>61</v>
      </c>
      <c r="N357">
        <v>2</v>
      </c>
      <c r="O357">
        <v>3</v>
      </c>
      <c r="P357">
        <v>4</v>
      </c>
      <c r="Q357">
        <v>4</v>
      </c>
      <c r="R357">
        <v>3</v>
      </c>
      <c r="S357">
        <v>4</v>
      </c>
      <c r="T357">
        <v>4</v>
      </c>
      <c r="U357">
        <v>4</v>
      </c>
      <c r="V357">
        <v>4</v>
      </c>
      <c r="W357">
        <v>3</v>
      </c>
      <c r="X357">
        <v>4</v>
      </c>
      <c r="Y357">
        <v>3</v>
      </c>
      <c r="Z357">
        <v>5</v>
      </c>
      <c r="AA357">
        <v>4</v>
      </c>
      <c r="AB357">
        <v>4</v>
      </c>
      <c r="AC357">
        <v>4</v>
      </c>
      <c r="AD357">
        <v>5</v>
      </c>
      <c r="AE357">
        <v>4</v>
      </c>
      <c r="AF357">
        <v>2</v>
      </c>
      <c r="AG357">
        <v>4</v>
      </c>
      <c r="AH357">
        <v>2</v>
      </c>
      <c r="AI357">
        <v>4</v>
      </c>
      <c r="AJ357">
        <v>4</v>
      </c>
      <c r="AK357" t="b">
        <f>Table7[[#This Row],[What is your age?]]&lt;&gt;"18 - 25"</f>
        <v>0</v>
      </c>
      <c r="AL357" t="b">
        <f t="shared" si="15"/>
        <v>0</v>
      </c>
      <c r="AM357" t="b">
        <f t="shared" si="16"/>
        <v>0</v>
      </c>
      <c r="AN357" t="b">
        <f t="shared" si="17"/>
        <v>0</v>
      </c>
      <c r="AO357" t="b">
        <f>OR(Table7[[#This Row],[Ineligible respondents]:[Inconsistent response on opposite question (3)]])</f>
        <v>0</v>
      </c>
      <c r="AP35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357">
        <f>Table7[[#This Row],[Extreme Response]]/21</f>
        <v>9.5238095238095233E-2</v>
      </c>
      <c r="AR357">
        <f>Table67[[#This Row],[Threshold of ERS]]</f>
        <v>0.61904761904761907</v>
      </c>
      <c r="AS357" t="b">
        <f>Table7[[#This Row],[Extrem Response Ratio (ERS)]]&gt;=Table7[[#This Row],[Threshold of ERS]]</f>
        <v>0</v>
      </c>
      <c r="AT357" t="b" cm="1">
        <f t="array" ref="AT35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57">
        <f>COUNTIF(Table7[[#This Row],[The mechanism of digital assets is difficult to understand, which discourages me from exploring it (E.g, Tokenization, Blockchain)]:[If I want to try different ways to invest, I will explore digital assets.]], 3)</f>
        <v>4</v>
      </c>
      <c r="AV357">
        <f>Table7[[#This Row],[Midpoint]]/21</f>
        <v>0.19047619047619047</v>
      </c>
      <c r="AW357">
        <f>Table67[[#This Row],[Threshold of Midpoint ratio]]</f>
        <v>0.5714285714285714</v>
      </c>
      <c r="AX357" t="b">
        <f>Table7[[#This Row],[Midpoint ratio]]&gt;=Table7[[#This Row],[Threshold of Midpoint ratio]]</f>
        <v>0</v>
      </c>
      <c r="AY357" t="b">
        <f>OR(Table7[[#This Row],[Extreme Response Style]:[Straight-lining with 1 deviation]],Table7[[#This Row],[Mid-point Response Style]])</f>
        <v>0</v>
      </c>
      <c r="AZ357" t="b">
        <f>OR(Table7[[#This Row],[Delete? (Stage 1)]],Table7[[#This Row],[Delete? (Stage 2)]])</f>
        <v>0</v>
      </c>
      <c r="BA357" t="s">
        <v>84</v>
      </c>
    </row>
    <row r="358" spans="1:53">
      <c r="A358">
        <v>1535</v>
      </c>
      <c r="B358" s="3">
        <v>46065.714548611111</v>
      </c>
      <c r="C358" s="3">
        <v>46065.714826388888</v>
      </c>
      <c r="D358" t="s">
        <v>53</v>
      </c>
      <c r="G358" t="s">
        <v>54</v>
      </c>
      <c r="H358" t="s">
        <v>55</v>
      </c>
      <c r="I358" t="s">
        <v>56</v>
      </c>
      <c r="J358" t="s">
        <v>67</v>
      </c>
      <c r="K358" t="s">
        <v>62</v>
      </c>
      <c r="L358" t="s">
        <v>58</v>
      </c>
      <c r="M358" t="s">
        <v>61</v>
      </c>
      <c r="N358">
        <v>3</v>
      </c>
      <c r="O358">
        <v>3</v>
      </c>
      <c r="P358">
        <v>4</v>
      </c>
      <c r="Q358">
        <v>4</v>
      </c>
      <c r="R358">
        <v>3</v>
      </c>
      <c r="S358">
        <v>3</v>
      </c>
      <c r="T358">
        <v>3</v>
      </c>
      <c r="U358">
        <v>4</v>
      </c>
      <c r="V358">
        <v>4</v>
      </c>
      <c r="W358">
        <v>4</v>
      </c>
      <c r="X358">
        <v>3</v>
      </c>
      <c r="Y358">
        <v>3</v>
      </c>
      <c r="Z358">
        <v>4</v>
      </c>
      <c r="AA358">
        <v>2</v>
      </c>
      <c r="AB358">
        <v>2</v>
      </c>
      <c r="AC358">
        <v>4</v>
      </c>
      <c r="AD358">
        <v>4</v>
      </c>
      <c r="AE358">
        <v>3</v>
      </c>
      <c r="AF358">
        <v>3</v>
      </c>
      <c r="AG358">
        <v>2</v>
      </c>
      <c r="AH358">
        <v>5</v>
      </c>
      <c r="AI358">
        <v>1</v>
      </c>
      <c r="AJ358">
        <v>3</v>
      </c>
      <c r="AK358" t="b">
        <f>Table7[[#This Row],[What is your age?]]&lt;&gt;"18 - 25"</f>
        <v>0</v>
      </c>
      <c r="AL358" t="b">
        <f t="shared" si="15"/>
        <v>0</v>
      </c>
      <c r="AM358" t="b">
        <f t="shared" si="16"/>
        <v>0</v>
      </c>
      <c r="AN358" t="b">
        <f t="shared" si="17"/>
        <v>0</v>
      </c>
      <c r="AO358" t="b">
        <f>OR(Table7[[#This Row],[Ineligible respondents]:[Inconsistent response on opposite question (3)]])</f>
        <v>0</v>
      </c>
      <c r="AP35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358">
        <f>Table7[[#This Row],[Extreme Response]]/21</f>
        <v>4.7619047619047616E-2</v>
      </c>
      <c r="AR358">
        <f>Table67[[#This Row],[Threshold of ERS]]</f>
        <v>0.61904761904761907</v>
      </c>
      <c r="AS358" t="b">
        <f>Table7[[#This Row],[Extrem Response Ratio (ERS)]]&gt;=Table7[[#This Row],[Threshold of ERS]]</f>
        <v>0</v>
      </c>
      <c r="AT358" t="b" cm="1">
        <f t="array" ref="AT35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58">
        <f>COUNTIF(Table7[[#This Row],[The mechanism of digital assets is difficult to understand, which discourages me from exploring it (E.g, Tokenization, Blockchain)]:[If I want to try different ways to invest, I will explore digital assets.]], 3)</f>
        <v>9</v>
      </c>
      <c r="AV358">
        <f>Table7[[#This Row],[Midpoint]]/21</f>
        <v>0.42857142857142855</v>
      </c>
      <c r="AW358">
        <f>Table67[[#This Row],[Threshold of Midpoint ratio]]</f>
        <v>0.5714285714285714</v>
      </c>
      <c r="AX358" t="b">
        <f>Table7[[#This Row],[Midpoint ratio]]&gt;=Table7[[#This Row],[Threshold of Midpoint ratio]]</f>
        <v>0</v>
      </c>
      <c r="AY358" t="b">
        <f>OR(Table7[[#This Row],[Extreme Response Style]:[Straight-lining with 1 deviation]],Table7[[#This Row],[Mid-point Response Style]])</f>
        <v>0</v>
      </c>
      <c r="AZ358" t="b">
        <f>OR(Table7[[#This Row],[Delete? (Stage 1)]],Table7[[#This Row],[Delete? (Stage 2)]])</f>
        <v>0</v>
      </c>
      <c r="BA358" t="s">
        <v>84</v>
      </c>
    </row>
    <row r="359" spans="1:53">
      <c r="A359">
        <v>1536</v>
      </c>
      <c r="B359" s="3">
        <v>46065.828206018516</v>
      </c>
      <c r="C359" s="3">
        <v>46065.830995370372</v>
      </c>
      <c r="D359" t="s">
        <v>53</v>
      </c>
      <c r="G359" t="s">
        <v>54</v>
      </c>
      <c r="H359" t="s">
        <v>63</v>
      </c>
      <c r="I359" t="s">
        <v>56</v>
      </c>
      <c r="J359" t="s">
        <v>57</v>
      </c>
      <c r="K359" t="s">
        <v>57</v>
      </c>
      <c r="L359" t="s">
        <v>58</v>
      </c>
      <c r="M359" t="s">
        <v>58</v>
      </c>
      <c r="N359">
        <v>2</v>
      </c>
      <c r="O359">
        <v>2</v>
      </c>
      <c r="P359">
        <v>2</v>
      </c>
      <c r="Q359">
        <v>3</v>
      </c>
      <c r="R359">
        <v>2</v>
      </c>
      <c r="S359">
        <v>3</v>
      </c>
      <c r="T359">
        <v>3</v>
      </c>
      <c r="U359">
        <v>2</v>
      </c>
      <c r="V359">
        <v>4</v>
      </c>
      <c r="W359">
        <v>4</v>
      </c>
      <c r="X359">
        <v>3</v>
      </c>
      <c r="Y359">
        <v>4</v>
      </c>
      <c r="Z359">
        <v>3</v>
      </c>
      <c r="AA359">
        <v>3</v>
      </c>
      <c r="AB359">
        <v>3</v>
      </c>
      <c r="AC359">
        <v>3</v>
      </c>
      <c r="AD359">
        <v>2</v>
      </c>
      <c r="AE359">
        <v>2</v>
      </c>
      <c r="AF359">
        <v>3</v>
      </c>
      <c r="AG359">
        <v>2</v>
      </c>
      <c r="AH359">
        <v>4</v>
      </c>
      <c r="AI359">
        <v>2</v>
      </c>
      <c r="AJ359">
        <v>3</v>
      </c>
      <c r="AK359" t="b">
        <f>Table7[[#This Row],[What is your age?]]&lt;&gt;"18 - 25"</f>
        <v>0</v>
      </c>
      <c r="AL359" t="b">
        <f t="shared" si="15"/>
        <v>0</v>
      </c>
      <c r="AM359" t="b">
        <f t="shared" si="16"/>
        <v>0</v>
      </c>
      <c r="AN359" t="b">
        <f t="shared" si="17"/>
        <v>0</v>
      </c>
      <c r="AO359" t="b">
        <f>OR(Table7[[#This Row],[Ineligible respondents]:[Inconsistent response on opposite question (3)]])</f>
        <v>0</v>
      </c>
      <c r="AP35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359">
        <f>Table7[[#This Row],[Extreme Response]]/21</f>
        <v>0</v>
      </c>
      <c r="AR359">
        <f>Table67[[#This Row],[Threshold of ERS]]</f>
        <v>0.61904761904761907</v>
      </c>
      <c r="AS359" t="b">
        <f>Table7[[#This Row],[Extrem Response Ratio (ERS)]]&gt;=Table7[[#This Row],[Threshold of ERS]]</f>
        <v>0</v>
      </c>
      <c r="AT359" t="b" cm="1">
        <f t="array" ref="AT35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59">
        <f>COUNTIF(Table7[[#This Row],[The mechanism of digital assets is difficult to understand, which discourages me from exploring it (E.g, Tokenization, Blockchain)]:[If I want to try different ways to invest, I will explore digital assets.]], 3)</f>
        <v>9</v>
      </c>
      <c r="AV359">
        <f>Table7[[#This Row],[Midpoint]]/21</f>
        <v>0.42857142857142855</v>
      </c>
      <c r="AW359">
        <f>Table67[[#This Row],[Threshold of Midpoint ratio]]</f>
        <v>0.5714285714285714</v>
      </c>
      <c r="AX359" t="b">
        <f>Table7[[#This Row],[Midpoint ratio]]&gt;=Table7[[#This Row],[Threshold of Midpoint ratio]]</f>
        <v>0</v>
      </c>
      <c r="AY359" t="b">
        <f>OR(Table7[[#This Row],[Extreme Response Style]:[Straight-lining with 1 deviation]],Table7[[#This Row],[Mid-point Response Style]])</f>
        <v>0</v>
      </c>
      <c r="AZ359" t="b">
        <f>OR(Table7[[#This Row],[Delete? (Stage 1)]],Table7[[#This Row],[Delete? (Stage 2)]])</f>
        <v>0</v>
      </c>
      <c r="BA359" t="s">
        <v>84</v>
      </c>
    </row>
    <row r="360" spans="1:53">
      <c r="A360">
        <v>1547</v>
      </c>
      <c r="B360" s="3">
        <v>46065.882245370369</v>
      </c>
      <c r="C360" s="3">
        <v>46065.888321759259</v>
      </c>
      <c r="D360" t="s">
        <v>53</v>
      </c>
      <c r="G360" t="s">
        <v>54</v>
      </c>
      <c r="H360" t="s">
        <v>55</v>
      </c>
      <c r="I360" t="s">
        <v>56</v>
      </c>
      <c r="J360" t="s">
        <v>62</v>
      </c>
      <c r="K360" t="s">
        <v>57</v>
      </c>
      <c r="L360" t="s">
        <v>58</v>
      </c>
      <c r="M360" t="s">
        <v>58</v>
      </c>
      <c r="N360">
        <v>4</v>
      </c>
      <c r="O360">
        <v>5</v>
      </c>
      <c r="P360">
        <v>4</v>
      </c>
      <c r="Q360">
        <v>4</v>
      </c>
      <c r="R360">
        <v>4</v>
      </c>
      <c r="S360">
        <v>2</v>
      </c>
      <c r="T360">
        <v>2</v>
      </c>
      <c r="U360">
        <v>4</v>
      </c>
      <c r="V360">
        <v>4</v>
      </c>
      <c r="W360">
        <v>4</v>
      </c>
      <c r="X360">
        <v>3</v>
      </c>
      <c r="Y360">
        <v>4</v>
      </c>
      <c r="Z360">
        <v>3</v>
      </c>
      <c r="AA360">
        <v>2</v>
      </c>
      <c r="AB360">
        <v>3</v>
      </c>
      <c r="AC360">
        <v>4</v>
      </c>
      <c r="AD360">
        <v>3</v>
      </c>
      <c r="AE360">
        <v>3</v>
      </c>
      <c r="AF360">
        <v>3</v>
      </c>
      <c r="AG360">
        <v>2</v>
      </c>
      <c r="AH360">
        <v>4</v>
      </c>
      <c r="AI360">
        <v>2</v>
      </c>
      <c r="AJ360">
        <v>3</v>
      </c>
      <c r="AK360" t="b">
        <f>Table7[[#This Row],[What is your age?]]&lt;&gt;"18 - 25"</f>
        <v>0</v>
      </c>
      <c r="AL360" t="b">
        <f t="shared" si="15"/>
        <v>0</v>
      </c>
      <c r="AM360" t="b">
        <f t="shared" si="16"/>
        <v>0</v>
      </c>
      <c r="AN360" t="b">
        <f t="shared" si="17"/>
        <v>0</v>
      </c>
      <c r="AO360" t="b">
        <f>OR(Table7[[#This Row],[Ineligible respondents]:[Inconsistent response on opposite question (3)]])</f>
        <v>0</v>
      </c>
      <c r="AP36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360">
        <f>Table7[[#This Row],[Extreme Response]]/21</f>
        <v>4.7619047619047616E-2</v>
      </c>
      <c r="AR360">
        <f>Table67[[#This Row],[Threshold of ERS]]</f>
        <v>0.61904761904761907</v>
      </c>
      <c r="AS360" t="b">
        <f>Table7[[#This Row],[Extrem Response Ratio (ERS)]]&gt;=Table7[[#This Row],[Threshold of ERS]]</f>
        <v>0</v>
      </c>
      <c r="AT360" t="b" cm="1">
        <f t="array" ref="AT36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60">
        <f>COUNTIF(Table7[[#This Row],[The mechanism of digital assets is difficult to understand, which discourages me from exploring it (E.g, Tokenization, Blockchain)]:[If I want to try different ways to invest, I will explore digital assets.]], 3)</f>
        <v>6</v>
      </c>
      <c r="AV360">
        <f>Table7[[#This Row],[Midpoint]]/21</f>
        <v>0.2857142857142857</v>
      </c>
      <c r="AW360">
        <f>Table67[[#This Row],[Threshold of Midpoint ratio]]</f>
        <v>0.5714285714285714</v>
      </c>
      <c r="AX360" t="b">
        <f>Table7[[#This Row],[Midpoint ratio]]&gt;=Table7[[#This Row],[Threshold of Midpoint ratio]]</f>
        <v>0</v>
      </c>
      <c r="AY360" t="b">
        <f>OR(Table7[[#This Row],[Extreme Response Style]:[Straight-lining with 1 deviation]],Table7[[#This Row],[Mid-point Response Style]])</f>
        <v>0</v>
      </c>
      <c r="AZ360" t="b">
        <f>OR(Table7[[#This Row],[Delete? (Stage 1)]],Table7[[#This Row],[Delete? (Stage 2)]])</f>
        <v>0</v>
      </c>
      <c r="BA360" t="s">
        <v>84</v>
      </c>
    </row>
    <row r="361" spans="1:53">
      <c r="A361">
        <v>1553</v>
      </c>
      <c r="B361" s="3">
        <v>46065.87537037037</v>
      </c>
      <c r="C361" s="3">
        <v>46065.879641203705</v>
      </c>
      <c r="D361" t="s">
        <v>53</v>
      </c>
      <c r="G361" t="s">
        <v>54</v>
      </c>
      <c r="H361" t="s">
        <v>63</v>
      </c>
      <c r="I361" t="s">
        <v>56</v>
      </c>
      <c r="J361" t="s">
        <v>62</v>
      </c>
      <c r="K361" t="s">
        <v>57</v>
      </c>
      <c r="L361" t="s">
        <v>58</v>
      </c>
      <c r="M361" t="s">
        <v>58</v>
      </c>
      <c r="N361">
        <v>3</v>
      </c>
      <c r="O361">
        <v>4</v>
      </c>
      <c r="P361">
        <v>4</v>
      </c>
      <c r="Q361">
        <v>4</v>
      </c>
      <c r="R361">
        <v>2</v>
      </c>
      <c r="S361">
        <v>3</v>
      </c>
      <c r="T361">
        <v>3</v>
      </c>
      <c r="U361">
        <v>4</v>
      </c>
      <c r="V361">
        <v>4</v>
      </c>
      <c r="W361">
        <v>3</v>
      </c>
      <c r="X361">
        <v>3</v>
      </c>
      <c r="Y361">
        <v>3</v>
      </c>
      <c r="Z361">
        <v>3</v>
      </c>
      <c r="AA361">
        <v>2</v>
      </c>
      <c r="AB361">
        <v>3</v>
      </c>
      <c r="AC361">
        <v>4</v>
      </c>
      <c r="AD361">
        <v>4</v>
      </c>
      <c r="AE361">
        <v>3</v>
      </c>
      <c r="AF361">
        <v>2</v>
      </c>
      <c r="AG361">
        <v>3</v>
      </c>
      <c r="AH361">
        <v>3</v>
      </c>
      <c r="AI361">
        <v>3</v>
      </c>
      <c r="AJ361">
        <v>4</v>
      </c>
      <c r="AK361" t="b">
        <f>Table7[[#This Row],[What is your age?]]&lt;&gt;"18 - 25"</f>
        <v>0</v>
      </c>
      <c r="AL361" t="b">
        <f t="shared" si="15"/>
        <v>0</v>
      </c>
      <c r="AM361" t="b">
        <f t="shared" si="16"/>
        <v>0</v>
      </c>
      <c r="AN361" t="b">
        <f t="shared" si="17"/>
        <v>0</v>
      </c>
      <c r="AO361" t="b">
        <f>OR(Table7[[#This Row],[Ineligible respondents]:[Inconsistent response on opposite question (3)]])</f>
        <v>0</v>
      </c>
      <c r="AP36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361">
        <f>Table7[[#This Row],[Extreme Response]]/21</f>
        <v>0</v>
      </c>
      <c r="AR361">
        <f>Table67[[#This Row],[Threshold of ERS]]</f>
        <v>0.61904761904761907</v>
      </c>
      <c r="AS361" t="b">
        <f>Table7[[#This Row],[Extrem Response Ratio (ERS)]]&gt;=Table7[[#This Row],[Threshold of ERS]]</f>
        <v>0</v>
      </c>
      <c r="AT361" t="b" cm="1">
        <f t="array" ref="AT36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61">
        <f>COUNTIF(Table7[[#This Row],[The mechanism of digital assets is difficult to understand, which discourages me from exploring it (E.g, Tokenization, Blockchain)]:[If I want to try different ways to invest, I will explore digital assets.]], 3)</f>
        <v>11</v>
      </c>
      <c r="AV361">
        <f>Table7[[#This Row],[Midpoint]]/21</f>
        <v>0.52380952380952384</v>
      </c>
      <c r="AW361">
        <f>Table67[[#This Row],[Threshold of Midpoint ratio]]</f>
        <v>0.5714285714285714</v>
      </c>
      <c r="AX361" t="b">
        <f>Table7[[#This Row],[Midpoint ratio]]&gt;=Table7[[#This Row],[Threshold of Midpoint ratio]]</f>
        <v>0</v>
      </c>
      <c r="AY361" t="b">
        <f>OR(Table7[[#This Row],[Extreme Response Style]:[Straight-lining with 1 deviation]],Table7[[#This Row],[Mid-point Response Style]])</f>
        <v>0</v>
      </c>
      <c r="AZ361" t="b">
        <f>OR(Table7[[#This Row],[Delete? (Stage 1)]],Table7[[#This Row],[Delete? (Stage 2)]])</f>
        <v>0</v>
      </c>
      <c r="BA361" t="s">
        <v>84</v>
      </c>
    </row>
    <row r="362" spans="1:53">
      <c r="A362">
        <v>1556</v>
      </c>
      <c r="B362" s="3">
        <v>46065.828229166669</v>
      </c>
      <c r="C362" s="3">
        <v>46065.832372685189</v>
      </c>
      <c r="D362" t="s">
        <v>53</v>
      </c>
      <c r="G362" t="s">
        <v>54</v>
      </c>
      <c r="H362" t="s">
        <v>55</v>
      </c>
      <c r="I362" t="s">
        <v>56</v>
      </c>
      <c r="J362" t="s">
        <v>62</v>
      </c>
      <c r="K362" t="s">
        <v>62</v>
      </c>
      <c r="L362" t="s">
        <v>58</v>
      </c>
      <c r="M362" t="s">
        <v>58</v>
      </c>
      <c r="N362">
        <v>4</v>
      </c>
      <c r="O362">
        <v>3</v>
      </c>
      <c r="P362">
        <v>4</v>
      </c>
      <c r="Q362">
        <v>4</v>
      </c>
      <c r="R362">
        <v>3</v>
      </c>
      <c r="S362">
        <v>3</v>
      </c>
      <c r="T362">
        <v>3</v>
      </c>
      <c r="U362">
        <v>4</v>
      </c>
      <c r="V362">
        <v>5</v>
      </c>
      <c r="W362">
        <v>5</v>
      </c>
      <c r="X362">
        <v>3</v>
      </c>
      <c r="Y362">
        <v>5</v>
      </c>
      <c r="Z362">
        <v>3</v>
      </c>
      <c r="AA362">
        <v>3</v>
      </c>
      <c r="AB362">
        <v>3</v>
      </c>
      <c r="AC362">
        <v>4</v>
      </c>
      <c r="AD362">
        <v>3</v>
      </c>
      <c r="AE362">
        <v>4</v>
      </c>
      <c r="AF362">
        <v>3</v>
      </c>
      <c r="AG362">
        <v>2</v>
      </c>
      <c r="AH362">
        <v>5</v>
      </c>
      <c r="AI362">
        <v>1</v>
      </c>
      <c r="AJ362">
        <v>3</v>
      </c>
      <c r="AK362" t="b">
        <f>Table7[[#This Row],[What is your age?]]&lt;&gt;"18 - 25"</f>
        <v>0</v>
      </c>
      <c r="AL362" t="b">
        <f t="shared" si="15"/>
        <v>0</v>
      </c>
      <c r="AM362" t="b">
        <f t="shared" si="16"/>
        <v>0</v>
      </c>
      <c r="AN362" t="b">
        <f t="shared" si="17"/>
        <v>0</v>
      </c>
      <c r="AO362" t="b">
        <f>OR(Table7[[#This Row],[Ineligible respondents]:[Inconsistent response on opposite question (3)]])</f>
        <v>0</v>
      </c>
      <c r="AP36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362">
        <f>Table7[[#This Row],[Extreme Response]]/21</f>
        <v>0.19047619047619047</v>
      </c>
      <c r="AR362">
        <f>Table67[[#This Row],[Threshold of ERS]]</f>
        <v>0.61904761904761907</v>
      </c>
      <c r="AS362" t="b">
        <f>Table7[[#This Row],[Extrem Response Ratio (ERS)]]&gt;=Table7[[#This Row],[Threshold of ERS]]</f>
        <v>0</v>
      </c>
      <c r="AT362" t="b" cm="1">
        <f t="array" ref="AT36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62">
        <f>COUNTIF(Table7[[#This Row],[The mechanism of digital assets is difficult to understand, which discourages me from exploring it (E.g, Tokenization, Blockchain)]:[If I want to try different ways to invest, I will explore digital assets.]], 3)</f>
        <v>10</v>
      </c>
      <c r="AV362">
        <f>Table7[[#This Row],[Midpoint]]/21</f>
        <v>0.47619047619047616</v>
      </c>
      <c r="AW362">
        <f>Table67[[#This Row],[Threshold of Midpoint ratio]]</f>
        <v>0.5714285714285714</v>
      </c>
      <c r="AX362" t="b">
        <f>Table7[[#This Row],[Midpoint ratio]]&gt;=Table7[[#This Row],[Threshold of Midpoint ratio]]</f>
        <v>0</v>
      </c>
      <c r="AY362" t="b">
        <f>OR(Table7[[#This Row],[Extreme Response Style]:[Straight-lining with 1 deviation]],Table7[[#This Row],[Mid-point Response Style]])</f>
        <v>0</v>
      </c>
      <c r="AZ362" t="b">
        <f>OR(Table7[[#This Row],[Delete? (Stage 1)]],Table7[[#This Row],[Delete? (Stage 2)]])</f>
        <v>0</v>
      </c>
      <c r="BA362" t="s">
        <v>84</v>
      </c>
    </row>
    <row r="363" spans="1:53">
      <c r="A363">
        <v>1563</v>
      </c>
      <c r="B363" s="3">
        <v>46065.890694444446</v>
      </c>
      <c r="C363" s="3">
        <v>46065.894942129627</v>
      </c>
      <c r="D363" t="s">
        <v>53</v>
      </c>
      <c r="G363" t="s">
        <v>54</v>
      </c>
      <c r="H363" t="s">
        <v>63</v>
      </c>
      <c r="I363" t="s">
        <v>56</v>
      </c>
      <c r="J363" t="s">
        <v>67</v>
      </c>
      <c r="K363" t="s">
        <v>60</v>
      </c>
      <c r="L363" t="s">
        <v>61</v>
      </c>
      <c r="M363" t="s">
        <v>61</v>
      </c>
      <c r="N363">
        <v>3</v>
      </c>
      <c r="O363">
        <v>4</v>
      </c>
      <c r="P363">
        <v>4</v>
      </c>
      <c r="Q363">
        <v>3</v>
      </c>
      <c r="R363">
        <v>3</v>
      </c>
      <c r="S363">
        <v>3</v>
      </c>
      <c r="T363">
        <v>3</v>
      </c>
      <c r="U363">
        <v>3</v>
      </c>
      <c r="V363">
        <v>4</v>
      </c>
      <c r="W363">
        <v>4</v>
      </c>
      <c r="X363">
        <v>4</v>
      </c>
      <c r="Y363">
        <v>5</v>
      </c>
      <c r="Z363">
        <v>3</v>
      </c>
      <c r="AA363">
        <v>3</v>
      </c>
      <c r="AB363">
        <v>2</v>
      </c>
      <c r="AC363">
        <v>3</v>
      </c>
      <c r="AD363">
        <v>3</v>
      </c>
      <c r="AE363">
        <v>3</v>
      </c>
      <c r="AF363">
        <v>2</v>
      </c>
      <c r="AG363">
        <v>2</v>
      </c>
      <c r="AH363">
        <v>4</v>
      </c>
      <c r="AI363">
        <v>2</v>
      </c>
      <c r="AJ363">
        <v>4</v>
      </c>
      <c r="AK363" t="b">
        <f>Table7[[#This Row],[What is your age?]]&lt;&gt;"18 - 25"</f>
        <v>0</v>
      </c>
      <c r="AL363" t="b">
        <f t="shared" si="15"/>
        <v>0</v>
      </c>
      <c r="AM363" t="b">
        <f t="shared" si="16"/>
        <v>0</v>
      </c>
      <c r="AN363" t="b">
        <f t="shared" si="17"/>
        <v>0</v>
      </c>
      <c r="AO363" t="b">
        <f>OR(Table7[[#This Row],[Ineligible respondents]:[Inconsistent response on opposite question (3)]])</f>
        <v>0</v>
      </c>
      <c r="AP36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363">
        <f>Table7[[#This Row],[Extreme Response]]/21</f>
        <v>4.7619047619047616E-2</v>
      </c>
      <c r="AR363">
        <f>Table67[[#This Row],[Threshold of ERS]]</f>
        <v>0.61904761904761907</v>
      </c>
      <c r="AS363" t="b">
        <f>Table7[[#This Row],[Extrem Response Ratio (ERS)]]&gt;=Table7[[#This Row],[Threshold of ERS]]</f>
        <v>0</v>
      </c>
      <c r="AT363" t="b" cm="1">
        <f t="array" ref="AT36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63">
        <f>COUNTIF(Table7[[#This Row],[The mechanism of digital assets is difficult to understand, which discourages me from exploring it (E.g, Tokenization, Blockchain)]:[If I want to try different ways to invest, I will explore digital assets.]], 3)</f>
        <v>11</v>
      </c>
      <c r="AV363">
        <f>Table7[[#This Row],[Midpoint]]/21</f>
        <v>0.52380952380952384</v>
      </c>
      <c r="AW363">
        <f>Table67[[#This Row],[Threshold of Midpoint ratio]]</f>
        <v>0.5714285714285714</v>
      </c>
      <c r="AX363" t="b">
        <f>Table7[[#This Row],[Midpoint ratio]]&gt;=Table7[[#This Row],[Threshold of Midpoint ratio]]</f>
        <v>0</v>
      </c>
      <c r="AY363" t="b">
        <f>OR(Table7[[#This Row],[Extreme Response Style]:[Straight-lining with 1 deviation]],Table7[[#This Row],[Mid-point Response Style]])</f>
        <v>0</v>
      </c>
      <c r="AZ363" t="b">
        <f>OR(Table7[[#This Row],[Delete? (Stage 1)]],Table7[[#This Row],[Delete? (Stage 2)]])</f>
        <v>0</v>
      </c>
      <c r="BA363" t="s">
        <v>84</v>
      </c>
    </row>
    <row r="364" spans="1:53">
      <c r="A364">
        <v>1564</v>
      </c>
      <c r="B364" s="3">
        <v>46065.769074074073</v>
      </c>
      <c r="C364" s="3">
        <v>46065.769768518519</v>
      </c>
      <c r="D364" t="s">
        <v>53</v>
      </c>
      <c r="G364" t="s">
        <v>54</v>
      </c>
      <c r="H364" t="s">
        <v>55</v>
      </c>
      <c r="I364" t="s">
        <v>56</v>
      </c>
      <c r="J364" t="s">
        <v>62</v>
      </c>
      <c r="K364" t="s">
        <v>62</v>
      </c>
      <c r="L364" t="s">
        <v>58</v>
      </c>
      <c r="M364" t="s">
        <v>58</v>
      </c>
      <c r="N364">
        <v>4</v>
      </c>
      <c r="O364">
        <v>4</v>
      </c>
      <c r="P364">
        <v>5</v>
      </c>
      <c r="Q364">
        <v>4</v>
      </c>
      <c r="R364">
        <v>4</v>
      </c>
      <c r="S364">
        <v>3</v>
      </c>
      <c r="T364">
        <v>3</v>
      </c>
      <c r="U364">
        <v>4</v>
      </c>
      <c r="V364">
        <v>4</v>
      </c>
      <c r="W364">
        <v>5</v>
      </c>
      <c r="X364">
        <v>2</v>
      </c>
      <c r="Y364">
        <v>4</v>
      </c>
      <c r="Z364">
        <v>4</v>
      </c>
      <c r="AA364">
        <v>3</v>
      </c>
      <c r="AB364">
        <v>3</v>
      </c>
      <c r="AC364">
        <v>4</v>
      </c>
      <c r="AD364">
        <v>3</v>
      </c>
      <c r="AE364">
        <v>3</v>
      </c>
      <c r="AF364">
        <v>2</v>
      </c>
      <c r="AG364">
        <v>3</v>
      </c>
      <c r="AH364">
        <v>3</v>
      </c>
      <c r="AI364">
        <v>3</v>
      </c>
      <c r="AJ364">
        <v>4</v>
      </c>
      <c r="AK364" t="b">
        <f>Table7[[#This Row],[What is your age?]]&lt;&gt;"18 - 25"</f>
        <v>0</v>
      </c>
      <c r="AL364" t="b">
        <f t="shared" si="15"/>
        <v>0</v>
      </c>
      <c r="AM364" t="b">
        <f t="shared" si="16"/>
        <v>0</v>
      </c>
      <c r="AN364" t="b">
        <f t="shared" si="17"/>
        <v>0</v>
      </c>
      <c r="AO364" t="b">
        <f>OR(Table7[[#This Row],[Ineligible respondents]:[Inconsistent response on opposite question (3)]])</f>
        <v>0</v>
      </c>
      <c r="AP36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364">
        <f>Table7[[#This Row],[Extreme Response]]/21</f>
        <v>9.5238095238095233E-2</v>
      </c>
      <c r="AR364">
        <f>Table67[[#This Row],[Threshold of ERS]]</f>
        <v>0.61904761904761907</v>
      </c>
      <c r="AS364" t="b">
        <f>Table7[[#This Row],[Extrem Response Ratio (ERS)]]&gt;=Table7[[#This Row],[Threshold of ERS]]</f>
        <v>0</v>
      </c>
      <c r="AT364" t="b" cm="1">
        <f t="array" ref="AT36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64">
        <f>COUNTIF(Table7[[#This Row],[The mechanism of digital assets is difficult to understand, which discourages me from exploring it (E.g, Tokenization, Blockchain)]:[If I want to try different ways to invest, I will explore digital assets.]], 3)</f>
        <v>8</v>
      </c>
      <c r="AV364">
        <f>Table7[[#This Row],[Midpoint]]/21</f>
        <v>0.38095238095238093</v>
      </c>
      <c r="AW364">
        <f>Table67[[#This Row],[Threshold of Midpoint ratio]]</f>
        <v>0.5714285714285714</v>
      </c>
      <c r="AX364" t="b">
        <f>Table7[[#This Row],[Midpoint ratio]]&gt;=Table7[[#This Row],[Threshold of Midpoint ratio]]</f>
        <v>0</v>
      </c>
      <c r="AY364" t="b">
        <f>OR(Table7[[#This Row],[Extreme Response Style]:[Straight-lining with 1 deviation]],Table7[[#This Row],[Mid-point Response Style]])</f>
        <v>0</v>
      </c>
      <c r="AZ364" t="b">
        <f>OR(Table7[[#This Row],[Delete? (Stage 1)]],Table7[[#This Row],[Delete? (Stage 2)]])</f>
        <v>0</v>
      </c>
      <c r="BA364" t="s">
        <v>84</v>
      </c>
    </row>
    <row r="365" spans="1:53">
      <c r="A365">
        <v>1568</v>
      </c>
      <c r="B365" s="3">
        <v>46065.850601851853</v>
      </c>
      <c r="C365" s="3">
        <v>46065.860983796294</v>
      </c>
      <c r="D365" t="s">
        <v>53</v>
      </c>
      <c r="G365" t="s">
        <v>54</v>
      </c>
      <c r="H365" t="s">
        <v>63</v>
      </c>
      <c r="I365" t="s">
        <v>56</v>
      </c>
      <c r="J365" t="s">
        <v>62</v>
      </c>
      <c r="K365" t="s">
        <v>62</v>
      </c>
      <c r="L365" t="s">
        <v>61</v>
      </c>
      <c r="M365" t="s">
        <v>61</v>
      </c>
      <c r="N365">
        <v>1</v>
      </c>
      <c r="O365">
        <v>2</v>
      </c>
      <c r="P365">
        <v>3</v>
      </c>
      <c r="Q365">
        <v>2</v>
      </c>
      <c r="R365">
        <v>2</v>
      </c>
      <c r="S365">
        <v>2</v>
      </c>
      <c r="T365">
        <v>2</v>
      </c>
      <c r="U365">
        <v>3</v>
      </c>
      <c r="V365">
        <v>3</v>
      </c>
      <c r="W365">
        <v>4</v>
      </c>
      <c r="X365">
        <v>3</v>
      </c>
      <c r="Y365">
        <v>4</v>
      </c>
      <c r="Z365">
        <v>4</v>
      </c>
      <c r="AA365">
        <v>2</v>
      </c>
      <c r="AB365">
        <v>2</v>
      </c>
      <c r="AC365">
        <v>2</v>
      </c>
      <c r="AD365">
        <v>4</v>
      </c>
      <c r="AE365">
        <v>4</v>
      </c>
      <c r="AF365">
        <v>3</v>
      </c>
      <c r="AG365">
        <v>2</v>
      </c>
      <c r="AH365">
        <v>4</v>
      </c>
      <c r="AI365">
        <v>2</v>
      </c>
      <c r="AJ365">
        <v>3</v>
      </c>
      <c r="AK365" t="b">
        <f>Table7[[#This Row],[What is your age?]]&lt;&gt;"18 - 25"</f>
        <v>0</v>
      </c>
      <c r="AL365" t="b">
        <f t="shared" si="15"/>
        <v>0</v>
      </c>
      <c r="AM365" t="b">
        <f t="shared" si="16"/>
        <v>0</v>
      </c>
      <c r="AN365" t="b">
        <f t="shared" si="17"/>
        <v>0</v>
      </c>
      <c r="AO365" t="b">
        <f>OR(Table7[[#This Row],[Ineligible respondents]:[Inconsistent response on opposite question (3)]])</f>
        <v>0</v>
      </c>
      <c r="AP36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365">
        <f>Table7[[#This Row],[Extreme Response]]/21</f>
        <v>4.7619047619047616E-2</v>
      </c>
      <c r="AR365">
        <f>Table67[[#This Row],[Threshold of ERS]]</f>
        <v>0.61904761904761907</v>
      </c>
      <c r="AS365" t="b">
        <f>Table7[[#This Row],[Extrem Response Ratio (ERS)]]&gt;=Table7[[#This Row],[Threshold of ERS]]</f>
        <v>0</v>
      </c>
      <c r="AT365" t="b" cm="1">
        <f t="array" ref="AT36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65">
        <f>COUNTIF(Table7[[#This Row],[The mechanism of digital assets is difficult to understand, which discourages me from exploring it (E.g, Tokenization, Blockchain)]:[If I want to try different ways to invest, I will explore digital assets.]], 3)</f>
        <v>5</v>
      </c>
      <c r="AV365">
        <f>Table7[[#This Row],[Midpoint]]/21</f>
        <v>0.23809523809523808</v>
      </c>
      <c r="AW365">
        <f>Table67[[#This Row],[Threshold of Midpoint ratio]]</f>
        <v>0.5714285714285714</v>
      </c>
      <c r="AX365" t="b">
        <f>Table7[[#This Row],[Midpoint ratio]]&gt;=Table7[[#This Row],[Threshold of Midpoint ratio]]</f>
        <v>0</v>
      </c>
      <c r="AY365" t="b">
        <f>OR(Table7[[#This Row],[Extreme Response Style]:[Straight-lining with 1 deviation]],Table7[[#This Row],[Mid-point Response Style]])</f>
        <v>0</v>
      </c>
      <c r="AZ365" t="b">
        <f>OR(Table7[[#This Row],[Delete? (Stage 1)]],Table7[[#This Row],[Delete? (Stage 2)]])</f>
        <v>0</v>
      </c>
      <c r="BA365" t="s">
        <v>84</v>
      </c>
    </row>
    <row r="366" spans="1:53">
      <c r="A366">
        <v>1569</v>
      </c>
      <c r="B366" s="3">
        <v>46065.875613425924</v>
      </c>
      <c r="C366" s="3">
        <v>46065.882372685184</v>
      </c>
      <c r="D366" t="s">
        <v>53</v>
      </c>
      <c r="G366" t="s">
        <v>54</v>
      </c>
      <c r="H366" t="s">
        <v>55</v>
      </c>
      <c r="I366" t="s">
        <v>56</v>
      </c>
      <c r="J366" t="s">
        <v>62</v>
      </c>
      <c r="K366" t="s">
        <v>62</v>
      </c>
      <c r="L366" t="s">
        <v>58</v>
      </c>
      <c r="M366" t="s">
        <v>58</v>
      </c>
      <c r="N366">
        <v>2</v>
      </c>
      <c r="O366">
        <v>3</v>
      </c>
      <c r="P366">
        <v>3</v>
      </c>
      <c r="Q366">
        <v>3</v>
      </c>
      <c r="R366">
        <v>2</v>
      </c>
      <c r="S366">
        <v>2</v>
      </c>
      <c r="T366">
        <v>2</v>
      </c>
      <c r="U366">
        <v>3</v>
      </c>
      <c r="V366">
        <v>4</v>
      </c>
      <c r="W366">
        <v>3</v>
      </c>
      <c r="X366">
        <v>2</v>
      </c>
      <c r="Y366">
        <v>3</v>
      </c>
      <c r="Z366">
        <v>2</v>
      </c>
      <c r="AA366">
        <v>2</v>
      </c>
      <c r="AB366">
        <v>2</v>
      </c>
      <c r="AC366">
        <v>3</v>
      </c>
      <c r="AD366">
        <v>2</v>
      </c>
      <c r="AE366">
        <v>1</v>
      </c>
      <c r="AF366">
        <v>2</v>
      </c>
      <c r="AG366">
        <v>2</v>
      </c>
      <c r="AH366">
        <v>5</v>
      </c>
      <c r="AI366">
        <v>1</v>
      </c>
      <c r="AJ366">
        <v>4</v>
      </c>
      <c r="AK366" t="b">
        <f>Table7[[#This Row],[What is your age?]]&lt;&gt;"18 - 25"</f>
        <v>0</v>
      </c>
      <c r="AL366" t="b">
        <f t="shared" si="15"/>
        <v>0</v>
      </c>
      <c r="AM366" t="b">
        <f t="shared" si="16"/>
        <v>0</v>
      </c>
      <c r="AN366" t="b">
        <f t="shared" si="17"/>
        <v>0</v>
      </c>
      <c r="AO366" t="b">
        <f>OR(Table7[[#This Row],[Ineligible respondents]:[Inconsistent response on opposite question (3)]])</f>
        <v>0</v>
      </c>
      <c r="AP36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366">
        <f>Table7[[#This Row],[Extreme Response]]/21</f>
        <v>9.5238095238095233E-2</v>
      </c>
      <c r="AR366">
        <f>Table67[[#This Row],[Threshold of ERS]]</f>
        <v>0.61904761904761907</v>
      </c>
      <c r="AS366" t="b">
        <f>Table7[[#This Row],[Extrem Response Ratio (ERS)]]&gt;=Table7[[#This Row],[Threshold of ERS]]</f>
        <v>0</v>
      </c>
      <c r="AT366" t="b" cm="1">
        <f t="array" ref="AT36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66">
        <f>COUNTIF(Table7[[#This Row],[The mechanism of digital assets is difficult to understand, which discourages me from exploring it (E.g, Tokenization, Blockchain)]:[If I want to try different ways to invest, I will explore digital assets.]], 3)</f>
        <v>7</v>
      </c>
      <c r="AV366">
        <f>Table7[[#This Row],[Midpoint]]/21</f>
        <v>0.33333333333333331</v>
      </c>
      <c r="AW366">
        <f>Table67[[#This Row],[Threshold of Midpoint ratio]]</f>
        <v>0.5714285714285714</v>
      </c>
      <c r="AX366" t="b">
        <f>Table7[[#This Row],[Midpoint ratio]]&gt;=Table7[[#This Row],[Threshold of Midpoint ratio]]</f>
        <v>0</v>
      </c>
      <c r="AY366" t="b">
        <f>OR(Table7[[#This Row],[Extreme Response Style]:[Straight-lining with 1 deviation]],Table7[[#This Row],[Mid-point Response Style]])</f>
        <v>0</v>
      </c>
      <c r="AZ366" t="b">
        <f>OR(Table7[[#This Row],[Delete? (Stage 1)]],Table7[[#This Row],[Delete? (Stage 2)]])</f>
        <v>0</v>
      </c>
      <c r="BA366" t="s">
        <v>84</v>
      </c>
    </row>
    <row r="367" spans="1:53">
      <c r="A367">
        <v>1572</v>
      </c>
      <c r="B367" s="3">
        <v>46065.719386574077</v>
      </c>
      <c r="C367" s="3">
        <v>46065.719594907408</v>
      </c>
      <c r="D367" t="s">
        <v>53</v>
      </c>
      <c r="G367" t="s">
        <v>54</v>
      </c>
      <c r="H367" t="s">
        <v>63</v>
      </c>
      <c r="I367" t="s">
        <v>71</v>
      </c>
      <c r="J367" t="s">
        <v>57</v>
      </c>
      <c r="K367" t="s">
        <v>57</v>
      </c>
      <c r="L367" t="s">
        <v>58</v>
      </c>
      <c r="M367" t="s">
        <v>58</v>
      </c>
      <c r="N367">
        <v>1</v>
      </c>
      <c r="O367">
        <v>1</v>
      </c>
      <c r="P367">
        <v>3</v>
      </c>
      <c r="Q367">
        <v>3</v>
      </c>
      <c r="R367">
        <v>1</v>
      </c>
      <c r="S367">
        <v>2</v>
      </c>
      <c r="T367">
        <v>2</v>
      </c>
      <c r="U367">
        <v>3</v>
      </c>
      <c r="V367">
        <v>2</v>
      </c>
      <c r="W367">
        <v>2</v>
      </c>
      <c r="X367">
        <v>2</v>
      </c>
      <c r="Y367">
        <v>2</v>
      </c>
      <c r="Z367">
        <v>2</v>
      </c>
      <c r="AA367">
        <v>3</v>
      </c>
      <c r="AB367">
        <v>2</v>
      </c>
      <c r="AC367">
        <v>3</v>
      </c>
      <c r="AD367">
        <v>3</v>
      </c>
      <c r="AE367">
        <v>3</v>
      </c>
      <c r="AF367">
        <v>3</v>
      </c>
      <c r="AG367">
        <v>2</v>
      </c>
      <c r="AH367">
        <v>4</v>
      </c>
      <c r="AI367">
        <v>2</v>
      </c>
      <c r="AJ367">
        <v>3</v>
      </c>
      <c r="AK367" t="b">
        <f>Table7[[#This Row],[What is your age?]]&lt;&gt;"18 - 25"</f>
        <v>0</v>
      </c>
      <c r="AL367" t="b">
        <f t="shared" si="15"/>
        <v>0</v>
      </c>
      <c r="AM367" t="b">
        <f t="shared" si="16"/>
        <v>0</v>
      </c>
      <c r="AN367" t="b">
        <f t="shared" si="17"/>
        <v>0</v>
      </c>
      <c r="AO367" t="b">
        <f>OR(Table7[[#This Row],[Ineligible respondents]:[Inconsistent response on opposite question (3)]])</f>
        <v>0</v>
      </c>
      <c r="AP36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367">
        <f>Table7[[#This Row],[Extreme Response]]/21</f>
        <v>0.14285714285714285</v>
      </c>
      <c r="AR367">
        <f>Table67[[#This Row],[Threshold of ERS]]</f>
        <v>0.61904761904761907</v>
      </c>
      <c r="AS367" t="b">
        <f>Table7[[#This Row],[Extrem Response Ratio (ERS)]]&gt;=Table7[[#This Row],[Threshold of ERS]]</f>
        <v>0</v>
      </c>
      <c r="AT367" t="b" cm="1">
        <f t="array" ref="AT36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67">
        <f>COUNTIF(Table7[[#This Row],[The mechanism of digital assets is difficult to understand, which discourages me from exploring it (E.g, Tokenization, Blockchain)]:[If I want to try different ways to invest, I will explore digital assets.]], 3)</f>
        <v>8</v>
      </c>
      <c r="AV367">
        <f>Table7[[#This Row],[Midpoint]]/21</f>
        <v>0.38095238095238093</v>
      </c>
      <c r="AW367">
        <f>Table67[[#This Row],[Threshold of Midpoint ratio]]</f>
        <v>0.5714285714285714</v>
      </c>
      <c r="AX367" t="b">
        <f>Table7[[#This Row],[Midpoint ratio]]&gt;=Table7[[#This Row],[Threshold of Midpoint ratio]]</f>
        <v>0</v>
      </c>
      <c r="AY367" t="b">
        <f>OR(Table7[[#This Row],[Extreme Response Style]:[Straight-lining with 1 deviation]],Table7[[#This Row],[Mid-point Response Style]])</f>
        <v>0</v>
      </c>
      <c r="AZ367" t="b">
        <f>OR(Table7[[#This Row],[Delete? (Stage 1)]],Table7[[#This Row],[Delete? (Stage 2)]])</f>
        <v>0</v>
      </c>
      <c r="BA367" t="s">
        <v>84</v>
      </c>
    </row>
    <row r="368" spans="1:53">
      <c r="A368">
        <v>1575</v>
      </c>
      <c r="B368" s="3">
        <v>46065.765694444446</v>
      </c>
      <c r="C368" s="3">
        <v>46065.76730324074</v>
      </c>
      <c r="D368" t="s">
        <v>53</v>
      </c>
      <c r="G368" t="s">
        <v>54</v>
      </c>
      <c r="H368" t="s">
        <v>63</v>
      </c>
      <c r="I368" t="s">
        <v>82</v>
      </c>
      <c r="J368" t="s">
        <v>60</v>
      </c>
      <c r="K368" t="s">
        <v>62</v>
      </c>
      <c r="L368" t="s">
        <v>58</v>
      </c>
      <c r="M368" t="s">
        <v>58</v>
      </c>
      <c r="N368">
        <v>3</v>
      </c>
      <c r="O368">
        <v>4</v>
      </c>
      <c r="P368">
        <v>3</v>
      </c>
      <c r="Q368">
        <v>3</v>
      </c>
      <c r="R368">
        <v>4</v>
      </c>
      <c r="S368">
        <v>4</v>
      </c>
      <c r="T368">
        <v>5</v>
      </c>
      <c r="U368">
        <v>3</v>
      </c>
      <c r="V368">
        <v>3</v>
      </c>
      <c r="W368">
        <v>3</v>
      </c>
      <c r="X368">
        <v>4</v>
      </c>
      <c r="Y368">
        <v>3</v>
      </c>
      <c r="Z368">
        <v>4</v>
      </c>
      <c r="AA368">
        <v>4</v>
      </c>
      <c r="AB368">
        <v>4</v>
      </c>
      <c r="AC368">
        <v>3</v>
      </c>
      <c r="AD368">
        <v>4</v>
      </c>
      <c r="AE368">
        <v>4</v>
      </c>
      <c r="AF368">
        <v>3</v>
      </c>
      <c r="AG368">
        <v>3</v>
      </c>
      <c r="AH368">
        <v>3</v>
      </c>
      <c r="AI368">
        <v>3</v>
      </c>
      <c r="AJ368">
        <v>3</v>
      </c>
      <c r="AK368" t="b">
        <f>Table7[[#This Row],[What is your age?]]&lt;&gt;"18 - 25"</f>
        <v>0</v>
      </c>
      <c r="AL368" t="b">
        <f t="shared" si="15"/>
        <v>0</v>
      </c>
      <c r="AM368" t="b">
        <f t="shared" si="16"/>
        <v>0</v>
      </c>
      <c r="AN368" t="b">
        <f t="shared" si="17"/>
        <v>0</v>
      </c>
      <c r="AO368" t="b">
        <f>OR(Table7[[#This Row],[Ineligible respondents]:[Inconsistent response on opposite question (3)]])</f>
        <v>0</v>
      </c>
      <c r="AP36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368">
        <f>Table7[[#This Row],[Extreme Response]]/21</f>
        <v>4.7619047619047616E-2</v>
      </c>
      <c r="AR368">
        <f>Table67[[#This Row],[Threshold of ERS]]</f>
        <v>0.61904761904761907</v>
      </c>
      <c r="AS368" t="b">
        <f>Table7[[#This Row],[Extrem Response Ratio (ERS)]]&gt;=Table7[[#This Row],[Threshold of ERS]]</f>
        <v>0</v>
      </c>
      <c r="AT368" t="b" cm="1">
        <f t="array" ref="AT36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68">
        <f>COUNTIF(Table7[[#This Row],[The mechanism of digital assets is difficult to understand, which discourages me from exploring it (E.g, Tokenization, Blockchain)]:[If I want to try different ways to invest, I will explore digital assets.]], 3)</f>
        <v>11</v>
      </c>
      <c r="AV368">
        <f>Table7[[#This Row],[Midpoint]]/21</f>
        <v>0.52380952380952384</v>
      </c>
      <c r="AW368">
        <f>Table67[[#This Row],[Threshold of Midpoint ratio]]</f>
        <v>0.5714285714285714</v>
      </c>
      <c r="AX368" t="b">
        <f>Table7[[#This Row],[Midpoint ratio]]&gt;=Table7[[#This Row],[Threshold of Midpoint ratio]]</f>
        <v>0</v>
      </c>
      <c r="AY368" t="b">
        <f>OR(Table7[[#This Row],[Extreme Response Style]:[Straight-lining with 1 deviation]],Table7[[#This Row],[Mid-point Response Style]])</f>
        <v>0</v>
      </c>
      <c r="AZ368" t="b">
        <f>OR(Table7[[#This Row],[Delete? (Stage 1)]],Table7[[#This Row],[Delete? (Stage 2)]])</f>
        <v>0</v>
      </c>
      <c r="BA368" t="s">
        <v>84</v>
      </c>
    </row>
    <row r="369" spans="1:53">
      <c r="A369">
        <v>1577</v>
      </c>
      <c r="B369" s="3">
        <v>46065.870057870372</v>
      </c>
      <c r="C369" s="3">
        <v>46065.875914351855</v>
      </c>
      <c r="D369" t="s">
        <v>53</v>
      </c>
      <c r="G369" t="s">
        <v>54</v>
      </c>
      <c r="H369" t="s">
        <v>63</v>
      </c>
      <c r="I369" t="s">
        <v>56</v>
      </c>
      <c r="J369" t="s">
        <v>62</v>
      </c>
      <c r="K369" t="s">
        <v>62</v>
      </c>
      <c r="L369" t="s">
        <v>58</v>
      </c>
      <c r="M369" t="s">
        <v>58</v>
      </c>
      <c r="N369">
        <v>5</v>
      </c>
      <c r="O369">
        <v>4</v>
      </c>
      <c r="P369">
        <v>3</v>
      </c>
      <c r="Q369">
        <v>3</v>
      </c>
      <c r="R369">
        <v>4</v>
      </c>
      <c r="S369">
        <v>3</v>
      </c>
      <c r="T369">
        <v>3</v>
      </c>
      <c r="U369">
        <v>3</v>
      </c>
      <c r="V369">
        <v>3</v>
      </c>
      <c r="W369">
        <v>4</v>
      </c>
      <c r="X369">
        <v>2</v>
      </c>
      <c r="Y369">
        <v>4</v>
      </c>
      <c r="Z369">
        <v>2</v>
      </c>
      <c r="AA369">
        <v>2</v>
      </c>
      <c r="AB369">
        <v>3</v>
      </c>
      <c r="AC369">
        <v>3</v>
      </c>
      <c r="AD369">
        <v>2</v>
      </c>
      <c r="AE369">
        <v>2</v>
      </c>
      <c r="AF369">
        <v>5</v>
      </c>
      <c r="AG369">
        <v>1</v>
      </c>
      <c r="AH369">
        <v>5</v>
      </c>
      <c r="AI369">
        <v>1</v>
      </c>
      <c r="AJ369">
        <v>1</v>
      </c>
      <c r="AK369" t="b">
        <f>Table7[[#This Row],[What is your age?]]&lt;&gt;"18 - 25"</f>
        <v>0</v>
      </c>
      <c r="AL369" t="b">
        <f t="shared" si="15"/>
        <v>0</v>
      </c>
      <c r="AM369" t="b">
        <f t="shared" si="16"/>
        <v>0</v>
      </c>
      <c r="AN369" t="b">
        <f t="shared" si="17"/>
        <v>0</v>
      </c>
      <c r="AO369" t="b">
        <f>OR(Table7[[#This Row],[Ineligible respondents]:[Inconsistent response on opposite question (3)]])</f>
        <v>0</v>
      </c>
      <c r="AP36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369">
        <f>Table7[[#This Row],[Extreme Response]]/21</f>
        <v>0.19047619047619047</v>
      </c>
      <c r="AR369">
        <f>Table67[[#This Row],[Threshold of ERS]]</f>
        <v>0.61904761904761907</v>
      </c>
      <c r="AS369" t="b">
        <f>Table7[[#This Row],[Extrem Response Ratio (ERS)]]&gt;=Table7[[#This Row],[Threshold of ERS]]</f>
        <v>0</v>
      </c>
      <c r="AT369" t="b" cm="1">
        <f t="array" ref="AT36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69">
        <f>COUNTIF(Table7[[#This Row],[The mechanism of digital assets is difficult to understand, which discourages me from exploring it (E.g, Tokenization, Blockchain)]:[If I want to try different ways to invest, I will explore digital assets.]], 3)</f>
        <v>8</v>
      </c>
      <c r="AV369">
        <f>Table7[[#This Row],[Midpoint]]/21</f>
        <v>0.38095238095238093</v>
      </c>
      <c r="AW369">
        <f>Table67[[#This Row],[Threshold of Midpoint ratio]]</f>
        <v>0.5714285714285714</v>
      </c>
      <c r="AX369" t="b">
        <f>Table7[[#This Row],[Midpoint ratio]]&gt;=Table7[[#This Row],[Threshold of Midpoint ratio]]</f>
        <v>0</v>
      </c>
      <c r="AY369" t="b">
        <f>OR(Table7[[#This Row],[Extreme Response Style]:[Straight-lining with 1 deviation]],Table7[[#This Row],[Mid-point Response Style]])</f>
        <v>0</v>
      </c>
      <c r="AZ369" t="b">
        <f>OR(Table7[[#This Row],[Delete? (Stage 1)]],Table7[[#This Row],[Delete? (Stage 2)]])</f>
        <v>0</v>
      </c>
      <c r="BA369" t="s">
        <v>84</v>
      </c>
    </row>
    <row r="370" spans="1:53">
      <c r="A370">
        <v>1580</v>
      </c>
      <c r="B370" s="3">
        <v>46065.72934027778</v>
      </c>
      <c r="C370" s="3">
        <v>46065.730243055557</v>
      </c>
      <c r="D370" t="s">
        <v>53</v>
      </c>
      <c r="G370" t="s">
        <v>54</v>
      </c>
      <c r="H370" t="s">
        <v>55</v>
      </c>
      <c r="I370" t="s">
        <v>75</v>
      </c>
      <c r="J370" t="s">
        <v>57</v>
      </c>
      <c r="K370" t="s">
        <v>57</v>
      </c>
      <c r="L370" t="s">
        <v>58</v>
      </c>
      <c r="M370" t="s">
        <v>58</v>
      </c>
      <c r="N370">
        <v>1</v>
      </c>
      <c r="O370">
        <v>1</v>
      </c>
      <c r="P370">
        <v>3</v>
      </c>
      <c r="Q370">
        <v>3</v>
      </c>
      <c r="R370">
        <v>1</v>
      </c>
      <c r="S370">
        <v>1</v>
      </c>
      <c r="T370">
        <v>1</v>
      </c>
      <c r="U370">
        <v>3</v>
      </c>
      <c r="V370">
        <v>2</v>
      </c>
      <c r="W370">
        <v>2</v>
      </c>
      <c r="X370">
        <v>1</v>
      </c>
      <c r="Y370">
        <v>1</v>
      </c>
      <c r="Z370">
        <v>1</v>
      </c>
      <c r="AA370">
        <v>1</v>
      </c>
      <c r="AB370">
        <v>2</v>
      </c>
      <c r="AC370">
        <v>3</v>
      </c>
      <c r="AD370">
        <v>1</v>
      </c>
      <c r="AE370">
        <v>1</v>
      </c>
      <c r="AF370">
        <v>3</v>
      </c>
      <c r="AG370">
        <v>2</v>
      </c>
      <c r="AH370">
        <v>5</v>
      </c>
      <c r="AI370">
        <v>1</v>
      </c>
      <c r="AJ370">
        <v>3</v>
      </c>
      <c r="AK370" t="b">
        <f>Table7[[#This Row],[What is your age?]]&lt;&gt;"18 - 25"</f>
        <v>0</v>
      </c>
      <c r="AL370" t="b">
        <f t="shared" si="15"/>
        <v>0</v>
      </c>
      <c r="AM370" t="b">
        <f t="shared" si="16"/>
        <v>0</v>
      </c>
      <c r="AN370" t="b">
        <f t="shared" si="17"/>
        <v>0</v>
      </c>
      <c r="AO370" t="b">
        <f>OR(Table7[[#This Row],[Ineligible respondents]:[Inconsistent response on opposite question (3)]])</f>
        <v>0</v>
      </c>
      <c r="AP37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12</v>
      </c>
      <c r="AQ370">
        <f>Table7[[#This Row],[Extreme Response]]/21</f>
        <v>0.5714285714285714</v>
      </c>
      <c r="AR370">
        <f>Table67[[#This Row],[Threshold of ERS]]</f>
        <v>0.61904761904761907</v>
      </c>
      <c r="AS370" t="b">
        <f>Table7[[#This Row],[Extrem Response Ratio (ERS)]]&gt;=Table7[[#This Row],[Threshold of ERS]]</f>
        <v>0</v>
      </c>
      <c r="AT370" t="b" cm="1">
        <f t="array" ref="AT37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70">
        <f>COUNTIF(Table7[[#This Row],[The mechanism of digital assets is difficult to understand, which discourages me from exploring it (E.g, Tokenization, Blockchain)]:[If I want to try different ways to invest, I will explore digital assets.]], 3)</f>
        <v>5</v>
      </c>
      <c r="AV370">
        <f>Table7[[#This Row],[Midpoint]]/21</f>
        <v>0.23809523809523808</v>
      </c>
      <c r="AW370">
        <f>Table67[[#This Row],[Threshold of Midpoint ratio]]</f>
        <v>0.5714285714285714</v>
      </c>
      <c r="AX370" t="b">
        <f>Table7[[#This Row],[Midpoint ratio]]&gt;=Table7[[#This Row],[Threshold of Midpoint ratio]]</f>
        <v>0</v>
      </c>
      <c r="AY370" t="b">
        <f>OR(Table7[[#This Row],[Extreme Response Style]:[Straight-lining with 1 deviation]],Table7[[#This Row],[Mid-point Response Style]])</f>
        <v>0</v>
      </c>
      <c r="AZ370" t="b">
        <f>OR(Table7[[#This Row],[Delete? (Stage 1)]],Table7[[#This Row],[Delete? (Stage 2)]])</f>
        <v>0</v>
      </c>
      <c r="BA370" t="s">
        <v>84</v>
      </c>
    </row>
    <row r="371" spans="1:53">
      <c r="A371">
        <v>1581</v>
      </c>
      <c r="B371" s="3">
        <v>46065.882268518515</v>
      </c>
      <c r="C371" s="3">
        <v>46065.889317129629</v>
      </c>
      <c r="D371" t="s">
        <v>53</v>
      </c>
      <c r="G371" t="s">
        <v>54</v>
      </c>
      <c r="H371" t="s">
        <v>55</v>
      </c>
      <c r="I371" t="s">
        <v>56</v>
      </c>
      <c r="J371" t="s">
        <v>65</v>
      </c>
      <c r="K371" t="s">
        <v>60</v>
      </c>
      <c r="L371" t="s">
        <v>58</v>
      </c>
      <c r="M371" t="s">
        <v>58</v>
      </c>
      <c r="N371">
        <v>2</v>
      </c>
      <c r="O371">
        <v>2</v>
      </c>
      <c r="P371">
        <v>2</v>
      </c>
      <c r="Q371">
        <v>2</v>
      </c>
      <c r="R371">
        <v>2</v>
      </c>
      <c r="S371">
        <v>2</v>
      </c>
      <c r="T371">
        <v>2</v>
      </c>
      <c r="U371">
        <v>2</v>
      </c>
      <c r="V371">
        <v>2</v>
      </c>
      <c r="W371">
        <v>2</v>
      </c>
      <c r="X371">
        <v>2</v>
      </c>
      <c r="Y371">
        <v>2</v>
      </c>
      <c r="Z371">
        <v>3</v>
      </c>
      <c r="AA371">
        <v>2</v>
      </c>
      <c r="AB371">
        <v>2</v>
      </c>
      <c r="AC371">
        <v>2</v>
      </c>
      <c r="AD371">
        <v>3</v>
      </c>
      <c r="AE371">
        <v>2</v>
      </c>
      <c r="AF371">
        <v>5</v>
      </c>
      <c r="AG371">
        <v>1</v>
      </c>
      <c r="AH371">
        <v>4</v>
      </c>
      <c r="AI371">
        <v>2</v>
      </c>
      <c r="AJ371">
        <v>1</v>
      </c>
      <c r="AK371" t="b">
        <f>Table7[[#This Row],[What is your age?]]&lt;&gt;"18 - 25"</f>
        <v>0</v>
      </c>
      <c r="AL371" t="b">
        <f t="shared" si="15"/>
        <v>0</v>
      </c>
      <c r="AM371" t="b">
        <f t="shared" si="16"/>
        <v>0</v>
      </c>
      <c r="AN371" t="b">
        <f t="shared" si="17"/>
        <v>0</v>
      </c>
      <c r="AO371" t="b">
        <f>OR(Table7[[#This Row],[Ineligible respondents]:[Inconsistent response on opposite question (3)]])</f>
        <v>0</v>
      </c>
      <c r="AP37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371">
        <f>Table7[[#This Row],[Extreme Response]]/21</f>
        <v>9.5238095238095233E-2</v>
      </c>
      <c r="AR371">
        <f>Table67[[#This Row],[Threshold of ERS]]</f>
        <v>0.61904761904761907</v>
      </c>
      <c r="AS371" t="b">
        <f>Table7[[#This Row],[Extrem Response Ratio (ERS)]]&gt;=Table7[[#This Row],[Threshold of ERS]]</f>
        <v>0</v>
      </c>
      <c r="AT371" t="b" cm="1">
        <f t="array" ref="AT37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71">
        <f>COUNTIF(Table7[[#This Row],[The mechanism of digital assets is difficult to understand, which discourages me from exploring it (E.g, Tokenization, Blockchain)]:[If I want to try different ways to invest, I will explore digital assets.]], 3)</f>
        <v>2</v>
      </c>
      <c r="AV371">
        <f>Table7[[#This Row],[Midpoint]]/21</f>
        <v>9.5238095238095233E-2</v>
      </c>
      <c r="AW371">
        <f>Table67[[#This Row],[Threshold of Midpoint ratio]]</f>
        <v>0.5714285714285714</v>
      </c>
      <c r="AX371" t="b">
        <f>Table7[[#This Row],[Midpoint ratio]]&gt;=Table7[[#This Row],[Threshold of Midpoint ratio]]</f>
        <v>0</v>
      </c>
      <c r="AY371" t="b">
        <f>OR(Table7[[#This Row],[Extreme Response Style]:[Straight-lining with 1 deviation]],Table7[[#This Row],[Mid-point Response Style]])</f>
        <v>0</v>
      </c>
      <c r="AZ371" t="b">
        <f>OR(Table7[[#This Row],[Delete? (Stage 1)]],Table7[[#This Row],[Delete? (Stage 2)]])</f>
        <v>0</v>
      </c>
      <c r="BA371" t="s">
        <v>84</v>
      </c>
    </row>
    <row r="372" spans="1:53">
      <c r="A372">
        <v>1585</v>
      </c>
      <c r="B372" s="3">
        <v>46065.828159722223</v>
      </c>
      <c r="C372" s="3">
        <v>46065.832349537035</v>
      </c>
      <c r="D372" t="s">
        <v>53</v>
      </c>
      <c r="G372" t="s">
        <v>54</v>
      </c>
      <c r="H372" t="s">
        <v>55</v>
      </c>
      <c r="I372" t="s">
        <v>71</v>
      </c>
      <c r="J372" t="s">
        <v>64</v>
      </c>
      <c r="K372" t="s">
        <v>57</v>
      </c>
      <c r="L372" t="s">
        <v>58</v>
      </c>
      <c r="M372" t="s">
        <v>58</v>
      </c>
      <c r="N372">
        <v>3</v>
      </c>
      <c r="O372">
        <v>3</v>
      </c>
      <c r="P372">
        <v>3</v>
      </c>
      <c r="Q372">
        <v>4</v>
      </c>
      <c r="R372">
        <v>3</v>
      </c>
      <c r="S372">
        <v>3</v>
      </c>
      <c r="T372">
        <v>3</v>
      </c>
      <c r="U372">
        <v>4</v>
      </c>
      <c r="V372">
        <v>4</v>
      </c>
      <c r="W372">
        <v>4</v>
      </c>
      <c r="X372">
        <v>4</v>
      </c>
      <c r="Y372">
        <v>5</v>
      </c>
      <c r="Z372">
        <v>4</v>
      </c>
      <c r="AA372">
        <v>3</v>
      </c>
      <c r="AB372">
        <v>2</v>
      </c>
      <c r="AC372">
        <v>4</v>
      </c>
      <c r="AD372">
        <v>4</v>
      </c>
      <c r="AE372">
        <v>4</v>
      </c>
      <c r="AF372">
        <v>2</v>
      </c>
      <c r="AG372">
        <v>3</v>
      </c>
      <c r="AH372">
        <v>3</v>
      </c>
      <c r="AI372">
        <v>3</v>
      </c>
      <c r="AJ372">
        <v>4</v>
      </c>
      <c r="AK372" t="b">
        <f>Table7[[#This Row],[What is your age?]]&lt;&gt;"18 - 25"</f>
        <v>0</v>
      </c>
      <c r="AL372" t="b">
        <f t="shared" si="15"/>
        <v>0</v>
      </c>
      <c r="AM372" t="b">
        <f t="shared" si="16"/>
        <v>0</v>
      </c>
      <c r="AN372" t="b">
        <f t="shared" si="17"/>
        <v>0</v>
      </c>
      <c r="AO372" t="b">
        <f>OR(Table7[[#This Row],[Ineligible respondents]:[Inconsistent response on opposite question (3)]])</f>
        <v>0</v>
      </c>
      <c r="AP37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372">
        <f>Table7[[#This Row],[Extreme Response]]/21</f>
        <v>4.7619047619047616E-2</v>
      </c>
      <c r="AR372">
        <f>Table67[[#This Row],[Threshold of ERS]]</f>
        <v>0.61904761904761907</v>
      </c>
      <c r="AS372" t="b">
        <f>Table7[[#This Row],[Extrem Response Ratio (ERS)]]&gt;=Table7[[#This Row],[Threshold of ERS]]</f>
        <v>0</v>
      </c>
      <c r="AT372" t="b" cm="1">
        <f t="array" ref="AT37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72">
        <f>COUNTIF(Table7[[#This Row],[The mechanism of digital assets is difficult to understand, which discourages me from exploring it (E.g, Tokenization, Blockchain)]:[If I want to try different ways to invest, I will explore digital assets.]], 3)</f>
        <v>9</v>
      </c>
      <c r="AV372">
        <f>Table7[[#This Row],[Midpoint]]/21</f>
        <v>0.42857142857142855</v>
      </c>
      <c r="AW372">
        <f>Table67[[#This Row],[Threshold of Midpoint ratio]]</f>
        <v>0.5714285714285714</v>
      </c>
      <c r="AX372" t="b">
        <f>Table7[[#This Row],[Midpoint ratio]]&gt;=Table7[[#This Row],[Threshold of Midpoint ratio]]</f>
        <v>0</v>
      </c>
      <c r="AY372" t="b">
        <f>OR(Table7[[#This Row],[Extreme Response Style]:[Straight-lining with 1 deviation]],Table7[[#This Row],[Mid-point Response Style]])</f>
        <v>0</v>
      </c>
      <c r="AZ372" t="b">
        <f>OR(Table7[[#This Row],[Delete? (Stage 1)]],Table7[[#This Row],[Delete? (Stage 2)]])</f>
        <v>0</v>
      </c>
      <c r="BA372" t="s">
        <v>84</v>
      </c>
    </row>
    <row r="373" spans="1:53">
      <c r="A373">
        <v>1588</v>
      </c>
      <c r="B373" s="3">
        <v>46065.882245370369</v>
      </c>
      <c r="C373" s="3">
        <v>46065.888518518521</v>
      </c>
      <c r="D373" t="s">
        <v>53</v>
      </c>
      <c r="G373" t="s">
        <v>54</v>
      </c>
      <c r="H373" t="s">
        <v>55</v>
      </c>
      <c r="I373" t="s">
        <v>56</v>
      </c>
      <c r="J373" t="s">
        <v>62</v>
      </c>
      <c r="K373" t="s">
        <v>62</v>
      </c>
      <c r="L373" t="s">
        <v>58</v>
      </c>
      <c r="M373" t="s">
        <v>58</v>
      </c>
      <c r="N373">
        <v>2</v>
      </c>
      <c r="O373">
        <v>2</v>
      </c>
      <c r="P373">
        <v>2</v>
      </c>
      <c r="Q373">
        <v>3</v>
      </c>
      <c r="R373">
        <v>2</v>
      </c>
      <c r="S373">
        <v>1</v>
      </c>
      <c r="T373">
        <v>1</v>
      </c>
      <c r="U373">
        <v>3</v>
      </c>
      <c r="V373">
        <v>4</v>
      </c>
      <c r="W373">
        <v>4</v>
      </c>
      <c r="X373">
        <v>3</v>
      </c>
      <c r="Y373">
        <v>4</v>
      </c>
      <c r="Z373">
        <v>3</v>
      </c>
      <c r="AA373">
        <v>1</v>
      </c>
      <c r="AB373">
        <v>1</v>
      </c>
      <c r="AC373">
        <v>2</v>
      </c>
      <c r="AD373">
        <v>3</v>
      </c>
      <c r="AE373">
        <v>2</v>
      </c>
      <c r="AF373">
        <v>3</v>
      </c>
      <c r="AG373">
        <v>2</v>
      </c>
      <c r="AH373">
        <v>5</v>
      </c>
      <c r="AI373">
        <v>1</v>
      </c>
      <c r="AJ373">
        <v>3</v>
      </c>
      <c r="AK373" t="b">
        <f>Table7[[#This Row],[What is your age?]]&lt;&gt;"18 - 25"</f>
        <v>0</v>
      </c>
      <c r="AL373" t="b">
        <f t="shared" si="15"/>
        <v>0</v>
      </c>
      <c r="AM373" t="b">
        <f t="shared" si="16"/>
        <v>0</v>
      </c>
      <c r="AN373" t="b">
        <f t="shared" si="17"/>
        <v>0</v>
      </c>
      <c r="AO373" t="b">
        <f>OR(Table7[[#This Row],[Ineligible respondents]:[Inconsistent response on opposite question (3)]])</f>
        <v>0</v>
      </c>
      <c r="AP37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5</v>
      </c>
      <c r="AQ373">
        <f>Table7[[#This Row],[Extreme Response]]/21</f>
        <v>0.23809523809523808</v>
      </c>
      <c r="AR373">
        <f>Table67[[#This Row],[Threshold of ERS]]</f>
        <v>0.61904761904761907</v>
      </c>
      <c r="AS373" t="b">
        <f>Table7[[#This Row],[Extrem Response Ratio (ERS)]]&gt;=Table7[[#This Row],[Threshold of ERS]]</f>
        <v>0</v>
      </c>
      <c r="AT373" t="b" cm="1">
        <f t="array" ref="AT37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73">
        <f>COUNTIF(Table7[[#This Row],[The mechanism of digital assets is difficult to understand, which discourages me from exploring it (E.g, Tokenization, Blockchain)]:[If I want to try different ways to invest, I will explore digital assets.]], 3)</f>
        <v>6</v>
      </c>
      <c r="AV373">
        <f>Table7[[#This Row],[Midpoint]]/21</f>
        <v>0.2857142857142857</v>
      </c>
      <c r="AW373">
        <f>Table67[[#This Row],[Threshold of Midpoint ratio]]</f>
        <v>0.5714285714285714</v>
      </c>
      <c r="AX373" t="b">
        <f>Table7[[#This Row],[Midpoint ratio]]&gt;=Table7[[#This Row],[Threshold of Midpoint ratio]]</f>
        <v>0</v>
      </c>
      <c r="AY373" t="b">
        <f>OR(Table7[[#This Row],[Extreme Response Style]:[Straight-lining with 1 deviation]],Table7[[#This Row],[Mid-point Response Style]])</f>
        <v>0</v>
      </c>
      <c r="AZ373" t="b">
        <f>OR(Table7[[#This Row],[Delete? (Stage 1)]],Table7[[#This Row],[Delete? (Stage 2)]])</f>
        <v>0</v>
      </c>
      <c r="BA373" t="s">
        <v>84</v>
      </c>
    </row>
    <row r="374" spans="1:53">
      <c r="A374">
        <v>1591</v>
      </c>
      <c r="B374" s="3">
        <v>46065.882291666669</v>
      </c>
      <c r="C374" s="3">
        <v>46065.89534722222</v>
      </c>
      <c r="D374" t="s">
        <v>53</v>
      </c>
      <c r="G374" t="s">
        <v>54</v>
      </c>
      <c r="H374" t="s">
        <v>55</v>
      </c>
      <c r="I374" t="s">
        <v>56</v>
      </c>
      <c r="J374" t="s">
        <v>62</v>
      </c>
      <c r="K374" t="s">
        <v>62</v>
      </c>
      <c r="L374" t="s">
        <v>58</v>
      </c>
      <c r="M374" t="s">
        <v>58</v>
      </c>
      <c r="N374">
        <v>1</v>
      </c>
      <c r="O374">
        <v>2</v>
      </c>
      <c r="P374">
        <v>2</v>
      </c>
      <c r="Q374">
        <v>2</v>
      </c>
      <c r="R374">
        <v>2</v>
      </c>
      <c r="S374">
        <v>2</v>
      </c>
      <c r="T374">
        <v>1</v>
      </c>
      <c r="U374">
        <v>2</v>
      </c>
      <c r="V374">
        <v>3</v>
      </c>
      <c r="W374">
        <v>3</v>
      </c>
      <c r="X374">
        <v>2</v>
      </c>
      <c r="Y374">
        <v>3</v>
      </c>
      <c r="Z374">
        <v>2</v>
      </c>
      <c r="AA374">
        <v>1</v>
      </c>
      <c r="AB374">
        <v>1</v>
      </c>
      <c r="AC374">
        <v>2</v>
      </c>
      <c r="AD374">
        <v>2</v>
      </c>
      <c r="AE374">
        <v>2</v>
      </c>
      <c r="AF374">
        <v>5</v>
      </c>
      <c r="AG374">
        <v>1</v>
      </c>
      <c r="AH374">
        <v>5</v>
      </c>
      <c r="AI374">
        <v>1</v>
      </c>
      <c r="AJ374">
        <v>1</v>
      </c>
      <c r="AK374" t="b">
        <f>Table7[[#This Row],[What is your age?]]&lt;&gt;"18 - 25"</f>
        <v>0</v>
      </c>
      <c r="AL374" t="b">
        <f t="shared" si="15"/>
        <v>0</v>
      </c>
      <c r="AM374" t="b">
        <f t="shared" si="16"/>
        <v>0</v>
      </c>
      <c r="AN374" t="b">
        <f t="shared" si="17"/>
        <v>0</v>
      </c>
      <c r="AO374" t="b">
        <f>OR(Table7[[#This Row],[Ineligible respondents]:[Inconsistent response on opposite question (3)]])</f>
        <v>0</v>
      </c>
      <c r="AP37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7</v>
      </c>
      <c r="AQ374">
        <f>Table7[[#This Row],[Extreme Response]]/21</f>
        <v>0.33333333333333331</v>
      </c>
      <c r="AR374">
        <f>Table67[[#This Row],[Threshold of ERS]]</f>
        <v>0.61904761904761907</v>
      </c>
      <c r="AS374" t="b">
        <f>Table7[[#This Row],[Extrem Response Ratio (ERS)]]&gt;=Table7[[#This Row],[Threshold of ERS]]</f>
        <v>0</v>
      </c>
      <c r="AT374" t="b" cm="1">
        <f t="array" ref="AT37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74">
        <f>COUNTIF(Table7[[#This Row],[The mechanism of digital assets is difficult to understand, which discourages me from exploring it (E.g, Tokenization, Blockchain)]:[If I want to try different ways to invest, I will explore digital assets.]], 3)</f>
        <v>3</v>
      </c>
      <c r="AV374">
        <f>Table7[[#This Row],[Midpoint]]/21</f>
        <v>0.14285714285714285</v>
      </c>
      <c r="AW374">
        <f>Table67[[#This Row],[Threshold of Midpoint ratio]]</f>
        <v>0.5714285714285714</v>
      </c>
      <c r="AX374" t="b">
        <f>Table7[[#This Row],[Midpoint ratio]]&gt;=Table7[[#This Row],[Threshold of Midpoint ratio]]</f>
        <v>0</v>
      </c>
      <c r="AY374" t="b">
        <f>OR(Table7[[#This Row],[Extreme Response Style]:[Straight-lining with 1 deviation]],Table7[[#This Row],[Mid-point Response Style]])</f>
        <v>0</v>
      </c>
      <c r="AZ374" t="b">
        <f>OR(Table7[[#This Row],[Delete? (Stage 1)]],Table7[[#This Row],[Delete? (Stage 2)]])</f>
        <v>0</v>
      </c>
      <c r="BA374" t="s">
        <v>84</v>
      </c>
    </row>
    <row r="375" spans="1:53">
      <c r="A375">
        <v>1592</v>
      </c>
      <c r="B375" s="3">
        <v>46065.728761574072</v>
      </c>
      <c r="C375" s="3">
        <v>46065.729039351849</v>
      </c>
      <c r="D375" t="s">
        <v>53</v>
      </c>
      <c r="G375" t="s">
        <v>54</v>
      </c>
      <c r="H375" t="s">
        <v>55</v>
      </c>
      <c r="I375" t="s">
        <v>56</v>
      </c>
      <c r="J375" t="s">
        <v>62</v>
      </c>
      <c r="K375" t="s">
        <v>62</v>
      </c>
      <c r="L375" t="s">
        <v>58</v>
      </c>
      <c r="M375" t="s">
        <v>58</v>
      </c>
      <c r="N375">
        <v>2</v>
      </c>
      <c r="O375">
        <v>3</v>
      </c>
      <c r="P375">
        <v>4</v>
      </c>
      <c r="Q375">
        <v>4</v>
      </c>
      <c r="R375">
        <v>2</v>
      </c>
      <c r="S375">
        <v>2</v>
      </c>
      <c r="T375">
        <v>2</v>
      </c>
      <c r="U375">
        <v>4</v>
      </c>
      <c r="V375">
        <v>3</v>
      </c>
      <c r="W375">
        <v>3</v>
      </c>
      <c r="X375">
        <v>2</v>
      </c>
      <c r="Y375">
        <v>4</v>
      </c>
      <c r="Z375">
        <v>3</v>
      </c>
      <c r="AA375">
        <v>3</v>
      </c>
      <c r="AB375">
        <v>3</v>
      </c>
      <c r="AC375">
        <v>4</v>
      </c>
      <c r="AD375">
        <v>3</v>
      </c>
      <c r="AE375">
        <v>3</v>
      </c>
      <c r="AF375">
        <v>2</v>
      </c>
      <c r="AG375">
        <v>4</v>
      </c>
      <c r="AH375">
        <v>1</v>
      </c>
      <c r="AI375">
        <v>5</v>
      </c>
      <c r="AJ375">
        <v>4</v>
      </c>
      <c r="AK375" t="b">
        <f>Table7[[#This Row],[What is your age?]]&lt;&gt;"18 - 25"</f>
        <v>0</v>
      </c>
      <c r="AL375" t="b">
        <f t="shared" si="15"/>
        <v>0</v>
      </c>
      <c r="AM375" t="b">
        <f t="shared" si="16"/>
        <v>0</v>
      </c>
      <c r="AN375" t="b">
        <f t="shared" si="17"/>
        <v>0</v>
      </c>
      <c r="AO375" t="b">
        <f>OR(Table7[[#This Row],[Ineligible respondents]:[Inconsistent response on opposite question (3)]])</f>
        <v>0</v>
      </c>
      <c r="AP37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375">
        <f>Table7[[#This Row],[Extreme Response]]/21</f>
        <v>4.7619047619047616E-2</v>
      </c>
      <c r="AR375">
        <f>Table67[[#This Row],[Threshold of ERS]]</f>
        <v>0.61904761904761907</v>
      </c>
      <c r="AS375" t="b">
        <f>Table7[[#This Row],[Extrem Response Ratio (ERS)]]&gt;=Table7[[#This Row],[Threshold of ERS]]</f>
        <v>0</v>
      </c>
      <c r="AT375" t="b" cm="1">
        <f t="array" ref="AT37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75">
        <f>COUNTIF(Table7[[#This Row],[The mechanism of digital assets is difficult to understand, which discourages me from exploring it (E.g, Tokenization, Blockchain)]:[If I want to try different ways to invest, I will explore digital assets.]], 3)</f>
        <v>8</v>
      </c>
      <c r="AV375">
        <f>Table7[[#This Row],[Midpoint]]/21</f>
        <v>0.38095238095238093</v>
      </c>
      <c r="AW375">
        <f>Table67[[#This Row],[Threshold of Midpoint ratio]]</f>
        <v>0.5714285714285714</v>
      </c>
      <c r="AX375" t="b">
        <f>Table7[[#This Row],[Midpoint ratio]]&gt;=Table7[[#This Row],[Threshold of Midpoint ratio]]</f>
        <v>0</v>
      </c>
      <c r="AY375" t="b">
        <f>OR(Table7[[#This Row],[Extreme Response Style]:[Straight-lining with 1 deviation]],Table7[[#This Row],[Mid-point Response Style]])</f>
        <v>0</v>
      </c>
      <c r="AZ375" t="b">
        <f>OR(Table7[[#This Row],[Delete? (Stage 1)]],Table7[[#This Row],[Delete? (Stage 2)]])</f>
        <v>0</v>
      </c>
      <c r="BA375" t="s">
        <v>84</v>
      </c>
    </row>
    <row r="376" spans="1:53">
      <c r="A376">
        <v>1593</v>
      </c>
      <c r="B376" s="3">
        <v>46065.769131944442</v>
      </c>
      <c r="C376" s="3">
        <v>46065.770567129628</v>
      </c>
      <c r="D376" t="s">
        <v>53</v>
      </c>
      <c r="G376" t="s">
        <v>54</v>
      </c>
      <c r="H376" t="s">
        <v>55</v>
      </c>
      <c r="I376" t="s">
        <v>56</v>
      </c>
      <c r="J376" t="s">
        <v>60</v>
      </c>
      <c r="K376" t="s">
        <v>68</v>
      </c>
      <c r="L376" t="s">
        <v>58</v>
      </c>
      <c r="M376" t="s">
        <v>58</v>
      </c>
      <c r="N376">
        <v>5</v>
      </c>
      <c r="O376">
        <v>5</v>
      </c>
      <c r="P376">
        <v>4</v>
      </c>
      <c r="Q376">
        <v>4</v>
      </c>
      <c r="R376">
        <v>4</v>
      </c>
      <c r="S376">
        <v>3</v>
      </c>
      <c r="T376">
        <v>3</v>
      </c>
      <c r="U376">
        <v>4</v>
      </c>
      <c r="V376">
        <v>5</v>
      </c>
      <c r="W376">
        <v>5</v>
      </c>
      <c r="X376">
        <v>4</v>
      </c>
      <c r="Y376">
        <v>4</v>
      </c>
      <c r="Z376">
        <v>3</v>
      </c>
      <c r="AA376">
        <v>4</v>
      </c>
      <c r="AB376">
        <v>3</v>
      </c>
      <c r="AC376">
        <v>5</v>
      </c>
      <c r="AD376">
        <v>4</v>
      </c>
      <c r="AE376">
        <v>4</v>
      </c>
      <c r="AF376">
        <v>2</v>
      </c>
      <c r="AG376">
        <v>3</v>
      </c>
      <c r="AH376">
        <v>3</v>
      </c>
      <c r="AI376">
        <v>3</v>
      </c>
      <c r="AJ376">
        <v>4</v>
      </c>
      <c r="AK376" t="b">
        <f>Table7[[#This Row],[What is your age?]]&lt;&gt;"18 - 25"</f>
        <v>0</v>
      </c>
      <c r="AL376" t="b">
        <f t="shared" si="15"/>
        <v>0</v>
      </c>
      <c r="AM376" t="b">
        <f t="shared" si="16"/>
        <v>0</v>
      </c>
      <c r="AN376" t="b">
        <f t="shared" si="17"/>
        <v>0</v>
      </c>
      <c r="AO376" t="b">
        <f>OR(Table7[[#This Row],[Ineligible respondents]:[Inconsistent response on opposite question (3)]])</f>
        <v>0</v>
      </c>
      <c r="AP37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5</v>
      </c>
      <c r="AQ376">
        <f>Table7[[#This Row],[Extreme Response]]/21</f>
        <v>0.23809523809523808</v>
      </c>
      <c r="AR376">
        <f>Table67[[#This Row],[Threshold of ERS]]</f>
        <v>0.61904761904761907</v>
      </c>
      <c r="AS376" t="b">
        <f>Table7[[#This Row],[Extrem Response Ratio (ERS)]]&gt;=Table7[[#This Row],[Threshold of ERS]]</f>
        <v>0</v>
      </c>
      <c r="AT376" t="b" cm="1">
        <f t="array" ref="AT37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76">
        <f>COUNTIF(Table7[[#This Row],[The mechanism of digital assets is difficult to understand, which discourages me from exploring it (E.g, Tokenization, Blockchain)]:[If I want to try different ways to invest, I will explore digital assets.]], 3)</f>
        <v>6</v>
      </c>
      <c r="AV376">
        <f>Table7[[#This Row],[Midpoint]]/21</f>
        <v>0.2857142857142857</v>
      </c>
      <c r="AW376">
        <f>Table67[[#This Row],[Threshold of Midpoint ratio]]</f>
        <v>0.5714285714285714</v>
      </c>
      <c r="AX376" t="b">
        <f>Table7[[#This Row],[Midpoint ratio]]&gt;=Table7[[#This Row],[Threshold of Midpoint ratio]]</f>
        <v>0</v>
      </c>
      <c r="AY376" t="b">
        <f>OR(Table7[[#This Row],[Extreme Response Style]:[Straight-lining with 1 deviation]],Table7[[#This Row],[Mid-point Response Style]])</f>
        <v>0</v>
      </c>
      <c r="AZ376" t="b">
        <f>OR(Table7[[#This Row],[Delete? (Stage 1)]],Table7[[#This Row],[Delete? (Stage 2)]])</f>
        <v>0</v>
      </c>
      <c r="BA376" t="s">
        <v>84</v>
      </c>
    </row>
    <row r="377" spans="1:53">
      <c r="A377">
        <v>1595</v>
      </c>
      <c r="B377" s="3">
        <v>46065.842152777775</v>
      </c>
      <c r="C377" s="3">
        <v>46065.848738425928</v>
      </c>
      <c r="D377" t="s">
        <v>53</v>
      </c>
      <c r="G377" t="s">
        <v>54</v>
      </c>
      <c r="H377" t="s">
        <v>55</v>
      </c>
      <c r="I377" t="s">
        <v>75</v>
      </c>
      <c r="J377" t="s">
        <v>64</v>
      </c>
      <c r="K377" t="s">
        <v>68</v>
      </c>
      <c r="L377" t="s">
        <v>61</v>
      </c>
      <c r="M377" t="s">
        <v>61</v>
      </c>
      <c r="N377">
        <v>4</v>
      </c>
      <c r="O377">
        <v>5</v>
      </c>
      <c r="P377">
        <v>2</v>
      </c>
      <c r="Q377">
        <v>2</v>
      </c>
      <c r="R377">
        <v>4</v>
      </c>
      <c r="S377">
        <v>3</v>
      </c>
      <c r="T377">
        <v>4</v>
      </c>
      <c r="U377">
        <v>2</v>
      </c>
      <c r="V377">
        <v>4</v>
      </c>
      <c r="W377">
        <v>4</v>
      </c>
      <c r="X377">
        <v>4</v>
      </c>
      <c r="Y377">
        <v>4</v>
      </c>
      <c r="Z377">
        <v>5</v>
      </c>
      <c r="AA377">
        <v>3</v>
      </c>
      <c r="AB377">
        <v>3</v>
      </c>
      <c r="AC377">
        <v>2</v>
      </c>
      <c r="AD377">
        <v>5</v>
      </c>
      <c r="AE377">
        <v>5</v>
      </c>
      <c r="AF377">
        <v>5</v>
      </c>
      <c r="AG377">
        <v>1</v>
      </c>
      <c r="AH377">
        <v>4</v>
      </c>
      <c r="AI377">
        <v>2</v>
      </c>
      <c r="AJ377">
        <v>1</v>
      </c>
      <c r="AK377" t="b">
        <f>Table7[[#This Row],[What is your age?]]&lt;&gt;"18 - 25"</f>
        <v>0</v>
      </c>
      <c r="AL377" t="b">
        <f t="shared" si="15"/>
        <v>0</v>
      </c>
      <c r="AM377" t="b">
        <f t="shared" si="16"/>
        <v>0</v>
      </c>
      <c r="AN377" t="b">
        <f t="shared" si="17"/>
        <v>0</v>
      </c>
      <c r="AO377" t="b">
        <f>OR(Table7[[#This Row],[Ineligible respondents]:[Inconsistent response on opposite question (3)]])</f>
        <v>0</v>
      </c>
      <c r="AP37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6</v>
      </c>
      <c r="AQ377">
        <f>Table7[[#This Row],[Extreme Response]]/21</f>
        <v>0.2857142857142857</v>
      </c>
      <c r="AR377">
        <f>Table67[[#This Row],[Threshold of ERS]]</f>
        <v>0.61904761904761907</v>
      </c>
      <c r="AS377" t="b">
        <f>Table7[[#This Row],[Extrem Response Ratio (ERS)]]&gt;=Table7[[#This Row],[Threshold of ERS]]</f>
        <v>0</v>
      </c>
      <c r="AT377" t="b" cm="1">
        <f t="array" ref="AT37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77">
        <f>COUNTIF(Table7[[#This Row],[The mechanism of digital assets is difficult to understand, which discourages me from exploring it (E.g, Tokenization, Blockchain)]:[If I want to try different ways to invest, I will explore digital assets.]], 3)</f>
        <v>3</v>
      </c>
      <c r="AV377">
        <f>Table7[[#This Row],[Midpoint]]/21</f>
        <v>0.14285714285714285</v>
      </c>
      <c r="AW377">
        <f>Table67[[#This Row],[Threshold of Midpoint ratio]]</f>
        <v>0.5714285714285714</v>
      </c>
      <c r="AX377" t="b">
        <f>Table7[[#This Row],[Midpoint ratio]]&gt;=Table7[[#This Row],[Threshold of Midpoint ratio]]</f>
        <v>0</v>
      </c>
      <c r="AY377" t="b">
        <f>OR(Table7[[#This Row],[Extreme Response Style]:[Straight-lining with 1 deviation]],Table7[[#This Row],[Mid-point Response Style]])</f>
        <v>0</v>
      </c>
      <c r="AZ377" t="b">
        <f>OR(Table7[[#This Row],[Delete? (Stage 1)]],Table7[[#This Row],[Delete? (Stage 2)]])</f>
        <v>0</v>
      </c>
      <c r="BA377" t="s">
        <v>84</v>
      </c>
    </row>
    <row r="378" spans="1:53">
      <c r="A378">
        <v>1597</v>
      </c>
      <c r="B378" s="3">
        <v>46065.890694444446</v>
      </c>
      <c r="C378" s="3">
        <v>46065.894907407404</v>
      </c>
      <c r="D378" t="s">
        <v>53</v>
      </c>
      <c r="G378" t="s">
        <v>54</v>
      </c>
      <c r="H378" t="s">
        <v>63</v>
      </c>
      <c r="I378" t="s">
        <v>56</v>
      </c>
      <c r="J378" t="s">
        <v>72</v>
      </c>
      <c r="K378" t="s">
        <v>62</v>
      </c>
      <c r="L378" t="s">
        <v>61</v>
      </c>
      <c r="M378" t="s">
        <v>61</v>
      </c>
      <c r="N378">
        <v>4</v>
      </c>
      <c r="O378">
        <v>3</v>
      </c>
      <c r="P378">
        <v>2</v>
      </c>
      <c r="Q378">
        <v>2</v>
      </c>
      <c r="R378">
        <v>3</v>
      </c>
      <c r="S378">
        <v>3</v>
      </c>
      <c r="T378">
        <v>4</v>
      </c>
      <c r="U378">
        <v>1</v>
      </c>
      <c r="V378">
        <v>4</v>
      </c>
      <c r="W378">
        <v>4</v>
      </c>
      <c r="X378">
        <v>3</v>
      </c>
      <c r="Y378">
        <v>4</v>
      </c>
      <c r="Z378">
        <v>3</v>
      </c>
      <c r="AA378">
        <v>4</v>
      </c>
      <c r="AB378">
        <v>3</v>
      </c>
      <c r="AC378">
        <v>2</v>
      </c>
      <c r="AD378">
        <v>3</v>
      </c>
      <c r="AE378">
        <v>3</v>
      </c>
      <c r="AF378">
        <v>3</v>
      </c>
      <c r="AG378">
        <v>2</v>
      </c>
      <c r="AH378">
        <v>4</v>
      </c>
      <c r="AI378">
        <v>2</v>
      </c>
      <c r="AJ378">
        <v>3</v>
      </c>
      <c r="AK378" t="b">
        <f>Table7[[#This Row],[What is your age?]]&lt;&gt;"18 - 25"</f>
        <v>0</v>
      </c>
      <c r="AL378" t="b">
        <f t="shared" si="15"/>
        <v>0</v>
      </c>
      <c r="AM378" t="b">
        <f t="shared" si="16"/>
        <v>0</v>
      </c>
      <c r="AN378" t="b">
        <f t="shared" si="17"/>
        <v>0</v>
      </c>
      <c r="AO378" t="b">
        <f>OR(Table7[[#This Row],[Ineligible respondents]:[Inconsistent response on opposite question (3)]])</f>
        <v>0</v>
      </c>
      <c r="AP37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378">
        <f>Table7[[#This Row],[Extreme Response]]/21</f>
        <v>4.7619047619047616E-2</v>
      </c>
      <c r="AR378">
        <f>Table67[[#This Row],[Threshold of ERS]]</f>
        <v>0.61904761904761907</v>
      </c>
      <c r="AS378" t="b">
        <f>Table7[[#This Row],[Extrem Response Ratio (ERS)]]&gt;=Table7[[#This Row],[Threshold of ERS]]</f>
        <v>0</v>
      </c>
      <c r="AT378" t="b" cm="1">
        <f t="array" ref="AT37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78">
        <f>COUNTIF(Table7[[#This Row],[The mechanism of digital assets is difficult to understand, which discourages me from exploring it (E.g, Tokenization, Blockchain)]:[If I want to try different ways to invest, I will explore digital assets.]], 3)</f>
        <v>9</v>
      </c>
      <c r="AV378">
        <f>Table7[[#This Row],[Midpoint]]/21</f>
        <v>0.42857142857142855</v>
      </c>
      <c r="AW378">
        <f>Table67[[#This Row],[Threshold of Midpoint ratio]]</f>
        <v>0.5714285714285714</v>
      </c>
      <c r="AX378" t="b">
        <f>Table7[[#This Row],[Midpoint ratio]]&gt;=Table7[[#This Row],[Threshold of Midpoint ratio]]</f>
        <v>0</v>
      </c>
      <c r="AY378" t="b">
        <f>OR(Table7[[#This Row],[Extreme Response Style]:[Straight-lining with 1 deviation]],Table7[[#This Row],[Mid-point Response Style]])</f>
        <v>0</v>
      </c>
      <c r="AZ378" t="b">
        <f>OR(Table7[[#This Row],[Delete? (Stage 1)]],Table7[[#This Row],[Delete? (Stage 2)]])</f>
        <v>0</v>
      </c>
      <c r="BA378" t="s">
        <v>84</v>
      </c>
    </row>
    <row r="379" spans="1:53">
      <c r="A379">
        <v>1599</v>
      </c>
      <c r="B379" s="3">
        <v>46065.842175925929</v>
      </c>
      <c r="C379" s="3">
        <v>46065.847349537034</v>
      </c>
      <c r="D379" t="s">
        <v>53</v>
      </c>
      <c r="G379" t="s">
        <v>54</v>
      </c>
      <c r="H379" t="s">
        <v>55</v>
      </c>
      <c r="I379" t="s">
        <v>56</v>
      </c>
      <c r="J379" t="s">
        <v>65</v>
      </c>
      <c r="K379" t="s">
        <v>62</v>
      </c>
      <c r="L379" t="s">
        <v>61</v>
      </c>
      <c r="M379" t="s">
        <v>61</v>
      </c>
      <c r="N379">
        <v>4</v>
      </c>
      <c r="O379">
        <v>4</v>
      </c>
      <c r="P379">
        <v>3</v>
      </c>
      <c r="Q379">
        <v>3</v>
      </c>
      <c r="R379">
        <v>4</v>
      </c>
      <c r="S379">
        <v>3</v>
      </c>
      <c r="T379">
        <v>4</v>
      </c>
      <c r="U379">
        <v>3</v>
      </c>
      <c r="V379">
        <v>4</v>
      </c>
      <c r="W379">
        <v>3</v>
      </c>
      <c r="X379">
        <v>4</v>
      </c>
      <c r="Y379">
        <v>4</v>
      </c>
      <c r="Z379">
        <v>4</v>
      </c>
      <c r="AA379">
        <v>3</v>
      </c>
      <c r="AB379">
        <v>4</v>
      </c>
      <c r="AC379">
        <v>3</v>
      </c>
      <c r="AD379">
        <v>4</v>
      </c>
      <c r="AE379">
        <v>3</v>
      </c>
      <c r="AF379">
        <v>4</v>
      </c>
      <c r="AG379">
        <v>2</v>
      </c>
      <c r="AH379">
        <v>5</v>
      </c>
      <c r="AI379">
        <v>1</v>
      </c>
      <c r="AJ379">
        <v>2</v>
      </c>
      <c r="AK379" t="b">
        <f>Table7[[#This Row],[What is your age?]]&lt;&gt;"18 - 25"</f>
        <v>0</v>
      </c>
      <c r="AL379" t="b">
        <f t="shared" si="15"/>
        <v>0</v>
      </c>
      <c r="AM379" t="b">
        <f t="shared" si="16"/>
        <v>0</v>
      </c>
      <c r="AN379" t="b">
        <f t="shared" si="17"/>
        <v>0</v>
      </c>
      <c r="AO379" t="b">
        <f>OR(Table7[[#This Row],[Ineligible respondents]:[Inconsistent response on opposite question (3)]])</f>
        <v>0</v>
      </c>
      <c r="AP37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379">
        <f>Table7[[#This Row],[Extreme Response]]/21</f>
        <v>4.7619047619047616E-2</v>
      </c>
      <c r="AR379">
        <f>Table67[[#This Row],[Threshold of ERS]]</f>
        <v>0.61904761904761907</v>
      </c>
      <c r="AS379" t="b">
        <f>Table7[[#This Row],[Extrem Response Ratio (ERS)]]&gt;=Table7[[#This Row],[Threshold of ERS]]</f>
        <v>0</v>
      </c>
      <c r="AT379" t="b" cm="1">
        <f t="array" ref="AT37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79">
        <f>COUNTIF(Table7[[#This Row],[The mechanism of digital assets is difficult to understand, which discourages me from exploring it (E.g, Tokenization, Blockchain)]:[If I want to try different ways to invest, I will explore digital assets.]], 3)</f>
        <v>8</v>
      </c>
      <c r="AV379">
        <f>Table7[[#This Row],[Midpoint]]/21</f>
        <v>0.38095238095238093</v>
      </c>
      <c r="AW379">
        <f>Table67[[#This Row],[Threshold of Midpoint ratio]]</f>
        <v>0.5714285714285714</v>
      </c>
      <c r="AX379" t="b">
        <f>Table7[[#This Row],[Midpoint ratio]]&gt;=Table7[[#This Row],[Threshold of Midpoint ratio]]</f>
        <v>0</v>
      </c>
      <c r="AY379" t="b">
        <f>OR(Table7[[#This Row],[Extreme Response Style]:[Straight-lining with 1 deviation]],Table7[[#This Row],[Mid-point Response Style]])</f>
        <v>0</v>
      </c>
      <c r="AZ379" t="b">
        <f>OR(Table7[[#This Row],[Delete? (Stage 1)]],Table7[[#This Row],[Delete? (Stage 2)]])</f>
        <v>0</v>
      </c>
      <c r="BA379" t="s">
        <v>84</v>
      </c>
    </row>
    <row r="380" spans="1:53">
      <c r="A380">
        <v>1603</v>
      </c>
      <c r="B380" s="3">
        <v>46065.850555555553</v>
      </c>
      <c r="C380" s="3">
        <v>46065.861145833333</v>
      </c>
      <c r="D380" t="s">
        <v>53</v>
      </c>
      <c r="G380" t="s">
        <v>54</v>
      </c>
      <c r="H380" t="s">
        <v>55</v>
      </c>
      <c r="I380" t="s">
        <v>71</v>
      </c>
      <c r="J380" t="s">
        <v>62</v>
      </c>
      <c r="K380" t="s">
        <v>57</v>
      </c>
      <c r="L380" t="s">
        <v>58</v>
      </c>
      <c r="M380" t="s">
        <v>58</v>
      </c>
      <c r="N380">
        <v>1</v>
      </c>
      <c r="O380">
        <v>2</v>
      </c>
      <c r="P380">
        <v>3</v>
      </c>
      <c r="Q380">
        <v>3</v>
      </c>
      <c r="R380">
        <v>2</v>
      </c>
      <c r="S380">
        <v>3</v>
      </c>
      <c r="T380">
        <v>3</v>
      </c>
      <c r="U380">
        <v>3</v>
      </c>
      <c r="V380">
        <v>2</v>
      </c>
      <c r="W380">
        <v>2</v>
      </c>
      <c r="X380">
        <v>3</v>
      </c>
      <c r="Y380">
        <v>2</v>
      </c>
      <c r="Z380">
        <v>3</v>
      </c>
      <c r="AA380">
        <v>3</v>
      </c>
      <c r="AB380">
        <v>4</v>
      </c>
      <c r="AC380">
        <v>3</v>
      </c>
      <c r="AD380">
        <v>3</v>
      </c>
      <c r="AE380">
        <v>4</v>
      </c>
      <c r="AF380">
        <v>3</v>
      </c>
      <c r="AG380">
        <v>4</v>
      </c>
      <c r="AH380">
        <v>2</v>
      </c>
      <c r="AI380">
        <v>4</v>
      </c>
      <c r="AJ380">
        <v>3</v>
      </c>
      <c r="AK380" t="b">
        <f>Table7[[#This Row],[What is your age?]]&lt;&gt;"18 - 25"</f>
        <v>0</v>
      </c>
      <c r="AL380" t="b">
        <f t="shared" si="15"/>
        <v>0</v>
      </c>
      <c r="AM380" t="b">
        <f t="shared" si="16"/>
        <v>0</v>
      </c>
      <c r="AN380" t="b">
        <f t="shared" si="17"/>
        <v>0</v>
      </c>
      <c r="AO380" t="b">
        <f>OR(Table7[[#This Row],[Ineligible respondents]:[Inconsistent response on opposite question (3)]])</f>
        <v>0</v>
      </c>
      <c r="AP38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380">
        <f>Table7[[#This Row],[Extreme Response]]/21</f>
        <v>4.7619047619047616E-2</v>
      </c>
      <c r="AR380">
        <f>Table67[[#This Row],[Threshold of ERS]]</f>
        <v>0.61904761904761907</v>
      </c>
      <c r="AS380" t="b">
        <f>Table7[[#This Row],[Extrem Response Ratio (ERS)]]&gt;=Table7[[#This Row],[Threshold of ERS]]</f>
        <v>0</v>
      </c>
      <c r="AT380" t="b" cm="1">
        <f t="array" ref="AT38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80">
        <f>COUNTIF(Table7[[#This Row],[The mechanism of digital assets is difficult to understand, which discourages me from exploring it (E.g, Tokenization, Blockchain)]:[If I want to try different ways to invest, I will explore digital assets.]], 3)</f>
        <v>11</v>
      </c>
      <c r="AV380">
        <f>Table7[[#This Row],[Midpoint]]/21</f>
        <v>0.52380952380952384</v>
      </c>
      <c r="AW380">
        <f>Table67[[#This Row],[Threshold of Midpoint ratio]]</f>
        <v>0.5714285714285714</v>
      </c>
      <c r="AX380" t="b">
        <f>Table7[[#This Row],[Midpoint ratio]]&gt;=Table7[[#This Row],[Threshold of Midpoint ratio]]</f>
        <v>0</v>
      </c>
      <c r="AY380" t="b">
        <f>OR(Table7[[#This Row],[Extreme Response Style]:[Straight-lining with 1 deviation]],Table7[[#This Row],[Mid-point Response Style]])</f>
        <v>0</v>
      </c>
      <c r="AZ380" t="b">
        <f>OR(Table7[[#This Row],[Delete? (Stage 1)]],Table7[[#This Row],[Delete? (Stage 2)]])</f>
        <v>0</v>
      </c>
      <c r="BA380" t="s">
        <v>84</v>
      </c>
    </row>
    <row r="381" spans="1:53">
      <c r="A381">
        <v>1604</v>
      </c>
      <c r="B381" s="3">
        <v>46065.702835648146</v>
      </c>
      <c r="C381" s="3">
        <v>46065.703275462962</v>
      </c>
      <c r="D381" t="s">
        <v>53</v>
      </c>
      <c r="G381" t="s">
        <v>54</v>
      </c>
      <c r="H381" t="s">
        <v>55</v>
      </c>
      <c r="I381" t="s">
        <v>56</v>
      </c>
      <c r="J381" t="s">
        <v>65</v>
      </c>
      <c r="K381" t="s">
        <v>66</v>
      </c>
      <c r="L381" t="s">
        <v>58</v>
      </c>
      <c r="M381" t="s">
        <v>58</v>
      </c>
      <c r="N381">
        <v>3</v>
      </c>
      <c r="O381">
        <v>4</v>
      </c>
      <c r="P381">
        <v>3</v>
      </c>
      <c r="Q381">
        <v>3</v>
      </c>
      <c r="R381">
        <v>3</v>
      </c>
      <c r="S381">
        <v>3</v>
      </c>
      <c r="T381">
        <v>4</v>
      </c>
      <c r="U381">
        <v>3</v>
      </c>
      <c r="V381">
        <v>4</v>
      </c>
      <c r="W381">
        <v>4</v>
      </c>
      <c r="X381">
        <v>4</v>
      </c>
      <c r="Y381">
        <v>4</v>
      </c>
      <c r="Z381">
        <v>4</v>
      </c>
      <c r="AA381">
        <v>4</v>
      </c>
      <c r="AB381">
        <v>3</v>
      </c>
      <c r="AC381">
        <v>2</v>
      </c>
      <c r="AD381">
        <v>4</v>
      </c>
      <c r="AE381">
        <v>4</v>
      </c>
      <c r="AF381">
        <v>3</v>
      </c>
      <c r="AG381">
        <v>2</v>
      </c>
      <c r="AH381">
        <v>4</v>
      </c>
      <c r="AI381">
        <v>2</v>
      </c>
      <c r="AJ381">
        <v>3</v>
      </c>
      <c r="AK381" t="b">
        <f>Table7[[#This Row],[What is your age?]]&lt;&gt;"18 - 25"</f>
        <v>0</v>
      </c>
      <c r="AL381" t="b">
        <f t="shared" si="15"/>
        <v>0</v>
      </c>
      <c r="AM381" t="b">
        <f t="shared" si="16"/>
        <v>0</v>
      </c>
      <c r="AN381" t="b">
        <f t="shared" si="17"/>
        <v>0</v>
      </c>
      <c r="AO381" t="b">
        <f>OR(Table7[[#This Row],[Ineligible respondents]:[Inconsistent response on opposite question (3)]])</f>
        <v>0</v>
      </c>
      <c r="AP38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381">
        <f>Table7[[#This Row],[Extreme Response]]/21</f>
        <v>0</v>
      </c>
      <c r="AR381">
        <f>Table67[[#This Row],[Threshold of ERS]]</f>
        <v>0.61904761904761907</v>
      </c>
      <c r="AS381" t="b">
        <f>Table7[[#This Row],[Extrem Response Ratio (ERS)]]&gt;=Table7[[#This Row],[Threshold of ERS]]</f>
        <v>0</v>
      </c>
      <c r="AT381" t="b" cm="1">
        <f t="array" ref="AT38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81">
        <f>COUNTIF(Table7[[#This Row],[The mechanism of digital assets is difficult to understand, which discourages me from exploring it (E.g, Tokenization, Blockchain)]:[If I want to try different ways to invest, I will explore digital assets.]], 3)</f>
        <v>8</v>
      </c>
      <c r="AV381">
        <f>Table7[[#This Row],[Midpoint]]/21</f>
        <v>0.38095238095238093</v>
      </c>
      <c r="AW381">
        <f>Table67[[#This Row],[Threshold of Midpoint ratio]]</f>
        <v>0.5714285714285714</v>
      </c>
      <c r="AX381" t="b">
        <f>Table7[[#This Row],[Midpoint ratio]]&gt;=Table7[[#This Row],[Threshold of Midpoint ratio]]</f>
        <v>0</v>
      </c>
      <c r="AY381" t="b">
        <f>OR(Table7[[#This Row],[Extreme Response Style]:[Straight-lining with 1 deviation]],Table7[[#This Row],[Mid-point Response Style]])</f>
        <v>0</v>
      </c>
      <c r="AZ381" t="b">
        <f>OR(Table7[[#This Row],[Delete? (Stage 1)]],Table7[[#This Row],[Delete? (Stage 2)]])</f>
        <v>0</v>
      </c>
      <c r="BA381" t="s">
        <v>84</v>
      </c>
    </row>
    <row r="382" spans="1:53">
      <c r="A382">
        <v>1608</v>
      </c>
      <c r="B382" s="3">
        <v>46065.727731481478</v>
      </c>
      <c r="C382" s="3">
        <v>46065.727986111109</v>
      </c>
      <c r="D382" t="s">
        <v>53</v>
      </c>
      <c r="G382" t="s">
        <v>54</v>
      </c>
      <c r="H382" t="s">
        <v>63</v>
      </c>
      <c r="I382" t="s">
        <v>75</v>
      </c>
      <c r="J382" t="s">
        <v>60</v>
      </c>
      <c r="K382" t="s">
        <v>57</v>
      </c>
      <c r="L382" t="s">
        <v>58</v>
      </c>
      <c r="M382" t="s">
        <v>58</v>
      </c>
      <c r="N382">
        <v>2</v>
      </c>
      <c r="O382">
        <v>2</v>
      </c>
      <c r="P382">
        <v>1</v>
      </c>
      <c r="Q382">
        <v>1</v>
      </c>
      <c r="R382">
        <v>2</v>
      </c>
      <c r="S382">
        <v>1</v>
      </c>
      <c r="T382">
        <v>1</v>
      </c>
      <c r="U382">
        <v>1</v>
      </c>
      <c r="V382">
        <v>2</v>
      </c>
      <c r="W382">
        <v>2</v>
      </c>
      <c r="X382">
        <v>2</v>
      </c>
      <c r="Y382">
        <v>3</v>
      </c>
      <c r="Z382">
        <v>2</v>
      </c>
      <c r="AA382">
        <v>1</v>
      </c>
      <c r="AB382">
        <v>1</v>
      </c>
      <c r="AC382">
        <v>1</v>
      </c>
      <c r="AD382">
        <v>3</v>
      </c>
      <c r="AE382">
        <v>3</v>
      </c>
      <c r="AF382">
        <v>5</v>
      </c>
      <c r="AG382">
        <v>1</v>
      </c>
      <c r="AH382">
        <v>5</v>
      </c>
      <c r="AI382">
        <v>1</v>
      </c>
      <c r="AJ382">
        <v>1</v>
      </c>
      <c r="AK382" t="b">
        <f>Table7[[#This Row],[What is your age?]]&lt;&gt;"18 - 25"</f>
        <v>0</v>
      </c>
      <c r="AL382" t="b">
        <f t="shared" si="15"/>
        <v>0</v>
      </c>
      <c r="AM382" t="b">
        <f t="shared" si="16"/>
        <v>0</v>
      </c>
      <c r="AN382" t="b">
        <f t="shared" si="17"/>
        <v>0</v>
      </c>
      <c r="AO382" t="b">
        <f>OR(Table7[[#This Row],[Ineligible respondents]:[Inconsistent response on opposite question (3)]])</f>
        <v>0</v>
      </c>
      <c r="AP38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11</v>
      </c>
      <c r="AQ382">
        <f>Table7[[#This Row],[Extreme Response]]/21</f>
        <v>0.52380952380952384</v>
      </c>
      <c r="AR382">
        <f>Table67[[#This Row],[Threshold of ERS]]</f>
        <v>0.61904761904761907</v>
      </c>
      <c r="AS382" t="b">
        <f>Table7[[#This Row],[Extrem Response Ratio (ERS)]]&gt;=Table7[[#This Row],[Threshold of ERS]]</f>
        <v>0</v>
      </c>
      <c r="AT382" t="b" cm="1">
        <f t="array" ref="AT38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82">
        <f>COUNTIF(Table7[[#This Row],[The mechanism of digital assets is difficult to understand, which discourages me from exploring it (E.g, Tokenization, Blockchain)]:[If I want to try different ways to invest, I will explore digital assets.]], 3)</f>
        <v>3</v>
      </c>
      <c r="AV382">
        <f>Table7[[#This Row],[Midpoint]]/21</f>
        <v>0.14285714285714285</v>
      </c>
      <c r="AW382">
        <f>Table67[[#This Row],[Threshold of Midpoint ratio]]</f>
        <v>0.5714285714285714</v>
      </c>
      <c r="AX382" t="b">
        <f>Table7[[#This Row],[Midpoint ratio]]&gt;=Table7[[#This Row],[Threshold of Midpoint ratio]]</f>
        <v>0</v>
      </c>
      <c r="AY382" t="b">
        <f>OR(Table7[[#This Row],[Extreme Response Style]:[Straight-lining with 1 deviation]],Table7[[#This Row],[Mid-point Response Style]])</f>
        <v>0</v>
      </c>
      <c r="AZ382" t="b">
        <f>OR(Table7[[#This Row],[Delete? (Stage 1)]],Table7[[#This Row],[Delete? (Stage 2)]])</f>
        <v>0</v>
      </c>
      <c r="BA382" t="s">
        <v>84</v>
      </c>
    </row>
    <row r="383" spans="1:53">
      <c r="A383">
        <v>1609</v>
      </c>
      <c r="B383" s="3">
        <v>46065.732071759259</v>
      </c>
      <c r="C383" s="3">
        <v>46065.736064814817</v>
      </c>
      <c r="D383" t="s">
        <v>53</v>
      </c>
      <c r="G383" t="s">
        <v>54</v>
      </c>
      <c r="H383" t="s">
        <v>63</v>
      </c>
      <c r="I383" t="s">
        <v>75</v>
      </c>
      <c r="J383" t="s">
        <v>57</v>
      </c>
      <c r="K383" t="s">
        <v>57</v>
      </c>
      <c r="L383" t="s">
        <v>58</v>
      </c>
      <c r="M383" t="s">
        <v>58</v>
      </c>
      <c r="N383">
        <v>2</v>
      </c>
      <c r="O383">
        <v>3</v>
      </c>
      <c r="P383">
        <v>3</v>
      </c>
      <c r="Q383">
        <v>3</v>
      </c>
      <c r="R383">
        <v>2</v>
      </c>
      <c r="S383">
        <v>3</v>
      </c>
      <c r="T383">
        <v>3</v>
      </c>
      <c r="U383">
        <v>3</v>
      </c>
      <c r="V383">
        <v>4</v>
      </c>
      <c r="W383">
        <v>4</v>
      </c>
      <c r="X383">
        <v>4</v>
      </c>
      <c r="Y383">
        <v>4</v>
      </c>
      <c r="Z383">
        <v>4</v>
      </c>
      <c r="AA383">
        <v>3</v>
      </c>
      <c r="AB383">
        <v>2</v>
      </c>
      <c r="AC383">
        <v>3</v>
      </c>
      <c r="AD383">
        <v>4</v>
      </c>
      <c r="AE383">
        <v>3</v>
      </c>
      <c r="AF383">
        <v>2</v>
      </c>
      <c r="AG383">
        <v>3</v>
      </c>
      <c r="AH383">
        <v>3</v>
      </c>
      <c r="AI383">
        <v>3</v>
      </c>
      <c r="AJ383">
        <v>4</v>
      </c>
      <c r="AK383" t="b">
        <f>Table7[[#This Row],[What is your age?]]&lt;&gt;"18 - 25"</f>
        <v>0</v>
      </c>
      <c r="AL383" t="b">
        <f t="shared" si="15"/>
        <v>0</v>
      </c>
      <c r="AM383" t="b">
        <f t="shared" si="16"/>
        <v>0</v>
      </c>
      <c r="AN383" t="b">
        <f t="shared" si="17"/>
        <v>0</v>
      </c>
      <c r="AO383" t="b">
        <f>OR(Table7[[#This Row],[Ineligible respondents]:[Inconsistent response on opposite question (3)]])</f>
        <v>0</v>
      </c>
      <c r="AP38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383">
        <f>Table7[[#This Row],[Extreme Response]]/21</f>
        <v>0</v>
      </c>
      <c r="AR383">
        <f>Table67[[#This Row],[Threshold of ERS]]</f>
        <v>0.61904761904761907</v>
      </c>
      <c r="AS383" t="b">
        <f>Table7[[#This Row],[Extrem Response Ratio (ERS)]]&gt;=Table7[[#This Row],[Threshold of ERS]]</f>
        <v>0</v>
      </c>
      <c r="AT383" t="b" cm="1">
        <f t="array" ref="AT38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83">
        <f>COUNTIF(Table7[[#This Row],[The mechanism of digital assets is difficult to understand, which discourages me from exploring it (E.g, Tokenization, Blockchain)]:[If I want to try different ways to invest, I will explore digital assets.]], 3)</f>
        <v>11</v>
      </c>
      <c r="AV383">
        <f>Table7[[#This Row],[Midpoint]]/21</f>
        <v>0.52380952380952384</v>
      </c>
      <c r="AW383">
        <f>Table67[[#This Row],[Threshold of Midpoint ratio]]</f>
        <v>0.5714285714285714</v>
      </c>
      <c r="AX383" t="b">
        <f>Table7[[#This Row],[Midpoint ratio]]&gt;=Table7[[#This Row],[Threshold of Midpoint ratio]]</f>
        <v>0</v>
      </c>
      <c r="AY383" t="b">
        <f>OR(Table7[[#This Row],[Extreme Response Style]:[Straight-lining with 1 deviation]],Table7[[#This Row],[Mid-point Response Style]])</f>
        <v>0</v>
      </c>
      <c r="AZ383" t="b">
        <f>OR(Table7[[#This Row],[Delete? (Stage 1)]],Table7[[#This Row],[Delete? (Stage 2)]])</f>
        <v>0</v>
      </c>
      <c r="BA383" t="s">
        <v>84</v>
      </c>
    </row>
    <row r="384" spans="1:53">
      <c r="A384">
        <v>1611</v>
      </c>
      <c r="B384" s="3">
        <v>46065.729178240741</v>
      </c>
      <c r="C384" s="3">
        <v>46065.729664351849</v>
      </c>
      <c r="D384" t="s">
        <v>53</v>
      </c>
      <c r="G384" t="s">
        <v>54</v>
      </c>
      <c r="H384" t="s">
        <v>55</v>
      </c>
      <c r="I384" t="s">
        <v>71</v>
      </c>
      <c r="J384" t="s">
        <v>62</v>
      </c>
      <c r="K384" t="s">
        <v>62</v>
      </c>
      <c r="L384" t="s">
        <v>58</v>
      </c>
      <c r="M384" t="s">
        <v>58</v>
      </c>
      <c r="N384">
        <v>1</v>
      </c>
      <c r="O384">
        <v>1</v>
      </c>
      <c r="P384">
        <v>2</v>
      </c>
      <c r="Q384">
        <v>2</v>
      </c>
      <c r="R384">
        <v>1</v>
      </c>
      <c r="S384">
        <v>2</v>
      </c>
      <c r="T384">
        <v>2</v>
      </c>
      <c r="U384">
        <v>2</v>
      </c>
      <c r="V384">
        <v>2</v>
      </c>
      <c r="W384">
        <v>2</v>
      </c>
      <c r="X384">
        <v>2</v>
      </c>
      <c r="Y384">
        <v>2</v>
      </c>
      <c r="Z384">
        <v>2</v>
      </c>
      <c r="AA384">
        <v>2</v>
      </c>
      <c r="AB384">
        <v>2</v>
      </c>
      <c r="AC384">
        <v>2</v>
      </c>
      <c r="AD384">
        <v>2</v>
      </c>
      <c r="AE384">
        <v>2</v>
      </c>
      <c r="AF384">
        <v>3</v>
      </c>
      <c r="AG384">
        <v>3</v>
      </c>
      <c r="AH384">
        <v>3</v>
      </c>
      <c r="AI384">
        <v>3</v>
      </c>
      <c r="AJ384">
        <v>3</v>
      </c>
      <c r="AK384" t="b">
        <f>Table7[[#This Row],[What is your age?]]&lt;&gt;"18 - 25"</f>
        <v>0</v>
      </c>
      <c r="AL384" t="b">
        <f t="shared" si="15"/>
        <v>0</v>
      </c>
      <c r="AM384" t="b">
        <f t="shared" si="16"/>
        <v>0</v>
      </c>
      <c r="AN384" t="b">
        <f t="shared" si="17"/>
        <v>0</v>
      </c>
      <c r="AO384" t="b">
        <f>OR(Table7[[#This Row],[Ineligible respondents]:[Inconsistent response on opposite question (3)]])</f>
        <v>0</v>
      </c>
      <c r="AP38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384">
        <f>Table7[[#This Row],[Extreme Response]]/21</f>
        <v>0.14285714285714285</v>
      </c>
      <c r="AR384">
        <f>Table67[[#This Row],[Threshold of ERS]]</f>
        <v>0.61904761904761907</v>
      </c>
      <c r="AS384" t="b">
        <f>Table7[[#This Row],[Extrem Response Ratio (ERS)]]&gt;=Table7[[#This Row],[Threshold of ERS]]</f>
        <v>0</v>
      </c>
      <c r="AT384" t="b" cm="1">
        <f t="array" ref="AT38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84">
        <f>COUNTIF(Table7[[#This Row],[The mechanism of digital assets is difficult to understand, which discourages me from exploring it (E.g, Tokenization, Blockchain)]:[If I want to try different ways to invest, I will explore digital assets.]], 3)</f>
        <v>3</v>
      </c>
      <c r="AV384">
        <f>Table7[[#This Row],[Midpoint]]/21</f>
        <v>0.14285714285714285</v>
      </c>
      <c r="AW384">
        <f>Table67[[#This Row],[Threshold of Midpoint ratio]]</f>
        <v>0.5714285714285714</v>
      </c>
      <c r="AX384" t="b">
        <f>Table7[[#This Row],[Midpoint ratio]]&gt;=Table7[[#This Row],[Threshold of Midpoint ratio]]</f>
        <v>0</v>
      </c>
      <c r="AY384" t="b">
        <f>OR(Table7[[#This Row],[Extreme Response Style]:[Straight-lining with 1 deviation]],Table7[[#This Row],[Mid-point Response Style]])</f>
        <v>0</v>
      </c>
      <c r="AZ384" t="b">
        <f>OR(Table7[[#This Row],[Delete? (Stage 1)]],Table7[[#This Row],[Delete? (Stage 2)]])</f>
        <v>0</v>
      </c>
      <c r="BA384" t="s">
        <v>84</v>
      </c>
    </row>
    <row r="385" spans="1:53">
      <c r="A385">
        <v>1612</v>
      </c>
      <c r="B385" s="3">
        <v>46065.861585648148</v>
      </c>
      <c r="C385" s="3">
        <v>46065.862835648149</v>
      </c>
      <c r="D385" t="s">
        <v>53</v>
      </c>
      <c r="G385" t="s">
        <v>54</v>
      </c>
      <c r="H385" t="s">
        <v>55</v>
      </c>
      <c r="I385" t="s">
        <v>69</v>
      </c>
      <c r="J385" t="s">
        <v>62</v>
      </c>
      <c r="K385" t="s">
        <v>62</v>
      </c>
      <c r="L385" t="s">
        <v>58</v>
      </c>
      <c r="M385" t="s">
        <v>61</v>
      </c>
      <c r="N385">
        <v>1</v>
      </c>
      <c r="O385">
        <v>1</v>
      </c>
      <c r="P385">
        <v>2</v>
      </c>
      <c r="Q385">
        <v>3</v>
      </c>
      <c r="R385">
        <v>1</v>
      </c>
      <c r="S385">
        <v>3</v>
      </c>
      <c r="T385">
        <v>3</v>
      </c>
      <c r="U385">
        <v>2</v>
      </c>
      <c r="V385">
        <v>3</v>
      </c>
      <c r="W385">
        <v>4</v>
      </c>
      <c r="X385">
        <v>4</v>
      </c>
      <c r="Y385">
        <v>3</v>
      </c>
      <c r="Z385">
        <v>4</v>
      </c>
      <c r="AA385">
        <v>3</v>
      </c>
      <c r="AB385">
        <v>4</v>
      </c>
      <c r="AC385">
        <v>2</v>
      </c>
      <c r="AD385">
        <v>4</v>
      </c>
      <c r="AE385">
        <v>4</v>
      </c>
      <c r="AF385">
        <v>4</v>
      </c>
      <c r="AG385">
        <v>2</v>
      </c>
      <c r="AH385">
        <v>5</v>
      </c>
      <c r="AI385">
        <v>1</v>
      </c>
      <c r="AJ385">
        <v>2</v>
      </c>
      <c r="AK385" t="b">
        <f>Table7[[#This Row],[What is your age?]]&lt;&gt;"18 - 25"</f>
        <v>0</v>
      </c>
      <c r="AL385" t="b">
        <f t="shared" si="15"/>
        <v>0</v>
      </c>
      <c r="AM385" t="b">
        <f t="shared" si="16"/>
        <v>0</v>
      </c>
      <c r="AN385" t="b">
        <f t="shared" si="17"/>
        <v>0</v>
      </c>
      <c r="AO385" t="b">
        <f>OR(Table7[[#This Row],[Ineligible respondents]:[Inconsistent response on opposite question (3)]])</f>
        <v>0</v>
      </c>
      <c r="AP38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385">
        <f>Table7[[#This Row],[Extreme Response]]/21</f>
        <v>0.19047619047619047</v>
      </c>
      <c r="AR385">
        <f>Table67[[#This Row],[Threshold of ERS]]</f>
        <v>0.61904761904761907</v>
      </c>
      <c r="AS385" t="b">
        <f>Table7[[#This Row],[Extrem Response Ratio (ERS)]]&gt;=Table7[[#This Row],[Threshold of ERS]]</f>
        <v>0</v>
      </c>
      <c r="AT385" t="b" cm="1">
        <f t="array" ref="AT38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85">
        <f>COUNTIF(Table7[[#This Row],[The mechanism of digital assets is difficult to understand, which discourages me from exploring it (E.g, Tokenization, Blockchain)]:[If I want to try different ways to invest, I will explore digital assets.]], 3)</f>
        <v>6</v>
      </c>
      <c r="AV385">
        <f>Table7[[#This Row],[Midpoint]]/21</f>
        <v>0.2857142857142857</v>
      </c>
      <c r="AW385">
        <f>Table67[[#This Row],[Threshold of Midpoint ratio]]</f>
        <v>0.5714285714285714</v>
      </c>
      <c r="AX385" t="b">
        <f>Table7[[#This Row],[Midpoint ratio]]&gt;=Table7[[#This Row],[Threshold of Midpoint ratio]]</f>
        <v>0</v>
      </c>
      <c r="AY385" t="b">
        <f>OR(Table7[[#This Row],[Extreme Response Style]:[Straight-lining with 1 deviation]],Table7[[#This Row],[Mid-point Response Style]])</f>
        <v>0</v>
      </c>
      <c r="AZ385" t="b">
        <f>OR(Table7[[#This Row],[Delete? (Stage 1)]],Table7[[#This Row],[Delete? (Stage 2)]])</f>
        <v>0</v>
      </c>
      <c r="BA385" t="s">
        <v>84</v>
      </c>
    </row>
    <row r="386" spans="1:53">
      <c r="A386">
        <v>1614</v>
      </c>
      <c r="B386" s="3">
        <v>46065.832812499997</v>
      </c>
      <c r="C386" s="3">
        <v>46065.83556712963</v>
      </c>
      <c r="D386" t="s">
        <v>53</v>
      </c>
      <c r="G386" t="s">
        <v>54</v>
      </c>
      <c r="H386" t="s">
        <v>63</v>
      </c>
      <c r="I386" t="s">
        <v>75</v>
      </c>
      <c r="J386" t="s">
        <v>62</v>
      </c>
      <c r="K386" t="s">
        <v>57</v>
      </c>
      <c r="L386" t="s">
        <v>58</v>
      </c>
      <c r="M386" t="s">
        <v>61</v>
      </c>
      <c r="N386">
        <v>2</v>
      </c>
      <c r="O386">
        <v>2</v>
      </c>
      <c r="P386">
        <v>2</v>
      </c>
      <c r="Q386">
        <v>2</v>
      </c>
      <c r="R386">
        <v>2</v>
      </c>
      <c r="S386">
        <v>4</v>
      </c>
      <c r="T386">
        <v>4</v>
      </c>
      <c r="U386">
        <v>2</v>
      </c>
      <c r="V386">
        <v>2</v>
      </c>
      <c r="W386">
        <v>2</v>
      </c>
      <c r="X386">
        <v>3</v>
      </c>
      <c r="Y386">
        <v>2</v>
      </c>
      <c r="Z386">
        <v>3</v>
      </c>
      <c r="AA386">
        <v>3</v>
      </c>
      <c r="AB386">
        <v>3</v>
      </c>
      <c r="AC386">
        <v>2</v>
      </c>
      <c r="AD386">
        <v>4</v>
      </c>
      <c r="AE386">
        <v>4</v>
      </c>
      <c r="AF386">
        <v>3</v>
      </c>
      <c r="AG386">
        <v>2</v>
      </c>
      <c r="AH386">
        <v>5</v>
      </c>
      <c r="AI386">
        <v>1</v>
      </c>
      <c r="AJ386">
        <v>3</v>
      </c>
      <c r="AK386" t="b">
        <f>Table7[[#This Row],[What is your age?]]&lt;&gt;"18 - 25"</f>
        <v>0</v>
      </c>
      <c r="AL386" t="b">
        <f t="shared" ref="AL386:AL412" si="18">COUNTIF(N386:AH386, N386) = COLUMNS(N386:AH386)</f>
        <v>0</v>
      </c>
      <c r="AM386" t="b">
        <f t="shared" ref="AM386:AM412" si="19">OR(AND(AG386=AH386, AG386&lt;&gt;3), AND(OR(AG386=1, AG386=2), OR(AH386=1, AH386=2)), AND(OR(AG386=4, AG386=5), OR(AH386=4, AH386=5)))</f>
        <v>0</v>
      </c>
      <c r="AN386" t="b">
        <f t="shared" ref="AN386:AN412" si="20">OR(AND(AG386=3, AH386&lt;&gt;3), AND(AH386=3, AG386&lt;&gt;3))</f>
        <v>0</v>
      </c>
      <c r="AO386" t="b">
        <f>OR(Table7[[#This Row],[Ineligible respondents]:[Inconsistent response on opposite question (3)]])</f>
        <v>0</v>
      </c>
      <c r="AP38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386">
        <f>Table7[[#This Row],[Extreme Response]]/21</f>
        <v>4.7619047619047616E-2</v>
      </c>
      <c r="AR386">
        <f>Table67[[#This Row],[Threshold of ERS]]</f>
        <v>0.61904761904761907</v>
      </c>
      <c r="AS386" t="b">
        <f>Table7[[#This Row],[Extrem Response Ratio (ERS)]]&gt;=Table7[[#This Row],[Threshold of ERS]]</f>
        <v>0</v>
      </c>
      <c r="AT386" t="b" cm="1">
        <f t="array" ref="AT38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86">
        <f>COUNTIF(Table7[[#This Row],[The mechanism of digital assets is difficult to understand, which discourages me from exploring it (E.g, Tokenization, Blockchain)]:[If I want to try different ways to invest, I will explore digital assets.]], 3)</f>
        <v>5</v>
      </c>
      <c r="AV386">
        <f>Table7[[#This Row],[Midpoint]]/21</f>
        <v>0.23809523809523808</v>
      </c>
      <c r="AW386">
        <f>Table67[[#This Row],[Threshold of Midpoint ratio]]</f>
        <v>0.5714285714285714</v>
      </c>
      <c r="AX386" t="b">
        <f>Table7[[#This Row],[Midpoint ratio]]&gt;=Table7[[#This Row],[Threshold of Midpoint ratio]]</f>
        <v>0</v>
      </c>
      <c r="AY386" t="b">
        <f>OR(Table7[[#This Row],[Extreme Response Style]:[Straight-lining with 1 deviation]],Table7[[#This Row],[Mid-point Response Style]])</f>
        <v>0</v>
      </c>
      <c r="AZ386" t="b">
        <f>OR(Table7[[#This Row],[Delete? (Stage 1)]],Table7[[#This Row],[Delete? (Stage 2)]])</f>
        <v>0</v>
      </c>
      <c r="BA386" t="s">
        <v>84</v>
      </c>
    </row>
    <row r="387" spans="1:53">
      <c r="A387">
        <v>1615</v>
      </c>
      <c r="B387" s="3">
        <v>46065.832939814813</v>
      </c>
      <c r="C387" s="3">
        <v>46065.833402777775</v>
      </c>
      <c r="D387" t="s">
        <v>53</v>
      </c>
      <c r="G387" t="s">
        <v>54</v>
      </c>
      <c r="H387" t="s">
        <v>55</v>
      </c>
      <c r="I387" t="s">
        <v>69</v>
      </c>
      <c r="J387" t="s">
        <v>62</v>
      </c>
      <c r="K387" t="s">
        <v>60</v>
      </c>
      <c r="L387" t="s">
        <v>61</v>
      </c>
      <c r="M387" t="s">
        <v>61</v>
      </c>
      <c r="N387">
        <v>2</v>
      </c>
      <c r="O387">
        <v>2</v>
      </c>
      <c r="P387">
        <v>2</v>
      </c>
      <c r="Q387">
        <v>3</v>
      </c>
      <c r="R387">
        <v>1</v>
      </c>
      <c r="S387">
        <v>2</v>
      </c>
      <c r="T387">
        <v>2</v>
      </c>
      <c r="U387">
        <v>3</v>
      </c>
      <c r="V387">
        <v>4</v>
      </c>
      <c r="W387">
        <v>3</v>
      </c>
      <c r="X387">
        <v>3</v>
      </c>
      <c r="Y387">
        <v>3</v>
      </c>
      <c r="Z387">
        <v>2</v>
      </c>
      <c r="AA387">
        <v>2</v>
      </c>
      <c r="AB387">
        <v>2</v>
      </c>
      <c r="AC387">
        <v>3</v>
      </c>
      <c r="AD387">
        <v>2</v>
      </c>
      <c r="AE387">
        <v>2</v>
      </c>
      <c r="AF387">
        <v>4</v>
      </c>
      <c r="AG387">
        <v>2</v>
      </c>
      <c r="AH387">
        <v>5</v>
      </c>
      <c r="AI387">
        <v>1</v>
      </c>
      <c r="AJ387">
        <v>2</v>
      </c>
      <c r="AK387" t="b">
        <f>Table7[[#This Row],[What is your age?]]&lt;&gt;"18 - 25"</f>
        <v>0</v>
      </c>
      <c r="AL387" t="b">
        <f t="shared" si="18"/>
        <v>0</v>
      </c>
      <c r="AM387" t="b">
        <f t="shared" si="19"/>
        <v>0</v>
      </c>
      <c r="AN387" t="b">
        <f t="shared" si="20"/>
        <v>0</v>
      </c>
      <c r="AO387" t="b">
        <f>OR(Table7[[#This Row],[Ineligible respondents]:[Inconsistent response on opposite question (3)]])</f>
        <v>0</v>
      </c>
      <c r="AP38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387">
        <f>Table7[[#This Row],[Extreme Response]]/21</f>
        <v>9.5238095238095233E-2</v>
      </c>
      <c r="AR387">
        <f>Table67[[#This Row],[Threshold of ERS]]</f>
        <v>0.61904761904761907</v>
      </c>
      <c r="AS387" t="b">
        <f>Table7[[#This Row],[Extrem Response Ratio (ERS)]]&gt;=Table7[[#This Row],[Threshold of ERS]]</f>
        <v>0</v>
      </c>
      <c r="AT387" t="b" cm="1">
        <f t="array" ref="AT38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87">
        <f>COUNTIF(Table7[[#This Row],[The mechanism of digital assets is difficult to understand, which discourages me from exploring it (E.g, Tokenization, Blockchain)]:[If I want to try different ways to invest, I will explore digital assets.]], 3)</f>
        <v>6</v>
      </c>
      <c r="AV387">
        <f>Table7[[#This Row],[Midpoint]]/21</f>
        <v>0.2857142857142857</v>
      </c>
      <c r="AW387">
        <f>Table67[[#This Row],[Threshold of Midpoint ratio]]</f>
        <v>0.5714285714285714</v>
      </c>
      <c r="AX387" t="b">
        <f>Table7[[#This Row],[Midpoint ratio]]&gt;=Table7[[#This Row],[Threshold of Midpoint ratio]]</f>
        <v>0</v>
      </c>
      <c r="AY387" t="b">
        <f>OR(Table7[[#This Row],[Extreme Response Style]:[Straight-lining with 1 deviation]],Table7[[#This Row],[Mid-point Response Style]])</f>
        <v>0</v>
      </c>
      <c r="AZ387" t="b">
        <f>OR(Table7[[#This Row],[Delete? (Stage 1)]],Table7[[#This Row],[Delete? (Stage 2)]])</f>
        <v>0</v>
      </c>
      <c r="BA387" t="s">
        <v>84</v>
      </c>
    </row>
    <row r="388" spans="1:53">
      <c r="A388">
        <v>1616</v>
      </c>
      <c r="B388" s="3">
        <v>46065.725057870368</v>
      </c>
      <c r="C388" s="3">
        <v>46065.725428240738</v>
      </c>
      <c r="D388" t="s">
        <v>53</v>
      </c>
      <c r="G388" t="s">
        <v>54</v>
      </c>
      <c r="H388" t="s">
        <v>63</v>
      </c>
      <c r="I388" t="s">
        <v>56</v>
      </c>
      <c r="J388" t="s">
        <v>67</v>
      </c>
      <c r="K388" t="s">
        <v>57</v>
      </c>
      <c r="L388" t="s">
        <v>58</v>
      </c>
      <c r="M388" t="s">
        <v>58</v>
      </c>
      <c r="N388">
        <v>1</v>
      </c>
      <c r="O388">
        <v>1</v>
      </c>
      <c r="P388">
        <v>2</v>
      </c>
      <c r="Q388">
        <v>2</v>
      </c>
      <c r="R388">
        <v>2</v>
      </c>
      <c r="S388">
        <v>3</v>
      </c>
      <c r="T388">
        <v>2</v>
      </c>
      <c r="U388">
        <v>1</v>
      </c>
      <c r="V388">
        <v>3</v>
      </c>
      <c r="W388">
        <v>4</v>
      </c>
      <c r="X388">
        <v>4</v>
      </c>
      <c r="Y388">
        <v>4</v>
      </c>
      <c r="Z388">
        <v>4</v>
      </c>
      <c r="AA388">
        <v>2</v>
      </c>
      <c r="AB388">
        <v>2</v>
      </c>
      <c r="AC388">
        <v>2</v>
      </c>
      <c r="AD388">
        <v>4</v>
      </c>
      <c r="AE388">
        <v>3</v>
      </c>
      <c r="AF388">
        <v>3</v>
      </c>
      <c r="AG388">
        <v>3</v>
      </c>
      <c r="AH388">
        <v>3</v>
      </c>
      <c r="AI388">
        <v>3</v>
      </c>
      <c r="AJ388">
        <v>3</v>
      </c>
      <c r="AK388" t="b">
        <f>Table7[[#This Row],[What is your age?]]&lt;&gt;"18 - 25"</f>
        <v>0</v>
      </c>
      <c r="AL388" t="b">
        <f t="shared" si="18"/>
        <v>0</v>
      </c>
      <c r="AM388" t="b">
        <f t="shared" si="19"/>
        <v>0</v>
      </c>
      <c r="AN388" t="b">
        <f t="shared" si="20"/>
        <v>0</v>
      </c>
      <c r="AO388" t="b">
        <f>OR(Table7[[#This Row],[Ineligible respondents]:[Inconsistent response on opposite question (3)]])</f>
        <v>0</v>
      </c>
      <c r="AP38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388">
        <f>Table7[[#This Row],[Extreme Response]]/21</f>
        <v>0.14285714285714285</v>
      </c>
      <c r="AR388">
        <f>Table67[[#This Row],[Threshold of ERS]]</f>
        <v>0.61904761904761907</v>
      </c>
      <c r="AS388" t="b">
        <f>Table7[[#This Row],[Extrem Response Ratio (ERS)]]&gt;=Table7[[#This Row],[Threshold of ERS]]</f>
        <v>0</v>
      </c>
      <c r="AT388" t="b" cm="1">
        <f t="array" ref="AT38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88">
        <f>COUNTIF(Table7[[#This Row],[The mechanism of digital assets is difficult to understand, which discourages me from exploring it (E.g, Tokenization, Blockchain)]:[If I want to try different ways to invest, I will explore digital assets.]], 3)</f>
        <v>6</v>
      </c>
      <c r="AV388">
        <f>Table7[[#This Row],[Midpoint]]/21</f>
        <v>0.2857142857142857</v>
      </c>
      <c r="AW388">
        <f>Table67[[#This Row],[Threshold of Midpoint ratio]]</f>
        <v>0.5714285714285714</v>
      </c>
      <c r="AX388" t="b">
        <f>Table7[[#This Row],[Midpoint ratio]]&gt;=Table7[[#This Row],[Threshold of Midpoint ratio]]</f>
        <v>0</v>
      </c>
      <c r="AY388" t="b">
        <f>OR(Table7[[#This Row],[Extreme Response Style]:[Straight-lining with 1 deviation]],Table7[[#This Row],[Mid-point Response Style]])</f>
        <v>0</v>
      </c>
      <c r="AZ388" t="b">
        <f>OR(Table7[[#This Row],[Delete? (Stage 1)]],Table7[[#This Row],[Delete? (Stage 2)]])</f>
        <v>0</v>
      </c>
      <c r="BA388" t="s">
        <v>84</v>
      </c>
    </row>
    <row r="389" spans="1:53">
      <c r="A389">
        <v>1618</v>
      </c>
      <c r="B389" s="3">
        <v>46065.837465277778</v>
      </c>
      <c r="C389" s="3">
        <v>46065.844328703701</v>
      </c>
      <c r="D389" t="s">
        <v>53</v>
      </c>
      <c r="G389" t="s">
        <v>54</v>
      </c>
      <c r="H389" t="s">
        <v>55</v>
      </c>
      <c r="I389" t="s">
        <v>56</v>
      </c>
      <c r="J389" t="s">
        <v>67</v>
      </c>
      <c r="K389" t="s">
        <v>57</v>
      </c>
      <c r="L389" t="s">
        <v>61</v>
      </c>
      <c r="M389" t="s">
        <v>61</v>
      </c>
      <c r="N389">
        <v>2</v>
      </c>
      <c r="O389">
        <v>2</v>
      </c>
      <c r="P389">
        <v>3</v>
      </c>
      <c r="Q389">
        <v>3</v>
      </c>
      <c r="R389">
        <v>2</v>
      </c>
      <c r="S389">
        <v>4</v>
      </c>
      <c r="T389">
        <v>4</v>
      </c>
      <c r="U389">
        <v>3</v>
      </c>
      <c r="V389">
        <v>5</v>
      </c>
      <c r="W389">
        <v>4</v>
      </c>
      <c r="X389">
        <v>5</v>
      </c>
      <c r="Y389">
        <v>4</v>
      </c>
      <c r="Z389">
        <v>5</v>
      </c>
      <c r="AA389">
        <v>4</v>
      </c>
      <c r="AB389">
        <v>3</v>
      </c>
      <c r="AC389">
        <v>3</v>
      </c>
      <c r="AD389">
        <v>5</v>
      </c>
      <c r="AE389">
        <v>5</v>
      </c>
      <c r="AF389">
        <v>4</v>
      </c>
      <c r="AG389">
        <v>3</v>
      </c>
      <c r="AH389">
        <v>3</v>
      </c>
      <c r="AI389">
        <v>3</v>
      </c>
      <c r="AJ389">
        <v>2</v>
      </c>
      <c r="AK389" t="b">
        <f>Table7[[#This Row],[What is your age?]]&lt;&gt;"18 - 25"</f>
        <v>0</v>
      </c>
      <c r="AL389" t="b">
        <f t="shared" si="18"/>
        <v>0</v>
      </c>
      <c r="AM389" t="b">
        <f t="shared" si="19"/>
        <v>0</v>
      </c>
      <c r="AN389" t="b">
        <f t="shared" si="20"/>
        <v>0</v>
      </c>
      <c r="AO389" t="b">
        <f>OR(Table7[[#This Row],[Ineligible respondents]:[Inconsistent response on opposite question (3)]])</f>
        <v>0</v>
      </c>
      <c r="AP38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5</v>
      </c>
      <c r="AQ389">
        <f>Table7[[#This Row],[Extreme Response]]/21</f>
        <v>0.23809523809523808</v>
      </c>
      <c r="AR389">
        <f>Table67[[#This Row],[Threshold of ERS]]</f>
        <v>0.61904761904761907</v>
      </c>
      <c r="AS389" t="b">
        <f>Table7[[#This Row],[Extrem Response Ratio (ERS)]]&gt;=Table7[[#This Row],[Threshold of ERS]]</f>
        <v>0</v>
      </c>
      <c r="AT389" t="b" cm="1">
        <f t="array" ref="AT38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89">
        <f>COUNTIF(Table7[[#This Row],[The mechanism of digital assets is difficult to understand, which discourages me from exploring it (E.g, Tokenization, Blockchain)]:[If I want to try different ways to invest, I will explore digital assets.]], 3)</f>
        <v>7</v>
      </c>
      <c r="AV389">
        <f>Table7[[#This Row],[Midpoint]]/21</f>
        <v>0.33333333333333331</v>
      </c>
      <c r="AW389">
        <f>Table67[[#This Row],[Threshold of Midpoint ratio]]</f>
        <v>0.5714285714285714</v>
      </c>
      <c r="AX389" t="b">
        <f>Table7[[#This Row],[Midpoint ratio]]&gt;=Table7[[#This Row],[Threshold of Midpoint ratio]]</f>
        <v>0</v>
      </c>
      <c r="AY389" t="b">
        <f>OR(Table7[[#This Row],[Extreme Response Style]:[Straight-lining with 1 deviation]],Table7[[#This Row],[Mid-point Response Style]])</f>
        <v>0</v>
      </c>
      <c r="AZ389" t="b">
        <f>OR(Table7[[#This Row],[Delete? (Stage 1)]],Table7[[#This Row],[Delete? (Stage 2)]])</f>
        <v>0</v>
      </c>
      <c r="BA389" t="s">
        <v>84</v>
      </c>
    </row>
    <row r="390" spans="1:53">
      <c r="A390">
        <v>1622</v>
      </c>
      <c r="B390" s="3">
        <v>46065.721053240741</v>
      </c>
      <c r="C390" s="3">
        <v>46065.721319444441</v>
      </c>
      <c r="D390" t="s">
        <v>53</v>
      </c>
      <c r="G390" t="s">
        <v>54</v>
      </c>
      <c r="H390" t="s">
        <v>63</v>
      </c>
      <c r="I390" t="s">
        <v>75</v>
      </c>
      <c r="J390" t="s">
        <v>62</v>
      </c>
      <c r="K390" t="s">
        <v>64</v>
      </c>
      <c r="L390" t="s">
        <v>58</v>
      </c>
      <c r="M390" t="s">
        <v>58</v>
      </c>
      <c r="N390">
        <v>2</v>
      </c>
      <c r="O390">
        <v>2</v>
      </c>
      <c r="P390">
        <v>4</v>
      </c>
      <c r="Q390">
        <v>3</v>
      </c>
      <c r="R390">
        <v>2</v>
      </c>
      <c r="S390">
        <v>4</v>
      </c>
      <c r="T390">
        <v>4</v>
      </c>
      <c r="U390">
        <v>3</v>
      </c>
      <c r="V390">
        <v>3</v>
      </c>
      <c r="W390">
        <v>3</v>
      </c>
      <c r="X390">
        <v>3</v>
      </c>
      <c r="Y390">
        <v>3</v>
      </c>
      <c r="Z390">
        <v>3</v>
      </c>
      <c r="AA390">
        <v>4</v>
      </c>
      <c r="AB390">
        <v>4</v>
      </c>
      <c r="AC390">
        <v>3</v>
      </c>
      <c r="AD390">
        <v>2</v>
      </c>
      <c r="AE390">
        <v>3</v>
      </c>
      <c r="AF390">
        <v>4</v>
      </c>
      <c r="AG390">
        <v>1</v>
      </c>
      <c r="AH390">
        <v>4</v>
      </c>
      <c r="AI390">
        <v>2</v>
      </c>
      <c r="AJ390">
        <v>2</v>
      </c>
      <c r="AK390" t="b">
        <f>Table7[[#This Row],[What is your age?]]&lt;&gt;"18 - 25"</f>
        <v>0</v>
      </c>
      <c r="AL390" t="b">
        <f t="shared" si="18"/>
        <v>0</v>
      </c>
      <c r="AM390" t="b">
        <f t="shared" si="19"/>
        <v>0</v>
      </c>
      <c r="AN390" t="b">
        <f t="shared" si="20"/>
        <v>0</v>
      </c>
      <c r="AO390" t="b">
        <f>OR(Table7[[#This Row],[Ineligible respondents]:[Inconsistent response on opposite question (3)]])</f>
        <v>0</v>
      </c>
      <c r="AP39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390">
        <f>Table7[[#This Row],[Extreme Response]]/21</f>
        <v>4.7619047619047616E-2</v>
      </c>
      <c r="AR390">
        <f>Table67[[#This Row],[Threshold of ERS]]</f>
        <v>0.61904761904761907</v>
      </c>
      <c r="AS390" t="b">
        <f>Table7[[#This Row],[Extrem Response Ratio (ERS)]]&gt;=Table7[[#This Row],[Threshold of ERS]]</f>
        <v>0</v>
      </c>
      <c r="AT390" t="b" cm="1">
        <f t="array" ref="AT39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90">
        <f>COUNTIF(Table7[[#This Row],[The mechanism of digital assets is difficult to understand, which discourages me from exploring it (E.g, Tokenization, Blockchain)]:[If I want to try different ways to invest, I will explore digital assets.]], 3)</f>
        <v>9</v>
      </c>
      <c r="AV390">
        <f>Table7[[#This Row],[Midpoint]]/21</f>
        <v>0.42857142857142855</v>
      </c>
      <c r="AW390">
        <f>Table67[[#This Row],[Threshold of Midpoint ratio]]</f>
        <v>0.5714285714285714</v>
      </c>
      <c r="AX390" t="b">
        <f>Table7[[#This Row],[Midpoint ratio]]&gt;=Table7[[#This Row],[Threshold of Midpoint ratio]]</f>
        <v>0</v>
      </c>
      <c r="AY390" t="b">
        <f>OR(Table7[[#This Row],[Extreme Response Style]:[Straight-lining with 1 deviation]],Table7[[#This Row],[Mid-point Response Style]])</f>
        <v>0</v>
      </c>
      <c r="AZ390" t="b">
        <f>OR(Table7[[#This Row],[Delete? (Stage 1)]],Table7[[#This Row],[Delete? (Stage 2)]])</f>
        <v>0</v>
      </c>
      <c r="BA390" t="s">
        <v>84</v>
      </c>
    </row>
    <row r="391" spans="1:53">
      <c r="A391">
        <v>1625</v>
      </c>
      <c r="B391" s="3">
        <v>46065.850543981483</v>
      </c>
      <c r="C391" s="3">
        <v>46065.858078703706</v>
      </c>
      <c r="D391" t="s">
        <v>53</v>
      </c>
      <c r="G391" t="s">
        <v>54</v>
      </c>
      <c r="H391" t="s">
        <v>55</v>
      </c>
      <c r="I391" t="s">
        <v>82</v>
      </c>
      <c r="J391" t="s">
        <v>62</v>
      </c>
      <c r="K391" t="s">
        <v>62</v>
      </c>
      <c r="L391" t="s">
        <v>58</v>
      </c>
      <c r="M391" t="s">
        <v>58</v>
      </c>
      <c r="N391">
        <v>1</v>
      </c>
      <c r="O391">
        <v>2</v>
      </c>
      <c r="P391">
        <v>3</v>
      </c>
      <c r="Q391">
        <v>2</v>
      </c>
      <c r="R391">
        <v>1</v>
      </c>
      <c r="S391">
        <v>2</v>
      </c>
      <c r="T391">
        <v>3</v>
      </c>
      <c r="U391">
        <v>3</v>
      </c>
      <c r="V391">
        <v>4</v>
      </c>
      <c r="W391">
        <v>3</v>
      </c>
      <c r="X391">
        <v>4</v>
      </c>
      <c r="Y391">
        <v>4</v>
      </c>
      <c r="Z391">
        <v>5</v>
      </c>
      <c r="AA391">
        <v>2</v>
      </c>
      <c r="AB391">
        <v>2</v>
      </c>
      <c r="AC391">
        <v>2</v>
      </c>
      <c r="AD391">
        <v>4</v>
      </c>
      <c r="AE391">
        <v>5</v>
      </c>
      <c r="AF391">
        <v>4</v>
      </c>
      <c r="AG391">
        <v>2</v>
      </c>
      <c r="AH391">
        <v>4</v>
      </c>
      <c r="AI391">
        <v>2</v>
      </c>
      <c r="AJ391">
        <v>2</v>
      </c>
      <c r="AK391" t="b">
        <f>Table7[[#This Row],[What is your age?]]&lt;&gt;"18 - 25"</f>
        <v>0</v>
      </c>
      <c r="AL391" t="b">
        <f t="shared" si="18"/>
        <v>0</v>
      </c>
      <c r="AM391" t="b">
        <f t="shared" si="19"/>
        <v>0</v>
      </c>
      <c r="AN391" t="b">
        <f t="shared" si="20"/>
        <v>0</v>
      </c>
      <c r="AO391" t="b">
        <f>OR(Table7[[#This Row],[Ineligible respondents]:[Inconsistent response on opposite question (3)]])</f>
        <v>0</v>
      </c>
      <c r="AP39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391">
        <f>Table7[[#This Row],[Extreme Response]]/21</f>
        <v>0.19047619047619047</v>
      </c>
      <c r="AR391">
        <f>Table67[[#This Row],[Threshold of ERS]]</f>
        <v>0.61904761904761907</v>
      </c>
      <c r="AS391" t="b">
        <f>Table7[[#This Row],[Extrem Response Ratio (ERS)]]&gt;=Table7[[#This Row],[Threshold of ERS]]</f>
        <v>0</v>
      </c>
      <c r="AT391" t="b" cm="1">
        <f t="array" ref="AT39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91">
        <f>COUNTIF(Table7[[#This Row],[The mechanism of digital assets is difficult to understand, which discourages me from exploring it (E.g, Tokenization, Blockchain)]:[If I want to try different ways to invest, I will explore digital assets.]], 3)</f>
        <v>4</v>
      </c>
      <c r="AV391">
        <f>Table7[[#This Row],[Midpoint]]/21</f>
        <v>0.19047619047619047</v>
      </c>
      <c r="AW391">
        <f>Table67[[#This Row],[Threshold of Midpoint ratio]]</f>
        <v>0.5714285714285714</v>
      </c>
      <c r="AX391" t="b">
        <f>Table7[[#This Row],[Midpoint ratio]]&gt;=Table7[[#This Row],[Threshold of Midpoint ratio]]</f>
        <v>0</v>
      </c>
      <c r="AY391" t="b">
        <f>OR(Table7[[#This Row],[Extreme Response Style]:[Straight-lining with 1 deviation]],Table7[[#This Row],[Mid-point Response Style]])</f>
        <v>0</v>
      </c>
      <c r="AZ391" t="b">
        <f>OR(Table7[[#This Row],[Delete? (Stage 1)]],Table7[[#This Row],[Delete? (Stage 2)]])</f>
        <v>0</v>
      </c>
      <c r="BA391" t="s">
        <v>84</v>
      </c>
    </row>
    <row r="392" spans="1:53">
      <c r="A392">
        <v>1628</v>
      </c>
      <c r="B392" s="3">
        <v>46065.870081018518</v>
      </c>
      <c r="C392" s="3">
        <v>46065.875868055555</v>
      </c>
      <c r="D392" t="s">
        <v>53</v>
      </c>
      <c r="G392" t="s">
        <v>54</v>
      </c>
      <c r="H392" t="s">
        <v>63</v>
      </c>
      <c r="I392" t="s">
        <v>56</v>
      </c>
      <c r="J392" t="s">
        <v>64</v>
      </c>
      <c r="K392" t="s">
        <v>57</v>
      </c>
      <c r="L392" t="s">
        <v>58</v>
      </c>
      <c r="M392" t="s">
        <v>58</v>
      </c>
      <c r="N392">
        <v>2</v>
      </c>
      <c r="O392">
        <v>2</v>
      </c>
      <c r="P392">
        <v>4</v>
      </c>
      <c r="Q392">
        <v>4</v>
      </c>
      <c r="R392">
        <v>2</v>
      </c>
      <c r="S392">
        <v>3</v>
      </c>
      <c r="T392">
        <v>3</v>
      </c>
      <c r="U392">
        <v>4</v>
      </c>
      <c r="V392">
        <v>5</v>
      </c>
      <c r="W392">
        <v>4</v>
      </c>
      <c r="X392">
        <v>4</v>
      </c>
      <c r="Y392">
        <v>5</v>
      </c>
      <c r="Z392">
        <v>4</v>
      </c>
      <c r="AA392">
        <v>2</v>
      </c>
      <c r="AB392">
        <v>3</v>
      </c>
      <c r="AC392">
        <v>4</v>
      </c>
      <c r="AD392">
        <v>4</v>
      </c>
      <c r="AE392">
        <v>4</v>
      </c>
      <c r="AF392">
        <v>5</v>
      </c>
      <c r="AG392">
        <v>2</v>
      </c>
      <c r="AH392">
        <v>5</v>
      </c>
      <c r="AI392">
        <v>1</v>
      </c>
      <c r="AJ392">
        <v>1</v>
      </c>
      <c r="AK392" t="b">
        <f>Table7[[#This Row],[What is your age?]]&lt;&gt;"18 - 25"</f>
        <v>0</v>
      </c>
      <c r="AL392" t="b">
        <f t="shared" si="18"/>
        <v>0</v>
      </c>
      <c r="AM392" t="b">
        <f t="shared" si="19"/>
        <v>0</v>
      </c>
      <c r="AN392" t="b">
        <f t="shared" si="20"/>
        <v>0</v>
      </c>
      <c r="AO392" t="b">
        <f>OR(Table7[[#This Row],[Ineligible respondents]:[Inconsistent response on opposite question (3)]])</f>
        <v>0</v>
      </c>
      <c r="AP39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392">
        <f>Table7[[#This Row],[Extreme Response]]/21</f>
        <v>0.19047619047619047</v>
      </c>
      <c r="AR392">
        <f>Table67[[#This Row],[Threshold of ERS]]</f>
        <v>0.61904761904761907</v>
      </c>
      <c r="AS392" t="b">
        <f>Table7[[#This Row],[Extrem Response Ratio (ERS)]]&gt;=Table7[[#This Row],[Threshold of ERS]]</f>
        <v>0</v>
      </c>
      <c r="AT392" t="b" cm="1">
        <f t="array" ref="AT39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92">
        <f>COUNTIF(Table7[[#This Row],[The mechanism of digital assets is difficult to understand, which discourages me from exploring it (E.g, Tokenization, Blockchain)]:[If I want to try different ways to invest, I will explore digital assets.]], 3)</f>
        <v>3</v>
      </c>
      <c r="AV392">
        <f>Table7[[#This Row],[Midpoint]]/21</f>
        <v>0.14285714285714285</v>
      </c>
      <c r="AW392">
        <f>Table67[[#This Row],[Threshold of Midpoint ratio]]</f>
        <v>0.5714285714285714</v>
      </c>
      <c r="AX392" t="b">
        <f>Table7[[#This Row],[Midpoint ratio]]&gt;=Table7[[#This Row],[Threshold of Midpoint ratio]]</f>
        <v>0</v>
      </c>
      <c r="AY392" t="b">
        <f>OR(Table7[[#This Row],[Extreme Response Style]:[Straight-lining with 1 deviation]],Table7[[#This Row],[Mid-point Response Style]])</f>
        <v>0</v>
      </c>
      <c r="AZ392" t="b">
        <f>OR(Table7[[#This Row],[Delete? (Stage 1)]],Table7[[#This Row],[Delete? (Stage 2)]])</f>
        <v>0</v>
      </c>
      <c r="BA392" t="s">
        <v>84</v>
      </c>
    </row>
    <row r="393" spans="1:53">
      <c r="A393">
        <v>1629</v>
      </c>
      <c r="B393" s="3">
        <v>46065.769108796296</v>
      </c>
      <c r="C393" s="3">
        <v>46065.770370370374</v>
      </c>
      <c r="D393" t="s">
        <v>53</v>
      </c>
      <c r="G393" t="s">
        <v>54</v>
      </c>
      <c r="H393" t="s">
        <v>63</v>
      </c>
      <c r="I393" t="s">
        <v>56</v>
      </c>
      <c r="J393" t="s">
        <v>62</v>
      </c>
      <c r="K393" t="s">
        <v>62</v>
      </c>
      <c r="L393" t="s">
        <v>58</v>
      </c>
      <c r="M393" t="s">
        <v>61</v>
      </c>
      <c r="N393">
        <v>4</v>
      </c>
      <c r="O393">
        <v>4</v>
      </c>
      <c r="P393">
        <v>5</v>
      </c>
      <c r="Q393">
        <v>4</v>
      </c>
      <c r="R393">
        <v>4</v>
      </c>
      <c r="S393">
        <v>4</v>
      </c>
      <c r="T393">
        <v>5</v>
      </c>
      <c r="U393">
        <v>4</v>
      </c>
      <c r="V393">
        <v>5</v>
      </c>
      <c r="W393">
        <v>5</v>
      </c>
      <c r="X393">
        <v>4</v>
      </c>
      <c r="Y393">
        <v>5</v>
      </c>
      <c r="Z393">
        <v>3</v>
      </c>
      <c r="AA393">
        <v>5</v>
      </c>
      <c r="AB393">
        <v>4</v>
      </c>
      <c r="AC393">
        <v>4</v>
      </c>
      <c r="AD393">
        <v>3</v>
      </c>
      <c r="AE393">
        <v>4</v>
      </c>
      <c r="AF393">
        <v>1</v>
      </c>
      <c r="AG393">
        <v>4</v>
      </c>
      <c r="AH393">
        <v>2</v>
      </c>
      <c r="AI393">
        <v>4</v>
      </c>
      <c r="AJ393">
        <v>5</v>
      </c>
      <c r="AK393" t="b">
        <f>Table7[[#This Row],[What is your age?]]&lt;&gt;"18 - 25"</f>
        <v>0</v>
      </c>
      <c r="AL393" t="b">
        <f t="shared" si="18"/>
        <v>0</v>
      </c>
      <c r="AM393" t="b">
        <f t="shared" si="19"/>
        <v>0</v>
      </c>
      <c r="AN393" t="b">
        <f t="shared" si="20"/>
        <v>0</v>
      </c>
      <c r="AO393" t="b">
        <f>OR(Table7[[#This Row],[Ineligible respondents]:[Inconsistent response on opposite question (3)]])</f>
        <v>0</v>
      </c>
      <c r="AP39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7</v>
      </c>
      <c r="AQ393">
        <f>Table7[[#This Row],[Extreme Response]]/21</f>
        <v>0.33333333333333331</v>
      </c>
      <c r="AR393">
        <f>Table67[[#This Row],[Threshold of ERS]]</f>
        <v>0.61904761904761907</v>
      </c>
      <c r="AS393" t="b">
        <f>Table7[[#This Row],[Extrem Response Ratio (ERS)]]&gt;=Table7[[#This Row],[Threshold of ERS]]</f>
        <v>0</v>
      </c>
      <c r="AT393" t="b" cm="1">
        <f t="array" ref="AT39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93">
        <f>COUNTIF(Table7[[#This Row],[The mechanism of digital assets is difficult to understand, which discourages me from exploring it (E.g, Tokenization, Blockchain)]:[If I want to try different ways to invest, I will explore digital assets.]], 3)</f>
        <v>2</v>
      </c>
      <c r="AV393">
        <f>Table7[[#This Row],[Midpoint]]/21</f>
        <v>9.5238095238095233E-2</v>
      </c>
      <c r="AW393">
        <f>Table67[[#This Row],[Threshold of Midpoint ratio]]</f>
        <v>0.5714285714285714</v>
      </c>
      <c r="AX393" t="b">
        <f>Table7[[#This Row],[Midpoint ratio]]&gt;=Table7[[#This Row],[Threshold of Midpoint ratio]]</f>
        <v>0</v>
      </c>
      <c r="AY393" t="b">
        <f>OR(Table7[[#This Row],[Extreme Response Style]:[Straight-lining with 1 deviation]],Table7[[#This Row],[Mid-point Response Style]])</f>
        <v>0</v>
      </c>
      <c r="AZ393" t="b">
        <f>OR(Table7[[#This Row],[Delete? (Stage 1)]],Table7[[#This Row],[Delete? (Stage 2)]])</f>
        <v>0</v>
      </c>
      <c r="BA393" t="s">
        <v>84</v>
      </c>
    </row>
    <row r="394" spans="1:53">
      <c r="A394">
        <v>1632</v>
      </c>
      <c r="B394" s="3">
        <v>46065.707175925927</v>
      </c>
      <c r="C394" s="3">
        <v>46065.707557870373</v>
      </c>
      <c r="D394" t="s">
        <v>53</v>
      </c>
      <c r="G394" t="s">
        <v>54</v>
      </c>
      <c r="H394" t="s">
        <v>63</v>
      </c>
      <c r="I394" t="s">
        <v>71</v>
      </c>
      <c r="J394" t="s">
        <v>62</v>
      </c>
      <c r="K394" t="s">
        <v>57</v>
      </c>
      <c r="L394" t="s">
        <v>58</v>
      </c>
      <c r="M394" t="s">
        <v>58</v>
      </c>
      <c r="N394">
        <v>2</v>
      </c>
      <c r="O394">
        <v>3</v>
      </c>
      <c r="P394">
        <v>4</v>
      </c>
      <c r="Q394">
        <v>4</v>
      </c>
      <c r="R394">
        <v>3</v>
      </c>
      <c r="S394">
        <v>3</v>
      </c>
      <c r="T394">
        <v>3</v>
      </c>
      <c r="U394">
        <v>4</v>
      </c>
      <c r="V394">
        <v>4</v>
      </c>
      <c r="W394">
        <v>4</v>
      </c>
      <c r="X394">
        <v>4</v>
      </c>
      <c r="Y394">
        <v>4</v>
      </c>
      <c r="Z394">
        <v>4</v>
      </c>
      <c r="AA394">
        <v>3</v>
      </c>
      <c r="AB394">
        <v>3</v>
      </c>
      <c r="AC394">
        <v>5</v>
      </c>
      <c r="AD394">
        <v>4</v>
      </c>
      <c r="AE394">
        <v>4</v>
      </c>
      <c r="AF394">
        <v>3</v>
      </c>
      <c r="AG394">
        <v>1</v>
      </c>
      <c r="AH394">
        <v>4</v>
      </c>
      <c r="AI394">
        <v>2</v>
      </c>
      <c r="AJ394">
        <v>3</v>
      </c>
      <c r="AK394" t="b">
        <f>Table7[[#This Row],[What is your age?]]&lt;&gt;"18 - 25"</f>
        <v>0</v>
      </c>
      <c r="AL394" t="b">
        <f t="shared" si="18"/>
        <v>0</v>
      </c>
      <c r="AM394" t="b">
        <f t="shared" si="19"/>
        <v>0</v>
      </c>
      <c r="AN394" t="b">
        <f t="shared" si="20"/>
        <v>0</v>
      </c>
      <c r="AO394" t="b">
        <f>OR(Table7[[#This Row],[Ineligible respondents]:[Inconsistent response on opposite question (3)]])</f>
        <v>0</v>
      </c>
      <c r="AP39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394">
        <f>Table7[[#This Row],[Extreme Response]]/21</f>
        <v>9.5238095238095233E-2</v>
      </c>
      <c r="AR394">
        <f>Table67[[#This Row],[Threshold of ERS]]</f>
        <v>0.61904761904761907</v>
      </c>
      <c r="AS394" t="b">
        <f>Table7[[#This Row],[Extrem Response Ratio (ERS)]]&gt;=Table7[[#This Row],[Threshold of ERS]]</f>
        <v>0</v>
      </c>
      <c r="AT394" t="b" cm="1">
        <f t="array" ref="AT39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94">
        <f>COUNTIF(Table7[[#This Row],[The mechanism of digital assets is difficult to understand, which discourages me from exploring it (E.g, Tokenization, Blockchain)]:[If I want to try different ways to invest, I will explore digital assets.]], 3)</f>
        <v>7</v>
      </c>
      <c r="AV394">
        <f>Table7[[#This Row],[Midpoint]]/21</f>
        <v>0.33333333333333331</v>
      </c>
      <c r="AW394">
        <f>Table67[[#This Row],[Threshold of Midpoint ratio]]</f>
        <v>0.5714285714285714</v>
      </c>
      <c r="AX394" t="b">
        <f>Table7[[#This Row],[Midpoint ratio]]&gt;=Table7[[#This Row],[Threshold of Midpoint ratio]]</f>
        <v>0</v>
      </c>
      <c r="AY394" t="b">
        <f>OR(Table7[[#This Row],[Extreme Response Style]:[Straight-lining with 1 deviation]],Table7[[#This Row],[Mid-point Response Style]])</f>
        <v>0</v>
      </c>
      <c r="AZ394" t="b">
        <f>OR(Table7[[#This Row],[Delete? (Stage 1)]],Table7[[#This Row],[Delete? (Stage 2)]])</f>
        <v>0</v>
      </c>
      <c r="BA394" t="s">
        <v>84</v>
      </c>
    </row>
    <row r="395" spans="1:53">
      <c r="A395">
        <v>1636</v>
      </c>
      <c r="B395" s="3">
        <v>46065.875335648147</v>
      </c>
      <c r="C395" s="3">
        <v>46065.882395833331</v>
      </c>
      <c r="D395" t="s">
        <v>53</v>
      </c>
      <c r="G395" t="s">
        <v>54</v>
      </c>
      <c r="H395" t="s">
        <v>55</v>
      </c>
      <c r="I395" t="s">
        <v>75</v>
      </c>
      <c r="J395" t="s">
        <v>60</v>
      </c>
      <c r="K395" t="s">
        <v>57</v>
      </c>
      <c r="L395" t="s">
        <v>58</v>
      </c>
      <c r="M395" t="s">
        <v>58</v>
      </c>
      <c r="N395">
        <v>4</v>
      </c>
      <c r="O395">
        <v>4</v>
      </c>
      <c r="P395">
        <v>3</v>
      </c>
      <c r="Q395">
        <v>4</v>
      </c>
      <c r="R395">
        <v>4</v>
      </c>
      <c r="S395">
        <v>5</v>
      </c>
      <c r="T395">
        <v>5</v>
      </c>
      <c r="U395">
        <v>4</v>
      </c>
      <c r="V395">
        <v>4</v>
      </c>
      <c r="W395">
        <v>4</v>
      </c>
      <c r="X395">
        <v>4</v>
      </c>
      <c r="Y395">
        <v>4</v>
      </c>
      <c r="Z395">
        <v>4</v>
      </c>
      <c r="AA395">
        <v>5</v>
      </c>
      <c r="AB395">
        <v>5</v>
      </c>
      <c r="AC395">
        <v>3</v>
      </c>
      <c r="AD395">
        <v>4</v>
      </c>
      <c r="AE395">
        <v>3</v>
      </c>
      <c r="AF395">
        <v>2</v>
      </c>
      <c r="AG395">
        <v>3</v>
      </c>
      <c r="AH395">
        <v>3</v>
      </c>
      <c r="AI395">
        <v>3</v>
      </c>
      <c r="AJ395">
        <v>4</v>
      </c>
      <c r="AK395" t="b">
        <f>Table7[[#This Row],[What is your age?]]&lt;&gt;"18 - 25"</f>
        <v>0</v>
      </c>
      <c r="AL395" t="b">
        <f t="shared" si="18"/>
        <v>0</v>
      </c>
      <c r="AM395" t="b">
        <f t="shared" si="19"/>
        <v>0</v>
      </c>
      <c r="AN395" t="b">
        <f t="shared" si="20"/>
        <v>0</v>
      </c>
      <c r="AO395" t="b">
        <f>OR(Table7[[#This Row],[Ineligible respondents]:[Inconsistent response on opposite question (3)]])</f>
        <v>0</v>
      </c>
      <c r="AP39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395">
        <f>Table7[[#This Row],[Extreme Response]]/21</f>
        <v>0.19047619047619047</v>
      </c>
      <c r="AR395">
        <f>Table67[[#This Row],[Threshold of ERS]]</f>
        <v>0.61904761904761907</v>
      </c>
      <c r="AS395" t="b">
        <f>Table7[[#This Row],[Extrem Response Ratio (ERS)]]&gt;=Table7[[#This Row],[Threshold of ERS]]</f>
        <v>0</v>
      </c>
      <c r="AT395" t="b" cm="1">
        <f t="array" ref="AT39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95">
        <f>COUNTIF(Table7[[#This Row],[The mechanism of digital assets is difficult to understand, which discourages me from exploring it (E.g, Tokenization, Blockchain)]:[If I want to try different ways to invest, I will explore digital assets.]], 3)</f>
        <v>5</v>
      </c>
      <c r="AV395">
        <f>Table7[[#This Row],[Midpoint]]/21</f>
        <v>0.23809523809523808</v>
      </c>
      <c r="AW395">
        <f>Table67[[#This Row],[Threshold of Midpoint ratio]]</f>
        <v>0.5714285714285714</v>
      </c>
      <c r="AX395" t="b">
        <f>Table7[[#This Row],[Midpoint ratio]]&gt;=Table7[[#This Row],[Threshold of Midpoint ratio]]</f>
        <v>0</v>
      </c>
      <c r="AY395" t="b">
        <f>OR(Table7[[#This Row],[Extreme Response Style]:[Straight-lining with 1 deviation]],Table7[[#This Row],[Mid-point Response Style]])</f>
        <v>0</v>
      </c>
      <c r="AZ395" t="b">
        <f>OR(Table7[[#This Row],[Delete? (Stage 1)]],Table7[[#This Row],[Delete? (Stage 2)]])</f>
        <v>0</v>
      </c>
      <c r="BA395" t="s">
        <v>84</v>
      </c>
    </row>
    <row r="396" spans="1:53">
      <c r="A396">
        <v>1637</v>
      </c>
      <c r="B396" s="3">
        <v>46065.712939814817</v>
      </c>
      <c r="C396" s="3">
        <v>46065.713263888887</v>
      </c>
      <c r="D396" t="s">
        <v>53</v>
      </c>
      <c r="G396" t="s">
        <v>54</v>
      </c>
      <c r="H396" t="s">
        <v>55</v>
      </c>
      <c r="I396" t="s">
        <v>56</v>
      </c>
      <c r="J396" t="s">
        <v>62</v>
      </c>
      <c r="K396" t="s">
        <v>62</v>
      </c>
      <c r="L396" t="s">
        <v>58</v>
      </c>
      <c r="M396" t="s">
        <v>58</v>
      </c>
      <c r="N396">
        <v>3</v>
      </c>
      <c r="O396">
        <v>3</v>
      </c>
      <c r="P396">
        <v>2</v>
      </c>
      <c r="Q396">
        <v>2</v>
      </c>
      <c r="R396">
        <v>3</v>
      </c>
      <c r="S396">
        <v>3</v>
      </c>
      <c r="T396">
        <v>2</v>
      </c>
      <c r="U396">
        <v>2</v>
      </c>
      <c r="V396">
        <v>4</v>
      </c>
      <c r="W396">
        <v>4</v>
      </c>
      <c r="X396">
        <v>2</v>
      </c>
      <c r="Y396">
        <v>4</v>
      </c>
      <c r="Z396">
        <v>2</v>
      </c>
      <c r="AA396">
        <v>3</v>
      </c>
      <c r="AB396">
        <v>2</v>
      </c>
      <c r="AC396">
        <v>3</v>
      </c>
      <c r="AD396">
        <v>3</v>
      </c>
      <c r="AE396">
        <v>2</v>
      </c>
      <c r="AF396">
        <v>4</v>
      </c>
      <c r="AG396">
        <v>2</v>
      </c>
      <c r="AH396">
        <v>4</v>
      </c>
      <c r="AI396">
        <v>2</v>
      </c>
      <c r="AJ396">
        <v>2</v>
      </c>
      <c r="AK396" t="b">
        <f>Table7[[#This Row],[What is your age?]]&lt;&gt;"18 - 25"</f>
        <v>0</v>
      </c>
      <c r="AL396" t="b">
        <f t="shared" si="18"/>
        <v>0</v>
      </c>
      <c r="AM396" t="b">
        <f t="shared" si="19"/>
        <v>0</v>
      </c>
      <c r="AN396" t="b">
        <f t="shared" si="20"/>
        <v>0</v>
      </c>
      <c r="AO396" t="b">
        <f>OR(Table7[[#This Row],[Ineligible respondents]:[Inconsistent response on opposite question (3)]])</f>
        <v>0</v>
      </c>
      <c r="AP39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396">
        <f>Table7[[#This Row],[Extreme Response]]/21</f>
        <v>0</v>
      </c>
      <c r="AR396">
        <f>Table67[[#This Row],[Threshold of ERS]]</f>
        <v>0.61904761904761907</v>
      </c>
      <c r="AS396" t="b">
        <f>Table7[[#This Row],[Extrem Response Ratio (ERS)]]&gt;=Table7[[#This Row],[Threshold of ERS]]</f>
        <v>0</v>
      </c>
      <c r="AT396" t="b" cm="1">
        <f t="array" ref="AT39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96">
        <f>COUNTIF(Table7[[#This Row],[The mechanism of digital assets is difficult to understand, which discourages me from exploring it (E.g, Tokenization, Blockchain)]:[If I want to try different ways to invest, I will explore digital assets.]], 3)</f>
        <v>7</v>
      </c>
      <c r="AV396">
        <f>Table7[[#This Row],[Midpoint]]/21</f>
        <v>0.33333333333333331</v>
      </c>
      <c r="AW396">
        <f>Table67[[#This Row],[Threshold of Midpoint ratio]]</f>
        <v>0.5714285714285714</v>
      </c>
      <c r="AX396" t="b">
        <f>Table7[[#This Row],[Midpoint ratio]]&gt;=Table7[[#This Row],[Threshold of Midpoint ratio]]</f>
        <v>0</v>
      </c>
      <c r="AY396" t="b">
        <f>OR(Table7[[#This Row],[Extreme Response Style]:[Straight-lining with 1 deviation]],Table7[[#This Row],[Mid-point Response Style]])</f>
        <v>0</v>
      </c>
      <c r="AZ396" t="b">
        <f>OR(Table7[[#This Row],[Delete? (Stage 1)]],Table7[[#This Row],[Delete? (Stage 2)]])</f>
        <v>0</v>
      </c>
      <c r="BA396" t="s">
        <v>84</v>
      </c>
    </row>
    <row r="397" spans="1:53">
      <c r="A397">
        <v>1638</v>
      </c>
      <c r="B397" s="3">
        <v>46065.882280092592</v>
      </c>
      <c r="C397" s="3">
        <v>46065.889699074076</v>
      </c>
      <c r="D397" t="s">
        <v>53</v>
      </c>
      <c r="G397" t="s">
        <v>54</v>
      </c>
      <c r="H397" t="s">
        <v>55</v>
      </c>
      <c r="I397" t="s">
        <v>56</v>
      </c>
      <c r="J397" t="s">
        <v>64</v>
      </c>
      <c r="K397" t="s">
        <v>66</v>
      </c>
      <c r="L397" t="s">
        <v>58</v>
      </c>
      <c r="M397" t="s">
        <v>58</v>
      </c>
      <c r="N397">
        <v>2</v>
      </c>
      <c r="O397">
        <v>2</v>
      </c>
      <c r="P397">
        <v>3</v>
      </c>
      <c r="Q397">
        <v>4</v>
      </c>
      <c r="R397">
        <v>2</v>
      </c>
      <c r="S397">
        <v>3</v>
      </c>
      <c r="T397">
        <v>3</v>
      </c>
      <c r="U397">
        <v>3</v>
      </c>
      <c r="V397">
        <v>3</v>
      </c>
      <c r="W397">
        <v>3</v>
      </c>
      <c r="X397">
        <v>4</v>
      </c>
      <c r="Y397">
        <v>2</v>
      </c>
      <c r="Z397">
        <v>4</v>
      </c>
      <c r="AA397">
        <v>3</v>
      </c>
      <c r="AB397">
        <v>3</v>
      </c>
      <c r="AC397">
        <v>3</v>
      </c>
      <c r="AD397">
        <v>4</v>
      </c>
      <c r="AE397">
        <v>3</v>
      </c>
      <c r="AF397">
        <v>3</v>
      </c>
      <c r="AG397">
        <v>2</v>
      </c>
      <c r="AH397">
        <v>5</v>
      </c>
      <c r="AI397">
        <v>1</v>
      </c>
      <c r="AJ397">
        <v>3</v>
      </c>
      <c r="AK397" t="b">
        <f>Table7[[#This Row],[What is your age?]]&lt;&gt;"18 - 25"</f>
        <v>0</v>
      </c>
      <c r="AL397" t="b">
        <f t="shared" si="18"/>
        <v>0</v>
      </c>
      <c r="AM397" t="b">
        <f t="shared" si="19"/>
        <v>0</v>
      </c>
      <c r="AN397" t="b">
        <f t="shared" si="20"/>
        <v>0</v>
      </c>
      <c r="AO397" t="b">
        <f>OR(Table7[[#This Row],[Ineligible respondents]:[Inconsistent response on opposite question (3)]])</f>
        <v>0</v>
      </c>
      <c r="AP39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397">
        <f>Table7[[#This Row],[Extreme Response]]/21</f>
        <v>4.7619047619047616E-2</v>
      </c>
      <c r="AR397">
        <f>Table67[[#This Row],[Threshold of ERS]]</f>
        <v>0.61904761904761907</v>
      </c>
      <c r="AS397" t="b">
        <f>Table7[[#This Row],[Extrem Response Ratio (ERS)]]&gt;=Table7[[#This Row],[Threshold of ERS]]</f>
        <v>0</v>
      </c>
      <c r="AT397" t="b" cm="1">
        <f t="array" ref="AT39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97">
        <f>COUNTIF(Table7[[#This Row],[The mechanism of digital assets is difficult to understand, which discourages me from exploring it (E.g, Tokenization, Blockchain)]:[If I want to try different ways to invest, I will explore digital assets.]], 3)</f>
        <v>11</v>
      </c>
      <c r="AV397">
        <f>Table7[[#This Row],[Midpoint]]/21</f>
        <v>0.52380952380952384</v>
      </c>
      <c r="AW397">
        <f>Table67[[#This Row],[Threshold of Midpoint ratio]]</f>
        <v>0.5714285714285714</v>
      </c>
      <c r="AX397" t="b">
        <f>Table7[[#This Row],[Midpoint ratio]]&gt;=Table7[[#This Row],[Threshold of Midpoint ratio]]</f>
        <v>0</v>
      </c>
      <c r="AY397" t="b">
        <f>OR(Table7[[#This Row],[Extreme Response Style]:[Straight-lining with 1 deviation]],Table7[[#This Row],[Mid-point Response Style]])</f>
        <v>0</v>
      </c>
      <c r="AZ397" t="b">
        <f>OR(Table7[[#This Row],[Delete? (Stage 1)]],Table7[[#This Row],[Delete? (Stage 2)]])</f>
        <v>0</v>
      </c>
      <c r="BA397" t="s">
        <v>84</v>
      </c>
    </row>
    <row r="398" spans="1:53">
      <c r="A398">
        <v>1641</v>
      </c>
      <c r="B398" s="3">
        <v>46065.731400462966</v>
      </c>
      <c r="C398" s="3">
        <v>46065.732719907406</v>
      </c>
      <c r="D398" t="s">
        <v>53</v>
      </c>
      <c r="G398" t="s">
        <v>54</v>
      </c>
      <c r="H398" t="s">
        <v>55</v>
      </c>
      <c r="I398" t="s">
        <v>56</v>
      </c>
      <c r="J398" t="s">
        <v>57</v>
      </c>
      <c r="K398" t="s">
        <v>57</v>
      </c>
      <c r="L398" t="s">
        <v>58</v>
      </c>
      <c r="M398" t="s">
        <v>58</v>
      </c>
      <c r="N398">
        <v>2</v>
      </c>
      <c r="O398">
        <v>3</v>
      </c>
      <c r="P398">
        <v>3</v>
      </c>
      <c r="Q398">
        <v>3</v>
      </c>
      <c r="R398">
        <v>1</v>
      </c>
      <c r="S398">
        <v>2</v>
      </c>
      <c r="T398">
        <v>2</v>
      </c>
      <c r="U398">
        <v>3</v>
      </c>
      <c r="V398">
        <v>2</v>
      </c>
      <c r="W398">
        <v>3</v>
      </c>
      <c r="X398">
        <v>2</v>
      </c>
      <c r="Y398">
        <v>3</v>
      </c>
      <c r="Z398">
        <v>2</v>
      </c>
      <c r="AA398">
        <v>2</v>
      </c>
      <c r="AB398">
        <v>2</v>
      </c>
      <c r="AC398">
        <v>3</v>
      </c>
      <c r="AD398">
        <v>2</v>
      </c>
      <c r="AE398">
        <v>2</v>
      </c>
      <c r="AF398">
        <v>4</v>
      </c>
      <c r="AG398">
        <v>2</v>
      </c>
      <c r="AH398">
        <v>5</v>
      </c>
      <c r="AI398">
        <v>1</v>
      </c>
      <c r="AJ398">
        <v>2</v>
      </c>
      <c r="AK398" t="b">
        <f>Table7[[#This Row],[What is your age?]]&lt;&gt;"18 - 25"</f>
        <v>0</v>
      </c>
      <c r="AL398" t="b">
        <f t="shared" si="18"/>
        <v>0</v>
      </c>
      <c r="AM398" t="b">
        <f t="shared" si="19"/>
        <v>0</v>
      </c>
      <c r="AN398" t="b">
        <f t="shared" si="20"/>
        <v>0</v>
      </c>
      <c r="AO398" t="b">
        <f>OR(Table7[[#This Row],[Ineligible respondents]:[Inconsistent response on opposite question (3)]])</f>
        <v>0</v>
      </c>
      <c r="AP39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398">
        <f>Table7[[#This Row],[Extreme Response]]/21</f>
        <v>9.5238095238095233E-2</v>
      </c>
      <c r="AR398">
        <f>Table67[[#This Row],[Threshold of ERS]]</f>
        <v>0.61904761904761907</v>
      </c>
      <c r="AS398" t="b">
        <f>Table7[[#This Row],[Extrem Response Ratio (ERS)]]&gt;=Table7[[#This Row],[Threshold of ERS]]</f>
        <v>0</v>
      </c>
      <c r="AT398" t="b" cm="1">
        <f t="array" ref="AT39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98">
        <f>COUNTIF(Table7[[#This Row],[The mechanism of digital assets is difficult to understand, which discourages me from exploring it (E.g, Tokenization, Blockchain)]:[If I want to try different ways to invest, I will explore digital assets.]], 3)</f>
        <v>7</v>
      </c>
      <c r="AV398">
        <f>Table7[[#This Row],[Midpoint]]/21</f>
        <v>0.33333333333333331</v>
      </c>
      <c r="AW398">
        <f>Table67[[#This Row],[Threshold of Midpoint ratio]]</f>
        <v>0.5714285714285714</v>
      </c>
      <c r="AX398" t="b">
        <f>Table7[[#This Row],[Midpoint ratio]]&gt;=Table7[[#This Row],[Threshold of Midpoint ratio]]</f>
        <v>0</v>
      </c>
      <c r="AY398" t="b">
        <f>OR(Table7[[#This Row],[Extreme Response Style]:[Straight-lining with 1 deviation]],Table7[[#This Row],[Mid-point Response Style]])</f>
        <v>0</v>
      </c>
      <c r="AZ398" t="b">
        <f>OR(Table7[[#This Row],[Delete? (Stage 1)]],Table7[[#This Row],[Delete? (Stage 2)]])</f>
        <v>0</v>
      </c>
      <c r="BA398" t="s">
        <v>84</v>
      </c>
    </row>
    <row r="399" spans="1:53">
      <c r="A399">
        <v>1642</v>
      </c>
      <c r="B399" s="3">
        <v>46065.828275462962</v>
      </c>
      <c r="C399" s="3">
        <v>46065.83222222222</v>
      </c>
      <c r="D399" t="s">
        <v>53</v>
      </c>
      <c r="G399" t="s">
        <v>54</v>
      </c>
      <c r="H399" t="s">
        <v>55</v>
      </c>
      <c r="I399" t="s">
        <v>56</v>
      </c>
      <c r="J399" t="s">
        <v>60</v>
      </c>
      <c r="K399" t="s">
        <v>57</v>
      </c>
      <c r="L399" t="s">
        <v>58</v>
      </c>
      <c r="M399" t="s">
        <v>58</v>
      </c>
      <c r="N399">
        <v>3</v>
      </c>
      <c r="O399">
        <v>4</v>
      </c>
      <c r="P399">
        <v>5</v>
      </c>
      <c r="Q399">
        <v>4</v>
      </c>
      <c r="R399">
        <v>3</v>
      </c>
      <c r="S399">
        <v>3</v>
      </c>
      <c r="T399">
        <v>3</v>
      </c>
      <c r="U399">
        <v>4</v>
      </c>
      <c r="V399">
        <v>4</v>
      </c>
      <c r="W399">
        <v>4</v>
      </c>
      <c r="X399">
        <v>4</v>
      </c>
      <c r="Y399">
        <v>3</v>
      </c>
      <c r="Z399">
        <v>5</v>
      </c>
      <c r="AA399">
        <v>3</v>
      </c>
      <c r="AB399">
        <v>3</v>
      </c>
      <c r="AC399">
        <v>4</v>
      </c>
      <c r="AD399">
        <v>4</v>
      </c>
      <c r="AE399">
        <v>4</v>
      </c>
      <c r="AF399">
        <v>3</v>
      </c>
      <c r="AG399">
        <v>2</v>
      </c>
      <c r="AH399">
        <v>4</v>
      </c>
      <c r="AI399">
        <v>2</v>
      </c>
      <c r="AJ399">
        <v>3</v>
      </c>
      <c r="AK399" t="b">
        <f>Table7[[#This Row],[What is your age?]]&lt;&gt;"18 - 25"</f>
        <v>0</v>
      </c>
      <c r="AL399" t="b">
        <f t="shared" si="18"/>
        <v>0</v>
      </c>
      <c r="AM399" t="b">
        <f t="shared" si="19"/>
        <v>0</v>
      </c>
      <c r="AN399" t="b">
        <f t="shared" si="20"/>
        <v>0</v>
      </c>
      <c r="AO399" t="b">
        <f>OR(Table7[[#This Row],[Ineligible respondents]:[Inconsistent response on opposite question (3)]])</f>
        <v>0</v>
      </c>
      <c r="AP39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399">
        <f>Table7[[#This Row],[Extreme Response]]/21</f>
        <v>9.5238095238095233E-2</v>
      </c>
      <c r="AR399">
        <f>Table67[[#This Row],[Threshold of ERS]]</f>
        <v>0.61904761904761907</v>
      </c>
      <c r="AS399" t="b">
        <f>Table7[[#This Row],[Extrem Response Ratio (ERS)]]&gt;=Table7[[#This Row],[Threshold of ERS]]</f>
        <v>0</v>
      </c>
      <c r="AT399" t="b" cm="1">
        <f t="array" ref="AT39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399">
        <f>COUNTIF(Table7[[#This Row],[The mechanism of digital assets is difficult to understand, which discourages me from exploring it (E.g, Tokenization, Blockchain)]:[If I want to try different ways to invest, I will explore digital assets.]], 3)</f>
        <v>8</v>
      </c>
      <c r="AV399">
        <f>Table7[[#This Row],[Midpoint]]/21</f>
        <v>0.38095238095238093</v>
      </c>
      <c r="AW399">
        <f>Table67[[#This Row],[Threshold of Midpoint ratio]]</f>
        <v>0.5714285714285714</v>
      </c>
      <c r="AX399" t="b">
        <f>Table7[[#This Row],[Midpoint ratio]]&gt;=Table7[[#This Row],[Threshold of Midpoint ratio]]</f>
        <v>0</v>
      </c>
      <c r="AY399" t="b">
        <f>OR(Table7[[#This Row],[Extreme Response Style]:[Straight-lining with 1 deviation]],Table7[[#This Row],[Mid-point Response Style]])</f>
        <v>0</v>
      </c>
      <c r="AZ399" t="b">
        <f>OR(Table7[[#This Row],[Delete? (Stage 1)]],Table7[[#This Row],[Delete? (Stage 2)]])</f>
        <v>0</v>
      </c>
      <c r="BA399" t="s">
        <v>84</v>
      </c>
    </row>
    <row r="400" spans="1:53">
      <c r="A400">
        <v>1644</v>
      </c>
      <c r="B400" s="3">
        <v>46065.842152777775</v>
      </c>
      <c r="C400" s="3">
        <v>46065.848761574074</v>
      </c>
      <c r="D400" t="s">
        <v>53</v>
      </c>
      <c r="G400" t="s">
        <v>54</v>
      </c>
      <c r="H400" t="s">
        <v>55</v>
      </c>
      <c r="I400" t="s">
        <v>56</v>
      </c>
      <c r="J400" t="s">
        <v>62</v>
      </c>
      <c r="K400" t="s">
        <v>57</v>
      </c>
      <c r="L400" t="s">
        <v>61</v>
      </c>
      <c r="M400" t="s">
        <v>58</v>
      </c>
      <c r="N400">
        <v>2</v>
      </c>
      <c r="O400">
        <v>2</v>
      </c>
      <c r="P400">
        <v>4</v>
      </c>
      <c r="Q400">
        <v>4</v>
      </c>
      <c r="R400">
        <v>2</v>
      </c>
      <c r="S400">
        <v>3</v>
      </c>
      <c r="T400">
        <v>3</v>
      </c>
      <c r="U400">
        <v>4</v>
      </c>
      <c r="V400">
        <v>5</v>
      </c>
      <c r="W400">
        <v>5</v>
      </c>
      <c r="X400">
        <v>4</v>
      </c>
      <c r="Y400">
        <v>5</v>
      </c>
      <c r="Z400">
        <v>4</v>
      </c>
      <c r="AA400">
        <v>3</v>
      </c>
      <c r="AB400">
        <v>4</v>
      </c>
      <c r="AC400">
        <v>4</v>
      </c>
      <c r="AD400">
        <v>4</v>
      </c>
      <c r="AE400">
        <v>3</v>
      </c>
      <c r="AF400">
        <v>4</v>
      </c>
      <c r="AG400">
        <v>1</v>
      </c>
      <c r="AH400">
        <v>4</v>
      </c>
      <c r="AI400">
        <v>2</v>
      </c>
      <c r="AJ400">
        <v>2</v>
      </c>
      <c r="AK400" t="b">
        <f>Table7[[#This Row],[What is your age?]]&lt;&gt;"18 - 25"</f>
        <v>0</v>
      </c>
      <c r="AL400" t="b">
        <f t="shared" si="18"/>
        <v>0</v>
      </c>
      <c r="AM400" t="b">
        <f t="shared" si="19"/>
        <v>0</v>
      </c>
      <c r="AN400" t="b">
        <f t="shared" si="20"/>
        <v>0</v>
      </c>
      <c r="AO400" t="b">
        <f>OR(Table7[[#This Row],[Ineligible respondents]:[Inconsistent response on opposite question (3)]])</f>
        <v>0</v>
      </c>
      <c r="AP40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400">
        <f>Table7[[#This Row],[Extreme Response]]/21</f>
        <v>0.19047619047619047</v>
      </c>
      <c r="AR400">
        <f>Table67[[#This Row],[Threshold of ERS]]</f>
        <v>0.61904761904761907</v>
      </c>
      <c r="AS400" t="b">
        <f>Table7[[#This Row],[Extrem Response Ratio (ERS)]]&gt;=Table7[[#This Row],[Threshold of ERS]]</f>
        <v>0</v>
      </c>
      <c r="AT400" t="b" cm="1">
        <f t="array" ref="AT40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400">
        <f>COUNTIF(Table7[[#This Row],[The mechanism of digital assets is difficult to understand, which discourages me from exploring it (E.g, Tokenization, Blockchain)]:[If I want to try different ways to invest, I will explore digital assets.]], 3)</f>
        <v>4</v>
      </c>
      <c r="AV400">
        <f>Table7[[#This Row],[Midpoint]]/21</f>
        <v>0.19047619047619047</v>
      </c>
      <c r="AW400">
        <f>Table67[[#This Row],[Threshold of Midpoint ratio]]</f>
        <v>0.5714285714285714</v>
      </c>
      <c r="AX400" t="b">
        <f>Table7[[#This Row],[Midpoint ratio]]&gt;=Table7[[#This Row],[Threshold of Midpoint ratio]]</f>
        <v>0</v>
      </c>
      <c r="AY400" t="b">
        <f>OR(Table7[[#This Row],[Extreme Response Style]:[Straight-lining with 1 deviation]],Table7[[#This Row],[Mid-point Response Style]])</f>
        <v>0</v>
      </c>
      <c r="AZ400" t="b">
        <f>OR(Table7[[#This Row],[Delete? (Stage 1)]],Table7[[#This Row],[Delete? (Stage 2)]])</f>
        <v>0</v>
      </c>
      <c r="BA400" t="s">
        <v>84</v>
      </c>
    </row>
    <row r="401" spans="1:53">
      <c r="A401">
        <v>1647</v>
      </c>
      <c r="B401" s="3">
        <v>46065.765347222223</v>
      </c>
      <c r="C401" s="3">
        <v>46065.766365740739</v>
      </c>
      <c r="D401" t="s">
        <v>53</v>
      </c>
      <c r="G401" t="s">
        <v>54</v>
      </c>
      <c r="H401" t="s">
        <v>63</v>
      </c>
      <c r="I401" t="s">
        <v>56</v>
      </c>
      <c r="J401" t="s">
        <v>62</v>
      </c>
      <c r="K401" t="s">
        <v>57</v>
      </c>
      <c r="L401" t="s">
        <v>58</v>
      </c>
      <c r="M401" t="s">
        <v>58</v>
      </c>
      <c r="N401">
        <v>3</v>
      </c>
      <c r="O401">
        <v>3</v>
      </c>
      <c r="P401">
        <v>4</v>
      </c>
      <c r="Q401">
        <v>4</v>
      </c>
      <c r="R401">
        <v>3</v>
      </c>
      <c r="S401">
        <v>3</v>
      </c>
      <c r="T401">
        <v>3</v>
      </c>
      <c r="U401">
        <v>4</v>
      </c>
      <c r="V401">
        <v>4</v>
      </c>
      <c r="W401">
        <v>3</v>
      </c>
      <c r="X401">
        <v>2</v>
      </c>
      <c r="Y401">
        <v>4</v>
      </c>
      <c r="Z401">
        <v>3</v>
      </c>
      <c r="AA401">
        <v>3</v>
      </c>
      <c r="AB401">
        <v>3</v>
      </c>
      <c r="AC401">
        <v>4</v>
      </c>
      <c r="AD401">
        <v>2</v>
      </c>
      <c r="AE401">
        <v>3</v>
      </c>
      <c r="AF401">
        <v>4</v>
      </c>
      <c r="AG401">
        <v>2</v>
      </c>
      <c r="AH401">
        <v>4</v>
      </c>
      <c r="AI401">
        <v>2</v>
      </c>
      <c r="AJ401">
        <v>2</v>
      </c>
      <c r="AK401" t="b">
        <f>Table7[[#This Row],[What is your age?]]&lt;&gt;"18 - 25"</f>
        <v>0</v>
      </c>
      <c r="AL401" t="b">
        <f t="shared" si="18"/>
        <v>0</v>
      </c>
      <c r="AM401" t="b">
        <f t="shared" si="19"/>
        <v>0</v>
      </c>
      <c r="AN401" t="b">
        <f t="shared" si="20"/>
        <v>0</v>
      </c>
      <c r="AO401" t="b">
        <f>OR(Table7[[#This Row],[Ineligible respondents]:[Inconsistent response on opposite question (3)]])</f>
        <v>0</v>
      </c>
      <c r="AP40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401">
        <f>Table7[[#This Row],[Extreme Response]]/21</f>
        <v>0</v>
      </c>
      <c r="AR401">
        <f>Table67[[#This Row],[Threshold of ERS]]</f>
        <v>0.61904761904761907</v>
      </c>
      <c r="AS401" t="b">
        <f>Table7[[#This Row],[Extrem Response Ratio (ERS)]]&gt;=Table7[[#This Row],[Threshold of ERS]]</f>
        <v>0</v>
      </c>
      <c r="AT401" t="b" cm="1">
        <f t="array" ref="AT40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401">
        <f>COUNTIF(Table7[[#This Row],[The mechanism of digital assets is difficult to understand, which discourages me from exploring it (E.g, Tokenization, Blockchain)]:[If I want to try different ways to invest, I will explore digital assets.]], 3)</f>
        <v>10</v>
      </c>
      <c r="AV401">
        <f>Table7[[#This Row],[Midpoint]]/21</f>
        <v>0.47619047619047616</v>
      </c>
      <c r="AW401">
        <f>Table67[[#This Row],[Threshold of Midpoint ratio]]</f>
        <v>0.5714285714285714</v>
      </c>
      <c r="AX401" t="b">
        <f>Table7[[#This Row],[Midpoint ratio]]&gt;=Table7[[#This Row],[Threshold of Midpoint ratio]]</f>
        <v>0</v>
      </c>
      <c r="AY401" t="b">
        <f>OR(Table7[[#This Row],[Extreme Response Style]:[Straight-lining with 1 deviation]],Table7[[#This Row],[Mid-point Response Style]])</f>
        <v>0</v>
      </c>
      <c r="AZ401" t="b">
        <f>OR(Table7[[#This Row],[Delete? (Stage 1)]],Table7[[#This Row],[Delete? (Stage 2)]])</f>
        <v>0</v>
      </c>
      <c r="BA401" t="s">
        <v>84</v>
      </c>
    </row>
    <row r="402" spans="1:53">
      <c r="A402">
        <v>1657</v>
      </c>
      <c r="B402" s="3">
        <v>46065.725555555553</v>
      </c>
      <c r="C402" s="3">
        <v>46065.725821759261</v>
      </c>
      <c r="D402" t="s">
        <v>53</v>
      </c>
      <c r="G402" t="s">
        <v>54</v>
      </c>
      <c r="H402" t="s">
        <v>55</v>
      </c>
      <c r="I402" t="s">
        <v>71</v>
      </c>
      <c r="J402" t="s">
        <v>66</v>
      </c>
      <c r="K402" t="s">
        <v>64</v>
      </c>
      <c r="L402" t="s">
        <v>58</v>
      </c>
      <c r="M402" t="s">
        <v>58</v>
      </c>
      <c r="N402">
        <v>4</v>
      </c>
      <c r="O402">
        <v>4</v>
      </c>
      <c r="P402">
        <v>4</v>
      </c>
      <c r="Q402">
        <v>3</v>
      </c>
      <c r="R402">
        <v>3</v>
      </c>
      <c r="S402">
        <v>4</v>
      </c>
      <c r="T402">
        <v>4</v>
      </c>
      <c r="U402">
        <v>3</v>
      </c>
      <c r="V402">
        <v>4</v>
      </c>
      <c r="W402">
        <v>5</v>
      </c>
      <c r="X402">
        <v>4</v>
      </c>
      <c r="Y402">
        <v>4</v>
      </c>
      <c r="Z402">
        <v>4</v>
      </c>
      <c r="AA402">
        <v>4</v>
      </c>
      <c r="AB402">
        <v>4</v>
      </c>
      <c r="AC402">
        <v>4</v>
      </c>
      <c r="AD402">
        <v>4</v>
      </c>
      <c r="AE402">
        <v>4</v>
      </c>
      <c r="AF402">
        <v>4</v>
      </c>
      <c r="AG402">
        <v>2</v>
      </c>
      <c r="AH402">
        <v>5</v>
      </c>
      <c r="AI402">
        <v>1</v>
      </c>
      <c r="AJ402">
        <v>2</v>
      </c>
      <c r="AK402" t="b">
        <f>Table7[[#This Row],[What is your age?]]&lt;&gt;"18 - 25"</f>
        <v>0</v>
      </c>
      <c r="AL402" t="b">
        <f t="shared" si="18"/>
        <v>0</v>
      </c>
      <c r="AM402" t="b">
        <f t="shared" si="19"/>
        <v>0</v>
      </c>
      <c r="AN402" t="b">
        <f t="shared" si="20"/>
        <v>0</v>
      </c>
      <c r="AO402" t="b">
        <f>OR(Table7[[#This Row],[Ineligible respondents]:[Inconsistent response on opposite question (3)]])</f>
        <v>0</v>
      </c>
      <c r="AP40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402">
        <f>Table7[[#This Row],[Extreme Response]]/21</f>
        <v>9.5238095238095233E-2</v>
      </c>
      <c r="AR402">
        <f>Table67[[#This Row],[Threshold of ERS]]</f>
        <v>0.61904761904761907</v>
      </c>
      <c r="AS402" t="b">
        <f>Table7[[#This Row],[Extrem Response Ratio (ERS)]]&gt;=Table7[[#This Row],[Threshold of ERS]]</f>
        <v>0</v>
      </c>
      <c r="AT402" t="b" cm="1">
        <f t="array" ref="AT40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402">
        <f>COUNTIF(Table7[[#This Row],[The mechanism of digital assets is difficult to understand, which discourages me from exploring it (E.g, Tokenization, Blockchain)]:[If I want to try different ways to invest, I will explore digital assets.]], 3)</f>
        <v>3</v>
      </c>
      <c r="AV402">
        <f>Table7[[#This Row],[Midpoint]]/21</f>
        <v>0.14285714285714285</v>
      </c>
      <c r="AW402">
        <f>Table67[[#This Row],[Threshold of Midpoint ratio]]</f>
        <v>0.5714285714285714</v>
      </c>
      <c r="AX402" t="b">
        <f>Table7[[#This Row],[Midpoint ratio]]&gt;=Table7[[#This Row],[Threshold of Midpoint ratio]]</f>
        <v>0</v>
      </c>
      <c r="AY402" t="b">
        <f>OR(Table7[[#This Row],[Extreme Response Style]:[Straight-lining with 1 deviation]],Table7[[#This Row],[Mid-point Response Style]])</f>
        <v>0</v>
      </c>
      <c r="AZ402" t="b">
        <f>OR(Table7[[#This Row],[Delete? (Stage 1)]],Table7[[#This Row],[Delete? (Stage 2)]])</f>
        <v>0</v>
      </c>
      <c r="BA402" t="s">
        <v>84</v>
      </c>
    </row>
    <row r="403" spans="1:53">
      <c r="A403">
        <v>1660</v>
      </c>
      <c r="B403" s="3">
        <v>46065.727118055554</v>
      </c>
      <c r="C403" s="3">
        <v>46065.727581018517</v>
      </c>
      <c r="D403" t="s">
        <v>53</v>
      </c>
      <c r="G403" t="s">
        <v>54</v>
      </c>
      <c r="H403" t="s">
        <v>55</v>
      </c>
      <c r="I403" t="s">
        <v>56</v>
      </c>
      <c r="J403" t="s">
        <v>57</v>
      </c>
      <c r="K403" t="s">
        <v>62</v>
      </c>
      <c r="L403" t="s">
        <v>58</v>
      </c>
      <c r="M403" t="s">
        <v>58</v>
      </c>
      <c r="N403">
        <v>3</v>
      </c>
      <c r="O403">
        <v>2</v>
      </c>
      <c r="P403">
        <v>4</v>
      </c>
      <c r="Q403">
        <v>4</v>
      </c>
      <c r="R403">
        <v>2</v>
      </c>
      <c r="S403">
        <v>4</v>
      </c>
      <c r="T403">
        <v>4</v>
      </c>
      <c r="U403">
        <v>4</v>
      </c>
      <c r="V403">
        <v>4</v>
      </c>
      <c r="W403">
        <v>4</v>
      </c>
      <c r="X403">
        <v>3</v>
      </c>
      <c r="Y403">
        <v>4</v>
      </c>
      <c r="Z403">
        <v>2</v>
      </c>
      <c r="AA403">
        <v>3</v>
      </c>
      <c r="AB403">
        <v>4</v>
      </c>
      <c r="AC403">
        <v>4</v>
      </c>
      <c r="AD403">
        <v>2</v>
      </c>
      <c r="AE403">
        <v>3</v>
      </c>
      <c r="AF403">
        <v>2</v>
      </c>
      <c r="AG403">
        <v>3</v>
      </c>
      <c r="AH403">
        <v>3</v>
      </c>
      <c r="AI403">
        <v>3</v>
      </c>
      <c r="AJ403">
        <v>4</v>
      </c>
      <c r="AK403" t="b">
        <f>Table7[[#This Row],[What is your age?]]&lt;&gt;"18 - 25"</f>
        <v>0</v>
      </c>
      <c r="AL403" t="b">
        <f t="shared" si="18"/>
        <v>0</v>
      </c>
      <c r="AM403" t="b">
        <f t="shared" si="19"/>
        <v>0</v>
      </c>
      <c r="AN403" t="b">
        <f t="shared" si="20"/>
        <v>0</v>
      </c>
      <c r="AO403" t="b">
        <f>OR(Table7[[#This Row],[Ineligible respondents]:[Inconsistent response on opposite question (3)]])</f>
        <v>0</v>
      </c>
      <c r="AP403">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403">
        <f>Table7[[#This Row],[Extreme Response]]/21</f>
        <v>0</v>
      </c>
      <c r="AR403">
        <f>Table67[[#This Row],[Threshold of ERS]]</f>
        <v>0.61904761904761907</v>
      </c>
      <c r="AS403" t="b">
        <f>Table7[[#This Row],[Extrem Response Ratio (ERS)]]&gt;=Table7[[#This Row],[Threshold of ERS]]</f>
        <v>0</v>
      </c>
      <c r="AT403" t="b" cm="1">
        <f t="array" ref="AT403">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403">
        <f>COUNTIF(Table7[[#This Row],[The mechanism of digital assets is difficult to understand, which discourages me from exploring it (E.g, Tokenization, Blockchain)]:[If I want to try different ways to invest, I will explore digital assets.]], 3)</f>
        <v>6</v>
      </c>
      <c r="AV403">
        <f>Table7[[#This Row],[Midpoint]]/21</f>
        <v>0.2857142857142857</v>
      </c>
      <c r="AW403">
        <f>Table67[[#This Row],[Threshold of Midpoint ratio]]</f>
        <v>0.5714285714285714</v>
      </c>
      <c r="AX403" t="b">
        <f>Table7[[#This Row],[Midpoint ratio]]&gt;=Table7[[#This Row],[Threshold of Midpoint ratio]]</f>
        <v>0</v>
      </c>
      <c r="AY403" t="b">
        <f>OR(Table7[[#This Row],[Extreme Response Style]:[Straight-lining with 1 deviation]],Table7[[#This Row],[Mid-point Response Style]])</f>
        <v>0</v>
      </c>
      <c r="AZ403" t="b">
        <f>OR(Table7[[#This Row],[Delete? (Stage 1)]],Table7[[#This Row],[Delete? (Stage 2)]])</f>
        <v>0</v>
      </c>
      <c r="BA403" t="s">
        <v>84</v>
      </c>
    </row>
    <row r="404" spans="1:53">
      <c r="A404">
        <v>1662</v>
      </c>
      <c r="B404" s="3">
        <v>46065.870115740741</v>
      </c>
      <c r="C404" s="3">
        <v>46065.875821759262</v>
      </c>
      <c r="D404" t="s">
        <v>53</v>
      </c>
      <c r="G404" t="s">
        <v>54</v>
      </c>
      <c r="H404" t="s">
        <v>55</v>
      </c>
      <c r="I404" t="s">
        <v>56</v>
      </c>
      <c r="J404" t="s">
        <v>67</v>
      </c>
      <c r="K404" t="s">
        <v>62</v>
      </c>
      <c r="L404" t="s">
        <v>58</v>
      </c>
      <c r="M404" t="s">
        <v>58</v>
      </c>
      <c r="N404">
        <v>3</v>
      </c>
      <c r="O404">
        <v>3</v>
      </c>
      <c r="P404">
        <v>2</v>
      </c>
      <c r="Q404">
        <v>2</v>
      </c>
      <c r="R404">
        <v>3</v>
      </c>
      <c r="S404">
        <v>1</v>
      </c>
      <c r="T404">
        <v>2</v>
      </c>
      <c r="U404">
        <v>2</v>
      </c>
      <c r="V404">
        <v>2</v>
      </c>
      <c r="W404">
        <v>2</v>
      </c>
      <c r="X404">
        <v>3</v>
      </c>
      <c r="Y404">
        <v>3</v>
      </c>
      <c r="Z404">
        <v>2</v>
      </c>
      <c r="AA404">
        <v>2</v>
      </c>
      <c r="AB404">
        <v>2</v>
      </c>
      <c r="AC404">
        <v>3</v>
      </c>
      <c r="AD404">
        <v>3</v>
      </c>
      <c r="AE404">
        <v>2</v>
      </c>
      <c r="AF404">
        <v>5</v>
      </c>
      <c r="AG404">
        <v>1</v>
      </c>
      <c r="AH404">
        <v>5</v>
      </c>
      <c r="AI404">
        <v>1</v>
      </c>
      <c r="AJ404">
        <v>1</v>
      </c>
      <c r="AK404" t="b">
        <f>Table7[[#This Row],[What is your age?]]&lt;&gt;"18 - 25"</f>
        <v>0</v>
      </c>
      <c r="AL404" t="b">
        <f t="shared" si="18"/>
        <v>0</v>
      </c>
      <c r="AM404" t="b">
        <f t="shared" si="19"/>
        <v>0</v>
      </c>
      <c r="AN404" t="b">
        <f t="shared" si="20"/>
        <v>0</v>
      </c>
      <c r="AO404" t="b">
        <f>OR(Table7[[#This Row],[Ineligible respondents]:[Inconsistent response on opposite question (3)]])</f>
        <v>0</v>
      </c>
      <c r="AP404">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404">
        <f>Table7[[#This Row],[Extreme Response]]/21</f>
        <v>0.19047619047619047</v>
      </c>
      <c r="AR404">
        <f>Table67[[#This Row],[Threshold of ERS]]</f>
        <v>0.61904761904761907</v>
      </c>
      <c r="AS404" t="b">
        <f>Table7[[#This Row],[Extrem Response Ratio (ERS)]]&gt;=Table7[[#This Row],[Threshold of ERS]]</f>
        <v>0</v>
      </c>
      <c r="AT404" t="b" cm="1">
        <f t="array" ref="AT404">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404">
        <f>COUNTIF(Table7[[#This Row],[The mechanism of digital assets is difficult to understand, which discourages me from exploring it (E.g, Tokenization, Blockchain)]:[If I want to try different ways to invest, I will explore digital assets.]], 3)</f>
        <v>7</v>
      </c>
      <c r="AV404">
        <f>Table7[[#This Row],[Midpoint]]/21</f>
        <v>0.33333333333333331</v>
      </c>
      <c r="AW404">
        <f>Table67[[#This Row],[Threshold of Midpoint ratio]]</f>
        <v>0.5714285714285714</v>
      </c>
      <c r="AX404" t="b">
        <f>Table7[[#This Row],[Midpoint ratio]]&gt;=Table7[[#This Row],[Threshold of Midpoint ratio]]</f>
        <v>0</v>
      </c>
      <c r="AY404" t="b">
        <f>OR(Table7[[#This Row],[Extreme Response Style]:[Straight-lining with 1 deviation]],Table7[[#This Row],[Mid-point Response Style]])</f>
        <v>0</v>
      </c>
      <c r="AZ404" t="b">
        <f>OR(Table7[[#This Row],[Delete? (Stage 1)]],Table7[[#This Row],[Delete? (Stage 2)]])</f>
        <v>0</v>
      </c>
      <c r="BA404" t="s">
        <v>84</v>
      </c>
    </row>
    <row r="405" spans="1:53">
      <c r="A405">
        <v>1665</v>
      </c>
      <c r="B405" s="3">
        <v>46065.769097222219</v>
      </c>
      <c r="C405" s="3">
        <v>46065.77008101852</v>
      </c>
      <c r="D405" t="s">
        <v>53</v>
      </c>
      <c r="G405" t="s">
        <v>54</v>
      </c>
      <c r="H405" t="s">
        <v>63</v>
      </c>
      <c r="I405" t="s">
        <v>75</v>
      </c>
      <c r="J405" t="s">
        <v>66</v>
      </c>
      <c r="K405" t="s">
        <v>66</v>
      </c>
      <c r="L405" t="s">
        <v>58</v>
      </c>
      <c r="M405" t="s">
        <v>58</v>
      </c>
      <c r="N405">
        <v>4</v>
      </c>
      <c r="O405">
        <v>4</v>
      </c>
      <c r="P405">
        <v>4</v>
      </c>
      <c r="Q405">
        <v>3</v>
      </c>
      <c r="R405">
        <v>4</v>
      </c>
      <c r="S405">
        <v>3</v>
      </c>
      <c r="T405">
        <v>3</v>
      </c>
      <c r="U405">
        <v>3</v>
      </c>
      <c r="V405">
        <v>2</v>
      </c>
      <c r="W405">
        <v>2</v>
      </c>
      <c r="X405">
        <v>3</v>
      </c>
      <c r="Y405">
        <v>2</v>
      </c>
      <c r="Z405">
        <v>3</v>
      </c>
      <c r="AA405">
        <v>3</v>
      </c>
      <c r="AB405">
        <v>3</v>
      </c>
      <c r="AC405">
        <v>3</v>
      </c>
      <c r="AD405">
        <v>4</v>
      </c>
      <c r="AE405">
        <v>3</v>
      </c>
      <c r="AF405">
        <v>3</v>
      </c>
      <c r="AG405">
        <v>4</v>
      </c>
      <c r="AH405">
        <v>1</v>
      </c>
      <c r="AI405">
        <v>5</v>
      </c>
      <c r="AJ405">
        <v>3</v>
      </c>
      <c r="AK405" t="b">
        <f>Table7[[#This Row],[What is your age?]]&lt;&gt;"18 - 25"</f>
        <v>0</v>
      </c>
      <c r="AL405" t="b">
        <f t="shared" si="18"/>
        <v>0</v>
      </c>
      <c r="AM405" t="b">
        <f t="shared" si="19"/>
        <v>0</v>
      </c>
      <c r="AN405" t="b">
        <f t="shared" si="20"/>
        <v>0</v>
      </c>
      <c r="AO405" t="b">
        <f>OR(Table7[[#This Row],[Ineligible respondents]:[Inconsistent response on opposite question (3)]])</f>
        <v>0</v>
      </c>
      <c r="AP405">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405">
        <f>Table7[[#This Row],[Extreme Response]]/21</f>
        <v>4.7619047619047616E-2</v>
      </c>
      <c r="AR405">
        <f>Table67[[#This Row],[Threshold of ERS]]</f>
        <v>0.61904761904761907</v>
      </c>
      <c r="AS405" t="b">
        <f>Table7[[#This Row],[Extrem Response Ratio (ERS)]]&gt;=Table7[[#This Row],[Threshold of ERS]]</f>
        <v>0</v>
      </c>
      <c r="AT405" t="b" cm="1">
        <f t="array" ref="AT405">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405">
        <f>COUNTIF(Table7[[#This Row],[The mechanism of digital assets is difficult to understand, which discourages me from exploring it (E.g, Tokenization, Blockchain)]:[If I want to try different ways to invest, I will explore digital assets.]], 3)</f>
        <v>11</v>
      </c>
      <c r="AV405">
        <f>Table7[[#This Row],[Midpoint]]/21</f>
        <v>0.52380952380952384</v>
      </c>
      <c r="AW405">
        <f>Table67[[#This Row],[Threshold of Midpoint ratio]]</f>
        <v>0.5714285714285714</v>
      </c>
      <c r="AX405" t="b">
        <f>Table7[[#This Row],[Midpoint ratio]]&gt;=Table7[[#This Row],[Threshold of Midpoint ratio]]</f>
        <v>0</v>
      </c>
      <c r="AY405" t="b">
        <f>OR(Table7[[#This Row],[Extreme Response Style]:[Straight-lining with 1 deviation]],Table7[[#This Row],[Mid-point Response Style]])</f>
        <v>0</v>
      </c>
      <c r="AZ405" t="b">
        <f>OR(Table7[[#This Row],[Delete? (Stage 1)]],Table7[[#This Row],[Delete? (Stage 2)]])</f>
        <v>0</v>
      </c>
      <c r="BA405" t="s">
        <v>84</v>
      </c>
    </row>
    <row r="406" spans="1:53">
      <c r="A406">
        <v>1666</v>
      </c>
      <c r="B406" s="3">
        <v>46065.870069444441</v>
      </c>
      <c r="C406" s="3">
        <v>46065.875115740739</v>
      </c>
      <c r="D406" t="s">
        <v>53</v>
      </c>
      <c r="G406" t="s">
        <v>54</v>
      </c>
      <c r="H406" t="s">
        <v>55</v>
      </c>
      <c r="I406" t="s">
        <v>56</v>
      </c>
      <c r="J406" t="s">
        <v>62</v>
      </c>
      <c r="K406" t="s">
        <v>62</v>
      </c>
      <c r="L406" t="s">
        <v>61</v>
      </c>
      <c r="M406" t="s">
        <v>58</v>
      </c>
      <c r="N406">
        <v>4</v>
      </c>
      <c r="O406">
        <v>3</v>
      </c>
      <c r="P406">
        <v>5</v>
      </c>
      <c r="Q406">
        <v>4</v>
      </c>
      <c r="R406">
        <v>3</v>
      </c>
      <c r="S406">
        <v>3</v>
      </c>
      <c r="T406">
        <v>4</v>
      </c>
      <c r="U406">
        <v>5</v>
      </c>
      <c r="V406">
        <v>3</v>
      </c>
      <c r="W406">
        <v>4</v>
      </c>
      <c r="X406">
        <v>3</v>
      </c>
      <c r="Y406">
        <v>3</v>
      </c>
      <c r="Z406">
        <v>3</v>
      </c>
      <c r="AA406">
        <v>3</v>
      </c>
      <c r="AB406">
        <v>3</v>
      </c>
      <c r="AC406">
        <v>5</v>
      </c>
      <c r="AD406">
        <v>3</v>
      </c>
      <c r="AE406">
        <v>4</v>
      </c>
      <c r="AF406">
        <v>4</v>
      </c>
      <c r="AG406">
        <v>2</v>
      </c>
      <c r="AH406">
        <v>5</v>
      </c>
      <c r="AI406">
        <v>1</v>
      </c>
      <c r="AJ406">
        <v>2</v>
      </c>
      <c r="AK406" t="b">
        <f>Table7[[#This Row],[What is your age?]]&lt;&gt;"18 - 25"</f>
        <v>0</v>
      </c>
      <c r="AL406" t="b">
        <f t="shared" si="18"/>
        <v>0</v>
      </c>
      <c r="AM406" t="b">
        <f t="shared" si="19"/>
        <v>0</v>
      </c>
      <c r="AN406" t="b">
        <f t="shared" si="20"/>
        <v>0</v>
      </c>
      <c r="AO406" t="b">
        <f>OR(Table7[[#This Row],[Ineligible respondents]:[Inconsistent response on opposite question (3)]])</f>
        <v>0</v>
      </c>
      <c r="AP406">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4</v>
      </c>
      <c r="AQ406">
        <f>Table7[[#This Row],[Extreme Response]]/21</f>
        <v>0.19047619047619047</v>
      </c>
      <c r="AR406">
        <f>Table67[[#This Row],[Threshold of ERS]]</f>
        <v>0.61904761904761907</v>
      </c>
      <c r="AS406" t="b">
        <f>Table7[[#This Row],[Extrem Response Ratio (ERS)]]&gt;=Table7[[#This Row],[Threshold of ERS]]</f>
        <v>0</v>
      </c>
      <c r="AT406" t="b" cm="1">
        <f t="array" ref="AT406">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406">
        <f>COUNTIF(Table7[[#This Row],[The mechanism of digital assets is difficult to understand, which discourages me from exploring it (E.g, Tokenization, Blockchain)]:[If I want to try different ways to invest, I will explore digital assets.]], 3)</f>
        <v>10</v>
      </c>
      <c r="AV406">
        <f>Table7[[#This Row],[Midpoint]]/21</f>
        <v>0.47619047619047616</v>
      </c>
      <c r="AW406">
        <f>Table67[[#This Row],[Threshold of Midpoint ratio]]</f>
        <v>0.5714285714285714</v>
      </c>
      <c r="AX406" t="b">
        <f>Table7[[#This Row],[Midpoint ratio]]&gt;=Table7[[#This Row],[Threshold of Midpoint ratio]]</f>
        <v>0</v>
      </c>
      <c r="AY406" t="b">
        <f>OR(Table7[[#This Row],[Extreme Response Style]:[Straight-lining with 1 deviation]],Table7[[#This Row],[Mid-point Response Style]])</f>
        <v>0</v>
      </c>
      <c r="AZ406" t="b">
        <f>OR(Table7[[#This Row],[Delete? (Stage 1)]],Table7[[#This Row],[Delete? (Stage 2)]])</f>
        <v>0</v>
      </c>
      <c r="BA406" t="s">
        <v>84</v>
      </c>
    </row>
    <row r="407" spans="1:53">
      <c r="A407">
        <v>1670</v>
      </c>
      <c r="B407" s="3">
        <v>46065.703553240739</v>
      </c>
      <c r="C407" s="3">
        <v>46065.703831018516</v>
      </c>
      <c r="D407" t="s">
        <v>53</v>
      </c>
      <c r="G407" t="s">
        <v>54</v>
      </c>
      <c r="H407" t="s">
        <v>63</v>
      </c>
      <c r="I407" t="s">
        <v>56</v>
      </c>
      <c r="J407" t="s">
        <v>67</v>
      </c>
      <c r="K407" t="s">
        <v>62</v>
      </c>
      <c r="L407" t="s">
        <v>58</v>
      </c>
      <c r="M407" t="s">
        <v>58</v>
      </c>
      <c r="N407">
        <v>5</v>
      </c>
      <c r="O407">
        <v>3</v>
      </c>
      <c r="P407">
        <v>4</v>
      </c>
      <c r="Q407">
        <v>4</v>
      </c>
      <c r="R407">
        <v>4</v>
      </c>
      <c r="S407">
        <v>2</v>
      </c>
      <c r="T407">
        <v>3</v>
      </c>
      <c r="U407">
        <v>3</v>
      </c>
      <c r="V407">
        <v>4</v>
      </c>
      <c r="W407">
        <v>4</v>
      </c>
      <c r="X407">
        <v>3</v>
      </c>
      <c r="Y407">
        <v>3</v>
      </c>
      <c r="Z407">
        <v>4</v>
      </c>
      <c r="AA407">
        <v>3</v>
      </c>
      <c r="AB407">
        <v>3</v>
      </c>
      <c r="AC407">
        <v>4</v>
      </c>
      <c r="AD407">
        <v>3</v>
      </c>
      <c r="AE407">
        <v>4</v>
      </c>
      <c r="AF407">
        <v>4</v>
      </c>
      <c r="AG407">
        <v>2</v>
      </c>
      <c r="AH407">
        <v>4</v>
      </c>
      <c r="AI407">
        <v>2</v>
      </c>
      <c r="AJ407">
        <v>2</v>
      </c>
      <c r="AK407" t="b">
        <f>Table7[[#This Row],[What is your age?]]&lt;&gt;"18 - 25"</f>
        <v>0</v>
      </c>
      <c r="AL407" t="b">
        <f t="shared" si="18"/>
        <v>0</v>
      </c>
      <c r="AM407" t="b">
        <f t="shared" si="19"/>
        <v>0</v>
      </c>
      <c r="AN407" t="b">
        <f t="shared" si="20"/>
        <v>0</v>
      </c>
      <c r="AO407" t="b">
        <f>OR(Table7[[#This Row],[Ineligible respondents]:[Inconsistent response on opposite question (3)]])</f>
        <v>0</v>
      </c>
      <c r="AP407">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407">
        <f>Table7[[#This Row],[Extreme Response]]/21</f>
        <v>4.7619047619047616E-2</v>
      </c>
      <c r="AR407">
        <f>Table67[[#This Row],[Threshold of ERS]]</f>
        <v>0.61904761904761907</v>
      </c>
      <c r="AS407" t="b">
        <f>Table7[[#This Row],[Extrem Response Ratio (ERS)]]&gt;=Table7[[#This Row],[Threshold of ERS]]</f>
        <v>0</v>
      </c>
      <c r="AT407" t="b" cm="1">
        <f t="array" ref="AT407">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407">
        <f>COUNTIF(Table7[[#This Row],[The mechanism of digital assets is difficult to understand, which discourages me from exploring it (E.g, Tokenization, Blockchain)]:[If I want to try different ways to invest, I will explore digital assets.]], 3)</f>
        <v>8</v>
      </c>
      <c r="AV407">
        <f>Table7[[#This Row],[Midpoint]]/21</f>
        <v>0.38095238095238093</v>
      </c>
      <c r="AW407">
        <f>Table67[[#This Row],[Threshold of Midpoint ratio]]</f>
        <v>0.5714285714285714</v>
      </c>
      <c r="AX407" t="b">
        <f>Table7[[#This Row],[Midpoint ratio]]&gt;=Table7[[#This Row],[Threshold of Midpoint ratio]]</f>
        <v>0</v>
      </c>
      <c r="AY407" t="b">
        <f>OR(Table7[[#This Row],[Extreme Response Style]:[Straight-lining with 1 deviation]],Table7[[#This Row],[Mid-point Response Style]])</f>
        <v>0</v>
      </c>
      <c r="AZ407" t="b">
        <f>OR(Table7[[#This Row],[Delete? (Stage 1)]],Table7[[#This Row],[Delete? (Stage 2)]])</f>
        <v>0</v>
      </c>
      <c r="BA407" t="s">
        <v>84</v>
      </c>
    </row>
    <row r="408" spans="1:53">
      <c r="A408">
        <v>1671</v>
      </c>
      <c r="B408" s="3">
        <v>46065.890659722223</v>
      </c>
      <c r="C408" s="3">
        <v>46065.892141203702</v>
      </c>
      <c r="D408" t="s">
        <v>53</v>
      </c>
      <c r="G408" t="s">
        <v>54</v>
      </c>
      <c r="H408" t="s">
        <v>55</v>
      </c>
      <c r="I408" t="s">
        <v>56</v>
      </c>
      <c r="J408" t="s">
        <v>65</v>
      </c>
      <c r="K408" t="s">
        <v>62</v>
      </c>
      <c r="L408" t="s">
        <v>58</v>
      </c>
      <c r="M408" t="s">
        <v>58</v>
      </c>
      <c r="N408">
        <v>3</v>
      </c>
      <c r="O408">
        <v>2</v>
      </c>
      <c r="P408">
        <v>3</v>
      </c>
      <c r="Q408">
        <v>2</v>
      </c>
      <c r="R408">
        <v>1</v>
      </c>
      <c r="S408">
        <v>3</v>
      </c>
      <c r="T408">
        <v>4</v>
      </c>
      <c r="U408">
        <v>3</v>
      </c>
      <c r="V408">
        <v>2</v>
      </c>
      <c r="W408">
        <v>2</v>
      </c>
      <c r="X408">
        <v>3</v>
      </c>
      <c r="Y408">
        <v>1</v>
      </c>
      <c r="Z408">
        <v>4</v>
      </c>
      <c r="AA408">
        <v>3</v>
      </c>
      <c r="AB408">
        <v>3</v>
      </c>
      <c r="AC408">
        <v>2</v>
      </c>
      <c r="AD408">
        <v>3</v>
      </c>
      <c r="AE408">
        <v>4</v>
      </c>
      <c r="AF408">
        <v>4</v>
      </c>
      <c r="AG408">
        <v>2</v>
      </c>
      <c r="AH408">
        <v>4</v>
      </c>
      <c r="AI408">
        <v>2</v>
      </c>
      <c r="AJ408">
        <v>2</v>
      </c>
      <c r="AK408" t="b">
        <f>Table7[[#This Row],[What is your age?]]&lt;&gt;"18 - 25"</f>
        <v>0</v>
      </c>
      <c r="AL408" t="b">
        <f t="shared" si="18"/>
        <v>0</v>
      </c>
      <c r="AM408" t="b">
        <f t="shared" si="19"/>
        <v>0</v>
      </c>
      <c r="AN408" t="b">
        <f t="shared" si="20"/>
        <v>0</v>
      </c>
      <c r="AO408" t="b">
        <f>OR(Table7[[#This Row],[Ineligible respondents]:[Inconsistent response on opposite question (3)]])</f>
        <v>0</v>
      </c>
      <c r="AP408">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408">
        <f>Table7[[#This Row],[Extreme Response]]/21</f>
        <v>9.5238095238095233E-2</v>
      </c>
      <c r="AR408">
        <f>Table67[[#This Row],[Threshold of ERS]]</f>
        <v>0.61904761904761907</v>
      </c>
      <c r="AS408" t="b">
        <f>Table7[[#This Row],[Extrem Response Ratio (ERS)]]&gt;=Table7[[#This Row],[Threshold of ERS]]</f>
        <v>0</v>
      </c>
      <c r="AT408" t="b" cm="1">
        <f t="array" ref="AT408">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408">
        <f>COUNTIF(Table7[[#This Row],[The mechanism of digital assets is difficult to understand, which discourages me from exploring it (E.g, Tokenization, Blockchain)]:[If I want to try different ways to invest, I will explore digital assets.]], 3)</f>
        <v>8</v>
      </c>
      <c r="AV408">
        <f>Table7[[#This Row],[Midpoint]]/21</f>
        <v>0.38095238095238093</v>
      </c>
      <c r="AW408">
        <f>Table67[[#This Row],[Threshold of Midpoint ratio]]</f>
        <v>0.5714285714285714</v>
      </c>
      <c r="AX408" t="b">
        <f>Table7[[#This Row],[Midpoint ratio]]&gt;=Table7[[#This Row],[Threshold of Midpoint ratio]]</f>
        <v>0</v>
      </c>
      <c r="AY408" t="b">
        <f>OR(Table7[[#This Row],[Extreme Response Style]:[Straight-lining with 1 deviation]],Table7[[#This Row],[Mid-point Response Style]])</f>
        <v>0</v>
      </c>
      <c r="AZ408" t="b">
        <f>OR(Table7[[#This Row],[Delete? (Stage 1)]],Table7[[#This Row],[Delete? (Stage 2)]])</f>
        <v>0</v>
      </c>
      <c r="BA408" t="s">
        <v>84</v>
      </c>
    </row>
    <row r="409" spans="1:53">
      <c r="A409">
        <v>1676</v>
      </c>
      <c r="B409" s="3">
        <v>46065.769155092596</v>
      </c>
      <c r="C409" s="3">
        <v>46065.770821759259</v>
      </c>
      <c r="D409" t="s">
        <v>53</v>
      </c>
      <c r="G409" t="s">
        <v>54</v>
      </c>
      <c r="H409" t="s">
        <v>55</v>
      </c>
      <c r="I409" t="s">
        <v>75</v>
      </c>
      <c r="J409" t="s">
        <v>68</v>
      </c>
      <c r="K409" t="s">
        <v>62</v>
      </c>
      <c r="L409" t="s">
        <v>61</v>
      </c>
      <c r="M409" t="s">
        <v>61</v>
      </c>
      <c r="N409">
        <v>4</v>
      </c>
      <c r="O409">
        <v>4</v>
      </c>
      <c r="P409">
        <v>3</v>
      </c>
      <c r="Q409">
        <v>2</v>
      </c>
      <c r="R409">
        <v>4</v>
      </c>
      <c r="S409">
        <v>3</v>
      </c>
      <c r="T409">
        <v>3</v>
      </c>
      <c r="U409">
        <v>3</v>
      </c>
      <c r="V409">
        <v>4</v>
      </c>
      <c r="W409">
        <v>4</v>
      </c>
      <c r="X409">
        <v>3</v>
      </c>
      <c r="Y409">
        <v>4</v>
      </c>
      <c r="Z409">
        <v>3</v>
      </c>
      <c r="AA409">
        <v>4</v>
      </c>
      <c r="AB409">
        <v>3</v>
      </c>
      <c r="AC409">
        <v>2</v>
      </c>
      <c r="AD409">
        <v>3</v>
      </c>
      <c r="AE409">
        <v>4</v>
      </c>
      <c r="AF409">
        <v>3</v>
      </c>
      <c r="AG409">
        <v>2</v>
      </c>
      <c r="AH409">
        <v>5</v>
      </c>
      <c r="AI409">
        <v>1</v>
      </c>
      <c r="AJ409">
        <v>3</v>
      </c>
      <c r="AK409" t="b">
        <f>Table7[[#This Row],[What is your age?]]&lt;&gt;"18 - 25"</f>
        <v>0</v>
      </c>
      <c r="AL409" t="b">
        <f t="shared" si="18"/>
        <v>0</v>
      </c>
      <c r="AM409" t="b">
        <f t="shared" si="19"/>
        <v>0</v>
      </c>
      <c r="AN409" t="b">
        <f t="shared" si="20"/>
        <v>0</v>
      </c>
      <c r="AO409" t="b">
        <f>OR(Table7[[#This Row],[Ineligible respondents]:[Inconsistent response on opposite question (3)]])</f>
        <v>0</v>
      </c>
      <c r="AP409">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1</v>
      </c>
      <c r="AQ409">
        <f>Table7[[#This Row],[Extreme Response]]/21</f>
        <v>4.7619047619047616E-2</v>
      </c>
      <c r="AR409">
        <f>Table67[[#This Row],[Threshold of ERS]]</f>
        <v>0.61904761904761907</v>
      </c>
      <c r="AS409" t="b">
        <f>Table7[[#This Row],[Extrem Response Ratio (ERS)]]&gt;=Table7[[#This Row],[Threshold of ERS]]</f>
        <v>0</v>
      </c>
      <c r="AT409" t="b" cm="1">
        <f t="array" ref="AT409">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409">
        <f>COUNTIF(Table7[[#This Row],[The mechanism of digital assets is difficult to understand, which discourages me from exploring it (E.g, Tokenization, Blockchain)]:[If I want to try different ways to invest, I will explore digital assets.]], 3)</f>
        <v>9</v>
      </c>
      <c r="AV409">
        <f>Table7[[#This Row],[Midpoint]]/21</f>
        <v>0.42857142857142855</v>
      </c>
      <c r="AW409">
        <f>Table67[[#This Row],[Threshold of Midpoint ratio]]</f>
        <v>0.5714285714285714</v>
      </c>
      <c r="AX409" t="b">
        <f>Table7[[#This Row],[Midpoint ratio]]&gt;=Table7[[#This Row],[Threshold of Midpoint ratio]]</f>
        <v>0</v>
      </c>
      <c r="AY409" t="b">
        <f>OR(Table7[[#This Row],[Extreme Response Style]:[Straight-lining with 1 deviation]],Table7[[#This Row],[Mid-point Response Style]])</f>
        <v>0</v>
      </c>
      <c r="AZ409" t="b">
        <f>OR(Table7[[#This Row],[Delete? (Stage 1)]],Table7[[#This Row],[Delete? (Stage 2)]])</f>
        <v>0</v>
      </c>
      <c r="BA409" t="s">
        <v>84</v>
      </c>
    </row>
    <row r="410" spans="1:53">
      <c r="A410">
        <v>1683</v>
      </c>
      <c r="B410" s="3">
        <v>46065.671354166669</v>
      </c>
      <c r="C410" s="3">
        <v>46065.673425925925</v>
      </c>
      <c r="D410" t="s">
        <v>53</v>
      </c>
      <c r="G410" t="s">
        <v>54</v>
      </c>
      <c r="H410" t="s">
        <v>55</v>
      </c>
      <c r="I410" t="s">
        <v>56</v>
      </c>
      <c r="J410" t="s">
        <v>62</v>
      </c>
      <c r="K410" t="s">
        <v>62</v>
      </c>
      <c r="L410" t="s">
        <v>58</v>
      </c>
      <c r="M410" t="s">
        <v>58</v>
      </c>
      <c r="N410">
        <v>2</v>
      </c>
      <c r="O410">
        <v>3</v>
      </c>
      <c r="P410">
        <v>2</v>
      </c>
      <c r="Q410">
        <v>2</v>
      </c>
      <c r="R410">
        <v>2</v>
      </c>
      <c r="S410">
        <v>3</v>
      </c>
      <c r="T410">
        <v>3</v>
      </c>
      <c r="U410">
        <v>2</v>
      </c>
      <c r="V410">
        <v>2</v>
      </c>
      <c r="W410">
        <v>3</v>
      </c>
      <c r="X410">
        <v>3</v>
      </c>
      <c r="Y410">
        <v>2</v>
      </c>
      <c r="Z410">
        <v>3</v>
      </c>
      <c r="AA410">
        <v>3</v>
      </c>
      <c r="AB410">
        <v>3</v>
      </c>
      <c r="AC410">
        <v>2</v>
      </c>
      <c r="AD410">
        <v>3</v>
      </c>
      <c r="AE410">
        <v>3</v>
      </c>
      <c r="AF410">
        <v>4</v>
      </c>
      <c r="AG410">
        <v>2</v>
      </c>
      <c r="AH410">
        <v>4</v>
      </c>
      <c r="AI410">
        <v>2</v>
      </c>
      <c r="AJ410">
        <v>2</v>
      </c>
      <c r="AK410" t="b">
        <f>Table7[[#This Row],[What is your age?]]&lt;&gt;"18 - 25"</f>
        <v>0</v>
      </c>
      <c r="AL410" t="b">
        <f t="shared" si="18"/>
        <v>0</v>
      </c>
      <c r="AM410" t="b">
        <f t="shared" si="19"/>
        <v>0</v>
      </c>
      <c r="AN410" t="b">
        <f t="shared" si="20"/>
        <v>0</v>
      </c>
      <c r="AO410" t="b">
        <f>OR(Table7[[#This Row],[Ineligible respondents]:[Inconsistent response on opposite question (3)]])</f>
        <v>0</v>
      </c>
      <c r="AP410">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0</v>
      </c>
      <c r="AQ410">
        <f>Table7[[#This Row],[Extreme Response]]/21</f>
        <v>0</v>
      </c>
      <c r="AR410">
        <f>Table67[[#This Row],[Threshold of ERS]]</f>
        <v>0.61904761904761907</v>
      </c>
      <c r="AS410" t="b">
        <f>Table7[[#This Row],[Extrem Response Ratio (ERS)]]&gt;=Table7[[#This Row],[Threshold of ERS]]</f>
        <v>0</v>
      </c>
      <c r="AT410" t="b" cm="1">
        <f t="array" ref="AT410">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410">
        <f>COUNTIF(Table7[[#This Row],[The mechanism of digital assets is difficult to understand, which discourages me from exploring it (E.g, Tokenization, Blockchain)]:[If I want to try different ways to invest, I will explore digital assets.]], 3)</f>
        <v>10</v>
      </c>
      <c r="AV410">
        <f>Table7[[#This Row],[Midpoint]]/21</f>
        <v>0.47619047619047616</v>
      </c>
      <c r="AW410">
        <f>Table67[[#This Row],[Threshold of Midpoint ratio]]</f>
        <v>0.5714285714285714</v>
      </c>
      <c r="AX410" t="b">
        <f>Table7[[#This Row],[Midpoint ratio]]&gt;=Table7[[#This Row],[Threshold of Midpoint ratio]]</f>
        <v>0</v>
      </c>
      <c r="AY410" t="b">
        <f>OR(Table7[[#This Row],[Extreme Response Style]:[Straight-lining with 1 deviation]],Table7[[#This Row],[Mid-point Response Style]])</f>
        <v>0</v>
      </c>
      <c r="AZ410" t="b">
        <f>OR(Table7[[#This Row],[Delete? (Stage 1)]],Table7[[#This Row],[Delete? (Stage 2)]])</f>
        <v>0</v>
      </c>
      <c r="BA410" t="s">
        <v>84</v>
      </c>
    </row>
    <row r="411" spans="1:53">
      <c r="A411">
        <v>1684</v>
      </c>
      <c r="B411" s="3">
        <v>46065.721921296295</v>
      </c>
      <c r="C411" s="3">
        <v>46065.722187500003</v>
      </c>
      <c r="D411" t="s">
        <v>53</v>
      </c>
      <c r="G411" t="s">
        <v>54</v>
      </c>
      <c r="H411" t="s">
        <v>55</v>
      </c>
      <c r="I411" t="s">
        <v>56</v>
      </c>
      <c r="J411" t="s">
        <v>62</v>
      </c>
      <c r="K411" t="s">
        <v>57</v>
      </c>
      <c r="L411" t="s">
        <v>58</v>
      </c>
      <c r="M411" t="s">
        <v>58</v>
      </c>
      <c r="N411">
        <v>2</v>
      </c>
      <c r="O411">
        <v>1</v>
      </c>
      <c r="P411">
        <v>3</v>
      </c>
      <c r="Q411">
        <v>4</v>
      </c>
      <c r="R411">
        <v>2</v>
      </c>
      <c r="S411">
        <v>2</v>
      </c>
      <c r="T411">
        <v>3</v>
      </c>
      <c r="U411">
        <v>4</v>
      </c>
      <c r="V411">
        <v>4</v>
      </c>
      <c r="W411">
        <v>4</v>
      </c>
      <c r="X411">
        <v>3</v>
      </c>
      <c r="Y411">
        <v>4</v>
      </c>
      <c r="Z411">
        <v>3</v>
      </c>
      <c r="AA411">
        <v>2</v>
      </c>
      <c r="AB411">
        <v>2</v>
      </c>
      <c r="AC411">
        <v>4</v>
      </c>
      <c r="AD411">
        <v>3</v>
      </c>
      <c r="AE411">
        <v>3</v>
      </c>
      <c r="AF411">
        <v>4</v>
      </c>
      <c r="AG411">
        <v>2</v>
      </c>
      <c r="AH411">
        <v>5</v>
      </c>
      <c r="AI411">
        <v>1</v>
      </c>
      <c r="AJ411">
        <v>2</v>
      </c>
      <c r="AK411" t="b">
        <f>Table7[[#This Row],[What is your age?]]&lt;&gt;"18 - 25"</f>
        <v>0</v>
      </c>
      <c r="AL411" t="b">
        <f t="shared" si="18"/>
        <v>0</v>
      </c>
      <c r="AM411" t="b">
        <f t="shared" si="19"/>
        <v>0</v>
      </c>
      <c r="AN411" t="b">
        <f t="shared" si="20"/>
        <v>0</v>
      </c>
      <c r="AO411" t="b">
        <f>OR(Table7[[#This Row],[Ineligible respondents]:[Inconsistent response on opposite question (3)]])</f>
        <v>0</v>
      </c>
      <c r="AP411">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2</v>
      </c>
      <c r="AQ411">
        <f>Table7[[#This Row],[Extreme Response]]/21</f>
        <v>9.5238095238095233E-2</v>
      </c>
      <c r="AR411">
        <f>Table67[[#This Row],[Threshold of ERS]]</f>
        <v>0.61904761904761907</v>
      </c>
      <c r="AS411" t="b">
        <f>Table7[[#This Row],[Extrem Response Ratio (ERS)]]&gt;=Table7[[#This Row],[Threshold of ERS]]</f>
        <v>0</v>
      </c>
      <c r="AT411" t="b" cm="1">
        <f t="array" ref="AT411">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411">
        <f>COUNTIF(Table7[[#This Row],[The mechanism of digital assets is difficult to understand, which discourages me from exploring it (E.g, Tokenization, Blockchain)]:[If I want to try different ways to invest, I will explore digital assets.]], 3)</f>
        <v>6</v>
      </c>
      <c r="AV411">
        <f>Table7[[#This Row],[Midpoint]]/21</f>
        <v>0.2857142857142857</v>
      </c>
      <c r="AW411">
        <f>Table67[[#This Row],[Threshold of Midpoint ratio]]</f>
        <v>0.5714285714285714</v>
      </c>
      <c r="AX411" t="b">
        <f>Table7[[#This Row],[Midpoint ratio]]&gt;=Table7[[#This Row],[Threshold of Midpoint ratio]]</f>
        <v>0</v>
      </c>
      <c r="AY411" t="b">
        <f>OR(Table7[[#This Row],[Extreme Response Style]:[Straight-lining with 1 deviation]],Table7[[#This Row],[Mid-point Response Style]])</f>
        <v>0</v>
      </c>
      <c r="AZ411" t="b">
        <f>OR(Table7[[#This Row],[Delete? (Stage 1)]],Table7[[#This Row],[Delete? (Stage 2)]])</f>
        <v>0</v>
      </c>
      <c r="BA411" t="s">
        <v>84</v>
      </c>
    </row>
    <row r="412" spans="1:53">
      <c r="A412">
        <v>1686</v>
      </c>
      <c r="B412" s="3">
        <v>46065.704479166663</v>
      </c>
      <c r="C412" s="3">
        <v>46065.704884259256</v>
      </c>
      <c r="D412" t="s">
        <v>53</v>
      </c>
      <c r="G412" t="s">
        <v>54</v>
      </c>
      <c r="H412" t="s">
        <v>55</v>
      </c>
      <c r="I412" t="s">
        <v>71</v>
      </c>
      <c r="J412" t="s">
        <v>62</v>
      </c>
      <c r="K412" t="s">
        <v>64</v>
      </c>
      <c r="L412" t="s">
        <v>58</v>
      </c>
      <c r="M412" t="s">
        <v>58</v>
      </c>
      <c r="N412">
        <v>1</v>
      </c>
      <c r="O412">
        <v>4</v>
      </c>
      <c r="P412">
        <v>3</v>
      </c>
      <c r="Q412">
        <v>3</v>
      </c>
      <c r="R412">
        <v>1</v>
      </c>
      <c r="S412">
        <v>3</v>
      </c>
      <c r="T412">
        <v>2</v>
      </c>
      <c r="U412">
        <v>2</v>
      </c>
      <c r="V412">
        <v>4</v>
      </c>
      <c r="W412">
        <v>4</v>
      </c>
      <c r="X412">
        <v>4</v>
      </c>
      <c r="Y412">
        <v>3</v>
      </c>
      <c r="Z412">
        <v>4</v>
      </c>
      <c r="AA412">
        <v>3</v>
      </c>
      <c r="AB412">
        <v>2</v>
      </c>
      <c r="AC412">
        <v>3</v>
      </c>
      <c r="AD412">
        <v>5</v>
      </c>
      <c r="AE412">
        <v>4</v>
      </c>
      <c r="AF412">
        <v>3</v>
      </c>
      <c r="AG412">
        <v>2</v>
      </c>
      <c r="AH412">
        <v>4</v>
      </c>
      <c r="AI412">
        <v>2</v>
      </c>
      <c r="AJ412">
        <v>3</v>
      </c>
      <c r="AK412" t="b">
        <f>Table7[[#This Row],[What is your age?]]&lt;&gt;"18 - 25"</f>
        <v>0</v>
      </c>
      <c r="AL412" t="b">
        <f t="shared" si="18"/>
        <v>0</v>
      </c>
      <c r="AM412" t="b">
        <f t="shared" si="19"/>
        <v>0</v>
      </c>
      <c r="AN412" t="b">
        <f t="shared" si="20"/>
        <v>0</v>
      </c>
      <c r="AO412" t="b">
        <f>OR(Table7[[#This Row],[Ineligible respondents]:[Inconsistent response on opposite question (3)]])</f>
        <v>0</v>
      </c>
      <c r="AP412">
        <f>COUNTIF(Table7[[#This Row],[The mechanism of digital assets is difficult to understand, which discourages me from exploring it (E.g, Tokenization, Blockchain)]:[If I want to try different ways to invest, I will explore digital assets.]], 1) + COUNTIF(Table7[[#This Row],[The mechanism of digital assets is difficult to understand, which discourages me from exploring it (E.g, Tokenization, Blockchain)]:[If I want to try different ways to invest, I will explore digital assets.]], 5)</f>
        <v>3</v>
      </c>
      <c r="AQ412">
        <f>Table7[[#This Row],[Extreme Response]]/21</f>
        <v>0.14285714285714285</v>
      </c>
      <c r="AR412">
        <f>Table67[[#This Row],[Threshold of ERS]]</f>
        <v>0.61904761904761907</v>
      </c>
      <c r="AS412" t="b">
        <f>Table7[[#This Row],[Extrem Response Ratio (ERS)]]&gt;=Table7[[#This Row],[Threshold of ERS]]</f>
        <v>0</v>
      </c>
      <c r="AT412" t="b" cm="1">
        <f t="array" ref="AT412">MAX(COUNTIF(Table7[[#This Row],[The mechanism of digital assets is difficult to understand, which discourages me from exploring it (E.g, Tokenization, Blockchain)]:[If I want to try different ways to invest, I will explore digital assets.]],Table7[[#This Row],[The mechanism of digital assets is difficult to understand, which discourages me from exploring it (E.g, Tokenization, Blockchain)]:[If I want to try different ways to invest, I will explore digital assets.]]))/21&gt;=0.95</f>
        <v>0</v>
      </c>
      <c r="AU412">
        <f>COUNTIF(Table7[[#This Row],[The mechanism of digital assets is difficult to understand, which discourages me from exploring it (E.g, Tokenization, Blockchain)]:[If I want to try different ways to invest, I will explore digital assets.]], 3)</f>
        <v>7</v>
      </c>
      <c r="AV412">
        <f>Table7[[#This Row],[Midpoint]]/21</f>
        <v>0.33333333333333331</v>
      </c>
      <c r="AW412">
        <f>Table67[[#This Row],[Threshold of Midpoint ratio]]</f>
        <v>0.5714285714285714</v>
      </c>
      <c r="AX412" t="b">
        <f>Table7[[#This Row],[Midpoint ratio]]&gt;=Table7[[#This Row],[Threshold of Midpoint ratio]]</f>
        <v>0</v>
      </c>
      <c r="AY412" t="b">
        <f>OR(Table7[[#This Row],[Extreme Response Style]:[Straight-lining with 1 deviation]],Table7[[#This Row],[Mid-point Response Style]])</f>
        <v>0</v>
      </c>
      <c r="AZ412" t="b">
        <f>OR(Table7[[#This Row],[Delete? (Stage 1)]],Table7[[#This Row],[Delete? (Stage 2)]])</f>
        <v>0</v>
      </c>
      <c r="BA412" t="s">
        <v>84</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09E1D-9C44-43C2-B52F-9FA68EFD8A95}">
  <dimension ref="A1:U412"/>
  <sheetViews>
    <sheetView workbookViewId="0"/>
  </sheetViews>
  <sheetFormatPr baseColWidth="10" defaultColWidth="8.83203125" defaultRowHeight="15"/>
  <sheetData>
    <row r="1" spans="1:21">
      <c r="A1" t="s">
        <v>85</v>
      </c>
      <c r="B1" t="s">
        <v>86</v>
      </c>
      <c r="C1" t="s">
        <v>87</v>
      </c>
      <c r="D1" t="s">
        <v>88</v>
      </c>
      <c r="E1" t="s">
        <v>89</v>
      </c>
      <c r="F1" t="s">
        <v>90</v>
      </c>
      <c r="G1" t="s">
        <v>91</v>
      </c>
      <c r="H1" t="s">
        <v>92</v>
      </c>
      <c r="I1" t="s">
        <v>93</v>
      </c>
      <c r="J1" t="s">
        <v>94</v>
      </c>
      <c r="K1" t="s">
        <v>95</v>
      </c>
      <c r="L1" t="s">
        <v>96</v>
      </c>
      <c r="M1" t="s">
        <v>97</v>
      </c>
      <c r="N1" t="s">
        <v>98</v>
      </c>
      <c r="O1" t="s">
        <v>99</v>
      </c>
      <c r="P1" t="s">
        <v>100</v>
      </c>
      <c r="Q1" t="s">
        <v>101</v>
      </c>
      <c r="R1" t="s">
        <v>102</v>
      </c>
      <c r="S1" t="s">
        <v>103</v>
      </c>
      <c r="T1" t="s">
        <v>104</v>
      </c>
      <c r="U1" t="s">
        <v>105</v>
      </c>
    </row>
    <row r="2" spans="1:21">
      <c r="A2">
        <v>4</v>
      </c>
      <c r="B2">
        <v>3</v>
      </c>
      <c r="C2">
        <v>4</v>
      </c>
      <c r="D2">
        <v>5</v>
      </c>
      <c r="E2">
        <v>5</v>
      </c>
      <c r="F2">
        <v>5</v>
      </c>
      <c r="G2">
        <v>4</v>
      </c>
      <c r="H2">
        <v>4</v>
      </c>
      <c r="I2">
        <v>4</v>
      </c>
      <c r="J2">
        <v>2</v>
      </c>
      <c r="K2">
        <v>3</v>
      </c>
      <c r="L2">
        <v>3</v>
      </c>
      <c r="M2">
        <v>5</v>
      </c>
      <c r="N2">
        <v>5</v>
      </c>
      <c r="O2">
        <v>3</v>
      </c>
      <c r="P2">
        <v>4</v>
      </c>
      <c r="Q2">
        <v>4</v>
      </c>
      <c r="R2">
        <v>3</v>
      </c>
      <c r="S2">
        <v>3</v>
      </c>
      <c r="T2">
        <v>3</v>
      </c>
      <c r="U2">
        <v>3</v>
      </c>
    </row>
    <row r="3" spans="1:21">
      <c r="A3">
        <v>3</v>
      </c>
      <c r="B3">
        <v>3</v>
      </c>
      <c r="C3">
        <v>3</v>
      </c>
      <c r="D3">
        <v>4</v>
      </c>
      <c r="E3">
        <v>4</v>
      </c>
      <c r="F3">
        <v>4</v>
      </c>
      <c r="G3">
        <v>3</v>
      </c>
      <c r="H3">
        <v>4</v>
      </c>
      <c r="I3">
        <v>4</v>
      </c>
      <c r="J3">
        <v>4</v>
      </c>
      <c r="K3">
        <v>3</v>
      </c>
      <c r="L3">
        <v>3</v>
      </c>
      <c r="M3">
        <v>4</v>
      </c>
      <c r="N3">
        <v>4</v>
      </c>
      <c r="O3">
        <v>4</v>
      </c>
      <c r="P3">
        <v>4</v>
      </c>
      <c r="Q3">
        <v>4</v>
      </c>
      <c r="R3">
        <v>4</v>
      </c>
      <c r="S3">
        <v>4</v>
      </c>
      <c r="T3">
        <v>4</v>
      </c>
      <c r="U3">
        <v>4</v>
      </c>
    </row>
    <row r="4" spans="1:21">
      <c r="A4">
        <v>4</v>
      </c>
      <c r="B4">
        <v>4</v>
      </c>
      <c r="C4">
        <v>4</v>
      </c>
      <c r="D4">
        <v>4</v>
      </c>
      <c r="E4">
        <v>4</v>
      </c>
      <c r="F4">
        <v>3</v>
      </c>
      <c r="G4">
        <v>4</v>
      </c>
      <c r="H4">
        <v>4</v>
      </c>
      <c r="I4">
        <v>3</v>
      </c>
      <c r="J4">
        <v>3</v>
      </c>
      <c r="K4">
        <v>4</v>
      </c>
      <c r="L4">
        <v>4</v>
      </c>
      <c r="M4">
        <v>4</v>
      </c>
      <c r="N4">
        <v>3</v>
      </c>
      <c r="O4">
        <v>3</v>
      </c>
      <c r="P4">
        <v>3</v>
      </c>
      <c r="Q4">
        <v>3</v>
      </c>
      <c r="R4">
        <v>3</v>
      </c>
      <c r="S4">
        <v>3</v>
      </c>
      <c r="T4">
        <v>3</v>
      </c>
      <c r="U4">
        <v>3</v>
      </c>
    </row>
    <row r="5" spans="1:21">
      <c r="A5">
        <v>4</v>
      </c>
      <c r="B5">
        <v>2</v>
      </c>
      <c r="C5">
        <v>4</v>
      </c>
      <c r="D5">
        <v>4</v>
      </c>
      <c r="E5">
        <v>4</v>
      </c>
      <c r="F5">
        <v>4</v>
      </c>
      <c r="G5">
        <v>4</v>
      </c>
      <c r="H5">
        <v>2</v>
      </c>
      <c r="I5">
        <v>4</v>
      </c>
      <c r="J5">
        <v>2</v>
      </c>
      <c r="K5">
        <v>4</v>
      </c>
      <c r="L5">
        <v>4</v>
      </c>
      <c r="M5">
        <v>4</v>
      </c>
      <c r="N5">
        <v>4</v>
      </c>
      <c r="O5">
        <v>3</v>
      </c>
      <c r="P5">
        <v>4</v>
      </c>
      <c r="Q5">
        <v>4</v>
      </c>
      <c r="R5">
        <v>2</v>
      </c>
      <c r="S5">
        <v>4</v>
      </c>
      <c r="T5">
        <v>4</v>
      </c>
      <c r="U5">
        <v>4</v>
      </c>
    </row>
    <row r="6" spans="1:21">
      <c r="A6">
        <v>4</v>
      </c>
      <c r="B6">
        <v>2</v>
      </c>
      <c r="C6">
        <v>3</v>
      </c>
      <c r="D6">
        <v>4</v>
      </c>
      <c r="E6">
        <v>4</v>
      </c>
      <c r="F6">
        <v>4</v>
      </c>
      <c r="G6">
        <v>3</v>
      </c>
      <c r="H6">
        <v>4</v>
      </c>
      <c r="I6">
        <v>4</v>
      </c>
      <c r="J6">
        <v>4</v>
      </c>
      <c r="K6">
        <v>4</v>
      </c>
      <c r="L6">
        <v>4</v>
      </c>
      <c r="M6">
        <v>4</v>
      </c>
      <c r="N6">
        <v>4</v>
      </c>
      <c r="O6">
        <v>4</v>
      </c>
      <c r="P6">
        <v>4</v>
      </c>
      <c r="Q6">
        <v>4</v>
      </c>
      <c r="R6">
        <v>2</v>
      </c>
      <c r="S6">
        <v>4</v>
      </c>
      <c r="T6">
        <v>4</v>
      </c>
      <c r="U6">
        <v>4</v>
      </c>
    </row>
    <row r="7" spans="1:21">
      <c r="A7">
        <v>4</v>
      </c>
      <c r="B7">
        <v>3</v>
      </c>
      <c r="C7">
        <v>4</v>
      </c>
      <c r="D7">
        <v>5</v>
      </c>
      <c r="E7">
        <v>4</v>
      </c>
      <c r="F7">
        <v>4</v>
      </c>
      <c r="G7">
        <v>4</v>
      </c>
      <c r="H7">
        <v>4</v>
      </c>
      <c r="I7">
        <v>4</v>
      </c>
      <c r="J7">
        <v>4</v>
      </c>
      <c r="K7">
        <v>4</v>
      </c>
      <c r="L7">
        <v>3</v>
      </c>
      <c r="M7">
        <v>4</v>
      </c>
      <c r="N7">
        <v>4</v>
      </c>
      <c r="O7">
        <v>4</v>
      </c>
      <c r="P7">
        <v>4</v>
      </c>
      <c r="Q7">
        <v>4</v>
      </c>
      <c r="R7">
        <v>4</v>
      </c>
      <c r="S7">
        <v>3</v>
      </c>
      <c r="T7">
        <v>3</v>
      </c>
      <c r="U7">
        <v>3</v>
      </c>
    </row>
    <row r="8" spans="1:21">
      <c r="A8">
        <v>4</v>
      </c>
      <c r="B8">
        <v>3</v>
      </c>
      <c r="C8">
        <v>2</v>
      </c>
      <c r="D8">
        <v>5</v>
      </c>
      <c r="E8">
        <v>5</v>
      </c>
      <c r="F8">
        <v>5</v>
      </c>
      <c r="G8">
        <v>3</v>
      </c>
      <c r="H8">
        <v>4</v>
      </c>
      <c r="I8">
        <v>4</v>
      </c>
      <c r="J8">
        <v>3</v>
      </c>
      <c r="K8">
        <v>4</v>
      </c>
      <c r="L8">
        <v>2</v>
      </c>
      <c r="M8">
        <v>4</v>
      </c>
      <c r="N8">
        <v>2</v>
      </c>
      <c r="O8">
        <v>5</v>
      </c>
      <c r="P8">
        <v>4</v>
      </c>
      <c r="Q8">
        <v>4</v>
      </c>
      <c r="R8">
        <v>2</v>
      </c>
      <c r="S8">
        <v>4</v>
      </c>
      <c r="T8">
        <v>3</v>
      </c>
      <c r="U8">
        <v>3</v>
      </c>
    </row>
    <row r="9" spans="1:21">
      <c r="A9">
        <v>2</v>
      </c>
      <c r="B9">
        <v>2</v>
      </c>
      <c r="C9">
        <v>2</v>
      </c>
      <c r="D9">
        <v>4</v>
      </c>
      <c r="E9">
        <v>4</v>
      </c>
      <c r="F9">
        <v>4</v>
      </c>
      <c r="G9">
        <v>3</v>
      </c>
      <c r="H9">
        <v>2</v>
      </c>
      <c r="I9">
        <v>2</v>
      </c>
      <c r="J9">
        <v>2</v>
      </c>
      <c r="K9">
        <v>4</v>
      </c>
      <c r="L9">
        <v>2</v>
      </c>
      <c r="M9">
        <v>3</v>
      </c>
      <c r="N9">
        <v>3</v>
      </c>
      <c r="O9">
        <v>3</v>
      </c>
      <c r="P9">
        <v>4</v>
      </c>
      <c r="Q9">
        <v>3</v>
      </c>
      <c r="R9">
        <v>4</v>
      </c>
      <c r="S9">
        <v>2</v>
      </c>
      <c r="T9">
        <v>2</v>
      </c>
      <c r="U9">
        <v>2</v>
      </c>
    </row>
    <row r="10" spans="1:21">
      <c r="A10">
        <v>3</v>
      </c>
      <c r="B10">
        <v>2</v>
      </c>
      <c r="C10">
        <v>4</v>
      </c>
      <c r="D10">
        <v>4</v>
      </c>
      <c r="E10">
        <v>5</v>
      </c>
      <c r="F10">
        <v>5</v>
      </c>
      <c r="G10">
        <v>4</v>
      </c>
      <c r="H10">
        <v>4</v>
      </c>
      <c r="I10">
        <v>3</v>
      </c>
      <c r="J10">
        <v>3</v>
      </c>
      <c r="K10">
        <v>5</v>
      </c>
      <c r="L10">
        <v>3</v>
      </c>
      <c r="M10">
        <v>4</v>
      </c>
      <c r="N10">
        <v>3</v>
      </c>
      <c r="O10">
        <v>4</v>
      </c>
      <c r="P10">
        <v>5</v>
      </c>
      <c r="Q10">
        <v>4</v>
      </c>
      <c r="R10">
        <v>3</v>
      </c>
      <c r="S10">
        <v>5</v>
      </c>
      <c r="T10">
        <v>3</v>
      </c>
      <c r="U10">
        <v>3</v>
      </c>
    </row>
    <row r="11" spans="1:21">
      <c r="A11">
        <v>2</v>
      </c>
      <c r="B11">
        <v>1</v>
      </c>
      <c r="C11">
        <v>2</v>
      </c>
      <c r="D11">
        <v>4</v>
      </c>
      <c r="E11">
        <v>4</v>
      </c>
      <c r="F11">
        <v>4</v>
      </c>
      <c r="G11">
        <v>2</v>
      </c>
      <c r="H11">
        <v>2</v>
      </c>
      <c r="I11">
        <v>3</v>
      </c>
      <c r="J11">
        <v>1</v>
      </c>
      <c r="K11">
        <v>4</v>
      </c>
      <c r="L11">
        <v>2</v>
      </c>
      <c r="M11">
        <v>1</v>
      </c>
      <c r="N11">
        <v>3</v>
      </c>
      <c r="O11">
        <v>4</v>
      </c>
      <c r="P11">
        <v>2</v>
      </c>
      <c r="Q11">
        <v>2</v>
      </c>
      <c r="R11">
        <v>1</v>
      </c>
      <c r="S11">
        <v>2</v>
      </c>
      <c r="T11">
        <v>2</v>
      </c>
      <c r="U11">
        <v>2</v>
      </c>
    </row>
    <row r="12" spans="1:21">
      <c r="A12">
        <v>2</v>
      </c>
      <c r="B12">
        <v>1</v>
      </c>
      <c r="C12">
        <v>2</v>
      </c>
      <c r="D12">
        <v>3</v>
      </c>
      <c r="E12">
        <v>3</v>
      </c>
      <c r="F12">
        <v>3</v>
      </c>
      <c r="G12">
        <v>3</v>
      </c>
      <c r="H12">
        <v>4</v>
      </c>
      <c r="I12">
        <v>2</v>
      </c>
      <c r="J12">
        <v>1</v>
      </c>
      <c r="K12">
        <v>4</v>
      </c>
      <c r="L12">
        <v>2</v>
      </c>
      <c r="M12">
        <v>3</v>
      </c>
      <c r="N12">
        <v>2</v>
      </c>
      <c r="O12">
        <v>4</v>
      </c>
      <c r="P12">
        <v>5</v>
      </c>
      <c r="Q12">
        <v>2</v>
      </c>
      <c r="R12">
        <v>4</v>
      </c>
      <c r="S12">
        <v>2</v>
      </c>
      <c r="T12">
        <v>2</v>
      </c>
      <c r="U12">
        <v>2</v>
      </c>
    </row>
    <row r="13" spans="1:21">
      <c r="A13">
        <v>4</v>
      </c>
      <c r="B13">
        <v>3</v>
      </c>
      <c r="C13">
        <v>4</v>
      </c>
      <c r="D13">
        <v>4</v>
      </c>
      <c r="E13">
        <v>5</v>
      </c>
      <c r="F13">
        <v>5</v>
      </c>
      <c r="G13">
        <v>4</v>
      </c>
      <c r="H13">
        <v>4</v>
      </c>
      <c r="I13">
        <v>4</v>
      </c>
      <c r="J13">
        <v>4</v>
      </c>
      <c r="K13">
        <v>4</v>
      </c>
      <c r="L13">
        <v>3</v>
      </c>
      <c r="M13">
        <v>4</v>
      </c>
      <c r="N13">
        <v>4</v>
      </c>
      <c r="O13">
        <v>5</v>
      </c>
      <c r="P13">
        <v>4</v>
      </c>
      <c r="Q13">
        <v>4</v>
      </c>
      <c r="R13">
        <v>3</v>
      </c>
      <c r="S13">
        <v>3</v>
      </c>
      <c r="T13">
        <v>3</v>
      </c>
      <c r="U13">
        <v>3</v>
      </c>
    </row>
    <row r="14" spans="1:21">
      <c r="A14">
        <v>1</v>
      </c>
      <c r="B14">
        <v>1</v>
      </c>
      <c r="C14">
        <v>2</v>
      </c>
      <c r="D14">
        <v>2</v>
      </c>
      <c r="E14">
        <v>2</v>
      </c>
      <c r="F14">
        <v>2</v>
      </c>
      <c r="G14">
        <v>2</v>
      </c>
      <c r="H14">
        <v>2</v>
      </c>
      <c r="I14">
        <v>2</v>
      </c>
      <c r="J14">
        <v>3</v>
      </c>
      <c r="K14">
        <v>2</v>
      </c>
      <c r="L14">
        <v>4</v>
      </c>
      <c r="M14">
        <v>1</v>
      </c>
      <c r="N14">
        <v>2</v>
      </c>
      <c r="O14">
        <v>2</v>
      </c>
      <c r="P14">
        <v>2</v>
      </c>
      <c r="Q14">
        <v>3</v>
      </c>
      <c r="R14">
        <v>3</v>
      </c>
      <c r="S14">
        <v>3</v>
      </c>
      <c r="T14">
        <v>2</v>
      </c>
      <c r="U14">
        <v>2</v>
      </c>
    </row>
    <row r="15" spans="1:21">
      <c r="A15">
        <v>4</v>
      </c>
      <c r="B15">
        <v>3</v>
      </c>
      <c r="C15">
        <v>3</v>
      </c>
      <c r="D15">
        <v>4</v>
      </c>
      <c r="E15">
        <v>3</v>
      </c>
      <c r="F15">
        <v>3</v>
      </c>
      <c r="G15">
        <v>4</v>
      </c>
      <c r="H15">
        <v>4</v>
      </c>
      <c r="I15">
        <v>4</v>
      </c>
      <c r="J15">
        <v>4</v>
      </c>
      <c r="K15">
        <v>4</v>
      </c>
      <c r="L15">
        <v>2</v>
      </c>
      <c r="M15">
        <v>4</v>
      </c>
      <c r="N15">
        <v>4</v>
      </c>
      <c r="O15">
        <v>3</v>
      </c>
      <c r="P15">
        <v>3</v>
      </c>
      <c r="Q15">
        <v>3</v>
      </c>
      <c r="R15">
        <v>1</v>
      </c>
      <c r="S15">
        <v>4</v>
      </c>
      <c r="T15">
        <v>2</v>
      </c>
      <c r="U15">
        <v>2</v>
      </c>
    </row>
    <row r="16" spans="1:21">
      <c r="A16">
        <v>3</v>
      </c>
      <c r="B16">
        <v>5</v>
      </c>
      <c r="C16">
        <v>4</v>
      </c>
      <c r="D16">
        <v>3</v>
      </c>
      <c r="E16">
        <v>3</v>
      </c>
      <c r="F16">
        <v>4</v>
      </c>
      <c r="G16">
        <v>3</v>
      </c>
      <c r="H16">
        <v>3</v>
      </c>
      <c r="I16">
        <v>4</v>
      </c>
      <c r="J16">
        <v>4</v>
      </c>
      <c r="K16">
        <v>4</v>
      </c>
      <c r="L16">
        <v>3</v>
      </c>
      <c r="M16">
        <v>4</v>
      </c>
      <c r="N16">
        <v>3</v>
      </c>
      <c r="O16">
        <v>4</v>
      </c>
      <c r="P16">
        <v>4</v>
      </c>
      <c r="Q16">
        <v>3</v>
      </c>
      <c r="R16">
        <v>4</v>
      </c>
      <c r="S16">
        <v>3</v>
      </c>
      <c r="T16">
        <v>4</v>
      </c>
      <c r="U16">
        <v>4</v>
      </c>
    </row>
    <row r="17" spans="1:21">
      <c r="A17">
        <v>4</v>
      </c>
      <c r="B17">
        <v>3</v>
      </c>
      <c r="C17">
        <v>4</v>
      </c>
      <c r="D17">
        <v>5</v>
      </c>
      <c r="E17">
        <v>5</v>
      </c>
      <c r="F17">
        <v>5</v>
      </c>
      <c r="G17">
        <v>4</v>
      </c>
      <c r="H17">
        <v>3</v>
      </c>
      <c r="I17">
        <v>4</v>
      </c>
      <c r="J17">
        <v>4</v>
      </c>
      <c r="K17">
        <v>5</v>
      </c>
      <c r="L17">
        <v>4</v>
      </c>
      <c r="M17">
        <v>4</v>
      </c>
      <c r="N17">
        <v>5</v>
      </c>
      <c r="O17">
        <v>5</v>
      </c>
      <c r="P17">
        <v>5</v>
      </c>
      <c r="Q17">
        <v>4</v>
      </c>
      <c r="R17">
        <v>3</v>
      </c>
      <c r="S17">
        <v>3</v>
      </c>
      <c r="T17">
        <v>3</v>
      </c>
      <c r="U17">
        <v>3</v>
      </c>
    </row>
    <row r="18" spans="1:21">
      <c r="A18">
        <v>5</v>
      </c>
      <c r="B18">
        <v>3</v>
      </c>
      <c r="C18">
        <v>5</v>
      </c>
      <c r="D18">
        <v>5</v>
      </c>
      <c r="E18">
        <v>5</v>
      </c>
      <c r="F18">
        <v>5</v>
      </c>
      <c r="G18">
        <v>4</v>
      </c>
      <c r="H18">
        <v>4</v>
      </c>
      <c r="I18">
        <v>4</v>
      </c>
      <c r="J18">
        <v>4</v>
      </c>
      <c r="K18">
        <v>3</v>
      </c>
      <c r="L18">
        <v>3</v>
      </c>
      <c r="M18">
        <v>4</v>
      </c>
      <c r="N18">
        <v>4</v>
      </c>
      <c r="O18">
        <v>5</v>
      </c>
      <c r="P18">
        <v>3</v>
      </c>
      <c r="Q18">
        <v>4</v>
      </c>
      <c r="R18">
        <v>4</v>
      </c>
      <c r="S18">
        <v>3</v>
      </c>
      <c r="T18">
        <v>3</v>
      </c>
      <c r="U18">
        <v>3</v>
      </c>
    </row>
    <row r="19" spans="1:21">
      <c r="A19">
        <v>4</v>
      </c>
      <c r="B19">
        <v>3</v>
      </c>
      <c r="C19">
        <v>4</v>
      </c>
      <c r="D19">
        <v>4</v>
      </c>
      <c r="E19">
        <v>3</v>
      </c>
      <c r="F19">
        <v>3</v>
      </c>
      <c r="G19">
        <v>4</v>
      </c>
      <c r="H19">
        <v>3</v>
      </c>
      <c r="I19">
        <v>3</v>
      </c>
      <c r="J19">
        <v>4</v>
      </c>
      <c r="K19">
        <v>4</v>
      </c>
      <c r="L19">
        <v>3</v>
      </c>
      <c r="M19">
        <v>4</v>
      </c>
      <c r="N19">
        <v>4</v>
      </c>
      <c r="O19">
        <v>4</v>
      </c>
      <c r="P19">
        <v>4</v>
      </c>
      <c r="Q19">
        <v>5</v>
      </c>
      <c r="R19">
        <v>4</v>
      </c>
      <c r="S19">
        <v>3</v>
      </c>
      <c r="T19">
        <v>3</v>
      </c>
      <c r="U19">
        <v>3</v>
      </c>
    </row>
    <row r="20" spans="1:21">
      <c r="A20">
        <v>4</v>
      </c>
      <c r="B20">
        <v>2</v>
      </c>
      <c r="C20">
        <v>4</v>
      </c>
      <c r="D20">
        <v>4</v>
      </c>
      <c r="E20">
        <v>4</v>
      </c>
      <c r="F20">
        <v>4</v>
      </c>
      <c r="G20">
        <v>4</v>
      </c>
      <c r="H20">
        <v>4</v>
      </c>
      <c r="I20">
        <v>4</v>
      </c>
      <c r="J20">
        <v>3</v>
      </c>
      <c r="K20">
        <v>4</v>
      </c>
      <c r="L20">
        <v>3</v>
      </c>
      <c r="M20">
        <v>4</v>
      </c>
      <c r="N20">
        <v>3</v>
      </c>
      <c r="O20">
        <v>3</v>
      </c>
      <c r="P20">
        <v>4</v>
      </c>
      <c r="Q20">
        <v>3</v>
      </c>
      <c r="R20">
        <v>2</v>
      </c>
      <c r="S20">
        <v>4</v>
      </c>
      <c r="T20">
        <v>4</v>
      </c>
      <c r="U20">
        <v>4</v>
      </c>
    </row>
    <row r="21" spans="1:21">
      <c r="A21">
        <v>4</v>
      </c>
      <c r="B21">
        <v>5</v>
      </c>
      <c r="C21">
        <v>4</v>
      </c>
      <c r="D21">
        <v>3</v>
      </c>
      <c r="E21">
        <v>2</v>
      </c>
      <c r="F21">
        <v>3</v>
      </c>
      <c r="G21">
        <v>4</v>
      </c>
      <c r="H21">
        <v>3</v>
      </c>
      <c r="I21">
        <v>4</v>
      </c>
      <c r="J21">
        <v>4</v>
      </c>
      <c r="K21">
        <v>4</v>
      </c>
      <c r="L21">
        <v>4</v>
      </c>
      <c r="M21">
        <v>4</v>
      </c>
      <c r="N21">
        <v>4</v>
      </c>
      <c r="O21">
        <v>2</v>
      </c>
      <c r="P21">
        <v>4</v>
      </c>
      <c r="Q21">
        <v>4</v>
      </c>
      <c r="R21">
        <v>1</v>
      </c>
      <c r="S21">
        <v>1</v>
      </c>
      <c r="T21">
        <v>1</v>
      </c>
      <c r="U21">
        <v>1</v>
      </c>
    </row>
    <row r="22" spans="1:21">
      <c r="A22">
        <v>4</v>
      </c>
      <c r="B22">
        <v>3</v>
      </c>
      <c r="C22">
        <v>3</v>
      </c>
      <c r="D22">
        <v>4</v>
      </c>
      <c r="E22">
        <v>4</v>
      </c>
      <c r="F22">
        <v>3</v>
      </c>
      <c r="G22">
        <v>4</v>
      </c>
      <c r="H22">
        <v>2</v>
      </c>
      <c r="I22">
        <v>3</v>
      </c>
      <c r="J22">
        <v>2</v>
      </c>
      <c r="K22">
        <v>3</v>
      </c>
      <c r="L22">
        <v>4</v>
      </c>
      <c r="M22">
        <v>3</v>
      </c>
      <c r="N22">
        <v>2</v>
      </c>
      <c r="O22">
        <v>3</v>
      </c>
      <c r="P22">
        <v>4</v>
      </c>
      <c r="Q22">
        <v>2</v>
      </c>
      <c r="R22">
        <v>2</v>
      </c>
      <c r="S22">
        <v>2</v>
      </c>
      <c r="T22">
        <v>2</v>
      </c>
      <c r="U22">
        <v>2</v>
      </c>
    </row>
    <row r="23" spans="1:21">
      <c r="A23">
        <v>4</v>
      </c>
      <c r="B23">
        <v>3</v>
      </c>
      <c r="C23">
        <v>3</v>
      </c>
      <c r="D23">
        <v>5</v>
      </c>
      <c r="E23">
        <v>5</v>
      </c>
      <c r="F23">
        <v>5</v>
      </c>
      <c r="G23">
        <v>2</v>
      </c>
      <c r="H23">
        <v>4</v>
      </c>
      <c r="I23">
        <v>4</v>
      </c>
      <c r="J23">
        <v>2</v>
      </c>
      <c r="K23">
        <v>5</v>
      </c>
      <c r="L23">
        <v>3</v>
      </c>
      <c r="M23">
        <v>4</v>
      </c>
      <c r="N23">
        <v>4</v>
      </c>
      <c r="O23">
        <v>5</v>
      </c>
      <c r="P23">
        <v>4</v>
      </c>
      <c r="Q23">
        <v>4</v>
      </c>
      <c r="R23">
        <v>2</v>
      </c>
      <c r="S23">
        <v>4</v>
      </c>
      <c r="T23">
        <v>4</v>
      </c>
      <c r="U23">
        <v>4</v>
      </c>
    </row>
    <row r="24" spans="1:21">
      <c r="A24">
        <v>5</v>
      </c>
      <c r="B24">
        <v>3</v>
      </c>
      <c r="C24">
        <v>4</v>
      </c>
      <c r="D24">
        <v>4</v>
      </c>
      <c r="E24">
        <v>4</v>
      </c>
      <c r="F24">
        <v>4</v>
      </c>
      <c r="G24">
        <v>2</v>
      </c>
      <c r="H24">
        <v>2</v>
      </c>
      <c r="I24">
        <v>2</v>
      </c>
      <c r="J24">
        <v>2</v>
      </c>
      <c r="K24">
        <v>2</v>
      </c>
      <c r="L24">
        <v>2</v>
      </c>
      <c r="M24">
        <v>2</v>
      </c>
      <c r="N24">
        <v>2</v>
      </c>
      <c r="O24">
        <v>4</v>
      </c>
      <c r="P24">
        <v>2</v>
      </c>
      <c r="Q24">
        <v>2</v>
      </c>
      <c r="R24">
        <v>2</v>
      </c>
      <c r="S24">
        <v>2</v>
      </c>
      <c r="T24">
        <v>2</v>
      </c>
      <c r="U24">
        <v>2</v>
      </c>
    </row>
    <row r="25" spans="1:21">
      <c r="A25">
        <v>4</v>
      </c>
      <c r="B25">
        <v>4</v>
      </c>
      <c r="C25">
        <v>4</v>
      </c>
      <c r="D25">
        <v>5</v>
      </c>
      <c r="E25">
        <v>5</v>
      </c>
      <c r="F25">
        <v>4</v>
      </c>
      <c r="G25">
        <v>4</v>
      </c>
      <c r="H25">
        <v>4</v>
      </c>
      <c r="I25">
        <v>4</v>
      </c>
      <c r="J25">
        <v>2</v>
      </c>
      <c r="K25">
        <v>4</v>
      </c>
      <c r="L25">
        <v>5</v>
      </c>
      <c r="M25">
        <v>4</v>
      </c>
      <c r="N25">
        <v>4</v>
      </c>
      <c r="O25">
        <v>5</v>
      </c>
      <c r="P25">
        <v>5</v>
      </c>
      <c r="Q25">
        <v>4</v>
      </c>
      <c r="R25">
        <v>4</v>
      </c>
      <c r="S25">
        <v>2</v>
      </c>
      <c r="T25">
        <v>2</v>
      </c>
      <c r="U25">
        <v>2</v>
      </c>
    </row>
    <row r="26" spans="1:21">
      <c r="A26">
        <v>2</v>
      </c>
      <c r="B26">
        <v>3</v>
      </c>
      <c r="C26">
        <v>2</v>
      </c>
      <c r="D26">
        <v>4</v>
      </c>
      <c r="E26">
        <v>3</v>
      </c>
      <c r="F26">
        <v>2</v>
      </c>
      <c r="G26">
        <v>3</v>
      </c>
      <c r="H26">
        <v>4</v>
      </c>
      <c r="I26">
        <v>2</v>
      </c>
      <c r="J26">
        <v>4</v>
      </c>
      <c r="K26">
        <v>3</v>
      </c>
      <c r="L26">
        <v>4</v>
      </c>
      <c r="M26">
        <v>3</v>
      </c>
      <c r="N26">
        <v>3</v>
      </c>
      <c r="O26">
        <v>3</v>
      </c>
      <c r="P26">
        <v>3</v>
      </c>
      <c r="Q26">
        <v>3</v>
      </c>
      <c r="R26">
        <v>2</v>
      </c>
      <c r="S26">
        <v>3</v>
      </c>
      <c r="T26">
        <v>4</v>
      </c>
      <c r="U26">
        <v>4</v>
      </c>
    </row>
    <row r="27" spans="1:21">
      <c r="A27">
        <v>4</v>
      </c>
      <c r="B27">
        <v>3</v>
      </c>
      <c r="C27">
        <v>4</v>
      </c>
      <c r="D27">
        <v>5</v>
      </c>
      <c r="E27">
        <v>5</v>
      </c>
      <c r="F27">
        <v>4</v>
      </c>
      <c r="G27">
        <v>4</v>
      </c>
      <c r="H27">
        <v>4</v>
      </c>
      <c r="I27">
        <v>4</v>
      </c>
      <c r="J27">
        <v>3</v>
      </c>
      <c r="K27">
        <v>4</v>
      </c>
      <c r="L27">
        <v>4</v>
      </c>
      <c r="M27">
        <v>5</v>
      </c>
      <c r="N27">
        <v>4</v>
      </c>
      <c r="O27">
        <v>3</v>
      </c>
      <c r="P27">
        <v>4</v>
      </c>
      <c r="Q27">
        <v>4</v>
      </c>
      <c r="R27">
        <v>2</v>
      </c>
      <c r="S27">
        <v>4</v>
      </c>
      <c r="T27">
        <v>3</v>
      </c>
      <c r="U27">
        <v>3</v>
      </c>
    </row>
    <row r="28" spans="1:21">
      <c r="A28">
        <v>4</v>
      </c>
      <c r="B28">
        <v>4</v>
      </c>
      <c r="C28">
        <v>3</v>
      </c>
      <c r="D28">
        <v>4</v>
      </c>
      <c r="E28">
        <v>4</v>
      </c>
      <c r="F28">
        <v>4</v>
      </c>
      <c r="G28">
        <v>3</v>
      </c>
      <c r="H28">
        <v>2</v>
      </c>
      <c r="I28">
        <v>4</v>
      </c>
      <c r="J28">
        <v>4</v>
      </c>
      <c r="K28">
        <v>4</v>
      </c>
      <c r="L28">
        <v>4</v>
      </c>
      <c r="M28">
        <v>4</v>
      </c>
      <c r="N28">
        <v>3</v>
      </c>
      <c r="O28">
        <v>4</v>
      </c>
      <c r="P28">
        <v>4</v>
      </c>
      <c r="Q28">
        <v>4</v>
      </c>
      <c r="R28">
        <v>2</v>
      </c>
      <c r="S28">
        <v>4</v>
      </c>
      <c r="T28">
        <v>3</v>
      </c>
      <c r="U28">
        <v>3</v>
      </c>
    </row>
    <row r="29" spans="1:21">
      <c r="A29">
        <v>4</v>
      </c>
      <c r="B29">
        <v>3</v>
      </c>
      <c r="C29">
        <v>4</v>
      </c>
      <c r="D29">
        <v>4</v>
      </c>
      <c r="E29">
        <v>4</v>
      </c>
      <c r="F29">
        <v>5</v>
      </c>
      <c r="G29">
        <v>4</v>
      </c>
      <c r="H29">
        <v>4</v>
      </c>
      <c r="I29">
        <v>4</v>
      </c>
      <c r="J29">
        <v>4</v>
      </c>
      <c r="K29">
        <v>4</v>
      </c>
      <c r="L29">
        <v>4</v>
      </c>
      <c r="M29">
        <v>4</v>
      </c>
      <c r="N29">
        <v>5</v>
      </c>
      <c r="O29">
        <v>5</v>
      </c>
      <c r="P29">
        <v>4</v>
      </c>
      <c r="Q29">
        <v>5</v>
      </c>
      <c r="R29">
        <v>3</v>
      </c>
      <c r="S29">
        <v>4</v>
      </c>
      <c r="T29">
        <v>3</v>
      </c>
      <c r="U29">
        <v>3</v>
      </c>
    </row>
    <row r="30" spans="1:21">
      <c r="A30">
        <v>4</v>
      </c>
      <c r="B30">
        <v>3</v>
      </c>
      <c r="C30">
        <v>4</v>
      </c>
      <c r="D30">
        <v>5</v>
      </c>
      <c r="E30">
        <v>3</v>
      </c>
      <c r="F30">
        <v>4</v>
      </c>
      <c r="G30">
        <v>5</v>
      </c>
      <c r="H30">
        <v>3</v>
      </c>
      <c r="I30">
        <v>3</v>
      </c>
      <c r="J30">
        <v>3</v>
      </c>
      <c r="K30">
        <v>5</v>
      </c>
      <c r="L30">
        <v>4</v>
      </c>
      <c r="M30">
        <v>4</v>
      </c>
      <c r="N30">
        <v>4</v>
      </c>
      <c r="O30">
        <v>5</v>
      </c>
      <c r="P30">
        <v>3</v>
      </c>
      <c r="Q30">
        <v>5</v>
      </c>
      <c r="R30">
        <v>5</v>
      </c>
      <c r="S30">
        <v>3</v>
      </c>
      <c r="T30">
        <v>2</v>
      </c>
      <c r="U30">
        <v>2</v>
      </c>
    </row>
    <row r="31" spans="1:21">
      <c r="A31">
        <v>4</v>
      </c>
      <c r="B31">
        <v>3</v>
      </c>
      <c r="C31">
        <v>4</v>
      </c>
      <c r="D31">
        <v>4</v>
      </c>
      <c r="E31">
        <v>4</v>
      </c>
      <c r="F31">
        <v>2</v>
      </c>
      <c r="G31">
        <v>4</v>
      </c>
      <c r="H31">
        <v>4</v>
      </c>
      <c r="I31">
        <v>4</v>
      </c>
      <c r="J31">
        <v>3</v>
      </c>
      <c r="K31">
        <v>5</v>
      </c>
      <c r="L31">
        <v>4</v>
      </c>
      <c r="M31">
        <v>4</v>
      </c>
      <c r="N31">
        <v>4</v>
      </c>
      <c r="O31">
        <v>3</v>
      </c>
      <c r="P31">
        <v>4</v>
      </c>
      <c r="Q31">
        <v>4</v>
      </c>
      <c r="R31">
        <v>3</v>
      </c>
      <c r="S31">
        <v>2</v>
      </c>
      <c r="T31">
        <v>4</v>
      </c>
      <c r="U31">
        <v>4</v>
      </c>
    </row>
    <row r="32" spans="1:21">
      <c r="A32">
        <v>4</v>
      </c>
      <c r="B32">
        <v>5</v>
      </c>
      <c r="C32">
        <v>4</v>
      </c>
      <c r="D32">
        <v>3</v>
      </c>
      <c r="E32">
        <v>5</v>
      </c>
      <c r="F32">
        <v>5</v>
      </c>
      <c r="G32">
        <v>3</v>
      </c>
      <c r="H32">
        <v>3</v>
      </c>
      <c r="I32">
        <v>4</v>
      </c>
      <c r="J32">
        <v>3</v>
      </c>
      <c r="K32">
        <v>5</v>
      </c>
      <c r="L32">
        <v>4</v>
      </c>
      <c r="M32">
        <v>5</v>
      </c>
      <c r="N32">
        <v>5</v>
      </c>
      <c r="O32">
        <v>3</v>
      </c>
      <c r="P32">
        <v>3</v>
      </c>
      <c r="Q32">
        <v>4</v>
      </c>
      <c r="R32">
        <v>5</v>
      </c>
      <c r="S32">
        <v>5</v>
      </c>
      <c r="T32">
        <v>5</v>
      </c>
      <c r="U32">
        <v>5</v>
      </c>
    </row>
    <row r="33" spans="1:21">
      <c r="A33">
        <v>5</v>
      </c>
      <c r="B33">
        <v>4</v>
      </c>
      <c r="C33">
        <v>5</v>
      </c>
      <c r="D33">
        <v>3</v>
      </c>
      <c r="E33">
        <v>4</v>
      </c>
      <c r="F33">
        <v>4</v>
      </c>
      <c r="G33">
        <v>4</v>
      </c>
      <c r="H33">
        <v>3</v>
      </c>
      <c r="I33">
        <v>3</v>
      </c>
      <c r="J33">
        <v>2</v>
      </c>
      <c r="K33">
        <v>3</v>
      </c>
      <c r="L33">
        <v>4</v>
      </c>
      <c r="M33">
        <v>5</v>
      </c>
      <c r="N33">
        <v>4</v>
      </c>
      <c r="O33">
        <v>3</v>
      </c>
      <c r="P33">
        <v>5</v>
      </c>
      <c r="Q33">
        <v>2</v>
      </c>
      <c r="R33">
        <v>3</v>
      </c>
      <c r="S33">
        <v>3</v>
      </c>
      <c r="T33">
        <v>3</v>
      </c>
      <c r="U33">
        <v>3</v>
      </c>
    </row>
    <row r="34" spans="1:21">
      <c r="A34">
        <v>3</v>
      </c>
      <c r="B34">
        <v>3</v>
      </c>
      <c r="C34">
        <v>4</v>
      </c>
      <c r="D34">
        <v>5</v>
      </c>
      <c r="E34">
        <v>4</v>
      </c>
      <c r="F34">
        <v>5</v>
      </c>
      <c r="G34">
        <v>2</v>
      </c>
      <c r="H34">
        <v>2</v>
      </c>
      <c r="I34">
        <v>2</v>
      </c>
      <c r="J34">
        <v>2</v>
      </c>
      <c r="K34">
        <v>4</v>
      </c>
      <c r="L34">
        <v>4</v>
      </c>
      <c r="M34">
        <v>4</v>
      </c>
      <c r="N34">
        <v>2</v>
      </c>
      <c r="O34">
        <v>4</v>
      </c>
      <c r="P34">
        <v>4</v>
      </c>
      <c r="Q34">
        <v>4</v>
      </c>
      <c r="R34">
        <v>4</v>
      </c>
      <c r="S34">
        <v>4</v>
      </c>
      <c r="T34">
        <v>3</v>
      </c>
      <c r="U34">
        <v>3</v>
      </c>
    </row>
    <row r="35" spans="1:21">
      <c r="A35">
        <v>4</v>
      </c>
      <c r="B35">
        <v>2</v>
      </c>
      <c r="C35">
        <v>4</v>
      </c>
      <c r="D35">
        <v>4</v>
      </c>
      <c r="E35">
        <v>4</v>
      </c>
      <c r="F35">
        <v>4</v>
      </c>
      <c r="G35">
        <v>4</v>
      </c>
      <c r="H35">
        <v>4</v>
      </c>
      <c r="I35">
        <v>4</v>
      </c>
      <c r="J35">
        <v>3</v>
      </c>
      <c r="K35">
        <v>4</v>
      </c>
      <c r="L35">
        <v>4</v>
      </c>
      <c r="M35">
        <v>5</v>
      </c>
      <c r="N35">
        <v>3</v>
      </c>
      <c r="O35">
        <v>4</v>
      </c>
      <c r="P35">
        <v>5</v>
      </c>
      <c r="Q35">
        <v>3</v>
      </c>
      <c r="R35">
        <v>4</v>
      </c>
      <c r="S35">
        <v>4</v>
      </c>
      <c r="T35">
        <v>2</v>
      </c>
      <c r="U35">
        <v>2</v>
      </c>
    </row>
    <row r="36" spans="1:21">
      <c r="A36">
        <v>4</v>
      </c>
      <c r="B36">
        <v>4</v>
      </c>
      <c r="C36">
        <v>4</v>
      </c>
      <c r="D36">
        <v>4</v>
      </c>
      <c r="E36">
        <v>4</v>
      </c>
      <c r="F36">
        <v>4</v>
      </c>
      <c r="G36">
        <v>4</v>
      </c>
      <c r="H36">
        <v>3</v>
      </c>
      <c r="I36">
        <v>4</v>
      </c>
      <c r="J36">
        <v>4</v>
      </c>
      <c r="K36">
        <v>4</v>
      </c>
      <c r="L36">
        <v>4</v>
      </c>
      <c r="M36">
        <v>4</v>
      </c>
      <c r="N36">
        <v>4</v>
      </c>
      <c r="O36">
        <v>4</v>
      </c>
      <c r="P36">
        <v>4</v>
      </c>
      <c r="Q36">
        <v>4</v>
      </c>
      <c r="R36">
        <v>4</v>
      </c>
      <c r="S36">
        <v>2</v>
      </c>
      <c r="T36">
        <v>2</v>
      </c>
      <c r="U36">
        <v>2</v>
      </c>
    </row>
    <row r="37" spans="1:21">
      <c r="A37">
        <v>3</v>
      </c>
      <c r="B37">
        <v>3</v>
      </c>
      <c r="C37">
        <v>3</v>
      </c>
      <c r="D37">
        <v>2</v>
      </c>
      <c r="E37">
        <v>2</v>
      </c>
      <c r="F37">
        <v>3</v>
      </c>
      <c r="G37">
        <v>2</v>
      </c>
      <c r="H37">
        <v>2</v>
      </c>
      <c r="I37">
        <v>2</v>
      </c>
      <c r="J37">
        <v>2</v>
      </c>
      <c r="K37">
        <v>4</v>
      </c>
      <c r="L37">
        <v>3</v>
      </c>
      <c r="M37">
        <v>3</v>
      </c>
      <c r="N37">
        <v>1</v>
      </c>
      <c r="O37">
        <v>2</v>
      </c>
      <c r="P37">
        <v>2</v>
      </c>
      <c r="Q37">
        <v>3</v>
      </c>
      <c r="R37">
        <v>3</v>
      </c>
      <c r="S37">
        <v>2</v>
      </c>
      <c r="T37">
        <v>2</v>
      </c>
      <c r="U37">
        <v>2</v>
      </c>
    </row>
    <row r="38" spans="1:21">
      <c r="A38">
        <v>4</v>
      </c>
      <c r="B38">
        <v>2</v>
      </c>
      <c r="C38">
        <v>4</v>
      </c>
      <c r="D38">
        <v>4</v>
      </c>
      <c r="E38">
        <v>4</v>
      </c>
      <c r="F38">
        <v>4</v>
      </c>
      <c r="G38">
        <v>4</v>
      </c>
      <c r="H38">
        <v>3</v>
      </c>
      <c r="I38">
        <v>3</v>
      </c>
      <c r="J38">
        <v>2</v>
      </c>
      <c r="K38">
        <v>4</v>
      </c>
      <c r="L38">
        <v>3</v>
      </c>
      <c r="M38">
        <v>5</v>
      </c>
      <c r="N38">
        <v>4</v>
      </c>
      <c r="O38">
        <v>3</v>
      </c>
      <c r="P38">
        <v>4</v>
      </c>
      <c r="Q38">
        <v>3</v>
      </c>
      <c r="R38">
        <v>1</v>
      </c>
      <c r="S38">
        <v>4</v>
      </c>
      <c r="T38">
        <v>3</v>
      </c>
      <c r="U38">
        <v>3</v>
      </c>
    </row>
    <row r="39" spans="1:21">
      <c r="A39">
        <v>3</v>
      </c>
      <c r="B39">
        <v>2</v>
      </c>
      <c r="C39">
        <v>3</v>
      </c>
      <c r="D39">
        <v>4</v>
      </c>
      <c r="E39">
        <v>4</v>
      </c>
      <c r="F39">
        <v>4</v>
      </c>
      <c r="G39">
        <v>2</v>
      </c>
      <c r="H39">
        <v>2</v>
      </c>
      <c r="I39">
        <v>2</v>
      </c>
      <c r="J39">
        <v>4</v>
      </c>
      <c r="K39">
        <v>3</v>
      </c>
      <c r="L39">
        <v>4</v>
      </c>
      <c r="M39">
        <v>4</v>
      </c>
      <c r="N39">
        <v>4</v>
      </c>
      <c r="O39">
        <v>3</v>
      </c>
      <c r="P39">
        <v>2</v>
      </c>
      <c r="Q39">
        <v>2</v>
      </c>
      <c r="R39">
        <v>2</v>
      </c>
      <c r="S39">
        <v>2</v>
      </c>
      <c r="T39">
        <v>3</v>
      </c>
      <c r="U39">
        <v>3</v>
      </c>
    </row>
    <row r="40" spans="1:21">
      <c r="A40">
        <v>3</v>
      </c>
      <c r="B40">
        <v>3</v>
      </c>
      <c r="C40">
        <v>3</v>
      </c>
      <c r="D40">
        <v>5</v>
      </c>
      <c r="E40">
        <v>5</v>
      </c>
      <c r="F40">
        <v>5</v>
      </c>
      <c r="G40">
        <v>4</v>
      </c>
      <c r="H40">
        <v>3</v>
      </c>
      <c r="I40">
        <v>5</v>
      </c>
      <c r="J40">
        <v>1</v>
      </c>
      <c r="K40">
        <v>4</v>
      </c>
      <c r="L40">
        <v>3</v>
      </c>
      <c r="M40">
        <v>4</v>
      </c>
      <c r="N40">
        <v>3</v>
      </c>
      <c r="O40">
        <v>5</v>
      </c>
      <c r="P40">
        <v>5</v>
      </c>
      <c r="Q40">
        <v>2</v>
      </c>
      <c r="R40">
        <v>4</v>
      </c>
      <c r="S40">
        <v>4</v>
      </c>
      <c r="T40">
        <v>3</v>
      </c>
      <c r="U40">
        <v>3</v>
      </c>
    </row>
    <row r="41" spans="1:21">
      <c r="A41">
        <v>2</v>
      </c>
      <c r="B41">
        <v>2</v>
      </c>
      <c r="C41">
        <v>2</v>
      </c>
      <c r="D41">
        <v>3</v>
      </c>
      <c r="E41">
        <v>4</v>
      </c>
      <c r="F41">
        <v>3</v>
      </c>
      <c r="G41">
        <v>2</v>
      </c>
      <c r="H41">
        <v>3</v>
      </c>
      <c r="I41">
        <v>2</v>
      </c>
      <c r="J41">
        <v>2</v>
      </c>
      <c r="K41">
        <v>3</v>
      </c>
      <c r="L41">
        <v>2</v>
      </c>
      <c r="M41">
        <v>2</v>
      </c>
      <c r="N41">
        <v>2</v>
      </c>
      <c r="O41">
        <v>2</v>
      </c>
      <c r="P41">
        <v>3</v>
      </c>
      <c r="Q41">
        <v>2</v>
      </c>
      <c r="R41">
        <v>2</v>
      </c>
      <c r="S41">
        <v>2</v>
      </c>
      <c r="T41">
        <v>2</v>
      </c>
      <c r="U41">
        <v>2</v>
      </c>
    </row>
    <row r="42" spans="1:21">
      <c r="A42">
        <v>3</v>
      </c>
      <c r="B42">
        <v>4</v>
      </c>
      <c r="C42">
        <v>4</v>
      </c>
      <c r="D42">
        <v>4</v>
      </c>
      <c r="E42">
        <v>4</v>
      </c>
      <c r="F42">
        <v>3</v>
      </c>
      <c r="G42">
        <v>3</v>
      </c>
      <c r="H42">
        <v>3</v>
      </c>
      <c r="I42">
        <v>4</v>
      </c>
      <c r="J42">
        <v>3</v>
      </c>
      <c r="K42">
        <v>3</v>
      </c>
      <c r="L42">
        <v>3</v>
      </c>
      <c r="M42">
        <v>3</v>
      </c>
      <c r="N42">
        <v>4</v>
      </c>
      <c r="O42">
        <v>4</v>
      </c>
      <c r="P42">
        <v>4</v>
      </c>
      <c r="Q42">
        <v>3</v>
      </c>
      <c r="R42">
        <v>3</v>
      </c>
      <c r="S42">
        <v>4</v>
      </c>
      <c r="T42">
        <v>4</v>
      </c>
      <c r="U42">
        <v>4</v>
      </c>
    </row>
    <row r="43" spans="1:21">
      <c r="A43">
        <v>3</v>
      </c>
      <c r="B43">
        <v>3</v>
      </c>
      <c r="C43">
        <v>3</v>
      </c>
      <c r="D43">
        <v>4</v>
      </c>
      <c r="E43">
        <v>5</v>
      </c>
      <c r="F43">
        <v>5</v>
      </c>
      <c r="G43">
        <v>3</v>
      </c>
      <c r="H43">
        <v>3</v>
      </c>
      <c r="I43">
        <v>3</v>
      </c>
      <c r="J43">
        <v>3</v>
      </c>
      <c r="K43">
        <v>3</v>
      </c>
      <c r="L43">
        <v>2</v>
      </c>
      <c r="M43">
        <v>4</v>
      </c>
      <c r="N43">
        <v>4</v>
      </c>
      <c r="O43">
        <v>5</v>
      </c>
      <c r="P43">
        <v>4</v>
      </c>
      <c r="Q43">
        <v>1</v>
      </c>
      <c r="R43">
        <v>5</v>
      </c>
      <c r="S43">
        <v>5</v>
      </c>
      <c r="T43">
        <v>5</v>
      </c>
      <c r="U43">
        <v>5</v>
      </c>
    </row>
    <row r="44" spans="1:21">
      <c r="A44">
        <v>2</v>
      </c>
      <c r="B44">
        <v>2</v>
      </c>
      <c r="C44">
        <v>2</v>
      </c>
      <c r="D44">
        <v>3</v>
      </c>
      <c r="E44">
        <v>4</v>
      </c>
      <c r="F44">
        <v>4</v>
      </c>
      <c r="G44">
        <v>3</v>
      </c>
      <c r="H44">
        <v>2</v>
      </c>
      <c r="I44">
        <v>3</v>
      </c>
      <c r="J44">
        <v>2</v>
      </c>
      <c r="K44">
        <v>3</v>
      </c>
      <c r="L44">
        <v>3</v>
      </c>
      <c r="M44">
        <v>2</v>
      </c>
      <c r="N44">
        <v>3</v>
      </c>
      <c r="O44">
        <v>3</v>
      </c>
      <c r="P44">
        <v>4</v>
      </c>
      <c r="Q44">
        <v>4</v>
      </c>
      <c r="R44">
        <v>2</v>
      </c>
      <c r="S44">
        <v>2</v>
      </c>
      <c r="T44">
        <v>2</v>
      </c>
      <c r="U44">
        <v>2</v>
      </c>
    </row>
    <row r="45" spans="1:21">
      <c r="A45">
        <v>3</v>
      </c>
      <c r="B45">
        <v>2</v>
      </c>
      <c r="C45">
        <v>5</v>
      </c>
      <c r="D45">
        <v>4</v>
      </c>
      <c r="E45">
        <v>4</v>
      </c>
      <c r="F45">
        <v>4</v>
      </c>
      <c r="G45">
        <v>3</v>
      </c>
      <c r="H45">
        <v>4</v>
      </c>
      <c r="I45">
        <v>3</v>
      </c>
      <c r="J45">
        <v>2</v>
      </c>
      <c r="K45">
        <v>4</v>
      </c>
      <c r="L45">
        <v>4</v>
      </c>
      <c r="M45">
        <v>4</v>
      </c>
      <c r="N45">
        <v>4</v>
      </c>
      <c r="O45">
        <v>4</v>
      </c>
      <c r="P45">
        <v>4</v>
      </c>
      <c r="Q45">
        <v>4</v>
      </c>
      <c r="R45">
        <v>3</v>
      </c>
      <c r="S45">
        <v>4</v>
      </c>
      <c r="T45">
        <v>2</v>
      </c>
      <c r="U45">
        <v>2</v>
      </c>
    </row>
    <row r="46" spans="1:21">
      <c r="A46">
        <v>2</v>
      </c>
      <c r="B46">
        <v>2</v>
      </c>
      <c r="C46">
        <v>4</v>
      </c>
      <c r="D46">
        <v>5</v>
      </c>
      <c r="E46">
        <v>5</v>
      </c>
      <c r="F46">
        <v>5</v>
      </c>
      <c r="G46">
        <v>4</v>
      </c>
      <c r="H46">
        <v>4</v>
      </c>
      <c r="I46">
        <v>3</v>
      </c>
      <c r="J46">
        <v>4</v>
      </c>
      <c r="K46">
        <v>4</v>
      </c>
      <c r="L46">
        <v>2</v>
      </c>
      <c r="M46">
        <v>3</v>
      </c>
      <c r="N46">
        <v>2</v>
      </c>
      <c r="O46">
        <v>5</v>
      </c>
      <c r="P46">
        <v>4</v>
      </c>
      <c r="Q46">
        <v>2</v>
      </c>
      <c r="R46">
        <v>2</v>
      </c>
      <c r="S46">
        <v>2</v>
      </c>
      <c r="T46">
        <v>2</v>
      </c>
      <c r="U46">
        <v>2</v>
      </c>
    </row>
    <row r="47" spans="1:21">
      <c r="A47">
        <v>3</v>
      </c>
      <c r="B47">
        <v>1</v>
      </c>
      <c r="C47">
        <v>2</v>
      </c>
      <c r="D47">
        <v>5</v>
      </c>
      <c r="E47">
        <v>4</v>
      </c>
      <c r="F47">
        <v>3</v>
      </c>
      <c r="G47">
        <v>3</v>
      </c>
      <c r="H47">
        <v>4</v>
      </c>
      <c r="I47">
        <v>3</v>
      </c>
      <c r="J47">
        <v>3</v>
      </c>
      <c r="K47">
        <v>4</v>
      </c>
      <c r="L47">
        <v>4</v>
      </c>
      <c r="M47">
        <v>4</v>
      </c>
      <c r="N47">
        <v>3</v>
      </c>
      <c r="O47">
        <v>2</v>
      </c>
      <c r="P47">
        <v>4</v>
      </c>
      <c r="Q47">
        <v>3</v>
      </c>
      <c r="R47">
        <v>2</v>
      </c>
      <c r="S47">
        <v>3</v>
      </c>
      <c r="T47">
        <v>4</v>
      </c>
      <c r="U47">
        <v>4</v>
      </c>
    </row>
    <row r="48" spans="1:21">
      <c r="A48">
        <v>3</v>
      </c>
      <c r="B48">
        <v>4</v>
      </c>
      <c r="C48">
        <v>4</v>
      </c>
      <c r="D48">
        <v>5</v>
      </c>
      <c r="E48">
        <v>5</v>
      </c>
      <c r="F48">
        <v>4</v>
      </c>
      <c r="G48">
        <v>4</v>
      </c>
      <c r="H48">
        <v>4</v>
      </c>
      <c r="I48">
        <v>3</v>
      </c>
      <c r="J48">
        <v>2</v>
      </c>
      <c r="K48">
        <v>4</v>
      </c>
      <c r="L48">
        <v>4</v>
      </c>
      <c r="M48">
        <v>3</v>
      </c>
      <c r="N48">
        <v>3</v>
      </c>
      <c r="O48">
        <v>3</v>
      </c>
      <c r="P48">
        <v>3</v>
      </c>
      <c r="Q48">
        <v>5</v>
      </c>
      <c r="R48">
        <v>4</v>
      </c>
      <c r="S48">
        <v>3</v>
      </c>
      <c r="T48">
        <v>3</v>
      </c>
      <c r="U48">
        <v>3</v>
      </c>
    </row>
    <row r="49" spans="1:21">
      <c r="A49">
        <v>4</v>
      </c>
      <c r="B49">
        <v>2</v>
      </c>
      <c r="C49">
        <v>4</v>
      </c>
      <c r="D49">
        <v>4</v>
      </c>
      <c r="E49">
        <v>4</v>
      </c>
      <c r="F49">
        <v>5</v>
      </c>
      <c r="G49">
        <v>4</v>
      </c>
      <c r="H49">
        <v>4</v>
      </c>
      <c r="I49">
        <v>5</v>
      </c>
      <c r="J49">
        <v>3</v>
      </c>
      <c r="K49">
        <v>4</v>
      </c>
      <c r="L49">
        <v>3</v>
      </c>
      <c r="M49">
        <v>4</v>
      </c>
      <c r="N49">
        <v>4</v>
      </c>
      <c r="O49">
        <v>5</v>
      </c>
      <c r="P49">
        <v>5</v>
      </c>
      <c r="Q49">
        <v>4</v>
      </c>
      <c r="R49">
        <v>4</v>
      </c>
      <c r="S49">
        <v>4</v>
      </c>
      <c r="T49">
        <v>4</v>
      </c>
      <c r="U49">
        <v>4</v>
      </c>
    </row>
    <row r="50" spans="1:21">
      <c r="A50">
        <v>4</v>
      </c>
      <c r="B50">
        <v>5</v>
      </c>
      <c r="C50">
        <v>4</v>
      </c>
      <c r="D50">
        <v>5</v>
      </c>
      <c r="E50">
        <v>4</v>
      </c>
      <c r="F50">
        <v>5</v>
      </c>
      <c r="G50">
        <v>4</v>
      </c>
      <c r="H50">
        <v>2</v>
      </c>
      <c r="I50">
        <v>4</v>
      </c>
      <c r="J50">
        <v>2</v>
      </c>
      <c r="K50">
        <v>4</v>
      </c>
      <c r="L50">
        <v>4</v>
      </c>
      <c r="M50">
        <v>4</v>
      </c>
      <c r="N50">
        <v>4</v>
      </c>
      <c r="O50">
        <v>4</v>
      </c>
      <c r="P50">
        <v>3</v>
      </c>
      <c r="Q50">
        <v>4</v>
      </c>
      <c r="R50">
        <v>4</v>
      </c>
      <c r="S50">
        <v>2</v>
      </c>
      <c r="T50">
        <v>2</v>
      </c>
      <c r="U50">
        <v>2</v>
      </c>
    </row>
    <row r="51" spans="1:21">
      <c r="A51">
        <v>2</v>
      </c>
      <c r="B51">
        <v>2</v>
      </c>
      <c r="C51">
        <v>2</v>
      </c>
      <c r="D51">
        <v>2</v>
      </c>
      <c r="E51">
        <v>2</v>
      </c>
      <c r="F51">
        <v>3</v>
      </c>
      <c r="G51">
        <v>2</v>
      </c>
      <c r="H51">
        <v>2</v>
      </c>
      <c r="I51">
        <v>3</v>
      </c>
      <c r="J51">
        <v>3</v>
      </c>
      <c r="K51">
        <v>2</v>
      </c>
      <c r="L51">
        <v>2</v>
      </c>
      <c r="M51">
        <v>2</v>
      </c>
      <c r="N51">
        <v>2</v>
      </c>
      <c r="O51">
        <v>3</v>
      </c>
      <c r="P51">
        <v>3</v>
      </c>
      <c r="Q51">
        <v>3</v>
      </c>
      <c r="R51">
        <v>3</v>
      </c>
      <c r="S51">
        <v>3</v>
      </c>
      <c r="T51">
        <v>3</v>
      </c>
      <c r="U51">
        <v>3</v>
      </c>
    </row>
    <row r="52" spans="1:21">
      <c r="A52">
        <v>2</v>
      </c>
      <c r="B52">
        <v>1</v>
      </c>
      <c r="C52">
        <v>2</v>
      </c>
      <c r="D52">
        <v>5</v>
      </c>
      <c r="E52">
        <v>5</v>
      </c>
      <c r="F52">
        <v>3</v>
      </c>
      <c r="G52">
        <v>4</v>
      </c>
      <c r="H52">
        <v>4</v>
      </c>
      <c r="I52">
        <v>5</v>
      </c>
      <c r="J52">
        <v>4</v>
      </c>
      <c r="K52">
        <v>4</v>
      </c>
      <c r="L52">
        <v>4</v>
      </c>
      <c r="M52">
        <v>4</v>
      </c>
      <c r="N52">
        <v>5</v>
      </c>
      <c r="O52">
        <v>3</v>
      </c>
      <c r="P52">
        <v>4</v>
      </c>
      <c r="Q52">
        <v>2</v>
      </c>
      <c r="R52">
        <v>3</v>
      </c>
      <c r="S52">
        <v>4</v>
      </c>
      <c r="T52">
        <v>4</v>
      </c>
      <c r="U52">
        <v>4</v>
      </c>
    </row>
    <row r="53" spans="1:21">
      <c r="A53">
        <v>3</v>
      </c>
      <c r="B53">
        <v>3</v>
      </c>
      <c r="C53">
        <v>4</v>
      </c>
      <c r="D53">
        <v>4</v>
      </c>
      <c r="E53">
        <v>4</v>
      </c>
      <c r="F53">
        <v>4</v>
      </c>
      <c r="G53">
        <v>4</v>
      </c>
      <c r="H53">
        <v>3</v>
      </c>
      <c r="I53">
        <v>4</v>
      </c>
      <c r="J53">
        <v>3</v>
      </c>
      <c r="K53">
        <v>4</v>
      </c>
      <c r="L53">
        <v>3</v>
      </c>
      <c r="M53">
        <v>2</v>
      </c>
      <c r="N53">
        <v>3</v>
      </c>
      <c r="O53">
        <v>4</v>
      </c>
      <c r="P53">
        <v>3</v>
      </c>
      <c r="Q53">
        <v>3</v>
      </c>
      <c r="R53">
        <v>2</v>
      </c>
      <c r="S53">
        <v>3</v>
      </c>
      <c r="T53">
        <v>3</v>
      </c>
      <c r="U53">
        <v>3</v>
      </c>
    </row>
    <row r="54" spans="1:21">
      <c r="A54">
        <v>2</v>
      </c>
      <c r="B54">
        <v>2</v>
      </c>
      <c r="C54">
        <v>2</v>
      </c>
      <c r="D54">
        <v>3</v>
      </c>
      <c r="E54">
        <v>4</v>
      </c>
      <c r="F54">
        <v>3</v>
      </c>
      <c r="G54">
        <v>4</v>
      </c>
      <c r="H54">
        <v>3</v>
      </c>
      <c r="I54">
        <v>3</v>
      </c>
      <c r="J54">
        <v>3</v>
      </c>
      <c r="K54">
        <v>4</v>
      </c>
      <c r="L54">
        <v>3</v>
      </c>
      <c r="M54">
        <v>4</v>
      </c>
      <c r="N54">
        <v>3</v>
      </c>
      <c r="O54">
        <v>3</v>
      </c>
      <c r="P54">
        <v>3</v>
      </c>
      <c r="Q54">
        <v>2</v>
      </c>
      <c r="R54">
        <v>2</v>
      </c>
      <c r="S54">
        <v>2</v>
      </c>
      <c r="T54">
        <v>2</v>
      </c>
      <c r="U54">
        <v>2</v>
      </c>
    </row>
    <row r="55" spans="1:21">
      <c r="A55">
        <v>3</v>
      </c>
      <c r="B55">
        <v>3</v>
      </c>
      <c r="C55">
        <v>2</v>
      </c>
      <c r="D55">
        <v>2</v>
      </c>
      <c r="E55">
        <v>3</v>
      </c>
      <c r="F55">
        <v>4</v>
      </c>
      <c r="G55">
        <v>3</v>
      </c>
      <c r="H55">
        <v>4</v>
      </c>
      <c r="I55">
        <v>3</v>
      </c>
      <c r="J55">
        <v>3</v>
      </c>
      <c r="K55">
        <v>3</v>
      </c>
      <c r="L55">
        <v>2</v>
      </c>
      <c r="M55">
        <v>4</v>
      </c>
      <c r="N55">
        <v>2</v>
      </c>
      <c r="O55">
        <v>3</v>
      </c>
      <c r="P55">
        <v>3</v>
      </c>
      <c r="Q55">
        <v>2</v>
      </c>
      <c r="R55">
        <v>3</v>
      </c>
      <c r="S55">
        <v>3</v>
      </c>
      <c r="T55">
        <v>2</v>
      </c>
      <c r="U55">
        <v>2</v>
      </c>
    </row>
    <row r="56" spans="1:21">
      <c r="A56">
        <v>1</v>
      </c>
      <c r="B56">
        <v>2</v>
      </c>
      <c r="C56">
        <v>2</v>
      </c>
      <c r="D56">
        <v>3</v>
      </c>
      <c r="E56">
        <v>3</v>
      </c>
      <c r="F56">
        <v>4</v>
      </c>
      <c r="G56">
        <v>1</v>
      </c>
      <c r="H56">
        <v>2</v>
      </c>
      <c r="I56">
        <v>2</v>
      </c>
      <c r="J56">
        <v>2</v>
      </c>
      <c r="K56">
        <v>2</v>
      </c>
      <c r="L56">
        <v>2</v>
      </c>
      <c r="M56">
        <v>2</v>
      </c>
      <c r="N56">
        <v>2</v>
      </c>
      <c r="O56">
        <v>3</v>
      </c>
      <c r="P56">
        <v>2</v>
      </c>
      <c r="Q56">
        <v>1</v>
      </c>
      <c r="R56">
        <v>1</v>
      </c>
      <c r="S56">
        <v>2</v>
      </c>
      <c r="T56">
        <v>2</v>
      </c>
      <c r="U56">
        <v>2</v>
      </c>
    </row>
    <row r="57" spans="1:21">
      <c r="A57">
        <v>4</v>
      </c>
      <c r="B57">
        <v>4</v>
      </c>
      <c r="C57">
        <v>3</v>
      </c>
      <c r="D57">
        <v>4</v>
      </c>
      <c r="E57">
        <v>3</v>
      </c>
      <c r="F57">
        <v>4</v>
      </c>
      <c r="G57">
        <v>3</v>
      </c>
      <c r="H57">
        <v>2</v>
      </c>
      <c r="I57">
        <v>4</v>
      </c>
      <c r="J57">
        <v>3</v>
      </c>
      <c r="K57">
        <v>4</v>
      </c>
      <c r="L57">
        <v>3</v>
      </c>
      <c r="M57">
        <v>2</v>
      </c>
      <c r="N57">
        <v>2</v>
      </c>
      <c r="O57">
        <v>3</v>
      </c>
      <c r="P57">
        <v>4</v>
      </c>
      <c r="Q57">
        <v>3</v>
      </c>
      <c r="R57">
        <v>2</v>
      </c>
      <c r="S57">
        <v>2</v>
      </c>
      <c r="T57">
        <v>2</v>
      </c>
      <c r="U57">
        <v>2</v>
      </c>
    </row>
    <row r="58" spans="1:21">
      <c r="A58">
        <v>3</v>
      </c>
      <c r="B58">
        <v>3</v>
      </c>
      <c r="C58">
        <v>4</v>
      </c>
      <c r="D58">
        <v>4</v>
      </c>
      <c r="E58">
        <v>4</v>
      </c>
      <c r="F58">
        <v>3</v>
      </c>
      <c r="G58">
        <v>4</v>
      </c>
      <c r="H58">
        <v>3</v>
      </c>
      <c r="I58">
        <v>3</v>
      </c>
      <c r="J58">
        <v>2</v>
      </c>
      <c r="K58">
        <v>4</v>
      </c>
      <c r="L58">
        <v>3</v>
      </c>
      <c r="M58">
        <v>4</v>
      </c>
      <c r="N58">
        <v>3</v>
      </c>
      <c r="O58">
        <v>2</v>
      </c>
      <c r="P58">
        <v>3</v>
      </c>
      <c r="Q58">
        <v>3</v>
      </c>
      <c r="R58">
        <v>2</v>
      </c>
      <c r="S58">
        <v>4</v>
      </c>
      <c r="T58">
        <v>3</v>
      </c>
      <c r="U58">
        <v>3</v>
      </c>
    </row>
    <row r="59" spans="1:21">
      <c r="A59">
        <v>4</v>
      </c>
      <c r="B59">
        <v>2</v>
      </c>
      <c r="C59">
        <v>2</v>
      </c>
      <c r="D59">
        <v>5</v>
      </c>
      <c r="E59">
        <v>5</v>
      </c>
      <c r="F59">
        <v>5</v>
      </c>
      <c r="G59">
        <v>3</v>
      </c>
      <c r="H59">
        <v>4</v>
      </c>
      <c r="I59">
        <v>3</v>
      </c>
      <c r="J59">
        <v>3</v>
      </c>
      <c r="K59">
        <v>4</v>
      </c>
      <c r="L59">
        <v>3</v>
      </c>
      <c r="M59">
        <v>5</v>
      </c>
      <c r="N59">
        <v>4</v>
      </c>
      <c r="O59">
        <v>5</v>
      </c>
      <c r="P59">
        <v>4</v>
      </c>
      <c r="Q59">
        <v>4</v>
      </c>
      <c r="R59">
        <v>3</v>
      </c>
      <c r="S59">
        <v>4</v>
      </c>
      <c r="T59">
        <v>4</v>
      </c>
      <c r="U59">
        <v>4</v>
      </c>
    </row>
    <row r="60" spans="1:21">
      <c r="A60">
        <v>3</v>
      </c>
      <c r="B60">
        <v>2</v>
      </c>
      <c r="C60">
        <v>3</v>
      </c>
      <c r="D60">
        <v>4</v>
      </c>
      <c r="E60">
        <v>4</v>
      </c>
      <c r="F60">
        <v>4</v>
      </c>
      <c r="G60">
        <v>4</v>
      </c>
      <c r="H60">
        <v>4</v>
      </c>
      <c r="I60">
        <v>4</v>
      </c>
      <c r="J60">
        <v>3</v>
      </c>
      <c r="K60">
        <v>4</v>
      </c>
      <c r="L60">
        <v>4</v>
      </c>
      <c r="M60">
        <v>4</v>
      </c>
      <c r="N60">
        <v>4</v>
      </c>
      <c r="O60">
        <v>4</v>
      </c>
      <c r="P60">
        <v>4</v>
      </c>
      <c r="Q60">
        <v>4</v>
      </c>
      <c r="R60">
        <v>2</v>
      </c>
      <c r="S60">
        <v>3</v>
      </c>
      <c r="T60">
        <v>3</v>
      </c>
      <c r="U60">
        <v>3</v>
      </c>
    </row>
    <row r="61" spans="1:21">
      <c r="A61">
        <v>5</v>
      </c>
      <c r="B61">
        <v>5</v>
      </c>
      <c r="C61">
        <v>5</v>
      </c>
      <c r="D61">
        <v>4</v>
      </c>
      <c r="E61">
        <v>4</v>
      </c>
      <c r="F61">
        <v>2</v>
      </c>
      <c r="G61">
        <v>4</v>
      </c>
      <c r="H61">
        <v>5</v>
      </c>
      <c r="I61">
        <v>4</v>
      </c>
      <c r="J61">
        <v>3</v>
      </c>
      <c r="K61">
        <v>3</v>
      </c>
      <c r="L61">
        <v>5</v>
      </c>
      <c r="M61">
        <v>4</v>
      </c>
      <c r="N61">
        <v>4</v>
      </c>
      <c r="O61">
        <v>1</v>
      </c>
      <c r="P61">
        <v>3</v>
      </c>
      <c r="Q61">
        <v>2</v>
      </c>
      <c r="R61">
        <v>4</v>
      </c>
      <c r="S61">
        <v>1</v>
      </c>
      <c r="T61">
        <v>1</v>
      </c>
      <c r="U61">
        <v>1</v>
      </c>
    </row>
    <row r="62" spans="1:21">
      <c r="A62">
        <v>4</v>
      </c>
      <c r="B62">
        <v>3</v>
      </c>
      <c r="C62">
        <v>4</v>
      </c>
      <c r="D62">
        <v>3</v>
      </c>
      <c r="E62">
        <v>3</v>
      </c>
      <c r="F62">
        <v>4</v>
      </c>
      <c r="G62">
        <v>4</v>
      </c>
      <c r="H62">
        <v>4</v>
      </c>
      <c r="I62">
        <v>4</v>
      </c>
      <c r="J62">
        <v>4</v>
      </c>
      <c r="K62">
        <v>5</v>
      </c>
      <c r="L62">
        <v>4</v>
      </c>
      <c r="M62">
        <v>4</v>
      </c>
      <c r="N62">
        <v>3</v>
      </c>
      <c r="O62">
        <v>4</v>
      </c>
      <c r="P62">
        <v>4</v>
      </c>
      <c r="Q62">
        <v>4</v>
      </c>
      <c r="R62">
        <v>4</v>
      </c>
      <c r="S62">
        <v>2</v>
      </c>
      <c r="T62">
        <v>3</v>
      </c>
      <c r="U62">
        <v>3</v>
      </c>
    </row>
    <row r="63" spans="1:21">
      <c r="A63">
        <v>3</v>
      </c>
      <c r="B63">
        <v>4</v>
      </c>
      <c r="C63">
        <v>4</v>
      </c>
      <c r="D63">
        <v>4</v>
      </c>
      <c r="E63">
        <v>3</v>
      </c>
      <c r="F63">
        <v>4</v>
      </c>
      <c r="G63">
        <v>4</v>
      </c>
      <c r="H63">
        <v>4</v>
      </c>
      <c r="I63">
        <v>4</v>
      </c>
      <c r="J63">
        <v>4</v>
      </c>
      <c r="K63">
        <v>2</v>
      </c>
      <c r="L63">
        <v>3</v>
      </c>
      <c r="M63">
        <v>4</v>
      </c>
      <c r="N63">
        <v>4</v>
      </c>
      <c r="O63">
        <v>4</v>
      </c>
      <c r="P63">
        <v>5</v>
      </c>
      <c r="Q63">
        <v>5</v>
      </c>
      <c r="R63">
        <v>4</v>
      </c>
      <c r="S63">
        <v>4</v>
      </c>
      <c r="T63">
        <v>5</v>
      </c>
      <c r="U63">
        <v>4</v>
      </c>
    </row>
    <row r="64" spans="1:21">
      <c r="A64">
        <v>3</v>
      </c>
      <c r="B64">
        <v>4</v>
      </c>
      <c r="C64">
        <v>4</v>
      </c>
      <c r="D64">
        <v>4</v>
      </c>
      <c r="E64">
        <v>4</v>
      </c>
      <c r="F64">
        <v>3</v>
      </c>
      <c r="G64">
        <v>4</v>
      </c>
      <c r="H64">
        <v>3</v>
      </c>
      <c r="I64">
        <v>4</v>
      </c>
      <c r="J64">
        <v>2</v>
      </c>
      <c r="K64">
        <v>4</v>
      </c>
      <c r="L64">
        <v>3</v>
      </c>
      <c r="M64">
        <v>4</v>
      </c>
      <c r="N64">
        <v>2</v>
      </c>
      <c r="O64">
        <v>2</v>
      </c>
      <c r="P64">
        <v>4</v>
      </c>
      <c r="Q64">
        <v>2</v>
      </c>
      <c r="R64">
        <v>3</v>
      </c>
      <c r="S64">
        <v>2</v>
      </c>
      <c r="T64">
        <v>3</v>
      </c>
      <c r="U64">
        <v>3</v>
      </c>
    </row>
    <row r="65" spans="1:21">
      <c r="A65">
        <v>4</v>
      </c>
      <c r="B65">
        <v>3</v>
      </c>
      <c r="C65">
        <v>4</v>
      </c>
      <c r="D65">
        <v>5</v>
      </c>
      <c r="E65">
        <v>4</v>
      </c>
      <c r="F65">
        <v>5</v>
      </c>
      <c r="G65">
        <v>5</v>
      </c>
      <c r="H65">
        <v>2</v>
      </c>
      <c r="I65">
        <v>4</v>
      </c>
      <c r="J65">
        <v>2</v>
      </c>
      <c r="K65">
        <v>5</v>
      </c>
      <c r="L65">
        <v>4</v>
      </c>
      <c r="M65">
        <v>4</v>
      </c>
      <c r="N65">
        <v>4</v>
      </c>
      <c r="O65">
        <v>5</v>
      </c>
      <c r="P65">
        <v>5</v>
      </c>
      <c r="Q65">
        <v>5</v>
      </c>
      <c r="R65">
        <v>5</v>
      </c>
      <c r="S65">
        <v>2</v>
      </c>
      <c r="T65">
        <v>2</v>
      </c>
      <c r="U65">
        <v>2</v>
      </c>
    </row>
    <row r="66" spans="1:21">
      <c r="A66">
        <v>5</v>
      </c>
      <c r="B66">
        <v>4</v>
      </c>
      <c r="C66">
        <v>4</v>
      </c>
      <c r="D66">
        <v>4</v>
      </c>
      <c r="E66">
        <v>4</v>
      </c>
      <c r="F66">
        <v>5</v>
      </c>
      <c r="G66">
        <v>4</v>
      </c>
      <c r="H66">
        <v>5</v>
      </c>
      <c r="I66">
        <v>5</v>
      </c>
      <c r="J66">
        <v>3</v>
      </c>
      <c r="K66">
        <v>4</v>
      </c>
      <c r="L66">
        <v>4</v>
      </c>
      <c r="M66">
        <v>5</v>
      </c>
      <c r="N66">
        <v>4</v>
      </c>
      <c r="O66">
        <v>4</v>
      </c>
      <c r="P66">
        <v>4</v>
      </c>
      <c r="Q66">
        <v>5</v>
      </c>
      <c r="R66">
        <v>4</v>
      </c>
      <c r="S66">
        <v>4</v>
      </c>
      <c r="T66">
        <v>5</v>
      </c>
      <c r="U66">
        <v>5</v>
      </c>
    </row>
    <row r="67" spans="1:21">
      <c r="A67">
        <v>4</v>
      </c>
      <c r="B67">
        <v>4</v>
      </c>
      <c r="C67">
        <v>4</v>
      </c>
      <c r="D67">
        <v>4</v>
      </c>
      <c r="E67">
        <v>4</v>
      </c>
      <c r="F67">
        <v>3</v>
      </c>
      <c r="G67">
        <v>4</v>
      </c>
      <c r="H67">
        <v>4</v>
      </c>
      <c r="I67">
        <v>3</v>
      </c>
      <c r="J67">
        <v>4</v>
      </c>
      <c r="K67">
        <v>2</v>
      </c>
      <c r="L67">
        <v>2</v>
      </c>
      <c r="M67">
        <v>3</v>
      </c>
      <c r="N67">
        <v>3</v>
      </c>
      <c r="O67">
        <v>3</v>
      </c>
      <c r="P67">
        <v>4</v>
      </c>
      <c r="Q67">
        <v>3</v>
      </c>
      <c r="R67">
        <v>4</v>
      </c>
      <c r="S67">
        <v>2</v>
      </c>
      <c r="T67">
        <v>3</v>
      </c>
      <c r="U67">
        <v>3</v>
      </c>
    </row>
    <row r="68" spans="1:21">
      <c r="A68">
        <v>4</v>
      </c>
      <c r="B68">
        <v>3</v>
      </c>
      <c r="C68">
        <v>2</v>
      </c>
      <c r="D68">
        <v>4</v>
      </c>
      <c r="E68">
        <v>4</v>
      </c>
      <c r="F68">
        <v>3</v>
      </c>
      <c r="G68">
        <v>4</v>
      </c>
      <c r="H68">
        <v>3</v>
      </c>
      <c r="I68">
        <v>3</v>
      </c>
      <c r="J68">
        <v>4</v>
      </c>
      <c r="K68">
        <v>4</v>
      </c>
      <c r="L68">
        <v>4</v>
      </c>
      <c r="M68">
        <v>4</v>
      </c>
      <c r="N68">
        <v>4</v>
      </c>
      <c r="O68">
        <v>4</v>
      </c>
      <c r="P68">
        <v>4</v>
      </c>
      <c r="Q68">
        <v>4</v>
      </c>
      <c r="R68">
        <v>2</v>
      </c>
      <c r="S68">
        <v>3</v>
      </c>
      <c r="T68">
        <v>2</v>
      </c>
      <c r="U68">
        <v>2</v>
      </c>
    </row>
    <row r="69" spans="1:21">
      <c r="A69">
        <v>4</v>
      </c>
      <c r="B69">
        <v>3</v>
      </c>
      <c r="C69">
        <v>3</v>
      </c>
      <c r="D69">
        <v>5</v>
      </c>
      <c r="E69">
        <v>5</v>
      </c>
      <c r="F69">
        <v>5</v>
      </c>
      <c r="G69">
        <v>4</v>
      </c>
      <c r="H69">
        <v>4</v>
      </c>
      <c r="I69">
        <v>4</v>
      </c>
      <c r="J69">
        <v>3</v>
      </c>
      <c r="K69">
        <v>3</v>
      </c>
      <c r="L69">
        <v>4</v>
      </c>
      <c r="M69">
        <v>4</v>
      </c>
      <c r="N69">
        <v>3</v>
      </c>
      <c r="O69">
        <v>5</v>
      </c>
      <c r="P69">
        <v>4</v>
      </c>
      <c r="Q69">
        <v>4</v>
      </c>
      <c r="R69">
        <v>4</v>
      </c>
      <c r="S69">
        <v>3</v>
      </c>
      <c r="T69">
        <v>3</v>
      </c>
      <c r="U69">
        <v>3</v>
      </c>
    </row>
    <row r="70" spans="1:21">
      <c r="A70">
        <v>4</v>
      </c>
      <c r="B70">
        <v>4</v>
      </c>
      <c r="C70">
        <v>3</v>
      </c>
      <c r="D70">
        <v>4</v>
      </c>
      <c r="E70">
        <v>4</v>
      </c>
      <c r="F70">
        <v>4</v>
      </c>
      <c r="G70">
        <v>3</v>
      </c>
      <c r="H70">
        <v>4</v>
      </c>
      <c r="I70">
        <v>4</v>
      </c>
      <c r="J70">
        <v>4</v>
      </c>
      <c r="K70">
        <v>4</v>
      </c>
      <c r="L70">
        <v>4</v>
      </c>
      <c r="M70">
        <v>4</v>
      </c>
      <c r="N70">
        <v>4</v>
      </c>
      <c r="O70">
        <v>4</v>
      </c>
      <c r="P70">
        <v>4</v>
      </c>
      <c r="Q70">
        <v>3</v>
      </c>
      <c r="R70">
        <v>3</v>
      </c>
      <c r="S70">
        <v>4</v>
      </c>
      <c r="T70">
        <v>4</v>
      </c>
      <c r="U70">
        <v>4</v>
      </c>
    </row>
    <row r="71" spans="1:21">
      <c r="A71">
        <v>1</v>
      </c>
      <c r="B71">
        <v>1</v>
      </c>
      <c r="C71">
        <v>2</v>
      </c>
      <c r="D71">
        <v>5</v>
      </c>
      <c r="E71">
        <v>5</v>
      </c>
      <c r="F71">
        <v>4</v>
      </c>
      <c r="G71">
        <v>2</v>
      </c>
      <c r="H71">
        <v>2</v>
      </c>
      <c r="I71">
        <v>2</v>
      </c>
      <c r="J71">
        <v>2</v>
      </c>
      <c r="K71">
        <v>5</v>
      </c>
      <c r="L71">
        <v>3</v>
      </c>
      <c r="M71">
        <v>3</v>
      </c>
      <c r="N71">
        <v>3</v>
      </c>
      <c r="O71">
        <v>5</v>
      </c>
      <c r="P71">
        <v>5</v>
      </c>
      <c r="Q71">
        <v>4</v>
      </c>
      <c r="R71">
        <v>2</v>
      </c>
      <c r="S71">
        <v>2</v>
      </c>
      <c r="T71">
        <v>2</v>
      </c>
      <c r="U71">
        <v>2</v>
      </c>
    </row>
    <row r="72" spans="1:21">
      <c r="A72">
        <v>2</v>
      </c>
      <c r="B72">
        <v>2</v>
      </c>
      <c r="C72">
        <v>3</v>
      </c>
      <c r="D72">
        <v>4</v>
      </c>
      <c r="E72">
        <v>4</v>
      </c>
      <c r="F72">
        <v>4</v>
      </c>
      <c r="G72">
        <v>5</v>
      </c>
      <c r="H72">
        <v>3</v>
      </c>
      <c r="I72">
        <v>5</v>
      </c>
      <c r="J72">
        <v>2</v>
      </c>
      <c r="K72">
        <v>4</v>
      </c>
      <c r="L72">
        <v>2</v>
      </c>
      <c r="M72">
        <v>2</v>
      </c>
      <c r="N72">
        <v>2</v>
      </c>
      <c r="O72">
        <v>3</v>
      </c>
      <c r="P72">
        <v>4</v>
      </c>
      <c r="Q72">
        <v>2</v>
      </c>
      <c r="R72">
        <v>2</v>
      </c>
      <c r="S72">
        <v>2</v>
      </c>
      <c r="T72">
        <v>2</v>
      </c>
      <c r="U72">
        <v>2</v>
      </c>
    </row>
    <row r="73" spans="1:21">
      <c r="A73">
        <v>2</v>
      </c>
      <c r="B73">
        <v>2</v>
      </c>
      <c r="C73">
        <v>2</v>
      </c>
      <c r="D73">
        <v>3</v>
      </c>
      <c r="E73">
        <v>3</v>
      </c>
      <c r="F73">
        <v>2</v>
      </c>
      <c r="G73">
        <v>2</v>
      </c>
      <c r="H73">
        <v>2</v>
      </c>
      <c r="I73">
        <v>2</v>
      </c>
      <c r="J73">
        <v>2</v>
      </c>
      <c r="K73">
        <v>3</v>
      </c>
      <c r="L73">
        <v>3</v>
      </c>
      <c r="M73">
        <v>2</v>
      </c>
      <c r="N73">
        <v>2</v>
      </c>
      <c r="O73">
        <v>2</v>
      </c>
      <c r="P73">
        <v>3</v>
      </c>
      <c r="Q73">
        <v>3</v>
      </c>
      <c r="R73">
        <v>3</v>
      </c>
      <c r="S73">
        <v>3</v>
      </c>
      <c r="T73">
        <v>3</v>
      </c>
      <c r="U73">
        <v>3</v>
      </c>
    </row>
    <row r="74" spans="1:21">
      <c r="A74">
        <v>2</v>
      </c>
      <c r="B74">
        <v>2</v>
      </c>
      <c r="C74">
        <v>2</v>
      </c>
      <c r="D74">
        <v>4</v>
      </c>
      <c r="E74">
        <v>4</v>
      </c>
      <c r="F74">
        <v>3</v>
      </c>
      <c r="G74">
        <v>4</v>
      </c>
      <c r="H74">
        <v>5</v>
      </c>
      <c r="I74">
        <v>4</v>
      </c>
      <c r="J74">
        <v>1</v>
      </c>
      <c r="K74">
        <v>4</v>
      </c>
      <c r="L74">
        <v>4</v>
      </c>
      <c r="M74">
        <v>4</v>
      </c>
      <c r="N74">
        <v>4</v>
      </c>
      <c r="O74">
        <v>3</v>
      </c>
      <c r="P74">
        <v>1</v>
      </c>
      <c r="Q74">
        <v>2</v>
      </c>
      <c r="R74">
        <v>1</v>
      </c>
      <c r="S74">
        <v>4</v>
      </c>
      <c r="T74">
        <v>4</v>
      </c>
      <c r="U74">
        <v>4</v>
      </c>
    </row>
    <row r="75" spans="1:21">
      <c r="A75">
        <v>3</v>
      </c>
      <c r="B75">
        <v>2</v>
      </c>
      <c r="C75">
        <v>2</v>
      </c>
      <c r="D75">
        <v>3</v>
      </c>
      <c r="E75">
        <v>3</v>
      </c>
      <c r="F75">
        <v>4</v>
      </c>
      <c r="G75">
        <v>4</v>
      </c>
      <c r="H75">
        <v>3</v>
      </c>
      <c r="I75">
        <v>4</v>
      </c>
      <c r="J75">
        <v>4</v>
      </c>
      <c r="K75">
        <v>3</v>
      </c>
      <c r="L75">
        <v>2</v>
      </c>
      <c r="M75">
        <v>4</v>
      </c>
      <c r="N75">
        <v>4</v>
      </c>
      <c r="O75">
        <v>4</v>
      </c>
      <c r="P75">
        <v>4</v>
      </c>
      <c r="Q75">
        <v>4</v>
      </c>
      <c r="R75">
        <v>3</v>
      </c>
      <c r="S75">
        <v>3</v>
      </c>
      <c r="T75">
        <v>3</v>
      </c>
      <c r="U75">
        <v>3</v>
      </c>
    </row>
    <row r="76" spans="1:21">
      <c r="A76">
        <v>3</v>
      </c>
      <c r="B76">
        <v>3</v>
      </c>
      <c r="C76">
        <v>3</v>
      </c>
      <c r="D76">
        <v>5</v>
      </c>
      <c r="E76">
        <v>5</v>
      </c>
      <c r="F76">
        <v>5</v>
      </c>
      <c r="G76">
        <v>4</v>
      </c>
      <c r="H76">
        <v>1</v>
      </c>
      <c r="I76">
        <v>4</v>
      </c>
      <c r="J76">
        <v>4</v>
      </c>
      <c r="K76">
        <v>5</v>
      </c>
      <c r="L76">
        <v>4</v>
      </c>
      <c r="M76">
        <v>3</v>
      </c>
      <c r="N76">
        <v>3</v>
      </c>
      <c r="O76">
        <v>5</v>
      </c>
      <c r="P76">
        <v>4</v>
      </c>
      <c r="Q76">
        <v>4</v>
      </c>
      <c r="R76">
        <v>4</v>
      </c>
      <c r="S76">
        <v>3</v>
      </c>
      <c r="T76">
        <v>3</v>
      </c>
      <c r="U76">
        <v>3</v>
      </c>
    </row>
    <row r="77" spans="1:21">
      <c r="A77">
        <v>3</v>
      </c>
      <c r="B77">
        <v>2</v>
      </c>
      <c r="C77">
        <v>4</v>
      </c>
      <c r="D77">
        <v>1</v>
      </c>
      <c r="E77">
        <v>1</v>
      </c>
      <c r="F77">
        <v>1</v>
      </c>
      <c r="G77">
        <v>5</v>
      </c>
      <c r="H77">
        <v>4</v>
      </c>
      <c r="I77">
        <v>5</v>
      </c>
      <c r="J77">
        <v>3</v>
      </c>
      <c r="K77">
        <v>4</v>
      </c>
      <c r="L77">
        <v>4</v>
      </c>
      <c r="M77">
        <v>5</v>
      </c>
      <c r="N77">
        <v>5</v>
      </c>
      <c r="O77">
        <v>4</v>
      </c>
      <c r="P77">
        <v>5</v>
      </c>
      <c r="Q77">
        <v>2</v>
      </c>
      <c r="R77">
        <v>2</v>
      </c>
      <c r="S77">
        <v>3</v>
      </c>
      <c r="T77">
        <v>3</v>
      </c>
      <c r="U77">
        <v>3</v>
      </c>
    </row>
    <row r="78" spans="1:21">
      <c r="A78">
        <v>4</v>
      </c>
      <c r="B78">
        <v>4</v>
      </c>
      <c r="C78">
        <v>3</v>
      </c>
      <c r="D78">
        <v>5</v>
      </c>
      <c r="E78">
        <v>5</v>
      </c>
      <c r="F78">
        <v>4</v>
      </c>
      <c r="G78">
        <v>5</v>
      </c>
      <c r="H78">
        <v>2</v>
      </c>
      <c r="I78">
        <v>4</v>
      </c>
      <c r="J78">
        <v>3</v>
      </c>
      <c r="K78">
        <v>5</v>
      </c>
      <c r="L78">
        <v>3</v>
      </c>
      <c r="M78">
        <v>5</v>
      </c>
      <c r="N78">
        <v>4</v>
      </c>
      <c r="O78">
        <v>2</v>
      </c>
      <c r="P78">
        <v>3</v>
      </c>
      <c r="Q78">
        <v>2</v>
      </c>
      <c r="R78">
        <v>2</v>
      </c>
      <c r="S78">
        <v>3</v>
      </c>
      <c r="T78">
        <v>4</v>
      </c>
      <c r="U78">
        <v>4</v>
      </c>
    </row>
    <row r="79" spans="1:21">
      <c r="A79">
        <v>4</v>
      </c>
      <c r="B79">
        <v>3</v>
      </c>
      <c r="C79">
        <v>4</v>
      </c>
      <c r="D79">
        <v>2</v>
      </c>
      <c r="E79">
        <v>3</v>
      </c>
      <c r="F79">
        <v>4</v>
      </c>
      <c r="G79">
        <v>4</v>
      </c>
      <c r="H79">
        <v>3</v>
      </c>
      <c r="I79">
        <v>3</v>
      </c>
      <c r="J79">
        <v>4</v>
      </c>
      <c r="K79">
        <v>3</v>
      </c>
      <c r="L79">
        <v>4</v>
      </c>
      <c r="M79">
        <v>4</v>
      </c>
      <c r="N79">
        <v>2</v>
      </c>
      <c r="O79">
        <v>4</v>
      </c>
      <c r="P79">
        <v>4</v>
      </c>
      <c r="Q79">
        <v>3</v>
      </c>
      <c r="R79">
        <v>4</v>
      </c>
      <c r="S79">
        <v>4</v>
      </c>
      <c r="T79">
        <v>2</v>
      </c>
      <c r="U79">
        <v>2</v>
      </c>
    </row>
    <row r="80" spans="1:21">
      <c r="A80">
        <v>3</v>
      </c>
      <c r="B80">
        <v>4</v>
      </c>
      <c r="C80">
        <v>4</v>
      </c>
      <c r="D80">
        <v>2</v>
      </c>
      <c r="E80">
        <v>2</v>
      </c>
      <c r="F80">
        <v>4</v>
      </c>
      <c r="G80">
        <v>4</v>
      </c>
      <c r="H80">
        <v>2</v>
      </c>
      <c r="I80">
        <v>2</v>
      </c>
      <c r="J80">
        <v>2</v>
      </c>
      <c r="K80">
        <v>4</v>
      </c>
      <c r="L80">
        <v>4</v>
      </c>
      <c r="M80">
        <v>4</v>
      </c>
      <c r="N80">
        <v>3</v>
      </c>
      <c r="O80">
        <v>3</v>
      </c>
      <c r="P80">
        <v>2</v>
      </c>
      <c r="Q80">
        <v>2</v>
      </c>
      <c r="R80">
        <v>3</v>
      </c>
      <c r="S80">
        <v>3</v>
      </c>
      <c r="T80">
        <v>2</v>
      </c>
      <c r="U80">
        <v>2</v>
      </c>
    </row>
    <row r="81" spans="1:21">
      <c r="A81">
        <v>3</v>
      </c>
      <c r="B81">
        <v>2</v>
      </c>
      <c r="C81">
        <v>3</v>
      </c>
      <c r="D81">
        <v>4</v>
      </c>
      <c r="E81">
        <v>2</v>
      </c>
      <c r="F81">
        <v>2</v>
      </c>
      <c r="G81">
        <v>3</v>
      </c>
      <c r="H81">
        <v>4</v>
      </c>
      <c r="I81">
        <v>3</v>
      </c>
      <c r="J81">
        <v>4</v>
      </c>
      <c r="K81">
        <v>4</v>
      </c>
      <c r="L81">
        <v>3</v>
      </c>
      <c r="M81">
        <v>3</v>
      </c>
      <c r="N81">
        <v>4</v>
      </c>
      <c r="O81">
        <v>3</v>
      </c>
      <c r="P81">
        <v>4</v>
      </c>
      <c r="Q81">
        <v>5</v>
      </c>
      <c r="R81">
        <v>3</v>
      </c>
      <c r="S81">
        <v>3</v>
      </c>
      <c r="T81">
        <v>4</v>
      </c>
      <c r="U81">
        <v>4</v>
      </c>
    </row>
    <row r="82" spans="1:21">
      <c r="A82">
        <v>3</v>
      </c>
      <c r="B82">
        <v>5</v>
      </c>
      <c r="C82">
        <v>4</v>
      </c>
      <c r="D82">
        <v>5</v>
      </c>
      <c r="E82">
        <v>5</v>
      </c>
      <c r="F82">
        <v>4</v>
      </c>
      <c r="G82">
        <v>4</v>
      </c>
      <c r="H82">
        <v>4</v>
      </c>
      <c r="I82">
        <v>2</v>
      </c>
      <c r="J82">
        <v>2</v>
      </c>
      <c r="K82">
        <v>4</v>
      </c>
      <c r="L82">
        <v>3</v>
      </c>
      <c r="M82">
        <v>4</v>
      </c>
      <c r="N82">
        <v>3</v>
      </c>
      <c r="O82">
        <v>3</v>
      </c>
      <c r="P82">
        <v>3</v>
      </c>
      <c r="Q82">
        <v>3</v>
      </c>
      <c r="R82">
        <v>3</v>
      </c>
      <c r="S82">
        <v>3</v>
      </c>
      <c r="T82">
        <v>3</v>
      </c>
      <c r="U82">
        <v>3</v>
      </c>
    </row>
    <row r="83" spans="1:21">
      <c r="A83">
        <v>3</v>
      </c>
      <c r="B83">
        <v>2</v>
      </c>
      <c r="C83">
        <v>2</v>
      </c>
      <c r="D83">
        <v>4</v>
      </c>
      <c r="E83">
        <v>4</v>
      </c>
      <c r="F83">
        <v>4</v>
      </c>
      <c r="G83">
        <v>3</v>
      </c>
      <c r="H83">
        <v>4</v>
      </c>
      <c r="I83">
        <v>4</v>
      </c>
      <c r="J83">
        <v>4</v>
      </c>
      <c r="K83">
        <v>4</v>
      </c>
      <c r="L83">
        <v>3</v>
      </c>
      <c r="M83">
        <v>5</v>
      </c>
      <c r="N83">
        <v>4</v>
      </c>
      <c r="O83">
        <v>4</v>
      </c>
      <c r="P83">
        <v>4</v>
      </c>
      <c r="Q83">
        <v>4</v>
      </c>
      <c r="R83">
        <v>2</v>
      </c>
      <c r="S83">
        <v>4</v>
      </c>
      <c r="T83">
        <v>2</v>
      </c>
      <c r="U83">
        <v>2</v>
      </c>
    </row>
    <row r="84" spans="1:21">
      <c r="A84">
        <v>4</v>
      </c>
      <c r="B84">
        <v>3</v>
      </c>
      <c r="C84">
        <v>3</v>
      </c>
      <c r="D84">
        <v>4</v>
      </c>
      <c r="E84">
        <v>4</v>
      </c>
      <c r="F84">
        <v>4</v>
      </c>
      <c r="G84">
        <v>4</v>
      </c>
      <c r="H84">
        <v>4</v>
      </c>
      <c r="I84">
        <v>4</v>
      </c>
      <c r="J84">
        <v>2</v>
      </c>
      <c r="K84">
        <v>4</v>
      </c>
      <c r="L84">
        <v>3</v>
      </c>
      <c r="M84">
        <v>4</v>
      </c>
      <c r="N84">
        <v>5</v>
      </c>
      <c r="O84">
        <v>4</v>
      </c>
      <c r="P84">
        <v>4</v>
      </c>
      <c r="Q84">
        <v>4</v>
      </c>
      <c r="R84">
        <v>4</v>
      </c>
      <c r="S84">
        <v>3</v>
      </c>
      <c r="T84">
        <v>5</v>
      </c>
      <c r="U84">
        <v>5</v>
      </c>
    </row>
    <row r="85" spans="1:21">
      <c r="A85">
        <v>3</v>
      </c>
      <c r="B85">
        <v>2</v>
      </c>
      <c r="C85">
        <v>3</v>
      </c>
      <c r="D85">
        <v>4</v>
      </c>
      <c r="E85">
        <v>4</v>
      </c>
      <c r="F85">
        <v>3</v>
      </c>
      <c r="G85">
        <v>4</v>
      </c>
      <c r="H85">
        <v>2</v>
      </c>
      <c r="I85">
        <v>3</v>
      </c>
      <c r="J85">
        <v>3</v>
      </c>
      <c r="K85">
        <v>4</v>
      </c>
      <c r="L85">
        <v>2</v>
      </c>
      <c r="M85">
        <v>4</v>
      </c>
      <c r="N85">
        <v>3</v>
      </c>
      <c r="O85">
        <v>3</v>
      </c>
      <c r="P85">
        <v>4</v>
      </c>
      <c r="Q85">
        <v>2</v>
      </c>
      <c r="R85">
        <v>3</v>
      </c>
      <c r="S85">
        <v>2</v>
      </c>
      <c r="T85">
        <v>3</v>
      </c>
      <c r="U85">
        <v>3</v>
      </c>
    </row>
    <row r="86" spans="1:21">
      <c r="A86">
        <v>5</v>
      </c>
      <c r="B86">
        <v>2</v>
      </c>
      <c r="C86">
        <v>4</v>
      </c>
      <c r="D86">
        <v>4</v>
      </c>
      <c r="E86">
        <v>5</v>
      </c>
      <c r="F86">
        <v>4</v>
      </c>
      <c r="G86">
        <v>4</v>
      </c>
      <c r="H86">
        <v>4</v>
      </c>
      <c r="I86">
        <v>4</v>
      </c>
      <c r="J86">
        <v>4</v>
      </c>
      <c r="K86">
        <v>4</v>
      </c>
      <c r="L86">
        <v>4</v>
      </c>
      <c r="M86">
        <v>4</v>
      </c>
      <c r="N86">
        <v>4</v>
      </c>
      <c r="O86">
        <v>4</v>
      </c>
      <c r="P86">
        <v>4</v>
      </c>
      <c r="Q86">
        <v>4</v>
      </c>
      <c r="R86">
        <v>2</v>
      </c>
      <c r="S86">
        <v>4</v>
      </c>
      <c r="T86">
        <v>4</v>
      </c>
      <c r="U86">
        <v>4</v>
      </c>
    </row>
    <row r="87" spans="1:21">
      <c r="A87">
        <v>3</v>
      </c>
      <c r="B87">
        <v>3</v>
      </c>
      <c r="C87">
        <v>2</v>
      </c>
      <c r="D87">
        <v>4</v>
      </c>
      <c r="E87">
        <v>4</v>
      </c>
      <c r="F87">
        <v>4</v>
      </c>
      <c r="G87">
        <v>3</v>
      </c>
      <c r="H87">
        <v>2</v>
      </c>
      <c r="I87">
        <v>3</v>
      </c>
      <c r="J87">
        <v>2</v>
      </c>
      <c r="K87">
        <v>2</v>
      </c>
      <c r="L87">
        <v>3</v>
      </c>
      <c r="M87">
        <v>4</v>
      </c>
      <c r="N87">
        <v>3</v>
      </c>
      <c r="O87">
        <v>3</v>
      </c>
      <c r="P87">
        <v>4</v>
      </c>
      <c r="Q87">
        <v>4</v>
      </c>
      <c r="R87">
        <v>4</v>
      </c>
      <c r="S87">
        <v>4</v>
      </c>
      <c r="T87">
        <v>3</v>
      </c>
      <c r="U87">
        <v>3</v>
      </c>
    </row>
    <row r="88" spans="1:21">
      <c r="A88">
        <v>3</v>
      </c>
      <c r="B88">
        <v>1</v>
      </c>
      <c r="C88">
        <v>3</v>
      </c>
      <c r="D88">
        <v>5</v>
      </c>
      <c r="E88">
        <v>5</v>
      </c>
      <c r="F88">
        <v>4</v>
      </c>
      <c r="G88">
        <v>4</v>
      </c>
      <c r="H88">
        <v>4</v>
      </c>
      <c r="I88">
        <v>4</v>
      </c>
      <c r="J88">
        <v>4</v>
      </c>
      <c r="K88">
        <v>4</v>
      </c>
      <c r="L88">
        <v>4</v>
      </c>
      <c r="M88">
        <v>4</v>
      </c>
      <c r="N88">
        <v>4</v>
      </c>
      <c r="O88">
        <v>4</v>
      </c>
      <c r="P88">
        <v>4</v>
      </c>
      <c r="Q88">
        <v>4</v>
      </c>
      <c r="R88">
        <v>4</v>
      </c>
      <c r="S88">
        <v>4</v>
      </c>
      <c r="T88">
        <v>4</v>
      </c>
      <c r="U88">
        <v>4</v>
      </c>
    </row>
    <row r="89" spans="1:21">
      <c r="A89">
        <v>3</v>
      </c>
      <c r="B89">
        <v>2</v>
      </c>
      <c r="C89">
        <v>4</v>
      </c>
      <c r="D89">
        <v>4</v>
      </c>
      <c r="E89">
        <v>4</v>
      </c>
      <c r="F89">
        <v>4</v>
      </c>
      <c r="G89">
        <v>3</v>
      </c>
      <c r="H89">
        <v>3</v>
      </c>
      <c r="I89">
        <v>3</v>
      </c>
      <c r="J89">
        <v>4</v>
      </c>
      <c r="K89">
        <v>2</v>
      </c>
      <c r="L89">
        <v>3</v>
      </c>
      <c r="M89">
        <v>4</v>
      </c>
      <c r="N89">
        <v>4</v>
      </c>
      <c r="O89">
        <v>4</v>
      </c>
      <c r="P89">
        <v>3</v>
      </c>
      <c r="Q89">
        <v>3</v>
      </c>
      <c r="R89">
        <v>2</v>
      </c>
      <c r="S89">
        <v>4</v>
      </c>
      <c r="T89">
        <v>3</v>
      </c>
      <c r="U89">
        <v>3</v>
      </c>
    </row>
    <row r="90" spans="1:21">
      <c r="A90">
        <v>3</v>
      </c>
      <c r="B90">
        <v>3</v>
      </c>
      <c r="C90">
        <v>4</v>
      </c>
      <c r="D90">
        <v>4</v>
      </c>
      <c r="E90">
        <v>4</v>
      </c>
      <c r="F90">
        <v>4</v>
      </c>
      <c r="G90">
        <v>4</v>
      </c>
      <c r="H90">
        <v>3</v>
      </c>
      <c r="I90">
        <v>3</v>
      </c>
      <c r="J90">
        <v>4</v>
      </c>
      <c r="K90">
        <v>3</v>
      </c>
      <c r="L90">
        <v>2</v>
      </c>
      <c r="M90">
        <v>3</v>
      </c>
      <c r="N90">
        <v>2</v>
      </c>
      <c r="O90">
        <v>3</v>
      </c>
      <c r="P90">
        <v>3</v>
      </c>
      <c r="Q90">
        <v>2</v>
      </c>
      <c r="R90">
        <v>4</v>
      </c>
      <c r="S90">
        <v>3</v>
      </c>
      <c r="T90">
        <v>2</v>
      </c>
      <c r="U90">
        <v>2</v>
      </c>
    </row>
    <row r="91" spans="1:21">
      <c r="A91">
        <v>4</v>
      </c>
      <c r="B91">
        <v>3</v>
      </c>
      <c r="C91">
        <v>5</v>
      </c>
      <c r="D91">
        <v>5</v>
      </c>
      <c r="E91">
        <v>4</v>
      </c>
      <c r="F91">
        <v>5</v>
      </c>
      <c r="G91">
        <v>5</v>
      </c>
      <c r="H91">
        <v>3</v>
      </c>
      <c r="I91">
        <v>5</v>
      </c>
      <c r="J91">
        <v>5</v>
      </c>
      <c r="K91">
        <v>3</v>
      </c>
      <c r="L91">
        <v>3</v>
      </c>
      <c r="M91">
        <v>4</v>
      </c>
      <c r="N91">
        <v>5</v>
      </c>
      <c r="O91">
        <v>5</v>
      </c>
      <c r="P91">
        <v>5</v>
      </c>
      <c r="Q91">
        <v>4</v>
      </c>
      <c r="R91">
        <v>4</v>
      </c>
      <c r="S91">
        <v>3</v>
      </c>
      <c r="T91">
        <v>3</v>
      </c>
      <c r="U91">
        <v>3</v>
      </c>
    </row>
    <row r="92" spans="1:21">
      <c r="A92">
        <v>4</v>
      </c>
      <c r="B92">
        <v>3</v>
      </c>
      <c r="C92">
        <v>2</v>
      </c>
      <c r="D92">
        <v>2</v>
      </c>
      <c r="E92">
        <v>3</v>
      </c>
      <c r="F92">
        <v>4</v>
      </c>
      <c r="G92">
        <v>2</v>
      </c>
      <c r="H92">
        <v>3</v>
      </c>
      <c r="I92">
        <v>4</v>
      </c>
      <c r="J92">
        <v>3</v>
      </c>
      <c r="K92">
        <v>3</v>
      </c>
      <c r="L92">
        <v>3</v>
      </c>
      <c r="M92">
        <v>3</v>
      </c>
      <c r="N92">
        <v>3</v>
      </c>
      <c r="O92">
        <v>4</v>
      </c>
      <c r="P92">
        <v>4</v>
      </c>
      <c r="Q92">
        <v>2</v>
      </c>
      <c r="R92">
        <v>4</v>
      </c>
      <c r="S92">
        <v>4</v>
      </c>
      <c r="T92">
        <v>3</v>
      </c>
      <c r="U92">
        <v>3</v>
      </c>
    </row>
    <row r="93" spans="1:21">
      <c r="A93">
        <v>4</v>
      </c>
      <c r="B93">
        <v>2</v>
      </c>
      <c r="C93">
        <v>4</v>
      </c>
      <c r="D93">
        <v>4</v>
      </c>
      <c r="E93">
        <v>4</v>
      </c>
      <c r="F93">
        <v>4</v>
      </c>
      <c r="G93">
        <v>4</v>
      </c>
      <c r="H93">
        <v>2</v>
      </c>
      <c r="I93">
        <v>4</v>
      </c>
      <c r="J93">
        <v>2</v>
      </c>
      <c r="K93">
        <v>4</v>
      </c>
      <c r="L93">
        <v>4</v>
      </c>
      <c r="M93">
        <v>4</v>
      </c>
      <c r="N93">
        <v>2</v>
      </c>
      <c r="O93">
        <v>4</v>
      </c>
      <c r="P93">
        <v>4</v>
      </c>
      <c r="Q93">
        <v>4</v>
      </c>
      <c r="R93">
        <v>4</v>
      </c>
      <c r="S93">
        <v>2</v>
      </c>
      <c r="T93">
        <v>2</v>
      </c>
      <c r="U93">
        <v>2</v>
      </c>
    </row>
    <row r="94" spans="1:21">
      <c r="A94">
        <v>4</v>
      </c>
      <c r="B94">
        <v>3</v>
      </c>
      <c r="C94">
        <v>5</v>
      </c>
      <c r="D94">
        <v>5</v>
      </c>
      <c r="E94">
        <v>5</v>
      </c>
      <c r="F94">
        <v>5</v>
      </c>
      <c r="G94">
        <v>3</v>
      </c>
      <c r="H94">
        <v>5</v>
      </c>
      <c r="I94">
        <v>5</v>
      </c>
      <c r="J94">
        <v>4</v>
      </c>
      <c r="K94">
        <v>4</v>
      </c>
      <c r="L94">
        <v>4</v>
      </c>
      <c r="M94">
        <v>5</v>
      </c>
      <c r="N94">
        <v>5</v>
      </c>
      <c r="O94">
        <v>4</v>
      </c>
      <c r="P94">
        <v>5</v>
      </c>
      <c r="Q94">
        <v>5</v>
      </c>
      <c r="R94">
        <v>4</v>
      </c>
      <c r="S94">
        <v>4</v>
      </c>
      <c r="T94">
        <v>5</v>
      </c>
      <c r="U94">
        <v>4</v>
      </c>
    </row>
    <row r="95" spans="1:21">
      <c r="A95">
        <v>3</v>
      </c>
      <c r="B95">
        <v>2</v>
      </c>
      <c r="C95">
        <v>2</v>
      </c>
      <c r="D95">
        <v>3</v>
      </c>
      <c r="E95">
        <v>4</v>
      </c>
      <c r="F95">
        <v>3</v>
      </c>
      <c r="G95">
        <v>2</v>
      </c>
      <c r="H95">
        <v>3</v>
      </c>
      <c r="I95">
        <v>4</v>
      </c>
      <c r="J95">
        <v>3</v>
      </c>
      <c r="K95">
        <v>4</v>
      </c>
      <c r="L95">
        <v>4</v>
      </c>
      <c r="M95">
        <v>3</v>
      </c>
      <c r="N95">
        <v>3</v>
      </c>
      <c r="O95">
        <v>3</v>
      </c>
      <c r="P95">
        <v>4</v>
      </c>
      <c r="Q95">
        <v>2</v>
      </c>
      <c r="R95">
        <v>3</v>
      </c>
      <c r="S95">
        <v>2</v>
      </c>
      <c r="T95">
        <v>2</v>
      </c>
      <c r="U95">
        <v>2</v>
      </c>
    </row>
    <row r="96" spans="1:21">
      <c r="A96">
        <v>2</v>
      </c>
      <c r="B96">
        <v>2</v>
      </c>
      <c r="C96">
        <v>2</v>
      </c>
      <c r="D96">
        <v>4</v>
      </c>
      <c r="E96">
        <v>5</v>
      </c>
      <c r="F96">
        <v>4</v>
      </c>
      <c r="G96">
        <v>4</v>
      </c>
      <c r="H96">
        <v>3</v>
      </c>
      <c r="I96">
        <v>3</v>
      </c>
      <c r="J96">
        <v>2</v>
      </c>
      <c r="K96">
        <v>3</v>
      </c>
      <c r="L96">
        <v>2</v>
      </c>
      <c r="M96">
        <v>4</v>
      </c>
      <c r="N96">
        <v>3</v>
      </c>
      <c r="O96">
        <v>4</v>
      </c>
      <c r="P96">
        <v>5</v>
      </c>
      <c r="Q96">
        <v>4</v>
      </c>
      <c r="R96">
        <v>3</v>
      </c>
      <c r="S96">
        <v>3</v>
      </c>
      <c r="T96">
        <v>2</v>
      </c>
      <c r="U96">
        <v>2</v>
      </c>
    </row>
    <row r="97" spans="1:21">
      <c r="A97">
        <v>3</v>
      </c>
      <c r="B97">
        <v>3</v>
      </c>
      <c r="C97">
        <v>4</v>
      </c>
      <c r="D97">
        <v>4</v>
      </c>
      <c r="E97">
        <v>4</v>
      </c>
      <c r="F97">
        <v>4</v>
      </c>
      <c r="G97">
        <v>4</v>
      </c>
      <c r="H97">
        <v>4</v>
      </c>
      <c r="I97">
        <v>4</v>
      </c>
      <c r="J97">
        <v>3</v>
      </c>
      <c r="K97">
        <v>4</v>
      </c>
      <c r="L97">
        <v>4</v>
      </c>
      <c r="M97">
        <v>4</v>
      </c>
      <c r="N97">
        <v>4</v>
      </c>
      <c r="O97">
        <v>4</v>
      </c>
      <c r="P97">
        <v>4</v>
      </c>
      <c r="Q97">
        <v>4</v>
      </c>
      <c r="R97">
        <v>3</v>
      </c>
      <c r="S97">
        <v>4</v>
      </c>
      <c r="T97">
        <v>3</v>
      </c>
      <c r="U97">
        <v>3</v>
      </c>
    </row>
    <row r="98" spans="1:21">
      <c r="A98">
        <v>3</v>
      </c>
      <c r="B98">
        <v>2</v>
      </c>
      <c r="C98">
        <v>3</v>
      </c>
      <c r="D98">
        <v>4</v>
      </c>
      <c r="E98">
        <v>4</v>
      </c>
      <c r="F98">
        <v>3</v>
      </c>
      <c r="G98">
        <v>4</v>
      </c>
      <c r="H98">
        <v>2</v>
      </c>
      <c r="I98">
        <v>3</v>
      </c>
      <c r="J98">
        <v>2</v>
      </c>
      <c r="K98">
        <v>4</v>
      </c>
      <c r="L98">
        <v>3</v>
      </c>
      <c r="M98">
        <v>2</v>
      </c>
      <c r="N98">
        <v>2</v>
      </c>
      <c r="O98">
        <v>3</v>
      </c>
      <c r="P98">
        <v>4</v>
      </c>
      <c r="Q98">
        <v>2</v>
      </c>
      <c r="R98">
        <v>2</v>
      </c>
      <c r="S98">
        <v>2</v>
      </c>
      <c r="T98">
        <v>2</v>
      </c>
      <c r="U98">
        <v>2</v>
      </c>
    </row>
    <row r="99" spans="1:21">
      <c r="A99">
        <v>4</v>
      </c>
      <c r="B99">
        <v>3</v>
      </c>
      <c r="C99">
        <v>3</v>
      </c>
      <c r="D99">
        <v>4</v>
      </c>
      <c r="E99">
        <v>4</v>
      </c>
      <c r="F99">
        <v>4</v>
      </c>
      <c r="G99">
        <v>4</v>
      </c>
      <c r="H99">
        <v>2</v>
      </c>
      <c r="I99">
        <v>4</v>
      </c>
      <c r="J99">
        <v>3</v>
      </c>
      <c r="K99">
        <v>3</v>
      </c>
      <c r="L99">
        <v>4</v>
      </c>
      <c r="M99">
        <v>2</v>
      </c>
      <c r="N99">
        <v>2</v>
      </c>
      <c r="O99">
        <v>4</v>
      </c>
      <c r="P99">
        <v>4</v>
      </c>
      <c r="Q99">
        <v>3</v>
      </c>
      <c r="R99">
        <v>4</v>
      </c>
      <c r="S99">
        <v>3</v>
      </c>
      <c r="T99">
        <v>2</v>
      </c>
      <c r="U99">
        <v>2</v>
      </c>
    </row>
    <row r="100" spans="1:21">
      <c r="A100">
        <v>4</v>
      </c>
      <c r="B100">
        <v>2</v>
      </c>
      <c r="C100">
        <v>3</v>
      </c>
      <c r="D100">
        <v>4</v>
      </c>
      <c r="E100">
        <v>4</v>
      </c>
      <c r="F100">
        <v>3</v>
      </c>
      <c r="G100">
        <v>3</v>
      </c>
      <c r="H100">
        <v>4</v>
      </c>
      <c r="I100">
        <v>3</v>
      </c>
      <c r="J100">
        <v>3</v>
      </c>
      <c r="K100">
        <v>4</v>
      </c>
      <c r="L100">
        <v>3</v>
      </c>
      <c r="M100">
        <v>4</v>
      </c>
      <c r="N100">
        <v>4</v>
      </c>
      <c r="O100">
        <v>3</v>
      </c>
      <c r="P100">
        <v>3</v>
      </c>
      <c r="Q100">
        <v>4</v>
      </c>
      <c r="R100">
        <v>3</v>
      </c>
      <c r="S100">
        <v>3</v>
      </c>
      <c r="T100">
        <v>4</v>
      </c>
      <c r="U100">
        <v>4</v>
      </c>
    </row>
    <row r="101" spans="1:21">
      <c r="A101">
        <v>4</v>
      </c>
      <c r="B101">
        <v>3</v>
      </c>
      <c r="C101">
        <v>4</v>
      </c>
      <c r="D101">
        <v>3</v>
      </c>
      <c r="E101">
        <v>2</v>
      </c>
      <c r="F101">
        <v>3</v>
      </c>
      <c r="G101">
        <v>2</v>
      </c>
      <c r="H101">
        <v>3</v>
      </c>
      <c r="I101">
        <v>5</v>
      </c>
      <c r="J101">
        <v>2</v>
      </c>
      <c r="K101">
        <v>3</v>
      </c>
      <c r="L101">
        <v>4</v>
      </c>
      <c r="M101">
        <v>4</v>
      </c>
      <c r="N101">
        <v>3</v>
      </c>
      <c r="O101">
        <v>5</v>
      </c>
      <c r="P101">
        <v>5</v>
      </c>
      <c r="Q101">
        <v>5</v>
      </c>
      <c r="R101">
        <v>3</v>
      </c>
      <c r="S101">
        <v>3</v>
      </c>
      <c r="T101">
        <v>3</v>
      </c>
      <c r="U101">
        <v>3</v>
      </c>
    </row>
    <row r="102" spans="1:21">
      <c r="A102">
        <v>4</v>
      </c>
      <c r="B102">
        <v>4</v>
      </c>
      <c r="C102">
        <v>4</v>
      </c>
      <c r="D102">
        <v>5</v>
      </c>
      <c r="E102">
        <v>5</v>
      </c>
      <c r="F102">
        <v>4</v>
      </c>
      <c r="G102">
        <v>4</v>
      </c>
      <c r="H102">
        <v>3</v>
      </c>
      <c r="I102">
        <v>4</v>
      </c>
      <c r="J102">
        <v>4</v>
      </c>
      <c r="K102">
        <v>4</v>
      </c>
      <c r="L102">
        <v>4</v>
      </c>
      <c r="M102">
        <v>5</v>
      </c>
      <c r="N102">
        <v>4</v>
      </c>
      <c r="O102">
        <v>4</v>
      </c>
      <c r="P102">
        <v>5</v>
      </c>
      <c r="Q102">
        <v>4</v>
      </c>
      <c r="R102">
        <v>3</v>
      </c>
      <c r="S102">
        <v>3</v>
      </c>
      <c r="T102">
        <v>4</v>
      </c>
      <c r="U102">
        <v>4</v>
      </c>
    </row>
    <row r="103" spans="1:21">
      <c r="A103">
        <v>5</v>
      </c>
      <c r="B103">
        <v>4</v>
      </c>
      <c r="C103">
        <v>4</v>
      </c>
      <c r="D103">
        <v>5</v>
      </c>
      <c r="E103">
        <v>4</v>
      </c>
      <c r="F103">
        <v>4</v>
      </c>
      <c r="G103">
        <v>4</v>
      </c>
      <c r="H103">
        <v>3</v>
      </c>
      <c r="I103">
        <v>5</v>
      </c>
      <c r="J103">
        <v>4</v>
      </c>
      <c r="K103">
        <v>5</v>
      </c>
      <c r="L103">
        <v>4</v>
      </c>
      <c r="M103">
        <v>5</v>
      </c>
      <c r="N103">
        <v>4</v>
      </c>
      <c r="O103">
        <v>4</v>
      </c>
      <c r="P103">
        <v>4</v>
      </c>
      <c r="Q103">
        <v>2</v>
      </c>
      <c r="R103">
        <v>3</v>
      </c>
      <c r="S103">
        <v>4</v>
      </c>
      <c r="T103">
        <v>5</v>
      </c>
      <c r="U103">
        <v>4</v>
      </c>
    </row>
    <row r="104" spans="1:21">
      <c r="A104">
        <v>4</v>
      </c>
      <c r="B104">
        <v>4</v>
      </c>
      <c r="C104">
        <v>2</v>
      </c>
      <c r="D104">
        <v>4</v>
      </c>
      <c r="E104">
        <v>4</v>
      </c>
      <c r="F104">
        <v>4</v>
      </c>
      <c r="G104">
        <v>4</v>
      </c>
      <c r="H104">
        <v>2</v>
      </c>
      <c r="I104">
        <v>5</v>
      </c>
      <c r="J104">
        <v>4</v>
      </c>
      <c r="K104">
        <v>2</v>
      </c>
      <c r="L104">
        <v>4</v>
      </c>
      <c r="M104">
        <v>2</v>
      </c>
      <c r="N104">
        <v>4</v>
      </c>
      <c r="O104">
        <v>4</v>
      </c>
      <c r="P104">
        <v>5</v>
      </c>
      <c r="Q104">
        <v>4</v>
      </c>
      <c r="R104">
        <v>4</v>
      </c>
      <c r="S104">
        <v>2</v>
      </c>
      <c r="T104">
        <v>3</v>
      </c>
      <c r="U104">
        <v>3</v>
      </c>
    </row>
    <row r="105" spans="1:21">
      <c r="A105">
        <v>3</v>
      </c>
      <c r="B105">
        <v>3</v>
      </c>
      <c r="C105">
        <v>4</v>
      </c>
      <c r="D105">
        <v>5</v>
      </c>
      <c r="E105">
        <v>4</v>
      </c>
      <c r="F105">
        <v>4</v>
      </c>
      <c r="G105">
        <v>4</v>
      </c>
      <c r="H105">
        <v>3</v>
      </c>
      <c r="I105">
        <v>2</v>
      </c>
      <c r="J105">
        <v>2</v>
      </c>
      <c r="K105">
        <v>5</v>
      </c>
      <c r="L105">
        <v>3</v>
      </c>
      <c r="M105">
        <v>4</v>
      </c>
      <c r="N105">
        <v>3</v>
      </c>
      <c r="O105">
        <v>3</v>
      </c>
      <c r="P105">
        <v>3</v>
      </c>
      <c r="Q105">
        <v>2</v>
      </c>
      <c r="R105">
        <v>3</v>
      </c>
      <c r="S105">
        <v>4</v>
      </c>
      <c r="T105">
        <v>2</v>
      </c>
      <c r="U105">
        <v>2</v>
      </c>
    </row>
    <row r="106" spans="1:21">
      <c r="A106">
        <v>3</v>
      </c>
      <c r="B106">
        <v>3</v>
      </c>
      <c r="C106">
        <v>2</v>
      </c>
      <c r="D106">
        <v>3</v>
      </c>
      <c r="E106">
        <v>3</v>
      </c>
      <c r="F106">
        <v>4</v>
      </c>
      <c r="G106">
        <v>2</v>
      </c>
      <c r="H106">
        <v>2</v>
      </c>
      <c r="I106">
        <v>2</v>
      </c>
      <c r="J106">
        <v>2</v>
      </c>
      <c r="K106">
        <v>4</v>
      </c>
      <c r="L106">
        <v>4</v>
      </c>
      <c r="M106">
        <v>2</v>
      </c>
      <c r="N106">
        <v>2</v>
      </c>
      <c r="O106">
        <v>3</v>
      </c>
      <c r="P106">
        <v>5</v>
      </c>
      <c r="Q106">
        <v>4</v>
      </c>
      <c r="R106">
        <v>3</v>
      </c>
      <c r="S106">
        <v>1</v>
      </c>
      <c r="T106">
        <v>2</v>
      </c>
      <c r="U106">
        <v>2</v>
      </c>
    </row>
    <row r="107" spans="1:21">
      <c r="A107">
        <v>2</v>
      </c>
      <c r="B107">
        <v>2</v>
      </c>
      <c r="C107">
        <v>2</v>
      </c>
      <c r="D107">
        <v>4</v>
      </c>
      <c r="E107">
        <v>4</v>
      </c>
      <c r="F107">
        <v>5</v>
      </c>
      <c r="G107">
        <v>3</v>
      </c>
      <c r="H107">
        <v>2</v>
      </c>
      <c r="I107">
        <v>3</v>
      </c>
      <c r="J107">
        <v>3</v>
      </c>
      <c r="K107">
        <v>3</v>
      </c>
      <c r="L107">
        <v>3</v>
      </c>
      <c r="M107">
        <v>4</v>
      </c>
      <c r="N107">
        <v>3</v>
      </c>
      <c r="O107">
        <v>5</v>
      </c>
      <c r="P107">
        <v>5</v>
      </c>
      <c r="Q107">
        <v>4</v>
      </c>
      <c r="R107">
        <v>5</v>
      </c>
      <c r="S107">
        <v>2</v>
      </c>
      <c r="T107">
        <v>3</v>
      </c>
      <c r="U107">
        <v>3</v>
      </c>
    </row>
    <row r="108" spans="1:21">
      <c r="A108">
        <v>5</v>
      </c>
      <c r="B108">
        <v>4</v>
      </c>
      <c r="C108">
        <v>4</v>
      </c>
      <c r="D108">
        <v>5</v>
      </c>
      <c r="E108">
        <v>5</v>
      </c>
      <c r="F108">
        <v>4</v>
      </c>
      <c r="G108">
        <v>4</v>
      </c>
      <c r="H108">
        <v>3</v>
      </c>
      <c r="I108">
        <v>5</v>
      </c>
      <c r="J108">
        <v>5</v>
      </c>
      <c r="K108">
        <v>5</v>
      </c>
      <c r="L108">
        <v>4</v>
      </c>
      <c r="M108">
        <v>4</v>
      </c>
      <c r="N108">
        <v>5</v>
      </c>
      <c r="O108">
        <v>4</v>
      </c>
      <c r="P108">
        <v>5</v>
      </c>
      <c r="Q108">
        <v>5</v>
      </c>
      <c r="R108">
        <v>4</v>
      </c>
      <c r="S108">
        <v>3</v>
      </c>
      <c r="T108">
        <v>4</v>
      </c>
      <c r="U108">
        <v>4</v>
      </c>
    </row>
    <row r="109" spans="1:21">
      <c r="A109">
        <v>3</v>
      </c>
      <c r="B109">
        <v>3</v>
      </c>
      <c r="C109">
        <v>3</v>
      </c>
      <c r="D109">
        <v>5</v>
      </c>
      <c r="E109">
        <v>5</v>
      </c>
      <c r="F109">
        <v>4</v>
      </c>
      <c r="G109">
        <v>1</v>
      </c>
      <c r="H109">
        <v>4</v>
      </c>
      <c r="I109">
        <v>4</v>
      </c>
      <c r="J109">
        <v>4</v>
      </c>
      <c r="K109">
        <v>3</v>
      </c>
      <c r="L109">
        <v>3</v>
      </c>
      <c r="M109">
        <v>4</v>
      </c>
      <c r="N109">
        <v>5</v>
      </c>
      <c r="O109">
        <v>4</v>
      </c>
      <c r="P109">
        <v>5</v>
      </c>
      <c r="Q109">
        <v>5</v>
      </c>
      <c r="R109">
        <v>4</v>
      </c>
      <c r="S109">
        <v>5</v>
      </c>
      <c r="T109">
        <v>4</v>
      </c>
      <c r="U109">
        <v>5</v>
      </c>
    </row>
    <row r="110" spans="1:21">
      <c r="A110">
        <v>4</v>
      </c>
      <c r="B110">
        <v>2</v>
      </c>
      <c r="C110">
        <v>4</v>
      </c>
      <c r="D110">
        <v>4</v>
      </c>
      <c r="E110">
        <v>4</v>
      </c>
      <c r="F110">
        <v>4</v>
      </c>
      <c r="G110">
        <v>5</v>
      </c>
      <c r="H110">
        <v>2</v>
      </c>
      <c r="I110">
        <v>3</v>
      </c>
      <c r="J110">
        <v>2</v>
      </c>
      <c r="K110">
        <v>2</v>
      </c>
      <c r="L110">
        <v>3</v>
      </c>
      <c r="M110">
        <v>3</v>
      </c>
      <c r="N110">
        <v>2</v>
      </c>
      <c r="O110">
        <v>5</v>
      </c>
      <c r="P110">
        <v>5</v>
      </c>
      <c r="Q110">
        <v>4</v>
      </c>
      <c r="R110">
        <v>4</v>
      </c>
      <c r="S110">
        <v>1</v>
      </c>
      <c r="T110">
        <v>2</v>
      </c>
      <c r="U110">
        <v>2</v>
      </c>
    </row>
    <row r="111" spans="1:21">
      <c r="A111">
        <v>4</v>
      </c>
      <c r="B111">
        <v>3</v>
      </c>
      <c r="C111">
        <v>4</v>
      </c>
      <c r="D111">
        <v>5</v>
      </c>
      <c r="E111">
        <v>5</v>
      </c>
      <c r="F111">
        <v>5</v>
      </c>
      <c r="G111">
        <v>5</v>
      </c>
      <c r="H111">
        <v>2</v>
      </c>
      <c r="I111">
        <v>4</v>
      </c>
      <c r="J111">
        <v>2</v>
      </c>
      <c r="K111">
        <v>4</v>
      </c>
      <c r="L111">
        <v>4</v>
      </c>
      <c r="M111">
        <v>4</v>
      </c>
      <c r="N111">
        <v>4</v>
      </c>
      <c r="O111">
        <v>4</v>
      </c>
      <c r="P111">
        <v>5</v>
      </c>
      <c r="Q111">
        <v>5</v>
      </c>
      <c r="R111">
        <v>5</v>
      </c>
      <c r="S111">
        <v>3</v>
      </c>
      <c r="T111">
        <v>4</v>
      </c>
      <c r="U111">
        <v>4</v>
      </c>
    </row>
    <row r="112" spans="1:21">
      <c r="A112">
        <v>4</v>
      </c>
      <c r="B112">
        <v>2</v>
      </c>
      <c r="C112">
        <v>2</v>
      </c>
      <c r="D112">
        <v>4</v>
      </c>
      <c r="E112">
        <v>4</v>
      </c>
      <c r="F112">
        <v>4</v>
      </c>
      <c r="G112">
        <v>4</v>
      </c>
      <c r="H112">
        <v>4</v>
      </c>
      <c r="I112">
        <v>4</v>
      </c>
      <c r="J112">
        <v>4</v>
      </c>
      <c r="K112">
        <v>4</v>
      </c>
      <c r="L112">
        <v>4</v>
      </c>
      <c r="M112">
        <v>5</v>
      </c>
      <c r="N112">
        <v>3</v>
      </c>
      <c r="O112">
        <v>4</v>
      </c>
      <c r="P112">
        <v>5</v>
      </c>
      <c r="Q112">
        <v>4</v>
      </c>
      <c r="R112">
        <v>2</v>
      </c>
      <c r="S112">
        <v>4</v>
      </c>
      <c r="T112">
        <v>4</v>
      </c>
      <c r="U112">
        <v>4</v>
      </c>
    </row>
    <row r="113" spans="1:21">
      <c r="A113">
        <v>2</v>
      </c>
      <c r="B113">
        <v>1</v>
      </c>
      <c r="C113">
        <v>3</v>
      </c>
      <c r="D113">
        <v>4</v>
      </c>
      <c r="E113">
        <v>4</v>
      </c>
      <c r="F113">
        <v>4</v>
      </c>
      <c r="G113">
        <v>4</v>
      </c>
      <c r="H113">
        <v>5</v>
      </c>
      <c r="I113">
        <v>5</v>
      </c>
      <c r="J113">
        <v>3</v>
      </c>
      <c r="K113">
        <v>4</v>
      </c>
      <c r="L113">
        <v>3</v>
      </c>
      <c r="M113">
        <v>5</v>
      </c>
      <c r="N113">
        <v>4</v>
      </c>
      <c r="O113">
        <v>5</v>
      </c>
      <c r="P113">
        <v>5</v>
      </c>
      <c r="Q113">
        <v>5</v>
      </c>
      <c r="R113">
        <v>4</v>
      </c>
      <c r="S113">
        <v>4</v>
      </c>
      <c r="T113">
        <v>5</v>
      </c>
      <c r="U113">
        <v>4</v>
      </c>
    </row>
    <row r="114" spans="1:21">
      <c r="A114">
        <v>4</v>
      </c>
      <c r="B114">
        <v>4</v>
      </c>
      <c r="C114">
        <v>4</v>
      </c>
      <c r="D114">
        <v>5</v>
      </c>
      <c r="E114">
        <v>4</v>
      </c>
      <c r="F114">
        <v>4</v>
      </c>
      <c r="G114">
        <v>5</v>
      </c>
      <c r="H114">
        <v>4</v>
      </c>
      <c r="I114">
        <v>5</v>
      </c>
      <c r="J114">
        <v>3</v>
      </c>
      <c r="K114">
        <v>5</v>
      </c>
      <c r="L114">
        <v>4</v>
      </c>
      <c r="M114">
        <v>5</v>
      </c>
      <c r="N114">
        <v>5</v>
      </c>
      <c r="O114">
        <v>4</v>
      </c>
      <c r="P114">
        <v>4</v>
      </c>
      <c r="Q114">
        <v>5</v>
      </c>
      <c r="R114">
        <v>4</v>
      </c>
      <c r="S114">
        <v>3</v>
      </c>
      <c r="T114">
        <v>4</v>
      </c>
      <c r="U114">
        <v>4</v>
      </c>
    </row>
    <row r="115" spans="1:21">
      <c r="A115">
        <v>2</v>
      </c>
      <c r="B115">
        <v>1</v>
      </c>
      <c r="C115">
        <v>3</v>
      </c>
      <c r="D115">
        <v>4</v>
      </c>
      <c r="E115">
        <v>5</v>
      </c>
      <c r="F115">
        <v>5</v>
      </c>
      <c r="G115">
        <v>3</v>
      </c>
      <c r="H115">
        <v>3</v>
      </c>
      <c r="I115">
        <v>3</v>
      </c>
      <c r="J115">
        <v>3</v>
      </c>
      <c r="K115">
        <v>2</v>
      </c>
      <c r="L115">
        <v>3</v>
      </c>
      <c r="M115">
        <v>4</v>
      </c>
      <c r="N115">
        <v>3</v>
      </c>
      <c r="O115">
        <v>4</v>
      </c>
      <c r="P115">
        <v>5</v>
      </c>
      <c r="Q115">
        <v>4</v>
      </c>
      <c r="R115">
        <v>4</v>
      </c>
      <c r="S115">
        <v>4</v>
      </c>
      <c r="T115">
        <v>3</v>
      </c>
      <c r="U115">
        <v>3</v>
      </c>
    </row>
    <row r="116" spans="1:21">
      <c r="A116">
        <v>4</v>
      </c>
      <c r="B116">
        <v>5</v>
      </c>
      <c r="C116">
        <v>3</v>
      </c>
      <c r="D116">
        <v>5</v>
      </c>
      <c r="E116">
        <v>5</v>
      </c>
      <c r="F116">
        <v>5</v>
      </c>
      <c r="G116">
        <v>4</v>
      </c>
      <c r="H116">
        <v>2</v>
      </c>
      <c r="I116">
        <v>3</v>
      </c>
      <c r="J116">
        <v>3</v>
      </c>
      <c r="K116">
        <v>3</v>
      </c>
      <c r="L116">
        <v>4</v>
      </c>
      <c r="M116">
        <v>4</v>
      </c>
      <c r="N116">
        <v>3</v>
      </c>
      <c r="O116">
        <v>5</v>
      </c>
      <c r="P116">
        <v>4</v>
      </c>
      <c r="Q116">
        <v>4</v>
      </c>
      <c r="R116">
        <v>4</v>
      </c>
      <c r="S116">
        <v>3</v>
      </c>
      <c r="T116">
        <v>3</v>
      </c>
      <c r="U116">
        <v>3</v>
      </c>
    </row>
    <row r="117" spans="1:21">
      <c r="A117">
        <v>5</v>
      </c>
      <c r="B117">
        <v>3</v>
      </c>
      <c r="C117">
        <v>4</v>
      </c>
      <c r="D117">
        <v>5</v>
      </c>
      <c r="E117">
        <v>5</v>
      </c>
      <c r="F117">
        <v>5</v>
      </c>
      <c r="G117">
        <v>5</v>
      </c>
      <c r="H117">
        <v>5</v>
      </c>
      <c r="I117">
        <v>5</v>
      </c>
      <c r="J117">
        <v>3</v>
      </c>
      <c r="K117">
        <v>4</v>
      </c>
      <c r="L117">
        <v>5</v>
      </c>
      <c r="M117">
        <v>5</v>
      </c>
      <c r="N117">
        <v>4</v>
      </c>
      <c r="O117">
        <v>4</v>
      </c>
      <c r="P117">
        <v>4</v>
      </c>
      <c r="Q117">
        <v>5</v>
      </c>
      <c r="R117">
        <v>4</v>
      </c>
      <c r="S117">
        <v>5</v>
      </c>
      <c r="T117">
        <v>5</v>
      </c>
      <c r="U117">
        <v>4</v>
      </c>
    </row>
    <row r="118" spans="1:21">
      <c r="A118">
        <v>4</v>
      </c>
      <c r="B118">
        <v>4</v>
      </c>
      <c r="C118">
        <v>4</v>
      </c>
      <c r="D118">
        <v>4</v>
      </c>
      <c r="E118">
        <v>5</v>
      </c>
      <c r="F118">
        <v>4</v>
      </c>
      <c r="G118">
        <v>3</v>
      </c>
      <c r="H118">
        <v>3</v>
      </c>
      <c r="I118">
        <v>4</v>
      </c>
      <c r="J118">
        <v>4</v>
      </c>
      <c r="K118">
        <v>3</v>
      </c>
      <c r="L118">
        <v>4</v>
      </c>
      <c r="M118">
        <v>4</v>
      </c>
      <c r="N118">
        <v>2</v>
      </c>
      <c r="O118">
        <v>2</v>
      </c>
      <c r="P118">
        <v>4</v>
      </c>
      <c r="Q118">
        <v>4</v>
      </c>
      <c r="R118">
        <v>2</v>
      </c>
      <c r="S118">
        <v>2</v>
      </c>
      <c r="T118">
        <v>2</v>
      </c>
      <c r="U118">
        <v>2</v>
      </c>
    </row>
    <row r="119" spans="1:21">
      <c r="A119">
        <v>4</v>
      </c>
      <c r="B119">
        <v>4</v>
      </c>
      <c r="C119">
        <v>5</v>
      </c>
      <c r="D119">
        <v>5</v>
      </c>
      <c r="E119">
        <v>4</v>
      </c>
      <c r="F119">
        <v>5</v>
      </c>
      <c r="G119">
        <v>4</v>
      </c>
      <c r="H119">
        <v>5</v>
      </c>
      <c r="I119">
        <v>4</v>
      </c>
      <c r="J119">
        <v>4</v>
      </c>
      <c r="K119">
        <v>5</v>
      </c>
      <c r="L119">
        <v>3</v>
      </c>
      <c r="M119">
        <v>4</v>
      </c>
      <c r="N119">
        <v>3</v>
      </c>
      <c r="O119">
        <v>4</v>
      </c>
      <c r="P119">
        <v>5</v>
      </c>
      <c r="Q119">
        <v>4</v>
      </c>
      <c r="R119">
        <v>5</v>
      </c>
      <c r="S119">
        <v>4</v>
      </c>
      <c r="T119">
        <v>4</v>
      </c>
      <c r="U119">
        <v>4</v>
      </c>
    </row>
    <row r="120" spans="1:21">
      <c r="A120">
        <v>3</v>
      </c>
      <c r="B120">
        <v>2</v>
      </c>
      <c r="C120">
        <v>3</v>
      </c>
      <c r="D120">
        <v>4</v>
      </c>
      <c r="E120">
        <v>3</v>
      </c>
      <c r="F120">
        <v>3</v>
      </c>
      <c r="G120">
        <v>3</v>
      </c>
      <c r="H120">
        <v>4</v>
      </c>
      <c r="I120">
        <v>4</v>
      </c>
      <c r="J120">
        <v>4</v>
      </c>
      <c r="K120">
        <v>4</v>
      </c>
      <c r="L120">
        <v>4</v>
      </c>
      <c r="M120">
        <v>4</v>
      </c>
      <c r="N120">
        <v>4</v>
      </c>
      <c r="O120">
        <v>5</v>
      </c>
      <c r="P120">
        <v>5</v>
      </c>
      <c r="Q120">
        <v>5</v>
      </c>
      <c r="R120">
        <v>4</v>
      </c>
      <c r="S120">
        <v>2</v>
      </c>
      <c r="T120">
        <v>3</v>
      </c>
      <c r="U120">
        <v>3</v>
      </c>
    </row>
    <row r="121" spans="1:21">
      <c r="A121">
        <v>3</v>
      </c>
      <c r="B121">
        <v>3</v>
      </c>
      <c r="C121">
        <v>4</v>
      </c>
      <c r="D121">
        <v>3</v>
      </c>
      <c r="E121">
        <v>4</v>
      </c>
      <c r="F121">
        <v>3</v>
      </c>
      <c r="G121">
        <v>4</v>
      </c>
      <c r="H121">
        <v>3</v>
      </c>
      <c r="I121">
        <v>3</v>
      </c>
      <c r="J121">
        <v>3</v>
      </c>
      <c r="K121">
        <v>4</v>
      </c>
      <c r="L121">
        <v>3</v>
      </c>
      <c r="M121">
        <v>4</v>
      </c>
      <c r="N121">
        <v>4</v>
      </c>
      <c r="O121">
        <v>4</v>
      </c>
      <c r="P121">
        <v>4</v>
      </c>
      <c r="Q121">
        <v>4</v>
      </c>
      <c r="R121">
        <v>3</v>
      </c>
      <c r="S121">
        <v>2</v>
      </c>
      <c r="T121">
        <v>3</v>
      </c>
      <c r="U121">
        <v>3</v>
      </c>
    </row>
    <row r="122" spans="1:21">
      <c r="A122">
        <v>4</v>
      </c>
      <c r="B122">
        <v>1</v>
      </c>
      <c r="C122">
        <v>3</v>
      </c>
      <c r="D122">
        <v>5</v>
      </c>
      <c r="E122">
        <v>5</v>
      </c>
      <c r="F122">
        <v>5</v>
      </c>
      <c r="G122">
        <v>4</v>
      </c>
      <c r="H122">
        <v>3</v>
      </c>
      <c r="I122">
        <v>4</v>
      </c>
      <c r="J122">
        <v>2</v>
      </c>
      <c r="K122">
        <v>5</v>
      </c>
      <c r="L122">
        <v>5</v>
      </c>
      <c r="M122">
        <v>4</v>
      </c>
      <c r="N122">
        <v>3</v>
      </c>
      <c r="O122">
        <v>4</v>
      </c>
      <c r="P122">
        <v>5</v>
      </c>
      <c r="Q122">
        <v>5</v>
      </c>
      <c r="R122">
        <v>4</v>
      </c>
      <c r="S122">
        <v>4</v>
      </c>
      <c r="T122">
        <v>4</v>
      </c>
      <c r="U122">
        <v>4</v>
      </c>
    </row>
    <row r="123" spans="1:21">
      <c r="A123">
        <v>4</v>
      </c>
      <c r="B123">
        <v>2</v>
      </c>
      <c r="C123">
        <v>2</v>
      </c>
      <c r="D123">
        <v>3</v>
      </c>
      <c r="E123">
        <v>3</v>
      </c>
      <c r="F123">
        <v>4</v>
      </c>
      <c r="G123">
        <v>3</v>
      </c>
      <c r="H123">
        <v>5</v>
      </c>
      <c r="I123">
        <v>4</v>
      </c>
      <c r="J123">
        <v>4</v>
      </c>
      <c r="K123">
        <v>3</v>
      </c>
      <c r="L123">
        <v>4</v>
      </c>
      <c r="M123">
        <v>4</v>
      </c>
      <c r="N123">
        <v>4</v>
      </c>
      <c r="O123">
        <v>3</v>
      </c>
      <c r="P123">
        <v>4</v>
      </c>
      <c r="Q123">
        <v>3</v>
      </c>
      <c r="R123">
        <v>4</v>
      </c>
      <c r="S123">
        <v>1</v>
      </c>
      <c r="T123">
        <v>3</v>
      </c>
      <c r="U123">
        <v>3</v>
      </c>
    </row>
    <row r="124" spans="1:21">
      <c r="A124">
        <v>2</v>
      </c>
      <c r="B124">
        <v>1</v>
      </c>
      <c r="C124">
        <v>1</v>
      </c>
      <c r="D124">
        <v>4</v>
      </c>
      <c r="E124">
        <v>3</v>
      </c>
      <c r="F124">
        <v>4</v>
      </c>
      <c r="G124">
        <v>1</v>
      </c>
      <c r="H124">
        <v>1</v>
      </c>
      <c r="I124">
        <v>4</v>
      </c>
      <c r="J124">
        <v>1</v>
      </c>
      <c r="K124">
        <v>4</v>
      </c>
      <c r="L124">
        <v>3</v>
      </c>
      <c r="M124">
        <v>3</v>
      </c>
      <c r="N124">
        <v>3</v>
      </c>
      <c r="O124">
        <v>4</v>
      </c>
      <c r="P124">
        <v>4</v>
      </c>
      <c r="Q124">
        <v>4</v>
      </c>
      <c r="R124">
        <v>3</v>
      </c>
      <c r="S124">
        <v>2</v>
      </c>
      <c r="T124">
        <v>3</v>
      </c>
      <c r="U124">
        <v>3</v>
      </c>
    </row>
    <row r="125" spans="1:21">
      <c r="A125">
        <v>4</v>
      </c>
      <c r="B125">
        <v>3</v>
      </c>
      <c r="C125">
        <v>3</v>
      </c>
      <c r="D125">
        <v>3</v>
      </c>
      <c r="E125">
        <v>2</v>
      </c>
      <c r="F125">
        <v>4</v>
      </c>
      <c r="G125">
        <v>4</v>
      </c>
      <c r="H125">
        <v>4</v>
      </c>
      <c r="I125">
        <v>4</v>
      </c>
      <c r="J125">
        <v>2</v>
      </c>
      <c r="K125">
        <v>2</v>
      </c>
      <c r="L125">
        <v>4</v>
      </c>
      <c r="M125">
        <v>2</v>
      </c>
      <c r="N125">
        <v>3</v>
      </c>
      <c r="O125">
        <v>4</v>
      </c>
      <c r="P125">
        <v>3</v>
      </c>
      <c r="Q125">
        <v>4</v>
      </c>
      <c r="R125">
        <v>3</v>
      </c>
      <c r="S125">
        <v>2</v>
      </c>
      <c r="T125">
        <v>3</v>
      </c>
      <c r="U125">
        <v>3</v>
      </c>
    </row>
    <row r="126" spans="1:21">
      <c r="A126">
        <v>1</v>
      </c>
      <c r="B126">
        <v>1</v>
      </c>
      <c r="C126">
        <v>1</v>
      </c>
      <c r="D126">
        <v>5</v>
      </c>
      <c r="E126">
        <v>4</v>
      </c>
      <c r="F126">
        <v>4</v>
      </c>
      <c r="G126">
        <v>3</v>
      </c>
      <c r="H126">
        <v>4</v>
      </c>
      <c r="I126">
        <v>4</v>
      </c>
      <c r="J126">
        <v>4</v>
      </c>
      <c r="K126">
        <v>4</v>
      </c>
      <c r="L126">
        <v>4</v>
      </c>
      <c r="M126">
        <v>4</v>
      </c>
      <c r="N126">
        <v>4</v>
      </c>
      <c r="O126">
        <v>2</v>
      </c>
      <c r="P126">
        <v>5</v>
      </c>
      <c r="Q126">
        <v>5</v>
      </c>
      <c r="R126">
        <v>2</v>
      </c>
      <c r="S126">
        <v>4</v>
      </c>
      <c r="T126">
        <v>4</v>
      </c>
      <c r="U126">
        <v>4</v>
      </c>
    </row>
    <row r="127" spans="1:21">
      <c r="A127">
        <v>3</v>
      </c>
      <c r="B127">
        <v>3</v>
      </c>
      <c r="C127">
        <v>2</v>
      </c>
      <c r="D127">
        <v>4</v>
      </c>
      <c r="E127">
        <v>3</v>
      </c>
      <c r="F127">
        <v>3</v>
      </c>
      <c r="G127">
        <v>4</v>
      </c>
      <c r="H127">
        <v>2</v>
      </c>
      <c r="I127">
        <v>3</v>
      </c>
      <c r="J127">
        <v>4</v>
      </c>
      <c r="K127">
        <v>2</v>
      </c>
      <c r="L127">
        <v>2</v>
      </c>
      <c r="M127">
        <v>2</v>
      </c>
      <c r="N127">
        <v>4</v>
      </c>
      <c r="O127">
        <v>3</v>
      </c>
      <c r="P127">
        <v>4</v>
      </c>
      <c r="Q127">
        <v>4</v>
      </c>
      <c r="R127">
        <v>3</v>
      </c>
      <c r="S127">
        <v>3</v>
      </c>
      <c r="T127">
        <v>3</v>
      </c>
      <c r="U127">
        <v>3</v>
      </c>
    </row>
    <row r="128" spans="1:21">
      <c r="A128">
        <v>3</v>
      </c>
      <c r="B128">
        <v>2</v>
      </c>
      <c r="C128">
        <v>4</v>
      </c>
      <c r="D128">
        <v>4</v>
      </c>
      <c r="E128">
        <v>4</v>
      </c>
      <c r="F128">
        <v>4</v>
      </c>
      <c r="G128">
        <v>4</v>
      </c>
      <c r="H128">
        <v>4</v>
      </c>
      <c r="I128">
        <v>4</v>
      </c>
      <c r="J128">
        <v>3</v>
      </c>
      <c r="K128">
        <v>4</v>
      </c>
      <c r="L128">
        <v>4</v>
      </c>
      <c r="M128">
        <v>5</v>
      </c>
      <c r="N128">
        <v>5</v>
      </c>
      <c r="O128">
        <v>3</v>
      </c>
      <c r="P128">
        <v>4</v>
      </c>
      <c r="Q128">
        <v>5</v>
      </c>
      <c r="R128">
        <v>4</v>
      </c>
      <c r="S128">
        <v>4</v>
      </c>
      <c r="T128">
        <v>4</v>
      </c>
      <c r="U128">
        <v>4</v>
      </c>
    </row>
    <row r="129" spans="1:21">
      <c r="A129">
        <v>4</v>
      </c>
      <c r="B129">
        <v>2</v>
      </c>
      <c r="C129">
        <v>4</v>
      </c>
      <c r="D129">
        <v>5</v>
      </c>
      <c r="E129">
        <v>5</v>
      </c>
      <c r="F129">
        <v>5</v>
      </c>
      <c r="G129">
        <v>4</v>
      </c>
      <c r="H129">
        <v>4</v>
      </c>
      <c r="I129">
        <v>5</v>
      </c>
      <c r="J129">
        <v>5</v>
      </c>
      <c r="K129">
        <v>5</v>
      </c>
      <c r="L129">
        <v>4</v>
      </c>
      <c r="M129">
        <v>5</v>
      </c>
      <c r="N129">
        <v>4</v>
      </c>
      <c r="O129">
        <v>4</v>
      </c>
      <c r="P129">
        <v>5</v>
      </c>
      <c r="Q129">
        <v>5</v>
      </c>
      <c r="R129">
        <v>4</v>
      </c>
      <c r="S129">
        <v>4</v>
      </c>
      <c r="T129">
        <v>5</v>
      </c>
      <c r="U129">
        <v>5</v>
      </c>
    </row>
    <row r="130" spans="1:21">
      <c r="A130">
        <v>2</v>
      </c>
      <c r="B130">
        <v>1</v>
      </c>
      <c r="C130">
        <v>3</v>
      </c>
      <c r="D130">
        <v>3</v>
      </c>
      <c r="E130">
        <v>2</v>
      </c>
      <c r="F130">
        <v>4</v>
      </c>
      <c r="G130">
        <v>4</v>
      </c>
      <c r="H130">
        <v>2</v>
      </c>
      <c r="I130">
        <v>3</v>
      </c>
      <c r="J130">
        <v>2</v>
      </c>
      <c r="K130">
        <v>4</v>
      </c>
      <c r="L130">
        <v>4</v>
      </c>
      <c r="M130">
        <v>2</v>
      </c>
      <c r="N130">
        <v>3</v>
      </c>
      <c r="O130">
        <v>4</v>
      </c>
      <c r="P130">
        <v>4</v>
      </c>
      <c r="Q130">
        <v>4</v>
      </c>
      <c r="R130">
        <v>4</v>
      </c>
      <c r="S130">
        <v>2</v>
      </c>
      <c r="T130">
        <v>2</v>
      </c>
      <c r="U130">
        <v>2</v>
      </c>
    </row>
    <row r="131" spans="1:21">
      <c r="A131">
        <v>2</v>
      </c>
      <c r="B131">
        <v>2</v>
      </c>
      <c r="C131">
        <v>3</v>
      </c>
      <c r="D131">
        <v>4</v>
      </c>
      <c r="E131">
        <v>4</v>
      </c>
      <c r="F131">
        <v>4</v>
      </c>
      <c r="G131">
        <v>4</v>
      </c>
      <c r="H131">
        <v>2</v>
      </c>
      <c r="I131">
        <v>2</v>
      </c>
      <c r="J131">
        <v>1</v>
      </c>
      <c r="K131">
        <v>5</v>
      </c>
      <c r="L131">
        <v>4</v>
      </c>
      <c r="M131">
        <v>4</v>
      </c>
      <c r="N131">
        <v>4</v>
      </c>
      <c r="O131">
        <v>4</v>
      </c>
      <c r="P131">
        <v>2</v>
      </c>
      <c r="Q131">
        <v>4</v>
      </c>
      <c r="R131">
        <v>2</v>
      </c>
      <c r="S131">
        <v>3</v>
      </c>
      <c r="T131">
        <v>2</v>
      </c>
      <c r="U131">
        <v>2</v>
      </c>
    </row>
    <row r="132" spans="1:21">
      <c r="A132">
        <v>2</v>
      </c>
      <c r="B132">
        <v>1</v>
      </c>
      <c r="C132">
        <v>1</v>
      </c>
      <c r="D132">
        <v>2</v>
      </c>
      <c r="E132">
        <v>2</v>
      </c>
      <c r="F132">
        <v>2</v>
      </c>
      <c r="G132">
        <v>1</v>
      </c>
      <c r="H132">
        <v>1</v>
      </c>
      <c r="I132">
        <v>2</v>
      </c>
      <c r="J132">
        <v>1</v>
      </c>
      <c r="K132">
        <v>2</v>
      </c>
      <c r="L132">
        <v>1</v>
      </c>
      <c r="M132">
        <v>1</v>
      </c>
      <c r="N132">
        <v>2</v>
      </c>
      <c r="O132">
        <v>1</v>
      </c>
      <c r="P132">
        <v>2</v>
      </c>
      <c r="Q132">
        <v>2</v>
      </c>
      <c r="R132">
        <v>1</v>
      </c>
      <c r="S132">
        <v>1</v>
      </c>
      <c r="T132">
        <v>1</v>
      </c>
      <c r="U132">
        <v>1</v>
      </c>
    </row>
    <row r="133" spans="1:21">
      <c r="A133">
        <v>5</v>
      </c>
      <c r="B133">
        <v>5</v>
      </c>
      <c r="C133">
        <v>3</v>
      </c>
      <c r="D133">
        <v>4</v>
      </c>
      <c r="E133">
        <v>4</v>
      </c>
      <c r="F133">
        <v>4</v>
      </c>
      <c r="G133">
        <v>4</v>
      </c>
      <c r="H133">
        <v>4</v>
      </c>
      <c r="I133">
        <v>4</v>
      </c>
      <c r="J133">
        <v>4</v>
      </c>
      <c r="K133">
        <v>4</v>
      </c>
      <c r="L133">
        <v>3</v>
      </c>
      <c r="M133">
        <v>5</v>
      </c>
      <c r="N133">
        <v>3</v>
      </c>
      <c r="O133">
        <v>4</v>
      </c>
      <c r="P133">
        <v>5</v>
      </c>
      <c r="Q133">
        <v>4</v>
      </c>
      <c r="R133">
        <v>3</v>
      </c>
      <c r="S133">
        <v>5</v>
      </c>
      <c r="T133">
        <v>5</v>
      </c>
      <c r="U133">
        <v>5</v>
      </c>
    </row>
    <row r="134" spans="1:21">
      <c r="A134">
        <v>4</v>
      </c>
      <c r="B134">
        <v>1</v>
      </c>
      <c r="C134">
        <v>3</v>
      </c>
      <c r="D134">
        <v>5</v>
      </c>
      <c r="E134">
        <v>5</v>
      </c>
      <c r="F134">
        <v>5</v>
      </c>
      <c r="G134">
        <v>3</v>
      </c>
      <c r="H134">
        <v>4</v>
      </c>
      <c r="I134">
        <v>5</v>
      </c>
      <c r="J134">
        <v>3</v>
      </c>
      <c r="K134">
        <v>5</v>
      </c>
      <c r="L134">
        <v>4</v>
      </c>
      <c r="M134">
        <v>4</v>
      </c>
      <c r="N134">
        <v>3</v>
      </c>
      <c r="O134">
        <v>5</v>
      </c>
      <c r="P134">
        <v>5</v>
      </c>
      <c r="Q134">
        <v>5</v>
      </c>
      <c r="R134">
        <v>5</v>
      </c>
      <c r="S134">
        <v>5</v>
      </c>
      <c r="T134">
        <v>4</v>
      </c>
      <c r="U134">
        <v>4</v>
      </c>
    </row>
    <row r="135" spans="1:21">
      <c r="A135">
        <v>4</v>
      </c>
      <c r="B135">
        <v>4</v>
      </c>
      <c r="C135">
        <v>4</v>
      </c>
      <c r="D135">
        <v>4</v>
      </c>
      <c r="E135">
        <v>4</v>
      </c>
      <c r="F135">
        <v>4</v>
      </c>
      <c r="G135">
        <v>4</v>
      </c>
      <c r="H135">
        <v>4</v>
      </c>
      <c r="I135">
        <v>3</v>
      </c>
      <c r="J135">
        <v>4</v>
      </c>
      <c r="K135">
        <v>4</v>
      </c>
      <c r="L135">
        <v>4</v>
      </c>
      <c r="M135">
        <v>4</v>
      </c>
      <c r="N135">
        <v>4</v>
      </c>
      <c r="O135">
        <v>4</v>
      </c>
      <c r="P135">
        <v>5</v>
      </c>
      <c r="Q135">
        <v>3</v>
      </c>
      <c r="R135">
        <v>2</v>
      </c>
      <c r="S135">
        <v>3</v>
      </c>
      <c r="T135">
        <v>3</v>
      </c>
      <c r="U135">
        <v>3</v>
      </c>
    </row>
    <row r="136" spans="1:21">
      <c r="A136">
        <v>4</v>
      </c>
      <c r="B136">
        <v>4</v>
      </c>
      <c r="C136">
        <v>3</v>
      </c>
      <c r="D136">
        <v>4</v>
      </c>
      <c r="E136">
        <v>4</v>
      </c>
      <c r="F136">
        <v>4</v>
      </c>
      <c r="G136">
        <v>5</v>
      </c>
      <c r="H136">
        <v>3</v>
      </c>
      <c r="I136">
        <v>4</v>
      </c>
      <c r="J136">
        <v>3</v>
      </c>
      <c r="K136">
        <v>5</v>
      </c>
      <c r="L136">
        <v>4</v>
      </c>
      <c r="M136">
        <v>4</v>
      </c>
      <c r="N136">
        <v>3</v>
      </c>
      <c r="O136">
        <v>3</v>
      </c>
      <c r="P136">
        <v>5</v>
      </c>
      <c r="Q136">
        <v>4</v>
      </c>
      <c r="R136">
        <v>3</v>
      </c>
      <c r="S136">
        <v>3</v>
      </c>
      <c r="T136">
        <v>3</v>
      </c>
      <c r="U136">
        <v>3</v>
      </c>
    </row>
    <row r="137" spans="1:21">
      <c r="A137">
        <v>2</v>
      </c>
      <c r="B137">
        <v>3</v>
      </c>
      <c r="C137">
        <v>2</v>
      </c>
      <c r="D137">
        <v>4</v>
      </c>
      <c r="E137">
        <v>4</v>
      </c>
      <c r="F137">
        <v>4</v>
      </c>
      <c r="G137">
        <v>4</v>
      </c>
      <c r="H137">
        <v>2</v>
      </c>
      <c r="I137">
        <v>4</v>
      </c>
      <c r="J137">
        <v>3</v>
      </c>
      <c r="K137">
        <v>4</v>
      </c>
      <c r="L137">
        <v>2</v>
      </c>
      <c r="M137">
        <v>3</v>
      </c>
      <c r="N137">
        <v>2</v>
      </c>
      <c r="O137">
        <v>2</v>
      </c>
      <c r="P137">
        <v>4</v>
      </c>
      <c r="Q137">
        <v>3</v>
      </c>
      <c r="R137">
        <v>4</v>
      </c>
      <c r="S137">
        <v>2</v>
      </c>
      <c r="T137">
        <v>3</v>
      </c>
      <c r="U137">
        <v>3</v>
      </c>
    </row>
    <row r="138" spans="1:21">
      <c r="A138">
        <v>2</v>
      </c>
      <c r="B138">
        <v>2</v>
      </c>
      <c r="C138">
        <v>1</v>
      </c>
      <c r="D138">
        <v>1</v>
      </c>
      <c r="E138">
        <v>2</v>
      </c>
      <c r="F138">
        <v>1</v>
      </c>
      <c r="G138">
        <v>3</v>
      </c>
      <c r="H138">
        <v>2</v>
      </c>
      <c r="I138">
        <v>2</v>
      </c>
      <c r="J138">
        <v>1</v>
      </c>
      <c r="K138">
        <v>2</v>
      </c>
      <c r="L138">
        <v>3</v>
      </c>
      <c r="M138">
        <v>1</v>
      </c>
      <c r="N138">
        <v>1</v>
      </c>
      <c r="O138">
        <v>3</v>
      </c>
      <c r="P138">
        <v>2</v>
      </c>
      <c r="Q138">
        <v>3</v>
      </c>
      <c r="R138">
        <v>4</v>
      </c>
      <c r="S138">
        <v>1</v>
      </c>
      <c r="T138">
        <v>2</v>
      </c>
      <c r="U138">
        <v>1</v>
      </c>
    </row>
    <row r="139" spans="1:21">
      <c r="A139">
        <v>3</v>
      </c>
      <c r="B139">
        <v>2</v>
      </c>
      <c r="C139">
        <v>3</v>
      </c>
      <c r="D139">
        <v>5</v>
      </c>
      <c r="E139">
        <v>4</v>
      </c>
      <c r="F139">
        <v>3</v>
      </c>
      <c r="G139">
        <v>4</v>
      </c>
      <c r="H139">
        <v>4</v>
      </c>
      <c r="I139">
        <v>3</v>
      </c>
      <c r="J139">
        <v>2</v>
      </c>
      <c r="K139">
        <v>4</v>
      </c>
      <c r="L139">
        <v>4</v>
      </c>
      <c r="M139">
        <v>4</v>
      </c>
      <c r="N139">
        <v>3</v>
      </c>
      <c r="O139">
        <v>4</v>
      </c>
      <c r="P139">
        <v>3</v>
      </c>
      <c r="Q139">
        <v>4</v>
      </c>
      <c r="R139">
        <v>3</v>
      </c>
      <c r="S139">
        <v>3</v>
      </c>
      <c r="T139">
        <v>3</v>
      </c>
      <c r="U139">
        <v>3</v>
      </c>
    </row>
    <row r="140" spans="1:21">
      <c r="A140">
        <v>4</v>
      </c>
      <c r="B140">
        <v>2</v>
      </c>
      <c r="C140">
        <v>2</v>
      </c>
      <c r="D140">
        <v>4</v>
      </c>
      <c r="E140">
        <v>4</v>
      </c>
      <c r="F140">
        <v>4</v>
      </c>
      <c r="G140">
        <v>5</v>
      </c>
      <c r="H140">
        <v>2</v>
      </c>
      <c r="I140">
        <v>3</v>
      </c>
      <c r="J140">
        <v>2</v>
      </c>
      <c r="K140">
        <v>4</v>
      </c>
      <c r="L140">
        <v>3</v>
      </c>
      <c r="M140">
        <v>2</v>
      </c>
      <c r="N140">
        <v>2</v>
      </c>
      <c r="O140">
        <v>3</v>
      </c>
      <c r="P140">
        <v>3</v>
      </c>
      <c r="Q140">
        <v>2</v>
      </c>
      <c r="R140">
        <v>2</v>
      </c>
      <c r="S140">
        <v>1</v>
      </c>
      <c r="T140">
        <v>2</v>
      </c>
      <c r="U140">
        <v>2</v>
      </c>
    </row>
    <row r="141" spans="1:21">
      <c r="A141">
        <v>4</v>
      </c>
      <c r="B141">
        <v>2</v>
      </c>
      <c r="C141">
        <v>3</v>
      </c>
      <c r="D141">
        <v>4</v>
      </c>
      <c r="E141">
        <v>2</v>
      </c>
      <c r="F141">
        <v>4</v>
      </c>
      <c r="G141">
        <v>4</v>
      </c>
      <c r="H141">
        <v>4</v>
      </c>
      <c r="I141">
        <v>4</v>
      </c>
      <c r="J141">
        <v>3</v>
      </c>
      <c r="K141">
        <v>4</v>
      </c>
      <c r="L141">
        <v>4</v>
      </c>
      <c r="M141">
        <v>5</v>
      </c>
      <c r="N141">
        <v>4</v>
      </c>
      <c r="O141">
        <v>3</v>
      </c>
      <c r="P141">
        <v>4</v>
      </c>
      <c r="Q141">
        <v>4</v>
      </c>
      <c r="R141">
        <v>3</v>
      </c>
      <c r="S141">
        <v>4</v>
      </c>
      <c r="T141">
        <v>4</v>
      </c>
      <c r="U141">
        <v>4</v>
      </c>
    </row>
    <row r="142" spans="1:21">
      <c r="A142">
        <v>4</v>
      </c>
      <c r="B142">
        <v>3</v>
      </c>
      <c r="C142">
        <v>4</v>
      </c>
      <c r="D142">
        <v>4</v>
      </c>
      <c r="E142">
        <v>4</v>
      </c>
      <c r="F142">
        <v>4</v>
      </c>
      <c r="G142">
        <v>4</v>
      </c>
      <c r="H142">
        <v>5</v>
      </c>
      <c r="I142">
        <v>3</v>
      </c>
      <c r="J142">
        <v>4</v>
      </c>
      <c r="K142">
        <v>4</v>
      </c>
      <c r="L142">
        <v>4</v>
      </c>
      <c r="M142">
        <v>2</v>
      </c>
      <c r="N142">
        <v>2</v>
      </c>
      <c r="O142">
        <v>2</v>
      </c>
      <c r="P142">
        <v>4</v>
      </c>
      <c r="Q142">
        <v>2</v>
      </c>
      <c r="R142">
        <v>2</v>
      </c>
      <c r="S142">
        <v>1</v>
      </c>
      <c r="T142">
        <v>1</v>
      </c>
      <c r="U142">
        <v>2</v>
      </c>
    </row>
    <row r="143" spans="1:21">
      <c r="A143">
        <v>3</v>
      </c>
      <c r="B143">
        <v>3</v>
      </c>
      <c r="C143">
        <v>2</v>
      </c>
      <c r="D143">
        <v>4</v>
      </c>
      <c r="E143">
        <v>3</v>
      </c>
      <c r="F143">
        <v>4</v>
      </c>
      <c r="G143">
        <v>4</v>
      </c>
      <c r="H143">
        <v>1</v>
      </c>
      <c r="I143">
        <v>3</v>
      </c>
      <c r="J143">
        <v>2</v>
      </c>
      <c r="K143">
        <v>3</v>
      </c>
      <c r="L143">
        <v>3</v>
      </c>
      <c r="M143">
        <v>2</v>
      </c>
      <c r="N143">
        <v>3</v>
      </c>
      <c r="O143">
        <v>4</v>
      </c>
      <c r="P143">
        <v>3</v>
      </c>
      <c r="Q143">
        <v>3</v>
      </c>
      <c r="R143">
        <v>4</v>
      </c>
      <c r="S143">
        <v>1</v>
      </c>
      <c r="T143">
        <v>1</v>
      </c>
      <c r="U143">
        <v>1</v>
      </c>
    </row>
    <row r="144" spans="1:21">
      <c r="A144">
        <v>3</v>
      </c>
      <c r="B144">
        <v>3</v>
      </c>
      <c r="C144">
        <v>3</v>
      </c>
      <c r="D144">
        <v>4</v>
      </c>
      <c r="E144">
        <v>4</v>
      </c>
      <c r="F144">
        <v>2</v>
      </c>
      <c r="G144">
        <v>3</v>
      </c>
      <c r="H144">
        <v>4</v>
      </c>
      <c r="I144">
        <v>4</v>
      </c>
      <c r="J144">
        <v>4</v>
      </c>
      <c r="K144">
        <v>3</v>
      </c>
      <c r="L144">
        <v>4</v>
      </c>
      <c r="M144">
        <v>4</v>
      </c>
      <c r="N144">
        <v>3</v>
      </c>
      <c r="O144">
        <v>4</v>
      </c>
      <c r="P144">
        <v>4</v>
      </c>
      <c r="Q144">
        <v>4</v>
      </c>
      <c r="R144">
        <v>3</v>
      </c>
      <c r="S144">
        <v>3</v>
      </c>
      <c r="T144">
        <v>3</v>
      </c>
      <c r="U144">
        <v>3</v>
      </c>
    </row>
    <row r="145" spans="1:21">
      <c r="A145">
        <v>3</v>
      </c>
      <c r="B145">
        <v>1</v>
      </c>
      <c r="C145">
        <v>3</v>
      </c>
      <c r="D145">
        <v>4</v>
      </c>
      <c r="E145">
        <v>4</v>
      </c>
      <c r="F145">
        <v>4</v>
      </c>
      <c r="G145">
        <v>5</v>
      </c>
      <c r="H145">
        <v>2</v>
      </c>
      <c r="I145">
        <v>3</v>
      </c>
      <c r="J145">
        <v>2</v>
      </c>
      <c r="K145">
        <v>3</v>
      </c>
      <c r="L145">
        <v>4</v>
      </c>
      <c r="M145">
        <v>3</v>
      </c>
      <c r="N145">
        <v>2</v>
      </c>
      <c r="O145">
        <v>4</v>
      </c>
      <c r="P145">
        <v>3</v>
      </c>
      <c r="Q145">
        <v>3</v>
      </c>
      <c r="R145">
        <v>4</v>
      </c>
      <c r="S145">
        <v>2</v>
      </c>
      <c r="T145">
        <v>2</v>
      </c>
      <c r="U145">
        <v>2</v>
      </c>
    </row>
    <row r="146" spans="1:21">
      <c r="A146">
        <v>2</v>
      </c>
      <c r="B146">
        <v>2</v>
      </c>
      <c r="C146">
        <v>2</v>
      </c>
      <c r="D146">
        <v>2</v>
      </c>
      <c r="E146">
        <v>4</v>
      </c>
      <c r="F146">
        <v>2</v>
      </c>
      <c r="G146">
        <v>4</v>
      </c>
      <c r="H146">
        <v>2</v>
      </c>
      <c r="I146">
        <v>2</v>
      </c>
      <c r="J146">
        <v>2</v>
      </c>
      <c r="K146">
        <v>4</v>
      </c>
      <c r="L146">
        <v>3</v>
      </c>
      <c r="M146">
        <v>4</v>
      </c>
      <c r="N146">
        <v>2</v>
      </c>
      <c r="O146">
        <v>3</v>
      </c>
      <c r="P146">
        <v>2</v>
      </c>
      <c r="Q146">
        <v>4</v>
      </c>
      <c r="R146">
        <v>4</v>
      </c>
      <c r="S146">
        <v>2</v>
      </c>
      <c r="T146">
        <v>3</v>
      </c>
      <c r="U146">
        <v>3</v>
      </c>
    </row>
    <row r="147" spans="1:21">
      <c r="A147">
        <v>4</v>
      </c>
      <c r="B147">
        <v>2</v>
      </c>
      <c r="C147">
        <v>4</v>
      </c>
      <c r="D147">
        <v>4</v>
      </c>
      <c r="E147">
        <v>4</v>
      </c>
      <c r="F147">
        <v>5</v>
      </c>
      <c r="G147">
        <v>4</v>
      </c>
      <c r="H147">
        <v>4</v>
      </c>
      <c r="I147">
        <v>4</v>
      </c>
      <c r="J147">
        <v>3</v>
      </c>
      <c r="K147">
        <v>4</v>
      </c>
      <c r="L147">
        <v>5</v>
      </c>
      <c r="M147">
        <v>4</v>
      </c>
      <c r="N147">
        <v>3</v>
      </c>
      <c r="O147">
        <v>5</v>
      </c>
      <c r="P147">
        <v>4</v>
      </c>
      <c r="Q147">
        <v>5</v>
      </c>
      <c r="R147">
        <v>5</v>
      </c>
      <c r="S147">
        <v>4</v>
      </c>
      <c r="T147">
        <v>5</v>
      </c>
      <c r="U147">
        <v>4</v>
      </c>
    </row>
    <row r="148" spans="1:21">
      <c r="A148">
        <v>4</v>
      </c>
      <c r="B148">
        <v>4</v>
      </c>
      <c r="C148">
        <v>3</v>
      </c>
      <c r="D148">
        <v>4</v>
      </c>
      <c r="E148">
        <v>4</v>
      </c>
      <c r="F148">
        <v>5</v>
      </c>
      <c r="G148">
        <v>4</v>
      </c>
      <c r="H148">
        <v>3</v>
      </c>
      <c r="I148">
        <v>4</v>
      </c>
      <c r="J148">
        <v>3</v>
      </c>
      <c r="K148">
        <v>5</v>
      </c>
      <c r="L148">
        <v>3</v>
      </c>
      <c r="M148">
        <v>3</v>
      </c>
      <c r="N148">
        <v>3</v>
      </c>
      <c r="O148">
        <v>3</v>
      </c>
      <c r="P148">
        <v>5</v>
      </c>
      <c r="Q148">
        <v>3</v>
      </c>
      <c r="R148">
        <v>3</v>
      </c>
      <c r="S148">
        <v>1</v>
      </c>
      <c r="T148">
        <v>2</v>
      </c>
      <c r="U148">
        <v>2</v>
      </c>
    </row>
    <row r="149" spans="1:21">
      <c r="A149">
        <v>1</v>
      </c>
      <c r="B149">
        <v>1</v>
      </c>
      <c r="C149">
        <v>3</v>
      </c>
      <c r="D149">
        <v>2</v>
      </c>
      <c r="E149">
        <v>4</v>
      </c>
      <c r="F149">
        <v>4</v>
      </c>
      <c r="G149">
        <v>2</v>
      </c>
      <c r="H149">
        <v>2</v>
      </c>
      <c r="I149">
        <v>3</v>
      </c>
      <c r="J149">
        <v>2</v>
      </c>
      <c r="K149">
        <v>3</v>
      </c>
      <c r="L149">
        <v>3</v>
      </c>
      <c r="M149">
        <v>3</v>
      </c>
      <c r="N149">
        <v>2</v>
      </c>
      <c r="O149">
        <v>3</v>
      </c>
      <c r="P149">
        <v>4</v>
      </c>
      <c r="Q149">
        <v>4</v>
      </c>
      <c r="R149">
        <v>4</v>
      </c>
      <c r="S149">
        <v>1</v>
      </c>
      <c r="T149">
        <v>2</v>
      </c>
      <c r="U149">
        <v>2</v>
      </c>
    </row>
    <row r="150" spans="1:21">
      <c r="A150">
        <v>2</v>
      </c>
      <c r="B150">
        <v>2</v>
      </c>
      <c r="C150">
        <v>2</v>
      </c>
      <c r="D150">
        <v>4</v>
      </c>
      <c r="E150">
        <v>4</v>
      </c>
      <c r="F150">
        <v>4</v>
      </c>
      <c r="G150">
        <v>2</v>
      </c>
      <c r="H150">
        <v>1</v>
      </c>
      <c r="I150">
        <v>4</v>
      </c>
      <c r="J150">
        <v>2</v>
      </c>
      <c r="K150">
        <v>4</v>
      </c>
      <c r="L150">
        <v>2</v>
      </c>
      <c r="M150">
        <v>2</v>
      </c>
      <c r="N150">
        <v>2</v>
      </c>
      <c r="O150">
        <v>4</v>
      </c>
      <c r="P150">
        <v>5</v>
      </c>
      <c r="Q150">
        <v>4</v>
      </c>
      <c r="R150">
        <v>2</v>
      </c>
      <c r="S150">
        <v>2</v>
      </c>
      <c r="T150">
        <v>2</v>
      </c>
      <c r="U150">
        <v>2</v>
      </c>
    </row>
    <row r="151" spans="1:21">
      <c r="A151">
        <v>4</v>
      </c>
      <c r="B151">
        <v>2</v>
      </c>
      <c r="C151">
        <v>4</v>
      </c>
      <c r="D151">
        <v>4</v>
      </c>
      <c r="E151">
        <v>4</v>
      </c>
      <c r="F151">
        <v>5</v>
      </c>
      <c r="G151">
        <v>4</v>
      </c>
      <c r="H151">
        <v>3</v>
      </c>
      <c r="I151">
        <v>4</v>
      </c>
      <c r="J151">
        <v>3</v>
      </c>
      <c r="K151">
        <v>4</v>
      </c>
      <c r="L151">
        <v>3</v>
      </c>
      <c r="M151">
        <v>3</v>
      </c>
      <c r="N151">
        <v>3</v>
      </c>
      <c r="O151">
        <v>4</v>
      </c>
      <c r="P151">
        <v>4</v>
      </c>
      <c r="Q151">
        <v>4</v>
      </c>
      <c r="R151">
        <v>5</v>
      </c>
      <c r="S151">
        <v>2</v>
      </c>
      <c r="T151">
        <v>3</v>
      </c>
      <c r="U151">
        <v>3</v>
      </c>
    </row>
    <row r="152" spans="1:21">
      <c r="A152">
        <v>3</v>
      </c>
      <c r="B152">
        <v>4</v>
      </c>
      <c r="C152">
        <v>3</v>
      </c>
      <c r="D152">
        <v>2</v>
      </c>
      <c r="E152">
        <v>4</v>
      </c>
      <c r="F152">
        <v>5</v>
      </c>
      <c r="G152">
        <v>4</v>
      </c>
      <c r="H152">
        <v>4</v>
      </c>
      <c r="I152">
        <v>5</v>
      </c>
      <c r="J152">
        <v>5</v>
      </c>
      <c r="K152">
        <v>3</v>
      </c>
      <c r="L152">
        <v>4</v>
      </c>
      <c r="M152">
        <v>5</v>
      </c>
      <c r="N152">
        <v>5</v>
      </c>
      <c r="O152">
        <v>3</v>
      </c>
      <c r="P152">
        <v>3</v>
      </c>
      <c r="Q152">
        <v>3</v>
      </c>
      <c r="R152">
        <v>3</v>
      </c>
      <c r="S152">
        <v>5</v>
      </c>
      <c r="T152">
        <v>5</v>
      </c>
      <c r="U152">
        <v>5</v>
      </c>
    </row>
    <row r="153" spans="1:21">
      <c r="A153">
        <v>4</v>
      </c>
      <c r="B153">
        <v>3</v>
      </c>
      <c r="C153">
        <v>3</v>
      </c>
      <c r="D153">
        <v>5</v>
      </c>
      <c r="E153">
        <v>5</v>
      </c>
      <c r="F153">
        <v>5</v>
      </c>
      <c r="G153">
        <v>4</v>
      </c>
      <c r="H153">
        <v>4</v>
      </c>
      <c r="I153">
        <v>4</v>
      </c>
      <c r="J153">
        <v>2</v>
      </c>
      <c r="K153">
        <v>5</v>
      </c>
      <c r="L153">
        <v>4</v>
      </c>
      <c r="M153">
        <v>4</v>
      </c>
      <c r="N153">
        <v>3</v>
      </c>
      <c r="O153">
        <v>3</v>
      </c>
      <c r="P153">
        <v>4</v>
      </c>
      <c r="Q153">
        <v>4</v>
      </c>
      <c r="R153">
        <v>4</v>
      </c>
      <c r="S153">
        <v>1</v>
      </c>
      <c r="T153">
        <v>2</v>
      </c>
      <c r="U153">
        <v>2</v>
      </c>
    </row>
    <row r="154" spans="1:21">
      <c r="A154">
        <v>3</v>
      </c>
      <c r="B154">
        <v>2</v>
      </c>
      <c r="C154">
        <v>4</v>
      </c>
      <c r="D154">
        <v>5</v>
      </c>
      <c r="E154">
        <v>5</v>
      </c>
      <c r="F154">
        <v>5</v>
      </c>
      <c r="G154">
        <v>2</v>
      </c>
      <c r="H154">
        <v>4</v>
      </c>
      <c r="I154">
        <v>4</v>
      </c>
      <c r="J154">
        <v>5</v>
      </c>
      <c r="K154">
        <v>4</v>
      </c>
      <c r="L154">
        <v>3</v>
      </c>
      <c r="M154">
        <v>5</v>
      </c>
      <c r="N154">
        <v>5</v>
      </c>
      <c r="O154">
        <v>5</v>
      </c>
      <c r="P154">
        <v>5</v>
      </c>
      <c r="Q154">
        <v>5</v>
      </c>
      <c r="R154">
        <v>4</v>
      </c>
      <c r="S154">
        <v>4</v>
      </c>
      <c r="T154">
        <v>4</v>
      </c>
      <c r="U154">
        <v>4</v>
      </c>
    </row>
    <row r="155" spans="1:21">
      <c r="A155">
        <v>1</v>
      </c>
      <c r="B155">
        <v>1</v>
      </c>
      <c r="C155">
        <v>2</v>
      </c>
      <c r="D155">
        <v>2</v>
      </c>
      <c r="E155">
        <v>3</v>
      </c>
      <c r="F155">
        <v>2</v>
      </c>
      <c r="G155">
        <v>2</v>
      </c>
      <c r="H155">
        <v>1</v>
      </c>
      <c r="I155">
        <v>2</v>
      </c>
      <c r="J155">
        <v>2</v>
      </c>
      <c r="K155">
        <v>2</v>
      </c>
      <c r="L155">
        <v>1</v>
      </c>
      <c r="M155">
        <v>2</v>
      </c>
      <c r="N155">
        <v>2</v>
      </c>
      <c r="O155">
        <v>3</v>
      </c>
      <c r="P155">
        <v>5</v>
      </c>
      <c r="Q155">
        <v>4</v>
      </c>
      <c r="R155">
        <v>4</v>
      </c>
      <c r="S155">
        <v>1</v>
      </c>
      <c r="T155">
        <v>2</v>
      </c>
      <c r="U155">
        <v>2</v>
      </c>
    </row>
    <row r="156" spans="1:21">
      <c r="A156">
        <v>2</v>
      </c>
      <c r="B156">
        <v>1</v>
      </c>
      <c r="C156">
        <v>3</v>
      </c>
      <c r="D156">
        <v>4</v>
      </c>
      <c r="E156">
        <v>3</v>
      </c>
      <c r="F156">
        <v>3</v>
      </c>
      <c r="G156">
        <v>3</v>
      </c>
      <c r="H156">
        <v>4</v>
      </c>
      <c r="I156">
        <v>4</v>
      </c>
      <c r="J156">
        <v>4</v>
      </c>
      <c r="K156">
        <v>4</v>
      </c>
      <c r="L156">
        <v>3</v>
      </c>
      <c r="M156">
        <v>5</v>
      </c>
      <c r="N156">
        <v>4</v>
      </c>
      <c r="O156">
        <v>3</v>
      </c>
      <c r="P156">
        <v>4</v>
      </c>
      <c r="Q156">
        <v>4</v>
      </c>
      <c r="R156">
        <v>4</v>
      </c>
      <c r="S156">
        <v>4</v>
      </c>
      <c r="T156">
        <v>4</v>
      </c>
      <c r="U156">
        <v>4</v>
      </c>
    </row>
    <row r="157" spans="1:21">
      <c r="A157">
        <v>1</v>
      </c>
      <c r="B157">
        <v>1</v>
      </c>
      <c r="C157">
        <v>1</v>
      </c>
      <c r="D157">
        <v>2</v>
      </c>
      <c r="E157">
        <v>2</v>
      </c>
      <c r="F157">
        <v>2</v>
      </c>
      <c r="G157">
        <v>1</v>
      </c>
      <c r="H157">
        <v>4</v>
      </c>
      <c r="I157">
        <v>3</v>
      </c>
      <c r="J157">
        <v>1</v>
      </c>
      <c r="K157">
        <v>4</v>
      </c>
      <c r="L157">
        <v>1</v>
      </c>
      <c r="M157">
        <v>4</v>
      </c>
      <c r="N157">
        <v>1</v>
      </c>
      <c r="O157">
        <v>3</v>
      </c>
      <c r="P157">
        <v>4</v>
      </c>
      <c r="Q157">
        <v>4</v>
      </c>
      <c r="R157">
        <v>4</v>
      </c>
      <c r="S157">
        <v>2</v>
      </c>
      <c r="T157">
        <v>1</v>
      </c>
      <c r="U157">
        <v>2</v>
      </c>
    </row>
    <row r="158" spans="1:21">
      <c r="A158">
        <v>3</v>
      </c>
      <c r="B158">
        <v>3</v>
      </c>
      <c r="C158">
        <v>4</v>
      </c>
      <c r="D158">
        <v>2</v>
      </c>
      <c r="E158">
        <v>3</v>
      </c>
      <c r="F158">
        <v>2</v>
      </c>
      <c r="G158">
        <v>4</v>
      </c>
      <c r="H158">
        <v>4</v>
      </c>
      <c r="I158">
        <v>4</v>
      </c>
      <c r="J158">
        <v>2</v>
      </c>
      <c r="K158">
        <v>3</v>
      </c>
      <c r="L158">
        <v>4</v>
      </c>
      <c r="M158">
        <v>4</v>
      </c>
      <c r="N158">
        <v>4</v>
      </c>
      <c r="O158">
        <v>2</v>
      </c>
      <c r="P158">
        <v>4</v>
      </c>
      <c r="Q158">
        <v>2</v>
      </c>
      <c r="R158">
        <v>4</v>
      </c>
      <c r="S158">
        <v>1</v>
      </c>
      <c r="T158">
        <v>3</v>
      </c>
      <c r="U158">
        <v>3</v>
      </c>
    </row>
    <row r="159" spans="1:21">
      <c r="A159">
        <v>4</v>
      </c>
      <c r="B159">
        <v>2</v>
      </c>
      <c r="C159">
        <v>4</v>
      </c>
      <c r="D159">
        <v>2</v>
      </c>
      <c r="E159">
        <v>4</v>
      </c>
      <c r="F159">
        <v>3</v>
      </c>
      <c r="G159">
        <v>5</v>
      </c>
      <c r="H159">
        <v>3</v>
      </c>
      <c r="I159">
        <v>4</v>
      </c>
      <c r="J159">
        <v>3</v>
      </c>
      <c r="K159">
        <v>4</v>
      </c>
      <c r="L159">
        <v>3</v>
      </c>
      <c r="M159">
        <v>4</v>
      </c>
      <c r="N159">
        <v>4</v>
      </c>
      <c r="O159">
        <v>4</v>
      </c>
      <c r="P159">
        <v>4</v>
      </c>
      <c r="Q159">
        <v>5</v>
      </c>
      <c r="R159">
        <v>4</v>
      </c>
      <c r="S159">
        <v>4</v>
      </c>
      <c r="T159">
        <v>4</v>
      </c>
      <c r="U159">
        <v>4</v>
      </c>
    </row>
    <row r="160" spans="1:21">
      <c r="A160">
        <v>3</v>
      </c>
      <c r="B160">
        <v>3</v>
      </c>
      <c r="C160">
        <v>4</v>
      </c>
      <c r="D160">
        <v>5</v>
      </c>
      <c r="E160">
        <v>4</v>
      </c>
      <c r="F160">
        <v>4</v>
      </c>
      <c r="G160">
        <v>4</v>
      </c>
      <c r="H160">
        <v>2</v>
      </c>
      <c r="I160">
        <v>4</v>
      </c>
      <c r="J160">
        <v>3</v>
      </c>
      <c r="K160">
        <v>3</v>
      </c>
      <c r="L160">
        <v>2</v>
      </c>
      <c r="M160">
        <v>3</v>
      </c>
      <c r="N160">
        <v>2</v>
      </c>
      <c r="O160">
        <v>4</v>
      </c>
      <c r="P160">
        <v>4</v>
      </c>
      <c r="Q160">
        <v>5</v>
      </c>
      <c r="R160">
        <v>4</v>
      </c>
      <c r="S160">
        <v>2</v>
      </c>
      <c r="T160">
        <v>2</v>
      </c>
      <c r="U160">
        <v>2</v>
      </c>
    </row>
    <row r="161" spans="1:21">
      <c r="A161">
        <v>3</v>
      </c>
      <c r="B161">
        <v>3</v>
      </c>
      <c r="C161">
        <v>4</v>
      </c>
      <c r="D161">
        <v>3</v>
      </c>
      <c r="E161">
        <v>2</v>
      </c>
      <c r="F161">
        <v>3</v>
      </c>
      <c r="G161">
        <v>3</v>
      </c>
      <c r="H161">
        <v>2</v>
      </c>
      <c r="I161">
        <v>3</v>
      </c>
      <c r="J161">
        <v>2</v>
      </c>
      <c r="K161">
        <v>3</v>
      </c>
      <c r="L161">
        <v>2</v>
      </c>
      <c r="M161">
        <v>2</v>
      </c>
      <c r="N161">
        <v>4</v>
      </c>
      <c r="O161">
        <v>4</v>
      </c>
      <c r="P161">
        <v>3</v>
      </c>
      <c r="Q161">
        <v>4</v>
      </c>
      <c r="R161">
        <v>2</v>
      </c>
      <c r="S161">
        <v>2</v>
      </c>
      <c r="T161">
        <v>2</v>
      </c>
      <c r="U161">
        <v>2</v>
      </c>
    </row>
    <row r="162" spans="1:21">
      <c r="A162">
        <v>3</v>
      </c>
      <c r="B162">
        <v>2</v>
      </c>
      <c r="C162">
        <v>2</v>
      </c>
      <c r="D162">
        <v>4</v>
      </c>
      <c r="E162">
        <v>3</v>
      </c>
      <c r="F162">
        <v>3</v>
      </c>
      <c r="G162">
        <v>3</v>
      </c>
      <c r="H162">
        <v>2</v>
      </c>
      <c r="I162">
        <v>4</v>
      </c>
      <c r="J162">
        <v>3</v>
      </c>
      <c r="K162">
        <v>4</v>
      </c>
      <c r="L162">
        <v>3</v>
      </c>
      <c r="M162">
        <v>3</v>
      </c>
      <c r="N162">
        <v>2</v>
      </c>
      <c r="O162">
        <v>4</v>
      </c>
      <c r="P162">
        <v>4</v>
      </c>
      <c r="Q162">
        <v>5</v>
      </c>
      <c r="R162">
        <v>4</v>
      </c>
      <c r="S162">
        <v>3</v>
      </c>
      <c r="T162">
        <v>3</v>
      </c>
      <c r="U162">
        <v>3</v>
      </c>
    </row>
    <row r="163" spans="1:21">
      <c r="A163">
        <v>2</v>
      </c>
      <c r="B163">
        <v>2</v>
      </c>
      <c r="C163">
        <v>4</v>
      </c>
      <c r="D163">
        <v>5</v>
      </c>
      <c r="E163">
        <v>5</v>
      </c>
      <c r="F163">
        <v>5</v>
      </c>
      <c r="G163">
        <v>4</v>
      </c>
      <c r="H163">
        <v>4</v>
      </c>
      <c r="I163">
        <v>4</v>
      </c>
      <c r="J163">
        <v>3</v>
      </c>
      <c r="K163">
        <v>5</v>
      </c>
      <c r="L163">
        <v>2</v>
      </c>
      <c r="M163">
        <v>5</v>
      </c>
      <c r="N163">
        <v>5</v>
      </c>
      <c r="O163">
        <v>4</v>
      </c>
      <c r="P163">
        <v>5</v>
      </c>
      <c r="Q163">
        <v>4</v>
      </c>
      <c r="R163">
        <v>4</v>
      </c>
      <c r="S163">
        <v>2</v>
      </c>
      <c r="T163">
        <v>5</v>
      </c>
      <c r="U163">
        <v>5</v>
      </c>
    </row>
    <row r="164" spans="1:21">
      <c r="A164">
        <v>3</v>
      </c>
      <c r="B164">
        <v>3</v>
      </c>
      <c r="C164">
        <v>4</v>
      </c>
      <c r="D164">
        <v>5</v>
      </c>
      <c r="E164">
        <v>3</v>
      </c>
      <c r="F164">
        <v>4</v>
      </c>
      <c r="G164">
        <v>4</v>
      </c>
      <c r="H164">
        <v>4</v>
      </c>
      <c r="I164">
        <v>4</v>
      </c>
      <c r="J164">
        <v>3</v>
      </c>
      <c r="K164">
        <v>5</v>
      </c>
      <c r="L164">
        <v>4</v>
      </c>
      <c r="M164">
        <v>5</v>
      </c>
      <c r="N164">
        <v>3</v>
      </c>
      <c r="O164">
        <v>4</v>
      </c>
      <c r="P164">
        <v>4</v>
      </c>
      <c r="Q164">
        <v>5</v>
      </c>
      <c r="R164">
        <v>4</v>
      </c>
      <c r="S164">
        <v>4</v>
      </c>
      <c r="T164">
        <v>2</v>
      </c>
      <c r="U164">
        <v>2</v>
      </c>
    </row>
    <row r="165" spans="1:21">
      <c r="A165">
        <v>4</v>
      </c>
      <c r="B165">
        <v>2</v>
      </c>
      <c r="C165">
        <v>4</v>
      </c>
      <c r="D165">
        <v>4</v>
      </c>
      <c r="E165">
        <v>4</v>
      </c>
      <c r="F165">
        <v>4</v>
      </c>
      <c r="G165">
        <v>4</v>
      </c>
      <c r="H165">
        <v>2</v>
      </c>
      <c r="I165">
        <v>4</v>
      </c>
      <c r="J165">
        <v>4</v>
      </c>
      <c r="K165">
        <v>4</v>
      </c>
      <c r="L165">
        <v>4</v>
      </c>
      <c r="M165">
        <v>4</v>
      </c>
      <c r="N165">
        <v>3</v>
      </c>
      <c r="O165">
        <v>2</v>
      </c>
      <c r="P165">
        <v>4</v>
      </c>
      <c r="Q165">
        <v>4</v>
      </c>
      <c r="R165">
        <v>4</v>
      </c>
      <c r="S165">
        <v>2</v>
      </c>
      <c r="T165">
        <v>2</v>
      </c>
      <c r="U165">
        <v>2</v>
      </c>
    </row>
    <row r="166" spans="1:21">
      <c r="A166">
        <v>4</v>
      </c>
      <c r="B166">
        <v>4</v>
      </c>
      <c r="C166">
        <v>3</v>
      </c>
      <c r="D166">
        <v>5</v>
      </c>
      <c r="E166">
        <v>5</v>
      </c>
      <c r="F166">
        <v>4</v>
      </c>
      <c r="G166">
        <v>4</v>
      </c>
      <c r="H166">
        <v>4</v>
      </c>
      <c r="I166">
        <v>4</v>
      </c>
      <c r="J166">
        <v>4</v>
      </c>
      <c r="K166">
        <v>4</v>
      </c>
      <c r="L166">
        <v>3</v>
      </c>
      <c r="M166">
        <v>4</v>
      </c>
      <c r="N166">
        <v>4</v>
      </c>
      <c r="O166">
        <v>3</v>
      </c>
      <c r="P166">
        <v>3</v>
      </c>
      <c r="Q166">
        <v>3</v>
      </c>
      <c r="R166">
        <v>4</v>
      </c>
      <c r="S166">
        <v>3</v>
      </c>
      <c r="T166">
        <v>3</v>
      </c>
      <c r="U166">
        <v>3</v>
      </c>
    </row>
    <row r="167" spans="1:21">
      <c r="A167">
        <v>3</v>
      </c>
      <c r="B167">
        <v>2</v>
      </c>
      <c r="C167">
        <v>1</v>
      </c>
      <c r="D167">
        <v>3</v>
      </c>
      <c r="E167">
        <v>4</v>
      </c>
      <c r="F167">
        <v>4</v>
      </c>
      <c r="G167">
        <v>1</v>
      </c>
      <c r="H167">
        <v>1</v>
      </c>
      <c r="I167">
        <v>3</v>
      </c>
      <c r="J167">
        <v>3</v>
      </c>
      <c r="K167">
        <v>2</v>
      </c>
      <c r="L167">
        <v>2</v>
      </c>
      <c r="M167">
        <v>3</v>
      </c>
      <c r="N167">
        <v>2</v>
      </c>
      <c r="O167">
        <v>4</v>
      </c>
      <c r="P167">
        <v>5</v>
      </c>
      <c r="Q167">
        <v>4</v>
      </c>
      <c r="R167">
        <v>5</v>
      </c>
      <c r="S167">
        <v>2</v>
      </c>
      <c r="T167">
        <v>2</v>
      </c>
      <c r="U167">
        <v>2</v>
      </c>
    </row>
    <row r="168" spans="1:21">
      <c r="A168">
        <v>3</v>
      </c>
      <c r="B168">
        <v>2</v>
      </c>
      <c r="C168">
        <v>4</v>
      </c>
      <c r="D168">
        <v>3</v>
      </c>
      <c r="E168">
        <v>4</v>
      </c>
      <c r="F168">
        <v>4</v>
      </c>
      <c r="G168">
        <v>5</v>
      </c>
      <c r="H168">
        <v>4</v>
      </c>
      <c r="I168">
        <v>4</v>
      </c>
      <c r="J168">
        <v>3</v>
      </c>
      <c r="K168">
        <v>4</v>
      </c>
      <c r="L168">
        <v>3</v>
      </c>
      <c r="M168">
        <v>5</v>
      </c>
      <c r="N168">
        <v>4</v>
      </c>
      <c r="O168">
        <v>2</v>
      </c>
      <c r="P168">
        <v>3</v>
      </c>
      <c r="Q168">
        <v>4</v>
      </c>
      <c r="R168">
        <v>3</v>
      </c>
      <c r="S168">
        <v>4</v>
      </c>
      <c r="T168">
        <v>4</v>
      </c>
      <c r="U168">
        <v>4</v>
      </c>
    </row>
    <row r="169" spans="1:21">
      <c r="A169">
        <v>4</v>
      </c>
      <c r="B169">
        <v>2</v>
      </c>
      <c r="C169">
        <v>2</v>
      </c>
      <c r="D169">
        <v>2</v>
      </c>
      <c r="E169">
        <v>2</v>
      </c>
      <c r="F169">
        <v>2</v>
      </c>
      <c r="G169">
        <v>4</v>
      </c>
      <c r="H169">
        <v>3</v>
      </c>
      <c r="I169">
        <v>4</v>
      </c>
      <c r="J169">
        <v>3</v>
      </c>
      <c r="K169">
        <v>4</v>
      </c>
      <c r="L169">
        <v>3</v>
      </c>
      <c r="M169">
        <v>4</v>
      </c>
      <c r="N169">
        <v>2</v>
      </c>
      <c r="O169">
        <v>2</v>
      </c>
      <c r="P169">
        <v>3</v>
      </c>
      <c r="Q169">
        <v>4</v>
      </c>
      <c r="R169">
        <v>2</v>
      </c>
      <c r="S169">
        <v>1</v>
      </c>
      <c r="T169">
        <v>2</v>
      </c>
      <c r="U169">
        <v>2</v>
      </c>
    </row>
    <row r="170" spans="1:21">
      <c r="A170">
        <v>3</v>
      </c>
      <c r="B170">
        <v>4</v>
      </c>
      <c r="C170">
        <v>4</v>
      </c>
      <c r="D170">
        <v>4</v>
      </c>
      <c r="E170">
        <v>4</v>
      </c>
      <c r="F170">
        <v>4</v>
      </c>
      <c r="G170">
        <v>4</v>
      </c>
      <c r="H170">
        <v>2</v>
      </c>
      <c r="I170">
        <v>3</v>
      </c>
      <c r="J170">
        <v>3</v>
      </c>
      <c r="K170">
        <v>4</v>
      </c>
      <c r="L170">
        <v>3</v>
      </c>
      <c r="M170">
        <v>3</v>
      </c>
      <c r="N170">
        <v>2</v>
      </c>
      <c r="O170">
        <v>3</v>
      </c>
      <c r="P170">
        <v>4</v>
      </c>
      <c r="Q170">
        <v>3</v>
      </c>
      <c r="R170">
        <v>5</v>
      </c>
      <c r="S170">
        <v>2</v>
      </c>
      <c r="T170">
        <v>2</v>
      </c>
      <c r="U170">
        <v>2</v>
      </c>
    </row>
    <row r="171" spans="1:21">
      <c r="A171">
        <v>4</v>
      </c>
      <c r="B171">
        <v>3</v>
      </c>
      <c r="C171">
        <v>4</v>
      </c>
      <c r="D171">
        <v>4</v>
      </c>
      <c r="E171">
        <v>4</v>
      </c>
      <c r="F171">
        <v>3</v>
      </c>
      <c r="G171">
        <v>4</v>
      </c>
      <c r="H171">
        <v>4</v>
      </c>
      <c r="I171">
        <v>3</v>
      </c>
      <c r="J171">
        <v>2</v>
      </c>
      <c r="K171">
        <v>4</v>
      </c>
      <c r="L171">
        <v>3</v>
      </c>
      <c r="M171">
        <v>5</v>
      </c>
      <c r="N171">
        <v>3</v>
      </c>
      <c r="O171">
        <v>3</v>
      </c>
      <c r="P171">
        <v>4</v>
      </c>
      <c r="Q171">
        <v>4</v>
      </c>
      <c r="R171">
        <v>4</v>
      </c>
      <c r="S171">
        <v>3</v>
      </c>
      <c r="T171">
        <v>3</v>
      </c>
      <c r="U171">
        <v>3</v>
      </c>
    </row>
    <row r="172" spans="1:21">
      <c r="A172">
        <v>4</v>
      </c>
      <c r="B172">
        <v>2</v>
      </c>
      <c r="C172">
        <v>5</v>
      </c>
      <c r="D172">
        <v>5</v>
      </c>
      <c r="E172">
        <v>5</v>
      </c>
      <c r="F172">
        <v>5</v>
      </c>
      <c r="G172">
        <v>4</v>
      </c>
      <c r="H172">
        <v>4</v>
      </c>
      <c r="I172">
        <v>4</v>
      </c>
      <c r="J172">
        <v>1</v>
      </c>
      <c r="K172">
        <v>3</v>
      </c>
      <c r="L172">
        <v>2</v>
      </c>
      <c r="M172">
        <v>2</v>
      </c>
      <c r="N172">
        <v>2</v>
      </c>
      <c r="O172">
        <v>4</v>
      </c>
      <c r="P172">
        <v>5</v>
      </c>
      <c r="Q172">
        <v>4</v>
      </c>
      <c r="R172">
        <v>5</v>
      </c>
      <c r="S172">
        <v>1</v>
      </c>
      <c r="T172">
        <v>2</v>
      </c>
      <c r="U172">
        <v>2</v>
      </c>
    </row>
    <row r="173" spans="1:21">
      <c r="A173">
        <v>2</v>
      </c>
      <c r="B173">
        <v>3</v>
      </c>
      <c r="C173">
        <v>1</v>
      </c>
      <c r="D173">
        <v>1</v>
      </c>
      <c r="E173">
        <v>1</v>
      </c>
      <c r="F173">
        <v>1</v>
      </c>
      <c r="G173">
        <v>1</v>
      </c>
      <c r="H173">
        <v>1</v>
      </c>
      <c r="I173">
        <v>1</v>
      </c>
      <c r="J173">
        <v>1</v>
      </c>
      <c r="K173">
        <v>2</v>
      </c>
      <c r="L173">
        <v>2</v>
      </c>
      <c r="M173">
        <v>2</v>
      </c>
      <c r="N173">
        <v>2</v>
      </c>
      <c r="O173">
        <v>2</v>
      </c>
      <c r="P173">
        <v>4</v>
      </c>
      <c r="Q173">
        <v>3</v>
      </c>
      <c r="R173">
        <v>1</v>
      </c>
      <c r="S173">
        <v>1</v>
      </c>
      <c r="T173">
        <v>1</v>
      </c>
      <c r="U173">
        <v>1</v>
      </c>
    </row>
    <row r="174" spans="1:21">
      <c r="A174">
        <v>2</v>
      </c>
      <c r="B174">
        <v>2</v>
      </c>
      <c r="C174">
        <v>2</v>
      </c>
      <c r="D174">
        <v>3</v>
      </c>
      <c r="E174">
        <v>4</v>
      </c>
      <c r="F174">
        <v>4</v>
      </c>
      <c r="G174">
        <v>4</v>
      </c>
      <c r="H174">
        <v>2</v>
      </c>
      <c r="I174">
        <v>2</v>
      </c>
      <c r="J174">
        <v>3</v>
      </c>
      <c r="K174">
        <v>4</v>
      </c>
      <c r="L174">
        <v>2</v>
      </c>
      <c r="M174">
        <v>4</v>
      </c>
      <c r="N174">
        <v>3</v>
      </c>
      <c r="O174">
        <v>4</v>
      </c>
      <c r="P174">
        <v>3</v>
      </c>
      <c r="Q174">
        <v>4</v>
      </c>
      <c r="R174">
        <v>1</v>
      </c>
      <c r="S174">
        <v>1</v>
      </c>
      <c r="T174">
        <v>2</v>
      </c>
      <c r="U174">
        <v>2</v>
      </c>
    </row>
    <row r="175" spans="1:21">
      <c r="A175">
        <v>4</v>
      </c>
      <c r="B175">
        <v>2</v>
      </c>
      <c r="C175">
        <v>2</v>
      </c>
      <c r="D175">
        <v>4</v>
      </c>
      <c r="E175">
        <v>4</v>
      </c>
      <c r="F175">
        <v>3</v>
      </c>
      <c r="G175">
        <v>3</v>
      </c>
      <c r="H175">
        <v>4</v>
      </c>
      <c r="I175">
        <v>4</v>
      </c>
      <c r="J175">
        <v>3</v>
      </c>
      <c r="K175">
        <v>4</v>
      </c>
      <c r="L175">
        <v>3</v>
      </c>
      <c r="M175">
        <v>5</v>
      </c>
      <c r="N175">
        <v>4</v>
      </c>
      <c r="O175">
        <v>5</v>
      </c>
      <c r="P175">
        <v>4</v>
      </c>
      <c r="Q175">
        <v>5</v>
      </c>
      <c r="R175">
        <v>5</v>
      </c>
      <c r="S175">
        <v>4</v>
      </c>
      <c r="T175">
        <v>5</v>
      </c>
      <c r="U175">
        <v>4</v>
      </c>
    </row>
    <row r="176" spans="1:21">
      <c r="A176">
        <v>4</v>
      </c>
      <c r="B176">
        <v>2</v>
      </c>
      <c r="C176">
        <v>4</v>
      </c>
      <c r="D176">
        <v>5</v>
      </c>
      <c r="E176">
        <v>5</v>
      </c>
      <c r="F176">
        <v>5</v>
      </c>
      <c r="G176">
        <v>4</v>
      </c>
      <c r="H176">
        <v>5</v>
      </c>
      <c r="I176">
        <v>5</v>
      </c>
      <c r="J176">
        <v>5</v>
      </c>
      <c r="K176">
        <v>4</v>
      </c>
      <c r="L176">
        <v>4</v>
      </c>
      <c r="M176">
        <v>5</v>
      </c>
      <c r="N176">
        <v>3</v>
      </c>
      <c r="O176">
        <v>5</v>
      </c>
      <c r="P176">
        <v>5</v>
      </c>
      <c r="Q176">
        <v>5</v>
      </c>
      <c r="R176">
        <v>2</v>
      </c>
      <c r="S176">
        <v>4</v>
      </c>
      <c r="T176">
        <v>5</v>
      </c>
      <c r="U176">
        <v>4</v>
      </c>
    </row>
    <row r="177" spans="1:21">
      <c r="A177">
        <v>3</v>
      </c>
      <c r="B177">
        <v>3</v>
      </c>
      <c r="C177">
        <v>4</v>
      </c>
      <c r="D177">
        <v>4</v>
      </c>
      <c r="E177">
        <v>3</v>
      </c>
      <c r="F177">
        <v>4</v>
      </c>
      <c r="G177">
        <v>4</v>
      </c>
      <c r="H177">
        <v>4</v>
      </c>
      <c r="I177">
        <v>3</v>
      </c>
      <c r="J177">
        <v>3</v>
      </c>
      <c r="K177">
        <v>4</v>
      </c>
      <c r="L177">
        <v>3</v>
      </c>
      <c r="M177">
        <v>4</v>
      </c>
      <c r="N177">
        <v>4</v>
      </c>
      <c r="O177">
        <v>3</v>
      </c>
      <c r="P177">
        <v>4</v>
      </c>
      <c r="Q177">
        <v>5</v>
      </c>
      <c r="R177">
        <v>4</v>
      </c>
      <c r="S177">
        <v>5</v>
      </c>
      <c r="T177">
        <v>4</v>
      </c>
      <c r="U177">
        <v>5</v>
      </c>
    </row>
    <row r="178" spans="1:21">
      <c r="A178">
        <v>4</v>
      </c>
      <c r="B178">
        <v>2</v>
      </c>
      <c r="C178">
        <v>4</v>
      </c>
      <c r="D178">
        <v>4</v>
      </c>
      <c r="E178">
        <v>4</v>
      </c>
      <c r="F178">
        <v>4</v>
      </c>
      <c r="G178">
        <v>4</v>
      </c>
      <c r="H178">
        <v>4</v>
      </c>
      <c r="I178">
        <v>4</v>
      </c>
      <c r="J178">
        <v>3</v>
      </c>
      <c r="K178">
        <v>4</v>
      </c>
      <c r="L178">
        <v>4</v>
      </c>
      <c r="M178">
        <v>4</v>
      </c>
      <c r="N178">
        <v>4</v>
      </c>
      <c r="O178">
        <v>4</v>
      </c>
      <c r="P178">
        <v>4</v>
      </c>
      <c r="Q178">
        <v>4</v>
      </c>
      <c r="R178">
        <v>3</v>
      </c>
      <c r="S178">
        <v>5</v>
      </c>
      <c r="T178">
        <v>4</v>
      </c>
      <c r="U178">
        <v>5</v>
      </c>
    </row>
    <row r="179" spans="1:21">
      <c r="A179">
        <v>4</v>
      </c>
      <c r="B179">
        <v>3</v>
      </c>
      <c r="C179">
        <v>4</v>
      </c>
      <c r="D179">
        <v>5</v>
      </c>
      <c r="E179">
        <v>4</v>
      </c>
      <c r="F179">
        <v>3</v>
      </c>
      <c r="G179">
        <v>4</v>
      </c>
      <c r="H179">
        <v>4</v>
      </c>
      <c r="I179">
        <v>4</v>
      </c>
      <c r="J179">
        <v>4</v>
      </c>
      <c r="K179">
        <v>3</v>
      </c>
      <c r="L179">
        <v>3</v>
      </c>
      <c r="M179">
        <v>4</v>
      </c>
      <c r="N179">
        <v>4</v>
      </c>
      <c r="O179">
        <v>4</v>
      </c>
      <c r="P179">
        <v>4</v>
      </c>
      <c r="Q179">
        <v>4</v>
      </c>
      <c r="R179">
        <v>4</v>
      </c>
      <c r="S179">
        <v>2</v>
      </c>
      <c r="T179">
        <v>2</v>
      </c>
      <c r="U179">
        <v>2</v>
      </c>
    </row>
    <row r="180" spans="1:21">
      <c r="A180">
        <v>4</v>
      </c>
      <c r="B180">
        <v>4</v>
      </c>
      <c r="C180">
        <v>4</v>
      </c>
      <c r="D180">
        <v>5</v>
      </c>
      <c r="E180">
        <v>4</v>
      </c>
      <c r="F180">
        <v>4</v>
      </c>
      <c r="G180">
        <v>4</v>
      </c>
      <c r="H180">
        <v>2</v>
      </c>
      <c r="I180">
        <v>5</v>
      </c>
      <c r="J180">
        <v>2</v>
      </c>
      <c r="K180">
        <v>4</v>
      </c>
      <c r="L180">
        <v>3</v>
      </c>
      <c r="M180">
        <v>3</v>
      </c>
      <c r="N180">
        <v>3</v>
      </c>
      <c r="O180">
        <v>4</v>
      </c>
      <c r="P180">
        <v>4</v>
      </c>
      <c r="Q180">
        <v>5</v>
      </c>
      <c r="R180">
        <v>2</v>
      </c>
      <c r="S180">
        <v>2</v>
      </c>
      <c r="T180">
        <v>2</v>
      </c>
      <c r="U180">
        <v>2</v>
      </c>
    </row>
    <row r="181" spans="1:21">
      <c r="A181">
        <v>2</v>
      </c>
      <c r="B181">
        <v>2</v>
      </c>
      <c r="C181">
        <v>2</v>
      </c>
      <c r="D181">
        <v>2</v>
      </c>
      <c r="E181">
        <v>3</v>
      </c>
      <c r="F181">
        <v>2</v>
      </c>
      <c r="G181">
        <v>3</v>
      </c>
      <c r="H181">
        <v>2</v>
      </c>
      <c r="I181">
        <v>2</v>
      </c>
      <c r="J181">
        <v>2</v>
      </c>
      <c r="K181">
        <v>4</v>
      </c>
      <c r="L181">
        <v>1</v>
      </c>
      <c r="M181">
        <v>2</v>
      </c>
      <c r="N181">
        <v>2</v>
      </c>
      <c r="O181">
        <v>2</v>
      </c>
      <c r="P181">
        <v>2</v>
      </c>
      <c r="Q181">
        <v>3</v>
      </c>
      <c r="R181">
        <v>4</v>
      </c>
      <c r="S181">
        <v>3</v>
      </c>
      <c r="T181">
        <v>2</v>
      </c>
      <c r="U181">
        <v>2</v>
      </c>
    </row>
    <row r="182" spans="1:21">
      <c r="A182">
        <v>4</v>
      </c>
      <c r="B182">
        <v>2</v>
      </c>
      <c r="C182">
        <v>5</v>
      </c>
      <c r="D182">
        <v>5</v>
      </c>
      <c r="E182">
        <v>5</v>
      </c>
      <c r="F182">
        <v>5</v>
      </c>
      <c r="G182">
        <v>4</v>
      </c>
      <c r="H182">
        <v>4</v>
      </c>
      <c r="I182">
        <v>5</v>
      </c>
      <c r="J182">
        <v>5</v>
      </c>
      <c r="K182">
        <v>4</v>
      </c>
      <c r="L182">
        <v>4</v>
      </c>
      <c r="M182">
        <v>4</v>
      </c>
      <c r="N182">
        <v>4</v>
      </c>
      <c r="O182">
        <v>4</v>
      </c>
      <c r="P182">
        <v>5</v>
      </c>
      <c r="Q182">
        <v>5</v>
      </c>
      <c r="R182">
        <v>4</v>
      </c>
      <c r="S182">
        <v>5</v>
      </c>
      <c r="T182">
        <v>4</v>
      </c>
      <c r="U182">
        <v>5</v>
      </c>
    </row>
    <row r="183" spans="1:21">
      <c r="A183">
        <v>2</v>
      </c>
      <c r="B183">
        <v>2</v>
      </c>
      <c r="C183">
        <v>2</v>
      </c>
      <c r="D183">
        <v>3</v>
      </c>
      <c r="E183">
        <v>4</v>
      </c>
      <c r="F183">
        <v>3</v>
      </c>
      <c r="G183">
        <v>3</v>
      </c>
      <c r="H183">
        <v>2</v>
      </c>
      <c r="I183">
        <v>2</v>
      </c>
      <c r="J183">
        <v>2</v>
      </c>
      <c r="K183">
        <v>4</v>
      </c>
      <c r="L183">
        <v>3</v>
      </c>
      <c r="M183">
        <v>3</v>
      </c>
      <c r="N183">
        <v>3</v>
      </c>
      <c r="O183">
        <v>3</v>
      </c>
      <c r="P183">
        <v>3</v>
      </c>
      <c r="Q183">
        <v>4</v>
      </c>
      <c r="R183">
        <v>4</v>
      </c>
      <c r="S183">
        <v>3</v>
      </c>
      <c r="T183">
        <v>2</v>
      </c>
      <c r="U183">
        <v>2</v>
      </c>
    </row>
    <row r="184" spans="1:21">
      <c r="A184">
        <v>5</v>
      </c>
      <c r="B184">
        <v>3</v>
      </c>
      <c r="C184">
        <v>4</v>
      </c>
      <c r="D184">
        <v>3</v>
      </c>
      <c r="E184">
        <v>5</v>
      </c>
      <c r="F184">
        <v>4</v>
      </c>
      <c r="G184">
        <v>4</v>
      </c>
      <c r="H184">
        <v>4</v>
      </c>
      <c r="I184">
        <v>5</v>
      </c>
      <c r="J184">
        <v>4</v>
      </c>
      <c r="K184">
        <v>5</v>
      </c>
      <c r="L184">
        <v>4</v>
      </c>
      <c r="M184">
        <v>4</v>
      </c>
      <c r="N184">
        <v>4</v>
      </c>
      <c r="O184">
        <v>3</v>
      </c>
      <c r="P184">
        <v>4</v>
      </c>
      <c r="Q184">
        <v>3</v>
      </c>
      <c r="R184">
        <v>4</v>
      </c>
      <c r="S184">
        <v>4</v>
      </c>
      <c r="T184">
        <v>3</v>
      </c>
      <c r="U184">
        <v>3</v>
      </c>
    </row>
    <row r="185" spans="1:21">
      <c r="A185">
        <v>4</v>
      </c>
      <c r="B185">
        <v>3</v>
      </c>
      <c r="C185">
        <v>2</v>
      </c>
      <c r="D185">
        <v>5</v>
      </c>
      <c r="E185">
        <v>5</v>
      </c>
      <c r="F185">
        <v>5</v>
      </c>
      <c r="G185">
        <v>2</v>
      </c>
      <c r="H185">
        <v>3</v>
      </c>
      <c r="I185">
        <v>3</v>
      </c>
      <c r="J185">
        <v>2</v>
      </c>
      <c r="K185">
        <v>4</v>
      </c>
      <c r="L185">
        <v>3</v>
      </c>
      <c r="M185">
        <v>4</v>
      </c>
      <c r="N185">
        <v>3</v>
      </c>
      <c r="O185">
        <v>3</v>
      </c>
      <c r="P185">
        <v>5</v>
      </c>
      <c r="Q185">
        <v>3</v>
      </c>
      <c r="R185">
        <v>3</v>
      </c>
      <c r="S185">
        <v>1</v>
      </c>
      <c r="T185">
        <v>2</v>
      </c>
      <c r="U185">
        <v>2</v>
      </c>
    </row>
    <row r="186" spans="1:21">
      <c r="A186">
        <v>4</v>
      </c>
      <c r="B186">
        <v>4</v>
      </c>
      <c r="C186">
        <v>5</v>
      </c>
      <c r="D186">
        <v>5</v>
      </c>
      <c r="E186">
        <v>5</v>
      </c>
      <c r="F186">
        <v>5</v>
      </c>
      <c r="G186">
        <v>2</v>
      </c>
      <c r="H186">
        <v>4</v>
      </c>
      <c r="I186">
        <v>5</v>
      </c>
      <c r="J186">
        <v>3</v>
      </c>
      <c r="K186">
        <v>4</v>
      </c>
      <c r="L186">
        <v>4</v>
      </c>
      <c r="M186">
        <v>5</v>
      </c>
      <c r="N186">
        <v>5</v>
      </c>
      <c r="O186">
        <v>5</v>
      </c>
      <c r="P186">
        <v>4</v>
      </c>
      <c r="Q186">
        <v>5</v>
      </c>
      <c r="R186">
        <v>2</v>
      </c>
      <c r="S186">
        <v>3</v>
      </c>
      <c r="T186">
        <v>2</v>
      </c>
      <c r="U186">
        <v>2</v>
      </c>
    </row>
    <row r="187" spans="1:21">
      <c r="A187">
        <v>3</v>
      </c>
      <c r="B187">
        <v>3</v>
      </c>
      <c r="C187">
        <v>2</v>
      </c>
      <c r="D187">
        <v>4</v>
      </c>
      <c r="E187">
        <v>4</v>
      </c>
      <c r="F187">
        <v>4</v>
      </c>
      <c r="G187">
        <v>3</v>
      </c>
      <c r="H187">
        <v>2</v>
      </c>
      <c r="I187">
        <v>4</v>
      </c>
      <c r="J187">
        <v>2</v>
      </c>
      <c r="K187">
        <v>3</v>
      </c>
      <c r="L187">
        <v>2</v>
      </c>
      <c r="M187">
        <v>3</v>
      </c>
      <c r="N187">
        <v>2</v>
      </c>
      <c r="O187">
        <v>3</v>
      </c>
      <c r="P187">
        <v>3</v>
      </c>
      <c r="Q187">
        <v>4</v>
      </c>
      <c r="R187">
        <v>2</v>
      </c>
      <c r="S187">
        <v>2</v>
      </c>
      <c r="T187">
        <v>2</v>
      </c>
      <c r="U187">
        <v>2</v>
      </c>
    </row>
    <row r="188" spans="1:21">
      <c r="A188">
        <v>1</v>
      </c>
      <c r="B188">
        <v>1</v>
      </c>
      <c r="C188">
        <v>2</v>
      </c>
      <c r="D188">
        <v>1</v>
      </c>
      <c r="E188">
        <v>2</v>
      </c>
      <c r="F188">
        <v>1</v>
      </c>
      <c r="G188">
        <v>1</v>
      </c>
      <c r="H188">
        <v>3</v>
      </c>
      <c r="I188">
        <v>1</v>
      </c>
      <c r="J188">
        <v>1</v>
      </c>
      <c r="K188">
        <v>3</v>
      </c>
      <c r="L188">
        <v>1</v>
      </c>
      <c r="M188">
        <v>4</v>
      </c>
      <c r="N188">
        <v>1</v>
      </c>
      <c r="O188">
        <v>4</v>
      </c>
      <c r="P188">
        <v>3</v>
      </c>
      <c r="Q188">
        <v>4</v>
      </c>
      <c r="R188">
        <v>4</v>
      </c>
      <c r="S188">
        <v>1</v>
      </c>
      <c r="T188">
        <v>1</v>
      </c>
      <c r="U188">
        <v>2</v>
      </c>
    </row>
    <row r="189" spans="1:21">
      <c r="A189">
        <v>4</v>
      </c>
      <c r="B189">
        <v>2</v>
      </c>
      <c r="C189">
        <v>4</v>
      </c>
      <c r="D189">
        <v>4</v>
      </c>
      <c r="E189">
        <v>4</v>
      </c>
      <c r="F189">
        <v>4</v>
      </c>
      <c r="G189">
        <v>3</v>
      </c>
      <c r="H189">
        <v>5</v>
      </c>
      <c r="I189">
        <v>4</v>
      </c>
      <c r="J189">
        <v>4</v>
      </c>
      <c r="K189">
        <v>5</v>
      </c>
      <c r="L189">
        <v>4</v>
      </c>
      <c r="M189">
        <v>4</v>
      </c>
      <c r="N189">
        <v>4</v>
      </c>
      <c r="O189">
        <v>4</v>
      </c>
      <c r="P189">
        <v>4</v>
      </c>
      <c r="Q189">
        <v>5</v>
      </c>
      <c r="R189">
        <v>4</v>
      </c>
      <c r="S189">
        <v>4</v>
      </c>
      <c r="T189">
        <v>3</v>
      </c>
      <c r="U189">
        <v>3</v>
      </c>
    </row>
    <row r="190" spans="1:21">
      <c r="A190">
        <v>2</v>
      </c>
      <c r="B190">
        <v>2</v>
      </c>
      <c r="C190">
        <v>2</v>
      </c>
      <c r="D190">
        <v>3</v>
      </c>
      <c r="E190">
        <v>3</v>
      </c>
      <c r="F190">
        <v>2</v>
      </c>
      <c r="G190">
        <v>2</v>
      </c>
      <c r="H190">
        <v>3</v>
      </c>
      <c r="I190">
        <v>2</v>
      </c>
      <c r="J190">
        <v>3</v>
      </c>
      <c r="K190">
        <v>4</v>
      </c>
      <c r="L190">
        <v>4</v>
      </c>
      <c r="M190">
        <v>3</v>
      </c>
      <c r="N190">
        <v>3</v>
      </c>
      <c r="O190">
        <v>2</v>
      </c>
      <c r="P190">
        <v>3</v>
      </c>
      <c r="Q190">
        <v>4</v>
      </c>
      <c r="R190">
        <v>4</v>
      </c>
      <c r="S190">
        <v>3</v>
      </c>
      <c r="T190">
        <v>3</v>
      </c>
      <c r="U190">
        <v>3</v>
      </c>
    </row>
    <row r="191" spans="1:21">
      <c r="A191">
        <v>3</v>
      </c>
      <c r="B191">
        <v>2</v>
      </c>
      <c r="C191">
        <v>4</v>
      </c>
      <c r="D191">
        <v>4</v>
      </c>
      <c r="E191">
        <v>4</v>
      </c>
      <c r="F191">
        <v>4</v>
      </c>
      <c r="G191">
        <v>4</v>
      </c>
      <c r="H191">
        <v>2</v>
      </c>
      <c r="I191">
        <v>4</v>
      </c>
      <c r="J191">
        <v>3</v>
      </c>
      <c r="K191">
        <v>2</v>
      </c>
      <c r="L191">
        <v>2</v>
      </c>
      <c r="M191">
        <v>4</v>
      </c>
      <c r="N191">
        <v>4</v>
      </c>
      <c r="O191">
        <v>3</v>
      </c>
      <c r="P191">
        <v>4</v>
      </c>
      <c r="Q191">
        <v>4</v>
      </c>
      <c r="R191">
        <v>4</v>
      </c>
      <c r="S191">
        <v>3</v>
      </c>
      <c r="T191">
        <v>3</v>
      </c>
      <c r="U191">
        <v>3</v>
      </c>
    </row>
    <row r="192" spans="1:21">
      <c r="A192">
        <v>3</v>
      </c>
      <c r="B192">
        <v>3</v>
      </c>
      <c r="C192">
        <v>4</v>
      </c>
      <c r="D192">
        <v>4</v>
      </c>
      <c r="E192">
        <v>4</v>
      </c>
      <c r="F192">
        <v>4</v>
      </c>
      <c r="G192">
        <v>5</v>
      </c>
      <c r="H192">
        <v>5</v>
      </c>
      <c r="I192">
        <v>4</v>
      </c>
      <c r="J192">
        <v>5</v>
      </c>
      <c r="K192">
        <v>5</v>
      </c>
      <c r="L192">
        <v>4</v>
      </c>
      <c r="M192">
        <v>3</v>
      </c>
      <c r="N192">
        <v>3</v>
      </c>
      <c r="O192">
        <v>4</v>
      </c>
      <c r="P192">
        <v>4</v>
      </c>
      <c r="Q192">
        <v>4</v>
      </c>
      <c r="R192">
        <v>4</v>
      </c>
      <c r="S192">
        <v>2</v>
      </c>
      <c r="T192">
        <v>2</v>
      </c>
      <c r="U192">
        <v>2</v>
      </c>
    </row>
    <row r="193" spans="1:21">
      <c r="A193">
        <v>4</v>
      </c>
      <c r="B193">
        <v>3</v>
      </c>
      <c r="C193">
        <v>4</v>
      </c>
      <c r="D193">
        <v>4</v>
      </c>
      <c r="E193">
        <v>5</v>
      </c>
      <c r="F193">
        <v>3</v>
      </c>
      <c r="G193">
        <v>4</v>
      </c>
      <c r="H193">
        <v>2</v>
      </c>
      <c r="I193">
        <v>3</v>
      </c>
      <c r="J193">
        <v>3</v>
      </c>
      <c r="K193">
        <v>4</v>
      </c>
      <c r="L193">
        <v>3</v>
      </c>
      <c r="M193">
        <v>3</v>
      </c>
      <c r="N193">
        <v>2</v>
      </c>
      <c r="O193">
        <v>2</v>
      </c>
      <c r="P193">
        <v>3</v>
      </c>
      <c r="Q193">
        <v>2</v>
      </c>
      <c r="R193">
        <v>3</v>
      </c>
      <c r="S193">
        <v>2</v>
      </c>
      <c r="T193">
        <v>2</v>
      </c>
      <c r="U193">
        <v>2</v>
      </c>
    </row>
    <row r="194" spans="1:21">
      <c r="A194">
        <v>4</v>
      </c>
      <c r="B194">
        <v>3</v>
      </c>
      <c r="C194">
        <v>4</v>
      </c>
      <c r="D194">
        <v>4</v>
      </c>
      <c r="E194">
        <v>3</v>
      </c>
      <c r="F194">
        <v>5</v>
      </c>
      <c r="G194">
        <v>4</v>
      </c>
      <c r="H194">
        <v>3</v>
      </c>
      <c r="I194">
        <v>4</v>
      </c>
      <c r="J194">
        <v>3</v>
      </c>
      <c r="K194">
        <v>4</v>
      </c>
      <c r="L194">
        <v>3</v>
      </c>
      <c r="M194">
        <v>3</v>
      </c>
      <c r="N194">
        <v>2</v>
      </c>
      <c r="O194">
        <v>4</v>
      </c>
      <c r="P194">
        <v>5</v>
      </c>
      <c r="Q194">
        <v>4</v>
      </c>
      <c r="R194">
        <v>5</v>
      </c>
      <c r="S194">
        <v>2</v>
      </c>
      <c r="T194">
        <v>3</v>
      </c>
      <c r="U194">
        <v>3</v>
      </c>
    </row>
    <row r="195" spans="1:21">
      <c r="A195">
        <v>2</v>
      </c>
      <c r="B195">
        <v>3</v>
      </c>
      <c r="C195">
        <v>2</v>
      </c>
      <c r="D195">
        <v>5</v>
      </c>
      <c r="E195">
        <v>4</v>
      </c>
      <c r="F195">
        <v>4</v>
      </c>
      <c r="G195">
        <v>3</v>
      </c>
      <c r="H195">
        <v>2</v>
      </c>
      <c r="I195">
        <v>2</v>
      </c>
      <c r="J195">
        <v>1</v>
      </c>
      <c r="K195">
        <v>4</v>
      </c>
      <c r="L195">
        <v>2</v>
      </c>
      <c r="M195">
        <v>3</v>
      </c>
      <c r="N195">
        <v>2</v>
      </c>
      <c r="O195">
        <v>3</v>
      </c>
      <c r="P195">
        <v>3</v>
      </c>
      <c r="Q195">
        <v>1</v>
      </c>
      <c r="R195">
        <v>1</v>
      </c>
      <c r="S195">
        <v>2</v>
      </c>
      <c r="T195">
        <v>2</v>
      </c>
      <c r="U195">
        <v>2</v>
      </c>
    </row>
    <row r="196" spans="1:21">
      <c r="A196">
        <v>4</v>
      </c>
      <c r="B196">
        <v>2</v>
      </c>
      <c r="C196">
        <v>4</v>
      </c>
      <c r="D196">
        <v>4</v>
      </c>
      <c r="E196">
        <v>4</v>
      </c>
      <c r="F196">
        <v>4</v>
      </c>
      <c r="G196">
        <v>5</v>
      </c>
      <c r="H196">
        <v>3</v>
      </c>
      <c r="I196">
        <v>4</v>
      </c>
      <c r="J196">
        <v>3</v>
      </c>
      <c r="K196">
        <v>4</v>
      </c>
      <c r="L196">
        <v>4</v>
      </c>
      <c r="M196">
        <v>4</v>
      </c>
      <c r="N196">
        <v>3</v>
      </c>
      <c r="O196">
        <v>4</v>
      </c>
      <c r="P196">
        <v>4</v>
      </c>
      <c r="Q196">
        <v>4</v>
      </c>
      <c r="R196">
        <v>4</v>
      </c>
      <c r="S196">
        <v>4</v>
      </c>
      <c r="T196">
        <v>4</v>
      </c>
      <c r="U196">
        <v>4</v>
      </c>
    </row>
    <row r="197" spans="1:21">
      <c r="A197">
        <v>4</v>
      </c>
      <c r="B197">
        <v>2</v>
      </c>
      <c r="C197">
        <v>4</v>
      </c>
      <c r="D197">
        <v>4</v>
      </c>
      <c r="E197">
        <v>4</v>
      </c>
      <c r="F197">
        <v>4</v>
      </c>
      <c r="G197">
        <v>4</v>
      </c>
      <c r="H197">
        <v>2</v>
      </c>
      <c r="I197">
        <v>3</v>
      </c>
      <c r="J197">
        <v>2</v>
      </c>
      <c r="K197">
        <v>4</v>
      </c>
      <c r="L197">
        <v>4</v>
      </c>
      <c r="M197">
        <v>4</v>
      </c>
      <c r="N197">
        <v>2</v>
      </c>
      <c r="O197">
        <v>2</v>
      </c>
      <c r="P197">
        <v>4</v>
      </c>
      <c r="Q197">
        <v>3</v>
      </c>
      <c r="R197">
        <v>2</v>
      </c>
      <c r="S197">
        <v>2</v>
      </c>
      <c r="T197">
        <v>2</v>
      </c>
      <c r="U197">
        <v>2</v>
      </c>
    </row>
    <row r="198" spans="1:21">
      <c r="A198">
        <v>3</v>
      </c>
      <c r="B198">
        <v>3</v>
      </c>
      <c r="C198">
        <v>4</v>
      </c>
      <c r="D198">
        <v>4</v>
      </c>
      <c r="E198">
        <v>4</v>
      </c>
      <c r="F198">
        <v>3</v>
      </c>
      <c r="G198">
        <v>3</v>
      </c>
      <c r="H198">
        <v>4</v>
      </c>
      <c r="I198">
        <v>3</v>
      </c>
      <c r="J198">
        <v>3</v>
      </c>
      <c r="K198">
        <v>3</v>
      </c>
      <c r="L198">
        <v>2</v>
      </c>
      <c r="M198">
        <v>2</v>
      </c>
      <c r="N198">
        <v>3</v>
      </c>
      <c r="O198">
        <v>3</v>
      </c>
      <c r="P198">
        <v>4</v>
      </c>
      <c r="Q198">
        <v>3</v>
      </c>
      <c r="R198">
        <v>2</v>
      </c>
      <c r="S198">
        <v>1</v>
      </c>
      <c r="T198">
        <v>1</v>
      </c>
      <c r="U198">
        <v>2</v>
      </c>
    </row>
    <row r="199" spans="1:21">
      <c r="A199">
        <v>2</v>
      </c>
      <c r="B199">
        <v>2</v>
      </c>
      <c r="C199">
        <v>1</v>
      </c>
      <c r="D199">
        <v>3</v>
      </c>
      <c r="E199">
        <v>3</v>
      </c>
      <c r="F199">
        <v>3</v>
      </c>
      <c r="G199">
        <v>1</v>
      </c>
      <c r="H199">
        <v>2</v>
      </c>
      <c r="I199">
        <v>4</v>
      </c>
      <c r="J199">
        <v>2</v>
      </c>
      <c r="K199">
        <v>2</v>
      </c>
      <c r="L199">
        <v>1</v>
      </c>
      <c r="M199">
        <v>2</v>
      </c>
      <c r="N199">
        <v>2</v>
      </c>
      <c r="O199">
        <v>3</v>
      </c>
      <c r="P199">
        <v>4</v>
      </c>
      <c r="Q199">
        <v>4</v>
      </c>
      <c r="R199">
        <v>2</v>
      </c>
      <c r="S199">
        <v>2</v>
      </c>
      <c r="T199">
        <v>4</v>
      </c>
      <c r="U199">
        <v>4</v>
      </c>
    </row>
    <row r="200" spans="1:21">
      <c r="A200">
        <v>3</v>
      </c>
      <c r="B200">
        <v>1</v>
      </c>
      <c r="C200">
        <v>3</v>
      </c>
      <c r="D200">
        <v>5</v>
      </c>
      <c r="E200">
        <v>5</v>
      </c>
      <c r="F200">
        <v>5</v>
      </c>
      <c r="G200">
        <v>5</v>
      </c>
      <c r="H200">
        <v>4</v>
      </c>
      <c r="I200">
        <v>5</v>
      </c>
      <c r="J200">
        <v>3</v>
      </c>
      <c r="K200">
        <v>5</v>
      </c>
      <c r="L200">
        <v>5</v>
      </c>
      <c r="M200">
        <v>5</v>
      </c>
      <c r="N200">
        <v>3</v>
      </c>
      <c r="O200">
        <v>5</v>
      </c>
      <c r="P200">
        <v>5</v>
      </c>
      <c r="Q200">
        <v>5</v>
      </c>
      <c r="R200">
        <v>4</v>
      </c>
      <c r="S200">
        <v>3</v>
      </c>
      <c r="T200">
        <v>3</v>
      </c>
      <c r="U200">
        <v>3</v>
      </c>
    </row>
    <row r="201" spans="1:21">
      <c r="A201">
        <v>5</v>
      </c>
      <c r="B201">
        <v>3</v>
      </c>
      <c r="C201">
        <v>4</v>
      </c>
      <c r="D201">
        <v>3</v>
      </c>
      <c r="E201">
        <v>4</v>
      </c>
      <c r="F201">
        <v>3</v>
      </c>
      <c r="G201">
        <v>5</v>
      </c>
      <c r="H201">
        <v>4</v>
      </c>
      <c r="I201">
        <v>3</v>
      </c>
      <c r="J201">
        <v>3</v>
      </c>
      <c r="K201">
        <v>4</v>
      </c>
      <c r="L201">
        <v>3</v>
      </c>
      <c r="M201">
        <v>4</v>
      </c>
      <c r="N201">
        <v>4</v>
      </c>
      <c r="O201">
        <v>3</v>
      </c>
      <c r="P201">
        <v>4</v>
      </c>
      <c r="Q201">
        <v>5</v>
      </c>
      <c r="R201">
        <v>4</v>
      </c>
      <c r="S201">
        <v>4</v>
      </c>
      <c r="T201">
        <v>4</v>
      </c>
      <c r="U201">
        <v>4</v>
      </c>
    </row>
    <row r="202" spans="1:21">
      <c r="A202">
        <v>3</v>
      </c>
      <c r="B202">
        <v>4</v>
      </c>
      <c r="C202">
        <v>3</v>
      </c>
      <c r="D202">
        <v>5</v>
      </c>
      <c r="E202">
        <v>5</v>
      </c>
      <c r="F202">
        <v>3</v>
      </c>
      <c r="G202">
        <v>3</v>
      </c>
      <c r="H202">
        <v>4</v>
      </c>
      <c r="I202">
        <v>3</v>
      </c>
      <c r="J202">
        <v>3</v>
      </c>
      <c r="K202">
        <v>4</v>
      </c>
      <c r="L202">
        <v>3</v>
      </c>
      <c r="M202">
        <v>4</v>
      </c>
      <c r="N202">
        <v>4</v>
      </c>
      <c r="O202">
        <v>3</v>
      </c>
      <c r="P202">
        <v>4</v>
      </c>
      <c r="Q202">
        <v>4</v>
      </c>
      <c r="R202">
        <v>2</v>
      </c>
      <c r="S202">
        <v>3</v>
      </c>
      <c r="T202">
        <v>3</v>
      </c>
      <c r="U202">
        <v>3</v>
      </c>
    </row>
    <row r="203" spans="1:21">
      <c r="A203">
        <v>4</v>
      </c>
      <c r="B203">
        <v>4</v>
      </c>
      <c r="C203">
        <v>5</v>
      </c>
      <c r="D203">
        <v>4</v>
      </c>
      <c r="E203">
        <v>4</v>
      </c>
      <c r="F203">
        <v>4</v>
      </c>
      <c r="G203">
        <v>5</v>
      </c>
      <c r="H203">
        <v>3</v>
      </c>
      <c r="I203">
        <v>5</v>
      </c>
      <c r="J203">
        <v>2</v>
      </c>
      <c r="K203">
        <v>4</v>
      </c>
      <c r="L203">
        <v>3</v>
      </c>
      <c r="M203">
        <v>4</v>
      </c>
      <c r="N203">
        <v>3</v>
      </c>
      <c r="O203">
        <v>4</v>
      </c>
      <c r="P203">
        <v>3</v>
      </c>
      <c r="Q203">
        <v>4</v>
      </c>
      <c r="R203">
        <v>2</v>
      </c>
      <c r="S203">
        <v>2</v>
      </c>
      <c r="T203">
        <v>2</v>
      </c>
      <c r="U203">
        <v>2</v>
      </c>
    </row>
    <row r="204" spans="1:21">
      <c r="A204">
        <v>3</v>
      </c>
      <c r="B204">
        <v>3</v>
      </c>
      <c r="C204">
        <v>3</v>
      </c>
      <c r="D204">
        <v>3</v>
      </c>
      <c r="E204">
        <v>3</v>
      </c>
      <c r="F204">
        <v>4</v>
      </c>
      <c r="G204">
        <v>3</v>
      </c>
      <c r="H204">
        <v>3</v>
      </c>
      <c r="I204">
        <v>4</v>
      </c>
      <c r="J204">
        <v>2</v>
      </c>
      <c r="K204">
        <v>3</v>
      </c>
      <c r="L204">
        <v>3</v>
      </c>
      <c r="M204">
        <v>3</v>
      </c>
      <c r="N204">
        <v>2</v>
      </c>
      <c r="O204">
        <v>4</v>
      </c>
      <c r="P204">
        <v>4</v>
      </c>
      <c r="Q204">
        <v>3</v>
      </c>
      <c r="R204">
        <v>1</v>
      </c>
      <c r="S204">
        <v>2</v>
      </c>
      <c r="T204">
        <v>2</v>
      </c>
      <c r="U204">
        <v>2</v>
      </c>
    </row>
    <row r="205" spans="1:21">
      <c r="A205">
        <v>4</v>
      </c>
      <c r="B205">
        <v>3</v>
      </c>
      <c r="C205">
        <v>4</v>
      </c>
      <c r="D205">
        <v>4</v>
      </c>
      <c r="E205">
        <v>4</v>
      </c>
      <c r="F205">
        <v>5</v>
      </c>
      <c r="G205">
        <v>4</v>
      </c>
      <c r="H205">
        <v>3</v>
      </c>
      <c r="I205">
        <v>4</v>
      </c>
      <c r="J205">
        <v>3</v>
      </c>
      <c r="K205">
        <v>3</v>
      </c>
      <c r="L205">
        <v>4</v>
      </c>
      <c r="M205">
        <v>3</v>
      </c>
      <c r="N205">
        <v>3</v>
      </c>
      <c r="O205">
        <v>5</v>
      </c>
      <c r="P205">
        <v>4</v>
      </c>
      <c r="Q205">
        <v>5</v>
      </c>
      <c r="R205">
        <v>3</v>
      </c>
      <c r="S205">
        <v>3</v>
      </c>
      <c r="T205">
        <v>3</v>
      </c>
      <c r="U205">
        <v>3</v>
      </c>
    </row>
    <row r="206" spans="1:21">
      <c r="A206">
        <v>2</v>
      </c>
      <c r="B206">
        <v>1</v>
      </c>
      <c r="C206">
        <v>1</v>
      </c>
      <c r="D206">
        <v>2</v>
      </c>
      <c r="E206">
        <v>1</v>
      </c>
      <c r="F206">
        <v>2</v>
      </c>
      <c r="G206">
        <v>3</v>
      </c>
      <c r="H206">
        <v>2</v>
      </c>
      <c r="I206">
        <v>3</v>
      </c>
      <c r="J206">
        <v>3</v>
      </c>
      <c r="K206">
        <v>2</v>
      </c>
      <c r="L206">
        <v>3</v>
      </c>
      <c r="M206">
        <v>2</v>
      </c>
      <c r="N206">
        <v>1</v>
      </c>
      <c r="O206">
        <v>2</v>
      </c>
      <c r="P206">
        <v>3</v>
      </c>
      <c r="Q206">
        <v>4</v>
      </c>
      <c r="R206">
        <v>1</v>
      </c>
      <c r="S206">
        <v>2</v>
      </c>
      <c r="T206">
        <v>1</v>
      </c>
      <c r="U206">
        <v>1</v>
      </c>
    </row>
    <row r="207" spans="1:21">
      <c r="A207">
        <v>4</v>
      </c>
      <c r="B207">
        <v>2</v>
      </c>
      <c r="C207">
        <v>4</v>
      </c>
      <c r="D207">
        <v>5</v>
      </c>
      <c r="E207">
        <v>4</v>
      </c>
      <c r="F207">
        <v>5</v>
      </c>
      <c r="G207">
        <v>5</v>
      </c>
      <c r="H207">
        <v>4</v>
      </c>
      <c r="I207">
        <v>4</v>
      </c>
      <c r="J207">
        <v>4</v>
      </c>
      <c r="K207">
        <v>4</v>
      </c>
      <c r="L207">
        <v>3</v>
      </c>
      <c r="M207">
        <v>4</v>
      </c>
      <c r="N207">
        <v>4</v>
      </c>
      <c r="O207">
        <v>5</v>
      </c>
      <c r="P207">
        <v>4</v>
      </c>
      <c r="Q207">
        <v>4</v>
      </c>
      <c r="R207">
        <v>2</v>
      </c>
      <c r="S207">
        <v>5</v>
      </c>
      <c r="T207">
        <v>4</v>
      </c>
      <c r="U207">
        <v>4</v>
      </c>
    </row>
    <row r="208" spans="1:21">
      <c r="A208">
        <v>4</v>
      </c>
      <c r="B208">
        <v>2</v>
      </c>
      <c r="C208">
        <v>4</v>
      </c>
      <c r="D208">
        <v>4</v>
      </c>
      <c r="E208">
        <v>4</v>
      </c>
      <c r="F208">
        <v>4</v>
      </c>
      <c r="G208">
        <v>4</v>
      </c>
      <c r="H208">
        <v>3</v>
      </c>
      <c r="I208">
        <v>4</v>
      </c>
      <c r="J208">
        <v>3</v>
      </c>
      <c r="K208">
        <v>4</v>
      </c>
      <c r="L208">
        <v>4</v>
      </c>
      <c r="M208">
        <v>4</v>
      </c>
      <c r="N208">
        <v>4</v>
      </c>
      <c r="O208">
        <v>4</v>
      </c>
      <c r="P208">
        <v>5</v>
      </c>
      <c r="Q208">
        <v>4</v>
      </c>
      <c r="R208">
        <v>3</v>
      </c>
      <c r="S208">
        <v>3</v>
      </c>
      <c r="T208">
        <v>4</v>
      </c>
      <c r="U208">
        <v>4</v>
      </c>
    </row>
    <row r="209" spans="1:21">
      <c r="A209">
        <v>4</v>
      </c>
      <c r="B209">
        <v>2</v>
      </c>
      <c r="C209">
        <v>4</v>
      </c>
      <c r="D209">
        <v>4</v>
      </c>
      <c r="E209">
        <v>4</v>
      </c>
      <c r="F209">
        <v>4</v>
      </c>
      <c r="G209">
        <v>4</v>
      </c>
      <c r="H209">
        <v>2</v>
      </c>
      <c r="I209">
        <v>4</v>
      </c>
      <c r="J209">
        <v>2</v>
      </c>
      <c r="K209">
        <v>4</v>
      </c>
      <c r="L209">
        <v>4</v>
      </c>
      <c r="M209">
        <v>3</v>
      </c>
      <c r="N209">
        <v>4</v>
      </c>
      <c r="O209">
        <v>2</v>
      </c>
      <c r="P209">
        <v>4</v>
      </c>
      <c r="Q209">
        <v>5</v>
      </c>
      <c r="R209">
        <v>4</v>
      </c>
      <c r="S209">
        <v>2</v>
      </c>
      <c r="T209">
        <v>2</v>
      </c>
      <c r="U209">
        <v>2</v>
      </c>
    </row>
    <row r="210" spans="1:21">
      <c r="A210">
        <v>3</v>
      </c>
      <c r="B210">
        <v>4</v>
      </c>
      <c r="C210">
        <v>4</v>
      </c>
      <c r="D210">
        <v>5</v>
      </c>
      <c r="E210">
        <v>4</v>
      </c>
      <c r="F210">
        <v>4</v>
      </c>
      <c r="G210">
        <v>4</v>
      </c>
      <c r="H210">
        <v>2</v>
      </c>
      <c r="I210">
        <v>3</v>
      </c>
      <c r="J210">
        <v>2</v>
      </c>
      <c r="K210">
        <v>4</v>
      </c>
      <c r="L210">
        <v>3</v>
      </c>
      <c r="M210">
        <v>4</v>
      </c>
      <c r="N210">
        <v>4</v>
      </c>
      <c r="O210">
        <v>4</v>
      </c>
      <c r="P210">
        <v>4</v>
      </c>
      <c r="Q210">
        <v>3</v>
      </c>
      <c r="R210">
        <v>3</v>
      </c>
      <c r="S210">
        <v>3</v>
      </c>
      <c r="T210">
        <v>3</v>
      </c>
      <c r="U210">
        <v>3</v>
      </c>
    </row>
    <row r="211" spans="1:21">
      <c r="A211">
        <v>2</v>
      </c>
      <c r="B211">
        <v>2</v>
      </c>
      <c r="C211">
        <v>3</v>
      </c>
      <c r="D211">
        <v>3</v>
      </c>
      <c r="E211">
        <v>3</v>
      </c>
      <c r="F211">
        <v>2</v>
      </c>
      <c r="G211">
        <v>2</v>
      </c>
      <c r="H211">
        <v>1</v>
      </c>
      <c r="I211">
        <v>2</v>
      </c>
      <c r="J211">
        <v>1</v>
      </c>
      <c r="K211">
        <v>2</v>
      </c>
      <c r="L211">
        <v>2</v>
      </c>
      <c r="M211">
        <v>2</v>
      </c>
      <c r="N211">
        <v>2</v>
      </c>
      <c r="O211">
        <v>2</v>
      </c>
      <c r="P211">
        <v>4</v>
      </c>
      <c r="Q211">
        <v>3</v>
      </c>
      <c r="R211">
        <v>2</v>
      </c>
      <c r="S211">
        <v>2</v>
      </c>
      <c r="T211">
        <v>2</v>
      </c>
      <c r="U211">
        <v>2</v>
      </c>
    </row>
    <row r="212" spans="1:21">
      <c r="A212">
        <v>3</v>
      </c>
      <c r="B212">
        <v>2</v>
      </c>
      <c r="C212">
        <v>5</v>
      </c>
      <c r="D212">
        <v>4</v>
      </c>
      <c r="E212">
        <v>5</v>
      </c>
      <c r="F212">
        <v>4</v>
      </c>
      <c r="G212">
        <v>4</v>
      </c>
      <c r="H212">
        <v>2</v>
      </c>
      <c r="I212">
        <v>3</v>
      </c>
      <c r="J212">
        <v>3</v>
      </c>
      <c r="K212">
        <v>3</v>
      </c>
      <c r="L212">
        <v>3</v>
      </c>
      <c r="M212">
        <v>4</v>
      </c>
      <c r="N212">
        <v>3</v>
      </c>
      <c r="O212">
        <v>4</v>
      </c>
      <c r="P212">
        <v>4</v>
      </c>
      <c r="Q212">
        <v>3</v>
      </c>
      <c r="R212">
        <v>4</v>
      </c>
      <c r="S212">
        <v>1</v>
      </c>
      <c r="T212">
        <v>2</v>
      </c>
      <c r="U212">
        <v>1</v>
      </c>
    </row>
    <row r="213" spans="1:21">
      <c r="A213">
        <v>4</v>
      </c>
      <c r="B213">
        <v>2</v>
      </c>
      <c r="C213">
        <v>3</v>
      </c>
      <c r="D213">
        <v>5</v>
      </c>
      <c r="E213">
        <v>4</v>
      </c>
      <c r="F213">
        <v>4</v>
      </c>
      <c r="G213">
        <v>4</v>
      </c>
      <c r="H213">
        <v>4</v>
      </c>
      <c r="I213">
        <v>4</v>
      </c>
      <c r="J213">
        <v>3</v>
      </c>
      <c r="K213">
        <v>4</v>
      </c>
      <c r="L213">
        <v>5</v>
      </c>
      <c r="M213">
        <v>5</v>
      </c>
      <c r="N213">
        <v>4</v>
      </c>
      <c r="O213">
        <v>5</v>
      </c>
      <c r="P213">
        <v>4</v>
      </c>
      <c r="Q213">
        <v>5</v>
      </c>
      <c r="R213">
        <v>5</v>
      </c>
      <c r="S213">
        <v>4</v>
      </c>
      <c r="T213">
        <v>4</v>
      </c>
      <c r="U213">
        <v>4</v>
      </c>
    </row>
    <row r="214" spans="1:21">
      <c r="A214">
        <v>5</v>
      </c>
      <c r="B214">
        <v>5</v>
      </c>
      <c r="C214">
        <v>5</v>
      </c>
      <c r="D214">
        <v>5</v>
      </c>
      <c r="E214">
        <v>5</v>
      </c>
      <c r="F214">
        <v>5</v>
      </c>
      <c r="G214">
        <v>4</v>
      </c>
      <c r="H214">
        <v>5</v>
      </c>
      <c r="I214">
        <v>2</v>
      </c>
      <c r="J214">
        <v>3</v>
      </c>
      <c r="K214">
        <v>3</v>
      </c>
      <c r="L214">
        <v>4</v>
      </c>
      <c r="M214">
        <v>2</v>
      </c>
      <c r="N214">
        <v>2</v>
      </c>
      <c r="O214">
        <v>2</v>
      </c>
      <c r="P214">
        <v>4</v>
      </c>
      <c r="Q214">
        <v>5</v>
      </c>
      <c r="R214">
        <v>4</v>
      </c>
      <c r="S214">
        <v>1</v>
      </c>
      <c r="T214">
        <v>2</v>
      </c>
      <c r="U214">
        <v>1</v>
      </c>
    </row>
    <row r="215" spans="1:21">
      <c r="A215">
        <v>3</v>
      </c>
      <c r="B215">
        <v>3</v>
      </c>
      <c r="C215">
        <v>4</v>
      </c>
      <c r="D215">
        <v>4</v>
      </c>
      <c r="E215">
        <v>3</v>
      </c>
      <c r="F215">
        <v>4</v>
      </c>
      <c r="G215">
        <v>4</v>
      </c>
      <c r="H215">
        <v>4</v>
      </c>
      <c r="I215">
        <v>4</v>
      </c>
      <c r="J215">
        <v>4</v>
      </c>
      <c r="K215">
        <v>4</v>
      </c>
      <c r="L215">
        <v>4</v>
      </c>
      <c r="M215">
        <v>5</v>
      </c>
      <c r="N215">
        <v>3</v>
      </c>
      <c r="O215">
        <v>4</v>
      </c>
      <c r="P215">
        <v>4</v>
      </c>
      <c r="Q215">
        <v>4</v>
      </c>
      <c r="R215">
        <v>2</v>
      </c>
      <c r="S215">
        <v>2</v>
      </c>
      <c r="T215">
        <v>3</v>
      </c>
      <c r="U215">
        <v>3</v>
      </c>
    </row>
    <row r="216" spans="1:21">
      <c r="A216">
        <v>4</v>
      </c>
      <c r="B216">
        <v>4</v>
      </c>
      <c r="C216">
        <v>3</v>
      </c>
      <c r="D216">
        <v>4</v>
      </c>
      <c r="E216">
        <v>5</v>
      </c>
      <c r="F216">
        <v>4</v>
      </c>
      <c r="G216">
        <v>5</v>
      </c>
      <c r="H216">
        <v>3</v>
      </c>
      <c r="I216">
        <v>3</v>
      </c>
      <c r="J216">
        <v>5</v>
      </c>
      <c r="K216">
        <v>4</v>
      </c>
      <c r="L216">
        <v>4</v>
      </c>
      <c r="M216">
        <v>3</v>
      </c>
      <c r="N216">
        <v>2</v>
      </c>
      <c r="O216">
        <v>4</v>
      </c>
      <c r="P216">
        <v>4</v>
      </c>
      <c r="Q216">
        <v>3</v>
      </c>
      <c r="R216">
        <v>4</v>
      </c>
      <c r="S216">
        <v>1</v>
      </c>
      <c r="T216">
        <v>2</v>
      </c>
      <c r="U216">
        <v>2</v>
      </c>
    </row>
    <row r="217" spans="1:21">
      <c r="A217">
        <v>2</v>
      </c>
      <c r="B217">
        <v>2</v>
      </c>
      <c r="C217">
        <v>2</v>
      </c>
      <c r="D217">
        <v>4</v>
      </c>
      <c r="E217">
        <v>4</v>
      </c>
      <c r="F217">
        <v>3</v>
      </c>
      <c r="G217">
        <v>2</v>
      </c>
      <c r="H217">
        <v>4</v>
      </c>
      <c r="I217">
        <v>4</v>
      </c>
      <c r="J217">
        <v>3</v>
      </c>
      <c r="K217">
        <v>3</v>
      </c>
      <c r="L217">
        <v>3</v>
      </c>
      <c r="M217">
        <v>5</v>
      </c>
      <c r="N217">
        <v>4</v>
      </c>
      <c r="O217">
        <v>4</v>
      </c>
      <c r="P217">
        <v>5</v>
      </c>
      <c r="Q217">
        <v>5</v>
      </c>
      <c r="R217">
        <v>2</v>
      </c>
      <c r="S217">
        <v>3</v>
      </c>
      <c r="T217">
        <v>3</v>
      </c>
      <c r="U217">
        <v>3</v>
      </c>
    </row>
    <row r="218" spans="1:21">
      <c r="A218">
        <v>4</v>
      </c>
      <c r="B218">
        <v>4</v>
      </c>
      <c r="C218">
        <v>3</v>
      </c>
      <c r="D218">
        <v>4</v>
      </c>
      <c r="E218">
        <v>4</v>
      </c>
      <c r="F218">
        <v>4</v>
      </c>
      <c r="G218">
        <v>4</v>
      </c>
      <c r="H218">
        <v>4</v>
      </c>
      <c r="I218">
        <v>4</v>
      </c>
      <c r="J218">
        <v>4</v>
      </c>
      <c r="K218">
        <v>3</v>
      </c>
      <c r="L218">
        <v>4</v>
      </c>
      <c r="M218">
        <v>3</v>
      </c>
      <c r="N218">
        <v>4</v>
      </c>
      <c r="O218">
        <v>3</v>
      </c>
      <c r="P218">
        <v>4</v>
      </c>
      <c r="Q218">
        <v>4</v>
      </c>
      <c r="R218">
        <v>3</v>
      </c>
      <c r="S218">
        <v>4</v>
      </c>
      <c r="T218">
        <v>2</v>
      </c>
      <c r="U218">
        <v>2</v>
      </c>
    </row>
    <row r="219" spans="1:21">
      <c r="A219">
        <v>4</v>
      </c>
      <c r="B219">
        <v>4</v>
      </c>
      <c r="C219">
        <v>3</v>
      </c>
      <c r="D219">
        <v>5</v>
      </c>
      <c r="E219">
        <v>5</v>
      </c>
      <c r="F219">
        <v>5</v>
      </c>
      <c r="G219">
        <v>5</v>
      </c>
      <c r="H219">
        <v>3</v>
      </c>
      <c r="I219">
        <v>4</v>
      </c>
      <c r="J219">
        <v>3</v>
      </c>
      <c r="K219">
        <v>3</v>
      </c>
      <c r="L219">
        <v>4</v>
      </c>
      <c r="M219">
        <v>5</v>
      </c>
      <c r="N219">
        <v>4</v>
      </c>
      <c r="O219">
        <v>4</v>
      </c>
      <c r="P219">
        <v>5</v>
      </c>
      <c r="Q219">
        <v>4</v>
      </c>
      <c r="R219">
        <v>3</v>
      </c>
      <c r="S219">
        <v>3</v>
      </c>
      <c r="T219">
        <v>3</v>
      </c>
      <c r="U219">
        <v>3</v>
      </c>
    </row>
    <row r="220" spans="1:21">
      <c r="A220">
        <v>4</v>
      </c>
      <c r="B220">
        <v>4</v>
      </c>
      <c r="C220">
        <v>5</v>
      </c>
      <c r="D220">
        <v>5</v>
      </c>
      <c r="E220">
        <v>5</v>
      </c>
      <c r="F220">
        <v>5</v>
      </c>
      <c r="G220">
        <v>5</v>
      </c>
      <c r="H220">
        <v>5</v>
      </c>
      <c r="I220">
        <v>5</v>
      </c>
      <c r="J220">
        <v>3</v>
      </c>
      <c r="K220">
        <v>5</v>
      </c>
      <c r="L220">
        <v>3</v>
      </c>
      <c r="M220">
        <v>5</v>
      </c>
      <c r="N220">
        <v>4</v>
      </c>
      <c r="O220">
        <v>4</v>
      </c>
      <c r="P220">
        <v>3</v>
      </c>
      <c r="Q220">
        <v>3</v>
      </c>
      <c r="R220">
        <v>4</v>
      </c>
      <c r="S220">
        <v>3</v>
      </c>
      <c r="T220">
        <v>3</v>
      </c>
      <c r="U220">
        <v>3</v>
      </c>
    </row>
    <row r="221" spans="1:21">
      <c r="A221">
        <v>1</v>
      </c>
      <c r="B221">
        <v>3</v>
      </c>
      <c r="C221">
        <v>1</v>
      </c>
      <c r="D221">
        <v>4</v>
      </c>
      <c r="E221">
        <v>4</v>
      </c>
      <c r="F221">
        <v>4</v>
      </c>
      <c r="G221">
        <v>2</v>
      </c>
      <c r="H221">
        <v>3</v>
      </c>
      <c r="I221">
        <v>4</v>
      </c>
      <c r="J221">
        <v>3</v>
      </c>
      <c r="K221">
        <v>4</v>
      </c>
      <c r="L221">
        <v>3</v>
      </c>
      <c r="M221">
        <v>4</v>
      </c>
      <c r="N221">
        <v>3</v>
      </c>
      <c r="O221">
        <v>3</v>
      </c>
      <c r="P221">
        <v>3</v>
      </c>
      <c r="Q221">
        <v>4</v>
      </c>
      <c r="R221">
        <v>4</v>
      </c>
      <c r="S221">
        <v>2</v>
      </c>
      <c r="T221">
        <v>2</v>
      </c>
      <c r="U221">
        <v>2</v>
      </c>
    </row>
    <row r="222" spans="1:21">
      <c r="A222">
        <v>2</v>
      </c>
      <c r="B222">
        <v>1</v>
      </c>
      <c r="C222">
        <v>1</v>
      </c>
      <c r="D222">
        <v>4</v>
      </c>
      <c r="E222">
        <v>4</v>
      </c>
      <c r="F222">
        <v>4</v>
      </c>
      <c r="G222">
        <v>2</v>
      </c>
      <c r="H222">
        <v>4</v>
      </c>
      <c r="I222">
        <v>5</v>
      </c>
      <c r="J222">
        <v>4</v>
      </c>
      <c r="K222">
        <v>5</v>
      </c>
      <c r="L222">
        <v>4</v>
      </c>
      <c r="M222">
        <v>4</v>
      </c>
      <c r="N222">
        <v>5</v>
      </c>
      <c r="O222">
        <v>5</v>
      </c>
      <c r="P222">
        <v>5</v>
      </c>
      <c r="Q222">
        <v>5</v>
      </c>
      <c r="R222">
        <v>5</v>
      </c>
      <c r="S222">
        <v>4</v>
      </c>
      <c r="T222">
        <v>4</v>
      </c>
      <c r="U222">
        <v>4</v>
      </c>
    </row>
    <row r="223" spans="1:21">
      <c r="A223">
        <v>4</v>
      </c>
      <c r="B223">
        <v>3</v>
      </c>
      <c r="C223">
        <v>4</v>
      </c>
      <c r="D223">
        <v>4</v>
      </c>
      <c r="E223">
        <v>4</v>
      </c>
      <c r="F223">
        <v>3</v>
      </c>
      <c r="G223">
        <v>4</v>
      </c>
      <c r="H223">
        <v>4</v>
      </c>
      <c r="I223">
        <v>5</v>
      </c>
      <c r="J223">
        <v>4</v>
      </c>
      <c r="K223">
        <v>5</v>
      </c>
      <c r="L223">
        <v>4</v>
      </c>
      <c r="M223">
        <v>4</v>
      </c>
      <c r="N223">
        <v>4</v>
      </c>
      <c r="O223">
        <v>4</v>
      </c>
      <c r="P223">
        <v>4</v>
      </c>
      <c r="Q223">
        <v>4</v>
      </c>
      <c r="R223">
        <v>3</v>
      </c>
      <c r="S223">
        <v>1</v>
      </c>
      <c r="T223">
        <v>2</v>
      </c>
      <c r="U223">
        <v>1</v>
      </c>
    </row>
    <row r="224" spans="1:21">
      <c r="A224">
        <v>4</v>
      </c>
      <c r="B224">
        <v>5</v>
      </c>
      <c r="C224">
        <v>4</v>
      </c>
      <c r="D224">
        <v>5</v>
      </c>
      <c r="E224">
        <v>5</v>
      </c>
      <c r="F224">
        <v>4</v>
      </c>
      <c r="G224">
        <v>4</v>
      </c>
      <c r="H224">
        <v>5</v>
      </c>
      <c r="I224">
        <v>5</v>
      </c>
      <c r="J224">
        <v>2</v>
      </c>
      <c r="K224">
        <v>4</v>
      </c>
      <c r="L224">
        <v>3</v>
      </c>
      <c r="M224">
        <v>4</v>
      </c>
      <c r="N224">
        <v>4</v>
      </c>
      <c r="O224">
        <v>4</v>
      </c>
      <c r="P224">
        <v>5</v>
      </c>
      <c r="Q224">
        <v>5</v>
      </c>
      <c r="R224">
        <v>5</v>
      </c>
      <c r="S224">
        <v>1</v>
      </c>
      <c r="T224">
        <v>4</v>
      </c>
      <c r="U224">
        <v>4</v>
      </c>
    </row>
    <row r="225" spans="1:21">
      <c r="A225">
        <v>4</v>
      </c>
      <c r="B225">
        <v>2</v>
      </c>
      <c r="C225">
        <v>2</v>
      </c>
      <c r="D225">
        <v>4</v>
      </c>
      <c r="E225">
        <v>4</v>
      </c>
      <c r="F225">
        <v>4</v>
      </c>
      <c r="G225">
        <v>2</v>
      </c>
      <c r="H225">
        <v>4</v>
      </c>
      <c r="I225">
        <v>4</v>
      </c>
      <c r="J225">
        <v>3</v>
      </c>
      <c r="K225">
        <v>4</v>
      </c>
      <c r="L225">
        <v>3</v>
      </c>
      <c r="M225">
        <v>5</v>
      </c>
      <c r="N225">
        <v>3</v>
      </c>
      <c r="O225">
        <v>5</v>
      </c>
      <c r="P225">
        <v>3</v>
      </c>
      <c r="Q225">
        <v>4</v>
      </c>
      <c r="R225">
        <v>4</v>
      </c>
      <c r="S225">
        <v>4</v>
      </c>
      <c r="T225">
        <v>4</v>
      </c>
      <c r="U225">
        <v>4</v>
      </c>
    </row>
    <row r="226" spans="1:21">
      <c r="A226">
        <v>4</v>
      </c>
      <c r="B226">
        <v>3</v>
      </c>
      <c r="C226">
        <v>4</v>
      </c>
      <c r="D226">
        <v>5</v>
      </c>
      <c r="E226">
        <v>3</v>
      </c>
      <c r="F226">
        <v>5</v>
      </c>
      <c r="G226">
        <v>4</v>
      </c>
      <c r="H226">
        <v>4</v>
      </c>
      <c r="I226">
        <v>4</v>
      </c>
      <c r="J226">
        <v>3</v>
      </c>
      <c r="K226">
        <v>3</v>
      </c>
      <c r="L226">
        <v>4</v>
      </c>
      <c r="M226">
        <v>4</v>
      </c>
      <c r="N226">
        <v>4</v>
      </c>
      <c r="O226">
        <v>5</v>
      </c>
      <c r="P226">
        <v>4</v>
      </c>
      <c r="Q226">
        <v>5</v>
      </c>
      <c r="R226">
        <v>4</v>
      </c>
      <c r="S226">
        <v>3</v>
      </c>
      <c r="T226">
        <v>3</v>
      </c>
      <c r="U226">
        <v>3</v>
      </c>
    </row>
    <row r="227" spans="1:21">
      <c r="A227">
        <v>4</v>
      </c>
      <c r="B227">
        <v>4</v>
      </c>
      <c r="C227">
        <v>3</v>
      </c>
      <c r="D227">
        <v>4</v>
      </c>
      <c r="E227">
        <v>2</v>
      </c>
      <c r="F227">
        <v>3</v>
      </c>
      <c r="G227">
        <v>4</v>
      </c>
      <c r="H227">
        <v>4</v>
      </c>
      <c r="I227">
        <v>3</v>
      </c>
      <c r="J227">
        <v>4</v>
      </c>
      <c r="K227">
        <v>5</v>
      </c>
      <c r="L227">
        <v>4</v>
      </c>
      <c r="M227">
        <v>4</v>
      </c>
      <c r="N227">
        <v>4</v>
      </c>
      <c r="O227">
        <v>4</v>
      </c>
      <c r="P227">
        <v>4</v>
      </c>
      <c r="Q227">
        <v>3</v>
      </c>
      <c r="R227">
        <v>1</v>
      </c>
      <c r="S227">
        <v>3</v>
      </c>
      <c r="T227">
        <v>3</v>
      </c>
      <c r="U227">
        <v>3</v>
      </c>
    </row>
    <row r="228" spans="1:21">
      <c r="A228">
        <v>5</v>
      </c>
      <c r="B228">
        <v>4</v>
      </c>
      <c r="C228">
        <v>4</v>
      </c>
      <c r="D228">
        <v>5</v>
      </c>
      <c r="E228">
        <v>5</v>
      </c>
      <c r="F228">
        <v>5</v>
      </c>
      <c r="G228">
        <v>5</v>
      </c>
      <c r="H228">
        <v>5</v>
      </c>
      <c r="I228">
        <v>5</v>
      </c>
      <c r="J228">
        <v>2</v>
      </c>
      <c r="K228">
        <v>4</v>
      </c>
      <c r="L228">
        <v>4</v>
      </c>
      <c r="M228">
        <v>5</v>
      </c>
      <c r="N228">
        <v>5</v>
      </c>
      <c r="O228">
        <v>4</v>
      </c>
      <c r="P228">
        <v>4</v>
      </c>
      <c r="Q228">
        <v>5</v>
      </c>
      <c r="R228">
        <v>5</v>
      </c>
      <c r="S228">
        <v>4</v>
      </c>
      <c r="T228">
        <v>5</v>
      </c>
      <c r="U228">
        <v>4</v>
      </c>
    </row>
    <row r="229" spans="1:21">
      <c r="A229">
        <v>4</v>
      </c>
      <c r="B229">
        <v>3</v>
      </c>
      <c r="C229">
        <v>4</v>
      </c>
      <c r="D229">
        <v>4</v>
      </c>
      <c r="E229">
        <v>4</v>
      </c>
      <c r="F229">
        <v>4</v>
      </c>
      <c r="G229">
        <v>5</v>
      </c>
      <c r="H229">
        <v>3</v>
      </c>
      <c r="I229">
        <v>4</v>
      </c>
      <c r="J229">
        <v>4</v>
      </c>
      <c r="K229">
        <v>5</v>
      </c>
      <c r="L229">
        <v>3</v>
      </c>
      <c r="M229">
        <v>3</v>
      </c>
      <c r="N229">
        <v>4</v>
      </c>
      <c r="O229">
        <v>3</v>
      </c>
      <c r="P229">
        <v>3</v>
      </c>
      <c r="Q229">
        <v>4</v>
      </c>
      <c r="R229">
        <v>2</v>
      </c>
      <c r="S229">
        <v>3</v>
      </c>
      <c r="T229">
        <v>3</v>
      </c>
      <c r="U229">
        <v>3</v>
      </c>
    </row>
    <row r="230" spans="1:21">
      <c r="A230">
        <v>2</v>
      </c>
      <c r="B230">
        <v>1</v>
      </c>
      <c r="C230">
        <v>2</v>
      </c>
      <c r="D230">
        <v>4</v>
      </c>
      <c r="E230">
        <v>4</v>
      </c>
      <c r="F230">
        <v>4</v>
      </c>
      <c r="G230">
        <v>4</v>
      </c>
      <c r="H230">
        <v>4</v>
      </c>
      <c r="I230">
        <v>4</v>
      </c>
      <c r="J230">
        <v>3</v>
      </c>
      <c r="K230">
        <v>4</v>
      </c>
      <c r="L230">
        <v>3</v>
      </c>
      <c r="M230">
        <v>4</v>
      </c>
      <c r="N230">
        <v>3</v>
      </c>
      <c r="O230">
        <v>4</v>
      </c>
      <c r="P230">
        <v>4</v>
      </c>
      <c r="Q230">
        <v>4</v>
      </c>
      <c r="R230">
        <v>2</v>
      </c>
      <c r="S230">
        <v>4</v>
      </c>
      <c r="T230">
        <v>4</v>
      </c>
      <c r="U230">
        <v>4</v>
      </c>
    </row>
    <row r="231" spans="1:21">
      <c r="A231">
        <v>3</v>
      </c>
      <c r="B231">
        <v>3</v>
      </c>
      <c r="C231">
        <v>4</v>
      </c>
      <c r="D231">
        <v>5</v>
      </c>
      <c r="E231">
        <v>5</v>
      </c>
      <c r="F231">
        <v>4</v>
      </c>
      <c r="G231">
        <v>4</v>
      </c>
      <c r="H231">
        <v>4</v>
      </c>
      <c r="I231">
        <v>4</v>
      </c>
      <c r="J231">
        <v>3</v>
      </c>
      <c r="K231">
        <v>4</v>
      </c>
      <c r="L231">
        <v>4</v>
      </c>
      <c r="M231">
        <v>4</v>
      </c>
      <c r="N231">
        <v>3</v>
      </c>
      <c r="O231">
        <v>3</v>
      </c>
      <c r="P231">
        <v>4</v>
      </c>
      <c r="Q231">
        <v>4</v>
      </c>
      <c r="R231">
        <v>4</v>
      </c>
      <c r="S231">
        <v>3</v>
      </c>
      <c r="T231">
        <v>3</v>
      </c>
      <c r="U231">
        <v>3</v>
      </c>
    </row>
    <row r="232" spans="1:21">
      <c r="A232">
        <v>1</v>
      </c>
      <c r="B232">
        <v>2</v>
      </c>
      <c r="C232">
        <v>3</v>
      </c>
      <c r="D232">
        <v>1</v>
      </c>
      <c r="E232">
        <v>1</v>
      </c>
      <c r="F232">
        <v>2</v>
      </c>
      <c r="G232">
        <v>3</v>
      </c>
      <c r="H232">
        <v>1</v>
      </c>
      <c r="I232">
        <v>1</v>
      </c>
      <c r="J232">
        <v>2</v>
      </c>
      <c r="K232">
        <v>2</v>
      </c>
      <c r="L232">
        <v>1</v>
      </c>
      <c r="M232">
        <v>1</v>
      </c>
      <c r="N232">
        <v>1</v>
      </c>
      <c r="O232">
        <v>1</v>
      </c>
      <c r="P232">
        <v>3</v>
      </c>
      <c r="Q232">
        <v>2</v>
      </c>
      <c r="R232">
        <v>2</v>
      </c>
      <c r="S232">
        <v>1</v>
      </c>
      <c r="T232">
        <v>1</v>
      </c>
      <c r="U232">
        <v>1</v>
      </c>
    </row>
    <row r="233" spans="1:21">
      <c r="A233">
        <v>3</v>
      </c>
      <c r="B233">
        <v>3</v>
      </c>
      <c r="C233">
        <v>4</v>
      </c>
      <c r="D233">
        <v>4</v>
      </c>
      <c r="E233">
        <v>4</v>
      </c>
      <c r="F233">
        <v>4</v>
      </c>
      <c r="G233">
        <v>3</v>
      </c>
      <c r="H233">
        <v>2</v>
      </c>
      <c r="I233">
        <v>2</v>
      </c>
      <c r="J233">
        <v>2</v>
      </c>
      <c r="K233">
        <v>4</v>
      </c>
      <c r="L233">
        <v>3</v>
      </c>
      <c r="M233">
        <v>4</v>
      </c>
      <c r="N233">
        <v>2</v>
      </c>
      <c r="O233">
        <v>4</v>
      </c>
      <c r="P233">
        <v>4</v>
      </c>
      <c r="Q233">
        <v>3</v>
      </c>
      <c r="R233">
        <v>3</v>
      </c>
      <c r="S233">
        <v>3</v>
      </c>
      <c r="T233">
        <v>2</v>
      </c>
      <c r="U233">
        <v>2</v>
      </c>
    </row>
    <row r="234" spans="1:21">
      <c r="A234">
        <v>3</v>
      </c>
      <c r="B234">
        <v>2</v>
      </c>
      <c r="C234">
        <v>3</v>
      </c>
      <c r="D234">
        <v>2</v>
      </c>
      <c r="E234">
        <v>4</v>
      </c>
      <c r="F234">
        <v>4</v>
      </c>
      <c r="G234">
        <v>3</v>
      </c>
      <c r="H234">
        <v>2</v>
      </c>
      <c r="I234">
        <v>3</v>
      </c>
      <c r="J234">
        <v>3</v>
      </c>
      <c r="K234">
        <v>4</v>
      </c>
      <c r="L234">
        <v>3</v>
      </c>
      <c r="M234">
        <v>3</v>
      </c>
      <c r="N234">
        <v>3</v>
      </c>
      <c r="O234">
        <v>4</v>
      </c>
      <c r="P234">
        <v>4</v>
      </c>
      <c r="Q234">
        <v>4</v>
      </c>
      <c r="R234">
        <v>4</v>
      </c>
      <c r="S234">
        <v>2</v>
      </c>
      <c r="T234">
        <v>3</v>
      </c>
      <c r="U234">
        <v>3</v>
      </c>
    </row>
    <row r="235" spans="1:21">
      <c r="A235">
        <v>4</v>
      </c>
      <c r="B235">
        <v>2</v>
      </c>
      <c r="C235">
        <v>2</v>
      </c>
      <c r="D235">
        <v>4</v>
      </c>
      <c r="E235">
        <v>4</v>
      </c>
      <c r="F235">
        <v>4</v>
      </c>
      <c r="G235">
        <v>2</v>
      </c>
      <c r="H235">
        <v>3</v>
      </c>
      <c r="I235">
        <v>4</v>
      </c>
      <c r="J235">
        <v>3</v>
      </c>
      <c r="K235">
        <v>4</v>
      </c>
      <c r="L235">
        <v>2</v>
      </c>
      <c r="M235">
        <v>4</v>
      </c>
      <c r="N235">
        <v>4</v>
      </c>
      <c r="O235">
        <v>4</v>
      </c>
      <c r="P235">
        <v>5</v>
      </c>
      <c r="Q235">
        <v>4</v>
      </c>
      <c r="R235">
        <v>4</v>
      </c>
      <c r="S235">
        <v>4</v>
      </c>
      <c r="T235">
        <v>4</v>
      </c>
      <c r="U235">
        <v>4</v>
      </c>
    </row>
    <row r="236" spans="1:21">
      <c r="A236">
        <v>4</v>
      </c>
      <c r="B236">
        <v>2</v>
      </c>
      <c r="C236">
        <v>4</v>
      </c>
      <c r="D236">
        <v>4</v>
      </c>
      <c r="E236">
        <v>4</v>
      </c>
      <c r="F236">
        <v>4</v>
      </c>
      <c r="G236">
        <v>3</v>
      </c>
      <c r="H236">
        <v>2</v>
      </c>
      <c r="I236">
        <v>3</v>
      </c>
      <c r="J236">
        <v>2</v>
      </c>
      <c r="K236">
        <v>4</v>
      </c>
      <c r="L236">
        <v>3</v>
      </c>
      <c r="M236">
        <v>3</v>
      </c>
      <c r="N236">
        <v>3</v>
      </c>
      <c r="O236">
        <v>4</v>
      </c>
      <c r="P236">
        <v>4</v>
      </c>
      <c r="Q236">
        <v>3</v>
      </c>
      <c r="R236">
        <v>2</v>
      </c>
      <c r="S236">
        <v>2</v>
      </c>
      <c r="T236">
        <v>3</v>
      </c>
      <c r="U236">
        <v>3</v>
      </c>
    </row>
    <row r="237" spans="1:21">
      <c r="A237">
        <v>3</v>
      </c>
      <c r="B237">
        <v>1</v>
      </c>
      <c r="C237">
        <v>2</v>
      </c>
      <c r="D237">
        <v>5</v>
      </c>
      <c r="E237">
        <v>5</v>
      </c>
      <c r="F237">
        <v>5</v>
      </c>
      <c r="G237">
        <v>2</v>
      </c>
      <c r="H237">
        <v>4</v>
      </c>
      <c r="I237">
        <v>3</v>
      </c>
      <c r="J237">
        <v>4</v>
      </c>
      <c r="K237">
        <v>4</v>
      </c>
      <c r="L237">
        <v>3</v>
      </c>
      <c r="M237">
        <v>4</v>
      </c>
      <c r="N237">
        <v>5</v>
      </c>
      <c r="O237">
        <v>4</v>
      </c>
      <c r="P237">
        <v>5</v>
      </c>
      <c r="Q237">
        <v>5</v>
      </c>
      <c r="R237">
        <v>4</v>
      </c>
      <c r="S237">
        <v>4</v>
      </c>
      <c r="T237">
        <v>4</v>
      </c>
      <c r="U237">
        <v>4</v>
      </c>
    </row>
    <row r="238" spans="1:21">
      <c r="A238">
        <v>2</v>
      </c>
      <c r="B238">
        <v>2</v>
      </c>
      <c r="C238">
        <v>2</v>
      </c>
      <c r="D238">
        <v>1</v>
      </c>
      <c r="E238">
        <v>2</v>
      </c>
      <c r="F238">
        <v>3</v>
      </c>
      <c r="G238">
        <v>4</v>
      </c>
      <c r="H238">
        <v>2</v>
      </c>
      <c r="I238">
        <v>2</v>
      </c>
      <c r="J238">
        <v>2</v>
      </c>
      <c r="K238">
        <v>4</v>
      </c>
      <c r="L238">
        <v>2</v>
      </c>
      <c r="M238">
        <v>1</v>
      </c>
      <c r="N238">
        <v>2</v>
      </c>
      <c r="O238">
        <v>2</v>
      </c>
      <c r="P238">
        <v>3</v>
      </c>
      <c r="Q238">
        <v>3</v>
      </c>
      <c r="R238">
        <v>3</v>
      </c>
      <c r="S238">
        <v>2</v>
      </c>
      <c r="T238">
        <v>2</v>
      </c>
      <c r="U238">
        <v>2</v>
      </c>
    </row>
    <row r="239" spans="1:21">
      <c r="A239">
        <v>4</v>
      </c>
      <c r="B239">
        <v>3</v>
      </c>
      <c r="C239">
        <v>4</v>
      </c>
      <c r="D239">
        <v>5</v>
      </c>
      <c r="E239">
        <v>4</v>
      </c>
      <c r="F239">
        <v>4</v>
      </c>
      <c r="G239">
        <v>5</v>
      </c>
      <c r="H239">
        <v>5</v>
      </c>
      <c r="I239">
        <v>3</v>
      </c>
      <c r="J239">
        <v>4</v>
      </c>
      <c r="K239">
        <v>4</v>
      </c>
      <c r="L239">
        <v>4</v>
      </c>
      <c r="M239">
        <v>4</v>
      </c>
      <c r="N239">
        <v>3</v>
      </c>
      <c r="O239">
        <v>4</v>
      </c>
      <c r="P239">
        <v>4</v>
      </c>
      <c r="Q239">
        <v>4</v>
      </c>
      <c r="R239">
        <v>1</v>
      </c>
      <c r="S239">
        <v>3</v>
      </c>
      <c r="T239">
        <v>3</v>
      </c>
      <c r="U239">
        <v>3</v>
      </c>
    </row>
    <row r="240" spans="1:21">
      <c r="A240">
        <v>2</v>
      </c>
      <c r="B240">
        <v>3</v>
      </c>
      <c r="C240">
        <v>2</v>
      </c>
      <c r="D240">
        <v>5</v>
      </c>
      <c r="E240">
        <v>4</v>
      </c>
      <c r="F240">
        <v>5</v>
      </c>
      <c r="G240">
        <v>2</v>
      </c>
      <c r="H240">
        <v>4</v>
      </c>
      <c r="I240">
        <v>4</v>
      </c>
      <c r="J240">
        <v>2</v>
      </c>
      <c r="K240">
        <v>4</v>
      </c>
      <c r="L240">
        <v>3</v>
      </c>
      <c r="M240">
        <v>4</v>
      </c>
      <c r="N240">
        <v>3</v>
      </c>
      <c r="O240">
        <v>4</v>
      </c>
      <c r="P240">
        <v>4</v>
      </c>
      <c r="Q240">
        <v>4</v>
      </c>
      <c r="R240">
        <v>2</v>
      </c>
      <c r="S240">
        <v>2</v>
      </c>
      <c r="T240">
        <v>2</v>
      </c>
      <c r="U240">
        <v>2</v>
      </c>
    </row>
    <row r="241" spans="1:21">
      <c r="A241">
        <v>4</v>
      </c>
      <c r="B241">
        <v>4</v>
      </c>
      <c r="C241">
        <v>3</v>
      </c>
      <c r="D241">
        <v>3</v>
      </c>
      <c r="E241">
        <v>4</v>
      </c>
      <c r="F241">
        <v>3</v>
      </c>
      <c r="G241">
        <v>4</v>
      </c>
      <c r="H241">
        <v>4</v>
      </c>
      <c r="I241">
        <v>4</v>
      </c>
      <c r="J241">
        <v>4</v>
      </c>
      <c r="K241">
        <v>4</v>
      </c>
      <c r="L241">
        <v>4</v>
      </c>
      <c r="M241">
        <v>4</v>
      </c>
      <c r="N241">
        <v>3</v>
      </c>
      <c r="O241">
        <v>4</v>
      </c>
      <c r="P241">
        <v>4</v>
      </c>
      <c r="Q241">
        <v>4</v>
      </c>
      <c r="R241">
        <v>3</v>
      </c>
      <c r="S241">
        <v>2</v>
      </c>
      <c r="T241">
        <v>4</v>
      </c>
      <c r="U241">
        <v>4</v>
      </c>
    </row>
    <row r="242" spans="1:21">
      <c r="A242">
        <v>2</v>
      </c>
      <c r="B242">
        <v>1</v>
      </c>
      <c r="C242">
        <v>3</v>
      </c>
      <c r="D242">
        <v>4</v>
      </c>
      <c r="E242">
        <v>4</v>
      </c>
      <c r="F242">
        <v>4</v>
      </c>
      <c r="G242">
        <v>4</v>
      </c>
      <c r="H242">
        <v>2</v>
      </c>
      <c r="I242">
        <v>3</v>
      </c>
      <c r="J242">
        <v>3</v>
      </c>
      <c r="K242">
        <v>4</v>
      </c>
      <c r="L242">
        <v>3</v>
      </c>
      <c r="M242">
        <v>3</v>
      </c>
      <c r="N242">
        <v>2</v>
      </c>
      <c r="O242">
        <v>4</v>
      </c>
      <c r="P242">
        <v>4</v>
      </c>
      <c r="Q242">
        <v>3</v>
      </c>
      <c r="R242">
        <v>3</v>
      </c>
      <c r="S242">
        <v>2</v>
      </c>
      <c r="T242">
        <v>2</v>
      </c>
      <c r="U242">
        <v>2</v>
      </c>
    </row>
    <row r="243" spans="1:21">
      <c r="A243">
        <v>1</v>
      </c>
      <c r="B243">
        <v>2</v>
      </c>
      <c r="C243">
        <v>3</v>
      </c>
      <c r="D243">
        <v>2</v>
      </c>
      <c r="E243">
        <v>3</v>
      </c>
      <c r="F243">
        <v>2</v>
      </c>
      <c r="G243">
        <v>2</v>
      </c>
      <c r="H243">
        <v>2</v>
      </c>
      <c r="I243">
        <v>2</v>
      </c>
      <c r="J243">
        <v>2</v>
      </c>
      <c r="K243">
        <v>4</v>
      </c>
      <c r="L243">
        <v>3</v>
      </c>
      <c r="M243">
        <v>3</v>
      </c>
      <c r="N243">
        <v>2</v>
      </c>
      <c r="O243">
        <v>2</v>
      </c>
      <c r="P243">
        <v>3</v>
      </c>
      <c r="Q243">
        <v>2</v>
      </c>
      <c r="R243">
        <v>2</v>
      </c>
      <c r="S243">
        <v>2</v>
      </c>
      <c r="T243">
        <v>3</v>
      </c>
      <c r="U243">
        <v>3</v>
      </c>
    </row>
    <row r="244" spans="1:21">
      <c r="A244">
        <v>4</v>
      </c>
      <c r="B244">
        <v>4</v>
      </c>
      <c r="C244">
        <v>3</v>
      </c>
      <c r="D244">
        <v>4</v>
      </c>
      <c r="E244">
        <v>4</v>
      </c>
      <c r="F244">
        <v>4</v>
      </c>
      <c r="G244">
        <v>4</v>
      </c>
      <c r="H244">
        <v>3</v>
      </c>
      <c r="I244">
        <v>4</v>
      </c>
      <c r="J244">
        <v>2</v>
      </c>
      <c r="K244">
        <v>4</v>
      </c>
      <c r="L244">
        <v>2</v>
      </c>
      <c r="M244">
        <v>3</v>
      </c>
      <c r="N244">
        <v>4</v>
      </c>
      <c r="O244">
        <v>4</v>
      </c>
      <c r="P244">
        <v>4</v>
      </c>
      <c r="Q244">
        <v>4</v>
      </c>
      <c r="R244">
        <v>4</v>
      </c>
      <c r="S244">
        <v>3</v>
      </c>
      <c r="T244">
        <v>2</v>
      </c>
      <c r="U244">
        <v>2</v>
      </c>
    </row>
    <row r="245" spans="1:21">
      <c r="A245">
        <v>2</v>
      </c>
      <c r="B245">
        <v>2</v>
      </c>
      <c r="C245">
        <v>2</v>
      </c>
      <c r="D245">
        <v>2</v>
      </c>
      <c r="E245">
        <v>2</v>
      </c>
      <c r="F245">
        <v>2</v>
      </c>
      <c r="G245">
        <v>1</v>
      </c>
      <c r="H245">
        <v>2</v>
      </c>
      <c r="I245">
        <v>4</v>
      </c>
      <c r="J245">
        <v>4</v>
      </c>
      <c r="K245">
        <v>3</v>
      </c>
      <c r="L245">
        <v>4</v>
      </c>
      <c r="M245">
        <v>3</v>
      </c>
      <c r="N245">
        <v>2</v>
      </c>
      <c r="O245">
        <v>2</v>
      </c>
      <c r="P245">
        <v>3</v>
      </c>
      <c r="Q245">
        <v>3</v>
      </c>
      <c r="R245">
        <v>5</v>
      </c>
      <c r="S245">
        <v>1</v>
      </c>
      <c r="T245">
        <v>2</v>
      </c>
      <c r="U245">
        <v>1</v>
      </c>
    </row>
    <row r="246" spans="1:21">
      <c r="A246">
        <v>1</v>
      </c>
      <c r="B246">
        <v>2</v>
      </c>
      <c r="C246">
        <v>3</v>
      </c>
      <c r="D246">
        <v>5</v>
      </c>
      <c r="E246">
        <v>5</v>
      </c>
      <c r="F246">
        <v>4</v>
      </c>
      <c r="G246">
        <v>2</v>
      </c>
      <c r="H246">
        <v>1</v>
      </c>
      <c r="I246">
        <v>3</v>
      </c>
      <c r="J246">
        <v>2</v>
      </c>
      <c r="K246">
        <v>2</v>
      </c>
      <c r="L246">
        <v>2</v>
      </c>
      <c r="M246">
        <v>2</v>
      </c>
      <c r="N246">
        <v>1</v>
      </c>
      <c r="O246">
        <v>4</v>
      </c>
      <c r="P246">
        <v>5</v>
      </c>
      <c r="Q246">
        <v>3</v>
      </c>
      <c r="R246">
        <v>4</v>
      </c>
      <c r="S246">
        <v>1</v>
      </c>
      <c r="T246">
        <v>1</v>
      </c>
      <c r="U246">
        <v>1</v>
      </c>
    </row>
    <row r="247" spans="1:21">
      <c r="A247">
        <v>4</v>
      </c>
      <c r="B247">
        <v>2</v>
      </c>
      <c r="C247">
        <v>4</v>
      </c>
      <c r="D247">
        <v>4</v>
      </c>
      <c r="E247">
        <v>5</v>
      </c>
      <c r="F247">
        <v>5</v>
      </c>
      <c r="G247">
        <v>4</v>
      </c>
      <c r="H247">
        <v>4</v>
      </c>
      <c r="I247">
        <v>5</v>
      </c>
      <c r="J247">
        <v>4</v>
      </c>
      <c r="K247">
        <v>4</v>
      </c>
      <c r="L247">
        <v>4</v>
      </c>
      <c r="M247">
        <v>5</v>
      </c>
      <c r="N247">
        <v>5</v>
      </c>
      <c r="O247">
        <v>5</v>
      </c>
      <c r="P247">
        <v>5</v>
      </c>
      <c r="Q247">
        <v>5</v>
      </c>
      <c r="R247">
        <v>4</v>
      </c>
      <c r="S247">
        <v>5</v>
      </c>
      <c r="T247">
        <v>5</v>
      </c>
      <c r="U247">
        <v>5</v>
      </c>
    </row>
    <row r="248" spans="1:21">
      <c r="A248">
        <v>3</v>
      </c>
      <c r="B248">
        <v>2</v>
      </c>
      <c r="C248">
        <v>4</v>
      </c>
      <c r="D248">
        <v>3</v>
      </c>
      <c r="E248">
        <v>2</v>
      </c>
      <c r="F248">
        <v>3</v>
      </c>
      <c r="G248">
        <v>4</v>
      </c>
      <c r="H248">
        <v>4</v>
      </c>
      <c r="I248">
        <v>3</v>
      </c>
      <c r="J248">
        <v>4</v>
      </c>
      <c r="K248">
        <v>3</v>
      </c>
      <c r="L248">
        <v>3</v>
      </c>
      <c r="M248">
        <v>4</v>
      </c>
      <c r="N248">
        <v>4</v>
      </c>
      <c r="O248">
        <v>3</v>
      </c>
      <c r="P248">
        <v>2</v>
      </c>
      <c r="Q248">
        <v>4</v>
      </c>
      <c r="R248">
        <v>3</v>
      </c>
      <c r="S248">
        <v>5</v>
      </c>
      <c r="T248">
        <v>4</v>
      </c>
      <c r="U248">
        <v>4</v>
      </c>
    </row>
    <row r="249" spans="1:21">
      <c r="A249">
        <v>4</v>
      </c>
      <c r="B249">
        <v>4</v>
      </c>
      <c r="C249">
        <v>3</v>
      </c>
      <c r="D249">
        <v>4</v>
      </c>
      <c r="E249">
        <v>4</v>
      </c>
      <c r="F249">
        <v>4</v>
      </c>
      <c r="G249">
        <v>3</v>
      </c>
      <c r="H249">
        <v>4</v>
      </c>
      <c r="I249">
        <v>4</v>
      </c>
      <c r="J249">
        <v>3</v>
      </c>
      <c r="K249">
        <v>3</v>
      </c>
      <c r="L249">
        <v>3</v>
      </c>
      <c r="M249">
        <v>4</v>
      </c>
      <c r="N249">
        <v>4</v>
      </c>
      <c r="O249">
        <v>3</v>
      </c>
      <c r="P249">
        <v>4</v>
      </c>
      <c r="Q249">
        <v>4</v>
      </c>
      <c r="R249">
        <v>2</v>
      </c>
      <c r="S249">
        <v>4</v>
      </c>
      <c r="T249">
        <v>4</v>
      </c>
      <c r="U249">
        <v>4</v>
      </c>
    </row>
    <row r="250" spans="1:21">
      <c r="A250">
        <v>3</v>
      </c>
      <c r="B250">
        <v>2</v>
      </c>
      <c r="C250">
        <v>3</v>
      </c>
      <c r="D250">
        <v>2</v>
      </c>
      <c r="E250">
        <v>2</v>
      </c>
      <c r="F250">
        <v>2</v>
      </c>
      <c r="G250">
        <v>3</v>
      </c>
      <c r="H250">
        <v>4</v>
      </c>
      <c r="I250">
        <v>2</v>
      </c>
      <c r="J250">
        <v>2</v>
      </c>
      <c r="K250">
        <v>5</v>
      </c>
      <c r="L250">
        <v>4</v>
      </c>
      <c r="M250">
        <v>3</v>
      </c>
      <c r="N250">
        <v>3</v>
      </c>
      <c r="O250">
        <v>2</v>
      </c>
      <c r="P250">
        <v>2</v>
      </c>
      <c r="Q250">
        <v>4</v>
      </c>
      <c r="R250">
        <v>1</v>
      </c>
      <c r="S250">
        <v>4</v>
      </c>
      <c r="T250">
        <v>5</v>
      </c>
      <c r="U250">
        <v>4</v>
      </c>
    </row>
    <row r="251" spans="1:21">
      <c r="A251">
        <v>3</v>
      </c>
      <c r="B251">
        <v>2</v>
      </c>
      <c r="C251">
        <v>4</v>
      </c>
      <c r="D251">
        <v>4</v>
      </c>
      <c r="E251">
        <v>4</v>
      </c>
      <c r="F251">
        <v>4</v>
      </c>
      <c r="G251">
        <v>4</v>
      </c>
      <c r="H251">
        <v>3</v>
      </c>
      <c r="I251">
        <v>4</v>
      </c>
      <c r="J251">
        <v>3</v>
      </c>
      <c r="K251">
        <v>4</v>
      </c>
      <c r="L251">
        <v>3</v>
      </c>
      <c r="M251">
        <v>4</v>
      </c>
      <c r="N251">
        <v>3</v>
      </c>
      <c r="O251">
        <v>3</v>
      </c>
      <c r="P251">
        <v>5</v>
      </c>
      <c r="Q251">
        <v>4</v>
      </c>
      <c r="R251">
        <v>3</v>
      </c>
      <c r="S251">
        <v>4</v>
      </c>
      <c r="T251">
        <v>3</v>
      </c>
      <c r="U251">
        <v>3</v>
      </c>
    </row>
    <row r="252" spans="1:21">
      <c r="A252">
        <v>3</v>
      </c>
      <c r="B252">
        <v>2</v>
      </c>
      <c r="C252">
        <v>2</v>
      </c>
      <c r="D252">
        <v>4</v>
      </c>
      <c r="E252">
        <v>2</v>
      </c>
      <c r="F252">
        <v>4</v>
      </c>
      <c r="G252">
        <v>3</v>
      </c>
      <c r="H252">
        <v>2</v>
      </c>
      <c r="I252">
        <v>3</v>
      </c>
      <c r="J252">
        <v>3</v>
      </c>
      <c r="K252">
        <v>2</v>
      </c>
      <c r="L252">
        <v>3</v>
      </c>
      <c r="M252">
        <v>4</v>
      </c>
      <c r="N252">
        <v>4</v>
      </c>
      <c r="O252">
        <v>4</v>
      </c>
      <c r="P252">
        <v>3</v>
      </c>
      <c r="Q252">
        <v>4</v>
      </c>
      <c r="R252">
        <v>4</v>
      </c>
      <c r="S252">
        <v>3</v>
      </c>
      <c r="T252">
        <v>3</v>
      </c>
      <c r="U252">
        <v>3</v>
      </c>
    </row>
    <row r="253" spans="1:21">
      <c r="A253">
        <v>4</v>
      </c>
      <c r="B253">
        <v>2</v>
      </c>
      <c r="C253">
        <v>4</v>
      </c>
      <c r="D253">
        <v>5</v>
      </c>
      <c r="E253">
        <v>5</v>
      </c>
      <c r="F253">
        <v>5</v>
      </c>
      <c r="G253">
        <v>4</v>
      </c>
      <c r="H253">
        <v>4</v>
      </c>
      <c r="I253">
        <v>5</v>
      </c>
      <c r="J253">
        <v>3</v>
      </c>
      <c r="K253">
        <v>5</v>
      </c>
      <c r="L253">
        <v>4</v>
      </c>
      <c r="M253">
        <v>4</v>
      </c>
      <c r="N253">
        <v>4</v>
      </c>
      <c r="O253">
        <v>5</v>
      </c>
      <c r="P253">
        <v>5</v>
      </c>
      <c r="Q253">
        <v>5</v>
      </c>
      <c r="R253">
        <v>4</v>
      </c>
      <c r="S253">
        <v>3</v>
      </c>
      <c r="T253">
        <v>3</v>
      </c>
      <c r="U253">
        <v>3</v>
      </c>
    </row>
    <row r="254" spans="1:21">
      <c r="A254">
        <v>1</v>
      </c>
      <c r="B254">
        <v>1</v>
      </c>
      <c r="C254">
        <v>1</v>
      </c>
      <c r="D254">
        <v>2</v>
      </c>
      <c r="E254">
        <v>1</v>
      </c>
      <c r="F254">
        <v>2</v>
      </c>
      <c r="G254">
        <v>2</v>
      </c>
      <c r="H254">
        <v>3</v>
      </c>
      <c r="I254">
        <v>2</v>
      </c>
      <c r="J254">
        <v>1</v>
      </c>
      <c r="K254">
        <v>4</v>
      </c>
      <c r="L254">
        <v>1</v>
      </c>
      <c r="M254">
        <v>2</v>
      </c>
      <c r="N254">
        <v>1</v>
      </c>
      <c r="O254">
        <v>1</v>
      </c>
      <c r="P254">
        <v>1</v>
      </c>
      <c r="Q254">
        <v>3</v>
      </c>
      <c r="R254">
        <v>3</v>
      </c>
      <c r="S254">
        <v>1</v>
      </c>
      <c r="T254">
        <v>2</v>
      </c>
      <c r="U254">
        <v>1</v>
      </c>
    </row>
    <row r="255" spans="1:21">
      <c r="A255">
        <v>4</v>
      </c>
      <c r="B255">
        <v>4</v>
      </c>
      <c r="C255">
        <v>4</v>
      </c>
      <c r="D255">
        <v>3</v>
      </c>
      <c r="E255">
        <v>4</v>
      </c>
      <c r="F255">
        <v>4</v>
      </c>
      <c r="G255">
        <v>4</v>
      </c>
      <c r="H255">
        <v>3</v>
      </c>
      <c r="I255">
        <v>4</v>
      </c>
      <c r="J255">
        <v>3</v>
      </c>
      <c r="K255">
        <v>4</v>
      </c>
      <c r="L255">
        <v>4</v>
      </c>
      <c r="M255">
        <v>3</v>
      </c>
      <c r="N255">
        <v>3</v>
      </c>
      <c r="O255">
        <v>5</v>
      </c>
      <c r="P255">
        <v>3</v>
      </c>
      <c r="Q255">
        <v>4</v>
      </c>
      <c r="R255">
        <v>3</v>
      </c>
      <c r="S255">
        <v>2</v>
      </c>
      <c r="T255">
        <v>3</v>
      </c>
      <c r="U255">
        <v>3</v>
      </c>
    </row>
    <row r="256" spans="1:21">
      <c r="A256">
        <v>4</v>
      </c>
      <c r="B256">
        <v>2</v>
      </c>
      <c r="C256">
        <v>2</v>
      </c>
      <c r="D256">
        <v>2</v>
      </c>
      <c r="E256">
        <v>2</v>
      </c>
      <c r="F256">
        <v>2</v>
      </c>
      <c r="G256">
        <v>2</v>
      </c>
      <c r="H256">
        <v>2</v>
      </c>
      <c r="I256">
        <v>3</v>
      </c>
      <c r="J256">
        <v>2</v>
      </c>
      <c r="K256">
        <v>3</v>
      </c>
      <c r="L256">
        <v>2</v>
      </c>
      <c r="M256">
        <v>2</v>
      </c>
      <c r="N256">
        <v>3</v>
      </c>
      <c r="O256">
        <v>2</v>
      </c>
      <c r="P256">
        <v>4</v>
      </c>
      <c r="Q256">
        <v>3</v>
      </c>
      <c r="R256">
        <v>2</v>
      </c>
      <c r="S256">
        <v>2</v>
      </c>
      <c r="T256">
        <v>2</v>
      </c>
      <c r="U256">
        <v>2</v>
      </c>
    </row>
    <row r="257" spans="1:21">
      <c r="A257">
        <v>2</v>
      </c>
      <c r="B257">
        <v>3</v>
      </c>
      <c r="C257">
        <v>4</v>
      </c>
      <c r="D257">
        <v>4</v>
      </c>
      <c r="E257">
        <v>4</v>
      </c>
      <c r="F257">
        <v>4</v>
      </c>
      <c r="G257">
        <v>4</v>
      </c>
      <c r="H257">
        <v>4</v>
      </c>
      <c r="I257">
        <v>4</v>
      </c>
      <c r="J257">
        <v>4</v>
      </c>
      <c r="K257">
        <v>4</v>
      </c>
      <c r="L257">
        <v>4</v>
      </c>
      <c r="M257">
        <v>4</v>
      </c>
      <c r="N257">
        <v>2</v>
      </c>
      <c r="O257">
        <v>4</v>
      </c>
      <c r="P257">
        <v>4</v>
      </c>
      <c r="Q257">
        <v>5</v>
      </c>
      <c r="R257">
        <v>1</v>
      </c>
      <c r="S257">
        <v>2</v>
      </c>
      <c r="T257">
        <v>1</v>
      </c>
      <c r="U257">
        <v>2</v>
      </c>
    </row>
    <row r="258" spans="1:21">
      <c r="A258">
        <v>5</v>
      </c>
      <c r="B258">
        <v>5</v>
      </c>
      <c r="C258">
        <v>4</v>
      </c>
      <c r="D258">
        <v>5</v>
      </c>
      <c r="E258">
        <v>4</v>
      </c>
      <c r="F258">
        <v>4</v>
      </c>
      <c r="G258">
        <v>4</v>
      </c>
      <c r="H258">
        <v>4</v>
      </c>
      <c r="I258">
        <v>4</v>
      </c>
      <c r="J258">
        <v>3</v>
      </c>
      <c r="K258">
        <v>5</v>
      </c>
      <c r="L258">
        <v>4</v>
      </c>
      <c r="M258">
        <v>5</v>
      </c>
      <c r="N258">
        <v>3</v>
      </c>
      <c r="O258">
        <v>4</v>
      </c>
      <c r="P258">
        <v>4</v>
      </c>
      <c r="Q258">
        <v>4</v>
      </c>
      <c r="R258">
        <v>4</v>
      </c>
      <c r="S258">
        <v>4</v>
      </c>
      <c r="T258">
        <v>3</v>
      </c>
      <c r="U258">
        <v>3</v>
      </c>
    </row>
    <row r="259" spans="1:21">
      <c r="A259">
        <v>3</v>
      </c>
      <c r="B259">
        <v>2</v>
      </c>
      <c r="C259">
        <v>1</v>
      </c>
      <c r="D259">
        <v>5</v>
      </c>
      <c r="E259">
        <v>5</v>
      </c>
      <c r="F259">
        <v>5</v>
      </c>
      <c r="G259">
        <v>2</v>
      </c>
      <c r="H259">
        <v>3</v>
      </c>
      <c r="I259">
        <v>4</v>
      </c>
      <c r="J259">
        <v>2</v>
      </c>
      <c r="K259">
        <v>2</v>
      </c>
      <c r="L259">
        <v>2</v>
      </c>
      <c r="M259">
        <v>3</v>
      </c>
      <c r="N259">
        <v>3</v>
      </c>
      <c r="O259">
        <v>4</v>
      </c>
      <c r="P259">
        <v>5</v>
      </c>
      <c r="Q259">
        <v>4</v>
      </c>
      <c r="R259">
        <v>2</v>
      </c>
      <c r="S259">
        <v>3</v>
      </c>
      <c r="T259">
        <v>2</v>
      </c>
      <c r="U259">
        <v>2</v>
      </c>
    </row>
    <row r="260" spans="1:21">
      <c r="A260">
        <v>4</v>
      </c>
      <c r="B260">
        <v>3</v>
      </c>
      <c r="C260">
        <v>2</v>
      </c>
      <c r="D260">
        <v>3</v>
      </c>
      <c r="E260">
        <v>3</v>
      </c>
      <c r="F260">
        <v>4</v>
      </c>
      <c r="G260">
        <v>2</v>
      </c>
      <c r="H260">
        <v>3</v>
      </c>
      <c r="I260">
        <v>3</v>
      </c>
      <c r="J260">
        <v>4</v>
      </c>
      <c r="K260">
        <v>3</v>
      </c>
      <c r="L260">
        <v>3</v>
      </c>
      <c r="M260">
        <v>4</v>
      </c>
      <c r="N260">
        <v>4</v>
      </c>
      <c r="O260">
        <v>3</v>
      </c>
      <c r="P260">
        <v>4</v>
      </c>
      <c r="Q260">
        <v>5</v>
      </c>
      <c r="R260">
        <v>3</v>
      </c>
      <c r="S260">
        <v>2</v>
      </c>
      <c r="T260">
        <v>2</v>
      </c>
      <c r="U260">
        <v>2</v>
      </c>
    </row>
    <row r="261" spans="1:21">
      <c r="A261">
        <v>4</v>
      </c>
      <c r="B261">
        <v>3</v>
      </c>
      <c r="C261">
        <v>4</v>
      </c>
      <c r="D261">
        <v>3</v>
      </c>
      <c r="E261">
        <v>2</v>
      </c>
      <c r="F261">
        <v>2</v>
      </c>
      <c r="G261">
        <v>5</v>
      </c>
      <c r="H261">
        <v>4</v>
      </c>
      <c r="I261">
        <v>5</v>
      </c>
      <c r="J261">
        <v>3</v>
      </c>
      <c r="K261">
        <v>4</v>
      </c>
      <c r="L261">
        <v>4</v>
      </c>
      <c r="M261">
        <v>5</v>
      </c>
      <c r="N261">
        <v>4</v>
      </c>
      <c r="O261">
        <v>2</v>
      </c>
      <c r="P261">
        <v>4</v>
      </c>
      <c r="Q261">
        <v>3</v>
      </c>
      <c r="R261">
        <v>4</v>
      </c>
      <c r="S261">
        <v>2</v>
      </c>
      <c r="T261">
        <v>2</v>
      </c>
      <c r="U261">
        <v>2</v>
      </c>
    </row>
    <row r="262" spans="1:21">
      <c r="A262">
        <v>5</v>
      </c>
      <c r="B262">
        <v>2</v>
      </c>
      <c r="C262">
        <v>4</v>
      </c>
      <c r="D262">
        <v>4</v>
      </c>
      <c r="E262">
        <v>3</v>
      </c>
      <c r="F262">
        <v>4</v>
      </c>
      <c r="G262">
        <v>4</v>
      </c>
      <c r="H262">
        <v>4</v>
      </c>
      <c r="I262">
        <v>4</v>
      </c>
      <c r="J262">
        <v>3</v>
      </c>
      <c r="K262">
        <v>3</v>
      </c>
      <c r="L262">
        <v>3</v>
      </c>
      <c r="M262">
        <v>5</v>
      </c>
      <c r="N262">
        <v>4</v>
      </c>
      <c r="O262">
        <v>4</v>
      </c>
      <c r="P262">
        <v>4</v>
      </c>
      <c r="Q262">
        <v>5</v>
      </c>
      <c r="R262">
        <v>4</v>
      </c>
      <c r="S262">
        <v>4</v>
      </c>
      <c r="T262">
        <v>4</v>
      </c>
      <c r="U262">
        <v>4</v>
      </c>
    </row>
    <row r="263" spans="1:21">
      <c r="A263">
        <v>2</v>
      </c>
      <c r="B263">
        <v>2</v>
      </c>
      <c r="C263">
        <v>4</v>
      </c>
      <c r="D263">
        <v>5</v>
      </c>
      <c r="E263">
        <v>5</v>
      </c>
      <c r="F263">
        <v>5</v>
      </c>
      <c r="G263">
        <v>4</v>
      </c>
      <c r="H263">
        <v>5</v>
      </c>
      <c r="I263">
        <v>4</v>
      </c>
      <c r="J263">
        <v>2</v>
      </c>
      <c r="K263">
        <v>4</v>
      </c>
      <c r="L263">
        <v>1</v>
      </c>
      <c r="M263">
        <v>2</v>
      </c>
      <c r="N263">
        <v>2</v>
      </c>
      <c r="O263">
        <v>5</v>
      </c>
      <c r="P263">
        <v>5</v>
      </c>
      <c r="Q263">
        <v>5</v>
      </c>
      <c r="R263">
        <v>5</v>
      </c>
      <c r="S263">
        <v>2</v>
      </c>
      <c r="T263">
        <v>2</v>
      </c>
      <c r="U263">
        <v>1</v>
      </c>
    </row>
    <row r="264" spans="1:21">
      <c r="A264">
        <v>3</v>
      </c>
      <c r="B264">
        <v>2</v>
      </c>
      <c r="C264">
        <v>2</v>
      </c>
      <c r="D264">
        <v>2</v>
      </c>
      <c r="E264">
        <v>4</v>
      </c>
      <c r="F264">
        <v>2</v>
      </c>
      <c r="G264">
        <v>3</v>
      </c>
      <c r="H264">
        <v>3</v>
      </c>
      <c r="I264">
        <v>2</v>
      </c>
      <c r="J264">
        <v>2</v>
      </c>
      <c r="K264">
        <v>4</v>
      </c>
      <c r="L264">
        <v>2</v>
      </c>
      <c r="M264">
        <v>2</v>
      </c>
      <c r="N264">
        <v>3</v>
      </c>
      <c r="O264">
        <v>2</v>
      </c>
      <c r="P264">
        <v>3</v>
      </c>
      <c r="Q264">
        <v>3</v>
      </c>
      <c r="R264">
        <v>3</v>
      </c>
      <c r="S264">
        <v>2</v>
      </c>
      <c r="T264">
        <v>2</v>
      </c>
      <c r="U264">
        <v>2</v>
      </c>
    </row>
    <row r="265" spans="1:21">
      <c r="A265">
        <v>4</v>
      </c>
      <c r="B265">
        <v>2</v>
      </c>
      <c r="C265">
        <v>4</v>
      </c>
      <c r="D265">
        <v>4</v>
      </c>
      <c r="E265">
        <v>4</v>
      </c>
      <c r="F265">
        <v>4</v>
      </c>
      <c r="G265">
        <v>4</v>
      </c>
      <c r="H265">
        <v>2</v>
      </c>
      <c r="I265">
        <v>4</v>
      </c>
      <c r="J265">
        <v>4</v>
      </c>
      <c r="K265">
        <v>4</v>
      </c>
      <c r="L265">
        <v>4</v>
      </c>
      <c r="M265">
        <v>4</v>
      </c>
      <c r="N265">
        <v>4</v>
      </c>
      <c r="O265">
        <v>2</v>
      </c>
      <c r="P265">
        <v>4</v>
      </c>
      <c r="Q265">
        <v>2</v>
      </c>
      <c r="R265">
        <v>2</v>
      </c>
      <c r="S265">
        <v>2</v>
      </c>
      <c r="T265">
        <v>2</v>
      </c>
      <c r="U265">
        <v>2</v>
      </c>
    </row>
    <row r="266" spans="1:21">
      <c r="A266">
        <v>4</v>
      </c>
      <c r="B266">
        <v>4</v>
      </c>
      <c r="C266">
        <v>4</v>
      </c>
      <c r="D266">
        <v>2</v>
      </c>
      <c r="E266">
        <v>4</v>
      </c>
      <c r="F266">
        <v>3</v>
      </c>
      <c r="G266">
        <v>4</v>
      </c>
      <c r="H266">
        <v>2</v>
      </c>
      <c r="I266">
        <v>2</v>
      </c>
      <c r="J266">
        <v>4</v>
      </c>
      <c r="K266">
        <v>4</v>
      </c>
      <c r="L266">
        <v>3</v>
      </c>
      <c r="M266">
        <v>4</v>
      </c>
      <c r="N266">
        <v>3</v>
      </c>
      <c r="O266">
        <v>2</v>
      </c>
      <c r="P266">
        <v>2</v>
      </c>
      <c r="Q266">
        <v>4</v>
      </c>
      <c r="R266">
        <v>3</v>
      </c>
      <c r="S266">
        <v>2</v>
      </c>
      <c r="T266">
        <v>3</v>
      </c>
      <c r="U266">
        <v>3</v>
      </c>
    </row>
    <row r="267" spans="1:21">
      <c r="A267">
        <v>3</v>
      </c>
      <c r="B267">
        <v>4</v>
      </c>
      <c r="C267">
        <v>3</v>
      </c>
      <c r="D267">
        <v>4</v>
      </c>
      <c r="E267">
        <v>2</v>
      </c>
      <c r="F267">
        <v>4</v>
      </c>
      <c r="G267">
        <v>4</v>
      </c>
      <c r="H267">
        <v>3</v>
      </c>
      <c r="I267">
        <v>4</v>
      </c>
      <c r="J267">
        <v>3</v>
      </c>
      <c r="K267">
        <v>4</v>
      </c>
      <c r="L267">
        <v>3</v>
      </c>
      <c r="M267">
        <v>3</v>
      </c>
      <c r="N267">
        <v>3</v>
      </c>
      <c r="O267">
        <v>4</v>
      </c>
      <c r="P267">
        <v>3</v>
      </c>
      <c r="Q267">
        <v>5</v>
      </c>
      <c r="R267">
        <v>4</v>
      </c>
      <c r="S267">
        <v>4</v>
      </c>
      <c r="T267">
        <v>4</v>
      </c>
      <c r="U267">
        <v>4</v>
      </c>
    </row>
    <row r="268" spans="1:21">
      <c r="A268">
        <v>3</v>
      </c>
      <c r="B268">
        <v>3</v>
      </c>
      <c r="C268">
        <v>3</v>
      </c>
      <c r="D268">
        <v>3</v>
      </c>
      <c r="E268">
        <v>3</v>
      </c>
      <c r="F268">
        <v>4</v>
      </c>
      <c r="G268">
        <v>5</v>
      </c>
      <c r="H268">
        <v>2</v>
      </c>
      <c r="I268">
        <v>4</v>
      </c>
      <c r="J268">
        <v>2</v>
      </c>
      <c r="K268">
        <v>5</v>
      </c>
      <c r="L268">
        <v>3</v>
      </c>
      <c r="M268">
        <v>4</v>
      </c>
      <c r="N268">
        <v>3</v>
      </c>
      <c r="O268">
        <v>4</v>
      </c>
      <c r="P268">
        <v>3</v>
      </c>
      <c r="Q268">
        <v>4</v>
      </c>
      <c r="R268">
        <v>4</v>
      </c>
      <c r="S268">
        <v>2</v>
      </c>
      <c r="T268">
        <v>3</v>
      </c>
      <c r="U268">
        <v>3</v>
      </c>
    </row>
    <row r="269" spans="1:21">
      <c r="A269">
        <v>4</v>
      </c>
      <c r="B269">
        <v>3</v>
      </c>
      <c r="C269">
        <v>3</v>
      </c>
      <c r="D269">
        <v>3</v>
      </c>
      <c r="E269">
        <v>3</v>
      </c>
      <c r="F269">
        <v>4</v>
      </c>
      <c r="G269">
        <v>2</v>
      </c>
      <c r="H269">
        <v>2</v>
      </c>
      <c r="I269">
        <v>4</v>
      </c>
      <c r="J269">
        <v>4</v>
      </c>
      <c r="K269">
        <v>4</v>
      </c>
      <c r="L269">
        <v>3</v>
      </c>
      <c r="M269">
        <v>2</v>
      </c>
      <c r="N269">
        <v>3</v>
      </c>
      <c r="O269">
        <v>4</v>
      </c>
      <c r="P269">
        <v>3</v>
      </c>
      <c r="Q269">
        <v>5</v>
      </c>
      <c r="R269">
        <v>4</v>
      </c>
      <c r="S269">
        <v>3</v>
      </c>
      <c r="T269">
        <v>3</v>
      </c>
      <c r="U269">
        <v>3</v>
      </c>
    </row>
    <row r="270" spans="1:21">
      <c r="A270">
        <v>2</v>
      </c>
      <c r="B270">
        <v>1</v>
      </c>
      <c r="C270">
        <v>2</v>
      </c>
      <c r="D270">
        <v>4</v>
      </c>
      <c r="E270">
        <v>3</v>
      </c>
      <c r="F270">
        <v>3</v>
      </c>
      <c r="G270">
        <v>5</v>
      </c>
      <c r="H270">
        <v>4</v>
      </c>
      <c r="I270">
        <v>5</v>
      </c>
      <c r="J270">
        <v>5</v>
      </c>
      <c r="K270">
        <v>5</v>
      </c>
      <c r="L270">
        <v>2</v>
      </c>
      <c r="M270">
        <v>4</v>
      </c>
      <c r="N270">
        <v>4</v>
      </c>
      <c r="O270">
        <v>4</v>
      </c>
      <c r="P270">
        <v>4</v>
      </c>
      <c r="Q270">
        <v>5</v>
      </c>
      <c r="R270">
        <v>4</v>
      </c>
      <c r="S270">
        <v>5</v>
      </c>
      <c r="T270">
        <v>4</v>
      </c>
      <c r="U270">
        <v>4</v>
      </c>
    </row>
    <row r="271" spans="1:21">
      <c r="A271">
        <v>2</v>
      </c>
      <c r="B271">
        <v>2</v>
      </c>
      <c r="C271">
        <v>2</v>
      </c>
      <c r="D271">
        <v>3</v>
      </c>
      <c r="E271">
        <v>3</v>
      </c>
      <c r="F271">
        <v>2</v>
      </c>
      <c r="G271">
        <v>4</v>
      </c>
      <c r="H271">
        <v>2</v>
      </c>
      <c r="I271">
        <v>2</v>
      </c>
      <c r="J271">
        <v>2</v>
      </c>
      <c r="K271">
        <v>4</v>
      </c>
      <c r="L271">
        <v>3</v>
      </c>
      <c r="M271">
        <v>2</v>
      </c>
      <c r="N271">
        <v>2</v>
      </c>
      <c r="O271">
        <v>3</v>
      </c>
      <c r="P271">
        <v>3</v>
      </c>
      <c r="Q271">
        <v>3</v>
      </c>
      <c r="R271">
        <v>2</v>
      </c>
      <c r="S271">
        <v>3</v>
      </c>
      <c r="T271">
        <v>2</v>
      </c>
      <c r="U271">
        <v>2</v>
      </c>
    </row>
    <row r="272" spans="1:21">
      <c r="A272">
        <v>4</v>
      </c>
      <c r="B272">
        <v>3</v>
      </c>
      <c r="C272">
        <v>2</v>
      </c>
      <c r="D272">
        <v>5</v>
      </c>
      <c r="E272">
        <v>4</v>
      </c>
      <c r="F272">
        <v>5</v>
      </c>
      <c r="G272">
        <v>4</v>
      </c>
      <c r="H272">
        <v>3</v>
      </c>
      <c r="I272">
        <v>4</v>
      </c>
      <c r="J272">
        <v>4</v>
      </c>
      <c r="K272">
        <v>4</v>
      </c>
      <c r="L272">
        <v>3</v>
      </c>
      <c r="M272">
        <v>4</v>
      </c>
      <c r="N272">
        <v>4</v>
      </c>
      <c r="O272">
        <v>5</v>
      </c>
      <c r="P272">
        <v>5</v>
      </c>
      <c r="Q272">
        <v>5</v>
      </c>
      <c r="R272">
        <v>5</v>
      </c>
      <c r="S272">
        <v>3</v>
      </c>
      <c r="T272">
        <v>4</v>
      </c>
      <c r="U272">
        <v>4</v>
      </c>
    </row>
    <row r="273" spans="1:21">
      <c r="A273">
        <v>2</v>
      </c>
      <c r="B273">
        <v>2</v>
      </c>
      <c r="C273">
        <v>2</v>
      </c>
      <c r="D273">
        <v>5</v>
      </c>
      <c r="E273">
        <v>5</v>
      </c>
      <c r="F273">
        <v>5</v>
      </c>
      <c r="G273">
        <v>5</v>
      </c>
      <c r="H273">
        <v>3</v>
      </c>
      <c r="I273">
        <v>4</v>
      </c>
      <c r="J273">
        <v>2</v>
      </c>
      <c r="K273">
        <v>3</v>
      </c>
      <c r="L273">
        <v>2</v>
      </c>
      <c r="M273">
        <v>4</v>
      </c>
      <c r="N273">
        <v>2</v>
      </c>
      <c r="O273">
        <v>5</v>
      </c>
      <c r="P273">
        <v>4</v>
      </c>
      <c r="Q273">
        <v>5</v>
      </c>
      <c r="R273">
        <v>5</v>
      </c>
      <c r="S273">
        <v>2</v>
      </c>
      <c r="T273">
        <v>2</v>
      </c>
      <c r="U273">
        <v>2</v>
      </c>
    </row>
    <row r="274" spans="1:21">
      <c r="A274">
        <v>3</v>
      </c>
      <c r="B274">
        <v>4</v>
      </c>
      <c r="C274">
        <v>3</v>
      </c>
      <c r="D274">
        <v>5</v>
      </c>
      <c r="E274">
        <v>5</v>
      </c>
      <c r="F274">
        <v>5</v>
      </c>
      <c r="G274">
        <v>3</v>
      </c>
      <c r="H274">
        <v>4</v>
      </c>
      <c r="I274">
        <v>4</v>
      </c>
      <c r="J274">
        <v>2</v>
      </c>
      <c r="K274">
        <v>5</v>
      </c>
      <c r="L274">
        <v>4</v>
      </c>
      <c r="M274">
        <v>4</v>
      </c>
      <c r="N274">
        <v>4</v>
      </c>
      <c r="O274">
        <v>5</v>
      </c>
      <c r="P274">
        <v>3</v>
      </c>
      <c r="Q274">
        <v>4</v>
      </c>
      <c r="R274">
        <v>3</v>
      </c>
      <c r="S274">
        <v>2</v>
      </c>
      <c r="T274">
        <v>2</v>
      </c>
      <c r="U274">
        <v>2</v>
      </c>
    </row>
    <row r="275" spans="1:21">
      <c r="A275">
        <v>4</v>
      </c>
      <c r="B275">
        <v>4</v>
      </c>
      <c r="C275">
        <v>4</v>
      </c>
      <c r="D275">
        <v>5</v>
      </c>
      <c r="E275">
        <v>4</v>
      </c>
      <c r="F275">
        <v>4</v>
      </c>
      <c r="G275">
        <v>4</v>
      </c>
      <c r="H275">
        <v>4</v>
      </c>
      <c r="I275">
        <v>5</v>
      </c>
      <c r="J275">
        <v>4</v>
      </c>
      <c r="K275">
        <v>5</v>
      </c>
      <c r="L275">
        <v>3</v>
      </c>
      <c r="M275">
        <v>5</v>
      </c>
      <c r="N275">
        <v>5</v>
      </c>
      <c r="O275">
        <v>3</v>
      </c>
      <c r="P275">
        <v>5</v>
      </c>
      <c r="Q275">
        <v>5</v>
      </c>
      <c r="R275">
        <v>3</v>
      </c>
      <c r="S275">
        <v>5</v>
      </c>
      <c r="T275">
        <v>5</v>
      </c>
      <c r="U275">
        <v>5</v>
      </c>
    </row>
    <row r="276" spans="1:21">
      <c r="A276">
        <v>3</v>
      </c>
      <c r="B276">
        <v>2</v>
      </c>
      <c r="C276">
        <v>3</v>
      </c>
      <c r="D276">
        <v>4</v>
      </c>
      <c r="E276">
        <v>4</v>
      </c>
      <c r="F276">
        <v>5</v>
      </c>
      <c r="G276">
        <v>4</v>
      </c>
      <c r="H276">
        <v>3</v>
      </c>
      <c r="I276">
        <v>4</v>
      </c>
      <c r="J276">
        <v>3</v>
      </c>
      <c r="K276">
        <v>1</v>
      </c>
      <c r="L276">
        <v>1</v>
      </c>
      <c r="M276">
        <v>3</v>
      </c>
      <c r="N276">
        <v>3</v>
      </c>
      <c r="O276">
        <v>3</v>
      </c>
      <c r="P276">
        <v>5</v>
      </c>
      <c r="Q276">
        <v>4</v>
      </c>
      <c r="R276">
        <v>4</v>
      </c>
      <c r="S276">
        <v>3</v>
      </c>
      <c r="T276">
        <v>3</v>
      </c>
      <c r="U276">
        <v>3</v>
      </c>
    </row>
    <row r="277" spans="1:21">
      <c r="A277">
        <v>4</v>
      </c>
      <c r="B277">
        <v>4</v>
      </c>
      <c r="C277">
        <v>5</v>
      </c>
      <c r="D277">
        <v>4</v>
      </c>
      <c r="E277">
        <v>5</v>
      </c>
      <c r="F277">
        <v>4</v>
      </c>
      <c r="G277">
        <v>4</v>
      </c>
      <c r="H277">
        <v>3</v>
      </c>
      <c r="I277">
        <v>4</v>
      </c>
      <c r="J277">
        <v>3</v>
      </c>
      <c r="K277">
        <v>3</v>
      </c>
      <c r="L277">
        <v>4</v>
      </c>
      <c r="M277">
        <v>4</v>
      </c>
      <c r="N277">
        <v>3</v>
      </c>
      <c r="O277">
        <v>4</v>
      </c>
      <c r="P277">
        <v>4</v>
      </c>
      <c r="Q277">
        <v>4</v>
      </c>
      <c r="R277">
        <v>4</v>
      </c>
      <c r="S277">
        <v>3</v>
      </c>
      <c r="T277">
        <v>3</v>
      </c>
      <c r="U277">
        <v>3</v>
      </c>
    </row>
    <row r="278" spans="1:21">
      <c r="A278">
        <v>3</v>
      </c>
      <c r="B278">
        <v>3</v>
      </c>
      <c r="C278">
        <v>2</v>
      </c>
      <c r="D278">
        <v>5</v>
      </c>
      <c r="E278">
        <v>5</v>
      </c>
      <c r="F278">
        <v>4</v>
      </c>
      <c r="G278">
        <v>3</v>
      </c>
      <c r="H278">
        <v>4</v>
      </c>
      <c r="I278">
        <v>4</v>
      </c>
      <c r="J278">
        <v>4</v>
      </c>
      <c r="K278">
        <v>4</v>
      </c>
      <c r="L278">
        <v>4</v>
      </c>
      <c r="M278">
        <v>4</v>
      </c>
      <c r="N278">
        <v>4</v>
      </c>
      <c r="O278">
        <v>4</v>
      </c>
      <c r="P278">
        <v>3</v>
      </c>
      <c r="Q278">
        <v>4</v>
      </c>
      <c r="R278">
        <v>3</v>
      </c>
      <c r="S278">
        <v>4</v>
      </c>
      <c r="T278">
        <v>3</v>
      </c>
      <c r="U278">
        <v>3</v>
      </c>
    </row>
    <row r="279" spans="1:21">
      <c r="A279">
        <v>4</v>
      </c>
      <c r="B279">
        <v>4</v>
      </c>
      <c r="C279">
        <v>3</v>
      </c>
      <c r="D279">
        <v>3</v>
      </c>
      <c r="E279">
        <v>3</v>
      </c>
      <c r="F279">
        <v>3</v>
      </c>
      <c r="G279">
        <v>3</v>
      </c>
      <c r="H279">
        <v>4</v>
      </c>
      <c r="I279">
        <v>4</v>
      </c>
      <c r="J279">
        <v>3</v>
      </c>
      <c r="K279">
        <v>3</v>
      </c>
      <c r="L279">
        <v>3</v>
      </c>
      <c r="M279">
        <v>4</v>
      </c>
      <c r="N279">
        <v>4</v>
      </c>
      <c r="O279">
        <v>4</v>
      </c>
      <c r="P279">
        <v>5</v>
      </c>
      <c r="Q279">
        <v>5</v>
      </c>
      <c r="R279">
        <v>5</v>
      </c>
      <c r="S279">
        <v>2</v>
      </c>
      <c r="T279">
        <v>2</v>
      </c>
      <c r="U279">
        <v>2</v>
      </c>
    </row>
    <row r="280" spans="1:21">
      <c r="A280">
        <v>4</v>
      </c>
      <c r="B280">
        <v>4</v>
      </c>
      <c r="C280">
        <v>4</v>
      </c>
      <c r="D280">
        <v>4</v>
      </c>
      <c r="E280">
        <v>4</v>
      </c>
      <c r="F280">
        <v>4</v>
      </c>
      <c r="G280">
        <v>4</v>
      </c>
      <c r="H280">
        <v>3</v>
      </c>
      <c r="I280">
        <v>4</v>
      </c>
      <c r="J280">
        <v>4</v>
      </c>
      <c r="K280">
        <v>4</v>
      </c>
      <c r="L280">
        <v>4</v>
      </c>
      <c r="M280">
        <v>4</v>
      </c>
      <c r="N280">
        <v>4</v>
      </c>
      <c r="O280">
        <v>2</v>
      </c>
      <c r="P280">
        <v>2</v>
      </c>
      <c r="Q280">
        <v>2</v>
      </c>
      <c r="R280">
        <v>2</v>
      </c>
      <c r="S280">
        <v>3</v>
      </c>
      <c r="T280">
        <v>3</v>
      </c>
      <c r="U280">
        <v>3</v>
      </c>
    </row>
    <row r="281" spans="1:21">
      <c r="A281">
        <v>4</v>
      </c>
      <c r="B281">
        <v>5</v>
      </c>
      <c r="C281">
        <v>5</v>
      </c>
      <c r="D281">
        <v>5</v>
      </c>
      <c r="E281">
        <v>5</v>
      </c>
      <c r="F281">
        <v>5</v>
      </c>
      <c r="G281">
        <v>5</v>
      </c>
      <c r="H281">
        <v>5</v>
      </c>
      <c r="I281">
        <v>5</v>
      </c>
      <c r="J281">
        <v>5</v>
      </c>
      <c r="K281">
        <v>3</v>
      </c>
      <c r="L281">
        <v>3</v>
      </c>
      <c r="M281">
        <v>3</v>
      </c>
      <c r="N281">
        <v>3</v>
      </c>
      <c r="O281">
        <v>3</v>
      </c>
      <c r="P281">
        <v>4</v>
      </c>
      <c r="Q281">
        <v>4</v>
      </c>
      <c r="R281">
        <v>3</v>
      </c>
      <c r="S281">
        <v>4</v>
      </c>
      <c r="T281">
        <v>3</v>
      </c>
      <c r="U281">
        <v>3</v>
      </c>
    </row>
    <row r="282" spans="1:21">
      <c r="A282">
        <v>4</v>
      </c>
      <c r="B282">
        <v>4</v>
      </c>
      <c r="C282">
        <v>3</v>
      </c>
      <c r="D282">
        <v>4</v>
      </c>
      <c r="E282">
        <v>3</v>
      </c>
      <c r="F282">
        <v>4</v>
      </c>
      <c r="G282">
        <v>4</v>
      </c>
      <c r="H282">
        <v>4</v>
      </c>
      <c r="I282">
        <v>4</v>
      </c>
      <c r="J282">
        <v>4</v>
      </c>
      <c r="K282">
        <v>3</v>
      </c>
      <c r="L282">
        <v>3</v>
      </c>
      <c r="M282">
        <v>3</v>
      </c>
      <c r="N282">
        <v>3</v>
      </c>
      <c r="O282">
        <v>5</v>
      </c>
      <c r="P282">
        <v>5</v>
      </c>
      <c r="Q282">
        <v>5</v>
      </c>
      <c r="R282">
        <v>5</v>
      </c>
      <c r="S282">
        <v>2</v>
      </c>
      <c r="T282">
        <v>2</v>
      </c>
      <c r="U282">
        <v>1</v>
      </c>
    </row>
    <row r="283" spans="1:21">
      <c r="A283">
        <v>5</v>
      </c>
      <c r="B283">
        <v>5</v>
      </c>
      <c r="C283">
        <v>5</v>
      </c>
      <c r="D283">
        <v>5</v>
      </c>
      <c r="E283">
        <v>5</v>
      </c>
      <c r="F283">
        <v>5</v>
      </c>
      <c r="G283">
        <v>5</v>
      </c>
      <c r="H283">
        <v>4</v>
      </c>
      <c r="I283">
        <v>5</v>
      </c>
      <c r="J283">
        <v>4</v>
      </c>
      <c r="K283">
        <v>5</v>
      </c>
      <c r="L283">
        <v>5</v>
      </c>
      <c r="M283">
        <v>5</v>
      </c>
      <c r="N283">
        <v>4</v>
      </c>
      <c r="O283">
        <v>4</v>
      </c>
      <c r="P283">
        <v>4</v>
      </c>
      <c r="Q283">
        <v>4</v>
      </c>
      <c r="R283">
        <v>4</v>
      </c>
      <c r="S283">
        <v>3</v>
      </c>
      <c r="T283">
        <v>3</v>
      </c>
      <c r="U283">
        <v>3</v>
      </c>
    </row>
    <row r="284" spans="1:21">
      <c r="A284">
        <v>3</v>
      </c>
      <c r="B284">
        <v>3</v>
      </c>
      <c r="C284">
        <v>2</v>
      </c>
      <c r="D284">
        <v>4</v>
      </c>
      <c r="E284">
        <v>4</v>
      </c>
      <c r="F284">
        <v>4</v>
      </c>
      <c r="G284">
        <v>3</v>
      </c>
      <c r="H284">
        <v>3</v>
      </c>
      <c r="I284">
        <v>3</v>
      </c>
      <c r="J284">
        <v>2</v>
      </c>
      <c r="K284">
        <v>2</v>
      </c>
      <c r="L284">
        <v>3</v>
      </c>
      <c r="M284">
        <v>2</v>
      </c>
      <c r="N284">
        <v>2</v>
      </c>
      <c r="O284">
        <v>3</v>
      </c>
      <c r="P284">
        <v>3</v>
      </c>
      <c r="Q284">
        <v>3</v>
      </c>
      <c r="R284">
        <v>3</v>
      </c>
      <c r="S284">
        <v>2</v>
      </c>
      <c r="T284">
        <v>1</v>
      </c>
      <c r="U284">
        <v>1</v>
      </c>
    </row>
    <row r="285" spans="1:21">
      <c r="A285">
        <v>2</v>
      </c>
      <c r="B285">
        <v>2</v>
      </c>
      <c r="C285">
        <v>2</v>
      </c>
      <c r="D285">
        <v>4</v>
      </c>
      <c r="E285">
        <v>4</v>
      </c>
      <c r="F285">
        <v>4</v>
      </c>
      <c r="G285">
        <v>5</v>
      </c>
      <c r="H285">
        <v>5</v>
      </c>
      <c r="I285">
        <v>4</v>
      </c>
      <c r="J285">
        <v>5</v>
      </c>
      <c r="K285">
        <v>5</v>
      </c>
      <c r="L285">
        <v>5</v>
      </c>
      <c r="M285">
        <v>5</v>
      </c>
      <c r="N285">
        <v>5</v>
      </c>
      <c r="O285">
        <v>4</v>
      </c>
      <c r="P285">
        <v>4</v>
      </c>
      <c r="Q285">
        <v>4</v>
      </c>
      <c r="R285">
        <v>4</v>
      </c>
      <c r="S285">
        <v>3</v>
      </c>
      <c r="T285">
        <v>3</v>
      </c>
      <c r="U285">
        <v>3</v>
      </c>
    </row>
    <row r="286" spans="1:21">
      <c r="A286">
        <v>5</v>
      </c>
      <c r="B286">
        <v>5</v>
      </c>
      <c r="C286">
        <v>5</v>
      </c>
      <c r="D286">
        <v>5</v>
      </c>
      <c r="E286">
        <v>5</v>
      </c>
      <c r="F286">
        <v>5</v>
      </c>
      <c r="G286">
        <v>4</v>
      </c>
      <c r="H286">
        <v>4</v>
      </c>
      <c r="I286">
        <v>4</v>
      </c>
      <c r="J286">
        <v>4</v>
      </c>
      <c r="K286">
        <v>3</v>
      </c>
      <c r="L286">
        <v>4</v>
      </c>
      <c r="M286">
        <v>4</v>
      </c>
      <c r="N286">
        <v>4</v>
      </c>
      <c r="O286">
        <v>4</v>
      </c>
      <c r="P286">
        <v>4</v>
      </c>
      <c r="Q286">
        <v>4</v>
      </c>
      <c r="R286">
        <v>4</v>
      </c>
      <c r="S286">
        <v>4</v>
      </c>
      <c r="T286">
        <v>3</v>
      </c>
      <c r="U286">
        <v>3</v>
      </c>
    </row>
    <row r="287" spans="1:21">
      <c r="A287">
        <v>3</v>
      </c>
      <c r="B287">
        <v>3</v>
      </c>
      <c r="C287">
        <v>3</v>
      </c>
      <c r="D287">
        <v>4</v>
      </c>
      <c r="E287">
        <v>4</v>
      </c>
      <c r="F287">
        <v>4</v>
      </c>
      <c r="G287">
        <v>2</v>
      </c>
      <c r="H287">
        <v>2</v>
      </c>
      <c r="I287">
        <v>2</v>
      </c>
      <c r="J287">
        <v>2</v>
      </c>
      <c r="K287">
        <v>3</v>
      </c>
      <c r="L287">
        <v>3</v>
      </c>
      <c r="M287">
        <v>3</v>
      </c>
      <c r="N287">
        <v>4</v>
      </c>
      <c r="O287">
        <v>3</v>
      </c>
      <c r="P287">
        <v>3</v>
      </c>
      <c r="Q287">
        <v>3</v>
      </c>
      <c r="R287">
        <v>3</v>
      </c>
      <c r="S287">
        <v>2</v>
      </c>
      <c r="T287">
        <v>1</v>
      </c>
      <c r="U287">
        <v>2</v>
      </c>
    </row>
    <row r="288" spans="1:21">
      <c r="A288">
        <v>3</v>
      </c>
      <c r="B288">
        <v>3</v>
      </c>
      <c r="C288">
        <v>3</v>
      </c>
      <c r="D288">
        <v>4</v>
      </c>
      <c r="E288">
        <v>4</v>
      </c>
      <c r="F288">
        <v>4</v>
      </c>
      <c r="G288">
        <v>3</v>
      </c>
      <c r="H288">
        <v>3</v>
      </c>
      <c r="I288">
        <v>3</v>
      </c>
      <c r="J288">
        <v>3</v>
      </c>
      <c r="K288">
        <v>3</v>
      </c>
      <c r="L288">
        <v>4</v>
      </c>
      <c r="M288">
        <v>4</v>
      </c>
      <c r="N288">
        <v>4</v>
      </c>
      <c r="O288">
        <v>2</v>
      </c>
      <c r="P288">
        <v>2</v>
      </c>
      <c r="Q288">
        <v>2</v>
      </c>
      <c r="R288">
        <v>2</v>
      </c>
      <c r="S288">
        <v>2</v>
      </c>
      <c r="T288">
        <v>2</v>
      </c>
      <c r="U288">
        <v>2</v>
      </c>
    </row>
    <row r="289" spans="1:21">
      <c r="A289">
        <v>4</v>
      </c>
      <c r="B289">
        <v>5</v>
      </c>
      <c r="C289">
        <v>4</v>
      </c>
      <c r="D289">
        <v>3</v>
      </c>
      <c r="E289">
        <v>3</v>
      </c>
      <c r="F289">
        <v>3</v>
      </c>
      <c r="G289">
        <v>4</v>
      </c>
      <c r="H289">
        <v>3</v>
      </c>
      <c r="I289">
        <v>4</v>
      </c>
      <c r="J289">
        <v>4</v>
      </c>
      <c r="K289">
        <v>4</v>
      </c>
      <c r="L289">
        <v>4</v>
      </c>
      <c r="M289">
        <v>4</v>
      </c>
      <c r="N289">
        <v>4</v>
      </c>
      <c r="O289">
        <v>3</v>
      </c>
      <c r="P289">
        <v>3</v>
      </c>
      <c r="Q289">
        <v>3</v>
      </c>
      <c r="R289">
        <v>3</v>
      </c>
      <c r="S289">
        <v>3</v>
      </c>
      <c r="T289">
        <v>2</v>
      </c>
      <c r="U289">
        <v>1</v>
      </c>
    </row>
    <row r="290" spans="1:21">
      <c r="A290">
        <v>4</v>
      </c>
      <c r="B290">
        <v>4</v>
      </c>
      <c r="C290">
        <v>5</v>
      </c>
      <c r="D290">
        <v>2</v>
      </c>
      <c r="E290">
        <v>4</v>
      </c>
      <c r="F290">
        <v>3</v>
      </c>
      <c r="G290">
        <v>2</v>
      </c>
      <c r="H290">
        <v>2</v>
      </c>
      <c r="I290">
        <v>2</v>
      </c>
      <c r="J290">
        <v>2</v>
      </c>
      <c r="K290">
        <v>3</v>
      </c>
      <c r="L290">
        <v>3</v>
      </c>
      <c r="M290">
        <v>3</v>
      </c>
      <c r="N290">
        <v>3</v>
      </c>
      <c r="O290">
        <v>3</v>
      </c>
      <c r="P290">
        <v>3</v>
      </c>
      <c r="Q290">
        <v>2</v>
      </c>
      <c r="R290">
        <v>3</v>
      </c>
      <c r="S290">
        <v>3</v>
      </c>
      <c r="T290">
        <v>2</v>
      </c>
      <c r="U290">
        <v>2</v>
      </c>
    </row>
    <row r="291" spans="1:21">
      <c r="A291">
        <v>4</v>
      </c>
      <c r="B291">
        <v>4</v>
      </c>
      <c r="C291">
        <v>4</v>
      </c>
      <c r="D291">
        <v>4</v>
      </c>
      <c r="E291">
        <v>4</v>
      </c>
      <c r="F291">
        <v>4</v>
      </c>
      <c r="G291">
        <v>4</v>
      </c>
      <c r="H291">
        <v>4</v>
      </c>
      <c r="I291">
        <v>4</v>
      </c>
      <c r="J291">
        <v>5</v>
      </c>
      <c r="K291">
        <v>4</v>
      </c>
      <c r="L291">
        <v>4</v>
      </c>
      <c r="M291">
        <v>4</v>
      </c>
      <c r="N291">
        <v>4</v>
      </c>
      <c r="O291">
        <v>3</v>
      </c>
      <c r="P291">
        <v>3</v>
      </c>
      <c r="Q291">
        <v>3</v>
      </c>
      <c r="R291">
        <v>4</v>
      </c>
      <c r="S291">
        <v>4</v>
      </c>
      <c r="T291">
        <v>3</v>
      </c>
      <c r="U291">
        <v>3</v>
      </c>
    </row>
    <row r="292" spans="1:21">
      <c r="A292">
        <v>3</v>
      </c>
      <c r="B292">
        <v>4</v>
      </c>
      <c r="C292">
        <v>2</v>
      </c>
      <c r="D292">
        <v>3</v>
      </c>
      <c r="E292">
        <v>3</v>
      </c>
      <c r="F292">
        <v>4</v>
      </c>
      <c r="G292">
        <v>3</v>
      </c>
      <c r="H292">
        <v>3</v>
      </c>
      <c r="I292">
        <v>3</v>
      </c>
      <c r="J292">
        <v>2</v>
      </c>
      <c r="K292">
        <v>4</v>
      </c>
      <c r="L292">
        <v>4</v>
      </c>
      <c r="M292">
        <v>4</v>
      </c>
      <c r="N292">
        <v>4</v>
      </c>
      <c r="O292">
        <v>4</v>
      </c>
      <c r="P292">
        <v>4</v>
      </c>
      <c r="Q292">
        <v>4</v>
      </c>
      <c r="R292">
        <v>3</v>
      </c>
      <c r="S292">
        <v>5</v>
      </c>
      <c r="T292">
        <v>4</v>
      </c>
      <c r="U292">
        <v>4</v>
      </c>
    </row>
    <row r="293" spans="1:21">
      <c r="A293">
        <v>3</v>
      </c>
      <c r="B293">
        <v>3</v>
      </c>
      <c r="C293">
        <v>3</v>
      </c>
      <c r="D293">
        <v>2</v>
      </c>
      <c r="E293">
        <v>3</v>
      </c>
      <c r="F293">
        <v>3</v>
      </c>
      <c r="G293">
        <v>3</v>
      </c>
      <c r="H293">
        <v>4</v>
      </c>
      <c r="I293">
        <v>3</v>
      </c>
      <c r="J293">
        <v>3</v>
      </c>
      <c r="K293">
        <v>3</v>
      </c>
      <c r="L293">
        <v>2</v>
      </c>
      <c r="M293">
        <v>3</v>
      </c>
      <c r="N293">
        <v>3</v>
      </c>
      <c r="O293">
        <v>2</v>
      </c>
      <c r="P293">
        <v>2</v>
      </c>
      <c r="Q293">
        <v>2</v>
      </c>
      <c r="R293">
        <v>2</v>
      </c>
      <c r="S293">
        <v>2</v>
      </c>
      <c r="T293">
        <v>2</v>
      </c>
      <c r="U293">
        <v>1</v>
      </c>
    </row>
    <row r="294" spans="1:21">
      <c r="A294">
        <v>4</v>
      </c>
      <c r="B294">
        <v>4</v>
      </c>
      <c r="C294">
        <v>4</v>
      </c>
      <c r="D294">
        <v>3</v>
      </c>
      <c r="E294">
        <v>3</v>
      </c>
      <c r="F294">
        <v>2</v>
      </c>
      <c r="G294">
        <v>2</v>
      </c>
      <c r="H294">
        <v>3</v>
      </c>
      <c r="I294">
        <v>2</v>
      </c>
      <c r="J294">
        <v>3</v>
      </c>
      <c r="K294">
        <v>2</v>
      </c>
      <c r="L294">
        <v>2</v>
      </c>
      <c r="M294">
        <v>3</v>
      </c>
      <c r="N294">
        <v>2</v>
      </c>
      <c r="O294">
        <v>2</v>
      </c>
      <c r="P294">
        <v>2</v>
      </c>
      <c r="Q294">
        <v>2</v>
      </c>
      <c r="R294">
        <v>2</v>
      </c>
      <c r="S294">
        <v>1</v>
      </c>
      <c r="T294">
        <v>1</v>
      </c>
      <c r="U294">
        <v>2</v>
      </c>
    </row>
    <row r="295" spans="1:21">
      <c r="A295">
        <v>4</v>
      </c>
      <c r="B295">
        <v>5</v>
      </c>
      <c r="C295">
        <v>4</v>
      </c>
      <c r="D295">
        <v>5</v>
      </c>
      <c r="E295">
        <v>5</v>
      </c>
      <c r="F295">
        <v>5</v>
      </c>
      <c r="G295">
        <v>2</v>
      </c>
      <c r="H295">
        <v>3</v>
      </c>
      <c r="I295">
        <v>2</v>
      </c>
      <c r="J295">
        <v>2</v>
      </c>
      <c r="K295">
        <v>4</v>
      </c>
      <c r="L295">
        <v>4</v>
      </c>
      <c r="M295">
        <v>4</v>
      </c>
      <c r="N295">
        <v>4</v>
      </c>
      <c r="O295">
        <v>3</v>
      </c>
      <c r="P295">
        <v>3</v>
      </c>
      <c r="Q295">
        <v>4</v>
      </c>
      <c r="R295">
        <v>3</v>
      </c>
      <c r="S295">
        <v>1</v>
      </c>
      <c r="T295">
        <v>1</v>
      </c>
      <c r="U295">
        <v>2</v>
      </c>
    </row>
    <row r="296" spans="1:21">
      <c r="A296">
        <v>1</v>
      </c>
      <c r="B296">
        <v>1</v>
      </c>
      <c r="C296">
        <v>1</v>
      </c>
      <c r="D296">
        <v>4</v>
      </c>
      <c r="E296">
        <v>5</v>
      </c>
      <c r="F296">
        <v>5</v>
      </c>
      <c r="G296">
        <v>2</v>
      </c>
      <c r="H296">
        <v>3</v>
      </c>
      <c r="I296">
        <v>2</v>
      </c>
      <c r="J296">
        <v>2</v>
      </c>
      <c r="K296">
        <v>3</v>
      </c>
      <c r="L296">
        <v>2</v>
      </c>
      <c r="M296">
        <v>3</v>
      </c>
      <c r="N296">
        <v>3</v>
      </c>
      <c r="O296">
        <v>3</v>
      </c>
      <c r="P296">
        <v>4</v>
      </c>
      <c r="Q296">
        <v>4</v>
      </c>
      <c r="R296">
        <v>4</v>
      </c>
      <c r="S296">
        <v>3</v>
      </c>
      <c r="T296">
        <v>2</v>
      </c>
      <c r="U296">
        <v>1</v>
      </c>
    </row>
    <row r="297" spans="1:21">
      <c r="A297">
        <v>3</v>
      </c>
      <c r="B297">
        <v>1</v>
      </c>
      <c r="C297">
        <v>5</v>
      </c>
      <c r="D297">
        <v>4</v>
      </c>
      <c r="E297">
        <v>3</v>
      </c>
      <c r="F297">
        <v>4</v>
      </c>
      <c r="G297">
        <v>1</v>
      </c>
      <c r="H297">
        <v>4</v>
      </c>
      <c r="I297">
        <v>2</v>
      </c>
      <c r="J297">
        <v>2</v>
      </c>
      <c r="K297">
        <v>3</v>
      </c>
      <c r="L297">
        <v>2</v>
      </c>
      <c r="M297">
        <v>4</v>
      </c>
      <c r="N297">
        <v>2</v>
      </c>
      <c r="O297">
        <v>2</v>
      </c>
      <c r="P297">
        <v>2</v>
      </c>
      <c r="Q297">
        <v>1</v>
      </c>
      <c r="R297">
        <v>1</v>
      </c>
      <c r="S297">
        <v>4</v>
      </c>
      <c r="T297">
        <v>2</v>
      </c>
      <c r="U297">
        <v>1</v>
      </c>
    </row>
    <row r="298" spans="1:21">
      <c r="A298">
        <v>1</v>
      </c>
      <c r="B298">
        <v>1</v>
      </c>
      <c r="C298">
        <v>1</v>
      </c>
      <c r="D298">
        <v>3</v>
      </c>
      <c r="E298">
        <v>3</v>
      </c>
      <c r="F298">
        <v>2</v>
      </c>
      <c r="G298">
        <v>3</v>
      </c>
      <c r="H298">
        <v>2</v>
      </c>
      <c r="I298">
        <v>2</v>
      </c>
      <c r="J298">
        <v>2</v>
      </c>
      <c r="K298">
        <v>4</v>
      </c>
      <c r="L298">
        <v>4</v>
      </c>
      <c r="M298">
        <v>4</v>
      </c>
      <c r="N298">
        <v>4</v>
      </c>
      <c r="O298">
        <v>2</v>
      </c>
      <c r="P298">
        <v>3</v>
      </c>
      <c r="Q298">
        <v>2</v>
      </c>
      <c r="R298">
        <v>2</v>
      </c>
      <c r="S298">
        <v>2</v>
      </c>
      <c r="T298">
        <v>2</v>
      </c>
      <c r="U298">
        <v>2</v>
      </c>
    </row>
    <row r="299" spans="1:21">
      <c r="A299">
        <v>4</v>
      </c>
      <c r="B299">
        <v>4</v>
      </c>
      <c r="C299">
        <v>4</v>
      </c>
      <c r="D299">
        <v>5</v>
      </c>
      <c r="E299">
        <v>4</v>
      </c>
      <c r="F299">
        <v>4</v>
      </c>
      <c r="G299">
        <v>4</v>
      </c>
      <c r="H299">
        <v>4</v>
      </c>
      <c r="I299">
        <v>4</v>
      </c>
      <c r="J299">
        <v>4</v>
      </c>
      <c r="K299">
        <v>4</v>
      </c>
      <c r="L299">
        <v>4</v>
      </c>
      <c r="M299">
        <v>4</v>
      </c>
      <c r="N299">
        <v>4</v>
      </c>
      <c r="O299">
        <v>3</v>
      </c>
      <c r="P299">
        <v>3</v>
      </c>
      <c r="Q299">
        <v>3</v>
      </c>
      <c r="R299">
        <v>3</v>
      </c>
      <c r="S299">
        <v>3</v>
      </c>
      <c r="T299">
        <v>3</v>
      </c>
      <c r="U299">
        <v>3</v>
      </c>
    </row>
    <row r="300" spans="1:21">
      <c r="A300">
        <v>3</v>
      </c>
      <c r="B300">
        <v>3</v>
      </c>
      <c r="C300">
        <v>2</v>
      </c>
      <c r="D300">
        <v>3</v>
      </c>
      <c r="E300">
        <v>3</v>
      </c>
      <c r="F300">
        <v>3</v>
      </c>
      <c r="G300">
        <v>4</v>
      </c>
      <c r="H300">
        <v>4</v>
      </c>
      <c r="I300">
        <v>4</v>
      </c>
      <c r="J300">
        <v>4</v>
      </c>
      <c r="K300">
        <v>2</v>
      </c>
      <c r="L300">
        <v>3</v>
      </c>
      <c r="M300">
        <v>3</v>
      </c>
      <c r="N300">
        <v>3</v>
      </c>
      <c r="O300">
        <v>2</v>
      </c>
      <c r="P300">
        <v>3</v>
      </c>
      <c r="Q300">
        <v>2</v>
      </c>
      <c r="R300">
        <v>3</v>
      </c>
      <c r="S300">
        <v>2</v>
      </c>
      <c r="T300">
        <v>2</v>
      </c>
      <c r="U300">
        <v>1</v>
      </c>
    </row>
    <row r="301" spans="1:21">
      <c r="A301">
        <v>2</v>
      </c>
      <c r="B301">
        <v>3</v>
      </c>
      <c r="C301">
        <v>2</v>
      </c>
      <c r="D301">
        <v>3</v>
      </c>
      <c r="E301">
        <v>4</v>
      </c>
      <c r="F301">
        <v>3</v>
      </c>
      <c r="G301">
        <v>4</v>
      </c>
      <c r="H301">
        <v>4</v>
      </c>
      <c r="I301">
        <v>4</v>
      </c>
      <c r="J301">
        <v>4</v>
      </c>
      <c r="K301">
        <v>4</v>
      </c>
      <c r="L301">
        <v>3</v>
      </c>
      <c r="M301">
        <v>5</v>
      </c>
      <c r="N301">
        <v>4</v>
      </c>
      <c r="O301">
        <v>3</v>
      </c>
      <c r="P301">
        <v>3</v>
      </c>
      <c r="Q301">
        <v>4</v>
      </c>
      <c r="R301">
        <v>3</v>
      </c>
      <c r="S301">
        <v>4</v>
      </c>
      <c r="T301">
        <v>4</v>
      </c>
      <c r="U301">
        <v>4</v>
      </c>
    </row>
    <row r="302" spans="1:21">
      <c r="A302">
        <v>3</v>
      </c>
      <c r="B302">
        <v>3</v>
      </c>
      <c r="C302">
        <v>2</v>
      </c>
      <c r="D302">
        <v>3</v>
      </c>
      <c r="E302">
        <v>3</v>
      </c>
      <c r="F302">
        <v>3</v>
      </c>
      <c r="G302">
        <v>2</v>
      </c>
      <c r="H302">
        <v>2</v>
      </c>
      <c r="I302">
        <v>2</v>
      </c>
      <c r="J302">
        <v>2</v>
      </c>
      <c r="K302">
        <v>4</v>
      </c>
      <c r="L302">
        <v>3</v>
      </c>
      <c r="M302">
        <v>4</v>
      </c>
      <c r="N302">
        <v>4</v>
      </c>
      <c r="O302">
        <v>4</v>
      </c>
      <c r="P302">
        <v>5</v>
      </c>
      <c r="Q302">
        <v>5</v>
      </c>
      <c r="R302">
        <v>4</v>
      </c>
      <c r="S302">
        <v>3</v>
      </c>
      <c r="T302">
        <v>2</v>
      </c>
      <c r="U302">
        <v>1</v>
      </c>
    </row>
    <row r="303" spans="1:21">
      <c r="A303">
        <v>2</v>
      </c>
      <c r="B303">
        <v>3</v>
      </c>
      <c r="C303">
        <v>2</v>
      </c>
      <c r="D303">
        <v>2</v>
      </c>
      <c r="E303">
        <v>3</v>
      </c>
      <c r="F303">
        <v>2</v>
      </c>
      <c r="G303">
        <v>3</v>
      </c>
      <c r="H303">
        <v>3</v>
      </c>
      <c r="I303">
        <v>3</v>
      </c>
      <c r="J303">
        <v>3</v>
      </c>
      <c r="K303">
        <v>2</v>
      </c>
      <c r="L303">
        <v>2</v>
      </c>
      <c r="M303">
        <v>2</v>
      </c>
      <c r="N303">
        <v>2</v>
      </c>
      <c r="O303">
        <v>3</v>
      </c>
      <c r="P303">
        <v>3</v>
      </c>
      <c r="Q303">
        <v>3</v>
      </c>
      <c r="R303">
        <v>3</v>
      </c>
      <c r="S303">
        <v>2</v>
      </c>
      <c r="T303">
        <v>2</v>
      </c>
      <c r="U303">
        <v>2</v>
      </c>
    </row>
    <row r="304" spans="1:21">
      <c r="A304">
        <v>3</v>
      </c>
      <c r="B304">
        <v>3</v>
      </c>
      <c r="C304">
        <v>3</v>
      </c>
      <c r="D304">
        <v>4</v>
      </c>
      <c r="E304">
        <v>4</v>
      </c>
      <c r="F304">
        <v>4</v>
      </c>
      <c r="G304">
        <v>2</v>
      </c>
      <c r="H304">
        <v>2</v>
      </c>
      <c r="I304">
        <v>2</v>
      </c>
      <c r="J304">
        <v>2</v>
      </c>
      <c r="K304">
        <v>3</v>
      </c>
      <c r="L304">
        <v>3</v>
      </c>
      <c r="M304">
        <v>3</v>
      </c>
      <c r="N304">
        <v>4</v>
      </c>
      <c r="O304">
        <v>3</v>
      </c>
      <c r="P304">
        <v>3</v>
      </c>
      <c r="Q304">
        <v>4</v>
      </c>
      <c r="R304">
        <v>3</v>
      </c>
      <c r="S304">
        <v>2</v>
      </c>
      <c r="T304">
        <v>2</v>
      </c>
      <c r="U304">
        <v>1</v>
      </c>
    </row>
    <row r="305" spans="1:21">
      <c r="A305">
        <v>3</v>
      </c>
      <c r="B305">
        <v>3</v>
      </c>
      <c r="C305">
        <v>3</v>
      </c>
      <c r="D305">
        <v>2</v>
      </c>
      <c r="E305">
        <v>2</v>
      </c>
      <c r="F305">
        <v>2</v>
      </c>
      <c r="G305">
        <v>2</v>
      </c>
      <c r="H305">
        <v>2</v>
      </c>
      <c r="I305">
        <v>2</v>
      </c>
      <c r="J305">
        <v>3</v>
      </c>
      <c r="K305">
        <v>3</v>
      </c>
      <c r="L305">
        <v>3</v>
      </c>
      <c r="M305">
        <v>2</v>
      </c>
      <c r="N305">
        <v>3</v>
      </c>
      <c r="O305">
        <v>2</v>
      </c>
      <c r="P305">
        <v>2</v>
      </c>
      <c r="Q305">
        <v>2</v>
      </c>
      <c r="R305">
        <v>2</v>
      </c>
      <c r="S305">
        <v>3</v>
      </c>
      <c r="T305">
        <v>2</v>
      </c>
      <c r="U305">
        <v>2</v>
      </c>
    </row>
    <row r="306" spans="1:21">
      <c r="A306">
        <v>3</v>
      </c>
      <c r="B306">
        <v>4</v>
      </c>
      <c r="C306">
        <v>3</v>
      </c>
      <c r="D306">
        <v>3</v>
      </c>
      <c r="E306">
        <v>3</v>
      </c>
      <c r="F306">
        <v>3</v>
      </c>
      <c r="G306">
        <v>3</v>
      </c>
      <c r="H306">
        <v>3</v>
      </c>
      <c r="I306">
        <v>2</v>
      </c>
      <c r="J306">
        <v>2</v>
      </c>
      <c r="K306">
        <v>4</v>
      </c>
      <c r="L306">
        <v>4</v>
      </c>
      <c r="M306">
        <v>4</v>
      </c>
      <c r="N306">
        <v>3</v>
      </c>
      <c r="O306">
        <v>4</v>
      </c>
      <c r="P306">
        <v>4</v>
      </c>
      <c r="Q306">
        <v>4</v>
      </c>
      <c r="R306">
        <v>4</v>
      </c>
      <c r="S306">
        <v>3</v>
      </c>
      <c r="T306">
        <v>3</v>
      </c>
      <c r="U306">
        <v>3</v>
      </c>
    </row>
    <row r="307" spans="1:21">
      <c r="A307">
        <v>4</v>
      </c>
      <c r="B307">
        <v>3</v>
      </c>
      <c r="C307">
        <v>4</v>
      </c>
      <c r="D307">
        <v>4</v>
      </c>
      <c r="E307">
        <v>5</v>
      </c>
      <c r="F307">
        <v>4</v>
      </c>
      <c r="G307">
        <v>3</v>
      </c>
      <c r="H307">
        <v>3</v>
      </c>
      <c r="I307">
        <v>3</v>
      </c>
      <c r="J307">
        <v>3</v>
      </c>
      <c r="K307">
        <v>3</v>
      </c>
      <c r="L307">
        <v>2</v>
      </c>
      <c r="M307">
        <v>2</v>
      </c>
      <c r="N307">
        <v>2</v>
      </c>
      <c r="O307">
        <v>4</v>
      </c>
      <c r="P307">
        <v>3</v>
      </c>
      <c r="Q307">
        <v>4</v>
      </c>
      <c r="R307">
        <v>3</v>
      </c>
      <c r="S307">
        <v>1</v>
      </c>
      <c r="T307">
        <v>1</v>
      </c>
      <c r="U307">
        <v>1</v>
      </c>
    </row>
    <row r="308" spans="1:21">
      <c r="A308">
        <v>2</v>
      </c>
      <c r="B308">
        <v>2</v>
      </c>
      <c r="C308">
        <v>2</v>
      </c>
      <c r="D308">
        <v>4</v>
      </c>
      <c r="E308">
        <v>4</v>
      </c>
      <c r="F308">
        <v>4</v>
      </c>
      <c r="G308">
        <v>2</v>
      </c>
      <c r="H308">
        <v>2</v>
      </c>
      <c r="I308">
        <v>1</v>
      </c>
      <c r="J308">
        <v>2</v>
      </c>
      <c r="K308">
        <v>3</v>
      </c>
      <c r="L308">
        <v>3</v>
      </c>
      <c r="M308">
        <v>3</v>
      </c>
      <c r="N308">
        <v>3</v>
      </c>
      <c r="O308">
        <v>3</v>
      </c>
      <c r="P308">
        <v>3</v>
      </c>
      <c r="Q308">
        <v>3</v>
      </c>
      <c r="R308">
        <v>3</v>
      </c>
      <c r="S308">
        <v>1</v>
      </c>
      <c r="T308">
        <v>1</v>
      </c>
      <c r="U308">
        <v>1</v>
      </c>
    </row>
    <row r="309" spans="1:21">
      <c r="A309">
        <v>4</v>
      </c>
      <c r="B309">
        <v>4</v>
      </c>
      <c r="C309">
        <v>3</v>
      </c>
      <c r="D309">
        <v>4</v>
      </c>
      <c r="E309">
        <v>5</v>
      </c>
      <c r="F309">
        <v>4</v>
      </c>
      <c r="G309">
        <v>4</v>
      </c>
      <c r="H309">
        <v>5</v>
      </c>
      <c r="I309">
        <v>5</v>
      </c>
      <c r="J309">
        <v>4</v>
      </c>
      <c r="K309">
        <v>2</v>
      </c>
      <c r="L309">
        <v>3</v>
      </c>
      <c r="M309">
        <v>3</v>
      </c>
      <c r="N309">
        <v>3</v>
      </c>
      <c r="O309">
        <v>4</v>
      </c>
      <c r="P309">
        <v>4</v>
      </c>
      <c r="Q309">
        <v>4</v>
      </c>
      <c r="R309">
        <v>4</v>
      </c>
      <c r="S309">
        <v>3</v>
      </c>
      <c r="T309">
        <v>3</v>
      </c>
      <c r="U309">
        <v>3</v>
      </c>
    </row>
    <row r="310" spans="1:21">
      <c r="A310">
        <v>1</v>
      </c>
      <c r="B310">
        <v>1</v>
      </c>
      <c r="C310">
        <v>1</v>
      </c>
      <c r="D310">
        <v>2</v>
      </c>
      <c r="E310">
        <v>2</v>
      </c>
      <c r="F310">
        <v>2</v>
      </c>
      <c r="G310">
        <v>2</v>
      </c>
      <c r="H310">
        <v>1</v>
      </c>
      <c r="I310">
        <v>2</v>
      </c>
      <c r="J310">
        <v>2</v>
      </c>
      <c r="K310">
        <v>2</v>
      </c>
      <c r="L310">
        <v>3</v>
      </c>
      <c r="M310">
        <v>2</v>
      </c>
      <c r="N310">
        <v>2</v>
      </c>
      <c r="O310">
        <v>3</v>
      </c>
      <c r="P310">
        <v>4</v>
      </c>
      <c r="Q310">
        <v>5</v>
      </c>
      <c r="R310">
        <v>4</v>
      </c>
      <c r="S310">
        <v>2</v>
      </c>
      <c r="T310">
        <v>2</v>
      </c>
      <c r="U310">
        <v>1</v>
      </c>
    </row>
    <row r="311" spans="1:21">
      <c r="A311">
        <v>3</v>
      </c>
      <c r="B311">
        <v>3</v>
      </c>
      <c r="C311">
        <v>3</v>
      </c>
      <c r="D311">
        <v>2</v>
      </c>
      <c r="E311">
        <v>2</v>
      </c>
      <c r="F311">
        <v>3</v>
      </c>
      <c r="G311">
        <v>2</v>
      </c>
      <c r="H311">
        <v>2</v>
      </c>
      <c r="I311">
        <v>2</v>
      </c>
      <c r="J311">
        <v>2</v>
      </c>
      <c r="K311">
        <v>2</v>
      </c>
      <c r="L311">
        <v>1</v>
      </c>
      <c r="M311">
        <v>2</v>
      </c>
      <c r="N311">
        <v>2</v>
      </c>
      <c r="O311">
        <v>2</v>
      </c>
      <c r="P311">
        <v>2</v>
      </c>
      <c r="Q311">
        <v>2</v>
      </c>
      <c r="R311">
        <v>2</v>
      </c>
      <c r="S311">
        <v>1</v>
      </c>
      <c r="T311">
        <v>1</v>
      </c>
      <c r="U311">
        <v>2</v>
      </c>
    </row>
    <row r="312" spans="1:21">
      <c r="A312">
        <v>2</v>
      </c>
      <c r="B312">
        <v>2</v>
      </c>
      <c r="C312">
        <v>3</v>
      </c>
      <c r="D312">
        <v>3</v>
      </c>
      <c r="E312">
        <v>4</v>
      </c>
      <c r="F312">
        <v>2</v>
      </c>
      <c r="G312">
        <v>4</v>
      </c>
      <c r="H312">
        <v>4</v>
      </c>
      <c r="I312">
        <v>4</v>
      </c>
      <c r="J312">
        <v>3</v>
      </c>
      <c r="K312">
        <v>4</v>
      </c>
      <c r="L312">
        <v>4</v>
      </c>
      <c r="M312">
        <v>4</v>
      </c>
      <c r="N312">
        <v>5</v>
      </c>
      <c r="O312">
        <v>4</v>
      </c>
      <c r="P312">
        <v>4</v>
      </c>
      <c r="Q312">
        <v>4</v>
      </c>
      <c r="R312">
        <v>3</v>
      </c>
      <c r="S312">
        <v>3</v>
      </c>
      <c r="T312">
        <v>2</v>
      </c>
      <c r="U312">
        <v>2</v>
      </c>
    </row>
    <row r="313" spans="1:21">
      <c r="A313">
        <v>3</v>
      </c>
      <c r="B313">
        <v>3</v>
      </c>
      <c r="C313">
        <v>2</v>
      </c>
      <c r="D313">
        <v>2</v>
      </c>
      <c r="E313">
        <v>4</v>
      </c>
      <c r="F313">
        <v>3</v>
      </c>
      <c r="G313">
        <v>2</v>
      </c>
      <c r="H313">
        <v>2</v>
      </c>
      <c r="I313">
        <v>2</v>
      </c>
      <c r="J313">
        <v>2</v>
      </c>
      <c r="K313">
        <v>3</v>
      </c>
      <c r="L313">
        <v>3</v>
      </c>
      <c r="M313">
        <v>3</v>
      </c>
      <c r="N313">
        <v>3</v>
      </c>
      <c r="O313">
        <v>1</v>
      </c>
      <c r="P313">
        <v>2</v>
      </c>
      <c r="Q313">
        <v>2</v>
      </c>
      <c r="R313">
        <v>1</v>
      </c>
      <c r="S313">
        <v>2</v>
      </c>
      <c r="T313">
        <v>1</v>
      </c>
      <c r="U313">
        <v>1</v>
      </c>
    </row>
    <row r="314" spans="1:21">
      <c r="A314">
        <v>4</v>
      </c>
      <c r="B314">
        <v>2</v>
      </c>
      <c r="C314">
        <v>3</v>
      </c>
      <c r="D314">
        <v>3</v>
      </c>
      <c r="E314">
        <v>3</v>
      </c>
      <c r="F314">
        <v>3</v>
      </c>
      <c r="G314">
        <v>3</v>
      </c>
      <c r="H314">
        <v>3</v>
      </c>
      <c r="I314">
        <v>3</v>
      </c>
      <c r="J314">
        <v>3</v>
      </c>
      <c r="K314">
        <v>4</v>
      </c>
      <c r="L314">
        <v>4</v>
      </c>
      <c r="M314">
        <v>4</v>
      </c>
      <c r="N314">
        <v>4</v>
      </c>
      <c r="O314">
        <v>3</v>
      </c>
      <c r="P314">
        <v>3</v>
      </c>
      <c r="Q314">
        <v>2</v>
      </c>
      <c r="R314">
        <v>2</v>
      </c>
      <c r="S314">
        <v>2</v>
      </c>
      <c r="T314">
        <v>2</v>
      </c>
      <c r="U314">
        <v>1</v>
      </c>
    </row>
    <row r="315" spans="1:21">
      <c r="A315">
        <v>2</v>
      </c>
      <c r="B315">
        <v>2</v>
      </c>
      <c r="C315">
        <v>2</v>
      </c>
      <c r="D315">
        <v>3</v>
      </c>
      <c r="E315">
        <v>2</v>
      </c>
      <c r="F315">
        <v>3</v>
      </c>
      <c r="G315">
        <v>2</v>
      </c>
      <c r="H315">
        <v>2</v>
      </c>
      <c r="I315">
        <v>2</v>
      </c>
      <c r="J315">
        <v>2</v>
      </c>
      <c r="K315">
        <v>2</v>
      </c>
      <c r="L315">
        <v>3</v>
      </c>
      <c r="M315">
        <v>3</v>
      </c>
      <c r="N315">
        <v>3</v>
      </c>
      <c r="O315">
        <v>4</v>
      </c>
      <c r="P315">
        <v>4</v>
      </c>
      <c r="Q315">
        <v>3</v>
      </c>
      <c r="R315">
        <v>4</v>
      </c>
      <c r="S315">
        <v>2</v>
      </c>
      <c r="T315">
        <v>1</v>
      </c>
      <c r="U315">
        <v>1</v>
      </c>
    </row>
    <row r="316" spans="1:21">
      <c r="A316">
        <v>3</v>
      </c>
      <c r="B316">
        <v>3</v>
      </c>
      <c r="C316">
        <v>2</v>
      </c>
      <c r="D316">
        <v>1</v>
      </c>
      <c r="E316">
        <v>1</v>
      </c>
      <c r="F316">
        <v>1</v>
      </c>
      <c r="G316">
        <v>2</v>
      </c>
      <c r="H316">
        <v>2</v>
      </c>
      <c r="I316">
        <v>2</v>
      </c>
      <c r="J316">
        <v>2</v>
      </c>
      <c r="K316">
        <v>3</v>
      </c>
      <c r="L316">
        <v>3</v>
      </c>
      <c r="M316">
        <v>4</v>
      </c>
      <c r="N316">
        <v>4</v>
      </c>
      <c r="O316">
        <v>2</v>
      </c>
      <c r="P316">
        <v>1</v>
      </c>
      <c r="Q316">
        <v>1</v>
      </c>
      <c r="R316">
        <v>1</v>
      </c>
      <c r="S316">
        <v>2</v>
      </c>
      <c r="T316">
        <v>2</v>
      </c>
      <c r="U316">
        <v>2</v>
      </c>
    </row>
    <row r="317" spans="1:21">
      <c r="A317">
        <v>1</v>
      </c>
      <c r="B317">
        <v>1</v>
      </c>
      <c r="C317">
        <v>1</v>
      </c>
      <c r="D317">
        <v>3</v>
      </c>
      <c r="E317">
        <v>3</v>
      </c>
      <c r="F317">
        <v>3</v>
      </c>
      <c r="G317">
        <v>2</v>
      </c>
      <c r="H317">
        <v>2</v>
      </c>
      <c r="I317">
        <v>1</v>
      </c>
      <c r="J317">
        <v>2</v>
      </c>
      <c r="K317">
        <v>2</v>
      </c>
      <c r="L317">
        <v>2</v>
      </c>
      <c r="M317">
        <v>3</v>
      </c>
      <c r="N317">
        <v>2</v>
      </c>
      <c r="O317">
        <v>3</v>
      </c>
      <c r="P317">
        <v>3</v>
      </c>
      <c r="Q317">
        <v>3</v>
      </c>
      <c r="R317">
        <v>2</v>
      </c>
      <c r="S317">
        <v>1</v>
      </c>
      <c r="T317">
        <v>1</v>
      </c>
      <c r="U317">
        <v>2</v>
      </c>
    </row>
    <row r="318" spans="1:21">
      <c r="A318">
        <v>2</v>
      </c>
      <c r="B318">
        <v>3</v>
      </c>
      <c r="C318">
        <v>2</v>
      </c>
      <c r="D318">
        <v>4</v>
      </c>
      <c r="E318">
        <v>4</v>
      </c>
      <c r="F318">
        <v>4</v>
      </c>
      <c r="G318">
        <v>2</v>
      </c>
      <c r="H318">
        <v>3</v>
      </c>
      <c r="I318">
        <v>2</v>
      </c>
      <c r="J318">
        <v>3</v>
      </c>
      <c r="K318">
        <v>4</v>
      </c>
      <c r="L318">
        <v>4</v>
      </c>
      <c r="M318">
        <v>4</v>
      </c>
      <c r="N318">
        <v>4</v>
      </c>
      <c r="O318">
        <v>4</v>
      </c>
      <c r="P318">
        <v>3</v>
      </c>
      <c r="Q318">
        <v>4</v>
      </c>
      <c r="R318">
        <v>4</v>
      </c>
      <c r="S318">
        <v>3</v>
      </c>
      <c r="T318">
        <v>2</v>
      </c>
      <c r="U318">
        <v>2</v>
      </c>
    </row>
    <row r="319" spans="1:21">
      <c r="A319">
        <v>3</v>
      </c>
      <c r="B319">
        <v>4</v>
      </c>
      <c r="C319">
        <v>4</v>
      </c>
      <c r="D319">
        <v>4</v>
      </c>
      <c r="E319">
        <v>4</v>
      </c>
      <c r="F319">
        <v>3</v>
      </c>
      <c r="G319">
        <v>3</v>
      </c>
      <c r="H319">
        <v>3</v>
      </c>
      <c r="I319">
        <v>2</v>
      </c>
      <c r="J319">
        <v>3</v>
      </c>
      <c r="K319">
        <v>3</v>
      </c>
      <c r="L319">
        <v>3</v>
      </c>
      <c r="M319">
        <v>4</v>
      </c>
      <c r="N319">
        <v>4</v>
      </c>
      <c r="O319">
        <v>5</v>
      </c>
      <c r="P319">
        <v>5</v>
      </c>
      <c r="Q319">
        <v>5</v>
      </c>
      <c r="R319">
        <v>5</v>
      </c>
      <c r="S319">
        <v>3</v>
      </c>
      <c r="T319">
        <v>2</v>
      </c>
      <c r="U319">
        <v>1</v>
      </c>
    </row>
    <row r="320" spans="1:21">
      <c r="A320">
        <v>4</v>
      </c>
      <c r="B320">
        <v>4</v>
      </c>
      <c r="C320">
        <v>3</v>
      </c>
      <c r="D320">
        <v>4</v>
      </c>
      <c r="E320">
        <v>4</v>
      </c>
      <c r="F320">
        <v>4</v>
      </c>
      <c r="G320">
        <v>2</v>
      </c>
      <c r="H320">
        <v>3</v>
      </c>
      <c r="I320">
        <v>2</v>
      </c>
      <c r="J320">
        <v>2</v>
      </c>
      <c r="K320">
        <v>3</v>
      </c>
      <c r="L320">
        <v>3</v>
      </c>
      <c r="M320">
        <v>3</v>
      </c>
      <c r="N320">
        <v>3</v>
      </c>
      <c r="O320">
        <v>3</v>
      </c>
      <c r="P320">
        <v>3</v>
      </c>
      <c r="Q320">
        <v>4</v>
      </c>
      <c r="R320">
        <v>3</v>
      </c>
      <c r="S320">
        <v>2</v>
      </c>
      <c r="T320">
        <v>2</v>
      </c>
      <c r="U320">
        <v>1</v>
      </c>
    </row>
    <row r="321" spans="1:21">
      <c r="A321">
        <v>3</v>
      </c>
      <c r="B321">
        <v>2</v>
      </c>
      <c r="C321">
        <v>2</v>
      </c>
      <c r="D321">
        <v>3</v>
      </c>
      <c r="E321">
        <v>2</v>
      </c>
      <c r="F321">
        <v>3</v>
      </c>
      <c r="G321">
        <v>2</v>
      </c>
      <c r="H321">
        <v>1</v>
      </c>
      <c r="I321">
        <v>2</v>
      </c>
      <c r="J321">
        <v>2</v>
      </c>
      <c r="K321">
        <v>3</v>
      </c>
      <c r="L321">
        <v>2</v>
      </c>
      <c r="M321">
        <v>2</v>
      </c>
      <c r="N321">
        <v>3</v>
      </c>
      <c r="O321">
        <v>1</v>
      </c>
      <c r="P321">
        <v>2</v>
      </c>
      <c r="Q321">
        <v>2</v>
      </c>
      <c r="R321">
        <v>2</v>
      </c>
      <c r="S321">
        <v>2</v>
      </c>
      <c r="T321">
        <v>2</v>
      </c>
      <c r="U321">
        <v>2</v>
      </c>
    </row>
    <row r="322" spans="1:21">
      <c r="A322">
        <v>2</v>
      </c>
      <c r="B322">
        <v>1</v>
      </c>
      <c r="C322">
        <v>2</v>
      </c>
      <c r="D322">
        <v>5</v>
      </c>
      <c r="E322">
        <v>5</v>
      </c>
      <c r="F322">
        <v>4</v>
      </c>
      <c r="G322">
        <v>4</v>
      </c>
      <c r="H322">
        <v>4</v>
      </c>
      <c r="I322">
        <v>4</v>
      </c>
      <c r="J322">
        <v>4</v>
      </c>
      <c r="K322">
        <v>3</v>
      </c>
      <c r="L322">
        <v>4</v>
      </c>
      <c r="M322">
        <v>3</v>
      </c>
      <c r="N322">
        <v>4</v>
      </c>
      <c r="O322">
        <v>3</v>
      </c>
      <c r="P322">
        <v>4</v>
      </c>
      <c r="Q322">
        <v>4</v>
      </c>
      <c r="R322">
        <v>4</v>
      </c>
      <c r="S322">
        <v>2</v>
      </c>
      <c r="T322">
        <v>2</v>
      </c>
      <c r="U322">
        <v>2</v>
      </c>
    </row>
    <row r="323" spans="1:21">
      <c r="A323">
        <v>2</v>
      </c>
      <c r="B323">
        <v>3</v>
      </c>
      <c r="C323">
        <v>2</v>
      </c>
      <c r="D323">
        <v>4</v>
      </c>
      <c r="E323">
        <v>4</v>
      </c>
      <c r="F323">
        <v>3</v>
      </c>
      <c r="G323">
        <v>1</v>
      </c>
      <c r="H323">
        <v>1</v>
      </c>
      <c r="I323">
        <v>1</v>
      </c>
      <c r="J323">
        <v>1</v>
      </c>
      <c r="K323">
        <v>2</v>
      </c>
      <c r="L323">
        <v>2</v>
      </c>
      <c r="M323">
        <v>2</v>
      </c>
      <c r="N323">
        <v>3</v>
      </c>
      <c r="O323">
        <v>2</v>
      </c>
      <c r="P323">
        <v>2</v>
      </c>
      <c r="Q323">
        <v>3</v>
      </c>
      <c r="R323">
        <v>2</v>
      </c>
      <c r="S323">
        <v>1</v>
      </c>
      <c r="T323">
        <v>1</v>
      </c>
      <c r="U323">
        <v>1</v>
      </c>
    </row>
    <row r="324" spans="1:21">
      <c r="A324">
        <v>4</v>
      </c>
      <c r="B324">
        <v>4</v>
      </c>
      <c r="C324">
        <v>3</v>
      </c>
      <c r="D324">
        <v>4</v>
      </c>
      <c r="E324">
        <v>5</v>
      </c>
      <c r="F324">
        <v>4</v>
      </c>
      <c r="G324">
        <v>5</v>
      </c>
      <c r="H324">
        <v>4</v>
      </c>
      <c r="I324">
        <v>4</v>
      </c>
      <c r="J324">
        <v>4</v>
      </c>
      <c r="K324">
        <v>3</v>
      </c>
      <c r="L324">
        <v>3</v>
      </c>
      <c r="M324">
        <v>4</v>
      </c>
      <c r="N324">
        <v>3</v>
      </c>
      <c r="O324">
        <v>3</v>
      </c>
      <c r="P324">
        <v>3</v>
      </c>
      <c r="Q324">
        <v>4</v>
      </c>
      <c r="R324">
        <v>4</v>
      </c>
      <c r="S324">
        <v>4</v>
      </c>
      <c r="T324">
        <v>3</v>
      </c>
      <c r="U324">
        <v>3</v>
      </c>
    </row>
    <row r="325" spans="1:21">
      <c r="A325">
        <v>3</v>
      </c>
      <c r="B325">
        <v>3</v>
      </c>
      <c r="C325">
        <v>3</v>
      </c>
      <c r="D325">
        <v>2</v>
      </c>
      <c r="E325">
        <v>2</v>
      </c>
      <c r="F325">
        <v>3</v>
      </c>
      <c r="G325">
        <v>2</v>
      </c>
      <c r="H325">
        <v>2</v>
      </c>
      <c r="I325">
        <v>2</v>
      </c>
      <c r="J325">
        <v>2</v>
      </c>
      <c r="K325">
        <v>2</v>
      </c>
      <c r="L325">
        <v>1</v>
      </c>
      <c r="M325">
        <v>2</v>
      </c>
      <c r="N325">
        <v>2</v>
      </c>
      <c r="O325">
        <v>2</v>
      </c>
      <c r="P325">
        <v>2</v>
      </c>
      <c r="Q325">
        <v>2</v>
      </c>
      <c r="R325">
        <v>2</v>
      </c>
      <c r="S325">
        <v>1</v>
      </c>
      <c r="T325">
        <v>1</v>
      </c>
      <c r="U325">
        <v>2</v>
      </c>
    </row>
    <row r="326" spans="1:21">
      <c r="A326">
        <v>3</v>
      </c>
      <c r="B326">
        <v>2</v>
      </c>
      <c r="C326">
        <v>2</v>
      </c>
      <c r="D326">
        <v>3</v>
      </c>
      <c r="E326">
        <v>3</v>
      </c>
      <c r="F326">
        <v>3</v>
      </c>
      <c r="G326">
        <v>3</v>
      </c>
      <c r="H326">
        <v>3</v>
      </c>
      <c r="I326">
        <v>2</v>
      </c>
      <c r="J326">
        <v>2</v>
      </c>
      <c r="K326">
        <v>4</v>
      </c>
      <c r="L326">
        <v>4</v>
      </c>
      <c r="M326">
        <v>4</v>
      </c>
      <c r="N326">
        <v>3</v>
      </c>
      <c r="O326">
        <v>4</v>
      </c>
      <c r="P326">
        <v>3</v>
      </c>
      <c r="Q326">
        <v>4</v>
      </c>
      <c r="R326">
        <v>4</v>
      </c>
      <c r="S326">
        <v>3</v>
      </c>
      <c r="T326">
        <v>2</v>
      </c>
      <c r="U326">
        <v>1</v>
      </c>
    </row>
    <row r="327" spans="1:21">
      <c r="A327">
        <v>2</v>
      </c>
      <c r="B327">
        <v>2</v>
      </c>
      <c r="C327">
        <v>1</v>
      </c>
      <c r="D327">
        <v>5</v>
      </c>
      <c r="E327">
        <v>4</v>
      </c>
      <c r="F327">
        <v>4</v>
      </c>
      <c r="G327">
        <v>1</v>
      </c>
      <c r="H327">
        <v>1</v>
      </c>
      <c r="I327">
        <v>2</v>
      </c>
      <c r="J327">
        <v>1</v>
      </c>
      <c r="K327">
        <v>1</v>
      </c>
      <c r="L327">
        <v>2</v>
      </c>
      <c r="M327">
        <v>2</v>
      </c>
      <c r="N327">
        <v>1</v>
      </c>
      <c r="O327">
        <v>2</v>
      </c>
      <c r="P327">
        <v>3</v>
      </c>
      <c r="Q327">
        <v>3</v>
      </c>
      <c r="R327">
        <v>2</v>
      </c>
      <c r="S327">
        <v>1</v>
      </c>
      <c r="T327">
        <v>1</v>
      </c>
      <c r="U327">
        <v>2</v>
      </c>
    </row>
    <row r="328" spans="1:21">
      <c r="A328">
        <v>2</v>
      </c>
      <c r="B328">
        <v>3</v>
      </c>
      <c r="C328">
        <v>3</v>
      </c>
      <c r="D328">
        <v>4</v>
      </c>
      <c r="E328">
        <v>4</v>
      </c>
      <c r="F328">
        <v>4</v>
      </c>
      <c r="G328">
        <v>4</v>
      </c>
      <c r="H328">
        <v>4</v>
      </c>
      <c r="I328">
        <v>4</v>
      </c>
      <c r="J328">
        <v>4</v>
      </c>
      <c r="K328">
        <v>3</v>
      </c>
      <c r="L328">
        <v>4</v>
      </c>
      <c r="M328">
        <v>4</v>
      </c>
      <c r="N328">
        <v>4</v>
      </c>
      <c r="O328">
        <v>4</v>
      </c>
      <c r="P328">
        <v>4</v>
      </c>
      <c r="Q328">
        <v>4</v>
      </c>
      <c r="R328">
        <v>3</v>
      </c>
      <c r="S328">
        <v>3</v>
      </c>
      <c r="T328">
        <v>3</v>
      </c>
      <c r="U328">
        <v>3</v>
      </c>
    </row>
    <row r="329" spans="1:21">
      <c r="A329">
        <v>2</v>
      </c>
      <c r="B329">
        <v>2</v>
      </c>
      <c r="C329">
        <v>1</v>
      </c>
      <c r="D329">
        <v>1</v>
      </c>
      <c r="E329">
        <v>1</v>
      </c>
      <c r="F329">
        <v>1</v>
      </c>
      <c r="G329">
        <v>2</v>
      </c>
      <c r="H329">
        <v>2</v>
      </c>
      <c r="I329">
        <v>2</v>
      </c>
      <c r="J329">
        <v>2</v>
      </c>
      <c r="K329">
        <v>3</v>
      </c>
      <c r="L329">
        <v>3</v>
      </c>
      <c r="M329">
        <v>3</v>
      </c>
      <c r="N329">
        <v>2</v>
      </c>
      <c r="O329">
        <v>3</v>
      </c>
      <c r="P329">
        <v>3</v>
      </c>
      <c r="Q329">
        <v>4</v>
      </c>
      <c r="R329">
        <v>3</v>
      </c>
      <c r="S329">
        <v>1</v>
      </c>
      <c r="T329">
        <v>1</v>
      </c>
      <c r="U329">
        <v>2</v>
      </c>
    </row>
    <row r="330" spans="1:21">
      <c r="A330">
        <v>2</v>
      </c>
      <c r="B330">
        <v>2</v>
      </c>
      <c r="C330">
        <v>3</v>
      </c>
      <c r="D330">
        <v>4</v>
      </c>
      <c r="E330">
        <v>4</v>
      </c>
      <c r="F330">
        <v>4</v>
      </c>
      <c r="G330">
        <v>3</v>
      </c>
      <c r="H330">
        <v>3</v>
      </c>
      <c r="I330">
        <v>4</v>
      </c>
      <c r="J330">
        <v>3</v>
      </c>
      <c r="K330">
        <v>2</v>
      </c>
      <c r="L330">
        <v>3</v>
      </c>
      <c r="M330">
        <v>3</v>
      </c>
      <c r="N330">
        <v>3</v>
      </c>
      <c r="O330">
        <v>3</v>
      </c>
      <c r="P330">
        <v>4</v>
      </c>
      <c r="Q330">
        <v>4</v>
      </c>
      <c r="R330">
        <v>4</v>
      </c>
      <c r="S330">
        <v>1</v>
      </c>
      <c r="T330">
        <v>1</v>
      </c>
      <c r="U330">
        <v>1</v>
      </c>
    </row>
    <row r="331" spans="1:21">
      <c r="A331">
        <v>4</v>
      </c>
      <c r="B331">
        <v>4</v>
      </c>
      <c r="C331">
        <v>4</v>
      </c>
      <c r="D331">
        <v>3</v>
      </c>
      <c r="E331">
        <v>2</v>
      </c>
      <c r="F331">
        <v>2</v>
      </c>
      <c r="G331">
        <v>4</v>
      </c>
      <c r="H331">
        <v>4</v>
      </c>
      <c r="I331">
        <v>3</v>
      </c>
      <c r="J331">
        <v>4</v>
      </c>
      <c r="K331">
        <v>3</v>
      </c>
      <c r="L331">
        <v>3</v>
      </c>
      <c r="M331">
        <v>3</v>
      </c>
      <c r="N331">
        <v>3</v>
      </c>
      <c r="O331">
        <v>2</v>
      </c>
      <c r="P331">
        <v>3</v>
      </c>
      <c r="Q331">
        <v>3</v>
      </c>
      <c r="R331">
        <v>3</v>
      </c>
      <c r="S331">
        <v>4</v>
      </c>
      <c r="T331">
        <v>3</v>
      </c>
      <c r="U331">
        <v>3</v>
      </c>
    </row>
    <row r="332" spans="1:21">
      <c r="A332">
        <v>2</v>
      </c>
      <c r="B332">
        <v>2</v>
      </c>
      <c r="C332">
        <v>2</v>
      </c>
      <c r="D332">
        <v>4</v>
      </c>
      <c r="E332">
        <v>4</v>
      </c>
      <c r="F332">
        <v>4</v>
      </c>
      <c r="G332">
        <v>4</v>
      </c>
      <c r="H332">
        <v>5</v>
      </c>
      <c r="I332">
        <v>4</v>
      </c>
      <c r="J332">
        <v>4</v>
      </c>
      <c r="K332">
        <v>3</v>
      </c>
      <c r="L332">
        <v>3</v>
      </c>
      <c r="M332">
        <v>3</v>
      </c>
      <c r="N332">
        <v>3</v>
      </c>
      <c r="O332">
        <v>3</v>
      </c>
      <c r="P332">
        <v>4</v>
      </c>
      <c r="Q332">
        <v>4</v>
      </c>
      <c r="R332">
        <v>4</v>
      </c>
      <c r="S332">
        <v>4</v>
      </c>
      <c r="T332">
        <v>3</v>
      </c>
      <c r="U332">
        <v>3</v>
      </c>
    </row>
    <row r="333" spans="1:21">
      <c r="A333">
        <v>2</v>
      </c>
      <c r="B333">
        <v>2</v>
      </c>
      <c r="C333">
        <v>1</v>
      </c>
      <c r="D333">
        <v>3</v>
      </c>
      <c r="E333">
        <v>3</v>
      </c>
      <c r="F333">
        <v>3</v>
      </c>
      <c r="G333">
        <v>2</v>
      </c>
      <c r="H333">
        <v>1</v>
      </c>
      <c r="I333">
        <v>2</v>
      </c>
      <c r="J333">
        <v>2</v>
      </c>
      <c r="K333">
        <v>1</v>
      </c>
      <c r="L333">
        <v>2</v>
      </c>
      <c r="M333">
        <v>1</v>
      </c>
      <c r="N333">
        <v>1</v>
      </c>
      <c r="O333">
        <v>2</v>
      </c>
      <c r="P333">
        <v>2</v>
      </c>
      <c r="Q333">
        <v>3</v>
      </c>
      <c r="R333">
        <v>2</v>
      </c>
      <c r="S333">
        <v>1</v>
      </c>
      <c r="T333">
        <v>1</v>
      </c>
      <c r="U333">
        <v>2</v>
      </c>
    </row>
    <row r="334" spans="1:21">
      <c r="A334">
        <v>4</v>
      </c>
      <c r="B334">
        <v>5</v>
      </c>
      <c r="C334">
        <v>4</v>
      </c>
      <c r="D334">
        <v>5</v>
      </c>
      <c r="E334">
        <v>5</v>
      </c>
      <c r="F334">
        <v>5</v>
      </c>
      <c r="G334">
        <v>2</v>
      </c>
      <c r="H334">
        <v>3</v>
      </c>
      <c r="I334">
        <v>2</v>
      </c>
      <c r="J334">
        <v>2</v>
      </c>
      <c r="K334">
        <v>4</v>
      </c>
      <c r="L334">
        <v>4</v>
      </c>
      <c r="M334">
        <v>4</v>
      </c>
      <c r="N334">
        <v>4</v>
      </c>
      <c r="O334">
        <v>3</v>
      </c>
      <c r="P334">
        <v>3</v>
      </c>
      <c r="Q334">
        <v>4</v>
      </c>
      <c r="R334">
        <v>3</v>
      </c>
      <c r="S334">
        <v>1</v>
      </c>
      <c r="T334">
        <v>1</v>
      </c>
      <c r="U334">
        <v>2</v>
      </c>
    </row>
    <row r="335" spans="1:21">
      <c r="A335">
        <v>3</v>
      </c>
      <c r="B335">
        <v>2</v>
      </c>
      <c r="C335">
        <v>2</v>
      </c>
      <c r="D335">
        <v>4</v>
      </c>
      <c r="E335">
        <v>3</v>
      </c>
      <c r="F335">
        <v>3</v>
      </c>
      <c r="G335">
        <v>2</v>
      </c>
      <c r="H335">
        <v>2</v>
      </c>
      <c r="I335">
        <v>2</v>
      </c>
      <c r="J335">
        <v>1</v>
      </c>
      <c r="K335">
        <v>4</v>
      </c>
      <c r="L335">
        <v>3</v>
      </c>
      <c r="M335">
        <v>4</v>
      </c>
      <c r="N335">
        <v>4</v>
      </c>
      <c r="O335">
        <v>3</v>
      </c>
      <c r="P335">
        <v>3</v>
      </c>
      <c r="Q335">
        <v>3</v>
      </c>
      <c r="R335">
        <v>3</v>
      </c>
      <c r="S335">
        <v>4</v>
      </c>
      <c r="T335">
        <v>3</v>
      </c>
      <c r="U335">
        <v>3</v>
      </c>
    </row>
    <row r="336" spans="1:21">
      <c r="A336">
        <v>2</v>
      </c>
      <c r="B336">
        <v>2</v>
      </c>
      <c r="C336">
        <v>2</v>
      </c>
      <c r="D336">
        <v>4</v>
      </c>
      <c r="E336">
        <v>4</v>
      </c>
      <c r="F336">
        <v>4</v>
      </c>
      <c r="G336">
        <v>4</v>
      </c>
      <c r="H336">
        <v>4</v>
      </c>
      <c r="I336">
        <v>4</v>
      </c>
      <c r="J336">
        <v>4</v>
      </c>
      <c r="K336">
        <v>3</v>
      </c>
      <c r="L336">
        <v>3</v>
      </c>
      <c r="M336">
        <v>3</v>
      </c>
      <c r="N336">
        <v>3</v>
      </c>
      <c r="O336">
        <v>2</v>
      </c>
      <c r="P336">
        <v>3</v>
      </c>
      <c r="Q336">
        <v>3</v>
      </c>
      <c r="R336">
        <v>3</v>
      </c>
      <c r="S336">
        <v>3</v>
      </c>
      <c r="T336">
        <v>2</v>
      </c>
      <c r="U336">
        <v>1</v>
      </c>
    </row>
    <row r="337" spans="1:21">
      <c r="A337">
        <v>2</v>
      </c>
      <c r="B337">
        <v>2</v>
      </c>
      <c r="C337">
        <v>3</v>
      </c>
      <c r="D337">
        <v>5</v>
      </c>
      <c r="E337">
        <v>4</v>
      </c>
      <c r="F337">
        <v>5</v>
      </c>
      <c r="G337">
        <v>3</v>
      </c>
      <c r="H337">
        <v>3</v>
      </c>
      <c r="I337">
        <v>3</v>
      </c>
      <c r="J337">
        <v>3</v>
      </c>
      <c r="K337">
        <v>3</v>
      </c>
      <c r="L337">
        <v>3</v>
      </c>
      <c r="M337">
        <v>3</v>
      </c>
      <c r="N337">
        <v>3</v>
      </c>
      <c r="O337">
        <v>4</v>
      </c>
      <c r="P337">
        <v>4</v>
      </c>
      <c r="Q337">
        <v>3</v>
      </c>
      <c r="R337">
        <v>4</v>
      </c>
      <c r="S337">
        <v>2</v>
      </c>
      <c r="T337">
        <v>1</v>
      </c>
      <c r="U337">
        <v>1</v>
      </c>
    </row>
    <row r="338" spans="1:21">
      <c r="A338">
        <v>2</v>
      </c>
      <c r="B338">
        <v>3</v>
      </c>
      <c r="C338">
        <v>2</v>
      </c>
      <c r="D338">
        <v>1</v>
      </c>
      <c r="E338">
        <v>1</v>
      </c>
      <c r="F338">
        <v>2</v>
      </c>
      <c r="G338">
        <v>2</v>
      </c>
      <c r="H338">
        <v>2</v>
      </c>
      <c r="I338">
        <v>2</v>
      </c>
      <c r="J338">
        <v>2</v>
      </c>
      <c r="K338">
        <v>3</v>
      </c>
      <c r="L338">
        <v>3</v>
      </c>
      <c r="M338">
        <v>3</v>
      </c>
      <c r="N338">
        <v>3</v>
      </c>
      <c r="O338">
        <v>3</v>
      </c>
      <c r="P338">
        <v>3</v>
      </c>
      <c r="Q338">
        <v>3</v>
      </c>
      <c r="R338">
        <v>3</v>
      </c>
      <c r="S338">
        <v>3</v>
      </c>
      <c r="T338">
        <v>2</v>
      </c>
      <c r="U338">
        <v>1</v>
      </c>
    </row>
    <row r="339" spans="1:21">
      <c r="A339">
        <v>3</v>
      </c>
      <c r="B339">
        <v>3</v>
      </c>
      <c r="C339">
        <v>3</v>
      </c>
      <c r="D339">
        <v>4</v>
      </c>
      <c r="E339">
        <v>4</v>
      </c>
      <c r="F339">
        <v>4</v>
      </c>
      <c r="G339">
        <v>3</v>
      </c>
      <c r="H339">
        <v>3</v>
      </c>
      <c r="I339">
        <v>3</v>
      </c>
      <c r="J339">
        <v>3</v>
      </c>
      <c r="K339">
        <v>3</v>
      </c>
      <c r="L339">
        <v>4</v>
      </c>
      <c r="M339">
        <v>4</v>
      </c>
      <c r="N339">
        <v>4</v>
      </c>
      <c r="O339">
        <v>2</v>
      </c>
      <c r="P339">
        <v>2</v>
      </c>
      <c r="Q339">
        <v>2</v>
      </c>
      <c r="R339">
        <v>2</v>
      </c>
      <c r="S339">
        <v>2</v>
      </c>
      <c r="T339">
        <v>2</v>
      </c>
      <c r="U339">
        <v>2</v>
      </c>
    </row>
    <row r="340" spans="1:21">
      <c r="A340">
        <v>2</v>
      </c>
      <c r="B340">
        <v>1</v>
      </c>
      <c r="C340">
        <v>2</v>
      </c>
      <c r="D340">
        <v>4</v>
      </c>
      <c r="E340">
        <v>4</v>
      </c>
      <c r="F340">
        <v>3</v>
      </c>
      <c r="G340">
        <v>2</v>
      </c>
      <c r="H340">
        <v>2</v>
      </c>
      <c r="I340">
        <v>2</v>
      </c>
      <c r="J340">
        <v>2</v>
      </c>
      <c r="K340">
        <v>3</v>
      </c>
      <c r="L340">
        <v>3</v>
      </c>
      <c r="M340">
        <v>3</v>
      </c>
      <c r="N340">
        <v>3</v>
      </c>
      <c r="O340">
        <v>3</v>
      </c>
      <c r="P340">
        <v>3</v>
      </c>
      <c r="Q340">
        <v>4</v>
      </c>
      <c r="R340">
        <v>3</v>
      </c>
      <c r="S340">
        <v>3</v>
      </c>
      <c r="T340">
        <v>3</v>
      </c>
      <c r="U340">
        <v>3</v>
      </c>
    </row>
    <row r="341" spans="1:21">
      <c r="A341">
        <v>3</v>
      </c>
      <c r="B341">
        <v>4</v>
      </c>
      <c r="C341">
        <v>3</v>
      </c>
      <c r="D341">
        <v>4</v>
      </c>
      <c r="E341">
        <v>4</v>
      </c>
      <c r="F341">
        <v>4</v>
      </c>
      <c r="G341">
        <v>3</v>
      </c>
      <c r="H341">
        <v>3</v>
      </c>
      <c r="I341">
        <v>3</v>
      </c>
      <c r="J341">
        <v>3</v>
      </c>
      <c r="K341">
        <v>2</v>
      </c>
      <c r="L341">
        <v>3</v>
      </c>
      <c r="M341">
        <v>2</v>
      </c>
      <c r="N341">
        <v>2</v>
      </c>
      <c r="O341">
        <v>4</v>
      </c>
      <c r="P341">
        <v>4</v>
      </c>
      <c r="Q341">
        <v>4</v>
      </c>
      <c r="R341">
        <v>3</v>
      </c>
      <c r="S341">
        <v>2</v>
      </c>
      <c r="T341">
        <v>2</v>
      </c>
      <c r="U341">
        <v>1</v>
      </c>
    </row>
    <row r="342" spans="1:21">
      <c r="A342">
        <v>3</v>
      </c>
      <c r="B342">
        <v>4</v>
      </c>
      <c r="C342">
        <v>3</v>
      </c>
      <c r="D342">
        <v>4</v>
      </c>
      <c r="E342">
        <v>4</v>
      </c>
      <c r="F342">
        <v>4</v>
      </c>
      <c r="G342">
        <v>4</v>
      </c>
      <c r="H342">
        <v>4</v>
      </c>
      <c r="I342">
        <v>4</v>
      </c>
      <c r="J342">
        <v>3</v>
      </c>
      <c r="K342">
        <v>4</v>
      </c>
      <c r="L342">
        <v>4</v>
      </c>
      <c r="M342">
        <v>4</v>
      </c>
      <c r="N342">
        <v>4</v>
      </c>
      <c r="O342">
        <v>3</v>
      </c>
      <c r="P342">
        <v>4</v>
      </c>
      <c r="Q342">
        <v>3</v>
      </c>
      <c r="R342">
        <v>3</v>
      </c>
      <c r="S342">
        <v>4</v>
      </c>
      <c r="T342">
        <v>2</v>
      </c>
      <c r="U342">
        <v>1</v>
      </c>
    </row>
    <row r="343" spans="1:21">
      <c r="A343">
        <v>3</v>
      </c>
      <c r="B343">
        <v>3</v>
      </c>
      <c r="C343">
        <v>2</v>
      </c>
      <c r="D343">
        <v>3</v>
      </c>
      <c r="E343">
        <v>3</v>
      </c>
      <c r="F343">
        <v>2</v>
      </c>
      <c r="G343">
        <v>2</v>
      </c>
      <c r="H343">
        <v>3</v>
      </c>
      <c r="I343">
        <v>2</v>
      </c>
      <c r="J343">
        <v>3</v>
      </c>
      <c r="K343">
        <v>3</v>
      </c>
      <c r="L343">
        <v>3</v>
      </c>
      <c r="M343">
        <v>2</v>
      </c>
      <c r="N343">
        <v>2</v>
      </c>
      <c r="O343">
        <v>3</v>
      </c>
      <c r="P343">
        <v>3</v>
      </c>
      <c r="Q343">
        <v>3</v>
      </c>
      <c r="R343">
        <v>2</v>
      </c>
      <c r="S343">
        <v>1</v>
      </c>
      <c r="T343">
        <v>1</v>
      </c>
      <c r="U343">
        <v>1</v>
      </c>
    </row>
    <row r="344" spans="1:21">
      <c r="A344">
        <v>2</v>
      </c>
      <c r="B344">
        <v>2</v>
      </c>
      <c r="C344">
        <v>2</v>
      </c>
      <c r="D344">
        <v>5</v>
      </c>
      <c r="E344">
        <v>5</v>
      </c>
      <c r="F344">
        <v>5</v>
      </c>
      <c r="G344">
        <v>5</v>
      </c>
      <c r="H344">
        <v>5</v>
      </c>
      <c r="I344">
        <v>5</v>
      </c>
      <c r="J344">
        <v>5</v>
      </c>
      <c r="K344">
        <v>4</v>
      </c>
      <c r="L344">
        <v>3</v>
      </c>
      <c r="M344">
        <v>4</v>
      </c>
      <c r="N344">
        <v>4</v>
      </c>
      <c r="O344">
        <v>4</v>
      </c>
      <c r="P344">
        <v>4</v>
      </c>
      <c r="Q344">
        <v>4</v>
      </c>
      <c r="R344">
        <v>4</v>
      </c>
      <c r="S344">
        <v>3</v>
      </c>
      <c r="T344">
        <v>3</v>
      </c>
      <c r="U344">
        <v>3</v>
      </c>
    </row>
    <row r="345" spans="1:21">
      <c r="A345">
        <v>3</v>
      </c>
      <c r="B345">
        <v>3</v>
      </c>
      <c r="C345">
        <v>2</v>
      </c>
      <c r="D345">
        <v>5</v>
      </c>
      <c r="E345">
        <v>5</v>
      </c>
      <c r="F345">
        <v>5</v>
      </c>
      <c r="G345">
        <v>3</v>
      </c>
      <c r="H345">
        <v>3</v>
      </c>
      <c r="I345">
        <v>3</v>
      </c>
      <c r="J345">
        <v>3</v>
      </c>
      <c r="K345">
        <v>4</v>
      </c>
      <c r="L345">
        <v>4</v>
      </c>
      <c r="M345">
        <v>5</v>
      </c>
      <c r="N345">
        <v>5</v>
      </c>
      <c r="O345">
        <v>3</v>
      </c>
      <c r="P345">
        <v>3</v>
      </c>
      <c r="Q345">
        <v>2</v>
      </c>
      <c r="R345">
        <v>3</v>
      </c>
      <c r="S345">
        <v>3</v>
      </c>
      <c r="T345">
        <v>2</v>
      </c>
      <c r="U345">
        <v>2</v>
      </c>
    </row>
    <row r="346" spans="1:21">
      <c r="A346">
        <v>3</v>
      </c>
      <c r="B346">
        <v>2</v>
      </c>
      <c r="C346">
        <v>3</v>
      </c>
      <c r="D346">
        <v>3</v>
      </c>
      <c r="E346">
        <v>3</v>
      </c>
      <c r="F346">
        <v>3</v>
      </c>
      <c r="G346">
        <v>2</v>
      </c>
      <c r="H346">
        <v>2</v>
      </c>
      <c r="I346">
        <v>2</v>
      </c>
      <c r="J346">
        <v>2</v>
      </c>
      <c r="K346">
        <v>4</v>
      </c>
      <c r="L346">
        <v>3</v>
      </c>
      <c r="M346">
        <v>4</v>
      </c>
      <c r="N346">
        <v>4</v>
      </c>
      <c r="O346">
        <v>3</v>
      </c>
      <c r="P346">
        <v>2</v>
      </c>
      <c r="Q346">
        <v>3</v>
      </c>
      <c r="R346">
        <v>2</v>
      </c>
      <c r="S346">
        <v>1</v>
      </c>
      <c r="T346">
        <v>1</v>
      </c>
      <c r="U346">
        <v>2</v>
      </c>
    </row>
    <row r="347" spans="1:21">
      <c r="A347">
        <v>2</v>
      </c>
      <c r="B347">
        <v>3</v>
      </c>
      <c r="C347">
        <v>2</v>
      </c>
      <c r="D347">
        <v>2</v>
      </c>
      <c r="E347">
        <v>3</v>
      </c>
      <c r="F347">
        <v>2</v>
      </c>
      <c r="G347">
        <v>3</v>
      </c>
      <c r="H347">
        <v>3</v>
      </c>
      <c r="I347">
        <v>3</v>
      </c>
      <c r="J347">
        <v>3</v>
      </c>
      <c r="K347">
        <v>2</v>
      </c>
      <c r="L347">
        <v>2</v>
      </c>
      <c r="M347">
        <v>2</v>
      </c>
      <c r="N347">
        <v>2</v>
      </c>
      <c r="O347">
        <v>3</v>
      </c>
      <c r="P347">
        <v>3</v>
      </c>
      <c r="Q347">
        <v>3</v>
      </c>
      <c r="R347">
        <v>3</v>
      </c>
      <c r="S347">
        <v>2</v>
      </c>
      <c r="T347">
        <v>2</v>
      </c>
      <c r="U347">
        <v>2</v>
      </c>
    </row>
    <row r="348" spans="1:21">
      <c r="A348">
        <v>2</v>
      </c>
      <c r="B348">
        <v>3</v>
      </c>
      <c r="C348">
        <v>3</v>
      </c>
      <c r="D348">
        <v>4</v>
      </c>
      <c r="E348">
        <v>4</v>
      </c>
      <c r="F348">
        <v>3</v>
      </c>
      <c r="G348">
        <v>4</v>
      </c>
      <c r="H348">
        <v>4</v>
      </c>
      <c r="I348">
        <v>4</v>
      </c>
      <c r="J348">
        <v>3</v>
      </c>
      <c r="K348">
        <v>4</v>
      </c>
      <c r="L348">
        <v>4</v>
      </c>
      <c r="M348">
        <v>4</v>
      </c>
      <c r="N348">
        <v>3</v>
      </c>
      <c r="O348">
        <v>4</v>
      </c>
      <c r="P348">
        <v>4</v>
      </c>
      <c r="Q348">
        <v>3</v>
      </c>
      <c r="R348">
        <v>4</v>
      </c>
      <c r="S348">
        <v>4</v>
      </c>
      <c r="T348">
        <v>3</v>
      </c>
      <c r="U348">
        <v>3</v>
      </c>
    </row>
    <row r="349" spans="1:21">
      <c r="A349">
        <v>2</v>
      </c>
      <c r="B349">
        <v>3</v>
      </c>
      <c r="C349">
        <v>2</v>
      </c>
      <c r="D349">
        <v>5</v>
      </c>
      <c r="E349">
        <v>5</v>
      </c>
      <c r="F349">
        <v>5</v>
      </c>
      <c r="G349">
        <v>2</v>
      </c>
      <c r="H349">
        <v>2</v>
      </c>
      <c r="I349">
        <v>2</v>
      </c>
      <c r="J349">
        <v>2</v>
      </c>
      <c r="K349">
        <v>4</v>
      </c>
      <c r="L349">
        <v>3</v>
      </c>
      <c r="M349">
        <v>3</v>
      </c>
      <c r="N349">
        <v>3</v>
      </c>
      <c r="O349">
        <v>3</v>
      </c>
      <c r="P349">
        <v>4</v>
      </c>
      <c r="Q349">
        <v>3</v>
      </c>
      <c r="R349">
        <v>4</v>
      </c>
      <c r="S349">
        <v>2</v>
      </c>
      <c r="T349">
        <v>2</v>
      </c>
      <c r="U349">
        <v>1</v>
      </c>
    </row>
    <row r="350" spans="1:21">
      <c r="A350">
        <v>4</v>
      </c>
      <c r="B350">
        <v>4</v>
      </c>
      <c r="C350">
        <v>4</v>
      </c>
      <c r="D350">
        <v>5</v>
      </c>
      <c r="E350">
        <v>4</v>
      </c>
      <c r="F350">
        <v>4</v>
      </c>
      <c r="G350">
        <v>4</v>
      </c>
      <c r="H350">
        <v>4</v>
      </c>
      <c r="I350">
        <v>4</v>
      </c>
      <c r="J350">
        <v>4</v>
      </c>
      <c r="K350">
        <v>5</v>
      </c>
      <c r="L350">
        <v>4</v>
      </c>
      <c r="M350">
        <v>4</v>
      </c>
      <c r="N350">
        <v>5</v>
      </c>
      <c r="O350">
        <v>4</v>
      </c>
      <c r="P350">
        <v>4</v>
      </c>
      <c r="Q350">
        <v>4</v>
      </c>
      <c r="R350">
        <v>5</v>
      </c>
      <c r="S350">
        <v>3</v>
      </c>
      <c r="T350">
        <v>2</v>
      </c>
      <c r="U350">
        <v>1</v>
      </c>
    </row>
    <row r="351" spans="1:21">
      <c r="A351">
        <v>1</v>
      </c>
      <c r="B351">
        <v>1</v>
      </c>
      <c r="C351">
        <v>1</v>
      </c>
      <c r="D351">
        <v>3</v>
      </c>
      <c r="E351">
        <v>4</v>
      </c>
      <c r="F351">
        <v>4</v>
      </c>
      <c r="G351">
        <v>2</v>
      </c>
      <c r="H351">
        <v>2</v>
      </c>
      <c r="I351">
        <v>2</v>
      </c>
      <c r="J351">
        <v>1</v>
      </c>
      <c r="K351">
        <v>3</v>
      </c>
      <c r="L351">
        <v>3</v>
      </c>
      <c r="M351">
        <v>3</v>
      </c>
      <c r="N351">
        <v>3</v>
      </c>
      <c r="O351">
        <v>2</v>
      </c>
      <c r="P351">
        <v>3</v>
      </c>
      <c r="Q351">
        <v>3</v>
      </c>
      <c r="R351">
        <v>2</v>
      </c>
      <c r="S351">
        <v>2</v>
      </c>
      <c r="T351">
        <v>2</v>
      </c>
      <c r="U351">
        <v>2</v>
      </c>
    </row>
    <row r="352" spans="1:21">
      <c r="A352">
        <v>2</v>
      </c>
      <c r="B352">
        <v>2</v>
      </c>
      <c r="C352">
        <v>2</v>
      </c>
      <c r="D352">
        <v>3</v>
      </c>
      <c r="E352">
        <v>4</v>
      </c>
      <c r="F352">
        <v>3</v>
      </c>
      <c r="G352">
        <v>1</v>
      </c>
      <c r="H352">
        <v>2</v>
      </c>
      <c r="I352">
        <v>2</v>
      </c>
      <c r="J352">
        <v>2</v>
      </c>
      <c r="K352">
        <v>2</v>
      </c>
      <c r="L352">
        <v>1</v>
      </c>
      <c r="M352">
        <v>1</v>
      </c>
      <c r="N352">
        <v>1</v>
      </c>
      <c r="O352">
        <v>2</v>
      </c>
      <c r="P352">
        <v>2</v>
      </c>
      <c r="Q352">
        <v>2</v>
      </c>
      <c r="R352">
        <v>2</v>
      </c>
      <c r="S352">
        <v>1</v>
      </c>
      <c r="T352">
        <v>1</v>
      </c>
      <c r="U352">
        <v>2</v>
      </c>
    </row>
    <row r="353" spans="1:21">
      <c r="A353">
        <v>2</v>
      </c>
      <c r="B353">
        <v>1</v>
      </c>
      <c r="C353">
        <v>1</v>
      </c>
      <c r="D353">
        <v>3</v>
      </c>
      <c r="E353">
        <v>3</v>
      </c>
      <c r="F353">
        <v>4</v>
      </c>
      <c r="G353">
        <v>3</v>
      </c>
      <c r="H353">
        <v>3</v>
      </c>
      <c r="I353">
        <v>2</v>
      </c>
      <c r="J353">
        <v>3</v>
      </c>
      <c r="K353">
        <v>2</v>
      </c>
      <c r="L353">
        <v>1</v>
      </c>
      <c r="M353">
        <v>1</v>
      </c>
      <c r="N353">
        <v>1</v>
      </c>
      <c r="O353">
        <v>3</v>
      </c>
      <c r="P353">
        <v>3</v>
      </c>
      <c r="Q353">
        <v>2</v>
      </c>
      <c r="R353">
        <v>2</v>
      </c>
      <c r="S353">
        <v>4</v>
      </c>
      <c r="T353">
        <v>3</v>
      </c>
      <c r="U353">
        <v>3</v>
      </c>
    </row>
    <row r="354" spans="1:21">
      <c r="A354">
        <v>2</v>
      </c>
      <c r="B354">
        <v>2</v>
      </c>
      <c r="C354">
        <v>2</v>
      </c>
      <c r="D354">
        <v>3</v>
      </c>
      <c r="E354">
        <v>3</v>
      </c>
      <c r="F354">
        <v>3</v>
      </c>
      <c r="G354">
        <v>2</v>
      </c>
      <c r="H354">
        <v>2</v>
      </c>
      <c r="I354">
        <v>2</v>
      </c>
      <c r="J354">
        <v>2</v>
      </c>
      <c r="K354">
        <v>3</v>
      </c>
      <c r="L354">
        <v>3</v>
      </c>
      <c r="M354">
        <v>3</v>
      </c>
      <c r="N354">
        <v>3</v>
      </c>
      <c r="O354">
        <v>3</v>
      </c>
      <c r="P354">
        <v>3</v>
      </c>
      <c r="Q354">
        <v>3</v>
      </c>
      <c r="R354">
        <v>3</v>
      </c>
      <c r="S354">
        <v>2</v>
      </c>
      <c r="T354">
        <v>2</v>
      </c>
      <c r="U354">
        <v>2</v>
      </c>
    </row>
    <row r="355" spans="1:21">
      <c r="A355">
        <v>3</v>
      </c>
      <c r="B355">
        <v>3</v>
      </c>
      <c r="C355">
        <v>3</v>
      </c>
      <c r="D355">
        <v>5</v>
      </c>
      <c r="E355">
        <v>4</v>
      </c>
      <c r="F355">
        <v>5</v>
      </c>
      <c r="G355">
        <v>2</v>
      </c>
      <c r="H355">
        <v>3</v>
      </c>
      <c r="I355">
        <v>3</v>
      </c>
      <c r="J355">
        <v>3</v>
      </c>
      <c r="K355">
        <v>2</v>
      </c>
      <c r="L355">
        <v>2</v>
      </c>
      <c r="M355">
        <v>2</v>
      </c>
      <c r="N355">
        <v>1</v>
      </c>
      <c r="O355">
        <v>2</v>
      </c>
      <c r="P355">
        <v>2</v>
      </c>
      <c r="Q355">
        <v>2</v>
      </c>
      <c r="R355">
        <v>2</v>
      </c>
      <c r="S355">
        <v>2</v>
      </c>
      <c r="T355">
        <v>2</v>
      </c>
      <c r="U355">
        <v>2</v>
      </c>
    </row>
    <row r="356" spans="1:21">
      <c r="A356">
        <v>2</v>
      </c>
      <c r="B356">
        <v>2</v>
      </c>
      <c r="C356">
        <v>1</v>
      </c>
      <c r="D356">
        <v>2</v>
      </c>
      <c r="E356">
        <v>2</v>
      </c>
      <c r="F356">
        <v>2</v>
      </c>
      <c r="G356">
        <v>3</v>
      </c>
      <c r="H356">
        <v>4</v>
      </c>
      <c r="I356">
        <v>3</v>
      </c>
      <c r="J356">
        <v>3</v>
      </c>
      <c r="K356">
        <v>3</v>
      </c>
      <c r="L356">
        <v>2</v>
      </c>
      <c r="M356">
        <v>3</v>
      </c>
      <c r="N356">
        <v>2</v>
      </c>
      <c r="O356">
        <v>3</v>
      </c>
      <c r="P356">
        <v>3</v>
      </c>
      <c r="Q356">
        <v>3</v>
      </c>
      <c r="R356">
        <v>3</v>
      </c>
      <c r="S356">
        <v>2</v>
      </c>
      <c r="T356">
        <v>2</v>
      </c>
      <c r="U356">
        <v>2</v>
      </c>
    </row>
    <row r="357" spans="1:21">
      <c r="A357">
        <v>2</v>
      </c>
      <c r="B357">
        <v>3</v>
      </c>
      <c r="C357">
        <v>3</v>
      </c>
      <c r="D357">
        <v>4</v>
      </c>
      <c r="E357">
        <v>3</v>
      </c>
      <c r="F357">
        <v>3</v>
      </c>
      <c r="G357">
        <v>4</v>
      </c>
      <c r="H357">
        <v>4</v>
      </c>
      <c r="I357">
        <v>4</v>
      </c>
      <c r="J357">
        <v>4</v>
      </c>
      <c r="K357">
        <v>4</v>
      </c>
      <c r="L357">
        <v>4</v>
      </c>
      <c r="M357">
        <v>4</v>
      </c>
      <c r="N357">
        <v>4</v>
      </c>
      <c r="O357">
        <v>4</v>
      </c>
      <c r="P357">
        <v>5</v>
      </c>
      <c r="Q357">
        <v>5</v>
      </c>
      <c r="R357">
        <v>4</v>
      </c>
      <c r="S357">
        <v>4</v>
      </c>
      <c r="T357">
        <v>4</v>
      </c>
      <c r="U357">
        <v>4</v>
      </c>
    </row>
    <row r="358" spans="1:21">
      <c r="A358">
        <v>3</v>
      </c>
      <c r="B358">
        <v>3</v>
      </c>
      <c r="C358">
        <v>3</v>
      </c>
      <c r="D358">
        <v>4</v>
      </c>
      <c r="E358">
        <v>4</v>
      </c>
      <c r="F358">
        <v>3</v>
      </c>
      <c r="G358">
        <v>3</v>
      </c>
      <c r="H358">
        <v>3</v>
      </c>
      <c r="I358">
        <v>2</v>
      </c>
      <c r="J358">
        <v>2</v>
      </c>
      <c r="K358">
        <v>4</v>
      </c>
      <c r="L358">
        <v>4</v>
      </c>
      <c r="M358">
        <v>4</v>
      </c>
      <c r="N358">
        <v>4</v>
      </c>
      <c r="O358">
        <v>3</v>
      </c>
      <c r="P358">
        <v>4</v>
      </c>
      <c r="Q358">
        <v>4</v>
      </c>
      <c r="R358">
        <v>3</v>
      </c>
      <c r="S358">
        <v>3</v>
      </c>
      <c r="T358">
        <v>2</v>
      </c>
      <c r="U358">
        <v>1</v>
      </c>
    </row>
    <row r="359" spans="1:21">
      <c r="A359">
        <v>2</v>
      </c>
      <c r="B359">
        <v>2</v>
      </c>
      <c r="C359">
        <v>2</v>
      </c>
      <c r="D359">
        <v>4</v>
      </c>
      <c r="E359">
        <v>4</v>
      </c>
      <c r="F359">
        <v>4</v>
      </c>
      <c r="G359">
        <v>3</v>
      </c>
      <c r="H359">
        <v>3</v>
      </c>
      <c r="I359">
        <v>3</v>
      </c>
      <c r="J359">
        <v>3</v>
      </c>
      <c r="K359">
        <v>2</v>
      </c>
      <c r="L359">
        <v>3</v>
      </c>
      <c r="M359">
        <v>2</v>
      </c>
      <c r="N359">
        <v>3</v>
      </c>
      <c r="O359">
        <v>3</v>
      </c>
      <c r="P359">
        <v>3</v>
      </c>
      <c r="Q359">
        <v>2</v>
      </c>
      <c r="R359">
        <v>2</v>
      </c>
      <c r="S359">
        <v>3</v>
      </c>
      <c r="T359">
        <v>2</v>
      </c>
      <c r="U359">
        <v>2</v>
      </c>
    </row>
    <row r="360" spans="1:21">
      <c r="A360">
        <v>4</v>
      </c>
      <c r="B360">
        <v>5</v>
      </c>
      <c r="C360">
        <v>4</v>
      </c>
      <c r="D360">
        <v>4</v>
      </c>
      <c r="E360">
        <v>4</v>
      </c>
      <c r="F360">
        <v>4</v>
      </c>
      <c r="G360">
        <v>2</v>
      </c>
      <c r="H360">
        <v>2</v>
      </c>
      <c r="I360">
        <v>2</v>
      </c>
      <c r="J360">
        <v>3</v>
      </c>
      <c r="K360">
        <v>4</v>
      </c>
      <c r="L360">
        <v>4</v>
      </c>
      <c r="M360">
        <v>4</v>
      </c>
      <c r="N360">
        <v>4</v>
      </c>
      <c r="O360">
        <v>3</v>
      </c>
      <c r="P360">
        <v>3</v>
      </c>
      <c r="Q360">
        <v>3</v>
      </c>
      <c r="R360">
        <v>3</v>
      </c>
      <c r="S360">
        <v>3</v>
      </c>
      <c r="T360">
        <v>2</v>
      </c>
      <c r="U360">
        <v>2</v>
      </c>
    </row>
    <row r="361" spans="1:21">
      <c r="A361">
        <v>3</v>
      </c>
      <c r="B361">
        <v>4</v>
      </c>
      <c r="C361">
        <v>2</v>
      </c>
      <c r="D361">
        <v>4</v>
      </c>
      <c r="E361">
        <v>3</v>
      </c>
      <c r="F361">
        <v>3</v>
      </c>
      <c r="G361">
        <v>3</v>
      </c>
      <c r="H361">
        <v>3</v>
      </c>
      <c r="I361">
        <v>2</v>
      </c>
      <c r="J361">
        <v>3</v>
      </c>
      <c r="K361">
        <v>4</v>
      </c>
      <c r="L361">
        <v>4</v>
      </c>
      <c r="M361">
        <v>4</v>
      </c>
      <c r="N361">
        <v>4</v>
      </c>
      <c r="O361">
        <v>3</v>
      </c>
      <c r="P361">
        <v>3</v>
      </c>
      <c r="Q361">
        <v>4</v>
      </c>
      <c r="R361">
        <v>3</v>
      </c>
      <c r="S361">
        <v>4</v>
      </c>
      <c r="T361">
        <v>3</v>
      </c>
      <c r="U361">
        <v>3</v>
      </c>
    </row>
    <row r="362" spans="1:21">
      <c r="A362">
        <v>4</v>
      </c>
      <c r="B362">
        <v>3</v>
      </c>
      <c r="C362">
        <v>3</v>
      </c>
      <c r="D362">
        <v>5</v>
      </c>
      <c r="E362">
        <v>5</v>
      </c>
      <c r="F362">
        <v>5</v>
      </c>
      <c r="G362">
        <v>3</v>
      </c>
      <c r="H362">
        <v>3</v>
      </c>
      <c r="I362">
        <v>3</v>
      </c>
      <c r="J362">
        <v>3</v>
      </c>
      <c r="K362">
        <v>4</v>
      </c>
      <c r="L362">
        <v>4</v>
      </c>
      <c r="M362">
        <v>4</v>
      </c>
      <c r="N362">
        <v>4</v>
      </c>
      <c r="O362">
        <v>3</v>
      </c>
      <c r="P362">
        <v>3</v>
      </c>
      <c r="Q362">
        <v>3</v>
      </c>
      <c r="R362">
        <v>4</v>
      </c>
      <c r="S362">
        <v>3</v>
      </c>
      <c r="T362">
        <v>2</v>
      </c>
      <c r="U362">
        <v>1</v>
      </c>
    </row>
    <row r="363" spans="1:21">
      <c r="A363">
        <v>3</v>
      </c>
      <c r="B363">
        <v>4</v>
      </c>
      <c r="C363">
        <v>3</v>
      </c>
      <c r="D363">
        <v>4</v>
      </c>
      <c r="E363">
        <v>4</v>
      </c>
      <c r="F363">
        <v>5</v>
      </c>
      <c r="G363">
        <v>3</v>
      </c>
      <c r="H363">
        <v>3</v>
      </c>
      <c r="I363">
        <v>3</v>
      </c>
      <c r="J363">
        <v>2</v>
      </c>
      <c r="K363">
        <v>4</v>
      </c>
      <c r="L363">
        <v>3</v>
      </c>
      <c r="M363">
        <v>3</v>
      </c>
      <c r="N363">
        <v>3</v>
      </c>
      <c r="O363">
        <v>4</v>
      </c>
      <c r="P363">
        <v>3</v>
      </c>
      <c r="Q363">
        <v>3</v>
      </c>
      <c r="R363">
        <v>3</v>
      </c>
      <c r="S363">
        <v>4</v>
      </c>
      <c r="T363">
        <v>2</v>
      </c>
      <c r="U363">
        <v>2</v>
      </c>
    </row>
    <row r="364" spans="1:21">
      <c r="A364">
        <v>4</v>
      </c>
      <c r="B364">
        <v>4</v>
      </c>
      <c r="C364">
        <v>4</v>
      </c>
      <c r="D364">
        <v>4</v>
      </c>
      <c r="E364">
        <v>5</v>
      </c>
      <c r="F364">
        <v>4</v>
      </c>
      <c r="G364">
        <v>3</v>
      </c>
      <c r="H364">
        <v>3</v>
      </c>
      <c r="I364">
        <v>3</v>
      </c>
      <c r="J364">
        <v>3</v>
      </c>
      <c r="K364">
        <v>5</v>
      </c>
      <c r="L364">
        <v>4</v>
      </c>
      <c r="M364">
        <v>4</v>
      </c>
      <c r="N364">
        <v>4</v>
      </c>
      <c r="O364">
        <v>2</v>
      </c>
      <c r="P364">
        <v>4</v>
      </c>
      <c r="Q364">
        <v>3</v>
      </c>
      <c r="R364">
        <v>3</v>
      </c>
      <c r="S364">
        <v>4</v>
      </c>
      <c r="T364">
        <v>3</v>
      </c>
      <c r="U364">
        <v>3</v>
      </c>
    </row>
    <row r="365" spans="1:21">
      <c r="A365">
        <v>1</v>
      </c>
      <c r="B365">
        <v>2</v>
      </c>
      <c r="C365">
        <v>2</v>
      </c>
      <c r="D365">
        <v>3</v>
      </c>
      <c r="E365">
        <v>4</v>
      </c>
      <c r="F365">
        <v>4</v>
      </c>
      <c r="G365">
        <v>2</v>
      </c>
      <c r="H365">
        <v>2</v>
      </c>
      <c r="I365">
        <v>2</v>
      </c>
      <c r="J365">
        <v>2</v>
      </c>
      <c r="K365">
        <v>3</v>
      </c>
      <c r="L365">
        <v>2</v>
      </c>
      <c r="M365">
        <v>3</v>
      </c>
      <c r="N365">
        <v>2</v>
      </c>
      <c r="O365">
        <v>3</v>
      </c>
      <c r="P365">
        <v>4</v>
      </c>
      <c r="Q365">
        <v>4</v>
      </c>
      <c r="R365">
        <v>4</v>
      </c>
      <c r="S365">
        <v>3</v>
      </c>
      <c r="T365">
        <v>2</v>
      </c>
      <c r="U365">
        <v>2</v>
      </c>
    </row>
    <row r="366" spans="1:21">
      <c r="A366">
        <v>2</v>
      </c>
      <c r="B366">
        <v>3</v>
      </c>
      <c r="C366">
        <v>2</v>
      </c>
      <c r="D366">
        <v>4</v>
      </c>
      <c r="E366">
        <v>3</v>
      </c>
      <c r="F366">
        <v>3</v>
      </c>
      <c r="G366">
        <v>2</v>
      </c>
      <c r="H366">
        <v>2</v>
      </c>
      <c r="I366">
        <v>2</v>
      </c>
      <c r="J366">
        <v>2</v>
      </c>
      <c r="K366">
        <v>3</v>
      </c>
      <c r="L366">
        <v>3</v>
      </c>
      <c r="M366">
        <v>3</v>
      </c>
      <c r="N366">
        <v>3</v>
      </c>
      <c r="O366">
        <v>2</v>
      </c>
      <c r="P366">
        <v>2</v>
      </c>
      <c r="Q366">
        <v>2</v>
      </c>
      <c r="R366">
        <v>1</v>
      </c>
      <c r="S366">
        <v>4</v>
      </c>
      <c r="T366">
        <v>2</v>
      </c>
      <c r="U366">
        <v>1</v>
      </c>
    </row>
    <row r="367" spans="1:21">
      <c r="A367">
        <v>1</v>
      </c>
      <c r="B367">
        <v>1</v>
      </c>
      <c r="C367">
        <v>1</v>
      </c>
      <c r="D367">
        <v>2</v>
      </c>
      <c r="E367">
        <v>2</v>
      </c>
      <c r="F367">
        <v>2</v>
      </c>
      <c r="G367">
        <v>2</v>
      </c>
      <c r="H367">
        <v>2</v>
      </c>
      <c r="I367">
        <v>3</v>
      </c>
      <c r="J367">
        <v>2</v>
      </c>
      <c r="K367">
        <v>3</v>
      </c>
      <c r="L367">
        <v>3</v>
      </c>
      <c r="M367">
        <v>3</v>
      </c>
      <c r="N367">
        <v>3</v>
      </c>
      <c r="O367">
        <v>2</v>
      </c>
      <c r="P367">
        <v>2</v>
      </c>
      <c r="Q367">
        <v>3</v>
      </c>
      <c r="R367">
        <v>3</v>
      </c>
      <c r="S367">
        <v>3</v>
      </c>
      <c r="T367">
        <v>2</v>
      </c>
      <c r="U367">
        <v>2</v>
      </c>
    </row>
    <row r="368" spans="1:21">
      <c r="A368">
        <v>3</v>
      </c>
      <c r="B368">
        <v>4</v>
      </c>
      <c r="C368">
        <v>4</v>
      </c>
      <c r="D368">
        <v>3</v>
      </c>
      <c r="E368">
        <v>3</v>
      </c>
      <c r="F368">
        <v>3</v>
      </c>
      <c r="G368">
        <v>4</v>
      </c>
      <c r="H368">
        <v>5</v>
      </c>
      <c r="I368">
        <v>4</v>
      </c>
      <c r="J368">
        <v>4</v>
      </c>
      <c r="K368">
        <v>3</v>
      </c>
      <c r="L368">
        <v>3</v>
      </c>
      <c r="M368">
        <v>3</v>
      </c>
      <c r="N368">
        <v>3</v>
      </c>
      <c r="O368">
        <v>4</v>
      </c>
      <c r="P368">
        <v>4</v>
      </c>
      <c r="Q368">
        <v>4</v>
      </c>
      <c r="R368">
        <v>4</v>
      </c>
      <c r="S368">
        <v>3</v>
      </c>
      <c r="T368">
        <v>3</v>
      </c>
      <c r="U368">
        <v>3</v>
      </c>
    </row>
    <row r="369" spans="1:21">
      <c r="A369">
        <v>5</v>
      </c>
      <c r="B369">
        <v>4</v>
      </c>
      <c r="C369">
        <v>4</v>
      </c>
      <c r="D369">
        <v>3</v>
      </c>
      <c r="E369">
        <v>4</v>
      </c>
      <c r="F369">
        <v>4</v>
      </c>
      <c r="G369">
        <v>3</v>
      </c>
      <c r="H369">
        <v>3</v>
      </c>
      <c r="I369">
        <v>2</v>
      </c>
      <c r="J369">
        <v>3</v>
      </c>
      <c r="K369">
        <v>3</v>
      </c>
      <c r="L369">
        <v>3</v>
      </c>
      <c r="M369">
        <v>3</v>
      </c>
      <c r="N369">
        <v>3</v>
      </c>
      <c r="O369">
        <v>2</v>
      </c>
      <c r="P369">
        <v>2</v>
      </c>
      <c r="Q369">
        <v>2</v>
      </c>
      <c r="R369">
        <v>2</v>
      </c>
      <c r="S369">
        <v>1</v>
      </c>
      <c r="T369">
        <v>1</v>
      </c>
      <c r="U369">
        <v>1</v>
      </c>
    </row>
    <row r="370" spans="1:21">
      <c r="A370">
        <v>1</v>
      </c>
      <c r="B370">
        <v>1</v>
      </c>
      <c r="C370">
        <v>1</v>
      </c>
      <c r="D370">
        <v>2</v>
      </c>
      <c r="E370">
        <v>2</v>
      </c>
      <c r="F370">
        <v>1</v>
      </c>
      <c r="G370">
        <v>1</v>
      </c>
      <c r="H370">
        <v>1</v>
      </c>
      <c r="I370">
        <v>1</v>
      </c>
      <c r="J370">
        <v>2</v>
      </c>
      <c r="K370">
        <v>3</v>
      </c>
      <c r="L370">
        <v>3</v>
      </c>
      <c r="M370">
        <v>3</v>
      </c>
      <c r="N370">
        <v>3</v>
      </c>
      <c r="O370">
        <v>1</v>
      </c>
      <c r="P370">
        <v>1</v>
      </c>
      <c r="Q370">
        <v>1</v>
      </c>
      <c r="R370">
        <v>1</v>
      </c>
      <c r="S370">
        <v>3</v>
      </c>
      <c r="T370">
        <v>2</v>
      </c>
      <c r="U370">
        <v>1</v>
      </c>
    </row>
    <row r="371" spans="1:21">
      <c r="A371">
        <v>2</v>
      </c>
      <c r="B371">
        <v>2</v>
      </c>
      <c r="C371">
        <v>2</v>
      </c>
      <c r="D371">
        <v>2</v>
      </c>
      <c r="E371">
        <v>2</v>
      </c>
      <c r="F371">
        <v>2</v>
      </c>
      <c r="G371">
        <v>2</v>
      </c>
      <c r="H371">
        <v>2</v>
      </c>
      <c r="I371">
        <v>2</v>
      </c>
      <c r="J371">
        <v>2</v>
      </c>
      <c r="K371">
        <v>2</v>
      </c>
      <c r="L371">
        <v>2</v>
      </c>
      <c r="M371">
        <v>2</v>
      </c>
      <c r="N371">
        <v>2</v>
      </c>
      <c r="O371">
        <v>2</v>
      </c>
      <c r="P371">
        <v>3</v>
      </c>
      <c r="Q371">
        <v>3</v>
      </c>
      <c r="R371">
        <v>2</v>
      </c>
      <c r="S371">
        <v>1</v>
      </c>
      <c r="T371">
        <v>1</v>
      </c>
      <c r="U371">
        <v>2</v>
      </c>
    </row>
    <row r="372" spans="1:21">
      <c r="A372">
        <v>3</v>
      </c>
      <c r="B372">
        <v>3</v>
      </c>
      <c r="C372">
        <v>3</v>
      </c>
      <c r="D372">
        <v>4</v>
      </c>
      <c r="E372">
        <v>4</v>
      </c>
      <c r="F372">
        <v>5</v>
      </c>
      <c r="G372">
        <v>3</v>
      </c>
      <c r="H372">
        <v>3</v>
      </c>
      <c r="I372">
        <v>3</v>
      </c>
      <c r="J372">
        <v>2</v>
      </c>
      <c r="K372">
        <v>3</v>
      </c>
      <c r="L372">
        <v>4</v>
      </c>
      <c r="M372">
        <v>4</v>
      </c>
      <c r="N372">
        <v>4</v>
      </c>
      <c r="O372">
        <v>4</v>
      </c>
      <c r="P372">
        <v>4</v>
      </c>
      <c r="Q372">
        <v>4</v>
      </c>
      <c r="R372">
        <v>4</v>
      </c>
      <c r="S372">
        <v>4</v>
      </c>
      <c r="T372">
        <v>3</v>
      </c>
      <c r="U372">
        <v>3</v>
      </c>
    </row>
    <row r="373" spans="1:21">
      <c r="A373">
        <v>2</v>
      </c>
      <c r="B373">
        <v>2</v>
      </c>
      <c r="C373">
        <v>2</v>
      </c>
      <c r="D373">
        <v>4</v>
      </c>
      <c r="E373">
        <v>4</v>
      </c>
      <c r="F373">
        <v>4</v>
      </c>
      <c r="G373">
        <v>1</v>
      </c>
      <c r="H373">
        <v>1</v>
      </c>
      <c r="I373">
        <v>1</v>
      </c>
      <c r="J373">
        <v>1</v>
      </c>
      <c r="K373">
        <v>2</v>
      </c>
      <c r="L373">
        <v>3</v>
      </c>
      <c r="M373">
        <v>3</v>
      </c>
      <c r="N373">
        <v>2</v>
      </c>
      <c r="O373">
        <v>3</v>
      </c>
      <c r="P373">
        <v>3</v>
      </c>
      <c r="Q373">
        <v>3</v>
      </c>
      <c r="R373">
        <v>2</v>
      </c>
      <c r="S373">
        <v>3</v>
      </c>
      <c r="T373">
        <v>2</v>
      </c>
      <c r="U373">
        <v>1</v>
      </c>
    </row>
    <row r="374" spans="1:21">
      <c r="A374">
        <v>1</v>
      </c>
      <c r="B374">
        <v>2</v>
      </c>
      <c r="C374">
        <v>2</v>
      </c>
      <c r="D374">
        <v>3</v>
      </c>
      <c r="E374">
        <v>3</v>
      </c>
      <c r="F374">
        <v>3</v>
      </c>
      <c r="G374">
        <v>2</v>
      </c>
      <c r="H374">
        <v>1</v>
      </c>
      <c r="I374">
        <v>1</v>
      </c>
      <c r="J374">
        <v>1</v>
      </c>
      <c r="K374">
        <v>2</v>
      </c>
      <c r="L374">
        <v>2</v>
      </c>
      <c r="M374">
        <v>2</v>
      </c>
      <c r="N374">
        <v>2</v>
      </c>
      <c r="O374">
        <v>2</v>
      </c>
      <c r="P374">
        <v>2</v>
      </c>
      <c r="Q374">
        <v>2</v>
      </c>
      <c r="R374">
        <v>2</v>
      </c>
      <c r="S374">
        <v>1</v>
      </c>
      <c r="T374">
        <v>1</v>
      </c>
      <c r="U374">
        <v>1</v>
      </c>
    </row>
    <row r="375" spans="1:21">
      <c r="A375">
        <v>2</v>
      </c>
      <c r="B375">
        <v>3</v>
      </c>
      <c r="C375">
        <v>2</v>
      </c>
      <c r="D375">
        <v>3</v>
      </c>
      <c r="E375">
        <v>3</v>
      </c>
      <c r="F375">
        <v>4</v>
      </c>
      <c r="G375">
        <v>2</v>
      </c>
      <c r="H375">
        <v>2</v>
      </c>
      <c r="I375">
        <v>3</v>
      </c>
      <c r="J375">
        <v>3</v>
      </c>
      <c r="K375">
        <v>4</v>
      </c>
      <c r="L375">
        <v>4</v>
      </c>
      <c r="M375">
        <v>4</v>
      </c>
      <c r="N375">
        <v>4</v>
      </c>
      <c r="O375">
        <v>2</v>
      </c>
      <c r="P375">
        <v>3</v>
      </c>
      <c r="Q375">
        <v>3</v>
      </c>
      <c r="R375">
        <v>3</v>
      </c>
      <c r="S375">
        <v>4</v>
      </c>
      <c r="T375">
        <v>4</v>
      </c>
      <c r="U375">
        <v>5</v>
      </c>
    </row>
    <row r="376" spans="1:21">
      <c r="A376">
        <v>5</v>
      </c>
      <c r="B376">
        <v>5</v>
      </c>
      <c r="C376">
        <v>4</v>
      </c>
      <c r="D376">
        <v>5</v>
      </c>
      <c r="E376">
        <v>5</v>
      </c>
      <c r="F376">
        <v>4</v>
      </c>
      <c r="G376">
        <v>3</v>
      </c>
      <c r="H376">
        <v>3</v>
      </c>
      <c r="I376">
        <v>4</v>
      </c>
      <c r="J376">
        <v>3</v>
      </c>
      <c r="K376">
        <v>4</v>
      </c>
      <c r="L376">
        <v>4</v>
      </c>
      <c r="M376">
        <v>4</v>
      </c>
      <c r="N376">
        <v>5</v>
      </c>
      <c r="O376">
        <v>4</v>
      </c>
      <c r="P376">
        <v>3</v>
      </c>
      <c r="Q376">
        <v>4</v>
      </c>
      <c r="R376">
        <v>4</v>
      </c>
      <c r="S376">
        <v>4</v>
      </c>
      <c r="T376">
        <v>3</v>
      </c>
      <c r="U376">
        <v>3</v>
      </c>
    </row>
    <row r="377" spans="1:21">
      <c r="A377">
        <v>4</v>
      </c>
      <c r="B377">
        <v>5</v>
      </c>
      <c r="C377">
        <v>4</v>
      </c>
      <c r="D377">
        <v>4</v>
      </c>
      <c r="E377">
        <v>4</v>
      </c>
      <c r="F377">
        <v>4</v>
      </c>
      <c r="G377">
        <v>3</v>
      </c>
      <c r="H377">
        <v>4</v>
      </c>
      <c r="I377">
        <v>3</v>
      </c>
      <c r="J377">
        <v>3</v>
      </c>
      <c r="K377">
        <v>2</v>
      </c>
      <c r="L377">
        <v>2</v>
      </c>
      <c r="M377">
        <v>2</v>
      </c>
      <c r="N377">
        <v>2</v>
      </c>
      <c r="O377">
        <v>4</v>
      </c>
      <c r="P377">
        <v>5</v>
      </c>
      <c r="Q377">
        <v>5</v>
      </c>
      <c r="R377">
        <v>5</v>
      </c>
      <c r="S377">
        <v>1</v>
      </c>
      <c r="T377">
        <v>1</v>
      </c>
      <c r="U377">
        <v>2</v>
      </c>
    </row>
    <row r="378" spans="1:21">
      <c r="A378">
        <v>4</v>
      </c>
      <c r="B378">
        <v>3</v>
      </c>
      <c r="C378">
        <v>3</v>
      </c>
      <c r="D378">
        <v>4</v>
      </c>
      <c r="E378">
        <v>4</v>
      </c>
      <c r="F378">
        <v>4</v>
      </c>
      <c r="G378">
        <v>3</v>
      </c>
      <c r="H378">
        <v>4</v>
      </c>
      <c r="I378">
        <v>4</v>
      </c>
      <c r="J378">
        <v>3</v>
      </c>
      <c r="K378">
        <v>2</v>
      </c>
      <c r="L378">
        <v>2</v>
      </c>
      <c r="M378">
        <v>1</v>
      </c>
      <c r="N378">
        <v>2</v>
      </c>
      <c r="O378">
        <v>3</v>
      </c>
      <c r="P378">
        <v>3</v>
      </c>
      <c r="Q378">
        <v>3</v>
      </c>
      <c r="R378">
        <v>3</v>
      </c>
      <c r="S378">
        <v>3</v>
      </c>
      <c r="T378">
        <v>2</v>
      </c>
      <c r="U378">
        <v>2</v>
      </c>
    </row>
    <row r="379" spans="1:21">
      <c r="A379">
        <v>4</v>
      </c>
      <c r="B379">
        <v>4</v>
      </c>
      <c r="C379">
        <v>4</v>
      </c>
      <c r="D379">
        <v>4</v>
      </c>
      <c r="E379">
        <v>3</v>
      </c>
      <c r="F379">
        <v>4</v>
      </c>
      <c r="G379">
        <v>3</v>
      </c>
      <c r="H379">
        <v>4</v>
      </c>
      <c r="I379">
        <v>3</v>
      </c>
      <c r="J379">
        <v>4</v>
      </c>
      <c r="K379">
        <v>3</v>
      </c>
      <c r="L379">
        <v>3</v>
      </c>
      <c r="M379">
        <v>3</v>
      </c>
      <c r="N379">
        <v>3</v>
      </c>
      <c r="O379">
        <v>4</v>
      </c>
      <c r="P379">
        <v>4</v>
      </c>
      <c r="Q379">
        <v>4</v>
      </c>
      <c r="R379">
        <v>3</v>
      </c>
      <c r="S379">
        <v>2</v>
      </c>
      <c r="T379">
        <v>2</v>
      </c>
      <c r="U379">
        <v>1</v>
      </c>
    </row>
    <row r="380" spans="1:21">
      <c r="A380">
        <v>1</v>
      </c>
      <c r="B380">
        <v>2</v>
      </c>
      <c r="C380">
        <v>2</v>
      </c>
      <c r="D380">
        <v>2</v>
      </c>
      <c r="E380">
        <v>2</v>
      </c>
      <c r="F380">
        <v>2</v>
      </c>
      <c r="G380">
        <v>3</v>
      </c>
      <c r="H380">
        <v>3</v>
      </c>
      <c r="I380">
        <v>3</v>
      </c>
      <c r="J380">
        <v>4</v>
      </c>
      <c r="K380">
        <v>3</v>
      </c>
      <c r="L380">
        <v>3</v>
      </c>
      <c r="M380">
        <v>3</v>
      </c>
      <c r="N380">
        <v>3</v>
      </c>
      <c r="O380">
        <v>3</v>
      </c>
      <c r="P380">
        <v>3</v>
      </c>
      <c r="Q380">
        <v>3</v>
      </c>
      <c r="R380">
        <v>4</v>
      </c>
      <c r="S380">
        <v>3</v>
      </c>
      <c r="T380">
        <v>4</v>
      </c>
      <c r="U380">
        <v>4</v>
      </c>
    </row>
    <row r="381" spans="1:21">
      <c r="A381">
        <v>3</v>
      </c>
      <c r="B381">
        <v>4</v>
      </c>
      <c r="C381">
        <v>3</v>
      </c>
      <c r="D381">
        <v>4</v>
      </c>
      <c r="E381">
        <v>4</v>
      </c>
      <c r="F381">
        <v>4</v>
      </c>
      <c r="G381">
        <v>3</v>
      </c>
      <c r="H381">
        <v>4</v>
      </c>
      <c r="I381">
        <v>4</v>
      </c>
      <c r="J381">
        <v>3</v>
      </c>
      <c r="K381">
        <v>3</v>
      </c>
      <c r="L381">
        <v>3</v>
      </c>
      <c r="M381">
        <v>3</v>
      </c>
      <c r="N381">
        <v>2</v>
      </c>
      <c r="O381">
        <v>4</v>
      </c>
      <c r="P381">
        <v>4</v>
      </c>
      <c r="Q381">
        <v>4</v>
      </c>
      <c r="R381">
        <v>4</v>
      </c>
      <c r="S381">
        <v>3</v>
      </c>
      <c r="T381">
        <v>2</v>
      </c>
      <c r="U381">
        <v>2</v>
      </c>
    </row>
    <row r="382" spans="1:21">
      <c r="A382">
        <v>2</v>
      </c>
      <c r="B382">
        <v>2</v>
      </c>
      <c r="C382">
        <v>2</v>
      </c>
      <c r="D382">
        <v>2</v>
      </c>
      <c r="E382">
        <v>2</v>
      </c>
      <c r="F382">
        <v>3</v>
      </c>
      <c r="G382">
        <v>1</v>
      </c>
      <c r="H382">
        <v>1</v>
      </c>
      <c r="I382">
        <v>1</v>
      </c>
      <c r="J382">
        <v>1</v>
      </c>
      <c r="K382">
        <v>1</v>
      </c>
      <c r="L382">
        <v>1</v>
      </c>
      <c r="M382">
        <v>1</v>
      </c>
      <c r="N382">
        <v>1</v>
      </c>
      <c r="O382">
        <v>2</v>
      </c>
      <c r="P382">
        <v>2</v>
      </c>
      <c r="Q382">
        <v>3</v>
      </c>
      <c r="R382">
        <v>3</v>
      </c>
      <c r="S382">
        <v>1</v>
      </c>
      <c r="T382">
        <v>1</v>
      </c>
      <c r="U382">
        <v>1</v>
      </c>
    </row>
    <row r="383" spans="1:21">
      <c r="A383">
        <v>2</v>
      </c>
      <c r="B383">
        <v>3</v>
      </c>
      <c r="C383">
        <v>2</v>
      </c>
      <c r="D383">
        <v>4</v>
      </c>
      <c r="E383">
        <v>4</v>
      </c>
      <c r="F383">
        <v>4</v>
      </c>
      <c r="G383">
        <v>3</v>
      </c>
      <c r="H383">
        <v>3</v>
      </c>
      <c r="I383">
        <v>3</v>
      </c>
      <c r="J383">
        <v>2</v>
      </c>
      <c r="K383">
        <v>3</v>
      </c>
      <c r="L383">
        <v>3</v>
      </c>
      <c r="M383">
        <v>3</v>
      </c>
      <c r="N383">
        <v>3</v>
      </c>
      <c r="O383">
        <v>4</v>
      </c>
      <c r="P383">
        <v>4</v>
      </c>
      <c r="Q383">
        <v>4</v>
      </c>
      <c r="R383">
        <v>3</v>
      </c>
      <c r="S383">
        <v>4</v>
      </c>
      <c r="T383">
        <v>3</v>
      </c>
      <c r="U383">
        <v>3</v>
      </c>
    </row>
    <row r="384" spans="1:21">
      <c r="A384">
        <v>1</v>
      </c>
      <c r="B384">
        <v>1</v>
      </c>
      <c r="C384">
        <v>1</v>
      </c>
      <c r="D384">
        <v>2</v>
      </c>
      <c r="E384">
        <v>2</v>
      </c>
      <c r="F384">
        <v>2</v>
      </c>
      <c r="G384">
        <v>2</v>
      </c>
      <c r="H384">
        <v>2</v>
      </c>
      <c r="I384">
        <v>2</v>
      </c>
      <c r="J384">
        <v>2</v>
      </c>
      <c r="K384">
        <v>2</v>
      </c>
      <c r="L384">
        <v>2</v>
      </c>
      <c r="M384">
        <v>2</v>
      </c>
      <c r="N384">
        <v>2</v>
      </c>
      <c r="O384">
        <v>2</v>
      </c>
      <c r="P384">
        <v>2</v>
      </c>
      <c r="Q384">
        <v>2</v>
      </c>
      <c r="R384">
        <v>2</v>
      </c>
      <c r="S384">
        <v>3</v>
      </c>
      <c r="T384">
        <v>3</v>
      </c>
      <c r="U384">
        <v>3</v>
      </c>
    </row>
    <row r="385" spans="1:21">
      <c r="A385">
        <v>1</v>
      </c>
      <c r="B385">
        <v>1</v>
      </c>
      <c r="C385">
        <v>1</v>
      </c>
      <c r="D385">
        <v>3</v>
      </c>
      <c r="E385">
        <v>4</v>
      </c>
      <c r="F385">
        <v>3</v>
      </c>
      <c r="G385">
        <v>3</v>
      </c>
      <c r="H385">
        <v>3</v>
      </c>
      <c r="I385">
        <v>3</v>
      </c>
      <c r="J385">
        <v>4</v>
      </c>
      <c r="K385">
        <v>2</v>
      </c>
      <c r="L385">
        <v>3</v>
      </c>
      <c r="M385">
        <v>2</v>
      </c>
      <c r="N385">
        <v>2</v>
      </c>
      <c r="O385">
        <v>4</v>
      </c>
      <c r="P385">
        <v>4</v>
      </c>
      <c r="Q385">
        <v>4</v>
      </c>
      <c r="R385">
        <v>4</v>
      </c>
      <c r="S385">
        <v>2</v>
      </c>
      <c r="T385">
        <v>2</v>
      </c>
      <c r="U385">
        <v>1</v>
      </c>
    </row>
    <row r="386" spans="1:21">
      <c r="A386">
        <v>2</v>
      </c>
      <c r="B386">
        <v>2</v>
      </c>
      <c r="C386">
        <v>2</v>
      </c>
      <c r="D386">
        <v>2</v>
      </c>
      <c r="E386">
        <v>2</v>
      </c>
      <c r="F386">
        <v>2</v>
      </c>
      <c r="G386">
        <v>4</v>
      </c>
      <c r="H386">
        <v>4</v>
      </c>
      <c r="I386">
        <v>3</v>
      </c>
      <c r="J386">
        <v>3</v>
      </c>
      <c r="K386">
        <v>2</v>
      </c>
      <c r="L386">
        <v>2</v>
      </c>
      <c r="M386">
        <v>2</v>
      </c>
      <c r="N386">
        <v>2</v>
      </c>
      <c r="O386">
        <v>3</v>
      </c>
      <c r="P386">
        <v>3</v>
      </c>
      <c r="Q386">
        <v>4</v>
      </c>
      <c r="R386">
        <v>4</v>
      </c>
      <c r="S386">
        <v>3</v>
      </c>
      <c r="T386">
        <v>2</v>
      </c>
      <c r="U386">
        <v>1</v>
      </c>
    </row>
    <row r="387" spans="1:21">
      <c r="A387">
        <v>2</v>
      </c>
      <c r="B387">
        <v>2</v>
      </c>
      <c r="C387">
        <v>1</v>
      </c>
      <c r="D387">
        <v>4</v>
      </c>
      <c r="E387">
        <v>3</v>
      </c>
      <c r="F387">
        <v>3</v>
      </c>
      <c r="G387">
        <v>2</v>
      </c>
      <c r="H387">
        <v>2</v>
      </c>
      <c r="I387">
        <v>2</v>
      </c>
      <c r="J387">
        <v>2</v>
      </c>
      <c r="K387">
        <v>2</v>
      </c>
      <c r="L387">
        <v>3</v>
      </c>
      <c r="M387">
        <v>3</v>
      </c>
      <c r="N387">
        <v>3</v>
      </c>
      <c r="O387">
        <v>3</v>
      </c>
      <c r="P387">
        <v>2</v>
      </c>
      <c r="Q387">
        <v>2</v>
      </c>
      <c r="R387">
        <v>2</v>
      </c>
      <c r="S387">
        <v>2</v>
      </c>
      <c r="T387">
        <v>2</v>
      </c>
      <c r="U387">
        <v>1</v>
      </c>
    </row>
    <row r="388" spans="1:21">
      <c r="A388">
        <v>1</v>
      </c>
      <c r="B388">
        <v>1</v>
      </c>
      <c r="C388">
        <v>2</v>
      </c>
      <c r="D388">
        <v>3</v>
      </c>
      <c r="E388">
        <v>4</v>
      </c>
      <c r="F388">
        <v>4</v>
      </c>
      <c r="G388">
        <v>3</v>
      </c>
      <c r="H388">
        <v>2</v>
      </c>
      <c r="I388">
        <v>2</v>
      </c>
      <c r="J388">
        <v>2</v>
      </c>
      <c r="K388">
        <v>2</v>
      </c>
      <c r="L388">
        <v>2</v>
      </c>
      <c r="M388">
        <v>1</v>
      </c>
      <c r="N388">
        <v>2</v>
      </c>
      <c r="O388">
        <v>4</v>
      </c>
      <c r="P388">
        <v>4</v>
      </c>
      <c r="Q388">
        <v>4</v>
      </c>
      <c r="R388">
        <v>3</v>
      </c>
      <c r="S388">
        <v>3</v>
      </c>
      <c r="T388">
        <v>3</v>
      </c>
      <c r="U388">
        <v>3</v>
      </c>
    </row>
    <row r="389" spans="1:21">
      <c r="A389">
        <v>2</v>
      </c>
      <c r="B389">
        <v>2</v>
      </c>
      <c r="C389">
        <v>2</v>
      </c>
      <c r="D389">
        <v>5</v>
      </c>
      <c r="E389">
        <v>4</v>
      </c>
      <c r="F389">
        <v>4</v>
      </c>
      <c r="G389">
        <v>4</v>
      </c>
      <c r="H389">
        <v>4</v>
      </c>
      <c r="I389">
        <v>4</v>
      </c>
      <c r="J389">
        <v>3</v>
      </c>
      <c r="K389">
        <v>3</v>
      </c>
      <c r="L389">
        <v>3</v>
      </c>
      <c r="M389">
        <v>3</v>
      </c>
      <c r="N389">
        <v>3</v>
      </c>
      <c r="O389">
        <v>5</v>
      </c>
      <c r="P389">
        <v>5</v>
      </c>
      <c r="Q389">
        <v>5</v>
      </c>
      <c r="R389">
        <v>5</v>
      </c>
      <c r="S389">
        <v>2</v>
      </c>
      <c r="T389">
        <v>3</v>
      </c>
      <c r="U389">
        <v>3</v>
      </c>
    </row>
    <row r="390" spans="1:21">
      <c r="A390">
        <v>2</v>
      </c>
      <c r="B390">
        <v>2</v>
      </c>
      <c r="C390">
        <v>2</v>
      </c>
      <c r="D390">
        <v>3</v>
      </c>
      <c r="E390">
        <v>3</v>
      </c>
      <c r="F390">
        <v>3</v>
      </c>
      <c r="G390">
        <v>4</v>
      </c>
      <c r="H390">
        <v>4</v>
      </c>
      <c r="I390">
        <v>4</v>
      </c>
      <c r="J390">
        <v>4</v>
      </c>
      <c r="K390">
        <v>4</v>
      </c>
      <c r="L390">
        <v>3</v>
      </c>
      <c r="M390">
        <v>3</v>
      </c>
      <c r="N390">
        <v>3</v>
      </c>
      <c r="O390">
        <v>3</v>
      </c>
      <c r="P390">
        <v>3</v>
      </c>
      <c r="Q390">
        <v>2</v>
      </c>
      <c r="R390">
        <v>3</v>
      </c>
      <c r="S390">
        <v>2</v>
      </c>
      <c r="T390">
        <v>1</v>
      </c>
      <c r="U390">
        <v>2</v>
      </c>
    </row>
    <row r="391" spans="1:21">
      <c r="A391">
        <v>1</v>
      </c>
      <c r="B391">
        <v>2</v>
      </c>
      <c r="C391">
        <v>1</v>
      </c>
      <c r="D391">
        <v>4</v>
      </c>
      <c r="E391">
        <v>3</v>
      </c>
      <c r="F391">
        <v>4</v>
      </c>
      <c r="G391">
        <v>2</v>
      </c>
      <c r="H391">
        <v>3</v>
      </c>
      <c r="I391">
        <v>2</v>
      </c>
      <c r="J391">
        <v>2</v>
      </c>
      <c r="K391">
        <v>3</v>
      </c>
      <c r="L391">
        <v>2</v>
      </c>
      <c r="M391">
        <v>3</v>
      </c>
      <c r="N391">
        <v>2</v>
      </c>
      <c r="O391">
        <v>4</v>
      </c>
      <c r="P391">
        <v>5</v>
      </c>
      <c r="Q391">
        <v>4</v>
      </c>
      <c r="R391">
        <v>5</v>
      </c>
      <c r="S391">
        <v>2</v>
      </c>
      <c r="T391">
        <v>2</v>
      </c>
      <c r="U391">
        <v>2</v>
      </c>
    </row>
    <row r="392" spans="1:21">
      <c r="A392">
        <v>2</v>
      </c>
      <c r="B392">
        <v>2</v>
      </c>
      <c r="C392">
        <v>2</v>
      </c>
      <c r="D392">
        <v>5</v>
      </c>
      <c r="E392">
        <v>4</v>
      </c>
      <c r="F392">
        <v>5</v>
      </c>
      <c r="G392">
        <v>3</v>
      </c>
      <c r="H392">
        <v>3</v>
      </c>
      <c r="I392">
        <v>2</v>
      </c>
      <c r="J392">
        <v>3</v>
      </c>
      <c r="K392">
        <v>4</v>
      </c>
      <c r="L392">
        <v>4</v>
      </c>
      <c r="M392">
        <v>4</v>
      </c>
      <c r="N392">
        <v>4</v>
      </c>
      <c r="O392">
        <v>4</v>
      </c>
      <c r="P392">
        <v>4</v>
      </c>
      <c r="Q392">
        <v>4</v>
      </c>
      <c r="R392">
        <v>4</v>
      </c>
      <c r="S392">
        <v>1</v>
      </c>
      <c r="T392">
        <v>2</v>
      </c>
      <c r="U392">
        <v>1</v>
      </c>
    </row>
    <row r="393" spans="1:21">
      <c r="A393">
        <v>4</v>
      </c>
      <c r="B393">
        <v>4</v>
      </c>
      <c r="C393">
        <v>4</v>
      </c>
      <c r="D393">
        <v>5</v>
      </c>
      <c r="E393">
        <v>5</v>
      </c>
      <c r="F393">
        <v>5</v>
      </c>
      <c r="G393">
        <v>4</v>
      </c>
      <c r="H393">
        <v>5</v>
      </c>
      <c r="I393">
        <v>5</v>
      </c>
      <c r="J393">
        <v>4</v>
      </c>
      <c r="K393">
        <v>5</v>
      </c>
      <c r="L393">
        <v>4</v>
      </c>
      <c r="M393">
        <v>4</v>
      </c>
      <c r="N393">
        <v>4</v>
      </c>
      <c r="O393">
        <v>4</v>
      </c>
      <c r="P393">
        <v>3</v>
      </c>
      <c r="Q393">
        <v>3</v>
      </c>
      <c r="R393">
        <v>4</v>
      </c>
      <c r="S393">
        <v>5</v>
      </c>
      <c r="T393">
        <v>4</v>
      </c>
      <c r="U393">
        <v>4</v>
      </c>
    </row>
    <row r="394" spans="1:21">
      <c r="A394">
        <v>2</v>
      </c>
      <c r="B394">
        <v>3</v>
      </c>
      <c r="C394">
        <v>3</v>
      </c>
      <c r="D394">
        <v>4</v>
      </c>
      <c r="E394">
        <v>4</v>
      </c>
      <c r="F394">
        <v>4</v>
      </c>
      <c r="G394">
        <v>3</v>
      </c>
      <c r="H394">
        <v>3</v>
      </c>
      <c r="I394">
        <v>3</v>
      </c>
      <c r="J394">
        <v>3</v>
      </c>
      <c r="K394">
        <v>4</v>
      </c>
      <c r="L394">
        <v>4</v>
      </c>
      <c r="M394">
        <v>4</v>
      </c>
      <c r="N394">
        <v>5</v>
      </c>
      <c r="O394">
        <v>4</v>
      </c>
      <c r="P394">
        <v>4</v>
      </c>
      <c r="Q394">
        <v>4</v>
      </c>
      <c r="R394">
        <v>4</v>
      </c>
      <c r="S394">
        <v>3</v>
      </c>
      <c r="T394">
        <v>1</v>
      </c>
      <c r="U394">
        <v>2</v>
      </c>
    </row>
    <row r="395" spans="1:21">
      <c r="A395">
        <v>4</v>
      </c>
      <c r="B395">
        <v>4</v>
      </c>
      <c r="C395">
        <v>4</v>
      </c>
      <c r="D395">
        <v>4</v>
      </c>
      <c r="E395">
        <v>4</v>
      </c>
      <c r="F395">
        <v>4</v>
      </c>
      <c r="G395">
        <v>5</v>
      </c>
      <c r="H395">
        <v>5</v>
      </c>
      <c r="I395">
        <v>5</v>
      </c>
      <c r="J395">
        <v>5</v>
      </c>
      <c r="K395">
        <v>3</v>
      </c>
      <c r="L395">
        <v>4</v>
      </c>
      <c r="M395">
        <v>4</v>
      </c>
      <c r="N395">
        <v>3</v>
      </c>
      <c r="O395">
        <v>4</v>
      </c>
      <c r="P395">
        <v>4</v>
      </c>
      <c r="Q395">
        <v>4</v>
      </c>
      <c r="R395">
        <v>3</v>
      </c>
      <c r="S395">
        <v>4</v>
      </c>
      <c r="T395">
        <v>3</v>
      </c>
      <c r="U395">
        <v>3</v>
      </c>
    </row>
    <row r="396" spans="1:21">
      <c r="A396">
        <v>3</v>
      </c>
      <c r="B396">
        <v>3</v>
      </c>
      <c r="C396">
        <v>3</v>
      </c>
      <c r="D396">
        <v>4</v>
      </c>
      <c r="E396">
        <v>4</v>
      </c>
      <c r="F396">
        <v>4</v>
      </c>
      <c r="G396">
        <v>3</v>
      </c>
      <c r="H396">
        <v>2</v>
      </c>
      <c r="I396">
        <v>3</v>
      </c>
      <c r="J396">
        <v>2</v>
      </c>
      <c r="K396">
        <v>2</v>
      </c>
      <c r="L396">
        <v>2</v>
      </c>
      <c r="M396">
        <v>2</v>
      </c>
      <c r="N396">
        <v>3</v>
      </c>
      <c r="O396">
        <v>2</v>
      </c>
      <c r="P396">
        <v>2</v>
      </c>
      <c r="Q396">
        <v>3</v>
      </c>
      <c r="R396">
        <v>2</v>
      </c>
      <c r="S396">
        <v>2</v>
      </c>
      <c r="T396">
        <v>2</v>
      </c>
      <c r="U396">
        <v>2</v>
      </c>
    </row>
    <row r="397" spans="1:21">
      <c r="A397">
        <v>2</v>
      </c>
      <c r="B397">
        <v>2</v>
      </c>
      <c r="C397">
        <v>2</v>
      </c>
      <c r="D397">
        <v>3</v>
      </c>
      <c r="E397">
        <v>3</v>
      </c>
      <c r="F397">
        <v>2</v>
      </c>
      <c r="G397">
        <v>3</v>
      </c>
      <c r="H397">
        <v>3</v>
      </c>
      <c r="I397">
        <v>3</v>
      </c>
      <c r="J397">
        <v>3</v>
      </c>
      <c r="K397">
        <v>3</v>
      </c>
      <c r="L397">
        <v>4</v>
      </c>
      <c r="M397">
        <v>3</v>
      </c>
      <c r="N397">
        <v>3</v>
      </c>
      <c r="O397">
        <v>4</v>
      </c>
      <c r="P397">
        <v>4</v>
      </c>
      <c r="Q397">
        <v>4</v>
      </c>
      <c r="R397">
        <v>3</v>
      </c>
      <c r="S397">
        <v>3</v>
      </c>
      <c r="T397">
        <v>2</v>
      </c>
      <c r="U397">
        <v>1</v>
      </c>
    </row>
    <row r="398" spans="1:21">
      <c r="A398">
        <v>2</v>
      </c>
      <c r="B398">
        <v>3</v>
      </c>
      <c r="C398">
        <v>1</v>
      </c>
      <c r="D398">
        <v>2</v>
      </c>
      <c r="E398">
        <v>3</v>
      </c>
      <c r="F398">
        <v>3</v>
      </c>
      <c r="G398">
        <v>2</v>
      </c>
      <c r="H398">
        <v>2</v>
      </c>
      <c r="I398">
        <v>2</v>
      </c>
      <c r="J398">
        <v>2</v>
      </c>
      <c r="K398">
        <v>3</v>
      </c>
      <c r="L398">
        <v>3</v>
      </c>
      <c r="M398">
        <v>3</v>
      </c>
      <c r="N398">
        <v>3</v>
      </c>
      <c r="O398">
        <v>2</v>
      </c>
      <c r="P398">
        <v>2</v>
      </c>
      <c r="Q398">
        <v>2</v>
      </c>
      <c r="R398">
        <v>2</v>
      </c>
      <c r="S398">
        <v>2</v>
      </c>
      <c r="T398">
        <v>2</v>
      </c>
      <c r="U398">
        <v>1</v>
      </c>
    </row>
    <row r="399" spans="1:21">
      <c r="A399">
        <v>3</v>
      </c>
      <c r="B399">
        <v>4</v>
      </c>
      <c r="C399">
        <v>3</v>
      </c>
      <c r="D399">
        <v>4</v>
      </c>
      <c r="E399">
        <v>4</v>
      </c>
      <c r="F399">
        <v>3</v>
      </c>
      <c r="G399">
        <v>3</v>
      </c>
      <c r="H399">
        <v>3</v>
      </c>
      <c r="I399">
        <v>3</v>
      </c>
      <c r="J399">
        <v>3</v>
      </c>
      <c r="K399">
        <v>5</v>
      </c>
      <c r="L399">
        <v>4</v>
      </c>
      <c r="M399">
        <v>4</v>
      </c>
      <c r="N399">
        <v>4</v>
      </c>
      <c r="O399">
        <v>4</v>
      </c>
      <c r="P399">
        <v>5</v>
      </c>
      <c r="Q399">
        <v>4</v>
      </c>
      <c r="R399">
        <v>4</v>
      </c>
      <c r="S399">
        <v>3</v>
      </c>
      <c r="T399">
        <v>2</v>
      </c>
      <c r="U399">
        <v>2</v>
      </c>
    </row>
    <row r="400" spans="1:21">
      <c r="A400">
        <v>2</v>
      </c>
      <c r="B400">
        <v>2</v>
      </c>
      <c r="C400">
        <v>2</v>
      </c>
      <c r="D400">
        <v>5</v>
      </c>
      <c r="E400">
        <v>5</v>
      </c>
      <c r="F400">
        <v>5</v>
      </c>
      <c r="G400">
        <v>3</v>
      </c>
      <c r="H400">
        <v>3</v>
      </c>
      <c r="I400">
        <v>3</v>
      </c>
      <c r="J400">
        <v>4</v>
      </c>
      <c r="K400">
        <v>4</v>
      </c>
      <c r="L400">
        <v>4</v>
      </c>
      <c r="M400">
        <v>4</v>
      </c>
      <c r="N400">
        <v>4</v>
      </c>
      <c r="O400">
        <v>4</v>
      </c>
      <c r="P400">
        <v>4</v>
      </c>
      <c r="Q400">
        <v>4</v>
      </c>
      <c r="R400">
        <v>3</v>
      </c>
      <c r="S400">
        <v>2</v>
      </c>
      <c r="T400">
        <v>1</v>
      </c>
      <c r="U400">
        <v>2</v>
      </c>
    </row>
    <row r="401" spans="1:21">
      <c r="A401">
        <v>3</v>
      </c>
      <c r="B401">
        <v>3</v>
      </c>
      <c r="C401">
        <v>3</v>
      </c>
      <c r="D401">
        <v>4</v>
      </c>
      <c r="E401">
        <v>3</v>
      </c>
      <c r="F401">
        <v>4</v>
      </c>
      <c r="G401">
        <v>3</v>
      </c>
      <c r="H401">
        <v>3</v>
      </c>
      <c r="I401">
        <v>3</v>
      </c>
      <c r="J401">
        <v>3</v>
      </c>
      <c r="K401">
        <v>4</v>
      </c>
      <c r="L401">
        <v>4</v>
      </c>
      <c r="M401">
        <v>4</v>
      </c>
      <c r="N401">
        <v>4</v>
      </c>
      <c r="O401">
        <v>2</v>
      </c>
      <c r="P401">
        <v>3</v>
      </c>
      <c r="Q401">
        <v>2</v>
      </c>
      <c r="R401">
        <v>3</v>
      </c>
      <c r="S401">
        <v>2</v>
      </c>
      <c r="T401">
        <v>2</v>
      </c>
      <c r="U401">
        <v>2</v>
      </c>
    </row>
    <row r="402" spans="1:21">
      <c r="A402">
        <v>4</v>
      </c>
      <c r="B402">
        <v>4</v>
      </c>
      <c r="C402">
        <v>3</v>
      </c>
      <c r="D402">
        <v>4</v>
      </c>
      <c r="E402">
        <v>5</v>
      </c>
      <c r="F402">
        <v>4</v>
      </c>
      <c r="G402">
        <v>4</v>
      </c>
      <c r="H402">
        <v>4</v>
      </c>
      <c r="I402">
        <v>4</v>
      </c>
      <c r="J402">
        <v>4</v>
      </c>
      <c r="K402">
        <v>4</v>
      </c>
      <c r="L402">
        <v>3</v>
      </c>
      <c r="M402">
        <v>3</v>
      </c>
      <c r="N402">
        <v>4</v>
      </c>
      <c r="O402">
        <v>4</v>
      </c>
      <c r="P402">
        <v>4</v>
      </c>
      <c r="Q402">
        <v>4</v>
      </c>
      <c r="R402">
        <v>4</v>
      </c>
      <c r="S402">
        <v>2</v>
      </c>
      <c r="T402">
        <v>2</v>
      </c>
      <c r="U402">
        <v>1</v>
      </c>
    </row>
    <row r="403" spans="1:21">
      <c r="A403">
        <v>3</v>
      </c>
      <c r="B403">
        <v>2</v>
      </c>
      <c r="C403">
        <v>2</v>
      </c>
      <c r="D403">
        <v>4</v>
      </c>
      <c r="E403">
        <v>4</v>
      </c>
      <c r="F403">
        <v>4</v>
      </c>
      <c r="G403">
        <v>4</v>
      </c>
      <c r="H403">
        <v>4</v>
      </c>
      <c r="I403">
        <v>3</v>
      </c>
      <c r="J403">
        <v>4</v>
      </c>
      <c r="K403">
        <v>4</v>
      </c>
      <c r="L403">
        <v>4</v>
      </c>
      <c r="M403">
        <v>4</v>
      </c>
      <c r="N403">
        <v>4</v>
      </c>
      <c r="O403">
        <v>3</v>
      </c>
      <c r="P403">
        <v>2</v>
      </c>
      <c r="Q403">
        <v>2</v>
      </c>
      <c r="R403">
        <v>3</v>
      </c>
      <c r="S403">
        <v>4</v>
      </c>
      <c r="T403">
        <v>3</v>
      </c>
      <c r="U403">
        <v>3</v>
      </c>
    </row>
    <row r="404" spans="1:21">
      <c r="A404">
        <v>3</v>
      </c>
      <c r="B404">
        <v>3</v>
      </c>
      <c r="C404">
        <v>3</v>
      </c>
      <c r="D404">
        <v>2</v>
      </c>
      <c r="E404">
        <v>2</v>
      </c>
      <c r="F404">
        <v>3</v>
      </c>
      <c r="G404">
        <v>1</v>
      </c>
      <c r="H404">
        <v>2</v>
      </c>
      <c r="I404">
        <v>2</v>
      </c>
      <c r="J404">
        <v>2</v>
      </c>
      <c r="K404">
        <v>2</v>
      </c>
      <c r="L404">
        <v>2</v>
      </c>
      <c r="M404">
        <v>2</v>
      </c>
      <c r="N404">
        <v>3</v>
      </c>
      <c r="O404">
        <v>3</v>
      </c>
      <c r="P404">
        <v>2</v>
      </c>
      <c r="Q404">
        <v>3</v>
      </c>
      <c r="R404">
        <v>2</v>
      </c>
      <c r="S404">
        <v>1</v>
      </c>
      <c r="T404">
        <v>1</v>
      </c>
      <c r="U404">
        <v>1</v>
      </c>
    </row>
    <row r="405" spans="1:21">
      <c r="A405">
        <v>4</v>
      </c>
      <c r="B405">
        <v>4</v>
      </c>
      <c r="C405">
        <v>4</v>
      </c>
      <c r="D405">
        <v>2</v>
      </c>
      <c r="E405">
        <v>2</v>
      </c>
      <c r="F405">
        <v>2</v>
      </c>
      <c r="G405">
        <v>3</v>
      </c>
      <c r="H405">
        <v>3</v>
      </c>
      <c r="I405">
        <v>3</v>
      </c>
      <c r="J405">
        <v>3</v>
      </c>
      <c r="K405">
        <v>4</v>
      </c>
      <c r="L405">
        <v>3</v>
      </c>
      <c r="M405">
        <v>3</v>
      </c>
      <c r="N405">
        <v>3</v>
      </c>
      <c r="O405">
        <v>3</v>
      </c>
      <c r="P405">
        <v>3</v>
      </c>
      <c r="Q405">
        <v>4</v>
      </c>
      <c r="R405">
        <v>3</v>
      </c>
      <c r="S405">
        <v>3</v>
      </c>
      <c r="T405">
        <v>4</v>
      </c>
      <c r="U405">
        <v>5</v>
      </c>
    </row>
    <row r="406" spans="1:21">
      <c r="A406">
        <v>4</v>
      </c>
      <c r="B406">
        <v>3</v>
      </c>
      <c r="C406">
        <v>3</v>
      </c>
      <c r="D406">
        <v>3</v>
      </c>
      <c r="E406">
        <v>4</v>
      </c>
      <c r="F406">
        <v>3</v>
      </c>
      <c r="G406">
        <v>3</v>
      </c>
      <c r="H406">
        <v>4</v>
      </c>
      <c r="I406">
        <v>3</v>
      </c>
      <c r="J406">
        <v>3</v>
      </c>
      <c r="K406">
        <v>5</v>
      </c>
      <c r="L406">
        <v>4</v>
      </c>
      <c r="M406">
        <v>5</v>
      </c>
      <c r="N406">
        <v>5</v>
      </c>
      <c r="O406">
        <v>3</v>
      </c>
      <c r="P406">
        <v>3</v>
      </c>
      <c r="Q406">
        <v>3</v>
      </c>
      <c r="R406">
        <v>4</v>
      </c>
      <c r="S406">
        <v>2</v>
      </c>
      <c r="T406">
        <v>2</v>
      </c>
      <c r="U406">
        <v>1</v>
      </c>
    </row>
    <row r="407" spans="1:21">
      <c r="A407">
        <v>5</v>
      </c>
      <c r="B407">
        <v>3</v>
      </c>
      <c r="C407">
        <v>4</v>
      </c>
      <c r="D407">
        <v>4</v>
      </c>
      <c r="E407">
        <v>4</v>
      </c>
      <c r="F407">
        <v>3</v>
      </c>
      <c r="G407">
        <v>2</v>
      </c>
      <c r="H407">
        <v>3</v>
      </c>
      <c r="I407">
        <v>3</v>
      </c>
      <c r="J407">
        <v>3</v>
      </c>
      <c r="K407">
        <v>4</v>
      </c>
      <c r="L407">
        <v>4</v>
      </c>
      <c r="M407">
        <v>3</v>
      </c>
      <c r="N407">
        <v>4</v>
      </c>
      <c r="O407">
        <v>3</v>
      </c>
      <c r="P407">
        <v>4</v>
      </c>
      <c r="Q407">
        <v>3</v>
      </c>
      <c r="R407">
        <v>4</v>
      </c>
      <c r="S407">
        <v>2</v>
      </c>
      <c r="T407">
        <v>2</v>
      </c>
      <c r="U407">
        <v>2</v>
      </c>
    </row>
    <row r="408" spans="1:21">
      <c r="A408">
        <v>3</v>
      </c>
      <c r="B408">
        <v>2</v>
      </c>
      <c r="C408">
        <v>1</v>
      </c>
      <c r="D408">
        <v>2</v>
      </c>
      <c r="E408">
        <v>2</v>
      </c>
      <c r="F408">
        <v>1</v>
      </c>
      <c r="G408">
        <v>3</v>
      </c>
      <c r="H408">
        <v>4</v>
      </c>
      <c r="I408">
        <v>3</v>
      </c>
      <c r="J408">
        <v>3</v>
      </c>
      <c r="K408">
        <v>3</v>
      </c>
      <c r="L408">
        <v>2</v>
      </c>
      <c r="M408">
        <v>3</v>
      </c>
      <c r="N408">
        <v>2</v>
      </c>
      <c r="O408">
        <v>3</v>
      </c>
      <c r="P408">
        <v>4</v>
      </c>
      <c r="Q408">
        <v>3</v>
      </c>
      <c r="R408">
        <v>4</v>
      </c>
      <c r="S408">
        <v>2</v>
      </c>
      <c r="T408">
        <v>2</v>
      </c>
      <c r="U408">
        <v>2</v>
      </c>
    </row>
    <row r="409" spans="1:21">
      <c r="A409">
        <v>4</v>
      </c>
      <c r="B409">
        <v>4</v>
      </c>
      <c r="C409">
        <v>4</v>
      </c>
      <c r="D409">
        <v>4</v>
      </c>
      <c r="E409">
        <v>4</v>
      </c>
      <c r="F409">
        <v>4</v>
      </c>
      <c r="G409">
        <v>3</v>
      </c>
      <c r="H409">
        <v>3</v>
      </c>
      <c r="I409">
        <v>4</v>
      </c>
      <c r="J409">
        <v>3</v>
      </c>
      <c r="K409">
        <v>3</v>
      </c>
      <c r="L409">
        <v>2</v>
      </c>
      <c r="M409">
        <v>3</v>
      </c>
      <c r="N409">
        <v>2</v>
      </c>
      <c r="O409">
        <v>3</v>
      </c>
      <c r="P409">
        <v>3</v>
      </c>
      <c r="Q409">
        <v>3</v>
      </c>
      <c r="R409">
        <v>4</v>
      </c>
      <c r="S409">
        <v>3</v>
      </c>
      <c r="T409">
        <v>2</v>
      </c>
      <c r="U409">
        <v>1</v>
      </c>
    </row>
    <row r="410" spans="1:21">
      <c r="A410">
        <v>2</v>
      </c>
      <c r="B410">
        <v>3</v>
      </c>
      <c r="C410">
        <v>2</v>
      </c>
      <c r="D410">
        <v>2</v>
      </c>
      <c r="E410">
        <v>3</v>
      </c>
      <c r="F410">
        <v>2</v>
      </c>
      <c r="G410">
        <v>3</v>
      </c>
      <c r="H410">
        <v>3</v>
      </c>
      <c r="I410">
        <v>3</v>
      </c>
      <c r="J410">
        <v>3</v>
      </c>
      <c r="K410">
        <v>2</v>
      </c>
      <c r="L410">
        <v>2</v>
      </c>
      <c r="M410">
        <v>2</v>
      </c>
      <c r="N410">
        <v>2</v>
      </c>
      <c r="O410">
        <v>3</v>
      </c>
      <c r="P410">
        <v>3</v>
      </c>
      <c r="Q410">
        <v>3</v>
      </c>
      <c r="R410">
        <v>3</v>
      </c>
      <c r="S410">
        <v>2</v>
      </c>
      <c r="T410">
        <v>2</v>
      </c>
      <c r="U410">
        <v>2</v>
      </c>
    </row>
    <row r="411" spans="1:21">
      <c r="A411">
        <v>2</v>
      </c>
      <c r="B411">
        <v>1</v>
      </c>
      <c r="C411">
        <v>2</v>
      </c>
      <c r="D411">
        <v>4</v>
      </c>
      <c r="E411">
        <v>4</v>
      </c>
      <c r="F411">
        <v>4</v>
      </c>
      <c r="G411">
        <v>2</v>
      </c>
      <c r="H411">
        <v>3</v>
      </c>
      <c r="I411">
        <v>2</v>
      </c>
      <c r="J411">
        <v>2</v>
      </c>
      <c r="K411">
        <v>3</v>
      </c>
      <c r="L411">
        <v>4</v>
      </c>
      <c r="M411">
        <v>4</v>
      </c>
      <c r="N411">
        <v>4</v>
      </c>
      <c r="O411">
        <v>3</v>
      </c>
      <c r="P411">
        <v>3</v>
      </c>
      <c r="Q411">
        <v>3</v>
      </c>
      <c r="R411">
        <v>3</v>
      </c>
      <c r="S411">
        <v>2</v>
      </c>
      <c r="T411">
        <v>2</v>
      </c>
      <c r="U411">
        <v>1</v>
      </c>
    </row>
    <row r="412" spans="1:21">
      <c r="A412">
        <v>1</v>
      </c>
      <c r="B412">
        <v>4</v>
      </c>
      <c r="C412">
        <v>1</v>
      </c>
      <c r="D412">
        <v>4</v>
      </c>
      <c r="E412">
        <v>4</v>
      </c>
      <c r="F412">
        <v>3</v>
      </c>
      <c r="G412">
        <v>3</v>
      </c>
      <c r="H412">
        <v>2</v>
      </c>
      <c r="I412">
        <v>3</v>
      </c>
      <c r="J412">
        <v>2</v>
      </c>
      <c r="K412">
        <v>3</v>
      </c>
      <c r="L412">
        <v>3</v>
      </c>
      <c r="M412">
        <v>2</v>
      </c>
      <c r="N412">
        <v>3</v>
      </c>
      <c r="O412">
        <v>4</v>
      </c>
      <c r="P412">
        <v>4</v>
      </c>
      <c r="Q412">
        <v>5</v>
      </c>
      <c r="R412">
        <v>4</v>
      </c>
      <c r="S412">
        <v>3</v>
      </c>
      <c r="T412">
        <v>2</v>
      </c>
      <c r="U412">
        <v>2</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87DA8-8AA7-417F-891D-5B7BA5EA0E00}">
  <dimension ref="A1:B423"/>
  <sheetViews>
    <sheetView workbookViewId="0">
      <selection activeCell="B10" sqref="B10"/>
    </sheetView>
  </sheetViews>
  <sheetFormatPr baseColWidth="10" defaultColWidth="8.83203125" defaultRowHeight="15"/>
  <cols>
    <col min="1" max="1" width="32.6640625" bestFit="1" customWidth="1"/>
    <col min="2" max="2" width="34.1640625" bestFit="1" customWidth="1"/>
    <col min="3" max="3" width="10.33203125" customWidth="1"/>
    <col min="4" max="5" width="4.33203125" bestFit="1" customWidth="1"/>
    <col min="6" max="6" width="3.33203125" bestFit="1" customWidth="1"/>
    <col min="7" max="7" width="13.83203125" bestFit="1" customWidth="1"/>
  </cols>
  <sheetData>
    <row r="1" spans="1:2">
      <c r="A1" s="2" t="s">
        <v>7</v>
      </c>
      <c r="B1" t="s">
        <v>106</v>
      </c>
    </row>
    <row r="2" spans="1:2">
      <c r="A2" t="s">
        <v>63</v>
      </c>
      <c r="B2">
        <v>198</v>
      </c>
    </row>
    <row r="3" spans="1:2">
      <c r="A3" t="s">
        <v>55</v>
      </c>
      <c r="B3">
        <v>208</v>
      </c>
    </row>
    <row r="4" spans="1:2">
      <c r="A4" t="s">
        <v>70</v>
      </c>
      <c r="B4">
        <v>5</v>
      </c>
    </row>
    <row r="23" spans="1:2">
      <c r="A23" s="2" t="s">
        <v>8</v>
      </c>
      <c r="B23" t="s">
        <v>107</v>
      </c>
    </row>
    <row r="24" spans="1:2">
      <c r="A24" t="s">
        <v>69</v>
      </c>
      <c r="B24">
        <v>22</v>
      </c>
    </row>
    <row r="25" spans="1:2">
      <c r="A25" t="s">
        <v>56</v>
      </c>
      <c r="B25">
        <v>270</v>
      </c>
    </row>
    <row r="26" spans="1:2">
      <c r="A26" t="s">
        <v>82</v>
      </c>
      <c r="B26">
        <v>8</v>
      </c>
    </row>
    <row r="27" spans="1:2">
      <c r="A27" t="s">
        <v>75</v>
      </c>
      <c r="B27">
        <v>59</v>
      </c>
    </row>
    <row r="28" spans="1:2">
      <c r="A28" t="s">
        <v>83</v>
      </c>
      <c r="B28">
        <v>1</v>
      </c>
    </row>
    <row r="29" spans="1:2">
      <c r="A29" t="s">
        <v>71</v>
      </c>
      <c r="B29">
        <v>51</v>
      </c>
    </row>
    <row r="46" spans="1:2">
      <c r="A46" s="2" t="s">
        <v>9</v>
      </c>
      <c r="B46" t="s">
        <v>108</v>
      </c>
    </row>
    <row r="47" spans="1:2">
      <c r="A47" t="s">
        <v>57</v>
      </c>
      <c r="B47">
        <v>73</v>
      </c>
    </row>
    <row r="48" spans="1:2">
      <c r="A48" t="s">
        <v>62</v>
      </c>
      <c r="B48">
        <v>174</v>
      </c>
    </row>
    <row r="49" spans="1:2">
      <c r="A49" t="s">
        <v>64</v>
      </c>
      <c r="B49">
        <v>31</v>
      </c>
    </row>
    <row r="50" spans="1:2">
      <c r="A50" t="s">
        <v>65</v>
      </c>
      <c r="B50">
        <v>25</v>
      </c>
    </row>
    <row r="51" spans="1:2">
      <c r="A51" t="s">
        <v>67</v>
      </c>
      <c r="B51">
        <v>27</v>
      </c>
    </row>
    <row r="52" spans="1:2">
      <c r="A52" t="s">
        <v>68</v>
      </c>
      <c r="B52">
        <v>7</v>
      </c>
    </row>
    <row r="53" spans="1:2">
      <c r="A53" t="s">
        <v>72</v>
      </c>
      <c r="B53">
        <v>6</v>
      </c>
    </row>
    <row r="54" spans="1:2">
      <c r="A54" t="s">
        <v>60</v>
      </c>
      <c r="B54">
        <v>58</v>
      </c>
    </row>
    <row r="55" spans="1:2">
      <c r="A55" t="s">
        <v>66</v>
      </c>
      <c r="B55">
        <v>10</v>
      </c>
    </row>
    <row r="65" spans="1:2">
      <c r="A65" s="2" t="s">
        <v>10</v>
      </c>
      <c r="B65" t="s">
        <v>109</v>
      </c>
    </row>
    <row r="66" spans="1:2">
      <c r="A66" t="s">
        <v>57</v>
      </c>
      <c r="B66">
        <v>169</v>
      </c>
    </row>
    <row r="67" spans="1:2">
      <c r="A67" t="s">
        <v>62</v>
      </c>
      <c r="B67">
        <v>154</v>
      </c>
    </row>
    <row r="68" spans="1:2">
      <c r="A68" t="s">
        <v>64</v>
      </c>
      <c r="B68">
        <v>20</v>
      </c>
    </row>
    <row r="69" spans="1:2">
      <c r="A69" t="s">
        <v>65</v>
      </c>
      <c r="B69">
        <v>6</v>
      </c>
    </row>
    <row r="70" spans="1:2">
      <c r="A70" t="s">
        <v>67</v>
      </c>
      <c r="B70">
        <v>6</v>
      </c>
    </row>
    <row r="71" spans="1:2">
      <c r="A71" t="s">
        <v>68</v>
      </c>
      <c r="B71">
        <v>2</v>
      </c>
    </row>
    <row r="72" spans="1:2">
      <c r="A72" t="s">
        <v>72</v>
      </c>
      <c r="B72">
        <v>2</v>
      </c>
    </row>
    <row r="73" spans="1:2">
      <c r="A73" t="s">
        <v>60</v>
      </c>
      <c r="B73">
        <v>30</v>
      </c>
    </row>
    <row r="74" spans="1:2">
      <c r="A74" t="s">
        <v>66</v>
      </c>
      <c r="B74">
        <v>22</v>
      </c>
    </row>
    <row r="82" spans="1:2">
      <c r="A82" s="2" t="s">
        <v>11</v>
      </c>
      <c r="B82" t="s">
        <v>110</v>
      </c>
    </row>
    <row r="83" spans="1:2">
      <c r="A83" t="s">
        <v>58</v>
      </c>
      <c r="B83">
        <v>312</v>
      </c>
    </row>
    <row r="84" spans="1:2">
      <c r="A84" t="s">
        <v>61</v>
      </c>
      <c r="B84">
        <v>99</v>
      </c>
    </row>
    <row r="98" spans="1:2">
      <c r="A98" s="2" t="s">
        <v>12</v>
      </c>
      <c r="B98" t="s">
        <v>111</v>
      </c>
    </row>
    <row r="99" spans="1:2">
      <c r="A99" t="s">
        <v>58</v>
      </c>
      <c r="B99">
        <v>273</v>
      </c>
    </row>
    <row r="100" spans="1:2">
      <c r="A100" t="s">
        <v>61</v>
      </c>
      <c r="B100">
        <v>138</v>
      </c>
    </row>
    <row r="113" spans="1:2">
      <c r="A113" s="2" t="s">
        <v>112</v>
      </c>
      <c r="B113" t="s">
        <v>113</v>
      </c>
    </row>
    <row r="114" spans="1:2">
      <c r="A114" s="1">
        <v>1</v>
      </c>
      <c r="B114">
        <v>28</v>
      </c>
    </row>
    <row r="115" spans="1:2">
      <c r="A115" s="1">
        <v>2</v>
      </c>
      <c r="B115">
        <v>94</v>
      </c>
    </row>
    <row r="116" spans="1:2">
      <c r="A116" s="1">
        <v>3</v>
      </c>
      <c r="B116">
        <v>118</v>
      </c>
    </row>
    <row r="117" spans="1:2">
      <c r="A117" s="1">
        <v>4</v>
      </c>
      <c r="B117">
        <v>150</v>
      </c>
    </row>
    <row r="118" spans="1:2">
      <c r="A118" s="1">
        <v>5</v>
      </c>
      <c r="B118">
        <v>21</v>
      </c>
    </row>
    <row r="128" spans="1:2">
      <c r="A128" s="2" t="s">
        <v>112</v>
      </c>
      <c r="B128" t="s">
        <v>114</v>
      </c>
    </row>
    <row r="129" spans="1:2">
      <c r="A129" s="1">
        <v>1</v>
      </c>
      <c r="B129">
        <v>44</v>
      </c>
    </row>
    <row r="130" spans="1:2">
      <c r="A130" s="1">
        <v>2</v>
      </c>
      <c r="B130">
        <v>139</v>
      </c>
    </row>
    <row r="131" spans="1:2">
      <c r="A131" s="1">
        <v>3</v>
      </c>
      <c r="B131">
        <v>129</v>
      </c>
    </row>
    <row r="132" spans="1:2">
      <c r="A132" s="1">
        <v>4</v>
      </c>
      <c r="B132">
        <v>79</v>
      </c>
    </row>
    <row r="133" spans="1:2">
      <c r="A133" s="1">
        <v>5</v>
      </c>
      <c r="B133">
        <v>20</v>
      </c>
    </row>
    <row r="143" spans="1:2">
      <c r="A143" s="2" t="s">
        <v>112</v>
      </c>
      <c r="B143" t="s">
        <v>115</v>
      </c>
    </row>
    <row r="144" spans="1:2">
      <c r="A144" s="1">
        <v>1</v>
      </c>
      <c r="B144">
        <v>4</v>
      </c>
    </row>
    <row r="145" spans="1:2">
      <c r="A145" s="1">
        <v>2</v>
      </c>
      <c r="B145">
        <v>57</v>
      </c>
    </row>
    <row r="146" spans="1:2">
      <c r="A146" s="1">
        <v>3</v>
      </c>
      <c r="B146">
        <v>111</v>
      </c>
    </row>
    <row r="147" spans="1:2">
      <c r="A147" s="1">
        <v>4</v>
      </c>
      <c r="B147">
        <v>191</v>
      </c>
    </row>
    <row r="148" spans="1:2">
      <c r="A148" s="1">
        <v>5</v>
      </c>
      <c r="B148">
        <v>48</v>
      </c>
    </row>
    <row r="158" spans="1:2">
      <c r="A158" s="2" t="s">
        <v>112</v>
      </c>
      <c r="B158" t="s">
        <v>116</v>
      </c>
    </row>
    <row r="159" spans="1:2">
      <c r="A159" s="1">
        <v>1</v>
      </c>
      <c r="B159">
        <v>15</v>
      </c>
    </row>
    <row r="160" spans="1:2">
      <c r="A160" s="1">
        <v>2</v>
      </c>
      <c r="B160">
        <v>70</v>
      </c>
    </row>
    <row r="161" spans="1:2">
      <c r="A161" s="1">
        <v>3</v>
      </c>
      <c r="B161">
        <v>161</v>
      </c>
    </row>
    <row r="162" spans="1:2">
      <c r="A162" s="1">
        <v>4</v>
      </c>
      <c r="B162">
        <v>156</v>
      </c>
    </row>
    <row r="163" spans="1:2">
      <c r="A163" s="1">
        <v>5</v>
      </c>
      <c r="B163">
        <v>9</v>
      </c>
    </row>
    <row r="174" spans="1:2">
      <c r="A174" s="2" t="s">
        <v>112</v>
      </c>
      <c r="B174" t="s">
        <v>117</v>
      </c>
    </row>
    <row r="175" spans="1:2">
      <c r="A175" s="1">
        <v>1</v>
      </c>
      <c r="B175">
        <v>32</v>
      </c>
    </row>
    <row r="176" spans="1:2">
      <c r="A176" s="1">
        <v>2</v>
      </c>
      <c r="B176">
        <v>114</v>
      </c>
    </row>
    <row r="177" spans="1:2">
      <c r="A177" s="1">
        <v>3</v>
      </c>
      <c r="B177">
        <v>107</v>
      </c>
    </row>
    <row r="178" spans="1:2">
      <c r="A178" s="1">
        <v>4</v>
      </c>
      <c r="B178">
        <v>138</v>
      </c>
    </row>
    <row r="179" spans="1:2">
      <c r="A179" s="1">
        <v>5</v>
      </c>
      <c r="B179">
        <v>20</v>
      </c>
    </row>
    <row r="190" spans="1:2">
      <c r="A190" s="2" t="s">
        <v>112</v>
      </c>
      <c r="B190" t="s">
        <v>118</v>
      </c>
    </row>
    <row r="191" spans="1:2">
      <c r="A191" s="1">
        <v>1</v>
      </c>
      <c r="B191">
        <v>18</v>
      </c>
    </row>
    <row r="192" spans="1:2">
      <c r="A192" s="1">
        <v>2</v>
      </c>
      <c r="B192">
        <v>81</v>
      </c>
    </row>
    <row r="193" spans="1:2">
      <c r="A193" s="1">
        <v>3</v>
      </c>
      <c r="B193">
        <v>106</v>
      </c>
    </row>
    <row r="194" spans="1:2">
      <c r="A194" s="1">
        <v>4</v>
      </c>
      <c r="B194">
        <v>169</v>
      </c>
    </row>
    <row r="195" spans="1:2">
      <c r="A195" s="1">
        <v>5</v>
      </c>
      <c r="B195">
        <v>37</v>
      </c>
    </row>
    <row r="204" spans="1:2">
      <c r="A204" s="2" t="s">
        <v>112</v>
      </c>
      <c r="B204" t="s">
        <v>119</v>
      </c>
    </row>
    <row r="205" spans="1:2">
      <c r="A205" s="1">
        <v>1</v>
      </c>
      <c r="B205">
        <v>20</v>
      </c>
    </row>
    <row r="206" spans="1:2">
      <c r="A206" s="1">
        <v>2</v>
      </c>
      <c r="B206">
        <v>108</v>
      </c>
    </row>
    <row r="207" spans="1:2">
      <c r="A207" s="1">
        <v>3</v>
      </c>
      <c r="B207">
        <v>117</v>
      </c>
    </row>
    <row r="208" spans="1:2">
      <c r="A208" s="1">
        <v>4</v>
      </c>
      <c r="B208">
        <v>140</v>
      </c>
    </row>
    <row r="209" spans="1:2">
      <c r="A209" s="1">
        <v>5</v>
      </c>
      <c r="B209">
        <v>26</v>
      </c>
    </row>
    <row r="219" spans="1:2">
      <c r="A219" s="2" t="s">
        <v>112</v>
      </c>
      <c r="B219" t="s">
        <v>120</v>
      </c>
    </row>
    <row r="220" spans="1:2">
      <c r="A220" s="1">
        <v>1</v>
      </c>
      <c r="B220">
        <v>12</v>
      </c>
    </row>
    <row r="221" spans="1:2">
      <c r="A221" s="1">
        <v>2</v>
      </c>
      <c r="B221">
        <v>62</v>
      </c>
    </row>
    <row r="222" spans="1:2">
      <c r="A222" s="1">
        <v>3</v>
      </c>
      <c r="B222">
        <v>102</v>
      </c>
    </row>
    <row r="223" spans="1:2">
      <c r="A223" s="1">
        <v>4</v>
      </c>
      <c r="B223">
        <v>185</v>
      </c>
    </row>
    <row r="224" spans="1:2">
      <c r="A224" s="1">
        <v>5</v>
      </c>
      <c r="B224">
        <v>50</v>
      </c>
    </row>
    <row r="235" spans="1:2">
      <c r="A235" s="2" t="s">
        <v>112</v>
      </c>
      <c r="B235" t="s">
        <v>121</v>
      </c>
    </row>
    <row r="236" spans="1:2">
      <c r="A236" s="1">
        <v>1</v>
      </c>
      <c r="B236">
        <v>9</v>
      </c>
    </row>
    <row r="237" spans="1:2">
      <c r="A237" s="1">
        <v>2</v>
      </c>
      <c r="B237">
        <v>48</v>
      </c>
    </row>
    <row r="238" spans="1:2">
      <c r="A238" s="1">
        <v>3</v>
      </c>
      <c r="B238">
        <v>71</v>
      </c>
    </row>
    <row r="239" spans="1:2">
      <c r="A239" s="1">
        <v>4</v>
      </c>
      <c r="B239">
        <v>183</v>
      </c>
    </row>
    <row r="240" spans="1:2">
      <c r="A240" s="1">
        <v>5</v>
      </c>
      <c r="B240">
        <v>100</v>
      </c>
    </row>
    <row r="250" spans="1:2">
      <c r="A250" s="2" t="s">
        <v>112</v>
      </c>
      <c r="B250" t="s">
        <v>122</v>
      </c>
    </row>
    <row r="251" spans="1:2">
      <c r="A251" s="1">
        <v>1</v>
      </c>
      <c r="B251">
        <v>8</v>
      </c>
    </row>
    <row r="252" spans="1:2">
      <c r="A252" s="1">
        <v>2</v>
      </c>
      <c r="B252">
        <v>43</v>
      </c>
    </row>
    <row r="253" spans="1:2">
      <c r="A253" s="1">
        <v>3</v>
      </c>
      <c r="B253">
        <v>78</v>
      </c>
    </row>
    <row r="254" spans="1:2">
      <c r="A254" s="1">
        <v>4</v>
      </c>
      <c r="B254">
        <v>196</v>
      </c>
    </row>
    <row r="255" spans="1:2">
      <c r="A255" s="1">
        <v>5</v>
      </c>
      <c r="B255">
        <v>86</v>
      </c>
    </row>
    <row r="265" spans="1:2">
      <c r="A265" s="2" t="s">
        <v>112</v>
      </c>
      <c r="B265" t="s">
        <v>123</v>
      </c>
    </row>
    <row r="266" spans="1:2">
      <c r="A266" s="1">
        <v>1</v>
      </c>
      <c r="B266">
        <v>7</v>
      </c>
    </row>
    <row r="267" spans="1:2">
      <c r="A267" s="1">
        <v>2</v>
      </c>
      <c r="B267">
        <v>67</v>
      </c>
    </row>
    <row r="268" spans="1:2">
      <c r="A268" s="1">
        <v>3</v>
      </c>
      <c r="B268">
        <v>132</v>
      </c>
    </row>
    <row r="269" spans="1:2">
      <c r="A269" s="1">
        <v>4</v>
      </c>
      <c r="B269">
        <v>158</v>
      </c>
    </row>
    <row r="270" spans="1:2">
      <c r="A270" s="1">
        <v>5</v>
      </c>
      <c r="B270">
        <v>47</v>
      </c>
    </row>
    <row r="280" spans="1:2">
      <c r="A280" s="2" t="s">
        <v>112</v>
      </c>
      <c r="B280" t="s">
        <v>124</v>
      </c>
    </row>
    <row r="281" spans="1:2">
      <c r="A281" s="1">
        <v>1</v>
      </c>
      <c r="B281">
        <v>8</v>
      </c>
    </row>
    <row r="282" spans="1:2">
      <c r="A282" s="1">
        <v>2</v>
      </c>
      <c r="B282">
        <v>45</v>
      </c>
    </row>
    <row r="283" spans="1:2">
      <c r="A283" s="1">
        <v>3</v>
      </c>
      <c r="B283">
        <v>89</v>
      </c>
    </row>
    <row r="284" spans="1:2">
      <c r="A284" s="1">
        <v>4</v>
      </c>
      <c r="B284">
        <v>190</v>
      </c>
    </row>
    <row r="285" spans="1:2">
      <c r="A285" s="1">
        <v>5</v>
      </c>
      <c r="B285">
        <v>79</v>
      </c>
    </row>
    <row r="295" spans="1:2">
      <c r="A295" s="2" t="s">
        <v>112</v>
      </c>
      <c r="B295" t="s">
        <v>125</v>
      </c>
    </row>
    <row r="296" spans="1:2">
      <c r="A296" s="1">
        <v>1</v>
      </c>
      <c r="B296">
        <v>4</v>
      </c>
    </row>
    <row r="297" spans="1:2">
      <c r="A297" s="1">
        <v>2</v>
      </c>
      <c r="B297">
        <v>42</v>
      </c>
    </row>
    <row r="298" spans="1:2">
      <c r="A298" s="1">
        <v>3</v>
      </c>
      <c r="B298">
        <v>113</v>
      </c>
    </row>
    <row r="299" spans="1:2">
      <c r="A299" s="1">
        <v>4</v>
      </c>
      <c r="B299">
        <v>179</v>
      </c>
    </row>
    <row r="300" spans="1:2">
      <c r="A300" s="1">
        <v>5</v>
      </c>
      <c r="B300">
        <v>73</v>
      </c>
    </row>
    <row r="310" spans="1:2">
      <c r="A310" s="2" t="s">
        <v>112</v>
      </c>
      <c r="B310" t="s">
        <v>126</v>
      </c>
    </row>
    <row r="311" spans="1:2">
      <c r="A311" s="1">
        <v>1</v>
      </c>
      <c r="B311">
        <v>10</v>
      </c>
    </row>
    <row r="312" spans="1:2">
      <c r="A312" s="1">
        <v>2</v>
      </c>
      <c r="B312">
        <v>87</v>
      </c>
    </row>
    <row r="313" spans="1:2">
      <c r="A313" s="1">
        <v>3</v>
      </c>
      <c r="B313">
        <v>112</v>
      </c>
    </row>
    <row r="314" spans="1:2">
      <c r="A314" s="1">
        <v>4</v>
      </c>
      <c r="B314">
        <v>161</v>
      </c>
    </row>
    <row r="315" spans="1:2">
      <c r="A315" s="1">
        <v>5</v>
      </c>
      <c r="B315">
        <v>41</v>
      </c>
    </row>
    <row r="325" spans="1:2">
      <c r="A325" s="2" t="s">
        <v>112</v>
      </c>
      <c r="B325" t="s">
        <v>127</v>
      </c>
    </row>
    <row r="326" spans="1:2">
      <c r="A326" s="1">
        <v>1</v>
      </c>
      <c r="B326">
        <v>22</v>
      </c>
    </row>
    <row r="327" spans="1:2">
      <c r="A327" s="1">
        <v>2</v>
      </c>
      <c r="B327">
        <v>129</v>
      </c>
    </row>
    <row r="328" spans="1:2">
      <c r="A328" s="1">
        <v>3</v>
      </c>
      <c r="B328">
        <v>145</v>
      </c>
    </row>
    <row r="329" spans="1:2">
      <c r="A329" s="1">
        <v>4</v>
      </c>
      <c r="B329">
        <v>100</v>
      </c>
    </row>
    <row r="330" spans="1:2">
      <c r="A330" s="1">
        <v>5</v>
      </c>
      <c r="B330">
        <v>15</v>
      </c>
    </row>
    <row r="341" spans="1:2">
      <c r="A341" s="2" t="s">
        <v>112</v>
      </c>
      <c r="B341" t="s">
        <v>128</v>
      </c>
    </row>
    <row r="342" spans="1:2">
      <c r="A342" s="1">
        <v>1</v>
      </c>
      <c r="B342">
        <v>14</v>
      </c>
    </row>
    <row r="343" spans="1:2">
      <c r="A343" s="1">
        <v>2</v>
      </c>
      <c r="B343">
        <v>88</v>
      </c>
    </row>
    <row r="344" spans="1:2">
      <c r="A344" s="1">
        <v>3</v>
      </c>
      <c r="B344">
        <v>136</v>
      </c>
    </row>
    <row r="345" spans="1:2">
      <c r="A345" s="1">
        <v>4</v>
      </c>
      <c r="B345">
        <v>144</v>
      </c>
    </row>
    <row r="346" spans="1:2">
      <c r="A346" s="1">
        <v>5</v>
      </c>
      <c r="B346">
        <v>29</v>
      </c>
    </row>
    <row r="356" spans="1:2">
      <c r="A356" s="2" t="s">
        <v>112</v>
      </c>
      <c r="B356" t="s">
        <v>129</v>
      </c>
    </row>
    <row r="357" spans="1:2">
      <c r="A357" s="1">
        <v>1</v>
      </c>
      <c r="B357">
        <v>6</v>
      </c>
    </row>
    <row r="358" spans="1:2">
      <c r="A358" s="1">
        <v>2</v>
      </c>
      <c r="B358">
        <v>62</v>
      </c>
    </row>
    <row r="359" spans="1:2">
      <c r="A359" s="1">
        <v>3</v>
      </c>
      <c r="B359">
        <v>103</v>
      </c>
    </row>
    <row r="360" spans="1:2">
      <c r="A360" s="1">
        <v>4</v>
      </c>
      <c r="B360">
        <v>172</v>
      </c>
    </row>
    <row r="361" spans="1:2">
      <c r="A361" s="1">
        <v>5</v>
      </c>
      <c r="B361">
        <v>68</v>
      </c>
    </row>
    <row r="371" spans="1:2">
      <c r="A371" s="2" t="s">
        <v>112</v>
      </c>
      <c r="B371" t="s">
        <v>130</v>
      </c>
    </row>
    <row r="372" spans="1:2">
      <c r="A372" s="1">
        <v>1</v>
      </c>
      <c r="B372">
        <v>21</v>
      </c>
    </row>
    <row r="373" spans="1:2">
      <c r="A373" s="1">
        <v>2</v>
      </c>
      <c r="B373">
        <v>94</v>
      </c>
    </row>
    <row r="374" spans="1:2">
      <c r="A374" s="1">
        <v>3</v>
      </c>
      <c r="B374">
        <v>119</v>
      </c>
    </row>
    <row r="375" spans="1:2">
      <c r="A375" s="1">
        <v>4</v>
      </c>
      <c r="B375">
        <v>147</v>
      </c>
    </row>
    <row r="376" spans="1:2">
      <c r="A376" s="1">
        <v>5</v>
      </c>
      <c r="B376">
        <v>30</v>
      </c>
    </row>
    <row r="386" spans="1:2">
      <c r="A386" s="2" t="s">
        <v>112</v>
      </c>
      <c r="B386" t="s">
        <v>131</v>
      </c>
    </row>
    <row r="387" spans="1:2">
      <c r="A387" s="1">
        <v>1</v>
      </c>
      <c r="B387">
        <v>18</v>
      </c>
    </row>
    <row r="388" spans="1:2">
      <c r="A388" s="1">
        <v>2</v>
      </c>
      <c r="B388">
        <v>94</v>
      </c>
    </row>
    <row r="389" spans="1:2">
      <c r="A389" s="1">
        <v>3</v>
      </c>
      <c r="B389">
        <v>120</v>
      </c>
    </row>
    <row r="390" spans="1:2">
      <c r="A390" s="1">
        <v>4</v>
      </c>
      <c r="B390">
        <v>125</v>
      </c>
    </row>
    <row r="391" spans="1:2">
      <c r="A391" s="1">
        <v>5</v>
      </c>
      <c r="B391">
        <v>54</v>
      </c>
    </row>
    <row r="402" spans="1:2">
      <c r="A402" s="2" t="s">
        <v>112</v>
      </c>
      <c r="B402" t="s">
        <v>132</v>
      </c>
    </row>
    <row r="403" spans="1:2">
      <c r="A403" s="1">
        <v>1</v>
      </c>
      <c r="B403">
        <v>43</v>
      </c>
    </row>
    <row r="404" spans="1:2">
      <c r="A404" s="1">
        <v>2</v>
      </c>
      <c r="B404">
        <v>163</v>
      </c>
    </row>
    <row r="405" spans="1:2">
      <c r="A405" s="1">
        <v>3</v>
      </c>
      <c r="B405">
        <v>120</v>
      </c>
    </row>
    <row r="406" spans="1:2">
      <c r="A406" s="1">
        <v>4</v>
      </c>
      <c r="B406">
        <v>65</v>
      </c>
    </row>
    <row r="407" spans="1:2">
      <c r="A407" s="1">
        <v>5</v>
      </c>
      <c r="B407">
        <v>20</v>
      </c>
    </row>
    <row r="418" spans="1:2">
      <c r="A418" s="2" t="s">
        <v>112</v>
      </c>
      <c r="B418" t="s">
        <v>133</v>
      </c>
    </row>
    <row r="419" spans="1:2">
      <c r="A419" s="1">
        <v>1</v>
      </c>
      <c r="B419">
        <v>16</v>
      </c>
    </row>
    <row r="420" spans="1:2">
      <c r="A420" s="1">
        <v>2</v>
      </c>
      <c r="B420">
        <v>69</v>
      </c>
    </row>
    <row r="421" spans="1:2">
      <c r="A421" s="1">
        <v>3</v>
      </c>
      <c r="B421">
        <v>120</v>
      </c>
    </row>
    <row r="422" spans="1:2">
      <c r="A422" s="1">
        <v>4</v>
      </c>
      <c r="B422">
        <v>143</v>
      </c>
    </row>
    <row r="423" spans="1:2">
      <c r="A423" s="1">
        <v>5</v>
      </c>
      <c r="B423">
        <v>63</v>
      </c>
    </row>
  </sheetData>
  <phoneticPr fontId="2" type="noConversion"/>
  <pageMargins left="0.7" right="0.7" top="0.75" bottom="0.75" header="0.3" footer="0.3"/>
  <drawing r:id="rId2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06161-BBF1-4B51-9FD4-42F96B86ACE5}">
  <dimension ref="A1:B22"/>
  <sheetViews>
    <sheetView workbookViewId="0">
      <selection activeCell="B23" sqref="B23"/>
    </sheetView>
  </sheetViews>
  <sheetFormatPr baseColWidth="10" defaultColWidth="8.83203125" defaultRowHeight="15"/>
  <cols>
    <col min="1" max="1" width="11.6640625" customWidth="1"/>
    <col min="2" max="2" width="193.83203125" bestFit="1" customWidth="1"/>
  </cols>
  <sheetData>
    <row r="1" spans="1:2">
      <c r="A1" t="s">
        <v>134</v>
      </c>
      <c r="B1" t="s">
        <v>135</v>
      </c>
    </row>
    <row r="2" spans="1:2">
      <c r="A2" t="s">
        <v>99</v>
      </c>
      <c r="B2" t="s">
        <v>23</v>
      </c>
    </row>
    <row r="3" spans="1:2">
      <c r="A3" t="s">
        <v>100</v>
      </c>
      <c r="B3" t="s">
        <v>25</v>
      </c>
    </row>
    <row r="4" spans="1:2">
      <c r="A4" t="s">
        <v>101</v>
      </c>
      <c r="B4" t="s">
        <v>29</v>
      </c>
    </row>
    <row r="5" spans="1:2">
      <c r="A5" t="s">
        <v>102</v>
      </c>
      <c r="B5" t="s">
        <v>30</v>
      </c>
    </row>
    <row r="6" spans="1:2">
      <c r="A6" t="s">
        <v>88</v>
      </c>
      <c r="B6" t="s">
        <v>21</v>
      </c>
    </row>
    <row r="7" spans="1:2">
      <c r="A7" t="s">
        <v>89</v>
      </c>
      <c r="B7" t="s">
        <v>22</v>
      </c>
    </row>
    <row r="8" spans="1:2">
      <c r="A8" t="s">
        <v>90</v>
      </c>
      <c r="B8" t="s">
        <v>24</v>
      </c>
    </row>
    <row r="9" spans="1:2">
      <c r="A9" t="s">
        <v>103</v>
      </c>
      <c r="B9" t="s">
        <v>31</v>
      </c>
    </row>
    <row r="10" spans="1:2">
      <c r="A10" t="s">
        <v>104</v>
      </c>
      <c r="B10" t="s">
        <v>32</v>
      </c>
    </row>
    <row r="11" spans="1:2">
      <c r="A11" t="s">
        <v>105</v>
      </c>
      <c r="B11" t="s">
        <v>33</v>
      </c>
    </row>
    <row r="12" spans="1:2">
      <c r="A12" t="s">
        <v>95</v>
      </c>
      <c r="B12" t="s">
        <v>15</v>
      </c>
    </row>
    <row r="13" spans="1:2">
      <c r="A13" t="s">
        <v>96</v>
      </c>
      <c r="B13" t="s">
        <v>16</v>
      </c>
    </row>
    <row r="14" spans="1:2">
      <c r="A14" t="s">
        <v>97</v>
      </c>
      <c r="B14" t="s">
        <v>20</v>
      </c>
    </row>
    <row r="15" spans="1:2">
      <c r="A15" t="s">
        <v>98</v>
      </c>
      <c r="B15" t="s">
        <v>28</v>
      </c>
    </row>
    <row r="16" spans="1:2">
      <c r="A16" t="s">
        <v>85</v>
      </c>
      <c r="B16" t="s">
        <v>13</v>
      </c>
    </row>
    <row r="17" spans="1:2">
      <c r="A17" t="s">
        <v>86</v>
      </c>
      <c r="B17" t="s">
        <v>14</v>
      </c>
    </row>
    <row r="18" spans="1:2">
      <c r="A18" t="s">
        <v>87</v>
      </c>
      <c r="B18" t="s">
        <v>17</v>
      </c>
    </row>
    <row r="19" spans="1:2">
      <c r="A19" t="s">
        <v>91</v>
      </c>
      <c r="B19" t="s">
        <v>18</v>
      </c>
    </row>
    <row r="20" spans="1:2">
      <c r="A20" t="s">
        <v>92</v>
      </c>
      <c r="B20" t="s">
        <v>19</v>
      </c>
    </row>
    <row r="21" spans="1:2">
      <c r="A21" t="s">
        <v>93</v>
      </c>
      <c r="B21" t="s">
        <v>26</v>
      </c>
    </row>
    <row r="22" spans="1:2">
      <c r="A22" t="s">
        <v>94</v>
      </c>
      <c r="B22" t="s">
        <v>27</v>
      </c>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8D2F4-B318-4996-8583-281A9E48CA46}">
  <dimension ref="A1:B6"/>
  <sheetViews>
    <sheetView topLeftCell="A5" zoomScale="94" zoomScaleNormal="94" workbookViewId="0"/>
  </sheetViews>
  <sheetFormatPr baseColWidth="10" defaultColWidth="8.83203125" defaultRowHeight="15"/>
  <cols>
    <col min="1" max="1" width="30" customWidth="1"/>
    <col min="2" max="2" width="61.83203125" customWidth="1"/>
  </cols>
  <sheetData>
    <row r="1" spans="1:2" ht="40" customHeight="1" thickBot="1">
      <c r="A1" s="4" t="s">
        <v>136</v>
      </c>
      <c r="B1" s="5" t="s">
        <v>137</v>
      </c>
    </row>
    <row r="2" spans="1:2" ht="200" customHeight="1" thickBot="1">
      <c r="A2" s="6" t="s">
        <v>138</v>
      </c>
      <c r="B2" s="8" t="s">
        <v>142</v>
      </c>
    </row>
    <row r="3" spans="1:2" ht="200" customHeight="1" thickBot="1">
      <c r="A3" s="6" t="s">
        <v>139</v>
      </c>
      <c r="B3" s="6" t="s">
        <v>143</v>
      </c>
    </row>
    <row r="4" spans="1:2" ht="290" thickBot="1">
      <c r="A4" s="6" t="s">
        <v>140</v>
      </c>
      <c r="B4" s="6" t="s">
        <v>144</v>
      </c>
    </row>
    <row r="5" spans="1:2" ht="341" thickBot="1">
      <c r="A5" s="6" t="s">
        <v>141</v>
      </c>
      <c r="B5" s="6" t="s">
        <v>145</v>
      </c>
    </row>
    <row r="6" spans="1:2" ht="16">
      <c r="A6" s="7"/>
    </row>
  </sheetData>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Raw Data (Cleaned)</vt:lpstr>
      <vt:lpstr>Dataset</vt:lpstr>
      <vt:lpstr>Graph</vt:lpstr>
      <vt:lpstr>Questions</vt:lpstr>
      <vt:lpstr>Criteria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ONG Chun Hin</dc:creator>
  <cp:keywords/>
  <dc:description/>
  <cp:lastModifiedBy>ONG Chun Hin</cp:lastModifiedBy>
  <cp:revision/>
  <dcterms:created xsi:type="dcterms:W3CDTF">2026-03-22T20:00:58Z</dcterms:created>
  <dcterms:modified xsi:type="dcterms:W3CDTF">2026-04-14T07:28:46Z</dcterms:modified>
  <cp:category/>
  <cp:contentStatus/>
</cp:coreProperties>
</file>